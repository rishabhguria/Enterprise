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AddSymbolToWatchlist" sheetId="6" r:id="rId8"/>
    <sheet state="visible" name="TradeFromWatchlist" sheetId="7" r:id="rId9"/>
    <sheet state="visible" name="SelectTradeUsingMTT" sheetId="8" r:id="rId10"/>
    <sheet state="visible" name="EditTradeUsingMTT" sheetId="9" r:id="rId11"/>
    <sheet state="visible" name="SelectTradeUsingMTT1" sheetId="10" r:id="rId12"/>
    <sheet state="visible" name="EditTradeUsingMTT1" sheetId="11" r:id="rId13"/>
    <sheet state="visible" name="DoneAwayUsingMTT" sheetId="12" r:id="rId14"/>
    <sheet state="visible" name="CheckAllocatedGroups" sheetId="13" r:id="rId15"/>
    <sheet state="visible" name="CheckAllocatedTaxlots" sheetId="14" r:id="rId16"/>
    <sheet state="visible" name="Unallocate" sheetId="15" r:id="rId17"/>
    <sheet state="visible" name="SelectUnallocatedGroup" sheetId="16" r:id="rId18"/>
    <sheet state="visible" name="EnterAllocatePreference" sheetId="17" r:id="rId19"/>
  </sheets>
  <definedNames/>
  <calcPr/>
</workbook>
</file>

<file path=xl/sharedStrings.xml><?xml version="1.0" encoding="utf-8"?>
<sst xmlns="http://schemas.openxmlformats.org/spreadsheetml/2006/main" count="1914" uniqueCount="64">
  <si>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</si>
  <si>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</si>
  <si>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</si>
  <si>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</si>
  <si>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</si>
  <si>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</si>
  <si>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</si>
  <si>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</si>
  <si>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</si>
  <si>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</si>
  <si>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</si>
  <si>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</si>
  <si>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</si>
  <si>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</si>
  <si>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</si>
  <si>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</si>
  <si>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Test</t>
  </si>
  <si>
    <t>SetAccountValueCalculatedPref</t>
  </si>
  <si>
    <t>Commision1</t>
  </si>
  <si>
    <t>Commision2</t>
  </si>
  <si>
    <t>Commision3</t>
  </si>
  <si>
    <t>Commision4</t>
  </si>
  <si>
    <t>Commision5</t>
  </si>
  <si>
    <t>Watchlist</t>
  </si>
  <si>
    <t>AddSymbolToWatchlist</t>
  </si>
  <si>
    <t>TSLA</t>
  </si>
  <si>
    <t>O:AAPL 13A500.00</t>
  </si>
  <si>
    <t>TradeFromWatchlist</t>
  </si>
  <si>
    <t>Buy</t>
  </si>
  <si>
    <t>MultiTradingTicket</t>
  </si>
  <si>
    <t>SelectTradeUsingMTT</t>
  </si>
  <si>
    <t>MS</t>
  </si>
  <si>
    <t>EditTradeUsingMTT</t>
  </si>
  <si>
    <t>Buy to Open</t>
  </si>
  <si>
    <t>DoneAwayUsingMTT</t>
  </si>
  <si>
    <t>CheckAllocatedGroups</t>
  </si>
  <si>
    <t/>
  </si>
  <si>
    <t>Multiple</t>
  </si>
  <si>
    <t>Actual_365</t>
  </si>
  <si>
    <t>EquityOption</t>
  </si>
  <si>
    <t>Treasury</t>
  </si>
  <si>
    <t>Open</t>
  </si>
  <si>
    <t>USD</t>
  </si>
  <si>
    <t>OPTS</t>
  </si>
  <si>
    <t>M</t>
  </si>
  <si>
    <t>None</t>
  </si>
  <si>
    <t>Market</t>
  </si>
  <si>
    <t>InternalOrder</t>
  </si>
  <si>
    <t>C</t>
  </si>
  <si>
    <t>Strategy Unallocated</t>
  </si>
  <si>
    <t>GCCAP1</t>
  </si>
  <si>
    <t>TradingTicket</t>
  </si>
  <si>
    <t>BuytoOpen</t>
  </si>
  <si>
    <t>US</t>
  </si>
  <si>
    <t>AAPL</t>
  </si>
  <si>
    <t>jpearce</t>
  </si>
  <si>
    <t>NASDAQ</t>
  </si>
  <si>
    <t>NONE</t>
  </si>
  <si>
    <t>Equity</t>
  </si>
  <si>
    <t>CheckAllocatedTaxlots</t>
  </si>
  <si>
    <t>Unallocate</t>
  </si>
  <si>
    <t>SelectUnallocatedGroup</t>
  </si>
  <si>
    <t>EnterAllocatePreference</t>
  </si>
  <si>
    <t>Calculated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</si>
</sst>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shrinkToFit="0" wrapText="0"/>
    </xf>
    <xf borderId="0" fillId="0" fontId="5" numFmtId="4" xfId="0" applyAlignment="1" applyFont="1" applyNumberFormat="1">
      <alignment readingOrder="0"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IFERROR(__xludf.DUMMYFUNCTION("""COMPUTED_VALUE"""),"1RWrzEP7tKvSTkC1z87RsjU_EZslvD2btXJuTWRIwRLU")</f>
        <v>1RWrzEP7tKvSTkC1z87RsjU_EZslvD2btXJuTWRIwRLU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IFERROR(__xludf.DUMMYFUNCTION("""COMPUTED_VALUE"""),"Undefined")</f>
        <v>Undefined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IFERROR(__xludf.DUMMYFUNCTION("""COMPUTED_VALUE"""),"1XzjmPmpB7IMcyzPSsbgmFfzjE_zIKdjrk0mUoMFhNZc")</f>
        <v>1XzjmPmpB7IMcyzPSsbgmFfzjE_zIKdjrk0mUoMFhNZc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>
      <c r="A678" t="str">
        <f>IFERROR(__xludf.DUMMYFUNCTION("""COMPUTED_VALUE"""),"PranaClient")</f>
        <v>PranaClient</v>
      </c>
      <c r="B678" t="str">
        <f>IFERROR(__xludf.DUMMYFUNCTION("""COMPUTED_VALUE"""),"DbPicker")</f>
        <v>DbPicker</v>
      </c>
      <c r="C678" t="str">
        <f>IFERROR(__xludf.DUMMYFUNCTION("""COMPUTED_VALUE"""),"1tqSr_cmWz94o-j1zOzyqKpbL44h18j2PCfFMgpuxVw0")</f>
        <v>1tqSr_cmWz94o-j1zOzyqKpbL44h18j2PCfFMgpuxVw0</v>
      </c>
    </row>
    <row r="679" ht="15.75" customHeight="1">
      <c r="A679" t="str">
        <f>IFERROR(__xludf.DUMMYFUNCTION("""COMPUTED_VALUE"""),"Simulator")</f>
        <v>Simulator</v>
      </c>
      <c r="B679" t="str">
        <f>IFERROR(__xludf.DUMMYFUNCTION("""COMPUTED_VALUE"""),"DoneForDay")</f>
        <v>DoneForDay</v>
      </c>
      <c r="C679" t="str">
        <f>IFERROR(__xludf.DUMMYFUNCTION("""COMPUTED_VALUE"""),"Undefined")</f>
        <v>Undefined</v>
      </c>
    </row>
    <row r="680" ht="15.75" customHeight="1">
      <c r="A680" t="str">
        <f>IFERROR(__xludf.DUMMYFUNCTION("""COMPUTED_VALUE"""),"Admin")</f>
        <v>Admin</v>
      </c>
      <c r="B680" t="str">
        <f>IFERROR(__xludf.DUMMYFUNCTION("""COMPUTED_VALUE"""),"SetAuecExecutingBroker")</f>
        <v>SetAuecExecutingBroker</v>
      </c>
      <c r="C680" t="str">
        <f>IFERROR(__xludf.DUMMYFUNCTION("""COMPUTED_VALUE"""),"1FOtSQ752PHH-4nayG7R-PaG921WCWKVU8Lsl4pC6Mr0")</f>
        <v>1FOtSQ752PHH-4nayG7R-PaG921WCWKVU8Lsl4pC6Mr0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IFERROR(__xludf.DUMMYFUNCTION("""COMPUTED_VALUE"""),"GetDataFromAuditTrail")</f>
        <v>GetDataFromAuditTrail</v>
      </c>
      <c r="C681" t="str">
        <f>IFERROR(__xludf.DUMMYFUNCTION("""COMPUTED_VALUE"""),"1tNXZNqCj-1qo8Li9Rf4t_XiY-dX6itH2UAbOSe3-Mxc")</f>
        <v>1tNXZNqCj-1qo8Li9Rf4t_XiY-dX6itH2UAbOSe3-Mxc</v>
      </c>
    </row>
    <row r="682" ht="15.75" customHeight="1">
      <c r="A682" t="str">
        <f>IFERROR(__xludf.DUMMYFUNCTION("""COMPUTED_VALUE"""),"AuditTrail")</f>
        <v>AuditTrail</v>
      </c>
      <c r="B682" t="str">
        <f>IFERROR(__xludf.DUMMYFUNCTION("""COMPUTED_VALUE"""),"VerifyAuditTrail")</f>
        <v>VerifyAuditTrail</v>
      </c>
      <c r="C682" t="str">
        <f>IFERROR(__xludf.DUMMYFUNCTION("""COMPUTED_VALUE"""),"1yv4ikffZOFZ-OOoWF_aNEGZA8dcvqtzobkyZjf8TDRs")</f>
        <v>1yv4ikffZOFZ-OOoWF_aNEGZA8dcvqtzobkyZjf8TDRs</v>
      </c>
    </row>
    <row r="683" ht="15.75" customHeight="1">
      <c r="A683" t="str">
        <f>IFERROR(__xludf.DUMMYFUNCTION("""COMPUTED_VALUE"""),"PranaClient")</f>
        <v>PranaClient</v>
      </c>
      <c r="B683" t="str">
        <f>IFERROR(__xludf.DUMMYFUNCTION("""COMPUTED_VALUE"""),"RunPortfolio")</f>
        <v>RunPortfolio</v>
      </c>
      <c r="C683" t="str">
        <f>IFERROR(__xludf.DUMMYFUNCTION("""COMPUTED_VALUE"""),"1zDfER5xLj_X17wyRdaAzzNf3aYbaPGLRGVpc2rFBtc0")</f>
        <v>1zDfER5xLj_X17wyRdaAzzNf3aYbaPGLRGVpc2rFBtc0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IFERROR(__xludf.DUMMYFUNCTION("""COMPUTED_VALUE"""),"AddOrRemoveColumnFromBlotter")</f>
        <v>AddOrRemoveColumnFromBlotter</v>
      </c>
      <c r="C684" t="str">
        <f>IFERROR(__xludf.DUMMYFUNCTION("""COMPUTED_VALUE"""),"1AImtOGYKAeR3YFeq_UoGYWtzjfmt90mMudYE0gCcfuY")</f>
        <v>1AImtOGYKAeR3YFeq_UoGYWtzjfmt90mMudYE0gCcfuY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IFERROR(__xludf.DUMMYFUNCTION("""COMPUTED_VALUE"""),"ApplyFilterOnBlotter")</f>
        <v>ApplyFilterOnBlotter</v>
      </c>
      <c r="C685" t="str">
        <f>IFERROR(__xludf.DUMMYFUNCTION("""COMPUTED_VALUE"""),"1HwDVyMvyOdl2-ZD1QqhAZuwUuRJSMW_PlBPxaE_76EI")</f>
        <v>1HwDVyMvyOdl2-ZD1QqhAZuwUuRJSMW_PlBPxaE_76EI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IFERROR(__xludf.DUMMYFUNCTION("""COMPUTED_VALUE"""),"SortGridOnBlotter")</f>
        <v>SortGridOnBlotter</v>
      </c>
      <c r="C686" t="str">
        <f>IFERROR(__xludf.DUMMYFUNCTION("""COMPUTED_VALUE"""),"1MvLrWPS7fBH0YzOrBIt5TdlPdCiRTwsVXBfvicm6qvY")</f>
        <v>1MvLrWPS7fBH0YzOrBIt5TdlPdCiRTwsVXBfvicm6qvY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IFERROR(__xludf.DUMMYFUNCTION("""COMPUTED_VALUE"""),"VerifyDataIndexWise")</f>
        <v>VerifyDataIndexWise</v>
      </c>
      <c r="C687" t="str">
        <f>IFERROR(__xludf.DUMMYFUNCTION("""COMPUTED_VALUE"""),"1WN-1sxdeUKDOg_8-QDWx4LTsOWAe3xpnbDOHjLR9DPI")</f>
        <v>1WN-1sxdeUKDOg_8-QDWx4LTsOWAe3xpnbDOHjLR9DPI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IFERROR(__xludf.DUMMYFUNCTION("""COMPUTED_VALUE"""),"CheckSummaryDashboard")</f>
        <v>CheckSummaryDashboard</v>
      </c>
      <c r="C688" t="str">
        <f>IFERROR(__xludf.DUMMYFUNCTION("""COMPUTED_VALUE"""),"19yZ--qYnhGSO8AdhnHqcmGmViOWMDkup5wR8bA3T2Os")</f>
        <v>19yZ--qYnhGSO8AdhnHqcmGmViOWMDkup5wR8bA3T2Os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IFERROR(__xludf.DUMMYFUNCTION("""COMPUTED_VALUE"""),"CheckFundLevelAggregation")</f>
        <v>CheckFundLevelAggregation</v>
      </c>
      <c r="C689" t="str">
        <f>IFERROR(__xludf.DUMMYFUNCTION("""COMPUTED_VALUE"""),"1onoHaI0svf2S0wDmLkCePbLXTpyPt2uzhxg7tVdRMeI")</f>
        <v>1onoHaI0svf2S0wDmLkCePbLXTpyPt2uzhxg7tVdRMeI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IFERROR(__xludf.DUMMYFUNCTION("""COMPUTED_VALUE"""),"CheckAccountLevelAggregation")</f>
        <v>CheckAccountLevelAggregation</v>
      </c>
      <c r="C690" t="str">
        <f>IFERROR(__xludf.DUMMYFUNCTION("""COMPUTED_VALUE"""),"1wpk-GXi0GZ8cadXtuW18V6GfYany_8NjDMShh2aobZ4")</f>
        <v>1wpk-GXi0GZ8cadXtuW18V6GfYany_8NjDMShh2aobZ4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IFERROR(__xludf.DUMMYFUNCTION("""COMPUTED_VALUE"""),"CheckSymbolLevelAggregation")</f>
        <v>CheckSymbolLevelAggregation</v>
      </c>
      <c r="C691" t="str">
        <f>IFERROR(__xludf.DUMMYFUNCTION("""COMPUTED_VALUE"""),"1j6_k8vwocZ8wAvUMMfdx9IKldUmmqzRN2HCaaoFysqc")</f>
        <v>1j6_k8vwocZ8wAvUMMfdx9IKldUmmqzRN2HCaaoFysqc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IFERROR(__xludf.DUMMYFUNCTION("""COMPUTED_VALUE"""),"CheckRealTimeSymbolFundMonitor")</f>
        <v>CheckRealTimeSymbolFundMonitor</v>
      </c>
      <c r="C692" t="str">
        <f>IFERROR(__xludf.DUMMYFUNCTION("""COMPUTED_VALUE"""),"1YeAroYmlm8GLwEhMTsKLli9Lc6cZEoPatK76WOit8ho")</f>
        <v>1YeAroYmlm8GLwEhMTsKLli9Lc6cZEoPatK76WOit8ho</v>
      </c>
    </row>
    <row r="693" ht="15.75" customHeight="1">
      <c r="A693" t="str">
        <f>IFERROR(__xludf.DUMMYFUNCTION("""COMPUTED_VALUE"""),"RTPNL")</f>
        <v>RTPNL</v>
      </c>
      <c r="B693" t="str">
        <f>IFERROR(__xludf.DUMMYFUNCTION("""COMPUTED_VALUE"""),"CheckRealTimeSymAccountMonitor")</f>
        <v>CheckRealTimeSymAccountMonitor</v>
      </c>
      <c r="C693" t="str">
        <f>IFERROR(__xludf.DUMMYFUNCTION("""COMPUTED_VALUE"""),"1YWIN_lFXkJFac_sw0d58YkjeJOr7Xa3JotKO9BAEG3Q")</f>
        <v>1YWIN_lFXkJFac_sw0d58YkjeJOr7Xa3JotKO9BAEG3Q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IFERROR(__xludf.DUMMYFUNCTION("""COMPUTED_VALUE"""),"CorporateAction")</f>
        <v>CorporateAction</v>
      </c>
      <c r="B695" t="str">
        <f>IFERROR(__xludf.DUMMYFUNCTION("""COMPUTED_VALUE"""),"Split")</f>
        <v>Split</v>
      </c>
      <c r="C695" t="str">
        <f>IFERROR(__xludf.DUMMYFUNCTION("""COMPUTED_VALUE"""),"1YQNpSzhH6xtFfgEJnDqykr5nsIzqMbnBQEatRhEpHOs")</f>
        <v>1YQNpSzhH6xtFfgEJnDqykr5nsIzqMbnBQEatRhEpHOs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IFERROR(__xludf.DUMMYFUNCTION("""COMPUTED_VALUE"""),"CheckOpenFinWindowName")</f>
        <v>CheckOpenFinWindowName</v>
      </c>
      <c r="C696" t="str">
        <f>IFERROR(__xludf.DUMMYFUNCTION("""COMPUTED_VALUE"""),"1_QbFW_DIr-YIJKQnRAaHNRalcZ0QCmFiB-DdP5Sbwko")</f>
        <v>1_QbFW_DIr-YIJKQnRAaHNRalcZ0QCmFiB-DdP5Sbwko</v>
      </c>
    </row>
    <row r="697" ht="15.75" customHeight="1">
      <c r="A697" t="str">
        <f>IFERROR(__xludf.DUMMYFUNCTION("""COMPUTED_VALUE"""),"OpenFin")</f>
        <v>OpenFin</v>
      </c>
      <c r="B697" t="str">
        <f>IFERROR(__xludf.DUMMYFUNCTION("""COMPUTED_VALUE"""),"OpenWindowFromSearch")</f>
        <v>OpenWindowFromSearch</v>
      </c>
      <c r="C697" t="str">
        <f>IFERROR(__xludf.DUMMYFUNCTION("""COMPUTED_VALUE"""),"1e8B2KIAHr80o-fgghowV60Cd3dClYg316CFpnQaQAIE")</f>
        <v>1e8B2KIAHr80o-fgghowV60Cd3dClYg316CFpnQaQAIE</v>
      </c>
    </row>
    <row r="698" ht="15.75" customHeight="1">
      <c r="A698" t="str">
        <f>IFERROR(__xludf.DUMMYFUNCTION("""COMPUTED_VALUE"""),"TradingTicket")</f>
        <v>TradingTicket</v>
      </c>
      <c r="B698" t="str">
        <f>IFERROR(__xludf.DUMMYFUNCTION("""COMPUTED_VALUE"""),"OptionTradingThroughSecurity")</f>
        <v>OptionTradingThroughSecurity</v>
      </c>
      <c r="C698" t="str">
        <f>IFERROR(__xludf.DUMMYFUNCTION("""COMPUTED_VALUE"""),"1clAdB0F6htmQF_MbmjwcIdau2ji1ufQer1WZBDOaeBQ")</f>
        <v>1clAdB0F6htmQF_MbmjwcIdau2ji1ufQer1WZBDOaeBQ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IFERROR(__xludf.DUMMYFUNCTION("""COMPUTED_VALUE"""),"UpdateDashboardName")</f>
        <v>UpdateDashboardName</v>
      </c>
      <c r="C699" t="str">
        <f>IFERROR(__xludf.DUMMYFUNCTION("""COMPUTED_VALUE"""),"1aNmeOLOU3vHxn4vCNTUtDLnYV9ZzH4jYF4G95SD77ow")</f>
        <v>1aNmeOLOU3vHxn4vCNTUtDLnYV9ZzH4jYF4G95SD77ow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IFERROR(__xludf.DUMMYFUNCTION("""COMPUTED_VALUE"""),"AddWidget")</f>
        <v>AddWidget</v>
      </c>
      <c r="C700" t="str">
        <f>IFERROR(__xludf.DUMMYFUNCTION("""COMPUTED_VALUE"""),"1QetwOPuGJZ9VGJxG4h8-cX_06kX2sFa3dVbulVAf6H8")</f>
        <v>1QetwOPuGJZ9VGJxG4h8-cX_06kX2sFa3dVbulVAf6H8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IFERROR(__xludf.DUMMYFUNCTION("""COMPUTED_VALUE"""),"CheckDashboardWidgetTitle")</f>
        <v>CheckDashboardWidgetTitle</v>
      </c>
      <c r="C701" t="str">
        <f>IFERROR(__xludf.DUMMYFUNCTION("""COMPUTED_VALUE"""),"1HywJj49UTJ0a2drrA-uSVbVT8uwRKeg9hrZ_IYbHs7M")</f>
        <v>1HywJj49UTJ0a2drrA-uSVbVT8uwRKeg9hrZ_IYbHs7M</v>
      </c>
    </row>
    <row r="702" ht="15.75" customHeight="1">
      <c r="A702" t="str">
        <f>IFERROR(__xludf.DUMMYFUNCTION("""COMPUTED_VALUE"""),"RTPNL")</f>
        <v>RTPNL</v>
      </c>
      <c r="B702" t="str">
        <f>IFERROR(__xludf.DUMMYFUNCTION("""COMPUTED_VALUE"""),"updateWidget")</f>
        <v>updateWidget</v>
      </c>
      <c r="C702" t="str">
        <f>IFERROR(__xludf.DUMMYFUNCTION("""COMPUTED_VALUE"""),"1SEQwBhkZIg_dA_RSQqCGv5m0-nf1OjN8eXQzvxE35tE")</f>
        <v>1SEQwBhkZIg_dA_RSQqCGv5m0-nf1OjN8eXQzvxE35tE</v>
      </c>
    </row>
    <row r="703" ht="15.75" customHeight="1">
      <c r="A703" t="str">
        <f>IFERROR(__xludf.DUMMYFUNCTION("""COMPUTED_VALUE"""),"Admin")</f>
        <v>Admin</v>
      </c>
      <c r="B703" t="str">
        <f>IFERROR(__xludf.DUMMYFUNCTION("""COMPUTED_VALUE"""),"SetAlgoBroker")</f>
        <v>SetAlgoBroker</v>
      </c>
      <c r="C703" t="str">
        <f>IFERROR(__xludf.DUMMYFUNCTION("""COMPUTED_VALUE"""),"1ysK6XeT3Tu7B_jcnGseqzvKUCFY5_PNP6KEmR-uswgE")</f>
        <v>1ysK6XeT3Tu7B_jcnGseqzvKUCFY5_PNP6KEmR-uswgE</v>
      </c>
    </row>
    <row r="704" ht="15.75" customHeight="1">
      <c r="A704" t="str">
        <f>IFERROR(__xludf.DUMMYFUNCTION("""COMPUTED_VALUE"""),"TradingTicket")</f>
        <v>TradingTicket</v>
      </c>
      <c r="B704" t="str">
        <f>IFERROR(__xludf.DUMMYFUNCTION("""COMPUTED_VALUE"""),"CreateTradeWithAlgoBroker")</f>
        <v>CreateTradeWithAlgoBroker</v>
      </c>
      <c r="C704" t="str">
        <f>IFERROR(__xludf.DUMMYFUNCTION("""COMPUTED_VALUE"""),"1D-4t1xB_3TrWQDfVaykN5dg7eoT58IEqv3gXIDpM20c")</f>
        <v>1D-4t1xB_3TrWQDfVaykN5dg7eoT58IEqv3gXIDpM20c</v>
      </c>
    </row>
    <row r="705" ht="15.75" customHeight="1">
      <c r="A705" t="str">
        <f>IFERROR(__xludf.DUMMYFUNCTION("""COMPUTED_VALUE"""),"Admin")</f>
        <v>Admin</v>
      </c>
      <c r="B705" t="str">
        <f>IFERROR(__xludf.DUMMYFUNCTION("""COMPUTED_VALUE"""),"EnableAutoGroupingAllocation")</f>
        <v>EnableAutoGroupingAllocation</v>
      </c>
      <c r="C705" t="str">
        <f>IFERROR(__xludf.DUMMYFUNCTION("""COMPUTED_VALUE"""),"1NeqButT68ws592R_0_8U2URVQT-opGH4uQ6W30VuDKo")</f>
        <v>1NeqButT68ws592R_0_8U2URVQT-opGH4uQ6W30VuDKo</v>
      </c>
    </row>
    <row r="706" ht="15.75" customHeight="1">
      <c r="A706" t="str">
        <f>IFERROR(__xludf.DUMMYFUNCTION("""COMPUTED_VALUE"""),"Compliance")</f>
        <v>Compliance</v>
      </c>
      <c r="B706" t="str">
        <f>IFERROR(__xludf.DUMMYFUNCTION("""COMPUTED_VALUE"""),"GetEmail")</f>
        <v>GetEmail</v>
      </c>
      <c r="C706" t="str">
        <f>IFERROR(__xludf.DUMMYFUNCTION("""COMPUTED_VALUE"""),"14zIr297hHEwbCXtU1KW8tP9R8vZWp-yZlZOWIyQ8JM8")</f>
        <v>14zIr297hHEwbCXtU1KW8tP9R8vZWp-yZlZOWIyQ8JM8</v>
      </c>
    </row>
    <row r="707" ht="15.75" customHeight="1">
      <c r="A707" t="str">
        <f>IFERROR(__xludf.DUMMYFUNCTION("""COMPUTED_VALUE"""),"TradeServer")</f>
        <v>TradeServer</v>
      </c>
      <c r="B707" t="str">
        <f>IFERROR(__xludf.DUMMYFUNCTION("""COMPUTED_VALUE"""),"BrokerConnectionThroughTUI")</f>
        <v>BrokerConnectionThroughTUI</v>
      </c>
      <c r="C707" t="str">
        <f>IFERROR(__xludf.DUMMYFUNCTION("""COMPUTED_VALUE"""),"1zjPR01VJFgDurgv90dzI5FheiwzguF_eQq_gmAIYF1E")</f>
        <v>1zjPR01VJFgDurgv90dzI5FheiwzguF_eQq_gmAIYF1E</v>
      </c>
    </row>
    <row r="708" ht="15.75" customHeight="1">
      <c r="A708" t="str">
        <f>IFERROR(__xludf.DUMMYFUNCTION("""COMPUTED_VALUE"""),"OpenFin")</f>
        <v>OpenFin</v>
      </c>
      <c r="B708" t="str">
        <f>IFERROR(__xludf.DUMMYFUNCTION("""COMPUTED_VALUE"""),"VerifyColour")</f>
        <v>VerifyColour</v>
      </c>
      <c r="C708" t="str">
        <f>IFERROR(__xludf.DUMMYFUNCTION("""COMPUTED_VALUE"""),"1JqfkBahL4M3QJ6OlrKFEO0l-A5PRm9-rSzRM19eNLvM")</f>
        <v>1JqfkBahL4M3QJ6OlrKFEO0l-A5PRm9-rSzRM19eNLvM</v>
      </c>
    </row>
    <row r="709" ht="15.75" customHeight="1">
      <c r="A709" t="str">
        <f>IFERROR(__xludf.DUMMYFUNCTION("""COMPUTED_VALUE"""),"RTPNL")</f>
        <v>RTPNL</v>
      </c>
      <c r="B709" t="str">
        <f>IFERROR(__xludf.DUMMYFUNCTION("""COMPUTED_VALUE"""),"OpenRTPNL")</f>
        <v>OpenRTPNL</v>
      </c>
      <c r="C709" t="str">
        <f>IFERROR(__xludf.DUMMYFUNCTION("""COMPUTED_VALUE"""),"1j-FWEidBpUuPYcE4AbSAw08LdLumr0SQSFYFcyX2SkM")</f>
        <v>1j-FWEidBpUuPYcE4AbSAw08LdLumr0SQSFYFcyX2SkM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IFERROR(__xludf.DUMMYFUNCTION("""COMPUTED_VALUE"""),"VerifyOrderSide")</f>
        <v>VerifyOrderSide</v>
      </c>
      <c r="C710" t="str">
        <f>IFERROR(__xludf.DUMMYFUNCTION("""COMPUTED_VALUE"""),"1c9KH-8l1ETf94Oe0mx95JD0fjeeah2gCx04R2mT4vgU")</f>
        <v>1c9KH-8l1ETf94Oe0mx95JD0fjeeah2gCx04R2mT4vgU</v>
      </c>
    </row>
    <row r="711" ht="15.75" customHeight="1">
      <c r="A711" t="str">
        <f>IFERROR(__xludf.DUMMYFUNCTION("""COMPUTED_VALUE"""),"OpenFin")</f>
        <v>OpenFin</v>
      </c>
      <c r="B711" t="str">
        <f>IFERROR(__xludf.DUMMYFUNCTION("""COMPUTED_VALUE"""),"OpenReleaseClient")</f>
        <v>OpenReleaseClient</v>
      </c>
      <c r="C711" t="str">
        <f>IFERROR(__xludf.DUMMYFUNCTION("""COMPUTED_VALUE"""),"1lDURQPfx8lvChAjYM0DztCXj5aW1r1sP_KQ4sTM3ljc")</f>
        <v>1lDURQPfx8lvChAjYM0DztCXj5aW1r1sP_KQ4sTM3ljc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IFERROR(__xludf.DUMMYFUNCTION("""COMPUTED_VALUE"""),"LinkDashboardTabs")</f>
        <v>LinkDashboardTabs</v>
      </c>
      <c r="C712" t="str">
        <f>IFERROR(__xludf.DUMMYFUNCTION("""COMPUTED_VALUE"""),"1_ZOUJw5mEb5-uMCe7uXUcU1uwSnKbENOdKRfc5frcRI")</f>
        <v>1_ZOUJw5mEb5-uMCe7uXUcU1uwSnKbENOdKRfc5frcRI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IFERROR(__xludf.DUMMYFUNCTION("""COMPUTED_VALUE"""),"SelectDashboardTabRow")</f>
        <v>SelectDashboardTabRow</v>
      </c>
      <c r="C713" t="str">
        <f>IFERROR(__xludf.DUMMYFUNCTION("""COMPUTED_VALUE"""),"10Vd3dhJiCjsba_tbRecSrC0PBN1F1QFBXBKfTY2hBy4")</f>
        <v>10Vd3dhJiCjsba_tbRecSrC0PBN1F1QFBXBKfTY2hBy4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IFERROR(__xludf.DUMMYFUNCTION("""COMPUTED_VALUE"""),"SelectRowAtFLAggregation")</f>
        <v>SelectRowAtFLAggregation</v>
      </c>
      <c r="C714" t="str">
        <f>IFERROR(__xludf.DUMMYFUNCTION("""COMPUTED_VALUE"""),"1cEp9PBaAuW5WBA5D6VvUB32hYlXbJCbbqSozcxuwCxs")</f>
        <v>1cEp9PBaAuW5WBA5D6VvUB32hYlXbJCbbqSozcxuwCxs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IFERROR(__xludf.DUMMYFUNCTION("""COMPUTED_VALUE"""),"SelectRowAtALAggregation")</f>
        <v>SelectRowAtALAggregation</v>
      </c>
      <c r="C715" t="str">
        <f>IFERROR(__xludf.DUMMYFUNCTION("""COMPUTED_VALUE"""),"1rSsC3GJdez3CoU5cuG9j4H7yxOCRUN1u8OaLrlQV3ms")</f>
        <v>1rSsC3GJdez3CoU5cuG9j4H7yxOCRUN1u8OaLrlQV3ms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IFERROR(__xludf.DUMMYFUNCTION("""COMPUTED_VALUE"""),"SelectRowAtSLAggregation")</f>
        <v>SelectRowAtSLAggregation</v>
      </c>
      <c r="C716" t="str">
        <f>IFERROR(__xludf.DUMMYFUNCTION("""COMPUTED_VALUE"""),"17LhetpqlUGKZ842KdCVcUSBi-Oo7pi9N29U1unAcSXI")</f>
        <v>17LhetpqlUGKZ842KdCVcUSBi-Oo7pi9N29U1unAcSXI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IFERROR(__xludf.DUMMYFUNCTION("""COMPUTED_VALUE"""),"SelectRowAtRTSFundMonitor")</f>
        <v>SelectRowAtRTSFundMonitor</v>
      </c>
      <c r="C717" t="str">
        <f>IFERROR(__xludf.DUMMYFUNCTION("""COMPUTED_VALUE"""),"1GfRMRoQy-JJWGhUYOAlTtktEu_COt80geQtMyahWn-g")</f>
        <v>1GfRMRoQy-JJWGhUYOAlTtktEu_COt80geQtMyahWn-g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IFERROR(__xludf.DUMMYFUNCTION("""COMPUTED_VALUE"""),"SelectRowAtRTSAccountMonitor")</f>
        <v>SelectRowAtRTSAccountMonitor</v>
      </c>
      <c r="C718" t="str">
        <f>IFERROR(__xludf.DUMMYFUNCTION("""COMPUTED_VALUE"""),"1ymWI4H-rYSuYcMBnVqoCFZgBq0wgkwh4HNQd4M6a3EE")</f>
        <v>1ymWI4H-rYSuYcMBnVqoCFZgBq0wgkwh4HNQd4M6a3EE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IFERROR(__xludf.DUMMYFUNCTION("""COMPUTED_VALUE"""),"FilterOnPMGrid")</f>
        <v>FilterOnPMGrid</v>
      </c>
      <c r="C719" t="str">
        <f>IFERROR(__xludf.DUMMYFUNCTION("""COMPUTED_VALUE"""),"1OnY_eV7vu0MtlRaBMhR1l7tKqVsiYrP5hnKFtBWEOJY")</f>
        <v>1OnY_eV7vu0MtlRaBMhR1l7tKqVsiYrP5hnKFtBWEOJY</v>
      </c>
    </row>
    <row r="720" ht="15.75" customHeight="1">
      <c r="A720" t="str">
        <f>IFERROR(__xludf.DUMMYFUNCTION("""COMPUTED_VALUE"""),"RTPNL")</f>
        <v>RTPNL</v>
      </c>
      <c r="B720" t="str">
        <f>IFERROR(__xludf.DUMMYFUNCTION("""COMPUTED_VALUE"""),"ExtractTabOutsidePMDashboard")</f>
        <v>ExtractTabOutsidePMDashboard</v>
      </c>
      <c r="C720" t="str">
        <f>IFERROR(__xludf.DUMMYFUNCTION("""COMPUTED_VALUE"""),"1gL_7b12xxIm2t8SbS3r1OEz_l436Ag72OxKiVxsSHao")</f>
        <v>1gL_7b12xxIm2t8SbS3r1OEz_l436Ag72OxKiVxsSHao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IFERROR(__xludf.DUMMYFUNCTION("""COMPUTED_VALUE"""),"SortOnPMGrid")</f>
        <v>SortOnPMGrid</v>
      </c>
      <c r="C721" t="str">
        <f>IFERROR(__xludf.DUMMYFUNCTION("""COMPUTED_VALUE"""),"1xALfYxc2kx4lwcklO9nFfUd4txdSJOjDILXPz5sdtNU")</f>
        <v>1xALfYxc2kx4lwcklO9nFfUd4txdSJOjDILXPz5sdtNU</v>
      </c>
    </row>
    <row r="722" ht="15.75" customHeight="1">
      <c r="A722" t="str">
        <f>IFERROR(__xludf.DUMMYFUNCTION("""COMPUTED_VALUE"""),"TradingTicket")</f>
        <v>TradingTicket</v>
      </c>
      <c r="B722" t="str">
        <f>IFERROR(__xludf.DUMMYFUNCTION("""COMPUTED_VALUE"""),"CreateOrEditSymbolTT")</f>
        <v>CreateOrEditSymbolTT</v>
      </c>
      <c r="C722" t="str">
        <f>IFERROR(__xludf.DUMMYFUNCTION("""COMPUTED_VALUE"""),"1idmpWrKnVe2S0NRHKC3RamOBjdC5_vnd76rycS2naOU")</f>
        <v>1idmpWrKnVe2S0NRHKC3RamOBjdC5_vnd76rycS2naOU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IFERROR(__xludf.DUMMYFUNCTION("""COMPUTED_VALUE"""),"SortRTSFM")</f>
        <v>SortRTSFM</v>
      </c>
      <c r="C723" t="str">
        <f>IFERROR(__xludf.DUMMYFUNCTION("""COMPUTED_VALUE"""),"1RPd2Hj7qN07O5usXRKyD6vnEBaAjN4s-c66S7_cTJL0")</f>
        <v>1RPd2Hj7qN07O5usXRKyD6vnEBaAjN4s-c66S7_cTJL0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IFERROR(__xludf.DUMMYFUNCTION("""COMPUTED_VALUE"""),"SortSLA")</f>
        <v>SortSLA</v>
      </c>
      <c r="C724" t="str">
        <f>IFERROR(__xludf.DUMMYFUNCTION("""COMPUTED_VALUE"""),"1uqQ9rYn7Web5f-3p1kL2oa_1jv5CTxiLTZgtyeOnG5k")</f>
        <v>1uqQ9rYn7Web5f-3p1kL2oa_1jv5CTxiLTZgtyeOnG5k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IFERROR(__xludf.DUMMYFUNCTION("""COMPUTED_VALUE"""),"SortALA")</f>
        <v>SortALA</v>
      </c>
      <c r="C725" t="str">
        <f>IFERROR(__xludf.DUMMYFUNCTION("""COMPUTED_VALUE"""),"1HFxukRhN8_NG06AxIvFbitVTjtpuHxAfEbMllW36roE")</f>
        <v>1HFxukRhN8_NG06AxIvFbitVTjtpuHxAfEbMllW36roE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IFERROR(__xludf.DUMMYFUNCTION("""COMPUTED_VALUE"""),"SortFLA")</f>
        <v>SortFLA</v>
      </c>
      <c r="C726" t="str">
        <f>IFERROR(__xludf.DUMMYFUNCTION("""COMPUTED_VALUE"""),"16fbn56mKuCbv6fF3O21I3-tlQPhsQWvtInKzVunyM7s")</f>
        <v>16fbn56mKuCbv6fF3O21I3-tlQPhsQWvtInKzVunyM7s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IFERROR(__xludf.DUMMYFUNCTION("""COMPUTED_VALUE"""),"FilterRTSFM")</f>
        <v>FilterRTSFM</v>
      </c>
      <c r="C727" t="str">
        <f>IFERROR(__xludf.DUMMYFUNCTION("""COMPUTED_VALUE"""),"1aR-wCrpB-M5qPHNLKmkkkDXUdLLquektow3lRehT7aA")</f>
        <v>1aR-wCrpB-M5qPHNLKmkkkDXUdLLquektow3lRehT7aA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IFERROR(__xludf.DUMMYFUNCTION("""COMPUTED_VALUE"""),"FilterSLA")</f>
        <v>FilterSLA</v>
      </c>
      <c r="C728" t="str">
        <f>IFERROR(__xludf.DUMMYFUNCTION("""COMPUTED_VALUE"""),"1VstTCReOBMZnMYs_uYfmc2u8trc1ET-vbWFFCBehT_I")</f>
        <v>1VstTCReOBMZnMYs_uYfmc2u8trc1ET-vbWFFCBehT_I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IFERROR(__xludf.DUMMYFUNCTION("""COMPUTED_VALUE"""),"FilterALA")</f>
        <v>FilterALA</v>
      </c>
      <c r="C729" t="str">
        <f>IFERROR(__xludf.DUMMYFUNCTION("""COMPUTED_VALUE"""),"1a9lso4ZEh6d-62hPnh0hEsACtRSusVGWjAO1Q5WPAEg")</f>
        <v>1a9lso4ZEh6d-62hPnh0hEsACtRSusVGWjAO1Q5WPAEg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IFERROR(__xludf.DUMMYFUNCTION("""COMPUTED_VALUE"""),"FilterFLA")</f>
        <v>FilterFLA</v>
      </c>
      <c r="C730" t="str">
        <f>IFERROR(__xludf.DUMMYFUNCTION("""COMPUTED_VALUE"""),"1iInEvGMej-U3deNeFM-LhHIJxa9DnH1LfYmUlixwoO0")</f>
        <v>1iInEvGMej-U3deNeFM-LhHIJxa9DnH1LfYmUlixwoO0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IFERROR(__xludf.DUMMYFUNCTION("""COMPUTED_VALUE"""),"FilterRTSAM")</f>
        <v>FilterRTSAM</v>
      </c>
      <c r="C731" t="str">
        <f>IFERROR(__xludf.DUMMYFUNCTION("""COMPUTED_VALUE"""),"19QrXgA8ZQp9FIUAggXNU6zXTsnkvA4_nCUqf6XrnTIM")</f>
        <v>19QrXgA8ZQp9FIUAggXNU6zXTsnkvA4_nCUqf6XrnTIM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IFERROR(__xludf.DUMMYFUNCTION("""COMPUTED_VALUE"""),"SortRTSAM")</f>
        <v>SortRTSAM</v>
      </c>
      <c r="C732" t="str">
        <f>IFERROR(__xludf.DUMMYFUNCTION("""COMPUTED_VALUE"""),"1JGXz9lScbj7NMo2gp1dnjyAosk2i-_vn-_beAX5olZY")</f>
        <v>1JGXz9lScbj7NMo2gp1dnjyAosk2i-_vn-_beAX5olZY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IFERROR(__xludf.DUMMYFUNCTION("""COMPUTED_VALUE"""),"IncreaseOrUnwindPositionRTPNL")</f>
        <v>IncreaseOrUnwindPositionRTPNL</v>
      </c>
      <c r="C733" t="str">
        <f>IFERROR(__xludf.DUMMYFUNCTION("""COMPUTED_VALUE"""),"1q1Wc-dRTuQg4BlHBt6hfkwKefeK_K_Mif-Ctd_wCOUc")</f>
        <v>1q1Wc-dRTuQg4BlHBt6hfkwKefeK_K_Mif-Ctd_wCOUc</v>
      </c>
    </row>
    <row r="734" ht="15.75" customHeight="1">
      <c r="A734" t="str">
        <f>IFERROR(__xludf.DUMMYFUNCTION("""COMPUTED_VALUE"""),"RTPNL")</f>
        <v>RTPNL</v>
      </c>
      <c r="B734" t="str">
        <f>IFERROR(__xludf.DUMMYFUNCTION("""COMPUTED_VALUE"""),"SavePage")</f>
        <v>SavePage</v>
      </c>
      <c r="C734" t="str">
        <f>IFERROR(__xludf.DUMMYFUNCTION("""COMPUTED_VALUE"""),"1_uQYVoc5DS6NYv0EYGKjax2jWsfgKobFEjxJkQjLL3w")</f>
        <v>1_uQYVoc5DS6NYv0EYGKjax2jWsfgKobFEjxJkQjLL3w</v>
      </c>
    </row>
    <row r="735" ht="15.75" customHeight="1">
      <c r="A735" t="str">
        <f>IFERROR(__xludf.DUMMYFUNCTION("""COMPUTED_VALUE"""),"RTPNL")</f>
        <v>RTPNL</v>
      </c>
      <c r="B735" t="str">
        <f>IFERROR(__xludf.DUMMYFUNCTION("""COMPUTED_VALUE"""),"CloseRTPNL")</f>
        <v>CloseRTPNL</v>
      </c>
      <c r="C735" t="str">
        <f>IFERROR(__xludf.DUMMYFUNCTION("""COMPUTED_VALUE"""),"1q0e1lbiWuCHi7U7mu_pkI_EHtO0vohpMfwjgm_XpoMk")</f>
        <v>1q0e1lbiWuCHi7U7mu_pkI_EHtO0vohpMfwjgm_XpoMk</v>
      </c>
    </row>
    <row r="736" ht="15.75" customHeight="1">
      <c r="A736" t="str">
        <f>IFERROR(__xludf.DUMMYFUNCTION("""COMPUTED_VALUE"""),"RTPNL")</f>
        <v>RTPNL</v>
      </c>
      <c r="B736" t="str">
        <f>IFERROR(__xludf.DUMMYFUNCTION("""COMPUTED_VALUE"""),"VerifyColumns")</f>
        <v>VerifyColumns</v>
      </c>
      <c r="C736" t="str">
        <f>IFERROR(__xludf.DUMMYFUNCTION("""COMPUTED_VALUE"""),"1hv4fjReFX37JfqBQku0u9vApiCQpf-X1f4UEDLw3y_s")</f>
        <v>1hv4fjReFX37JfqBQku0u9vApiCQpf-X1f4UEDLw3y_s</v>
      </c>
    </row>
    <row r="737" ht="15.75" customHeight="1">
      <c r="A737" t="str">
        <f>IFERROR(__xludf.DUMMYFUNCTION("""COMPUTED_VALUE"""),"Admin")</f>
        <v>Admin</v>
      </c>
      <c r="B737" t="str">
        <f>IFERROR(__xludf.DUMMYFUNCTION("""COMPUTED_VALUE"""),"RemoveMasterUser")</f>
        <v>RemoveMasterUser</v>
      </c>
      <c r="C737" t="str">
        <f>IFERROR(__xludf.DUMMYFUNCTION("""COMPUTED_VALUE"""),"Undefined")</f>
        <v>Undefined</v>
      </c>
    </row>
    <row r="738" ht="15.75" customHeight="1">
      <c r="A738" t="str">
        <f>IFERROR(__xludf.DUMMYFUNCTION("""COMPUTED_VALUE"""),"Blotter")</f>
        <v>Blotter</v>
      </c>
      <c r="B738" t="str">
        <f>IFERROR(__xludf.DUMMYFUNCTION("""COMPUTED_VALUE"""),"SaveLayoutBlotter")</f>
        <v>SaveLayoutBlotter</v>
      </c>
      <c r="C738" t="str">
        <f>IFERROR(__xludf.DUMMYFUNCTION("""COMPUTED_VALUE"""),"Undefined")</f>
        <v>Undefined</v>
      </c>
    </row>
    <row r="739" ht="15.75" customHeight="1">
      <c r="A739" t="str">
        <f>IFERROR(__xludf.DUMMYFUNCTION("""COMPUTED_VALUE"""),"NavLock")</f>
        <v>NavLock</v>
      </c>
      <c r="B739" t="str">
        <f>IFERROR(__xludf.DUMMYFUNCTION("""COMPUTED_VALUE"""),"DeleteExistingNavLock")</f>
        <v>DeleteExistingNavLock</v>
      </c>
      <c r="C739" t="str">
        <f>IFERROR(__xludf.DUMMYFUNCTION("""COMPUTED_VALUE"""),"1HqQPyzif5um_L8C14d1R1blK2opfeEitYxPutZTlmFw")</f>
        <v>1HqQPyzif5um_L8C14d1R1blK2opfeEitYxPutZTlmFw</v>
      </c>
    </row>
    <row r="740" ht="15.75" customHeight="1">
      <c r="A740" t="str">
        <f>IFERROR(__xludf.DUMMYFUNCTION("""COMPUTED_VALUE"""),"NavLock")</f>
        <v>NavLock</v>
      </c>
      <c r="B740" t="str">
        <f>IFERROR(__xludf.DUMMYFUNCTION("""COMPUTED_VALUE"""),"AddNavLock")</f>
        <v>AddNavLock</v>
      </c>
      <c r="C740" t="str">
        <f>IFERROR(__xludf.DUMMYFUNCTION("""COMPUTED_VALUE"""),"1GPjpONzArmJk58f1PhPdnRa4N-8ryMP6ZWGSYiH7Y3s")</f>
        <v>1GPjpONzArmJk58f1PhPdnRa4N-8ryMP6ZWGSYiH7Y3s</v>
      </c>
    </row>
    <row r="741" ht="15.75" customHeight="1">
      <c r="A741" t="str">
        <f>IFERROR(__xludf.DUMMYFUNCTION("""COMPUTED_VALUE"""),"Allocation")</f>
        <v>Allocation</v>
      </c>
      <c r="B741" t="str">
        <f>IFERROR(__xludf.DUMMYFUNCTION("""COMPUTED_VALUE"""),"VerifyAllocationNavLockPopup")</f>
        <v>VerifyAllocationNavLockPopup</v>
      </c>
      <c r="C741" t="str">
        <f>IFERROR(__xludf.DUMMYFUNCTION("""COMPUTED_VALUE"""),"1nlDKsMtQr89ys6-s3fNyeXJhd3KY9s6Hzaoil52avTI")</f>
        <v>1nlDKsMtQr89ys6-s3fNyeXJhd3KY9s6Hzaoil52avTI</v>
      </c>
    </row>
    <row r="742" ht="15.75" customHeight="1">
      <c r="A742" t="str">
        <f>IFERROR(__xludf.DUMMYFUNCTION("""COMPUTED_VALUE"""),"RTPNL")</f>
        <v>RTPNL</v>
      </c>
      <c r="B742" t="str">
        <f>IFERROR(__xludf.DUMMYFUNCTION("""COMPUTED_VALUE"""),"ConfigureWidget")</f>
        <v>ConfigureWidget</v>
      </c>
      <c r="C742" t="str">
        <f>IFERROR(__xludf.DUMMYFUNCTION("""COMPUTED_VALUE"""),"1W6yBhMOu0wchoi8WJBVKvPLgngkTy6xSOF5JPGpCiJM")</f>
        <v>1W6yBhMOu0wchoi8WJBVKvPLgngkTy6xSOF5JPGpCiJM</v>
      </c>
    </row>
    <row r="743" ht="15.75" customHeight="1">
      <c r="A743" t="str">
        <f>IFERROR(__xludf.DUMMYFUNCTION("""COMPUTED_VALUE"""),"CreateTransaction")</f>
        <v>CreateTransaction</v>
      </c>
      <c r="B743" t="str">
        <f>IFERROR(__xludf.DUMMYFUNCTION("""COMPUTED_VALUE"""),"VerifyCTNavLockPopup")</f>
        <v>VerifyCTNavLockPopup</v>
      </c>
      <c r="C743" t="str">
        <f>IFERROR(__xludf.DUMMYFUNCTION("""COMPUTED_VALUE"""),"144sdIKvp1IYBLo1BR5xnXjJV08MEYXOtOle_BzmZysU")</f>
        <v>144sdIKvp1IYBLo1BR5xnXjJV08MEYXOtOle_BzmZysU</v>
      </c>
    </row>
    <row r="744" ht="15.75" customHeight="1">
      <c r="A744" t="str">
        <f>IFERROR(__xludf.DUMMYFUNCTION("""COMPUTED_VALUE"""),"DailyValuation")</f>
        <v>DailyValuation</v>
      </c>
      <c r="B744" t="str">
        <f>IFERROR(__xludf.DUMMYFUNCTION("""COMPUTED_VALUE"""),"VerifyDVNavLockPopup")</f>
        <v>VerifyDVNavLockPopup</v>
      </c>
      <c r="C744" t="str">
        <f>IFERROR(__xludf.DUMMYFUNCTION("""COMPUTED_VALUE"""),"1rXDKRADphBVDpGsYUs6Jq5ugHFrpJ_qRur3VkVbGwV4")</f>
        <v>1rXDKRADphBVDpGsYUs6Jq5ugHFrpJ_qRur3VkVbGwV4</v>
      </c>
    </row>
    <row r="745" ht="15.75" customHeight="1">
      <c r="A745" t="str">
        <f>IFERROR(__xludf.DUMMYFUNCTION("""COMPUTED_VALUE"""),"GeneralLedger")</f>
        <v>GeneralLedger</v>
      </c>
      <c r="B745" t="str">
        <f>IFERROR(__xludf.DUMMYFUNCTION("""COMPUTED_VALUE"""),"VerifyGLNavLockPopup")</f>
        <v>VerifyGLNavLockPopup</v>
      </c>
      <c r="C745" t="str">
        <f>IFERROR(__xludf.DUMMYFUNCTION("""COMPUTED_VALUE"""),"13qCmJnkjFZw_O4n_dVKtJg-5eOkymkypG_MjQGuuNAo")</f>
        <v>13qCmJnkjFZw_O4n_dVKtJg-5eOkymkypG_MjQGuuNAo</v>
      </c>
    </row>
    <row r="746" ht="15.75" customHeight="1">
      <c r="A746" t="str">
        <f>IFERROR(__xludf.DUMMYFUNCTION("""COMPUTED_VALUE"""),"Import")</f>
        <v>Import</v>
      </c>
      <c r="B746" t="str">
        <f>IFERROR(__xludf.DUMMYFUNCTION("""COMPUTED_VALUE"""),"VerifyImportNavLockPopup")</f>
        <v>VerifyImportNavLockPopup</v>
      </c>
      <c r="C746" t="str">
        <f>IFERROR(__xludf.DUMMYFUNCTION("""COMPUTED_VALUE"""),"1pXdTBlTEvtcQUfX_APkVY3rRe3gVlj4Sk_Jyd6F4sNM")</f>
        <v>1pXdTBlTEvtcQUfX_APkVY3rRe3gVlj4Sk_Jyd6F4sNM</v>
      </c>
    </row>
    <row r="747" ht="15.75" customHeight="1">
      <c r="A747" t="str">
        <f>IFERROR(__xludf.DUMMYFUNCTION("""COMPUTED_VALUE"""),"MultiTradingTicket")</f>
        <v>MultiTradingTicket</v>
      </c>
      <c r="B747" t="str">
        <f>IFERROR(__xludf.DUMMYFUNCTION("""COMPUTED_VALUE"""),"VerifyMTTNavLockPopup")</f>
        <v>VerifyMTTNavLockPopup</v>
      </c>
      <c r="C747" t="str">
        <f>IFERROR(__xludf.DUMMYFUNCTION("""COMPUTED_VALUE"""),"1hzuWfGgMcTuN77JdNWDiNq95xYqAIxYrqdk47goXdlc")</f>
        <v>1hzuWfGgMcTuN77JdNWDiNq95xYqAIxYrqdk47goXdlc</v>
      </c>
    </row>
    <row r="748" ht="15.75" customHeight="1">
      <c r="A748" t="str">
        <f>IFERROR(__xludf.DUMMYFUNCTION("""COMPUTED_VALUE"""),"PricingInput")</f>
        <v>PricingInput</v>
      </c>
      <c r="B748" t="str">
        <f>IFERROR(__xludf.DUMMYFUNCTION("""COMPUTED_VALUE"""),"VerifyPINavLockPopup")</f>
        <v>VerifyPINavLockPopup</v>
      </c>
      <c r="C748" t="str">
        <f>IFERROR(__xludf.DUMMYFUNCTION("""COMPUTED_VALUE"""),"1MqKw1Z4nex0wIRjcW-Lhchpv8ZsSNuruz2cszeIP01M")</f>
        <v>1MqKw1Z4nex0wIRjcW-Lhchpv8ZsSNuruz2cszeIP01M</v>
      </c>
    </row>
    <row r="749" ht="15.75" customHeight="1">
      <c r="A749" t="str">
        <f>IFERROR(__xludf.DUMMYFUNCTION("""COMPUTED_VALUE"""),"ShortLocate")</f>
        <v>ShortLocate</v>
      </c>
      <c r="B749" t="str">
        <f>IFERROR(__xludf.DUMMYFUNCTION("""COMPUTED_VALUE"""),"VerifySLNavLockPopup")</f>
        <v>VerifySLNavLockPopup</v>
      </c>
      <c r="C749" t="str">
        <f>IFERROR(__xludf.DUMMYFUNCTION("""COMPUTED_VALUE"""),"1sBI9JpwaQW2KTgfDWaY7h3xdvzXzeqjaP8_Vml6QbTo")</f>
        <v>1sBI9JpwaQW2KTgfDWaY7h3xdvzXzeqjaP8_Vml6QbTo</v>
      </c>
    </row>
    <row r="750" ht="15.75" customHeight="1">
      <c r="A750" t="str">
        <f>IFERROR(__xludf.DUMMYFUNCTION("""COMPUTED_VALUE"""),"TradingTicket")</f>
        <v>TradingTicket</v>
      </c>
      <c r="B750" t="str">
        <f>IFERROR(__xludf.DUMMYFUNCTION("""COMPUTED_VALUE"""),"VerifyTTNavLockPopup")</f>
        <v>VerifyTTNavLockPopup</v>
      </c>
      <c r="C750" t="str">
        <f>IFERROR(__xludf.DUMMYFUNCTION("""COMPUTED_VALUE"""),"15lRx1SPPsy7nykR6nVYUadOnwKG80Q6OfxTDuQ_dvXI")</f>
        <v>15lRx1SPPsy7nykR6nVYUadOnwKG80Q6OfxTDuQ_dvXI</v>
      </c>
    </row>
    <row r="751" ht="15.75" customHeight="1">
      <c r="A751" t="str">
        <f>IFERROR(__xludf.DUMMYFUNCTION("""COMPUTED_VALUE"""),"Blotter")</f>
        <v>Blotter</v>
      </c>
      <c r="B751" t="str">
        <f>IFERROR(__xludf.DUMMYFUNCTION("""COMPUTED_VALUE"""),"VerifyBlotterNavLockPopup")</f>
        <v>VerifyBlotterNavLockPopup</v>
      </c>
      <c r="C751" t="str">
        <f>IFERROR(__xludf.DUMMYFUNCTION("""COMPUTED_VALUE"""),"1NXDngJ54gfiJxrqVxgbEYZ7hW3c4kquifXR6Lg7EK5Y")</f>
        <v>1NXDngJ54gfiJxrqVxgbEYZ7hW3c4kquifXR6Lg7EK5Y</v>
      </c>
    </row>
    <row r="752" ht="15.75" customHeight="1">
      <c r="A752" t="str">
        <f>IFERROR(__xludf.DUMMYFUNCTION("""COMPUTED_VALUE"""),"Closing")</f>
        <v>Closing</v>
      </c>
      <c r="B752" t="str">
        <f>IFERROR(__xludf.DUMMYFUNCTION("""COMPUTED_VALUE"""),"VerifyClosingNavLockPopup")</f>
        <v>VerifyClosingNavLockPopup</v>
      </c>
      <c r="C752" t="str">
        <f>IFERROR(__xludf.DUMMYFUNCTION("""COMPUTED_VALUE"""),"1AR0JbTGvV_W-vRVG60LJNAab-sFlfdBFwEtZpVYEMPo")</f>
        <v>1AR0JbTGvV_W-vRVG60LJNAab-sFlfdBFwEtZpVYEMPo</v>
      </c>
    </row>
    <row r="753" ht="15.75" customHeight="1">
      <c r="A753" t="str">
        <f>IFERROR(__xludf.DUMMYFUNCTION("""COMPUTED_VALUE"""),"RTPNL")</f>
        <v>RTPNL</v>
      </c>
      <c r="B753" t="str">
        <f>IFERROR(__xludf.DUMMYFUNCTION("""COMPUTED_VALUE"""),"ChangeWidgetView")</f>
        <v>ChangeWidgetView</v>
      </c>
      <c r="C753" t="str">
        <f>IFERROR(__xludf.DUMMYFUNCTION("""COMPUTED_VALUE"""),"1PKf_qqqp1j7_MkyduQmNqqaKdDFTgjuq1ApwaDumMj0")</f>
        <v>1PKf_qqqp1j7_MkyduQmNqqaKdDFTgjuq1ApwaDumMj0</v>
      </c>
    </row>
    <row r="754" ht="15.75" customHeight="1">
      <c r="A754" t="str">
        <f>IFERROR(__xludf.DUMMYFUNCTION("""COMPUTED_VALUE"""),"NavLock")</f>
        <v>NavLock</v>
      </c>
      <c r="B754" t="str">
        <f>IFERROR(__xludf.DUMMYFUNCTION("""COMPUTED_VALUE"""),"VerifyNavLockPopup")</f>
        <v>VerifyNavLockPopup</v>
      </c>
      <c r="C754" t="str">
        <f>IFERROR(__xludf.DUMMYFUNCTION("""COMPUTED_VALUE"""),"1BZhGha4iLlieCbbyTcPylU2maLzwgdHAfTO198z-aX8")</f>
        <v>1BZhGha4iLlieCbbyTcPylU2maLzwgdHAfTO198z-aX8</v>
      </c>
    </row>
    <row r="755" ht="15.75" customHeight="1">
      <c r="A755" t="str">
        <f>IFERROR(__xludf.DUMMYFUNCTION("""COMPUTED_VALUE"""),"NavLock")</f>
        <v>NavLock</v>
      </c>
      <c r="B755" t="str">
        <f>IFERROR(__xludf.DUMMYFUNCTION("""COMPUTED_VALUE"""),"VerifyRowsNavLock")</f>
        <v>VerifyRowsNavLock</v>
      </c>
      <c r="C755" t="str">
        <f>IFERROR(__xludf.DUMMYFUNCTION("""COMPUTED_VALUE"""),"12Dl3x2X_C-RCm3K5RkyuRq_t8lxeYk98IQBRrsF9WLU")</f>
        <v>12Dl3x2X_C-RCm3K5RkyuRq_t8lxeYk98IQBRrsF9WLU</v>
      </c>
    </row>
    <row r="756" ht="15.75" customHeight="1">
      <c r="A756" t="str">
        <f>IFERROR(__xludf.DUMMYFUNCTION("""COMPUTED_VALUE"""),"Blotter")</f>
        <v>Blotter</v>
      </c>
      <c r="B756" t="str">
        <f>IFERROR(__xludf.DUMMYFUNCTION("""COMPUTED_VALUE"""),"CustomTabActions")</f>
        <v>CustomTabActions</v>
      </c>
      <c r="C756" t="str">
        <f>IFERROR(__xludf.DUMMYFUNCTION("""COMPUTED_VALUE"""),"163hnSm9KTeABqdRxsfyyCsrxGVcrGd0nCGT4WqLsJ9Q")</f>
        <v>163hnSm9KTeABqdRxsfyyCsrxGVcrGd0nCGT4WqLsJ9Q</v>
      </c>
    </row>
    <row r="757" ht="15.75" customHeight="1">
      <c r="A757" t="str">
        <f>IFERROR(__xludf.DUMMYFUNCTION("""COMPUTED_VALUE"""),"Blotter")</f>
        <v>Blotter</v>
      </c>
      <c r="B757" t="str">
        <f>IFERROR(__xludf.DUMMYFUNCTION("""COMPUTED_VALUE"""),"VerifyAllocationWindow")</f>
        <v>VerifyAllocationWindow</v>
      </c>
      <c r="C757" t="str">
        <f>IFERROR(__xludf.DUMMYFUNCTION("""COMPUTED_VALUE"""),"1DUwxSUq_47EK60XmK3LOdCXa1fkWqWJE9bLuGS3ccv4")</f>
        <v>1DUwxSUq_47EK60XmK3LOdCXa1fkWqWJE9bLuGS3ccv4</v>
      </c>
    </row>
    <row r="758" ht="15.75" customHeight="1">
      <c r="A758" t="str">
        <f>IFERROR(__xludf.DUMMYFUNCTION("""COMPUTED_VALUE"""),"OpenFin")</f>
        <v>OpenFin</v>
      </c>
      <c r="B758" t="str">
        <f>IFERROR(__xludf.DUMMYFUNCTION("""COMPUTED_VALUE"""),"SavePageView")</f>
        <v>SavePageView</v>
      </c>
      <c r="C758" t="str">
        <f>IFERROR(__xludf.DUMMYFUNCTION("""COMPUTED_VALUE"""),"1wFFzsxWBm8VT5o4pz2dFosHS72pEaQuVZFVkiVeZE9w")</f>
        <v>1wFFzsxWBm8VT5o4pz2dFosHS72pEaQuVZFVkiVeZE9w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IFERROR(__xludf.DUMMYFUNCTION("""COMPUTED_VALUE"""),"ActionOnPageFromSearch")</f>
        <v>ActionOnPageFromSearch</v>
      </c>
      <c r="C759" t="str">
        <f>IFERROR(__xludf.DUMMYFUNCTION("""COMPUTED_VALUE"""),"1jCpG4ETPp9dfvh-Ymdex8Mb3Taz9sYrOR-1uBd5Ceyc")</f>
        <v>1jCpG4ETPp9dfvh-Ymdex8Mb3Taz9sYrOR-1uBd5Ceyc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IFERROR(__xludf.DUMMYFUNCTION("""COMPUTED_VALUE"""),"ChangeThemeOnModule")</f>
        <v>ChangeThemeOnModule</v>
      </c>
      <c r="C760" t="str">
        <f>IFERROR(__xludf.DUMMYFUNCTION("""COMPUTED_VALUE"""),"1KKiVG313VPgZZadw3-GZ4Cbt7wTwEPpmyGsp3MHFp9Q")</f>
        <v>1KKiVG313VPgZZadw3-GZ4Cbt7wTwEPpmyGsp3MHFp9Q</v>
      </c>
    </row>
    <row r="761" ht="15.75" customHeight="1">
      <c r="A761" t="str">
        <f>IFERROR(__xludf.DUMMYFUNCTION("""COMPUTED_VALUE"""),"PranaClient")</f>
        <v>PranaClient</v>
      </c>
      <c r="B761" t="str">
        <f>IFERROR(__xludf.DUMMYFUNCTION("""COMPUTED_VALUE"""),"MoveFile")</f>
        <v>MoveFile</v>
      </c>
      <c r="C761" t="str">
        <f>IFERROR(__xludf.DUMMYFUNCTION("""COMPUTED_VALUE"""),"1BBCKN3cBzJgvZqLoHeAi1YmxeNaesC7YrayWsYVuQeU")</f>
        <v>1BBCKN3cBzJgvZqLoHeAi1YmxeNaesC7YrayWsYVuQeU</v>
      </c>
    </row>
    <row r="762" ht="15.75" customHeight="1">
      <c r="A762" t="str">
        <f>IFERROR(__xludf.DUMMYFUNCTION("""COMPUTED_VALUE"""),"OpenFin")</f>
        <v>OpenFin</v>
      </c>
      <c r="B762" t="str">
        <f>IFERROR(__xludf.DUMMYFUNCTION("""COMPUTED_VALUE"""),"CloseService")</f>
        <v>CloseService</v>
      </c>
      <c r="C762" t="str">
        <f>IFERROR(__xludf.DUMMYFUNCTION("""COMPUTED_VALUE"""),"1YXPx62dgEZ9yV5qKkFLgWipyvziAW1SJVEqhiNHEONM")</f>
        <v>1YXPx62dgEZ9yV5qKkFLgWipyvziAW1SJVEqhiNHEONM</v>
      </c>
    </row>
    <row r="763" ht="15.75" customHeight="1">
      <c r="A763" t="str">
        <f>IFERROR(__xludf.DUMMYFUNCTION("""COMPUTED_VALUE"""),"OpenFin")</f>
        <v>OpenFin</v>
      </c>
      <c r="B763" t="str">
        <f>IFERROR(__xludf.DUMMYFUNCTION("""COMPUTED_VALUE"""),"LogOutSamsara")</f>
        <v>LogOutSamsara</v>
      </c>
      <c r="C763" t="str">
        <f>IFERROR(__xludf.DUMMYFUNCTION("""COMPUTED_VALUE"""),"1AHqtQRX4cdwOByK5Ip_T2FJlZFaU23rmiDk0afFhfaY")</f>
        <v>1AHqtQRX4cdwOByK5Ip_T2FJlZFaU23rmiDk0afFhfaY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IFERROR(__xludf.DUMMYFUNCTION("""COMPUTED_VALUE"""),"TradeQTT")</f>
        <v>TradeQTT</v>
      </c>
      <c r="C764" t="str">
        <f>IFERROR(__xludf.DUMMYFUNCTION("""COMPUTED_VALUE"""),"1-5lKqkX57JBaCsmy3TeMGKEVsjNdXnqCttYvBHsfJ14")</f>
        <v>1-5lKqkX57JBaCsmy3TeMGKEVsjNdXnqCttYvBHsfJ14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IFERROR(__xludf.DUMMYFUNCTION("""COMPUTED_VALUE"""),"VerifyCustomAllocationSecondUI")</f>
        <v>VerifyCustomAllocationSecondUI</v>
      </c>
      <c r="C765" t="str">
        <f>IFERROR(__xludf.DUMMYFUNCTION("""COMPUTED_VALUE"""),"1AL5eBNcstEo3uS52PLH2Duzff-16gDD2eEJx_augMtM")</f>
        <v>1AL5eBNcstEo3uS52PLH2Duzff-16gDD2eEJx_augMtM</v>
      </c>
    </row>
    <row r="766" ht="15.75" customHeight="1">
      <c r="A766" t="str">
        <f>IFERROR(__xludf.DUMMYFUNCTION("""COMPUTED_VALUE"""),"Blotter")</f>
        <v>Blotter</v>
      </c>
      <c r="B766" t="str">
        <f>IFERROR(__xludf.DUMMYFUNCTION("""COMPUTED_VALUE"""),"VerifyViewAllocationOrder")</f>
        <v>VerifyViewAllocationOrder</v>
      </c>
      <c r="C766" t="str">
        <f>IFERROR(__xludf.DUMMYFUNCTION("""COMPUTED_VALUE"""),"1I3aVj-PRyRug4M5EDTw8espL6CeDhXPCYr5qa2gbwZk")</f>
        <v>1I3aVj-PRyRug4M5EDTw8espL6CeDhXPCYr5qa2gbwZk</v>
      </c>
    </row>
    <row r="767" ht="15.75" customHeight="1">
      <c r="A767" t="str">
        <f>IFERROR(__xludf.DUMMYFUNCTION("""COMPUTED_VALUE"""),"QTT")</f>
        <v>QTT</v>
      </c>
      <c r="B767" t="str">
        <f>IFERROR(__xludf.DUMMYFUNCTION("""COMPUTED_VALUE"""),"UseOrVerifyHotKeys")</f>
        <v>UseOrVerifyHotKeys</v>
      </c>
      <c r="C767" t="str">
        <f>IFERROR(__xludf.DUMMYFUNCTION("""COMPUTED_VALUE"""),"1ajjcbjqpEui4y62RzfJ-6ARI0W8GAhrdUmWCOsG_ovE")</f>
        <v>1ajjcbjqpEui4y62RzfJ-6ARI0W8GAhrdUmWCOsG_ovE</v>
      </c>
    </row>
    <row r="768" ht="15.75" customHeight="1">
      <c r="A768" t="str">
        <f>IFERROR(__xludf.DUMMYFUNCTION("""COMPUTED_VALUE"""),"QTT")</f>
        <v>QTT</v>
      </c>
      <c r="B768" t="str">
        <f>IFERROR(__xludf.DUMMYFUNCTION("""COMPUTED_VALUE"""),"BookmarkOrVerifyHotKeyinHamberg")</f>
        <v>BookmarkOrVerifyHotKeyinHamberg</v>
      </c>
      <c r="C768" t="str">
        <f>IFERROR(__xludf.DUMMYFUNCTION("""COMPUTED_VALUE"""),"1fqeJETrWs5bkb8u-VXsfp35T-5kIzPjT669RuSWt6gg")</f>
        <v>1fqeJETrWs5bkb8u-VXsfp35T-5kIzPjT669RuSWt6gg</v>
      </c>
    </row>
    <row r="769" ht="15.75" customHeight="1">
      <c r="A769" t="str">
        <f>IFERROR(__xludf.DUMMYFUNCTION("""COMPUTED_VALUE"""),"TradingTicket")</f>
        <v>TradingTicket</v>
      </c>
      <c r="B769" t="str">
        <f>IFERROR(__xludf.DUMMYFUNCTION("""COMPUTED_VALUE"""),"ShortLocateFromTT")</f>
        <v>ShortLocateFromTT</v>
      </c>
      <c r="C769" t="str">
        <f>IFERROR(__xludf.DUMMYFUNCTION("""COMPUTED_VALUE"""),"1saPgjE09_MBiqASRTSQboRMwRdUlFv6nzTocBZeFm-I")</f>
        <v>1saPgjE09_MBiqASRTSQboRMwRdUlFv6nzTocBZeFm-I</v>
      </c>
    </row>
    <row r="770" ht="15.75" customHeight="1">
      <c r="A770" t="str">
        <f>IFERROR(__xludf.DUMMYFUNCTION("""COMPUTED_VALUE"""),"TradingTicket")</f>
        <v>TradingTicket</v>
      </c>
      <c r="B770" t="str">
        <f>IFERROR(__xludf.DUMMYFUNCTION("""COMPUTED_VALUE"""),"VerifyShortLocateWindowOnTT")</f>
        <v>VerifyShortLocateWindowOnTT</v>
      </c>
      <c r="C770" t="str">
        <f>IFERROR(__xludf.DUMMYFUNCTION("""COMPUTED_VALUE"""),"1ljyVPm21FKmOvEmG0-JvPMTBuyG89a_7EGFToCoHgI4")</f>
        <v>1ljyVPm21FKmOvEmG0-JvPMTBuyG89a_7EGFToCoHgI4</v>
      </c>
    </row>
    <row r="771" ht="15.75" customHeight="1">
      <c r="A771" t="str">
        <f>IFERROR(__xludf.DUMMYFUNCTION("""COMPUTED_VALUE"""),"TradingTicket")</f>
        <v>TradingTicket</v>
      </c>
      <c r="B771" t="str">
        <f>IFERROR(__xludf.DUMMYFUNCTION("""COMPUTED_VALUE"""),"AlgoUIOperations")</f>
        <v>AlgoUIOperations</v>
      </c>
      <c r="C771" t="str">
        <f>IFERROR(__xludf.DUMMYFUNCTION("""COMPUTED_VALUE"""),"1uln1YXeeB893lpbmhI194peJcUUj4ODFhdM1AYcTVJo")</f>
        <v>1uln1YXeeB893lpbmhI194peJcUUj4ODFhdM1AYcTVJo</v>
      </c>
    </row>
    <row r="772" ht="15.75" customHeight="1">
      <c r="A772" t="str">
        <f>IFERROR(__xludf.DUMMYFUNCTION("""COMPUTED_VALUE"""),"TradingTicket")</f>
        <v>TradingTicket</v>
      </c>
      <c r="B772" t="str">
        <f>IFERROR(__xludf.DUMMYFUNCTION("""COMPUTED_VALUE"""),"UpdateShortLocateFromTT")</f>
        <v>UpdateShortLocateFromTT</v>
      </c>
      <c r="C772" t="str">
        <f>IFERROR(__xludf.DUMMYFUNCTION("""COMPUTED_VALUE"""),"13hfddjE8Z-71LhiEXSLwqUDRw6EbnSTKZU2vgV_dwUA")</f>
        <v>13hfddjE8Z-71LhiEXSLwqUDRw6EbnSTKZU2vgV_dwUA</v>
      </c>
    </row>
    <row r="773" ht="15.75" customHeight="1">
      <c r="A773" t="str">
        <f>IFERROR(__xludf.DUMMYFUNCTION("""COMPUTED_VALUE"""),"RTPNL")</f>
        <v>RTPNL</v>
      </c>
      <c r="B773" t="str">
        <f>IFERROR(__xludf.DUMMYFUNCTION("""COMPUTED_VALUE"""),"RenameTabs")</f>
        <v>RenameTabs</v>
      </c>
      <c r="C773" t="str">
        <f>IFERROR(__xludf.DUMMYFUNCTION("""COMPUTED_VALUE"""),"1K7LcioEl1sTwLRhqHc9go_7jNmUIRZNy9zBQLMgtBw8")</f>
        <v>1K7LcioEl1sTwLRhqHc9go_7jNmUIRZNy9zBQLMgtBw8</v>
      </c>
    </row>
    <row r="774" ht="15.75" customHeight="1">
      <c r="A774" t="str">
        <f>IFERROR(__xludf.DUMMYFUNCTION("""COMPUTED_VALUE"""),"RTPNL")</f>
        <v>RTPNL</v>
      </c>
      <c r="B774" t="str">
        <f>IFERROR(__xludf.DUMMYFUNCTION("""COMPUTED_VALUE"""),"ResizeEnsure")</f>
        <v>ResizeEnsure</v>
      </c>
      <c r="C774" t="str">
        <f>IFERROR(__xludf.DUMMYFUNCTION("""COMPUTED_VALUE"""),"1-peVyQ_nIwd8owwmtDtNW-yx12KQx2nHeYee6duB46M")</f>
        <v>1-peVyQ_nIwd8owwmtDtNW-yx12KQx2nHeYee6duB46M</v>
      </c>
    </row>
    <row r="775" ht="15.75" customHeight="1">
      <c r="A775" t="str">
        <f>IFERROR(__xludf.DUMMYFUNCTION("""COMPUTED_VALUE"""),"Admin")</f>
        <v>Admin</v>
      </c>
      <c r="B775" t="str">
        <f>IFERROR(__xludf.DUMMYFUNCTION("""COMPUTED_VALUE"""),"ClearRTPNLtabs")</f>
        <v>ClearRTPNLtabs</v>
      </c>
      <c r="C775" t="str">
        <f>IFERROR(__xludf.DUMMYFUNCTION("""COMPUTED_VALUE"""),"Undefined")</f>
        <v>Undefined</v>
      </c>
    </row>
    <row r="776" ht="15.75" customHeight="1">
      <c r="A776" t="str">
        <f>IFERROR(__xludf.DUMMYFUNCTION("""COMPUTED_VALUE"""),"RTPNL")</f>
        <v>RTPNL</v>
      </c>
      <c r="B776" t="str">
        <f>IFERROR(__xludf.DUMMYFUNCTION("""COMPUTED_VALUE"""),"AddTabRTPNL")</f>
        <v>AddTabRTPNL</v>
      </c>
      <c r="C776" t="str">
        <f>IFERROR(__xludf.DUMMYFUNCTION("""COMPUTED_VALUE"""),"18kG7vS-CfSLW8Q-ho416lyPlP36XJPPHA0cRbCk3vjU")</f>
        <v>18kG7vS-CfSLW8Q-ho416lyPlP36XJPPHA0cRbCk3vjU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IFERROR(__xludf.DUMMYFUNCTION("""COMPUTED_VALUE"""),"ResizeEnsureBlotter")</f>
        <v>ResizeEnsureBlotter</v>
      </c>
      <c r="C777" t="str">
        <f>IFERROR(__xludf.DUMMYFUNCTION("""COMPUTED_VALUE"""),"1Vu6zEtojqPkTWiW-oX7BwwpFj9Oi3-B6-sRrEsjiW0Y")</f>
        <v>1Vu6zEtojqPkTWiW-oX7BwwpFj9Oi3-B6-sRrEsjiW0Y</v>
      </c>
    </row>
    <row r="778" ht="15.75" customHeight="1">
      <c r="A778" t="str">
        <f>IFERROR(__xludf.DUMMYFUNCTION("""COMPUTED_VALUE"""),"Admin")</f>
        <v>Admin</v>
      </c>
      <c r="B778" t="str">
        <f>IFERROR(__xludf.DUMMYFUNCTION("""COMPUTED_VALUE"""),"ConfigUpdater")</f>
        <v>ConfigUpdater</v>
      </c>
      <c r="C778" t="str">
        <f>IFERROR(__xludf.DUMMYFUNCTION("""COMPUTED_VALUE"""),"19IDTIIOkGl6qufGANtXkELRoXFIlWB3icM0G4IJ5mg4")</f>
        <v>19IDTIIOkGl6qufGANtXkELRoXFIlWB3icM0G4IJ5mg4</v>
      </c>
    </row>
    <row r="779" ht="15.75" customHeight="1">
      <c r="A779" t="str">
        <f>IFERROR(__xludf.DUMMYFUNCTION("""COMPUTED_VALUE"""),"PortfolioManagement")</f>
        <v>PortfolioManagement</v>
      </c>
      <c r="B779" t="str">
        <f>IFERROR(__xludf.DUMMYFUNCTION("""COMPUTED_VALUE"""),"SelectTradeOnPM")</f>
        <v>SelectTradeOnPM</v>
      </c>
      <c r="C779" t="str">
        <f>IFERROR(__xludf.DUMMYFUNCTION("""COMPUTED_VALUE"""),"1_tBJjps2mULQyHra_AnC6BBvPbOko3FAY-kc11l7eTg")</f>
        <v>1_tBJjps2mULQyHra_AnC6BBvPbOko3FAY-kc11l7eTg</v>
      </c>
    </row>
    <row r="780" ht="15.75" customHeight="1">
      <c r="A780" t="str">
        <f>IFERROR(__xludf.DUMMYFUNCTION("""COMPUTED_VALUE"""),"TradingTicket")</f>
        <v>TradingTicket</v>
      </c>
      <c r="B780" t="str">
        <f>IFERROR(__xludf.DUMMYFUNCTION("""COMPUTED_VALUE"""),"ResetTT")</f>
        <v>ResetTT</v>
      </c>
      <c r="C780" t="str">
        <f>IFERROR(__xludf.DUMMYFUNCTION("""COMPUTED_VALUE"""),"Undefined")</f>
        <v>Undefined</v>
      </c>
    </row>
    <row r="781" ht="15.75" customHeight="1">
      <c r="A781" t="str">
        <f>IFERROR(__xludf.DUMMYFUNCTION("""COMPUTED_VALUE"""),"Unknown")</f>
        <v>Unknown</v>
      </c>
      <c r="B781" t="str">
        <f>IFERROR(__xludf.DUMMYFUNCTION("""COMPUTED_VALUE"""),"RightClickOperations")</f>
        <v>RightClickOperations</v>
      </c>
      <c r="C781" t="str">
        <f>IFERROR(__xludf.DUMMYFUNCTION("""COMPUTED_VALUE"""),"17jhCujI-0V0U3n5lzlkc-azSuwCa7rf-4KwcSInm9ts")</f>
        <v>17jhCujI-0V0U3n5lzlkc-azSuwCa7rf-4KwcSInm9ts</v>
      </c>
    </row>
    <row r="782" ht="15.75" customHeight="1">
      <c r="A782" t="str">
        <f>IFERROR(__xludf.DUMMYFUNCTION("""COMPUTED_VALUE"""),"Unknown")</f>
        <v>Unknown</v>
      </c>
      <c r="B782" t="str">
        <f>IFERROR(__xludf.DUMMYFUNCTION("""COMPUTED_VALUE"""),"RightClickAndClickOperations")</f>
        <v>RightClickAndClickOperations</v>
      </c>
      <c r="C782" t="str">
        <f>IFERROR(__xludf.DUMMYFUNCTION("""COMPUTED_VALUE"""),"1e9jtl9r57SkbYm3S4wbHtvkeG2KExZEiFSIkkRSaq-8")</f>
        <v>1e9jtl9r57SkbYm3S4wbHtvkeG2KExZEiFSIkkRSaq-8</v>
      </c>
    </row>
    <row r="783" ht="15.75" customHeight="1">
      <c r="A783" t="str">
        <f>IFERROR(__xludf.DUMMYFUNCTION("""COMPUTED_VALUE"""),"Compliance")</f>
        <v>Compliance</v>
      </c>
      <c r="B783" t="str">
        <f>IFERROR(__xludf.DUMMYFUNCTION("""COMPUTED_VALUE"""),"EnableDisableRule")</f>
        <v>EnableDisableRule</v>
      </c>
      <c r="C783" t="str">
        <f>IFERROR(__xludf.DUMMYFUNCTION("""COMPUTED_VALUE"""),"1ldCRZpDrvOW-37YQP92bnj-oqRl2rwy9OIebmA5GKXE")</f>
        <v>1ldCRZpDrvOW-37YQP92bnj-oqRl2rwy9OIebmA5GKXE</v>
      </c>
    </row>
    <row r="784" ht="15.75" customHeight="1">
      <c r="A784" t="str">
        <f>IFERROR(__xludf.DUMMYFUNCTION("""COMPUTED_VALUE"""),"Blotter")</f>
        <v>Blotter</v>
      </c>
      <c r="B784" t="str">
        <f>IFERROR(__xludf.DUMMYFUNCTION("""COMPUTED_VALUE"""),"BlotterToolBarAction")</f>
        <v>BlotterToolBarAction</v>
      </c>
      <c r="C784" t="str">
        <f>IFERROR(__xludf.DUMMYFUNCTION("""COMPUTED_VALUE"""),"1bI1kIBxH6qy8zi5tx46rN3vNgbmxbdwtAo1inrXDALs")</f>
        <v>1bI1kIBxH6qy8zi5tx46rN3vNgbmxbdwtAo1inrXDALs</v>
      </c>
    </row>
    <row r="785" ht="15.75" customHeight="1">
      <c r="A785" t="str">
        <f>IFERROR(__xludf.DUMMYFUNCTION("""COMPUTED_VALUE"""),"RTPNL")</f>
        <v>RTPNL</v>
      </c>
      <c r="B785" t="str">
        <f>IFERROR(__xludf.DUMMYFUNCTION("""COMPUTED_VALUE"""),"MergeWindows")</f>
        <v>MergeWindows</v>
      </c>
      <c r="C785" t="str">
        <f>IFERROR(__xludf.DUMMYFUNCTION("""COMPUTED_VALUE"""),"1pZKbazcV0BrTnrwUJDzFvhO3FsCsMSK7fYRZIKRCECk")</f>
        <v>1pZKbazcV0BrTnrwUJDzFvhO3FsCsMSK7fYRZIKRCECk</v>
      </c>
    </row>
    <row r="786" ht="15.75" customHeight="1">
      <c r="A786" t="str">
        <f>IFERROR(__xludf.DUMMYFUNCTION("""COMPUTED_VALUE"""),"PortfolioManagement")</f>
        <v>PortfolioManagement</v>
      </c>
      <c r="B786" t="str">
        <f>IFERROR(__xludf.DUMMYFUNCTION("""COMPUTED_VALUE"""),"OperationsonPM")</f>
        <v>OperationsonPM</v>
      </c>
      <c r="C786" t="str">
        <f>IFERROR(__xludf.DUMMYFUNCTION("""COMPUTED_VALUE"""),"13hKVogBv66c752V1EGUyqXp4dGESQOZLmMqIB56fbAs")</f>
        <v>13hKVogBv66c752V1EGUyqXp4dGESQOZLmMqIB56fbAs</v>
      </c>
    </row>
    <row r="787" ht="15.75" customHeight="1">
      <c r="A787" t="str">
        <f>IFERROR(__xludf.DUMMYFUNCTION("""COMPUTED_VALUE"""),"TradingTicket")</f>
        <v>TradingTicket</v>
      </c>
      <c r="B787" t="str">
        <f>IFERROR(__xludf.DUMMYFUNCTION("""COMPUTED_VALUE"""),"ResizeEnsureTT")</f>
        <v>ResizeEnsureTT</v>
      </c>
      <c r="C787" t="str">
        <f>IFERROR(__xludf.DUMMYFUNCTION("""COMPUTED_VALUE"""),"1X1m60ND44-Chxr6N4sH6Fqbh_pqzIH8Cfy3c89u2_lQ")</f>
        <v>1X1m60ND44-Chxr6N4sH6Fqbh_pqzIH8Cfy3c89u2_lQ</v>
      </c>
    </row>
    <row r="788" ht="15.75" customHeight="1">
      <c r="A788" t="str">
        <f>IFERROR(__xludf.DUMMYFUNCTION("""COMPUTED_VALUE"""),"Admin")</f>
        <v>Admin</v>
      </c>
      <c r="B788" t="str">
        <f>IFERROR(__xludf.DUMMYFUNCTION("""COMPUTED_VALUE"""),"AccountPermission")</f>
        <v>AccountPermission</v>
      </c>
      <c r="C788" t="str">
        <f>IFERROR(__xludf.DUMMYFUNCTION("""COMPUTED_VALUE"""),"1UuUydT-ajZCwnqdhLBG28JhRRgR6skh7CgWMlr5JFEw")</f>
        <v>1UuUydT-ajZCwnqdhLBG28JhRRgR6skh7CgWMlr5JFEw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IFERROR(__xludf.DUMMYFUNCTION("""COMPUTED_VALUE"""),"CreateOrViewModelPortfolio")</f>
        <v>CreateOrViewModelPortfolio</v>
      </c>
      <c r="C789" t="str">
        <f>IFERROR(__xludf.DUMMYFUNCTION("""COMPUTED_VALUE"""),"1vejknW_QiO0r5pMzMjOGCCsgwLVes4a3Ubx1l-0Mg1k")</f>
        <v>1vejknW_QiO0r5pMzMjOGCCsgwLVes4a3Ubx1l-0Mg1k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IFERROR(__xludf.DUMMYFUNCTION("""COMPUTED_VALUE"""),"VerifyModelPortfolio")</f>
        <v>VerifyModelPortfolio</v>
      </c>
      <c r="C790" t="str">
        <f>IFERROR(__xludf.DUMMYFUNCTION("""COMPUTED_VALUE"""),"1Tza5cx7NJ2J8vr_f6DC-KPhnXCzf7l1m0EERc6z_T-U")</f>
        <v>1Tza5cx7NJ2J8vr_f6DC-KPhnXCzf7l1m0EERc6z_T-U</v>
      </c>
    </row>
    <row r="791" ht="15.75" customHeight="1">
      <c r="A791" t="str">
        <f>IFERROR(__xludf.DUMMYFUNCTION("""COMPUTED_VALUE"""),"Allocation")</f>
        <v>Allocation</v>
      </c>
      <c r="B791" t="str">
        <f>IFERROR(__xludf.DUMMYFUNCTION("""COMPUTED_VALUE"""),"ReviewExistingPositions")</f>
        <v>ReviewExistingPositions</v>
      </c>
      <c r="C791" t="str">
        <f>IFERROR(__xludf.DUMMYFUNCTION("""COMPUTED_VALUE"""),"1KwYoTdpeW6LDhzloVKHp5buZqc8IjXEShjwnUx45Ql8")</f>
        <v>1KwYoTdpeW6LDhzloVKHp5buZqc8IjXEShjwnUx45Ql8</v>
      </c>
    </row>
    <row r="792" ht="15.75" customHeight="1">
      <c r="A792" t="str">
        <f>IFERROR(__xludf.DUMMYFUNCTION("""COMPUTED_VALUE"""),"PTT")</f>
        <v>PTT</v>
      </c>
      <c r="B792" t="str">
        <f>IFERROR(__xludf.DUMMYFUNCTION("""COMPUTED_VALUE"""),"OperationsonPTT")</f>
        <v>OperationsonPTT</v>
      </c>
      <c r="C792" t="str">
        <f>IFERROR(__xludf.DUMMYFUNCTION("""COMPUTED_VALUE"""),"1J40rCXEDilLEF_x0Wkeeg1lwGfejucV1VSY9UcyeSlw")</f>
        <v>1J40rCXEDilLEF_x0Wkeeg1lwGfejucV1VSY9UcyeSlw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IFERROR(__xludf.DUMMYFUNCTION("""COMPUTED_VALUE"""),"ImportOnRB")</f>
        <v>ImportOnRB</v>
      </c>
      <c r="C793" t="str">
        <f>IFERROR(__xludf.DUMMYFUNCTION("""COMPUTED_VALUE"""),"1EntkiGIsU6aSZPpMKhixdhGFyyVCmlI1jMgvbCFq3oM")</f>
        <v>1EntkiGIsU6aSZPpMKhixdhGFyyVCmlI1jMgvbCFq3oM</v>
      </c>
    </row>
    <row r="794" ht="15.75" customHeight="1">
      <c r="A794" t="str">
        <f>IFERROR(__xludf.DUMMYFUNCTION("""COMPUTED_VALUE"""),"Rebalancer")</f>
        <v>Rebalancer</v>
      </c>
      <c r="B794" t="str">
        <f>IFERROR(__xludf.DUMMYFUNCTION("""COMPUTED_VALUE"""),"VerifyImportGridRBForInvalidSec")</f>
        <v>VerifyImportGridRBForInvalidSec</v>
      </c>
      <c r="C794" t="str">
        <f>IFERROR(__xludf.DUMMYFUNCTION("""COMPUTED_VALUE"""),"13tlfzcOYlxn2sOASC-JNdqZmR9A1Cesa2Ah5348pLN8")</f>
        <v>13tlfzcOYlxn2sOASC-JNdqZmR9A1Cesa2Ah5348pLN8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IFERROR(__xludf.DUMMYFUNCTION("""COMPUTED_VALUE"""),"VerifyImportGridRBForValidSec")</f>
        <v>VerifyImportGridRBForValidSec</v>
      </c>
      <c r="C795" t="str">
        <f>IFERROR(__xludf.DUMMYFUNCTION("""COMPUTED_VALUE"""),"1KiLapuRaYEZfokVV1TZf8gTWNe8d9PblbpJsN983CaI")</f>
        <v>1KiLapuRaYEZfokVV1TZf8gTWNe8d9PblbpJsN983CaI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IFERROR(__xludf.DUMMYFUNCTION("""COMPUTED_VALUE"""),"Import")</f>
        <v>Import</v>
      </c>
      <c r="B797" t="str">
        <f>IFERROR(__xludf.DUMMYFUNCTION("""COMPUTED_VALUE"""),"ActionOnImport")</f>
        <v>ActionOnImport</v>
      </c>
      <c r="C797" t="str">
        <f>IFERROR(__xludf.DUMMYFUNCTION("""COMPUTED_VALUE"""),"1YM2boQt7BrzysPpsUbIqt27cfA6-btDPEZntG5NhBUc")</f>
        <v>1YM2boQt7BrzysPpsUbIqt27cfA6-btDPEZntG5NhBUc</v>
      </c>
    </row>
    <row r="798" ht="15.75" customHeight="1">
      <c r="A798" t="str">
        <f>IFERROR(__xludf.DUMMYFUNCTION("""COMPUTED_VALUE"""),"Import")</f>
        <v>Import</v>
      </c>
      <c r="B798" t="str">
        <f>IFERROR(__xludf.DUMMYFUNCTION("""COMPUTED_VALUE"""),"ValidateImportPositions")</f>
        <v>ValidateImportPositions</v>
      </c>
      <c r="C798" t="str">
        <f>IFERROR(__xludf.DUMMYFUNCTION("""COMPUTED_VALUE"""),"1ApMxUfr4smtwBJX_cppynzY1M99QXnDpTRjevjraQtA")</f>
        <v>1ApMxUfr4smtwBJX_cppynzY1M99QXnDpTRjevjraQtA</v>
      </c>
    </row>
    <row r="799" ht="15.75" customHeight="1">
      <c r="A799" t="str">
        <f>IFERROR(__xludf.DUMMYFUNCTION("""COMPUTED_VALUE"""),"DailyValuation")</f>
        <v>DailyValuation</v>
      </c>
      <c r="B799" t="str">
        <f>IFERROR(__xludf.DUMMYFUNCTION("""COMPUTED_VALUE"""),"UpdateMPAndFC")</f>
        <v>UpdateMPAndFC</v>
      </c>
      <c r="C799" t="str">
        <f>IFERROR(__xludf.DUMMYFUNCTION("""COMPUTED_VALUE"""),"1UCNfZng94LprScqCmSKImRjCwiKlLQU_e1kY1tum91I")</f>
        <v>1UCNfZng94LprScqCmSKImRjCwiKlLQU_e1kY1tum91I</v>
      </c>
    </row>
    <row r="800" ht="15.75" customHeight="1">
      <c r="A800" t="str">
        <f>IFERROR(__xludf.DUMMYFUNCTION("""COMPUTED_VALUE"""),"Rebalancer")</f>
        <v>Rebalancer</v>
      </c>
      <c r="B800" t="str">
        <f>IFERROR(__xludf.DUMMYFUNCTION("""COMPUTED_VALUE"""),"ActionOnTradeBuySellListView")</f>
        <v>ActionOnTradeBuySellListView</v>
      </c>
      <c r="C800" t="str">
        <f>IFERROR(__xludf.DUMMYFUNCTION("""COMPUTED_VALUE"""),"1xeJEpkdxtbik3vPUTkxALkXsnL-Vl5dF07PBUoheM3k")</f>
        <v>1xeJEpkdxtbik3vPUTkxALkXsnL-Vl5dF07PBUoheM3k</v>
      </c>
    </row>
    <row r="801" ht="15.75" customHeight="1">
      <c r="A801" t="str">
        <f>IFERROR(__xludf.DUMMYFUNCTION("""COMPUTED_VALUE"""),"Watchlist")</f>
        <v>Watchlist</v>
      </c>
      <c r="B801" t="str">
        <f>IFERROR(__xludf.DUMMYFUNCTION("""COMPUTED_VALUE"""),"SelectTradeWatchlist")</f>
        <v>SelectTradeWatchlist</v>
      </c>
      <c r="C801" t="str">
        <f>IFERROR(__xludf.DUMMYFUNCTION("""COMPUTED_VALUE"""),"1Wa9Q7PE7i3bZr_mTOkYG22qcEixSMbydeuL2lnyNfB0")</f>
        <v>1Wa9Q7PE7i3bZr_mTOkYG22qcEixSMbydeuL2lnyNfB0</v>
      </c>
    </row>
    <row r="802" ht="15.75" customHeight="1">
      <c r="A802" t="str">
        <f>IFERROR(__xludf.DUMMYFUNCTION("""COMPUTED_VALUE"""),"Watchlist")</f>
        <v>Watchlist</v>
      </c>
      <c r="B802" t="str">
        <f>IFERROR(__xludf.DUMMYFUNCTION("""COMPUTED_VALUE"""),"ActionOnWatchlist")</f>
        <v>ActionOnWatchlist</v>
      </c>
      <c r="C802" t="str">
        <f>IFERROR(__xludf.DUMMYFUNCTION("""COMPUTED_VALUE"""),"1Ex0VPpmT3E0nbSBahi-24Pfuba4HTTVDqcm5UWIEUUw")</f>
        <v>1Ex0VPpmT3E0nbSBahi-24Pfuba4HTTVDqcm5UWIEUUw</v>
      </c>
    </row>
    <row r="803" ht="15.75" customHeight="1">
      <c r="A803" t="str">
        <f>IFERROR(__xludf.DUMMYFUNCTION("""COMPUTED_VALUE"""),"Allocation")</f>
        <v>Allocation</v>
      </c>
      <c r="B803" t="str">
        <f>IFERROR(__xludf.DUMMYFUNCTION("""COMPUTED_VALUE"""),"OperationsonAllocation")</f>
        <v>OperationsonAllocation</v>
      </c>
      <c r="C803" t="str">
        <f>IFERROR(__xludf.DUMMYFUNCTION("""COMPUTED_VALUE"""),"1Ef_CfqtvCC0SoupZq61OQuLBg_r-ocFfZ5dScRXCuD4")</f>
        <v>1Ef_CfqtvCC0SoupZq61OQuLBg_r-ocFfZ5dScRXCuD4</v>
      </c>
    </row>
    <row r="804" ht="15.75" customHeight="1">
      <c r="A804" t="str">
        <f>IFERROR(__xludf.DUMMYFUNCTION("""COMPUTED_VALUE"""),"Blotter")</f>
        <v>Blotter</v>
      </c>
      <c r="B804" t="str">
        <f>IFERROR(__xludf.DUMMYFUNCTION("""COMPUTED_VALUE"""),"AddTabToFav")</f>
        <v>AddTabToFav</v>
      </c>
      <c r="C804" t="str">
        <f>IFERROR(__xludf.DUMMYFUNCTION("""COMPUTED_VALUE"""),"1Hrblc1gk4JIYboQ1lGHgl7HatAXp5amAl9mS58vzT-0")</f>
        <v>1Hrblc1gk4JIYboQ1lGHgl7HatAXp5amAl9mS58vzT-0</v>
      </c>
    </row>
    <row r="805" ht="15.75" customHeight="1">
      <c r="A805" t="str">
        <f>IFERROR(__xludf.DUMMYFUNCTION("""COMPUTED_VALUE"""),"Unknown")</f>
        <v>Unknown</v>
      </c>
      <c r="B805" t="str">
        <f>IFERROR(__xludf.DUMMYFUNCTION("""COMPUTED_VALUE"""),"CheckModStatus")</f>
        <v>CheckModStatus</v>
      </c>
      <c r="C805" t="str">
        <f>IFERROR(__xludf.DUMMYFUNCTION("""COMPUTED_VALUE"""),"1S0obfxcw-fBa8_NHZx6E2ddpXBy262moOyglnQyX8XA")</f>
        <v>1S0obfxcw-fBa8_NHZx6E2ddpXBy262moOyglnQyX8XA</v>
      </c>
    </row>
    <row r="806" ht="15.75" customHeight="1">
      <c r="A806" t="str">
        <f>IFERROR(__xludf.DUMMYFUNCTION("""COMPUTED_VALUE"""),"TradingTicket")</f>
        <v>TradingTicket</v>
      </c>
      <c r="B806" t="str">
        <f>IFERROR(__xludf.DUMMYFUNCTION("""COMPUTED_VALUE"""),"VerifyExecutionType")</f>
        <v>VerifyExecutionType</v>
      </c>
      <c r="C806" t="str">
        <f>IFERROR(__xludf.DUMMYFUNCTION("""COMPUTED_VALUE"""),"1GeLKG0YL6nDFQYX8NohWSG0yonppxuSHWgOuwLzEWwI")</f>
        <v>1GeLKG0YL6nDFQYX8NohWSG0yonppxuSHWgOuwLzEWwI</v>
      </c>
    </row>
    <row r="807" ht="15.75" customHeight="1">
      <c r="A807" t="str">
        <f>IFERROR(__xludf.DUMMYFUNCTION("""COMPUTED_VALUE"""),"OpenFin")</f>
        <v>OpenFin</v>
      </c>
      <c r="B807" t="str">
        <f>IFERROR(__xludf.DUMMYFUNCTION("""COMPUTED_VALUE"""),"VerifyNotification")</f>
        <v>VerifyNotification</v>
      </c>
      <c r="C807" t="str">
        <f>IFERROR(__xludf.DUMMYFUNCTION("""COMPUTED_VALUE"""),"1rm7dGZ4-j6MPtyiMlJDHnZgIjnFk8Hv19VRPaPCgUMY")</f>
        <v>1rm7dGZ4-j6MPtyiMlJDHnZgIjnFk8Hv19VRPaPCgUMY</v>
      </c>
    </row>
    <row r="808" ht="15.75" customHeight="1">
      <c r="A808" t="str">
        <f>IFERROR(__xludf.DUMMYFUNCTION("""COMPUTED_VALUE"""),"TradingTicket")</f>
        <v>TradingTicket</v>
      </c>
      <c r="B808" t="str">
        <f>IFERROR(__xludf.DUMMYFUNCTION("""COMPUTED_VALUE"""),"VerifyPopupAlignment")</f>
        <v>VerifyPopupAlignment</v>
      </c>
      <c r="C808" t="str">
        <f>IFERROR(__xludf.DUMMYFUNCTION("""COMPUTED_VALUE"""),"1PAyxzLHPOj64pXbS5W7uBsuT035g_GlIT1xXUjFNRUk")</f>
        <v>1PAyxzLHPOj64pXbS5W7uBsuT035g_GlIT1xXUjFNRUk</v>
      </c>
    </row>
    <row r="809" ht="15.75" customHeight="1">
      <c r="A809" t="str">
        <f>IFERROR(__xludf.DUMMYFUNCTION("""COMPUTED_VALUE"""),"TradingTicket")</f>
        <v>TradingTicket</v>
      </c>
      <c r="B809" t="str">
        <f>IFERROR(__xludf.DUMMYFUNCTION("""COMPUTED_VALUE"""),"SelectET")</f>
        <v>SelectET</v>
      </c>
      <c r="C809" t="str">
        <f>IFERROR(__xludf.DUMMYFUNCTION("""COMPUTED_VALUE"""),"1Tpuk-xqnvfBtaWXtAffyW0Chu9RCysO1V7PE2wbI7Xk")</f>
        <v>1Tpuk-xqnvfBtaWXtAffyW0Chu9RCysO1V7PE2wbI7Xk</v>
      </c>
    </row>
    <row r="810" ht="15.75" customHeight="1">
      <c r="A810" t="str">
        <f>IFERROR(__xludf.DUMMYFUNCTION("""COMPUTED_VALUE"""),"RTPNL")</f>
        <v>RTPNL</v>
      </c>
      <c r="B810" t="str">
        <f>IFERROR(__xludf.DUMMYFUNCTION("""COMPUTED_VALUE"""),"Grouping")</f>
        <v>Grouping</v>
      </c>
      <c r="C810" t="str">
        <f>IFERROR(__xludf.DUMMYFUNCTION("""COMPUTED_VALUE"""),"1FNoxwXRCCjvm8HYhDo2XZGdWYdZNzY2Jh0ibkuVHNWo")</f>
        <v>1FNoxwXRCCjvm8HYhDo2XZGdWYdZNzY2Jh0ibkuVHNWo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IFERROR(__xludf.DUMMYFUNCTION("""COMPUTED_VALUE"""),"RollOverContextMenu")</f>
        <v>RollOverContextMenu</v>
      </c>
      <c r="C811" t="str">
        <f>IFERROR(__xludf.DUMMYFUNCTION("""COMPUTED_VALUE"""),"1d45ieJRLC6DQ7t19pclAZz5EI6hBsZ5_VdNJYb3VsNc")</f>
        <v>1d45ieJRLC6DQ7t19pclAZz5EI6hBsZ5_VdNJYb3VsNc</v>
      </c>
    </row>
    <row r="812" ht="15.75" customHeight="1">
      <c r="A812" t="str">
        <f>IFERROR(__xludf.DUMMYFUNCTION("""COMPUTED_VALUE"""),"PTT")</f>
        <v>PTT</v>
      </c>
      <c r="B812" t="str">
        <f>IFERROR(__xludf.DUMMYFUNCTION("""COMPUTED_VALUE"""),"RefreshCalculation")</f>
        <v>RefreshCalculation</v>
      </c>
    </row>
    <row r="813" ht="15.75" customHeight="1">
      <c r="A813" t="str">
        <f>IFERROR(__xludf.DUMMYFUNCTION("""COMPUTED_VALUE"""),"Blotter")</f>
        <v>Blotter</v>
      </c>
      <c r="B813" t="str">
        <f>IFERROR(__xludf.DUMMYFUNCTION("""COMPUTED_VALUE"""),"BookAsSwap")</f>
        <v>BookAsSwap</v>
      </c>
      <c r="C813" t="str">
        <f>IFERROR(__xludf.DUMMYFUNCTION("""COMPUTED_VALUE"""),"1tnkP5eD3WH53SXu2O-MWk6774J7b5ihwlD7r9dGtpiY")</f>
        <v>1tnkP5eD3WH53SXu2O-MWk6774J7b5ihwlD7r9dGtpiY</v>
      </c>
    </row>
    <row r="814" ht="15.75" customHeight="1">
      <c r="A814" t="str">
        <f>IFERROR(__xludf.DUMMYFUNCTION("""COMPUTED_VALUE"""),"QTT")</f>
        <v>QTT</v>
      </c>
      <c r="B814" t="str">
        <f>IFERROR(__xludf.DUMMYFUNCTION("""COMPUTED_VALUE"""),"VerifyQTT")</f>
        <v>VerifyQTT</v>
      </c>
      <c r="C814" t="str">
        <f>IFERROR(__xludf.DUMMYFUNCTION("""COMPUTED_VALUE"""),"1bs3VigXRg4VZR5W48lKm11EcEjEpmUCnBNDHffPRbIQ")</f>
        <v>1bs3VigXRg4VZR5W48lKm11EcEjEpmUCnBNDHffPRbIQ</v>
      </c>
    </row>
    <row r="815" ht="15.75" customHeight="1">
      <c r="A815" t="str">
        <f>IFERROR(__xludf.DUMMYFUNCTION("""COMPUTED_VALUE"""),"Blotter")</f>
        <v>Blotter</v>
      </c>
      <c r="B815" t="str">
        <f>IFERROR(__xludf.DUMMYFUNCTION("""COMPUTED_VALUE"""),"ActionOnFloatingWindow")</f>
        <v>ActionOnFloatingWindow</v>
      </c>
      <c r="C815" t="str">
        <f>IFERROR(__xludf.DUMMYFUNCTION("""COMPUTED_VALUE"""),"1tFNUPT3PXgCKRnnehGwo6OF7EhLu13UJ8Elfq83HArE")</f>
        <v>1tFNUPT3PXgCKRnnehGwo6OF7EhLu13UJ8Elfq83HArE</v>
      </c>
    </row>
    <row r="816" ht="15.75" customHeight="1">
      <c r="A816" t="str">
        <f>IFERROR(__xludf.DUMMYFUNCTION("""COMPUTED_VALUE"""),"OpenFin")</f>
        <v>OpenFin</v>
      </c>
      <c r="B816" t="str">
        <f>IFERROR(__xludf.DUMMYFUNCTION("""COMPUTED_VALUE"""),"LockUnlockModule")</f>
        <v>LockUnlockModule</v>
      </c>
      <c r="C816" t="str">
        <f>IFERROR(__xludf.DUMMYFUNCTION("""COMPUTED_VALUE"""),"179D0kPRO8f_KLxd7hs6seM9XGxpL-u1rhIhNgFVePsQ")</f>
        <v>179D0kPRO8f_KLxd7hs6seM9XGxpL-u1rhIhNgFVePsQ</v>
      </c>
    </row>
    <row r="817" ht="15.75" customHeight="1">
      <c r="A817" t="str">
        <f>IFERROR(__xludf.DUMMYFUNCTION("""COMPUTED_VALUE"""),"OpenFin")</f>
        <v>OpenFin</v>
      </c>
      <c r="B817" t="str">
        <f>IFERROR(__xludf.DUMMYFUNCTION("""COMPUTED_VALUE"""),"OpenModule")</f>
        <v>OpenModule</v>
      </c>
      <c r="C817" t="str">
        <f>IFERROR(__xludf.DUMMYFUNCTION("""COMPUTED_VALUE"""),"1IdmD7l42pWNjFNVt_7UwbOO7y5tDxaXr7tE60c9ETLw")</f>
        <v>1IdmD7l42pWNjFNVt_7UwbOO7y5tDxaXr7tE60c9ETLw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IFERROR(__xludf.DUMMYFUNCTION("""COMPUTED_VALUE"""),"EnableOrVerifyHotButton")</f>
        <v>EnableOrVerifyHotButton</v>
      </c>
      <c r="C818" t="str">
        <f>IFERROR(__xludf.DUMMYFUNCTION("""COMPUTED_VALUE"""),"1wa8x9d9kPOHEp49mT2DEW0cyjjOClvAgixk1H2w-Tos")</f>
        <v>1wa8x9d9kPOHEp49mT2DEW0cyjjOClvAgixk1H2w-Tos</v>
      </c>
    </row>
    <row r="819" ht="15.75" customHeight="1">
      <c r="A819" t="str">
        <f>IFERROR(__xludf.DUMMYFUNCTION("""COMPUTED_VALUE"""),"TradeServer")</f>
        <v>TradeServer</v>
      </c>
      <c r="B819" t="str">
        <f>IFERROR(__xludf.DUMMYFUNCTION("""COMPUTED_VALUE"""),"RestartServerOnly")</f>
        <v>RestartServerOnly</v>
      </c>
      <c r="C819" t="str">
        <f>IFERROR(__xludf.DUMMYFUNCTION("""COMPUTED_VALUE"""),"Undefined")</f>
        <v>Undefined</v>
      </c>
    </row>
    <row r="820" ht="15.75" customHeight="1">
      <c r="A820" t="str">
        <f>IFERROR(__xludf.DUMMYFUNCTION("""COMPUTED_VALUE"""),"Blotter")</f>
        <v>Blotter</v>
      </c>
      <c r="B820" t="str">
        <f>IFERROR(__xludf.DUMMYFUNCTION("""COMPUTED_VALUE"""),"VerifyFilterUiRC")</f>
        <v>VerifyFilterUiRC</v>
      </c>
      <c r="C820" t="str">
        <f>IFERROR(__xludf.DUMMYFUNCTION("""COMPUTED_VALUE"""),"1QQZEZqPXfPnxfNID2a3__xw8RnEAn77igg5Q32S3Sm0")</f>
        <v>1QQZEZqPXfPnxfNID2a3__xw8RnEAn77igg5Q32S3Sm0</v>
      </c>
    </row>
    <row r="821" ht="15.75" customHeight="1">
      <c r="A821" t="str">
        <f>IFERROR(__xludf.DUMMYFUNCTION("""COMPUTED_VALUE"""),"TradingTicket")</f>
        <v>TradingTicket</v>
      </c>
      <c r="B821" t="str">
        <f>IFERROR(__xludf.DUMMYFUNCTION("""COMPUTED_VALUE"""),"SymbolSuggestionVerify")</f>
        <v>SymbolSuggestionVerify</v>
      </c>
      <c r="C821" t="str">
        <f>IFERROR(__xludf.DUMMYFUNCTION("""COMPUTED_VALUE"""),"14aTeLjmUbS-nhaQwjtZAMGxdQ5DS6UsBjE5OTWN-LQU")</f>
        <v>14aTeLjmUbS-nhaQwjtZAMGxdQ5DS6UsBjE5OTWN-LQU</v>
      </c>
    </row>
    <row r="822" ht="15.75" customHeight="1">
      <c r="A822" t="str">
        <f>IFERROR(__xludf.DUMMYFUNCTION("""COMPUTED_VALUE"""),"Blotter")</f>
        <v>Blotter</v>
      </c>
      <c r="B822" t="str">
        <f>IFERROR(__xludf.DUMMYFUNCTION("""COMPUTED_VALUE"""),"CreateHotButtonOnBlotter")</f>
        <v>CreateHotButtonOnBlotter</v>
      </c>
      <c r="C822" t="str">
        <f>IFERROR(__xludf.DUMMYFUNCTION("""COMPUTED_VALUE"""),"1Yu7Fb6AjhUP8b-KuRJvgAwq8TykNK6BDh9F0Xpf12Ek")</f>
        <v>1Yu7Fb6AjhUP8b-KuRJvgAwq8TykNK6BDh9F0Xpf12Ek</v>
      </c>
    </row>
    <row r="823" ht="15.75" customHeight="1">
      <c r="A823" t="str">
        <f>IFERROR(__xludf.DUMMYFUNCTION("""COMPUTED_VALUE"""),"Blotter")</f>
        <v>Blotter</v>
      </c>
      <c r="B823" t="str">
        <f>IFERROR(__xludf.DUMMYFUNCTION("""COMPUTED_VALUE"""),"FillHBdetailsOnBlotter")</f>
        <v>FillHBdetailsOnBlotter</v>
      </c>
      <c r="C823" t="str">
        <f>IFERROR(__xludf.DUMMYFUNCTION("""COMPUTED_VALUE"""),"13Isj5c5k8kObxI-GBT6Ir9VBOz_46lzhwVxXXVP8jQU")</f>
        <v>13Isj5c5k8kObxI-GBT6Ir9VBOz_46lzhwVxXXVP8jQU</v>
      </c>
    </row>
    <row r="824" ht="15.75" customHeight="1">
      <c r="A824" t="str">
        <f>IFERROR(__xludf.DUMMYFUNCTION("""COMPUTED_VALUE"""),"TradingTicket")</f>
        <v>TradingTicket</v>
      </c>
      <c r="B824" t="str">
        <f>IFERROR(__xludf.DUMMYFUNCTION("""COMPUTED_VALUE"""),"EditAuecWindow")</f>
        <v>EditAuecWindow</v>
      </c>
      <c r="C824" t="str">
        <f>IFERROR(__xludf.DUMMYFUNCTION("""COMPUTED_VALUE"""),"1ottlNphVbp0AC-UFd-HlDpCLwOA2yWO1pN6eR3ML7vA")</f>
        <v>1ottlNphVbp0AC-UFd-HlDpCLwOA2yWO1pN6eR3ML7vA</v>
      </c>
    </row>
    <row r="825" ht="15.75" customHeight="1">
      <c r="A825" t="str">
        <f>IFERROR(__xludf.DUMMYFUNCTION("""COMPUTED_VALUE"""),"TradingTicket")</f>
        <v>TradingTicket</v>
      </c>
      <c r="B825" t="str">
        <f>IFERROR(__xludf.DUMMYFUNCTION("""COMPUTED_VALUE"""),"VerifyBrokerSummary")</f>
        <v>VerifyBrokerSummary</v>
      </c>
      <c r="C825" t="str">
        <f>IFERROR(__xludf.DUMMYFUNCTION("""COMPUTED_VALUE"""),"11hMxlfIQYwM8vPN2h--IGp7O02EDFbvJ4CSvjSfGsMY")</f>
        <v>11hMxlfIQYwM8vPN2h--IGp7O02EDFbvJ4CSvjSfGsMY</v>
      </c>
    </row>
    <row r="826" ht="15.75" customHeight="1">
      <c r="A826" t="str">
        <f>IFERROR(__xludf.DUMMYFUNCTION("""COMPUTED_VALUE"""),"QTT")</f>
        <v>QTT</v>
      </c>
      <c r="B826" t="str">
        <f>IFERROR(__xludf.DUMMYFUNCTION("""COMPUTED_VALUE"""),"EditAuecWindowQTT")</f>
        <v>EditAuecWindowQTT</v>
      </c>
      <c r="C826" t="str">
        <f>IFERROR(__xludf.DUMMYFUNCTION("""COMPUTED_VALUE"""),"1oI_WY3xKQgSjp5JN67BMHtm3zazX5ZiMATISa2ssGB0")</f>
        <v>1oI_WY3xKQgSjp5JN67BMHtm3zazX5ZiMATISa2ssGB0</v>
      </c>
    </row>
    <row r="827" ht="15.75" customHeight="1">
      <c r="A827" t="str">
        <f>IFERROR(__xludf.DUMMYFUNCTION("""COMPUTED_VALUE"""),"QTT")</f>
        <v>QTT</v>
      </c>
      <c r="B827" t="str">
        <f>IFERROR(__xludf.DUMMYFUNCTION("""COMPUTED_VALUE"""),"VerifyBrokerSummaryQTT")</f>
        <v>VerifyBrokerSummaryQTT</v>
      </c>
      <c r="C827" t="str">
        <f>IFERROR(__xludf.DUMMYFUNCTION("""COMPUTED_VALUE"""),"1O6-eqYsZqtvYR6DOH7UM2_Jwpq9pB9uyZvgh5vEhVAI")</f>
        <v>1O6-eqYsZqtvYR6DOH7UM2_Jwpq9pB9uyZvgh5vEhVAI</v>
      </c>
    </row>
    <row r="828" ht="15.75" customHeight="1">
      <c r="A828" t="str">
        <f>IFERROR(__xludf.DUMMYFUNCTION("""COMPUTED_VALUE"""),"QTT")</f>
        <v>QTT</v>
      </c>
      <c r="B828" t="str">
        <f>IFERROR(__xludf.DUMMYFUNCTION("""COMPUTED_VALUE"""),"SaveQTThotKey")</f>
        <v>SaveQTThotKey</v>
      </c>
      <c r="C828" t="str">
        <f>IFERROR(__xludf.DUMMYFUNCTION("""COMPUTED_VALUE"""),"Undefined")</f>
        <v>Undefined</v>
      </c>
    </row>
    <row r="829" ht="15.75" customHeight="1">
      <c r="A829" t="str">
        <f>IFERROR(__xludf.DUMMYFUNCTION("""COMPUTED_VALUE"""),"Blotter")</f>
        <v>Blotter</v>
      </c>
      <c r="B829" t="str">
        <f>IFERROR(__xludf.DUMMYFUNCTION("""COMPUTED_VALUE"""),"BlotterColumnChooser")</f>
        <v>BlotterColumnChooser</v>
      </c>
      <c r="C829" t="str">
        <f>IFERROR(__xludf.DUMMYFUNCTION("""COMPUTED_VALUE"""),"12428TbyucuJDD3KuN7QG-GyRYI3gcoyDNKTQ2UpgGMQ")</f>
        <v>12428TbyucuJDD3KuN7QG-GyRYI3gcoyDNKTQ2UpgGMQ</v>
      </c>
    </row>
    <row r="830" ht="15.75" customHeight="1">
      <c r="A830" t="str">
        <f>IFERROR(__xludf.DUMMYFUNCTION("""COMPUTED_VALUE"""),"RTPNL")</f>
        <v>RTPNL</v>
      </c>
      <c r="B830" t="str">
        <f>IFERROR(__xludf.DUMMYFUNCTION("""COMPUTED_VALUE"""),"CreateGroupingWidget")</f>
        <v>CreateGroupingWidget</v>
      </c>
      <c r="C830" t="str">
        <f>IFERROR(__xludf.DUMMYFUNCTION("""COMPUTED_VALUE"""),"1ctXhgvJgrqqe8ees0907Up0TKq9pCEhinMlZnRGqKdY")</f>
        <v>1ctXhgvJgrqqe8ees0907Up0TKq9pCEhinMlZnRGqKdY</v>
      </c>
    </row>
    <row r="831" ht="15.75" customHeight="1">
      <c r="A831" t="str">
        <f>IFERROR(__xludf.DUMMYFUNCTION("""COMPUTED_VALUE"""),"RTPNL")</f>
        <v>RTPNL</v>
      </c>
      <c r="B831" t="str">
        <f>IFERROR(__xludf.DUMMYFUNCTION("""COMPUTED_VALUE"""),"CheckGroupingWidget")</f>
        <v>CheckGroupingWidget</v>
      </c>
      <c r="C831" t="str">
        <f>IFERROR(__xludf.DUMMYFUNCTION("""COMPUTED_VALUE"""),"16mimyUFzQ0Ojogh0t4Evjy-tjzAJ67xgIrWeTNmBdw0")</f>
        <v>16mimyUFzQ0Ojogh0t4Evjy-tjzAJ67xgIrWeTNmBdw0</v>
      </c>
    </row>
    <row r="832" ht="15.75" customHeight="1">
      <c r="A832" t="str">
        <f>IFERROR(__xludf.DUMMYFUNCTION("""COMPUTED_VALUE"""),"TradingTicket")</f>
        <v>TradingTicket</v>
      </c>
      <c r="B832" t="str">
        <f>IFERROR(__xludf.DUMMYFUNCTION("""COMPUTED_VALUE"""),"QTTHamburg")</f>
        <v>QTTHamburg</v>
      </c>
      <c r="C832" t="str">
        <f>IFERROR(__xludf.DUMMYFUNCTION("""COMPUTED_VALUE"""),"1pdXDcLRWAl2b2L88lHCntj01OLBjVHaNAdGG8OHa4hA")</f>
        <v>1pdXDcLRWAl2b2L88lHCntj01OLBjVHaNAdGG8OHa4hA</v>
      </c>
    </row>
    <row r="833" ht="15.75" customHeight="1">
      <c r="A833" t="str">
        <f>IFERROR(__xludf.DUMMYFUNCTION("""COMPUTED_VALUE"""),"RTPNL")</f>
        <v>RTPNL</v>
      </c>
      <c r="B833" t="str">
        <f>IFERROR(__xludf.DUMMYFUNCTION("""COMPUTED_VALUE"""),"VerifyL1L2PanelRTPNL")</f>
        <v>VerifyL1L2PanelRTPNL</v>
      </c>
      <c r="C833" t="str">
        <f>IFERROR(__xludf.DUMMYFUNCTION("""COMPUTED_VALUE"""),"1cQo_rX9O9XHFILj0ICV1GAU_RdtTKYlclT20jg9G7hg")</f>
        <v>1cQo_rX9O9XHFILj0ICV1GAU_RdtTKYlclT20jg9G7hg</v>
      </c>
    </row>
    <row r="834" ht="15.75" customHeight="1">
      <c r="A834" t="str">
        <f>IFERROR(__xludf.DUMMYFUNCTION("""COMPUTED_VALUE"""),"Blotter")</f>
        <v>Blotter</v>
      </c>
      <c r="B834" t="str">
        <f>IFERROR(__xludf.DUMMYFUNCTION("""COMPUTED_VALUE"""),"CaptureHotButtonDetails")</f>
        <v>CaptureHotButtonDetails</v>
      </c>
      <c r="C834" t="str">
        <f>IFERROR(__xludf.DUMMYFUNCTION("""COMPUTED_VALUE"""),"16Dail-EoPWyIhwRzxyvr-EY1IE8jJTUQDarvGnXioxI")</f>
        <v>16Dail-EoPWyIhwRzxyvr-EY1IE8jJTUQDarvGnXioxI</v>
      </c>
    </row>
    <row r="835" ht="15.75" customHeight="1">
      <c r="A835" t="str">
        <f>IFERROR(__xludf.DUMMYFUNCTION("""COMPUTED_VALUE"""),"QTT")</f>
        <v>QTT</v>
      </c>
      <c r="B835" t="str">
        <f>IFERROR(__xludf.DUMMYFUNCTION("""COMPUTED_VALUE"""),"EditQuickPreference")</f>
        <v>EditQuickPreference</v>
      </c>
      <c r="C835" t="str">
        <f>IFERROR(__xludf.DUMMYFUNCTION("""COMPUTED_VALUE"""),"133vNW3loXmIKhcuaiCwGIGXOULCttZuJZtPfA4s37vw")</f>
        <v>133vNW3loXmIKhcuaiCwGIGXOULCttZuJZtPfA4s37vw</v>
      </c>
    </row>
    <row r="836" ht="15.75" customHeight="1">
      <c r="A836" t="str">
        <f>IFERROR(__xludf.DUMMYFUNCTION("""COMPUTED_VALUE"""),"Blotter")</f>
        <v>Blotter</v>
      </c>
      <c r="B836" t="str">
        <f>IFERROR(__xludf.DUMMYFUNCTION("""COMPUTED_VALUE"""),"RightClickActionVerification")</f>
        <v>RightClickActionVerification</v>
      </c>
      <c r="C836" t="str">
        <f>IFERROR(__xludf.DUMMYFUNCTION("""COMPUTED_VALUE"""),"11EX1Ln-BQAtx9NTd9zfcaia52FGNdZENDW2kwMCJ8HQ")</f>
        <v>11EX1Ln-BQAtx9NTd9zfcaia52FGNdZENDW2kwMCJ8HQ</v>
      </c>
    </row>
    <row r="837" ht="15.75" customHeight="1">
      <c r="A837" t="str">
        <f>IFERROR(__xludf.DUMMYFUNCTION("""COMPUTED_VALUE"""),"Admin")</f>
        <v>Admin</v>
      </c>
      <c r="B837" t="str">
        <f>IFERROR(__xludf.DUMMYFUNCTION("""COMPUTED_VALUE"""),"ChangeDate")</f>
        <v>ChangeDate</v>
      </c>
      <c r="C837" t="str">
        <f>IFERROR(__xludf.DUMMYFUNCTION("""COMPUTED_VALUE"""),"1P5fd0ftHTs8WR6XF70cltzN5BPur7V01OcYEMpPEMVE")</f>
        <v>1P5fd0ftHTs8WR6XF70cltzN5BPur7V01OcYEMpPEMVE</v>
      </c>
    </row>
    <row r="838" ht="15.75" customHeight="1">
      <c r="A838" t="str">
        <f>IFERROR(__xludf.DUMMYFUNCTION("""COMPUTED_VALUE"""),"Simulator")</f>
        <v>Simulator</v>
      </c>
      <c r="B838" t="str">
        <f>IFERROR(__xludf.DUMMYFUNCTION("""COMPUTED_VALUE"""),"NewAcknowledgeTrade")</f>
        <v>NewAcknowledgeTrade</v>
      </c>
      <c r="C838" t="str">
        <f>IFERROR(__xludf.DUMMYFUNCTION("""COMPUTED_VALUE"""),"1H8R-FdslnMhiBZjAanQN5V9z26E47VjoaeJWQdGZ2pU")</f>
        <v>1H8R-FdslnMhiBZjAanQN5V9z26E47VjoaeJWQdGZ2pU</v>
      </c>
    </row>
    <row r="839" ht="15.75" customHeight="1">
      <c r="A839" t="str">
        <f>IFERROR(__xludf.DUMMYFUNCTION("""COMPUTED_VALUE"""),"Expnl")</f>
        <v>Expnl</v>
      </c>
      <c r="B839" t="str">
        <f>IFERROR(__xludf.DUMMYFUNCTION("""COMPUTED_VALUE"""),"RefreshExpnlUi")</f>
        <v>RefreshExpnlUi</v>
      </c>
      <c r="C839" t="str">
        <f>IFERROR(__xludf.DUMMYFUNCTION("""COMPUTED_VALUE"""),"Undefined")</f>
        <v>Undefined</v>
      </c>
    </row>
    <row r="840" ht="15.75" customHeight="1">
      <c r="A840" t="str">
        <f>IFERROR(__xludf.DUMMYFUNCTION("""COMPUTED_VALUE"""),"Login")</f>
        <v>Login</v>
      </c>
      <c r="B840" t="str">
        <f>IFERROR(__xludf.DUMMYFUNCTION("""COMPUTED_VALUE"""),"Login")</f>
        <v>Login</v>
      </c>
      <c r="C840" t="str">
        <f>IFERROR(__xludf.DUMMYFUNCTION("""COMPUTED_VALUE"""),"1h2sRUHjYrqBoat9XZmeAKHMMSq2oOw6WueOx5S6xZsQ")</f>
        <v>1h2sRUHjYrqBoat9XZmeAKHMMSq2oOw6WueOx5S6xZsQ</v>
      </c>
    </row>
    <row r="841" ht="15.75" customHeight="1">
      <c r="A841" t="str">
        <f>IFERROR(__xludf.DUMMYFUNCTION("""COMPUTED_VALUE"""),"PranaClient")</f>
        <v>PranaClient</v>
      </c>
      <c r="B841" t="str">
        <f>IFERROR(__xludf.DUMMYFUNCTION("""COMPUTED_VALUE"""),"LoginClient")</f>
        <v>LoginClient</v>
      </c>
      <c r="C841" t="str">
        <f>IFERROR(__xludf.DUMMYFUNCTION("""COMPUTED_VALUE"""),"1zfvz-aZrAcrVcCZFJj3FAv1GqBrnIiDpgU-TteWVAOw")</f>
        <v>1zfvz-aZrAcrVcCZFJj3FAv1GqBrnIiDpgU-TteWVAOw</v>
      </c>
    </row>
    <row r="842" ht="15.75" customHeight="1">
      <c r="A842" t="str">
        <f>IFERROR(__xludf.DUMMYFUNCTION("""COMPUTED_VALUE"""),"PranaClient")</f>
        <v>PranaClient</v>
      </c>
      <c r="B842" t="str">
        <f>IFERROR(__xludf.DUMMYFUNCTION("""COMPUTED_VALUE"""),"Action")</f>
        <v>Action</v>
      </c>
      <c r="C842" t="str">
        <f>IFERROR(__xludf.DUMMYFUNCTION("""COMPUTED_VALUE"""),"16YwhwfE3ekYXCEMATeZ129RipXXg6a0WjcUVWOBSLF4")</f>
        <v>16YwhwfE3ekYXCEMATeZ129RipXXg6a0WjcUVWOBSLF4</v>
      </c>
    </row>
    <row r="843" ht="15.75" customHeight="1">
      <c r="A843" t="str">
        <f>IFERROR(__xludf.DUMMYFUNCTION("""COMPUTED_VALUE"""),"Blotter")</f>
        <v>Blotter</v>
      </c>
      <c r="B843" t="str">
        <f>IFERROR(__xludf.DUMMYFUNCTION("""COMPUTED_VALUE"""),"ManageHotButton")</f>
        <v>ManageHotButton</v>
      </c>
      <c r="C843" t="str">
        <f>IFERROR(__xludf.DUMMYFUNCTION("""COMPUTED_VALUE"""),"1kQpkPRi_1u4R3VazjhiilbOI8OkiiHRY2wfgByau1YY")</f>
        <v>1kQpkPRi_1u4R3VazjhiilbOI8OkiiHRY2wfgByau1YY</v>
      </c>
    </row>
    <row r="844" ht="15.75" customHeight="1">
      <c r="A844" t="str">
        <f>IFERROR(__xludf.DUMMYFUNCTION("""COMPUTED_VALUE"""),"RTPNL")</f>
        <v>RTPNL</v>
      </c>
      <c r="B844" t="str">
        <f>IFERROR(__xludf.DUMMYFUNCTION("""COMPUTED_VALUE"""),"UpdateLiveExcelSheetForRTPNL")</f>
        <v>UpdateLiveExcelSheetForRTPNL</v>
      </c>
      <c r="C844" t="str">
        <f>IFERROR(__xludf.DUMMYFUNCTION("""COMPUTED_VALUE"""),"1OudrUjxjY2n0zzZ-I7rurAZeLoeWMTEA6EOQyCYB7zs")</f>
        <v>1OudrUjxjY2n0zzZ-I7rurAZeLoeWMTEA6EOQyCYB7zs</v>
      </c>
    </row>
    <row r="845" ht="15.75" customHeight="1">
      <c r="A845" t="str">
        <f>IFERROR(__xludf.DUMMYFUNCTION("""COMPUTED_VALUE"""),"OpenFin")</f>
        <v>OpenFin</v>
      </c>
      <c r="B845" t="str">
        <f>IFERROR(__xludf.DUMMYFUNCTION("""COMPUTED_VALUE"""),"SavePageRTPNL")</f>
        <v>SavePageRTPNL</v>
      </c>
      <c r="C845" t="str">
        <f>IFERROR(__xludf.DUMMYFUNCTION("""COMPUTED_VALUE"""),"1YqhSG4yXo70SfhUq3fYD9CKf-eg44IFJ37IZh4WLI84")</f>
        <v>1YqhSG4yXo70SfhUq3fYD9CKf-eg44IFJ37IZh4WLI84</v>
      </c>
    </row>
    <row r="846" ht="15.75" customHeight="1">
      <c r="A846" t="str">
        <f>IFERROR(__xludf.DUMMYFUNCTION("""COMPUTED_VALUE"""),"RTPNL")</f>
        <v>RTPNL</v>
      </c>
      <c r="B846" t="str">
        <f>IFERROR(__xludf.DUMMYFUNCTION("""COMPUTED_VALUE"""),"VerifyGridThroughLiveExcel")</f>
        <v>VerifyGridThroughLiveExcel</v>
      </c>
      <c r="C846" t="str">
        <f>IFERROR(__xludf.DUMMYFUNCTION("""COMPUTED_VALUE"""),"1cCUw9lchUCKgHeNcwCDXybCOZXIeN4O0zRhkTZCVDUg")</f>
        <v>1cCUw9lchUCKgHeNcwCDXybCOZXIeN4O0zRhkTZCVDUg</v>
      </c>
    </row>
    <row r="847" ht="15.75" customHeight="1">
      <c r="A847" t="str">
        <f>IFERROR(__xludf.DUMMYFUNCTION("""COMPUTED_VALUE"""),"OpenFin")</f>
        <v>OpenFin</v>
      </c>
      <c r="B847" t="str">
        <f>IFERROR(__xludf.DUMMYFUNCTION("""COMPUTED_VALUE"""),"VerifyToastMessage")</f>
        <v>VerifyToastMessage</v>
      </c>
      <c r="C847" t="str">
        <f>IFERROR(__xludf.DUMMYFUNCTION("""COMPUTED_VALUE"""),"1DYn70fZ-UJ9bocMMWUWIW2IVfXlF5TRVuLedi7Y_LNk")</f>
        <v>1DYn70fZ-UJ9bocMMWUWIW2IVfXlF5TRVuLedi7Y_LNk</v>
      </c>
    </row>
    <row r="848" ht="15.75" customHeight="1">
      <c r="A848" t="str">
        <f>IFERROR(__xludf.DUMMYFUNCTION("""COMPUTED_VALUE"""),"RTPNL")</f>
        <v>RTPNL</v>
      </c>
      <c r="B848" t="str">
        <f>IFERROR(__xludf.DUMMYFUNCTION("""COMPUTED_VALUE"""),"ApplyColumnFilter")</f>
        <v>ApplyColumnFilter</v>
      </c>
      <c r="C848" t="str">
        <f>IFERROR(__xludf.DUMMYFUNCTION("""COMPUTED_VALUE"""),"1N9Nn6t5kuoUpj5sQRZwukYuXz8skh2F7E53j1Um1W1A")</f>
        <v>1N9Nn6t5kuoUpj5sQRZwukYuXz8skh2F7E53j1Um1W1A</v>
      </c>
    </row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3" t="s">
        <v>18</v>
      </c>
      <c r="D6" s="34">
        <v>10.0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16</v>
      </c>
      <c r="C7" s="33" t="s">
        <v>19</v>
      </c>
      <c r="D7" s="35">
        <v>15.0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s">
        <v>16</v>
      </c>
      <c r="C8" s="33" t="s">
        <v>20</v>
      </c>
      <c r="D8" s="35">
        <v>25.0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3" t="s">
        <v>16</v>
      </c>
      <c r="C9" s="33" t="s">
        <v>21</v>
      </c>
      <c r="D9" s="35">
        <v>40.0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3" t="s">
        <v>16</v>
      </c>
      <c r="C10" s="33" t="s">
        <v>22</v>
      </c>
      <c r="D10" s="35">
        <v>10.0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IFERROR(__xludf.DUMMYFUNCTION("IF(C3="""","""",Transpose(IMPORTRANGE('_Settings'!$B$3,C3&amp;""!A4:A1000"")))"),"AddTabOnWatchlist")</f>
        <v>AddTabOnWatchlist</v>
      </c>
      <c r="C4" s="25" t="str">
        <f>IFERROR(__xludf.DUMMYFUNCTION("""COMPUTED_VALUE"""),"DeleteTabOnWatchlist")</f>
        <v>DeleteTabOnWatchlist</v>
      </c>
      <c r="D4" s="25" t="str">
        <f>IFERROR(__xludf.DUMMYFUNCTION("""COMPUTED_VALUE"""),"AddSymbolToWatchlist")</f>
        <v>AddSymbolToWatchlist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IFERROR(__xludf.DUMMYFUNCTION("""COMPUTED_VALUE"""),"MultiTradeFromWatchlist")</f>
        <v>MultiTradeFromWatchlist</v>
      </c>
      <c r="G4" s="25" t="str">
        <f>IFERROR(__xludf.DUMMYFUNCTION("""COMPUTED_VALUE"""),"DeleteSymbolFromWatchlist")</f>
        <v>DeleteSymbolFromWatchlist</v>
      </c>
      <c r="H4" s="25" t="str">
        <f>IFERROR(__xludf.DUMMYFUNCTION("""COMPUTED_VALUE"""),"VerifySymbolsOnWatchlist")</f>
        <v>VerifySymbolsOnWatchlist</v>
      </c>
      <c r="I4" s="25" t="str">
        <f>IFERROR(__xludf.DUMMYFUNCTION("""COMPUTED_VALUE"""),"OpenPTTFromWatchlist")</f>
        <v>OpenPTTFromWatchlist</v>
      </c>
      <c r="J4" s="25" t="str">
        <f>IFERROR(__xludf.DUMMYFUNCTION("""COMPUTED_VALUE"""),"SelectTradeWatchlist")</f>
        <v>SelectTradeWatchlist</v>
      </c>
      <c r="K4" s="25" t="str">
        <f>IFERROR(__xludf.DUMMYFUNCTION("""COMPUTED_VALUE"""),"ActionOnWatchlist")</f>
        <v>ActionOnWatchlist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 t="s">
        <v>26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AddSymbolToWatchlist!$4:$4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IFERROR(__xludf.DUMMYFUNCTION("IF(C3="""","""",Transpose(IMPORTRANGE('_Settings'!$B$3,C3&amp;""!A4:A1000"")))"),"AddTabOnWatchlist")</f>
        <v>AddTabOnWatchlist</v>
      </c>
      <c r="C4" s="25" t="str">
        <f>IFERROR(__xludf.DUMMYFUNCTION("""COMPUTED_VALUE"""),"DeleteTabOnWatchlist")</f>
        <v>DeleteTabOnWatchlist</v>
      </c>
      <c r="D4" s="25" t="str">
        <f>IFERROR(__xludf.DUMMYFUNCTION("""COMPUTED_VALUE"""),"AddSymbolToWatchlist")</f>
        <v>AddSymbolToWatchlist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IFERROR(__xludf.DUMMYFUNCTION("""COMPUTED_VALUE"""),"MultiTradeFromWatchlist")</f>
        <v>MultiTradeFromWatchlist</v>
      </c>
      <c r="G4" s="25" t="str">
        <f>IFERROR(__xludf.DUMMYFUNCTION("""COMPUTED_VALUE"""),"DeleteSymbolFromWatchlist")</f>
        <v>DeleteSymbolFromWatchlist</v>
      </c>
      <c r="H4" s="25" t="str">
        <f>IFERROR(__xludf.DUMMYFUNCTION("""COMPUTED_VALUE"""),"VerifySymbolsOnWatchlist")</f>
        <v>VerifySymbolsOnWatchlist</v>
      </c>
      <c r="I4" s="25" t="str">
        <f>IFERROR(__xludf.DUMMYFUNCTION("""COMPUTED_VALUE"""),"OpenPTTFromWatchlist")</f>
        <v>OpenPTTFromWatchlist</v>
      </c>
      <c r="J4" s="25" t="str">
        <f>IFERROR(__xludf.DUMMYFUNCTION("""COMPUTED_VALUE"""),"SelectTradeWatchlist")</f>
        <v>SelectTradeWatchlist</v>
      </c>
      <c r="K4" s="25" t="str">
        <f>IFERROR(__xludf.DUMMYFUNCTION("""COMPUTED_VALUE"""),"ActionOnWatchlist")</f>
        <v>ActionOnWatchlist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28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 t="s">
        <v>26</v>
      </c>
      <c r="C7" s="13" t="s">
        <v>28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TradeFromWatchlist!$4:$4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28</v>
      </c>
      <c r="D6" s="13"/>
      <c r="E6" s="32"/>
      <c r="F6" s="8"/>
      <c r="G6" s="13" t="s">
        <v>31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28</v>
      </c>
      <c r="D6" s="13">
        <v>10.0</v>
      </c>
      <c r="E6" s="32"/>
      <c r="F6" s="13" t="s">
        <v>16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26</v>
      </c>
      <c r="C6" s="13" t="s">
        <v>33</v>
      </c>
      <c r="D6" s="13"/>
      <c r="E6" s="32"/>
      <c r="F6" s="8"/>
      <c r="G6" s="13" t="s">
        <v>31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26</v>
      </c>
      <c r="C6" s="13" t="s">
        <v>33</v>
      </c>
      <c r="D6" s="13">
        <v>10.0</v>
      </c>
      <c r="E6" s="32"/>
      <c r="F6" s="13" t="s">
        <v>16</v>
      </c>
      <c r="G6" s="13" t="s">
        <v>31</v>
      </c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 t="str">
        <f>IFERROR(__xludf.DUMMYFUNCTION("""COMPUTED_VALUE"""),"AllowTrade")</f>
        <v>AllowTrade</v>
      </c>
      <c r="AP5" s="30" t="str">
        <f>IFERROR(__xludf.DUMMYFUNCTION("""COMPUTED_VALUE"""),"PendingApprovalPopup")</f>
        <v>PendingApprovalPopup</v>
      </c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28</v>
      </c>
      <c r="D6" s="13">
        <v>10.0</v>
      </c>
      <c r="E6" s="32"/>
      <c r="F6" s="13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 t="s">
        <v>26</v>
      </c>
      <c r="C7" s="13" t="s">
        <v>33</v>
      </c>
      <c r="D7" s="13">
        <v>10.0</v>
      </c>
      <c r="E7" s="8"/>
      <c r="F7" s="13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36</v>
      </c>
      <c r="B6" s="31" t="s">
        <v>37</v>
      </c>
      <c r="C6" s="33" t="s">
        <v>38</v>
      </c>
      <c r="D6" s="31">
        <v>0.0</v>
      </c>
      <c r="E6" s="35">
        <v>10.0</v>
      </c>
      <c r="F6" s="33" t="s">
        <v>16</v>
      </c>
      <c r="G6" s="33" t="s">
        <v>39</v>
      </c>
      <c r="H6" s="35">
        <v>0.0</v>
      </c>
      <c r="I6" s="35">
        <v>0.0</v>
      </c>
      <c r="J6" s="35">
        <v>12.0</v>
      </c>
      <c r="K6" s="35">
        <v>10.0</v>
      </c>
      <c r="L6" s="35">
        <v>10.0</v>
      </c>
      <c r="M6" s="33"/>
      <c r="N6" s="33" t="s">
        <v>40</v>
      </c>
      <c r="O6" s="33" t="s">
        <v>31</v>
      </c>
      <c r="P6" s="33"/>
      <c r="Q6" s="33">
        <v>3.0</v>
      </c>
      <c r="R6" s="36">
        <v>0.09</v>
      </c>
      <c r="S6" s="33" t="s">
        <v>41</v>
      </c>
      <c r="T6" s="37">
        <v>3.0</v>
      </c>
      <c r="U6" s="37">
        <v>0.3</v>
      </c>
      <c r="V6" s="33"/>
      <c r="W6" s="33">
        <v>100.0</v>
      </c>
      <c r="X6" s="33">
        <v>0.0</v>
      </c>
      <c r="Y6" s="33" t="s">
        <v>36</v>
      </c>
      <c r="Z6" s="33" t="s">
        <v>42</v>
      </c>
      <c r="AA6" s="33">
        <v>1.0</v>
      </c>
      <c r="AB6" s="33">
        <v>1.0</v>
      </c>
      <c r="AC6" s="33"/>
      <c r="AD6" s="33" t="s">
        <v>43</v>
      </c>
      <c r="AE6" s="37">
        <v>10.0</v>
      </c>
      <c r="AF6" s="33" t="s">
        <v>36</v>
      </c>
      <c r="AG6" s="33"/>
      <c r="AH6" s="33" t="s">
        <v>44</v>
      </c>
      <c r="AI6" s="37">
        <v>1.0</v>
      </c>
      <c r="AJ6" s="33" t="s">
        <v>45</v>
      </c>
      <c r="AK6" s="33"/>
      <c r="AL6" s="33"/>
      <c r="AM6" s="33"/>
      <c r="AN6" s="33" t="b">
        <v>0</v>
      </c>
      <c r="AO6" s="33"/>
      <c r="AP6" s="33" t="b">
        <v>1</v>
      </c>
      <c r="AQ6" s="33" t="b">
        <v>0</v>
      </c>
      <c r="AR6" s="33" t="b">
        <v>1</v>
      </c>
      <c r="AS6" s="33">
        <v>0.0</v>
      </c>
      <c r="AT6" s="33">
        <v>10008.255</v>
      </c>
      <c r="AU6" s="33">
        <v>10008.255</v>
      </c>
      <c r="AV6" s="33"/>
      <c r="AW6" s="33">
        <v>0.0</v>
      </c>
      <c r="AX6" s="33">
        <v>0.0</v>
      </c>
      <c r="AY6" s="33" t="s">
        <v>46</v>
      </c>
      <c r="AZ6" s="33">
        <v>0.0</v>
      </c>
      <c r="BA6" s="33"/>
      <c r="BB6" s="33"/>
      <c r="BC6" s="33">
        <v>0.165</v>
      </c>
      <c r="BD6" s="33" t="s">
        <v>47</v>
      </c>
      <c r="BE6" s="37">
        <v>10000.0</v>
      </c>
      <c r="BF6" s="37">
        <v>10000.0</v>
      </c>
      <c r="BG6" s="33"/>
      <c r="BH6" s="33"/>
      <c r="BI6" s="33" t="s">
        <v>48</v>
      </c>
      <c r="BJ6" s="37">
        <v>10.0</v>
      </c>
      <c r="BK6" s="33">
        <v>0.0</v>
      </c>
      <c r="BL6" s="33" t="s">
        <v>36</v>
      </c>
      <c r="BM6" s="33" t="s">
        <v>42</v>
      </c>
      <c r="BN6" s="33"/>
      <c r="BO6" s="33" t="s">
        <v>33</v>
      </c>
      <c r="BP6" s="33">
        <v>5.0</v>
      </c>
      <c r="BQ6" s="33">
        <v>0.5</v>
      </c>
      <c r="BR6" s="33">
        <v>0.0</v>
      </c>
      <c r="BS6" s="33" t="s">
        <v>49</v>
      </c>
      <c r="BT6" s="38" t="s">
        <v>26</v>
      </c>
      <c r="BU6" s="33">
        <v>0.0</v>
      </c>
      <c r="BV6" s="33">
        <v>8.0</v>
      </c>
      <c r="BW6" s="33">
        <v>8.255</v>
      </c>
      <c r="BX6" s="33">
        <v>0.8</v>
      </c>
      <c r="BY6" s="33"/>
      <c r="BZ6" s="33"/>
      <c r="CA6" s="33"/>
      <c r="CB6" s="33"/>
      <c r="CC6" s="33"/>
      <c r="CD6" s="33"/>
      <c r="CE6" s="33"/>
      <c r="CF6" s="33" t="s">
        <v>50</v>
      </c>
      <c r="CG6" s="33">
        <v>0.0</v>
      </c>
      <c r="CH6" s="33" t="s">
        <v>51</v>
      </c>
      <c r="CI6" s="33" t="s">
        <v>52</v>
      </c>
      <c r="CJ6" s="37">
        <v>0.0</v>
      </c>
      <c r="CK6" s="33" t="s">
        <v>53</v>
      </c>
      <c r="CL6" s="37">
        <v>1.0</v>
      </c>
      <c r="CM6" s="33" t="s">
        <v>54</v>
      </c>
      <c r="CN6" s="33" t="s">
        <v>55</v>
      </c>
      <c r="CO6" s="33" t="s">
        <v>56</v>
      </c>
      <c r="CP6" s="33" t="s">
        <v>57</v>
      </c>
      <c r="CQ6" s="33"/>
      <c r="CR6" s="33"/>
      <c r="CS6" s="33" t="s">
        <v>36</v>
      </c>
      <c r="CT6" s="33"/>
      <c r="CU6" s="33"/>
      <c r="CV6" s="33" t="s">
        <v>36</v>
      </c>
      <c r="CW6" s="33" t="s">
        <v>36</v>
      </c>
      <c r="CX6" s="33" t="s">
        <v>36</v>
      </c>
      <c r="CY6" s="33" t="s">
        <v>36</v>
      </c>
      <c r="CZ6" s="33" t="s">
        <v>36</v>
      </c>
      <c r="DA6" s="33" t="s">
        <v>36</v>
      </c>
      <c r="DB6" s="33" t="s">
        <v>36</v>
      </c>
      <c r="DC6" s="33" t="s">
        <v>36</v>
      </c>
      <c r="DD6" s="33" t="s">
        <v>36</v>
      </c>
      <c r="DE6" s="33" t="s">
        <v>36</v>
      </c>
      <c r="DF6" s="33" t="s">
        <v>36</v>
      </c>
      <c r="DG6" s="33" t="s">
        <v>36</v>
      </c>
      <c r="DH6" s="33" t="s">
        <v>36</v>
      </c>
      <c r="DI6" s="33" t="s">
        <v>36</v>
      </c>
      <c r="DJ6" s="33" t="s">
        <v>36</v>
      </c>
      <c r="DK6" s="33" t="s">
        <v>36</v>
      </c>
      <c r="DL6" s="33" t="s">
        <v>36</v>
      </c>
      <c r="DM6" s="33" t="s">
        <v>36</v>
      </c>
      <c r="DN6" s="33" t="s">
        <v>36</v>
      </c>
      <c r="DO6" s="33" t="s">
        <v>36</v>
      </c>
      <c r="DP6" s="33" t="s">
        <v>36</v>
      </c>
      <c r="DQ6" s="33" t="s">
        <v>36</v>
      </c>
      <c r="DR6" s="33" t="s">
        <v>36</v>
      </c>
      <c r="DS6" s="33" t="s">
        <v>36</v>
      </c>
      <c r="DT6" s="33" t="s">
        <v>36</v>
      </c>
      <c r="DU6" s="33" t="s">
        <v>36</v>
      </c>
      <c r="DV6" s="33" t="s">
        <v>36</v>
      </c>
      <c r="DW6" s="33" t="s">
        <v>36</v>
      </c>
      <c r="DX6" s="33" t="s">
        <v>36</v>
      </c>
      <c r="DY6" s="33" t="s">
        <v>36</v>
      </c>
      <c r="DZ6" s="33" t="s">
        <v>36</v>
      </c>
      <c r="EA6" s="33" t="s">
        <v>36</v>
      </c>
      <c r="EB6" s="33" t="s">
        <v>36</v>
      </c>
      <c r="EC6" s="33" t="s">
        <v>36</v>
      </c>
      <c r="ED6" s="33" t="s">
        <v>36</v>
      </c>
      <c r="EE6" s="33" t="s">
        <v>36</v>
      </c>
      <c r="EF6" s="33" t="s">
        <v>36</v>
      </c>
      <c r="EG6" s="33" t="s">
        <v>36</v>
      </c>
      <c r="EH6" s="33" t="s">
        <v>36</v>
      </c>
      <c r="EI6" s="33" t="s">
        <v>36</v>
      </c>
      <c r="EJ6" s="33" t="s">
        <v>36</v>
      </c>
      <c r="EK6" s="33" t="s">
        <v>36</v>
      </c>
      <c r="EL6" s="33" t="s">
        <v>36</v>
      </c>
      <c r="EM6" s="33" t="s">
        <v>36</v>
      </c>
      <c r="EN6" s="33" t="s">
        <v>36</v>
      </c>
      <c r="EO6" s="33" t="s">
        <v>36</v>
      </c>
      <c r="EP6" s="33" t="s">
        <v>36</v>
      </c>
      <c r="EQ6" s="33" t="s">
        <v>36</v>
      </c>
      <c r="ER6" s="33" t="s">
        <v>36</v>
      </c>
      <c r="ES6" s="33" t="s">
        <v>36</v>
      </c>
      <c r="ET6" s="33" t="s">
        <v>36</v>
      </c>
      <c r="EU6" s="33" t="s">
        <v>36</v>
      </c>
      <c r="EV6" s="33" t="s">
        <v>36</v>
      </c>
      <c r="EW6" s="33" t="s">
        <v>36</v>
      </c>
      <c r="EX6" s="33" t="s">
        <v>36</v>
      </c>
      <c r="EY6" s="33" t="s">
        <v>36</v>
      </c>
      <c r="EZ6" s="33" t="s">
        <v>36</v>
      </c>
      <c r="FA6" s="33" t="s">
        <v>36</v>
      </c>
      <c r="FB6" s="33" t="s">
        <v>36</v>
      </c>
      <c r="FC6" s="33" t="s">
        <v>36</v>
      </c>
      <c r="FD6" s="33" t="s">
        <v>36</v>
      </c>
      <c r="FE6" s="33" t="s">
        <v>36</v>
      </c>
      <c r="FF6" s="33" t="s">
        <v>36</v>
      </c>
      <c r="FG6" s="33" t="s">
        <v>36</v>
      </c>
      <c r="FH6" s="33" t="s">
        <v>36</v>
      </c>
      <c r="FI6" s="33" t="s">
        <v>36</v>
      </c>
      <c r="FJ6" s="33" t="s">
        <v>36</v>
      </c>
      <c r="FK6" s="33" t="s">
        <v>36</v>
      </c>
      <c r="FL6" s="33" t="s">
        <v>36</v>
      </c>
      <c r="FM6" s="33" t="s">
        <v>36</v>
      </c>
      <c r="FN6" s="33" t="s">
        <v>36</v>
      </c>
      <c r="FO6" s="33" t="s">
        <v>36</v>
      </c>
      <c r="FP6" s="33" t="s">
        <v>36</v>
      </c>
      <c r="FQ6" s="33" t="s">
        <v>36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</row>
    <row r="7" ht="15.75" customHeight="1">
      <c r="A7" s="8" t="s">
        <v>36</v>
      </c>
      <c r="B7" s="8" t="s">
        <v>37</v>
      </c>
      <c r="C7" s="8" t="s">
        <v>38</v>
      </c>
      <c r="D7" s="8">
        <v>0.0</v>
      </c>
      <c r="E7" s="8">
        <v>10.0</v>
      </c>
      <c r="F7" s="8" t="s">
        <v>16</v>
      </c>
      <c r="G7" s="8" t="s">
        <v>58</v>
      </c>
      <c r="H7" s="8">
        <v>4.0</v>
      </c>
      <c r="I7" s="8">
        <v>5.0</v>
      </c>
      <c r="J7" s="8">
        <v>1.0</v>
      </c>
      <c r="K7" s="8">
        <v>10.0</v>
      </c>
      <c r="L7" s="8">
        <v>10.0</v>
      </c>
      <c r="M7" s="8"/>
      <c r="N7" s="8" t="s">
        <v>40</v>
      </c>
      <c r="O7" s="8" t="s">
        <v>31</v>
      </c>
      <c r="Q7">
        <v>3.0</v>
      </c>
      <c r="R7" s="9">
        <v>0.0</v>
      </c>
      <c r="S7" t="s">
        <v>41</v>
      </c>
      <c r="T7" s="9">
        <v>5.0</v>
      </c>
      <c r="U7" s="9">
        <v>0.5</v>
      </c>
      <c r="W7">
        <v>1.0</v>
      </c>
      <c r="X7">
        <v>0.0</v>
      </c>
      <c r="Y7" t="s">
        <v>36</v>
      </c>
      <c r="Z7" t="s">
        <v>42</v>
      </c>
      <c r="AB7">
        <v>1.0</v>
      </c>
      <c r="AD7" t="s">
        <v>56</v>
      </c>
      <c r="AE7">
        <v>10.0</v>
      </c>
      <c r="AF7" t="s">
        <v>36</v>
      </c>
      <c r="AH7" t="s">
        <v>44</v>
      </c>
      <c r="AI7">
        <v>1.0</v>
      </c>
      <c r="AJ7" t="s">
        <v>45</v>
      </c>
      <c r="AN7" t="b">
        <v>0</v>
      </c>
      <c r="AP7" t="b">
        <v>1</v>
      </c>
      <c r="AQ7" t="b">
        <v>0</v>
      </c>
      <c r="AR7" t="b">
        <v>1</v>
      </c>
      <c r="AS7">
        <v>0.0</v>
      </c>
      <c r="AT7" s="9">
        <v>124.0001</v>
      </c>
      <c r="AU7" s="9">
        <v>124.0001</v>
      </c>
      <c r="AW7">
        <v>0.0</v>
      </c>
      <c r="AX7">
        <v>0.0</v>
      </c>
      <c r="AY7" t="s">
        <v>46</v>
      </c>
      <c r="AZ7">
        <v>0.0</v>
      </c>
      <c r="BC7" s="9">
        <v>0.0</v>
      </c>
      <c r="BD7" t="s">
        <v>47</v>
      </c>
      <c r="BE7">
        <v>100.0</v>
      </c>
      <c r="BF7">
        <v>100.0</v>
      </c>
      <c r="BJ7">
        <v>10.0</v>
      </c>
      <c r="BK7">
        <v>0.0</v>
      </c>
      <c r="BL7" t="s">
        <v>36</v>
      </c>
      <c r="BM7" t="s">
        <v>42</v>
      </c>
      <c r="BO7" t="s">
        <v>28</v>
      </c>
      <c r="BP7">
        <v>5.0</v>
      </c>
      <c r="BQ7">
        <v>0.5</v>
      </c>
      <c r="BR7">
        <v>1.0E-4</v>
      </c>
      <c r="BS7" t="s">
        <v>49</v>
      </c>
      <c r="BT7" t="s">
        <v>25</v>
      </c>
      <c r="BU7">
        <v>3.0</v>
      </c>
      <c r="BV7" s="9">
        <v>10.0</v>
      </c>
      <c r="BW7" s="9">
        <v>24.0001</v>
      </c>
      <c r="BX7" s="9">
        <v>1.0</v>
      </c>
      <c r="CF7" t="s">
        <v>50</v>
      </c>
      <c r="CG7">
        <v>2.0</v>
      </c>
      <c r="CH7" t="s">
        <v>51</v>
      </c>
      <c r="CI7" t="s">
        <v>28</v>
      </c>
      <c r="CJ7">
        <v>0.0</v>
      </c>
      <c r="CK7" t="s">
        <v>53</v>
      </c>
      <c r="CL7">
        <v>1.0</v>
      </c>
      <c r="CM7" t="s">
        <v>25</v>
      </c>
      <c r="CN7" t="s">
        <v>55</v>
      </c>
      <c r="CO7" t="s">
        <v>56</v>
      </c>
      <c r="CP7" t="s">
        <v>57</v>
      </c>
      <c r="CS7" t="s">
        <v>36</v>
      </c>
      <c r="CV7" t="s">
        <v>36</v>
      </c>
      <c r="CW7" t="s">
        <v>36</v>
      </c>
      <c r="CX7" t="s">
        <v>36</v>
      </c>
      <c r="CY7" t="s">
        <v>36</v>
      </c>
      <c r="CZ7" t="s">
        <v>36</v>
      </c>
      <c r="DA7" t="s">
        <v>36</v>
      </c>
      <c r="DB7" t="s">
        <v>36</v>
      </c>
      <c r="DC7" t="s">
        <v>36</v>
      </c>
      <c r="DD7" t="s">
        <v>36</v>
      </c>
      <c r="DE7" t="s">
        <v>36</v>
      </c>
      <c r="DF7" t="s">
        <v>36</v>
      </c>
      <c r="DG7" t="s">
        <v>36</v>
      </c>
      <c r="DH7" t="s">
        <v>36</v>
      </c>
      <c r="DI7" t="s">
        <v>36</v>
      </c>
      <c r="DJ7" t="s">
        <v>36</v>
      </c>
      <c r="DK7" t="s">
        <v>36</v>
      </c>
      <c r="DL7" t="s">
        <v>36</v>
      </c>
      <c r="DM7" t="s">
        <v>36</v>
      </c>
      <c r="DN7" t="s">
        <v>36</v>
      </c>
      <c r="DO7" t="s">
        <v>36</v>
      </c>
      <c r="DP7" t="s">
        <v>36</v>
      </c>
      <c r="DQ7" t="s">
        <v>36</v>
      </c>
      <c r="DR7" t="s">
        <v>36</v>
      </c>
      <c r="DS7" t="s">
        <v>36</v>
      </c>
      <c r="DT7" t="s">
        <v>36</v>
      </c>
      <c r="DU7" t="s">
        <v>36</v>
      </c>
      <c r="DV7" t="s">
        <v>36</v>
      </c>
      <c r="DW7" t="s">
        <v>36</v>
      </c>
      <c r="DX7" t="s">
        <v>36</v>
      </c>
      <c r="DY7" t="s">
        <v>36</v>
      </c>
      <c r="DZ7" t="s">
        <v>36</v>
      </c>
      <c r="EA7" t="s">
        <v>36</v>
      </c>
      <c r="EB7" t="s">
        <v>36</v>
      </c>
      <c r="EC7" t="s">
        <v>36</v>
      </c>
      <c r="ED7" t="s">
        <v>36</v>
      </c>
      <c r="EE7" t="s">
        <v>36</v>
      </c>
      <c r="EF7" t="s">
        <v>36</v>
      </c>
      <c r="EG7" t="s">
        <v>36</v>
      </c>
      <c r="EH7" t="s">
        <v>36</v>
      </c>
      <c r="EI7" t="s">
        <v>36</v>
      </c>
      <c r="EJ7" t="s">
        <v>36</v>
      </c>
      <c r="EK7" t="s">
        <v>36</v>
      </c>
      <c r="EL7" t="s">
        <v>36</v>
      </c>
      <c r="EM7" t="s">
        <v>36</v>
      </c>
      <c r="EN7" t="s">
        <v>36</v>
      </c>
      <c r="EO7" t="s">
        <v>36</v>
      </c>
      <c r="EP7" t="s">
        <v>36</v>
      </c>
      <c r="EQ7" t="s">
        <v>36</v>
      </c>
      <c r="ER7" t="s">
        <v>36</v>
      </c>
      <c r="ES7" t="s">
        <v>36</v>
      </c>
      <c r="ET7" t="s">
        <v>36</v>
      </c>
      <c r="EU7" t="s">
        <v>36</v>
      </c>
      <c r="EV7" t="s">
        <v>36</v>
      </c>
      <c r="EW7" t="s">
        <v>36</v>
      </c>
      <c r="EX7" t="s">
        <v>36</v>
      </c>
      <c r="EY7" t="s">
        <v>36</v>
      </c>
      <c r="EZ7" t="s">
        <v>36</v>
      </c>
      <c r="FA7" t="s">
        <v>36</v>
      </c>
      <c r="FB7" t="s">
        <v>36</v>
      </c>
      <c r="FC7" t="s">
        <v>36</v>
      </c>
      <c r="FD7" t="s">
        <v>36</v>
      </c>
      <c r="FE7" t="s">
        <v>36</v>
      </c>
      <c r="FF7" t="s">
        <v>36</v>
      </c>
      <c r="FG7" t="s">
        <v>36</v>
      </c>
      <c r="FH7" t="s">
        <v>36</v>
      </c>
      <c r="FI7" t="s">
        <v>36</v>
      </c>
      <c r="FJ7" t="s">
        <v>36</v>
      </c>
      <c r="FK7" t="s">
        <v>36</v>
      </c>
      <c r="FL7" t="s">
        <v>36</v>
      </c>
      <c r="FM7" t="s">
        <v>36</v>
      </c>
      <c r="FN7" t="s">
        <v>36</v>
      </c>
      <c r="FO7" t="s">
        <v>36</v>
      </c>
      <c r="FP7" t="s">
        <v>36</v>
      </c>
      <c r="FQ7" t="s">
        <v>36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 t="str">
        <f>IFERROR(__xludf.DUMMYFUNCTION("""COMPUTED_VALUE"""),"MandatoryColumn")</f>
        <v>MandatoryColumn</v>
      </c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9" t="s">
        <v>36</v>
      </c>
      <c r="B6" s="40">
        <v>49.60004</v>
      </c>
      <c r="C6" s="40">
        <v>49.60004</v>
      </c>
      <c r="D6" s="40">
        <v>40.0</v>
      </c>
      <c r="E6" s="40">
        <v>40.0</v>
      </c>
      <c r="F6" s="13" t="s">
        <v>44</v>
      </c>
      <c r="G6" s="8"/>
      <c r="H6" s="8" t="s">
        <v>42</v>
      </c>
      <c r="I6" s="8"/>
      <c r="J6" s="8"/>
      <c r="K6" s="8"/>
      <c r="L6" s="8"/>
      <c r="M6" s="8"/>
      <c r="N6" s="8"/>
      <c r="O6" s="13" t="s">
        <v>21</v>
      </c>
      <c r="P6" s="9" t="s">
        <v>49</v>
      </c>
      <c r="Q6" s="9">
        <v>40.0</v>
      </c>
      <c r="R6" s="9">
        <v>4.0</v>
      </c>
      <c r="S6" s="9">
        <v>2.0</v>
      </c>
      <c r="T6" s="9">
        <v>2.0</v>
      </c>
      <c r="U6" s="9">
        <v>0.0</v>
      </c>
      <c r="V6" s="9">
        <v>0.0</v>
      </c>
      <c r="W6" s="9">
        <v>4.0E-5</v>
      </c>
      <c r="X6" s="9">
        <v>0.8</v>
      </c>
      <c r="Y6" s="9">
        <v>1.6</v>
      </c>
      <c r="Z6" s="9">
        <v>1.2</v>
      </c>
      <c r="AA6" s="9">
        <v>2.0</v>
      </c>
      <c r="AB6" s="9">
        <v>0.0</v>
      </c>
      <c r="AC6" s="9">
        <v>0.0</v>
      </c>
      <c r="AD6" s="9">
        <v>0.0</v>
      </c>
      <c r="AE6" s="9">
        <v>0.0</v>
      </c>
      <c r="AF6" s="9" t="s">
        <v>41</v>
      </c>
      <c r="AI6" s="9">
        <v>10.0</v>
      </c>
      <c r="AJ6" s="9">
        <v>0.0</v>
      </c>
      <c r="AK6" s="9">
        <v>1.0</v>
      </c>
      <c r="AL6" s="9">
        <v>3.0</v>
      </c>
      <c r="AM6" t="s">
        <v>36</v>
      </c>
      <c r="AN6" t="s">
        <v>36</v>
      </c>
      <c r="AO6" t="s">
        <v>36</v>
      </c>
      <c r="AP6" t="s">
        <v>36</v>
      </c>
      <c r="AQ6" t="s">
        <v>36</v>
      </c>
      <c r="AR6" t="s">
        <v>36</v>
      </c>
      <c r="AS6" t="s">
        <v>36</v>
      </c>
      <c r="AT6" t="s">
        <v>36</v>
      </c>
      <c r="AU6" t="s">
        <v>36</v>
      </c>
      <c r="AV6" t="s">
        <v>36</v>
      </c>
      <c r="AW6" t="s">
        <v>36</v>
      </c>
      <c r="AX6" t="s">
        <v>36</v>
      </c>
      <c r="AY6" t="s">
        <v>36</v>
      </c>
      <c r="AZ6" t="s">
        <v>36</v>
      </c>
      <c r="BA6" t="s">
        <v>36</v>
      </c>
      <c r="BB6" t="s">
        <v>36</v>
      </c>
      <c r="BC6" t="s">
        <v>36</v>
      </c>
      <c r="BD6" t="s">
        <v>36</v>
      </c>
      <c r="BE6" t="s">
        <v>36</v>
      </c>
      <c r="BF6" t="s">
        <v>36</v>
      </c>
      <c r="BG6" t="s">
        <v>36</v>
      </c>
      <c r="BH6" t="s">
        <v>36</v>
      </c>
      <c r="BI6" t="s">
        <v>36</v>
      </c>
      <c r="BJ6" t="s">
        <v>36</v>
      </c>
      <c r="BK6" t="s">
        <v>36</v>
      </c>
      <c r="BL6" t="s">
        <v>36</v>
      </c>
      <c r="BM6" t="s">
        <v>36</v>
      </c>
      <c r="BN6" t="s">
        <v>36</v>
      </c>
      <c r="BO6" t="s">
        <v>36</v>
      </c>
      <c r="BP6" t="s">
        <v>36</v>
      </c>
      <c r="BQ6" t="s">
        <v>36</v>
      </c>
      <c r="BR6" t="s">
        <v>36</v>
      </c>
      <c r="BS6" t="s">
        <v>36</v>
      </c>
      <c r="BT6" t="s">
        <v>36</v>
      </c>
      <c r="BU6" t="s">
        <v>36</v>
      </c>
      <c r="BV6" t="s">
        <v>36</v>
      </c>
      <c r="BW6" t="s">
        <v>36</v>
      </c>
      <c r="BX6" t="s">
        <v>36</v>
      </c>
      <c r="BY6" t="s">
        <v>36</v>
      </c>
      <c r="BZ6" t="s">
        <v>36</v>
      </c>
      <c r="CA6" t="s">
        <v>36</v>
      </c>
      <c r="CB6" t="s">
        <v>36</v>
      </c>
      <c r="CC6" t="s">
        <v>36</v>
      </c>
      <c r="CD6" t="s">
        <v>36</v>
      </c>
      <c r="CE6" t="s">
        <v>36</v>
      </c>
      <c r="CF6" t="s">
        <v>36</v>
      </c>
      <c r="CG6" t="s">
        <v>36</v>
      </c>
      <c r="CH6" t="s">
        <v>36</v>
      </c>
      <c r="CI6" t="s">
        <v>36</v>
      </c>
      <c r="CJ6" t="s">
        <v>36</v>
      </c>
      <c r="CK6" t="s">
        <v>36</v>
      </c>
      <c r="CL6" t="s">
        <v>36</v>
      </c>
      <c r="CM6" t="s">
        <v>36</v>
      </c>
      <c r="CN6" t="s">
        <v>36</v>
      </c>
      <c r="CO6" t="s">
        <v>36</v>
      </c>
      <c r="CP6" t="s">
        <v>36</v>
      </c>
      <c r="CQ6" t="s">
        <v>36</v>
      </c>
      <c r="CR6" t="s">
        <v>36</v>
      </c>
      <c r="CS6" t="s">
        <v>36</v>
      </c>
      <c r="CT6" t="s">
        <v>36</v>
      </c>
      <c r="CU6" t="s">
        <v>36</v>
      </c>
      <c r="CV6" t="s">
        <v>36</v>
      </c>
      <c r="CW6" t="s">
        <v>36</v>
      </c>
      <c r="CX6" t="s">
        <v>36</v>
      </c>
      <c r="CY6" t="s">
        <v>36</v>
      </c>
      <c r="CZ6" t="s">
        <v>36</v>
      </c>
      <c r="DA6" t="s">
        <v>36</v>
      </c>
      <c r="DB6" t="s">
        <v>36</v>
      </c>
      <c r="DC6" t="s">
        <v>36</v>
      </c>
      <c r="DD6" t="s">
        <v>36</v>
      </c>
      <c r="DE6" t="s">
        <v>36</v>
      </c>
      <c r="DF6" t="s">
        <v>36</v>
      </c>
      <c r="DG6" t="s">
        <v>36</v>
      </c>
      <c r="DH6" t="s">
        <v>36</v>
      </c>
      <c r="DI6" t="s">
        <v>36</v>
      </c>
      <c r="DJ6" t="s">
        <v>36</v>
      </c>
      <c r="DK6" t="s">
        <v>36</v>
      </c>
      <c r="DL6" t="s">
        <v>36</v>
      </c>
      <c r="DM6" t="s">
        <v>36</v>
      </c>
      <c r="DN6" t="s">
        <v>36</v>
      </c>
      <c r="DO6" t="s">
        <v>36</v>
      </c>
      <c r="DP6" t="s">
        <v>36</v>
      </c>
      <c r="DQ6" t="s">
        <v>36</v>
      </c>
      <c r="DR6" t="s">
        <v>36</v>
      </c>
      <c r="DS6" t="s">
        <v>36</v>
      </c>
      <c r="DT6" t="s">
        <v>36</v>
      </c>
      <c r="DU6" t="s">
        <v>36</v>
      </c>
      <c r="DV6" t="s">
        <v>36</v>
      </c>
      <c r="DW6" t="s">
        <v>36</v>
      </c>
      <c r="DX6" t="s">
        <v>36</v>
      </c>
      <c r="DY6" t="s">
        <v>36</v>
      </c>
      <c r="DZ6" t="s">
        <v>36</v>
      </c>
      <c r="EA6" t="s">
        <v>36</v>
      </c>
      <c r="EB6" t="s">
        <v>36</v>
      </c>
      <c r="EC6" t="s">
        <v>36</v>
      </c>
      <c r="ED6" t="s">
        <v>36</v>
      </c>
      <c r="EE6" t="s">
        <v>36</v>
      </c>
      <c r="EF6" t="s">
        <v>36</v>
      </c>
      <c r="EG6" t="s">
        <v>36</v>
      </c>
      <c r="EH6" t="s">
        <v>36</v>
      </c>
      <c r="EI6" t="s">
        <v>36</v>
      </c>
      <c r="EJ6" t="s">
        <v>36</v>
      </c>
      <c r="EK6" t="s">
        <v>36</v>
      </c>
      <c r="EL6" t="s">
        <v>36</v>
      </c>
      <c r="EM6" t="s">
        <v>36</v>
      </c>
      <c r="EN6" t="s">
        <v>36</v>
      </c>
      <c r="EO6" t="s">
        <v>36</v>
      </c>
      <c r="EP6" t="s">
        <v>36</v>
      </c>
      <c r="EQ6" t="s">
        <v>36</v>
      </c>
      <c r="ER6" t="s">
        <v>36</v>
      </c>
      <c r="ES6" t="s">
        <v>36</v>
      </c>
      <c r="ET6" t="s">
        <v>36</v>
      </c>
      <c r="EU6" t="s">
        <v>36</v>
      </c>
      <c r="EV6" t="s">
        <v>36</v>
      </c>
      <c r="EW6" t="s">
        <v>36</v>
      </c>
      <c r="EX6" t="s">
        <v>36</v>
      </c>
      <c r="EY6" t="s">
        <v>36</v>
      </c>
      <c r="EZ6" t="s">
        <v>36</v>
      </c>
      <c r="FA6" t="s">
        <v>36</v>
      </c>
      <c r="FB6" t="s">
        <v>36</v>
      </c>
      <c r="FC6" t="s">
        <v>36</v>
      </c>
      <c r="FD6" t="s">
        <v>36</v>
      </c>
      <c r="FE6" t="s">
        <v>36</v>
      </c>
      <c r="FF6" t="s">
        <v>36</v>
      </c>
      <c r="FG6" t="s">
        <v>36</v>
      </c>
      <c r="FH6" t="s">
        <v>36</v>
      </c>
      <c r="FI6" t="s">
        <v>36</v>
      </c>
      <c r="FJ6" t="s">
        <v>36</v>
      </c>
      <c r="FK6" t="s">
        <v>36</v>
      </c>
      <c r="FL6" t="s">
        <v>36</v>
      </c>
      <c r="FM6" t="s">
        <v>36</v>
      </c>
      <c r="FN6" t="s">
        <v>36</v>
      </c>
      <c r="FO6" t="s">
        <v>36</v>
      </c>
      <c r="FP6" t="s">
        <v>36</v>
      </c>
      <c r="FQ6" t="s">
        <v>36</v>
      </c>
    </row>
    <row r="7" ht="15.75" customHeight="1">
      <c r="A7" s="8" t="s">
        <v>36</v>
      </c>
      <c r="B7" s="40">
        <v>24.80002</v>
      </c>
      <c r="C7" s="40">
        <v>24.80002</v>
      </c>
      <c r="D7" s="40">
        <v>20.0</v>
      </c>
      <c r="E7" s="40">
        <v>20.0</v>
      </c>
      <c r="F7" s="13" t="s">
        <v>44</v>
      </c>
      <c r="G7" s="8"/>
      <c r="H7" s="8" t="s">
        <v>42</v>
      </c>
      <c r="I7" s="8"/>
      <c r="J7" s="8"/>
      <c r="K7" s="8"/>
      <c r="L7" s="8"/>
      <c r="M7" s="8"/>
      <c r="N7" s="8"/>
      <c r="O7" s="13" t="s">
        <v>20</v>
      </c>
      <c r="P7" s="9" t="s">
        <v>49</v>
      </c>
      <c r="Q7" s="9">
        <v>20.0</v>
      </c>
      <c r="R7" s="9">
        <v>2.0</v>
      </c>
      <c r="S7" s="9">
        <v>1.0</v>
      </c>
      <c r="T7" s="9">
        <v>1.0</v>
      </c>
      <c r="U7" s="9">
        <v>0.0</v>
      </c>
      <c r="V7" s="9">
        <v>0.0</v>
      </c>
      <c r="W7" s="9">
        <v>2.0E-5</v>
      </c>
      <c r="X7" s="9">
        <v>0.4</v>
      </c>
      <c r="Y7" s="9">
        <v>0.8</v>
      </c>
      <c r="Z7" s="9">
        <v>0.6</v>
      </c>
      <c r="AA7" s="9">
        <v>1.0</v>
      </c>
      <c r="AB7" s="9">
        <v>0.0</v>
      </c>
      <c r="AC7" s="9">
        <v>0.0</v>
      </c>
      <c r="AD7" s="9">
        <v>0.0</v>
      </c>
      <c r="AE7" s="9">
        <v>0.0</v>
      </c>
      <c r="AF7" s="9" t="s">
        <v>41</v>
      </c>
      <c r="AI7" s="9">
        <v>10.0</v>
      </c>
      <c r="AJ7" s="9">
        <v>0.0</v>
      </c>
      <c r="AK7" s="9">
        <v>1.0</v>
      </c>
      <c r="AL7" s="9">
        <v>3.0</v>
      </c>
      <c r="AM7" t="s">
        <v>36</v>
      </c>
      <c r="AN7" t="s">
        <v>36</v>
      </c>
      <c r="AO7" t="s">
        <v>36</v>
      </c>
      <c r="AP7" t="s">
        <v>36</v>
      </c>
      <c r="AQ7" t="s">
        <v>36</v>
      </c>
      <c r="AR7" t="s">
        <v>36</v>
      </c>
      <c r="AS7" t="s">
        <v>36</v>
      </c>
      <c r="AT7" t="s">
        <v>36</v>
      </c>
      <c r="AU7" t="s">
        <v>36</v>
      </c>
      <c r="AV7" t="s">
        <v>36</v>
      </c>
      <c r="AW7" t="s">
        <v>36</v>
      </c>
      <c r="AX7" t="s">
        <v>36</v>
      </c>
      <c r="AY7" t="s">
        <v>36</v>
      </c>
      <c r="AZ7" t="s">
        <v>36</v>
      </c>
      <c r="BA7" t="s">
        <v>36</v>
      </c>
      <c r="BB7" t="s">
        <v>36</v>
      </c>
      <c r="BC7" t="s">
        <v>36</v>
      </c>
      <c r="BD7" t="s">
        <v>36</v>
      </c>
      <c r="BE7" t="s">
        <v>36</v>
      </c>
      <c r="BF7" t="s">
        <v>36</v>
      </c>
      <c r="BG7" t="s">
        <v>36</v>
      </c>
      <c r="BH7" t="s">
        <v>36</v>
      </c>
      <c r="BI7" t="s">
        <v>36</v>
      </c>
      <c r="BJ7" t="s">
        <v>36</v>
      </c>
      <c r="BK7" t="s">
        <v>36</v>
      </c>
      <c r="BL7" t="s">
        <v>36</v>
      </c>
      <c r="BM7" t="s">
        <v>36</v>
      </c>
      <c r="BN7" t="s">
        <v>36</v>
      </c>
      <c r="BO7" t="s">
        <v>36</v>
      </c>
      <c r="BP7" t="s">
        <v>36</v>
      </c>
      <c r="BQ7" t="s">
        <v>36</v>
      </c>
      <c r="BR7" t="s">
        <v>36</v>
      </c>
      <c r="BS7" t="s">
        <v>36</v>
      </c>
      <c r="BT7" t="s">
        <v>36</v>
      </c>
      <c r="BU7" t="s">
        <v>36</v>
      </c>
      <c r="BV7" t="s">
        <v>36</v>
      </c>
      <c r="BW7" t="s">
        <v>36</v>
      </c>
      <c r="BX7" t="s">
        <v>36</v>
      </c>
      <c r="BY7" t="s">
        <v>36</v>
      </c>
      <c r="BZ7" t="s">
        <v>36</v>
      </c>
      <c r="CA7" t="s">
        <v>36</v>
      </c>
      <c r="CB7" t="s">
        <v>36</v>
      </c>
      <c r="CC7" t="s">
        <v>36</v>
      </c>
      <c r="CD7" t="s">
        <v>36</v>
      </c>
      <c r="CE7" t="s">
        <v>36</v>
      </c>
      <c r="CF7" t="s">
        <v>36</v>
      </c>
      <c r="CG7" t="s">
        <v>36</v>
      </c>
      <c r="CH7" t="s">
        <v>36</v>
      </c>
      <c r="CI7" t="s">
        <v>36</v>
      </c>
      <c r="CJ7" t="s">
        <v>36</v>
      </c>
      <c r="CK7" t="s">
        <v>36</v>
      </c>
      <c r="CL7" t="s">
        <v>36</v>
      </c>
      <c r="CM7" t="s">
        <v>36</v>
      </c>
      <c r="CN7" t="s">
        <v>36</v>
      </c>
      <c r="CO7" t="s">
        <v>36</v>
      </c>
      <c r="CP7" t="s">
        <v>36</v>
      </c>
      <c r="CQ7" t="s">
        <v>36</v>
      </c>
      <c r="CR7" t="s">
        <v>36</v>
      </c>
      <c r="CS7" t="s">
        <v>36</v>
      </c>
      <c r="CT7" t="s">
        <v>36</v>
      </c>
      <c r="CU7" t="s">
        <v>36</v>
      </c>
      <c r="CV7" t="s">
        <v>36</v>
      </c>
      <c r="CW7" t="s">
        <v>36</v>
      </c>
      <c r="CX7" t="s">
        <v>36</v>
      </c>
      <c r="CY7" t="s">
        <v>36</v>
      </c>
      <c r="CZ7" t="s">
        <v>36</v>
      </c>
      <c r="DA7" t="s">
        <v>36</v>
      </c>
      <c r="DB7" t="s">
        <v>36</v>
      </c>
      <c r="DC7" t="s">
        <v>36</v>
      </c>
      <c r="DD7" t="s">
        <v>36</v>
      </c>
      <c r="DE7" t="s">
        <v>36</v>
      </c>
      <c r="DF7" t="s">
        <v>36</v>
      </c>
      <c r="DG7" t="s">
        <v>36</v>
      </c>
      <c r="DH7" t="s">
        <v>36</v>
      </c>
      <c r="DI7" t="s">
        <v>36</v>
      </c>
      <c r="DJ7" t="s">
        <v>36</v>
      </c>
      <c r="DK7" t="s">
        <v>36</v>
      </c>
      <c r="DL7" t="s">
        <v>36</v>
      </c>
      <c r="DM7" t="s">
        <v>36</v>
      </c>
      <c r="DN7" t="s">
        <v>36</v>
      </c>
      <c r="DO7" t="s">
        <v>36</v>
      </c>
      <c r="DP7" t="s">
        <v>36</v>
      </c>
      <c r="DQ7" t="s">
        <v>36</v>
      </c>
      <c r="DR7" t="s">
        <v>36</v>
      </c>
      <c r="DS7" t="s">
        <v>36</v>
      </c>
      <c r="DT7" t="s">
        <v>36</v>
      </c>
      <c r="DU7" t="s">
        <v>36</v>
      </c>
      <c r="DV7" t="s">
        <v>36</v>
      </c>
      <c r="DW7" t="s">
        <v>36</v>
      </c>
      <c r="DX7" t="s">
        <v>36</v>
      </c>
      <c r="DY7" t="s">
        <v>36</v>
      </c>
      <c r="DZ7" t="s">
        <v>36</v>
      </c>
      <c r="EA7" t="s">
        <v>36</v>
      </c>
      <c r="EB7" t="s">
        <v>36</v>
      </c>
      <c r="EC7" t="s">
        <v>36</v>
      </c>
      <c r="ED7" t="s">
        <v>36</v>
      </c>
      <c r="EE7" t="s">
        <v>36</v>
      </c>
      <c r="EF7" t="s">
        <v>36</v>
      </c>
      <c r="EG7" t="s">
        <v>36</v>
      </c>
      <c r="EH7" t="s">
        <v>36</v>
      </c>
      <c r="EI7" t="s">
        <v>36</v>
      </c>
      <c r="EJ7" t="s">
        <v>36</v>
      </c>
      <c r="EK7" t="s">
        <v>36</v>
      </c>
      <c r="EL7" t="s">
        <v>36</v>
      </c>
      <c r="EM7" t="s">
        <v>36</v>
      </c>
      <c r="EN7" t="s">
        <v>36</v>
      </c>
      <c r="EO7" t="s">
        <v>36</v>
      </c>
      <c r="EP7" t="s">
        <v>36</v>
      </c>
      <c r="EQ7" t="s">
        <v>36</v>
      </c>
      <c r="ER7" t="s">
        <v>36</v>
      </c>
      <c r="ES7" t="s">
        <v>36</v>
      </c>
      <c r="ET7" t="s">
        <v>36</v>
      </c>
      <c r="EU7" t="s">
        <v>36</v>
      </c>
      <c r="EV7" t="s">
        <v>36</v>
      </c>
      <c r="EW7" t="s">
        <v>36</v>
      </c>
      <c r="EX7" t="s">
        <v>36</v>
      </c>
      <c r="EY7" t="s">
        <v>36</v>
      </c>
      <c r="EZ7" t="s">
        <v>36</v>
      </c>
      <c r="FA7" t="s">
        <v>36</v>
      </c>
      <c r="FB7" t="s">
        <v>36</v>
      </c>
      <c r="FC7" t="s">
        <v>36</v>
      </c>
      <c r="FD7" t="s">
        <v>36</v>
      </c>
      <c r="FE7" t="s">
        <v>36</v>
      </c>
      <c r="FF7" t="s">
        <v>36</v>
      </c>
      <c r="FG7" t="s">
        <v>36</v>
      </c>
      <c r="FH7" t="s">
        <v>36</v>
      </c>
      <c r="FI7" t="s">
        <v>36</v>
      </c>
      <c r="FJ7" t="s">
        <v>36</v>
      </c>
      <c r="FK7" t="s">
        <v>36</v>
      </c>
      <c r="FL7" t="s">
        <v>36</v>
      </c>
      <c r="FM7" t="s">
        <v>36</v>
      </c>
      <c r="FN7" t="s">
        <v>36</v>
      </c>
      <c r="FO7" t="s">
        <v>36</v>
      </c>
      <c r="FP7" t="s">
        <v>36</v>
      </c>
      <c r="FQ7" t="s">
        <v>36</v>
      </c>
    </row>
    <row r="8" ht="15.75" customHeight="1">
      <c r="A8" s="8" t="s">
        <v>36</v>
      </c>
      <c r="B8" s="40">
        <v>12.40001</v>
      </c>
      <c r="C8" s="40">
        <v>12.40001</v>
      </c>
      <c r="D8" s="40">
        <v>10.0</v>
      </c>
      <c r="E8" s="40">
        <v>10.0</v>
      </c>
      <c r="F8" s="13" t="s">
        <v>44</v>
      </c>
      <c r="G8" s="8"/>
      <c r="H8" s="8" t="s">
        <v>42</v>
      </c>
      <c r="I8" s="8"/>
      <c r="J8" s="8"/>
      <c r="K8" s="8"/>
      <c r="L8" s="8"/>
      <c r="M8" s="8"/>
      <c r="N8" s="8"/>
      <c r="O8" s="13" t="s">
        <v>18</v>
      </c>
      <c r="P8" s="9" t="s">
        <v>49</v>
      </c>
      <c r="Q8" s="9">
        <v>10.0</v>
      </c>
      <c r="R8" s="9">
        <v>1.0</v>
      </c>
      <c r="S8" s="9">
        <v>0.5</v>
      </c>
      <c r="T8" s="9">
        <v>0.5</v>
      </c>
      <c r="U8" s="9">
        <v>0.0</v>
      </c>
      <c r="V8" s="9">
        <v>0.0</v>
      </c>
      <c r="W8" s="9">
        <v>1.0E-5</v>
      </c>
      <c r="X8" s="9">
        <v>0.2</v>
      </c>
      <c r="Y8" s="9">
        <v>0.4</v>
      </c>
      <c r="Z8" s="9">
        <v>0.3</v>
      </c>
      <c r="AA8" s="9">
        <v>0.5</v>
      </c>
      <c r="AB8" s="9">
        <v>0.0</v>
      </c>
      <c r="AC8" s="9">
        <v>0.0</v>
      </c>
      <c r="AD8" s="9">
        <v>0.0</v>
      </c>
      <c r="AE8" s="9">
        <v>0.0</v>
      </c>
      <c r="AF8" s="9" t="s">
        <v>41</v>
      </c>
      <c r="AI8" s="9">
        <v>10.0</v>
      </c>
      <c r="AJ8" s="9">
        <v>0.0</v>
      </c>
      <c r="AK8" s="9">
        <v>1.0</v>
      </c>
      <c r="AL8" s="9">
        <v>3.0</v>
      </c>
      <c r="AM8" t="s">
        <v>36</v>
      </c>
      <c r="AN8" t="s">
        <v>36</v>
      </c>
      <c r="AO8" t="s">
        <v>36</v>
      </c>
      <c r="AP8" t="s">
        <v>36</v>
      </c>
      <c r="AQ8" t="s">
        <v>36</v>
      </c>
      <c r="AR8" t="s">
        <v>36</v>
      </c>
      <c r="AS8" t="s">
        <v>36</v>
      </c>
      <c r="AT8" t="s">
        <v>36</v>
      </c>
      <c r="AU8" t="s">
        <v>36</v>
      </c>
      <c r="AV8" t="s">
        <v>36</v>
      </c>
      <c r="AW8" t="s">
        <v>36</v>
      </c>
      <c r="AX8" t="s">
        <v>36</v>
      </c>
      <c r="AY8" t="s">
        <v>36</v>
      </c>
      <c r="AZ8" t="s">
        <v>36</v>
      </c>
      <c r="BA8" t="s">
        <v>36</v>
      </c>
      <c r="BB8" t="s">
        <v>36</v>
      </c>
      <c r="BC8" t="s">
        <v>36</v>
      </c>
      <c r="BD8" t="s">
        <v>36</v>
      </c>
      <c r="BE8" t="s">
        <v>36</v>
      </c>
      <c r="BF8" t="s">
        <v>36</v>
      </c>
      <c r="BG8" t="s">
        <v>36</v>
      </c>
      <c r="BH8" t="s">
        <v>36</v>
      </c>
      <c r="BI8" t="s">
        <v>36</v>
      </c>
      <c r="BJ8" t="s">
        <v>36</v>
      </c>
      <c r="BK8" t="s">
        <v>36</v>
      </c>
      <c r="BL8" t="s">
        <v>36</v>
      </c>
      <c r="BM8" t="s">
        <v>36</v>
      </c>
      <c r="BN8" t="s">
        <v>36</v>
      </c>
      <c r="BO8" t="s">
        <v>36</v>
      </c>
      <c r="BP8" t="s">
        <v>36</v>
      </c>
      <c r="BQ8" t="s">
        <v>36</v>
      </c>
      <c r="BR8" t="s">
        <v>36</v>
      </c>
      <c r="BS8" t="s">
        <v>36</v>
      </c>
      <c r="BT8" t="s">
        <v>36</v>
      </c>
      <c r="BU8" t="s">
        <v>36</v>
      </c>
      <c r="BV8" t="s">
        <v>36</v>
      </c>
      <c r="BW8" t="s">
        <v>36</v>
      </c>
      <c r="BX8" t="s">
        <v>36</v>
      </c>
      <c r="BY8" t="s">
        <v>36</v>
      </c>
      <c r="BZ8" t="s">
        <v>36</v>
      </c>
      <c r="CA8" t="s">
        <v>36</v>
      </c>
      <c r="CB8" t="s">
        <v>36</v>
      </c>
      <c r="CC8" t="s">
        <v>36</v>
      </c>
      <c r="CD8" t="s">
        <v>36</v>
      </c>
      <c r="CE8" t="s">
        <v>36</v>
      </c>
      <c r="CF8" t="s">
        <v>36</v>
      </c>
      <c r="CG8" t="s">
        <v>36</v>
      </c>
      <c r="CH8" t="s">
        <v>36</v>
      </c>
      <c r="CI8" t="s">
        <v>36</v>
      </c>
      <c r="CJ8" t="s">
        <v>36</v>
      </c>
      <c r="CK8" t="s">
        <v>36</v>
      </c>
      <c r="CL8" t="s">
        <v>36</v>
      </c>
      <c r="CM8" t="s">
        <v>36</v>
      </c>
      <c r="CN8" t="s">
        <v>36</v>
      </c>
      <c r="CO8" t="s">
        <v>36</v>
      </c>
      <c r="CP8" t="s">
        <v>36</v>
      </c>
      <c r="CQ8" t="s">
        <v>36</v>
      </c>
      <c r="CR8" t="s">
        <v>36</v>
      </c>
      <c r="CS8" t="s">
        <v>36</v>
      </c>
      <c r="CT8" t="s">
        <v>36</v>
      </c>
      <c r="CU8" t="s">
        <v>36</v>
      </c>
      <c r="CV8" t="s">
        <v>36</v>
      </c>
      <c r="CW8" t="s">
        <v>36</v>
      </c>
      <c r="CX8" t="s">
        <v>36</v>
      </c>
      <c r="CY8" t="s">
        <v>36</v>
      </c>
      <c r="CZ8" t="s">
        <v>36</v>
      </c>
      <c r="DA8" t="s">
        <v>36</v>
      </c>
      <c r="DB8" t="s">
        <v>36</v>
      </c>
      <c r="DC8" t="s">
        <v>36</v>
      </c>
      <c r="DD8" t="s">
        <v>36</v>
      </c>
      <c r="DE8" t="s">
        <v>36</v>
      </c>
      <c r="DF8" t="s">
        <v>36</v>
      </c>
      <c r="DG8" t="s">
        <v>36</v>
      </c>
      <c r="DH8" t="s">
        <v>36</v>
      </c>
      <c r="DI8" t="s">
        <v>36</v>
      </c>
      <c r="DJ8" t="s">
        <v>36</v>
      </c>
      <c r="DK8" t="s">
        <v>36</v>
      </c>
      <c r="DL8" t="s">
        <v>36</v>
      </c>
      <c r="DM8" t="s">
        <v>36</v>
      </c>
      <c r="DN8" t="s">
        <v>36</v>
      </c>
      <c r="DO8" t="s">
        <v>36</v>
      </c>
      <c r="DP8" t="s">
        <v>36</v>
      </c>
      <c r="DQ8" t="s">
        <v>36</v>
      </c>
      <c r="DR8" t="s">
        <v>36</v>
      </c>
      <c r="DS8" t="s">
        <v>36</v>
      </c>
      <c r="DT8" t="s">
        <v>36</v>
      </c>
      <c r="DU8" t="s">
        <v>36</v>
      </c>
      <c r="DV8" t="s">
        <v>36</v>
      </c>
      <c r="DW8" t="s">
        <v>36</v>
      </c>
      <c r="DX8" t="s">
        <v>36</v>
      </c>
      <c r="DY8" t="s">
        <v>36</v>
      </c>
      <c r="DZ8" t="s">
        <v>36</v>
      </c>
      <c r="EA8" t="s">
        <v>36</v>
      </c>
      <c r="EB8" t="s">
        <v>36</v>
      </c>
      <c r="EC8" t="s">
        <v>36</v>
      </c>
      <c r="ED8" t="s">
        <v>36</v>
      </c>
      <c r="EE8" t="s">
        <v>36</v>
      </c>
      <c r="EF8" t="s">
        <v>36</v>
      </c>
      <c r="EG8" t="s">
        <v>36</v>
      </c>
      <c r="EH8" t="s">
        <v>36</v>
      </c>
      <c r="EI8" t="s">
        <v>36</v>
      </c>
      <c r="EJ8" t="s">
        <v>36</v>
      </c>
      <c r="EK8" t="s">
        <v>36</v>
      </c>
      <c r="EL8" t="s">
        <v>36</v>
      </c>
      <c r="EM8" t="s">
        <v>36</v>
      </c>
      <c r="EN8" t="s">
        <v>36</v>
      </c>
      <c r="EO8" t="s">
        <v>36</v>
      </c>
      <c r="EP8" t="s">
        <v>36</v>
      </c>
      <c r="EQ8" t="s">
        <v>36</v>
      </c>
      <c r="ER8" t="s">
        <v>36</v>
      </c>
      <c r="ES8" t="s">
        <v>36</v>
      </c>
      <c r="ET8" t="s">
        <v>36</v>
      </c>
      <c r="EU8" t="s">
        <v>36</v>
      </c>
      <c r="EV8" t="s">
        <v>36</v>
      </c>
      <c r="EW8" t="s">
        <v>36</v>
      </c>
      <c r="EX8" t="s">
        <v>36</v>
      </c>
      <c r="EY8" t="s">
        <v>36</v>
      </c>
      <c r="EZ8" t="s">
        <v>36</v>
      </c>
      <c r="FA8" t="s">
        <v>36</v>
      </c>
      <c r="FB8" t="s">
        <v>36</v>
      </c>
      <c r="FC8" t="s">
        <v>36</v>
      </c>
      <c r="FD8" t="s">
        <v>36</v>
      </c>
      <c r="FE8" t="s">
        <v>36</v>
      </c>
      <c r="FF8" t="s">
        <v>36</v>
      </c>
      <c r="FG8" t="s">
        <v>36</v>
      </c>
      <c r="FH8" t="s">
        <v>36</v>
      </c>
      <c r="FI8" t="s">
        <v>36</v>
      </c>
      <c r="FJ8" t="s">
        <v>36</v>
      </c>
      <c r="FK8" t="s">
        <v>36</v>
      </c>
      <c r="FL8" t="s">
        <v>36</v>
      </c>
      <c r="FM8" t="s">
        <v>36</v>
      </c>
      <c r="FN8" t="s">
        <v>36</v>
      </c>
      <c r="FO8" t="s">
        <v>36</v>
      </c>
      <c r="FP8" t="s">
        <v>36</v>
      </c>
      <c r="FQ8" t="s">
        <v>36</v>
      </c>
    </row>
    <row r="9" ht="15.75" customHeight="1">
      <c r="A9" s="8" t="s">
        <v>36</v>
      </c>
      <c r="B9" s="40">
        <v>12.40001</v>
      </c>
      <c r="C9" s="40">
        <v>12.40001</v>
      </c>
      <c r="D9" s="40">
        <v>10.0</v>
      </c>
      <c r="E9" s="40">
        <v>10.0</v>
      </c>
      <c r="F9" s="13" t="s">
        <v>44</v>
      </c>
      <c r="G9" s="8"/>
      <c r="H9" s="8" t="s">
        <v>42</v>
      </c>
      <c r="I9" s="8"/>
      <c r="J9" s="8"/>
      <c r="K9" s="8"/>
      <c r="L9" s="8"/>
      <c r="M9" s="8"/>
      <c r="N9" s="8"/>
      <c r="O9" s="13" t="s">
        <v>22</v>
      </c>
      <c r="P9" s="9" t="s">
        <v>49</v>
      </c>
      <c r="Q9" s="9">
        <v>10.0</v>
      </c>
      <c r="R9" s="9">
        <v>1.0</v>
      </c>
      <c r="S9" s="9">
        <v>0.5</v>
      </c>
      <c r="T9" s="9">
        <v>0.5</v>
      </c>
      <c r="U9" s="9">
        <v>0.0</v>
      </c>
      <c r="V9" s="9">
        <v>0.0</v>
      </c>
      <c r="W9" s="9">
        <v>1.0E-5</v>
      </c>
      <c r="X9" s="9">
        <v>0.2</v>
      </c>
      <c r="Y9" s="9">
        <v>0.4</v>
      </c>
      <c r="Z9" s="9">
        <v>0.3</v>
      </c>
      <c r="AA9" s="9">
        <v>0.5</v>
      </c>
      <c r="AB9" s="9">
        <v>0.0</v>
      </c>
      <c r="AC9" s="9">
        <v>0.0</v>
      </c>
      <c r="AD9" s="9">
        <v>0.0</v>
      </c>
      <c r="AE9" s="9">
        <v>0.0</v>
      </c>
      <c r="AF9" s="9" t="s">
        <v>41</v>
      </c>
      <c r="AI9" s="9">
        <v>10.0</v>
      </c>
      <c r="AJ9" s="9">
        <v>0.0</v>
      </c>
      <c r="AK9" s="9">
        <v>1.0</v>
      </c>
      <c r="AL9" s="9">
        <v>3.0</v>
      </c>
      <c r="AM9" t="s">
        <v>36</v>
      </c>
      <c r="AN9" t="s">
        <v>36</v>
      </c>
      <c r="AO9" t="s">
        <v>36</v>
      </c>
      <c r="AP9" t="s">
        <v>36</v>
      </c>
      <c r="AQ9" t="s">
        <v>36</v>
      </c>
      <c r="AR9" t="s">
        <v>36</v>
      </c>
      <c r="AS9" t="s">
        <v>36</v>
      </c>
      <c r="AT9" t="s">
        <v>36</v>
      </c>
      <c r="AU9" t="s">
        <v>36</v>
      </c>
      <c r="AV9" t="s">
        <v>36</v>
      </c>
      <c r="AW9" t="s">
        <v>36</v>
      </c>
      <c r="AX9" t="s">
        <v>36</v>
      </c>
      <c r="AY9" t="s">
        <v>36</v>
      </c>
      <c r="AZ9" t="s">
        <v>36</v>
      </c>
      <c r="BA9" t="s">
        <v>36</v>
      </c>
      <c r="BB9" t="s">
        <v>36</v>
      </c>
      <c r="BC9" t="s">
        <v>36</v>
      </c>
      <c r="BD9" t="s">
        <v>36</v>
      </c>
      <c r="BE9" t="s">
        <v>36</v>
      </c>
      <c r="BF9" t="s">
        <v>36</v>
      </c>
      <c r="BG9" t="s">
        <v>36</v>
      </c>
      <c r="BH9" t="s">
        <v>36</v>
      </c>
      <c r="BI9" t="s">
        <v>36</v>
      </c>
      <c r="BJ9" t="s">
        <v>36</v>
      </c>
      <c r="BK9" t="s">
        <v>36</v>
      </c>
      <c r="BL9" t="s">
        <v>36</v>
      </c>
      <c r="BM9" t="s">
        <v>36</v>
      </c>
      <c r="BN9" t="s">
        <v>36</v>
      </c>
      <c r="BO9" t="s">
        <v>36</v>
      </c>
      <c r="BP9" t="s">
        <v>36</v>
      </c>
      <c r="BQ9" t="s">
        <v>36</v>
      </c>
      <c r="BR9" t="s">
        <v>36</v>
      </c>
      <c r="BS9" t="s">
        <v>36</v>
      </c>
      <c r="BT9" t="s">
        <v>36</v>
      </c>
      <c r="BU9" t="s">
        <v>36</v>
      </c>
      <c r="BV9" t="s">
        <v>36</v>
      </c>
      <c r="BW9" t="s">
        <v>36</v>
      </c>
      <c r="BX9" t="s">
        <v>36</v>
      </c>
      <c r="BY9" t="s">
        <v>36</v>
      </c>
      <c r="BZ9" t="s">
        <v>36</v>
      </c>
      <c r="CA9" t="s">
        <v>36</v>
      </c>
      <c r="CB9" t="s">
        <v>36</v>
      </c>
      <c r="CC9" t="s">
        <v>36</v>
      </c>
      <c r="CD9" t="s">
        <v>36</v>
      </c>
      <c r="CE9" t="s">
        <v>36</v>
      </c>
      <c r="CF9" t="s">
        <v>36</v>
      </c>
      <c r="CG9" t="s">
        <v>36</v>
      </c>
      <c r="CH9" t="s">
        <v>36</v>
      </c>
      <c r="CI9" t="s">
        <v>36</v>
      </c>
      <c r="CJ9" t="s">
        <v>36</v>
      </c>
      <c r="CK9" t="s">
        <v>36</v>
      </c>
      <c r="CL9" t="s">
        <v>36</v>
      </c>
      <c r="CM9" t="s">
        <v>36</v>
      </c>
      <c r="CN9" t="s">
        <v>36</v>
      </c>
      <c r="CO9" t="s">
        <v>36</v>
      </c>
      <c r="CP9" t="s">
        <v>36</v>
      </c>
      <c r="CQ9" t="s">
        <v>36</v>
      </c>
      <c r="CR9" t="s">
        <v>36</v>
      </c>
      <c r="CS9" t="s">
        <v>36</v>
      </c>
      <c r="CT9" t="s">
        <v>36</v>
      </c>
      <c r="CU9" t="s">
        <v>36</v>
      </c>
      <c r="CV9" t="s">
        <v>36</v>
      </c>
      <c r="CW9" t="s">
        <v>36</v>
      </c>
      <c r="CX9" t="s">
        <v>36</v>
      </c>
      <c r="CY9" t="s">
        <v>36</v>
      </c>
      <c r="CZ9" t="s">
        <v>36</v>
      </c>
      <c r="DA9" t="s">
        <v>36</v>
      </c>
      <c r="DB9" t="s">
        <v>36</v>
      </c>
      <c r="DC9" t="s">
        <v>36</v>
      </c>
      <c r="DD9" t="s">
        <v>36</v>
      </c>
      <c r="DE9" t="s">
        <v>36</v>
      </c>
      <c r="DF9" t="s">
        <v>36</v>
      </c>
      <c r="DG9" t="s">
        <v>36</v>
      </c>
      <c r="DH9" t="s">
        <v>36</v>
      </c>
      <c r="DI9" t="s">
        <v>36</v>
      </c>
      <c r="DJ9" t="s">
        <v>36</v>
      </c>
      <c r="DK9" t="s">
        <v>36</v>
      </c>
      <c r="DL9" t="s">
        <v>36</v>
      </c>
      <c r="DM9" t="s">
        <v>36</v>
      </c>
      <c r="DN9" t="s">
        <v>36</v>
      </c>
      <c r="DO9" t="s">
        <v>36</v>
      </c>
      <c r="DP9" t="s">
        <v>36</v>
      </c>
      <c r="DQ9" t="s">
        <v>36</v>
      </c>
      <c r="DR9" t="s">
        <v>36</v>
      </c>
      <c r="DS9" t="s">
        <v>36</v>
      </c>
      <c r="DT9" t="s">
        <v>36</v>
      </c>
      <c r="DU9" t="s">
        <v>36</v>
      </c>
      <c r="DV9" t="s">
        <v>36</v>
      </c>
      <c r="DW9" t="s">
        <v>36</v>
      </c>
      <c r="DX9" t="s">
        <v>36</v>
      </c>
      <c r="DY9" t="s">
        <v>36</v>
      </c>
      <c r="DZ9" t="s">
        <v>36</v>
      </c>
      <c r="EA9" t="s">
        <v>36</v>
      </c>
      <c r="EB9" t="s">
        <v>36</v>
      </c>
      <c r="EC9" t="s">
        <v>36</v>
      </c>
      <c r="ED9" t="s">
        <v>36</v>
      </c>
      <c r="EE9" t="s">
        <v>36</v>
      </c>
      <c r="EF9" t="s">
        <v>36</v>
      </c>
      <c r="EG9" t="s">
        <v>36</v>
      </c>
      <c r="EH9" t="s">
        <v>36</v>
      </c>
      <c r="EI9" t="s">
        <v>36</v>
      </c>
      <c r="EJ9" t="s">
        <v>36</v>
      </c>
      <c r="EK9" t="s">
        <v>36</v>
      </c>
      <c r="EL9" t="s">
        <v>36</v>
      </c>
      <c r="EM9" t="s">
        <v>36</v>
      </c>
      <c r="EN9" t="s">
        <v>36</v>
      </c>
      <c r="EO9" t="s">
        <v>36</v>
      </c>
      <c r="EP9" t="s">
        <v>36</v>
      </c>
      <c r="EQ9" t="s">
        <v>36</v>
      </c>
      <c r="ER9" t="s">
        <v>36</v>
      </c>
      <c r="ES9" t="s">
        <v>36</v>
      </c>
      <c r="ET9" t="s">
        <v>36</v>
      </c>
      <c r="EU9" t="s">
        <v>36</v>
      </c>
      <c r="EV9" t="s">
        <v>36</v>
      </c>
      <c r="EW9" t="s">
        <v>36</v>
      </c>
      <c r="EX9" t="s">
        <v>36</v>
      </c>
      <c r="EY9" t="s">
        <v>36</v>
      </c>
      <c r="EZ9" t="s">
        <v>36</v>
      </c>
      <c r="FA9" t="s">
        <v>36</v>
      </c>
      <c r="FB9" t="s">
        <v>36</v>
      </c>
      <c r="FC9" t="s">
        <v>36</v>
      </c>
      <c r="FD9" t="s">
        <v>36</v>
      </c>
      <c r="FE9" t="s">
        <v>36</v>
      </c>
      <c r="FF9" t="s">
        <v>36</v>
      </c>
      <c r="FG9" t="s">
        <v>36</v>
      </c>
      <c r="FH9" t="s">
        <v>36</v>
      </c>
      <c r="FI9" t="s">
        <v>36</v>
      </c>
      <c r="FJ9" t="s">
        <v>36</v>
      </c>
      <c r="FK9" t="s">
        <v>36</v>
      </c>
      <c r="FL9" t="s">
        <v>36</v>
      </c>
      <c r="FM9" t="s">
        <v>36</v>
      </c>
      <c r="FN9" t="s">
        <v>36</v>
      </c>
      <c r="FO9" t="s">
        <v>36</v>
      </c>
      <c r="FP9" t="s">
        <v>36</v>
      </c>
      <c r="FQ9" t="s">
        <v>36</v>
      </c>
    </row>
    <row r="10" ht="15.75" customHeight="1">
      <c r="A10" s="8" t="s">
        <v>36</v>
      </c>
      <c r="B10" s="40">
        <v>24.80002</v>
      </c>
      <c r="C10" s="40">
        <v>24.80002</v>
      </c>
      <c r="D10" s="40">
        <v>20.0</v>
      </c>
      <c r="E10" s="40">
        <v>20.0</v>
      </c>
      <c r="F10" s="13" t="s">
        <v>44</v>
      </c>
      <c r="G10" s="8"/>
      <c r="H10" s="8" t="s">
        <v>42</v>
      </c>
      <c r="I10" s="8"/>
      <c r="J10" s="8"/>
      <c r="K10" s="8"/>
      <c r="L10" s="8"/>
      <c r="M10" s="8"/>
      <c r="N10" s="8"/>
      <c r="O10" s="13" t="s">
        <v>19</v>
      </c>
      <c r="P10" s="9" t="s">
        <v>49</v>
      </c>
      <c r="Q10" s="9">
        <v>20.0</v>
      </c>
      <c r="R10" s="9">
        <v>2.0</v>
      </c>
      <c r="S10" s="9">
        <v>1.0</v>
      </c>
      <c r="T10" s="9">
        <v>1.0</v>
      </c>
      <c r="U10" s="9">
        <v>0.0</v>
      </c>
      <c r="V10" s="9">
        <v>0.0</v>
      </c>
      <c r="W10" s="9">
        <v>2.0E-5</v>
      </c>
      <c r="X10" s="9">
        <v>0.4</v>
      </c>
      <c r="Y10" s="9">
        <v>0.8</v>
      </c>
      <c r="Z10" s="9">
        <v>0.6</v>
      </c>
      <c r="AA10" s="9">
        <v>1.0</v>
      </c>
      <c r="AB10" s="9">
        <v>0.0</v>
      </c>
      <c r="AC10" s="9">
        <v>0.0</v>
      </c>
      <c r="AD10" s="9">
        <v>0.0</v>
      </c>
      <c r="AE10" s="9">
        <v>0.0</v>
      </c>
      <c r="AF10" s="9" t="s">
        <v>41</v>
      </c>
      <c r="AI10" s="9">
        <v>10.0</v>
      </c>
      <c r="AJ10" s="9">
        <v>0.0</v>
      </c>
      <c r="AK10" s="9">
        <v>1.0</v>
      </c>
      <c r="AL10" s="9">
        <v>3.0</v>
      </c>
      <c r="AM10" t="s">
        <v>36</v>
      </c>
      <c r="AN10" t="s">
        <v>36</v>
      </c>
      <c r="AO10" t="s">
        <v>36</v>
      </c>
      <c r="AP10" t="s">
        <v>36</v>
      </c>
      <c r="AQ10" t="s">
        <v>36</v>
      </c>
      <c r="AR10" t="s">
        <v>36</v>
      </c>
      <c r="AS10" t="s">
        <v>36</v>
      </c>
      <c r="AT10" t="s">
        <v>36</v>
      </c>
      <c r="AU10" t="s">
        <v>36</v>
      </c>
      <c r="AV10" t="s">
        <v>36</v>
      </c>
      <c r="AW10" t="s">
        <v>36</v>
      </c>
      <c r="AX10" t="s">
        <v>36</v>
      </c>
      <c r="AY10" t="s">
        <v>36</v>
      </c>
      <c r="AZ10" t="s">
        <v>36</v>
      </c>
      <c r="BA10" t="s">
        <v>36</v>
      </c>
      <c r="BB10" t="s">
        <v>36</v>
      </c>
      <c r="BC10" t="s">
        <v>36</v>
      </c>
      <c r="BD10" t="s">
        <v>36</v>
      </c>
      <c r="BE10" t="s">
        <v>36</v>
      </c>
      <c r="BF10" t="s">
        <v>36</v>
      </c>
      <c r="BG10" t="s">
        <v>36</v>
      </c>
      <c r="BH10" t="s">
        <v>36</v>
      </c>
      <c r="BI10" t="s">
        <v>36</v>
      </c>
      <c r="BJ10" t="s">
        <v>36</v>
      </c>
      <c r="BK10" t="s">
        <v>36</v>
      </c>
      <c r="BL10" t="s">
        <v>36</v>
      </c>
      <c r="BM10" t="s">
        <v>36</v>
      </c>
      <c r="BN10" t="s">
        <v>36</v>
      </c>
      <c r="BO10" t="s">
        <v>36</v>
      </c>
      <c r="BP10" t="s">
        <v>36</v>
      </c>
      <c r="BQ10" t="s">
        <v>36</v>
      </c>
      <c r="BR10" t="s">
        <v>36</v>
      </c>
      <c r="BS10" t="s">
        <v>36</v>
      </c>
      <c r="BT10" t="s">
        <v>36</v>
      </c>
      <c r="BU10" t="s">
        <v>36</v>
      </c>
      <c r="BV10" t="s">
        <v>36</v>
      </c>
      <c r="BW10" t="s">
        <v>36</v>
      </c>
      <c r="BX10" t="s">
        <v>36</v>
      </c>
      <c r="BY10" t="s">
        <v>36</v>
      </c>
      <c r="BZ10" t="s">
        <v>36</v>
      </c>
      <c r="CA10" t="s">
        <v>36</v>
      </c>
      <c r="CB10" t="s">
        <v>36</v>
      </c>
      <c r="CC10" t="s">
        <v>36</v>
      </c>
      <c r="CD10" t="s">
        <v>36</v>
      </c>
      <c r="CE10" t="s">
        <v>36</v>
      </c>
      <c r="CF10" t="s">
        <v>36</v>
      </c>
      <c r="CG10" t="s">
        <v>36</v>
      </c>
      <c r="CH10" t="s">
        <v>36</v>
      </c>
      <c r="CI10" t="s">
        <v>36</v>
      </c>
      <c r="CJ10" t="s">
        <v>36</v>
      </c>
      <c r="CK10" t="s">
        <v>36</v>
      </c>
      <c r="CL10" t="s">
        <v>36</v>
      </c>
      <c r="CM10" t="s">
        <v>36</v>
      </c>
      <c r="CN10" t="s">
        <v>36</v>
      </c>
      <c r="CO10" t="s">
        <v>36</v>
      </c>
      <c r="CP10" t="s">
        <v>36</v>
      </c>
      <c r="CQ10" t="s">
        <v>36</v>
      </c>
      <c r="CR10" t="s">
        <v>36</v>
      </c>
      <c r="CS10" t="s">
        <v>36</v>
      </c>
      <c r="CT10" t="s">
        <v>36</v>
      </c>
      <c r="CU10" t="s">
        <v>36</v>
      </c>
      <c r="CV10" t="s">
        <v>36</v>
      </c>
      <c r="CW10" t="s">
        <v>36</v>
      </c>
      <c r="CX10" t="s">
        <v>36</v>
      </c>
      <c r="CY10" t="s">
        <v>36</v>
      </c>
      <c r="CZ10" t="s">
        <v>36</v>
      </c>
      <c r="DA10" t="s">
        <v>36</v>
      </c>
      <c r="DB10" t="s">
        <v>36</v>
      </c>
      <c r="DC10" t="s">
        <v>36</v>
      </c>
      <c r="DD10" t="s">
        <v>36</v>
      </c>
      <c r="DE10" t="s">
        <v>36</v>
      </c>
      <c r="DF10" t="s">
        <v>36</v>
      </c>
      <c r="DG10" t="s">
        <v>36</v>
      </c>
      <c r="DH10" t="s">
        <v>36</v>
      </c>
      <c r="DI10" t="s">
        <v>36</v>
      </c>
      <c r="DJ10" t="s">
        <v>36</v>
      </c>
      <c r="DK10" t="s">
        <v>36</v>
      </c>
      <c r="DL10" t="s">
        <v>36</v>
      </c>
      <c r="DM10" t="s">
        <v>36</v>
      </c>
      <c r="DN10" t="s">
        <v>36</v>
      </c>
      <c r="DO10" t="s">
        <v>36</v>
      </c>
      <c r="DP10" t="s">
        <v>36</v>
      </c>
      <c r="DQ10" t="s">
        <v>36</v>
      </c>
      <c r="DR10" t="s">
        <v>36</v>
      </c>
      <c r="DS10" t="s">
        <v>36</v>
      </c>
      <c r="DT10" t="s">
        <v>36</v>
      </c>
      <c r="DU10" t="s">
        <v>36</v>
      </c>
      <c r="DV10" t="s">
        <v>36</v>
      </c>
      <c r="DW10" t="s">
        <v>36</v>
      </c>
      <c r="DX10" t="s">
        <v>36</v>
      </c>
      <c r="DY10" t="s">
        <v>36</v>
      </c>
      <c r="DZ10" t="s">
        <v>36</v>
      </c>
      <c r="EA10" t="s">
        <v>36</v>
      </c>
      <c r="EB10" t="s">
        <v>36</v>
      </c>
      <c r="EC10" t="s">
        <v>36</v>
      </c>
      <c r="ED10" t="s">
        <v>36</v>
      </c>
      <c r="EE10" t="s">
        <v>36</v>
      </c>
      <c r="EF10" t="s">
        <v>36</v>
      </c>
      <c r="EG10" t="s">
        <v>36</v>
      </c>
      <c r="EH10" t="s">
        <v>36</v>
      </c>
      <c r="EI10" t="s">
        <v>36</v>
      </c>
      <c r="EJ10" t="s">
        <v>36</v>
      </c>
      <c r="EK10" t="s">
        <v>36</v>
      </c>
      <c r="EL10" t="s">
        <v>36</v>
      </c>
      <c r="EM10" t="s">
        <v>36</v>
      </c>
      <c r="EN10" t="s">
        <v>36</v>
      </c>
      <c r="EO10" t="s">
        <v>36</v>
      </c>
      <c r="EP10" t="s">
        <v>36</v>
      </c>
      <c r="EQ10" t="s">
        <v>36</v>
      </c>
      <c r="ER10" t="s">
        <v>36</v>
      </c>
      <c r="ES10" t="s">
        <v>36</v>
      </c>
      <c r="ET10" t="s">
        <v>36</v>
      </c>
      <c r="EU10" t="s">
        <v>36</v>
      </c>
      <c r="EV10" t="s">
        <v>36</v>
      </c>
      <c r="EW10" t="s">
        <v>36</v>
      </c>
      <c r="EX10" t="s">
        <v>36</v>
      </c>
      <c r="EY10" t="s">
        <v>36</v>
      </c>
      <c r="EZ10" t="s">
        <v>36</v>
      </c>
      <c r="FA10" t="s">
        <v>36</v>
      </c>
      <c r="FB10" t="s">
        <v>36</v>
      </c>
      <c r="FC10" t="s">
        <v>36</v>
      </c>
      <c r="FD10" t="s">
        <v>36</v>
      </c>
      <c r="FE10" t="s">
        <v>36</v>
      </c>
      <c r="FF10" t="s">
        <v>36</v>
      </c>
      <c r="FG10" t="s">
        <v>36</v>
      </c>
      <c r="FH10" t="s">
        <v>36</v>
      </c>
      <c r="FI10" t="s">
        <v>36</v>
      </c>
      <c r="FJ10" t="s">
        <v>36</v>
      </c>
      <c r="FK10" t="s">
        <v>36</v>
      </c>
      <c r="FL10" t="s">
        <v>36</v>
      </c>
      <c r="FM10" t="s">
        <v>36</v>
      </c>
      <c r="FN10" t="s">
        <v>36</v>
      </c>
      <c r="FO10" t="s">
        <v>36</v>
      </c>
      <c r="FP10" t="s">
        <v>36</v>
      </c>
      <c r="FQ10" t="s">
        <v>36</v>
      </c>
    </row>
    <row r="11" ht="15.75" customHeight="1">
      <c r="A11" s="8" t="s">
        <v>36</v>
      </c>
      <c r="B11" s="40">
        <v>4002.2</v>
      </c>
      <c r="C11" s="40">
        <v>4002.2</v>
      </c>
      <c r="D11" s="40">
        <v>4000.0</v>
      </c>
      <c r="E11" s="40">
        <v>4000.0</v>
      </c>
      <c r="F11" s="13" t="s">
        <v>44</v>
      </c>
      <c r="G11" s="8"/>
      <c r="H11" s="8" t="s">
        <v>42</v>
      </c>
      <c r="I11" s="8"/>
      <c r="J11" s="8"/>
      <c r="K11" s="8"/>
      <c r="L11" s="8"/>
      <c r="M11" s="8"/>
      <c r="N11" s="8"/>
      <c r="O11" s="13" t="s">
        <v>21</v>
      </c>
      <c r="P11" s="9" t="s">
        <v>49</v>
      </c>
      <c r="Q11" s="9">
        <v>40.0</v>
      </c>
      <c r="R11" s="9">
        <v>4.0</v>
      </c>
      <c r="S11" s="9">
        <v>1.2</v>
      </c>
      <c r="T11" s="9">
        <v>1.0</v>
      </c>
      <c r="U11" s="9">
        <v>0.0</v>
      </c>
      <c r="V11" s="9">
        <v>0.0</v>
      </c>
      <c r="W11" s="9">
        <v>0.0</v>
      </c>
      <c r="X11" s="9">
        <v>0.0</v>
      </c>
      <c r="Y11" s="9">
        <v>0.0</v>
      </c>
      <c r="Z11" s="9">
        <v>0.0</v>
      </c>
      <c r="AA11" s="9">
        <v>0.0</v>
      </c>
      <c r="AB11" s="9">
        <v>0.0</v>
      </c>
      <c r="AC11" s="9">
        <v>0.0</v>
      </c>
      <c r="AD11" s="9">
        <v>0.0</v>
      </c>
      <c r="AE11" s="9">
        <v>0.0</v>
      </c>
      <c r="AF11" s="9" t="s">
        <v>41</v>
      </c>
      <c r="AI11" s="9">
        <v>10.0</v>
      </c>
      <c r="AJ11" s="9">
        <v>0.0</v>
      </c>
      <c r="AK11" s="9">
        <v>1.0</v>
      </c>
      <c r="AL11" s="9">
        <v>3.0</v>
      </c>
      <c r="AM11" t="s">
        <v>36</v>
      </c>
      <c r="AN11" t="s">
        <v>36</v>
      </c>
      <c r="AO11" t="s">
        <v>36</v>
      </c>
      <c r="AP11" t="s">
        <v>36</v>
      </c>
      <c r="AQ11" t="s">
        <v>36</v>
      </c>
      <c r="AR11" t="s">
        <v>36</v>
      </c>
      <c r="AS11" t="s">
        <v>36</v>
      </c>
      <c r="AT11" t="s">
        <v>36</v>
      </c>
      <c r="AU11" t="s">
        <v>36</v>
      </c>
      <c r="AV11" t="s">
        <v>36</v>
      </c>
      <c r="AW11" t="s">
        <v>36</v>
      </c>
      <c r="AX11" t="s">
        <v>36</v>
      </c>
      <c r="AY11" t="s">
        <v>36</v>
      </c>
      <c r="AZ11" t="s">
        <v>36</v>
      </c>
      <c r="BA11" t="s">
        <v>36</v>
      </c>
      <c r="BB11" t="s">
        <v>36</v>
      </c>
      <c r="BC11" t="s">
        <v>36</v>
      </c>
      <c r="BD11" t="s">
        <v>36</v>
      </c>
      <c r="BE11" t="s">
        <v>36</v>
      </c>
      <c r="BF11" t="s">
        <v>36</v>
      </c>
      <c r="BG11" t="s">
        <v>36</v>
      </c>
      <c r="BH11" t="s">
        <v>36</v>
      </c>
      <c r="BI11" t="s">
        <v>36</v>
      </c>
      <c r="BJ11" t="s">
        <v>36</v>
      </c>
      <c r="BK11" t="s">
        <v>36</v>
      </c>
      <c r="BL11" t="s">
        <v>36</v>
      </c>
      <c r="BM11" t="s">
        <v>36</v>
      </c>
      <c r="BN11" t="s">
        <v>36</v>
      </c>
      <c r="BO11" t="s">
        <v>36</v>
      </c>
      <c r="BP11" t="s">
        <v>36</v>
      </c>
      <c r="BQ11" t="s">
        <v>36</v>
      </c>
      <c r="BR11" t="s">
        <v>36</v>
      </c>
      <c r="BS11" t="s">
        <v>36</v>
      </c>
      <c r="BT11" t="s">
        <v>36</v>
      </c>
      <c r="BU11" t="s">
        <v>36</v>
      </c>
      <c r="BV11" t="s">
        <v>36</v>
      </c>
      <c r="BW11" t="s">
        <v>36</v>
      </c>
      <c r="BX11" t="s">
        <v>36</v>
      </c>
      <c r="BY11" t="s">
        <v>36</v>
      </c>
      <c r="BZ11" t="s">
        <v>36</v>
      </c>
      <c r="CA11" t="s">
        <v>36</v>
      </c>
      <c r="CB11" t="s">
        <v>36</v>
      </c>
      <c r="CC11" t="s">
        <v>36</v>
      </c>
      <c r="CD11" t="s">
        <v>36</v>
      </c>
      <c r="CE11" t="s">
        <v>36</v>
      </c>
      <c r="CF11" t="s">
        <v>36</v>
      </c>
      <c r="CG11" t="s">
        <v>36</v>
      </c>
      <c r="CH11" t="s">
        <v>36</v>
      </c>
      <c r="CI11" t="s">
        <v>36</v>
      </c>
      <c r="CJ11" t="s">
        <v>36</v>
      </c>
      <c r="CK11" t="s">
        <v>36</v>
      </c>
      <c r="CL11" t="s">
        <v>36</v>
      </c>
      <c r="CM11" t="s">
        <v>36</v>
      </c>
      <c r="CN11" t="s">
        <v>36</v>
      </c>
      <c r="CO11" t="s">
        <v>36</v>
      </c>
      <c r="CP11" t="s">
        <v>36</v>
      </c>
      <c r="CQ11" t="s">
        <v>36</v>
      </c>
      <c r="CR11" t="s">
        <v>36</v>
      </c>
      <c r="CS11" t="s">
        <v>36</v>
      </c>
      <c r="CT11" t="s">
        <v>36</v>
      </c>
      <c r="CU11" t="s">
        <v>36</v>
      </c>
      <c r="CV11" t="s">
        <v>36</v>
      </c>
      <c r="CW11" t="s">
        <v>36</v>
      </c>
      <c r="CX11" t="s">
        <v>36</v>
      </c>
      <c r="CY11" t="s">
        <v>36</v>
      </c>
      <c r="CZ11" t="s">
        <v>36</v>
      </c>
      <c r="DA11" t="s">
        <v>36</v>
      </c>
      <c r="DB11" t="s">
        <v>36</v>
      </c>
      <c r="DC11" t="s">
        <v>36</v>
      </c>
      <c r="DD11" t="s">
        <v>36</v>
      </c>
      <c r="DE11" t="s">
        <v>36</v>
      </c>
      <c r="DF11" t="s">
        <v>36</v>
      </c>
      <c r="DG11" t="s">
        <v>36</v>
      </c>
      <c r="DH11" t="s">
        <v>36</v>
      </c>
      <c r="DI11" t="s">
        <v>36</v>
      </c>
      <c r="DJ11" t="s">
        <v>36</v>
      </c>
      <c r="DK11" t="s">
        <v>36</v>
      </c>
      <c r="DL11" t="s">
        <v>36</v>
      </c>
      <c r="DM11" t="s">
        <v>36</v>
      </c>
      <c r="DN11" t="s">
        <v>36</v>
      </c>
      <c r="DO11" t="s">
        <v>36</v>
      </c>
      <c r="DP11" t="s">
        <v>36</v>
      </c>
      <c r="DQ11" t="s">
        <v>36</v>
      </c>
      <c r="DR11" t="s">
        <v>36</v>
      </c>
      <c r="DS11" t="s">
        <v>36</v>
      </c>
      <c r="DT11" t="s">
        <v>36</v>
      </c>
      <c r="DU11" t="s">
        <v>36</v>
      </c>
      <c r="DV11" t="s">
        <v>36</v>
      </c>
      <c r="DW11" t="s">
        <v>36</v>
      </c>
      <c r="DX11" t="s">
        <v>36</v>
      </c>
      <c r="DY11" t="s">
        <v>36</v>
      </c>
      <c r="DZ11" t="s">
        <v>36</v>
      </c>
      <c r="EA11" t="s">
        <v>36</v>
      </c>
      <c r="EB11" t="s">
        <v>36</v>
      </c>
      <c r="EC11" t="s">
        <v>36</v>
      </c>
      <c r="ED11" t="s">
        <v>36</v>
      </c>
      <c r="EE11" t="s">
        <v>36</v>
      </c>
      <c r="EF11" t="s">
        <v>36</v>
      </c>
      <c r="EG11" t="s">
        <v>36</v>
      </c>
      <c r="EH11" t="s">
        <v>36</v>
      </c>
      <c r="EI11" t="s">
        <v>36</v>
      </c>
      <c r="EJ11" t="s">
        <v>36</v>
      </c>
      <c r="EK11" t="s">
        <v>36</v>
      </c>
      <c r="EL11" t="s">
        <v>36</v>
      </c>
      <c r="EM11" t="s">
        <v>36</v>
      </c>
      <c r="EN11" t="s">
        <v>36</v>
      </c>
      <c r="EO11" t="s">
        <v>36</v>
      </c>
      <c r="EP11" t="s">
        <v>36</v>
      </c>
      <c r="EQ11" t="s">
        <v>36</v>
      </c>
      <c r="ER11" t="s">
        <v>36</v>
      </c>
      <c r="ES11" t="s">
        <v>36</v>
      </c>
      <c r="ET11" t="s">
        <v>36</v>
      </c>
      <c r="EU11" t="s">
        <v>36</v>
      </c>
      <c r="EV11" t="s">
        <v>36</v>
      </c>
      <c r="EW11" t="s">
        <v>36</v>
      </c>
      <c r="EX11" t="s">
        <v>36</v>
      </c>
      <c r="EY11" t="s">
        <v>36</v>
      </c>
      <c r="EZ11" t="s">
        <v>36</v>
      </c>
      <c r="FA11" t="s">
        <v>36</v>
      </c>
      <c r="FB11" t="s">
        <v>36</v>
      </c>
      <c r="FC11" t="s">
        <v>36</v>
      </c>
      <c r="FD11" t="s">
        <v>36</v>
      </c>
      <c r="FE11" t="s">
        <v>36</v>
      </c>
      <c r="FF11" t="s">
        <v>36</v>
      </c>
      <c r="FG11" t="s">
        <v>36</v>
      </c>
      <c r="FH11" t="s">
        <v>36</v>
      </c>
      <c r="FI11" t="s">
        <v>36</v>
      </c>
      <c r="FJ11" t="s">
        <v>36</v>
      </c>
      <c r="FK11" t="s">
        <v>36</v>
      </c>
      <c r="FL11" t="s">
        <v>36</v>
      </c>
      <c r="FM11" t="s">
        <v>36</v>
      </c>
      <c r="FN11" t="s">
        <v>36</v>
      </c>
      <c r="FO11" t="s">
        <v>36</v>
      </c>
      <c r="FP11" t="s">
        <v>36</v>
      </c>
      <c r="FQ11" t="s">
        <v>36</v>
      </c>
    </row>
    <row r="12" ht="15.75" customHeight="1">
      <c r="A12" s="8" t="s">
        <v>36</v>
      </c>
      <c r="B12" s="40">
        <v>2001.6</v>
      </c>
      <c r="C12" s="40">
        <v>2001.6</v>
      </c>
      <c r="D12" s="40">
        <v>2000.0</v>
      </c>
      <c r="E12" s="40">
        <v>2000.0</v>
      </c>
      <c r="F12" s="13" t="s">
        <v>44</v>
      </c>
      <c r="G12" s="8"/>
      <c r="H12" s="8" t="s">
        <v>42</v>
      </c>
      <c r="I12" s="8"/>
      <c r="J12" s="8"/>
      <c r="K12" s="8"/>
      <c r="L12" s="8"/>
      <c r="M12" s="8"/>
      <c r="N12" s="8"/>
      <c r="O12" s="13" t="s">
        <v>20</v>
      </c>
      <c r="P12" s="9" t="s">
        <v>49</v>
      </c>
      <c r="Q12" s="9">
        <v>20.0</v>
      </c>
      <c r="R12" s="9">
        <v>2.0</v>
      </c>
      <c r="S12" s="9">
        <v>0.6</v>
      </c>
      <c r="T12" s="9">
        <v>1.0</v>
      </c>
      <c r="U12" s="9">
        <v>0.0</v>
      </c>
      <c r="V12" s="9">
        <v>0.0</v>
      </c>
      <c r="W12" s="9">
        <v>0.0</v>
      </c>
      <c r="X12" s="9">
        <v>0.0</v>
      </c>
      <c r="Y12" s="9">
        <v>0.0</v>
      </c>
      <c r="Z12" s="9">
        <v>0.0</v>
      </c>
      <c r="AA12" s="9">
        <v>0.0</v>
      </c>
      <c r="AB12" s="9">
        <v>0.0</v>
      </c>
      <c r="AC12" s="9">
        <v>0.0</v>
      </c>
      <c r="AD12" s="9">
        <v>0.0</v>
      </c>
      <c r="AE12" s="9">
        <v>0.0</v>
      </c>
      <c r="AF12" s="9" t="s">
        <v>41</v>
      </c>
      <c r="AI12" s="9">
        <v>10.0</v>
      </c>
      <c r="AJ12" s="9">
        <v>0.0</v>
      </c>
      <c r="AK12" s="9">
        <v>1.0</v>
      </c>
      <c r="AL12" s="9">
        <v>3.0</v>
      </c>
      <c r="AM12" t="s">
        <v>36</v>
      </c>
      <c r="AN12" t="s">
        <v>36</v>
      </c>
      <c r="AO12" t="s">
        <v>36</v>
      </c>
      <c r="AP12" t="s">
        <v>36</v>
      </c>
      <c r="AQ12" t="s">
        <v>36</v>
      </c>
      <c r="AR12" t="s">
        <v>36</v>
      </c>
      <c r="AS12" t="s">
        <v>36</v>
      </c>
      <c r="AT12" t="s">
        <v>36</v>
      </c>
      <c r="AU12" t="s">
        <v>36</v>
      </c>
      <c r="AV12" t="s">
        <v>36</v>
      </c>
      <c r="AW12" t="s">
        <v>36</v>
      </c>
      <c r="AX12" t="s">
        <v>36</v>
      </c>
      <c r="AY12" t="s">
        <v>36</v>
      </c>
      <c r="AZ12" t="s">
        <v>36</v>
      </c>
      <c r="BA12" t="s">
        <v>36</v>
      </c>
      <c r="BB12" t="s">
        <v>36</v>
      </c>
      <c r="BC12" t="s">
        <v>36</v>
      </c>
      <c r="BD12" t="s">
        <v>36</v>
      </c>
      <c r="BE12" t="s">
        <v>36</v>
      </c>
      <c r="BF12" t="s">
        <v>36</v>
      </c>
      <c r="BG12" t="s">
        <v>36</v>
      </c>
      <c r="BH12" t="s">
        <v>36</v>
      </c>
      <c r="BI12" t="s">
        <v>36</v>
      </c>
      <c r="BJ12" t="s">
        <v>36</v>
      </c>
      <c r="BK12" t="s">
        <v>36</v>
      </c>
      <c r="BL12" t="s">
        <v>36</v>
      </c>
      <c r="BM12" t="s">
        <v>36</v>
      </c>
      <c r="BN12" t="s">
        <v>36</v>
      </c>
      <c r="BO12" t="s">
        <v>36</v>
      </c>
      <c r="BP12" t="s">
        <v>36</v>
      </c>
      <c r="BQ12" t="s">
        <v>36</v>
      </c>
      <c r="BR12" t="s">
        <v>36</v>
      </c>
      <c r="BS12" t="s">
        <v>36</v>
      </c>
      <c r="BT12" t="s">
        <v>36</v>
      </c>
      <c r="BU12" t="s">
        <v>36</v>
      </c>
      <c r="BV12" t="s">
        <v>36</v>
      </c>
      <c r="BW12" t="s">
        <v>36</v>
      </c>
      <c r="BX12" t="s">
        <v>36</v>
      </c>
      <c r="BY12" t="s">
        <v>36</v>
      </c>
      <c r="BZ12" t="s">
        <v>36</v>
      </c>
      <c r="CA12" t="s">
        <v>36</v>
      </c>
      <c r="CB12" t="s">
        <v>36</v>
      </c>
      <c r="CC12" t="s">
        <v>36</v>
      </c>
      <c r="CD12" t="s">
        <v>36</v>
      </c>
      <c r="CE12" t="s">
        <v>36</v>
      </c>
      <c r="CF12" t="s">
        <v>36</v>
      </c>
      <c r="CG12" t="s">
        <v>36</v>
      </c>
      <c r="CH12" t="s">
        <v>36</v>
      </c>
      <c r="CI12" t="s">
        <v>36</v>
      </c>
      <c r="CJ12" t="s">
        <v>36</v>
      </c>
      <c r="CK12" t="s">
        <v>36</v>
      </c>
      <c r="CL12" t="s">
        <v>36</v>
      </c>
      <c r="CM12" t="s">
        <v>36</v>
      </c>
      <c r="CN12" t="s">
        <v>36</v>
      </c>
      <c r="CO12" t="s">
        <v>36</v>
      </c>
      <c r="CP12" t="s">
        <v>36</v>
      </c>
      <c r="CQ12" t="s">
        <v>36</v>
      </c>
      <c r="CR12" t="s">
        <v>36</v>
      </c>
      <c r="CS12" t="s">
        <v>36</v>
      </c>
      <c r="CT12" t="s">
        <v>36</v>
      </c>
      <c r="CU12" t="s">
        <v>36</v>
      </c>
      <c r="CV12" t="s">
        <v>36</v>
      </c>
      <c r="CW12" t="s">
        <v>36</v>
      </c>
      <c r="CX12" t="s">
        <v>36</v>
      </c>
      <c r="CY12" t="s">
        <v>36</v>
      </c>
      <c r="CZ12" t="s">
        <v>36</v>
      </c>
      <c r="DA12" t="s">
        <v>36</v>
      </c>
      <c r="DB12" t="s">
        <v>36</v>
      </c>
      <c r="DC12" t="s">
        <v>36</v>
      </c>
      <c r="DD12" t="s">
        <v>36</v>
      </c>
      <c r="DE12" t="s">
        <v>36</v>
      </c>
      <c r="DF12" t="s">
        <v>36</v>
      </c>
      <c r="DG12" t="s">
        <v>36</v>
      </c>
      <c r="DH12" t="s">
        <v>36</v>
      </c>
      <c r="DI12" t="s">
        <v>36</v>
      </c>
      <c r="DJ12" t="s">
        <v>36</v>
      </c>
      <c r="DK12" t="s">
        <v>36</v>
      </c>
      <c r="DL12" t="s">
        <v>36</v>
      </c>
      <c r="DM12" t="s">
        <v>36</v>
      </c>
      <c r="DN12" t="s">
        <v>36</v>
      </c>
      <c r="DO12" t="s">
        <v>36</v>
      </c>
      <c r="DP12" t="s">
        <v>36</v>
      </c>
      <c r="DQ12" t="s">
        <v>36</v>
      </c>
      <c r="DR12" t="s">
        <v>36</v>
      </c>
      <c r="DS12" t="s">
        <v>36</v>
      </c>
      <c r="DT12" t="s">
        <v>36</v>
      </c>
      <c r="DU12" t="s">
        <v>36</v>
      </c>
      <c r="DV12" t="s">
        <v>36</v>
      </c>
      <c r="DW12" t="s">
        <v>36</v>
      </c>
      <c r="DX12" t="s">
        <v>36</v>
      </c>
      <c r="DY12" t="s">
        <v>36</v>
      </c>
      <c r="DZ12" t="s">
        <v>36</v>
      </c>
      <c r="EA12" t="s">
        <v>36</v>
      </c>
      <c r="EB12" t="s">
        <v>36</v>
      </c>
      <c r="EC12" t="s">
        <v>36</v>
      </c>
      <c r="ED12" t="s">
        <v>36</v>
      </c>
      <c r="EE12" t="s">
        <v>36</v>
      </c>
      <c r="EF12" t="s">
        <v>36</v>
      </c>
      <c r="EG12" t="s">
        <v>36</v>
      </c>
      <c r="EH12" t="s">
        <v>36</v>
      </c>
      <c r="EI12" t="s">
        <v>36</v>
      </c>
      <c r="EJ12" t="s">
        <v>36</v>
      </c>
      <c r="EK12" t="s">
        <v>36</v>
      </c>
      <c r="EL12" t="s">
        <v>36</v>
      </c>
      <c r="EM12" t="s">
        <v>36</v>
      </c>
      <c r="EN12" t="s">
        <v>36</v>
      </c>
      <c r="EO12" t="s">
        <v>36</v>
      </c>
      <c r="EP12" t="s">
        <v>36</v>
      </c>
      <c r="EQ12" t="s">
        <v>36</v>
      </c>
      <c r="ER12" t="s">
        <v>36</v>
      </c>
      <c r="ES12" t="s">
        <v>36</v>
      </c>
      <c r="ET12" t="s">
        <v>36</v>
      </c>
      <c r="EU12" t="s">
        <v>36</v>
      </c>
      <c r="EV12" t="s">
        <v>36</v>
      </c>
      <c r="EW12" t="s">
        <v>36</v>
      </c>
      <c r="EX12" t="s">
        <v>36</v>
      </c>
      <c r="EY12" t="s">
        <v>36</v>
      </c>
      <c r="EZ12" t="s">
        <v>36</v>
      </c>
      <c r="FA12" t="s">
        <v>36</v>
      </c>
      <c r="FB12" t="s">
        <v>36</v>
      </c>
      <c r="FC12" t="s">
        <v>36</v>
      </c>
      <c r="FD12" t="s">
        <v>36</v>
      </c>
      <c r="FE12" t="s">
        <v>36</v>
      </c>
      <c r="FF12" t="s">
        <v>36</v>
      </c>
      <c r="FG12" t="s">
        <v>36</v>
      </c>
      <c r="FH12" t="s">
        <v>36</v>
      </c>
      <c r="FI12" t="s">
        <v>36</v>
      </c>
      <c r="FJ12" t="s">
        <v>36</v>
      </c>
      <c r="FK12" t="s">
        <v>36</v>
      </c>
      <c r="FL12" t="s">
        <v>36</v>
      </c>
      <c r="FM12" t="s">
        <v>36</v>
      </c>
      <c r="FN12" t="s">
        <v>36</v>
      </c>
      <c r="FO12" t="s">
        <v>36</v>
      </c>
      <c r="FP12" t="s">
        <v>36</v>
      </c>
      <c r="FQ12" t="s">
        <v>36</v>
      </c>
    </row>
    <row r="13" ht="15.75" customHeight="1">
      <c r="A13" s="8" t="s">
        <v>36</v>
      </c>
      <c r="B13" s="40">
        <v>1001.385</v>
      </c>
      <c r="C13" s="40">
        <v>1001.385</v>
      </c>
      <c r="D13" s="40">
        <v>1000.0</v>
      </c>
      <c r="E13" s="40">
        <v>1000.0</v>
      </c>
      <c r="F13" s="13" t="s">
        <v>44</v>
      </c>
      <c r="G13" s="8"/>
      <c r="H13" s="8" t="s">
        <v>42</v>
      </c>
      <c r="I13" s="8"/>
      <c r="J13" s="8"/>
      <c r="K13" s="8"/>
      <c r="L13" s="8"/>
      <c r="M13" s="8"/>
      <c r="N13" s="8"/>
      <c r="O13" s="13" t="s">
        <v>18</v>
      </c>
      <c r="P13" s="9" t="s">
        <v>49</v>
      </c>
      <c r="Q13" s="9">
        <v>10.0</v>
      </c>
      <c r="R13" s="9">
        <v>1.0</v>
      </c>
      <c r="S13" s="9">
        <v>0.3</v>
      </c>
      <c r="T13" s="9">
        <v>1.0</v>
      </c>
      <c r="U13" s="9">
        <v>0.055</v>
      </c>
      <c r="V13" s="9">
        <v>0.03</v>
      </c>
      <c r="W13" s="9">
        <v>0.0</v>
      </c>
      <c r="X13" s="9">
        <v>0.0</v>
      </c>
      <c r="Y13" s="9">
        <v>0.0</v>
      </c>
      <c r="Z13" s="9">
        <v>0.0</v>
      </c>
      <c r="AA13" s="9">
        <v>0.0</v>
      </c>
      <c r="AB13" s="9">
        <v>0.0</v>
      </c>
      <c r="AC13" s="9">
        <v>0.0</v>
      </c>
      <c r="AD13" s="9">
        <v>0.0</v>
      </c>
      <c r="AE13" s="9">
        <v>0.0</v>
      </c>
      <c r="AF13" s="9" t="s">
        <v>41</v>
      </c>
      <c r="AI13" s="9">
        <v>10.0</v>
      </c>
      <c r="AJ13" s="9">
        <v>0.0</v>
      </c>
      <c r="AK13" s="9">
        <v>1.0</v>
      </c>
      <c r="AL13" s="9">
        <v>3.0</v>
      </c>
      <c r="AM13" t="s">
        <v>36</v>
      </c>
      <c r="AN13" t="s">
        <v>36</v>
      </c>
      <c r="AO13" t="s">
        <v>36</v>
      </c>
      <c r="AP13" t="s">
        <v>36</v>
      </c>
      <c r="AQ13" t="s">
        <v>36</v>
      </c>
      <c r="AR13" t="s">
        <v>36</v>
      </c>
      <c r="AS13" t="s">
        <v>36</v>
      </c>
      <c r="AT13" t="s">
        <v>36</v>
      </c>
      <c r="AU13" t="s">
        <v>36</v>
      </c>
      <c r="AV13" t="s">
        <v>36</v>
      </c>
      <c r="AW13" t="s">
        <v>36</v>
      </c>
      <c r="AX13" t="s">
        <v>36</v>
      </c>
      <c r="AY13" t="s">
        <v>36</v>
      </c>
      <c r="AZ13" t="s">
        <v>36</v>
      </c>
      <c r="BA13" t="s">
        <v>36</v>
      </c>
      <c r="BB13" t="s">
        <v>36</v>
      </c>
      <c r="BC13" t="s">
        <v>36</v>
      </c>
      <c r="BD13" t="s">
        <v>36</v>
      </c>
      <c r="BE13" t="s">
        <v>36</v>
      </c>
      <c r="BF13" t="s">
        <v>36</v>
      </c>
      <c r="BG13" t="s">
        <v>36</v>
      </c>
      <c r="BH13" t="s">
        <v>36</v>
      </c>
      <c r="BI13" t="s">
        <v>36</v>
      </c>
      <c r="BJ13" t="s">
        <v>36</v>
      </c>
      <c r="BK13" t="s">
        <v>36</v>
      </c>
      <c r="BL13" t="s">
        <v>36</v>
      </c>
      <c r="BM13" t="s">
        <v>36</v>
      </c>
      <c r="BN13" t="s">
        <v>36</v>
      </c>
      <c r="BO13" t="s">
        <v>36</v>
      </c>
      <c r="BP13" t="s">
        <v>36</v>
      </c>
      <c r="BQ13" t="s">
        <v>36</v>
      </c>
      <c r="BR13" t="s">
        <v>36</v>
      </c>
      <c r="BS13" t="s">
        <v>36</v>
      </c>
      <c r="BT13" t="s">
        <v>36</v>
      </c>
      <c r="BU13" t="s">
        <v>36</v>
      </c>
      <c r="BV13" t="s">
        <v>36</v>
      </c>
      <c r="BW13" t="s">
        <v>36</v>
      </c>
      <c r="BX13" t="s">
        <v>36</v>
      </c>
      <c r="BY13" t="s">
        <v>36</v>
      </c>
      <c r="BZ13" t="s">
        <v>36</v>
      </c>
      <c r="CA13" t="s">
        <v>36</v>
      </c>
      <c r="CB13" t="s">
        <v>36</v>
      </c>
      <c r="CC13" t="s">
        <v>36</v>
      </c>
      <c r="CD13" t="s">
        <v>36</v>
      </c>
      <c r="CE13" t="s">
        <v>36</v>
      </c>
      <c r="CF13" t="s">
        <v>36</v>
      </c>
      <c r="CG13" t="s">
        <v>36</v>
      </c>
      <c r="CH13" t="s">
        <v>36</v>
      </c>
      <c r="CI13" t="s">
        <v>36</v>
      </c>
      <c r="CJ13" t="s">
        <v>36</v>
      </c>
      <c r="CK13" t="s">
        <v>36</v>
      </c>
      <c r="CL13" t="s">
        <v>36</v>
      </c>
      <c r="CM13" t="s">
        <v>36</v>
      </c>
      <c r="CN13" t="s">
        <v>36</v>
      </c>
      <c r="CO13" t="s">
        <v>36</v>
      </c>
      <c r="CP13" t="s">
        <v>36</v>
      </c>
      <c r="CQ13" t="s">
        <v>36</v>
      </c>
      <c r="CR13" t="s">
        <v>36</v>
      </c>
      <c r="CS13" t="s">
        <v>36</v>
      </c>
      <c r="CT13" t="s">
        <v>36</v>
      </c>
      <c r="CU13" t="s">
        <v>36</v>
      </c>
      <c r="CV13" t="s">
        <v>36</v>
      </c>
      <c r="CW13" t="s">
        <v>36</v>
      </c>
      <c r="CX13" t="s">
        <v>36</v>
      </c>
      <c r="CY13" t="s">
        <v>36</v>
      </c>
      <c r="CZ13" t="s">
        <v>36</v>
      </c>
      <c r="DA13" t="s">
        <v>36</v>
      </c>
      <c r="DB13" t="s">
        <v>36</v>
      </c>
      <c r="DC13" t="s">
        <v>36</v>
      </c>
      <c r="DD13" t="s">
        <v>36</v>
      </c>
      <c r="DE13" t="s">
        <v>36</v>
      </c>
      <c r="DF13" t="s">
        <v>36</v>
      </c>
      <c r="DG13" t="s">
        <v>36</v>
      </c>
      <c r="DH13" t="s">
        <v>36</v>
      </c>
      <c r="DI13" t="s">
        <v>36</v>
      </c>
      <c r="DJ13" t="s">
        <v>36</v>
      </c>
      <c r="DK13" t="s">
        <v>36</v>
      </c>
      <c r="DL13" t="s">
        <v>36</v>
      </c>
      <c r="DM13" t="s">
        <v>36</v>
      </c>
      <c r="DN13" t="s">
        <v>36</v>
      </c>
      <c r="DO13" t="s">
        <v>36</v>
      </c>
      <c r="DP13" t="s">
        <v>36</v>
      </c>
      <c r="DQ13" t="s">
        <v>36</v>
      </c>
      <c r="DR13" t="s">
        <v>36</v>
      </c>
      <c r="DS13" t="s">
        <v>36</v>
      </c>
      <c r="DT13" t="s">
        <v>36</v>
      </c>
      <c r="DU13" t="s">
        <v>36</v>
      </c>
      <c r="DV13" t="s">
        <v>36</v>
      </c>
      <c r="DW13" t="s">
        <v>36</v>
      </c>
      <c r="DX13" t="s">
        <v>36</v>
      </c>
      <c r="DY13" t="s">
        <v>36</v>
      </c>
      <c r="DZ13" t="s">
        <v>36</v>
      </c>
      <c r="EA13" t="s">
        <v>36</v>
      </c>
      <c r="EB13" t="s">
        <v>36</v>
      </c>
      <c r="EC13" t="s">
        <v>36</v>
      </c>
      <c r="ED13" t="s">
        <v>36</v>
      </c>
      <c r="EE13" t="s">
        <v>36</v>
      </c>
      <c r="EF13" t="s">
        <v>36</v>
      </c>
      <c r="EG13" t="s">
        <v>36</v>
      </c>
      <c r="EH13" t="s">
        <v>36</v>
      </c>
      <c r="EI13" t="s">
        <v>36</v>
      </c>
      <c r="EJ13" t="s">
        <v>36</v>
      </c>
      <c r="EK13" t="s">
        <v>36</v>
      </c>
      <c r="EL13" t="s">
        <v>36</v>
      </c>
      <c r="EM13" t="s">
        <v>36</v>
      </c>
      <c r="EN13" t="s">
        <v>36</v>
      </c>
      <c r="EO13" t="s">
        <v>36</v>
      </c>
      <c r="EP13" t="s">
        <v>36</v>
      </c>
      <c r="EQ13" t="s">
        <v>36</v>
      </c>
      <c r="ER13" t="s">
        <v>36</v>
      </c>
      <c r="ES13" t="s">
        <v>36</v>
      </c>
      <c r="ET13" t="s">
        <v>36</v>
      </c>
      <c r="EU13" t="s">
        <v>36</v>
      </c>
      <c r="EV13" t="s">
        <v>36</v>
      </c>
      <c r="EW13" t="s">
        <v>36</v>
      </c>
      <c r="EX13" t="s">
        <v>36</v>
      </c>
      <c r="EY13" t="s">
        <v>36</v>
      </c>
      <c r="EZ13" t="s">
        <v>36</v>
      </c>
      <c r="FA13" t="s">
        <v>36</v>
      </c>
      <c r="FB13" t="s">
        <v>36</v>
      </c>
      <c r="FC13" t="s">
        <v>36</v>
      </c>
      <c r="FD13" t="s">
        <v>36</v>
      </c>
      <c r="FE13" t="s">
        <v>36</v>
      </c>
      <c r="FF13" t="s">
        <v>36</v>
      </c>
      <c r="FG13" t="s">
        <v>36</v>
      </c>
      <c r="FH13" t="s">
        <v>36</v>
      </c>
      <c r="FI13" t="s">
        <v>36</v>
      </c>
      <c r="FJ13" t="s">
        <v>36</v>
      </c>
      <c r="FK13" t="s">
        <v>36</v>
      </c>
      <c r="FL13" t="s">
        <v>36</v>
      </c>
      <c r="FM13" t="s">
        <v>36</v>
      </c>
      <c r="FN13" t="s">
        <v>36</v>
      </c>
      <c r="FO13" t="s">
        <v>36</v>
      </c>
      <c r="FP13" t="s">
        <v>36</v>
      </c>
      <c r="FQ13" t="s">
        <v>36</v>
      </c>
    </row>
    <row r="14" ht="15.75" customHeight="1">
      <c r="A14" s="8" t="s">
        <v>36</v>
      </c>
      <c r="B14" s="40">
        <v>1001.3</v>
      </c>
      <c r="C14" s="40">
        <v>1001.3</v>
      </c>
      <c r="D14" s="40">
        <v>1000.0</v>
      </c>
      <c r="E14" s="40">
        <v>1000.0</v>
      </c>
      <c r="F14" s="13" t="s">
        <v>44</v>
      </c>
      <c r="G14" s="8"/>
      <c r="H14" s="8" t="s">
        <v>42</v>
      </c>
      <c r="I14" s="8"/>
      <c r="J14" s="8"/>
      <c r="K14" s="8"/>
      <c r="L14" s="8"/>
      <c r="M14" s="8"/>
      <c r="N14" s="8"/>
      <c r="O14" s="13" t="s">
        <v>22</v>
      </c>
      <c r="P14" s="9" t="s">
        <v>49</v>
      </c>
      <c r="Q14" s="9">
        <v>10.0</v>
      </c>
      <c r="R14" s="9">
        <v>1.0</v>
      </c>
      <c r="S14" s="9">
        <v>0.3</v>
      </c>
      <c r="T14" s="9">
        <v>1.0</v>
      </c>
      <c r="U14" s="9">
        <v>0.0</v>
      </c>
      <c r="V14" s="9">
        <v>0.0</v>
      </c>
      <c r="W14" s="9">
        <v>0.0</v>
      </c>
      <c r="X14" s="9">
        <v>0.0</v>
      </c>
      <c r="Y14" s="9">
        <v>0.0</v>
      </c>
      <c r="Z14" s="9">
        <v>0.0</v>
      </c>
      <c r="AA14" s="9">
        <v>0.0</v>
      </c>
      <c r="AB14" s="9">
        <v>0.0</v>
      </c>
      <c r="AC14" s="9">
        <v>0.0</v>
      </c>
      <c r="AD14" s="9">
        <v>0.0</v>
      </c>
      <c r="AE14" s="9">
        <v>0.0</v>
      </c>
      <c r="AF14" s="9" t="s">
        <v>41</v>
      </c>
      <c r="AI14" s="9">
        <v>10.0</v>
      </c>
      <c r="AJ14" s="9">
        <v>0.0</v>
      </c>
      <c r="AK14" s="9">
        <v>1.0</v>
      </c>
      <c r="AL14" s="9">
        <v>3.0</v>
      </c>
      <c r="AM14" t="s">
        <v>36</v>
      </c>
      <c r="AN14" t="s">
        <v>36</v>
      </c>
      <c r="AO14" t="s">
        <v>36</v>
      </c>
      <c r="AP14" t="s">
        <v>36</v>
      </c>
      <c r="AQ14" t="s">
        <v>36</v>
      </c>
      <c r="AR14" t="s">
        <v>36</v>
      </c>
      <c r="AS14" t="s">
        <v>36</v>
      </c>
      <c r="AT14" t="s">
        <v>36</v>
      </c>
      <c r="AU14" t="s">
        <v>36</v>
      </c>
      <c r="AV14" t="s">
        <v>36</v>
      </c>
      <c r="AW14" t="s">
        <v>36</v>
      </c>
      <c r="AX14" t="s">
        <v>36</v>
      </c>
      <c r="AY14" t="s">
        <v>36</v>
      </c>
      <c r="AZ14" t="s">
        <v>36</v>
      </c>
      <c r="BA14" t="s">
        <v>36</v>
      </c>
      <c r="BB14" t="s">
        <v>36</v>
      </c>
      <c r="BC14" t="s">
        <v>36</v>
      </c>
      <c r="BD14" t="s">
        <v>36</v>
      </c>
      <c r="BE14" t="s">
        <v>36</v>
      </c>
      <c r="BF14" t="s">
        <v>36</v>
      </c>
      <c r="BG14" t="s">
        <v>36</v>
      </c>
      <c r="BH14" t="s">
        <v>36</v>
      </c>
      <c r="BI14" t="s">
        <v>36</v>
      </c>
      <c r="BJ14" t="s">
        <v>36</v>
      </c>
      <c r="BK14" t="s">
        <v>36</v>
      </c>
      <c r="BL14" t="s">
        <v>36</v>
      </c>
      <c r="BM14" t="s">
        <v>36</v>
      </c>
      <c r="BN14" t="s">
        <v>36</v>
      </c>
      <c r="BO14" t="s">
        <v>36</v>
      </c>
      <c r="BP14" t="s">
        <v>36</v>
      </c>
      <c r="BQ14" t="s">
        <v>36</v>
      </c>
      <c r="BR14" t="s">
        <v>36</v>
      </c>
      <c r="BS14" t="s">
        <v>36</v>
      </c>
      <c r="BT14" t="s">
        <v>36</v>
      </c>
      <c r="BU14" t="s">
        <v>36</v>
      </c>
      <c r="BV14" t="s">
        <v>36</v>
      </c>
      <c r="BW14" t="s">
        <v>36</v>
      </c>
      <c r="BX14" t="s">
        <v>36</v>
      </c>
      <c r="BY14" t="s">
        <v>36</v>
      </c>
      <c r="BZ14" t="s">
        <v>36</v>
      </c>
      <c r="CA14" t="s">
        <v>36</v>
      </c>
      <c r="CB14" t="s">
        <v>36</v>
      </c>
      <c r="CC14" t="s">
        <v>36</v>
      </c>
      <c r="CD14" t="s">
        <v>36</v>
      </c>
      <c r="CE14" t="s">
        <v>36</v>
      </c>
      <c r="CF14" t="s">
        <v>36</v>
      </c>
      <c r="CG14" t="s">
        <v>36</v>
      </c>
      <c r="CH14" t="s">
        <v>36</v>
      </c>
      <c r="CI14" t="s">
        <v>36</v>
      </c>
      <c r="CJ14" t="s">
        <v>36</v>
      </c>
      <c r="CK14" t="s">
        <v>36</v>
      </c>
      <c r="CL14" t="s">
        <v>36</v>
      </c>
      <c r="CM14" t="s">
        <v>36</v>
      </c>
      <c r="CN14" t="s">
        <v>36</v>
      </c>
      <c r="CO14" t="s">
        <v>36</v>
      </c>
      <c r="CP14" t="s">
        <v>36</v>
      </c>
      <c r="CQ14" t="s">
        <v>36</v>
      </c>
      <c r="CR14" t="s">
        <v>36</v>
      </c>
      <c r="CS14" t="s">
        <v>36</v>
      </c>
      <c r="CT14" t="s">
        <v>36</v>
      </c>
      <c r="CU14" t="s">
        <v>36</v>
      </c>
      <c r="CV14" t="s">
        <v>36</v>
      </c>
      <c r="CW14" t="s">
        <v>36</v>
      </c>
      <c r="CX14" t="s">
        <v>36</v>
      </c>
      <c r="CY14" t="s">
        <v>36</v>
      </c>
      <c r="CZ14" t="s">
        <v>36</v>
      </c>
      <c r="DA14" t="s">
        <v>36</v>
      </c>
      <c r="DB14" t="s">
        <v>36</v>
      </c>
      <c r="DC14" t="s">
        <v>36</v>
      </c>
      <c r="DD14" t="s">
        <v>36</v>
      </c>
      <c r="DE14" t="s">
        <v>36</v>
      </c>
      <c r="DF14" t="s">
        <v>36</v>
      </c>
      <c r="DG14" t="s">
        <v>36</v>
      </c>
      <c r="DH14" t="s">
        <v>36</v>
      </c>
      <c r="DI14" t="s">
        <v>36</v>
      </c>
      <c r="DJ14" t="s">
        <v>36</v>
      </c>
      <c r="DK14" t="s">
        <v>36</v>
      </c>
      <c r="DL14" t="s">
        <v>36</v>
      </c>
      <c r="DM14" t="s">
        <v>36</v>
      </c>
      <c r="DN14" t="s">
        <v>36</v>
      </c>
      <c r="DO14" t="s">
        <v>36</v>
      </c>
      <c r="DP14" t="s">
        <v>36</v>
      </c>
      <c r="DQ14" t="s">
        <v>36</v>
      </c>
      <c r="DR14" t="s">
        <v>36</v>
      </c>
      <c r="DS14" t="s">
        <v>36</v>
      </c>
      <c r="DT14" t="s">
        <v>36</v>
      </c>
      <c r="DU14" t="s">
        <v>36</v>
      </c>
      <c r="DV14" t="s">
        <v>36</v>
      </c>
      <c r="DW14" t="s">
        <v>36</v>
      </c>
      <c r="DX14" t="s">
        <v>36</v>
      </c>
      <c r="DY14" t="s">
        <v>36</v>
      </c>
      <c r="DZ14" t="s">
        <v>36</v>
      </c>
      <c r="EA14" t="s">
        <v>36</v>
      </c>
      <c r="EB14" t="s">
        <v>36</v>
      </c>
      <c r="EC14" t="s">
        <v>36</v>
      </c>
      <c r="ED14" t="s">
        <v>36</v>
      </c>
      <c r="EE14" t="s">
        <v>36</v>
      </c>
      <c r="EF14" t="s">
        <v>36</v>
      </c>
      <c r="EG14" t="s">
        <v>36</v>
      </c>
      <c r="EH14" t="s">
        <v>36</v>
      </c>
      <c r="EI14" t="s">
        <v>36</v>
      </c>
      <c r="EJ14" t="s">
        <v>36</v>
      </c>
      <c r="EK14" t="s">
        <v>36</v>
      </c>
      <c r="EL14" t="s">
        <v>36</v>
      </c>
      <c r="EM14" t="s">
        <v>36</v>
      </c>
      <c r="EN14" t="s">
        <v>36</v>
      </c>
      <c r="EO14" t="s">
        <v>36</v>
      </c>
      <c r="EP14" t="s">
        <v>36</v>
      </c>
      <c r="EQ14" t="s">
        <v>36</v>
      </c>
      <c r="ER14" t="s">
        <v>36</v>
      </c>
      <c r="ES14" t="s">
        <v>36</v>
      </c>
      <c r="ET14" t="s">
        <v>36</v>
      </c>
      <c r="EU14" t="s">
        <v>36</v>
      </c>
      <c r="EV14" t="s">
        <v>36</v>
      </c>
      <c r="EW14" t="s">
        <v>36</v>
      </c>
      <c r="EX14" t="s">
        <v>36</v>
      </c>
      <c r="EY14" t="s">
        <v>36</v>
      </c>
      <c r="EZ14" t="s">
        <v>36</v>
      </c>
      <c r="FA14" t="s">
        <v>36</v>
      </c>
      <c r="FB14" t="s">
        <v>36</v>
      </c>
      <c r="FC14" t="s">
        <v>36</v>
      </c>
      <c r="FD14" t="s">
        <v>36</v>
      </c>
      <c r="FE14" t="s">
        <v>36</v>
      </c>
      <c r="FF14" t="s">
        <v>36</v>
      </c>
      <c r="FG14" t="s">
        <v>36</v>
      </c>
      <c r="FH14" t="s">
        <v>36</v>
      </c>
      <c r="FI14" t="s">
        <v>36</v>
      </c>
      <c r="FJ14" t="s">
        <v>36</v>
      </c>
      <c r="FK14" t="s">
        <v>36</v>
      </c>
      <c r="FL14" t="s">
        <v>36</v>
      </c>
      <c r="FM14" t="s">
        <v>36</v>
      </c>
      <c r="FN14" t="s">
        <v>36</v>
      </c>
      <c r="FO14" t="s">
        <v>36</v>
      </c>
      <c r="FP14" t="s">
        <v>36</v>
      </c>
      <c r="FQ14" t="s">
        <v>36</v>
      </c>
    </row>
    <row r="15" ht="15.75" customHeight="1">
      <c r="A15" s="8" t="s">
        <v>36</v>
      </c>
      <c r="B15" s="40">
        <v>2001.77</v>
      </c>
      <c r="C15" s="40">
        <v>2001.77</v>
      </c>
      <c r="D15" s="40">
        <v>2000.0</v>
      </c>
      <c r="E15" s="40">
        <v>2000.0</v>
      </c>
      <c r="F15" s="13" t="s">
        <v>44</v>
      </c>
      <c r="G15" s="8"/>
      <c r="H15" s="8" t="s">
        <v>42</v>
      </c>
      <c r="I15" s="8"/>
      <c r="J15" s="8"/>
      <c r="K15" s="8"/>
      <c r="L15" s="8"/>
      <c r="M15" s="8"/>
      <c r="N15" s="8"/>
      <c r="O15" s="13" t="s">
        <v>19</v>
      </c>
      <c r="P15" s="9" t="s">
        <v>49</v>
      </c>
      <c r="Q15" s="9">
        <v>20.0</v>
      </c>
      <c r="R15" s="9">
        <v>2.0</v>
      </c>
      <c r="S15" s="9">
        <v>0.6</v>
      </c>
      <c r="T15" s="9">
        <v>1.0</v>
      </c>
      <c r="U15" s="9">
        <v>0.11</v>
      </c>
      <c r="V15" s="9">
        <v>0.06</v>
      </c>
      <c r="W15" s="9">
        <v>0.0</v>
      </c>
      <c r="X15" s="9">
        <v>0.0</v>
      </c>
      <c r="Y15" s="9">
        <v>0.0</v>
      </c>
      <c r="Z15" s="9">
        <v>0.0</v>
      </c>
      <c r="AA15" s="9">
        <v>0.0</v>
      </c>
      <c r="AB15" s="9">
        <v>0.0</v>
      </c>
      <c r="AC15" s="9">
        <v>0.0</v>
      </c>
      <c r="AD15" s="9">
        <v>0.0</v>
      </c>
      <c r="AE15" s="9">
        <v>0.0</v>
      </c>
      <c r="AF15" s="9" t="s">
        <v>41</v>
      </c>
      <c r="AI15" s="9">
        <v>10.0</v>
      </c>
      <c r="AJ15" s="9">
        <v>0.0</v>
      </c>
      <c r="AK15" s="9">
        <v>1.0</v>
      </c>
      <c r="AL15" s="9">
        <v>3.0</v>
      </c>
      <c r="AM15" t="s">
        <v>36</v>
      </c>
      <c r="AN15" t="s">
        <v>36</v>
      </c>
      <c r="AO15" t="s">
        <v>36</v>
      </c>
      <c r="AP15" t="s">
        <v>36</v>
      </c>
      <c r="AQ15" t="s">
        <v>36</v>
      </c>
      <c r="AR15" t="s">
        <v>36</v>
      </c>
      <c r="AS15" t="s">
        <v>36</v>
      </c>
      <c r="AT15" t="s">
        <v>36</v>
      </c>
      <c r="AU15" t="s">
        <v>36</v>
      </c>
      <c r="AV15" t="s">
        <v>36</v>
      </c>
      <c r="AW15" t="s">
        <v>36</v>
      </c>
      <c r="AX15" t="s">
        <v>36</v>
      </c>
      <c r="AY15" t="s">
        <v>36</v>
      </c>
      <c r="AZ15" t="s">
        <v>36</v>
      </c>
      <c r="BA15" t="s">
        <v>36</v>
      </c>
      <c r="BB15" t="s">
        <v>36</v>
      </c>
      <c r="BC15" t="s">
        <v>36</v>
      </c>
      <c r="BD15" t="s">
        <v>36</v>
      </c>
      <c r="BE15" t="s">
        <v>36</v>
      </c>
      <c r="BF15" t="s">
        <v>36</v>
      </c>
      <c r="BG15" t="s">
        <v>36</v>
      </c>
      <c r="BH15" t="s">
        <v>36</v>
      </c>
      <c r="BI15" t="s">
        <v>36</v>
      </c>
      <c r="BJ15" t="s">
        <v>36</v>
      </c>
      <c r="BK15" t="s">
        <v>36</v>
      </c>
      <c r="BL15" t="s">
        <v>36</v>
      </c>
      <c r="BM15" t="s">
        <v>36</v>
      </c>
      <c r="BN15" t="s">
        <v>36</v>
      </c>
      <c r="BO15" t="s">
        <v>36</v>
      </c>
      <c r="BP15" t="s">
        <v>36</v>
      </c>
      <c r="BQ15" t="s">
        <v>36</v>
      </c>
      <c r="BR15" t="s">
        <v>36</v>
      </c>
      <c r="BS15" t="s">
        <v>36</v>
      </c>
      <c r="BT15" t="s">
        <v>36</v>
      </c>
      <c r="BU15" t="s">
        <v>36</v>
      </c>
      <c r="BV15" t="s">
        <v>36</v>
      </c>
      <c r="BW15" t="s">
        <v>36</v>
      </c>
      <c r="BX15" t="s">
        <v>36</v>
      </c>
      <c r="BY15" t="s">
        <v>36</v>
      </c>
      <c r="BZ15" t="s">
        <v>36</v>
      </c>
      <c r="CA15" t="s">
        <v>36</v>
      </c>
      <c r="CB15" t="s">
        <v>36</v>
      </c>
      <c r="CC15" t="s">
        <v>36</v>
      </c>
      <c r="CD15" t="s">
        <v>36</v>
      </c>
      <c r="CE15" t="s">
        <v>36</v>
      </c>
      <c r="CF15" t="s">
        <v>36</v>
      </c>
      <c r="CG15" t="s">
        <v>36</v>
      </c>
      <c r="CH15" t="s">
        <v>36</v>
      </c>
      <c r="CI15" t="s">
        <v>36</v>
      </c>
      <c r="CJ15" t="s">
        <v>36</v>
      </c>
      <c r="CK15" t="s">
        <v>36</v>
      </c>
      <c r="CL15" t="s">
        <v>36</v>
      </c>
      <c r="CM15" t="s">
        <v>36</v>
      </c>
      <c r="CN15" t="s">
        <v>36</v>
      </c>
      <c r="CO15" t="s">
        <v>36</v>
      </c>
      <c r="CP15" t="s">
        <v>36</v>
      </c>
      <c r="CQ15" t="s">
        <v>36</v>
      </c>
      <c r="CR15" t="s">
        <v>36</v>
      </c>
      <c r="CS15" t="s">
        <v>36</v>
      </c>
      <c r="CT15" t="s">
        <v>36</v>
      </c>
      <c r="CU15" t="s">
        <v>36</v>
      </c>
      <c r="CV15" t="s">
        <v>36</v>
      </c>
      <c r="CW15" t="s">
        <v>36</v>
      </c>
      <c r="CX15" t="s">
        <v>36</v>
      </c>
      <c r="CY15" t="s">
        <v>36</v>
      </c>
      <c r="CZ15" t="s">
        <v>36</v>
      </c>
      <c r="DA15" t="s">
        <v>36</v>
      </c>
      <c r="DB15" t="s">
        <v>36</v>
      </c>
      <c r="DC15" t="s">
        <v>36</v>
      </c>
      <c r="DD15" t="s">
        <v>36</v>
      </c>
      <c r="DE15" t="s">
        <v>36</v>
      </c>
      <c r="DF15" t="s">
        <v>36</v>
      </c>
      <c r="DG15" t="s">
        <v>36</v>
      </c>
      <c r="DH15" t="s">
        <v>36</v>
      </c>
      <c r="DI15" t="s">
        <v>36</v>
      </c>
      <c r="DJ15" t="s">
        <v>36</v>
      </c>
      <c r="DK15" t="s">
        <v>36</v>
      </c>
      <c r="DL15" t="s">
        <v>36</v>
      </c>
      <c r="DM15" t="s">
        <v>36</v>
      </c>
      <c r="DN15" t="s">
        <v>36</v>
      </c>
      <c r="DO15" t="s">
        <v>36</v>
      </c>
      <c r="DP15" t="s">
        <v>36</v>
      </c>
      <c r="DQ15" t="s">
        <v>36</v>
      </c>
      <c r="DR15" t="s">
        <v>36</v>
      </c>
      <c r="DS15" t="s">
        <v>36</v>
      </c>
      <c r="DT15" t="s">
        <v>36</v>
      </c>
      <c r="DU15" t="s">
        <v>36</v>
      </c>
      <c r="DV15" t="s">
        <v>36</v>
      </c>
      <c r="DW15" t="s">
        <v>36</v>
      </c>
      <c r="DX15" t="s">
        <v>36</v>
      </c>
      <c r="DY15" t="s">
        <v>36</v>
      </c>
      <c r="DZ15" t="s">
        <v>36</v>
      </c>
      <c r="EA15" t="s">
        <v>36</v>
      </c>
      <c r="EB15" t="s">
        <v>36</v>
      </c>
      <c r="EC15" t="s">
        <v>36</v>
      </c>
      <c r="ED15" t="s">
        <v>36</v>
      </c>
      <c r="EE15" t="s">
        <v>36</v>
      </c>
      <c r="EF15" t="s">
        <v>36</v>
      </c>
      <c r="EG15" t="s">
        <v>36</v>
      </c>
      <c r="EH15" t="s">
        <v>36</v>
      </c>
      <c r="EI15" t="s">
        <v>36</v>
      </c>
      <c r="EJ15" t="s">
        <v>36</v>
      </c>
      <c r="EK15" t="s">
        <v>36</v>
      </c>
      <c r="EL15" t="s">
        <v>36</v>
      </c>
      <c r="EM15" t="s">
        <v>36</v>
      </c>
      <c r="EN15" t="s">
        <v>36</v>
      </c>
      <c r="EO15" t="s">
        <v>36</v>
      </c>
      <c r="EP15" t="s">
        <v>36</v>
      </c>
      <c r="EQ15" t="s">
        <v>36</v>
      </c>
      <c r="ER15" t="s">
        <v>36</v>
      </c>
      <c r="ES15" t="s">
        <v>36</v>
      </c>
      <c r="ET15" t="s">
        <v>36</v>
      </c>
      <c r="EU15" t="s">
        <v>36</v>
      </c>
      <c r="EV15" t="s">
        <v>36</v>
      </c>
      <c r="EW15" t="s">
        <v>36</v>
      </c>
      <c r="EX15" t="s">
        <v>36</v>
      </c>
      <c r="EY15" t="s">
        <v>36</v>
      </c>
      <c r="EZ15" t="s">
        <v>36</v>
      </c>
      <c r="FA15" t="s">
        <v>36</v>
      </c>
      <c r="FB15" t="s">
        <v>36</v>
      </c>
      <c r="FC15" t="s">
        <v>36</v>
      </c>
      <c r="FD15" t="s">
        <v>36</v>
      </c>
      <c r="FE15" t="s">
        <v>36</v>
      </c>
      <c r="FF15" t="s">
        <v>36</v>
      </c>
      <c r="FG15" t="s">
        <v>36</v>
      </c>
      <c r="FH15" t="s">
        <v>36</v>
      </c>
      <c r="FI15" t="s">
        <v>36</v>
      </c>
      <c r="FJ15" t="s">
        <v>36</v>
      </c>
      <c r="FK15" t="s">
        <v>36</v>
      </c>
      <c r="FL15" t="s">
        <v>36</v>
      </c>
      <c r="FM15" t="s">
        <v>36</v>
      </c>
      <c r="FN15" t="s">
        <v>36</v>
      </c>
      <c r="FO15" t="s">
        <v>36</v>
      </c>
      <c r="FP15" t="s">
        <v>36</v>
      </c>
      <c r="FQ15" t="s">
        <v>36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3.75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  <c r="AMM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  <c r="AMM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  <c r="AMM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  <c r="AMM5" s="30"/>
    </row>
    <row r="6" ht="15.75" customHeight="1">
      <c r="A6" s="13"/>
      <c r="B6" s="13" t="s">
        <v>25</v>
      </c>
      <c r="C6" s="13">
        <v>10.0</v>
      </c>
      <c r="D6" s="13"/>
      <c r="E6" s="13" t="s">
        <v>37</v>
      </c>
      <c r="F6" s="13" t="s">
        <v>28</v>
      </c>
      <c r="G6" s="8"/>
      <c r="H6" s="35">
        <v>10.0</v>
      </c>
      <c r="I6" s="8"/>
      <c r="J6" s="8"/>
      <c r="K6" s="8"/>
      <c r="L6" s="8"/>
      <c r="M6" s="8"/>
      <c r="N6" s="8"/>
      <c r="O6" s="8"/>
      <c r="P6" s="9" t="s">
        <v>31</v>
      </c>
      <c r="AQ6" s="37">
        <v>10.0</v>
      </c>
      <c r="AR6" s="33"/>
      <c r="AS6" s="37">
        <v>10.0</v>
      </c>
      <c r="AT6" s="33"/>
    </row>
    <row r="7" ht="15.75" customHeight="1">
      <c r="A7" s="8" t="s">
        <v>36</v>
      </c>
      <c r="B7" s="8" t="s">
        <v>26</v>
      </c>
      <c r="C7" s="8">
        <v>10.0</v>
      </c>
      <c r="D7" s="8"/>
      <c r="E7" s="8" t="s">
        <v>37</v>
      </c>
      <c r="F7" s="8" t="s">
        <v>33</v>
      </c>
      <c r="G7" s="8"/>
      <c r="H7" s="8">
        <v>10.0</v>
      </c>
      <c r="I7" s="8"/>
      <c r="J7" s="8"/>
      <c r="K7" s="8"/>
      <c r="L7" s="8"/>
      <c r="M7" s="8"/>
      <c r="N7" s="8"/>
      <c r="O7" s="8"/>
      <c r="P7" t="s">
        <v>31</v>
      </c>
      <c r="AQ7">
        <v>10.0</v>
      </c>
      <c r="AS7">
        <v>10.0</v>
      </c>
      <c r="CU7" t="s">
        <v>36</v>
      </c>
      <c r="CV7" t="s">
        <v>36</v>
      </c>
      <c r="CW7" t="s">
        <v>36</v>
      </c>
      <c r="CX7" t="s">
        <v>36</v>
      </c>
      <c r="CY7" t="s">
        <v>36</v>
      </c>
      <c r="CZ7" t="s">
        <v>36</v>
      </c>
      <c r="DA7" t="s">
        <v>36</v>
      </c>
      <c r="DB7" t="s">
        <v>36</v>
      </c>
      <c r="DC7" t="s">
        <v>36</v>
      </c>
      <c r="DD7" t="s">
        <v>36</v>
      </c>
      <c r="DE7" t="s">
        <v>36</v>
      </c>
      <c r="DF7" t="s">
        <v>36</v>
      </c>
      <c r="DG7" t="s">
        <v>36</v>
      </c>
      <c r="DH7" t="s">
        <v>36</v>
      </c>
      <c r="DI7" t="s">
        <v>36</v>
      </c>
      <c r="DJ7" t="s">
        <v>36</v>
      </c>
      <c r="DK7" t="s">
        <v>36</v>
      </c>
      <c r="DL7" t="s">
        <v>36</v>
      </c>
      <c r="DM7" t="s">
        <v>36</v>
      </c>
      <c r="DN7" t="s">
        <v>36</v>
      </c>
      <c r="DO7" t="s">
        <v>36</v>
      </c>
      <c r="DP7" t="s">
        <v>36</v>
      </c>
      <c r="DQ7" t="s">
        <v>36</v>
      </c>
      <c r="DR7" t="s">
        <v>36</v>
      </c>
      <c r="DS7" t="s">
        <v>36</v>
      </c>
      <c r="DT7" t="s">
        <v>36</v>
      </c>
      <c r="DU7" t="s">
        <v>36</v>
      </c>
      <c r="DV7" t="s">
        <v>36</v>
      </c>
      <c r="DW7" t="s">
        <v>36</v>
      </c>
      <c r="DX7" t="s">
        <v>36</v>
      </c>
      <c r="DY7" t="s">
        <v>36</v>
      </c>
      <c r="DZ7" t="s">
        <v>36</v>
      </c>
      <c r="EA7" t="s">
        <v>36</v>
      </c>
      <c r="EB7" t="s">
        <v>36</v>
      </c>
      <c r="EC7" t="s">
        <v>36</v>
      </c>
      <c r="ED7" t="s">
        <v>36</v>
      </c>
      <c r="EE7" t="s">
        <v>36</v>
      </c>
      <c r="EF7" t="s">
        <v>36</v>
      </c>
      <c r="EG7" t="s">
        <v>36</v>
      </c>
      <c r="EH7" t="s">
        <v>36</v>
      </c>
      <c r="EI7" t="s">
        <v>36</v>
      </c>
      <c r="EJ7" t="s">
        <v>36</v>
      </c>
      <c r="EK7" t="s">
        <v>36</v>
      </c>
      <c r="EL7" t="s">
        <v>36</v>
      </c>
      <c r="EM7" t="s">
        <v>36</v>
      </c>
      <c r="EN7" t="s">
        <v>36</v>
      </c>
      <c r="EO7" t="s">
        <v>36</v>
      </c>
      <c r="EP7" t="s">
        <v>36</v>
      </c>
      <c r="EQ7" t="s">
        <v>36</v>
      </c>
      <c r="ER7" t="s">
        <v>36</v>
      </c>
      <c r="ES7" t="s">
        <v>36</v>
      </c>
      <c r="ET7" t="s">
        <v>36</v>
      </c>
      <c r="EU7" t="s">
        <v>36</v>
      </c>
      <c r="EV7" t="s">
        <v>36</v>
      </c>
      <c r="EW7" t="s">
        <v>36</v>
      </c>
      <c r="EX7" t="s">
        <v>36</v>
      </c>
      <c r="EY7" t="s">
        <v>36</v>
      </c>
      <c r="EZ7" t="s">
        <v>36</v>
      </c>
      <c r="FA7" t="s">
        <v>36</v>
      </c>
      <c r="FB7" t="s">
        <v>36</v>
      </c>
      <c r="FC7" t="s">
        <v>36</v>
      </c>
      <c r="FD7" t="s">
        <v>36</v>
      </c>
      <c r="FE7" t="s">
        <v>36</v>
      </c>
      <c r="FF7" t="s">
        <v>36</v>
      </c>
      <c r="FG7" t="s">
        <v>36</v>
      </c>
      <c r="FH7" t="s">
        <v>36</v>
      </c>
      <c r="FI7" t="s">
        <v>36</v>
      </c>
      <c r="FJ7" t="s">
        <v>36</v>
      </c>
      <c r="FK7" t="s">
        <v>36</v>
      </c>
      <c r="FL7" t="s">
        <v>36</v>
      </c>
      <c r="FM7" t="s">
        <v>36</v>
      </c>
      <c r="FN7" t="s">
        <v>36</v>
      </c>
      <c r="FO7" t="s">
        <v>36</v>
      </c>
      <c r="FP7" t="s">
        <v>36</v>
      </c>
      <c r="FQ7" t="s">
        <v>36</v>
      </c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  <c r="GL7" s="41"/>
      <c r="GM7" s="41"/>
      <c r="GN7" s="41"/>
      <c r="GO7" s="41"/>
      <c r="GP7" s="41"/>
      <c r="GQ7" s="41"/>
      <c r="GR7" s="41"/>
      <c r="GS7" s="41"/>
      <c r="GT7" s="41"/>
      <c r="GU7" s="41"/>
      <c r="GV7" s="41"/>
      <c r="GW7" s="41"/>
      <c r="GX7" s="41"/>
      <c r="GY7" s="41"/>
      <c r="GZ7" s="41"/>
      <c r="HA7" s="41"/>
      <c r="HB7" s="41"/>
      <c r="HC7" s="41"/>
      <c r="HD7" s="41"/>
      <c r="HE7" s="41"/>
      <c r="HF7" s="41"/>
      <c r="HG7" s="41"/>
      <c r="HH7" s="41"/>
      <c r="HI7" s="41"/>
      <c r="HJ7" s="41"/>
      <c r="HK7" s="41"/>
      <c r="HL7" s="41"/>
      <c r="HM7" s="41"/>
      <c r="HN7" s="41"/>
      <c r="HO7" s="41"/>
      <c r="HP7" s="41"/>
      <c r="HQ7" s="41"/>
      <c r="HR7" s="41"/>
      <c r="HS7" s="41"/>
      <c r="HT7" s="41"/>
      <c r="HU7" s="41"/>
      <c r="HV7" s="41"/>
      <c r="HW7" s="41"/>
      <c r="HX7" s="41"/>
      <c r="HY7" s="41"/>
      <c r="HZ7" s="41"/>
      <c r="IA7" s="41"/>
      <c r="IB7" s="41"/>
      <c r="IC7" s="41"/>
      <c r="ID7" s="41"/>
      <c r="IE7" s="41"/>
      <c r="IF7" s="41"/>
      <c r="IG7" s="41"/>
      <c r="IH7" s="41"/>
      <c r="II7" s="41"/>
      <c r="IJ7" s="41"/>
      <c r="IK7" s="41"/>
      <c r="IL7" s="41"/>
      <c r="IM7" s="41"/>
      <c r="IN7" s="41"/>
      <c r="IO7" s="41"/>
      <c r="IP7" s="41"/>
      <c r="IQ7" s="41"/>
      <c r="IR7" s="41"/>
      <c r="IS7" s="41"/>
      <c r="IT7" s="41"/>
      <c r="IU7" s="41"/>
      <c r="IV7" s="41"/>
      <c r="IW7" s="41"/>
      <c r="IX7" s="41"/>
      <c r="IY7" s="41"/>
      <c r="IZ7" s="41"/>
      <c r="JA7" s="41"/>
      <c r="JB7" s="41"/>
      <c r="JC7" s="41"/>
      <c r="JD7" s="41"/>
      <c r="JE7" s="41"/>
      <c r="JF7" s="41"/>
      <c r="JG7" s="41"/>
      <c r="JH7" s="41"/>
      <c r="JI7" s="41"/>
      <c r="JJ7" s="41"/>
      <c r="JK7" s="41"/>
      <c r="JL7" s="41"/>
      <c r="JM7" s="41"/>
      <c r="JN7" s="41"/>
      <c r="JO7" s="41"/>
      <c r="JP7" s="41"/>
      <c r="JQ7" s="41"/>
      <c r="JR7" s="41"/>
      <c r="JS7" s="41"/>
      <c r="JT7" s="41"/>
      <c r="JU7" s="41"/>
      <c r="JV7" s="41"/>
      <c r="JW7" s="41"/>
      <c r="JX7" s="41"/>
      <c r="JY7" s="41"/>
      <c r="JZ7" s="41"/>
      <c r="KA7" s="41"/>
      <c r="KB7" s="41"/>
      <c r="KC7" s="41"/>
      <c r="KD7" s="41"/>
      <c r="KE7" s="41"/>
      <c r="KF7" s="41"/>
      <c r="KG7" s="41"/>
      <c r="KH7" s="41"/>
      <c r="KI7" s="41"/>
      <c r="KJ7" s="41"/>
      <c r="KK7" s="41"/>
      <c r="KL7" s="41"/>
      <c r="KM7" s="41"/>
      <c r="KN7" s="41"/>
      <c r="KO7" s="41"/>
      <c r="KP7" s="41"/>
      <c r="KQ7" s="41"/>
      <c r="KR7" s="41"/>
      <c r="KS7" s="41"/>
      <c r="KT7" s="41"/>
      <c r="KU7" s="41"/>
      <c r="KV7" s="41"/>
      <c r="KW7" s="41"/>
      <c r="KX7" s="41"/>
      <c r="KY7" s="41"/>
      <c r="KZ7" s="41"/>
      <c r="LA7" s="41"/>
      <c r="LB7" s="41"/>
      <c r="LC7" s="41"/>
      <c r="LD7" s="41"/>
      <c r="LE7" s="41"/>
      <c r="LF7" s="41"/>
      <c r="LG7" s="41"/>
      <c r="LH7" s="41"/>
      <c r="LI7" s="41"/>
      <c r="LJ7" s="41"/>
      <c r="LK7" s="41"/>
      <c r="LL7" s="41"/>
      <c r="LM7" s="41"/>
      <c r="LN7" s="41"/>
      <c r="LO7" s="41"/>
      <c r="LP7" s="41"/>
      <c r="LQ7" s="41"/>
      <c r="LR7" s="41"/>
      <c r="LS7" s="41"/>
      <c r="LT7" s="41"/>
      <c r="LU7" s="41"/>
      <c r="LV7" s="41"/>
      <c r="LW7" s="41"/>
      <c r="LX7" s="41"/>
      <c r="LY7" s="41"/>
      <c r="LZ7" s="41"/>
      <c r="MA7" s="41"/>
      <c r="MB7" s="41"/>
      <c r="MC7" s="41"/>
      <c r="MD7" s="41"/>
      <c r="ME7" s="41"/>
      <c r="MF7" s="41"/>
      <c r="MG7" s="41"/>
      <c r="MH7" s="41"/>
      <c r="MI7" s="41"/>
      <c r="MJ7" s="41"/>
      <c r="MK7" s="41"/>
      <c r="ML7" s="41"/>
      <c r="MM7" s="41"/>
      <c r="MN7" s="41"/>
      <c r="MO7" s="41"/>
      <c r="MP7" s="41"/>
      <c r="MQ7" s="41"/>
      <c r="MR7" s="41"/>
      <c r="MS7" s="41"/>
      <c r="MT7" s="41"/>
      <c r="MU7" s="41"/>
      <c r="MV7" s="41"/>
      <c r="MW7" s="41"/>
      <c r="MX7" s="41"/>
      <c r="MY7" s="41"/>
      <c r="MZ7" s="41"/>
      <c r="NA7" s="41"/>
      <c r="NB7" s="41"/>
      <c r="NC7" s="41"/>
      <c r="ND7" s="41"/>
      <c r="NE7" s="41"/>
      <c r="NF7" s="41"/>
      <c r="NG7" s="41"/>
      <c r="NH7" s="41"/>
      <c r="NI7" s="41"/>
      <c r="NJ7" s="41"/>
      <c r="NK7" s="41"/>
      <c r="NL7" s="41"/>
      <c r="NM7" s="41"/>
      <c r="NN7" s="41"/>
      <c r="NO7" s="41"/>
      <c r="NP7" s="41"/>
      <c r="NQ7" s="41"/>
      <c r="NR7" s="41"/>
      <c r="NS7" s="41"/>
      <c r="NT7" s="41"/>
      <c r="NU7" s="41"/>
      <c r="NV7" s="41"/>
      <c r="NW7" s="41"/>
      <c r="NX7" s="41"/>
      <c r="NY7" s="41"/>
      <c r="NZ7" s="41"/>
      <c r="OA7" s="41"/>
      <c r="OB7" s="41"/>
      <c r="OC7" s="41"/>
      <c r="OD7" s="41"/>
      <c r="OE7" s="41"/>
      <c r="OF7" s="41"/>
      <c r="OG7" s="41"/>
      <c r="OH7" s="41"/>
      <c r="OI7" s="41"/>
      <c r="OJ7" s="41"/>
      <c r="OK7" s="41"/>
      <c r="OL7" s="41"/>
      <c r="OM7" s="41"/>
      <c r="ON7" s="41"/>
      <c r="OO7" s="41"/>
      <c r="OP7" s="41"/>
      <c r="OQ7" s="41"/>
      <c r="OR7" s="41"/>
      <c r="OS7" s="41"/>
      <c r="OT7" s="41"/>
      <c r="OU7" s="41"/>
      <c r="OV7" s="41"/>
      <c r="OW7" s="41"/>
      <c r="OX7" s="41"/>
      <c r="OY7" s="41"/>
      <c r="OZ7" s="41"/>
      <c r="PA7" s="41"/>
      <c r="PB7" s="41"/>
      <c r="PC7" s="41"/>
      <c r="PD7" s="41"/>
      <c r="PE7" s="41"/>
      <c r="PF7" s="41"/>
      <c r="PG7" s="41"/>
      <c r="PH7" s="41"/>
      <c r="PI7" s="41"/>
      <c r="PJ7" s="41"/>
      <c r="PK7" s="41"/>
      <c r="PL7" s="41"/>
      <c r="PM7" s="41"/>
      <c r="PN7" s="41"/>
      <c r="PO7" s="41"/>
      <c r="PP7" s="41"/>
      <c r="PQ7" s="41"/>
      <c r="PR7" s="41"/>
      <c r="PS7" s="41"/>
      <c r="PT7" s="41"/>
      <c r="PU7" s="41"/>
      <c r="PV7" s="41"/>
      <c r="PW7" s="41"/>
      <c r="PX7" s="41"/>
      <c r="PY7" s="41"/>
      <c r="PZ7" s="41"/>
      <c r="QA7" s="41"/>
      <c r="QB7" s="41"/>
      <c r="QC7" s="41"/>
      <c r="QD7" s="41"/>
      <c r="QE7" s="41"/>
      <c r="QF7" s="41"/>
      <c r="QG7" s="41"/>
      <c r="QH7" s="41"/>
      <c r="QI7" s="41"/>
      <c r="QJ7" s="41"/>
      <c r="QK7" s="41"/>
      <c r="QL7" s="41"/>
      <c r="QM7" s="41"/>
      <c r="QN7" s="41"/>
      <c r="QO7" s="41"/>
      <c r="QP7" s="41"/>
      <c r="QQ7" s="41"/>
      <c r="QR7" s="41"/>
      <c r="QS7" s="41"/>
      <c r="QT7" s="41"/>
      <c r="QU7" s="41"/>
      <c r="QV7" s="41"/>
      <c r="QW7" s="41"/>
      <c r="QX7" s="41"/>
      <c r="QY7" s="41"/>
      <c r="QZ7" s="41"/>
      <c r="RA7" s="41"/>
      <c r="RB7" s="41"/>
      <c r="RC7" s="41"/>
      <c r="RD7" s="41"/>
      <c r="RE7" s="41"/>
      <c r="RF7" s="41"/>
      <c r="RG7" s="41"/>
      <c r="RH7" s="41"/>
      <c r="RI7" s="41"/>
      <c r="RJ7" s="41"/>
      <c r="RK7" s="41"/>
      <c r="RL7" s="41"/>
      <c r="RM7" s="41"/>
      <c r="RN7" s="41"/>
      <c r="RO7" s="41"/>
      <c r="RP7" s="41"/>
      <c r="RQ7" s="41"/>
      <c r="RR7" s="41"/>
      <c r="RS7" s="41"/>
      <c r="RT7" s="41"/>
      <c r="RU7" s="41"/>
      <c r="RV7" s="41"/>
      <c r="RW7" s="41"/>
      <c r="RX7" s="41"/>
      <c r="RY7" s="41"/>
      <c r="RZ7" s="41"/>
      <c r="SA7" s="41"/>
      <c r="SB7" s="41"/>
      <c r="SC7" s="41"/>
      <c r="SD7" s="41"/>
      <c r="SE7" s="41"/>
      <c r="SF7" s="41"/>
      <c r="SG7" s="41"/>
      <c r="SH7" s="41"/>
      <c r="SI7" s="41"/>
      <c r="SJ7" s="41"/>
      <c r="SK7" s="41"/>
      <c r="SL7" s="41"/>
      <c r="SM7" s="41"/>
      <c r="SN7" s="41"/>
      <c r="SO7" s="41"/>
      <c r="SP7" s="41"/>
      <c r="SQ7" s="41"/>
      <c r="SR7" s="41"/>
      <c r="SS7" s="41"/>
      <c r="ST7" s="41"/>
      <c r="SU7" s="41"/>
      <c r="SV7" s="41"/>
      <c r="SW7" s="41"/>
      <c r="SX7" s="41"/>
      <c r="SY7" s="41"/>
      <c r="SZ7" s="41"/>
      <c r="TA7" s="41"/>
      <c r="TB7" s="41"/>
      <c r="TC7" s="41"/>
      <c r="TD7" s="41"/>
      <c r="TE7" s="41"/>
      <c r="TF7" s="41"/>
      <c r="TG7" s="41"/>
      <c r="TH7" s="41"/>
      <c r="TI7" s="41"/>
      <c r="TJ7" s="41"/>
      <c r="TK7" s="41"/>
      <c r="TL7" s="41"/>
      <c r="TM7" s="41"/>
      <c r="TN7" s="41"/>
      <c r="TO7" s="41"/>
      <c r="TP7" s="41"/>
      <c r="TQ7" s="41"/>
      <c r="TR7" s="41"/>
      <c r="TS7" s="41"/>
      <c r="TT7" s="41"/>
      <c r="TU7" s="41"/>
      <c r="TV7" s="41"/>
      <c r="TW7" s="41"/>
      <c r="TX7" s="41"/>
      <c r="TY7" s="41"/>
      <c r="TZ7" s="41"/>
      <c r="UA7" s="41"/>
      <c r="UB7" s="41"/>
      <c r="UC7" s="41"/>
      <c r="UD7" s="41"/>
      <c r="UE7" s="41"/>
      <c r="UF7" s="41"/>
      <c r="UG7" s="41"/>
      <c r="UH7" s="41"/>
      <c r="UI7" s="41"/>
      <c r="UJ7" s="41"/>
      <c r="UK7" s="41"/>
      <c r="UL7" s="41"/>
      <c r="UM7" s="41"/>
      <c r="UN7" s="41"/>
      <c r="UO7" s="41"/>
      <c r="UP7" s="41"/>
      <c r="UQ7" s="41"/>
      <c r="UR7" s="41"/>
      <c r="US7" s="41"/>
      <c r="UT7" s="41"/>
      <c r="UU7" s="41"/>
      <c r="UV7" s="41"/>
      <c r="UW7" s="41"/>
      <c r="UX7" s="41"/>
      <c r="UY7" s="41"/>
      <c r="UZ7" s="41"/>
      <c r="VA7" s="41"/>
      <c r="VB7" s="41"/>
      <c r="VC7" s="41"/>
      <c r="VD7" s="41"/>
      <c r="VE7" s="41"/>
      <c r="VF7" s="41"/>
      <c r="VG7" s="41"/>
      <c r="VH7" s="41"/>
      <c r="VI7" s="41"/>
      <c r="VJ7" s="41"/>
      <c r="VK7" s="41"/>
      <c r="VL7" s="41"/>
      <c r="VM7" s="41"/>
      <c r="VN7" s="41"/>
      <c r="VO7" s="41"/>
      <c r="VP7" s="41"/>
      <c r="VQ7" s="41"/>
      <c r="VR7" s="41"/>
      <c r="VS7" s="41"/>
      <c r="VT7" s="41"/>
      <c r="VU7" s="41"/>
      <c r="VV7" s="41"/>
      <c r="VW7" s="41"/>
      <c r="VX7" s="41"/>
      <c r="VY7" s="41"/>
      <c r="VZ7" s="41"/>
      <c r="WA7" s="41"/>
      <c r="WB7" s="41"/>
      <c r="WC7" s="41"/>
      <c r="WD7" s="41"/>
      <c r="WE7" s="41"/>
      <c r="WF7" s="41"/>
      <c r="WG7" s="41"/>
      <c r="WH7" s="41"/>
      <c r="WI7" s="41"/>
      <c r="WJ7" s="41"/>
      <c r="WK7" s="41"/>
      <c r="WL7" s="41"/>
      <c r="WM7" s="41"/>
      <c r="WN7" s="41"/>
      <c r="WO7" s="41"/>
      <c r="WP7" s="41"/>
      <c r="WQ7" s="41"/>
      <c r="WR7" s="41"/>
      <c r="WS7" s="41"/>
      <c r="WT7" s="41"/>
      <c r="WU7" s="41"/>
      <c r="WV7" s="41"/>
      <c r="WW7" s="41"/>
      <c r="WX7" s="41"/>
      <c r="WY7" s="41"/>
      <c r="WZ7" s="41"/>
      <c r="XA7" s="41"/>
      <c r="XB7" s="41"/>
      <c r="XC7" s="41"/>
      <c r="XD7" s="41"/>
      <c r="XE7" s="41"/>
      <c r="XF7" s="41"/>
      <c r="XG7" s="41"/>
      <c r="XH7" s="41"/>
      <c r="XI7" s="41"/>
      <c r="XJ7" s="41"/>
      <c r="XK7" s="41"/>
      <c r="XL7" s="41"/>
      <c r="XM7" s="41"/>
      <c r="XN7" s="41"/>
      <c r="XO7" s="41"/>
      <c r="XP7" s="41"/>
      <c r="XQ7" s="41"/>
      <c r="XR7" s="41"/>
      <c r="XS7" s="41"/>
      <c r="XT7" s="41"/>
      <c r="XU7" s="41"/>
      <c r="XV7" s="41"/>
      <c r="XW7" s="41"/>
      <c r="XX7" s="41"/>
      <c r="XY7" s="41"/>
      <c r="XZ7" s="41"/>
      <c r="YA7" s="41"/>
      <c r="YB7" s="41"/>
      <c r="YC7" s="41"/>
      <c r="YD7" s="41"/>
      <c r="YE7" s="41"/>
      <c r="YF7" s="41"/>
      <c r="YG7" s="41"/>
      <c r="YH7" s="41"/>
      <c r="YI7" s="41"/>
      <c r="YJ7" s="41"/>
      <c r="YK7" s="41"/>
      <c r="YL7" s="41"/>
      <c r="YM7" s="41"/>
      <c r="YN7" s="41"/>
      <c r="YO7" s="41"/>
      <c r="YP7" s="41"/>
      <c r="YQ7" s="41"/>
      <c r="YR7" s="41"/>
      <c r="YS7" s="41"/>
      <c r="YT7" s="41"/>
      <c r="YU7" s="41"/>
      <c r="YV7" s="41"/>
      <c r="YW7" s="41"/>
      <c r="YX7" s="41"/>
      <c r="YY7" s="41"/>
      <c r="YZ7" s="41"/>
      <c r="ZA7" s="41"/>
      <c r="ZB7" s="41"/>
      <c r="ZC7" s="41"/>
      <c r="ZD7" s="41"/>
      <c r="ZE7" s="41"/>
      <c r="ZF7" s="41"/>
      <c r="ZG7" s="41"/>
      <c r="ZH7" s="41"/>
      <c r="ZI7" s="41"/>
      <c r="ZJ7" s="41"/>
      <c r="ZK7" s="41"/>
      <c r="ZL7" s="41"/>
      <c r="ZM7" s="41"/>
      <c r="ZN7" s="41"/>
      <c r="ZO7" s="41"/>
      <c r="ZP7" s="41"/>
      <c r="ZQ7" s="41"/>
      <c r="ZR7" s="41"/>
      <c r="ZS7" s="41"/>
      <c r="ZT7" s="41"/>
      <c r="ZU7" s="41"/>
      <c r="ZV7" s="41"/>
      <c r="ZW7" s="41"/>
      <c r="ZX7" s="41"/>
      <c r="ZY7" s="41"/>
      <c r="ZZ7" s="41"/>
      <c r="AAA7" s="41"/>
      <c r="AAB7" s="41"/>
      <c r="AAC7" s="41"/>
      <c r="AAD7" s="41"/>
      <c r="AAE7" s="41"/>
      <c r="AAF7" s="41"/>
      <c r="AAG7" s="41"/>
      <c r="AAH7" s="41"/>
      <c r="AAI7" s="41"/>
      <c r="AAJ7" s="41"/>
      <c r="AAK7" s="41"/>
      <c r="AAL7" s="41"/>
      <c r="AAM7" s="41"/>
      <c r="AAN7" s="41"/>
      <c r="AAO7" s="41"/>
      <c r="AAP7" s="41"/>
      <c r="AAQ7" s="41"/>
      <c r="AAR7" s="41"/>
      <c r="AAS7" s="41"/>
      <c r="AAT7" s="41"/>
      <c r="AAU7" s="41"/>
      <c r="AAV7" s="41"/>
      <c r="AAW7" s="41"/>
      <c r="AAX7" s="41"/>
      <c r="AAY7" s="41"/>
      <c r="AAZ7" s="41"/>
      <c r="ABA7" s="41"/>
      <c r="ABB7" s="41"/>
      <c r="ABC7" s="41"/>
      <c r="ABD7" s="41"/>
      <c r="ABE7" s="41"/>
      <c r="ABF7" s="41"/>
      <c r="ABG7" s="41"/>
      <c r="ABH7" s="41"/>
      <c r="ABI7" s="41"/>
      <c r="ABJ7" s="41"/>
      <c r="ABK7" s="41"/>
      <c r="ABL7" s="41"/>
      <c r="ABM7" s="41"/>
      <c r="ABN7" s="41"/>
      <c r="ABO7" s="41"/>
      <c r="ABP7" s="41"/>
      <c r="ABQ7" s="41"/>
      <c r="ABR7" s="41"/>
      <c r="ABS7" s="41"/>
      <c r="ABT7" s="41"/>
      <c r="ABU7" s="41"/>
      <c r="ABV7" s="41"/>
      <c r="ABW7" s="41"/>
      <c r="ABX7" s="41"/>
      <c r="ABY7" s="41"/>
      <c r="ABZ7" s="41"/>
      <c r="ACA7" s="41"/>
      <c r="ACB7" s="41"/>
      <c r="ACC7" s="41"/>
      <c r="ACD7" s="41"/>
      <c r="ACE7" s="41"/>
      <c r="ACF7" s="41"/>
      <c r="ACG7" s="41"/>
      <c r="ACH7" s="41"/>
      <c r="ACI7" s="41"/>
      <c r="ACJ7" s="41"/>
      <c r="ACK7" s="41"/>
      <c r="ACL7" s="41"/>
      <c r="ACM7" s="41"/>
      <c r="ACN7" s="41"/>
      <c r="ACO7" s="41"/>
      <c r="ACP7" s="41"/>
      <c r="ACQ7" s="41"/>
      <c r="ACR7" s="41"/>
      <c r="ACS7" s="41"/>
      <c r="ACT7" s="41"/>
      <c r="ACU7" s="41"/>
      <c r="ACV7" s="41"/>
      <c r="ACW7" s="41"/>
      <c r="ACX7" s="41"/>
      <c r="ACY7" s="41"/>
      <c r="ACZ7" s="41"/>
      <c r="ADA7" s="41"/>
      <c r="ADB7" s="41"/>
      <c r="ADC7" s="41"/>
      <c r="ADD7" s="41"/>
      <c r="ADE7" s="41"/>
      <c r="ADF7" s="41"/>
      <c r="ADG7" s="41"/>
      <c r="ADH7" s="41"/>
      <c r="ADI7" s="41"/>
      <c r="ADJ7" s="41"/>
      <c r="ADK7" s="41"/>
      <c r="ADL7" s="41"/>
      <c r="ADM7" s="41"/>
      <c r="ADN7" s="41"/>
      <c r="ADO7" s="41"/>
      <c r="ADP7" s="41"/>
      <c r="ADQ7" s="41"/>
      <c r="ADR7" s="41"/>
      <c r="ADS7" s="41"/>
      <c r="ADT7" s="41"/>
      <c r="ADU7" s="41"/>
      <c r="ADV7" s="41"/>
      <c r="ADW7" s="41"/>
      <c r="ADX7" s="41"/>
      <c r="ADY7" s="41"/>
      <c r="ADZ7" s="41"/>
      <c r="AEA7" s="41"/>
      <c r="AEB7" s="41"/>
      <c r="AEC7" s="41"/>
      <c r="AED7" s="41"/>
      <c r="AEE7" s="41"/>
      <c r="AEF7" s="41"/>
      <c r="AEG7" s="41"/>
      <c r="AEH7" s="41"/>
      <c r="AEI7" s="41"/>
      <c r="AEJ7" s="41"/>
      <c r="AEK7" s="41"/>
      <c r="AEL7" s="41"/>
      <c r="AEM7" s="41"/>
      <c r="AEN7" s="41"/>
      <c r="AEO7" s="41"/>
      <c r="AEP7" s="41"/>
      <c r="AEQ7" s="41"/>
      <c r="AER7" s="41"/>
      <c r="AES7" s="41"/>
      <c r="AET7" s="41"/>
      <c r="AEU7" s="41"/>
      <c r="AEV7" s="41"/>
      <c r="AEW7" s="41"/>
      <c r="AEX7" s="41"/>
      <c r="AEY7" s="41"/>
      <c r="AEZ7" s="41"/>
      <c r="AFA7" s="41"/>
      <c r="AFB7" s="41"/>
      <c r="AFC7" s="41"/>
      <c r="AFD7" s="41"/>
      <c r="AFE7" s="41"/>
      <c r="AFF7" s="41"/>
      <c r="AFG7" s="41"/>
      <c r="AFH7" s="41"/>
      <c r="AFI7" s="41"/>
      <c r="AFJ7" s="41"/>
      <c r="AFK7" s="41"/>
      <c r="AFL7" s="41"/>
      <c r="AFM7" s="41"/>
      <c r="AFN7" s="41"/>
      <c r="AFO7" s="41"/>
      <c r="AFP7" s="41"/>
      <c r="AFQ7" s="41"/>
      <c r="AFR7" s="41"/>
      <c r="AFS7" s="41"/>
      <c r="AFT7" s="41"/>
      <c r="AFU7" s="41"/>
      <c r="AFV7" s="41"/>
      <c r="AFW7" s="41"/>
      <c r="AFX7" s="41"/>
      <c r="AFY7" s="41"/>
      <c r="AFZ7" s="41"/>
      <c r="AGA7" s="41"/>
      <c r="AGB7" s="41"/>
      <c r="AGC7" s="41"/>
      <c r="AGD7" s="41"/>
      <c r="AGE7" s="41"/>
      <c r="AGF7" s="41"/>
      <c r="AGG7" s="41"/>
      <c r="AGH7" s="41"/>
      <c r="AGI7" s="41"/>
      <c r="AGJ7" s="41"/>
      <c r="AGK7" s="41"/>
      <c r="AGL7" s="41"/>
      <c r="AGM7" s="41"/>
      <c r="AGN7" s="41"/>
      <c r="AGO7" s="41"/>
      <c r="AGP7" s="41"/>
      <c r="AGQ7" s="41"/>
      <c r="AGR7" s="41"/>
      <c r="AGS7" s="41"/>
      <c r="AGT7" s="41"/>
      <c r="AGU7" s="41"/>
      <c r="AGV7" s="41"/>
      <c r="AGW7" s="41"/>
      <c r="AGX7" s="41"/>
      <c r="AGY7" s="41"/>
      <c r="AGZ7" s="41"/>
      <c r="AHA7" s="41"/>
      <c r="AHB7" s="41"/>
      <c r="AHC7" s="41"/>
      <c r="AHD7" s="41"/>
      <c r="AHE7" s="41"/>
      <c r="AHF7" s="41"/>
      <c r="AHG7" s="41"/>
      <c r="AHH7" s="41"/>
      <c r="AHI7" s="41"/>
      <c r="AHJ7" s="41"/>
      <c r="AHK7" s="41"/>
      <c r="AHL7" s="41"/>
      <c r="AHM7" s="41"/>
      <c r="AHN7" s="41"/>
      <c r="AHO7" s="41"/>
      <c r="AHP7" s="41"/>
      <c r="AHQ7" s="41"/>
      <c r="AHR7" s="41"/>
      <c r="AHS7" s="41"/>
      <c r="AHT7" s="41"/>
      <c r="AHU7" s="41"/>
      <c r="AHV7" s="41"/>
      <c r="AHW7" s="41"/>
      <c r="AHX7" s="41"/>
      <c r="AHY7" s="41"/>
      <c r="AHZ7" s="41"/>
      <c r="AIA7" s="41"/>
      <c r="AIB7" s="41"/>
      <c r="AIC7" s="41"/>
      <c r="AID7" s="41"/>
      <c r="AIE7" s="41"/>
      <c r="AIF7" s="41"/>
      <c r="AIG7" s="41"/>
      <c r="AIH7" s="41"/>
      <c r="AII7" s="41"/>
      <c r="AIJ7" s="41"/>
      <c r="AIK7" s="41"/>
      <c r="AIL7" s="41"/>
      <c r="AIM7" s="41"/>
      <c r="AIN7" s="41"/>
      <c r="AIO7" s="41"/>
      <c r="AIP7" s="41"/>
      <c r="AIQ7" s="41"/>
      <c r="AIR7" s="41"/>
      <c r="AIS7" s="41"/>
      <c r="AIT7" s="41"/>
      <c r="AIU7" s="41"/>
      <c r="AIV7" s="41"/>
      <c r="AIW7" s="41"/>
      <c r="AIX7" s="41"/>
      <c r="AIY7" s="41"/>
      <c r="AIZ7" s="41"/>
      <c r="AJA7" s="41"/>
      <c r="AJB7" s="41"/>
      <c r="AJC7" s="41"/>
      <c r="AJD7" s="41"/>
      <c r="AJE7" s="41"/>
      <c r="AJF7" s="41"/>
      <c r="AJG7" s="41"/>
      <c r="AJH7" s="41"/>
      <c r="AJI7" s="41"/>
      <c r="AJJ7" s="41"/>
      <c r="AJK7" s="41"/>
      <c r="AJL7" s="41"/>
      <c r="AJM7" s="41"/>
      <c r="AJN7" s="41"/>
      <c r="AJO7" s="41"/>
      <c r="AJP7" s="41"/>
      <c r="AJQ7" s="41"/>
      <c r="AJR7" s="41"/>
      <c r="AJS7" s="41"/>
      <c r="AJT7" s="41"/>
      <c r="AJU7" s="41"/>
      <c r="AJV7" s="41"/>
      <c r="AJW7" s="41"/>
      <c r="AJX7" s="41"/>
      <c r="AJY7" s="41"/>
      <c r="AJZ7" s="41"/>
      <c r="AKA7" s="41"/>
      <c r="AKB7" s="41"/>
      <c r="AKC7" s="41"/>
      <c r="AKD7" s="41"/>
      <c r="AKE7" s="41"/>
      <c r="AKF7" s="41"/>
      <c r="AKG7" s="41"/>
      <c r="AKH7" s="41"/>
      <c r="AKI7" s="41"/>
      <c r="AKJ7" s="41"/>
      <c r="AKK7" s="41"/>
      <c r="AKL7" s="41"/>
      <c r="AKM7" s="41"/>
      <c r="AKN7" s="41"/>
      <c r="AKO7" s="41"/>
      <c r="AKP7" s="41"/>
      <c r="AKQ7" s="41"/>
      <c r="AKR7" s="41"/>
      <c r="AKS7" s="41"/>
      <c r="AKT7" s="41"/>
      <c r="AKU7" s="41"/>
      <c r="AKV7" s="41"/>
      <c r="AKW7" s="41"/>
      <c r="AKX7" s="41"/>
      <c r="AKY7" s="41"/>
      <c r="AKZ7" s="41"/>
      <c r="ALA7" s="41"/>
      <c r="ALB7" s="41"/>
      <c r="ALC7" s="41"/>
      <c r="ALD7" s="41"/>
      <c r="ALE7" s="41"/>
      <c r="ALF7" s="41"/>
      <c r="ALG7" s="41"/>
      <c r="ALH7" s="41"/>
      <c r="ALI7" s="41"/>
      <c r="ALJ7" s="41"/>
      <c r="ALK7" s="41"/>
      <c r="ALL7" s="41"/>
      <c r="ALM7" s="41"/>
      <c r="ALN7" s="41"/>
      <c r="ALO7" s="41"/>
      <c r="ALP7" s="41"/>
      <c r="ALQ7" s="41"/>
      <c r="ALR7" s="41"/>
      <c r="ALS7" s="41"/>
      <c r="ALT7" s="41"/>
      <c r="ALU7" s="41"/>
      <c r="ALV7" s="41"/>
      <c r="ALW7" s="41"/>
      <c r="ALX7" s="41"/>
      <c r="ALY7" s="41"/>
      <c r="ALZ7" s="41"/>
      <c r="AMA7" s="41"/>
      <c r="AMB7" s="41"/>
      <c r="AMC7" s="41"/>
      <c r="AMD7" s="41"/>
      <c r="AME7" s="41"/>
      <c r="AMF7" s="41"/>
      <c r="AMG7" s="41"/>
      <c r="AMH7" s="41"/>
      <c r="AMI7" s="41"/>
      <c r="AMJ7" s="41"/>
      <c r="AMK7" s="41"/>
      <c r="AML7" s="41"/>
      <c r="AMM7" s="4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Unallocate!$4:$4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3.75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9" t="s">
        <v>36</v>
      </c>
      <c r="B6" s="39" t="s">
        <v>26</v>
      </c>
      <c r="C6" s="39" t="s">
        <v>33</v>
      </c>
      <c r="D6" s="39">
        <v>10.0</v>
      </c>
      <c r="E6" s="39">
        <v>10.0</v>
      </c>
      <c r="F6" s="39"/>
      <c r="G6" s="8"/>
      <c r="H6" s="35"/>
      <c r="I6" s="8"/>
      <c r="J6" s="8"/>
      <c r="K6" s="8"/>
      <c r="L6" s="8"/>
      <c r="M6" s="8"/>
      <c r="N6" s="8"/>
      <c r="O6" s="8"/>
      <c r="AQ6" s="37"/>
      <c r="AR6" s="33"/>
      <c r="AS6" s="37"/>
      <c r="AT6" s="33"/>
      <c r="DJ6" t="s">
        <v>36</v>
      </c>
      <c r="DK6" t="s">
        <v>36</v>
      </c>
      <c r="DL6" t="s">
        <v>36</v>
      </c>
      <c r="DM6" t="s">
        <v>36</v>
      </c>
      <c r="DN6" t="s">
        <v>36</v>
      </c>
      <c r="DO6" t="s">
        <v>36</v>
      </c>
      <c r="DP6" t="s">
        <v>36</v>
      </c>
      <c r="DQ6" t="s">
        <v>36</v>
      </c>
      <c r="DR6" t="s">
        <v>36</v>
      </c>
      <c r="DS6" t="s">
        <v>36</v>
      </c>
      <c r="DT6" t="s">
        <v>36</v>
      </c>
      <c r="DU6" t="s">
        <v>36</v>
      </c>
      <c r="DV6" t="s">
        <v>36</v>
      </c>
      <c r="DW6" t="s">
        <v>36</v>
      </c>
      <c r="DX6" t="s">
        <v>36</v>
      </c>
      <c r="DY6" t="s">
        <v>36</v>
      </c>
      <c r="DZ6" t="s">
        <v>36</v>
      </c>
      <c r="EA6" t="s">
        <v>36</v>
      </c>
      <c r="EB6" t="s">
        <v>36</v>
      </c>
      <c r="EC6" t="s">
        <v>36</v>
      </c>
      <c r="ED6" t="s">
        <v>36</v>
      </c>
      <c r="EE6" t="s">
        <v>36</v>
      </c>
      <c r="EF6" t="s">
        <v>36</v>
      </c>
      <c r="EG6" t="s">
        <v>36</v>
      </c>
      <c r="EH6" t="s">
        <v>36</v>
      </c>
      <c r="EI6" t="s">
        <v>36</v>
      </c>
      <c r="EJ6" t="s">
        <v>36</v>
      </c>
      <c r="EK6" t="s">
        <v>36</v>
      </c>
      <c r="EL6" t="s">
        <v>36</v>
      </c>
      <c r="EM6" t="s">
        <v>36</v>
      </c>
      <c r="EN6" t="s">
        <v>36</v>
      </c>
      <c r="EO6" t="s">
        <v>36</v>
      </c>
      <c r="EP6" t="s">
        <v>36</v>
      </c>
      <c r="EQ6" t="s">
        <v>36</v>
      </c>
      <c r="ER6" t="s">
        <v>36</v>
      </c>
      <c r="ES6" t="s">
        <v>36</v>
      </c>
      <c r="ET6" t="s">
        <v>36</v>
      </c>
      <c r="EU6" t="s">
        <v>36</v>
      </c>
      <c r="EV6" t="s">
        <v>36</v>
      </c>
      <c r="EW6" t="s">
        <v>36</v>
      </c>
      <c r="EX6" t="s">
        <v>36</v>
      </c>
      <c r="EY6" t="s">
        <v>36</v>
      </c>
      <c r="EZ6" t="s">
        <v>36</v>
      </c>
      <c r="FA6" t="s">
        <v>36</v>
      </c>
      <c r="FB6" t="s">
        <v>36</v>
      </c>
      <c r="FC6" t="s">
        <v>36</v>
      </c>
      <c r="FD6" t="s">
        <v>36</v>
      </c>
      <c r="FE6" t="s">
        <v>36</v>
      </c>
      <c r="FF6" t="s">
        <v>36</v>
      </c>
      <c r="FG6" t="s">
        <v>36</v>
      </c>
      <c r="FH6" t="s">
        <v>36</v>
      </c>
      <c r="FI6" t="s">
        <v>36</v>
      </c>
      <c r="FJ6" t="s">
        <v>36</v>
      </c>
      <c r="FK6" t="s">
        <v>36</v>
      </c>
      <c r="FL6" t="s">
        <v>36</v>
      </c>
      <c r="FM6" t="s">
        <v>36</v>
      </c>
      <c r="FN6" t="s">
        <v>36</v>
      </c>
      <c r="FO6" t="s">
        <v>36</v>
      </c>
      <c r="FP6" t="s">
        <v>36</v>
      </c>
      <c r="FQ6" t="s">
        <v>36</v>
      </c>
    </row>
    <row r="7" ht="15.75" customHeight="1">
      <c r="A7" s="8" t="s">
        <v>36</v>
      </c>
      <c r="B7" s="31" t="s">
        <v>25</v>
      </c>
      <c r="C7" s="39" t="s">
        <v>28</v>
      </c>
      <c r="D7" s="8">
        <v>10.0</v>
      </c>
      <c r="E7" s="39">
        <v>10.0</v>
      </c>
      <c r="F7" s="39"/>
      <c r="G7" s="8"/>
      <c r="H7" s="8"/>
      <c r="I7" s="8"/>
      <c r="J7" s="8"/>
      <c r="K7" s="8"/>
      <c r="L7" s="8"/>
      <c r="M7" s="8"/>
      <c r="N7" s="8"/>
      <c r="O7" s="8"/>
      <c r="AQ7" s="37"/>
      <c r="AR7" s="33"/>
      <c r="AS7" s="37"/>
      <c r="AT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63</v>
      </c>
      <c r="C6" s="33" t="s">
        <v>16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