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CreateStageOrder" sheetId="4" r:id="rId6"/>
    <sheet state="visible" name="SetCompliancePermission" sheetId="5" r:id="rId7"/>
    <sheet state="visible" name="TradeNewSubOrder" sheetId="6" r:id="rId8"/>
    <sheet state="visible" name="CreateNewSubOrder" sheetId="7" r:id="rId9"/>
    <sheet state="visible" name="LoginClient" sheetId="8" r:id="rId10"/>
    <sheet state="visible" name="ApproveorRejectpendingapproval" sheetId="9" r:id="rId11"/>
    <sheet state="visible" name="LoginClient1" sheetId="10" r:id="rId12"/>
    <sheet state="visible" name="TradeNewSubOrder1" sheetId="11" r:id="rId13"/>
    <sheet state="visible" name="CreateNewSubOrder1" sheetId="12" r:id="rId14"/>
    <sheet state="visible" name="ApproveorRejectpendingapproval1" sheetId="13" r:id="rId15"/>
    <sheet state="visible" name="TradeNewSubOrder2" sheetId="14" r:id="rId16"/>
    <sheet state="visible" name="CreateNewSubOrder2" sheetId="15" r:id="rId17"/>
    <sheet state="visible" name="ApproveorRejectpendingapproval2" sheetId="16" r:id="rId18"/>
    <sheet state="visible" name="TradeNewSubOrder4" sheetId="17" r:id="rId19"/>
    <sheet state="visible" name="CreateNewSubOrder3" sheetId="18" r:id="rId20"/>
    <sheet state="visible" name="ApproveorRejectpendingapproval3" sheetId="19" r:id="rId21"/>
  </sheets>
  <definedNames/>
  <calcPr/>
</workbook>
</file>

<file path=xl/sharedStrings.xml><?xml version="1.0" encoding="utf-8"?>
<sst xmlns="http://schemas.openxmlformats.org/spreadsheetml/2006/main" count="193" uniqueCount="49">
  <si>
    <t>Modules Info</t>
  </si>
  <si>
    <t>Modules</t>
  </si>
  <si>
    <t>Settings</t>
  </si>
  <si>
    <t>Module Step Setting File</t>
  </si>
  <si>
    <t>1FZCVS2VC_twlXn-YuKs0geSTaoYC6DdDpApdjwKtVWo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</si>
  <si>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</si>
  <si>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</si>
  <si>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</si>
  <si>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</si>
  <si>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</si>
  <si>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</si>
  <si>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</si>
  <si>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TradingTicket</t>
  </si>
  <si>
    <t>CreateStageOrder</t>
  </si>
  <si>
    <t>Data Format</t>
  </si>
  <si>
    <t>Input Format</t>
  </si>
  <si>
    <t xml:space="preserve"> O:MSFT 14C36.00</t>
  </si>
  <si>
    <t>Buy to Open</t>
  </si>
  <si>
    <t>Buy to Close</t>
  </si>
  <si>
    <t>Sell to Open</t>
  </si>
  <si>
    <t>Sell to Close</t>
  </si>
  <si>
    <t>Admin</t>
  </si>
  <si>
    <t>SetCompliancePermission</t>
  </si>
  <si>
    <t>Account1</t>
  </si>
  <si>
    <t>REQUIRES APPROVAL</t>
  </si>
  <si>
    <t>Blotter</t>
  </si>
  <si>
    <t>TradeNewSubOrder</t>
  </si>
  <si>
    <t>New</t>
  </si>
  <si>
    <t>CreateNewSubOrder</t>
  </si>
  <si>
    <t>Yes</t>
  </si>
  <si>
    <t>PranaClient</t>
  </si>
  <si>
    <t>LoginClient</t>
  </si>
  <si>
    <t>Support2</t>
  </si>
  <si>
    <t>Nirvana@1</t>
  </si>
  <si>
    <t>Compliance</t>
  </si>
  <si>
    <t>ApproveorRejectpendingapproval</t>
  </si>
  <si>
    <t>O:MSFT 14C36.00</t>
  </si>
  <si>
    <t>Single Trade</t>
  </si>
  <si>
    <t>GCCAP1</t>
  </si>
  <si>
    <t>Buy to Open 200 O:MSFT 14C36.00 @12, Notional USD 2,400</t>
  </si>
  <si>
    <t>DefaultNotes</t>
  </si>
  <si>
    <t>jpearce</t>
  </si>
  <si>
    <t>MS</t>
  </si>
  <si>
    <t>Pending Approval</t>
  </si>
  <si>
    <t>Reject</t>
  </si>
  <si>
    <t>Support1</t>
  </si>
  <si>
    <t>Buy to Close 200 O:MSFT 14C36.00 @12, Notional USD 2,400</t>
  </si>
  <si>
    <t>Sell to Open 200 O:MSFT 14C36.00 @12, Notional USD 2,400</t>
  </si>
  <si>
    <t>Sell to Close 200 O:MSFT 14C36.00 @12, Notional USD 2,400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</si>
</sst>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m/dd/yyyy h:mm:ss"/>
  </numFmts>
  <fonts count="17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sz val="10.0"/>
      <color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sz val="9.0"/>
      <color rgb="FF000000"/>
      <name val="&quot;Segoe UI&quot;"/>
    </font>
    <font>
      <b/>
      <sz val="9.0"/>
      <color rgb="FF000000"/>
      <name val="&quot;Segoe UI&quot;"/>
    </font>
    <font>
      <sz val="9.0"/>
      <color rgb="FF000000"/>
      <name val="Arial"/>
    </font>
  </fonts>
  <fills count="8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  <fill>
      <patternFill patternType="solid">
        <fgColor rgb="FFE7E8E9"/>
        <bgColor rgb="FFE7E8E9"/>
      </patternFill>
    </fill>
    <fill>
      <patternFill patternType="solid">
        <fgColor rgb="FFCBD6E0"/>
        <bgColor rgb="FFCBD6E0"/>
      </patternFill>
    </fill>
  </fills>
  <borders count="8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  <border>
      <right style="thin">
        <color rgb="FF000000"/>
      </right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54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7" numFmtId="0" xfId="0" applyAlignment="1" applyFont="1">
      <alignment readingOrder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9" numFmtId="0" xfId="0" applyAlignment="1" applyBorder="1" applyFont="1">
      <alignment readingOrder="0" shrinkToFit="0" wrapText="0"/>
    </xf>
    <xf borderId="4" fillId="3" fontId="9" numFmtId="0" xfId="0" applyAlignment="1" applyBorder="1" applyFont="1">
      <alignment shrinkToFit="0" wrapText="0"/>
    </xf>
    <xf borderId="0" fillId="0" fontId="10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8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8" numFmtId="0" xfId="0" applyAlignment="1" applyBorder="1" applyFont="1">
      <alignment readingOrder="0" shrinkToFit="0" wrapText="0"/>
    </xf>
    <xf borderId="0" fillId="3" fontId="11" numFmtId="0" xfId="0" applyFont="1"/>
    <xf borderId="0" fillId="4" fontId="12" numFmtId="0" xfId="0" applyAlignment="1" applyFill="1" applyFont="1">
      <alignment shrinkToFit="0" wrapText="0"/>
    </xf>
    <xf borderId="0" fillId="4" fontId="13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1" numFmtId="0" xfId="0" applyFont="1"/>
    <xf borderId="0" fillId="0" fontId="3" numFmtId="0" xfId="0" applyAlignment="1" applyFont="1">
      <alignment vertical="bottom"/>
    </xf>
    <xf borderId="0" fillId="0" fontId="3" numFmtId="0" xfId="0" applyAlignment="1" applyFont="1">
      <alignment vertical="bottom"/>
    </xf>
    <xf borderId="0" fillId="0" fontId="5" numFmtId="0" xfId="0" applyAlignment="1" applyFont="1">
      <alignment horizontal="right" vertical="bottom"/>
    </xf>
    <xf borderId="0" fillId="0" fontId="5" numFmtId="0" xfId="0" applyAlignment="1" applyFont="1">
      <alignment horizontal="right" vertical="bottom"/>
    </xf>
    <xf borderId="0" fillId="0" fontId="5" numFmtId="0" xfId="0" applyAlignment="1" applyFont="1">
      <alignment vertical="bottom"/>
    </xf>
    <xf borderId="0" fillId="0" fontId="5" numFmtId="0" xfId="0" applyAlignment="1" applyFont="1">
      <alignment shrinkToFit="0" vertical="bottom" wrapText="0"/>
    </xf>
    <xf borderId="0" fillId="0" fontId="5" numFmtId="0" xfId="0" applyAlignment="1" applyFont="1">
      <alignment readingOrder="0" shrinkToFit="0" wrapText="0"/>
    </xf>
    <xf borderId="0" fillId="0" fontId="5" numFmtId="0" xfId="0" applyAlignment="1" applyFont="1">
      <alignment vertical="bottom"/>
    </xf>
    <xf borderId="5" fillId="0" fontId="3" numFmtId="0" xfId="0" applyAlignment="1" applyBorder="1" applyFont="1">
      <alignment vertical="bottom"/>
    </xf>
    <xf borderId="6" fillId="6" fontId="3" numFmtId="164" xfId="0" applyAlignment="1" applyBorder="1" applyFill="1" applyFont="1" applyNumberFormat="1">
      <alignment vertical="top"/>
    </xf>
    <xf borderId="7" fillId="6" fontId="14" numFmtId="0" xfId="0" applyAlignment="1" applyBorder="1" applyFont="1">
      <alignment shrinkToFit="0" vertical="top" wrapText="0"/>
    </xf>
    <xf borderId="7" fillId="6" fontId="14" numFmtId="0" xfId="0" applyAlignment="1" applyBorder="1" applyFont="1">
      <alignment vertical="top"/>
    </xf>
    <xf borderId="7" fillId="6" fontId="14" numFmtId="0" xfId="0" applyAlignment="1" applyBorder="1" applyFont="1">
      <alignment vertical="top"/>
    </xf>
    <xf borderId="7" fillId="6" fontId="3" numFmtId="0" xfId="0" applyAlignment="1" applyBorder="1" applyFont="1">
      <alignment vertical="top"/>
    </xf>
    <xf borderId="7" fillId="6" fontId="15" numFmtId="0" xfId="0" applyAlignment="1" applyBorder="1" applyFont="1">
      <alignment horizontal="right" vertical="top"/>
    </xf>
    <xf borderId="7" fillId="6" fontId="16" numFmtId="0" xfId="0" applyAlignment="1" applyBorder="1" applyFont="1">
      <alignment horizontal="right" vertical="top"/>
    </xf>
    <xf borderId="6" fillId="7" fontId="3" numFmtId="164" xfId="0" applyAlignment="1" applyBorder="1" applyFill="1" applyFont="1" applyNumberFormat="1">
      <alignment vertical="top"/>
    </xf>
    <xf borderId="7" fillId="7" fontId="14" numFmtId="0" xfId="0" applyAlignment="1" applyBorder="1" applyFont="1">
      <alignment shrinkToFit="0" vertical="top" wrapText="0"/>
    </xf>
    <xf borderId="7" fillId="7" fontId="14" numFmtId="0" xfId="0" applyAlignment="1" applyBorder="1" applyFont="1">
      <alignment vertical="top"/>
    </xf>
    <xf borderId="7" fillId="7" fontId="14" numFmtId="0" xfId="0" applyAlignment="1" applyBorder="1" applyFont="1">
      <alignment vertical="top"/>
    </xf>
    <xf borderId="7" fillId="7" fontId="16" numFmtId="0" xfId="0" applyAlignment="1" applyBorder="1" applyFont="1">
      <alignment horizontal="right" vertical="top"/>
    </xf>
    <xf borderId="7" fillId="7" fontId="3" numFmtId="0" xfId="0" applyAlignment="1" applyBorder="1" applyFont="1">
      <alignment vertical="top"/>
    </xf>
    <xf borderId="7" fillId="7" fontId="15" numFmtId="0" xfId="0" applyAlignment="1" applyBorder="1" applyFont="1">
      <alignment horizontal="right" vertical="top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8.xml"/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21" Type="http://schemas.openxmlformats.org/officeDocument/2006/relationships/worksheet" Target="worksheets/sheet19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7" Type="http://schemas.openxmlformats.org/officeDocument/2006/relationships/worksheet" Target="worksheets/sheet15.xml"/><Relationship Id="rId16" Type="http://schemas.openxmlformats.org/officeDocument/2006/relationships/worksheet" Target="worksheets/sheet14.xml"/><Relationship Id="rId5" Type="http://schemas.openxmlformats.org/officeDocument/2006/relationships/worksheet" Target="worksheets/sheet3.xml"/><Relationship Id="rId19" Type="http://schemas.openxmlformats.org/officeDocument/2006/relationships/worksheet" Target="worksheets/sheet17.xml"/><Relationship Id="rId6" Type="http://schemas.openxmlformats.org/officeDocument/2006/relationships/worksheet" Target="worksheets/sheet4.xml"/><Relationship Id="rId18" Type="http://schemas.openxmlformats.org/officeDocument/2006/relationships/worksheet" Target="worksheets/sheet16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8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8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8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8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8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8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8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8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8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8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8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8.png"/></Relationships>
</file>

<file path=xl/drawings/_rels/drawing16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8.png"/></Relationships>
</file>

<file path=xl/drawings/_rels/drawing17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8.png"/></Relationships>
</file>

<file path=xl/drawings/_rels/drawing18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8.png"/></Relationships>
</file>

<file path=xl/drawings/_rels/drawing19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8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IFERROR(__xludf.DUMMYFUNCTION("""COMPUTED_VALUE"""),"1M6ki1zHFPX_J-oYlQHbPkzpU8O-gBETIStHNMXhq2LY")</f>
        <v>1M6ki1zHFPX_J-oYlQHbPkzpU8O-gBETIStHNMXhq2LY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IFERROR(__xludf.DUMMYFUNCTION("""COMPUTED_VALUE"""),"108eHf5dlaU-2uUYuHfGgKKJqgdRILzey4i21uN8VBpc")</f>
        <v>108eHf5dlaU-2uUYuHfGgKKJqgdRILzey4i21uN8VBpc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IFERROR(__xludf.DUMMYFUNCTION("""COMPUTED_VALUE"""),"1xOLrriXpynkiEARWECFOoYcCjgpJ_r_B8l8himR40tc")</f>
        <v>1xOLrriXpynkiEARWECFOoYcCjgpJ_r_B8l8himR40tc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IFERROR(__xludf.DUMMYFUNCTION("""COMPUTED_VALUE"""),"1czFgc0rQ9Yr0z5XyYhwS9vTzyyW8C_kbFoZotVQvRGU")</f>
        <v>1czFgc0rQ9Yr0z5XyYhwS9vTzyyW8C_kbFoZotVQvRGU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IFERROR(__xludf.DUMMYFUNCTION("""COMPUTED_VALUE"""),"1IzyG5_6aGu2OE6b5hRX3Fsz__PyNpFOt5iSq6kKmpgs")</f>
        <v>1IzyG5_6aGu2OE6b5hRX3Fsz__PyNpFOt5iSq6kKmpgs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IFERROR(__xludf.DUMMYFUNCTION("""COMPUTED_VALUE"""),"CheckBlotter")</f>
        <v>CheckBlotter</v>
      </c>
      <c r="C12" s="4" t="str">
        <f>IFERROR(__xludf.DUMMYFUNCTION("""COMPUTED_VALUE"""),"1enUPqyPREGl3f2eye-2V4zEhW4eTEsQWbHsvbHWKlLQ")</f>
        <v>1enUPqyPREGl3f2eye-2V4zEhW4eTEsQWbHsvbHWKlLQ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IFERROR(__xludf.DUMMYFUNCTION("""COMPUTED_VALUE"""),"11pF8hppeASHIBEU4fJBPX4H2s826R1k7KA4JaccEGq0")</f>
        <v>11pF8hppeASHIBEU4fJBPX4H2s826R1k7KA4JaccEGq0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IFERROR(__xludf.DUMMYFUNCTION("""COMPUTED_VALUE"""),"1qI9l0oxajDKeZluTNrlCeeZ28QX8NkbvZl6ujxbGJnI")</f>
        <v>1qI9l0oxajDKeZluTNrlCeeZ28QX8NkbvZl6ujxbGJnI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IFERROR(__xludf.DUMMYFUNCTION("""COMPUTED_VALUE"""),"1n0XgxxbStGy3VjvQS309fIpzG_L1vcwVX484ib8d3QU")</f>
        <v>1n0XgxxbStGy3VjvQS309fIpzG_L1vcwVX484ib8d3QU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IFERROR(__xludf.DUMMYFUNCTION("""COMPUTED_VALUE"""),"1dm_rO3DsjDpe_rov3TM-pXjFB8WSzw6eN-gEqIFDT2M")</f>
        <v>1dm_rO3DsjDpe_rov3TM-pXjFB8WSzw6eN-gEqIFDT2M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IFERROR(__xludf.DUMMYFUNCTION("""COMPUTED_VALUE"""),"1n2_KWleIEyqXIdrb2wBU9n9HG3wOCbtLJiXuNliDxbo")</f>
        <v>1n2_KWleIEyqXIdrb2wBU9n9HG3wOCbtLJiXuNliDxbo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IFERROR(__xludf.DUMMYFUNCTION("""COMPUTED_VALUE"""),"1HUrg5HC-uhaySvPqKlbfDJy_tRqbpd3tG5-BRQbvQNE")</f>
        <v>1HUrg5HC-uhaySvPqKlbfDJy_tRqbpd3tG5-BRQbvQNE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IFERROR(__xludf.DUMMYFUNCTION("""COMPUTED_VALUE"""),"1ogDmXxmcH2S6ctXbFXoGdWmaCJRo_ECxi411UEwWYtk")</f>
        <v>1ogDmXxmcH2S6ctXbFXoGdWmaCJRo_ECxi411UEwWYtk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IFERROR(__xludf.DUMMYFUNCTION("""COMPUTED_VALUE"""),"15KSHSnHyfcV68P-BAz-qSKIAViB6QpZ5pCYmrYItUS4")</f>
        <v>15KSHSnHyfcV68P-BAz-qSKIAViB6QpZ5pCYmrYItUS4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IFERROR(__xludf.DUMMYFUNCTION("""COMPUTED_VALUE"""),"1JZcaOlNrERZ2pJDJY1f-UuSxW_EJa6FmaMW4Ng69G-Y")</f>
        <v>1JZcaOlNrERZ2pJDJY1f-UuSxW_EJa6FmaMW4Ng69G-Y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IFERROR(__xludf.DUMMYFUNCTION("""COMPUTED_VALUE"""),"14bzYQBiZIs2a3lfzwT4TROCDnXpt72UALcJjBTZdEAk")</f>
        <v>14bzYQBiZIs2a3lfzwT4TROCDnXpt72UALcJjBTZdEAk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IFERROR(__xludf.DUMMYFUNCTION("""COMPUTED_VALUE"""),"1qlSfNvUHenegqRyv9ZFeKA5gN-iwbykaaRHcYfx0vR8")</f>
        <v>1qlSfNvUHenegqRyv9ZFeKA5gN-iwbykaaRHcYfx0vR8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IFERROR(__xludf.DUMMYFUNCTION("""COMPUTED_VALUE"""),"1f9Url4H77DADigFnhRCLdDJPePHaUcYK-sGJAcDVqAc")</f>
        <v>1f9Url4H77DADigFnhRCLdDJPePHaUcYK-sGJAcDVqAc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IFERROR(__xludf.DUMMYFUNCTION("""COMPUTED_VALUE"""),"1ovsWSW4IX_ESJf6L_l_o3LFV2g37EWvXALJwiSoMOOk")</f>
        <v>1ovsWSW4IX_ESJf6L_l_o3LFV2g37EWvXALJwiSoMOOk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IFERROR(__xludf.DUMMYFUNCTION("""COMPUTED_VALUE"""),"16KBVroR_j9VfEeynsJjMmeERh-LHCXp_Q3zfX2ptUbk")</f>
        <v>16KBVroR_j9VfEeynsJjMmeERh-LHCXp_Q3zfX2ptUbk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IFERROR(__xludf.DUMMYFUNCTION("""COMPUTED_VALUE"""),"1_vNaQNw1K3VUjBqTVyF_y9hpe8G2ewy1wQSeMFKnIsw")</f>
        <v>1_vNaQNw1K3VUjBqTVyF_y9hpe8G2ewy1wQSeMFKnIsw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IFERROR(__xludf.DUMMYFUNCTION("""COMPUTED_VALUE"""),"1XML_rKDwoATUqQEdSmAgWZeBq0nRAO-QFlPnVgX1Uac")</f>
        <v>1XML_rKDwoATUqQEdSmAgWZeBq0nRAO-QFlPnVgX1Uac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IFERROR(__xludf.DUMMYFUNCTION("""COMPUTED_VALUE"""),"10mJBbfEKw8miuRHDwCV7_-8V_E3ZX1n6jlsC5kfflVY")</f>
        <v>10mJBbfEKw8miuRHDwCV7_-8V_E3ZX1n6jlsC5kfflVY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IFERROR(__xludf.DUMMYFUNCTION("""COMPUTED_VALUE"""),"1Q4XgYTYb3ng95eo0AHEW34QHB-UqihXSsfRcQQpkVXw")</f>
        <v>1Q4XgYTYb3ng95eo0AHEW34QHB-UqihXSsfRcQQpkVXw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IFERROR(__xludf.DUMMYFUNCTION("""COMPUTED_VALUE"""),"1wBU1fZSgMTdigulsSHYR2v-bDeV7d5RFgGZmCuk8rww")</f>
        <v>1wBU1fZSgMTdigulsSHYR2v-bDeV7d5RFgGZmCuk8rww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IFERROR(__xludf.DUMMYFUNCTION("""COMPUTED_VALUE"""),"1crnQkc3JZblrRatY8QxWLuk7JnchsXg0e_CyrN38bbE")</f>
        <v>1crnQkc3JZblrRatY8QxWLuk7JnchsXg0e_CyrN38bbE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IFERROR(__xludf.DUMMYFUNCTION("""COMPUTED_VALUE"""),"1YWFFwFn67kSD8UqbzR_g6NbGZ9pjemCMVA9QmSA4_S8")</f>
        <v>1YWFFwFn67kSD8UqbzR_g6NbGZ9pjemCMVA9QmSA4_S8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IFERROR(__xludf.DUMMYFUNCTION("""COMPUTED_VALUE"""),"1gDvMDcnV_Cq-gd3uSiTszH4Q8IYBAMQu9lTMq8Rpy3o")</f>
        <v>1gDvMDcnV_Cq-gd3uSiTszH4Q8IYBAMQu9lTMq8Rpy3o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IFERROR(__xludf.DUMMYFUNCTION("""COMPUTED_VALUE"""),"1dhqVPgdlk0qqXkJ78cDzBf_Mq3MegKBc6RXPw3xiPrw")</f>
        <v>1dhqVPgdlk0qqXkJ78cDzBf_Mq3MegKBc6RXPw3xiPrw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IFERROR(__xludf.DUMMYFUNCTION("""COMPUTED_VALUE"""),"173hAXGieMVvXY5pe0UbKu68RfryU3RaXKikGhyg-rOo")</f>
        <v>173hAXGieMVvXY5pe0UbKu68RfryU3RaXKikGhyg-rOo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IFERROR(__xludf.DUMMYFUNCTION("""COMPUTED_VALUE"""),"1NAyBh7MvMUe-ymIgaMjhvCcTdXRrdfoOqa5k2oEkEtY")</f>
        <v>1NAyBh7MvMUe-ymIgaMjhvCcTdXRrdfoOqa5k2oEkEtY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IFERROR(__xludf.DUMMYFUNCTION("""COMPUTED_VALUE"""),"1WIb_XXxmZPR_GUhoObQfZ6l1pKvOl5CWOE5mnz2ftU0")</f>
        <v>1WIb_XXxmZPR_GUhoObQfZ6l1pKvOl5CWOE5mnz2ftU0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IFERROR(__xludf.DUMMYFUNCTION("""COMPUTED_VALUE"""),"1MME0WB8RmCV2QKgHuWbTvubmaZmPuF0knOKGp2GUg7o")</f>
        <v>1MME0WB8RmCV2QKgHuWbTvubmaZmPuF0knOKGp2GUg7o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IFERROR(__xludf.DUMMYFUNCTION("""COMPUTED_VALUE"""),"1Rq8zeuYkGxaBxmemqN7Z1OVWnaheHVEDxVozT52myRI")</f>
        <v>1Rq8zeuYkGxaBxmemqN7Z1OVWnaheHVEDxVozT52myRI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IFERROR(__xludf.DUMMYFUNCTION("""COMPUTED_VALUE"""),"1UalkAEsbJcZQAzEnT3T29et4u4PKQ3n66SBTt1HPqVc")</f>
        <v>1UalkAEsbJcZQAzEnT3T29et4u4PKQ3n66SBTt1HPqVc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IFERROR(__xludf.DUMMYFUNCTION("""COMPUTED_VALUE"""),"1Ed9yVUP6QBHgE31eiooLDUHG0Yf2VM_w3I1hshQOHqI")</f>
        <v>1Ed9yVUP6QBHgE31eiooLDUHG0Yf2VM_w3I1hshQOHqI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IFERROR(__xludf.DUMMYFUNCTION("""COMPUTED_VALUE"""),"1bnzX2PjXEMH6TjD42kz9rbl4I5pggAPDV-6J94ie3aA")</f>
        <v>1bnzX2PjXEMH6TjD42kz9rbl4I5pggAPDV-6J94ie3aA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IFERROR(__xludf.DUMMYFUNCTION("""COMPUTED_VALUE"""),"1eDn4ID4lZ0g9L9LBEwFIV1KSKirbl2wBD7JMSOogsJo")</f>
        <v>1eDn4ID4lZ0g9L9LBEwFIV1KSKirbl2wBD7JMSOogsJo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IFERROR(__xludf.DUMMYFUNCTION("""COMPUTED_VALUE"""),"1GqarmBj5COJ9oiY8JkODcW4vDrpW1y5yTk4660Wu__c")</f>
        <v>1GqarmBj5COJ9oiY8JkODcW4vDrpW1y5yTk4660Wu__c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IFERROR(__xludf.DUMMYFUNCTION("""COMPUTED_VALUE"""),"1rwYlyzQAuduSi0Gp4ROixwt3o0bs2AhQbAT7dJTM9RA")</f>
        <v>1rwYlyzQAuduSi0Gp4ROixwt3o0bs2AhQbAT7dJTM9RA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IFERROR(__xludf.DUMMYFUNCTION("""COMPUTED_VALUE"""),"11JwOBclgqclhwteK8-8D_f6-5WV6K0OQ-E6BB9CezgE")</f>
        <v>11JwOBclgqclhwteK8-8D_f6-5WV6K0OQ-E6BB9CezgE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IFERROR(__xludf.DUMMYFUNCTION("""COMPUTED_VALUE"""),"1LaxsbJKMKgHz6nuJt-mWzImc-fRNbTvmrGGX97yHQ3M")</f>
        <v>1LaxsbJKMKgHz6nuJt-mWzImc-fRNbTvmrGGX97yHQ3M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IFERROR(__xludf.DUMMYFUNCTION("""COMPUTED_VALUE"""),"1FjuLUHGwTLVNcZ31dqziB6PhJgIoI87PrQYnS_MxI6w")</f>
        <v>1FjuLUHGwTLVNcZ31dqziB6PhJgIoI87PrQYnS_MxI6w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IFERROR(__xludf.DUMMYFUNCTION("""COMPUTED_VALUE"""),"1qMBNCqmLroUbEfWZ7WurEo9lsZVM23zrfZgeqSulKQE")</f>
        <v>1qMBNCqmLroUbEfWZ7WurEo9lsZVM23zrfZgeqSulKQE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IFERROR(__xludf.DUMMYFUNCTION("""COMPUTED_VALUE"""),"Split")</f>
        <v>Split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IFERROR(__xludf.DUMMYFUNCTION("""COMPUTED_VALUE"""),"CorporateAction")</f>
        <v>CorporateAction</v>
      </c>
      <c r="B57" t="str">
        <f>IFERROR(__xludf.DUMMYFUNCTION("""COMPUTED_VALUE"""),"StockDividend")</f>
        <v>StockDividend</v>
      </c>
      <c r="C57" t="str">
        <f>IFERROR(__xludf.DUMMYFUNCTION("""COMPUTED_VALUE"""),"Undefined")</f>
        <v>Undefined</v>
      </c>
    </row>
    <row r="58" ht="15.75" customHeight="1">
      <c r="A58" t="str">
        <f>IFERROR(__xludf.DUMMYFUNCTION("""COMPUTED_VALUE"""),"TradingTicket")</f>
        <v>TradingTicket</v>
      </c>
      <c r="B58" t="str">
        <f>IFERROR(__xludf.DUMMYFUNCTION("""COMPUTED_VALUE"""),"EnterDetailsOnTT")</f>
        <v>EnterDetailsOnTT</v>
      </c>
      <c r="C58" t="str">
        <f>IFERROR(__xludf.DUMMYFUNCTION("""COMPUTED_VALUE"""),"1G2yAwEmGug4VRRGiVJM3yHe88F7UHCmwLdFo2-Xj4bA")</f>
        <v>1G2yAwEmGug4VRRGiVJM3yHe88F7UHCmwLdFo2-Xj4bA</v>
      </c>
    </row>
    <row r="59" ht="15.75" customHeight="1">
      <c r="A59" t="str">
        <f>IFERROR(__xludf.DUMMYFUNCTION("""COMPUTED_VALUE"""),"DailyValuation")</f>
        <v>DailyValuation</v>
      </c>
      <c r="B59" t="str">
        <f>IFERROR(__xludf.DUMMYFUNCTION("""COMPUTED_VALUE"""),"CleanUp")</f>
        <v>CleanUp</v>
      </c>
      <c r="C59" t="str">
        <f>IFERROR(__xludf.DUMMYFUNCTION("""COMPUTED_VALUE"""),"Undefined")</f>
        <v>Undefined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IFERROR(__xludf.DUMMYFUNCTION("""COMPUTED_VALUE"""),"EditUnallocatedGroupSidePanel")</f>
        <v>EditUnallocatedGroupSidePanel</v>
      </c>
      <c r="C60" t="str">
        <f>IFERROR(__xludf.DUMMYFUNCTION("""COMPUTED_VALUE"""),"1sN4dA0wRDbkiqDmGZD3fRqB5XP8vsNgVSKTClqF2aqA")</f>
        <v>1sN4dA0wRDbkiqDmGZD3fRqB5XP8vsNgVSKTClqF2aqA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IFERROR(__xludf.DUMMYFUNCTION("""COMPUTED_VALUE"""),"TradeAttributeBulkChange")</f>
        <v>TradeAttributeBulkChange</v>
      </c>
      <c r="C61" t="str">
        <f>IFERROR(__xludf.DUMMYFUNCTION("""COMPUTED_VALUE"""),"1iFwUbi4eWTRVGpAAB27Nc1Ubu4j6hxNuLgSZZV6c_E4")</f>
        <v>1iFwUbi4eWTRVGpAAB27Nc1Ubu4j6hxNuLgSZZV6c_E4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IFERROR(__xludf.DUMMYFUNCTION("""COMPUTED_VALUE"""),"ApplyBulkUpdateOnGroups")</f>
        <v>ApplyBulkUpdateOnGroups</v>
      </c>
      <c r="C62" t="str">
        <f>IFERROR(__xludf.DUMMYFUNCTION("""COMPUTED_VALUE"""),"1XV7WEkcXTDuOgwDoGhKvy8HU-K-3479ZHAEZBvsa_tc")</f>
        <v>1XV7WEkcXTDuOgwDoGhKvy8HU-K-3479ZHAEZBvsa_tc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IFERROR(__xludf.DUMMYFUNCTION("""COMPUTED_VALUE"""),"ApplyPrefetchFilters")</f>
        <v>ApplyPrefetchFilters</v>
      </c>
      <c r="C63" t="str">
        <f>IFERROR(__xludf.DUMMYFUNCTION("""COMPUTED_VALUE"""),"1sQmxpKX5ogSXiV1qHf6NVjQl8QoUTsuD2rJ4pzqABAg")</f>
        <v>1sQmxpKX5ogSXiV1qHf6NVjQl8QoUTsuD2rJ4pzqABAg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IFERROR(__xludf.DUMMYFUNCTION("""COMPUTED_VALUE"""),"GeneralPreferencesDefaultRule")</f>
        <v>GeneralPreferencesDefaultRule</v>
      </c>
      <c r="C64" t="str">
        <f>IFERROR(__xludf.DUMMYFUNCTION("""COMPUTED_VALUE"""),"1WOXvZZCIiWWwLt85sMAJs5lA2Sd5seftlo0-PMFepo4")</f>
        <v>1WOXvZZCIiWWwLt85sMAJs5lA2Sd5seftlo0-PMFepo4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IFERROR(__xludf.DUMMYFUNCTION("""COMPUTED_VALUE"""),"GeneralPrefCompanyUserWise")</f>
        <v>GeneralPrefCompanyUserWise</v>
      </c>
      <c r="C65" t="str">
        <f>IFERROR(__xludf.DUMMYFUNCTION("""COMPUTED_VALUE"""),"13pRCCWisWUdYIzGghxtJvmhlBsj5sDr94g6VDPP0q-o")</f>
        <v>13pRCCWisWUdYIzGghxtJvmhlBsj5sDr94g6VDPP0q-o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IFERROR(__xludf.DUMMYFUNCTION("""COMPUTED_VALUE"""),"RenameTradeAttributes")</f>
        <v>RenameTradeAttributes</v>
      </c>
      <c r="C66" t="str">
        <f>IFERROR(__xludf.DUMMYFUNCTION("""COMPUTED_VALUE"""),"1npQSl0FjE4Lw1QD6s0yIpLzJ-rj0nbumIonEIRbWZwA")</f>
        <v>1npQSl0FjE4Lw1QD6s0yIpLzJ-rj0nbumIonEIRbWZwA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IFERROR(__xludf.DUMMYFUNCTION("""COMPUTED_VALUE"""),"SetGroupingRules")</f>
        <v>SetGroupingRules</v>
      </c>
      <c r="C67" t="str">
        <f>IFERROR(__xludf.DUMMYFUNCTION("""COMPUTED_VALUE"""),"1-pEik0paMvKDzhMzUpCB2FadNd3tINN9bPXcpr5W9hI")</f>
        <v>1-pEik0paMvKDzhMzUpCB2FadNd3tINN9bPXcpr5W9hI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IFERROR(__xludf.DUMMYFUNCTION("""COMPUTED_VALUE"""),"SetMasterFundRatio")</f>
        <v>SetMasterFundRatio</v>
      </c>
      <c r="C68" t="str">
        <f>IFERROR(__xludf.DUMMYFUNCTION("""COMPUTED_VALUE"""),"1G5A2JHuXFwIAKeFyFP_6qaRbfVnU9mvHz6q_tG-5I3M")</f>
        <v>1G5A2JHuXFwIAKeFyFP_6qaRbfVnU9mvHz6q_tG-5I3M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IFERROR(__xludf.DUMMYFUNCTION("""COMPUTED_VALUE"""),"CheckFixedPreference")</f>
        <v>CheckFixedPreference</v>
      </c>
      <c r="C69" t="str">
        <f>IFERROR(__xludf.DUMMYFUNCTION("""COMPUTED_VALUE"""),"1Qf7-OMFYaQTpiT3A76WLvhP_zTcAvN-GlTkEKWQI6CI")</f>
        <v>1Qf7-OMFYaQTpiT3A76WLvhP_zTcAvN-GlTkEKWQI6CI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IFERROR(__xludf.DUMMYFUNCTION("""COMPUTED_VALUE"""),"GetFixedPreference")</f>
        <v>GetFixedPreference</v>
      </c>
      <c r="C70" t="str">
        <f>IFERROR(__xludf.DUMMYFUNCTION("""COMPUTED_VALUE"""),"1X2GLgKZ0jCCf9C8tNz4LZTT8MEJ0rPmHVf74CRF92nI")</f>
        <v>1X2GLgKZ0jCCf9C8tNz4LZTT8MEJ0rPmHVf74CRF92nI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IFERROR(__xludf.DUMMYFUNCTION("""COMPUTED_VALUE"""),"AddCalculatedPreferences")</f>
        <v>AddCalculatedPreferences</v>
      </c>
      <c r="C71" t="str">
        <f>IFERROR(__xludf.DUMMYFUNCTION("""COMPUTED_VALUE"""),"1e3JDW1yEKYP-8ma-BqYu0whzm4Ze8aVDK3dsCw79llk")</f>
        <v>1e3JDW1yEKYP-8ma-BqYu0whzm4Ze8aVDK3dsCw79llk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IFERROR(__xludf.DUMMYFUNCTION("""COMPUTED_VALUE"""),"BulkChangeCalculatedPreferences")</f>
        <v>BulkChangeCalculatedPreferences</v>
      </c>
      <c r="C72" t="str">
        <f>IFERROR(__xludf.DUMMYFUNCTION("""COMPUTED_VALUE"""),"1eR96defw9DNiXlrKjqRh3R-qg9Pp1BeoNro96zMlcU0")</f>
        <v>1eR96defw9DNiXlrKjqRh3R-qg9Pp1BeoNro96zMlcU0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IFERROR(__xludf.DUMMYFUNCTION("""COMPUTED_VALUE"""),"DeleteCalculatedPreferences")</f>
        <v>DeleteCalculatedPreferences</v>
      </c>
      <c r="C73" t="str">
        <f>IFERROR(__xludf.DUMMYFUNCTION("""COMPUTED_VALUE"""),"1SYzOFlwMP7q1fa9ftG5nF3Q9-tr0BByrF1knPegiHxE")</f>
        <v>1SYzOFlwMP7q1fa9ftG5nF3Q9-tr0BByrF1knPegiHxE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IFERROR(__xludf.DUMMYFUNCTION("""COMPUTED_VALUE"""),"RenameCalculatedPreferences")</f>
        <v>RenameCalculatedPreferences</v>
      </c>
      <c r="C74" t="str">
        <f>IFERROR(__xludf.DUMMYFUNCTION("""COMPUTED_VALUE"""),"1oCPrKMTa-3fxaM06t7r0xjhAywYxptxUUWlM6IrpjIM")</f>
        <v>1oCPrKMTa-3fxaM06t7r0xjhAywYxptxUUWlM6IrpjIM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IFERROR(__xludf.DUMMYFUNCTION("""COMPUTED_VALUE"""),"CopyCalculatedPreferences")</f>
        <v>CopyCalculatedPreferences</v>
      </c>
      <c r="C75" t="str">
        <f>IFERROR(__xludf.DUMMYFUNCTION("""COMPUTED_VALUE"""),"1Juj0ekcKQL6KCq8ujd84mA8LXjLIO7F5-pt1BH073k4")</f>
        <v>1Juj0ekcKQL6KCq8ujd84mA8LXjLIO7F5-pt1BH073k4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IFERROR(__xludf.DUMMYFUNCTION("""COMPUTED_VALUE"""),"RunAutoGroup")</f>
        <v>RunAutoGroup</v>
      </c>
      <c r="C76" t="str">
        <f>IFERROR(__xludf.DUMMYFUNCTION("""COMPUTED_VALUE"""),"1TxDikOKco3kj-fpVp_swFmHRjk9xUFlp6SC01FXKsUA")</f>
        <v>1TxDikOKco3kj-fpVp_swFmHRjk9xUFlp6SC01FXKsUA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IFERROR(__xludf.DUMMYFUNCTION("""COMPUTED_VALUE"""),"BookOrUpdateSwap")</f>
        <v>BookOrUpdateSwap</v>
      </c>
      <c r="C77" t="str">
        <f>IFERROR(__xludf.DUMMYFUNCTION("""COMPUTED_VALUE"""),"1MIFnyUZMyR5a_8yHN1aP-GaxtBQUxu1tPzzD93BRKG4")</f>
        <v>1MIFnyUZMyR5a_8yHN1aP-GaxtBQUxu1tPzzD93BRKG4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IFERROR(__xludf.DUMMYFUNCTION("""COMPUTED_VALUE"""),"RunProrata")</f>
        <v>RunProrata</v>
      </c>
      <c r="C78" t="str">
        <f>IFERROR(__xludf.DUMMYFUNCTION("""COMPUTED_VALUE"""),"1UcA_Bp3Tg0bduC_hG_ymQO8Nl0fC8zwr0dqhn3G0X7w")</f>
        <v>1UcA_Bp3Tg0bduC_hG_ymQO8Nl0fC8zwr0dqhn3G0X7w</v>
      </c>
    </row>
    <row r="79" ht="15.75" customHeight="1">
      <c r="A79" t="str">
        <f>IFERROR(__xludf.DUMMYFUNCTION("""COMPUTED_VALUE"""),"Allocation")</f>
        <v>Allocation</v>
      </c>
      <c r="B79" t="str">
        <f>IFERROR(__xludf.DUMMYFUNCTION("""COMPUTED_VALUE"""),"SetDefaultRuleCalculatedPref")</f>
        <v>SetDefaultRuleCalculatedPref</v>
      </c>
      <c r="C79" t="str">
        <f>IFERROR(__xludf.DUMMYFUNCTION("""COMPUTED_VALUE"""),"1b3teGR3SeddkzmOAOI70zt3TPTIueqIXMb0_64vLmhg")</f>
        <v>1b3teGR3SeddkzmOAOI70zt3TPTIueqIXMb0_64vLmhg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IFERROR(__xludf.DUMMYFUNCTION("""COMPUTED_VALUE"""),"SetTTUIPreferences")</f>
        <v>SetTTUIPreferences</v>
      </c>
      <c r="C80" t="str">
        <f>IFERROR(__xludf.DUMMYFUNCTION("""COMPUTED_VALUE"""),"1x3db-DRDI09f9JOxbjTsFLBMBLSyw9w2LJAcwA_jthE")</f>
        <v>1x3db-DRDI09f9JOxbjTsFLBMBLSyw9w2LJAcwA_jthE</v>
      </c>
    </row>
    <row r="81" ht="15.75" customHeight="1">
      <c r="A81" t="str">
        <f>IFERROR(__xludf.DUMMYFUNCTION("""COMPUTED_VALUE"""),"Admin")</f>
        <v>Admin</v>
      </c>
      <c r="B81" t="str">
        <f>IFERROR(__xludf.DUMMYFUNCTION("""COMPUTED_VALUE"""),"TTPermissionLevel")</f>
        <v>TTPermissionLevel</v>
      </c>
      <c r="C81" t="str">
        <f>IFERROR(__xludf.DUMMYFUNCTION("""COMPUTED_VALUE"""),"1eWGWoFECkbD-qbHWTGCUT8Fyg7YSEuxVBQShAfH-4G8")</f>
        <v>1eWGWoFECkbD-qbHWTGCUT8Fyg7YSEuxVBQShAfH-4G8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IFERROR(__xludf.DUMMYFUNCTION("""COMPUTED_VALUE"""),"ValidateSymbolTT")</f>
        <v>ValidateSymbolTT</v>
      </c>
      <c r="C82" t="str">
        <f>IFERROR(__xludf.DUMMYFUNCTION("""COMPUTED_VALUE"""),"19tHMRXibaAxm7XMdcCTWHQ4bfVUBpa3dYIoVg7LgjMU")</f>
        <v>19tHMRXibaAxm7XMdcCTWHQ4bfVUBpa3dYIoVg7LgjMU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IFERROR(__xludf.DUMMYFUNCTION("""COMPUTED_VALUE"""),"VerifyDataTT")</f>
        <v>VerifyDataTT</v>
      </c>
      <c r="C83" t="str">
        <f>IFERROR(__xludf.DUMMYFUNCTION("""COMPUTED_VALUE"""),"Undefined")</f>
        <v>Undefined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IFERROR(__xludf.DUMMYFUNCTION("""COMPUTED_VALUE"""),"SetUIPreferencesTT")</f>
        <v>SetUIPreferencesTT</v>
      </c>
      <c r="C84" t="str">
        <f>IFERROR(__xludf.DUMMYFUNCTION("""COMPUTED_VALUE"""),"15dCu2cI6h2zz7EyE3HRTPJXretS_8rJXb6kEecm2wE4")</f>
        <v>15dCu2cI6h2zz7EyE3HRTPJXretS_8rJXb6kEecm2wE4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IFERROR(__xludf.DUMMYFUNCTION("""COMPUTED_VALUE"""),"SetBrokerWisePreferencesTT")</f>
        <v>SetBrokerWisePreferencesTT</v>
      </c>
      <c r="C85" t="str">
        <f>IFERROR(__xludf.DUMMYFUNCTION("""COMPUTED_VALUE"""),"1ox4TNNK5MqyA6BJGrZngJ2D4HejJ2lRtDKIKyPqu-tQ")</f>
        <v>1ox4TNNK5MqyA6BJGrZngJ2D4HejJ2lRtDKIKyPqu-tQ</v>
      </c>
    </row>
    <row r="86" ht="15.75" customHeight="1">
      <c r="A86" t="str">
        <f>IFERROR(__xludf.DUMMYFUNCTION("""COMPUTED_VALUE"""),"TradingTicket")</f>
        <v>TradingTicket</v>
      </c>
      <c r="B86" t="str">
        <f>IFERROR(__xludf.DUMMYFUNCTION("""COMPUTED_VALUE"""),"VerifyComplianceOrder")</f>
        <v>VerifyComplianceOrder</v>
      </c>
      <c r="C86" t="str">
        <f>IFERROR(__xludf.DUMMYFUNCTION("""COMPUTED_VALUE"""),"1H1jKHI5sFjF2JGI5Hsg2bL9f8P4Efy6KU_cClE3r75U")</f>
        <v>1H1jKHI5sFjF2JGI5Hsg2bL9f8P4Efy6KU_cClE3r75U</v>
      </c>
    </row>
    <row r="87" ht="15.75" customHeight="1">
      <c r="A87" t="str">
        <f>IFERROR(__xludf.DUMMYFUNCTION("""COMPUTED_VALUE"""),"Blotter")</f>
        <v>Blotter</v>
      </c>
      <c r="B87" t="str">
        <f>IFERROR(__xludf.DUMMYFUNCTION("""COMPUTED_VALUE"""),"BlotterFunctionalities")</f>
        <v>BlotterFunctionalities</v>
      </c>
      <c r="C87" t="str">
        <f>IFERROR(__xludf.DUMMYFUNCTION("""COMPUTED_VALUE"""),"1SOn4_JJeoHJYkiaVBjxfn5Lb7mA_qhKHshd3opLPQ1I")</f>
        <v>1SOn4_JJeoHJYkiaVBjxfn5Lb7mA_qhKHshd3opLPQ1I</v>
      </c>
    </row>
    <row r="88" ht="15.75" customHeight="1">
      <c r="A88" t="str">
        <f>IFERROR(__xludf.DUMMYFUNCTION("""COMPUTED_VALUE"""),"TradingTicket")</f>
        <v>TradingTicket</v>
      </c>
      <c r="B88" t="str">
        <f>IFERROR(__xludf.DUMMYFUNCTION("""COMPUTED_VALUE"""),"TradeNewSub")</f>
        <v>TradeNewSub</v>
      </c>
      <c r="C88" t="str">
        <f>IFERROR(__xludf.DUMMYFUNCTION("""COMPUTED_VALUE"""),"1IorkfR8EskF9Rg56tJ2oKYZpqvMIZEs2668wybtTQB4")</f>
        <v>1IorkfR8EskF9Rg56tJ2oKYZpqvMIZEs2668wybtTQB4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IFERROR(__xludf.DUMMYFUNCTION("""COMPUTED_VALUE"""),"GetTradingTransaction")</f>
        <v>GetTradingTransaction</v>
      </c>
      <c r="C89" t="str">
        <f>IFERROR(__xludf.DUMMYFUNCTION("""COMPUTED_VALUE"""),"1psefeS-lWFS-teA6LWf_DI6EUG6mtcOuqu918FZCTQU")</f>
        <v>1psefeS-lWFS-teA6LWf_DI6EUG6mtcOuqu918FZCTQU</v>
      </c>
    </row>
    <row r="90" ht="15.75" customHeight="1">
      <c r="A90" t="str">
        <f>IFERROR(__xludf.DUMMYFUNCTION("""COMPUTED_VALUE"""),"GeneralLedger")</f>
        <v>GeneralLedger</v>
      </c>
      <c r="B90" t="str">
        <f>IFERROR(__xludf.DUMMYFUNCTION("""COMPUTED_VALUE"""),"GetActivityData")</f>
        <v>GetActivityData</v>
      </c>
      <c r="C90" t="str">
        <f>IFERROR(__xludf.DUMMYFUNCTION("""COMPUTED_VALUE"""),"1rznTwdTAEkrPH0xYZH81RkQ1wUryJGoM9CMoeL4nmcQ")</f>
        <v>1rznTwdTAEkrPH0xYZH81RkQ1wUryJGoM9CMoeL4nmcQ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IFERROR(__xludf.DUMMYFUNCTION("""COMPUTED_VALUE"""),"SetAccountValueCalculatedPref")</f>
        <v>SetAccountValueCalculatedPref</v>
      </c>
      <c r="C91" t="str">
        <f>IFERROR(__xludf.DUMMYFUNCTION("""COMPUTED_VALUE"""),"1_z8RqXBRujVk2nmOKATscV8OMNcUKi2JifkR1W7KdRE")</f>
        <v>1_z8RqXBRujVk2nmOKATscV8OMNcUKi2JifkR1W7KdRE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IFERROR(__xludf.DUMMYFUNCTION("""COMPUTED_VALUE"""),"TradeAttributeBulkChangeGroups")</f>
        <v>TradeAttributeBulkChangeGroups</v>
      </c>
      <c r="C92" t="str">
        <f>IFERROR(__xludf.DUMMYFUNCTION("""COMPUTED_VALUE"""),"1PWEqwYA12VgsLsj6lvnqrW4sngZuq-sjrmnpL9peQPo")</f>
        <v>1PWEqwYA12VgsLsj6lvnqrW4sngZuq-sjrmnpL9peQPo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IFERROR(__xludf.DUMMYFUNCTION("""COMPUTED_VALUE"""),"TradeAttributeBulkChangeTaxlots")</f>
        <v>TradeAttributeBulkChangeTaxlots</v>
      </c>
      <c r="C93" t="str">
        <f>IFERROR(__xludf.DUMMYFUNCTION("""COMPUTED_VALUE"""),"1qWD23r6S8L6qNcKOENcBsVpBS_5raHBTtvCMOf8rwRo")</f>
        <v>1qWD23r6S8L6qNcKOENcBsVpBS_5raHBTtvCMOf8rwRo</v>
      </c>
    </row>
    <row r="94" ht="15.75" customHeight="1">
      <c r="A94" t="str">
        <f>IFERROR(__xludf.DUMMYFUNCTION("""COMPUTED_VALUE"""),"Allocation")</f>
        <v>Allocation</v>
      </c>
      <c r="B94" t="str">
        <f>IFERROR(__xludf.DUMMYFUNCTION("""COMPUTED_VALUE"""),"AddCalculatedPreferenceToolbar")</f>
        <v>AddCalculatedPreferenceToolbar</v>
      </c>
      <c r="C94" t="str">
        <f>IFERROR(__xludf.DUMMYFUNCTION("""COMPUTED_VALUE"""),"1ih6B6H3dMqTN2qoqiNuco5rugaDHzlFQvUiQTafq1-Y")</f>
        <v>1ih6B6H3dMqTN2qoqiNuco5rugaDHzlFQvUiQTafq1-Y</v>
      </c>
    </row>
    <row r="95" ht="15.75" customHeight="1">
      <c r="A95" t="str">
        <f>IFERROR(__xludf.DUMMYFUNCTION("""COMPUTED_VALUE"""),"GeneralLedger")</f>
        <v>GeneralLedger</v>
      </c>
      <c r="B95" t="str">
        <f>IFERROR(__xludf.DUMMYFUNCTION("""COMPUTED_VALUE"""),"GetRevaluationData")</f>
        <v>GetRevaluationData</v>
      </c>
      <c r="C95" t="str">
        <f>IFERROR(__xludf.DUMMYFUNCTION("""COMPUTED_VALUE"""),"105kp1yXOdHuKObnT282Gjsr9VcKIYY9fVt3jwRMQivk")</f>
        <v>105kp1yXOdHuKObnT282Gjsr9VcKIYY9fVt3jwRMQivk</v>
      </c>
    </row>
    <row r="96" ht="15.75" customHeight="1">
      <c r="A96" t="str">
        <f>IFERROR(__xludf.DUMMYFUNCTION("""COMPUTED_VALUE"""),"Allocation")</f>
        <v>Allocation</v>
      </c>
      <c r="B96" t="str">
        <f>IFERROR(__xludf.DUMMYFUNCTION("""COMPUTED_VALUE"""),"SetStrategyValueCalculatedPref")</f>
        <v>SetStrategyValueCalculatedPref</v>
      </c>
      <c r="C96" t="str">
        <f>IFERROR(__xludf.DUMMYFUNCTION("""COMPUTED_VALUE"""),"155MwUZO0qphL6P5-kiOzXA9wszW7MLyU3r6cueRluPE")</f>
        <v>155MwUZO0qphL6P5-kiOzXA9wszW7MLyU3r6cueRluPE</v>
      </c>
    </row>
    <row r="97" ht="15.75" customHeight="1">
      <c r="A97" t="str">
        <f>IFERROR(__xludf.DUMMYFUNCTION("""COMPUTED_VALUE"""),"GeneralLedger")</f>
        <v>GeneralLedger</v>
      </c>
      <c r="B97" t="str">
        <f>IFERROR(__xludf.DUMMYFUNCTION("""COMPUTED_VALUE"""),"GetAccountDetails")</f>
        <v>GetAccountDetails</v>
      </c>
      <c r="C97" t="str">
        <f>IFERROR(__xludf.DUMMYFUNCTION("""COMPUTED_VALUE"""),"1Me9UTDrd2996RjhiWBMkCi9mXdb5L42QQfdj510IoVM")</f>
        <v>1Me9UTDrd2996RjhiWBMkCi9mXdb5L42QQfdj510IoVM</v>
      </c>
    </row>
    <row r="98" ht="15.75" customHeight="1">
      <c r="A98" t="str">
        <f>IFERROR(__xludf.DUMMYFUNCTION("""COMPUTED_VALUE"""),"Allocation")</f>
        <v>Allocation</v>
      </c>
      <c r="B98" t="str">
        <f>IFERROR(__xludf.DUMMYFUNCTION("""COMPUTED_VALUE"""),"ApplyBulkUpdateOnTaxlots")</f>
        <v>ApplyBulkUpdateOnTaxlots</v>
      </c>
      <c r="C98" t="str">
        <f>IFERROR(__xludf.DUMMYFUNCTION("""COMPUTED_VALUE"""),"1kSbyPWCAETWkagyJeACNwFnEDTZGBY7V9VzLov8MtUE")</f>
        <v>1kSbyPWCAETWkagyJeACNwFnEDTZGBY7V9VzLov8MtUE</v>
      </c>
    </row>
    <row r="99" ht="15.75" customHeight="1">
      <c r="A99" t="str">
        <f>IFERROR(__xludf.DUMMYFUNCTION("""COMPUTED_VALUE"""),"GeneralLedger")</f>
        <v>GeneralLedger</v>
      </c>
      <c r="B99" t="str">
        <f>IFERROR(__xludf.DUMMYFUNCTION("""COMPUTED_VALUE"""),"GetNonTradingTransaction")</f>
        <v>GetNonTradingTransaction</v>
      </c>
      <c r="C99" t="str">
        <f>IFERROR(__xludf.DUMMYFUNCTION("""COMPUTED_VALUE"""),"1HUC5rEPCZfFcwW21tVUh6_8T3y5OGGZm3qS66vN0_Bc")</f>
        <v>1HUC5rEPCZfFcwW21tVUh6_8T3y5OGGZm3qS66vN0_Bc</v>
      </c>
    </row>
    <row r="100" ht="15.75" customHeight="1">
      <c r="A100" t="str">
        <f>IFERROR(__xludf.DUMMYFUNCTION("""COMPUTED_VALUE"""),"Allocation")</f>
        <v>Allocation</v>
      </c>
      <c r="B100" t="str">
        <f>IFERROR(__xludf.DUMMYFUNCTION("""COMPUTED_VALUE"""),"CommissionBulkChangeOnGroups")</f>
        <v>CommissionBulkChangeOnGroups</v>
      </c>
      <c r="C100" t="str">
        <f>IFERROR(__xludf.DUMMYFUNCTION("""COMPUTED_VALUE"""),"1nqghloueAtXKgiCD7E97C4HJhoG52Mgd5lseF3sy40Y")</f>
        <v>1nqghloueAtXKgiCD7E97C4HJhoG52Mgd5lseF3sy40Y</v>
      </c>
    </row>
    <row r="101" ht="15.75" customHeight="1">
      <c r="A101" t="str">
        <f>IFERROR(__xludf.DUMMYFUNCTION("""COMPUTED_VALUE"""),"GeneralLedger")</f>
        <v>GeneralLedger</v>
      </c>
      <c r="B101" t="str">
        <f>IFERROR(__xludf.DUMMYFUNCTION("""COMPUTED_VALUE"""),"GetDividendData")</f>
        <v>GetDividendData</v>
      </c>
      <c r="C101" t="str">
        <f>IFERROR(__xludf.DUMMYFUNCTION("""COMPUTED_VALUE"""),"1U4lTeqJHZq-7DOC_oNjNvpvqxZzMTAVQzmbDBSE3iSw")</f>
        <v>1U4lTeqJHZq-7DOC_oNjNvpvqxZzMTAVQzmbDBSE3iSw</v>
      </c>
    </row>
    <row r="102" ht="15.75" customHeight="1">
      <c r="A102" t="str">
        <f>IFERROR(__xludf.DUMMYFUNCTION("""COMPUTED_VALUE"""),"Allocation")</f>
        <v>Allocation</v>
      </c>
      <c r="B102" t="str">
        <f>IFERROR(__xludf.DUMMYFUNCTION("""COMPUTED_VALUE"""),"CommissionBulkChangeOnTaxlots")</f>
        <v>CommissionBulkChangeOnTaxlots</v>
      </c>
      <c r="C102" t="str">
        <f>IFERROR(__xludf.DUMMYFUNCTION("""COMPUTED_VALUE"""),"1_7vsYYCvTxkAYqYXjLmISGV0viOCb9khDDddgaDCzbE")</f>
        <v>1_7vsYYCvTxkAYqYXjLmISGV0viOCb9khDDddgaDCzbE</v>
      </c>
    </row>
    <row r="103" ht="15.75" customHeight="1">
      <c r="A103" t="str">
        <f>IFERROR(__xludf.DUMMYFUNCTION("""COMPUTED_VALUE"""),"GeneralLedger")</f>
        <v>GeneralLedger</v>
      </c>
      <c r="B103" t="str">
        <f>IFERROR(__xludf.DUMMYFUNCTION("""COMPUTED_VALUE"""),"VerifyNonTradingTransaction")</f>
        <v>VerifyNonTradingTransaction</v>
      </c>
      <c r="C103" t="str">
        <f>IFERROR(__xludf.DUMMYFUNCTION("""COMPUTED_VALUE"""),"1O0bP5QXQjQiDANZIp9Obrifa55tdLvVLynbjdLFGE3g")</f>
        <v>1O0bP5QXQjQiDANZIp9Obrifa55tdLvVLynbjdLFGE3g</v>
      </c>
    </row>
    <row r="104" ht="15.75" customHeight="1">
      <c r="A104" t="str">
        <f>IFERROR(__xludf.DUMMYFUNCTION("""COMPUTED_VALUE"""),"Allocation")</f>
        <v>Allocation</v>
      </c>
      <c r="B104" t="str">
        <f>IFERROR(__xludf.DUMMYFUNCTION("""COMPUTED_VALUE"""),"SelectUnallocatedGroup")</f>
        <v>SelectUnallocatedGroup</v>
      </c>
      <c r="C104" t="str">
        <f>IFERROR(__xludf.DUMMYFUNCTION("""COMPUTED_VALUE"""),"1o4oo91ek1Mn_DDe4KMGTI4QP4Tr2a7dk4W6GhZrx8C0")</f>
        <v>1o4oo91ek1Mn_DDe4KMGTI4QP4Tr2a7dk4W6GhZrx8C0</v>
      </c>
    </row>
    <row r="105" ht="15.75" customHeight="1">
      <c r="A105" t="str">
        <f>IFERROR(__xludf.DUMMYFUNCTION("""COMPUTED_VALUE"""),"GeneralLedger")</f>
        <v>GeneralLedger</v>
      </c>
      <c r="B105" t="str">
        <f>IFERROR(__xludf.DUMMYFUNCTION("""COMPUTED_VALUE"""),"VerifyDividend")</f>
        <v>VerifyDividend</v>
      </c>
      <c r="C105" t="str">
        <f>IFERROR(__xludf.DUMMYFUNCTION("""COMPUTED_VALUE"""),"1rqUHYcdAPy30n3DVnBbBC1G7pAs0HVw8bk6U4wElamU")</f>
        <v>1rqUHYcdAPy30n3DVnBbBC1G7pAs0HVw8bk6U4wElamU</v>
      </c>
    </row>
    <row r="106" ht="15.75" customHeight="1">
      <c r="A106" t="str">
        <f>IFERROR(__xludf.DUMMYFUNCTION("""COMPUTED_VALUE"""),"Allocation")</f>
        <v>Allocation</v>
      </c>
      <c r="B106" t="str">
        <f>IFERROR(__xludf.DUMMYFUNCTION("""COMPUTED_VALUE"""),"EnterAccountValuesToAllocate")</f>
        <v>EnterAccountValuesToAllocate</v>
      </c>
      <c r="C106" t="str">
        <f>IFERROR(__xludf.DUMMYFUNCTION("""COMPUTED_VALUE"""),"1_xxunJZv--OoaMu--vIqANsrHbGnp7zgAejiREqgC9o")</f>
        <v>1_xxunJZv--OoaMu--vIqANsrHbGnp7zgAejiREqgC9o</v>
      </c>
    </row>
    <row r="107" ht="15.75" customHeight="1">
      <c r="A107" t="str">
        <f>IFERROR(__xludf.DUMMYFUNCTION("""COMPUTED_VALUE"""),"GeneralLedger")</f>
        <v>GeneralLedger</v>
      </c>
      <c r="B107" t="str">
        <f>IFERROR(__xludf.DUMMYFUNCTION("""COMPUTED_VALUE"""),"GetOpeningBalanceData")</f>
        <v>GetOpeningBalanceData</v>
      </c>
      <c r="C107" t="str">
        <f>IFERROR(__xludf.DUMMYFUNCTION("""COMPUTED_VALUE"""),"1szTOtKIGVoQMbhobEgnUxaIGXhP5R27tXCm0Kr5COss")</f>
        <v>1szTOtKIGVoQMbhobEgnUxaIGXhP5R27tXCm0Kr5COss</v>
      </c>
    </row>
    <row r="108" ht="15.75" customHeight="1">
      <c r="A108" t="str">
        <f>IFERROR(__xludf.DUMMYFUNCTION("""COMPUTED_VALUE"""),"Allocation")</f>
        <v>Allocation</v>
      </c>
      <c r="B108" t="str">
        <f>IFERROR(__xludf.DUMMYFUNCTION("""COMPUTED_VALUE"""),"EnterAllocatePreference")</f>
        <v>EnterAllocatePreference</v>
      </c>
      <c r="C108" t="str">
        <f>IFERROR(__xludf.DUMMYFUNCTION("""COMPUTED_VALUE"""),"19kT9xClnQROyvkZyFnUNnYg5PZsgZfC-L8n5MQshEKw")</f>
        <v>19kT9xClnQROyvkZyFnUNnYg5PZsgZfC-L8n5MQshEKw</v>
      </c>
    </row>
    <row r="109" ht="15.75" customHeight="1">
      <c r="A109" t="str">
        <f>IFERROR(__xludf.DUMMYFUNCTION("""COMPUTED_VALUE"""),"GeneralLedger")</f>
        <v>GeneralLedger</v>
      </c>
      <c r="B109" t="str">
        <f>IFERROR(__xludf.DUMMYFUNCTION("""COMPUTED_VALUE"""),"GetAccountBalance")</f>
        <v>GetAccountBalance</v>
      </c>
      <c r="C109" t="str">
        <f>IFERROR(__xludf.DUMMYFUNCTION("""COMPUTED_VALUE"""),"14i8_M9tTYQnmPA2vP4WK8Gc1mKSw08Q2z6JEQNMQ2jA")</f>
        <v>14i8_M9tTYQnmPA2vP4WK8Gc1mKSw08Q2z6JEQNMQ2jA</v>
      </c>
    </row>
    <row r="110" ht="15.75" customHeight="1">
      <c r="A110" t="str">
        <f>IFERROR(__xludf.DUMMYFUNCTION("""COMPUTED_VALUE"""),"Expnl")</f>
        <v>Expnl</v>
      </c>
      <c r="B110" t="str">
        <f>IFERROR(__xludf.DUMMYFUNCTION("""COMPUTED_VALUE"""),"RestartExpnl")</f>
        <v>RestartExpnl</v>
      </c>
      <c r="C110" t="str">
        <f>IFERROR(__xludf.DUMMYFUNCTION("""COMPUTED_VALUE"""),"1XudD6Nj0wqCZAKVseYGTPtKQwNCe9E1uqJVw4IlOpus")</f>
        <v>1XudD6Nj0wqCZAKVseYGTPtKQwNCe9E1uqJVw4IlOpus</v>
      </c>
    </row>
    <row r="111" ht="15.75" customHeight="1">
      <c r="A111" t="str">
        <f>IFERROR(__xludf.DUMMYFUNCTION("""COMPUTED_VALUE"""),"PortfolioManagement")</f>
        <v>PortfolioManagement</v>
      </c>
      <c r="B111" t="str">
        <f>IFERROR(__xludf.DUMMYFUNCTION("""COMPUTED_VALUE"""),"ClosePM")</f>
        <v>ClosePM</v>
      </c>
      <c r="C111" t="str">
        <f>IFERROR(__xludf.DUMMYFUNCTION("""COMPUTED_VALUE"""),"Undefined")</f>
        <v>Undefined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IFERROR(__xludf.DUMMYFUNCTION("""COMPUTED_VALUE"""),"EnterStrategyValuesToAllocate")</f>
        <v>EnterStrategyValuesToAllocate</v>
      </c>
      <c r="C112" t="str">
        <f>IFERROR(__xludf.DUMMYFUNCTION("""COMPUTED_VALUE"""),"1Zsko4640_o83_hPa401AVs4ihF17JntIpyHAOhJZX6E")</f>
        <v>1Zsko4640_o83_hPa401AVs4ihF17JntIpyHAOhJZX6E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IFERROR(__xludf.DUMMYFUNCTION("""COMPUTED_VALUE"""),"SelectNonTradingTransaction")</f>
        <v>SelectNonTradingTransaction</v>
      </c>
      <c r="C113" t="str">
        <f>IFERROR(__xludf.DUMMYFUNCTION("""COMPUTED_VALUE"""),"13CpGgA7xAiUMopTzEjt2gG1RljXAXIuKfHjB9r5e5x4")</f>
        <v>13CpGgA7xAiUMopTzEjt2gG1RljXAXIuKfHjB9r5e5x4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IFERROR(__xludf.DUMMYFUNCTION("""COMPUTED_VALUE"""),"SelectNonTradingTranItem")</f>
        <v>SelectNonTradingTranItem</v>
      </c>
      <c r="C114" t="str">
        <f>IFERROR(__xludf.DUMMYFUNCTION("""COMPUTED_VALUE"""),"1UZ09M0xmOuNjWYpsoghYu3B-9Dp1XeyMl6CRaUgL7PU")</f>
        <v>1UZ09M0xmOuNjWYpsoghYu3B-9Dp1XeyMl6CRaUgL7PU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IFERROR(__xludf.DUMMYFUNCTION("""COMPUTED_VALUE"""),"CopyCalculatedPreferenceToolbar")</f>
        <v>CopyCalculatedPreferenceToolbar</v>
      </c>
      <c r="C115" t="str">
        <f>IFERROR(__xludf.DUMMYFUNCTION("""COMPUTED_VALUE"""),"1l11hWn_7rpljZexuNHkg5KleyKXo_4jx1d21BZRdJLg")</f>
        <v>1l11hWn_7rpljZexuNHkg5KleyKXo_4jx1d21BZRdJLg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IFERROR(__xludf.DUMMYFUNCTION("""COMPUTED_VALUE"""),"SetGeneralRuleCalculatedPref")</f>
        <v>SetGeneralRuleCalculatedPref</v>
      </c>
      <c r="C116" t="str">
        <f>IFERROR(__xludf.DUMMYFUNCTION("""COMPUTED_VALUE"""),"1R_5SIhO5vmNiNTSvxGDIsDQW7k4dpl_tTORq2eMqTMQ")</f>
        <v>1R_5SIhO5vmNiNTSvxGDIsDQW7k4dpl_tTORq2eMqTMQ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IFERROR(__xludf.DUMMYFUNCTION("""COMPUTED_VALUE"""),"DeleteNonTradingTransaction")</f>
        <v>DeleteNonTradingTransaction</v>
      </c>
      <c r="C117" t="str">
        <f>IFERROR(__xludf.DUMMYFUNCTION("""COMPUTED_VALUE"""),"1BNSpLr6-8xmfOdPhxn_mllvRzgMVOx2ZkRBPRI9o3dM")</f>
        <v>1BNSpLr6-8xmfOdPhxn_mllvRzgMVOx2ZkRBPRI9o3dM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IFERROR(__xludf.DUMMYFUNCTION("""COMPUTED_VALUE"""),"DeleteNonTradingTranItem")</f>
        <v>DeleteNonTradingTranItem</v>
      </c>
      <c r="C118" t="str">
        <f>IFERROR(__xludf.DUMMYFUNCTION("""COMPUTED_VALUE"""),"1YQ4eqVgAhL_mqQU2z2kvxzIhWYpzfuAfnqY561FQoSE")</f>
        <v>1YQ4eqVgAhL_mqQU2z2kvxzIhWYpzfuAfnqY561FQoSE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IFERROR(__xludf.DUMMYFUNCTION("""COMPUTED_VALUE"""),"ExportAllCalculatedPreferences")</f>
        <v>ExportAllCalculatedPreferences</v>
      </c>
      <c r="C119" t="str">
        <f>IFERROR(__xludf.DUMMYFUNCTION("""COMPUTED_VALUE"""),"1McqZVOvpDAyyblkMX74qXcQoiQxkSLybROu-ztjMQIc")</f>
        <v>1McqZVOvpDAyyblkMX74qXcQoiQxkSLybROu-ztjMQIc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IFERROR(__xludf.DUMMYFUNCTION("""COMPUTED_VALUE"""),"AddNonTradingTransaction")</f>
        <v>AddNonTradingTransaction</v>
      </c>
      <c r="C120" t="str">
        <f>IFERROR(__xludf.DUMMYFUNCTION("""COMPUTED_VALUE"""),"1P841AyLOX69wx-NB44lpyuRlaUGV1cMYqaugaIGxr5Q")</f>
        <v>1P841AyLOX69wx-NB44lpyuRlaUGV1cMYqaugaIGxr5Q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IFERROR(__xludf.DUMMYFUNCTION("""COMPUTED_VALUE"""),"AddNonTradingTranItem")</f>
        <v>AddNonTradingTranItem</v>
      </c>
      <c r="C121" t="str">
        <f>IFERROR(__xludf.DUMMYFUNCTION("""COMPUTED_VALUE"""),"1fEUUuW7bCEL3WiGDSZKRox2hDLlMEtVBUR46151jGvw")</f>
        <v>1fEUUuW7bCEL3WiGDSZKRox2hDLlMEtVBUR46151jGvw</v>
      </c>
    </row>
    <row r="122" ht="15.75" customHeight="1">
      <c r="A122" t="str">
        <f>IFERROR(__xludf.DUMMYFUNCTION("""COMPUTED_VALUE"""),"Allocation")</f>
        <v>Allocation</v>
      </c>
      <c r="B122" t="str">
        <f>IFERROR(__xludf.DUMMYFUNCTION("""COMPUTED_VALUE"""),"SaveCalculatedPreferences")</f>
        <v>SaveCalculatedPreferences</v>
      </c>
      <c r="C122" t="str">
        <f>IFERROR(__xludf.DUMMYFUNCTION("""COMPUTED_VALUE"""),"Undefined")</f>
        <v>Undefined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IFERROR(__xludf.DUMMYFUNCTION("""COMPUTED_VALUE"""),"VerifyOpeningBalanceData")</f>
        <v>VerifyOpeningBalanceData</v>
      </c>
      <c r="C123" t="str">
        <f>IFERROR(__xludf.DUMMYFUNCTION("""COMPUTED_VALUE"""),"1fYqc0dGDB6VLPr77gmUss7eBXhlUYc0GLttj6ffr-Kg")</f>
        <v>1fYqc0dGDB6VLPr77gmUss7eBXhlUYc0GLttj6ffr-Kg</v>
      </c>
    </row>
    <row r="124" ht="15.75" customHeight="1">
      <c r="A124" t="str">
        <f>IFERROR(__xludf.DUMMYFUNCTION("""COMPUTED_VALUE"""),"GeneralLedger")</f>
        <v>GeneralLedger</v>
      </c>
      <c r="B124" t="str">
        <f>IFERROR(__xludf.DUMMYFUNCTION("""COMPUTED_VALUE"""),"SelectOpeningBalanceTransaction")</f>
        <v>SelectOpeningBalanceTransaction</v>
      </c>
      <c r="C124" t="str">
        <f>IFERROR(__xludf.DUMMYFUNCTION("""COMPUTED_VALUE"""),"1WebIwh6H8t2c0-92bwEKV5DshdjoRQmVPIJVFLHmnls")</f>
        <v>1WebIwh6H8t2c0-92bwEKV5DshdjoRQmVPIJVFLHmnls</v>
      </c>
    </row>
    <row r="125" ht="15.75" customHeight="1">
      <c r="A125" t="str">
        <f>IFERROR(__xludf.DUMMYFUNCTION("""COMPUTED_VALUE"""),"TradingTicket")</f>
        <v>TradingTicket</v>
      </c>
      <c r="B125" t="str">
        <f>IFERROR(__xludf.DUMMYFUNCTION("""COMPUTED_VALUE"""),"CreateStageOrder ")</f>
        <v>CreateStageOrder </v>
      </c>
      <c r="C125" t="str">
        <f>IFERROR(__xludf.DUMMYFUNCTION("""COMPUTED_VALUE"""),"19L_mzuhDLQ5wPlLAxlOHp1eRSS4zc0D4J6BOKCagXpw")</f>
        <v>19L_mzuhDLQ5wPlLAxlOHp1eRSS4zc0D4J6BOKCagXpw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IFERROR(__xludf.DUMMYFUNCTION("""COMPUTED_VALUE"""),"TransferToUserWorkingSubs")</f>
        <v>TransferToUserWorkingSubs</v>
      </c>
      <c r="C126" t="str">
        <f>IFERROR(__xludf.DUMMYFUNCTION("""COMPUTED_VALUE"""),"1SYHCL9X3kLj_YpZgCZTrllmRvVgAsjam3MbM-5vKhuQ")</f>
        <v>1SYHCL9X3kLj_YpZgCZTrllmRvVgAsjam3MbM-5vKhuQ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IFERROR(__xludf.DUMMYFUNCTION("""COMPUTED_VALUE"""),"CancelWorkingSubs")</f>
        <v>CancelWorkingSubs</v>
      </c>
      <c r="C127" t="str">
        <f>IFERROR(__xludf.DUMMYFUNCTION("""COMPUTED_VALUE"""),"1O_QhVVvq9XcwVG6eOk1KDiQEBXDVkfHIoF5OQ05ChQM")</f>
        <v>1O_QhVVvq9XcwVG6eOk1KDiQEBXDVkfHIoF5OQ05ChQM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IFERROR(__xludf.DUMMYFUNCTION("""COMPUTED_VALUE"""),"ReplaceWorkingSubs")</f>
        <v>ReplaceWorkingSubs</v>
      </c>
      <c r="C128" t="str">
        <f>IFERROR(__xludf.DUMMYFUNCTION("""COMPUTED_VALUE"""),"1WZoxOuHE4Qt6q835PwLh8-0EnNhekv7piYE-Kd-vnjg")</f>
        <v>1WZoxOuHE4Qt6q835PwLh8-0EnNhekv7piYE-Kd-vnjg</v>
      </c>
    </row>
    <row r="129" ht="15.75" customHeight="1">
      <c r="A129" t="str">
        <f>IFERROR(__xludf.DUMMYFUNCTION("""COMPUTED_VALUE"""),"Expnl")</f>
        <v>Expnl</v>
      </c>
      <c r="B129" t="str">
        <f>IFERROR(__xludf.DUMMYFUNCTION("""COMPUTED_VALUE"""),"UpdateExpnlConfig")</f>
        <v>UpdateExpnlConfig</v>
      </c>
      <c r="C129" t="str">
        <f>IFERROR(__xludf.DUMMYFUNCTION("""COMPUTED_VALUE"""),"1V8BI4yfIyQECE1JcMRsApfmTPthAoYudd5HOhx1IeZ4")</f>
        <v>1V8BI4yfIyQECE1JcMRsApfmTPthAoYudd5HOhx1IeZ4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IFERROR(__xludf.DUMMYFUNCTION("""COMPUTED_VALUE"""),"ViewAllocationDetailsWorkingSub")</f>
        <v>ViewAllocationDetailsWorkingSub</v>
      </c>
      <c r="C130" t="str">
        <f>IFERROR(__xludf.DUMMYFUNCTION("""COMPUTED_VALUE"""),"1C9lg9oeUsmJEC3FDEmDYEDxYEZ48vhTvBpc_7jzrG-A")</f>
        <v>1C9lg9oeUsmJEC3FDEmDYEDxYEZ48vhTvBpc_7jzrG-A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IFERROR(__xludf.DUMMYFUNCTION("""COMPUTED_VALUE"""),"SelectTradeOnOrderGrid")</f>
        <v>SelectTradeOnOrderGrid</v>
      </c>
      <c r="C131" t="str">
        <f>IFERROR(__xludf.DUMMYFUNCTION("""COMPUTED_VALUE"""),"1pIqb45gaTMZAVl6ZTIr9XBk4KURb-nsLncnz6oXfhbs")</f>
        <v>1pIqb45gaTMZAVl6ZTIr9XBk4KURb-nsLncnz6oXfhbs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IFERROR(__xludf.DUMMYFUNCTION("""COMPUTED_VALUE"""),"ShowDetailsForAlgoTradeSubOrder")</f>
        <v>ShowDetailsForAlgoTradeSubOrder</v>
      </c>
      <c r="C132" t="str">
        <f>IFERROR(__xludf.DUMMYFUNCTION("""COMPUTED_VALUE"""),"1m-tuubYj3kpg3IX2REfAJAcN1l96k6ONTKyiKvxjX2Y")</f>
        <v>1m-tuubYj3kpg3IX2REfAJAcN1l96k6ONTKyiKvxjX2Y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IFERROR(__xludf.DUMMYFUNCTION("""COMPUTED_VALUE"""),"SelectTradeOrderBlotter")</f>
        <v>SelectTradeOrderBlotter</v>
      </c>
      <c r="C133" t="str">
        <f>IFERROR(__xludf.DUMMYFUNCTION("""COMPUTED_VALUE"""),"16c7e_rK3O0Zi9I0WlDJ908i_nRkDa4gzAI-9qAWkMGU")</f>
        <v>16c7e_rK3O0Zi9I0WlDJ908i_nRkDa4gzAI-9qAWkMGU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IFERROR(__xludf.DUMMYFUNCTION("""COMPUTED_VALUE"""),"AddFillsWorkingSubs")</f>
        <v>AddFillsWorkingSubs</v>
      </c>
      <c r="C134" t="str">
        <f>IFERROR(__xludf.DUMMYFUNCTION("""COMPUTED_VALUE"""),"1NsatpolfnrnOWuJS48_OImvxU5HT7tC5tpa6K_1j4nw")</f>
        <v>1NsatpolfnrnOWuJS48_OImvxU5HT7tC5tpa6K_1j4nw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IFERROR(__xludf.DUMMYFUNCTION("""COMPUTED_VALUE"""),"EditAddFillsDetails")</f>
        <v>EditAddFillsDetails</v>
      </c>
      <c r="C135" t="str">
        <f>IFERROR(__xludf.DUMMYFUNCTION("""COMPUTED_VALUE"""),"1wzlYzJ1XCTaoLeP4tjkY8-ZhqlYA9IRvRsKXraPyMT4")</f>
        <v>1wzlYzJ1XCTaoLeP4tjkY8-ZhqlYA9IRvRsKXraPyMT4</v>
      </c>
    </row>
    <row r="136" ht="15.75" customHeight="1">
      <c r="A136" t="str">
        <f>IFERROR(__xludf.DUMMYFUNCTION("""COMPUTED_VALUE"""),"Blotter")</f>
        <v>Blotter</v>
      </c>
      <c r="B136" t="str">
        <f>IFERROR(__xludf.DUMMYFUNCTION("""COMPUTED_VALUE"""),"ShowDetailsForAlgoTradeWorkingSubs")</f>
        <v>ShowDetailsForAlgoTradeWorkingSubs</v>
      </c>
      <c r="C136" t="str">
        <f>IFERROR(__xludf.DUMMYFUNCTION("""COMPUTED_VALUE"""),"1uzLHi4CNBx0MyhR8WKVB_6WHQpiBXI6BeN8IK55J1co")</f>
        <v>1uzLHi4CNBx0MyhR8WKVB_6WHQpiBXI6BeN8IK55J1co</v>
      </c>
    </row>
    <row r="137" ht="15.75" customHeight="1">
      <c r="A137" t="str">
        <f>IFERROR(__xludf.DUMMYFUNCTION("""COMPUTED_VALUE"""),"Closing")</f>
        <v>Closing</v>
      </c>
      <c r="B137" t="str">
        <f>IFERROR(__xludf.DUMMYFUNCTION("""COMPUTED_VALUE"""),"SwapExpire")</f>
        <v>SwapExpire</v>
      </c>
      <c r="C137" t="str">
        <f>IFERROR(__xludf.DUMMYFUNCTION("""COMPUTED_VALUE"""),"1Ch8ljdOLO5qpDv9DppYdH0GSLe_dObZX8Z4007tRKtk")</f>
        <v>1Ch8ljdOLO5qpDv9DppYdH0GSLe_dObZX8Z4007tRKtk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IFERROR(__xludf.DUMMYFUNCTION("""COMPUTED_VALUE"""),"VerifyWorkingSubs")</f>
        <v>VerifyWorkingSubs</v>
      </c>
      <c r="C138" t="str">
        <f>IFERROR(__xludf.DUMMYFUNCTION("""COMPUTED_VALUE"""),"1bWNa-3AC2rjiVCHfnFAnV1_niiebvWSmqy0pa2Y3A1U")</f>
        <v>1bWNa-3AC2rjiVCHfnFAnV1_niiebvWSmqy0pa2Y3A1U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IFERROR(__xludf.DUMMYFUNCTION("""COMPUTED_VALUE"""),"TransferToUserOrder")</f>
        <v>TransferToUserOrder</v>
      </c>
      <c r="C139" t="str">
        <f>IFERROR(__xludf.DUMMYFUNCTION("""COMPUTED_VALUE"""),"1P2MumATI6sYkJ-NV9pAkg1QlFtz454tMWNv0omhAY0U")</f>
        <v>1P2MumATI6sYkJ-NV9pAkg1QlFtz454tMWNv0omhAY0U</v>
      </c>
    </row>
    <row r="140" ht="15.75" customHeight="1">
      <c r="A140" t="str">
        <f>IFERROR(__xludf.DUMMYFUNCTION("""COMPUTED_VALUE"""),"Allocation")</f>
        <v>Allocation</v>
      </c>
      <c r="B140" t="str">
        <f>IFERROR(__xludf.DUMMYFUNCTION("""COMPUTED_VALUE"""),"CloseCalculatedPreferences")</f>
        <v>CloseCalculatedPreferences</v>
      </c>
      <c r="C140" t="str">
        <f>IFERROR(__xludf.DUMMYFUNCTION("""COMPUTED_VALUE"""),"Undefined")</f>
        <v>Undefined</v>
      </c>
    </row>
    <row r="141" ht="15.75" customHeight="1">
      <c r="A141" t="str">
        <f>IFERROR(__xludf.DUMMYFUNCTION("""COMPUTED_VALUE"""),"TradingTicket")</f>
        <v>TradingTicket</v>
      </c>
      <c r="B141" t="str">
        <f>IFERROR(__xludf.DUMMYFUNCTION("""COMPUTED_VALUE"""),"CreateReplaceOrder")</f>
        <v>CreateReplaceOrder</v>
      </c>
      <c r="C141" t="str">
        <f>IFERROR(__xludf.DUMMYFUNCTION("""COMPUTED_VALUE"""),"18AeAxxP9aKc0LkOM-a21d3p-tmpinB6dTkwcwxQslJ4")</f>
        <v>18AeAxxP9aKc0LkOM-a21d3p-tmpinB6dTkwcwxQslJ4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IFERROR(__xludf.DUMMYFUNCTION("""COMPUTED_VALUE"""),"EditOrder")</f>
        <v>EditOrder</v>
      </c>
      <c r="C142" t="str">
        <f>IFERROR(__xludf.DUMMYFUNCTION("""COMPUTED_VALUE"""),"1Vd5K36QAgnLOt0ytUkYptPSTuOBM4MelFsNL6C-vyXQ")</f>
        <v>1Vd5K36QAgnLOt0ytUkYptPSTuOBM4MelFsNL6C-vyXQ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IFERROR(__xludf.DUMMYFUNCTION("""COMPUTED_VALUE"""),"SelectTradeSubOrderBlotter")</f>
        <v>SelectTradeSubOrderBlotter</v>
      </c>
      <c r="C143" t="str">
        <f>IFERROR(__xludf.DUMMYFUNCTION("""COMPUTED_VALUE"""),"1Kn7RmQ6euNcNOy6NDUbPzjJlZhiqP-WxVYqXlDo2C6U")</f>
        <v>1Kn7RmQ6euNcNOy6NDUbPzjJlZhiqP-WxVYqXlDo2C6U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IFERROR(__xludf.DUMMYFUNCTION("""COMPUTED_VALUE"""),"VerifyOrder")</f>
        <v>VerifyOrder</v>
      </c>
      <c r="C144" t="str">
        <f>IFERROR(__xludf.DUMMYFUNCTION("""COMPUTED_VALUE"""),"1p-jiDGPGYwCR90lkSnOJde0bJTbS9VRZ-owO733geR8")</f>
        <v>1p-jiDGPGYwCR90lkSnOJde0bJTbS9VRZ-owO733geR8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IFERROR(__xludf.DUMMYFUNCTION("""COMPUTED_VALUE"""),"VerifySubOrder")</f>
        <v>VerifySubOrder</v>
      </c>
      <c r="C145" t="str">
        <f>IFERROR(__xludf.DUMMYFUNCTION("""COMPUTED_VALUE"""),"1TafQ5l2I9Hkp5-ghxq8hrHGyq-Oxs6F71aj4qMJyg5c")</f>
        <v>1TafQ5l2I9Hkp5-ghxq8hrHGyq-Oxs6F71aj4qMJyg5c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IFERROR(__xludf.DUMMYFUNCTION("""COMPUTED_VALUE"""),"RemoveSelectedOrders")</f>
        <v>RemoveSelectedOrders</v>
      </c>
      <c r="C146" t="str">
        <f>IFERROR(__xludf.DUMMYFUNCTION("""COMPUTED_VALUE"""),"1J3iMkZUt2VcZ66ADaKSSINJ5EJabuIdY1zSwd6M45wM")</f>
        <v>1J3iMkZUt2VcZ66ADaKSSINJ5EJabuIdY1zSwd6M45wM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IFERROR(__xludf.DUMMYFUNCTION("""COMPUTED_VALUE"""),"CancelAllSelectedSubs")</f>
        <v>CancelAllSelectedSubs</v>
      </c>
      <c r="C147" t="str">
        <f>IFERROR(__xludf.DUMMYFUNCTION("""COMPUTED_VALUE"""),"179OBcD6MtBcn4KEI2yimM-WbOG9HdQPq_M4QYKWxCWE")</f>
        <v>179OBcD6MtBcn4KEI2yimM-WbOG9HdQPq_M4QYKWxCWE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IFERROR(__xludf.DUMMYFUNCTION("""COMPUTED_VALUE"""),"MultiTradingTicket")</f>
        <v>MultiTradingTicket</v>
      </c>
      <c r="C148" t="str">
        <f>IFERROR(__xludf.DUMMYFUNCTION("""COMPUTED_VALUE"""),"13Mz382SvngJftLB83NIojgoFXnAjqYRnP5Vbj9lh-rA")</f>
        <v>13Mz382SvngJftLB83NIojgoFXnAjqYRnP5Vbj9lh-rA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IFERROR(__xludf.DUMMYFUNCTION("""COMPUTED_VALUE"""),"AuditTrailOrderBlotter")</f>
        <v>AuditTrailOrderBlotter</v>
      </c>
      <c r="C149" t="str">
        <f>IFERROR(__xludf.DUMMYFUNCTION("""COMPUTED_VALUE"""),"1IuRqDm9SdGbwaATc_E-eFeQdhAmE2zhtBB3igLL_Md4")</f>
        <v>1IuRqDm9SdGbwaATc_E-eFeQdhAmE2zhtBB3igLL_Md4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IFERROR(__xludf.DUMMYFUNCTION("""COMPUTED_VALUE"""),"TradeNewSubOrder")</f>
        <v>TradeNewSubOrder</v>
      </c>
      <c r="C150" t="str">
        <f>IFERROR(__xludf.DUMMYFUNCTION("""COMPUTED_VALUE"""),"1UHeoJyRun4tW18yAwGHn5G5F3bVCz5YfTdVoKPsPhio")</f>
        <v>1UHeoJyRun4tW18yAwGHn5G5F3bVCz5YfTdVoKPsPhio</v>
      </c>
    </row>
    <row r="151" ht="15.75" customHeight="1">
      <c r="A151" t="str">
        <f>IFERROR(__xludf.DUMMYFUNCTION("""COMPUTED_VALUE"""),"Blotter")</f>
        <v>Blotter</v>
      </c>
      <c r="B151" t="str">
        <f>IFERROR(__xludf.DUMMYFUNCTION("""COMPUTED_VALUE"""),"RemoveStageOrder")</f>
        <v>RemoveStageOrder</v>
      </c>
      <c r="C151" t="str">
        <f>IFERROR(__xludf.DUMMYFUNCTION("""COMPUTED_VALUE"""),"19q7R-0jpTlv8r84XWOTVvpxM4KAqBUjmWW6bBepm980")</f>
        <v>19q7R-0jpTlv8r84XWOTVvpxM4KAqBUjmWW6bBepm980</v>
      </c>
    </row>
    <row r="152" ht="15.75" customHeight="1">
      <c r="A152" t="str">
        <f>IFERROR(__xludf.DUMMYFUNCTION("""COMPUTED_VALUE"""),"TradingTicket")</f>
        <v>TradingTicket</v>
      </c>
      <c r="B152" t="str">
        <f>IFERROR(__xludf.DUMMYFUNCTION("""COMPUTED_VALUE"""),"SetGeneralPreference")</f>
        <v>SetGeneralPreference</v>
      </c>
      <c r="C152" t="str">
        <f>IFERROR(__xludf.DUMMYFUNCTION("""COMPUTED_VALUE"""),"1_gksmHNJnLr9h_WVPZU3z30gw7YXBg5xb6ekKca50wE")</f>
        <v>1_gksmHNJnLr9h_WVPZU3z30gw7YXBg5xb6ekKca50wE</v>
      </c>
    </row>
    <row r="153" ht="15.75" customHeight="1">
      <c r="A153" t="str">
        <f>IFERROR(__xludf.DUMMYFUNCTION("""COMPUTED_VALUE"""),"Allocation")</f>
        <v>Allocation</v>
      </c>
      <c r="B153" t="str">
        <f>IFERROR(__xludf.DUMMYFUNCTION("""COMPUTED_VALUE"""),"ExportCalculatedPreference")</f>
        <v>ExportCalculatedPreference</v>
      </c>
      <c r="C153" t="str">
        <f>IFERROR(__xludf.DUMMYFUNCTION("""COMPUTED_VALUE"""),"12SdpCUJEukku3_4FXm4sTQG2YnlN1FabyPasyveh6Dw")</f>
        <v>12SdpCUJEukku3_4FXm4sTQG2YnlN1FabyPasyveh6Dw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IFERROR(__xludf.DUMMYFUNCTION("""COMPUTED_VALUE"""),"SelectOpeningBalanceTranItem")</f>
        <v>SelectOpeningBalanceTranItem</v>
      </c>
      <c r="C154" t="str">
        <f>IFERROR(__xludf.DUMMYFUNCTION("""COMPUTED_VALUE"""),"1V0qkYxwmCcH2Rlv3ntrESGxjt8CqDUtCWLpF5NLEkms")</f>
        <v>1V0qkYxwmCcH2Rlv3ntrESGxjt8CqDUtCWLpF5NLEkms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IFERROR(__xludf.DUMMYFUNCTION("""COMPUTED_VALUE"""),"EODTPreferences")</f>
        <v>EODTPreferences</v>
      </c>
      <c r="C155" t="str">
        <f>IFERROR(__xludf.DUMMYFUNCTION("""COMPUTED_VALUE"""),"1C2CqSypfxVefrec-UaZokCKMFMAIxUNiNEksS0cQC9U")</f>
        <v>1C2CqSypfxVefrec-UaZokCKMFMAIxUNiNEksS0cQC9U</v>
      </c>
    </row>
    <row r="156" ht="15.75" customHeight="1">
      <c r="A156" t="str">
        <f>IFERROR(__xludf.DUMMYFUNCTION("""COMPUTED_VALUE"""),"PricingInput")</f>
        <v>PricingInput</v>
      </c>
      <c r="B156" t="str">
        <f>IFERROR(__xludf.DUMMYFUNCTION("""COMPUTED_VALUE"""),"LiveData")</f>
        <v>LiveData</v>
      </c>
      <c r="C156" t="str">
        <f>IFERROR(__xludf.DUMMYFUNCTION("""COMPUTED_VALUE"""),"1qTWgd0vjJZEbzPL7hyO9Ya7BIHhBEh6QZh1zrIXWpQU")</f>
        <v>1qTWgd0vjJZEbzPL7hyO9Ya7BIHhBEh6QZh1zrIXWpQU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IFERROR(__xludf.DUMMYFUNCTION("""COMPUTED_VALUE"""),"EditNonTradingTransaction")</f>
        <v>EditNonTradingTransaction</v>
      </c>
      <c r="C157" t="str">
        <f>IFERROR(__xludf.DUMMYFUNCTION("""COMPUTED_VALUE"""),"1WmisSfIxG2dETBBICN9Eopb2Zv5RAlXVeuJrc4fJW4g")</f>
        <v>1WmisSfIxG2dETBBICN9Eopb2Zv5RAlXVeuJrc4fJW4g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IFERROR(__xludf.DUMMYFUNCTION("""COMPUTED_VALUE"""),"EditNonTradingTranItem")</f>
        <v>EditNonTradingTranItem</v>
      </c>
      <c r="C158" t="str">
        <f>IFERROR(__xludf.DUMMYFUNCTION("""COMPUTED_VALUE"""),"1e5H-E0bLrEbyATTG2-Q8bJEJjiq7I3m-fVl6pCGecHY")</f>
        <v>1e5H-E0bLrEbyATTG2-Q8bJEJjiq7I3m-fVl6pCGecHY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IFERROR(__xludf.DUMMYFUNCTION("""COMPUTED_VALUE"""),"DeleteOpeningBalanceTransaction")</f>
        <v>DeleteOpeningBalanceTransaction</v>
      </c>
      <c r="C159" t="str">
        <f>IFERROR(__xludf.DUMMYFUNCTION("""COMPUTED_VALUE"""),"1MvfhsW88dxVl3ZUBRUYKI_kaV1VM3uvoAiEBGKh80jc")</f>
        <v>1MvfhsW88dxVl3ZUBRUYKI_kaV1VM3uvoAiEBGKh80jc</v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IFERROR(__xludf.DUMMYFUNCTION("""COMPUTED_VALUE"""),"DeleteOpeningBalanceTranItem")</f>
        <v>DeleteOpeningBalanceTranItem</v>
      </c>
      <c r="C160" t="str">
        <f>IFERROR(__xludf.DUMMYFUNCTION("""COMPUTED_VALUE"""),"11WwR-OgN8B5mzAatud8VLIETSaP2cgH0N18z_22aKgM")</f>
        <v>11WwR-OgN8B5mzAatud8VLIETSaP2cgH0N18z_22aKgM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IFERROR(__xludf.DUMMYFUNCTION("""COMPUTED_VALUE"""),"ImportCalculatedPreferences")</f>
        <v>ImportCalculatedPreferences</v>
      </c>
      <c r="C161" t="str">
        <f>IFERROR(__xludf.DUMMYFUNCTION("""COMPUTED_VALUE"""),"12i9wrB43t1Z92_jmrsnfeEq7d6hFZLuijrf1vuyfCko")</f>
        <v>12i9wrB43t1Z92_jmrsnfeEq7d6hFZLuijrf1vuyfCko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IFERROR(__xludf.DUMMYFUNCTION("""COMPUTED_VALUE"""),"GetDayEndCash")</f>
        <v>GetDayEndCash</v>
      </c>
      <c r="C162" t="str">
        <f>IFERROR(__xludf.DUMMYFUNCTION("""COMPUTED_VALUE"""),"1s50OqXSYiKWrnT8nYaGDzYThTJTAHIyFoV9ohpgHPgY")</f>
        <v>1s50OqXSYiKWrnT8nYaGDzYThTJTAHIyFoV9ohpgHPgY</v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IFERROR(__xludf.DUMMYFUNCTION("""COMPUTED_VALUE"""),"VerifyDayEndCash")</f>
        <v>VerifyDayEndCash</v>
      </c>
      <c r="C163" t="str">
        <f>IFERROR(__xludf.DUMMYFUNCTION("""COMPUTED_VALUE"""),"1s_0rGgUmKN57rRoq55juTGojQ5Fitk0m-U_OTDoirHA")</f>
        <v>1s_0rGgUmKN57rRoq55juTGojQ5Fitk0m-U_OTDoirHA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IFERROR(__xludf.DUMMYFUNCTION("""COMPUTED_VALUE"""),"OpenAuditTrailUnallocatedGroup")</f>
        <v>OpenAuditTrailUnallocatedGroup</v>
      </c>
      <c r="C164" t="str">
        <f>IFERROR(__xludf.DUMMYFUNCTION("""COMPUTED_VALUE"""),"1ZIhvRGHTU76uT9xqOXXJRFi1H1sbFljHmLeOicgscVU")</f>
        <v>1ZIhvRGHTU76uT9xqOXXJRFi1H1sbFljHmLeOicgscVU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IFERROR(__xludf.DUMMYFUNCTION("""COMPUTED_VALUE"""),"DeleteCalculatedPreferencesTool")</f>
        <v>DeleteCalculatedPreferencesTool</v>
      </c>
      <c r="C165" t="str">
        <f>IFERROR(__xludf.DUMMYFUNCTION("""COMPUTED_VALUE"""),"1dFC-TZzOuqwhb_lRy1ppdZVR5YELDGJURNyboYEsnco")</f>
        <v>1dFC-TZzOuqwhb_lRy1ppdZVR5YELDGJURNyboYEsnco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IFERROR(__xludf.DUMMYFUNCTION("""COMPUTED_VALUE"""),"ImportCalculatedPreferencesTool")</f>
        <v>ImportCalculatedPreferencesTool</v>
      </c>
      <c r="C166" t="str">
        <f>IFERROR(__xludf.DUMMYFUNCTION("""COMPUTED_VALUE"""),"1rWzqQSM4eQ-4N76g_1QP-9cfgPs0Z0ZIXVExsfMleuM")</f>
        <v>1rWzqQSM4eQ-4N76g_1QP-9cfgPs0Z0ZIXVExsfMleuM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IFERROR(__xludf.DUMMYFUNCTION("""COMPUTED_VALUE"""),"RunRevaluation")</f>
        <v>RunRevaluation</v>
      </c>
      <c r="C167" t="str">
        <f>IFERROR(__xludf.DUMMYFUNCTION("""COMPUTED_VALUE"""),"1TDDqb6Jok6OvWUFmx4I0wMt8-yhtBiM7TnVQKCoYxTA")</f>
        <v>1TDDqb6Jok6OvWUFmx4I0wMt8-yhtBiM7TnVQKCoYxTA</v>
      </c>
    </row>
    <row r="168" ht="15.75" customHeight="1">
      <c r="A168" t="str">
        <f>IFERROR(__xludf.DUMMYFUNCTION("""COMPUTED_VALUE"""),"GeneralLedger")</f>
        <v>GeneralLedger</v>
      </c>
      <c r="B168" t="str">
        <f>IFERROR(__xludf.DUMMYFUNCTION("""COMPUTED_VALUE"""),"CalculateDayEndCash")</f>
        <v>CalculateDayEndCash</v>
      </c>
      <c r="C168" t="str">
        <f>IFERROR(__xludf.DUMMYFUNCTION("""COMPUTED_VALUE"""),"Undefined")</f>
        <v>Undefined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IFERROR(__xludf.DUMMYFUNCTION("""COMPUTED_VALUE"""),"ExportAllCalculatedPreferTool")</f>
        <v>ExportAllCalculatedPreferTool</v>
      </c>
      <c r="C169" t="str">
        <f>IFERROR(__xludf.DUMMYFUNCTION("""COMPUTED_VALUE"""),"1T2Ras3k5fDjACI972XeavE_8pgs6THSrI1HhB1ye48s")</f>
        <v>1T2Ras3k5fDjACI972XeavE_8pgs6THSrI1HhB1ye48s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IFERROR(__xludf.DUMMYFUNCTION("""COMPUTED_VALUE"""),"OpenAuditTrailAllocatedGroup")</f>
        <v>OpenAuditTrailAllocatedGroup</v>
      </c>
      <c r="C170" t="str">
        <f>IFERROR(__xludf.DUMMYFUNCTION("""COMPUTED_VALUE"""),"1YcVp-kfCDUoegdhsKsCe_PMzE3_cIy1wejc4JCzTgEw")</f>
        <v>1YcVp-kfCDUoegdhsKsCe_PMzE3_cIy1wejc4JCzTgEw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IFERROR(__xludf.DUMMYFUNCTION("""COMPUTED_VALUE"""),"OpenSymbolLookupUnallocateGroup")</f>
        <v>OpenSymbolLookupUnallocateGroup</v>
      </c>
      <c r="C171" t="str">
        <f>IFERROR(__xludf.DUMMYFUNCTION("""COMPUTED_VALUE"""),"1PzyY_nfLYU66GT9Elm7rbepVT4M0Aao_ExWURbHlXso")</f>
        <v>1PzyY_nfLYU66GT9Elm7rbepVT4M0Aao_ExWURbHlXso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IFERROR(__xludf.DUMMYFUNCTION("""COMPUTED_VALUE"""),"OpenSymbolLookupAllocatedGroup")</f>
        <v>OpenSymbolLookupAllocatedGroup</v>
      </c>
      <c r="C172" t="str">
        <f>IFERROR(__xludf.DUMMYFUNCTION("""COMPUTED_VALUE"""),"1Z_dQvfdgkluFyhKo149XBcbe0Kth-fg0fOFf4_u2E-4")</f>
        <v>1Z_dQvfdgkluFyhKo149XBcbe0Kth-fg0fOFf4_u2E-4</v>
      </c>
    </row>
    <row r="173" ht="15.75" customHeight="1">
      <c r="A173" t="str">
        <f>IFERROR(__xludf.DUMMYFUNCTION("""COMPUTED_VALUE"""),"Allocation")</f>
        <v>Allocation</v>
      </c>
      <c r="B173" t="str">
        <f>IFERROR(__xludf.DUMMYFUNCTION("""COMPUTED_VALUE"""),"DeleteFixedPreference")</f>
        <v>DeleteFixedPreference</v>
      </c>
      <c r="C173" t="str">
        <f>IFERROR(__xludf.DUMMYFUNCTION("""COMPUTED_VALUE"""),"1RZplEfcQQUVd1Ggv65V_0dKqsLpnMuOaVEaLnQ7ckpE")</f>
        <v>1RZplEfcQQUVd1Ggv65V_0dKqsLpnMuOaVEaLnQ7ckpE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IFERROR(__xludf.DUMMYFUNCTION("""COMPUTED_VALUE"""),"TransferToUserSubOrder")</f>
        <v>TransferToUserSubOrder</v>
      </c>
      <c r="C174" t="str">
        <f>IFERROR(__xludf.DUMMYFUNCTION("""COMPUTED_VALUE"""),"1_ZLPKYyCpcCv90izwkS7MZMbhNEXzuAQiOx8npro20g")</f>
        <v>1_ZLPKYyCpcCv90izwkS7MZMbhNEXzuAQiOx8npro20g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IFERROR(__xludf.DUMMYFUNCTION("""COMPUTED_VALUE"""),"DetailsForAlgoTradeOrder")</f>
        <v>DetailsForAlgoTradeOrder</v>
      </c>
      <c r="C175" t="str">
        <f>IFERROR(__xludf.DUMMYFUNCTION("""COMPUTED_VALUE"""),"1AS722xjcIKYd_PpocpO2JLwR2JMqFfBPkVK39Q2XMxE")</f>
        <v>1AS722xjcIKYd_PpocpO2JLwR2JMqFfBPkVK39Q2XMxE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IFERROR(__xludf.DUMMYFUNCTION("""COMPUTED_VALUE"""),"AddFillsSubOrder")</f>
        <v>AddFillsSubOrder</v>
      </c>
      <c r="C176" t="str">
        <f>IFERROR(__xludf.DUMMYFUNCTION("""COMPUTED_VALUE"""),"1r-tyec_fx-pIqzGddgSbcLuJdAU-B20ZTaGzahpBV2w")</f>
        <v>1r-tyec_fx-pIqzGddgSbcLuJdAU-B20ZTaGzahpBV2w</v>
      </c>
    </row>
    <row r="177" ht="15.75" customHeight="1">
      <c r="A177" t="str">
        <f>IFERROR(__xludf.DUMMYFUNCTION("""COMPUTED_VALUE"""),"Blotter")</f>
        <v>Blotter</v>
      </c>
      <c r="B177" t="str">
        <f>IFERROR(__xludf.DUMMYFUNCTION("""COMPUTED_VALUE"""),"ViewAllocationDetailsSubOrder")</f>
        <v>ViewAllocationDetailsSubOrder</v>
      </c>
      <c r="C177" t="str">
        <f>IFERROR(__xludf.DUMMYFUNCTION("""COMPUTED_VALUE"""),"1PRG5_5qrohtjUlpAk-DjC1B6M75OdF99hA2vEgdD_Uw")</f>
        <v>1PRG5_5qrohtjUlpAk-DjC1B6M75OdF99hA2vEgdD_Uw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IFERROR(__xludf.DUMMYFUNCTION("""COMPUTED_VALUE"""),"GetCashTransaction")</f>
        <v>GetCashTransaction</v>
      </c>
      <c r="C178" t="str">
        <f>IFERROR(__xludf.DUMMYFUNCTION("""COMPUTED_VALUE"""),"1U9O1ZNQe03mFGPQ67ySm3ZLNJbWXRqnbI-8ZV30Jyz4")</f>
        <v>1U9O1ZNQe03mFGPQ67ySm3ZLNJbWXRqnbI-8ZV30Jyz4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IFERROR(__xludf.DUMMYFUNCTION("""COMPUTED_VALUE"""),"SelectCashTransaction")</f>
        <v>SelectCashTransaction</v>
      </c>
      <c r="C179" t="str">
        <f>IFERROR(__xludf.DUMMYFUNCTION("""COMPUTED_VALUE"""),"157yMc4dFxYWky5rc3_ip4Q-PBeeptVpZvBUznJzbfjE")</f>
        <v>157yMc4dFxYWky5rc3_ip4Q-PBeeptVpZvBUznJzbfjE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IFERROR(__xludf.DUMMYFUNCTION("""COMPUTED_VALUE"""),"DeleteCashTransaction")</f>
        <v>DeleteCashTransaction</v>
      </c>
      <c r="C180" t="str">
        <f>IFERROR(__xludf.DUMMYFUNCTION("""COMPUTED_VALUE"""),"1qeXbjcZPeClkYAwZmHJs2rG7V0JsRRg6mw5SmjAQHTE")</f>
        <v>1qeXbjcZPeClkYAwZmHJs2rG7V0JsRRg6mw5SmjAQHTE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IFERROR(__xludf.DUMMYFUNCTION("""COMPUTED_VALUE"""),"EditCashTransaction")</f>
        <v>EditCashTransaction</v>
      </c>
      <c r="C181" t="str">
        <f>IFERROR(__xludf.DUMMYFUNCTION("""COMPUTED_VALUE"""),"1lMHtKGRo9R39-rGVJg8v2Vp15-3oz56OtDPZn55yAvA")</f>
        <v>1lMHtKGRo9R39-rGVJg8v2Vp15-3oz56OtDPZn55yAvA</v>
      </c>
    </row>
    <row r="182" ht="15.75" customHeight="1">
      <c r="A182" t="str">
        <f>IFERROR(__xludf.DUMMYFUNCTION("""COMPUTED_VALUE"""),"GeneralLedger")</f>
        <v>GeneralLedger</v>
      </c>
      <c r="B182" t="str">
        <f>IFERROR(__xludf.DUMMYFUNCTION("""COMPUTED_VALUE"""),"AddCashTransaction")</f>
        <v>AddCashTransaction</v>
      </c>
      <c r="C182" t="str">
        <f>IFERROR(__xludf.DUMMYFUNCTION("""COMPUTED_VALUE"""),"1_UOfRF0S9c4jZDCW6MVXmTaalhrK1N7Qp-p7qITvrb4")</f>
        <v>1_UOfRF0S9c4jZDCW6MVXmTaalhrK1N7Qp-p7qITvrb4</v>
      </c>
    </row>
    <row r="183" ht="15.75" customHeight="1">
      <c r="A183" t="str">
        <f>IFERROR(__xludf.DUMMYFUNCTION("""COMPUTED_VALUE"""),"Allocation")</f>
        <v>Allocation</v>
      </c>
      <c r="B183" t="str">
        <f>IFERROR(__xludf.DUMMYFUNCTION("""COMPUTED_VALUE"""),"EditAllocatedGroupSidePanel")</f>
        <v>EditAllocatedGroupSidePanel</v>
      </c>
      <c r="C183" t="str">
        <f>IFERROR(__xludf.DUMMYFUNCTION("""COMPUTED_VALUE"""),"1hHq4PASBEElrCZSeU0tjApkvEqoqk_kzbqRw1XNza9I")</f>
        <v>1hHq4PASBEElrCZSeU0tjApkvEqoqk_kzbqRw1XNza9I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IFERROR(__xludf.DUMMYFUNCTION("""COMPUTED_VALUE"""),"GetMarkPriceData")</f>
        <v>GetMarkPriceData</v>
      </c>
      <c r="C184" t="str">
        <f>IFERROR(__xludf.DUMMYFUNCTION("""COMPUTED_VALUE"""),"1pHb0k1fYZKumDsM-GMxxgG_-LpX7T8zxKSXMXqWTh3o")</f>
        <v>1pHb0k1fYZKumDsM-GMxxgG_-LpX7T8zxKSXMXqWTh3o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IFERROR(__xludf.DUMMYFUNCTION("""COMPUTED_VALUE"""),"GetForwardPoints")</f>
        <v>GetForwardPoints</v>
      </c>
      <c r="C185" t="str">
        <f>IFERROR(__xludf.DUMMYFUNCTION("""COMPUTED_VALUE"""),"12tr3nHtXwkFq8bzK-zX9KhfXrHqVcRxmWSgThepFUAU")</f>
        <v>12tr3nHtXwkFq8bzK-zX9KhfXrHqVcRxmWSgThepFUAU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IFERROR(__xludf.DUMMYFUNCTION("""COMPUTED_VALUE"""),"UpdateForwardPoints")</f>
        <v>UpdateForwardPoints</v>
      </c>
      <c r="C186" t="str">
        <f>IFERROR(__xludf.DUMMYFUNCTION("""COMPUTED_VALUE"""),"1cbxy6VdPjCKlq1CYH-5uKvOCKpxB1FDLj3t8SOJ-Lic")</f>
        <v>1cbxy6VdPjCKlq1CYH-5uKvOCKpxB1FDLj3t8SOJ-Lic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IFERROR(__xludf.DUMMYFUNCTION("""COMPUTED_VALUE"""),"GetForexConversion")</f>
        <v>GetForexConversion</v>
      </c>
      <c r="C187" t="str">
        <f>IFERROR(__xludf.DUMMYFUNCTION("""COMPUTED_VALUE"""),"1VwGGAbs40-P3TWEPuxpd84Kd482ffeBen_bvUeH5XLs")</f>
        <v>1VwGGAbs40-P3TWEPuxpd84Kd482ffeBen_bvUeH5XLs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IFERROR(__xludf.DUMMYFUNCTION("""COMPUTED_VALUE"""),"DeleteNAV")</f>
        <v>DeleteNAV</v>
      </c>
      <c r="C188" t="str">
        <f>IFERROR(__xludf.DUMMYFUNCTION("""COMPUTED_VALUE"""),"1ZXcPQzGoPQ5lCt0SIdxE4Wn22XxZZBrghVN8TQa_PA8")</f>
        <v>1ZXcPQzGoPQ5lCt0SIdxE4Wn22XxZZBrghVN8TQa_PA8</v>
      </c>
    </row>
    <row r="189" ht="15.75" customHeight="1">
      <c r="A189" t="str">
        <f>IFERROR(__xludf.DUMMYFUNCTION("""COMPUTED_VALUE"""),"Allocation")</f>
        <v>Allocation</v>
      </c>
      <c r="B189" t="str">
        <f>IFERROR(__xludf.DUMMYFUNCTION("""COMPUTED_VALUE"""),"CheckUnallocatedGroups")</f>
        <v>CheckUnallocatedGroups</v>
      </c>
      <c r="C189" t="str">
        <f>IFERROR(__xludf.DUMMYFUNCTION("""COMPUTED_VALUE"""),"1pfMfohF1Z5TFRSXZGi_8kDUwu6rKdB84lDXAsFAROuo")</f>
        <v>1pfMfohF1Z5TFRSXZGi_8kDUwu6rKdB84lDXAsFAROuo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IFERROR(__xludf.DUMMYFUNCTION("""COMPUTED_VALUE"""),"GetDailyCash")</f>
        <v>GetDailyCash</v>
      </c>
      <c r="C190" t="str">
        <f>IFERROR(__xludf.DUMMYFUNCTION("""COMPUTED_VALUE"""),"1U-4IfRlC3qUMRnRVCAR_hKALXnY1sI4xOCfuq1PlavE")</f>
        <v>1U-4IfRlC3qUMRnRVCAR_hKALXnY1sI4xOCfuq1PlavE</v>
      </c>
    </row>
    <row r="191" ht="15.75" customHeight="1">
      <c r="A191" t="str">
        <f>IFERROR(__xludf.DUMMYFUNCTION("""COMPUTED_VALUE"""),"Allocation")</f>
        <v>Allocation</v>
      </c>
      <c r="B191" t="str">
        <f>IFERROR(__xludf.DUMMYFUNCTION("""COMPUTED_VALUE"""),"SetGeneralPreferences")</f>
        <v>SetGeneralPreferences</v>
      </c>
      <c r="C191" t="str">
        <f>IFERROR(__xludf.DUMMYFUNCTION("""COMPUTED_VALUE"""),"1ch-af2kKdJm7_QNV7VeJuxk-LrNEXnkjKpb6t0Dug3c")</f>
        <v>1ch-af2kKdJm7_QNV7VeJuxk-LrNEXnkjKpb6t0Dug3c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IFERROR(__xludf.DUMMYFUNCTION("""COMPUTED_VALUE"""),"GetDailyBeta")</f>
        <v>GetDailyBeta</v>
      </c>
      <c r="C192" t="str">
        <f>IFERROR(__xludf.DUMMYFUNCTION("""COMPUTED_VALUE"""),"1wWqxRP1qZT537GjecxDT1YzzgNpudY5jHpZOp2gu3Ys")</f>
        <v>1wWqxRP1qZT537GjecxDT1YzzgNpudY5jHpZOp2gu3Ys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IFERROR(__xludf.DUMMYFUNCTION("""COMPUTED_VALUE"""),"GetDailyVolatility")</f>
        <v>GetDailyVolatility</v>
      </c>
      <c r="C193" t="str">
        <f>IFERROR(__xludf.DUMMYFUNCTION("""COMPUTED_VALUE"""),"1VkaV63Kp_-m9xakgvN4nwjFQliVbH-uDTupRnx4k5U0")</f>
        <v>1VkaV63Kp_-m9xakgvN4nwjFQliVbH-uDTupRnx4k5U0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IFERROR(__xludf.DUMMYFUNCTION("""COMPUTED_VALUE"""),"GetDailyDividendYield")</f>
        <v>GetDailyDividendYield</v>
      </c>
      <c r="C194" t="str">
        <f>IFERROR(__xludf.DUMMYFUNCTION("""COMPUTED_VALUE"""),"1yDZte754Sm0fLUnothHlWsZVXFoWOOh4q4YiAbmaN6A")</f>
        <v>1yDZte754Sm0fLUnothHlWsZVXFoWOOh4q4YiAbmaN6A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IFERROR(__xludf.DUMMYFUNCTION("""COMPUTED_VALUE"""),"GetDailyTradingVolume")</f>
        <v>GetDailyTradingVolume</v>
      </c>
      <c r="C195" t="str">
        <f>IFERROR(__xludf.DUMMYFUNCTION("""COMPUTED_VALUE"""),"1CcDYZea7aWB5x3R1FD5XPCk14XdXJmtBfwMqrKIo5P8")</f>
        <v>1CcDYZea7aWB5x3R1FD5XPCk14XdXJmtBfwMqrKIo5P8</v>
      </c>
    </row>
    <row r="196" ht="15.75" customHeight="1">
      <c r="A196" t="str">
        <f>IFERROR(__xludf.DUMMYFUNCTION("""COMPUTED_VALUE"""),"DailyValuation")</f>
        <v>DailyValuation</v>
      </c>
      <c r="B196" t="str">
        <f>IFERROR(__xludf.DUMMYFUNCTION("""COMPUTED_VALUE"""),"GetDailyOutstandings")</f>
        <v>GetDailyOutstandings</v>
      </c>
      <c r="C196" t="str">
        <f>IFERROR(__xludf.DUMMYFUNCTION("""COMPUTED_VALUE"""),"1IiJr_OFZwBuXGoSVJLT-iESeCoaaWmoNTh6qdlxCYp8")</f>
        <v>1IiJr_OFZwBuXGoSVJLT-iESeCoaaWmoNTh6qdlxCYp8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IFERROR(__xludf.DUMMYFUNCTION("""COMPUTED_VALUE"""),"GroupTrades")</f>
        <v>GroupTrades</v>
      </c>
      <c r="C197" t="str">
        <f>IFERROR(__xludf.DUMMYFUNCTION("""COMPUTED_VALUE"""),"1U2asF2q2-aZLq6UJkzTZA2eUVbNqPzpMApCuwatTcT8")</f>
        <v>1U2asF2q2-aZLq6UJkzTZA2eUVbNqPzpMApCuwatTcT8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IFERROR(__xludf.DUMMYFUNCTION("""COMPUTED_VALUE"""),"UngroupTrades")</f>
        <v>UngroupTrades</v>
      </c>
      <c r="C198" t="str">
        <f>IFERROR(__xludf.DUMMYFUNCTION("""COMPUTED_VALUE"""),"1azHuhW2QGS0U6YxkL00Txr4JY62dACA7LLHadkRZziQ")</f>
        <v>1azHuhW2QGS0U6YxkL00Txr4JY62dACA7LLHadkRZziQ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IFERROR(__xludf.DUMMYFUNCTION("""COMPUTED_VALUE"""),"DeleteGroup")</f>
        <v>DeleteGroup</v>
      </c>
      <c r="C199" t="str">
        <f>IFERROR(__xludf.DUMMYFUNCTION("""COMPUTED_VALUE"""),"1V8imeRfJQChz23ycPrmDDSrmAMiwTobLSV9OD1bH-ME")</f>
        <v>1V8imeRfJQChz23ycPrmDDSrmAMiwTobLSV9OD1bH-ME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IFERROR(__xludf.DUMMYFUNCTION("""COMPUTED_VALUE"""),"CloseOrder")</f>
        <v>CloseOrder</v>
      </c>
      <c r="C200" t="str">
        <f>IFERROR(__xludf.DUMMYFUNCTION("""COMPUTED_VALUE"""),"18PQbi1ps1nA6V6t9zvfGRiJCtqCe0Uh1GTuATjDjRFU")</f>
        <v>18PQbi1ps1nA6V6t9zvfGRiJCtqCe0Uh1GTuATjDjRFU</v>
      </c>
    </row>
    <row r="201" ht="15.75" customHeight="1">
      <c r="A201" t="str">
        <f>IFERROR(__xludf.DUMMYFUNCTION("""COMPUTED_VALUE"""),"Allocation")</f>
        <v>Allocation</v>
      </c>
      <c r="B201" t="str">
        <f>IFERROR(__xludf.DUMMYFUNCTION("""COMPUTED_VALUE"""),"Unallocate")</f>
        <v>Unallocate</v>
      </c>
      <c r="C201" t="str">
        <f>IFERROR(__xludf.DUMMYFUNCTION("""COMPUTED_VALUE"""),"1ygZhQ5BPNveZ0IXpSzWUoJb1-CWbPI5yquJ9p2XgS_A")</f>
        <v>1ygZhQ5BPNveZ0IXpSzWUoJb1-CWbPI5yquJ9p2XgS_A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IFERROR(__xludf.DUMMYFUNCTION("""COMPUTED_VALUE"""),"GetDailyDelta")</f>
        <v>GetDailyDelta</v>
      </c>
      <c r="C202" t="str">
        <f>IFERROR(__xludf.DUMMYFUNCTION("""COMPUTED_VALUE"""),"1t6rdR9qbfOeXuejoH6-sBwI1bEWh_0AoKUHuMjTKafo")</f>
        <v>1t6rdR9qbfOeXuejoH6-sBwI1bEWh_0AoKUHuMjTKafo</v>
      </c>
    </row>
    <row r="203" ht="15.75" customHeight="1">
      <c r="A203" t="str">
        <f>IFERROR(__xludf.DUMMYFUNCTION("""COMPUTED_VALUE"""),"DailyValuation")</f>
        <v>DailyValuation</v>
      </c>
      <c r="B203" t="str">
        <f>IFERROR(__xludf.DUMMYFUNCTION("""COMPUTED_VALUE"""),"UpdateDailyVolatility")</f>
        <v>UpdateDailyVolatility</v>
      </c>
      <c r="C203" t="str">
        <f>IFERROR(__xludf.DUMMYFUNCTION("""COMPUTED_VALUE"""),"1xOQEqNJ31jaKfw8cBs7M5YCMT7FCefB_iA4lkNg82js")</f>
        <v>1xOQEqNJ31jaKfw8cBs7M5YCMT7FCefB_iA4lkNg82js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IFERROR(__xludf.DUMMYFUNCTION("""COMPUTED_VALUE"""),"AddOpeningBalanceTransaction")</f>
        <v>AddOpeningBalanceTransaction</v>
      </c>
      <c r="C204" t="str">
        <f>IFERROR(__xludf.DUMMYFUNCTION("""COMPUTED_VALUE"""),"1JROeUyPo81jRm3vqYwqsMl1H0kBJhkmxJV8gZyip19Q")</f>
        <v>1JROeUyPo81jRm3vqYwqsMl1H0kBJhkmxJV8gZyip19Q</v>
      </c>
    </row>
    <row r="205" ht="15.75" customHeight="1">
      <c r="A205" t="str">
        <f>IFERROR(__xludf.DUMMYFUNCTION("""COMPUTED_VALUE"""),"GeneralLedger")</f>
        <v>GeneralLedger</v>
      </c>
      <c r="B205" t="str">
        <f>IFERROR(__xludf.DUMMYFUNCTION("""COMPUTED_VALUE"""),"AddOpeningBalanceTranItem")</f>
        <v>AddOpeningBalanceTranItem</v>
      </c>
      <c r="C205" t="str">
        <f>IFERROR(__xludf.DUMMYFUNCTION("""COMPUTED_VALUE"""),"12owFpcC343n8bWFq_cmWVlxZQTmpEiqxbdSc8TdfgEw")</f>
        <v>12owFpcC343n8bWFq_cmWVlxZQTmpEiqxbdSc8TdfgEw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IFERROR(__xludf.DUMMYFUNCTION("""COMPUTED_VALUE"""),"CancelAllSubs")</f>
        <v>CancelAllSubs</v>
      </c>
      <c r="C206" t="str">
        <f>IFERROR(__xludf.DUMMYFUNCTION("""COMPUTED_VALUE"""),"1sDEuT-X92-7VkSoQJG80zx85OLZfb4OJklyeYXjn00w")</f>
        <v>1sDEuT-X92-7VkSoQJG80zx85OLZfb4OJklyeYXjn00w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IFERROR(__xludf.DUMMYFUNCTION("""COMPUTED_VALUE"""),"CancelSubOrder")</f>
        <v>CancelSubOrder</v>
      </c>
      <c r="C207" t="str">
        <f>IFERROR(__xludf.DUMMYFUNCTION("""COMPUTED_VALUE"""),"1g_US2vYcZyFbH88JB_z0oKsrXpyeYv1qZRWzpU4UgoM")</f>
        <v>1g_US2vYcZyFbH88JB_z0oKsrXpyeYv1qZRWzpU4UgoM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IFERROR(__xludf.DUMMYFUNCTION("""COMPUTED_VALUE"""),"EditStageOrder")</f>
        <v>EditStageOrder</v>
      </c>
      <c r="C208" t="str">
        <f>IFERROR(__xludf.DUMMYFUNCTION("""COMPUTED_VALUE"""),"11epgwU0jWDfsHzxAEUws_p-DkKq5wLTVrJRQztotJjU")</f>
        <v>11epgwU0jWDfsHzxAEUws_p-DkKq5wLTVrJRQztotJjU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IFERROR(__xludf.DUMMYFUNCTION("""COMPUTED_VALUE"""),"ReplaceSubOrder")</f>
        <v>ReplaceSubOrder</v>
      </c>
      <c r="C209" t="str">
        <f>IFERROR(__xludf.DUMMYFUNCTION("""COMPUTED_VALUE"""),"19tR0THpqi92bFoT67A4MgCZbfdZtGuYVK1wFx1a6hwo")</f>
        <v>19tR0THpqi92bFoT67A4MgCZbfdZtGuYVK1wFx1a6hwo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IFERROR(__xludf.DUMMYFUNCTION("""COMPUTED_VALUE"""),"SelectTradeWorkingSubsBlotter")</f>
        <v>SelectTradeWorkingSubsBlotter</v>
      </c>
      <c r="C210" t="str">
        <f>IFERROR(__xludf.DUMMYFUNCTION("""COMPUTED_VALUE"""),"1u7slY1ab8D2XeXM53lB7bN6QKwuw3IYd0Uezr9zLB70")</f>
        <v>1u7slY1ab8D2XeXM53lB7bN6QKwuw3IYd0Uezr9zLB70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IFERROR(__xludf.DUMMYFUNCTION("""COMPUTED_VALUE"""),"VerifyAlgoDetails")</f>
        <v>VerifyAlgoDetails</v>
      </c>
      <c r="C211" t="str">
        <f>IFERROR(__xludf.DUMMYFUNCTION("""COMPUTED_VALUE"""),"1l5zTPCkdGLabcDuCPPiDIGH_EGN_2xuth7vkyyaCe9E")</f>
        <v>1l5zTPCkdGLabcDuCPPiDIGH_EGN_2xuth7vkyyaCe9E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IFERROR(__xludf.DUMMYFUNCTION("""COMPUTED_VALUE"""),"VerifyTransferToUserOrder")</f>
        <v>VerifyTransferToUserOrder</v>
      </c>
      <c r="C212" t="str">
        <f>IFERROR(__xludf.DUMMYFUNCTION("""COMPUTED_VALUE"""),"1NMIbm0wDsBqrDHS0Aoctj5TYT8IIncVXBEr7jRlTKX8")</f>
        <v>1NMIbm0wDsBqrDHS0Aoctj5TYT8IIncVXBEr7jRlTKX8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IFERROR(__xludf.DUMMYFUNCTION("""COMPUTED_VALUE"""),"VerifyTransferToUserSubOdr")</f>
        <v>VerifyTransferToUserSubOdr</v>
      </c>
      <c r="C213" t="str">
        <f>IFERROR(__xludf.DUMMYFUNCTION("""COMPUTED_VALUE"""),"1x3CBu_5bjY_MnaanR3C8FZLu7-9IkDv52367LRcP7lY")</f>
        <v>1x3CBu_5bjY_MnaanR3C8FZLu7-9IkDv52367LRcP7lY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IFERROR(__xludf.DUMMYFUNCTION("""COMPUTED_VALUE"""),"VerifyTransferToUserWorkSub")</f>
        <v>VerifyTransferToUserWorkSub</v>
      </c>
      <c r="C214" t="str">
        <f>IFERROR(__xludf.DUMMYFUNCTION("""COMPUTED_VALUE"""),"1moqW_Avii95AiWD080nTWw5DOlaf1npl8FoxJYdN1CQ")</f>
        <v>1moqW_Avii95AiWD080nTWw5DOlaf1npl8FoxJYdN1CQ</v>
      </c>
    </row>
    <row r="215" ht="15.75" customHeight="1">
      <c r="A215" t="str">
        <f>IFERROR(__xludf.DUMMYFUNCTION("""COMPUTED_VALUE"""),"Blotter")</f>
        <v>Blotter</v>
      </c>
      <c r="B215" t="str">
        <f>IFERROR(__xludf.DUMMYFUNCTION("""COMPUTED_VALUE"""),"SaveLayoutOrderGrid")</f>
        <v>SaveLayoutOrderGrid</v>
      </c>
      <c r="C215" t="str">
        <f>IFERROR(__xludf.DUMMYFUNCTION("""COMPUTED_VALUE"""),"1f-tHMdwxYv41Vtbgl8usVHR6_T_uXK9iU0Jvj6byf54")</f>
        <v>1f-tHMdwxYv41Vtbgl8usVHR6_T_uXK9iU0Jvj6byf54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IFERROR(__xludf.DUMMYFUNCTION("""COMPUTED_VALUE"""),"UpdateDividendYield")</f>
        <v>UpdateDividendYield</v>
      </c>
      <c r="C216" t="str">
        <f>IFERROR(__xludf.DUMMYFUNCTION("""COMPUTED_VALUE"""),"1v7x__YSHVrzfUigPB6cJL0n6H5tfL-dG0jQDSNwK77w")</f>
        <v>1v7x__YSHVrzfUigPB6cJL0n6H5tfL-dG0jQDSNwK77w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IFERROR(__xludf.DUMMYFUNCTION("""COMPUTED_VALUE"""),"UpdateTradingVolume")</f>
        <v>UpdateTradingVolume</v>
      </c>
      <c r="C217" t="str">
        <f>IFERROR(__xludf.DUMMYFUNCTION("""COMPUTED_VALUE"""),"1C_WPdfJ5Y6XiI6PQIaQC_kYRA1cyB4pILSmTaQXBjt4")</f>
        <v>1C_WPdfJ5Y6XiI6PQIaQC_kYRA1cyB4pILSmTaQXBjt4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IFERROR(__xludf.DUMMYFUNCTION("""COMPUTED_VALUE"""),"UpdateDailyDelta")</f>
        <v>UpdateDailyDelta</v>
      </c>
      <c r="C218" t="str">
        <f>IFERROR(__xludf.DUMMYFUNCTION("""COMPUTED_VALUE"""),"1W8cpbOsbEL0O66_8nq5ID6snA8EoJQojgueScqnJeds")</f>
        <v>1W8cpbOsbEL0O66_8nq5ID6snA8EoJQojgueScqnJeds</v>
      </c>
    </row>
    <row r="219" ht="15.75" customHeight="1">
      <c r="A219" t="str">
        <f>IFERROR(__xludf.DUMMYFUNCTION("""COMPUTED_VALUE"""),"DailyValuation")</f>
        <v>DailyValuation</v>
      </c>
      <c r="B219" t="str">
        <f>IFERROR(__xludf.DUMMYFUNCTION("""COMPUTED_VALUE"""),"UpdateDailyOutstandings")</f>
        <v>UpdateDailyOutstandings</v>
      </c>
      <c r="C219" t="str">
        <f>IFERROR(__xludf.DUMMYFUNCTION("""COMPUTED_VALUE"""),"1S-1Yd6wHzPfXlddWYHNVJ59ndiC9mBcoDpJ24XG_wEs")</f>
        <v>1S-1Yd6wHzPfXlddWYHNVJ59ndiC9mBcoDpJ24XG_wEs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IFERROR(__xludf.DUMMYFUNCTION("""COMPUTED_VALUE"""),"GetDataClosing")</f>
        <v>GetDataClosing</v>
      </c>
      <c r="C220" t="str">
        <f>IFERROR(__xludf.DUMMYFUNCTION("""COMPUTED_VALUE"""),"1_NT03sUSvuLe4_tGLyzUnjVgc0h0wP1QyFRqz5J0AQs")</f>
        <v>1_NT03sUSvuLe4_tGLyzUnjVgc0h0wP1QyFRqz5J0AQs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IFERROR(__xludf.DUMMYFUNCTION("""COMPUTED_VALUE"""),"ManualClosing")</f>
        <v>ManualClosing</v>
      </c>
      <c r="C221" t="str">
        <f>IFERROR(__xludf.DUMMYFUNCTION("""COMPUTED_VALUE"""),"1NsF8mN2Zlx2L1ZUQo3cwyNVoYdFbhQ1U5KK4lQjqyj8")</f>
        <v>1NsF8mN2Zlx2L1ZUQo3cwyNVoYdFbhQ1U5KK4lQjqyj8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IFERROR(__xludf.DUMMYFUNCTION("""COMPUTED_VALUE"""),"AutomaticClosing")</f>
        <v>AutomaticClosing</v>
      </c>
      <c r="C222" t="str">
        <f>IFERROR(__xludf.DUMMYFUNCTION("""COMPUTED_VALUE"""),"1TAvTYpcE3pQc_4LWO3rdsALNXiihqGoq5C7VuUqnyGI")</f>
        <v>1TAvTYpcE3pQc_4LWO3rdsALNXiihqGoq5C7VuUqnyGI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IFERROR(__xludf.DUMMYFUNCTION("""COMPUTED_VALUE"""),"UnwindClosing")</f>
        <v>UnwindClosing</v>
      </c>
      <c r="C223" t="str">
        <f>IFERROR(__xludf.DUMMYFUNCTION("""COMPUTED_VALUE"""),"1n5b-erBJJNMUcxydpftL5PGG7ARm-uGjDncl8Qx2sLo")</f>
        <v>1n5b-erBJJNMUcxydpftL5PGG7ARm-uGjDncl8Qx2sLo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IFERROR(__xludf.DUMMYFUNCTION("""COMPUTED_VALUE"""),"VerifyClosedTrades")</f>
        <v>VerifyClosedTrades</v>
      </c>
      <c r="C224" t="str">
        <f>IFERROR(__xludf.DUMMYFUNCTION("""COMPUTED_VALUE"""),"1oZ2JeM-TEXzpPQK7aQoL3fUJwhe037lPXwowIAhJJXM")</f>
        <v>1oZ2JeM-TEXzpPQK7aQoL3fUJwhe037lPXwowIAhJJXM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IFERROR(__xludf.DUMMYFUNCTION("""COMPUTED_VALUE"""),"VerifyLongPositionsGrid")</f>
        <v>VerifyLongPositionsGrid</v>
      </c>
      <c r="C225" t="str">
        <f>IFERROR(__xludf.DUMMYFUNCTION("""COMPUTED_VALUE"""),"1n66-ge1M-RYaB4fzMAeKVE4b9J93Ec6FE8prEnrbrUY")</f>
        <v>1n66-ge1M-RYaB4fzMAeKVE4b9J93Ec6FE8prEnrbrUY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IFERROR(__xludf.DUMMYFUNCTION("""COMPUTED_VALUE"""),"VerifyShortPositionsGrid")</f>
        <v>VerifyShortPositionsGrid</v>
      </c>
      <c r="C226" t="str">
        <f>IFERROR(__xludf.DUMMYFUNCTION("""COMPUTED_VALUE"""),"147WeBw6VRRHCzDjjEVkUG93H71mx9_6u7JDqSzExZfQ")</f>
        <v>147WeBw6VRRHCzDjjEVkUG93H71mx9_6u7JDqSzExZfQ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IFERROR(__xludf.DUMMYFUNCTION("""COMPUTED_VALUE"""),"SelectTradeUnexpiredUnsettled")</f>
        <v>SelectTradeUnexpiredUnsettled</v>
      </c>
      <c r="C227" t="str">
        <f>IFERROR(__xludf.DUMMYFUNCTION("""COMPUTED_VALUE"""),"1FObt5ouO_Fd-1C35ZJOB1hwrDeISMD1uqyNw6Muc52E")</f>
        <v>1FObt5ouO_Fd-1C35ZJOB1hwrDeISMD1uqyNw6Muc52E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IFERROR(__xludf.DUMMYFUNCTION("""COMPUTED_VALUE"""),"CashSettlementAtCost")</f>
        <v>CashSettlementAtCost</v>
      </c>
      <c r="C228" t="str">
        <f>IFERROR(__xludf.DUMMYFUNCTION("""COMPUTED_VALUE"""),"1awz_EN5JaDo7-X8Cf7oYlxG4f8ZrsYEG1oL1QBkQb8o")</f>
        <v>1awz_EN5JaDo7-X8Cf7oYlxG4f8ZrsYEG1oL1QBkQb8o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IFERROR(__xludf.DUMMYFUNCTION("""COMPUTED_VALUE"""),"CashSettlementAtZeroPrice")</f>
        <v>CashSettlementAtZeroPrice</v>
      </c>
      <c r="C229" t="str">
        <f>IFERROR(__xludf.DUMMYFUNCTION("""COMPUTED_VALUE"""),"1txP1PJigV4vdVbKFMO3GMi5BhiLWeUOneGt9yA7DphY")</f>
        <v>1txP1PJigV4vdVbKFMO3GMi5BhiLWeUOneGt9yA7DphY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IFERROR(__xludf.DUMMYFUNCTION("""COMPUTED_VALUE"""),"CashSettlementAtClosingDtSpotPx")</f>
        <v>CashSettlementAtClosingDtSpotPx</v>
      </c>
      <c r="C230" t="str">
        <f>IFERROR(__xludf.DUMMYFUNCTION("""COMPUTED_VALUE"""),"1if6Ixw7Wo72s71jewq4kGd3bUrRBHD3uxb6oVEU8m4M")</f>
        <v>1if6Ixw7Wo72s71jewq4kGd3bUrRBHD3uxb6oVEU8m4M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IFERROR(__xludf.DUMMYFUNCTION("""COMPUTED_VALUE"""),"PhysicalSettlement")</f>
        <v>PhysicalSettlement</v>
      </c>
      <c r="C231" t="str">
        <f>IFERROR(__xludf.DUMMYFUNCTION("""COMPUTED_VALUE"""),"1j0_OFQL6cAngAn_f8e2c9s48kIx6T1DMB1HtKzhVgxM")</f>
        <v>1j0_OFQL6cAngAn_f8e2c9s48kIx6T1DMB1HtKzhVgxM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IFERROR(__xludf.DUMMYFUNCTION("""COMPUTED_VALUE"""),"Expire")</f>
        <v>Expire</v>
      </c>
      <c r="C232" t="str">
        <f>IFERROR(__xludf.DUMMYFUNCTION("""COMPUTED_VALUE"""),"1uTXnR3b0dBBJ12poieg819Sw5X7A31DAefoPTF8HvS8")</f>
        <v>1uTXnR3b0dBBJ12poieg819Sw5X7A31DAefoPTF8HvS8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IFERROR(__xludf.DUMMYFUNCTION("""COMPUTED_VALUE"""),"ExerciseAssignment")</f>
        <v>ExerciseAssignment</v>
      </c>
      <c r="C233" t="str">
        <f>IFERROR(__xludf.DUMMYFUNCTION("""COMPUTED_VALUE"""),"1bA6aaAVKiSAEQCN3NhxCUAsXZXF9JFxOfu0VhfUugtE")</f>
        <v>1bA6aaAVKiSAEQCN3NhxCUAsXZXF9JFxOfu0VhfUugtE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IFERROR(__xludf.DUMMYFUNCTION("""COMPUTED_VALUE"""),"ExerciseAssignmentAtZero")</f>
        <v>ExerciseAssignmentAtZero</v>
      </c>
      <c r="C234" t="str">
        <f>IFERROR(__xludf.DUMMYFUNCTION("""COMPUTED_VALUE"""),"1kqk3qr2A_0HgAfwasm4ONZYUjKRgUd9wRoNg3NH_CQs")</f>
        <v>1kqk3qr2A_0HgAfwasm4ONZYUjKRgUd9wRoNg3NH_CQs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IFERROR(__xludf.DUMMYFUNCTION("""COMPUTED_VALUE"""),"SwapExpireAndRollover")</f>
        <v>SwapExpireAndRollover</v>
      </c>
      <c r="C235" t="str">
        <f>IFERROR(__xludf.DUMMYFUNCTION("""COMPUTED_VALUE"""),"1ZgJYe9feHH1JnnrqSkw7W1JoIKEcT_NnlnQtzP0MXSc")</f>
        <v>1ZgJYe9feHH1JnnrqSkw7W1JoIKEcT_NnlnQtzP0MXSc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IFERROR(__xludf.DUMMYFUNCTION("""COMPUTED_VALUE"""),"SwapExpire")</f>
        <v>SwapExpire</v>
      </c>
      <c r="C236" t="str">
        <f>IFERROR(__xludf.DUMMYFUNCTION("""COMPUTED_VALUE"""),"1Ch8ljdOLO5qpDv9DppYdH0GSLe_dObZX8Z4007tRKtk")</f>
        <v>1Ch8ljdOLO5qpDv9DppYdH0GSLe_dObZX8Z4007tRKtk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IFERROR(__xludf.DUMMYFUNCTION("""COMPUTED_VALUE"""),"VerifyExpiredSettledGrid")</f>
        <v>VerifyExpiredSettledGrid</v>
      </c>
      <c r="C237" t="str">
        <f>IFERROR(__xludf.DUMMYFUNCTION("""COMPUTED_VALUE"""),"1Y7iTcrm1lcqAexGSYgLsLlCOYw223ra4LBG0yn-I2bY")</f>
        <v>1Y7iTcrm1lcqAexGSYgLsLlCOYw223ra4LBG0yn-I2bY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IFERROR(__xludf.DUMMYFUNCTION("""COMPUTED_VALUE"""),"VerifyUnExpiredUnSettledGrid")</f>
        <v>VerifyUnExpiredUnSettledGrid</v>
      </c>
      <c r="C238" t="str">
        <f>IFERROR(__xludf.DUMMYFUNCTION("""COMPUTED_VALUE"""),"1L2S89q_MaWf4uZDOO7k9zl1iHulikAZk9KJ78CUobIc")</f>
        <v>1L2S89q_MaWf4uZDOO7k9zl1iHulikAZk9KJ78CUobIc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IFERROR(__xludf.DUMMYFUNCTION("""COMPUTED_VALUE"""),"UnWindTradeSettlement")</f>
        <v>UnWindTradeSettlement</v>
      </c>
      <c r="C239" t="str">
        <f>IFERROR(__xludf.DUMMYFUNCTION("""COMPUTED_VALUE"""),"1r8av4OWUDi-9UDzyWe0DRs-rlCS90W4iepyl32hgsu0")</f>
        <v>1r8av4OWUDi-9UDzyWe0DRs-rlCS90W4iepyl32hgsu0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IFERROR(__xludf.DUMMYFUNCTION("""COMPUTED_VALUE"""),"CloseOrder")</f>
        <v>CloseOrder</v>
      </c>
      <c r="C240" t="str">
        <f>IFERROR(__xludf.DUMMYFUNCTION("""COMPUTED_VALUE"""),"1L4oOTgickdBKDs0CYP74xqSVxT5XAemsQon_0M_wIY4")</f>
        <v>1L4oOTgickdBKDs0CYP74xqSVxT5XAemsQon_0M_wIY4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IFERROR(__xludf.DUMMYFUNCTION("""COMPUTED_VALUE"""),"VerifyCloseOrder")</f>
        <v>VerifyCloseOrder</v>
      </c>
      <c r="C241" t="str">
        <f>IFERROR(__xludf.DUMMYFUNCTION("""COMPUTED_VALUE"""),"1wVhrU78CBgt-9aXoQMxmex2szYfOWevs1reuZQwcSlU")</f>
        <v>1wVhrU78CBgt-9aXoQMxmex2szYfOWevs1reuZQwcSlU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IFERROR(__xludf.DUMMYFUNCTION("""COMPUTED_VALUE"""),"UnWindCloseOrder")</f>
        <v>UnWindCloseOrder</v>
      </c>
      <c r="C242" t="str">
        <f>IFERROR(__xludf.DUMMYFUNCTION("""COMPUTED_VALUE"""),"1h8Riwp0PTUKBHWNb4d5NQ9Foe2ig0mS3tu7vxq74C6A")</f>
        <v>1h8Riwp0PTUKBHWNb4d5NQ9Foe2ig0mS3tu7vxq74C6A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IFERROR(__xludf.DUMMYFUNCTION("""COMPUTED_VALUE"""),"ClosingCleanUp")</f>
        <v>ClosingCleanUp</v>
      </c>
      <c r="C243" t="str">
        <f>IFERROR(__xludf.DUMMYFUNCTION("""COMPUTED_VALUE"""),"1_1ie9PGDigjyhcBrTgIzPawnFkZMYxHtKWtsPu9B_3c")</f>
        <v>1_1ie9PGDigjyhcBrTgIzPawnFkZMYxHtKWtsPu9B_3c</v>
      </c>
    </row>
    <row r="244" ht="15.75" customHeight="1">
      <c r="A244" t="str">
        <f>IFERROR(__xludf.DUMMYFUNCTION("""COMPUTED_VALUE"""),"Closing")</f>
        <v>Closing</v>
      </c>
      <c r="B244" t="str">
        <f>IFERROR(__xludf.DUMMYFUNCTION("""COMPUTED_VALUE"""),"CloseClosingUI")</f>
        <v>CloseClosingUI</v>
      </c>
      <c r="C244" t="str">
        <f>IFERROR(__xludf.DUMMYFUNCTION("""COMPUTED_VALUE"""),"1KiRs-Mdk_DhlHcSNlHArhVLFJzMKzKu1kat_TZ71jkQ")</f>
        <v>1KiRs-Mdk_DhlHcSNlHArhVLFJzMKzKu1kat_TZ71jkQ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IFERROR(__xludf.DUMMYFUNCTION("""COMPUTED_VALUE"""),"GetDailyCalculationsData")</f>
        <v>GetDailyCalculationsData</v>
      </c>
      <c r="C245" t="str">
        <f>IFERROR(__xludf.DUMMYFUNCTION("""COMPUTED_VALUE"""),"1pIJnQCXHxy82ZF8KgUVRHcagp8aZHkkagJfnU-cLYRo")</f>
        <v>1pIJnQCXHxy82ZF8KgUVRHcagp8aZHkkagJfnU-cLYRo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IFERROR(__xludf.DUMMYFUNCTION("""COMPUTED_VALUE"""),"CalculateDailyCalculations")</f>
        <v>CalculateDailyCalculations</v>
      </c>
      <c r="C246" t="str">
        <f>IFERROR(__xludf.DUMMYFUNCTION("""COMPUTED_VALUE"""),"Undefined")</f>
        <v>Undefined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IFERROR(__xludf.DUMMYFUNCTION("""COMPUTED_VALUE"""),"EditOpeningBalanceTransaction")</f>
        <v>EditOpeningBalanceTransaction</v>
      </c>
      <c r="C247" t="str">
        <f>IFERROR(__xludf.DUMMYFUNCTION("""COMPUTED_VALUE"""),"1wqhiyeuGFjr-d-douLAdeAoIl9zOMj0hG7J2an8e7EA")</f>
        <v>1wqhiyeuGFjr-d-douLAdeAoIl9zOMj0hG7J2an8e7EA</v>
      </c>
    </row>
    <row r="248" ht="15.75" customHeight="1">
      <c r="A248" t="str">
        <f>IFERROR(__xludf.DUMMYFUNCTION("""COMPUTED_VALUE"""),"GeneralLedger")</f>
        <v>GeneralLedger</v>
      </c>
      <c r="B248" t="str">
        <f>IFERROR(__xludf.DUMMYFUNCTION("""COMPUTED_VALUE"""),"EditOpeningBalanceTranItem")</f>
        <v>EditOpeningBalanceTranItem</v>
      </c>
      <c r="C248" t="str">
        <f>IFERROR(__xludf.DUMMYFUNCTION("""COMPUTED_VALUE"""),"1yTjsXnh8twOBshtRTYPboRkkXpXN8T2vC7KUsimL2Ec")</f>
        <v>1yTjsXnh8twOBshtRTYPboRkkXpXN8T2vC7KUsimL2Ec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IFERROR(__xludf.DUMMYFUNCTION("""COMPUTED_VALUE"""),"UpdateBeta")</f>
        <v>UpdateBeta</v>
      </c>
      <c r="C249" t="str">
        <f>IFERROR(__xludf.DUMMYFUNCTION("""COMPUTED_VALUE"""),"14bzYQBiZIs2a3lfzwT4TROCDnXpt72UALcJjBTZdEAk")</f>
        <v>14bzYQBiZIs2a3lfzwT4TROCDnXpt72UALcJjBTZdEAk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IFERROR(__xludf.DUMMYFUNCTION("""COMPUTED_VALUE"""),"UpdateNAV")</f>
        <v>UpdateNAV</v>
      </c>
      <c r="C250" t="str">
        <f>IFERROR(__xludf.DUMMYFUNCTION("""COMPUTED_VALUE"""),"13mmaXGk97gVSQ6zDXJnzFolB9Xj-Wrq5OulWkf9iQjA")</f>
        <v>13mmaXGk97gVSQ6zDXJnzFolB9Xj-Wrq5OulWkf9iQjA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IFERROR(__xludf.DUMMYFUNCTION("""COMPUTED_VALUE"""),"UpdateDailyCash")</f>
        <v>UpdateDailyCash</v>
      </c>
      <c r="C251" t="str">
        <f>IFERROR(__xludf.DUMMYFUNCTION("""COMPUTED_VALUE"""),"1qlSfNvUHenegqRyv9ZFeKA5gN-iwbykaaRHcYfx0vR8")</f>
        <v>1qlSfNvUHenegqRyv9ZFeKA5gN-iwbykaaRHcYfx0vR8</v>
      </c>
    </row>
    <row r="252" ht="15.75" customHeight="1">
      <c r="A252" t="str">
        <f>IFERROR(__xludf.DUMMYFUNCTION("""COMPUTED_VALUE"""),"GeneralLedger")</f>
        <v>GeneralLedger</v>
      </c>
      <c r="B252" t="str">
        <f>IFERROR(__xludf.DUMMYFUNCTION("""COMPUTED_VALUE"""),"VerifyDailyCalTransactions")</f>
        <v>VerifyDailyCalTransactions</v>
      </c>
      <c r="C252" t="str">
        <f>IFERROR(__xludf.DUMMYFUNCTION("""COMPUTED_VALUE"""),"10wpUsik3kWUK9FdBcY3wa_rIK92CGwBAPxPW94n8RI0")</f>
        <v>10wpUsik3kWUK9FdBcY3wa_rIK92CGwBAPxPW94n8RI0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IFERROR(__xludf.DUMMYFUNCTION("""COMPUTED_VALUE"""),"UpdateDailyCreditLimt")</f>
        <v>UpdateDailyCreditLimt</v>
      </c>
      <c r="C253" t="str">
        <f>IFERROR(__xludf.DUMMYFUNCTION("""COMPUTED_VALUE"""),"1WMfqGkZABhjGZzyIgr3hBp-ZTraQiBbIVqdAP3KAOGo")</f>
        <v>1WMfqGkZABhjGZzyIgr3hBp-ZTraQiBbIVqdAP3KAOGo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IFERROR(__xludf.DUMMYFUNCTION("""COMPUTED_VALUE"""),"RemoveDailyCreditLimit")</f>
        <v>RemoveDailyCreditLimit</v>
      </c>
      <c r="C254" t="str">
        <f>IFERROR(__xludf.DUMMYFUNCTION("""COMPUTED_VALUE"""),"1PWZIcowZzyQZ43yBopMfNLylAaq2RlmTxS0-Y7SK0KI")</f>
        <v>1PWZIcowZzyQZ43yBopMfNLylAaq2RlmTxS0-Y7SK0KI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IFERROR(__xludf.DUMMYFUNCTION("""COMPUTED_VALUE"""),"RemoveDailyCash")</f>
        <v>RemoveDailyCash</v>
      </c>
      <c r="C255" t="str">
        <f>IFERROR(__xludf.DUMMYFUNCTION("""COMPUTED_VALUE"""),"1K-Bl5yG-Q_sgro0guK9BOk2wSxZk_7rHH7Lj7Qp_H2U")</f>
        <v>1K-Bl5yG-Q_sgro0guK9BOk2wSxZk_7rHH7Lj7Qp_H2U</v>
      </c>
    </row>
    <row r="256" ht="15.75" customHeight="1">
      <c r="A256" t="str">
        <f>IFERROR(__xludf.DUMMYFUNCTION("""COMPUTED_VALUE"""),"DailyValuation")</f>
        <v>DailyValuation</v>
      </c>
      <c r="B256" t="str">
        <f>IFERROR(__xludf.DUMMYFUNCTION("""COMPUTED_VALUE"""),"RemoveNAV")</f>
        <v>RemoveNAV</v>
      </c>
      <c r="C256" t="str">
        <f>IFERROR(__xludf.DUMMYFUNCTION("""COMPUTED_VALUE"""),"1iKNzN1CKH1HHjrGq7o2kZo9f76Pk7b7qYuTxqOHQZzE")</f>
        <v>1iKNzN1CKH1HHjrGq7o2kZo9f76Pk7b7qYuTxqOHQZzE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IFERROR(__xludf.DUMMYFUNCTION("""COMPUTED_VALUE"""),"FilterPM")</f>
        <v>FilterPM</v>
      </c>
      <c r="C257" t="str">
        <f>IFERROR(__xludf.DUMMYFUNCTION("""COMPUTED_VALUE"""),"1lo4DMzd6cjmA4-4d7dLNuKsGBW61BpeW2eCf7oK-9og")</f>
        <v>1lo4DMzd6cjmA4-4d7dLNuKsGBW61BpeW2eCf7oK-9og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IFERROR(__xludf.DUMMYFUNCTION("""COMPUTED_VALUE"""),"GroupRowPM")</f>
        <v>GroupRowPM</v>
      </c>
      <c r="C258" t="str">
        <f>IFERROR(__xludf.DUMMYFUNCTION("""COMPUTED_VALUE"""),"1pgA3lsv5kfGNh9RHELfgbcW6XvdfbOLjdTg2dR5EYAU")</f>
        <v>1pgA3lsv5kfGNh9RHELfgbcW6XvdfbOLjdTg2dR5EYAU</v>
      </c>
    </row>
    <row r="259" ht="15.75" customHeight="1">
      <c r="A259" t="str">
        <f>IFERROR(__xludf.DUMMYFUNCTION("""COMPUTED_VALUE"""),"Allocation")</f>
        <v>Allocation</v>
      </c>
      <c r="B259" t="str">
        <f>IFERROR(__xludf.DUMMYFUNCTION("""COMPUTED_VALUE"""),"CloseAllocation")</f>
        <v>CloseAllocation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IFERROR(__xludf.DUMMYFUNCTION("""COMPUTED_VALUE"""),"CheckDashboardWithPM")</f>
        <v>CheckDashboardWithPM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IFERROR(__xludf.DUMMYFUNCTION("""COMPUTED_VALUE"""),"RemoveFilterPM")</f>
        <v>RemoveFilterPM</v>
      </c>
      <c r="C261" t="str">
        <f>IFERROR(__xludf.DUMMYFUNCTION("""COMPUTED_VALUE"""),"Undefined")</f>
        <v>Undefined</v>
      </c>
    </row>
    <row r="262" ht="15.75" customHeight="1">
      <c r="A262" t="str">
        <f>IFERROR(__xludf.DUMMYFUNCTION("""COMPUTED_VALUE"""),"PortfolioManagement")</f>
        <v>PortfolioManagement</v>
      </c>
      <c r="B262" t="str">
        <f>IFERROR(__xludf.DUMMYFUNCTION("""COMPUTED_VALUE"""),"CheckSummaryRowsPM")</f>
        <v>CheckSummaryRowsPM</v>
      </c>
      <c r="C262" t="str">
        <f>IFERROR(__xludf.DUMMYFUNCTION("""COMPUTED_VALUE"""),"18xKZpSz1Db7JKLK-skQuvwxZf_NdSC71Y9j-EFPSnbQ")</f>
        <v>18xKZpSz1Db7JKLK-skQuvwxZf_NdSC71Y9j-EFPSnbQ</v>
      </c>
    </row>
    <row r="263" ht="15.75" customHeight="1">
      <c r="A263" t="str">
        <f>IFERROR(__xludf.DUMMYFUNCTION("""COMPUTED_VALUE"""),"GeneralLedger")</f>
        <v>GeneralLedger</v>
      </c>
      <c r="B263" t="str">
        <f>IFERROR(__xludf.DUMMYFUNCTION("""COMPUTED_VALUE"""),"CloseGeneralLedger")</f>
        <v>CloseGeneralLedger</v>
      </c>
      <c r="C263" t="str">
        <f>IFERROR(__xludf.DUMMYFUNCTION("""COMPUTED_VALUE"""),"Undefined")</f>
        <v>Undefined</v>
      </c>
    </row>
    <row r="264" ht="15.75" customHeight="1">
      <c r="A264" t="str">
        <f>IFERROR(__xludf.DUMMYFUNCTION("""COMPUTED_VALUE"""),"Blotter")</f>
        <v>Blotter</v>
      </c>
      <c r="B264" t="str">
        <f>IFERROR(__xludf.DUMMYFUNCTION("""COMPUTED_VALUE"""),"ReplaceStageOrder")</f>
        <v>ReplaceStageOrder</v>
      </c>
      <c r="C264" t="str">
        <f>IFERROR(__xludf.DUMMYFUNCTION("""COMPUTED_VALUE"""),"1-oDkMaOdHN8EaXZIPTt5fr6PNuottX0kRXE8vmlhi0M")</f>
        <v>1-oDkMaOdHN8EaXZIPTt5fr6PNuottX0kRXE8vmlhi0M</v>
      </c>
    </row>
    <row r="265" ht="15.75" customHeight="1">
      <c r="A265" t="str">
        <f>IFERROR(__xludf.DUMMYFUNCTION("""COMPUTED_VALUE"""),"GeneralLedger")</f>
        <v>GeneralLedger</v>
      </c>
      <c r="B265" t="str">
        <f>IFERROR(__xludf.DUMMYFUNCTION("""COMPUTED_VALUE"""),"VerifyAccountDetails")</f>
        <v>VerifyAccountDetails</v>
      </c>
      <c r="C265" t="str">
        <f>IFERROR(__xludf.DUMMYFUNCTION("""COMPUTED_VALUE"""),"11lQbu7XGSf0C5u04fqQXzcjWfa8v7VnskbBQpcCwy_o")</f>
        <v>11lQbu7XGSf0C5u04fqQXzcjWfa8v7VnskbBQpcCwy_o</v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IFERROR(__xludf.DUMMYFUNCTION("""COMPUTED_VALUE"""),"CreateNewSubOrder")</f>
        <v>CreateNewSubOrder</v>
      </c>
      <c r="C266" t="str">
        <f>IFERROR(__xludf.DUMMYFUNCTION("""COMPUTED_VALUE"""),"1RZrP677SP63N91bZw2_Jkjen0Emt_iknfC5GljLySfA")</f>
        <v>1RZrP677SP63N91bZw2_Jkjen0Emt_iknfC5GljLySfA</v>
      </c>
    </row>
    <row r="267" ht="15.75" customHeight="1">
      <c r="A267" t="str">
        <f>IFERROR(__xludf.DUMMYFUNCTION("""COMPUTED_VALUE"""),"CreateTransaction")</f>
        <v>CreateTransaction</v>
      </c>
      <c r="B267" t="str">
        <f>IFERROR(__xludf.DUMMYFUNCTION("""COMPUTED_VALUE"""),"AddNewTransaction")</f>
        <v>AddNewTransaction</v>
      </c>
      <c r="C267" t="str">
        <f>IFERROR(__xludf.DUMMYFUNCTION("""COMPUTED_VALUE"""),"1MnHnb-l2FXZIx21V59Pn6jwBL3jngTBLnGBTJFgQ-Ac")</f>
        <v>1MnHnb-l2FXZIx21V59Pn6jwBL3jngTBLnGBTJFgQ-Ac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IFERROR(__xludf.DUMMYFUNCTION("""COMPUTED_VALUE"""),"TradeBloomberg")</f>
        <v>TradeBloomberg</v>
      </c>
      <c r="C268" t="str">
        <f>IFERROR(__xludf.DUMMYFUNCTION("""COMPUTED_VALUE"""),"1igxH2dPQGq9u7PuOMV2GHwxFfHVL1KzVtINO6ZbdDOk")</f>
        <v>1igxH2dPQGq9u7PuOMV2GHwxFfHVL1KzVtINO6ZbdDOk</v>
      </c>
    </row>
    <row r="269" ht="15.75" customHeight="1">
      <c r="A269" t="str">
        <f>IFERROR(__xludf.DUMMYFUNCTION("""COMPUTED_VALUE"""),"TradingTicket")</f>
        <v>TradingTicket</v>
      </c>
      <c r="B269" t="str">
        <f>IFERROR(__xludf.DUMMYFUNCTION("""COMPUTED_VALUE"""),"ClickSymbolLookup")</f>
        <v>ClickSymbolLookup</v>
      </c>
      <c r="C269" t="str">
        <f>IFERROR(__xludf.DUMMYFUNCTION("""COMPUTED_VALUE"""),"1_Bm_U_dCrJ0O95Ye84SVu3C35Bm-_zVESf68LNiMCZg")</f>
        <v>1_Bm_U_dCrJ0O95Ye84SVu3C35Bm-_zVESf68LNiMCZg</v>
      </c>
    </row>
    <row r="270" ht="15.75" customHeight="1">
      <c r="A270" t="str">
        <f>IFERROR(__xludf.DUMMYFUNCTION("""COMPUTED_VALUE"""),"PricingServer")</f>
        <v>PricingServer</v>
      </c>
      <c r="B270" t="str">
        <f>IFERROR(__xludf.DUMMYFUNCTION("""COMPUTED_VALUE"""),"RestartPricingServer")</f>
        <v>RestartPricingServer</v>
      </c>
      <c r="C270" t="str">
        <f>IFERROR(__xludf.DUMMYFUNCTION("""COMPUTED_VALUE"""),"1k3a_zG703e90jYbfBz_iHma7miT_nDAo2-jitint-XA")</f>
        <v>1k3a_zG703e90jYbfBz_iHma7miT_nDAo2-jitint-XA</v>
      </c>
    </row>
    <row r="271" ht="15.75" customHeight="1">
      <c r="A271" t="str">
        <f>IFERROR(__xludf.DUMMYFUNCTION("""COMPUTED_VALUE"""),"TradeServer")</f>
        <v>TradeServer</v>
      </c>
      <c r="B271" t="str">
        <f>IFERROR(__xludf.DUMMYFUNCTION("""COMPUTED_VALUE"""),"RestartServer")</f>
        <v>RestartServer</v>
      </c>
      <c r="C271" t="str">
        <f>IFERROR(__xludf.DUMMYFUNCTION("""COMPUTED_VALUE"""),"1MfgZTAXl6-DPer9VdHbo42n6sPuMFimLowm4iDrtYBI")</f>
        <v>1MfgZTAXl6-DPer9VdHbo42n6sPuMFimLowm4iDrtYBI</v>
      </c>
    </row>
    <row r="272" ht="15.75" customHeight="1">
      <c r="A272" t="str">
        <f>IFERROR(__xludf.DUMMYFUNCTION("""COMPUTED_VALUE"""),"PranaClient")</f>
        <v>PranaClient</v>
      </c>
      <c r="B272" t="str">
        <f>IFERROR(__xludf.DUMMYFUNCTION("""COMPUTED_VALUE"""),"RestartClient")</f>
        <v>RestartClient</v>
      </c>
      <c r="C272" t="str">
        <f>IFERROR(__xludf.DUMMYFUNCTION("""COMPUTED_VALUE"""),"1TkGJ89cY994clB-HD-UJNYqO5eDGSgcM1fC_LiASQLE")</f>
        <v>1TkGJ89cY994clB-HD-UJNYqO5eDGSgcM1fC_LiASQLE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IFERROR(__xludf.DUMMYFUNCTION("""COMPUTED_VALUE"""),"CalculatePTT")</f>
        <v>CalculatePTT</v>
      </c>
      <c r="C273" t="str">
        <f>IFERROR(__xludf.DUMMYFUNCTION("""COMPUTED_VALUE"""),"1yHP4_99wm3NtNEt8v0-IjBSsqD_IeK0TrVbe411pPPY")</f>
        <v>1yHP4_99wm3NtNEt8v0-IjBSsqD_IeK0TrVbe411pPPY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IFERROR(__xludf.DUMMYFUNCTION("""COMPUTED_VALUE"""),"TradeUsingPTT")</f>
        <v>TradeUsingPTT</v>
      </c>
      <c r="C274" t="str">
        <f>IFERROR(__xludf.DUMMYFUNCTION("""COMPUTED_VALUE"""),"1824j5jyCdsYtwCFE1rcBhAGlXsh5bjIsayUXkGUuMpA")</f>
        <v>1824j5jyCdsYtwCFE1rcBhAGlXsh5bjIsayUXkGUuMpA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IFERROR(__xludf.DUMMYFUNCTION("""COMPUTED_VALUE"""),"VerifyPTTCompliance")</f>
        <v>VerifyPTTCompliance</v>
      </c>
      <c r="C275" t="str">
        <f>IFERROR(__xludf.DUMMYFUNCTION("""COMPUTED_VALUE"""),"1yei-AbmUpfNZz4VT2JbIDaKDIJzO7hZwvaUFib1oTyU")</f>
        <v>1yei-AbmUpfNZz4VT2JbIDaKDIJzO7hZwvaUFib1oTyU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IFERROR(__xludf.DUMMYFUNCTION("""COMPUTED_VALUE"""),"StageOrderUsingPTT")</f>
        <v>StageOrderUsingPTT</v>
      </c>
      <c r="C276" t="str">
        <f>IFERROR(__xludf.DUMMYFUNCTION("""COMPUTED_VALUE"""),"1u1w8ItMzM1YYZrH2R4RqLkUrIog6pmIGeXUsy-3e_ZA")</f>
        <v>1u1w8ItMzM1YYZrH2R4RqLkUrIog6pmIGeXUsy-3e_ZA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IFERROR(__xludf.DUMMYFUNCTION("""COMPUTED_VALUE"""),"CreateOrderPTT")</f>
        <v>CreateOrderPTT</v>
      </c>
      <c r="C277" t="str">
        <f>IFERROR(__xludf.DUMMYFUNCTION("""COMPUTED_VALUE"""),"1EbdeLHTIKN4RoLAyfGnlPPL3QVcvg2-CXPpGl0RGN44")</f>
        <v>1EbdeLHTIKN4RoLAyfGnlPPL3QVcvg2-CXPpGl0RGN44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IFERROR(__xludf.DUMMYFUNCTION("""COMPUTED_VALUE"""),"TradePTT")</f>
        <v>TradePTT</v>
      </c>
      <c r="C278" t="str">
        <f>IFERROR(__xludf.DUMMYFUNCTION("""COMPUTED_VALUE"""),"1pJFZ4nCBnJDUZQAqiaY6J68G36x1oN7JuKzRtRA-0zc")</f>
        <v>1pJFZ4nCBnJDUZQAqiaY6J68G36x1oN7JuKzRtRA-0zc</v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IFERROR(__xludf.DUMMYFUNCTION("""COMPUTED_VALUE"""),"VerifyPTT")</f>
        <v>VerifyPTT</v>
      </c>
      <c r="C279" t="str">
        <f>IFERROR(__xludf.DUMMYFUNCTION("""COMPUTED_VALUE"""),"1_DLMzeonBUhfhJl5AJqMD8mt1Z4T5mgBI7fF7cbQFWs")</f>
        <v>1_DLMzeonBUhfhJl5AJqMD8mt1Z4T5mgBI7fF7cbQFWs</v>
      </c>
    </row>
    <row r="280" ht="15.75" customHeight="1">
      <c r="A280" t="str">
        <f>IFERROR(__xludf.DUMMYFUNCTION("""COMPUTED_VALUE"""),"PortfolioManagement")</f>
        <v>PortfolioManagement</v>
      </c>
      <c r="B280" t="str">
        <f>IFERROR(__xludf.DUMMYFUNCTION("""COMPUTED_VALUE"""),"OpenPTTFromPM")</f>
        <v>OpenPTTFromPM</v>
      </c>
      <c r="C280" t="str">
        <f>IFERROR(__xludf.DUMMYFUNCTION("""COMPUTED_VALUE"""),"1GRj9e94k8ieHylVePoJ-nbC4owLOnPd7BKuaFvCouaI")</f>
        <v>1GRj9e94k8ieHylVePoJ-nbC4owLOnPd7BKuaFvCouaI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IFERROR(__xludf.DUMMYFUNCTION("""COMPUTED_VALUE"""),"OpenMultiTTFromPTT")</f>
        <v>OpenMultiTTFromPTT</v>
      </c>
      <c r="C281" t="str">
        <f>IFERROR(__xludf.DUMMYFUNCTION("""COMPUTED_VALUE"""),"1e52wyc2ELTM7QWL7k_ZT3-JQQ8Kf4qrLMW0R_fjW7Qc")</f>
        <v>1e52wyc2ELTM7QWL7k_ZT3-JQQ8Kf4qrLMW0R_fjW7Qc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IFERROR(__xludf.DUMMYFUNCTION("""COMPUTED_VALUE"""),"SelectMultiTT")</f>
        <v>SelectMultiTT</v>
      </c>
      <c r="C282" t="str">
        <f>IFERROR(__xludf.DUMMYFUNCTION("""COMPUTED_VALUE"""),"1kwb8DPg_4i30YSR_tr8LD3r1jIWVTgBzMVprGkITggA")</f>
        <v>1kwb8DPg_4i30YSR_tr8LD3r1jIWVTgBzMVprGkITggA</v>
      </c>
    </row>
    <row r="283" ht="15.75" customHeight="1">
      <c r="A283" t="str">
        <f>IFERROR(__xludf.DUMMYFUNCTION("""COMPUTED_VALUE"""),"PTT")</f>
        <v>PTT</v>
      </c>
      <c r="B283" t="str">
        <f>IFERROR(__xludf.DUMMYFUNCTION("""COMPUTED_VALUE"""),"EditMultiTT")</f>
        <v>EditMultiTT</v>
      </c>
      <c r="C283" t="str">
        <f>IFERROR(__xludf.DUMMYFUNCTION("""COMPUTED_VALUE"""),"1wbgmqX9Wp9SZWfRgJAummbN_5spSjp-tG3G1lreoQKk")</f>
        <v>1wbgmqX9Wp9SZWfRgJAummbN_5spSjp-tG3G1lreoQKk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IFERROR(__xludf.DUMMYFUNCTION("""COMPUTED_VALUE"""),"EditTradeUsingMTT")</f>
        <v>EditTradeUsingMTT</v>
      </c>
      <c r="C284" t="str">
        <f>IFERROR(__xludf.DUMMYFUNCTION("""COMPUTED_VALUE"""),"1FQlM2ubifDakZ2t9YEosDOTBdf06YZcr9_nTRuQDt2Q")</f>
        <v>1FQlM2ubifDakZ2t9YEosDOTBdf06YZcr9_nTRuQDt2Q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IFERROR(__xludf.DUMMYFUNCTION("""COMPUTED_VALUE"""),"SelectTradeUsingMTT")</f>
        <v>SelectTradeUsingMTT</v>
      </c>
      <c r="C285" t="str">
        <f>IFERROR(__xludf.DUMMYFUNCTION("""COMPUTED_VALUE"""),"1iacfEsOlPHPGZ6nQjKZ7USkjh5EdozTXI9wUlBmEE4k")</f>
        <v>1iacfEsOlPHPGZ6nQjKZ7USkjh5EdozTXI9wUlBmEE4k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IFERROR(__xludf.DUMMYFUNCTION("""COMPUTED_VALUE"""),"GetPriceUsingMTT")</f>
        <v>GetPriceUsingMTT</v>
      </c>
      <c r="C286" t="str">
        <f>IFERROR(__xludf.DUMMYFUNCTION("""COMPUTED_VALUE"""),"13sqL2ynaexfP9lWe37uE-qHPdf1jgMi_dGKwnz6usMQ")</f>
        <v>13sqL2ynaexfP9lWe37uE-qHPdf1jgMi_dGKwnz6usMQ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IFERROR(__xludf.DUMMYFUNCTION("""COMPUTED_VALUE"""),"DoneAwayUsingMTT")</f>
        <v>DoneAwayUsingMTT</v>
      </c>
      <c r="C287" t="str">
        <f>IFERROR(__xludf.DUMMYFUNCTION("""COMPUTED_VALUE"""),"1X_Cc-k1Zsfie7xcaz_9nQ2vWDlJ47gL_5qoTESaishI")</f>
        <v>1X_Cc-k1Zsfie7xcaz_9nQ2vWDlJ47gL_5qoTESaishI</v>
      </c>
    </row>
    <row r="288" ht="15.75" customHeight="1">
      <c r="A288" t="str">
        <f>IFERROR(__xludf.DUMMYFUNCTION("""COMPUTED_VALUE"""),"MultiTradingTicket")</f>
        <v>MultiTradingTicket</v>
      </c>
      <c r="B288" t="str">
        <f>IFERROR(__xludf.DUMMYFUNCTION("""COMPUTED_VALUE"""),"SendOrderUsingMTT")</f>
        <v>SendOrderUsingMTT</v>
      </c>
      <c r="C288" t="str">
        <f>IFERROR(__xludf.DUMMYFUNCTION("""COMPUTED_VALUE"""),"1ZvOomDY73mDwy_2FkmlYUkc7eFVBtku_M6XrhU6zAMQ")</f>
        <v>1ZvOomDY73mDwy_2FkmlYUkc7eFVBtku_M6XrhU6zAMQ</v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IFERROR(__xludf.DUMMYFUNCTION("""COMPUTED_VALUE"""),"UpdateGRAccountValue")</f>
        <v>UpdateGRAccountValue</v>
      </c>
      <c r="C289" t="str">
        <f>IFERROR(__xludf.DUMMYFUNCTION("""COMPUTED_VALUE"""),"1lFz3FRcCczoccbDWuOrmoeTNI3Wt72tV40C0B_Fdulo")</f>
        <v>1lFz3FRcCczoccbDWuOrmoeTNI3Wt72tV40C0B_Fdulo</v>
      </c>
    </row>
    <row r="290" ht="15.75" customHeight="1">
      <c r="A290" t="str">
        <f>IFERROR(__xludf.DUMMYFUNCTION("""COMPUTED_VALUE"""),"MultiTradingTicket")</f>
        <v>MultiTradingTicket</v>
      </c>
      <c r="B290" t="str">
        <f>IFERROR(__xludf.DUMMYFUNCTION("""COMPUTED_VALUE"""),"BulkChangeTradeDoneAway")</f>
        <v>BulkChangeTradeDoneAway</v>
      </c>
      <c r="C290" t="str">
        <f>IFERROR(__xludf.DUMMYFUNCTION("""COMPUTED_VALUE"""),"1vJUuWNjZCta9Nc4XEHCHO5jwABRogxaKkvSksrCc1y4")</f>
        <v>1vJUuWNjZCta9Nc4XEHCHO5jwABRogxaKkvSksrCc1y4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IFERROR(__xludf.DUMMYFUNCTION("""COMPUTED_VALUE"""),"UpdateGRStrategyValue")</f>
        <v>UpdateGRStrategyValue</v>
      </c>
      <c r="C291" t="str">
        <f>IFERROR(__xludf.DUMMYFUNCTION("""COMPUTED_VALUE"""),"1AMJDRnPPFGSypYHzJlk3Nkh0AERQpMOKwpNzmwWYf3k")</f>
        <v>1AMJDRnPPFGSypYHzJlk3Nkh0AERQpMOKwpNzmwWYf3k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IFERROR(__xludf.DUMMYFUNCTION("""COMPUTED_VALUE"""),"UpdateGRDefaultRule")</f>
        <v>UpdateGRDefaultRule</v>
      </c>
      <c r="C292" t="str">
        <f>IFERROR(__xludf.DUMMYFUNCTION("""COMPUTED_VALUE"""),"1x73ZveKV63dLEGp1JA9RvvtDZiF2PeXvK6rEa4ECUUg")</f>
        <v>1x73ZveKV63dLEGp1JA9RvvtDZiF2PeXvK6rEa4ECUUg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IFERROR(__xludf.DUMMYFUNCTION("""COMPUTED_VALUE"""),"UpdateGeneralRulePref")</f>
        <v>UpdateGeneralRulePref</v>
      </c>
      <c r="C293" t="str">
        <f>IFERROR(__xludf.DUMMYFUNCTION("""COMPUTED_VALUE"""),"Undefined")</f>
        <v>Undefined</v>
      </c>
    </row>
    <row r="294" ht="15.75" customHeight="1">
      <c r="A294" t="str">
        <f>IFERROR(__xludf.DUMMYFUNCTION("""COMPUTED_VALUE"""),"Blotter")</f>
        <v>Blotter</v>
      </c>
      <c r="B294" t="str">
        <f>IFERROR(__xludf.DUMMYFUNCTION("""COMPUTED_VALUE"""),"MultiTradingTicketFromBlotter")</f>
        <v>MultiTradingTicketFromBlotter</v>
      </c>
      <c r="C294" t="str">
        <f>IFERROR(__xludf.DUMMYFUNCTION("""COMPUTED_VALUE"""),"19n2Z-CCAzNZctQndnPqhAilz4AHqd4Hew_NupZSf3AA")</f>
        <v>19n2Z-CCAzNZctQndnPqhAilz4AHqd4Hew_NupZSf3AA</v>
      </c>
    </row>
    <row r="295" ht="15.75" customHeight="1">
      <c r="A295" t="str">
        <f>IFERROR(__xludf.DUMMYFUNCTION("""COMPUTED_VALUE"""),"CleanUp")</f>
        <v>CleanUp</v>
      </c>
      <c r="B295" t="str">
        <f>IFERROR(__xludf.DUMMYFUNCTION("""COMPUTED_VALUE"""),"DeleteClientData")</f>
        <v>DeleteClientData</v>
      </c>
      <c r="C295" t="str">
        <f>IFERROR(__xludf.DUMMYFUNCTION("""COMPUTED_VALUE"""),"1Lz82jeHUZGtvibY9vO7baLqlJAO5OFAL6yO4JpHFkAo")</f>
        <v>1Lz82jeHUZGtvibY9vO7baLqlJAO5OFAL6yO4JpHFkAo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IFERROR(__xludf.DUMMYFUNCTION("""COMPUTED_VALUE"""),"ModifyGRPreferenceValues")</f>
        <v>ModifyGRPreferenceValues</v>
      </c>
      <c r="C296" t="str">
        <f>IFERROR(__xludf.DUMMYFUNCTION("""COMPUTED_VALUE"""),"Undefined")</f>
        <v>Undefined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IFERROR(__xludf.DUMMYFUNCTION("""COMPUTED_VALUE"""),"AddMFPreferences")</f>
        <v>AddMFPreferences</v>
      </c>
      <c r="C297" t="str">
        <f>IFERROR(__xludf.DUMMYFUNCTION("""COMPUTED_VALUE"""),"1AksWVHEmnBxwC-L3YrZrbvNzH0SfJRQe4Dy7NrKt6qU")</f>
        <v>1AksWVHEmnBxwC-L3YrZrbvNzH0SfJRQe4Dy7NrKt6qU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IFERROR(__xludf.DUMMYFUNCTION("""COMPUTED_VALUE"""),"AddMFPreferenceToolbar")</f>
        <v>AddMFPreferenceToolbar</v>
      </c>
      <c r="C298" t="str">
        <f>IFERROR(__xludf.DUMMYFUNCTION("""COMPUTED_VALUE"""),"1s4ugOdWq4GlEglv4uvOceAxijOR8vwwy9sfLCQSJsPI")</f>
        <v>1s4ugOdWq4GlEglv4uvOceAxijOR8vwwy9sfLCQSJsPI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IFERROR(__xludf.DUMMYFUNCTION("""COMPUTED_VALUE"""),"DeleteMFPreferences")</f>
        <v>DeleteMFPreferences</v>
      </c>
      <c r="C299" t="str">
        <f>IFERROR(__xludf.DUMMYFUNCTION("""COMPUTED_VALUE"""),"1kF8Cp9ixfKWT-O7A_ykr8O24ot4jIuMf7Cny33fw3tE")</f>
        <v>1kF8Cp9ixfKWT-O7A_ykr8O24ot4jIuMf7Cny33fw3tE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IFERROR(__xludf.DUMMYFUNCTION("""COMPUTED_VALUE"""),"DeleteMFPreferenceToolbar")</f>
        <v>DeleteMFPreferenceToolbar</v>
      </c>
      <c r="C300" t="str">
        <f>IFERROR(__xludf.DUMMYFUNCTION("""COMPUTED_VALUE"""),"1CgwWCnwId8fIOzVPEbCjbP0EmIDkblROsvVu3kqYqG8")</f>
        <v>1CgwWCnwId8fIOzVPEbCjbP0EmIDkblROsvVu3kqYqG8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IFERROR(__xludf.DUMMYFUNCTION("""COMPUTED_VALUE"""),"RenameMFPreferences")</f>
        <v>RenameMFPreferences</v>
      </c>
      <c r="C301" t="str">
        <f>IFERROR(__xludf.DUMMYFUNCTION("""COMPUTED_VALUE"""),"1LgeTTI9drsJb1V9MtKWU3N5XU-_UpbynXkgneV6bnSU")</f>
        <v>1LgeTTI9drsJb1V9MtKWU3N5XU-_UpbynXkgneV6bnSU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IFERROR(__xludf.DUMMYFUNCTION("""COMPUTED_VALUE"""),"SaveCloseMFPreference")</f>
        <v>SaveCloseMFPreference</v>
      </c>
      <c r="C302" t="str">
        <f>IFERROR(__xludf.DUMMYFUNCTION("""COMPUTED_VALUE"""),"Undefined")</f>
        <v>Undefined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IFERROR(__xludf.DUMMYFUNCTION("""COMPUTED_VALUE"""),"SetMFPrefAccountValues")</f>
        <v>SetMFPrefAccountValues</v>
      </c>
      <c r="C303" t="str">
        <f>IFERROR(__xludf.DUMMYFUNCTION("""COMPUTED_VALUE"""),"1ICA8c_OKdesVMDcE_s1raBD2JqcZdspbl-jQG5DX7vA")</f>
        <v>1ICA8c_OKdesVMDcE_s1raBD2JqcZdspbl-jQG5DX7vA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IFERROR(__xludf.DUMMYFUNCTION("""COMPUTED_VALUE"""),"ModifyMFPrefGeneralRuleValues")</f>
        <v>ModifyMFPrefGeneralRuleValues</v>
      </c>
      <c r="C304" t="str">
        <f>IFERROR(__xludf.DUMMYFUNCTION("""COMPUTED_VALUE"""),"Undefined")</f>
        <v>Undefined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IFERROR(__xludf.DUMMYFUNCTION("""COMPUTED_VALUE"""),"SetMFPrefStrategyValues")</f>
        <v>SetMFPrefStrategyValues</v>
      </c>
      <c r="C305" t="str">
        <f>IFERROR(__xludf.DUMMYFUNCTION("""COMPUTED_VALUE"""),"1Nend9TmgX0Jkh8tsL--LHqNCMB0QE7KGu0lM4MrvJx8")</f>
        <v>1Nend9TmgX0Jkh8tsL--LHqNCMB0QE7KGu0lM4MrvJx8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IFERROR(__xludf.DUMMYFUNCTION("""COMPUTED_VALUE"""),"SetMFPrefGeneralRule")</f>
        <v>SetMFPrefGeneralRule</v>
      </c>
      <c r="C306" t="str">
        <f>IFERROR(__xludf.DUMMYFUNCTION("""COMPUTED_VALUE"""),"1OkFtbYrIDPpC3pMP--6KPjkSbZDpo31jp348DsVbjWk")</f>
        <v>1OkFtbYrIDPpC3pMP--6KPjkSbZDpo31jp348DsVbjWk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IFERROR(__xludf.DUMMYFUNCTION("""COMPUTED_VALUE"""),"SetMFPrefFundDistribution")</f>
        <v>SetMFPrefFundDistribution</v>
      </c>
      <c r="C307" t="str">
        <f>IFERROR(__xludf.DUMMYFUNCTION("""COMPUTED_VALUE"""),"1sNOuaTOrp-Ppia2ZUARA48WLB5S-7ja2Q0cjsdZu1cc")</f>
        <v>1sNOuaTOrp-Ppia2ZUARA48WLB5S-7ja2Q0cjsdZu1cc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IFERROR(__xludf.DUMMYFUNCTION("""COMPUTED_VALUE"""),"SetMFPreferencesDefaultRule")</f>
        <v>SetMFPreferencesDefaultRule</v>
      </c>
      <c r="C308" t="str">
        <f>IFERROR(__xludf.DUMMYFUNCTION("""COMPUTED_VALUE"""),"1SseU888nr5JryggSHE9VBdTiZug_v-cOJmjdm-vO3sQ")</f>
        <v>1SseU888nr5JryggSHE9VBdTiZug_v-cOJmjdm-vO3sQ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IFERROR(__xludf.DUMMYFUNCTION("""COMPUTED_VALUE"""),"SetMFPrefFundDefaultRule")</f>
        <v>SetMFPrefFundDefaultRule</v>
      </c>
      <c r="C309" t="str">
        <f>IFERROR(__xludf.DUMMYFUNCTION("""COMPUTED_VALUE"""),"1HfizE5szbvAqgcrnlAlRZlGwJnDpLifnRSpo_rNHclE")</f>
        <v>1HfizE5szbvAqgcrnlAlRZlGwJnDpLifnRSpo_rNHclE</v>
      </c>
    </row>
    <row r="310" ht="15.75" customHeight="1">
      <c r="A310" t="str">
        <f>IFERROR(__xludf.DUMMYFUNCTION("""COMPUTED_VALUE"""),"PTT")</f>
        <v>PTT</v>
      </c>
      <c r="B310" t="str">
        <f>IFERROR(__xludf.DUMMYFUNCTION("""COMPUTED_VALUE"""),"SetAccountFactor")</f>
        <v>SetAccountFactor</v>
      </c>
      <c r="C310" t="str">
        <f>IFERROR(__xludf.DUMMYFUNCTION("""COMPUTED_VALUE"""),"18dn1sQFfRDKOAHwu3DueV8YA7DVB7FDzA7y_am44ADk")</f>
        <v>18dn1sQFfRDKOAHwu3DueV8YA7DVB7FDzA7y_am44ADk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IFERROR(__xludf.DUMMYFUNCTION("""COMPUTED_VALUE"""),"ClearPrefetchFilters")</f>
        <v>ClearPrefetchFilters</v>
      </c>
      <c r="C311" t="str">
        <f>IFERROR(__xludf.DUMMYFUNCTION("""COMPUTED_VALUE"""),"Undefined")</f>
        <v>Undefined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IFERROR(__xludf.DUMMYFUNCTION("""COMPUTED_VALUE"""),"ExpandCollapseAllUnallocated")</f>
        <v>ExpandCollapseAllUnallocated</v>
      </c>
      <c r="C312" t="str">
        <f>IFERROR(__xludf.DUMMYFUNCTION("""COMPUTED_VALUE"""),"1ochAcIa6jxqrTKXkyAIMtaQp8GfBZfq8KAPLV0y7yvU")</f>
        <v>1ochAcIa6jxqrTKXkyAIMtaQp8GfBZfq8KAPLV0y7yvU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IFERROR(__xludf.DUMMYFUNCTION("""COMPUTED_VALUE"""),"ExpandCollapseAllAllocated")</f>
        <v>ExpandCollapseAllAllocated</v>
      </c>
      <c r="C313" t="str">
        <f>IFERROR(__xludf.DUMMYFUNCTION("""COMPUTED_VALUE"""),"1PUqbTX2rRI0cNPNL7NJ1fKh-Jy0Q9mQVBO0nXiQtUlc")</f>
        <v>1PUqbTX2rRI0cNPNL7NJ1fKh-Jy0Q9mQVBO0nXiQtUlc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IFERROR(__xludf.DUMMYFUNCTION("""COMPUTED_VALUE"""),"GenerateCashTransaction")</f>
        <v>GenerateCashTransaction</v>
      </c>
      <c r="C314" t="str">
        <f>IFERROR(__xludf.DUMMYFUNCTION("""COMPUTED_VALUE"""),"1XFWL8Sv_tc7--6q-PVtJAyjWEb-HcxsbKKtSdB3jRJY")</f>
        <v>1XFWL8Sv_tc7--6q-PVtJAyjWEb-HcxsbKKtSdB3jRJY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IFERROR(__xludf.DUMMYFUNCTION("""COMPUTED_VALUE"""),"SaveAllocation")</f>
        <v>SaveAllocation</v>
      </c>
      <c r="C315" t="str">
        <f>IFERROR(__xludf.DUMMYFUNCTION("""COMPUTED_VALUE"""),"Undefined")</f>
        <v>Undefined</v>
      </c>
    </row>
    <row r="316" ht="15.75" customHeight="1">
      <c r="A316" t="str">
        <f>IFERROR(__xludf.DUMMYFUNCTION("""COMPUTED_VALUE"""),"Allocation")</f>
        <v>Allocation</v>
      </c>
      <c r="B316" t="str">
        <f>IFERROR(__xludf.DUMMYFUNCTION("""COMPUTED_VALUE"""),"UnallocateWithOutSave")</f>
        <v>UnallocateWithOutSave</v>
      </c>
      <c r="C316" t="str">
        <f>IFERROR(__xludf.DUMMYFUNCTION("""COMPUTED_VALUE"""),"1rdEWSy_MOHkYaq5akux-7N0yuwWEIIprojEJYWvhiRo")</f>
        <v>1rdEWSy_MOHkYaq5akux-7N0yuwWEIIprojEJYWvhiRo</v>
      </c>
    </row>
    <row r="317" ht="15.75" customHeight="1">
      <c r="A317" t="str">
        <f>IFERROR(__xludf.DUMMYFUNCTION("""COMPUTED_VALUE"""),"TradeServer")</f>
        <v>TradeServer</v>
      </c>
      <c r="B317" t="str">
        <f>IFERROR(__xludf.DUMMYFUNCTION("""COMPUTED_VALUE"""),"UpdateServerConfig")</f>
        <v>UpdateServerConfig</v>
      </c>
      <c r="C317" t="str">
        <f>IFERROR(__xludf.DUMMYFUNCTION("""COMPUTED_VALUE"""),"1h5l007iy5WesxdhwZzCT3YK9aNRB6rnqf82fKK-qWhA")</f>
        <v>1h5l007iy5WesxdhwZzCT3YK9aNRB6rnqf82fKK-qWhA</v>
      </c>
    </row>
    <row r="318" ht="15.75" customHeight="1">
      <c r="A318" t="str">
        <f>IFERROR(__xludf.DUMMYFUNCTION("""COMPUTED_VALUE"""),"PricingServer")</f>
        <v>PricingServer</v>
      </c>
      <c r="B318" t="str">
        <f>IFERROR(__xludf.DUMMYFUNCTION("""COMPUTED_VALUE"""),"UpdatePricingConfig")</f>
        <v>UpdatePricingConfig</v>
      </c>
      <c r="C318" t="str">
        <f>IFERROR(__xludf.DUMMYFUNCTION("""COMPUTED_VALUE"""),"1ixTeJ65ywBUTH41BRto926xFAKoLo3WSj5TxpKyxMCI")</f>
        <v>1ixTeJ65ywBUTH41BRto926xFAKoLo3WSj5TxpKyxMCI</v>
      </c>
    </row>
    <row r="319" ht="15.75" customHeight="1">
      <c r="A319" t="str">
        <f>IFERROR(__xludf.DUMMYFUNCTION("""COMPUTED_VALUE"""),"PranaClient")</f>
        <v>PranaClient</v>
      </c>
      <c r="B319" t="str">
        <f>IFERROR(__xludf.DUMMYFUNCTION("""COMPUTED_VALUE"""),"UpdateClientConfig")</f>
        <v>UpdateClientConfig</v>
      </c>
      <c r="C319" t="str">
        <f>IFERROR(__xludf.DUMMYFUNCTION("""COMPUTED_VALUE"""),"1LE8gxOzR6SvbLuSropjBzTYDDoubnt2wbweARCuf3LU")</f>
        <v>1LE8gxOzR6SvbLuSropjBzTYDDoubnt2wbweARCuf3LU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IFERROR(__xludf.DUMMYFUNCTION("""COMPUTED_VALUE"""),"OpenClosingFromPM")</f>
        <v>OpenClosingFromPM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IFERROR(__xludf.DUMMYFUNCTION("""COMPUTED_VALUE"""),"OpenCorporateActionFromPM")</f>
        <v>OpenCorporateActionFromPM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IFERROR(__xludf.DUMMYFUNCTION("""COMPUTED_VALUE"""),"OpenDailyValuationFromPM")</f>
        <v>OpenDailyValuationFromPM</v>
      </c>
      <c r="C322" t="str">
        <f>IFERROR(__xludf.DUMMYFUNCTION("""COMPUTED_VALUE"""),"Undefined")</f>
        <v>Undefined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IFERROR(__xludf.DUMMYFUNCTION("""COMPUTED_VALUE"""),"ClosePositionFromPM")</f>
        <v>ClosePositionFromPM</v>
      </c>
      <c r="C323" t="str">
        <f>IFERROR(__xludf.DUMMYFUNCTION("""COMPUTED_VALUE"""),"121YPApuObrizJgYF5sgfQP5hMExkoSYkCPrW-Ew_ldk")</f>
        <v>121YPApuObrizJgYF5sgfQP5hMExkoSYkCPrW-Ew_ldk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IFERROR(__xludf.DUMMYFUNCTION("""COMPUTED_VALUE"""),"ShowSummaryToolFromPM")</f>
        <v>ShowSummaryToolFromPM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IFERROR(__xludf.DUMMYFUNCTION("""COMPUTED_VALUE"""),"HideSummaryToolFromPM")</f>
        <v>HideSummaryToolFromPM</v>
      </c>
      <c r="C325" t="str">
        <f>IFERROR(__xludf.DUMMYFUNCTION("""COMPUTED_VALUE"""),"Undefined")</f>
        <v>Undefined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IFERROR(__xludf.DUMMYFUNCTION("""COMPUTED_VALUE"""),"CloseAccountPositionFromPM")</f>
        <v>CloseAccountPositionFromPM</v>
      </c>
      <c r="C326" t="str">
        <f>IFERROR(__xludf.DUMMYFUNCTION("""COMPUTED_VALUE"""),"10LRFkXyhAzpYLr41wTB8e5wmi1IZIGFBMZPeDp64XK0")</f>
        <v>10LRFkXyhAzpYLr41wTB8e5wmi1IZIGFBMZPeDp64XK0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IFERROR(__xludf.DUMMYFUNCTION("""COMPUTED_VALUE"""),"CloseSelectedTaxlotsFromPM")</f>
        <v>CloseSelectedTaxlotsFromPM</v>
      </c>
      <c r="C327" t="str">
        <f>IFERROR(__xludf.DUMMYFUNCTION("""COMPUTED_VALUE"""),"1vJSNFM5zkHc9zBvl1ymJquJpvovmW3E_RSN3pozpWns")</f>
        <v>1vJSNFM5zkHc9zBvl1ymJquJpvovmW3E_RSN3pozpWns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IFERROR(__xludf.DUMMYFUNCTION("""COMPUTED_VALUE"""),"ExpandCollapsePM")</f>
        <v>ExpandCollapsePM</v>
      </c>
      <c r="C328" t="str">
        <f>IFERROR(__xludf.DUMMYFUNCTION("""COMPUTED_VALUE"""),"1kNeqOSQLa6o8vkFZaArRKZabtB_GXZBV_Al1s8DHf50")</f>
        <v>1kNeqOSQLa6o8vkFZaArRKZabtB_GXZBV_Al1s8DHf50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IFERROR(__xludf.DUMMYFUNCTION("""COMPUTED_VALUE"""),"AddCustomViewPM")</f>
        <v>AddCustomViewPM</v>
      </c>
      <c r="C329" t="str">
        <f>IFERROR(__xludf.DUMMYFUNCTION("""COMPUTED_VALUE"""),"1WARVnQ0kPZNSKX8kRaPiqFQVReKwU7ReLEjyOvwThEk")</f>
        <v>1WARVnQ0kPZNSKX8kRaPiqFQVReKwU7ReLEjyOvwThEk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IFERROR(__xludf.DUMMYFUNCTION("""COMPUTED_VALUE"""),"AddCustomViewRightClickPM")</f>
        <v>AddCustomViewRightClickPM</v>
      </c>
      <c r="C330" t="str">
        <f>IFERROR(__xludf.DUMMYFUNCTION("""COMPUTED_VALUE"""),"1221yqGeEHt8OWBppipf5Q2xZ7hMYHBO7XKQ1Hp4-_1k")</f>
        <v>1221yqGeEHt8OWBppipf5Q2xZ7hMYHBO7XKQ1Hp4-_1k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IFERROR(__xludf.DUMMYFUNCTION("""COMPUTED_VALUE"""),"RenameCustomViewPM")</f>
        <v>RenameCustomViewPM</v>
      </c>
      <c r="C331" t="str">
        <f>IFERROR(__xludf.DUMMYFUNCTION("""COMPUTED_VALUE"""),"1saPHdgxC5QXYmLAufIbglxhQ01_MTtBMgX000SwjhFY")</f>
        <v>1saPHdgxC5QXYmLAufIbglxhQ01_MTtBMgX000SwjhFY</v>
      </c>
    </row>
    <row r="332" ht="15.75" customHeight="1">
      <c r="A332" t="str">
        <f>IFERROR(__xludf.DUMMYFUNCTION("""COMPUTED_VALUE"""),"PortfolioManagement")</f>
        <v>PortfolioManagement</v>
      </c>
      <c r="B332" t="str">
        <f>IFERROR(__xludf.DUMMYFUNCTION("""COMPUTED_VALUE"""),"DeleteCustomViewPM")</f>
        <v>DeleteCustomViewPM</v>
      </c>
      <c r="C332" t="str">
        <f>IFERROR(__xludf.DUMMYFUNCTION("""COMPUTED_VALUE"""),"1_EYKIDrS0AWuMJMgbTbeqmEwSkf7_gL_EAGl7D2-Ggk")</f>
        <v>1_EYKIDrS0AWuMJMgbTbeqmEwSkf7_gL_EAGl7D2-Ggk</v>
      </c>
    </row>
    <row r="333" ht="15.75" customHeight="1">
      <c r="A333" t="str">
        <f>IFERROR(__xludf.DUMMYFUNCTION("""COMPUTED_VALUE"""),"Closing")</f>
        <v>Closing</v>
      </c>
      <c r="B333" t="str">
        <f>IFERROR(__xludf.DUMMYFUNCTION("""COMPUTED_VALUE"""),"SetClosingPreference")</f>
        <v>SetClosingPreference</v>
      </c>
      <c r="C333" t="str">
        <f>IFERROR(__xludf.DUMMYFUNCTION("""COMPUTED_VALUE"""),"1cplMQV_xOYFJ8djnU96c9xg2GdJ6on6353kFnCvM4ig")</f>
        <v>1cplMQV_xOYFJ8djnU96c9xg2GdJ6on6353kFnCvM4ig</v>
      </c>
    </row>
    <row r="334" ht="15.75" customHeight="1">
      <c r="A334" t="str">
        <f>IFERROR(__xludf.DUMMYFUNCTION("""COMPUTED_VALUE"""),"CreateTransaction")</f>
        <v>CreateTransaction</v>
      </c>
      <c r="B334" t="str">
        <f>IFERROR(__xludf.DUMMYFUNCTION("""COMPUTED_VALUE"""),"SaveTransaction")</f>
        <v>SaveTransaction</v>
      </c>
      <c r="C334" t="str">
        <f>IFERROR(__xludf.DUMMYFUNCTION("""COMPUTED_VALUE"""),"Undefined")</f>
        <v>Undefined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IFERROR(__xludf.DUMMYFUNCTION("""COMPUTED_VALUE"""),"EditUnallocatedGrid")</f>
        <v>EditUnallocatedGrid</v>
      </c>
      <c r="C335" t="str">
        <f>IFERROR(__xludf.DUMMYFUNCTION("""COMPUTED_VALUE"""),"1ZILedE8lKyjaVDMMusXelzpLvtoQCjqNJqFoXOUTp4I")</f>
        <v>1ZILedE8lKyjaVDMMusXelzpLvtoQCjqNJqFoXOUTp4I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IFERROR(__xludf.DUMMYFUNCTION("""COMPUTED_VALUE"""),"EditAllocatedGrid")</f>
        <v>EditAllocatedGrid</v>
      </c>
      <c r="C336" t="str">
        <f>IFERROR(__xludf.DUMMYFUNCTION("""COMPUTED_VALUE"""),"19QWlDxD5eijFqhVbgkdX7QOLXkQ9taESRekiHpQgMcU")</f>
        <v>19QWlDxD5eijFqhVbgkdX7QOLXkQ9taESRekiHpQgMcU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IFERROR(__xludf.DUMMYFUNCTION("""COMPUTED_VALUE"""),"SetPTTPreference")</f>
        <v>SetPTTPreference</v>
      </c>
      <c r="C337" t="str">
        <f>IFERROR(__xludf.DUMMYFUNCTION("""COMPUTED_VALUE"""),"1Baqp1iuVr1x4qDwfwIaTJvW6VzT4ZWfbjwZ_EWPzpzY")</f>
        <v>1Baqp1iuVr1x4qDwfwIaTJvW6VzT4ZWfbjwZ_EWPzpzY</v>
      </c>
    </row>
    <row r="338" ht="15.75" customHeight="1">
      <c r="A338" t="str">
        <f>IFERROR(__xludf.DUMMYFUNCTION("""COMPUTED_VALUE"""),"PTT")</f>
        <v>PTT</v>
      </c>
      <c r="B338" t="str">
        <f>IFERROR(__xludf.DUMMYFUNCTION("""COMPUTED_VALUE"""),"SetLongShortPTTPreference")</f>
        <v>SetLongShortPTTPreference</v>
      </c>
      <c r="C338" t="str">
        <f>IFERROR(__xludf.DUMMYFUNCTION("""COMPUTED_VALUE"""),"1_lCMnn8iZS0bQEHszxmzf23ats0dIWEEckwO9fjPCeE")</f>
        <v>1_lCMnn8iZS0bQEHszxmzf23ats0dIWEEckwO9fjPCeE</v>
      </c>
    </row>
    <row r="339" ht="15.75" customHeight="1">
      <c r="A339" t="str">
        <f>IFERROR(__xludf.DUMMYFUNCTION("""COMPUTED_VALUE"""),"TradingTicket")</f>
        <v>TradingTicket</v>
      </c>
      <c r="B339" t="str">
        <f>IFERROR(__xludf.DUMMYFUNCTION("""COMPUTED_VALUE"""),"VerifyTT")</f>
        <v>VerifyTT</v>
      </c>
      <c r="C339" t="str">
        <f>IFERROR(__xludf.DUMMYFUNCTION("""COMPUTED_VALUE"""),"13oTZo0AjsgJNWyNhqVmwouwYywOEGfdiPe94wMNxXqo")</f>
        <v>13oTZo0AjsgJNWyNhqVmwouwYywOEGfdiPe94wMNxXqo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IFERROR(__xludf.DUMMYFUNCTION("""COMPUTED_VALUE"""),"SaveLayoutAllocatedGrid")</f>
        <v>SaveLayoutAllocatedGrid</v>
      </c>
      <c r="C340" t="str">
        <f>IFERROR(__xludf.DUMMYFUNCTION("""COMPUTED_VALUE"""),"1rucb3CcDlDDXwMhjXDHQWofStRKKouzl7PSb2_F37FA")</f>
        <v>1rucb3CcDlDDXwMhjXDHQWofStRKKouzl7PSb2_F37FA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IFERROR(__xludf.DUMMYFUNCTION("""COMPUTED_VALUE"""),"SaveLayoutUnallocatedGrid")</f>
        <v>SaveLayoutUnallocatedGrid</v>
      </c>
      <c r="C341" t="str">
        <f>IFERROR(__xludf.DUMMYFUNCTION("""COMPUTED_VALUE"""),"1dixy47vGD4ZYjt9U_ih3BSiZbzPzvIDLtlafZIpeyC4")</f>
        <v>1dixy47vGD4ZYjt9U_ih3BSiZbzPzvIDLtlafZIpeyC4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IFERROR(__xludf.DUMMYFUNCTION("""COMPUTED_VALUE"""),"SaveLayoutAllocationUI")</f>
        <v>SaveLayoutAllocationUI</v>
      </c>
      <c r="C342" t="str">
        <f>IFERROR(__xludf.DUMMYFUNCTION("""COMPUTED_VALUE"""),"1S-6rMK11n-3mFrONpo_U4rlR4O69j6bQAGuGNcrrS6A")</f>
        <v>1S-6rMK11n-3mFrONpo_U4rlR4O69j6bQAGuGNcrrS6A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IFERROR(__xludf.DUMMYFUNCTION("""COMPUTED_VALUE"""),"ClearFiltersAllocatedGrid")</f>
        <v>ClearFiltersAllocatedGrid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IFERROR(__xludf.DUMMYFUNCTION("""COMPUTED_VALUE"""),"ClearFiltersUnallocatedGrid")</f>
        <v>ClearFiltersUnallocatedGrid</v>
      </c>
      <c r="C344" t="str">
        <f>IFERROR(__xludf.DUMMYFUNCTION("""COMPUTED_VALUE"""),"Undefined")</f>
        <v>Undefined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IFERROR(__xludf.DUMMYFUNCTION("""COMPUTED_VALUE"""),"VerifyLayoutAllocatedGrid")</f>
        <v>VerifyLayoutAllocatedGrid</v>
      </c>
      <c r="C345" t="str">
        <f>IFERROR(__xludf.DUMMYFUNCTION("""COMPUTED_VALUE"""),"11nzl66L5rtvJi9vTz487iVKURd3BfoYcknfycWFT-fU")</f>
        <v>11nzl66L5rtvJi9vTz487iVKURd3BfoYcknfycWFT-fU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IFERROR(__xludf.DUMMYFUNCTION("""COMPUTED_VALUE"""),"VerifyLayoutUnallocatedGrid")</f>
        <v>VerifyLayoutUnallocatedGrid</v>
      </c>
      <c r="C346" t="str">
        <f>IFERROR(__xludf.DUMMYFUNCTION("""COMPUTED_VALUE"""),"1dD8vrEBSx_3diJl50IJ7yG6cl8wP386vXzl21YBIEPg")</f>
        <v>1dD8vrEBSx_3diJl50IJ7yG6cl8wP386vXzl21YBIEPg</v>
      </c>
    </row>
    <row r="347" ht="15.75" customHeight="1">
      <c r="A347" t="str">
        <f>IFERROR(__xludf.DUMMYFUNCTION("""COMPUTED_VALUE"""),"DailyValuation")</f>
        <v>DailyValuation</v>
      </c>
      <c r="B347" t="str">
        <f>IFERROR(__xludf.DUMMYFUNCTION("""COMPUTED_VALUE"""),"UpdateForexConversionMonthly")</f>
        <v>UpdateForexConversionMonthly</v>
      </c>
      <c r="C347" t="str">
        <f>IFERROR(__xludf.DUMMYFUNCTION("""COMPUTED_VALUE"""),"1MCpJWwFXEogB1VlqUXy1Ww954nX83LPwb4Qy6-fZMp8")</f>
        <v>1MCpJWwFXEogB1VlqUXy1Ww954nX83LPwb4Qy6-fZMp8</v>
      </c>
    </row>
    <row r="348" ht="15.75" customHeight="1">
      <c r="A348" t="str">
        <f>IFERROR(__xludf.DUMMYFUNCTION("""COMPUTED_VALUE"""),"GeneralLedger")</f>
        <v>GeneralLedger</v>
      </c>
      <c r="B348" t="str">
        <f>IFERROR(__xludf.DUMMYFUNCTION("""COMPUTED_VALUE"""),"SaveTransaction")</f>
        <v>SaveTransaction</v>
      </c>
      <c r="C348" t="str">
        <f>IFERROR(__xludf.DUMMYFUNCTION("""COMPUTED_VALUE"""),"Undefined")</f>
        <v>Undefined</v>
      </c>
    </row>
    <row r="349" ht="15.75" customHeight="1">
      <c r="A349" t="str">
        <f>IFERROR(__xludf.DUMMYFUNCTION("""COMPUTED_VALUE"""),"DailyValuation")</f>
        <v>DailyValuation</v>
      </c>
      <c r="B349" t="str">
        <f>IFERROR(__xludf.DUMMYFUNCTION("""COMPUTED_VALUE"""),"UpdateMarkPriceMonthly")</f>
        <v>UpdateMarkPriceMonthly</v>
      </c>
      <c r="C349" t="str">
        <f>IFERROR(__xludf.DUMMYFUNCTION("""COMPUTED_VALUE"""),"1gKeBaYxaZTHXY5r3gp7mJKZhpLEFv3B0eTcgmwO2faY")</f>
        <v>1gKeBaYxaZTHXY5r3gp7mJKZhpLEFv3B0eTcgmwO2faY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IFERROR(__xludf.DUMMYFUNCTION("""COMPUTED_VALUE"""),"CleanUp")</f>
        <v>CleanUp</v>
      </c>
      <c r="C350" t="str">
        <f>IFERROR(__xludf.DUMMYFUNCTION("""COMPUTED_VALUE"""),"1gjchR0Aowyhj6YMJ5EMxZmG6NvilqGkSR93seXN-MEo")</f>
        <v>1gjchR0Aowyhj6YMJ5EMxZmG6NvilqGkSR93seXN-MEo</v>
      </c>
    </row>
    <row r="351" ht="15.75" customHeight="1">
      <c r="A351" t="str">
        <f>IFERROR(__xludf.DUMMYFUNCTION("""COMPUTED_VALUE"""),"Allocation")</f>
        <v>Allocation</v>
      </c>
      <c r="B351" t="str">
        <f>IFERROR(__xludf.DUMMYFUNCTION("""COMPUTED_VALUE"""),"CheckAllocatedTaxlots")</f>
        <v>CheckAllocatedTaxlots</v>
      </c>
      <c r="C351" t="str">
        <f>IFERROR(__xludf.DUMMYFUNCTION("""COMPUTED_VALUE"""),"1v_Yhw10id_6Cs6P4bR6iDeu8RDRjtyjgz19lxjEw6Ng")</f>
        <v>1v_Yhw10id_6Cs6P4bR6iDeu8RDRjtyjgz19lxjEw6Ng</v>
      </c>
    </row>
    <row r="352" ht="15.75" customHeight="1">
      <c r="A352" t="str">
        <f>IFERROR(__xludf.DUMMYFUNCTION("""COMPUTED_VALUE"""),"Closing")</f>
        <v>Closing</v>
      </c>
      <c r="B352" t="str">
        <f>IFERROR(__xludf.DUMMYFUNCTION("""COMPUTED_VALUE"""),"EditTradeUnexpiredUnsettled")</f>
        <v>EditTradeUnexpiredUnsettled</v>
      </c>
      <c r="C352" t="str">
        <f>IFERROR(__xludf.DUMMYFUNCTION("""COMPUTED_VALUE"""),"1Mk2JLd9CmSbDVOmTJu58VWjrwhxNKoopJHemupq4qBs")</f>
        <v>1Mk2JLd9CmSbDVOmTJu58VWjrwhxNKoopJHemupq4qBs</v>
      </c>
    </row>
    <row r="353" ht="15.75" customHeight="1">
      <c r="A353" t="str">
        <f>IFERROR(__xludf.DUMMYFUNCTION("""COMPUTED_VALUE"""),"ThirdParty")</f>
        <v>ThirdParty</v>
      </c>
      <c r="B353" t="str">
        <f>IFERROR(__xludf.DUMMYFUNCTION("""COMPUTED_VALUE"""),"VerifyThirdPartyView")</f>
        <v>VerifyThirdPartyView</v>
      </c>
      <c r="C353" t="str">
        <f>IFERROR(__xludf.DUMMYFUNCTION("""COMPUTED_VALUE"""),"118wRv0r1kNYT6nexs-UFGKd_eWq769gwdBDpcAfrJMc")</f>
        <v>118wRv0r1kNYT6nexs-UFGKd_eWq769gwdBDpcAfrJMc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IFERROR(__xludf.DUMMYFUNCTION("""COMPUTED_VALUE"""),"CheckCompliance")</f>
        <v>CheckCompliance</v>
      </c>
      <c r="C354" t="str">
        <f>IFERROR(__xludf.DUMMYFUNCTION("""COMPUTED_VALUE"""),"1SsqNYuLQYnAQojY1ScqgFlAVNPt1c0Du5CgtRfS4XTs")</f>
        <v>1SsqNYuLQYnAQojY1ScqgFlAVNPt1c0Du5CgtRfS4XTs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IFERROR(__xludf.DUMMYFUNCTION("""COMPUTED_VALUE"""),"VerifyAccountDivisorWindow")</f>
        <v>VerifyAccountDivisorWindow</v>
      </c>
      <c r="C355" t="str">
        <f>IFERROR(__xludf.DUMMYFUNCTION("""COMPUTED_VALUE"""),"1nWJ7MmdctU6UHdtDMBx4cO0Za1AVHgWqATvU2HaIrN0")</f>
        <v>1nWJ7MmdctU6UHdtDMBx4cO0Za1AVHgWqATvU2HaIrN0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IFERROR(__xludf.DUMMYFUNCTION("""COMPUTED_VALUE"""),"VerifyAccountSymbolDivisorWindow")</f>
        <v>VerifyAccountSymbolDivisorWindow</v>
      </c>
      <c r="C356" t="str">
        <f>IFERROR(__xludf.DUMMYFUNCTION("""COMPUTED_VALUE"""),"1XEkR9NvAEC2bh6wfHaqLzZiNwp5p6N_DuThzwLCpi_k")</f>
        <v>1XEkR9NvAEC2bh6wfHaqLzZiNwp5p6N_DuThzwLCpi_k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IFERROR(__xludf.DUMMYFUNCTION("""COMPUTED_VALUE"""),"VerifyAggregationAccountSymbolWithNav")</f>
        <v>VerifyAggregationAccountSymbolWithNav</v>
      </c>
      <c r="C357" t="str">
        <f>IFERROR(__xludf.DUMMYFUNCTION("""COMPUTED_VALUE"""),"1wa6cXAbpdMTz-hsF4yUayu1Tnpnl9Kbq__2Vi33WjNM")</f>
        <v>1wa6cXAbpdMTz-hsF4yUayu1Tnpnl9Kbq__2Vi33WjNM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IFERROR(__xludf.DUMMYFUNCTION("""COMPUTED_VALUE"""),"VerifyAggregationAccountWithNav")</f>
        <v>VerifyAggregationAccountWithNav</v>
      </c>
      <c r="C358" t="str">
        <f>IFERROR(__xludf.DUMMYFUNCTION("""COMPUTED_VALUE"""),"1_rVRnADrf7Ggj_HNj9UdEOl7VoPKVA5LDHVnB3Llwac")</f>
        <v>1_rVRnADrf7Ggj_HNj9UdEOl7VoPKVA5LDHVnB3Llwac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IFERROR(__xludf.DUMMYFUNCTION("""COMPUTED_VALUE"""),"VerifyAggregationMasterFundSymbolWithNav")</f>
        <v>VerifyAggregationMasterFundSymbolWithNav</v>
      </c>
      <c r="C359" t="str">
        <f>IFERROR(__xludf.DUMMYFUNCTION("""COMPUTED_VALUE"""),"1v9DEhh9RUUR50m2cY_9XHSOZSpjev0D_FC7YxL6Dx-M")</f>
        <v>1v9DEhh9RUUR50m2cY_9XHSOZSpjev0D_FC7YxL6Dx-M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IFERROR(__xludf.DUMMYFUNCTION("""COMPUTED_VALUE"""),"VerifyAggregationMasterFundUnderlyingSymbolWithNav")</f>
        <v>VerifyAggregationMasterFundUnderlyingSymbolWithNav</v>
      </c>
      <c r="C360" t="str">
        <f>IFERROR(__xludf.DUMMYFUNCTION("""COMPUTED_VALUE"""),"1_l1dXRaSvBu8xSpL_0LuTGDpZT2uwv7HrTTqPpX1zh0")</f>
        <v>1_l1dXRaSvBu8xSpL_0LuTGDpZT2uwv7HrTTqPpX1zh0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IFERROR(__xludf.DUMMYFUNCTION("""COMPUTED_VALUE"""),"VerifyAggregationMasterFundWithNav")</f>
        <v>VerifyAggregationMasterFundWithNav</v>
      </c>
      <c r="C361" t="str">
        <f>IFERROR(__xludf.DUMMYFUNCTION("""COMPUTED_VALUE"""),"1bukvmw7uDn5EWU749u99t380wnpilFiwB3NEfjqNUko")</f>
        <v>1bukvmw7uDn5EWU749u99t380wnpilFiwB3NEfjqNUko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IFERROR(__xludf.DUMMYFUNCTION("""COMPUTED_VALUE"""),"VerifyAggregationSectorWithNav")</f>
        <v>VerifyAggregationSectorWithNav</v>
      </c>
      <c r="C362" t="str">
        <f>IFERROR(__xludf.DUMMYFUNCTION("""COMPUTED_VALUE"""),"1Fv-QPc8yv7ZaNdT1FlDCX7eIaQQMAYX7KS5-P986RCQ")</f>
        <v>1Fv-QPc8yv7ZaNdT1FlDCX7eIaQQMAYX7KS5-P986RCQ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IFERROR(__xludf.DUMMYFUNCTION("""COMPUTED_VALUE"""),"VerifyAggregationUnderlyingSymbolWithNav")</f>
        <v>VerifyAggregationUnderlyingSymbolWithNav</v>
      </c>
      <c r="C363" t="str">
        <f>IFERROR(__xludf.DUMMYFUNCTION("""COMPUTED_VALUE"""),"1lb3zBRstb1VKpx0rM4A2DDz_IQHBTzL0OUyXXa4H2AU")</f>
        <v>1lb3zBRstb1VKpx0rM4A2DDz_IQHBTzL0OUyXXa4H2AU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IFERROR(__xludf.DUMMYFUNCTION("""COMPUTED_VALUE"""),"VerifyAuecWindow")</f>
        <v>VerifyAuecWindow</v>
      </c>
      <c r="C364" t="str">
        <f>IFERROR(__xludf.DUMMYFUNCTION("""COMPUTED_VALUE"""),"1EhWPzRJ5WEwpWzc-SX3LVcLgYlPDIKzkNS-LD2bNahk")</f>
        <v>1EhWPzRJ5WEwpWzc-SX3LVcLgYlPDIKzkNS-LD2bNahk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IFERROR(__xludf.DUMMYFUNCTION("""COMPUTED_VALUE"""),"VerifyBetaWindow")</f>
        <v>VerifyBetaWindow</v>
      </c>
      <c r="C365" t="str">
        <f>IFERROR(__xludf.DUMMYFUNCTION("""COMPUTED_VALUE"""),"1vnD8kKYEQArpqSXLRpqKdW0bWfXfMAye26LmcRtOGI4")</f>
        <v>1vnD8kKYEQArpqSXLRpqKdW0bWfXfMAye26LmcRtOGI4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IFERROR(__xludf.DUMMYFUNCTION("""COMPUTED_VALUE"""),"VerifyCustomSymbolDataWindow")</f>
        <v>VerifyCustomSymbolDataWindow</v>
      </c>
      <c r="C366" t="str">
        <f>IFERROR(__xludf.DUMMYFUNCTION("""COMPUTED_VALUE"""),"1xency978Yhb2ZeNxG-Gp8xcJ8QjKX9kP348vEmQ2gwA")</f>
        <v>1xency978Yhb2ZeNxG-Gp8xcJ8QjKX9kP348vEmQ2gwA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IFERROR(__xludf.DUMMYFUNCTION("""COMPUTED_VALUE"""),"VerifyDayEndCashAccountWindow")</f>
        <v>VerifyDayEndCashAccountWindow</v>
      </c>
      <c r="C367" t="str">
        <f>IFERROR(__xludf.DUMMYFUNCTION("""COMPUTED_VALUE"""),"1qPMFAgMRzEYcCWAk5IayLOH_U1htslpfkeJMVPWbpLQ")</f>
        <v>1qPMFAgMRzEYcCWAk5IayLOH_U1htslpfkeJMVPWbpLQ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IFERROR(__xludf.DUMMYFUNCTION("""COMPUTED_VALUE"""),"VerifyDbNavWindow")</f>
        <v>VerifyDbNavWindow</v>
      </c>
      <c r="C368" t="str">
        <f>IFERROR(__xludf.DUMMYFUNCTION("""COMPUTED_VALUE"""),"1KIH7eWcCPPCZqRVbqOvdvQQatjP_INfvJUbzjGTz7fE")</f>
        <v>1KIH7eWcCPPCZqRVbqOvdvQQatjP_INfvJUbzjGTz7fE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IFERROR(__xludf.DUMMYFUNCTION("""COMPUTED_VALUE"""),"VerifyGlobalDivisorWindow")</f>
        <v>VerifyGlobalDivisorWindow</v>
      </c>
      <c r="C369" t="str">
        <f>IFERROR(__xludf.DUMMYFUNCTION("""COMPUTED_VALUE"""),"11KuCDI7q37RrZjNhVRB_sRU4JrklHajDN-nvioCXIow")</f>
        <v>11KuCDI7q37RrZjNhVRB_sRU4JrklHajDN-nvioCXIow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IFERROR(__xludf.DUMMYFUNCTION("""COMPUTED_VALUE"""),"VerifyPmCalculationPreferenceWindow")</f>
        <v>VerifyPmCalculationPreferenceWindow</v>
      </c>
      <c r="C370" t="str">
        <f>IFERROR(__xludf.DUMMYFUNCTION("""COMPUTED_VALUE"""),"1tHuAZIaBkKFsAt4wQU_f2q5uJEGZ6DbWQnO08Rx4g5Y")</f>
        <v>1tHuAZIaBkKFsAt4wQU_f2q5uJEGZ6DbWQnO08Rx4g5Y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IFERROR(__xludf.DUMMYFUNCTION("""COMPUTED_VALUE"""),"VerifyRowCalculationBaseWindow")</f>
        <v>VerifyRowCalculationBaseWindow</v>
      </c>
      <c r="C371" t="str">
        <f>IFERROR(__xludf.DUMMYFUNCTION("""COMPUTED_VALUE"""),"1LloNg0BgixU9tpWx4HUT43bl1SpVE4381HnFlsajvaQ")</f>
        <v>1LloNg0BgixU9tpWx4HUT43bl1SpVE4381HnFlsajvaQ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IFERROR(__xludf.DUMMYFUNCTION("""COMPUTED_VALUE"""),"VerifySecurityWindow")</f>
        <v>VerifySecurityWindow</v>
      </c>
      <c r="C372" t="str">
        <f>IFERROR(__xludf.DUMMYFUNCTION("""COMPUTED_VALUE"""),"1C0AkzcituMMrkQqJg0M_n6cswWPjROFn0jqkTPCHfis")</f>
        <v>1C0AkzcituMMrkQqJg0M_n6cswWPjROFn0jqkTPCHfis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IFERROR(__xludf.DUMMYFUNCTION("""COMPUTED_VALUE"""),"VerifySymbolDataWindow")</f>
        <v>VerifySymbolDataWindow</v>
      </c>
      <c r="C373" t="str">
        <f>IFERROR(__xludf.DUMMYFUNCTION("""COMPUTED_VALUE"""),"1WOYWuhLyuq1ul6GF5dWAdvSkpKBaWmcsEY0pPRgeOWM")</f>
        <v>1WOYWuhLyuq1ul6GF5dWAdvSkpKBaWmcsEY0pPRgeOWM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IFERROR(__xludf.DUMMYFUNCTION("""COMPUTED_VALUE"""),"VerifySymbolDivisorWindow")</f>
        <v>VerifySymbolDivisorWindow</v>
      </c>
      <c r="C374" t="str">
        <f>IFERROR(__xludf.DUMMYFUNCTION("""COMPUTED_VALUE"""),"1e9Xd2rI7lHFWIFLmRoe5LtT9y4BSPW6sfCjWP0lcVso")</f>
        <v>1e9Xd2rI7lHFWIFLmRoe5LtT9y4BSPW6sfCjWP0lcVso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IFERROR(__xludf.DUMMYFUNCTION("""COMPUTED_VALUE"""),"VerifyTaxlotWindow")</f>
        <v>VerifyTaxlotWindow</v>
      </c>
      <c r="C375" t="str">
        <f>IFERROR(__xludf.DUMMYFUNCTION("""COMPUTED_VALUE"""),"1X0RghwSavvuWnxK9psKDA7-qI86K-IaBKRJ1fVYnJbY")</f>
        <v>1X0RghwSavvuWnxK9psKDA7-qI86K-IaBKRJ1fVYnJbY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IFERROR(__xludf.DUMMYFUNCTION("""COMPUTED_VALUE"""),"RestartEsper")</f>
        <v>RestartEsper</v>
      </c>
      <c r="C376" t="str">
        <f>IFERROR(__xludf.DUMMYFUNCTION("""COMPUTED_VALUE"""),"Undefined")</f>
        <v>Undefined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IFERROR(__xludf.DUMMYFUNCTION("""COMPUTED_VALUE"""),"VerifyAccountNavPreferenceWindow")</f>
        <v>VerifyAccountNavPreferenceWindow</v>
      </c>
      <c r="C377" t="str">
        <f>IFERROR(__xludf.DUMMYFUNCTION("""COMPUTED_VALUE"""),"1nlqDVTvG9tGHVZU_R5Kpe2ScGFiP2pODIjUgp62eOcg")</f>
        <v>1nlqDVTvG9tGHVZU_R5Kpe2ScGFiP2pODIjUgp62eOcg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 VerifyAggregationAccountUnderlyingSymbolWithNav")</f>
        <v> VerifyAggregationAccountUnderlyingSymbolWithNav</v>
      </c>
      <c r="C378" t="str">
        <f>IFERROR(__xludf.DUMMYFUNCTION("""COMPUTED_VALUE"""),"1td6xh2jOVJ_tOP88gOQ7VzA7zC3W0ZUyud3q5jhH1eM")</f>
        <v>1td6xh2jOVJ_tOP88gOQ7VzA7zC3W0ZUyud3q5jhH1eM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IFERROR(__xludf.DUMMYFUNCTION("""COMPUTED_VALUE"""),"VerifyAggregationAssetWithNav")</f>
        <v>VerifyAggregationAssetWithNav</v>
      </c>
      <c r="C379" t="str">
        <f>IFERROR(__xludf.DUMMYFUNCTION("""COMPUTED_VALUE"""),"11IOPX3JerrbITJGj2KKdtGuSCn7wqoda4D14yJors8g")</f>
        <v>11IOPX3JerrbITJGj2KKdtGuSCn7wqoda4D14yJors8g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IFERROR(__xludf.DUMMYFUNCTION("""COMPUTED_VALUE"""),"VerifyAggregationSymbolWithNav")</f>
        <v>VerifyAggregationSymbolWithNav</v>
      </c>
      <c r="C380" t="str">
        <f>IFERROR(__xludf.DUMMYFUNCTION("""COMPUTED_VALUE"""),"10pZ09xnUx2pqa5QZzEljxvSOWUoO4MpFFlj3IgHixAY")</f>
        <v>10pZ09xnUx2pqa5QZzEljxvSOWUoO4MpFFlj3IgHixAY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IFERROR(__xludf.DUMMYFUNCTION("""COMPUTED_VALUE"""),"VerifyAggregationSubSectorWithNav")</f>
        <v>VerifyAggregationSubSectorWithNav</v>
      </c>
      <c r="C381" t="str">
        <f>IFERROR(__xludf.DUMMYFUNCTION("""COMPUTED_VALUE"""),"1lLMwkGATnotz4Fwa-o2i_-buFLFRD1fPDjBRCRge2g8")</f>
        <v>1lLMwkGATnotz4Fwa-o2i_-buFLFRD1fPDjBRCRge2g8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IFERROR(__xludf.DUMMYFUNCTION("""COMPUTED_VALUE"""),"VerifyAggregationGlobalWithNav")</f>
        <v>VerifyAggregationGlobalWithNav</v>
      </c>
      <c r="C382" t="str">
        <f>IFERROR(__xludf.DUMMYFUNCTION("""COMPUTED_VALUE"""),"1AvL03tSx1mQR9FO4i7ta-0KC1RPfLKkELFYsFU7pHz0")</f>
        <v>1AvL03tSx1mQR9FO4i7ta-0KC1RPfLKkELFYsFU7pHz0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 VerifyAggregationGlobalWithNav")</f>
        <v> VerifyAggregationGlobalWithNav</v>
      </c>
      <c r="C383" t="str">
        <f>IFERROR(__xludf.DUMMYFUNCTION("""COMPUTED_VALUE"""),"1AvL03tSx1mQR9FO4i7ta-0KC1RPfLKkELFYsFU7pHz0")</f>
        <v>1AvL03tSx1mQR9FO4i7ta-0KC1RPfLKkELFYsFU7pHz0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IFERROR(__xludf.DUMMYFUNCTION("""COMPUTED_VALUE"""),"VerifyGlobalDivisorWindow")</f>
        <v>VerifyGlobalDivisorWindow</v>
      </c>
      <c r="C384" t="str">
        <f>IFERROR(__xludf.DUMMYFUNCTION("""COMPUTED_VALUE"""),"11KuCDI7q37RrZjNhVRB_sRU4JrklHajDN-nvioCXIow")</f>
        <v>11KuCDI7q37RrZjNhVRB_sRU4JrklHajDN-nvioCXIow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 VerifyAccrualForAccountWindow")</f>
        <v> VerifyAccrualForAccountWindow</v>
      </c>
      <c r="C385" t="str">
        <f>IFERROR(__xludf.DUMMYFUNCTION("""COMPUTED_VALUE"""),"1UibESJzXseK9_-c9HjMbuHTeklThYekhSZ72rmoM1T8")</f>
        <v>1UibESJzXseK9_-c9HjMbuHTeklThYekhSZ72rmoM1T8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IFERROR(__xludf.DUMMYFUNCTION("""COMPUTED_VALUE"""),"VerifyGlobalDivisorWindow")</f>
        <v>VerifyGlobalDivisorWindow</v>
      </c>
      <c r="C386" t="str">
        <f>IFERROR(__xludf.DUMMYFUNCTION("""COMPUTED_VALUE"""),"11KuCDI7q37RrZjNhVRB_sRU4JrklHajDN-nvioCXIow")</f>
        <v>11KuCDI7q37RrZjNhVRB_sRU4JrklHajDN-nvioCXIow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IFERROR(__xludf.DUMMYFUNCTION("""COMPUTED_VALUE"""),"VerifyMasterFundDivisorWindow")</f>
        <v>VerifyMasterFundDivisorWindow</v>
      </c>
      <c r="C387" t="str">
        <f>IFERROR(__xludf.DUMMYFUNCTION("""COMPUTED_VALUE"""),"1MjAfg4F6NQuUAQUFW37k3htPnyMxWHWagiOU-lnvmGI")</f>
        <v>1MjAfg4F6NQuUAQUFW37k3htPnyMxWHWagiOU-lnvmGI</v>
      </c>
    </row>
    <row r="388" ht="15.75" customHeight="1">
      <c r="A388" t="str">
        <f>IFERROR(__xludf.DUMMYFUNCTION("""COMPUTED_VALUE"""),"Compliance")</f>
        <v>Compliance</v>
      </c>
      <c r="B388" t="str">
        <f>IFERROR(__xludf.DUMMYFUNCTION("""COMPUTED_VALUE"""),"VerifyMasterFundSymbolDivisorWindow")</f>
        <v>VerifyMasterFundSymbolDivisorWindow</v>
      </c>
      <c r="C388" t="str">
        <f>IFERROR(__xludf.DUMMYFUNCTION("""COMPUTED_VALUE"""),"12jSVbeEJpxmA75PPUiLNi7NaIc00WbgI34Q6rhSS0Ds")</f>
        <v>12jSVbeEJpxmA75PPUiLNi7NaIc00WbgI34Q6rhSS0Ds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IFERROR(__xludf.DUMMYFUNCTION("""COMPUTED_VALUE"""),"FetchAccountPositions")</f>
        <v>FetchAccountPositions</v>
      </c>
      <c r="C389" t="str">
        <f>IFERROR(__xludf.DUMMYFUNCTION("""COMPUTED_VALUE"""),"16zBwty-rTFSFJMyCqyxtBb2FiCbKptl_JuviIETsEjc")</f>
        <v>16zBwty-rTFSFJMyCqyxtBb2FiCbKptl_JuviIETsEjc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IFERROR(__xludf.DUMMYFUNCTION("""COMPUTED_VALUE"""),"AddCash")</f>
        <v>AddCash</v>
      </c>
      <c r="C390" t="str">
        <f>IFERROR(__xludf.DUMMYFUNCTION("""COMPUTED_VALUE"""),"1uD1wJYx80LMyhlbMy1CctqDOk9brp6uU03OlbnDuAe4")</f>
        <v>1uD1wJYx80LMyhlbMy1CctqDOk9brp6uU03OlbnDuAe4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IFERROR(__xludf.DUMMYFUNCTION("""COMPUTED_VALUE"""),"VerifyGridData")</f>
        <v>VerifyGridData</v>
      </c>
      <c r="C391" t="str">
        <f>IFERROR(__xludf.DUMMYFUNCTION("""COMPUTED_VALUE"""),"1m6MOQNhKkVt1jpFum_tComrSd-dEbwpLJ09ma9hwHJ0")</f>
        <v>1m6MOQNhKkVt1jpFum_tComrSd-dEbwpLJ09ma9hwHJ0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IFERROR(__xludf.DUMMYFUNCTION("""COMPUTED_VALUE"""),"RunRebalance")</f>
        <v>RunRebalance</v>
      </c>
      <c r="C392" t="str">
        <f>IFERROR(__xludf.DUMMYFUNCTION("""COMPUTED_VALUE"""),"1z6sLqoF1dgSy-5wTE_wKZTVXhp9JEOqwje341a02WpA")</f>
        <v>1z6sLqoF1dgSy-5wTE_wKZTVXhp9JEOqwje341a02WpA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IFERROR(__xludf.DUMMYFUNCTION("""COMPUTED_VALUE"""),"EnableComplianceTab")</f>
        <v>EnableComplianceTab</v>
      </c>
      <c r="C393" t="str">
        <f>IFERROR(__xludf.DUMMYFUNCTION("""COMPUTED_VALUE"""),"Undefined")</f>
        <v>Undefined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IFERROR(__xludf.DUMMYFUNCTION("""COMPUTED_VALUE"""),"RebalancePreference")</f>
        <v>RebalancePreference</v>
      </c>
      <c r="C394" t="str">
        <f>IFERROR(__xludf.DUMMYFUNCTION("""COMPUTED_VALUE"""),"1OuZKBdhFXWj4geXHEAw683kkB5iaP1xy85nS7Y_bfc8")</f>
        <v>1OuZKBdhFXWj4geXHEAw683kkB5iaP1xy85nS7Y_bfc8</v>
      </c>
    </row>
    <row r="395" ht="15.75" customHeight="1">
      <c r="A395" t="str">
        <f>IFERROR(__xludf.DUMMYFUNCTION("""COMPUTED_VALUE"""),"Rebalancer")</f>
        <v>Rebalancer</v>
      </c>
      <c r="B395" t="str">
        <f>IFERROR(__xludf.DUMMYFUNCTION("""COMPUTED_VALUE"""),"ImportModelPortfolio")</f>
        <v>ImportModelPortfolio</v>
      </c>
      <c r="C395" t="str">
        <f>IFERROR(__xludf.DUMMYFUNCTION("""COMPUTED_VALUE"""),"1acRsUVfXLMARgfUMygVmnq-Xn9oHJ7aBMct5mdqEBsA")</f>
        <v>1acRsUVfXLMARgfUMygVmnq-Xn9oHJ7aBMct5mdqEBsA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IFERROR(__xludf.DUMMYFUNCTION("""COMPUTED_VALUE"""),"SelectTrade")</f>
        <v>SelectTrade</v>
      </c>
      <c r="C396" t="str">
        <f>IFERROR(__xludf.DUMMYFUNCTION("""COMPUTED_VALUE"""),"1lkSiBclw-Nrw61K0j2t1vOsiLqNO8ejgCPuA23bupec")</f>
        <v>1lkSiBclw-Nrw61K0j2t1vOsiLqNO8ejgCPuA23bupec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IFERROR(__xludf.DUMMYFUNCTION("""COMPUTED_VALUE"""),"AcknowledgeTrade")</f>
        <v>AcknowledgeTrade</v>
      </c>
      <c r="C397" t="str">
        <f>IFERROR(__xludf.DUMMYFUNCTION("""COMPUTED_VALUE"""),"1KZmCs4XZYKInO0g2s3RZpteE670ImER8luciQluLB8Q")</f>
        <v>1KZmCs4XZYKInO0g2s3RZpteE670ImER8luciQluLB8Q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IFERROR(__xludf.DUMMYFUNCTION("""COMPUTED_VALUE"""),"RejectTrade")</f>
        <v>RejectTrade</v>
      </c>
      <c r="C398" t="str">
        <f>IFERROR(__xludf.DUMMYFUNCTION("""COMPUTED_VALUE"""),"1Kga6eZygJKjrpwyXiE7s-uRu_0SsnmwvP5tlfNUz67E")</f>
        <v>1Kga6eZygJKjrpwyXiE7s-uRu_0SsnmwvP5tlfNUz67E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IFERROR(__xludf.DUMMYFUNCTION("""COMPUTED_VALUE"""),"ExecuteTrade")</f>
        <v>ExecuteTrade</v>
      </c>
      <c r="C399" t="str">
        <f>IFERROR(__xludf.DUMMYFUNCTION("""COMPUTED_VALUE"""),"1wokLkQCDTR1Moa2-CJdvv9EBpX8uIBke1ynZq7Am8Qo")</f>
        <v>1wokLkQCDTR1Moa2-CJdvv9EBpX8uIBke1ynZq7Am8Qo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IFERROR(__xludf.DUMMYFUNCTION("""COMPUTED_VALUE"""),"CancelTrade")</f>
        <v>CancelTrade</v>
      </c>
      <c r="C400" t="str">
        <f>IFERROR(__xludf.DUMMYFUNCTION("""COMPUTED_VALUE"""),"1GDmvU5vTnCfl5qfCk6XuxvygpiC0858nHCMz3cF2Th8")</f>
        <v>1GDmvU5vTnCfl5qfCk6XuxvygpiC0858nHCMz3cF2Th8</v>
      </c>
    </row>
    <row r="401" ht="15.75" customHeight="1">
      <c r="A401" t="str">
        <f>IFERROR(__xludf.DUMMYFUNCTION("""COMPUTED_VALUE"""),"Simulator")</f>
        <v>Simulator</v>
      </c>
      <c r="B401" t="str">
        <f>IFERROR(__xludf.DUMMYFUNCTION("""COMPUTED_VALUE"""),"OpenLiveTT")</f>
        <v>OpenLiveTT</v>
      </c>
      <c r="C401" t="str">
        <f>IFERROR(__xludf.DUMMYFUNCTION("""COMPUTED_VALUE"""),"1LsvDJHpVcibXPqLhnrrvp6d6K4W1s7PURcprihlc9WE")</f>
        <v>1LsvDJHpVcibXPqLhnrrvp6d6K4W1s7PURcprihlc9WE</v>
      </c>
    </row>
    <row r="402" ht="15.75" customHeight="1">
      <c r="A402" t="str">
        <f>IFERROR(__xludf.DUMMYFUNCTION("""COMPUTED_VALUE"""),"TradingTicket")</f>
        <v>TradingTicket</v>
      </c>
      <c r="B402" t="str">
        <f>IFERROR(__xludf.DUMMYFUNCTION("""COMPUTED_VALUE"""),"CreateLiveOrder")</f>
        <v>CreateLiveOrder</v>
      </c>
      <c r="C402" t="str">
        <f>IFERROR(__xludf.DUMMYFUNCTION("""COMPUTED_VALUE"""),"15NzWGpqvL8MMBvyvBoyZPbRw6m8dVQhvejNQYv6xMAo")</f>
        <v>15NzWGpqvL8MMBvyvBoyZPbRw6m8dVQhvejNQYv6xMAo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IFERROR(__xludf.DUMMYFUNCTION("""COMPUTED_VALUE"""),"SetManualResponse ")</f>
        <v>SetManualResponse 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IFERROR(__xludf.DUMMYFUNCTION("""COMPUTED_VALUE"""),"Simulator")</f>
        <v>Simulator</v>
      </c>
      <c r="B404" t="str">
        <f>IFERROR(__xludf.DUMMYFUNCTION("""COMPUTED_VALUE"""),"ClearUI")</f>
        <v>ClearUI</v>
      </c>
      <c r="C404" t="str">
        <f>IFERROR(__xludf.DUMMYFUNCTION("""COMPUTED_VALUE"""),"1pm8fmqh314rXSGDiLAdwO0bk-M2SwTJobffwoZFZfZw")</f>
        <v>1pm8fmqh314rXSGDiLAdwO0bk-M2SwTJobffwoZFZfZw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IFERROR(__xludf.DUMMYFUNCTION("""COMPUTED_VALUE"""),"RebalanceAcrossSecurities")</f>
        <v>RebalanceAcrossSecurities</v>
      </c>
      <c r="C405" t="str">
        <f>IFERROR(__xludf.DUMMYFUNCTION("""COMPUTED_VALUE"""),"1hj7paFEdaJfp8zCVq4BI5XPlCE2BysKhNQY5CdXDN44")</f>
        <v>1hj7paFEdaJfp8zCVq4BI5XPlCE2BysKhNQY5CdXDN44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IFERROR(__xludf.DUMMYFUNCTION("""COMPUTED_VALUE"""),"CheckBasketCompliance")</f>
        <v>CheckBasketCompliance</v>
      </c>
      <c r="C406" t="str">
        <f>IFERROR(__xludf.DUMMYFUNCTION("""COMPUTED_VALUE"""),"1TJXKyPI71JpDJp6PJy2JOx4mnjeYvDigctM4hrexDvM")</f>
        <v>1TJXKyPI71JpDJp6PJy2JOx4mnjeYvDigctM4hrexDvM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IFERROR(__xludf.DUMMYFUNCTION("""COMPUTED_VALUE"""),"ClearCalculations")</f>
        <v>ClearCalculations</v>
      </c>
      <c r="C407" t="str">
        <f>IFERROR(__xludf.DUMMYFUNCTION("""COMPUTED_VALUE"""),"1ctMlkyXd7Fyoxty8UQ8vXNA2lmrIfMbc3leGsnW7ne0")</f>
        <v>1ctMlkyXd7Fyoxty8UQ8vXNA2lmrIfMbc3leGsnW7ne0</v>
      </c>
    </row>
    <row r="408" ht="15.75" customHeight="1">
      <c r="A408" t="str">
        <f>IFERROR(__xludf.DUMMYFUNCTION("""COMPUTED_VALUE"""),"Rebalancer")</f>
        <v>Rebalancer</v>
      </c>
      <c r="B408" t="str">
        <f>IFERROR(__xludf.DUMMYFUNCTION("""COMPUTED_VALUE"""),"ModifyRebalance")</f>
        <v>ModifyRebalance</v>
      </c>
      <c r="C408" t="str">
        <f>IFERROR(__xludf.DUMMYFUNCTION("""COMPUTED_VALUE"""),"14V-PVFSEtii0bJelGOw8nDeNWqcO5GO2gi1hoqmJbFU")</f>
        <v>14V-PVFSEtii0bJelGOw8nDeNWqcO5GO2gi1hoqmJbFU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IFERROR(__xludf.DUMMYFUNCTION("""COMPUTED_VALUE"""),"SelectThirdParty")</f>
        <v>SelectThirdParty</v>
      </c>
      <c r="C409" t="str">
        <f>IFERROR(__xludf.DUMMYFUNCTION("""COMPUTED_VALUE"""),"1wKEUsTX7MrGti2S1TEzF0iJk4vRZB1LxyQL9WgMGYrY")</f>
        <v>1wKEUsTX7MrGti2S1TEzF0iJk4vRZB1LxyQL9WgMGYrY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IFERROR(__xludf.DUMMYFUNCTION("""COMPUTED_VALUE"""),"ViewThirdParty")</f>
        <v>ViewThirdParty</v>
      </c>
      <c r="C410" t="str">
        <f>IFERROR(__xludf.DUMMYFUNCTION("""COMPUTED_VALUE"""),"1UalkAEsbJcZQAzEnT3T29et4u4PKQ3n66SBTt1HPqVc")</f>
        <v>1UalkAEsbJcZQAzEnT3T29et4u4PKQ3n66SBTt1HPqVc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IFERROR(__xludf.DUMMYFUNCTION("""COMPUTED_VALUE"""),"ThirdPartyGenerate")</f>
        <v>ThirdPartyGenerate</v>
      </c>
      <c r="C411" t="str">
        <f>IFERROR(__xludf.DUMMYFUNCTION("""COMPUTED_VALUE"""),"1DvEoe2QroRweeE3U1wG41DK1tPqNY7Qfs3ZfLQeMbgA")</f>
        <v>1DvEoe2QroRweeE3U1wG41DK1tPqNY7Qfs3ZfLQeMbgA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IFERROR(__xludf.DUMMYFUNCTION("""COMPUTED_VALUE"""),"VerifyThirdPartyView")</f>
        <v>VerifyThirdPartyView</v>
      </c>
      <c r="C412" t="str">
        <f>IFERROR(__xludf.DUMMYFUNCTION("""COMPUTED_VALUE"""),"118wRv0r1kNYT6nexs-UFGKd_eWq769gwdBDpcAfrJMc")</f>
        <v>118wRv0r1kNYT6nexs-UFGKd_eWq769gwdBDpcAfrJMc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IFERROR(__xludf.DUMMYFUNCTION("""COMPUTED_VALUE"""),"VerifyThirdPartyGenerate")</f>
        <v>VerifyThirdPartyGenerate</v>
      </c>
      <c r="C413" t="str">
        <f>IFERROR(__xludf.DUMMYFUNCTION("""COMPUTED_VALUE"""),"1bvzvGTpSSz8jFgbBJV7s2zMg9ku9TwcOoI2gD8mXZeI")</f>
        <v>1bvzvGTpSSz8jFgbBJV7s2zMg9ku9TwcOoI2gD8mXZeI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IFERROR(__xludf.DUMMYFUNCTION("""COMPUTED_VALUE"""),"VerifyThirdPartySend")</f>
        <v>VerifyThirdPartySend</v>
      </c>
      <c r="C414" t="str">
        <f>IFERROR(__xludf.DUMMYFUNCTION("""COMPUTED_VALUE"""),"1Uss7PL0z4ynwsEaU-5ZugX8DJ-4eQWi9JELroKHVjks")</f>
        <v>1Uss7PL0z4ynwsEaU-5ZugX8DJ-4eQWi9JELroKHVjks</v>
      </c>
    </row>
    <row r="415" ht="15.75" customHeight="1">
      <c r="A415" t="str">
        <f>IFERROR(__xludf.DUMMYFUNCTION("""COMPUTED_VALUE"""),"ThirdParty")</f>
        <v>ThirdParty</v>
      </c>
      <c r="B415" t="str">
        <f>IFERROR(__xludf.DUMMYFUNCTION("""COMPUTED_VALUE"""),"ThirdPartySend")</f>
        <v>ThirdPartySend</v>
      </c>
      <c r="C415" t="str">
        <f>IFERROR(__xludf.DUMMYFUNCTION("""COMPUTED_VALUE"""),"10lROCv8vZU4pHDAKFRaGDjYVmJmDXRVY6aLP5O0hPiU")</f>
        <v>10lROCv8vZU4pHDAKFRaGDjYVmJmDXRVY6aLP5O0hPiU</v>
      </c>
    </row>
    <row r="416" ht="15.75" customHeight="1">
      <c r="A416" t="str">
        <f>IFERROR(__xludf.DUMMYFUNCTION("""COMPUTED_VALUE"""),"Blotter")</f>
        <v>Blotter</v>
      </c>
      <c r="B416" t="str">
        <f>IFERROR(__xludf.DUMMYFUNCTION("""COMPUTED_VALUE"""),"VerifyViewAllocationDetails")</f>
        <v>VerifyViewAllocationDetails</v>
      </c>
      <c r="C416" t="str">
        <f>IFERROR(__xludf.DUMMYFUNCTION("""COMPUTED_VALUE"""),"1N0pdLUTdwOkDe6Oxo1hLVvtHrAW845GKRDRrNw2nQsA")</f>
        <v>1N0pdLUTdwOkDe6Oxo1hLVvtHrAW845GKRDRrNw2nQsA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IFERROR(__xludf.DUMMYFUNCTION("""COMPUTED_VALUE"""),"SelectPTTRecord")</f>
        <v>SelectPTTRecord</v>
      </c>
      <c r="C417" t="str">
        <f>IFERROR(__xludf.DUMMYFUNCTION("""COMPUTED_VALUE"""),"1XeFP2lm7tB6wETfm2dDqZYoeAfXyeA1KjbojdrZ69vE")</f>
        <v>1XeFP2lm7tB6wETfm2dDqZYoeAfXyeA1KjbojdrZ69vE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IFERROR(__xludf.DUMMYFUNCTION("""COMPUTED_VALUE"""),"EditPTTRecord")</f>
        <v>EditPTTRecord</v>
      </c>
      <c r="C418" t="str">
        <f>IFERROR(__xludf.DUMMYFUNCTION("""COMPUTED_VALUE"""),"1bZD_br9hnE6AoS35Ty0SStxuCVDXYGgzotj5gsTsrUg")</f>
        <v>1bZD_br9hnE6AoS35Ty0SStxuCVDXYGgzotj5gsTsrUg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IFERROR(__xludf.DUMMYFUNCTION("""COMPUTED_VALUE"""),"CreateOrderAfterEditPTT")</f>
        <v>CreateOrderAfterEditPTT</v>
      </c>
      <c r="C419" t="str">
        <f>IFERROR(__xludf.DUMMYFUNCTION("""COMPUTED_VALUE"""),"1KsDVAM-jGZBkXQCAjl-IKGN6XcMkdTfUj_E_EYUPpqE")</f>
        <v>1KsDVAM-jGZBkXQCAjl-IKGN6XcMkdTfUj_E_EYUPpqE</v>
      </c>
    </row>
    <row r="420" ht="15.75" customHeight="1">
      <c r="A420" t="str">
        <f>IFERROR(__xludf.DUMMYFUNCTION("""COMPUTED_VALUE"""),"PTT")</f>
        <v>PTT</v>
      </c>
      <c r="B420" t="str">
        <f>IFERROR(__xludf.DUMMYFUNCTION("""COMPUTED_VALUE"""),"EditPTTWPFGrid")</f>
        <v>EditPTTWPFGrid</v>
      </c>
      <c r="C420" t="str">
        <f>IFERROR(__xludf.DUMMYFUNCTION("""COMPUTED_VALUE"""),"1ZN6M0c0ta4_uysjU0LRmcc9chF9IgYpFmqSwGW6bPCY")</f>
        <v>1ZN6M0c0ta4_uysjU0LRmcc9chF9IgYpFmqSwGW6bPCY</v>
      </c>
    </row>
    <row r="421" ht="15.75" customHeight="1">
      <c r="A421" t="str">
        <f>IFERROR(__xludf.DUMMYFUNCTION("""COMPUTED_VALUE"""),"Blotter")</f>
        <v>Blotter</v>
      </c>
      <c r="B421" t="str">
        <f>IFERROR(__xludf.DUMMYFUNCTION("""COMPUTED_VALUE"""),"GoToAllocation")</f>
        <v>GoToAllocation</v>
      </c>
      <c r="C421" t="str">
        <f>IFERROR(__xludf.DUMMYFUNCTION("""COMPUTED_VALUE"""),"1I3StwH3fzwwbh9YvrnDvP_ICtYYZrMPHOthgqOvVOQc")</f>
        <v>1I3StwH3fzwwbh9YvrnDvP_ICtYYZrMPHOthgqOvVOQc</v>
      </c>
    </row>
    <row r="422" ht="15.75" customHeight="1">
      <c r="A422" t="str">
        <f>IFERROR(__xludf.DUMMYFUNCTION("""COMPUTED_VALUE"""),"Simulator")</f>
        <v>Simulator</v>
      </c>
      <c r="B422" t="str">
        <f>IFERROR(__xludf.DUMMYFUNCTION("""COMPUTED_VALUE"""),"CloseSimulator")</f>
        <v>CloseSimulator</v>
      </c>
      <c r="C422" t="str">
        <f>IFERROR(__xludf.DUMMYFUNCTION("""COMPUTED_VALUE"""),"Undefined")</f>
        <v>Undefined</v>
      </c>
    </row>
    <row r="423" ht="15.75" customHeight="1">
      <c r="A423" t="str">
        <f>IFERROR(__xludf.DUMMYFUNCTION("""COMPUTED_VALUE"""),"GeneralLedger")</f>
        <v>GeneralLedger</v>
      </c>
      <c r="B423" t="str">
        <f>IFERROR(__xludf.DUMMYFUNCTION("""COMPUTED_VALUE"""),"VerifyCashTransaction")</f>
        <v>VerifyCashTransaction</v>
      </c>
      <c r="C423" t="str">
        <f>IFERROR(__xludf.DUMMYFUNCTION("""COMPUTED_VALUE"""),"1Urp2F7pMdEwHLyPetR0SnA22v2OTvsTN73e1Eyzzg08")</f>
        <v>1Urp2F7pMdEwHLyPetR0SnA22v2OTvsTN73e1Eyzzg08</v>
      </c>
    </row>
    <row r="424" ht="15.75" customHeight="1">
      <c r="A424" t="str">
        <f>IFERROR(__xludf.DUMMYFUNCTION("""COMPUTED_VALUE"""),"Rebalancer")</f>
        <v>Rebalancer</v>
      </c>
      <c r="B424" t="str">
        <f>IFERROR(__xludf.DUMMYFUNCTION("""COMPUTED_VALUE"""),"ModelPortfolio")</f>
        <v>ModelPortfolio</v>
      </c>
      <c r="C424" t="str">
        <f>IFERROR(__xludf.DUMMYFUNCTION("""COMPUTED_VALUE"""),"1BbwKnMbWwdBYCEpdFconwZ_xILH2kPX-Qj3vt8xntk8")</f>
        <v>1BbwKnMbWwdBYCEpdFconwZ_xILH2kPX-Qj3vt8xntk8</v>
      </c>
    </row>
    <row r="425" ht="15.75" customHeight="1">
      <c r="A425" t="str">
        <f>IFERROR(__xludf.DUMMYFUNCTION("""COMPUTED_VALUE"""),"DailyValuation")</f>
        <v>DailyValuation</v>
      </c>
      <c r="B425" t="str">
        <f>IFERROR(__xludf.DUMMYFUNCTION("""COMPUTED_VALUE"""),"VerifyDailyCash")</f>
        <v>VerifyDailyCash</v>
      </c>
      <c r="C425" t="str">
        <f>IFERROR(__xludf.DUMMYFUNCTION("""COMPUTED_VALUE"""),"1p7JeAcaHVG_A1SPdHgM-evd78CkJgoJkRTeDWckd4RI")</f>
        <v>1p7JeAcaHVG_A1SPdHgM-evd78CkJgoJkRTeDWckd4RI</v>
      </c>
    </row>
    <row r="426" ht="15.75" customHeight="1">
      <c r="A426" t="str">
        <f>IFERROR(__xludf.DUMMYFUNCTION("""COMPUTED_VALUE"""),"Admin")</f>
        <v>Admin</v>
      </c>
      <c r="B426" t="str">
        <f>IFERROR(__xludf.DUMMYFUNCTION("""COMPUTED_VALUE"""),"SetCheckSide")</f>
        <v>SetCheckSide</v>
      </c>
      <c r="C426" t="str">
        <f>IFERROR(__xludf.DUMMYFUNCTION("""COMPUTED_VALUE"""),"1LLz3d9Ay0qFO2Tla_12_h2xvLhss_jI9DSuQFTlU_-4")</f>
        <v>1LLz3d9Ay0qFO2Tla_12_h2xvLhss_jI9DSuQFTlU_-4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IFERROR(__xludf.DUMMYFUNCTION("""COMPUTED_VALUE"""),"OpenSpinOff")</f>
        <v>OpenSpinOff</v>
      </c>
      <c r="C427" t="str">
        <f>IFERROR(__xludf.DUMMYFUNCTION("""COMPUTED_VALUE"""),"1U-BRH15bKLYYFZT4KsAnHYfSvzq2OYUbyJ1Q899SsZo")</f>
        <v>1U-BRH15bKLYYFZT4KsAnHYfSvzq2OYUbyJ1Q899SsZo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IFERROR(__xludf.DUMMYFUNCTION("""COMPUTED_VALUE"""),"VerifyAndApplyCorpAction")</f>
        <v>VerifyAndApplyCorpAction</v>
      </c>
      <c r="C428" t="str">
        <f>IFERROR(__xludf.DUMMYFUNCTION("""COMPUTED_VALUE"""),"1AigkCEPlVCiWI2_hOeywoNapLN_03Q3acTp_JCEFIOQ")</f>
        <v>1AigkCEPlVCiWI2_hOeywoNapLN_03Q3acTp_JCEFIOQ</v>
      </c>
    </row>
    <row r="429" ht="15.75" customHeight="1">
      <c r="A429" t="str">
        <f>IFERROR(__xludf.DUMMYFUNCTION("""COMPUTED_VALUE"""),"CorporateAction ")</f>
        <v>CorporateAction </v>
      </c>
      <c r="B429" t="str">
        <f>IFERROR(__xludf.DUMMYFUNCTION("""COMPUTED_VALUE"""),"VerifyAndSaveCorpAction")</f>
        <v>VerifyAndSaveCorpAction</v>
      </c>
      <c r="C429" t="str">
        <f>IFERROR(__xludf.DUMMYFUNCTION("""COMPUTED_VALUE"""),"1C7e-MCh1gT21XsWE5Tb7VqU31f42EtVA62RnW2VwOPQ")</f>
        <v>1C7e-MCh1gT21XsWE5Tb7VqU31f42EtVA62RnW2VwOPQ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IFERROR(__xludf.DUMMYFUNCTION("""COMPUTED_VALUE"""),"DisableChecksideForAsset")</f>
        <v>DisableChecksideForAsset</v>
      </c>
      <c r="C430" t="str">
        <f>IFERROR(__xludf.DUMMYFUNCTION("""COMPUTED_VALUE"""),"1RfBjyCTLzPEw44vo9RFEbPNENo_b3MvJETDgJ_nbkSM")</f>
        <v>1RfBjyCTLzPEw44vo9RFEbPNENo_b3MvJETDgJ_nbkSM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IFERROR(__xludf.DUMMYFUNCTION("""COMPUTED_VALUE"""),"DisableChecksideForAccount")</f>
        <v>DisableChecksideForAccount</v>
      </c>
      <c r="C431" t="str">
        <f>IFERROR(__xludf.DUMMYFUNCTION("""COMPUTED_VALUE"""),"11m6ioGVfQ91nl6h-xQws9I_OKyCH0bSRW5XRwmAkUaI")</f>
        <v>11m6ioGVfQ91nl6h-xQws9I_OKyCH0bSRW5XRwmAkUaI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IFERROR(__xludf.DUMMYFUNCTION("""COMPUTED_VALUE"""),"DisableChecksideForCounterParty")</f>
        <v>DisableChecksideForCounterParty</v>
      </c>
      <c r="C432" t="str">
        <f>IFERROR(__xludf.DUMMYFUNCTION("""COMPUTED_VALUE"""),"1y3920luel_XKEL-2MDmGAmxE3KlfO7vibX7k3zEiD9Q")</f>
        <v>1y3920luel_XKEL-2MDmGAmxE3KlfO7vibX7k3zEiD9Q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IFERROR(__xludf.DUMMYFUNCTION("""COMPUTED_VALUE"""),"DisableCheckside")</f>
        <v>DisableCheckside</v>
      </c>
      <c r="C433" t="str">
        <f>IFERROR(__xludf.DUMMYFUNCTION("""COMPUTED_VALUE"""),"1h5qvpgDwc493Hj-H0wWhM1iGSyxbWrc_X9wqtwjDzjw")</f>
        <v>1h5qvpgDwc493Hj-H0wWhM1iGSyxbWrc_X9wqtwjDzjw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IFERROR(__xludf.DUMMYFUNCTION("""COMPUTED_VALUE"""),"ApplyMasterFundFilter")</f>
        <v>ApplyMasterFundFilter</v>
      </c>
      <c r="C434" t="str">
        <f>IFERROR(__xludf.DUMMYFUNCTION("""COMPUTED_VALUE"""),"1T-KlzOWiZhplDNh7jZx1mhTu8M9hH3oMPjY-e5YW0xo")</f>
        <v>1T-KlzOWiZhplDNh7jZx1mhTu8M9hH3oMPjY-e5YW0xo</v>
      </c>
    </row>
    <row r="435" ht="15.75" customHeight="1">
      <c r="A435" t="str">
        <f>IFERROR(__xludf.DUMMYFUNCTION("""COMPUTED_VALUE"""),"TradingTicket")</f>
        <v>TradingTicket</v>
      </c>
      <c r="B435" t="str">
        <f>IFERROR(__xludf.DUMMYFUNCTION("""COMPUTED_VALUE"""),"UpdateMasterFundOnTT")</f>
        <v>UpdateMasterFundOnTT</v>
      </c>
      <c r="C435" t="str">
        <f>IFERROR(__xludf.DUMMYFUNCTION("""COMPUTED_VALUE"""),"1N4y3bAhW2tDoINGw83G-QdXBeLDO0PKtGSW5-tKN3js")</f>
        <v>1N4y3bAhW2tDoINGw83G-QdXBeLDO0PKtGSW5-tKN3js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IFERROR(__xludf.DUMMYFUNCTION("""COMPUTED_VALUE"""),"ShowMasterFundOnTT")</f>
        <v>ShowMasterFundOnTT</v>
      </c>
      <c r="C436" t="str">
        <f>IFERROR(__xludf.DUMMYFUNCTION("""COMPUTED_VALUE"""),"1iwI9tV-bzTDjn_UTMv4g-Fow5pL0wNDuxL4_vgERgxw")</f>
        <v>1iwI9tV-bzTDjn_UTMv4g-Fow5pL0wNDuxL4_vgERgxw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IFERROR(__xludf.DUMMYFUNCTION("""COMPUTED_VALUE"""),"ShowMasterFundAsClient")</f>
        <v>ShowMasterFundAsClient</v>
      </c>
      <c r="C437" t="str">
        <f>IFERROR(__xludf.DUMMYFUNCTION("""COMPUTED_VALUE"""),"1HEkSiTQJoo7hAoCQeG1OliZY3I1tX5067K2-bEPpUxg")</f>
        <v>1HEkSiTQJoo7hAoCQeG1OliZY3I1tX5067K2-bEPpUxg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IFERROR(__xludf.DUMMYFUNCTION("""COMPUTED_VALUE"""),"SetBrokerAccountMapping")</f>
        <v>SetBrokerAccountMapping</v>
      </c>
      <c r="C438" t="str">
        <f>IFERROR(__xludf.DUMMYFUNCTION("""COMPUTED_VALUE"""),"1-jAH0BUHYr2W4UnUXp9EOBGtAxXgCqMhloL3-aVw-xA")</f>
        <v>1-jAH0BUHYr2W4UnUXp9EOBGtAxXgCqMhloL3-aVw-xA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IFERROR(__xludf.DUMMYFUNCTION("""COMPUTED_VALUE"""),"EditUnallocatedGridWPF")</f>
        <v>EditUnallocatedGridWPF</v>
      </c>
      <c r="C439" t="str">
        <f>IFERROR(__xludf.DUMMYFUNCTION("""COMPUTED_VALUE"""),"1WjO2793DSB3AexrCH-5fVAyD2T9Kn-TpIQtV-sN3fXM")</f>
        <v>1WjO2793DSB3AexrCH-5fVAyD2T9Kn-TpIQtV-sN3fXM</v>
      </c>
    </row>
    <row r="440" ht="15.75" customHeight="1">
      <c r="A440" t="str">
        <f>IFERROR(__xludf.DUMMYFUNCTION("""COMPUTED_VALUE"""),"Allocation")</f>
        <v>Allocation</v>
      </c>
      <c r="B440" t="str">
        <f>IFERROR(__xludf.DUMMYFUNCTION("""COMPUTED_VALUE"""),"EditAllocatedGridWPF")</f>
        <v>EditAllocatedGridWPF</v>
      </c>
      <c r="C440" t="str">
        <f>IFERROR(__xludf.DUMMYFUNCTION("""COMPUTED_VALUE"""),"1FZKuHmBcm_XpFiBPl_RDPdJ0LU4pfInz2KIRBirG4RA")</f>
        <v>1FZKuHmBcm_XpFiBPl_RDPdJ0LU4pfInz2KIRBirG4RA</v>
      </c>
    </row>
    <row r="441" ht="15.75" customHeight="1">
      <c r="A441" t="str">
        <f>IFERROR(__xludf.DUMMYFUNCTION("""COMPUTED_VALUE"""),"Admin")</f>
        <v>Admin</v>
      </c>
      <c r="B441" t="str">
        <f>IFERROR(__xludf.DUMMYFUNCTION("""COMPUTED_VALUE"""),"SetRollover")</f>
        <v>SetRollover</v>
      </c>
      <c r="C441" t="str">
        <f>IFERROR(__xludf.DUMMYFUNCTION("""COMPUTED_VALUE"""),"1IsN0Cfhu8GLrkUalboK5NrRy7btTAbLYUuekJ2Ma6Yg")</f>
        <v>1IsN0Cfhu8GLrkUalboK5NrRy7btTAbLYUuekJ2Ma6Yg</v>
      </c>
    </row>
    <row r="442" ht="15.75" customHeight="1">
      <c r="A442" t="str">
        <f>IFERROR(__xludf.DUMMYFUNCTION("""COMPUTED_VALUE"""),"Blotter")</f>
        <v>Blotter</v>
      </c>
      <c r="B442" t="str">
        <f>IFERROR(__xludf.DUMMYFUNCTION("""COMPUTED_VALUE"""),"VerifyRollover")</f>
        <v>VerifyRollover</v>
      </c>
      <c r="C442" t="str">
        <f>IFERROR(__xludf.DUMMYFUNCTION("""COMPUTED_VALUE"""),"1LK99kRJ1Jix1IHxif4J6qr7zVjtU8vqt4IThBtuOVf4")</f>
        <v>1LK99kRJ1Jix1IHxif4J6qr7zVjtU8vqt4IThBtuOVf4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IFERROR(__xludf.DUMMYFUNCTION("""COMPUTED_VALUE"""),"EditAllocatedGridTaxlot")</f>
        <v>EditAllocatedGridTaxlot</v>
      </c>
      <c r="C443" t="str">
        <f>IFERROR(__xludf.DUMMYFUNCTION("""COMPUTED_VALUE"""),"1BFSIhQB5TYAg8_M-Mo1tG8w-M1mRnNY_0PslvrGE6V0")</f>
        <v>1BFSIhQB5TYAg8_M-Mo1tG8w-M1mRnNY_0PslvrGE6V0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IFERROR(__xludf.DUMMYFUNCTION("""COMPUTED_VALUE"""),"ExpandCollapseAllocatedGrid")</f>
        <v>ExpandCollapseAllocatedGrid</v>
      </c>
      <c r="C444" t="str">
        <f>IFERROR(__xludf.DUMMYFUNCTION("""COMPUTED_VALUE"""),"1qQZFllfIgVu8YI6RYgRzVq7hDp1kHBoOsvq3lGCpsu0")</f>
        <v>1qQZFllfIgVu8YI6RYgRzVq7hDp1kHBoOsvq3lGCpsu0</v>
      </c>
    </row>
    <row r="445" ht="15.75" customHeight="1">
      <c r="A445" t="str">
        <f>IFERROR(__xludf.DUMMYFUNCTION("""COMPUTED_VALUE"""),"Allocation")</f>
        <v>Allocation</v>
      </c>
      <c r="B445" t="str">
        <f>IFERROR(__xludf.DUMMYFUNCTION("""COMPUTED_VALUE"""),"ExpandCollapseUnallocatedGrid")</f>
        <v>ExpandCollapseUnallocatedGrid</v>
      </c>
      <c r="C445" t="str">
        <f>IFERROR(__xludf.DUMMYFUNCTION("""COMPUTED_VALUE"""),"1UD0TjK90W_15S50XezLY8jX9yJZvWP_kzf3zvGKH6Lo")</f>
        <v>1UD0TjK90W_15S50XezLY8jX9yJZvWP_kzf3zvGKH6Lo</v>
      </c>
    </row>
    <row r="446" ht="15.75" customHeight="1">
      <c r="A446" t="str">
        <f>IFERROR(__xludf.DUMMYFUNCTION("""COMPUTED_VALUE"""),"Blotter")</f>
        <v>Blotter</v>
      </c>
      <c r="B446" t="str">
        <f>IFERROR(__xludf.DUMMYFUNCTION("""COMPUTED_VALUE"""),"VerifySubOrderAfterRollover")</f>
        <v>VerifySubOrderAfterRollover</v>
      </c>
      <c r="C446" t="str">
        <f>IFERROR(__xludf.DUMMYFUNCTION("""COMPUTED_VALUE"""),"1d2n7uTbGUAG0Fw_-hVLgvR5bPSacMCQFYb_9Aqwi25c")</f>
        <v>1d2n7uTbGUAG0Fw_-hVLgvR5bPSacMCQFYb_9Aqwi25c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IFERROR(__xludf.DUMMYFUNCTION("""COMPUTED_VALUE"""),"SelectTransactionImportType")</f>
        <v>SelectTransactionImportType</v>
      </c>
      <c r="C447" t="str">
        <f>IFERROR(__xludf.DUMMYFUNCTION("""COMPUTED_VALUE"""),"1Ug5aDJXZ2MYzdZjiy87TkbK0iURa_OwZ6nFZNhxoHGY")</f>
        <v>1Ug5aDJXZ2MYzdZjiy87TkbK0iURa_OwZ6nFZNhxoHGY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IFERROR(__xludf.DUMMYFUNCTION("""COMPUTED_VALUE"""),"SelectAllOnImport")</f>
        <v>SelectAllOnImport</v>
      </c>
      <c r="C448" t="str">
        <f>IFERROR(__xludf.DUMMYFUNCTION("""COMPUTED_VALUE"""),"15kH24bHLnChO_IakP1yWGQ4NHnPUcWr-qrx2hCLl0Rs")</f>
        <v>15kH24bHLnChO_IakP1yWGQ4NHnPUcWr-qrx2hCLl0Rs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IFERROR(__xludf.DUMMYFUNCTION("""COMPUTED_VALUE"""),"SelectMarkPriceImportType")</f>
        <v>SelectMarkPriceImportType</v>
      </c>
      <c r="C449" t="str">
        <f>IFERROR(__xludf.DUMMYFUNCTION("""COMPUTED_VALUE"""),"1u361oGPG-Jq-p0fQA91MqPpn9RXhbu_kuvkRTxMFWxM")</f>
        <v>1u361oGPG-Jq-p0fQA91MqPpn9RXhbu_kuvkRTxMFWxM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IFERROR(__xludf.DUMMYFUNCTION("""COMPUTED_VALUE"""),"SelectForexImportType")</f>
        <v>SelectForexImportType</v>
      </c>
      <c r="C450" t="str">
        <f>IFERROR(__xludf.DUMMYFUNCTION("""COMPUTED_VALUE"""),"1VuEhlxb0Ntlbh7FJ4BwgZpb9ydlc_jleqg7A8gRSuOE")</f>
        <v>1VuEhlxb0Ntlbh7FJ4BwgZpb9ydlc_jleqg7A8gRSuOE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IFERROR(__xludf.DUMMYFUNCTION("""COMPUTED_VALUE"""),"SelectDoubleEntryCashImportType")</f>
        <v>SelectDoubleEntryCashImportType</v>
      </c>
      <c r="C451" t="str">
        <f>IFERROR(__xludf.DUMMYFUNCTION("""COMPUTED_VALUE"""),"1w4_aAJj7RTcH4PfJ4aGD-0Fx9fQcCz5rUlLhFvihhzU")</f>
        <v>1w4_aAJj7RTcH4PfJ4aGD-0Fx9fQcCz5rUlLhFvihhzU</v>
      </c>
    </row>
    <row r="452" ht="15.75" customHeight="1">
      <c r="A452" t="str">
        <f>IFERROR(__xludf.DUMMYFUNCTION("""COMPUTED_VALUE"""),"Import")</f>
        <v>Import</v>
      </c>
      <c r="B452" t="str">
        <f>IFERROR(__xludf.DUMMYFUNCTION("""COMPUTED_VALUE"""),"SelectActivitiesImportType")</f>
        <v>SelectActivitiesImportType</v>
      </c>
      <c r="C452" t="str">
        <f>IFERROR(__xludf.DUMMYFUNCTION("""COMPUTED_VALUE"""),"1QRxHDbBMkMUkH0F8WiORPd2loUWwUte9XykaaWPOOig")</f>
        <v>1QRxHDbBMkMUkH0F8WiORPd2loUWwUte9XykaaWPOOig</v>
      </c>
    </row>
    <row r="453" ht="15.75" customHeight="1">
      <c r="A453" t="str">
        <f>IFERROR(__xludf.DUMMYFUNCTION("""COMPUTED_VALUE"""),"TradingTicket")</f>
        <v>TradingTicket</v>
      </c>
      <c r="B453" t="str">
        <f>IFERROR(__xludf.DUMMYFUNCTION("""COMPUTED_VALUE"""),"SetTTCompliancePreference")</f>
        <v>SetTTCompliancePreference</v>
      </c>
      <c r="C453" t="str">
        <f>IFERROR(__xludf.DUMMYFUNCTION("""COMPUTED_VALUE"""),"1gOOiQiJSKveyRw21YYv0m2VV5trx-l9sZqzNVA40Sc8")</f>
        <v>1gOOiQiJSKveyRw21YYv0m2VV5trx-l9sZqzNVA40Sc8</v>
      </c>
    </row>
    <row r="454" ht="15.75" customHeight="1">
      <c r="A454" t="str">
        <f>IFERROR(__xludf.DUMMYFUNCTION("""COMPUTED_VALUE"""),"Rebalancer")</f>
        <v>Rebalancer</v>
      </c>
      <c r="B454" t="str">
        <f>IFERROR(__xludf.DUMMYFUNCTION("""COMPUTED_VALUE"""),"LockandUnlockGridData")</f>
        <v>LockandUnlockGridData</v>
      </c>
      <c r="C454" t="str">
        <f>IFERROR(__xludf.DUMMYFUNCTION("""COMPUTED_VALUE"""),"1DO2kiuySeBrdw-FrV0IYgBcHEHdO56ih8X2yodtEv_w")</f>
        <v>1DO2kiuySeBrdw-FrV0IYgBcHEHdO56ih8X2yodtEv_w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IFERROR(__xludf.DUMMYFUNCTION("""COMPUTED_VALUE"""),"SetTradeAttributePreferences")</f>
        <v>SetTradeAttributePreferences</v>
      </c>
      <c r="C455" t="str">
        <f>IFERROR(__xludf.DUMMYFUNCTION("""COMPUTED_VALUE"""),"1dN2leQSssJt9dSc9XBrW1dbIBOLPLbP7aD2QXcqVoYI")</f>
        <v>1dN2leQSssJt9dSc9XBrW1dbIBOLPLbP7aD2QXcqVoYI</v>
      </c>
    </row>
    <row r="456" ht="15.75" customHeight="1">
      <c r="A456" t="str">
        <f>IFERROR(__xludf.DUMMYFUNCTION("""COMPUTED_VALUE"""),"GeneralLedger")</f>
        <v>GeneralLedger</v>
      </c>
      <c r="B456" t="str">
        <f>IFERROR(__xludf.DUMMYFUNCTION("""COMPUTED_VALUE"""),"VerifyAccountBalances")</f>
        <v>VerifyAccountBalances</v>
      </c>
      <c r="C456" t="str">
        <f>IFERROR(__xludf.DUMMYFUNCTION("""COMPUTED_VALUE"""),"1_Bb0NJhmEZf0GRznXLKybd9VevZ8za-sCX4G7B4qtsM")</f>
        <v>1_Bb0NJhmEZf0GRznXLKybd9VevZ8za-sCX4G7B4qtsM</v>
      </c>
    </row>
    <row r="457" ht="15.75" customHeight="1">
      <c r="A457" t="str">
        <f>IFERROR(__xludf.DUMMYFUNCTION("""COMPUTED_VALUE"""),"Rebalancer")</f>
        <v>Rebalancer</v>
      </c>
      <c r="B457" t="str">
        <f>IFERROR(__xludf.DUMMYFUNCTION("""COMPUTED_VALUE"""),"RefreshGridData")</f>
        <v>RefreshGridData</v>
      </c>
      <c r="C457" t="str">
        <f>IFERROR(__xludf.DUMMYFUNCTION("""COMPUTED_VALUE"""),"1eXT2UFbktlYGRbqw2LWDBJOU8xuu3DfP6EZDAMps2jg")</f>
        <v>1eXT2UFbktlYGRbqw2LWDBJOU8xuu3DfP6EZDAMps2jg</v>
      </c>
    </row>
    <row r="458" ht="15.75" customHeight="1">
      <c r="A458" t="str">
        <f>IFERROR(__xludf.DUMMYFUNCTION("""COMPUTED_VALUE"""),"GeneralLedger")</f>
        <v>GeneralLedger</v>
      </c>
      <c r="B458" t="str">
        <f>IFERROR(__xludf.DUMMYFUNCTION("""COMPUTED_VALUE"""),"AddMultipleOpeningBalTranItem")</f>
        <v>AddMultipleOpeningBalTranItem</v>
      </c>
      <c r="C458" t="str">
        <f>IFERROR(__xludf.DUMMYFUNCTION("""COMPUTED_VALUE"""),"11A7t3ReNCtqF9GmtCIeyqSvuLyXTOIz6Z7rrR1rcLxU")</f>
        <v>11A7t3ReNCtqF9GmtCIeyqSvuLyXTOIz6Z7rrR1rcLxU</v>
      </c>
    </row>
    <row r="459" ht="15.75" customHeight="1">
      <c r="A459" t="str">
        <f>IFERROR(__xludf.DUMMYFUNCTION("""COMPUTED_VALUE"""),"Import")</f>
        <v>Import</v>
      </c>
      <c r="B459" t="str">
        <f>IFERROR(__xludf.DUMMYFUNCTION("""COMPUTED_VALUE"""),"ApplyFilterOnImport")</f>
        <v>ApplyFilterOnImport</v>
      </c>
      <c r="C459" t="str">
        <f>IFERROR(__xludf.DUMMYFUNCTION("""COMPUTED_VALUE"""),"1X_Y_CvwjwEfeRv6rV15vWdCxvbtSeiwVqa6n3rAtKrs")</f>
        <v>1X_Y_CvwjwEfeRv6rV15vWdCxvbtSeiwVqa6n3rAtKrs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IFERROR(__xludf.DUMMYFUNCTION("""COMPUTED_VALUE"""),"SendtoStaging")</f>
        <v>SendtoStaging</v>
      </c>
      <c r="C460" t="str">
        <f>IFERROR(__xludf.DUMMYFUNCTION("""COMPUTED_VALUE"""),"1Xnuh_Wo19bTeQK24IGGha1PcZfjhUkK-31O4OTo-8gk")</f>
        <v>1Xnuh_Wo19bTeQK24IGGha1PcZfjhUkK-31O4OTo-8gk</v>
      </c>
    </row>
    <row r="461" ht="15.75" customHeight="1">
      <c r="A461" t="str">
        <f>IFERROR(__xludf.DUMMYFUNCTION("""COMPUTED_VALUE"""),"Rebalancer")</f>
        <v>Rebalancer</v>
      </c>
      <c r="B461" t="str">
        <f>IFERROR(__xludf.DUMMYFUNCTION("""COMPUTED_VALUE"""),"SendToStagingExport")</f>
        <v>SendToStagingExport</v>
      </c>
      <c r="C461" t="str">
        <f>IFERROR(__xludf.DUMMYFUNCTION("""COMPUTED_VALUE"""),"1OPD3lVtYSDe_XHE5HwEohhSSru0N2Ct-tsJMahW36gA")</f>
        <v>1OPD3lVtYSDe_XHE5HwEohhSSru0N2Ct-tsJMahW36gA</v>
      </c>
    </row>
    <row r="462" ht="15.75" customHeight="1">
      <c r="A462" t="str">
        <f>IFERROR(__xludf.DUMMYFUNCTION("""COMPUTED_VALUE"""),"PTT")</f>
        <v>PTT</v>
      </c>
      <c r="B462" t="str">
        <f>IFERROR(__xludf.DUMMYFUNCTION("""COMPUTED_VALUE"""),"SetDefaultSymbology")</f>
        <v>SetDefaultSymbology</v>
      </c>
      <c r="C462" t="str">
        <f>IFERROR(__xludf.DUMMYFUNCTION("""COMPUTED_VALUE"""),"1KdWYL-9o3T_s8hnOZgoqVlgZifoowhBftf1dB8UUEjA")</f>
        <v>1KdWYL-9o3T_s8hnOZgoqVlgZifoowhBftf1dB8UUEjA</v>
      </c>
    </row>
    <row r="463" ht="15.75" customHeight="1">
      <c r="A463" t="str">
        <f>IFERROR(__xludf.DUMMYFUNCTION("""COMPUTED_VALUE"""),"Allocation")</f>
        <v>Allocation</v>
      </c>
      <c r="B463" t="str">
        <f>IFERROR(__xludf.DUMMYFUNCTION("""COMPUTED_VALUE"""),"EnterCustomAllocatePreference")</f>
        <v>EnterCustomAllocatePreference</v>
      </c>
      <c r="C463" t="str">
        <f>IFERROR(__xludf.DUMMYFUNCTION("""COMPUTED_VALUE"""),"1kexOrwBiHtqG3kWPF004vh7Uh_fsxYODz7FwJELyxHs")</f>
        <v>1kexOrwBiHtqG3kWPF004vh7Uh_fsxYODz7FwJELyxHs</v>
      </c>
    </row>
    <row r="464" ht="15.75" customHeight="1">
      <c r="A464" t="str">
        <f>IFERROR(__xludf.DUMMYFUNCTION("""COMPUTED_VALUE"""),"PTT")</f>
        <v>PTT</v>
      </c>
      <c r="B464" t="str">
        <f>IFERROR(__xludf.DUMMYFUNCTION("""COMPUTED_VALUE"""),"EditPTTAccountLevelWPF")</f>
        <v>EditPTTAccountLevelWPF</v>
      </c>
      <c r="C464" t="str">
        <f>IFERROR(__xludf.DUMMYFUNCTION("""COMPUTED_VALUE"""),"1FOz3pvVXQqHqNaQZoj1ZAwoakpNcXbTzmGBaHQHWAHg")</f>
        <v>1FOz3pvVXQqHqNaQZoj1ZAwoakpNcXbTzmGBaHQHWAHg</v>
      </c>
    </row>
    <row r="465" ht="15.75" customHeight="1">
      <c r="A465" t="str">
        <f>IFERROR(__xludf.DUMMYFUNCTION("""COMPUTED_VALUE"""),"PortfolioManagement")</f>
        <v>PortfolioManagement</v>
      </c>
      <c r="B465" t="str">
        <f>IFERROR(__xludf.DUMMYFUNCTION("""COMPUTED_VALUE"""),"OpenCreateTransactionFromPM")</f>
        <v>OpenCreateTransactionFromPM</v>
      </c>
      <c r="C465" t="str">
        <f>IFERROR(__xludf.DUMMYFUNCTION("""COMPUTED_VALUE"""),"1P5WpmZxUJFZHJeXXrd3NNkBg8pOhlyvhikvYTRi0xJw")</f>
        <v>1P5WpmZxUJFZHJeXXrd3NNkBg8pOhlyvhikvYTRi0xJw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IFERROR(__xludf.DUMMYFUNCTION("""COMPUTED_VALUE"""),"SetAutoGroupingPreferences")</f>
        <v>SetAutoGroupingPreferences</v>
      </c>
      <c r="C466" t="str">
        <f>IFERROR(__xludf.DUMMYFUNCTION("""COMPUTED_VALUE"""),"1AhbrxQBzlUvYhZ04Lc7wrtynsHI_0KCLcf8QD3l6tpk")</f>
        <v>1AhbrxQBzlUvYhZ04Lc7wrtynsHI_0KCLcf8QD3l6tpk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IFERROR(__xludf.DUMMYFUNCTION("""COMPUTED_VALUE"""),"SetAutoGroupingAccount")</f>
        <v>SetAutoGroupingAccount</v>
      </c>
      <c r="C467" t="str">
        <f>IFERROR(__xludf.DUMMYFUNCTION("""COMPUTED_VALUE"""),"18esH6GBNz1-GV7-ZFJ2hX2Sp9V56SlvmGczGBmWjjgk")</f>
        <v>18esH6GBNz1-GV7-ZFJ2hX2Sp9V56SlvmGczGBmWjjgk</v>
      </c>
    </row>
    <row r="468" ht="15.75" customHeight="1">
      <c r="A468" t="str">
        <f>IFERROR(__xludf.DUMMYFUNCTION("""COMPUTED_VALUE"""),"Allocation")</f>
        <v>Allocation</v>
      </c>
      <c r="B468" t="str">
        <f>IFERROR(__xludf.DUMMYFUNCTION("""COMPUTED_VALUE"""),"SetAvgPriceRounding")</f>
        <v>SetAvgPriceRounding</v>
      </c>
      <c r="C468" t="str">
        <f>IFERROR(__xludf.DUMMYFUNCTION("""COMPUTED_VALUE"""),"1rkw9xlq4Ee01gKbFKqk4K6RIEIEZdOXtofMrjBh_3qs")</f>
        <v>1rkw9xlq4Ee01gKbFKqk4K6RIEIEZdOXtofMrjBh_3qs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IFERROR(__xludf.DUMMYFUNCTION("""COMPUTED_VALUE"""),"SetActive")</f>
        <v>SetActive</v>
      </c>
      <c r="C469" t="str">
        <f>IFERROR(__xludf.DUMMYFUNCTION("""COMPUTED_VALUE"""),"1gUu6sYSTqVEyjUlOCoeeIVztfrHW4NwiHtVAghjPiO0")</f>
        <v>1gUu6sYSTqVEyjUlOCoeeIVztfrHW4NwiHtVAghjPiO0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IFERROR(__xludf.DUMMYFUNCTION("""COMPUTED_VALUE"""),"SetThirdPartyFormat")</f>
        <v>SetThirdPartyFormat</v>
      </c>
      <c r="C470" t="str">
        <f>IFERROR(__xludf.DUMMYFUNCTION("""COMPUTED_VALUE"""),"1taVilha9wCvlWWrWySxYHIg1IUM3Js0xeAEsGXu1wb4")</f>
        <v>1taVilha9wCvlWWrWySxYHIg1IUM3Js0xeAEsGXu1wb4</v>
      </c>
    </row>
    <row r="471" ht="15.75" customHeight="1">
      <c r="A471" t="str">
        <f>IFERROR(__xludf.DUMMYFUNCTION("""COMPUTED_VALUE"""),"Admin")</f>
        <v>Admin</v>
      </c>
      <c r="B471" t="str">
        <f>IFERROR(__xludf.DUMMYFUNCTION("""COMPUTED_VALUE"""),"UpdateRoundLot")</f>
        <v>UpdateRoundLot</v>
      </c>
      <c r="C471" t="str">
        <f>IFERROR(__xludf.DUMMYFUNCTION("""COMPUTED_VALUE"""),"1vPyYrDAjwQJe-gHSwofvAmZ5sGU32BIPiqw9QJOb7sE")</f>
        <v>1vPyYrDAjwQJe-gHSwofvAmZ5sGU32BIPiqw9QJOb7sE</v>
      </c>
    </row>
    <row r="472" ht="15.75" customHeight="1">
      <c r="A472" t="str">
        <f>IFERROR(__xludf.DUMMYFUNCTION("""COMPUTED_VALUE"""),"Rebalancer")</f>
        <v>Rebalancer</v>
      </c>
      <c r="B472" t="str">
        <f>IFERROR(__xludf.DUMMYFUNCTION("""COMPUTED_VALUE"""),"RebalanceViaBloomberg")</f>
        <v>RebalanceViaBloomberg</v>
      </c>
      <c r="C472" t="str">
        <f>IFERROR(__xludf.DUMMYFUNCTION("""COMPUTED_VALUE"""),"1b_5w3PXwhAeh_pAkVMhtUU4Bo19ZrhM2By_3wd6TgrU")</f>
        <v>1b_5w3PXwhAeh_pAkVMhtUU4Bo19ZrhM2By_3wd6TgrU</v>
      </c>
    </row>
    <row r="473" ht="15.75" customHeight="1">
      <c r="A473" t="str">
        <f>IFERROR(__xludf.DUMMYFUNCTION("""COMPUTED_VALUE"""),"ThirdParty")</f>
        <v>ThirdParty</v>
      </c>
      <c r="B473" t="str">
        <f>IFERROR(__xludf.DUMMYFUNCTION("""COMPUTED_VALUE"""),"RefreshThirdParty")</f>
        <v>RefreshThirdParty</v>
      </c>
      <c r="C473" t="str">
        <f>IFERROR(__xludf.DUMMYFUNCTION("""COMPUTED_VALUE"""),"1_zhn88q1H87WPtNgcDXU0tgtHx0YBJLMCcYxzXXroVs")</f>
        <v>1_zhn88q1H87WPtNgcDXU0tgtHx0YBJLMCcYxzXXroVs</v>
      </c>
    </row>
    <row r="474" ht="15.75" customHeight="1">
      <c r="A474" t="str">
        <f>IFERROR(__xludf.DUMMYFUNCTION("""COMPUTED_VALUE"""),"Rebalancer")</f>
        <v>Rebalancer</v>
      </c>
      <c r="B474" t="str">
        <f>IFERROR(__xludf.DUMMYFUNCTION("""COMPUTED_VALUE"""),"AddUserAdjustedNAV")</f>
        <v>AddUserAdjustedNAV</v>
      </c>
      <c r="C474" t="str">
        <f>IFERROR(__xludf.DUMMYFUNCTION("""COMPUTED_VALUE"""),"1ifdh8xwjLpytsTG8bbxfIam9ZdqvEHGM-CzxVYGEXIs")</f>
        <v>1ifdh8xwjLpytsTG8bbxfIam9ZdqvEHGM-CzxVYGEXIs</v>
      </c>
    </row>
    <row r="475" ht="15.75" customHeight="1">
      <c r="A475" t="str">
        <f>IFERROR(__xludf.DUMMYFUNCTION("""COMPUTED_VALUE"""),"Allocation")</f>
        <v>Allocation</v>
      </c>
      <c r="B475" t="str">
        <f>IFERROR(__xludf.DUMMYFUNCTION("""COMPUTED_VALUE"""),"IsAllocationOpen")</f>
        <v>IsAllocationOpen</v>
      </c>
      <c r="C475" t="str">
        <f>IFERROR(__xludf.DUMMYFUNCTION("""COMPUTED_VALUE"""),"1-MLs_Ww619D0GTJenhKi8JspiyKlENvHCAfkc99ZDXk")</f>
        <v>1-MLs_Ww619D0GTJenhKi8JspiyKlENvHCAfkc99ZDXk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IFERROR(__xludf.DUMMYFUNCTION("""COMPUTED_VALUE"""),"ImportOnShortLocate")</f>
        <v>ImportOnShortLocate</v>
      </c>
      <c r="C476" t="str">
        <f>IFERROR(__xludf.DUMMYFUNCTION("""COMPUTED_VALUE"""),"18TtTrIfDPZ4FY6y6BEM1QWT6a3RezlV2Qgs0VYjta1Y")</f>
        <v>18TtTrIfDPZ4FY6y6BEM1QWT6a3RezlV2Qgs0VYjta1Y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IFERROR(__xludf.DUMMYFUNCTION("""COMPUTED_VALUE"""),"ApplyFilterOnShortLocate")</f>
        <v>ApplyFilterOnShortLocate</v>
      </c>
      <c r="C477" t="str">
        <f>IFERROR(__xludf.DUMMYFUNCTION("""COMPUTED_VALUE"""),"1e-EcYLjI4QLWe-aVZQLSs4AE3HMdDde42AK_ilP7W14")</f>
        <v>1e-EcYLjI4QLWe-aVZQLSs4AE3HMdDde42AK_ilP7W14</v>
      </c>
    </row>
    <row r="478" ht="15.75" customHeight="1">
      <c r="A478" t="str">
        <f>IFERROR(__xludf.DUMMYFUNCTION("""COMPUTED_VALUE"""),"ShortLocate")</f>
        <v>ShortLocate</v>
      </c>
      <c r="B478" t="str">
        <f>IFERROR(__xludf.DUMMYFUNCTION("""COMPUTED_VALUE"""),"OpenTTFromShortLocate")</f>
        <v>OpenTTFromShortLocate</v>
      </c>
      <c r="C478" t="str">
        <f>IFERROR(__xludf.DUMMYFUNCTION("""COMPUTED_VALUE"""),"1uHiyIq7-VOPV7W3fHIxv6wpgB0bdb_j-j33CMdKoHG8")</f>
        <v>1uHiyIq7-VOPV7W3fHIxv6wpgB0bdb_j-j33CMdKoHG8</v>
      </c>
    </row>
    <row r="479" ht="15.75" customHeight="1">
      <c r="A479" t="str">
        <f>IFERROR(__xludf.DUMMYFUNCTION("""COMPUTED_VALUE"""),"PortfolioManagement")</f>
        <v>PortfolioManagement</v>
      </c>
      <c r="B479" t="str">
        <f>IFERROR(__xludf.DUMMYFUNCTION("""COMPUTED_VALUE"""),"RemoveGroupingFromPM")</f>
        <v>RemoveGroupingFromPM</v>
      </c>
      <c r="C479" t="str">
        <f>IFERROR(__xludf.DUMMYFUNCTION("""COMPUTED_VALUE"""),"1a2knGiql1wCzuaB8DKpd6ZNGZ4PU78GHbVc-HCTMRz4")</f>
        <v>1a2knGiql1wCzuaB8DKpd6ZNGZ4PU78GHbVc-HCTMRz4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IFERROR(__xludf.DUMMYFUNCTION("""COMPUTED_VALUE"""),"AddTabOnWatchlist")</f>
        <v>AddTabOnWatchlist</v>
      </c>
      <c r="C480" t="str">
        <f>IFERROR(__xludf.DUMMYFUNCTION("""COMPUTED_VALUE"""),"1azJ9v2w7AwJhl_0_bAUZne2G_SFJMuLBPzq7954262s")</f>
        <v>1azJ9v2w7AwJhl_0_bAUZne2G_SFJMuLBPzq7954262s</v>
      </c>
    </row>
    <row r="481" ht="15.75" customHeight="1">
      <c r="A481" t="str">
        <f>IFERROR(__xludf.DUMMYFUNCTION("""COMPUTED_VALUE"""),"Watchlist")</f>
        <v>Watchlist</v>
      </c>
      <c r="B481" t="str">
        <f>IFERROR(__xludf.DUMMYFUNCTION("""COMPUTED_VALUE"""),"DeleteTabOnWatchlist")</f>
        <v>DeleteTabOnWatchlist</v>
      </c>
      <c r="C481" t="str">
        <f>IFERROR(__xludf.DUMMYFUNCTION("""COMPUTED_VALUE"""),"1dywOfaMeYMgLGbyodr_rgJqA7HdxAyRDvqwTgOr_FV8")</f>
        <v>1dywOfaMeYMgLGbyodr_rgJqA7HdxAyRDvqwTgOr_FV8</v>
      </c>
    </row>
    <row r="482" ht="15.75" customHeight="1">
      <c r="A482" t="str">
        <f>IFERROR(__xludf.DUMMYFUNCTION("""COMPUTED_VALUE"""),"ShortLocate")</f>
        <v>ShortLocate</v>
      </c>
      <c r="B482" t="str">
        <f>IFERROR(__xludf.DUMMYFUNCTION("""COMPUTED_VALUE"""),"Upload")</f>
        <v>Upload</v>
      </c>
      <c r="C482" t="str">
        <f>IFERROR(__xludf.DUMMYFUNCTION("""COMPUTED_VALUE"""),"1K3403vK5pLvuvcWTXHu1UmgT1GohIYz7DPLRQAD0HCk")</f>
        <v>1K3403vK5pLvuvcWTXHu1UmgT1GohIYz7DPLRQAD0HCk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IFERROR(__xludf.DUMMYFUNCTION("""COMPUTED_VALUE"""),"ViewDataOnRecon")</f>
        <v>ViewDataOnRecon</v>
      </c>
      <c r="C483" t="str">
        <f>IFERROR(__xludf.DUMMYFUNCTION("""COMPUTED_VALUE"""),"1hgvmb7xlOL1LeDD1_c2ehf_CcTQs-NVEQcrj52EgfkY")</f>
        <v>1hgvmb7xlOL1LeDD1_c2ehf_CcTQs-NVEQcrj52EgfkY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IFERROR(__xludf.DUMMYFUNCTION("""COMPUTED_VALUE"""),"RunRecon")</f>
        <v>RunRecon</v>
      </c>
      <c r="C484" t="str">
        <f>IFERROR(__xludf.DUMMYFUNCTION("""COMPUTED_VALUE"""),"1a_lIF-yQ_4BbBIj3H4E_Sa208tyBml3azCVHLulXbZA")</f>
        <v>1a_lIF-yQ_4BbBIj3H4E_Sa208tyBml3azCVHLulXbZA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IFERROR(__xludf.DUMMYFUNCTION("""COMPUTED_VALUE"""),"GenerateExceptionReport")</f>
        <v>GenerateExceptionReport</v>
      </c>
      <c r="C485" t="str">
        <f>IFERROR(__xludf.DUMMYFUNCTION("""COMPUTED_VALUE"""),"1hLXxcwsJweMSg5Go7Aa_QZphxBktbdPjlASa0S1xBos")</f>
        <v>1hLXxcwsJweMSg5Go7Aa_QZphxBktbdPjlASa0S1xBos</v>
      </c>
    </row>
    <row r="486" ht="15.75" customHeight="1">
      <c r="A486" t="str">
        <f>IFERROR(__xludf.DUMMYFUNCTION("""COMPUTED_VALUE"""),"Recon")</f>
        <v>Recon</v>
      </c>
      <c r="B486" t="str">
        <f>IFERROR(__xludf.DUMMYFUNCTION("""COMPUTED_VALUE"""),"ImportDataOnRecon")</f>
        <v>ImportDataOnRecon</v>
      </c>
      <c r="C486" t="str">
        <f>IFERROR(__xludf.DUMMYFUNCTION("""COMPUTED_VALUE"""),"1NPXdEV4aauKt592s3ZSJRLqkCido8G_bhh0amZ9aT9g")</f>
        <v>1NPXdEV4aauKt592s3ZSJRLqkCido8G_bhh0amZ9aT9g</v>
      </c>
    </row>
    <row r="487" ht="15.75" customHeight="1">
      <c r="A487" t="str">
        <f>IFERROR(__xludf.DUMMYFUNCTION("""COMPUTED_VALUE"""),"ShortLocate")</f>
        <v>ShortLocate</v>
      </c>
      <c r="B487" t="str">
        <f>IFERROR(__xludf.DUMMYFUNCTION("""COMPUTED_VALUE"""),"VerifyShortLocateGrid")</f>
        <v>VerifyShortLocateGrid</v>
      </c>
      <c r="C487" t="str">
        <f>IFERROR(__xludf.DUMMYFUNCTION("""COMPUTED_VALUE"""),"1l0BuHlCc_a8ajF2i2LyuIx-ihrOOGibGtDl3YzOfSEY")</f>
        <v>1l0BuHlCc_a8ajF2i2LyuIx-ihrOOGibGtDl3YzOfSEY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IFERROR(__xludf.DUMMYFUNCTION("""COMPUTED_VALUE"""),"VerifyApplicationData")</f>
        <v>VerifyApplicationData</v>
      </c>
      <c r="C488" t="str">
        <f>IFERROR(__xludf.DUMMYFUNCTION("""COMPUTED_VALUE"""),"1Dpr8WIv6TDBK0rxjxSy_MqWbkp0VcPh0dzzq05jelwk")</f>
        <v>1Dpr8WIv6TDBK0rxjxSy_MqWbkp0VcPh0dzzq05jelwk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IFERROR(__xludf.DUMMYFUNCTION("""COMPUTED_VALUE"""),"VerifyExceptionReport")</f>
        <v>VerifyExceptionReport</v>
      </c>
      <c r="C489" t="str">
        <f>IFERROR(__xludf.DUMMYFUNCTION("""COMPUTED_VALUE"""),"1vn6eAU_TNbjFlzAIJE-M1vn49jstJpRKNVt1ALlVQus")</f>
        <v>1vn6eAU_TNbjFlzAIJE-M1vn49jstJpRKNVt1ALlVQus</v>
      </c>
    </row>
    <row r="490" ht="15.75" customHeight="1">
      <c r="A490" t="str">
        <f>IFERROR(__xludf.DUMMYFUNCTION("""COMPUTED_VALUE"""),"Recon")</f>
        <v>Recon</v>
      </c>
      <c r="B490" t="str">
        <f>IFERROR(__xludf.DUMMYFUNCTION("""COMPUTED_VALUE"""),"VerifyPrimeBrokerData")</f>
        <v>VerifyPrimeBrokerData</v>
      </c>
      <c r="C490" t="str">
        <f>IFERROR(__xludf.DUMMYFUNCTION("""COMPUTED_VALUE"""),"1vO08eQ3WtVgvFFa4m5QUSWEYmv1ZOhFWcta7Kzp1MBQ")</f>
        <v>1vO08eQ3WtVgvFFa4m5QUSWEYmv1ZOhFWcta7Kzp1MBQ</v>
      </c>
    </row>
    <row r="491" ht="15.75" customHeight="1">
      <c r="A491" t="str">
        <f>IFERROR(__xludf.DUMMYFUNCTION("""COMPUTED_VALUE"""),"Admin")</f>
        <v>Admin</v>
      </c>
      <c r="B491" t="str">
        <f>IFERROR(__xludf.DUMMYFUNCTION("""COMPUTED_VALUE"""),"SetTradingComplianceRules")</f>
        <v>SetTradingComplianceRules</v>
      </c>
      <c r="C491" t="str">
        <f>IFERROR(__xludf.DUMMYFUNCTION("""COMPUTED_VALUE"""),"1bIqD5onAh5fgPov8t1pUC5b4a9exQ5D7TG3YiT7HTiQ")</f>
        <v>1bIqD5onAh5fgPov8t1pUC5b4a9exQ5D7TG3YiT7HTiQ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IFERROR(__xludf.DUMMYFUNCTION("""COMPUTED_VALUE"""),"ImportSymbol")</f>
        <v>ImportSymbol</v>
      </c>
      <c r="C492" t="str">
        <f>IFERROR(__xludf.DUMMYFUNCTION("""COMPUTED_VALUE"""),"1oBs-bjVGuZxR8kCsLcXR9mY_XazhDhrpRb2xJaLqs_E")</f>
        <v>1oBs-bjVGuZxR8kCsLcXR9mY_XazhDhrpRb2xJaLqs_E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IFERROR(__xludf.DUMMYFUNCTION("""COMPUTED_VALUE"""),"ExportSymbolFromRAList")</f>
        <v>ExportSymbolFromRAList</v>
      </c>
      <c r="C493" t="str">
        <f>IFERROR(__xludf.DUMMYFUNCTION("""COMPUTED_VALUE"""),"1xtzuWBhZe0eLq8O7xxtzG82zLI_pS5mUV_moECZdNpU")</f>
        <v>1xtzuWBhZe0eLq8O7xxtzG82zLI_pS5mUV_moECZdNpU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 CheckPendingNewOrderAlert")</f>
        <v> CheckPendingNewOrderAlert</v>
      </c>
      <c r="C494" t="str">
        <f>IFERROR(__xludf.DUMMYFUNCTION("""COMPUTED_VALUE"""),"1Uee-x9kYITNzfo5Jmi-ZzN4muIc1l3aGkFEjg6zK4rw")</f>
        <v>1Uee-x9kYITNzfo5Jmi-ZzN4muIc1l3aGkFEjg6zK4rw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IFERROR(__xludf.DUMMYFUNCTION("""COMPUTED_VALUE"""),"AddSymbolOnRAList")</f>
        <v>AddSymbolOnRAList</v>
      </c>
      <c r="C495" t="str">
        <f>IFERROR(__xludf.DUMMYFUNCTION("""COMPUTED_VALUE"""),"1Ylf1m_iypjthZ6_f8Zwlk6GflWigvWKGFKPUkF0Lw3M")</f>
        <v>1Ylf1m_iypjthZ6_f8Zwlk6GflWigvWKGFKPUkF0Lw3M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IFERROR(__xludf.DUMMYFUNCTION("""COMPUTED_VALUE"""),"DeleteSymbolListFromRA")</f>
        <v>DeleteSymbolListFromRA</v>
      </c>
      <c r="C496" t="str">
        <f>IFERROR(__xludf.DUMMYFUNCTION("""COMPUTED_VALUE"""),"18mAZrsY4iORaJ31tWyzQUe_E2I0WZiducaWhtQhI1bo")</f>
        <v>18mAZrsY4iORaJ31tWyzQUe_E2I0WZiducaWhtQhI1bo</v>
      </c>
    </row>
    <row r="497" ht="15.75" customHeight="1">
      <c r="A497" t="str">
        <f>IFERROR(__xludf.DUMMYFUNCTION("""COMPUTED_VALUE"""),"TradingTicket")</f>
        <v>TradingTicket</v>
      </c>
      <c r="B497" t="str">
        <f>IFERROR(__xludf.DUMMYFUNCTION("""COMPUTED_VALUE"""),"RemoveSymbolFromRAList")</f>
        <v>RemoveSymbolFromRAList</v>
      </c>
      <c r="C497" t="str">
        <f>IFERROR(__xludf.DUMMYFUNCTION("""COMPUTED_VALUE"""),"14z6QrYYlP1TDKDUb39O0_rjdC6MZsyDDHft5bKbFe7Y")</f>
        <v>14z6QrYYlP1TDKDUb39O0_rjdC6MZsyDDHft5bKbFe7Y</v>
      </c>
    </row>
    <row r="498" ht="15.75" customHeight="1">
      <c r="A498" t="str">
        <f>IFERROR(__xludf.DUMMYFUNCTION("""COMPUTED_VALUE"""),"Report")</f>
        <v>Report</v>
      </c>
      <c r="B498" t="str">
        <f>IFERROR(__xludf.DUMMYFUNCTION("""COMPUTED_VALUE"""),"ReportMatching")</f>
        <v>ReportMatching</v>
      </c>
      <c r="C498" t="str">
        <f>IFERROR(__xludf.DUMMYFUNCTION("""COMPUTED_VALUE"""),"1cUl6l-zlpV-4qvapXc106s6KeXaODz51BbbafJiEu1o")</f>
        <v>1cUl6l-zlpV-4qvapXc106s6KeXaODz51BbbafJiEu1o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IFERROR(__xludf.DUMMYFUNCTION("""COMPUTED_VALUE"""),"EnableBreakdownRealizedPNL")</f>
        <v>EnableBreakdownRealizedPNL</v>
      </c>
      <c r="C499" t="str">
        <f>IFERROR(__xludf.DUMMYFUNCTION("""COMPUTED_VALUE"""),"1wcOWSlWdG4WrRltcCk8absTbbQd4rfzbEvV0Z6QnDIw")</f>
        <v>1wcOWSlWdG4WrRltcCk8absTbbQd4rfzbEvV0Z6QnDIw</v>
      </c>
    </row>
    <row r="500" ht="15.75" customHeight="1">
      <c r="A500" t="str">
        <f>IFERROR(__xludf.DUMMYFUNCTION("""COMPUTED_VALUE"""),"Admin")</f>
        <v>Admin</v>
      </c>
      <c r="B500" t="str">
        <f>IFERROR(__xludf.DUMMYFUNCTION("""COMPUTED_VALUE"""),"SetTTGeneralPreferences")</f>
        <v>SetTTGeneralPreferences</v>
      </c>
      <c r="C500" t="str">
        <f>IFERROR(__xludf.DUMMYFUNCTION("""COMPUTED_VALUE"""),"16Tth7MhAr108iP6FoFBCWQNX3Hmi5JoCWiuEzBw-oDs")</f>
        <v>16Tth7MhAr108iP6FoFBCWQNX3Hmi5JoCWiuEzBw-oDs</v>
      </c>
    </row>
    <row r="501" ht="15.75" customHeight="1">
      <c r="A501" t="str">
        <f>IFERROR(__xludf.DUMMYFUNCTION("""COMPUTED_VALUE"""),"Blotter")</f>
        <v>Blotter</v>
      </c>
      <c r="B501" t="str">
        <f>IFERROR(__xludf.DUMMYFUNCTION("""COMPUTED_VALUE"""),"OpenBlotter")</f>
        <v>OpenBlotter</v>
      </c>
      <c r="C501" t="str">
        <f>IFERROR(__xludf.DUMMYFUNCTION("""COMPUTED_VALUE"""),"1l2IXt5uxs1t4URHUX-BmZTtbv2Q2iQVM5OFWXazn3Wc")</f>
        <v>1l2IXt5uxs1t4URHUX-BmZTtbv2Q2iQVM5OFWXazn3Wc</v>
      </c>
    </row>
    <row r="502" ht="15.75" customHeight="1">
      <c r="A502" t="str">
        <f>IFERROR(__xludf.DUMMYFUNCTION("""COMPUTED_VALUE"""),"ExeExecutor")</f>
        <v>ExeExecutor</v>
      </c>
      <c r="B502" t="str">
        <f>IFERROR(__xludf.DUMMYFUNCTION("""COMPUTED_VALUE"""),"CallExeExecutor")</f>
        <v>CallExeExecutor</v>
      </c>
      <c r="C502" t="str">
        <f>IFERROR(__xludf.DUMMYFUNCTION("""COMPUTED_VALUE"""),"1_4imnW45MZPZdDQqRFOTudFEJKoWNdNsFhqwsPVjiyI")</f>
        <v>1_4imnW45MZPZdDQqRFOTudFEJKoWNdNsFhqwsPVjiyI</v>
      </c>
    </row>
    <row r="503" ht="15.75" customHeight="1">
      <c r="A503" t="str">
        <f>IFERROR(__xludf.DUMMYFUNCTION("""COMPUTED_VALUE"""),"TradingTicket")</f>
        <v>TradingTicket</v>
      </c>
      <c r="B503" t="str">
        <f>IFERROR(__xludf.DUMMYFUNCTION("""COMPUTED_VALUE"""),"ToggleBlombergOnRA")</f>
        <v>ToggleBlombergOnRA</v>
      </c>
      <c r="C503" t="str">
        <f>IFERROR(__xludf.DUMMYFUNCTION("""COMPUTED_VALUE"""),"1QO8L98pM1tM7XV0KByn2LfhNUlfBr61uBaOgp8tlTrY")</f>
        <v>1QO8L98pM1tM7XV0KByn2LfhNUlfBr61uBaOgp8tlTrY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IFERROR(__xludf.DUMMYFUNCTION("""COMPUTED_VALUE"""),"RemoveManualExecution")</f>
        <v>RemoveManualExecution</v>
      </c>
      <c r="C504" t="str">
        <f>IFERROR(__xludf.DUMMYFUNCTION("""COMPUTED_VALUE"""),"1El5uRwN8Zwko5NwYgHohK1zpiRKkh_YePJ0cX2E3glo")</f>
        <v>1El5uRwN8Zwko5NwYgHohK1zpiRKkh_YePJ0cX2E3glo</v>
      </c>
    </row>
    <row r="505" ht="15.75" customHeight="1">
      <c r="A505" t="str">
        <f>IFERROR(__xludf.DUMMYFUNCTION("""COMPUTED_VALUE"""),"Blotter")</f>
        <v>Blotter</v>
      </c>
      <c r="B505" t="str">
        <f>IFERROR(__xludf.DUMMYFUNCTION("""COMPUTED_VALUE"""),"RemoveExecutionWorkingSubs")</f>
        <v>RemoveExecutionWorkingSubs</v>
      </c>
      <c r="C505" t="str">
        <f>IFERROR(__xludf.DUMMYFUNCTION("""COMPUTED_VALUE"""),"1Gty3Ew09-jbNIs7SPwjiMC4qk0nDYdsdjNgVHEdl6r0")</f>
        <v>1Gty3Ew09-jbNIs7SPwjiMC4qk0nDYdsdjNgVHEdl6r0</v>
      </c>
    </row>
    <row r="506" ht="15.75" customHeight="1">
      <c r="A506" t="str">
        <f>IFERROR(__xludf.DUMMYFUNCTION("""COMPUTED_VALUE"""),"Dropcopy")</f>
        <v>Dropcopy</v>
      </c>
      <c r="B506" t="str">
        <f>IFERROR(__xludf.DUMMYFUNCTION("""COMPUTED_VALUE"""),"UploadDropcopyFile")</f>
        <v>UploadDropcopyFile</v>
      </c>
      <c r="C506" t="str">
        <f>IFERROR(__xludf.DUMMYFUNCTION("""COMPUTED_VALUE"""),"1h8dY4l_y7yym8l9hTXHVlg3E6GsG52_9KIo5GFjmA8k")</f>
        <v>1h8dY4l_y7yym8l9hTXHVlg3E6GsG52_9KIo5GFjmA8k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IFERROR(__xludf.DUMMYFUNCTION("""COMPUTED_VALUE"""),"StartTradeServer")</f>
        <v>StartTradeServer</v>
      </c>
      <c r="C507" t="str">
        <f>IFERROR(__xludf.DUMMYFUNCTION("""COMPUTED_VALUE"""),"1dwpz97u-suG-Fl1p7vL-LH_dugKcjjOV8oBHWhL-Ggg")</f>
        <v>1dwpz97u-suG-Fl1p7vL-LH_dugKcjjOV8oBHWhL-Ggg</v>
      </c>
    </row>
    <row r="508" ht="15.75" customHeight="1">
      <c r="A508" t="str">
        <f>IFERROR(__xludf.DUMMYFUNCTION("""COMPUTED_VALUE"""),"TradeServer")</f>
        <v>TradeServer</v>
      </c>
      <c r="B508" t="str">
        <f>IFERROR(__xludf.DUMMYFUNCTION("""COMPUTED_VALUE"""),"CloseTradeServer ")</f>
        <v>CloseTradeServer </v>
      </c>
      <c r="C508" t="str">
        <f>IFERROR(__xludf.DUMMYFUNCTION("""COMPUTED_VALUE"""),"1RUpNNC94eo6CzUCyYXnEgJjNJNHljZmxUqpU88hDqvo")</f>
        <v>1RUpNNC94eo6CzUCyYXnEgJjNJNHljZmxUqpU88hDqvo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IFERROR(__xludf.DUMMYFUNCTION("""COMPUTED_VALUE"""),"GetExecutionReportOrders")</f>
        <v>GetExecutionReportOrders</v>
      </c>
      <c r="C509" t="str">
        <f>IFERROR(__xludf.DUMMYFUNCTION("""COMPUTED_VALUE"""),"1AFiNBanUg4LBaZwE0sKs99uF_4CT4Qq3z4KSYaBlk8s")</f>
        <v>1AFiNBanUg4LBaZwE0sKs99uF_4CT4Qq3z4KSYaBlk8s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IFERROR(__xludf.DUMMYFUNCTION("""COMPUTED_VALUE"""),"GetExecutionReportDetails")</f>
        <v>GetExecutionReportDetails</v>
      </c>
      <c r="C510" t="str">
        <f>IFERROR(__xludf.DUMMYFUNCTION("""COMPUTED_VALUE"""),"1Ns2Ww-kwbzOvCy0I9cUznz2PW19y3SgMCpf0oi4ieAA")</f>
        <v>1Ns2Ww-kwbzOvCy0I9cUznz2PW19y3SgMCpf0oi4ieAA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IFERROR(__xludf.DUMMYFUNCTION("""COMPUTED_VALUE"""),"ExportExecutionReportData")</f>
        <v>ExportExecutionReportData</v>
      </c>
      <c r="C511" t="str">
        <f>IFERROR(__xludf.DUMMYFUNCTION("""COMPUTED_VALUE"""),"1LAiUKfzdOor0ACQpWIfOZgQ4MfnhBXObmZFMPVXU20w")</f>
        <v>1LAiUKfzdOor0ACQpWIfOZgQ4MfnhBXObmZFMPVXU20w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IFERROR(__xludf.DUMMYFUNCTION("""COMPUTED_VALUE"""),"VerifyExecutionReport")</f>
        <v>VerifyExecutionReport</v>
      </c>
      <c r="C512" t="str">
        <f>IFERROR(__xludf.DUMMYFUNCTION("""COMPUTED_VALUE"""),"1yd48b6wQ6aCrLoLmfkjO8wiQZP62vLgpK_Q_eTapu4w")</f>
        <v>1yd48b6wQ6aCrLoLmfkjO8wiQZP62vLgpK_Q_eTapu4w</v>
      </c>
    </row>
    <row r="513" ht="15.75" customHeight="1">
      <c r="A513" t="str">
        <f>IFERROR(__xludf.DUMMYFUNCTION("""COMPUTED_VALUE"""),"Blotter")</f>
        <v>Blotter</v>
      </c>
      <c r="B513" t="str">
        <f>IFERROR(__xludf.DUMMYFUNCTION("""COMPUTED_VALUE"""),"BlotterExecutionReportSnapshot")</f>
        <v>BlotterExecutionReportSnapshot</v>
      </c>
      <c r="C513" t="str">
        <f>IFERROR(__xludf.DUMMYFUNCTION("""COMPUTED_VALUE"""),"1QqGxhnz20HsALFYnGuJyEDL2dd1qSmiBMaPsF8MowY4")</f>
        <v>1QqGxhnz20HsALFYnGuJyEDL2dd1qSmiBMaPsF8MowY4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IFERROR(__xludf.DUMMYFUNCTION("""COMPUTED_VALUE"""),"SetDollarAmountPermission")</f>
        <v>SetDollarAmountPermission</v>
      </c>
      <c r="C514" t="str">
        <f>IFERROR(__xludf.DUMMYFUNCTION("""COMPUTED_VALUE"""),"1NsNQ11sPW94qOsA9wYppHUUVQ7VTg0TDchX6vMjxHSM")</f>
        <v>1NsNQ11sPW94qOsA9wYppHUUVQ7VTg0TDchX6vMjxHSM</v>
      </c>
    </row>
    <row r="515" ht="15.75" customHeight="1">
      <c r="A515" t="str">
        <f>IFERROR(__xludf.DUMMYFUNCTION("""COMPUTED_VALUE"""),"Admin")</f>
        <v>Admin</v>
      </c>
      <c r="B515" t="str">
        <f>IFERROR(__xludf.DUMMYFUNCTION("""COMPUTED_VALUE"""),"EnableDisableModule")</f>
        <v>EnableDisableModule</v>
      </c>
      <c r="C515" t="str">
        <f>IFERROR(__xludf.DUMMYFUNCTION("""COMPUTED_VALUE"""),"1-qgayCVgYh-TiFPYq2yiHpH2YNskBCiyIqUU44hFn5Q")</f>
        <v>1-qgayCVgYh-TiFPYq2yiHpH2YNskBCiyIqUU44hFn5Q</v>
      </c>
    </row>
    <row r="516" ht="15.75" customHeight="1">
      <c r="A516" t="str">
        <f>IFERROR(__xludf.DUMMYFUNCTION("""COMPUTED_VALUE"""),"Blotter")</f>
        <v>Blotter</v>
      </c>
      <c r="B516" t="str">
        <f>IFERROR(__xludf.DUMMYFUNCTION("""COMPUTED_VALUE"""),"MultipleTradeTransferToUser")</f>
        <v>MultipleTradeTransferToUser</v>
      </c>
      <c r="C516" t="str">
        <f>IFERROR(__xludf.DUMMYFUNCTION("""COMPUTED_VALUE"""),"1E2U9CGylDUGLaqjTgTRpuzNMvkBV33m3fLyu2q73_EA")</f>
        <v>1E2U9CGylDUGLaqjTgTRpuzNMvkBV33m3fLyu2q73_EA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IFERROR(__xludf.DUMMYFUNCTION("""COMPUTED_VALUE"""),"IsImportOverrideOnShortLocate")</f>
        <v>IsImportOverrideOnShortLocate</v>
      </c>
      <c r="C517" t="str">
        <f>IFERROR(__xludf.DUMMYFUNCTION("""COMPUTED_VALUE"""),"1MgEuiFXaa1Xj8qTQvvYNz_eFGUeOpsltw9v4WXyPp2Y")</f>
        <v>1MgEuiFXaa1Xj8qTQvvYNz_eFGUeOpsltw9v4WXyPp2Y</v>
      </c>
    </row>
    <row r="518" ht="15.75" customHeight="1">
      <c r="A518" t="str">
        <f>IFERROR(__xludf.DUMMYFUNCTION("""COMPUTED_VALUE"""),"Admin")</f>
        <v>Admin</v>
      </c>
      <c r="B518" t="str">
        <f>IFERROR(__xludf.DUMMYFUNCTION("""COMPUTED_VALUE"""),"SetShortLocateStructures")</f>
        <v>SetShortLocateStructures</v>
      </c>
      <c r="C518" t="str">
        <f>IFERROR(__xludf.DUMMYFUNCTION("""COMPUTED_VALUE"""),"1JXTS2aPwtzmzfaVv_4dqx8kGMWZ6ZPlluMh_AtB-VLM")</f>
        <v>1JXTS2aPwtzmzfaVv_4dqx8kGMWZ6ZPlluMh_AtB-VLM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IFERROR(__xludf.DUMMYFUNCTION("""COMPUTED_VALUE"""),"DownloadFile")</f>
        <v>DownloadFile</v>
      </c>
      <c r="C519" t="str">
        <f>IFERROR(__xludf.DUMMYFUNCTION("""COMPUTED_VALUE"""),"1GexWNjbmQyaHL_wkUkmt5M8rNIMs2PLpyJ1OKlPF_6U")</f>
        <v>1GexWNjbmQyaHL_wkUkmt5M8rNIMs2PLpyJ1OKlPF_6U</v>
      </c>
    </row>
    <row r="520" ht="15.75" customHeight="1">
      <c r="A520" t="str">
        <f>IFERROR(__xludf.DUMMYFUNCTION("""COMPUTED_VALUE"""),"ShortLocate")</f>
        <v>ShortLocate</v>
      </c>
      <c r="B520" t="str">
        <f>IFERROR(__xludf.DUMMYFUNCTION("""COMPUTED_VALUE"""),"SearchShortLocateUI")</f>
        <v>SearchShortLocateUI</v>
      </c>
      <c r="C520" t="str">
        <f>IFERROR(__xludf.DUMMYFUNCTION("""COMPUTED_VALUE"""),"1DKCTM5c59GatMPMxnS0Zbz1IgpCEMmNSn4fulcFSBWA")</f>
        <v>1DKCTM5c59GatMPMxnS0Zbz1IgpCEMmNSn4fulcFSBWA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IFERROR(__xludf.DUMMYFUNCTION("""COMPUTED_VALUE"""),"CreateDoneAwayOrder")</f>
        <v>CreateDoneAwayOrder</v>
      </c>
      <c r="C521" t="str">
        <f>IFERROR(__xludf.DUMMYFUNCTION("""COMPUTED_VALUE"""),"1TeGYQgGxypH87IAS1MA8NIqqh4_U0q0H_IsXTnmORFw")</f>
        <v>1TeGYQgGxypH87IAS1MA8NIqqh4_U0q0H_IsXTnmORFw</v>
      </c>
    </row>
    <row r="522" ht="15.75" customHeight="1">
      <c r="A522" t="str">
        <f>IFERROR(__xludf.DUMMYFUNCTION("""COMPUTED_VALUE"""),"TradingTicket")</f>
        <v>TradingTicket</v>
      </c>
      <c r="B522" t="str">
        <f>IFERROR(__xludf.DUMMYFUNCTION("""COMPUTED_VALUE"""),"CreateComplianceOrder")</f>
        <v>CreateComplianceOrder</v>
      </c>
      <c r="C522" t="str">
        <f>IFERROR(__xludf.DUMMYFUNCTION("""COMPUTED_VALUE"""),"1uZhdRETigrNB3cZo1BXMteOrJRYMf6Vdte0mKG3B7a4")</f>
        <v>1uZhdRETigrNB3cZo1BXMteOrJRYMf6Vdte0mKG3B7a4</v>
      </c>
    </row>
    <row r="523" ht="15.75" customHeight="1">
      <c r="A523" t="str">
        <f>IFERROR(__xludf.DUMMYFUNCTION("""COMPUTED_VALUE"""),"Simulator")</f>
        <v>Simulator</v>
      </c>
      <c r="B523" t="str">
        <f>IFERROR(__xludf.DUMMYFUNCTION("""COMPUTED_VALUE"""),"VerifyTrades")</f>
        <v>VerifyTrades</v>
      </c>
      <c r="C523" t="str">
        <f>IFERROR(__xludf.DUMMYFUNCTION("""COMPUTED_VALUE"""),"11LnIuQUyQWz16zxwmr7_BDMlsw3tCEXwF0lALQ35sts")</f>
        <v>11LnIuQUyQWz16zxwmr7_BDMlsw3tCEXwF0lALQ35sts</v>
      </c>
    </row>
    <row r="524" ht="15.75" customHeight="1">
      <c r="A524" t="str">
        <f>IFERROR(__xludf.DUMMYFUNCTION("""COMPUTED_VALUE"""),"ShortLocate")</f>
        <v>ShortLocate</v>
      </c>
      <c r="B524" t="str">
        <f>IFERROR(__xludf.DUMMYFUNCTION("""COMPUTED_VALUE"""),"SetShortLocatePreferences")</f>
        <v>SetShortLocatePreferences</v>
      </c>
      <c r="C524" t="str">
        <f>IFERROR(__xludf.DUMMYFUNCTION("""COMPUTED_VALUE"""),"1NeZSwz1SIB3gUqQIL6UzRE-Qr4gJDeQupuxQaufcHLY")</f>
        <v>1NeZSwz1SIB3gUqQIL6UzRE-Qr4gJDeQupuxQaufcHLY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IFERROR(__xludf.DUMMYFUNCTION("""COMPUTED_VALUE"""),"GetSymbolData")</f>
        <v>GetSymbolData</v>
      </c>
      <c r="C525" t="str">
        <f>IFERROR(__xludf.DUMMYFUNCTION("""COMPUTED_VALUE"""),"1vv3kyJccjfIyDBgn04x7w4Z7FTIBcJUQzYbJHry0Wks")</f>
        <v>1vv3kyJccjfIyDBgn04x7w4Z7FTIBcJUQzYbJHry0Wks</v>
      </c>
    </row>
    <row r="526" ht="15.75" customHeight="1">
      <c r="A526" t="str">
        <f>IFERROR(__xludf.DUMMYFUNCTION("""COMPUTED_VALUE"""),"SecurityMaster")</f>
        <v>SecurityMaster</v>
      </c>
      <c r="B526" t="str">
        <f>IFERROR(__xludf.DUMMYFUNCTION("""COMPUTED_VALUE"""),"EditSMData")</f>
        <v>EditSMData</v>
      </c>
      <c r="C526" t="str">
        <f>IFERROR(__xludf.DUMMYFUNCTION("""COMPUTED_VALUE"""),"16iJOTy3fdvVyoTNVUlTTv2ipMkLHpwnR83hPFzIH7Ak")</f>
        <v>16iJOTy3fdvVyoTNVUlTTv2ipMkLHpwnR83hPFzIH7Ak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IFERROR(__xludf.DUMMYFUNCTION("""COMPUTED_VALUE"""),"RestartRuleMediator")</f>
        <v>RestartRuleMediator</v>
      </c>
      <c r="C527" t="str">
        <f>IFERROR(__xludf.DUMMYFUNCTION("""COMPUTED_VALUE"""),"1akNR1Amf59L1AstQQY5CTYwWnooFsbcOYuynBM4CKmM")</f>
        <v>1akNR1Amf59L1AstQQY5CTYwWnooFsbcOYuynBM4CKmM</v>
      </c>
    </row>
    <row r="528" ht="15.75" customHeight="1">
      <c r="A528" t="str">
        <f>IFERROR(__xludf.DUMMYFUNCTION("""COMPUTED_VALUE"""),"Compliance")</f>
        <v>Compliance</v>
      </c>
      <c r="B528" t="str">
        <f>IFERROR(__xludf.DUMMYFUNCTION("""COMPUTED_VALUE"""),"VerifyAggAccountSymbolWithNav")</f>
        <v>VerifyAggAccountSymbolWithNav</v>
      </c>
      <c r="C528" t="str">
        <f>IFERROR(__xludf.DUMMYFUNCTION("""COMPUTED_VALUE"""),"1LuYoSjO5AtvBb9EYhrEUIwfKVSVQx9KjgCN-yIF7lFk")</f>
        <v>1LuYoSjO5AtvBb9EYhrEUIwfKVSVQx9KjgCN-yIF7lFk</v>
      </c>
    </row>
    <row r="529" ht="15.75" customHeight="1">
      <c r="A529" t="str">
        <f>IFERROR(__xludf.DUMMYFUNCTION("""COMPUTED_VALUE"""),"Admin")</f>
        <v>Admin</v>
      </c>
      <c r="B529" t="str">
        <f>IFERROR(__xludf.DUMMYFUNCTION("""COMPUTED_VALUE"""),"SetComplianceAlert")</f>
        <v>SetComplianceAlert</v>
      </c>
      <c r="C529" t="str">
        <f>IFERROR(__xludf.DUMMYFUNCTION("""COMPUTED_VALUE"""),"1KxvRGZsDhpllA_7NzN1oRSxO912EnakDtX0IH-ZIdC4")</f>
        <v>1KxvRGZsDhpllA_7NzN1oRSxO912EnakDtX0IH-ZIdC4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IFERROR(__xludf.DUMMYFUNCTION("""COMPUTED_VALUE"""),"ReloadOrderFromBlotter")</f>
        <v>ReloadOrderFromBlotter</v>
      </c>
      <c r="C530" t="str">
        <f>IFERROR(__xludf.DUMMYFUNCTION("""COMPUTED_VALUE"""),"1EkVmrnKs5-j3ysMwtCilrRqPyrGmw8rBBIGOYfmBm9Y")</f>
        <v>1EkVmrnKs5-j3ysMwtCilrRqPyrGmw8rBBIGOYfmBm9Y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IFERROR(__xludf.DUMMYFUNCTION("""COMPUTED_VALUE"""),"ReloadOrderFromSubOrder")</f>
        <v>ReloadOrderFromSubOrder</v>
      </c>
      <c r="C531" t="str">
        <f>IFERROR(__xludf.DUMMYFUNCTION("""COMPUTED_VALUE"""),"1Df8QexVjibp6e-DrJ15K3SNBfL1Xk8NzcYqAlIfaa0Q")</f>
        <v>1Df8QexVjibp6e-DrJ15K3SNBfL1Xk8NzcYqAlIfaa0Q</v>
      </c>
    </row>
    <row r="532" ht="15.75" customHeight="1">
      <c r="A532" t="str">
        <f>IFERROR(__xludf.DUMMYFUNCTION("""COMPUTED_VALUE"""),"Blotter")</f>
        <v>Blotter</v>
      </c>
      <c r="B532" t="str">
        <f>IFERROR(__xludf.DUMMYFUNCTION("""COMPUTED_VALUE"""),"ReloadOrderFromWorkingSubs")</f>
        <v>ReloadOrderFromWorkingSubs</v>
      </c>
      <c r="C532" t="str">
        <f>IFERROR(__xludf.DUMMYFUNCTION("""COMPUTED_VALUE"""),"1_Z5bqDo4adEqHJVIqWRtiyLJ5XKZ_2mwsPRoF8LP0Bw")</f>
        <v>1_Z5bqDo4adEqHJVIqWRtiyLJ5XKZ_2mwsPRoF8LP0Bw</v>
      </c>
    </row>
    <row r="533" ht="15.75" customHeight="1">
      <c r="A533" t="str">
        <f>IFERROR(__xludf.DUMMYFUNCTION("""COMPUTED_VALUE"""),"Closing")</f>
        <v>Closing</v>
      </c>
      <c r="B533" t="str">
        <f>IFERROR(__xludf.DUMMYFUNCTION("""COMPUTED_VALUE"""),"AutoExercise")</f>
        <v>AutoExercise</v>
      </c>
      <c r="C533" t="str">
        <f>IFERROR(__xludf.DUMMYFUNCTION("""COMPUTED_VALUE"""),"13xi1kTQASkj8aQlRGOWvQoPk02IQ_8Htevc-MnANS_E")</f>
        <v>13xi1kTQASkj8aQlRGOWvQoPk02IQ_8Htevc-MnANS_E</v>
      </c>
    </row>
    <row r="534" ht="15.75" customHeight="1">
      <c r="A534" t="str">
        <f>IFERROR(__xludf.DUMMYFUNCTION("""COMPUTED_VALUE"""),"PortfolioManagement")</f>
        <v>PortfolioManagement</v>
      </c>
      <c r="B534" t="str">
        <f>IFERROR(__xludf.DUMMYFUNCTION("""COMPUTED_VALUE"""),"IncreasePositionFromPM")</f>
        <v>IncreasePositionFromPM</v>
      </c>
      <c r="C534" t="str">
        <f>IFERROR(__xludf.DUMMYFUNCTION("""COMPUTED_VALUE"""),"1A8qhbXaCu_lyhbz2UUV32k3iWOdMoe0Sf6z4T7bvx9A")</f>
        <v>1A8qhbXaCu_lyhbz2UUV32k3iWOdMoe0Sf6z4T7bvx9A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IFERROR(__xludf.DUMMYFUNCTION("""COMPUTED_VALUE"""),"AddOptionTrade")</f>
        <v>AddOptionTrade</v>
      </c>
      <c r="C535" t="str">
        <f>IFERROR(__xludf.DUMMYFUNCTION("""COMPUTED_VALUE"""),"1BnawmW4udc8sZOPuV7h7bRAlUEV61-K41xkK0_fFpqM")</f>
        <v>1BnawmW4udc8sZOPuV7h7bRAlUEV61-K41xkK0_fFpqM</v>
      </c>
    </row>
    <row r="536" ht="15.75" customHeight="1">
      <c r="A536" t="str">
        <f>IFERROR(__xludf.DUMMYFUNCTION("""COMPUTED_VALUE"""),"TradingTicket")</f>
        <v>TradingTicket</v>
      </c>
      <c r="B536" t="str">
        <f>IFERROR(__xludf.DUMMYFUNCTION("""COMPUTED_VALUE"""),"SendLiveBloomberg")</f>
        <v>SendLiveBloomberg</v>
      </c>
      <c r="C536" t="str">
        <f>IFERROR(__xludf.DUMMYFUNCTION("""COMPUTED_VALUE"""),"1CgHn_7kdT53U7SiVepIsdA1uAaPRM8bfTqAGitUOOP4")</f>
        <v>1CgHn_7kdT53U7SiVepIsdA1uAaPRM8bfTqAGitUOOP4</v>
      </c>
    </row>
    <row r="537" ht="15.75" customHeight="1">
      <c r="A537" t="str">
        <f>IFERROR(__xludf.DUMMYFUNCTION("""COMPUTED_VALUE"""),"Admin")</f>
        <v>Admin</v>
      </c>
      <c r="B537" t="str">
        <f>IFERROR(__xludf.DUMMYFUNCTION("""COMPUTED_VALUE"""),"UpdateExpirationDate")</f>
        <v>UpdateExpirationDate</v>
      </c>
      <c r="C537" t="str">
        <f>IFERROR(__xludf.DUMMYFUNCTION("""COMPUTED_VALUE"""),"1mmWGifvPj1sNVTticw-ikM3hyycxf4NX4_kCu7BEFVg")</f>
        <v>1mmWGifvPj1sNVTticw-ikM3hyycxf4NX4_kCu7BEFVg</v>
      </c>
    </row>
    <row r="538" ht="15.75" customHeight="1">
      <c r="A538" t="str">
        <f>IFERROR(__xludf.DUMMYFUNCTION("""COMPUTED_VALUE"""),"PricingInput")</f>
        <v>PricingInput</v>
      </c>
      <c r="B538" t="str">
        <f>IFERROR(__xludf.DUMMYFUNCTION("""COMPUTED_VALUE"""),"UncheckDividendYield")</f>
        <v>UncheckDividendYield</v>
      </c>
      <c r="C538" t="str">
        <f>IFERROR(__xludf.DUMMYFUNCTION("""COMPUTED_VALUE"""),"1Bv6bI4dQ2ISUgEtnN3hvoJAzlS1QXNp7i6djThWT5cY")</f>
        <v>1Bv6bI4dQ2ISUgEtnN3hvoJAzlS1QXNp7i6djThWT5cY</v>
      </c>
    </row>
    <row r="539" ht="15.75" customHeight="1">
      <c r="A539" t="str">
        <f>IFERROR(__xludf.DUMMYFUNCTION("""COMPUTED_VALUE"""),"Admin")</f>
        <v>Admin</v>
      </c>
      <c r="B539" t="str">
        <f>IFERROR(__xludf.DUMMYFUNCTION("""COMPUTED_VALUE"""),"RenameMasterStrategy")</f>
        <v>RenameMasterStrategy</v>
      </c>
      <c r="C539" t="str">
        <f>IFERROR(__xludf.DUMMYFUNCTION("""COMPUTED_VALUE"""),"12O1uREcq0M99vtEd065TQGLRLI69TvAORCdhR9BifGE")</f>
        <v>12O1uREcq0M99vtEd065TQGLRLI69TvAORCdhR9BifGE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IFERROR(__xludf.DUMMYFUNCTION("""COMPUTED_VALUE"""),"SelectFills")</f>
        <v>SelectFills</v>
      </c>
      <c r="C540" t="str">
        <f>IFERROR(__xludf.DUMMYFUNCTION("""COMPUTED_VALUE"""),"1GwliO03epBl45R4knM3UVULlRK9QRt0v-e2GwmiEUVI")</f>
        <v>1GwliO03epBl45R4knM3UVULlRK9QRt0v-e2GwmiEUVI</v>
      </c>
    </row>
    <row r="541" ht="15.75" customHeight="1">
      <c r="A541" t="str">
        <f>IFERROR(__xludf.DUMMYFUNCTION("""COMPUTED_VALUE"""),"Blotter")</f>
        <v>Blotter</v>
      </c>
      <c r="B541" t="str">
        <f>IFERROR(__xludf.DUMMYFUNCTION("""COMPUTED_VALUE"""),"ModifyFills")</f>
        <v>ModifyFills</v>
      </c>
      <c r="C541" t="str">
        <f>IFERROR(__xludf.DUMMYFUNCTION("""COMPUTED_VALUE"""),"1YjVe9_PX2h3FN6yNWurYgQZIShnphN6dzATY8FarTcw")</f>
        <v>1YjVe9_PX2h3FN6yNWurYgQZIShnphN6dzATY8FarTcw</v>
      </c>
    </row>
    <row r="542" ht="15.75" customHeight="1">
      <c r="A542" t="str">
        <f>IFERROR(__xludf.DUMMYFUNCTION("""COMPUTED_VALUE"""),"PranaClient")</f>
        <v>PranaClient</v>
      </c>
      <c r="B542" t="str">
        <f>IFERROR(__xludf.DUMMYFUNCTION("""COMPUTED_VALUE"""),"PranaClient")</f>
        <v>PranaClient</v>
      </c>
      <c r="C542" t="str">
        <f>IFERROR(__xludf.DUMMYFUNCTION("""COMPUTED_VALUE"""),"1i5E-WuqIWaEe-yq-sesr8ybgECXELHpH055E0IrggKc")</f>
        <v>1i5E-WuqIWaEe-yq-sesr8ybgECXELHpH055E0IrggKc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IFERROR(__xludf.DUMMYFUNCTION("""COMPUTED_VALUE"""),"EditMultipleCloseQuantity")</f>
        <v>EditMultipleCloseQuantity</v>
      </c>
      <c r="C543" t="str">
        <f>IFERROR(__xludf.DUMMYFUNCTION("""COMPUTED_VALUE"""),"1LqHFuFqpoaWRQRABWhj8ApwmhDIIDfhqJOvirqq1jXs")</f>
        <v>1LqHFuFqpoaWRQRABWhj8ApwmhDIIDfhqJOvirqq1jXs</v>
      </c>
    </row>
    <row r="544" ht="15.75" customHeight="1">
      <c r="A544" t="str">
        <f>IFERROR(__xludf.DUMMYFUNCTION("""COMPUTED_VALUE"""),"Closing")</f>
        <v>Closing</v>
      </c>
      <c r="B544" t="str">
        <f>IFERROR(__xludf.DUMMYFUNCTION("""COMPUTED_VALUE"""),"ManualCloseOrder")</f>
        <v>ManualCloseOrder</v>
      </c>
      <c r="C544" t="str">
        <f>IFERROR(__xludf.DUMMYFUNCTION("""COMPUTED_VALUE"""),"1SRIxoyDz2yiuwxeL4eG8FC_4NGCpPmQ7cq3BGkqiS_M")</f>
        <v>1SRIxoyDz2yiuwxeL4eG8FC_4NGCpPmQ7cq3BGkqiS_M</v>
      </c>
    </row>
    <row r="545" ht="15.75" customHeight="1">
      <c r="A545" t="str">
        <f>IFERROR(__xludf.DUMMYFUNCTION("""COMPUTED_VALUE"""),"Admin")</f>
        <v>Admin</v>
      </c>
      <c r="B545" t="str">
        <f>IFERROR(__xludf.DUMMYFUNCTION("""COMPUTED_VALUE"""),"SetTTUIAdminPreferences")</f>
        <v>SetTTUIAdminPreferences</v>
      </c>
      <c r="C545" t="str">
        <f>IFERROR(__xludf.DUMMYFUNCTION("""COMPUTED_VALUE"""),"1NBKCTAbyW8FTd7HpiDVAL8uUdoKPPfDaX-zyJ69TnN8")</f>
        <v>1NBKCTAbyW8FTd7HpiDVAL8uUdoKPPfDaX-zyJ69TnN8</v>
      </c>
    </row>
    <row r="546" ht="15.75" customHeight="1">
      <c r="A546" t="str">
        <f>IFERROR(__xludf.DUMMYFUNCTION("""COMPUTED_VALUE"""),"Closing")</f>
        <v>Closing</v>
      </c>
      <c r="B546" t="str">
        <f>IFERROR(__xludf.DUMMYFUNCTION("""COMPUTED_VALUE"""),"PreviewDataWithFilters")</f>
        <v>PreviewDataWithFilters</v>
      </c>
      <c r="C546" t="str">
        <f>IFERROR(__xludf.DUMMYFUNCTION("""COMPUTED_VALUE"""),"1UfijNzsxS8xhicrd1aaNFJ8AVGE-4qurWWApSDn5ctE")</f>
        <v>1UfijNzsxS8xhicrd1aaNFJ8AVGE-4qurWWApSDn5ctE</v>
      </c>
    </row>
    <row r="547" ht="15.75" customHeight="1">
      <c r="A547" t="str">
        <f>IFERROR(__xludf.DUMMYFUNCTION("""COMPUTED_VALUE"""),"TradingTicket")</f>
        <v>TradingTicket</v>
      </c>
      <c r="B547" t="str">
        <f>IFERROR(__xludf.DUMMYFUNCTION("""COMPUTED_VALUE"""),"ViewAllocation")</f>
        <v>ViewAllocation</v>
      </c>
      <c r="C547" t="str">
        <f>IFERROR(__xludf.DUMMYFUNCTION("""COMPUTED_VALUE"""),"1hZIgWSjxAyvd_l19sawUh-Lx7qkIkwoEJWszPqq6LiM")</f>
        <v>1hZIgWSjxAyvd_l19sawUh-Lx7qkIkwoEJWszPqq6LiM</v>
      </c>
    </row>
    <row r="548" ht="15.75" customHeight="1">
      <c r="A548" t="str">
        <f>IFERROR(__xludf.DUMMYFUNCTION("""COMPUTED_VALUE"""),"Admin")</f>
        <v>Admin</v>
      </c>
      <c r="B548" t="str">
        <f>IFERROR(__xludf.DUMMYFUNCTION("""COMPUTED_VALUE"""),"UpdateSecFee")</f>
        <v>UpdateSecFee</v>
      </c>
      <c r="C548" t="str">
        <f>IFERROR(__xludf.DUMMYFUNCTION("""COMPUTED_VALUE"""),"1fx7weHaG3pIYPq09mXJDlCsGxJxkuwvD9qpnxGKxsUg")</f>
        <v>1fx7weHaG3pIYPq09mXJDlCsGxJxkuwvD9qpnxGKxsUg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IFERROR(__xludf.DUMMYFUNCTION("""COMPUTED_VALUE"""),"CreateClosingTemplate")</f>
        <v>CreateClosingTemplate</v>
      </c>
      <c r="C549" t="str">
        <f>IFERROR(__xludf.DUMMYFUNCTION("""COMPUTED_VALUE"""),"1idwtgSTl3puPU819EeoiFOFlLMiFqqc7fSq_DQM9Ahw")</f>
        <v>1idwtgSTl3puPU819EeoiFOFlLMiFqqc7fSq_DQM9Ahw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IFERROR(__xludf.DUMMYFUNCTION("""COMPUTED_VALUE"""),"CreateUnwindingTemplate")</f>
        <v>CreateUnwindingTemplate</v>
      </c>
      <c r="C550" t="str">
        <f>IFERROR(__xludf.DUMMYFUNCTION("""COMPUTED_VALUE"""),"1yALn3s6q8XYTgNqh8-DnAgKgqPoPCCf4cd3q4rK7dc4")</f>
        <v>1yALn3s6q8XYTgNqh8-DnAgKgqPoPCCf4cd3q4rK7dc4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IFERROR(__xludf.DUMMYFUNCTION("""COMPUTED_VALUE"""),"EditTemplate")</f>
        <v>EditTemplate</v>
      </c>
      <c r="C551" t="str">
        <f>IFERROR(__xludf.DUMMYFUNCTION("""COMPUTED_VALUE"""),"1NuhPbvX0aXlI0GJFIFdnaVEUWbKSGZAOsYo2ZJs_LTI")</f>
        <v>1NuhPbvX0aXlI0GJFIFdnaVEUWbKSGZAOsYo2ZJs_LTI</v>
      </c>
    </row>
    <row r="552" ht="15.75" customHeight="1">
      <c r="A552" t="str">
        <f>IFERROR(__xludf.DUMMYFUNCTION("""COMPUTED_VALUE"""),"Closing")</f>
        <v>Closing</v>
      </c>
      <c r="B552" t="str">
        <f>IFERROR(__xludf.DUMMYFUNCTION("""COMPUTED_VALUE"""),"DeleteTemplate")</f>
        <v>DeleteTemplate</v>
      </c>
      <c r="C552" t="str">
        <f>IFERROR(__xludf.DUMMYFUNCTION("""COMPUTED_VALUE"""),"1FPAHemO6UOqAm-LkkBB9rvkNCOTy_xygY4DA2D71HrY")</f>
        <v>1FPAHemO6UOqAm-LkkBB9rvkNCOTy_xygY4DA2D71HrY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IFERROR(__xludf.DUMMYFUNCTION("""COMPUTED_VALUE"""),"AllocationAuditTrail")</f>
        <v>AllocationAuditTrail</v>
      </c>
      <c r="C553" t="str">
        <f>IFERROR(__xludf.DUMMYFUNCTION("""COMPUTED_VALUE"""),"1HD9Qq-FkgtsDvTn0E1mBJqbrvDYs85STToXiwyfSFIc")</f>
        <v>1HD9Qq-FkgtsDvTn0E1mBJqbrvDYs85STToXiwyfSFIc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IFERROR(__xludf.DUMMYFUNCTION("""COMPUTED_VALUE"""),"GetAuditTrailData")</f>
        <v>GetAuditTrailData</v>
      </c>
      <c r="C554" t="str">
        <f>IFERROR(__xludf.DUMMYFUNCTION("""COMPUTED_VALUE"""),"1aMbSm8ZDz2Qwg0lNK8q7egOJXYlZK0_CTEZ8ROuOuw4")</f>
        <v>1aMbSm8ZDz2Qwg0lNK8q7egOJXYlZK0_CTEZ8ROuOuw4</v>
      </c>
    </row>
    <row r="555" ht="15.75" customHeight="1">
      <c r="A555" t="str">
        <f>IFERROR(__xludf.DUMMYFUNCTION("""COMPUTED_VALUE"""),"Allocation")</f>
        <v>Allocation</v>
      </c>
      <c r="B555" t="str">
        <f>IFERROR(__xludf.DUMMYFUNCTION("""COMPUTED_VALUE"""),"CheckAuditTrailData")</f>
        <v>CheckAuditTrailData</v>
      </c>
      <c r="C555" t="str">
        <f>IFERROR(__xludf.DUMMYFUNCTION("""COMPUTED_VALUE"""),"1C9HB4waKEi-rOcSPUPOqqKP4_UtACzcf-3WiPrg8wl8")</f>
        <v>1C9HB4waKEi-rOcSPUPOqqKP4_UtACzcf-3WiPrg8wl8</v>
      </c>
    </row>
    <row r="556" ht="15.75" customHeight="1">
      <c r="A556" t="str">
        <f>IFERROR(__xludf.DUMMYFUNCTION("""COMPUTED_VALUE"""),"Closing")</f>
        <v>Closing</v>
      </c>
      <c r="B556" t="str">
        <f>IFERROR(__xludf.DUMMYFUNCTION("""COMPUTED_VALUE"""),"RunTemplate")</f>
        <v>RunTemplate</v>
      </c>
      <c r="C556" t="str">
        <f>IFERROR(__xludf.DUMMYFUNCTION("""COMPUTED_VALUE"""),"1CrtezjyXDUNI03P2ug3fbBszOkDQB11KC1jkQWvhhb0")</f>
        <v>1CrtezjyXDUNI03P2ug3fbBszOkDQB11KC1jkQWvhhb0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IFERROR(__xludf.DUMMYFUNCTION("""COMPUTED_VALUE"""),"EnterEquity")</f>
        <v>EnterEquity</v>
      </c>
      <c r="C557" t="str">
        <f>IFERROR(__xludf.DUMMYFUNCTION("""COMPUTED_VALUE"""),"1aaVe9FlMYC6RFGiTb4FjozEKzxGyq3kDwxhYjfzfAD4")</f>
        <v>1aaVe9FlMYC6RFGiTb4FjozEKzxGyq3kDwxhYjfzfAD4</v>
      </c>
    </row>
    <row r="558" ht="15.75" customHeight="1">
      <c r="A558" t="str">
        <f>IFERROR(__xludf.DUMMYFUNCTION("""COMPUTED_VALUE"""),"SymbolLookup")</f>
        <v>SymbolLookup</v>
      </c>
      <c r="B558" t="str">
        <f>IFERROR(__xludf.DUMMYFUNCTION("""COMPUTED_VALUE"""),"UpdateSecurityInfoOnSM")</f>
        <v>UpdateSecurityInfoOnSM</v>
      </c>
      <c r="C558" t="str">
        <f>IFERROR(__xludf.DUMMYFUNCTION("""COMPUTED_VALUE"""),"17-t-GrQf2zL-8Q67F4HdNpsG_6uuzTew55S0LtWs234")</f>
        <v>17-t-GrQf2zL-8Q67F4HdNpsG_6uuzTew55S0LtWs234</v>
      </c>
    </row>
    <row r="559" ht="15.75" customHeight="1">
      <c r="A559" t="str">
        <f>IFERROR(__xludf.DUMMYFUNCTION("""COMPUTED_VALUE"""),"Blotter")</f>
        <v>Blotter</v>
      </c>
      <c r="B559" t="str">
        <f>IFERROR(__xludf.DUMMYFUNCTION("""COMPUTED_VALUE"""),"AllocateFromBlotter")</f>
        <v>AllocateFromBlotter</v>
      </c>
      <c r="C559" t="str">
        <f>IFERROR(__xludf.DUMMYFUNCTION("""COMPUTED_VALUE"""),"1XTJi2OXX9tDNK8ST579LThIVIiMnVsCWKD8hYv1DwCk")</f>
        <v>1XTJi2OXX9tDNK8ST579LThIVIiMnVsCWKD8hYv1DwCk</v>
      </c>
    </row>
    <row r="560" ht="15.75" customHeight="1">
      <c r="A560" t="str">
        <f>IFERROR(__xludf.DUMMYFUNCTION("""COMPUTED_VALUE"""),"Admin")</f>
        <v>Admin</v>
      </c>
      <c r="B560" t="str">
        <f>IFERROR(__xludf.DUMMYFUNCTION("""COMPUTED_VALUE"""),"UpdateFee")</f>
        <v>UpdateFee</v>
      </c>
      <c r="C560" t="str">
        <f>IFERROR(__xludf.DUMMYFUNCTION("""COMPUTED_VALUE"""),"18i3ZoYVYHAnZwXwaD1wecFKaay3F1XWD-fGr1yOXxiI")</f>
        <v>18i3ZoYVYHAnZwXwaD1wecFKaay3F1XWD-fGr1yOXxiI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IFERROR(__xludf.DUMMYFUNCTION("""COMPUTED_VALUE"""),"DeleteGroupWithOutSave")</f>
        <v>DeleteGroupWithOutSave</v>
      </c>
      <c r="C561" t="str">
        <f>IFERROR(__xludf.DUMMYFUNCTION("""COMPUTED_VALUE"""),"1aIaLYmwd1_7VvSXSXs0xCiLDHvkOFY2I2WhFegjZjbM")</f>
        <v>1aIaLYmwd1_7VvSXSXs0xCiLDHvkOFY2I2WhFegjZjbM</v>
      </c>
    </row>
    <row r="562" ht="15.75" customHeight="1">
      <c r="A562" t="str">
        <f>IFERROR(__xludf.DUMMYFUNCTION("""COMPUTED_VALUE"""),"Allocation")</f>
        <v>Allocation</v>
      </c>
      <c r="B562" t="str">
        <f>IFERROR(__xludf.DUMMYFUNCTION("""COMPUTED_VALUE"""),"CheckPreferences")</f>
        <v>CheckPreferences</v>
      </c>
      <c r="C562" t="str">
        <f>IFERROR(__xludf.DUMMYFUNCTION("""COMPUTED_VALUE"""),"1Gt4DTANotwpTFTn2K0N4FyEH3Wy4mVS3CndTI3qhjT0")</f>
        <v>1Gt4DTANotwpTFTn2K0N4FyEH3Wy4mVS3CndTI3qhjT0</v>
      </c>
    </row>
    <row r="563" ht="15.75" customHeight="1">
      <c r="A563" t="str">
        <f>IFERROR(__xludf.DUMMYFUNCTION("""COMPUTED_VALUE"""),"Rebalancer")</f>
        <v>Rebalancer</v>
      </c>
      <c r="B563" t="str">
        <f>IFERROR(__xludf.DUMMYFUNCTION("""COMPUTED_VALUE"""),"SymbologyChangeRB")</f>
        <v>SymbologyChangeRB</v>
      </c>
      <c r="C563" t="str">
        <f>IFERROR(__xludf.DUMMYFUNCTION("""COMPUTED_VALUE"""),"Undefined")</f>
        <v>Undefined</v>
      </c>
    </row>
    <row r="564" ht="15.75" customHeight="1">
      <c r="A564" t="str">
        <f>IFERROR(__xludf.DUMMYFUNCTION("""COMPUTED_VALUE"""),"TradingTicket")</f>
        <v>TradingTicket</v>
      </c>
      <c r="B564" t="str">
        <f>IFERROR(__xludf.DUMMYFUNCTION("""COMPUTED_VALUE"""),"CreateReplaceLiveOrder")</f>
        <v>CreateReplaceLiveOrder</v>
      </c>
      <c r="C564" t="str">
        <f>IFERROR(__xludf.DUMMYFUNCTION("""COMPUTED_VALUE"""),"1k4O2DH0z6o7Zp7BJki2B-GvLEd7WL3r0-BBl39ErSwA")</f>
        <v>1k4O2DH0z6o7Zp7BJki2B-GvLEd7WL3r0-BBl39ErSwA</v>
      </c>
    </row>
    <row r="565" ht="15.75" customHeight="1">
      <c r="A565" t="str">
        <f>IFERROR(__xludf.DUMMYFUNCTION("""COMPUTED_VALUE"""),"Admin")</f>
        <v>Admin</v>
      </c>
      <c r="B565" t="str">
        <f>IFERROR(__xludf.DUMMYFUNCTION("""COMPUTED_VALUE"""),"RevertingSMSharesOutValue")</f>
        <v>RevertingSMSharesOutValue</v>
      </c>
      <c r="C565" t="str">
        <f>IFERROR(__xludf.DUMMYFUNCTION("""COMPUTED_VALUE"""),"14NB1Fv5kuloQb2TqNZV019UwD238JCIlsMkapq0l2ag")</f>
        <v>14NB1Fv5kuloQb2TqNZV019UwD238JCIlsMkapq0l2ag</v>
      </c>
    </row>
    <row r="566" ht="15.75" customHeight="1">
      <c r="A566" t="str">
        <f>IFERROR(__xludf.DUMMYFUNCTION("""COMPUTED_VALUE"""),"SymbolLookup")</f>
        <v>SymbolLookup</v>
      </c>
      <c r="B566" t="str">
        <f>IFERROR(__xludf.DUMMYFUNCTION("""COMPUTED_VALUE"""),"TradeSymbolFromSM")</f>
        <v>TradeSymbolFromSM</v>
      </c>
      <c r="C566" t="str">
        <f>IFERROR(__xludf.DUMMYFUNCTION("""COMPUTED_VALUE"""),"1QQqyEJAxSiITSpbxeSzT-43Z_t_k8RMkNqyDU83B9yw")</f>
        <v>1QQqyEJAxSiITSpbxeSzT-43Z_t_k8RMkNqyDU83B9yw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IFERROR(__xludf.DUMMYFUNCTION("""COMPUTED_VALUE"""),"SelectAccountWiseAsset")</f>
        <v>SelectAccountWiseAsset</v>
      </c>
      <c r="C567" t="str">
        <f>IFERROR(__xludf.DUMMYFUNCTION("""COMPUTED_VALUE"""),"1dg717feD1PLoJMODUOkjay-kVKs_HU6lWkwzq6Dzicw")</f>
        <v>1dg717feD1PLoJMODUOkjay-kVKs_HU6lWkwzq6Dzicw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IFERROR(__xludf.DUMMYFUNCTION("""COMPUTED_VALUE"""),"VerifyCTData")</f>
        <v>VerifyCTData</v>
      </c>
      <c r="C568" t="str">
        <f>IFERROR(__xludf.DUMMYFUNCTION("""COMPUTED_VALUE"""),"1DhgxoqROPCGpHN0ZvF_CxvGD_XGKqi4hirH4AyU5edM")</f>
        <v>1DhgxoqROPCGpHN0ZvF_CxvGD_XGKqi4hirH4AyU5edM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IFERROR(__xludf.DUMMYFUNCTION("""COMPUTED_VALUE"""),"ExerciseAssignmentWithOutSave")</f>
        <v>ExerciseAssignmentWithOutSave</v>
      </c>
      <c r="C569" t="str">
        <f>IFERROR(__xludf.DUMMYFUNCTION("""COMPUTED_VALUE"""),"13ISfl53WS5qjapt8_QubQCWQC5PngpTaN-DNznWEfnM")</f>
        <v>13ISfl53WS5qjapt8_QubQCWQC5PngpTaN-DNznWEfnM</v>
      </c>
    </row>
    <row r="570" ht="15.75" customHeight="1">
      <c r="A570" t="str">
        <f>IFERROR(__xludf.DUMMYFUNCTION("""COMPUTED_VALUE"""),"Closing")</f>
        <v>Closing</v>
      </c>
      <c r="B570" t="str">
        <f>IFERROR(__xludf.DUMMYFUNCTION("""COMPUTED_VALUE"""),"SaveCTData")</f>
        <v>SaveCTData</v>
      </c>
      <c r="C570" t="str">
        <f>IFERROR(__xludf.DUMMYFUNCTION("""COMPUTED_VALUE"""),"1lX2ofL0aTKUlfGG5tlpbifm1409nxXKN3EvA38tIwsI")</f>
        <v>1lX2ofL0aTKUlfGG5tlpbifm1409nxXKN3EvA38tIwsI</v>
      </c>
    </row>
    <row r="571" ht="15.75" customHeight="1">
      <c r="A571" t="str">
        <f>IFERROR(__xludf.DUMMYFUNCTION("""COMPUTED_VALUE"""),"Allocation")</f>
        <v>Allocation</v>
      </c>
      <c r="B571" t="str">
        <f>IFERROR(__xludf.DUMMYFUNCTION("""COMPUTED_VALUE"""),"AllocateWithPopUp")</f>
        <v>AllocateWithPopUp</v>
      </c>
      <c r="C571" t="str">
        <f>IFERROR(__xludf.DUMMYFUNCTION("""COMPUTED_VALUE"""),"1xGs6-0rm5y24BDfu0xaFuFjmw24xo_mnA1FsmchPkoQ")</f>
        <v>1xGs6-0rm5y24BDfu0xaFuFjmw24xo_mnA1FsmchPkoQ</v>
      </c>
    </row>
    <row r="572" ht="15.75" customHeight="1">
      <c r="A572" t="str">
        <f>IFERROR(__xludf.DUMMYFUNCTION("""COMPUTED_VALUE"""),"TradingTicket")</f>
        <v>TradingTicket</v>
      </c>
      <c r="B572" t="str">
        <f>IFERROR(__xludf.DUMMYFUNCTION("""COMPUTED_VALUE"""),"CreateNewSubLiveOrder")</f>
        <v>CreateNewSubLiveOrder</v>
      </c>
      <c r="C572" t="str">
        <f>IFERROR(__xludf.DUMMYFUNCTION("""COMPUTED_VALUE"""),"1sXlRlM3l3g7Y_cbxe72XjBbsp4DKHWhRKjq3FHbAEZg")</f>
        <v>1sXlRlM3l3g7Y_cbxe72XjBbsp4DKHWhRKjq3FHbAEZg</v>
      </c>
    </row>
    <row r="573" ht="15.75" customHeight="1">
      <c r="A573" t="str">
        <f>IFERROR(__xludf.DUMMYFUNCTION("""COMPUTED_VALUE"""),"Blotter")</f>
        <v>Blotter</v>
      </c>
      <c r="B573" t="str">
        <f>IFERROR(__xludf.DUMMYFUNCTION("""COMPUTED_VALUE"""),"ViewPTTAllocationDetails")</f>
        <v>ViewPTTAllocationDetails</v>
      </c>
      <c r="C573" t="str">
        <f>IFERROR(__xludf.DUMMYFUNCTION("""COMPUTED_VALUE"""),"1K3kCif21tZY3Z_07H3JuRu8yZ2BuxGjW7WwookIx-Fc")</f>
        <v>1K3kCif21tZY3Z_07H3JuRu8yZ2BuxGjW7WwookIx-Fc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IFERROR(__xludf.DUMMYFUNCTION("""COMPUTED_VALUE"""),"RestartSQL")</f>
        <v>RestartSQL</v>
      </c>
      <c r="C574" t="str">
        <f>IFERROR(__xludf.DUMMYFUNCTION("""COMPUTED_VALUE"""),"1-12TcMWdB2mXxQH8e7co5k5BUH-Uzpps1uWKQ-CLR00")</f>
        <v>1-12TcMWdB2mXxQH8e7co5k5BUH-Uzpps1uWKQ-CLR00</v>
      </c>
    </row>
    <row r="575" ht="15.75" customHeight="1">
      <c r="A575" t="str">
        <f>IFERROR(__xludf.DUMMYFUNCTION("""COMPUTED_VALUE"""),"Admin")</f>
        <v>Admin</v>
      </c>
      <c r="B575" t="str">
        <f>IFERROR(__xludf.DUMMYFUNCTION("""COMPUTED_VALUE"""),"TradeAuditCleanUp")</f>
        <v>TradeAuditCleanUp</v>
      </c>
      <c r="C575" t="str">
        <f>IFERROR(__xludf.DUMMYFUNCTION("""COMPUTED_VALUE"""),"1te_tPkqDmMAupeEd8qm_jD3j66mFB1Z4N9FMCo8XPy4")</f>
        <v>1te_tPkqDmMAupeEd8qm_jD3j66mFB1Z4N9FMCo8XPy4</v>
      </c>
    </row>
    <row r="576" ht="15.75" customHeight="1">
      <c r="A576" t="str">
        <f>IFERROR(__xludf.DUMMYFUNCTION("""COMPUTED_VALUE"""),"Import")</f>
        <v>Import</v>
      </c>
      <c r="B576" t="str">
        <f>IFERROR(__xludf.DUMMYFUNCTION("""COMPUTED_VALUE"""),"SelectTradeOnImport")</f>
        <v>SelectTradeOnImport</v>
      </c>
      <c r="C576" t="str">
        <f>IFERROR(__xludf.DUMMYFUNCTION("""COMPUTED_VALUE"""),"1E9KQGFIuEW08WBNI-XqSj37_5i6SG51bbwPJ0NN4Mmc")</f>
        <v>1E9KQGFIuEW08WBNI-XqSj37_5i6SG51bbwPJ0NN4Mmc</v>
      </c>
    </row>
    <row r="577" ht="15.75" customHeight="1">
      <c r="A577" t="str">
        <f>IFERROR(__xludf.DUMMYFUNCTION("""COMPUTED_VALUE"""),"Allocation")</f>
        <v>Allocation</v>
      </c>
      <c r="B577" t="str">
        <f>IFERROR(__xludf.DUMMYFUNCTION("""COMPUTED_VALUE"""),"SelectAllRowsAllocated")</f>
        <v>SelectAllRowsAllocated</v>
      </c>
      <c r="C577" t="str">
        <f>IFERROR(__xludf.DUMMYFUNCTION("""COMPUTED_VALUE"""),"Undefined")</f>
        <v>Undefined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IFERROR(__xludf.DUMMYFUNCTION("""COMPUTED_VALUE"""),"FilterLongPositionGrid")</f>
        <v>FilterLongPositionGrid</v>
      </c>
      <c r="C578" t="str">
        <f>IFERROR(__xludf.DUMMYFUNCTION("""COMPUTED_VALUE"""),"1eQ05g7FlkoucBRzqzHC6DYgristCD8IKA7i0JOPqMMs")</f>
        <v>1eQ05g7FlkoucBRzqzHC6DYgristCD8IKA7i0JOPqMMs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IFERROR(__xludf.DUMMYFUNCTION("""COMPUTED_VALUE"""),"FilterShortPositionGrid")</f>
        <v>FilterShortPositionGrid</v>
      </c>
      <c r="C579" t="str">
        <f>IFERROR(__xludf.DUMMYFUNCTION("""COMPUTED_VALUE"""),"1_Kaj9Gla2_3_3DWDcJLohN-Ulu6Or19SpBltOn1IqpA")</f>
        <v>1_Kaj9Gla2_3_3DWDcJLohN-Ulu6Or19SpBltOn1IqpA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IFERROR(__xludf.DUMMYFUNCTION("""COMPUTED_VALUE"""),"FilterClosingGrid")</f>
        <v>FilterClosingGrid</v>
      </c>
      <c r="C580" t="str">
        <f>IFERROR(__xludf.DUMMYFUNCTION("""COMPUTED_VALUE"""),"1x0tSTgqZ5yRnN4Tz7nFtGYNGMoM4Tz6TBq0Ru3xflwY")</f>
        <v>1x0tSTgqZ5yRnN4Tz7nFtGYNGMoM4Tz6TBq0Ru3xflwY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IFERROR(__xludf.DUMMYFUNCTION("""COMPUTED_VALUE"""),"FilterUnexpiredGrid")</f>
        <v>FilterUnexpiredGrid</v>
      </c>
      <c r="C581" t="str">
        <f>IFERROR(__xludf.DUMMYFUNCTION("""COMPUTED_VALUE"""),"19__Spg6yNEdiEgPsq0ju_vHO7AEAj0c1TjazwCSKFSs")</f>
        <v>19__Spg6yNEdiEgPsq0ju_vHO7AEAj0c1TjazwCSKFSs</v>
      </c>
    </row>
    <row r="582" ht="15.75" customHeight="1">
      <c r="A582" t="str">
        <f>IFERROR(__xludf.DUMMYFUNCTION("""COMPUTED_VALUE"""),"Closing")</f>
        <v>Closing</v>
      </c>
      <c r="B582" t="str">
        <f>IFERROR(__xludf.DUMMYFUNCTION("""COMPUTED_VALUE"""),"FilterExpiredGrid")</f>
        <v>FilterExpiredGrid</v>
      </c>
      <c r="C582" t="str">
        <f>IFERROR(__xludf.DUMMYFUNCTION("""COMPUTED_VALUE"""),"1jZq080VyNhunffpTX7Q8WctBF6FMMlgDqxOs2X0M62s")</f>
        <v>1jZq080VyNhunffpTX7Q8WctBF6FMMlgDqxOs2X0M62s</v>
      </c>
    </row>
    <row r="583" ht="15.75" customHeight="1">
      <c r="A583" t="str">
        <f>IFERROR(__xludf.DUMMYFUNCTION("""COMPUTED_VALUE"""),"GeneralLedger")</f>
        <v>GeneralLedger</v>
      </c>
      <c r="B583" t="str">
        <f>IFERROR(__xludf.DUMMYFUNCTION("""COMPUTED_VALUE"""),"FilterCashTransactionGrid")</f>
        <v>FilterCashTransactionGrid</v>
      </c>
      <c r="C583" t="str">
        <f>IFERROR(__xludf.DUMMYFUNCTION("""COMPUTED_VALUE"""),"1yFQmKvzwAFdsY1i_j5krUyRXB0Jw9K6HiJ1sedlnizE")</f>
        <v>1yFQmKvzwAFdsY1i_j5krUyRXB0Jw9K6HiJ1sedlnizE</v>
      </c>
    </row>
    <row r="584" ht="15.75" customHeight="1">
      <c r="A584" t="str">
        <f>IFERROR(__xludf.DUMMYFUNCTION("""COMPUTED_VALUE"""),"Recon")</f>
        <v>Recon</v>
      </c>
      <c r="B584" t="str">
        <f>IFERROR(__xludf.DUMMYFUNCTION("""COMPUTED_VALUE"""),"VerifyApplicationData")</f>
        <v>VerifyApplicationData</v>
      </c>
      <c r="C584" t="str">
        <f>IFERROR(__xludf.DUMMYFUNCTION("""COMPUTED_VALUE"""),"1Dpr8WIv6TDBK0rxjxSy_MqWbkp0VcPh0dzzq05jelwk")</f>
        <v>1Dpr8WIv6TDBK0rxjxSy_MqWbkp0VcPh0dzzq05jelwk</v>
      </c>
    </row>
    <row r="585" ht="15.75" customHeight="1">
      <c r="A585" t="str">
        <f>IFERROR(__xludf.DUMMYFUNCTION("""COMPUTED_VALUE"""),"GeneralLedger")</f>
        <v>GeneralLedger</v>
      </c>
      <c r="B585" t="str">
        <f>IFERROR(__xludf.DUMMYFUNCTION("""COMPUTED_VALUE"""),"EditGridCashTransactions")</f>
        <v>EditGridCashTransactions</v>
      </c>
      <c r="C585" t="str">
        <f>IFERROR(__xludf.DUMMYFUNCTION("""COMPUTED_VALUE"""),"1U3Lll-22S6_flQX8K9e2RYFi60F4xvlFiIrO7oI53SM")</f>
        <v>1U3Lll-22S6_flQX8K9e2RYFi60F4xvlFiIrO7oI53SM</v>
      </c>
    </row>
    <row r="586" ht="15.75" customHeight="1">
      <c r="A586" t="str">
        <f>IFERROR(__xludf.DUMMYFUNCTION("""COMPUTED_VALUE"""),"Closing")</f>
        <v>Closing</v>
      </c>
      <c r="B586" t="str">
        <f>IFERROR(__xludf.DUMMYFUNCTION("""COMPUTED_VALUE"""),"UnwindAllClosingData")</f>
        <v>UnwindAllClosingData</v>
      </c>
      <c r="C586" t="str">
        <f>IFERROR(__xludf.DUMMYFUNCTION("""COMPUTED_VALUE"""),"1tWUIoWkYt76dEoPLffGeR3BKhumyPmGYrDDpNHf57-E")</f>
        <v>1tWUIoWkYt76dEoPLffGeR3BKhumyPmGYrDDpNHf57-E</v>
      </c>
    </row>
    <row r="587" ht="15.75" customHeight="1">
      <c r="A587" t="str">
        <f>IFERROR(__xludf.DUMMYFUNCTION("""COMPUTED_VALUE"""),"GeneralLedger")</f>
        <v>GeneralLedger</v>
      </c>
      <c r="B587" t="str">
        <f>IFERROR(__xludf.DUMMYFUNCTION("""COMPUTED_VALUE"""),"SaveCashTransaction")</f>
        <v>SaveCashTransaction</v>
      </c>
      <c r="C587" t="str">
        <f>IFERROR(__xludf.DUMMYFUNCTION("""COMPUTED_VALUE"""),"1B21k1fT7qeMq7F9lYaslrVehhg0joFVgy-pYc8Lkmf8")</f>
        <v>1B21k1fT7qeMq7F9lYaslrVehhg0joFVgy-pYc8Lkmf8</v>
      </c>
    </row>
    <row r="588" ht="15.75" customHeight="1">
      <c r="A588" t="str">
        <f>IFERROR(__xludf.DUMMYFUNCTION("""COMPUTED_VALUE"""),"ThirdParty")</f>
        <v>ThirdParty</v>
      </c>
      <c r="B588" t="str">
        <f>IFERROR(__xludf.DUMMYFUNCTION("""COMPUTED_VALUE"""),"ChangeThirdpartyDate")</f>
        <v>ChangeThirdpartyDate</v>
      </c>
      <c r="C588" t="str">
        <f>IFERROR(__xludf.DUMMYFUNCTION("""COMPUTED_VALUE"""),"1h4P6VS7hFcj6Gpcpap9UycUQLIp7GSGhFN-Pc67f1mU")</f>
        <v>1h4P6VS7hFcj6Gpcpap9UycUQLIp7GSGhFN-Pc67f1mU</v>
      </c>
    </row>
    <row r="589" ht="15.75" customHeight="1">
      <c r="A589" t="str">
        <f>IFERROR(__xludf.DUMMYFUNCTION("""COMPUTED_VALUE"""),"GeneralLedger")</f>
        <v>GeneralLedger</v>
      </c>
      <c r="B589" t="str">
        <f>IFERROR(__xludf.DUMMYFUNCTION("""COMPUTED_VALUE"""),"RunManualRevaluation")</f>
        <v>RunManualRevaluation</v>
      </c>
      <c r="C589" t="str">
        <f>IFERROR(__xludf.DUMMYFUNCTION("""COMPUTED_VALUE"""),"1tQChZuaBAI5usO4RbYIySlrw0tFhWje4RI-gh286me8")</f>
        <v>1tQChZuaBAI5usO4RbYIySlrw0tFhWje4RI-gh286me8</v>
      </c>
    </row>
    <row r="590" ht="15.75" customHeight="1">
      <c r="A590" t="str">
        <f>IFERROR(__xludf.DUMMYFUNCTION("""COMPUTED_VALUE"""),"SymbolLookup")</f>
        <v>SymbolLookup</v>
      </c>
      <c r="B590" t="str">
        <f>IFERROR(__xludf.DUMMYFUNCTION("""COMPUTED_VALUE"""),"AddSymbol")</f>
        <v>AddSymbol</v>
      </c>
      <c r="C590" t="str">
        <f>IFERROR(__xludf.DUMMYFUNCTION("""COMPUTED_VALUE"""),"1Sm5U6q-jz5LeKeyf9JfBjKzov0tNefLFi5MsaafqKYg")</f>
        <v>1Sm5U6q-jz5LeKeyf9JfBjKzov0tNefLFi5MsaafqKYg</v>
      </c>
    </row>
    <row r="591" ht="15.75" customHeight="1">
      <c r="A591" t="str">
        <f>IFERROR(__xludf.DUMMYFUNCTION("""COMPUTED_VALUE"""),"Admin")</f>
        <v>Admin</v>
      </c>
      <c r="B591" t="str">
        <f>IFERROR(__xludf.DUMMYFUNCTION("""COMPUTED_VALUE"""),"DeleteSymbolFromSM")</f>
        <v>DeleteSymbolFromSM</v>
      </c>
      <c r="C591" t="str">
        <f>IFERROR(__xludf.DUMMYFUNCTION("""COMPUTED_VALUE"""),"1DudMRucUgcEjmlylDgFYqu5uXTRzRsr-jnE6lVHMbjY")</f>
        <v>1DudMRucUgcEjmlylDgFYqu5uXTRzRsr-jnE6lVHMbjY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IFERROR(__xludf.DUMMYFUNCTION("""COMPUTED_VALUE"""),"AddSymbolToWatchlist")</f>
        <v>AddSymbolToWatchlist</v>
      </c>
      <c r="C592" t="str">
        <f>IFERROR(__xludf.DUMMYFUNCTION("""COMPUTED_VALUE"""),"1XmnTrOtQLoxDHPfo2HMbZB9NBqLkHPulaqnXm4cQ5KA")</f>
        <v>1XmnTrOtQLoxDHPfo2HMbZB9NBqLkHPulaqnXm4cQ5KA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IFERROR(__xludf.DUMMYFUNCTION("""COMPUTED_VALUE"""),"TradeFromWatchlist")</f>
        <v>TradeFromWatchlist</v>
      </c>
      <c r="C593" t="str">
        <f>IFERROR(__xludf.DUMMYFUNCTION("""COMPUTED_VALUE"""),"1T9s9NPtF9Q_Ppi6FLLTTJxb43fAm4QnWCD3GM96gXjQ")</f>
        <v>1T9s9NPtF9Q_Ppi6FLLTTJxb43fAm4QnWCD3GM96gXjQ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IFERROR(__xludf.DUMMYFUNCTION("""COMPUTED_VALUE"""),"MultiTradeFromWatchlist")</f>
        <v>MultiTradeFromWatchlist</v>
      </c>
      <c r="C594" t="str">
        <f>IFERROR(__xludf.DUMMYFUNCTION("""COMPUTED_VALUE"""),"13Bo68XuCJXrtlP5Ji1GdlQm3HIyUjNAnbQEqNi_0j80")</f>
        <v>13Bo68XuCJXrtlP5Ji1GdlQm3HIyUjNAnbQEqNi_0j80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IFERROR(__xludf.DUMMYFUNCTION("""COMPUTED_VALUE"""),"DeleteSymbolFromWatchlist")</f>
        <v>DeleteSymbolFromWatchlist</v>
      </c>
      <c r="C595" t="str">
        <f>IFERROR(__xludf.DUMMYFUNCTION("""COMPUTED_VALUE"""),"1KR8LzaHhEwxGacZ2Jul0uakCfHBvSq8Om-PWySPLpHU")</f>
        <v>1KR8LzaHhEwxGacZ2Jul0uakCfHBvSq8Om-PWySPLpHU</v>
      </c>
    </row>
    <row r="596" ht="15.75" customHeight="1">
      <c r="A596" t="str">
        <f>IFERROR(__xludf.DUMMYFUNCTION("""COMPUTED_VALUE"""),"Watchlist")</f>
        <v>Watchlist</v>
      </c>
      <c r="B596" t="str">
        <f>IFERROR(__xludf.DUMMYFUNCTION("""COMPUTED_VALUE"""),"VerifySymbolsOnWatchlist")</f>
        <v>VerifySymbolsOnWatchlist</v>
      </c>
      <c r="C596" t="str">
        <f>IFERROR(__xludf.DUMMYFUNCTION("""COMPUTED_VALUE"""),"1fkU0S4violR7UFjAn9TlUpgOonAIAkkJZA9g0xcb6hU")</f>
        <v>1fkU0S4violR7UFjAn9TlUpgOonAIAkkJZA9g0xcb6hU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IFERROR(__xludf.DUMMYFUNCTION("""COMPUTED_VALUE"""),"VerifyAppMatchedData")</f>
        <v>VerifyAppMatchedData</v>
      </c>
      <c r="C597" t="str">
        <f>IFERROR(__xludf.DUMMYFUNCTION("""COMPUTED_VALUE"""),"14GA6gCi0TKNLF2vISw-OK2MXQBKkoHIrNEl4pTEICeg")</f>
        <v>14GA6gCi0TKNLF2vISw-OK2MXQBKkoHIrNEl4pTEICeg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IFERROR(__xludf.DUMMYFUNCTION("""COMPUTED_VALUE"""),"VerifyAppUnmatchedData")</f>
        <v>VerifyAppUnmatchedData</v>
      </c>
      <c r="C598" t="str">
        <f>IFERROR(__xludf.DUMMYFUNCTION("""COMPUTED_VALUE"""),"1fRtlhH7TyRkIcxAV3P_BFbmJBgSLDwOvrBxrqiU6xKw")</f>
        <v>1fRtlhH7TyRkIcxAV3P_BFbmJBgSLDwOvrBxrqiU6xKw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IFERROR(__xludf.DUMMYFUNCTION("""COMPUTED_VALUE"""),"VerifyPBMatchedData")</f>
        <v>VerifyPBMatchedData</v>
      </c>
      <c r="C599" t="str">
        <f>IFERROR(__xludf.DUMMYFUNCTION("""COMPUTED_VALUE"""),"18BzE30Ho0Qvtx4D8qR8XqV6nyyOdYbSVu-Z17SjWyuA")</f>
        <v>18BzE30Ho0Qvtx4D8qR8XqV6nyyOdYbSVu-Z17SjWyuA</v>
      </c>
    </row>
    <row r="600" ht="15.75" customHeight="1">
      <c r="A600" t="str">
        <f>IFERROR(__xludf.DUMMYFUNCTION("""COMPUTED_VALUE"""),"Recon")</f>
        <v>Recon</v>
      </c>
      <c r="B600" t="str">
        <f>IFERROR(__xludf.DUMMYFUNCTION("""COMPUTED_VALUE"""),"VerifyPBUnmatchedData")</f>
        <v>VerifyPBUnmatchedData</v>
      </c>
      <c r="C600" t="str">
        <f>IFERROR(__xludf.DUMMYFUNCTION("""COMPUTED_VALUE"""),"175euYUhYwu8NiO4e3-6islzKymxACVs9cl3KioQ0DbA")</f>
        <v>175euYUhYwu8NiO4e3-6islzKymxACVs9cl3KioQ0DbA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IFERROR(__xludf.DUMMYFUNCTION("""COMPUTED_VALUE"""),"OpenQtt")</f>
        <v>OpenQtt</v>
      </c>
      <c r="C601" t="str">
        <f>IFERROR(__xludf.DUMMYFUNCTION("""COMPUTED_VALUE"""),"1aAWPiagRSQBPzFpFvPGXOL3ffgkx6Nv3C5nWfeoNcgM")</f>
        <v>1aAWPiagRSQBPzFpFvPGXOL3ffgkx6Nv3C5nWfeoNcgM</v>
      </c>
    </row>
    <row r="602" ht="15.75" customHeight="1">
      <c r="A602" t="str">
        <f>IFERROR(__xludf.DUMMYFUNCTION("""COMPUTED_VALUE"""),"QTT")</f>
        <v>QTT</v>
      </c>
      <c r="B602" t="str">
        <f>IFERROR(__xludf.DUMMYFUNCTION("""COMPUTED_VALUE"""),"TradeFromQTT")</f>
        <v>TradeFromQTT</v>
      </c>
      <c r="C602" t="str">
        <f>IFERROR(__xludf.DUMMYFUNCTION("""COMPUTED_VALUE"""),"1VxR48DRURy-5fMryJTwAP30_4MHBsyd5IYM_MA17mH4")</f>
        <v>1VxR48DRURy-5fMryJTwAP30_4MHBsyd5IYM_MA17mH4</v>
      </c>
    </row>
    <row r="603" ht="15.75" customHeight="1">
      <c r="A603" t="str">
        <f>IFERROR(__xludf.DUMMYFUNCTION("""COMPUTED_VALUE"""),"TradingTicket")</f>
        <v>TradingTicket</v>
      </c>
      <c r="B603" t="str">
        <f>IFERROR(__xludf.DUMMYFUNCTION("""COMPUTED_VALUE"""),"VerifyBasketExport")</f>
        <v>VerifyBasketExport</v>
      </c>
      <c r="C603" t="str">
        <f>IFERROR(__xludf.DUMMYFUNCTION("""COMPUTED_VALUE"""),"1KOVAJXM-60wuzbemyOcR8_7Pu3PI0nXBRqpYgb3dzkU")</f>
        <v>1KOVAJXM-60wuzbemyOcR8_7Pu3PI0nXBRqpYgb3dzkU</v>
      </c>
    </row>
    <row r="604" ht="15.75" customHeight="1">
      <c r="A604" t="str">
        <f>IFERROR(__xludf.DUMMYFUNCTION("""COMPUTED_VALUE"""),"Admin")</f>
        <v>Admin</v>
      </c>
      <c r="B604" t="str">
        <f>IFERROR(__xludf.DUMMYFUNCTION("""COMPUTED_VALUE"""),"SetCompliancePermission")</f>
        <v>SetCompliancePermission</v>
      </c>
      <c r="C604" t="str">
        <f>IFERROR(__xludf.DUMMYFUNCTION("""COMPUTED_VALUE"""),"125GL21UTNAv-VPIkHZbpZjsENPGN-XLVcbrUI4CZxxA")</f>
        <v>125GL21UTNAv-VPIkHZbpZjsENPGN-XLVcbrUI4CZxxA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IFERROR(__xludf.DUMMYFUNCTION("""COMPUTED_VALUE"""),"ApproveorRejectpendingapproval")</f>
        <v>ApproveorRejectpendingapproval</v>
      </c>
      <c r="C605" t="str">
        <f>IFERROR(__xludf.DUMMYFUNCTION("""COMPUTED_VALUE"""),"1kblrJiY5tjWVV0kCU90-uYIUPjXfJMDg72L-1IJOLGU")</f>
        <v>1kblrJiY5tjWVV0kCU90-uYIUPjXfJMDg72L-1IJOLGU</v>
      </c>
    </row>
    <row r="606" ht="15.75" customHeight="1">
      <c r="A606" t="str">
        <f>IFERROR(__xludf.DUMMYFUNCTION("""COMPUTED_VALUE"""),"Compliance")</f>
        <v>Compliance</v>
      </c>
      <c r="B606" t="str">
        <f>IFERROR(__xludf.DUMMYFUNCTION("""COMPUTED_VALUE"""),"VerifyAlertHistory")</f>
        <v>VerifyAlertHistory</v>
      </c>
      <c r="C606" t="str">
        <f>IFERROR(__xludf.DUMMYFUNCTION("""COMPUTED_VALUE"""),"1flh7l8ahyS7C018bO_Y6k1K-XT76tXzdz53HLkQ4xU4")</f>
        <v>1flh7l8ahyS7C018bO_Y6k1K-XT76tXzdz53HLkQ4xU4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IFERROR(__xludf.DUMMYFUNCTION("""COMPUTED_VALUE"""),"MergeOrder")</f>
        <v>MergeOrder</v>
      </c>
      <c r="C607" t="str">
        <f>IFERROR(__xludf.DUMMYFUNCTION("""COMPUTED_VALUE"""),"1MPmJ5VEjT-ZUHCoVctZCP9aHjIzuZW0_hruDc41GD-A")</f>
        <v>1MPmJ5VEjT-ZUHCoVctZCP9aHjIzuZW0_hruDc41GD-A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IFERROR(__xludf.DUMMYFUNCTION("""COMPUTED_VALUE"""),"VerifyMergeOrder")</f>
        <v>VerifyMergeOrder</v>
      </c>
      <c r="C608" t="str">
        <f>IFERROR(__xludf.DUMMYFUNCTION("""COMPUTED_VALUE"""),"1YPCy9ceoUg_SjAt-3PXhz8GxVOfWkuIJ1yRR9c0aZrE")</f>
        <v>1YPCy9ceoUg_SjAt-3PXhz8GxVOfWkuIJ1yRR9c0aZrE</v>
      </c>
    </row>
    <row r="609" ht="15.75" customHeight="1">
      <c r="A609" t="str">
        <f>IFERROR(__xludf.DUMMYFUNCTION("""COMPUTED_VALUE"""),"Blotter")</f>
        <v>Blotter</v>
      </c>
      <c r="B609" t="str">
        <f>IFERROR(__xludf.DUMMYFUNCTION("""COMPUTED_VALUE"""),"AddTabBlotter")</f>
        <v>AddTabBlotter</v>
      </c>
      <c r="C609" t="str">
        <f>IFERROR(__xludf.DUMMYFUNCTION("""COMPUTED_VALUE"""),"1YMp0jrKM8rLBzloaDu3tQ6aTv8C98xCVaQ6Wxe_flKc")</f>
        <v>1YMp0jrKM8rLBzloaDu3tQ6aTv8C98xCVaQ6Wxe_flKc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IFERROR(__xludf.DUMMYFUNCTION("""COMPUTED_VALUE"""),"CloseRebalancer")</f>
        <v>CloseRebalancer</v>
      </c>
      <c r="C610" t="str">
        <f>IFERROR(__xludf.DUMMYFUNCTION("""COMPUTED_VALUE"""),"Undefined")</f>
        <v>Undefined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IFERROR(__xludf.DUMMYFUNCTION("""COMPUTED_VALUE"""),"AddCustomCashUsingImport")</f>
        <v>AddCustomCashUsingImport</v>
      </c>
      <c r="C611" t="str">
        <f>IFERROR(__xludf.DUMMYFUNCTION("""COMPUTED_VALUE"""),"1nK0OIxssf5AR0xHG2TzYVlqjkwDX8BRkcb7sWcPW2kA")</f>
        <v>1nK0OIxssf5AR0xHG2TzYVlqjkwDX8BRkcb7sWcPW2kA</v>
      </c>
    </row>
    <row r="612" ht="15.75" customHeight="1">
      <c r="A612" t="str">
        <f>IFERROR(__xludf.DUMMYFUNCTION("""COMPUTED_VALUE"""),"Rebalancer")</f>
        <v>Rebalancer</v>
      </c>
      <c r="B612" t="str">
        <f>IFERROR(__xludf.DUMMYFUNCTION("""COMPUTED_VALUE"""),"EditRebalanceGrid")</f>
        <v>EditRebalanceGrid</v>
      </c>
      <c r="C612" t="str">
        <f>IFERROR(__xludf.DUMMYFUNCTION("""COMPUTED_VALUE"""),"1QX_rYsr8GIcxa1bv4oQ2qNxe0w-YwiY_loABgwfLsP0")</f>
        <v>1QX_rYsr8GIcxa1bv4oQ2qNxe0w-YwiY_loABgwfLsP0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IFERROR(__xludf.DUMMYFUNCTION("""COMPUTED_VALUE"""),"EnableBlankMarkPrices")</f>
        <v>EnableBlankMarkPrices</v>
      </c>
      <c r="C613" t="str">
        <f>IFERROR(__xludf.DUMMYFUNCTION("""COMPUTED_VALUE"""),"10Mzp90fyme73_sxAYwM2i8xwqgeQUe_de_N7Y-Cnu6Q")</f>
        <v>10Mzp90fyme73_sxAYwM2i8xwqgeQUe_de_N7Y-Cnu6Q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IFERROR(__xludf.DUMMYFUNCTION("""COMPUTED_VALUE"""),"UpateSymbolBlankMP")</f>
        <v>UpateSymbolBlankMP</v>
      </c>
      <c r="C614" t="str">
        <f>IFERROR(__xludf.DUMMYFUNCTION("""COMPUTED_VALUE"""),"1Y4lmODSKti17gLeUqSwERRx-4D5awbTM9UOJZrp60F4")</f>
        <v>1Y4lmODSKti17gLeUqSwERRx-4D5awbTM9UOJZrp60F4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IFERROR(__xludf.DUMMYFUNCTION("""COMPUTED_VALUE"""),"UpdateBlankMP")</f>
        <v>UpdateBlankMP</v>
      </c>
      <c r="C615" t="str">
        <f>IFERROR(__xludf.DUMMYFUNCTION("""COMPUTED_VALUE"""),"1i5WlaPZ1-uo5yRQyqBi_NoGgPj8ziXj7cnN8reG8SXo")</f>
        <v>1i5WlaPZ1-uo5yRQyqBi_NoGgPj8ziXj7cnN8reG8SXo</v>
      </c>
    </row>
    <row r="616" ht="15.75" customHeight="1">
      <c r="A616" t="str">
        <f>IFERROR(__xludf.DUMMYFUNCTION("""COMPUTED_VALUE"""),"DailyValuation")</f>
        <v>DailyValuation</v>
      </c>
      <c r="B616" t="str">
        <f>IFERROR(__xludf.DUMMYFUNCTION("""COMPUTED_VALUE"""),"FilterBlankMP")</f>
        <v>FilterBlankMP</v>
      </c>
      <c r="C616" t="str">
        <f>IFERROR(__xludf.DUMMYFUNCTION("""COMPUTED_VALUE"""),"1zsU3_vPB4UlwnEI6Hgxofosk22-vdytF5SYhkTLGr3Y")</f>
        <v>1zsU3_vPB4UlwnEI6Hgxofosk22-vdytF5SYhkTLGr3Y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IFERROR(__xludf.DUMMYFUNCTION("""COMPUTED_VALUE"""),"SelectFromSMGridUI")</f>
        <v>SelectFromSMGridUI</v>
      </c>
      <c r="C617" t="str">
        <f>IFERROR(__xludf.DUMMYFUNCTION("""COMPUTED_VALUE"""),"1RozaKMXual4WXW46lBsE3Orf9OV2Nn-FhxvokH28xaw")</f>
        <v>1RozaKMXual4WXW46lBsE3Orf9OV2Nn-FhxvokH28xaw</v>
      </c>
    </row>
    <row r="618" ht="15.75" customHeight="1">
      <c r="A618" t="str">
        <f>IFERROR(__xludf.DUMMYFUNCTION("""COMPUTED_VALUE"""),"SymbolLookup")</f>
        <v>SymbolLookup</v>
      </c>
      <c r="B618" t="str">
        <f>IFERROR(__xludf.DUMMYFUNCTION("""COMPUTED_VALUE"""),"EditSMGridUi")</f>
        <v>EditSMGridUi</v>
      </c>
      <c r="C618" t="str">
        <f>IFERROR(__xludf.DUMMYFUNCTION("""COMPUTED_VALUE"""),"1P3hQI12FYJP4QrekwcLQ4UJcZeg6WQU7Y7X6wSfNfe4")</f>
        <v>1P3hQI12FYJP4QrekwcLQ4UJcZeg6WQU7Y7X6wSfNfe4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IFERROR(__xludf.DUMMYFUNCTION("""COMPUTED_VALUE"""),"EditInterceptorFile")</f>
        <v>EditInterceptorFile</v>
      </c>
      <c r="C619" t="str">
        <f>IFERROR(__xludf.DUMMYFUNCTION("""COMPUTED_VALUE"""),"1E0GenYl5VsF6ic5npTKWWfS_gebqIIj6InrHMvvbtso")</f>
        <v>1E0GenYl5VsF6ic5npTKWWfS_gebqIIj6InrHMvvbtso</v>
      </c>
    </row>
    <row r="620" ht="15.75" customHeight="1">
      <c r="A620" t="str">
        <f>IFERROR(__xludf.DUMMYFUNCTION("""COMPUTED_VALUE"""),"Compliance")</f>
        <v>Compliance</v>
      </c>
      <c r="B620" t="str">
        <f>IFERROR(__xludf.DUMMYFUNCTION("""COMPUTED_VALUE"""),"ReplaceInterceptorFile")</f>
        <v>ReplaceInterceptorFile</v>
      </c>
      <c r="C620" t="str">
        <f>IFERROR(__xludf.DUMMYFUNCTION("""COMPUTED_VALUE"""),"Undefined")</f>
        <v>Undefined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IFERROR(__xludf.DUMMYFUNCTION("""COMPUTED_VALUE"""),"VerifyLowerStripBlotterUI")</f>
        <v>VerifyLowerStripBlotterUI</v>
      </c>
      <c r="C621" t="str">
        <f>IFERROR(__xludf.DUMMYFUNCTION("""COMPUTED_VALUE"""),"1HZDVVf9laKE8xHcR6trbwHakdbl6uFndhwO94MHDlcQ")</f>
        <v>1HZDVVf9laKE8xHcR6trbwHakdbl6uFndhwO94MHDlcQ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IFERROR(__xludf.DUMMYFUNCTION("""COMPUTED_VALUE"""),"SaveOrRemoveInSummaryTab")</f>
        <v>SaveOrRemoveInSummaryTab</v>
      </c>
      <c r="C622" t="str">
        <f>IFERROR(__xludf.DUMMYFUNCTION("""COMPUTED_VALUE"""),"16E73g0W5LRIhkg1RbjzOOK94Uv0Vlbn7MMDq-QXA2kc")</f>
        <v>16E73g0W5LRIhkg1RbjzOOK94Uv0Vlbn7MMDq-QXA2kc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IFERROR(__xludf.DUMMYFUNCTION("""COMPUTED_VALUE"""),"SaveOrRemoveInWorkingSubsTab")</f>
        <v>SaveOrRemoveInWorkingSubsTab</v>
      </c>
      <c r="C623" t="str">
        <f>IFERROR(__xludf.DUMMYFUNCTION("""COMPUTED_VALUE"""),"15CFpQocegIFfZ23cSQZai_mnb9NZPlp99oh6nO0sjXg")</f>
        <v>15CFpQocegIFfZ23cSQZai_mnb9NZPlp99oh6nO0sjXg</v>
      </c>
    </row>
    <row r="624" ht="15.75" customHeight="1">
      <c r="A624" t="str">
        <f>IFERROR(__xludf.DUMMYFUNCTION("""COMPUTED_VALUE"""),"Blotter")</f>
        <v>Blotter</v>
      </c>
      <c r="B624" t="str">
        <f>IFERROR(__xludf.DUMMYFUNCTION("""COMPUTED_VALUE"""),"SelectCheckBoxOnOrderGrid")</f>
        <v>SelectCheckBoxOnOrderGrid</v>
      </c>
      <c r="C624" t="str">
        <f>IFERROR(__xludf.DUMMYFUNCTION("""COMPUTED_VALUE"""),"18ge8W43MnUH64uDLyzdwmaOTsTAxaKRTY5e2M2PR7Ig")</f>
        <v>18ge8W43MnUH64uDLyzdwmaOTsTAxaKRTY5e2M2PR7Ig</v>
      </c>
    </row>
    <row r="625" ht="15.75" customHeight="1">
      <c r="A625" t="str">
        <f>IFERROR(__xludf.DUMMYFUNCTION("""COMPUTED_VALUE"""),"Compliance")</f>
        <v>Compliance</v>
      </c>
      <c r="B625" t="str">
        <f>IFERROR(__xludf.DUMMYFUNCTION("""COMPUTED_VALUE"""),"RestartReleasesAndServices")</f>
        <v>RestartReleasesAndServices</v>
      </c>
      <c r="C625" t="str">
        <f>IFERROR(__xludf.DUMMYFUNCTION("""COMPUTED_VALUE"""),"1T07pMES6_0vIAOHEcHllSqzIfxdK3kjZkG_bnk1Q87E")</f>
        <v>1T07pMES6_0vIAOHEcHllSqzIfxdK3kjZkG_bnk1Q87E</v>
      </c>
    </row>
    <row r="626" ht="15.75" customHeight="1">
      <c r="A626" t="str">
        <f>IFERROR(__xludf.DUMMYFUNCTION("""COMPUTED_VALUE"""),"PTT")</f>
        <v>PTT</v>
      </c>
      <c r="B626" t="str">
        <f>IFERROR(__xludf.DUMMYFUNCTION("""COMPUTED_VALUE"""),"AutoStageImportFromPTTExport")</f>
        <v>AutoStageImportFromPTTExport</v>
      </c>
      <c r="C626" t="str">
        <f>IFERROR(__xludf.DUMMYFUNCTION("""COMPUTED_VALUE"""),"Undefined")</f>
        <v>Undefined</v>
      </c>
    </row>
    <row r="627" ht="15.75" customHeight="1">
      <c r="A627" t="str">
        <f>IFERROR(__xludf.DUMMYFUNCTION("""COMPUTED_VALUE"""),"Closing")</f>
        <v>Closing</v>
      </c>
      <c r="B627" t="str">
        <f>IFERROR(__xludf.DUMMYFUNCTION("""COMPUTED_VALUE"""),"FilterClosing")</f>
        <v>FilterClosing</v>
      </c>
      <c r="C627" t="str">
        <f>IFERROR(__xludf.DUMMYFUNCTION("""COMPUTED_VALUE"""),"1JSzRoeUWroBBbNbincAHC4uO8KmsFjinSPOeKTzIgWw")</f>
        <v>1JSzRoeUWroBBbNbincAHC4uO8KmsFjinSPOeKTzIgWw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IFERROR(__xludf.DUMMYFUNCTION("""COMPUTED_VALUE"""),"BulkEditUpdateFromMTT")</f>
        <v>BulkEditUpdateFromMTT</v>
      </c>
      <c r="C628" t="str">
        <f>IFERROR(__xludf.DUMMYFUNCTION("""COMPUTED_VALUE"""),"1M4JJJsoeSKu6pTetWn8bRE7zQlcKGucRxjGGlqEA3d4")</f>
        <v>1M4JJJsoeSKu6pTetWn8bRE7zQlcKGucRxjGGlqEA3d4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IFERROR(__xludf.DUMMYFUNCTION("""COMPUTED_VALUE"""),"BulkChangeCreateStageOrder")</f>
        <v>BulkChangeCreateStageOrder</v>
      </c>
      <c r="C629" t="str">
        <f>IFERROR(__xludf.DUMMYFUNCTION("""COMPUTED_VALUE"""),"1eGv-pvwZhT1511VogxRAfh-QbF2wJZDvzpTQHphliak")</f>
        <v>1eGv-pvwZhT1511VogxRAfh-QbF2wJZDvzpTQHphliak</v>
      </c>
    </row>
    <row r="630" ht="15.75" customHeight="1">
      <c r="A630" t="str">
        <f>IFERROR(__xludf.DUMMYFUNCTION("""COMPUTED_VALUE"""),"MultiTradingTicket")</f>
        <v>MultiTradingTicket</v>
      </c>
      <c r="B630" t="str">
        <f>IFERROR(__xludf.DUMMYFUNCTION("""COMPUTED_VALUE"""),"BulkUpdateUsingMTT")</f>
        <v>BulkUpdateUsingMTT</v>
      </c>
      <c r="C630" t="str">
        <f>IFERROR(__xludf.DUMMYFUNCTION("""COMPUTED_VALUE"""),"1H01hn91s0buuShObE8vUpumNB-99MHja4DJxcTvy1GU")</f>
        <v>1H01hn91s0buuShObE8vUpumNB-99MHja4DJxcTvy1GU</v>
      </c>
    </row>
    <row r="631" ht="15.75" customHeight="1">
      <c r="A631" t="str">
        <f>IFERROR(__xludf.DUMMYFUNCTION("""COMPUTED_VALUE"""),"PranaClient")</f>
        <v>PranaClient</v>
      </c>
      <c r="B631" t="str">
        <f>IFERROR(__xludf.DUMMYFUNCTION("""COMPUTED_VALUE"""),"CompareXML")</f>
        <v>CompareXML</v>
      </c>
      <c r="C631" t="str">
        <f>IFERROR(__xludf.DUMMYFUNCTION("""COMPUTED_VALUE"""),"1WtgbOyiLNErYI8GO9AbbJE12IcFr1TtjqIL6v2nwjLU")</f>
        <v>1WtgbOyiLNErYI8GO9AbbJE12IcFr1TtjqIL6v2nwjLU</v>
      </c>
    </row>
    <row r="632" ht="15.75" customHeight="1">
      <c r="A632" t="str">
        <f>IFERROR(__xludf.DUMMYFUNCTION("""COMPUTED_VALUE"""),"Admin")</f>
        <v>Admin</v>
      </c>
      <c r="B632" t="str">
        <f>IFERROR(__xludf.DUMMYFUNCTION("""COMPUTED_VALUE"""),"SetMasterFundOnTT")</f>
        <v>SetMasterFundOnTT</v>
      </c>
      <c r="C632" t="str">
        <f>IFERROR(__xludf.DUMMYFUNCTION("""COMPUTED_VALUE"""),"1duRG5DukVziXM3AbWJjEHG1WfsWREKj0zcQWLcC3N0o")</f>
        <v>1duRG5DukVziXM3AbWJjEHG1WfsWREKj0zcQWLcC3N0o</v>
      </c>
    </row>
    <row r="633" ht="15.75" customHeight="1">
      <c r="A633" t="str">
        <f>IFERROR(__xludf.DUMMYFUNCTION("""COMPUTED_VALUE"""),"TradingTicket")</f>
        <v>TradingTicket</v>
      </c>
      <c r="B633" t="str">
        <f>IFERROR(__xludf.DUMMYFUNCTION("""COMPUTED_VALUE"""),"VerifyCustomAllocationonTT")</f>
        <v>VerifyCustomAllocationonTT</v>
      </c>
      <c r="C633" t="str">
        <f>IFERROR(__xludf.DUMMYFUNCTION("""COMPUTED_VALUE"""),"1Z3l-jIyJbM2hFTF5NgxtnL1fChZg2TPPhaAzx7mfVm8")</f>
        <v>1Z3l-jIyJbM2hFTF5NgxtnL1fChZg2TPPhaAzx7mfVm8</v>
      </c>
    </row>
    <row r="634" ht="15.75" customHeight="1">
      <c r="A634" t="str">
        <f>IFERROR(__xludf.DUMMYFUNCTION("""COMPUTED_VALUE"""),"Blotter")</f>
        <v>Blotter</v>
      </c>
      <c r="B634" t="str">
        <f>IFERROR(__xludf.DUMMYFUNCTION("""COMPUTED_VALUE"""),"ReAllocateFromBlotterByAllocate")</f>
        <v>ReAllocateFromBlotterByAllocate</v>
      </c>
      <c r="C634" t="str">
        <f>IFERROR(__xludf.DUMMYFUNCTION("""COMPUTED_VALUE"""),"1NHKxDgR0tyL2jet1xXc0HhWXSJ-79CcnSRkHUBgPpoY")</f>
        <v>1NHKxDgR0tyL2jet1xXc0HhWXSJ-79CcnSRkHUBgPpoY</v>
      </c>
    </row>
    <row r="635" ht="15.75" customHeight="1">
      <c r="A635" t="str">
        <f>IFERROR(__xludf.DUMMYFUNCTION("""COMPUTED_VALUE"""),"Simulator")</f>
        <v>Simulator</v>
      </c>
      <c r="B635" t="str">
        <f>IFERROR(__xludf.DUMMYFUNCTION("""COMPUTED_VALUE"""),"VerifyTagInAllFixLogs")</f>
        <v>VerifyTagInAllFixLogs</v>
      </c>
      <c r="C635" t="str">
        <f>IFERROR(__xludf.DUMMYFUNCTION("""COMPUTED_VALUE"""),"1uy63r2XjpUIBlAUk-lXKJTr-PpvpP6wxvLlLDzoM-Ic")</f>
        <v>1uy63r2XjpUIBlAUk-lXKJTr-PpvpP6wxvLlLDzoM-Ic</v>
      </c>
    </row>
    <row r="636" ht="15.75" customHeight="1">
      <c r="A636" t="str">
        <f>IFERROR(__xludf.DUMMYFUNCTION("""COMPUTED_VALUE"""),"PranaClient")</f>
        <v>PranaClient</v>
      </c>
      <c r="B636" t="str">
        <f>IFERROR(__xludf.DUMMYFUNCTION("""COMPUTED_VALUE"""),"LoginClient")</f>
        <v>LoginClient</v>
      </c>
      <c r="C636" t="str">
        <f>IFERROR(__xludf.DUMMYFUNCTION("""COMPUTED_VALUE"""),"1zfvz-aZrAcrVcCZFJj3FAv1GqBrnIiDpgU-TteWVAOw")</f>
        <v>1zfvz-aZrAcrVcCZFJj3FAv1GqBrnIiDpgU-TteWVAOw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IFERROR(__xludf.DUMMYFUNCTION("""COMPUTED_VALUE"""),"SortAndVerifyPM")</f>
        <v>SortAndVerifyPM</v>
      </c>
      <c r="C637" t="str">
        <f>IFERROR(__xludf.DUMMYFUNCTION("""COMPUTED_VALUE"""),"1X7RzdVuf6bK9F2T7pOeh4nUpKg76Hv2aa-gBjDxYkcs")</f>
        <v>1X7RzdVuf6bK9F2T7pOeh4nUpKg76Hv2aa-gBjDxYkcs</v>
      </c>
    </row>
    <row r="638" ht="15.75" customHeight="1">
      <c r="A638" t="str">
        <f>IFERROR(__xludf.DUMMYFUNCTION("""COMPUTED_VALUE"""),"PortfolioManagement")</f>
        <v>PortfolioManagement</v>
      </c>
      <c r="B638" t="str">
        <f>IFERROR(__xludf.DUMMYFUNCTION("""COMPUTED_VALUE"""),"OpenPIFromPM")</f>
        <v>OpenPIFromPM</v>
      </c>
      <c r="C638" t="str">
        <f>IFERROR(__xludf.DUMMYFUNCTION("""COMPUTED_VALUE"""),"1IuAnXzRzuOehEMtqDK11-sb6DktGPWzx0jT8n2IsrY4")</f>
        <v>1IuAnXzRzuOehEMtqDK11-sb6DktGPWzx0jT8n2IsrY4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IFERROR(__xludf.DUMMYFUNCTION("""COMPUTED_VALUE"""),"RefreshPriceUsingMTT")</f>
        <v>RefreshPriceUsingMTT</v>
      </c>
      <c r="C639" t="str">
        <f>IFERROR(__xludf.DUMMYFUNCTION("""COMPUTED_VALUE"""),"1YtdRVMbFR2kvDHO7XasICZNjFKswCtDImUT3Gjkkfk4")</f>
        <v>1YtdRVMbFR2kvDHO7XasICZNjFKswCtDImUT3Gjkkfk4</v>
      </c>
    </row>
    <row r="640" ht="15.75" customHeight="1">
      <c r="A640" t="str">
        <f>IFERROR(__xludf.DUMMYFUNCTION("""COMPUTED_VALUE"""),"MultiTradingTicket")</f>
        <v>MultiTradingTicket</v>
      </c>
      <c r="B640" t="str">
        <f>IFERROR(__xludf.DUMMYFUNCTION("""COMPUTED_VALUE"""),"VerifyMTT")</f>
        <v>VerifyMTT</v>
      </c>
      <c r="C640" t="str">
        <f>IFERROR(__xludf.DUMMYFUNCTION("""COMPUTED_VALUE"""),"1LkpuYouts5i-ZznsIzocNzJ13lcRDsnSdXk19BRgReI")</f>
        <v>1LkpuYouts5i-ZznsIzocNzJ13lcRDsnSdXk19BRgReI</v>
      </c>
    </row>
    <row r="641" ht="15.75" customHeight="1">
      <c r="A641" t="str">
        <f>IFERROR(__xludf.DUMMYFUNCTION("""COMPUTED_VALUE"""),"Simulator")</f>
        <v>Simulator</v>
      </c>
      <c r="B641" t="str">
        <f>IFERROR(__xludf.DUMMYFUNCTION("""COMPUTED_VALUE"""),"SetToAutomaticResponse")</f>
        <v>SetToAutomaticResponse</v>
      </c>
      <c r="C641" t="str">
        <f>IFERROR(__xludf.DUMMYFUNCTION("""COMPUTED_VALUE"""),"Undefined")</f>
        <v>Undefined</v>
      </c>
    </row>
    <row r="642" ht="15.75" customHeight="1">
      <c r="A642" t="str">
        <f>IFERROR(__xludf.DUMMYFUNCTION("""COMPUTED_VALUE"""),"Rebalancer")</f>
        <v>Rebalancer</v>
      </c>
      <c r="B642" t="str">
        <f>IFERROR(__xludf.DUMMYFUNCTION("""COMPUTED_VALUE"""),"SaveTradeList")</f>
        <v>SaveTradeList</v>
      </c>
      <c r="C642" t="str">
        <f>IFERROR(__xludf.DUMMYFUNCTION("""COMPUTED_VALUE"""),"1xCgr8y8ZWOV67Yl77qPCYg-GSJNVZrE2EwAmtpL4Xfg")</f>
        <v>1xCgr8y8ZWOV67Yl77qPCYg-GSJNVZrE2EwAmtpL4Xfg</v>
      </c>
    </row>
    <row r="643" ht="15.75" customHeight="1">
      <c r="A643" t="str">
        <f>IFERROR(__xludf.DUMMYFUNCTION("""COMPUTED_VALUE"""),"Rebalancer")</f>
        <v>Rebalancer</v>
      </c>
      <c r="B643" t="str">
        <f>IFERROR(__xludf.DUMMYFUNCTION("""COMPUTED_VALUE"""),"NavImpactingComponent")</f>
        <v>NavImpactingComponent</v>
      </c>
      <c r="C643" t="str">
        <f>IFERROR(__xludf.DUMMYFUNCTION("""COMPUTED_VALUE"""),"1f0zk0GxJ77AGpV5f_CL_mwxkoRha7_3Z1PIbpXZtod4")</f>
        <v>1f0zk0GxJ77AGpV5f_CL_mwxkoRha7_3Z1PIbpXZtod4</v>
      </c>
    </row>
    <row r="644" ht="15.75" customHeight="1">
      <c r="A644" t="str">
        <f>IFERROR(__xludf.DUMMYFUNCTION("""COMPUTED_VALUE"""),"Rebalancer")</f>
        <v>Rebalancer</v>
      </c>
      <c r="B644" t="str">
        <f>IFERROR(__xludf.DUMMYFUNCTION("""COMPUTED_VALUE"""),"ImportUsingRebalAccrossSec")</f>
        <v>ImportUsingRebalAccrossSec</v>
      </c>
      <c r="C644" t="str">
        <f>IFERROR(__xludf.DUMMYFUNCTION("""COMPUTED_VALUE"""),"1wqAINPqghzd-HB-5iMIqQiCzJj40pqhM2cTv6gahRwo")</f>
        <v>1wqAINPqghzd-HB-5iMIqQiCzJj40pqhM2cTv6gahRwo</v>
      </c>
    </row>
    <row r="645" ht="15.75" customHeight="1">
      <c r="A645" t="str">
        <f>IFERROR(__xludf.DUMMYFUNCTION("""COMPUTED_VALUE"""),"Rebalancer")</f>
        <v>Rebalancer</v>
      </c>
      <c r="B645" t="str">
        <f>IFERROR(__xludf.DUMMYFUNCTION("""COMPUTED_VALUE"""),"EditImportStatus")</f>
        <v>EditImportStatus</v>
      </c>
      <c r="C645" t="str">
        <f>IFERROR(__xludf.DUMMYFUNCTION("""COMPUTED_VALUE"""),"1Xkf1z6WsFfAEpWdBzMACVnTjRvtpZJ0Jbfvug1u1fb8")</f>
        <v>1Xkf1z6WsFfAEpWdBzMACVnTjRvtpZJ0Jbfvug1u1fb8</v>
      </c>
    </row>
    <row r="646" ht="15.75" customHeight="1">
      <c r="A646" t="str">
        <f>IFERROR(__xludf.DUMMYFUNCTION("""COMPUTED_VALUE"""),"Rebalancer")</f>
        <v>Rebalancer</v>
      </c>
      <c r="B646" t="str">
        <f>IFERROR(__xludf.DUMMYFUNCTION("""COMPUTED_VALUE"""),"SelectActionsOnImportStatus")</f>
        <v>SelectActionsOnImportStatus</v>
      </c>
      <c r="C646" t="str">
        <f>IFERROR(__xludf.DUMMYFUNCTION("""COMPUTED_VALUE"""),"10jCuA8F_28LjeoDXTbc5IgQjfWoEPTWq9svKzhi97OA")</f>
        <v>10jCuA8F_28LjeoDXTbc5IgQjfWoEPTWq9svKzhi97OA</v>
      </c>
    </row>
    <row r="647" ht="15.75" customHeight="1">
      <c r="A647" t="str">
        <f>IFERROR(__xludf.DUMMYFUNCTION("""COMPUTED_VALUE"""),"Rebalancer")</f>
        <v>Rebalancer</v>
      </c>
      <c r="B647" t="str">
        <f>IFERROR(__xludf.DUMMYFUNCTION("""COMPUTED_VALUE"""),"VerifyImportStatus")</f>
        <v>VerifyImportStatus</v>
      </c>
      <c r="C647" t="str">
        <f>IFERROR(__xludf.DUMMYFUNCTION("""COMPUTED_VALUE"""),"1cyg6XGf_AlQQ_g5DPcBgmBfH4Oz4BH6IUMfTD5nIhFQ")</f>
        <v>1cyg6XGf_AlQQ_g5DPcBgmBfH4Oz4BH6IUMfTD5nIhFQ</v>
      </c>
    </row>
    <row r="648" ht="15.75" customHeight="1">
      <c r="A648" t="str">
        <f>IFERROR(__xludf.DUMMYFUNCTION("""COMPUTED_VALUE"""),"PTT")</f>
        <v>PTT</v>
      </c>
      <c r="B648" t="str">
        <f>IFERROR(__xludf.DUMMYFUNCTION("""COMPUTED_VALUE"""),"OpenPreferencesFromPTT")</f>
        <v>OpenPreferencesFromPTT</v>
      </c>
      <c r="C648" t="str">
        <f>IFERROR(__xludf.DUMMYFUNCTION("""COMPUTED_VALUE"""),"Undefined")</f>
        <v>Undefined</v>
      </c>
    </row>
    <row r="649" ht="15.75" customHeight="1">
      <c r="A649" t="str">
        <f>IFERROR(__xludf.DUMMYFUNCTION("""COMPUTED_VALUE"""),"Watchlist")</f>
        <v>Watchlist</v>
      </c>
      <c r="B649" t="str">
        <f>IFERROR(__xludf.DUMMYFUNCTION("""COMPUTED_VALUE"""),"OpenPTTFromWatchlist")</f>
        <v>OpenPTTFromWatchlist</v>
      </c>
      <c r="C649" t="str">
        <f>IFERROR(__xludf.DUMMYFUNCTION("""COMPUTED_VALUE"""),"1CRJ_F5octCl23LyAw_CoHc_10OvrxRq8f7mNNzl_B6c")</f>
        <v>1CRJ_F5octCl23LyAw_CoHc_10OvrxRq8f7mNNzl_B6c</v>
      </c>
    </row>
    <row r="650" ht="15.75" customHeight="1">
      <c r="A650" t="str">
        <f>IFERROR(__xludf.DUMMYFUNCTION("""COMPUTED_VALUE"""),"Admin")</f>
        <v>Admin</v>
      </c>
      <c r="B650" t="str">
        <f>IFERROR(__xludf.DUMMYFUNCTION("""COMPUTED_VALUE"""),"SetMarketDataProvider")</f>
        <v>SetMarketDataProvider</v>
      </c>
      <c r="C650" t="str">
        <f>IFERROR(__xludf.DUMMYFUNCTION("""COMPUTED_VALUE"""),"11vW7fknzM8vTBH8SeRsGGkS29p8E1Xfx9205Qtc5hC4")</f>
        <v>11vW7fknzM8vTBH8SeRsGGkS29p8E1Xfx9205Qtc5hC4</v>
      </c>
    </row>
    <row r="651" ht="15.75" customHeight="1">
      <c r="A651" t="str">
        <f>IFERROR(__xludf.DUMMYFUNCTION("""COMPUTED_VALUE"""),"Admin")</f>
        <v>Admin</v>
      </c>
      <c r="B651" t="str">
        <f>IFERROR(__xludf.DUMMYFUNCTION("""COMPUTED_VALUE"""),"SetAllocationPreferences")</f>
        <v>SetAllocationPreferences</v>
      </c>
      <c r="C651" t="str">
        <f>IFERROR(__xludf.DUMMYFUNCTION("""COMPUTED_VALUE"""),"16PO4KGgITIDM3iQzFlyKHfXPBXba023pXOJQCBN_Elc")</f>
        <v>16PO4KGgITIDM3iQzFlyKHfXPBXba023pXOJQCBN_Elc</v>
      </c>
    </row>
    <row r="652" ht="15.75" customHeight="1">
      <c r="A652" t="str">
        <f>IFERROR(__xludf.DUMMYFUNCTION("""COMPUTED_VALUE"""),"TradingTicket")</f>
        <v>TradingTicket</v>
      </c>
      <c r="B652" t="str">
        <f>IFERROR(__xludf.DUMMYFUNCTION("""COMPUTED_VALUE"""),"CustomOrderTT")</f>
        <v>CustomOrderTT</v>
      </c>
      <c r="C652" t="str">
        <f>IFERROR(__xludf.DUMMYFUNCTION("""COMPUTED_VALUE"""),"1v9UMAQA-yD9UreUAgBLbyi4tqqYMESm4YnqZhD5jKvk")</f>
        <v>1v9UMAQA-yD9UreUAgBLbyi4tqqYMESm4YnqZhD5jKvk</v>
      </c>
    </row>
    <row r="653" ht="15.75" customHeight="1">
      <c r="A653" t="str">
        <f>IFERROR(__xludf.DUMMYFUNCTION("""COMPUTED_VALUE"""),"TradeServer")</f>
        <v>TradeServer</v>
      </c>
      <c r="B653" t="str">
        <f>IFERROR(__xludf.DUMMYFUNCTION("""COMPUTED_VALUE"""),"ConnectToSimAutoMan")</f>
        <v>ConnectToSimAutoMan</v>
      </c>
      <c r="C653" t="str">
        <f>IFERROR(__xludf.DUMMYFUNCTION("""COMPUTED_VALUE"""),"1kmGpZTH9xe92vT2JQhF-Njj6d_RCoVtRypLmoKTlseo")</f>
        <v>1kmGpZTH9xe92vT2JQhF-Njj6d_RCoVtRypLmoKTlseo</v>
      </c>
    </row>
    <row r="654" ht="15.75" customHeight="1">
      <c r="A654" t="str">
        <f>IFERROR(__xludf.DUMMYFUNCTION("""COMPUTED_VALUE"""),"Admin")</f>
        <v>Admin</v>
      </c>
      <c r="B654" t="str">
        <f>IFERROR(__xludf.DUMMYFUNCTION("""COMPUTED_VALUE"""),"SetRegularCompliancePermission")</f>
        <v>SetRegularCompliancePermission</v>
      </c>
      <c r="C654" t="str">
        <f>IFERROR(__xludf.DUMMYFUNCTION("""COMPUTED_VALUE"""),"1pGZ7u9bF4Lu1nJJRSpSz5TQn_FVJsrIH05yxOHHU4S4")</f>
        <v>1pGZ7u9bF4Lu1nJJRSpSz5TQn_FVJsrIH05yxOHHU4S4</v>
      </c>
    </row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IFERROR(__xludf.DUMMYFUNCTION("""COMPUTED_VALUE"""),"VerifyComplianceOrder")</f>
        <v>VerifyComplianceOrder</v>
      </c>
      <c r="I4" s="25" t="str">
        <f>IFERROR(__xludf.DUMMYFUNCTION("""COMPUTED_VALUE"""),"TradeNewSub")</f>
        <v>TradeNewSub</v>
      </c>
      <c r="J4" s="25" t="str">
        <f>IFERROR(__xludf.DUMMYFUNCTION("""COMPUTED_VALUE"""),"CreateStageOrder")</f>
        <v>CreateStageOrder</v>
      </c>
      <c r="K4" s="25" t="str">
        <f>IFERROR(__xludf.DUMMYFUNCTION("""COMPUTED_VALUE"""),"CreateReplaceOrder")</f>
        <v>CreateReplaceOrder</v>
      </c>
      <c r="L4" s="25" t="str">
        <f>IFERROR(__xludf.DUMMYFUNCTION("""COMPUTED_VALUE"""),"SetGeneralPreference")</f>
        <v>SetGeneralPreference</v>
      </c>
      <c r="M4" s="25" t="str">
        <f>IFERROR(__xludf.DUMMYFUNCTION("""COMPUTED_VALUE"""),"CreateNewSubOrder")</f>
        <v>CreateNewSubOrder</v>
      </c>
      <c r="N4" s="25" t="str">
        <f>IFERROR(__xludf.DUMMYFUNCTION("""COMPUTED_VALUE"""),"TradeBloomberg")</f>
        <v>TradeBloomberg</v>
      </c>
      <c r="O4" s="25" t="str">
        <f>IFERROR(__xludf.DUMMYFUNCTION("""COMPUTED_VALUE"""),"ClickSymbolLookup")</f>
        <v>ClickSymbolLookup</v>
      </c>
      <c r="P4" s="26" t="str">
        <f>IFERROR(__xludf.DUMMYFUNCTION("""COMPUTED_VALUE"""),"VerifyTT")</f>
        <v>VerifyTT</v>
      </c>
      <c r="Q4" s="26" t="str">
        <f>IFERROR(__xludf.DUMMYFUNCTION("""COMPUTED_VALUE"""),"CreateLiveOrder")</f>
        <v>CreateLiveOrder</v>
      </c>
      <c r="R4" s="26" t="str">
        <f>IFERROR(__xludf.DUMMYFUNCTION("""COMPUTED_VALUE"""),"UpdateMasterFundOnTT")</f>
        <v>UpdateMasterFundOnTT</v>
      </c>
      <c r="S4" s="26" t="str">
        <f>IFERROR(__xludf.DUMMYFUNCTION("""COMPUTED_VALUE"""),"SetTTCompliancePreference")</f>
        <v>SetTTCompliancePreference</v>
      </c>
      <c r="T4" s="26" t="str">
        <f>IFERROR(__xludf.DUMMYFUNCTION("""COMPUTED_VALUE"""),"ImportSymbol")</f>
        <v>ImportSymbol</v>
      </c>
      <c r="U4" s="26" t="str">
        <f>IFERROR(__xludf.DUMMYFUNCTION("""COMPUTED_VALUE"""),"ExportSymbolFromRAList")</f>
        <v>ExportSymbolFromRAList</v>
      </c>
      <c r="V4" s="26" t="str">
        <f>IFERROR(__xludf.DUMMYFUNCTION("""COMPUTED_VALUE"""),"CheckPendingNewOrderAlert")</f>
        <v>CheckPendingNewOrderAlert</v>
      </c>
      <c r="W4" s="26" t="str">
        <f>IFERROR(__xludf.DUMMYFUNCTION("""COMPUTED_VALUE"""),"AddSymbolOnRAList")</f>
        <v>AddSymbolOnRAList</v>
      </c>
      <c r="X4" s="26" t="str">
        <f>IFERROR(__xludf.DUMMYFUNCTION("""COMPUTED_VALUE"""),"DeleteSymbolListFromRA")</f>
        <v>DeleteSymbolListFromRA</v>
      </c>
      <c r="Y4" s="26" t="str">
        <f>IFERROR(__xludf.DUMMYFUNCTION("""COMPUTED_VALUE"""),"RemoveSymbolFromRAList")</f>
        <v>RemoveSymbolFromRAList</v>
      </c>
      <c r="Z4" s="26" t="str">
        <f>IFERROR(__xludf.DUMMYFUNCTION("""COMPUTED_VALUE"""),"ToggleBlombergOnRA")</f>
        <v>ToggleBlombergOnRA</v>
      </c>
      <c r="AA4" s="26" t="str">
        <f>IFERROR(__xludf.DUMMYFUNCTION("""COMPUTED_VALUE"""),"CreateDoneAwayOrder")</f>
        <v>CreateDoneAwayOrder</v>
      </c>
      <c r="AB4" s="26" t="str">
        <f>IFERROR(__xludf.DUMMYFUNCTION("""COMPUTED_VALUE"""),"CreateComplianceOrder")</f>
        <v>CreateComplianceOrder</v>
      </c>
      <c r="AC4" s="26" t="str">
        <f>IFERROR(__xludf.DUMMYFUNCTION("""COMPUTED_VALUE"""),"AddOptionTrade")</f>
        <v>AddOptionTrade</v>
      </c>
      <c r="AD4" s="26" t="str">
        <f>IFERROR(__xludf.DUMMYFUNCTION("""COMPUTED_VALUE"""),"SendLiveBloomberg")</f>
        <v>SendLiveBloomberg</v>
      </c>
      <c r="AE4" s="26" t="str">
        <f>IFERROR(__xludf.DUMMYFUNCTION("""COMPUTED_VALUE"""),"ViewAllocation")</f>
        <v>ViewAllocation</v>
      </c>
      <c r="AF4" s="26" t="str">
        <f>IFERROR(__xludf.DUMMYFUNCTION("""COMPUTED_VALUE"""),"CreateReplaceLiveOrder")</f>
        <v>CreateReplaceLiveOrder</v>
      </c>
      <c r="AG4" s="26" t="str">
        <f>IFERROR(__xludf.DUMMYFUNCTION("""COMPUTED_VALUE"""),"CreateNewSubLiveOrder")</f>
        <v>CreateNewSubLiveOrder</v>
      </c>
      <c r="AH4" s="26" t="str">
        <f>IFERROR(__xludf.DUMMYFUNCTION("""COMPUTED_VALUE"""),"VerifyBasketExport")</f>
        <v>VerifyBasketExport</v>
      </c>
      <c r="AI4" s="26" t="str">
        <f>IFERROR(__xludf.DUMMYFUNCTION("""COMPUTED_VALUE"""),"VerifyCustomAllocationonTT")</f>
        <v>VerifyCustomAllocationonTT</v>
      </c>
      <c r="AJ4" s="26" t="str">
        <f>IFERROR(__xludf.DUMMYFUNCTION("""COMPUTED_VALUE"""),"CustomOrderTT")</f>
        <v>CustomOrderTT</v>
      </c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IFERROR(__xludf.DUMMYFUNCTION("""COMPUTED_VALUE"""),"EditOrder")</f>
        <v>EditOrder</v>
      </c>
      <c r="AO5" s="30" t="str">
        <f>IFERROR(__xludf.DUMMYFUNCTION("""COMPUTED_VALUE"""),"ShortLocate")</f>
        <v>ShortLocate</v>
      </c>
      <c r="AP5" s="30" t="str">
        <f>IFERROR(__xludf.DUMMYFUNCTION("""COMPUTED_VALUE"""),"ChkBoxBookAsSwap")</f>
        <v>ChkBoxBookAsSwap</v>
      </c>
      <c r="AQ5" s="30" t="str">
        <f>IFERROR(__xludf.DUMMYFUNCTION("""COMPUTED_VALUE"""),"Interest Rate")</f>
        <v>Interest Rate</v>
      </c>
      <c r="AR5" s="30" t="str">
        <f>IFERROR(__xludf.DUMMYFUNCTION("""COMPUTED_VALUE"""),"Master Funds")</f>
        <v>Master Funds</v>
      </c>
      <c r="AS5" s="30" t="str">
        <f>IFERROR(__xludf.DUMMYFUNCTION("""COMPUTED_VALUE"""),"Rate(%)")</f>
        <v>Rate(%)</v>
      </c>
      <c r="AT5" s="30" t="str">
        <f>IFERROR(__xludf.DUMMYFUNCTION("""COMPUTED_VALUE"""),"BorrowerID")</f>
        <v>BorrowerID</v>
      </c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16</v>
      </c>
      <c r="C6" s="32" t="s">
        <v>17</v>
      </c>
      <c r="D6" s="33">
        <v>200.0</v>
      </c>
      <c r="E6" s="32"/>
      <c r="F6" s="32"/>
      <c r="G6" s="32"/>
      <c r="H6" s="32"/>
      <c r="I6" s="32"/>
      <c r="J6" s="34">
        <v>12.0</v>
      </c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32"/>
      <c r="B7" s="32" t="s">
        <v>16</v>
      </c>
      <c r="C7" s="32" t="s">
        <v>18</v>
      </c>
      <c r="D7" s="34">
        <v>200.0</v>
      </c>
      <c r="E7" s="32"/>
      <c r="F7" s="32"/>
      <c r="G7" s="32"/>
      <c r="H7" s="32"/>
      <c r="I7" s="32"/>
      <c r="J7" s="34">
        <v>12.0</v>
      </c>
      <c r="K7" s="32"/>
      <c r="L7" s="32"/>
      <c r="M7" s="32"/>
      <c r="N7" s="32"/>
      <c r="O7" s="32"/>
      <c r="P7" s="32"/>
      <c r="Q7" s="32"/>
      <c r="R7" s="32"/>
      <c r="S7" s="32"/>
      <c r="T7" s="32"/>
      <c r="U7" s="32"/>
      <c r="V7" s="32"/>
      <c r="W7" s="32"/>
      <c r="X7" s="32"/>
      <c r="Y7" s="32"/>
      <c r="Z7" s="32"/>
      <c r="AA7" s="32"/>
      <c r="AB7" s="32"/>
      <c r="AC7" s="32"/>
      <c r="AD7" s="32"/>
      <c r="AE7" s="32"/>
      <c r="AF7" s="32"/>
      <c r="AG7" s="32"/>
      <c r="AH7" s="32"/>
      <c r="AI7" s="32"/>
      <c r="AJ7" s="32"/>
      <c r="AK7" s="32"/>
      <c r="AL7" s="32"/>
      <c r="AM7" s="32"/>
      <c r="AN7" s="32"/>
      <c r="AO7" s="32"/>
      <c r="AP7" s="32"/>
      <c r="AQ7" s="32"/>
      <c r="AR7" s="32"/>
      <c r="AS7" s="32"/>
      <c r="AT7" s="32"/>
      <c r="AU7" s="32"/>
      <c r="AV7" s="32"/>
      <c r="AW7" s="32"/>
      <c r="AX7" s="32"/>
      <c r="AY7" s="32"/>
      <c r="AZ7" s="32"/>
      <c r="BA7" s="32"/>
      <c r="BB7" s="32"/>
      <c r="BC7" s="32"/>
      <c r="BD7" s="32"/>
      <c r="BE7" s="32"/>
      <c r="BF7" s="32"/>
      <c r="BG7" s="32"/>
      <c r="BH7" s="32"/>
      <c r="BI7" s="32"/>
      <c r="BJ7" s="32"/>
      <c r="BK7" s="32"/>
      <c r="BL7" s="32"/>
      <c r="BM7" s="32"/>
      <c r="BN7" s="32"/>
      <c r="BO7" s="32"/>
      <c r="BP7" s="32"/>
      <c r="BQ7" s="32"/>
      <c r="BR7" s="32"/>
      <c r="BS7" s="32"/>
      <c r="BT7" s="32"/>
      <c r="BU7" s="32"/>
      <c r="BV7" s="32"/>
      <c r="BW7" s="32"/>
      <c r="BX7" s="32"/>
      <c r="BY7" s="32"/>
      <c r="BZ7" s="32"/>
      <c r="CA7" s="32"/>
      <c r="CB7" s="32"/>
      <c r="CC7" s="32"/>
      <c r="CD7" s="32"/>
      <c r="CE7" s="32"/>
      <c r="CF7" s="32"/>
      <c r="CG7" s="32"/>
      <c r="CH7" s="32"/>
      <c r="CI7" s="32"/>
      <c r="CJ7" s="32"/>
      <c r="CK7" s="32"/>
      <c r="CL7" s="32"/>
      <c r="CM7" s="32"/>
      <c r="CN7" s="32"/>
      <c r="CO7" s="32"/>
      <c r="CP7" s="32"/>
      <c r="CQ7" s="32"/>
      <c r="CR7" s="32"/>
      <c r="CS7" s="32"/>
      <c r="CT7" s="32"/>
      <c r="CU7" s="32"/>
      <c r="CV7" s="32"/>
      <c r="CW7" s="32"/>
      <c r="CX7" s="32"/>
      <c r="CY7" s="32"/>
      <c r="CZ7" s="32"/>
      <c r="DA7" s="32"/>
      <c r="DB7" s="32"/>
      <c r="DC7" s="32"/>
      <c r="DD7" s="32"/>
      <c r="DE7" s="32"/>
      <c r="DF7" s="32"/>
      <c r="DG7" s="32"/>
      <c r="DH7" s="32"/>
      <c r="DI7" s="32"/>
      <c r="DJ7" s="32"/>
      <c r="DK7" s="32"/>
      <c r="DL7" s="32"/>
      <c r="DM7" s="32"/>
      <c r="DN7" s="32"/>
      <c r="DO7" s="32"/>
      <c r="DP7" s="32"/>
      <c r="DQ7" s="32"/>
      <c r="DR7" s="32"/>
      <c r="DS7" s="32"/>
      <c r="DT7" s="32"/>
      <c r="DU7" s="32"/>
      <c r="DV7" s="32"/>
      <c r="DW7" s="32"/>
      <c r="DX7" s="32"/>
      <c r="DY7" s="32"/>
      <c r="DZ7" s="32"/>
      <c r="EA7" s="32"/>
      <c r="EB7" s="32"/>
      <c r="EC7" s="32"/>
      <c r="ED7" s="32"/>
      <c r="EE7" s="32"/>
      <c r="EF7" s="32"/>
      <c r="EG7" s="32"/>
      <c r="EH7" s="32"/>
      <c r="EI7" s="32"/>
      <c r="EJ7" s="32"/>
      <c r="EK7" s="32"/>
      <c r="EL7" s="32"/>
      <c r="EM7" s="32"/>
      <c r="EN7" s="32"/>
      <c r="EO7" s="32"/>
      <c r="EP7" s="32"/>
      <c r="EQ7" s="32"/>
      <c r="ER7" s="32"/>
      <c r="ES7" s="32"/>
      <c r="ET7" s="32"/>
      <c r="EU7" s="32"/>
      <c r="EV7" s="32"/>
      <c r="EW7" s="32"/>
      <c r="EX7" s="32"/>
    </row>
    <row r="8" ht="15.75" customHeight="1">
      <c r="A8" s="32"/>
      <c r="B8" s="32" t="s">
        <v>16</v>
      </c>
      <c r="C8" s="32" t="s">
        <v>19</v>
      </c>
      <c r="D8" s="34">
        <v>200.0</v>
      </c>
      <c r="E8" s="32"/>
      <c r="F8" s="32"/>
      <c r="G8" s="32"/>
      <c r="H8" s="32"/>
      <c r="I8" s="32"/>
      <c r="J8" s="34">
        <v>12.0</v>
      </c>
      <c r="K8" s="32"/>
      <c r="L8" s="32"/>
      <c r="M8" s="32"/>
      <c r="N8" s="32"/>
      <c r="O8" s="32"/>
      <c r="P8" s="32"/>
      <c r="Q8" s="32"/>
      <c r="R8" s="32"/>
      <c r="S8" s="32"/>
      <c r="T8" s="32"/>
      <c r="U8" s="32"/>
      <c r="V8" s="32"/>
      <c r="W8" s="32"/>
      <c r="X8" s="32"/>
      <c r="Y8" s="32"/>
      <c r="Z8" s="32"/>
      <c r="AA8" s="32"/>
      <c r="AB8" s="32"/>
      <c r="AC8" s="32"/>
      <c r="AD8" s="32"/>
      <c r="AE8" s="32"/>
      <c r="AF8" s="32"/>
      <c r="AG8" s="32"/>
      <c r="AH8" s="32"/>
      <c r="AI8" s="32"/>
      <c r="AJ8" s="32"/>
      <c r="AK8" s="32"/>
      <c r="AL8" s="32"/>
      <c r="AM8" s="32"/>
      <c r="AN8" s="32"/>
      <c r="AO8" s="32"/>
      <c r="AP8" s="32"/>
      <c r="AQ8" s="32"/>
      <c r="AR8" s="32"/>
      <c r="AS8" s="32"/>
      <c r="AT8" s="32"/>
      <c r="AU8" s="32"/>
      <c r="AV8" s="32"/>
      <c r="AW8" s="32"/>
      <c r="AX8" s="32"/>
      <c r="AY8" s="32"/>
      <c r="AZ8" s="32"/>
      <c r="BA8" s="32"/>
      <c r="BB8" s="32"/>
      <c r="BC8" s="32"/>
      <c r="BD8" s="32"/>
      <c r="BE8" s="32"/>
      <c r="BF8" s="32"/>
      <c r="BG8" s="32"/>
      <c r="BH8" s="32"/>
      <c r="BI8" s="32"/>
      <c r="BJ8" s="32"/>
      <c r="BK8" s="32"/>
      <c r="BL8" s="32"/>
      <c r="BM8" s="32"/>
      <c r="BN8" s="32"/>
      <c r="BO8" s="32"/>
      <c r="BP8" s="32"/>
      <c r="BQ8" s="32"/>
      <c r="BR8" s="32"/>
      <c r="BS8" s="32"/>
      <c r="BT8" s="32"/>
      <c r="BU8" s="32"/>
      <c r="BV8" s="32"/>
      <c r="BW8" s="32"/>
      <c r="BX8" s="32"/>
      <c r="BY8" s="32"/>
      <c r="BZ8" s="32"/>
      <c r="CA8" s="32"/>
      <c r="CB8" s="32"/>
      <c r="CC8" s="32"/>
      <c r="CD8" s="32"/>
      <c r="CE8" s="32"/>
      <c r="CF8" s="32"/>
      <c r="CG8" s="32"/>
      <c r="CH8" s="32"/>
      <c r="CI8" s="32"/>
      <c r="CJ8" s="32"/>
      <c r="CK8" s="32"/>
      <c r="CL8" s="32"/>
      <c r="CM8" s="32"/>
      <c r="CN8" s="32"/>
      <c r="CO8" s="32"/>
      <c r="CP8" s="32"/>
      <c r="CQ8" s="32"/>
      <c r="CR8" s="32"/>
      <c r="CS8" s="32"/>
      <c r="CT8" s="32"/>
      <c r="CU8" s="32"/>
      <c r="CV8" s="32"/>
      <c r="CW8" s="32"/>
      <c r="CX8" s="32"/>
      <c r="CY8" s="32"/>
      <c r="CZ8" s="32"/>
      <c r="DA8" s="32"/>
      <c r="DB8" s="32"/>
      <c r="DC8" s="32"/>
      <c r="DD8" s="32"/>
      <c r="DE8" s="32"/>
      <c r="DF8" s="32"/>
      <c r="DG8" s="32"/>
      <c r="DH8" s="32"/>
      <c r="DI8" s="32"/>
      <c r="DJ8" s="32"/>
      <c r="DK8" s="32"/>
      <c r="DL8" s="32"/>
      <c r="DM8" s="32"/>
      <c r="DN8" s="32"/>
      <c r="DO8" s="32"/>
      <c r="DP8" s="32"/>
      <c r="DQ8" s="32"/>
      <c r="DR8" s="32"/>
      <c r="DS8" s="32"/>
      <c r="DT8" s="32"/>
      <c r="DU8" s="32"/>
      <c r="DV8" s="32"/>
      <c r="DW8" s="32"/>
      <c r="DX8" s="32"/>
      <c r="DY8" s="32"/>
      <c r="DZ8" s="32"/>
      <c r="EA8" s="32"/>
      <c r="EB8" s="32"/>
      <c r="EC8" s="32"/>
      <c r="ED8" s="32"/>
      <c r="EE8" s="32"/>
      <c r="EF8" s="32"/>
      <c r="EG8" s="32"/>
      <c r="EH8" s="32"/>
      <c r="EI8" s="32"/>
      <c r="EJ8" s="32"/>
      <c r="EK8" s="32"/>
      <c r="EL8" s="32"/>
      <c r="EM8" s="32"/>
      <c r="EN8" s="32"/>
      <c r="EO8" s="32"/>
      <c r="EP8" s="32"/>
      <c r="EQ8" s="32"/>
      <c r="ER8" s="32"/>
      <c r="ES8" s="32"/>
      <c r="ET8" s="32"/>
      <c r="EU8" s="32"/>
      <c r="EV8" s="32"/>
      <c r="EW8" s="32"/>
      <c r="EX8" s="32"/>
    </row>
    <row r="9" ht="15.75" customHeight="1">
      <c r="A9" s="32"/>
      <c r="B9" s="32" t="s">
        <v>16</v>
      </c>
      <c r="C9" s="32" t="s">
        <v>20</v>
      </c>
      <c r="D9" s="34">
        <v>200.0</v>
      </c>
      <c r="E9" s="32"/>
      <c r="F9" s="32"/>
      <c r="G9" s="32"/>
      <c r="H9" s="32"/>
      <c r="I9" s="32"/>
      <c r="J9" s="34">
        <v>12.0</v>
      </c>
      <c r="K9" s="32"/>
      <c r="L9" s="32"/>
      <c r="M9" s="32"/>
      <c r="N9" s="32"/>
      <c r="O9" s="32"/>
      <c r="P9" s="32"/>
      <c r="Q9" s="32"/>
      <c r="R9" s="32"/>
      <c r="S9" s="32"/>
      <c r="T9" s="32"/>
      <c r="U9" s="32"/>
      <c r="V9" s="32"/>
      <c r="W9" s="32"/>
      <c r="X9" s="32"/>
      <c r="Y9" s="32"/>
      <c r="Z9" s="32"/>
      <c r="AA9" s="32"/>
      <c r="AB9" s="32"/>
      <c r="AC9" s="32"/>
      <c r="AD9" s="32"/>
      <c r="AE9" s="32"/>
      <c r="AF9" s="32"/>
      <c r="AG9" s="32"/>
      <c r="AH9" s="32"/>
      <c r="AI9" s="32"/>
      <c r="AJ9" s="32"/>
      <c r="AK9" s="32"/>
      <c r="AL9" s="32"/>
      <c r="AM9" s="32"/>
      <c r="AN9" s="32"/>
      <c r="AO9" s="32"/>
      <c r="AP9" s="32"/>
      <c r="AQ9" s="32"/>
      <c r="AR9" s="32"/>
      <c r="AS9" s="32"/>
      <c r="AT9" s="32"/>
      <c r="AU9" s="32"/>
      <c r="AV9" s="32"/>
      <c r="AW9" s="32"/>
      <c r="AX9" s="32"/>
      <c r="AY9" s="32"/>
      <c r="AZ9" s="32"/>
      <c r="BA9" s="32"/>
      <c r="BB9" s="32"/>
      <c r="BC9" s="32"/>
      <c r="BD9" s="32"/>
      <c r="BE9" s="32"/>
      <c r="BF9" s="32"/>
      <c r="BG9" s="32"/>
      <c r="BH9" s="32"/>
      <c r="BI9" s="32"/>
      <c r="BJ9" s="32"/>
      <c r="BK9" s="32"/>
      <c r="BL9" s="32"/>
      <c r="BM9" s="32"/>
      <c r="BN9" s="32"/>
      <c r="BO9" s="32"/>
      <c r="BP9" s="32"/>
      <c r="BQ9" s="32"/>
      <c r="BR9" s="32"/>
      <c r="BS9" s="32"/>
      <c r="BT9" s="32"/>
      <c r="BU9" s="32"/>
      <c r="BV9" s="32"/>
      <c r="BW9" s="32"/>
      <c r="BX9" s="32"/>
      <c r="BY9" s="32"/>
      <c r="BZ9" s="32"/>
      <c r="CA9" s="32"/>
      <c r="CB9" s="32"/>
      <c r="CC9" s="32"/>
      <c r="CD9" s="32"/>
      <c r="CE9" s="32"/>
      <c r="CF9" s="32"/>
      <c r="CG9" s="32"/>
      <c r="CH9" s="32"/>
      <c r="CI9" s="32"/>
      <c r="CJ9" s="32"/>
      <c r="CK9" s="32"/>
      <c r="CL9" s="32"/>
      <c r="CM9" s="32"/>
      <c r="CN9" s="32"/>
      <c r="CO9" s="32"/>
      <c r="CP9" s="32"/>
      <c r="CQ9" s="32"/>
      <c r="CR9" s="32"/>
      <c r="CS9" s="32"/>
      <c r="CT9" s="32"/>
      <c r="CU9" s="32"/>
      <c r="CV9" s="32"/>
      <c r="CW9" s="32"/>
      <c r="CX9" s="32"/>
      <c r="CY9" s="32"/>
      <c r="CZ9" s="32"/>
      <c r="DA9" s="32"/>
      <c r="DB9" s="32"/>
      <c r="DC9" s="32"/>
      <c r="DD9" s="32"/>
      <c r="DE9" s="32"/>
      <c r="DF9" s="32"/>
      <c r="DG9" s="32"/>
      <c r="DH9" s="32"/>
      <c r="DI9" s="32"/>
      <c r="DJ9" s="32"/>
      <c r="DK9" s="32"/>
      <c r="DL9" s="32"/>
      <c r="DM9" s="32"/>
      <c r="DN9" s="32"/>
      <c r="DO9" s="32"/>
      <c r="DP9" s="32"/>
      <c r="DQ9" s="32"/>
      <c r="DR9" s="32"/>
      <c r="DS9" s="32"/>
      <c r="DT9" s="32"/>
      <c r="DU9" s="32"/>
      <c r="DV9" s="32"/>
      <c r="DW9" s="32"/>
      <c r="DX9" s="32"/>
      <c r="DY9" s="32"/>
      <c r="DZ9" s="32"/>
      <c r="EA9" s="32"/>
      <c r="EB9" s="32"/>
      <c r="EC9" s="32"/>
      <c r="ED9" s="32"/>
      <c r="EE9" s="32"/>
      <c r="EF9" s="32"/>
      <c r="EG9" s="32"/>
      <c r="EH9" s="32"/>
      <c r="EI9" s="32"/>
      <c r="EJ9" s="32"/>
      <c r="EK9" s="32"/>
      <c r="EL9" s="32"/>
      <c r="EM9" s="32"/>
      <c r="EN9" s="32"/>
      <c r="EO9" s="32"/>
      <c r="EP9" s="32"/>
      <c r="EQ9" s="32"/>
      <c r="ER9" s="32"/>
      <c r="ES9" s="32"/>
      <c r="ET9" s="32"/>
      <c r="EU9" s="32"/>
      <c r="EV9" s="32"/>
      <c r="EW9" s="32"/>
      <c r="EX9" s="32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CreateStageOrder!$4:$4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21</v>
      </c>
      <c r="D3" s="5" t="s">
        <v>9</v>
      </c>
      <c r="E3" s="23" t="s">
        <v>22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IFERROR(__xludf.DUMMYFUNCTION("IF(C3="""","""",Transpose(IMPORTRANGE('_Settings'!$B$3,C3&amp;""!A4:A1000"")))"),"SetTTUIPreferences")</f>
        <v>SetTTUIPreferences</v>
      </c>
      <c r="C4" s="25" t="str">
        <f>IFERROR(__xludf.DUMMYFUNCTION("""COMPUTED_VALUE"""),"TTPermissionLevel")</f>
        <v>TTPermissionLevel</v>
      </c>
      <c r="D4" s="25" t="str">
        <f>IFERROR(__xludf.DUMMYFUNCTION("""COMPUTED_VALUE"""),"SetCheckSide")</f>
        <v>SetCheckSide</v>
      </c>
      <c r="E4" s="25" t="str">
        <f>IFERROR(__xludf.DUMMYFUNCTION("""COMPUTED_VALUE"""),"SetRollover")</f>
        <v>SetRollover</v>
      </c>
      <c r="F4" s="25" t="str">
        <f>IFERROR(__xludf.DUMMYFUNCTION("""COMPUTED_VALUE"""),"SetActive")</f>
        <v>SetActive</v>
      </c>
      <c r="G4" s="25" t="str">
        <f>IFERROR(__xludf.DUMMYFUNCTION("""COMPUTED_VALUE"""),"SetThirdPartyFormat")</f>
        <v>SetThirdPartyFormat</v>
      </c>
      <c r="H4" s="25" t="str">
        <f>IFERROR(__xludf.DUMMYFUNCTION("""COMPUTED_VALUE"""),"UpdateRoundLot")</f>
        <v>UpdateRoundLot</v>
      </c>
      <c r="I4" s="25" t="str">
        <f>IFERROR(__xludf.DUMMYFUNCTION("""COMPUTED_VALUE"""),"SetTradingComplianceRules")</f>
        <v>SetTradingComplianceRules</v>
      </c>
      <c r="J4" s="25" t="str">
        <f>IFERROR(__xludf.DUMMYFUNCTION("""COMPUTED_VALUE"""),"EnableBreakdownRealizedPNL")</f>
        <v>EnableBreakdownRealizedPNL</v>
      </c>
      <c r="K4" s="25" t="str">
        <f>IFERROR(__xludf.DUMMYFUNCTION("""COMPUTED_VALUE"""),"SetTTGeneralPreferences")</f>
        <v>SetTTGeneralPreferences</v>
      </c>
      <c r="L4" s="25" t="str">
        <f>IFERROR(__xludf.DUMMYFUNCTION("""COMPUTED_VALUE"""),"SetDollarAmountPermission")</f>
        <v>SetDollarAmountPermission</v>
      </c>
      <c r="M4" s="25" t="str">
        <f>IFERROR(__xludf.DUMMYFUNCTION("""COMPUTED_VALUE"""),"EnableDisableModule")</f>
        <v>EnableDisableModule</v>
      </c>
      <c r="N4" s="25" t="str">
        <f>IFERROR(__xludf.DUMMYFUNCTION("""COMPUTED_VALUE"""),"IsImportOverrideOnShortLocate")</f>
        <v>IsImportOverrideOnShortLocate</v>
      </c>
      <c r="O4" s="25" t="str">
        <f>IFERROR(__xludf.DUMMYFUNCTION("""COMPUTED_VALUE"""),"SetShortLocateStructures")</f>
        <v>SetShortLocateStructures</v>
      </c>
      <c r="P4" s="26" t="str">
        <f>IFERROR(__xludf.DUMMYFUNCTION("""COMPUTED_VALUE"""),"SetComplianceAlert")</f>
        <v>SetComplianceAlert</v>
      </c>
      <c r="Q4" s="26" t="str">
        <f>IFERROR(__xludf.DUMMYFUNCTION("""COMPUTED_VALUE"""),"UpdateExpirationDate")</f>
        <v>UpdateExpirationDate</v>
      </c>
      <c r="R4" s="26" t="str">
        <f>IFERROR(__xludf.DUMMYFUNCTION("""COMPUTED_VALUE"""),"RenameMasterStrategy")</f>
        <v>RenameMasterStrategy</v>
      </c>
      <c r="S4" s="26" t="str">
        <f>IFERROR(__xludf.DUMMYFUNCTION("""COMPUTED_VALUE"""),"SetTTUIAdminPreferences")</f>
        <v>SetTTUIAdminPreferences</v>
      </c>
      <c r="T4" s="26" t="str">
        <f>IFERROR(__xludf.DUMMYFUNCTION("""COMPUTED_VALUE"""),"UpdateSecFee")</f>
        <v>UpdateSecFee</v>
      </c>
      <c r="U4" s="26" t="str">
        <f>IFERROR(__xludf.DUMMYFUNCTION("""COMPUTED_VALUE"""),"UpdateFee")</f>
        <v>UpdateFee</v>
      </c>
      <c r="V4" s="26" t="str">
        <f>IFERROR(__xludf.DUMMYFUNCTION("""COMPUTED_VALUE"""),"RevertingSMSharesOutValue")</f>
        <v>RevertingSMSharesOutValue</v>
      </c>
      <c r="W4" s="26" t="str">
        <f>IFERROR(__xludf.DUMMYFUNCTION("""COMPUTED_VALUE"""),"RestartSQL")</f>
        <v>RestartSQL</v>
      </c>
      <c r="X4" s="26" t="str">
        <f>IFERROR(__xludf.DUMMYFUNCTION("""COMPUTED_VALUE"""),"TradeAuditCleanUp")</f>
        <v>TradeAuditCleanUp</v>
      </c>
      <c r="Y4" s="26" t="str">
        <f>IFERROR(__xludf.DUMMYFUNCTION("""COMPUTED_VALUE"""),"DeleteSymbolFromSM")</f>
        <v>DeleteSymbolFromSM</v>
      </c>
      <c r="Z4" s="26" t="str">
        <f>IFERROR(__xludf.DUMMYFUNCTION("""COMPUTED_VALUE"""),"SetCompliancePermission")</f>
        <v>SetCompliancePermission</v>
      </c>
      <c r="AA4" s="26" t="str">
        <f>IFERROR(__xludf.DUMMYFUNCTION("""COMPUTED_VALUE"""),"SetMasterFundOnTT")</f>
        <v>SetMasterFundOnTT</v>
      </c>
      <c r="AB4" s="26" t="str">
        <f>IFERROR(__xludf.DUMMYFUNCTION("""COMPUTED_VALUE"""),"SetMarketDataProvider")</f>
        <v>SetMarketDataProvider</v>
      </c>
      <c r="AC4" s="26" t="str">
        <f>IFERROR(__xludf.DUMMYFUNCTION("""COMPUTED_VALUE"""),"SetAllocationPreferences")</f>
        <v>SetAllocationPreferences</v>
      </c>
      <c r="AD4" s="26" t="str">
        <f>IFERROR(__xludf.DUMMYFUNCTION("""COMPUTED_VALUE"""),"SetRegularCompliancePermission")</f>
        <v>SetRegularCompliancePermission</v>
      </c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IFERROR(__xludf.DUMMYFUNCTION("""COMPUTED_VALUE"""),"Rule Name")</f>
        <v>Rule Name</v>
      </c>
      <c r="C5" s="28" t="str">
        <f>IFERROR(__xludf.DUMMYFUNCTION("""COMPUTED_VALUE"""),"Alert Type Permission")</f>
        <v>Alert Type Permission</v>
      </c>
      <c r="D5" s="28" t="str">
        <f>IFERROR(__xludf.DUMMYFUNCTION("""COMPUTED_VALUE"""),"UserID")</f>
        <v>UserID</v>
      </c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5" t="s">
        <v>23</v>
      </c>
      <c r="C6" s="36" t="s">
        <v>24</v>
      </c>
      <c r="D6" s="31"/>
      <c r="E6" s="32"/>
      <c r="F6" s="32"/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SetCompliancePermission!$4:$4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25</v>
      </c>
      <c r="D3" s="5" t="s">
        <v>9</v>
      </c>
      <c r="E3" s="23" t="s">
        <v>26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IFERROR(__xludf.DUMMYFUNCTION("""COMPUTED_VALUE"""),"ReloadOrderFromBlotter")</f>
        <v>ReloadOrderFromBlotter</v>
      </c>
      <c r="BE4" s="26" t="str">
        <f>IFERROR(__xludf.DUMMYFUNCTION("""COMPUTED_VALUE"""),"ReloadOrderFromSubOrder")</f>
        <v>ReloadOrderFromSubOrder</v>
      </c>
      <c r="BF4" s="26" t="str">
        <f>IFERROR(__xludf.DUMMYFUNCTION("""COMPUTED_VALUE"""),"ReloadOrderFromWorkingSubs")</f>
        <v>ReloadOrderFromWorkingSubs</v>
      </c>
      <c r="BG4" s="26" t="str">
        <f>IFERROR(__xludf.DUMMYFUNCTION("""COMPUTED_VALUE"""),"SelectFills")</f>
        <v>SelectFills</v>
      </c>
      <c r="BH4" s="26" t="str">
        <f>IFERROR(__xludf.DUMMYFUNCTION("""COMPUTED_VALUE"""),"ModifyFills")</f>
        <v>ModifyFills</v>
      </c>
      <c r="BI4" s="26" t="str">
        <f>IFERROR(__xludf.DUMMYFUNCTION("""COMPUTED_VALUE"""),"AllocateFromBlotter")</f>
        <v>AllocateFromBlotter</v>
      </c>
      <c r="BJ4" s="26" t="str">
        <f>IFERROR(__xludf.DUMMYFUNCTION("""COMPUTED_VALUE"""),"ViewPTTAllocationDetails")</f>
        <v>ViewPTTAllocationDetails</v>
      </c>
      <c r="BK4" s="26" t="str">
        <f>IFERROR(__xludf.DUMMYFUNCTION("""COMPUTED_VALUE"""),"MergeOrder")</f>
        <v>MergeOrder</v>
      </c>
      <c r="BL4" s="26" t="str">
        <f>IFERROR(__xludf.DUMMYFUNCTION("""COMPUTED_VALUE"""),"VerifyMergeOrder")</f>
        <v>VerifyMergeOrder</v>
      </c>
      <c r="BM4" s="26" t="str">
        <f>IFERROR(__xludf.DUMMYFUNCTION("""COMPUTED_VALUE"""),"AddTabBlotter")</f>
        <v>AddTabBlotter</v>
      </c>
      <c r="BN4" s="26" t="str">
        <f>IFERROR(__xludf.DUMMYFUNCTION("""COMPUTED_VALUE"""),"VerifyLowerStripBlotterUI")</f>
        <v>VerifyLowerStripBlotterUI</v>
      </c>
      <c r="BO4" s="26" t="str">
        <f>IFERROR(__xludf.DUMMYFUNCTION("""COMPUTED_VALUE"""),"SaveOrRemoveInSummaryTab")</f>
        <v>SaveOrRemoveInSummaryTab</v>
      </c>
      <c r="BP4" s="26" t="str">
        <f>IFERROR(__xludf.DUMMYFUNCTION("""COMPUTED_VALUE"""),"SaveOrRemoveInWorkingSubsTab")</f>
        <v>SaveOrRemoveInWorkingSubsTab</v>
      </c>
      <c r="BQ4" s="26" t="str">
        <f>IFERROR(__xludf.DUMMYFUNCTION("""COMPUTED_VALUE"""),"SelectCheckBoxOnOrderGrid")</f>
        <v>SelectCheckBoxOnOrderGrid</v>
      </c>
      <c r="BR4" s="26" t="str">
        <f>IFERROR(__xludf.DUMMYFUNCTION("""COMPUTED_VALUE"""),"ReAllocateFromBlotterByAllocate")</f>
        <v>ReAllocateFromBlotterByAllocate</v>
      </c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IFERROR(__xludf.DUMMYFUNCTION("""COMPUTED_VALUE"""),"User")</f>
        <v>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6")</f>
        <v>Trade Attribute 6</v>
      </c>
      <c r="N5" s="28" t="str">
        <f>IFERROR(__xludf.DUMMYFUNCTION("""COMPUTED_VALUE"""),"Trade Attribute 5")</f>
        <v>Trade Attribute 5</v>
      </c>
      <c r="O5" s="28" t="str">
        <f>IFERROR(__xludf.DUMMYFUNCTION("""COMPUTED_VALUE"""),"Trade Attribute 4")</f>
        <v>Trade Attribute 4</v>
      </c>
      <c r="P5" s="28" t="str">
        <f>IFERROR(__xludf.DUMMYFUNCTION("""COMPUTED_VALUE"""),"Trade Attribute 3")</f>
        <v>Trade Attribute 3</v>
      </c>
      <c r="Q5" s="28" t="str">
        <f>IFERROR(__xludf.DUMMYFUNCTION("""COMPUTED_VALUE"""),"Trade Attribute 1")</f>
        <v>Trade Attribute 1</v>
      </c>
      <c r="R5" s="28" t="str">
        <f>IFERROR(__xludf.DUMMYFUNCTION("""COMPUTED_VALUE"""),"Trade Attribute 2")</f>
        <v>Trade Attribute 2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IFERROR(__xludf.DUMMYFUNCTION("""COMPUTED_VALUE"""),"Target Qty")</f>
        <v>Target Qty</v>
      </c>
      <c r="AM5" s="30" t="str">
        <f>IFERROR(__xludf.DUMMYFUNCTION("""COMPUTED_VALUE"""),"Total Executed Qty")</f>
        <v>Total Executed Qty</v>
      </c>
      <c r="AN5" s="30" t="str">
        <f>IFERROR(__xludf.DUMMYFUNCTION("""COMPUTED_VALUE"""),"% Executed")</f>
        <v>% Executed</v>
      </c>
      <c r="AO5" s="30" t="str">
        <f>IFERROR(__xludf.DUMMYFUNCTION("""COMPUTED_VALUE"""),"Day Executed Qty")</f>
        <v>Day Executed Qty</v>
      </c>
      <c r="AP5" s="30" t="str">
        <f>IFERROR(__xludf.DUMMYFUNCTION("""COMPUTED_VALUE"""),"Uncommitted Qty")</f>
        <v>Uncommitted Qty</v>
      </c>
      <c r="AQ5" s="30" t="str">
        <f>IFERROR(__xludf.DUMMYFUNCTION("""COMPUTED_VALUE"""),"Last Fill Price (Local)")</f>
        <v>Last Fill Price (Local)</v>
      </c>
      <c r="AR5" s="30" t="str">
        <f>IFERROR(__xludf.DUMMYFUNCTION("""COMPUTED_VALUE"""),"Avg Fill Price (Local)")</f>
        <v>Avg Fill Price (Local)</v>
      </c>
      <c r="AS5" s="30" t="str">
        <f>IFERROR(__xludf.DUMMYFUNCTION("""COMPUTED_VALUE"""),"Broker")</f>
        <v>Broker</v>
      </c>
      <c r="AT5" s="30" t="str">
        <f>IFERROR(__xludf.DUMMYFUNCTION("""COMPUTED_VALUE"""),"Account")</f>
        <v>Account</v>
      </c>
      <c r="AU5" s="30" t="str">
        <f>IFERROR(__xludf.DUMMYFUNCTION("""COMPUTED_VALUE"""),"Order Type")</f>
        <v>Order Type</v>
      </c>
      <c r="AV5" s="30" t="str">
        <f>IFERROR(__xludf.DUMMYFUNCTION("""COMPUTED_VALUE"""),"Principal Amount (Local)")</f>
        <v>Principal Amount (Local)</v>
      </c>
      <c r="AW5" s="30" t="str">
        <f>IFERROR(__xludf.DUMMYFUNCTION("""COMPUTED_VALUE"""),"Principal Amount (Base)")</f>
        <v>Principal Amount (Base)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IFERROR(__xludf.DUMMYFUNCTION("""COMPUTED_VALUE"""),"Status (With Rollover)")</f>
        <v>Status (With Rollover)</v>
      </c>
      <c r="AZ5" s="30" t="str">
        <f>IFERROR(__xludf.DUMMYFUNCTION("""COMPUTED_VALUE"""),"Start of Day Qty")</f>
        <v>Start of Day Qty</v>
      </c>
      <c r="BA5" s="30" t="str">
        <f>IFERROR(__xludf.DUMMYFUNCTION("""COMPUTED_VALUE"""),"Leaves")</f>
        <v>Leaves</v>
      </c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/>
      <c r="E6" s="37"/>
      <c r="F6" s="8"/>
      <c r="G6" s="8"/>
      <c r="H6" s="8"/>
      <c r="I6" s="8"/>
      <c r="J6" s="8"/>
      <c r="K6" s="8"/>
      <c r="L6" s="8"/>
      <c r="M6" s="8"/>
      <c r="N6" s="8"/>
      <c r="O6" s="8"/>
      <c r="AI6" s="38" t="s">
        <v>16</v>
      </c>
      <c r="AJ6" s="38" t="s">
        <v>17</v>
      </c>
      <c r="AK6" s="32" t="s">
        <v>27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TradeNewSubOrder!$4:$4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28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IFERROR(__xludf.DUMMYFUNCTION("""COMPUTED_VALUE"""),"VerifyComplianceOrder")</f>
        <v>VerifyComplianceOrder</v>
      </c>
      <c r="I4" s="25" t="str">
        <f>IFERROR(__xludf.DUMMYFUNCTION("""COMPUTED_VALUE"""),"TradeNewSub")</f>
        <v>TradeNewSub</v>
      </c>
      <c r="J4" s="25" t="str">
        <f>IFERROR(__xludf.DUMMYFUNCTION("""COMPUTED_VALUE"""),"CreateStageOrder")</f>
        <v>CreateStageOrder</v>
      </c>
      <c r="K4" s="25" t="str">
        <f>IFERROR(__xludf.DUMMYFUNCTION("""COMPUTED_VALUE"""),"CreateReplaceOrder")</f>
        <v>CreateReplaceOrder</v>
      </c>
      <c r="L4" s="25" t="str">
        <f>IFERROR(__xludf.DUMMYFUNCTION("""COMPUTED_VALUE"""),"SetGeneralPreference")</f>
        <v>SetGeneralPreference</v>
      </c>
      <c r="M4" s="25" t="str">
        <f>IFERROR(__xludf.DUMMYFUNCTION("""COMPUTED_VALUE"""),"CreateNewSubOrder")</f>
        <v>CreateNewSubOrder</v>
      </c>
      <c r="N4" s="25" t="str">
        <f>IFERROR(__xludf.DUMMYFUNCTION("""COMPUTED_VALUE"""),"TradeBloomberg")</f>
        <v>TradeBloomberg</v>
      </c>
      <c r="O4" s="25" t="str">
        <f>IFERROR(__xludf.DUMMYFUNCTION("""COMPUTED_VALUE"""),"ClickSymbolLookup")</f>
        <v>ClickSymbolLookup</v>
      </c>
      <c r="P4" s="26" t="str">
        <f>IFERROR(__xludf.DUMMYFUNCTION("""COMPUTED_VALUE"""),"VerifyTT")</f>
        <v>VerifyTT</v>
      </c>
      <c r="Q4" s="26" t="str">
        <f>IFERROR(__xludf.DUMMYFUNCTION("""COMPUTED_VALUE"""),"CreateLiveOrder")</f>
        <v>CreateLiveOrder</v>
      </c>
      <c r="R4" s="26" t="str">
        <f>IFERROR(__xludf.DUMMYFUNCTION("""COMPUTED_VALUE"""),"UpdateMasterFundOnTT")</f>
        <v>UpdateMasterFundOnTT</v>
      </c>
      <c r="S4" s="26" t="str">
        <f>IFERROR(__xludf.DUMMYFUNCTION("""COMPUTED_VALUE"""),"SetTTCompliancePreference")</f>
        <v>SetTTCompliancePreference</v>
      </c>
      <c r="T4" s="26" t="str">
        <f>IFERROR(__xludf.DUMMYFUNCTION("""COMPUTED_VALUE"""),"ImportSymbol")</f>
        <v>ImportSymbol</v>
      </c>
      <c r="U4" s="26" t="str">
        <f>IFERROR(__xludf.DUMMYFUNCTION("""COMPUTED_VALUE"""),"ExportSymbolFromRAList")</f>
        <v>ExportSymbolFromRAList</v>
      </c>
      <c r="V4" s="26" t="str">
        <f>IFERROR(__xludf.DUMMYFUNCTION("""COMPUTED_VALUE"""),"CheckPendingNewOrderAlert")</f>
        <v>CheckPendingNewOrderAlert</v>
      </c>
      <c r="W4" s="26" t="str">
        <f>IFERROR(__xludf.DUMMYFUNCTION("""COMPUTED_VALUE"""),"AddSymbolOnRAList")</f>
        <v>AddSymbolOnRAList</v>
      </c>
      <c r="X4" s="26" t="str">
        <f>IFERROR(__xludf.DUMMYFUNCTION("""COMPUTED_VALUE"""),"DeleteSymbolListFromRA")</f>
        <v>DeleteSymbolListFromRA</v>
      </c>
      <c r="Y4" s="26" t="str">
        <f>IFERROR(__xludf.DUMMYFUNCTION("""COMPUTED_VALUE"""),"RemoveSymbolFromRAList")</f>
        <v>RemoveSymbolFromRAList</v>
      </c>
      <c r="Z4" s="26" t="str">
        <f>IFERROR(__xludf.DUMMYFUNCTION("""COMPUTED_VALUE"""),"ToggleBlombergOnRA")</f>
        <v>ToggleBlombergOnRA</v>
      </c>
      <c r="AA4" s="26" t="str">
        <f>IFERROR(__xludf.DUMMYFUNCTION("""COMPUTED_VALUE"""),"CreateDoneAwayOrder")</f>
        <v>CreateDoneAwayOrder</v>
      </c>
      <c r="AB4" s="26" t="str">
        <f>IFERROR(__xludf.DUMMYFUNCTION("""COMPUTED_VALUE"""),"CreateComplianceOrder")</f>
        <v>CreateComplianceOrder</v>
      </c>
      <c r="AC4" s="26" t="str">
        <f>IFERROR(__xludf.DUMMYFUNCTION("""COMPUTED_VALUE"""),"AddOptionTrade")</f>
        <v>AddOptionTrade</v>
      </c>
      <c r="AD4" s="26" t="str">
        <f>IFERROR(__xludf.DUMMYFUNCTION("""COMPUTED_VALUE"""),"SendLiveBloomberg")</f>
        <v>SendLiveBloomberg</v>
      </c>
      <c r="AE4" s="26" t="str">
        <f>IFERROR(__xludf.DUMMYFUNCTION("""COMPUTED_VALUE"""),"ViewAllocation")</f>
        <v>ViewAllocation</v>
      </c>
      <c r="AF4" s="26" t="str">
        <f>IFERROR(__xludf.DUMMYFUNCTION("""COMPUTED_VALUE"""),"CreateReplaceLiveOrder")</f>
        <v>CreateReplaceLiveOrder</v>
      </c>
      <c r="AG4" s="26" t="str">
        <f>IFERROR(__xludf.DUMMYFUNCTION("""COMPUTED_VALUE"""),"CreateNewSubLiveOrder")</f>
        <v>CreateNewSubLiveOrder</v>
      </c>
      <c r="AH4" s="26" t="str">
        <f>IFERROR(__xludf.DUMMYFUNCTION("""COMPUTED_VALUE"""),"VerifyBasketExport")</f>
        <v>VerifyBasketExport</v>
      </c>
      <c r="AI4" s="26" t="str">
        <f>IFERROR(__xludf.DUMMYFUNCTION("""COMPUTED_VALUE"""),"VerifyCustomAllocationonTT")</f>
        <v>VerifyCustomAllocationonTT</v>
      </c>
      <c r="AJ4" s="26" t="str">
        <f>IFERROR(__xludf.DUMMYFUNCTION("""COMPUTED_VALUE"""),"CustomOrderTT")</f>
        <v>CustomOrderTT</v>
      </c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IFERROR(__xludf.DUMMYFUNCTION("""COMPUTED_VALUE"""),"PopUpQuantity")</f>
        <v>PopUpQuantity</v>
      </c>
      <c r="AO5" s="30" t="str">
        <f>IFERROR(__xludf.DUMMYFUNCTION("""COMPUTED_VALUE"""),"ShortLocate")</f>
        <v>ShortLocate</v>
      </c>
      <c r="AP5" s="30" t="str">
        <f>IFERROR(__xludf.DUMMYFUNCTION("""COMPUTED_VALUE"""),"ChkBoxBookAsSwap")</f>
        <v>ChkBoxBookAsSwap</v>
      </c>
      <c r="AQ5" s="30" t="str">
        <f>IFERROR(__xludf.DUMMYFUNCTION("""COMPUTED_VALUE"""),"Interest Rate")</f>
        <v>Interest Rate</v>
      </c>
      <c r="AR5" s="30" t="str">
        <f>IFERROR(__xludf.DUMMYFUNCTION("""COMPUTED_VALUE"""),"SharesOutstandingPopUp")</f>
        <v>SharesOutstandingPopUp</v>
      </c>
      <c r="AS5" s="30" t="str">
        <f>IFERROR(__xludf.DUMMYFUNCTION("""COMPUTED_VALUE"""),"AllowTrade")</f>
        <v>AllowTrade</v>
      </c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/>
      <c r="C6" s="32"/>
      <c r="D6" s="33">
        <v>200.0</v>
      </c>
      <c r="E6" s="32"/>
      <c r="F6" s="32"/>
      <c r="G6" s="32"/>
      <c r="H6" s="32"/>
      <c r="I6" s="32"/>
      <c r="J6" s="34">
        <v>12.0</v>
      </c>
      <c r="K6" s="32"/>
      <c r="L6" s="34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 t="s">
        <v>29</v>
      </c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CreateNewSubOrder!$4:$4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30</v>
      </c>
      <c r="D3" s="5" t="s">
        <v>9</v>
      </c>
      <c r="E3" s="23" t="s">
        <v>31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IFERROR(__xludf.DUMMYFUNCTION("IF(C3="""","""",Transpose(IMPORTRANGE('_Settings'!$B$3,C3&amp;""!A4:A1000"")))"),"RestartClient")</f>
        <v>RestartClient</v>
      </c>
      <c r="C4" s="25" t="str">
        <f>IFERROR(__xludf.DUMMYFUNCTION("""COMPUTED_VALUE"""),"UpdateClientConfig")</f>
        <v>UpdateClientConfig</v>
      </c>
      <c r="D4" s="25" t="str">
        <f>IFERROR(__xludf.DUMMYFUNCTION("""COMPUTED_VALUE"""),"PranaClient")</f>
        <v>PranaClient</v>
      </c>
      <c r="E4" s="25" t="str">
        <f>IFERROR(__xludf.DUMMYFUNCTION("""COMPUTED_VALUE"""),"CompareXML")</f>
        <v>CompareXML</v>
      </c>
      <c r="F4" s="25" t="str">
        <f>IFERROR(__xludf.DUMMYFUNCTION("""COMPUTED_VALUE"""),"LoginClient")</f>
        <v>LoginClient</v>
      </c>
      <c r="G4" s="25"/>
      <c r="H4" s="25"/>
      <c r="I4" s="25"/>
      <c r="J4" s="25"/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IFERROR(__xludf.DUMMYFUNCTION("""COMPUTED_VALUE"""),"LoginUserName")</f>
        <v>LoginUserName</v>
      </c>
      <c r="C5" s="28" t="str">
        <f>IFERROR(__xludf.DUMMYFUNCTION("""COMPUTED_VALUE"""),"LoginPassword")</f>
        <v>LoginPassword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35" t="s">
        <v>32</v>
      </c>
      <c r="C6" s="38" t="s">
        <v>33</v>
      </c>
      <c r="D6" s="13"/>
      <c r="E6" s="37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LoginClient!$4:$4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34</v>
      </c>
      <c r="D3" s="5" t="s">
        <v>9</v>
      </c>
      <c r="E3" s="23" t="s">
        <v>35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IFERROR(__xludf.DUMMYFUNCTION("IF(C3="""","""",Transpose(IMPORTRANGE('_Settings'!$B$3,C3&amp;""!A4:A1000"")))"),"CheckCompliance")</f>
        <v>CheckCompliance</v>
      </c>
      <c r="C4" s="25" t="str">
        <f>IFERROR(__xludf.DUMMYFUNCTION("""COMPUTED_VALUE"""),"VerifyAccountDivisorWindow")</f>
        <v>VerifyAccountDivisorWindow</v>
      </c>
      <c r="D4" s="25" t="str">
        <f>IFERROR(__xludf.DUMMYFUNCTION("""COMPUTED_VALUE"""),"VerifyAccountSymbolDivisorWindow")</f>
        <v>VerifyAccountSymbolDivisorWindow</v>
      </c>
      <c r="E4" s="25" t="str">
        <f>IFERROR(__xludf.DUMMYFUNCTION("""COMPUTED_VALUE"""),"VerifyAggregationAccountSymbolWithNav")</f>
        <v>VerifyAggregationAccountSymbolWithNav</v>
      </c>
      <c r="F4" s="25" t="str">
        <f>IFERROR(__xludf.DUMMYFUNCTION("""COMPUTED_VALUE"""),"VerifyAggregationAccountWithNav")</f>
        <v>VerifyAggregationAccountWithNav</v>
      </c>
      <c r="G4" s="25" t="str">
        <f>IFERROR(__xludf.DUMMYFUNCTION("""COMPUTED_VALUE"""),"VerifyAggregationMasterFundSymbolWithNav")</f>
        <v>VerifyAggregationMasterFundSymbolWithNav</v>
      </c>
      <c r="H4" s="25" t="str">
        <f>IFERROR(__xludf.DUMMYFUNCTION("""COMPUTED_VALUE"""),"VerifyAggregationMasterFundUnderlyingSymbolWithNav")</f>
        <v>VerifyAggregationMasterFundUnderlyingSymbolWithNav</v>
      </c>
      <c r="I4" s="25" t="str">
        <f>IFERROR(__xludf.DUMMYFUNCTION("""COMPUTED_VALUE"""),"VerifyAggregationMasterFundWithNav")</f>
        <v>VerifyAggregationMasterFundWithNav</v>
      </c>
      <c r="J4" s="25" t="str">
        <f>IFERROR(__xludf.DUMMYFUNCTION("""COMPUTED_VALUE"""),"VerifyAggregationSectorWithNav")</f>
        <v>VerifyAggregationSectorWithNav</v>
      </c>
      <c r="K4" s="25" t="str">
        <f>IFERROR(__xludf.DUMMYFUNCTION("""COMPUTED_VALUE"""),"VerifyAggregationUnderlyingSymbolWithNav")</f>
        <v>VerifyAggregationUnderlyingSymbolWithNav</v>
      </c>
      <c r="L4" s="25" t="str">
        <f>IFERROR(__xludf.DUMMYFUNCTION("""COMPUTED_VALUE"""),"VerifyAuecWindow")</f>
        <v>VerifyAuecWindow</v>
      </c>
      <c r="M4" s="25" t="str">
        <f>IFERROR(__xludf.DUMMYFUNCTION("""COMPUTED_VALUE"""),"VerifyBetaWindow")</f>
        <v>VerifyBetaWindow</v>
      </c>
      <c r="N4" s="25" t="str">
        <f>IFERROR(__xludf.DUMMYFUNCTION("""COMPUTED_VALUE"""),"VerifyCustomSymbolDataWindow")</f>
        <v>VerifyCustomSymbolDataWindow</v>
      </c>
      <c r="O4" s="25" t="str">
        <f>IFERROR(__xludf.DUMMYFUNCTION("""COMPUTED_VALUE"""),"VerifyDayEndCashAccountWindow")</f>
        <v>VerifyDayEndCashAccountWindow</v>
      </c>
      <c r="P4" s="26" t="str">
        <f>IFERROR(__xludf.DUMMYFUNCTION("""COMPUTED_VALUE"""),"VerifyDbNavWindow")</f>
        <v>VerifyDbNavWindow</v>
      </c>
      <c r="Q4" s="26" t="str">
        <f>IFERROR(__xludf.DUMMYFUNCTION("""COMPUTED_VALUE"""),"VerifyGlobalDivisorWindow")</f>
        <v>VerifyGlobalDivisorWindow</v>
      </c>
      <c r="R4" s="26" t="str">
        <f>IFERROR(__xludf.DUMMYFUNCTION("""COMPUTED_VALUE"""),"VerifyPmCalculationPreferenceWindow")</f>
        <v>VerifyPmCalculationPreferenceWindow</v>
      </c>
      <c r="S4" s="26" t="str">
        <f>IFERROR(__xludf.DUMMYFUNCTION("""COMPUTED_VALUE"""),"VerifyRowCalculationBaseWindow")</f>
        <v>VerifyRowCalculationBaseWindow</v>
      </c>
      <c r="T4" s="26" t="str">
        <f>IFERROR(__xludf.DUMMYFUNCTION("""COMPUTED_VALUE"""),"VerifySecurityWindow")</f>
        <v>VerifySecurityWindow</v>
      </c>
      <c r="U4" s="26" t="str">
        <f>IFERROR(__xludf.DUMMYFUNCTION("""COMPUTED_VALUE"""),"VerifySymbolDataWindow")</f>
        <v>VerifySymbolDataWindow</v>
      </c>
      <c r="V4" s="26" t="str">
        <f>IFERROR(__xludf.DUMMYFUNCTION("""COMPUTED_VALUE"""),"VerifySymbolDivisorWindow")</f>
        <v>VerifySymbolDivisorWindow</v>
      </c>
      <c r="W4" s="26" t="str">
        <f>IFERROR(__xludf.DUMMYFUNCTION("""COMPUTED_VALUE"""),"VerifyTaxlotWindow")</f>
        <v>VerifyTaxlotWindow</v>
      </c>
      <c r="X4" s="26" t="str">
        <f>IFERROR(__xludf.DUMMYFUNCTION("""COMPUTED_VALUE"""),"RestartEsper")</f>
        <v>RestartEsper</v>
      </c>
      <c r="Y4" s="26" t="str">
        <f>IFERROR(__xludf.DUMMYFUNCTION("""COMPUTED_VALUE"""),"VerifyAccountNavPreferenceWindow")</f>
        <v>VerifyAccountNavPreferenceWindow</v>
      </c>
      <c r="Z4" s="26" t="str">
        <f>IFERROR(__xludf.DUMMYFUNCTION("""COMPUTED_VALUE"""),"VerifyAggregationAccountUnderlyingSymbolWithNav")</f>
        <v>VerifyAggregationAccountUnderlyingSymbolWithNav</v>
      </c>
      <c r="AA4" s="26" t="str">
        <f>IFERROR(__xludf.DUMMYFUNCTION("""COMPUTED_VALUE"""),"VerifyAggregationAssetWithNav")</f>
        <v>VerifyAggregationAssetWithNav</v>
      </c>
      <c r="AB4" s="26" t="str">
        <f>IFERROR(__xludf.DUMMYFUNCTION("""COMPUTED_VALUE"""),"VerifyAggregationSymbolWithNav")</f>
        <v>VerifyAggregationSymbolWithNav</v>
      </c>
      <c r="AC4" s="26" t="str">
        <f>IFERROR(__xludf.DUMMYFUNCTION("""COMPUTED_VALUE"""),"VerifyAggregationSubSectorWithNav")</f>
        <v>VerifyAggregationSubSectorWithNav</v>
      </c>
      <c r="AD4" s="26" t="str">
        <f>IFERROR(__xludf.DUMMYFUNCTION("""COMPUTED_VALUE"""),"VerifyAggregationGlobalWithNav")</f>
        <v>VerifyAggregationGlobalWithNav</v>
      </c>
      <c r="AE4" s="26" t="str">
        <f>IFERROR(__xludf.DUMMYFUNCTION("""COMPUTED_VALUE"""),"VerifyAggregationGlobalWithNav")</f>
        <v>VerifyAggregationGlobalWithNav</v>
      </c>
      <c r="AF4" s="26" t="str">
        <f>IFERROR(__xludf.DUMMYFUNCTION("""COMPUTED_VALUE"""),"VerifyGlobalDivisorWindow")</f>
        <v>VerifyGlobalDivisorWindow</v>
      </c>
      <c r="AG4" s="26" t="str">
        <f>IFERROR(__xludf.DUMMYFUNCTION("""COMPUTED_VALUE"""),"VerifyAccrualForAccountWindow")</f>
        <v>VerifyAccrualForAccountWindow</v>
      </c>
      <c r="AH4" s="26" t="str">
        <f>IFERROR(__xludf.DUMMYFUNCTION("""COMPUTED_VALUE"""),"VerifyGlobalDivisorWindow")</f>
        <v>VerifyGlobalDivisorWindow</v>
      </c>
      <c r="AI4" s="26" t="str">
        <f>IFERROR(__xludf.DUMMYFUNCTION("""COMPUTED_VALUE"""),"VerifyMasterFundDivisorWindow")</f>
        <v>VerifyMasterFundDivisorWindow</v>
      </c>
      <c r="AJ4" s="26" t="str">
        <f>IFERROR(__xludf.DUMMYFUNCTION("""COMPUTED_VALUE"""),"VerifyMasterFundSymbolDivisorWindow")</f>
        <v>VerifyMasterFundSymbolDivisorWindow</v>
      </c>
      <c r="AK4" s="26" t="str">
        <f>IFERROR(__xludf.DUMMYFUNCTION("""COMPUTED_VALUE"""),"RestartRuleMediator")</f>
        <v>RestartRuleMediator</v>
      </c>
      <c r="AL4" s="26" t="str">
        <f>IFERROR(__xludf.DUMMYFUNCTION("""COMPUTED_VALUE"""),"VerifyAggAccountSymbolWithNav")</f>
        <v>VerifyAggAccountSymbolWithNav</v>
      </c>
      <c r="AM4" s="26" t="str">
        <f>IFERROR(__xludf.DUMMYFUNCTION("""COMPUTED_VALUE"""),"ApproveorRejectpendingapproval")</f>
        <v>ApproveorRejectpendingapproval</v>
      </c>
      <c r="AN4" s="26" t="str">
        <f>IFERROR(__xludf.DUMMYFUNCTION("""COMPUTED_VALUE"""),"VerifyAlertHistory")</f>
        <v>VerifyAlertHistory</v>
      </c>
      <c r="AO4" s="26" t="str">
        <f>IFERROR(__xludf.DUMMYFUNCTION("""COMPUTED_VALUE"""),"EditInterceptorFile")</f>
        <v>EditInterceptorFile</v>
      </c>
      <c r="AP4" s="26" t="str">
        <f>IFERROR(__xludf.DUMMYFUNCTION("""COMPUTED_VALUE"""),"ReplaceInterceptorFile")</f>
        <v>ReplaceInterceptorFile</v>
      </c>
      <c r="AQ4" s="26" t="str">
        <f>IFERROR(__xludf.DUMMYFUNCTION("""COMPUTED_VALUE"""),"RestartReleasesAndServices")</f>
        <v>RestartReleasesAndServices</v>
      </c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IFERROR(__xludf.DUMMYFUNCTION("""COMPUTED_VALUE"""),"Trade Date")</f>
        <v>Trade Date</v>
      </c>
      <c r="C5" s="28" t="str">
        <f>IFERROR(__xludf.DUMMYFUNCTION("""COMPUTED_VALUE"""),"Symbols")</f>
        <v>Symbols</v>
      </c>
      <c r="D5" s="28" t="str">
        <f>IFERROR(__xludf.DUMMYFUNCTION("""COMPUTED_VALUE"""),"Trade Origination")</f>
        <v>Trade Origination</v>
      </c>
      <c r="E5" s="28" t="str">
        <f>IFERROR(__xludf.DUMMYFUNCTION("""COMPUTED_VALUE"""),"Trader")</f>
        <v>Trader</v>
      </c>
      <c r="F5" s="29" t="str">
        <f>IFERROR(__xludf.DUMMYFUNCTION("""COMPUTED_VALUE"""),"Trade Details")</f>
        <v>Trade Details</v>
      </c>
      <c r="G5" s="28" t="str">
        <f>IFERROR(__xludf.DUMMYFUNCTION("""COMPUTED_VALUE"""),"Trade Notes")</f>
        <v>Trade Notes</v>
      </c>
      <c r="H5" s="28" t="str">
        <f>IFERROR(__xludf.DUMMYFUNCTION("""COMPUTED_VALUE"""),"Compliance Officer Notes")</f>
        <v>Compliance Officer Notes</v>
      </c>
      <c r="I5" s="28" t="str">
        <f>IFERROR(__xludf.DUMMYFUNCTION("""COMPUTED_VALUE"""),"User Name")</f>
        <v>User Name</v>
      </c>
      <c r="J5" s="28" t="str">
        <f>IFERROR(__xludf.DUMMYFUNCTION("""COMPUTED_VALUE"""),"Trade Price")</f>
        <v>Trade Price</v>
      </c>
      <c r="K5" s="28" t="str">
        <f>IFERROR(__xludf.DUMMYFUNCTION("""COMPUTED_VALUE"""),"Basket Name")</f>
        <v>Basket Name</v>
      </c>
      <c r="L5" s="28" t="str">
        <f>IFERROR(__xludf.DUMMYFUNCTION("""COMPUTED_VALUE"""),"Quantity")</f>
        <v>Quantity</v>
      </c>
      <c r="M5" s="28" t="str">
        <f>IFERROR(__xludf.DUMMYFUNCTION("""COMPUTED_VALUE"""),"Broker")</f>
        <v>Broker</v>
      </c>
      <c r="N5" s="28" t="str">
        <f>IFERROR(__xludf.DUMMYFUNCTION("""COMPUTED_VALUE"""),"Status")</f>
        <v>Status</v>
      </c>
      <c r="O5" s="28" t="str">
        <f>IFERROR(__xludf.DUMMYFUNCTION("""COMPUTED_VALUE"""),"Order Side")</f>
        <v>Order Side</v>
      </c>
      <c r="P5" s="28" t="str">
        <f>IFERROR(__xludf.DUMMYFUNCTION("""COMPUTED_VALUE"""),"ApproveorRejectAll")</f>
        <v>ApproveorRejectAll</v>
      </c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9"/>
      <c r="B6" s="40"/>
      <c r="C6" s="41" t="s">
        <v>36</v>
      </c>
      <c r="D6" s="42" t="s">
        <v>37</v>
      </c>
      <c r="E6" s="43" t="s">
        <v>38</v>
      </c>
      <c r="F6" s="43" t="s">
        <v>39</v>
      </c>
      <c r="G6" s="43" t="s">
        <v>40</v>
      </c>
      <c r="H6" s="44"/>
      <c r="I6" s="43" t="s">
        <v>41</v>
      </c>
      <c r="J6" s="43">
        <v>12.0</v>
      </c>
      <c r="K6" s="43"/>
      <c r="L6" s="43">
        <v>200.0</v>
      </c>
      <c r="M6" s="43" t="s">
        <v>42</v>
      </c>
      <c r="N6" s="45" t="s">
        <v>43</v>
      </c>
      <c r="O6" s="43" t="s">
        <v>17</v>
      </c>
      <c r="P6" s="32" t="s">
        <v>44</v>
      </c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ApproveorRejectpendingapproval!$4:$4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30</v>
      </c>
      <c r="D3" s="5" t="s">
        <v>9</v>
      </c>
      <c r="E3" s="23" t="s">
        <v>31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IFERROR(__xludf.DUMMYFUNCTION("IF(C3="""","""",Transpose(IMPORTRANGE('_Settings'!$B$3,C3&amp;""!A4:A1000"")))"),"RestartClient")</f>
        <v>RestartClient</v>
      </c>
      <c r="C4" s="25" t="str">
        <f>IFERROR(__xludf.DUMMYFUNCTION("""COMPUTED_VALUE"""),"UpdateClientConfig")</f>
        <v>UpdateClientConfig</v>
      </c>
      <c r="D4" s="25" t="str">
        <f>IFERROR(__xludf.DUMMYFUNCTION("""COMPUTED_VALUE"""),"PranaClient")</f>
        <v>PranaClient</v>
      </c>
      <c r="E4" s="25" t="str">
        <f>IFERROR(__xludf.DUMMYFUNCTION("""COMPUTED_VALUE"""),"CompareXML")</f>
        <v>CompareXML</v>
      </c>
      <c r="F4" s="25" t="str">
        <f>IFERROR(__xludf.DUMMYFUNCTION("""COMPUTED_VALUE"""),"LoginClient")</f>
        <v>LoginClient</v>
      </c>
      <c r="G4" s="25"/>
      <c r="H4" s="25"/>
      <c r="I4" s="25"/>
      <c r="J4" s="25"/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IFERROR(__xludf.DUMMYFUNCTION("""COMPUTED_VALUE"""),"LoginUserName")</f>
        <v>LoginUserName</v>
      </c>
      <c r="C5" s="28" t="str">
        <f>IFERROR(__xludf.DUMMYFUNCTION("""COMPUTED_VALUE"""),"LoginPassword")</f>
        <v>LoginPassword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35" t="s">
        <v>45</v>
      </c>
      <c r="C6" s="38" t="s">
        <v>33</v>
      </c>
      <c r="D6" s="13"/>
      <c r="E6" s="37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LoginClient1!$4:$4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25</v>
      </c>
      <c r="D3" s="5" t="s">
        <v>9</v>
      </c>
      <c r="E3" s="23" t="s">
        <v>26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IFERROR(__xludf.DUMMYFUNCTION("""COMPUTED_VALUE"""),"ReloadOrderFromBlotter")</f>
        <v>ReloadOrderFromBlotter</v>
      </c>
      <c r="BE4" s="26" t="str">
        <f>IFERROR(__xludf.DUMMYFUNCTION("""COMPUTED_VALUE"""),"ReloadOrderFromSubOrder")</f>
        <v>ReloadOrderFromSubOrder</v>
      </c>
      <c r="BF4" s="26" t="str">
        <f>IFERROR(__xludf.DUMMYFUNCTION("""COMPUTED_VALUE"""),"ReloadOrderFromWorkingSubs")</f>
        <v>ReloadOrderFromWorkingSubs</v>
      </c>
      <c r="BG4" s="26" t="str">
        <f>IFERROR(__xludf.DUMMYFUNCTION("""COMPUTED_VALUE"""),"SelectFills")</f>
        <v>SelectFills</v>
      </c>
      <c r="BH4" s="26" t="str">
        <f>IFERROR(__xludf.DUMMYFUNCTION("""COMPUTED_VALUE"""),"ModifyFills")</f>
        <v>ModifyFills</v>
      </c>
      <c r="BI4" s="26" t="str">
        <f>IFERROR(__xludf.DUMMYFUNCTION("""COMPUTED_VALUE"""),"AllocateFromBlotter")</f>
        <v>AllocateFromBlotter</v>
      </c>
      <c r="BJ4" s="26" t="str">
        <f>IFERROR(__xludf.DUMMYFUNCTION("""COMPUTED_VALUE"""),"ViewPTTAllocationDetails")</f>
        <v>ViewPTTAllocationDetails</v>
      </c>
      <c r="BK4" s="26" t="str">
        <f>IFERROR(__xludf.DUMMYFUNCTION("""COMPUTED_VALUE"""),"MergeOrder")</f>
        <v>MergeOrder</v>
      </c>
      <c r="BL4" s="26" t="str">
        <f>IFERROR(__xludf.DUMMYFUNCTION("""COMPUTED_VALUE"""),"VerifyMergeOrder")</f>
        <v>VerifyMergeOrder</v>
      </c>
      <c r="BM4" s="26" t="str">
        <f>IFERROR(__xludf.DUMMYFUNCTION("""COMPUTED_VALUE"""),"AddTabBlotter")</f>
        <v>AddTabBlotter</v>
      </c>
      <c r="BN4" s="26" t="str">
        <f>IFERROR(__xludf.DUMMYFUNCTION("""COMPUTED_VALUE"""),"VerifyLowerStripBlotterUI")</f>
        <v>VerifyLowerStripBlotterUI</v>
      </c>
      <c r="BO4" s="26" t="str">
        <f>IFERROR(__xludf.DUMMYFUNCTION("""COMPUTED_VALUE"""),"SaveOrRemoveInSummaryTab")</f>
        <v>SaveOrRemoveInSummaryTab</v>
      </c>
      <c r="BP4" s="26" t="str">
        <f>IFERROR(__xludf.DUMMYFUNCTION("""COMPUTED_VALUE"""),"SaveOrRemoveInWorkingSubsTab")</f>
        <v>SaveOrRemoveInWorkingSubsTab</v>
      </c>
      <c r="BQ4" s="26" t="str">
        <f>IFERROR(__xludf.DUMMYFUNCTION("""COMPUTED_VALUE"""),"SelectCheckBoxOnOrderGrid")</f>
        <v>SelectCheckBoxOnOrderGrid</v>
      </c>
      <c r="BR4" s="26" t="str">
        <f>IFERROR(__xludf.DUMMYFUNCTION("""COMPUTED_VALUE"""),"ReAllocateFromBlotterByAllocate")</f>
        <v>ReAllocateFromBlotterByAllocate</v>
      </c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IFERROR(__xludf.DUMMYFUNCTION("""COMPUTED_VALUE"""),"User")</f>
        <v>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6")</f>
        <v>Trade Attribute 6</v>
      </c>
      <c r="N5" s="28" t="str">
        <f>IFERROR(__xludf.DUMMYFUNCTION("""COMPUTED_VALUE"""),"Trade Attribute 5")</f>
        <v>Trade Attribute 5</v>
      </c>
      <c r="O5" s="28" t="str">
        <f>IFERROR(__xludf.DUMMYFUNCTION("""COMPUTED_VALUE"""),"Trade Attribute 4")</f>
        <v>Trade Attribute 4</v>
      </c>
      <c r="P5" s="28" t="str">
        <f>IFERROR(__xludf.DUMMYFUNCTION("""COMPUTED_VALUE"""),"Trade Attribute 3")</f>
        <v>Trade Attribute 3</v>
      </c>
      <c r="Q5" s="28" t="str">
        <f>IFERROR(__xludf.DUMMYFUNCTION("""COMPUTED_VALUE"""),"Trade Attribute 1")</f>
        <v>Trade Attribute 1</v>
      </c>
      <c r="R5" s="28" t="str">
        <f>IFERROR(__xludf.DUMMYFUNCTION("""COMPUTED_VALUE"""),"Trade Attribute 2")</f>
        <v>Trade Attribute 2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IFERROR(__xludf.DUMMYFUNCTION("""COMPUTED_VALUE"""),"Target Qty")</f>
        <v>Target Qty</v>
      </c>
      <c r="AM5" s="30" t="str">
        <f>IFERROR(__xludf.DUMMYFUNCTION("""COMPUTED_VALUE"""),"Total Executed Qty")</f>
        <v>Total Executed Qty</v>
      </c>
      <c r="AN5" s="30" t="str">
        <f>IFERROR(__xludf.DUMMYFUNCTION("""COMPUTED_VALUE"""),"% Executed")</f>
        <v>% Executed</v>
      </c>
      <c r="AO5" s="30" t="str">
        <f>IFERROR(__xludf.DUMMYFUNCTION("""COMPUTED_VALUE"""),"Day Executed Qty")</f>
        <v>Day Executed Qty</v>
      </c>
      <c r="AP5" s="30" t="str">
        <f>IFERROR(__xludf.DUMMYFUNCTION("""COMPUTED_VALUE"""),"Uncommitted Qty")</f>
        <v>Uncommitted Qty</v>
      </c>
      <c r="AQ5" s="30" t="str">
        <f>IFERROR(__xludf.DUMMYFUNCTION("""COMPUTED_VALUE"""),"Last Fill Price (Local)")</f>
        <v>Last Fill Price (Local)</v>
      </c>
      <c r="AR5" s="30" t="str">
        <f>IFERROR(__xludf.DUMMYFUNCTION("""COMPUTED_VALUE"""),"Avg Fill Price (Local)")</f>
        <v>Avg Fill Price (Local)</v>
      </c>
      <c r="AS5" s="30" t="str">
        <f>IFERROR(__xludf.DUMMYFUNCTION("""COMPUTED_VALUE"""),"Broker")</f>
        <v>Broker</v>
      </c>
      <c r="AT5" s="30" t="str">
        <f>IFERROR(__xludf.DUMMYFUNCTION("""COMPUTED_VALUE"""),"Account")</f>
        <v>Account</v>
      </c>
      <c r="AU5" s="30" t="str">
        <f>IFERROR(__xludf.DUMMYFUNCTION("""COMPUTED_VALUE"""),"Order Type")</f>
        <v>Order Type</v>
      </c>
      <c r="AV5" s="30" t="str">
        <f>IFERROR(__xludf.DUMMYFUNCTION("""COMPUTED_VALUE"""),"Principal Amount (Local)")</f>
        <v>Principal Amount (Local)</v>
      </c>
      <c r="AW5" s="30" t="str">
        <f>IFERROR(__xludf.DUMMYFUNCTION("""COMPUTED_VALUE"""),"Principal Amount (Base)")</f>
        <v>Principal Amount (Base)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IFERROR(__xludf.DUMMYFUNCTION("""COMPUTED_VALUE"""),"Status (With Rollover)")</f>
        <v>Status (With Rollover)</v>
      </c>
      <c r="AZ5" s="30" t="str">
        <f>IFERROR(__xludf.DUMMYFUNCTION("""COMPUTED_VALUE"""),"Start of Day Qty")</f>
        <v>Start of Day Qty</v>
      </c>
      <c r="BA5" s="30" t="str">
        <f>IFERROR(__xludf.DUMMYFUNCTION("""COMPUTED_VALUE"""),"Leaves")</f>
        <v>Leaves</v>
      </c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/>
      <c r="E6" s="37"/>
      <c r="F6" s="8"/>
      <c r="G6" s="8"/>
      <c r="H6" s="8"/>
      <c r="I6" s="8"/>
      <c r="J6" s="8"/>
      <c r="K6" s="8"/>
      <c r="L6" s="8"/>
      <c r="M6" s="8"/>
      <c r="N6" s="8"/>
      <c r="O6" s="8"/>
      <c r="AI6" s="38" t="s">
        <v>16</v>
      </c>
      <c r="AJ6" s="38" t="s">
        <v>18</v>
      </c>
      <c r="AK6" s="32" t="s">
        <v>27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TradeNewSubOrder1!$4:$4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28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IFERROR(__xludf.DUMMYFUNCTION("""COMPUTED_VALUE"""),"VerifyComplianceOrder")</f>
        <v>VerifyComplianceOrder</v>
      </c>
      <c r="I4" s="25" t="str">
        <f>IFERROR(__xludf.DUMMYFUNCTION("""COMPUTED_VALUE"""),"TradeNewSub")</f>
        <v>TradeNewSub</v>
      </c>
      <c r="J4" s="25" t="str">
        <f>IFERROR(__xludf.DUMMYFUNCTION("""COMPUTED_VALUE"""),"CreateStageOrder")</f>
        <v>CreateStageOrder</v>
      </c>
      <c r="K4" s="25" t="str">
        <f>IFERROR(__xludf.DUMMYFUNCTION("""COMPUTED_VALUE"""),"CreateReplaceOrder")</f>
        <v>CreateReplaceOrder</v>
      </c>
      <c r="L4" s="25" t="str">
        <f>IFERROR(__xludf.DUMMYFUNCTION("""COMPUTED_VALUE"""),"SetGeneralPreference")</f>
        <v>SetGeneralPreference</v>
      </c>
      <c r="M4" s="25" t="str">
        <f>IFERROR(__xludf.DUMMYFUNCTION("""COMPUTED_VALUE"""),"CreateNewSubOrder")</f>
        <v>CreateNewSubOrder</v>
      </c>
      <c r="N4" s="25" t="str">
        <f>IFERROR(__xludf.DUMMYFUNCTION("""COMPUTED_VALUE"""),"TradeBloomberg")</f>
        <v>TradeBloomberg</v>
      </c>
      <c r="O4" s="25" t="str">
        <f>IFERROR(__xludf.DUMMYFUNCTION("""COMPUTED_VALUE"""),"ClickSymbolLookup")</f>
        <v>ClickSymbolLookup</v>
      </c>
      <c r="P4" s="26" t="str">
        <f>IFERROR(__xludf.DUMMYFUNCTION("""COMPUTED_VALUE"""),"VerifyTT")</f>
        <v>VerifyTT</v>
      </c>
      <c r="Q4" s="26" t="str">
        <f>IFERROR(__xludf.DUMMYFUNCTION("""COMPUTED_VALUE"""),"CreateLiveOrder")</f>
        <v>CreateLiveOrder</v>
      </c>
      <c r="R4" s="26" t="str">
        <f>IFERROR(__xludf.DUMMYFUNCTION("""COMPUTED_VALUE"""),"UpdateMasterFundOnTT")</f>
        <v>UpdateMasterFundOnTT</v>
      </c>
      <c r="S4" s="26" t="str">
        <f>IFERROR(__xludf.DUMMYFUNCTION("""COMPUTED_VALUE"""),"SetTTCompliancePreference")</f>
        <v>SetTTCompliancePreference</v>
      </c>
      <c r="T4" s="26" t="str">
        <f>IFERROR(__xludf.DUMMYFUNCTION("""COMPUTED_VALUE"""),"ImportSymbol")</f>
        <v>ImportSymbol</v>
      </c>
      <c r="U4" s="26" t="str">
        <f>IFERROR(__xludf.DUMMYFUNCTION("""COMPUTED_VALUE"""),"ExportSymbolFromRAList")</f>
        <v>ExportSymbolFromRAList</v>
      </c>
      <c r="V4" s="26" t="str">
        <f>IFERROR(__xludf.DUMMYFUNCTION("""COMPUTED_VALUE"""),"CheckPendingNewOrderAlert")</f>
        <v>CheckPendingNewOrderAlert</v>
      </c>
      <c r="W4" s="26" t="str">
        <f>IFERROR(__xludf.DUMMYFUNCTION("""COMPUTED_VALUE"""),"AddSymbolOnRAList")</f>
        <v>AddSymbolOnRAList</v>
      </c>
      <c r="X4" s="26" t="str">
        <f>IFERROR(__xludf.DUMMYFUNCTION("""COMPUTED_VALUE"""),"DeleteSymbolListFromRA")</f>
        <v>DeleteSymbolListFromRA</v>
      </c>
      <c r="Y4" s="26" t="str">
        <f>IFERROR(__xludf.DUMMYFUNCTION("""COMPUTED_VALUE"""),"RemoveSymbolFromRAList")</f>
        <v>RemoveSymbolFromRAList</v>
      </c>
      <c r="Z4" s="26" t="str">
        <f>IFERROR(__xludf.DUMMYFUNCTION("""COMPUTED_VALUE"""),"ToggleBlombergOnRA")</f>
        <v>ToggleBlombergOnRA</v>
      </c>
      <c r="AA4" s="26" t="str">
        <f>IFERROR(__xludf.DUMMYFUNCTION("""COMPUTED_VALUE"""),"CreateDoneAwayOrder")</f>
        <v>CreateDoneAwayOrder</v>
      </c>
      <c r="AB4" s="26" t="str">
        <f>IFERROR(__xludf.DUMMYFUNCTION("""COMPUTED_VALUE"""),"CreateComplianceOrder")</f>
        <v>CreateComplianceOrder</v>
      </c>
      <c r="AC4" s="26" t="str">
        <f>IFERROR(__xludf.DUMMYFUNCTION("""COMPUTED_VALUE"""),"AddOptionTrade")</f>
        <v>AddOptionTrade</v>
      </c>
      <c r="AD4" s="26" t="str">
        <f>IFERROR(__xludf.DUMMYFUNCTION("""COMPUTED_VALUE"""),"SendLiveBloomberg")</f>
        <v>SendLiveBloomberg</v>
      </c>
      <c r="AE4" s="26" t="str">
        <f>IFERROR(__xludf.DUMMYFUNCTION("""COMPUTED_VALUE"""),"ViewAllocation")</f>
        <v>ViewAllocation</v>
      </c>
      <c r="AF4" s="26" t="str">
        <f>IFERROR(__xludf.DUMMYFUNCTION("""COMPUTED_VALUE"""),"CreateReplaceLiveOrder")</f>
        <v>CreateReplaceLiveOrder</v>
      </c>
      <c r="AG4" s="26" t="str">
        <f>IFERROR(__xludf.DUMMYFUNCTION("""COMPUTED_VALUE"""),"CreateNewSubLiveOrder")</f>
        <v>CreateNewSubLiveOrder</v>
      </c>
      <c r="AH4" s="26" t="str">
        <f>IFERROR(__xludf.DUMMYFUNCTION("""COMPUTED_VALUE"""),"VerifyBasketExport")</f>
        <v>VerifyBasketExport</v>
      </c>
      <c r="AI4" s="26" t="str">
        <f>IFERROR(__xludf.DUMMYFUNCTION("""COMPUTED_VALUE"""),"VerifyCustomAllocationonTT")</f>
        <v>VerifyCustomAllocationonTT</v>
      </c>
      <c r="AJ4" s="26" t="str">
        <f>IFERROR(__xludf.DUMMYFUNCTION("""COMPUTED_VALUE"""),"CustomOrderTT")</f>
        <v>CustomOrderTT</v>
      </c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IFERROR(__xludf.DUMMYFUNCTION("""COMPUTED_VALUE"""),"PopUpQuantity")</f>
        <v>PopUpQuantity</v>
      </c>
      <c r="AO5" s="30" t="str">
        <f>IFERROR(__xludf.DUMMYFUNCTION("""COMPUTED_VALUE"""),"ShortLocate")</f>
        <v>ShortLocate</v>
      </c>
      <c r="AP5" s="30" t="str">
        <f>IFERROR(__xludf.DUMMYFUNCTION("""COMPUTED_VALUE"""),"ChkBoxBookAsSwap")</f>
        <v>ChkBoxBookAsSwap</v>
      </c>
      <c r="AQ5" s="30" t="str">
        <f>IFERROR(__xludf.DUMMYFUNCTION("""COMPUTED_VALUE"""),"Interest Rate")</f>
        <v>Interest Rate</v>
      </c>
      <c r="AR5" s="30" t="str">
        <f>IFERROR(__xludf.DUMMYFUNCTION("""COMPUTED_VALUE"""),"SharesOutstandingPopUp")</f>
        <v>SharesOutstandingPopUp</v>
      </c>
      <c r="AS5" s="30" t="str">
        <f>IFERROR(__xludf.DUMMYFUNCTION("""COMPUTED_VALUE"""),"AllowTrade")</f>
        <v>AllowTrade</v>
      </c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/>
      <c r="C6" s="32"/>
      <c r="D6" s="33">
        <v>200.0</v>
      </c>
      <c r="E6" s="32"/>
      <c r="F6" s="32"/>
      <c r="G6" s="32"/>
      <c r="H6" s="32"/>
      <c r="I6" s="32"/>
      <c r="J6" s="34">
        <v>12.0</v>
      </c>
      <c r="K6" s="32"/>
      <c r="L6" s="34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 t="s">
        <v>29</v>
      </c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CreateNewSubOrder1!$4:$4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34</v>
      </c>
      <c r="D3" s="5" t="s">
        <v>9</v>
      </c>
      <c r="E3" s="23" t="s">
        <v>35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IFERROR(__xludf.DUMMYFUNCTION("IF(C3="""","""",Transpose(IMPORTRANGE('_Settings'!$B$3,C3&amp;""!A4:A1000"")))"),"CheckCompliance")</f>
        <v>CheckCompliance</v>
      </c>
      <c r="C4" s="25" t="str">
        <f>IFERROR(__xludf.DUMMYFUNCTION("""COMPUTED_VALUE"""),"VerifyAccountDivisorWindow")</f>
        <v>VerifyAccountDivisorWindow</v>
      </c>
      <c r="D4" s="25" t="str">
        <f>IFERROR(__xludf.DUMMYFUNCTION("""COMPUTED_VALUE"""),"VerifyAccountSymbolDivisorWindow")</f>
        <v>VerifyAccountSymbolDivisorWindow</v>
      </c>
      <c r="E4" s="25" t="str">
        <f>IFERROR(__xludf.DUMMYFUNCTION("""COMPUTED_VALUE"""),"VerifyAggregationAccountSymbolWithNav")</f>
        <v>VerifyAggregationAccountSymbolWithNav</v>
      </c>
      <c r="F4" s="25" t="str">
        <f>IFERROR(__xludf.DUMMYFUNCTION("""COMPUTED_VALUE"""),"VerifyAggregationAccountWithNav")</f>
        <v>VerifyAggregationAccountWithNav</v>
      </c>
      <c r="G4" s="25" t="str">
        <f>IFERROR(__xludf.DUMMYFUNCTION("""COMPUTED_VALUE"""),"VerifyAggregationMasterFundSymbolWithNav")</f>
        <v>VerifyAggregationMasterFundSymbolWithNav</v>
      </c>
      <c r="H4" s="25" t="str">
        <f>IFERROR(__xludf.DUMMYFUNCTION("""COMPUTED_VALUE"""),"VerifyAggregationMasterFundUnderlyingSymbolWithNav")</f>
        <v>VerifyAggregationMasterFundUnderlyingSymbolWithNav</v>
      </c>
      <c r="I4" s="25" t="str">
        <f>IFERROR(__xludf.DUMMYFUNCTION("""COMPUTED_VALUE"""),"VerifyAggregationMasterFundWithNav")</f>
        <v>VerifyAggregationMasterFundWithNav</v>
      </c>
      <c r="J4" s="25" t="str">
        <f>IFERROR(__xludf.DUMMYFUNCTION("""COMPUTED_VALUE"""),"VerifyAggregationSectorWithNav")</f>
        <v>VerifyAggregationSectorWithNav</v>
      </c>
      <c r="K4" s="25" t="str">
        <f>IFERROR(__xludf.DUMMYFUNCTION("""COMPUTED_VALUE"""),"VerifyAggregationUnderlyingSymbolWithNav")</f>
        <v>VerifyAggregationUnderlyingSymbolWithNav</v>
      </c>
      <c r="L4" s="25" t="str">
        <f>IFERROR(__xludf.DUMMYFUNCTION("""COMPUTED_VALUE"""),"VerifyAuecWindow")</f>
        <v>VerifyAuecWindow</v>
      </c>
      <c r="M4" s="25" t="str">
        <f>IFERROR(__xludf.DUMMYFUNCTION("""COMPUTED_VALUE"""),"VerifyBetaWindow")</f>
        <v>VerifyBetaWindow</v>
      </c>
      <c r="N4" s="25" t="str">
        <f>IFERROR(__xludf.DUMMYFUNCTION("""COMPUTED_VALUE"""),"VerifyCustomSymbolDataWindow")</f>
        <v>VerifyCustomSymbolDataWindow</v>
      </c>
      <c r="O4" s="25" t="str">
        <f>IFERROR(__xludf.DUMMYFUNCTION("""COMPUTED_VALUE"""),"VerifyDayEndCashAccountWindow")</f>
        <v>VerifyDayEndCashAccountWindow</v>
      </c>
      <c r="P4" s="26" t="str">
        <f>IFERROR(__xludf.DUMMYFUNCTION("""COMPUTED_VALUE"""),"VerifyDbNavWindow")</f>
        <v>VerifyDbNavWindow</v>
      </c>
      <c r="Q4" s="26" t="str">
        <f>IFERROR(__xludf.DUMMYFUNCTION("""COMPUTED_VALUE"""),"VerifyGlobalDivisorWindow")</f>
        <v>VerifyGlobalDivisorWindow</v>
      </c>
      <c r="R4" s="26" t="str">
        <f>IFERROR(__xludf.DUMMYFUNCTION("""COMPUTED_VALUE"""),"VerifyPmCalculationPreferenceWindow")</f>
        <v>VerifyPmCalculationPreferenceWindow</v>
      </c>
      <c r="S4" s="26" t="str">
        <f>IFERROR(__xludf.DUMMYFUNCTION("""COMPUTED_VALUE"""),"VerifyRowCalculationBaseWindow")</f>
        <v>VerifyRowCalculationBaseWindow</v>
      </c>
      <c r="T4" s="26" t="str">
        <f>IFERROR(__xludf.DUMMYFUNCTION("""COMPUTED_VALUE"""),"VerifySecurityWindow")</f>
        <v>VerifySecurityWindow</v>
      </c>
      <c r="U4" s="26" t="str">
        <f>IFERROR(__xludf.DUMMYFUNCTION("""COMPUTED_VALUE"""),"VerifySymbolDataWindow")</f>
        <v>VerifySymbolDataWindow</v>
      </c>
      <c r="V4" s="26" t="str">
        <f>IFERROR(__xludf.DUMMYFUNCTION("""COMPUTED_VALUE"""),"VerifySymbolDivisorWindow")</f>
        <v>VerifySymbolDivisorWindow</v>
      </c>
      <c r="W4" s="26" t="str">
        <f>IFERROR(__xludf.DUMMYFUNCTION("""COMPUTED_VALUE"""),"VerifyTaxlotWindow")</f>
        <v>VerifyTaxlotWindow</v>
      </c>
      <c r="X4" s="26" t="str">
        <f>IFERROR(__xludf.DUMMYFUNCTION("""COMPUTED_VALUE"""),"RestartEsper")</f>
        <v>RestartEsper</v>
      </c>
      <c r="Y4" s="26" t="str">
        <f>IFERROR(__xludf.DUMMYFUNCTION("""COMPUTED_VALUE"""),"VerifyAccountNavPreferenceWindow")</f>
        <v>VerifyAccountNavPreferenceWindow</v>
      </c>
      <c r="Z4" s="26" t="str">
        <f>IFERROR(__xludf.DUMMYFUNCTION("""COMPUTED_VALUE"""),"VerifyAggregationAccountUnderlyingSymbolWithNav")</f>
        <v>VerifyAggregationAccountUnderlyingSymbolWithNav</v>
      </c>
      <c r="AA4" s="26" t="str">
        <f>IFERROR(__xludf.DUMMYFUNCTION("""COMPUTED_VALUE"""),"VerifyAggregationAssetWithNav")</f>
        <v>VerifyAggregationAssetWithNav</v>
      </c>
      <c r="AB4" s="26" t="str">
        <f>IFERROR(__xludf.DUMMYFUNCTION("""COMPUTED_VALUE"""),"VerifyAggregationSymbolWithNav")</f>
        <v>VerifyAggregationSymbolWithNav</v>
      </c>
      <c r="AC4" s="26" t="str">
        <f>IFERROR(__xludf.DUMMYFUNCTION("""COMPUTED_VALUE"""),"VerifyAggregationSubSectorWithNav")</f>
        <v>VerifyAggregationSubSectorWithNav</v>
      </c>
      <c r="AD4" s="26" t="str">
        <f>IFERROR(__xludf.DUMMYFUNCTION("""COMPUTED_VALUE"""),"VerifyAggregationGlobalWithNav")</f>
        <v>VerifyAggregationGlobalWithNav</v>
      </c>
      <c r="AE4" s="26" t="str">
        <f>IFERROR(__xludf.DUMMYFUNCTION("""COMPUTED_VALUE"""),"VerifyAggregationGlobalWithNav")</f>
        <v>VerifyAggregationGlobalWithNav</v>
      </c>
      <c r="AF4" s="26" t="str">
        <f>IFERROR(__xludf.DUMMYFUNCTION("""COMPUTED_VALUE"""),"VerifyGlobalDivisorWindow")</f>
        <v>VerifyGlobalDivisorWindow</v>
      </c>
      <c r="AG4" s="26" t="str">
        <f>IFERROR(__xludf.DUMMYFUNCTION("""COMPUTED_VALUE"""),"VerifyAccrualForAccountWindow")</f>
        <v>VerifyAccrualForAccountWindow</v>
      </c>
      <c r="AH4" s="26" t="str">
        <f>IFERROR(__xludf.DUMMYFUNCTION("""COMPUTED_VALUE"""),"VerifyGlobalDivisorWindow")</f>
        <v>VerifyGlobalDivisorWindow</v>
      </c>
      <c r="AI4" s="26" t="str">
        <f>IFERROR(__xludf.DUMMYFUNCTION("""COMPUTED_VALUE"""),"VerifyMasterFundDivisorWindow")</f>
        <v>VerifyMasterFundDivisorWindow</v>
      </c>
      <c r="AJ4" s="26" t="str">
        <f>IFERROR(__xludf.DUMMYFUNCTION("""COMPUTED_VALUE"""),"VerifyMasterFundSymbolDivisorWindow")</f>
        <v>VerifyMasterFundSymbolDivisorWindow</v>
      </c>
      <c r="AK4" s="26" t="str">
        <f>IFERROR(__xludf.DUMMYFUNCTION("""COMPUTED_VALUE"""),"RestartRuleMediator")</f>
        <v>RestartRuleMediator</v>
      </c>
      <c r="AL4" s="26" t="str">
        <f>IFERROR(__xludf.DUMMYFUNCTION("""COMPUTED_VALUE"""),"VerifyAggAccountSymbolWithNav")</f>
        <v>VerifyAggAccountSymbolWithNav</v>
      </c>
      <c r="AM4" s="26" t="str">
        <f>IFERROR(__xludf.DUMMYFUNCTION("""COMPUTED_VALUE"""),"ApproveorRejectpendingapproval")</f>
        <v>ApproveorRejectpendingapproval</v>
      </c>
      <c r="AN4" s="26" t="str">
        <f>IFERROR(__xludf.DUMMYFUNCTION("""COMPUTED_VALUE"""),"VerifyAlertHistory")</f>
        <v>VerifyAlertHistory</v>
      </c>
      <c r="AO4" s="26" t="str">
        <f>IFERROR(__xludf.DUMMYFUNCTION("""COMPUTED_VALUE"""),"EditInterceptorFile")</f>
        <v>EditInterceptorFile</v>
      </c>
      <c r="AP4" s="26" t="str">
        <f>IFERROR(__xludf.DUMMYFUNCTION("""COMPUTED_VALUE"""),"ReplaceInterceptorFile")</f>
        <v>ReplaceInterceptorFile</v>
      </c>
      <c r="AQ4" s="26" t="str">
        <f>IFERROR(__xludf.DUMMYFUNCTION("""COMPUTED_VALUE"""),"RestartReleasesAndServices")</f>
        <v>RestartReleasesAndServices</v>
      </c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IFERROR(__xludf.DUMMYFUNCTION("""COMPUTED_VALUE"""),"Trade Date")</f>
        <v>Trade Date</v>
      </c>
      <c r="C5" s="28" t="str">
        <f>IFERROR(__xludf.DUMMYFUNCTION("""COMPUTED_VALUE"""),"Symbols")</f>
        <v>Symbols</v>
      </c>
      <c r="D5" s="28" t="str">
        <f>IFERROR(__xludf.DUMMYFUNCTION("""COMPUTED_VALUE"""),"Trade Origination")</f>
        <v>Trade Origination</v>
      </c>
      <c r="E5" s="28" t="str">
        <f>IFERROR(__xludf.DUMMYFUNCTION("""COMPUTED_VALUE"""),"Trader")</f>
        <v>Trader</v>
      </c>
      <c r="F5" s="29" t="str">
        <f>IFERROR(__xludf.DUMMYFUNCTION("""COMPUTED_VALUE"""),"Trade Details")</f>
        <v>Trade Details</v>
      </c>
      <c r="G5" s="28" t="str">
        <f>IFERROR(__xludf.DUMMYFUNCTION("""COMPUTED_VALUE"""),"Trade Notes")</f>
        <v>Trade Notes</v>
      </c>
      <c r="H5" s="28" t="str">
        <f>IFERROR(__xludf.DUMMYFUNCTION("""COMPUTED_VALUE"""),"Compliance Officer Notes")</f>
        <v>Compliance Officer Notes</v>
      </c>
      <c r="I5" s="28" t="str">
        <f>IFERROR(__xludf.DUMMYFUNCTION("""COMPUTED_VALUE"""),"User Name")</f>
        <v>User Name</v>
      </c>
      <c r="J5" s="28" t="str">
        <f>IFERROR(__xludf.DUMMYFUNCTION("""COMPUTED_VALUE"""),"Trade Price")</f>
        <v>Trade Price</v>
      </c>
      <c r="K5" s="28" t="str">
        <f>IFERROR(__xludf.DUMMYFUNCTION("""COMPUTED_VALUE"""),"Basket Name")</f>
        <v>Basket Name</v>
      </c>
      <c r="L5" s="28" t="str">
        <f>IFERROR(__xludf.DUMMYFUNCTION("""COMPUTED_VALUE"""),"Quantity")</f>
        <v>Quantity</v>
      </c>
      <c r="M5" s="28" t="str">
        <f>IFERROR(__xludf.DUMMYFUNCTION("""COMPUTED_VALUE"""),"Broker")</f>
        <v>Broker</v>
      </c>
      <c r="N5" s="28" t="str">
        <f>IFERROR(__xludf.DUMMYFUNCTION("""COMPUTED_VALUE"""),"Status")</f>
        <v>Status</v>
      </c>
      <c r="O5" s="28" t="str">
        <f>IFERROR(__xludf.DUMMYFUNCTION("""COMPUTED_VALUE"""),"Order Side")</f>
        <v>Order Side</v>
      </c>
      <c r="P5" s="28" t="str">
        <f>IFERROR(__xludf.DUMMYFUNCTION("""COMPUTED_VALUE"""),"ApproveorRejectAll")</f>
        <v>ApproveorRejectAll</v>
      </c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9"/>
      <c r="B6" s="40"/>
      <c r="C6" s="41" t="s">
        <v>36</v>
      </c>
      <c r="D6" s="42" t="s">
        <v>37</v>
      </c>
      <c r="E6" s="43" t="s">
        <v>38</v>
      </c>
      <c r="F6" s="46" t="s">
        <v>46</v>
      </c>
      <c r="G6" s="43" t="s">
        <v>40</v>
      </c>
      <c r="H6" s="44"/>
      <c r="I6" s="43" t="s">
        <v>41</v>
      </c>
      <c r="J6" s="43">
        <v>12.0</v>
      </c>
      <c r="K6" s="43"/>
      <c r="L6" s="43">
        <v>200.0</v>
      </c>
      <c r="M6" s="43" t="s">
        <v>42</v>
      </c>
      <c r="N6" s="45" t="s">
        <v>43</v>
      </c>
      <c r="O6" s="46" t="s">
        <v>18</v>
      </c>
      <c r="P6" s="32" t="s">
        <v>44</v>
      </c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ApproveorRejectpendingapproval1!$4:$4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25</v>
      </c>
      <c r="D3" s="5" t="s">
        <v>9</v>
      </c>
      <c r="E3" s="23" t="s">
        <v>26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IFERROR(__xludf.DUMMYFUNCTION("""COMPUTED_VALUE"""),"ReloadOrderFromBlotter")</f>
        <v>ReloadOrderFromBlotter</v>
      </c>
      <c r="BE4" s="26" t="str">
        <f>IFERROR(__xludf.DUMMYFUNCTION("""COMPUTED_VALUE"""),"ReloadOrderFromSubOrder")</f>
        <v>ReloadOrderFromSubOrder</v>
      </c>
      <c r="BF4" s="26" t="str">
        <f>IFERROR(__xludf.DUMMYFUNCTION("""COMPUTED_VALUE"""),"ReloadOrderFromWorkingSubs")</f>
        <v>ReloadOrderFromWorkingSubs</v>
      </c>
      <c r="BG4" s="26" t="str">
        <f>IFERROR(__xludf.DUMMYFUNCTION("""COMPUTED_VALUE"""),"SelectFills")</f>
        <v>SelectFills</v>
      </c>
      <c r="BH4" s="26" t="str">
        <f>IFERROR(__xludf.DUMMYFUNCTION("""COMPUTED_VALUE"""),"ModifyFills")</f>
        <v>ModifyFills</v>
      </c>
      <c r="BI4" s="26" t="str">
        <f>IFERROR(__xludf.DUMMYFUNCTION("""COMPUTED_VALUE"""),"AllocateFromBlotter")</f>
        <v>AllocateFromBlotter</v>
      </c>
      <c r="BJ4" s="26" t="str">
        <f>IFERROR(__xludf.DUMMYFUNCTION("""COMPUTED_VALUE"""),"ViewPTTAllocationDetails")</f>
        <v>ViewPTTAllocationDetails</v>
      </c>
      <c r="BK4" s="26" t="str">
        <f>IFERROR(__xludf.DUMMYFUNCTION("""COMPUTED_VALUE"""),"MergeOrder")</f>
        <v>MergeOrder</v>
      </c>
      <c r="BL4" s="26" t="str">
        <f>IFERROR(__xludf.DUMMYFUNCTION("""COMPUTED_VALUE"""),"VerifyMergeOrder")</f>
        <v>VerifyMergeOrder</v>
      </c>
      <c r="BM4" s="26" t="str">
        <f>IFERROR(__xludf.DUMMYFUNCTION("""COMPUTED_VALUE"""),"AddTabBlotter")</f>
        <v>AddTabBlotter</v>
      </c>
      <c r="BN4" s="26" t="str">
        <f>IFERROR(__xludf.DUMMYFUNCTION("""COMPUTED_VALUE"""),"VerifyLowerStripBlotterUI")</f>
        <v>VerifyLowerStripBlotterUI</v>
      </c>
      <c r="BO4" s="26" t="str">
        <f>IFERROR(__xludf.DUMMYFUNCTION("""COMPUTED_VALUE"""),"SaveOrRemoveInSummaryTab")</f>
        <v>SaveOrRemoveInSummaryTab</v>
      </c>
      <c r="BP4" s="26" t="str">
        <f>IFERROR(__xludf.DUMMYFUNCTION("""COMPUTED_VALUE"""),"SaveOrRemoveInWorkingSubsTab")</f>
        <v>SaveOrRemoveInWorkingSubsTab</v>
      </c>
      <c r="BQ4" s="26" t="str">
        <f>IFERROR(__xludf.DUMMYFUNCTION("""COMPUTED_VALUE"""),"SelectCheckBoxOnOrderGrid")</f>
        <v>SelectCheckBoxOnOrderGrid</v>
      </c>
      <c r="BR4" s="26" t="str">
        <f>IFERROR(__xludf.DUMMYFUNCTION("""COMPUTED_VALUE"""),"ReAllocateFromBlotterByAllocate")</f>
        <v>ReAllocateFromBlotterByAllocate</v>
      </c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IFERROR(__xludf.DUMMYFUNCTION("""COMPUTED_VALUE"""),"User")</f>
        <v>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6")</f>
        <v>Trade Attribute 6</v>
      </c>
      <c r="N5" s="28" t="str">
        <f>IFERROR(__xludf.DUMMYFUNCTION("""COMPUTED_VALUE"""),"Trade Attribute 5")</f>
        <v>Trade Attribute 5</v>
      </c>
      <c r="O5" s="28" t="str">
        <f>IFERROR(__xludf.DUMMYFUNCTION("""COMPUTED_VALUE"""),"Trade Attribute 4")</f>
        <v>Trade Attribute 4</v>
      </c>
      <c r="P5" s="28" t="str">
        <f>IFERROR(__xludf.DUMMYFUNCTION("""COMPUTED_VALUE"""),"Trade Attribute 3")</f>
        <v>Trade Attribute 3</v>
      </c>
      <c r="Q5" s="28" t="str">
        <f>IFERROR(__xludf.DUMMYFUNCTION("""COMPUTED_VALUE"""),"Trade Attribute 1")</f>
        <v>Trade Attribute 1</v>
      </c>
      <c r="R5" s="28" t="str">
        <f>IFERROR(__xludf.DUMMYFUNCTION("""COMPUTED_VALUE"""),"Trade Attribute 2")</f>
        <v>Trade Attribute 2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IFERROR(__xludf.DUMMYFUNCTION("""COMPUTED_VALUE"""),"Target Qty")</f>
        <v>Target Qty</v>
      </c>
      <c r="AM5" s="30" t="str">
        <f>IFERROR(__xludf.DUMMYFUNCTION("""COMPUTED_VALUE"""),"Total Executed Qty")</f>
        <v>Total Executed Qty</v>
      </c>
      <c r="AN5" s="30" t="str">
        <f>IFERROR(__xludf.DUMMYFUNCTION("""COMPUTED_VALUE"""),"% Executed")</f>
        <v>% Executed</v>
      </c>
      <c r="AO5" s="30" t="str">
        <f>IFERROR(__xludf.DUMMYFUNCTION("""COMPUTED_VALUE"""),"Day Executed Qty")</f>
        <v>Day Executed Qty</v>
      </c>
      <c r="AP5" s="30" t="str">
        <f>IFERROR(__xludf.DUMMYFUNCTION("""COMPUTED_VALUE"""),"Uncommitted Qty")</f>
        <v>Uncommitted Qty</v>
      </c>
      <c r="AQ5" s="30" t="str">
        <f>IFERROR(__xludf.DUMMYFUNCTION("""COMPUTED_VALUE"""),"Last Fill Price (Local)")</f>
        <v>Last Fill Price (Local)</v>
      </c>
      <c r="AR5" s="30" t="str">
        <f>IFERROR(__xludf.DUMMYFUNCTION("""COMPUTED_VALUE"""),"Avg Fill Price (Local)")</f>
        <v>Avg Fill Price (Local)</v>
      </c>
      <c r="AS5" s="30" t="str">
        <f>IFERROR(__xludf.DUMMYFUNCTION("""COMPUTED_VALUE"""),"Broker")</f>
        <v>Broker</v>
      </c>
      <c r="AT5" s="30" t="str">
        <f>IFERROR(__xludf.DUMMYFUNCTION("""COMPUTED_VALUE"""),"Account")</f>
        <v>Account</v>
      </c>
      <c r="AU5" s="30" t="str">
        <f>IFERROR(__xludf.DUMMYFUNCTION("""COMPUTED_VALUE"""),"Order Type")</f>
        <v>Order Type</v>
      </c>
      <c r="AV5" s="30" t="str">
        <f>IFERROR(__xludf.DUMMYFUNCTION("""COMPUTED_VALUE"""),"Principal Amount (Local)")</f>
        <v>Principal Amount (Local)</v>
      </c>
      <c r="AW5" s="30" t="str">
        <f>IFERROR(__xludf.DUMMYFUNCTION("""COMPUTED_VALUE"""),"Principal Amount (Base)")</f>
        <v>Principal Amount (Base)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IFERROR(__xludf.DUMMYFUNCTION("""COMPUTED_VALUE"""),"Status (With Rollover)")</f>
        <v>Status (With Rollover)</v>
      </c>
      <c r="AZ5" s="30" t="str">
        <f>IFERROR(__xludf.DUMMYFUNCTION("""COMPUTED_VALUE"""),"Start of Day Qty")</f>
        <v>Start of Day Qty</v>
      </c>
      <c r="BA5" s="30" t="str">
        <f>IFERROR(__xludf.DUMMYFUNCTION("""COMPUTED_VALUE"""),"Leaves")</f>
        <v>Leaves</v>
      </c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/>
      <c r="E6" s="37"/>
      <c r="F6" s="8"/>
      <c r="G6" s="8"/>
      <c r="H6" s="8"/>
      <c r="I6" s="8"/>
      <c r="J6" s="8"/>
      <c r="K6" s="8"/>
      <c r="L6" s="8"/>
      <c r="M6" s="8"/>
      <c r="N6" s="8"/>
      <c r="O6" s="8"/>
      <c r="AI6" s="38" t="s">
        <v>16</v>
      </c>
      <c r="AJ6" s="38" t="s">
        <v>19</v>
      </c>
      <c r="AK6" s="32" t="s">
        <v>27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TradeNewSubOrder2!$4:$4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28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IFERROR(__xludf.DUMMYFUNCTION("""COMPUTED_VALUE"""),"VerifyComplianceOrder")</f>
        <v>VerifyComplianceOrder</v>
      </c>
      <c r="I4" s="25" t="str">
        <f>IFERROR(__xludf.DUMMYFUNCTION("""COMPUTED_VALUE"""),"TradeNewSub")</f>
        <v>TradeNewSub</v>
      </c>
      <c r="J4" s="25" t="str">
        <f>IFERROR(__xludf.DUMMYFUNCTION("""COMPUTED_VALUE"""),"CreateStageOrder")</f>
        <v>CreateStageOrder</v>
      </c>
      <c r="K4" s="25" t="str">
        <f>IFERROR(__xludf.DUMMYFUNCTION("""COMPUTED_VALUE"""),"CreateReplaceOrder")</f>
        <v>CreateReplaceOrder</v>
      </c>
      <c r="L4" s="25" t="str">
        <f>IFERROR(__xludf.DUMMYFUNCTION("""COMPUTED_VALUE"""),"SetGeneralPreference")</f>
        <v>SetGeneralPreference</v>
      </c>
      <c r="M4" s="25" t="str">
        <f>IFERROR(__xludf.DUMMYFUNCTION("""COMPUTED_VALUE"""),"CreateNewSubOrder")</f>
        <v>CreateNewSubOrder</v>
      </c>
      <c r="N4" s="25" t="str">
        <f>IFERROR(__xludf.DUMMYFUNCTION("""COMPUTED_VALUE"""),"TradeBloomberg")</f>
        <v>TradeBloomberg</v>
      </c>
      <c r="O4" s="25" t="str">
        <f>IFERROR(__xludf.DUMMYFUNCTION("""COMPUTED_VALUE"""),"ClickSymbolLookup")</f>
        <v>ClickSymbolLookup</v>
      </c>
      <c r="P4" s="26" t="str">
        <f>IFERROR(__xludf.DUMMYFUNCTION("""COMPUTED_VALUE"""),"VerifyTT")</f>
        <v>VerifyTT</v>
      </c>
      <c r="Q4" s="26" t="str">
        <f>IFERROR(__xludf.DUMMYFUNCTION("""COMPUTED_VALUE"""),"CreateLiveOrder")</f>
        <v>CreateLiveOrder</v>
      </c>
      <c r="R4" s="26" t="str">
        <f>IFERROR(__xludf.DUMMYFUNCTION("""COMPUTED_VALUE"""),"UpdateMasterFundOnTT")</f>
        <v>UpdateMasterFundOnTT</v>
      </c>
      <c r="S4" s="26" t="str">
        <f>IFERROR(__xludf.DUMMYFUNCTION("""COMPUTED_VALUE"""),"SetTTCompliancePreference")</f>
        <v>SetTTCompliancePreference</v>
      </c>
      <c r="T4" s="26" t="str">
        <f>IFERROR(__xludf.DUMMYFUNCTION("""COMPUTED_VALUE"""),"ImportSymbol")</f>
        <v>ImportSymbol</v>
      </c>
      <c r="U4" s="26" t="str">
        <f>IFERROR(__xludf.DUMMYFUNCTION("""COMPUTED_VALUE"""),"ExportSymbolFromRAList")</f>
        <v>ExportSymbolFromRAList</v>
      </c>
      <c r="V4" s="26" t="str">
        <f>IFERROR(__xludf.DUMMYFUNCTION("""COMPUTED_VALUE"""),"CheckPendingNewOrderAlert")</f>
        <v>CheckPendingNewOrderAlert</v>
      </c>
      <c r="W4" s="26" t="str">
        <f>IFERROR(__xludf.DUMMYFUNCTION("""COMPUTED_VALUE"""),"AddSymbolOnRAList")</f>
        <v>AddSymbolOnRAList</v>
      </c>
      <c r="X4" s="26" t="str">
        <f>IFERROR(__xludf.DUMMYFUNCTION("""COMPUTED_VALUE"""),"DeleteSymbolListFromRA")</f>
        <v>DeleteSymbolListFromRA</v>
      </c>
      <c r="Y4" s="26" t="str">
        <f>IFERROR(__xludf.DUMMYFUNCTION("""COMPUTED_VALUE"""),"RemoveSymbolFromRAList")</f>
        <v>RemoveSymbolFromRAList</v>
      </c>
      <c r="Z4" s="26" t="str">
        <f>IFERROR(__xludf.DUMMYFUNCTION("""COMPUTED_VALUE"""),"ToggleBlombergOnRA")</f>
        <v>ToggleBlombergOnRA</v>
      </c>
      <c r="AA4" s="26" t="str">
        <f>IFERROR(__xludf.DUMMYFUNCTION("""COMPUTED_VALUE"""),"CreateDoneAwayOrder")</f>
        <v>CreateDoneAwayOrder</v>
      </c>
      <c r="AB4" s="26" t="str">
        <f>IFERROR(__xludf.DUMMYFUNCTION("""COMPUTED_VALUE"""),"CreateComplianceOrder")</f>
        <v>CreateComplianceOrder</v>
      </c>
      <c r="AC4" s="26" t="str">
        <f>IFERROR(__xludf.DUMMYFUNCTION("""COMPUTED_VALUE"""),"AddOptionTrade")</f>
        <v>AddOptionTrade</v>
      </c>
      <c r="AD4" s="26" t="str">
        <f>IFERROR(__xludf.DUMMYFUNCTION("""COMPUTED_VALUE"""),"SendLiveBloomberg")</f>
        <v>SendLiveBloomberg</v>
      </c>
      <c r="AE4" s="26" t="str">
        <f>IFERROR(__xludf.DUMMYFUNCTION("""COMPUTED_VALUE"""),"ViewAllocation")</f>
        <v>ViewAllocation</v>
      </c>
      <c r="AF4" s="26" t="str">
        <f>IFERROR(__xludf.DUMMYFUNCTION("""COMPUTED_VALUE"""),"CreateReplaceLiveOrder")</f>
        <v>CreateReplaceLiveOrder</v>
      </c>
      <c r="AG4" s="26" t="str">
        <f>IFERROR(__xludf.DUMMYFUNCTION("""COMPUTED_VALUE"""),"CreateNewSubLiveOrder")</f>
        <v>CreateNewSubLiveOrder</v>
      </c>
      <c r="AH4" s="26" t="str">
        <f>IFERROR(__xludf.DUMMYFUNCTION("""COMPUTED_VALUE"""),"VerifyBasketExport")</f>
        <v>VerifyBasketExport</v>
      </c>
      <c r="AI4" s="26" t="str">
        <f>IFERROR(__xludf.DUMMYFUNCTION("""COMPUTED_VALUE"""),"VerifyCustomAllocationonTT")</f>
        <v>VerifyCustomAllocationonTT</v>
      </c>
      <c r="AJ4" s="26" t="str">
        <f>IFERROR(__xludf.DUMMYFUNCTION("""COMPUTED_VALUE"""),"CustomOrderTT")</f>
        <v>CustomOrderTT</v>
      </c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IFERROR(__xludf.DUMMYFUNCTION("""COMPUTED_VALUE"""),"PopUpQuantity")</f>
        <v>PopUpQuantity</v>
      </c>
      <c r="AO5" s="30" t="str">
        <f>IFERROR(__xludf.DUMMYFUNCTION("""COMPUTED_VALUE"""),"ShortLocate")</f>
        <v>ShortLocate</v>
      </c>
      <c r="AP5" s="30" t="str">
        <f>IFERROR(__xludf.DUMMYFUNCTION("""COMPUTED_VALUE"""),"ChkBoxBookAsSwap")</f>
        <v>ChkBoxBookAsSwap</v>
      </c>
      <c r="AQ5" s="30" t="str">
        <f>IFERROR(__xludf.DUMMYFUNCTION("""COMPUTED_VALUE"""),"Interest Rate")</f>
        <v>Interest Rate</v>
      </c>
      <c r="AR5" s="30" t="str">
        <f>IFERROR(__xludf.DUMMYFUNCTION("""COMPUTED_VALUE"""),"SharesOutstandingPopUp")</f>
        <v>SharesOutstandingPopUp</v>
      </c>
      <c r="AS5" s="30" t="str">
        <f>IFERROR(__xludf.DUMMYFUNCTION("""COMPUTED_VALUE"""),"AllowTrade")</f>
        <v>AllowTrade</v>
      </c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/>
      <c r="C6" s="32"/>
      <c r="D6" s="33">
        <v>200.0</v>
      </c>
      <c r="E6" s="32"/>
      <c r="F6" s="32"/>
      <c r="G6" s="32"/>
      <c r="H6" s="32"/>
      <c r="I6" s="32"/>
      <c r="J6" s="34">
        <v>12.0</v>
      </c>
      <c r="K6" s="32"/>
      <c r="L6" s="34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 t="s">
        <v>29</v>
      </c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CreateNewSubOrder2!$4:$4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34</v>
      </c>
      <c r="D3" s="5" t="s">
        <v>9</v>
      </c>
      <c r="E3" s="23" t="s">
        <v>35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IFERROR(__xludf.DUMMYFUNCTION("IF(C3="""","""",Transpose(IMPORTRANGE('_Settings'!$B$3,C3&amp;""!A4:A1000"")))"),"CheckCompliance")</f>
        <v>CheckCompliance</v>
      </c>
      <c r="C4" s="25" t="str">
        <f>IFERROR(__xludf.DUMMYFUNCTION("""COMPUTED_VALUE"""),"VerifyAccountDivisorWindow")</f>
        <v>VerifyAccountDivisorWindow</v>
      </c>
      <c r="D4" s="25" t="str">
        <f>IFERROR(__xludf.DUMMYFUNCTION("""COMPUTED_VALUE"""),"VerifyAccountSymbolDivisorWindow")</f>
        <v>VerifyAccountSymbolDivisorWindow</v>
      </c>
      <c r="E4" s="25" t="str">
        <f>IFERROR(__xludf.DUMMYFUNCTION("""COMPUTED_VALUE"""),"VerifyAggregationAccountSymbolWithNav")</f>
        <v>VerifyAggregationAccountSymbolWithNav</v>
      </c>
      <c r="F4" s="25" t="str">
        <f>IFERROR(__xludf.DUMMYFUNCTION("""COMPUTED_VALUE"""),"VerifyAggregationAccountWithNav")</f>
        <v>VerifyAggregationAccountWithNav</v>
      </c>
      <c r="G4" s="25" t="str">
        <f>IFERROR(__xludf.DUMMYFUNCTION("""COMPUTED_VALUE"""),"VerifyAggregationMasterFundSymbolWithNav")</f>
        <v>VerifyAggregationMasterFundSymbolWithNav</v>
      </c>
      <c r="H4" s="25" t="str">
        <f>IFERROR(__xludf.DUMMYFUNCTION("""COMPUTED_VALUE"""),"VerifyAggregationMasterFundUnderlyingSymbolWithNav")</f>
        <v>VerifyAggregationMasterFundUnderlyingSymbolWithNav</v>
      </c>
      <c r="I4" s="25" t="str">
        <f>IFERROR(__xludf.DUMMYFUNCTION("""COMPUTED_VALUE"""),"VerifyAggregationMasterFundWithNav")</f>
        <v>VerifyAggregationMasterFundWithNav</v>
      </c>
      <c r="J4" s="25" t="str">
        <f>IFERROR(__xludf.DUMMYFUNCTION("""COMPUTED_VALUE"""),"VerifyAggregationSectorWithNav")</f>
        <v>VerifyAggregationSectorWithNav</v>
      </c>
      <c r="K4" s="25" t="str">
        <f>IFERROR(__xludf.DUMMYFUNCTION("""COMPUTED_VALUE"""),"VerifyAggregationUnderlyingSymbolWithNav")</f>
        <v>VerifyAggregationUnderlyingSymbolWithNav</v>
      </c>
      <c r="L4" s="25" t="str">
        <f>IFERROR(__xludf.DUMMYFUNCTION("""COMPUTED_VALUE"""),"VerifyAuecWindow")</f>
        <v>VerifyAuecWindow</v>
      </c>
      <c r="M4" s="25" t="str">
        <f>IFERROR(__xludf.DUMMYFUNCTION("""COMPUTED_VALUE"""),"VerifyBetaWindow")</f>
        <v>VerifyBetaWindow</v>
      </c>
      <c r="N4" s="25" t="str">
        <f>IFERROR(__xludf.DUMMYFUNCTION("""COMPUTED_VALUE"""),"VerifyCustomSymbolDataWindow")</f>
        <v>VerifyCustomSymbolDataWindow</v>
      </c>
      <c r="O4" s="25" t="str">
        <f>IFERROR(__xludf.DUMMYFUNCTION("""COMPUTED_VALUE"""),"VerifyDayEndCashAccountWindow")</f>
        <v>VerifyDayEndCashAccountWindow</v>
      </c>
      <c r="P4" s="26" t="str">
        <f>IFERROR(__xludf.DUMMYFUNCTION("""COMPUTED_VALUE"""),"VerifyDbNavWindow")</f>
        <v>VerifyDbNavWindow</v>
      </c>
      <c r="Q4" s="26" t="str">
        <f>IFERROR(__xludf.DUMMYFUNCTION("""COMPUTED_VALUE"""),"VerifyGlobalDivisorWindow")</f>
        <v>VerifyGlobalDivisorWindow</v>
      </c>
      <c r="R4" s="26" t="str">
        <f>IFERROR(__xludf.DUMMYFUNCTION("""COMPUTED_VALUE"""),"VerifyPmCalculationPreferenceWindow")</f>
        <v>VerifyPmCalculationPreferenceWindow</v>
      </c>
      <c r="S4" s="26" t="str">
        <f>IFERROR(__xludf.DUMMYFUNCTION("""COMPUTED_VALUE"""),"VerifyRowCalculationBaseWindow")</f>
        <v>VerifyRowCalculationBaseWindow</v>
      </c>
      <c r="T4" s="26" t="str">
        <f>IFERROR(__xludf.DUMMYFUNCTION("""COMPUTED_VALUE"""),"VerifySecurityWindow")</f>
        <v>VerifySecurityWindow</v>
      </c>
      <c r="U4" s="26" t="str">
        <f>IFERROR(__xludf.DUMMYFUNCTION("""COMPUTED_VALUE"""),"VerifySymbolDataWindow")</f>
        <v>VerifySymbolDataWindow</v>
      </c>
      <c r="V4" s="26" t="str">
        <f>IFERROR(__xludf.DUMMYFUNCTION("""COMPUTED_VALUE"""),"VerifySymbolDivisorWindow")</f>
        <v>VerifySymbolDivisorWindow</v>
      </c>
      <c r="W4" s="26" t="str">
        <f>IFERROR(__xludf.DUMMYFUNCTION("""COMPUTED_VALUE"""),"VerifyTaxlotWindow")</f>
        <v>VerifyTaxlotWindow</v>
      </c>
      <c r="X4" s="26" t="str">
        <f>IFERROR(__xludf.DUMMYFUNCTION("""COMPUTED_VALUE"""),"RestartEsper")</f>
        <v>RestartEsper</v>
      </c>
      <c r="Y4" s="26" t="str">
        <f>IFERROR(__xludf.DUMMYFUNCTION("""COMPUTED_VALUE"""),"VerifyAccountNavPreferenceWindow")</f>
        <v>VerifyAccountNavPreferenceWindow</v>
      </c>
      <c r="Z4" s="26" t="str">
        <f>IFERROR(__xludf.DUMMYFUNCTION("""COMPUTED_VALUE"""),"VerifyAggregationAccountUnderlyingSymbolWithNav")</f>
        <v>VerifyAggregationAccountUnderlyingSymbolWithNav</v>
      </c>
      <c r="AA4" s="26" t="str">
        <f>IFERROR(__xludf.DUMMYFUNCTION("""COMPUTED_VALUE"""),"VerifyAggregationAssetWithNav")</f>
        <v>VerifyAggregationAssetWithNav</v>
      </c>
      <c r="AB4" s="26" t="str">
        <f>IFERROR(__xludf.DUMMYFUNCTION("""COMPUTED_VALUE"""),"VerifyAggregationSymbolWithNav")</f>
        <v>VerifyAggregationSymbolWithNav</v>
      </c>
      <c r="AC4" s="26" t="str">
        <f>IFERROR(__xludf.DUMMYFUNCTION("""COMPUTED_VALUE"""),"VerifyAggregationSubSectorWithNav")</f>
        <v>VerifyAggregationSubSectorWithNav</v>
      </c>
      <c r="AD4" s="26" t="str">
        <f>IFERROR(__xludf.DUMMYFUNCTION("""COMPUTED_VALUE"""),"VerifyAggregationGlobalWithNav")</f>
        <v>VerifyAggregationGlobalWithNav</v>
      </c>
      <c r="AE4" s="26" t="str">
        <f>IFERROR(__xludf.DUMMYFUNCTION("""COMPUTED_VALUE"""),"VerifyAggregationGlobalWithNav")</f>
        <v>VerifyAggregationGlobalWithNav</v>
      </c>
      <c r="AF4" s="26" t="str">
        <f>IFERROR(__xludf.DUMMYFUNCTION("""COMPUTED_VALUE"""),"VerifyGlobalDivisorWindow")</f>
        <v>VerifyGlobalDivisorWindow</v>
      </c>
      <c r="AG4" s="26" t="str">
        <f>IFERROR(__xludf.DUMMYFUNCTION("""COMPUTED_VALUE"""),"VerifyAccrualForAccountWindow")</f>
        <v>VerifyAccrualForAccountWindow</v>
      </c>
      <c r="AH4" s="26" t="str">
        <f>IFERROR(__xludf.DUMMYFUNCTION("""COMPUTED_VALUE"""),"VerifyGlobalDivisorWindow")</f>
        <v>VerifyGlobalDivisorWindow</v>
      </c>
      <c r="AI4" s="26" t="str">
        <f>IFERROR(__xludf.DUMMYFUNCTION("""COMPUTED_VALUE"""),"VerifyMasterFundDivisorWindow")</f>
        <v>VerifyMasterFundDivisorWindow</v>
      </c>
      <c r="AJ4" s="26" t="str">
        <f>IFERROR(__xludf.DUMMYFUNCTION("""COMPUTED_VALUE"""),"VerifyMasterFundSymbolDivisorWindow")</f>
        <v>VerifyMasterFundSymbolDivisorWindow</v>
      </c>
      <c r="AK4" s="26" t="str">
        <f>IFERROR(__xludf.DUMMYFUNCTION("""COMPUTED_VALUE"""),"RestartRuleMediator")</f>
        <v>RestartRuleMediator</v>
      </c>
      <c r="AL4" s="26" t="str">
        <f>IFERROR(__xludf.DUMMYFUNCTION("""COMPUTED_VALUE"""),"VerifyAggAccountSymbolWithNav")</f>
        <v>VerifyAggAccountSymbolWithNav</v>
      </c>
      <c r="AM4" s="26" t="str">
        <f>IFERROR(__xludf.DUMMYFUNCTION("""COMPUTED_VALUE"""),"ApproveorRejectpendingapproval")</f>
        <v>ApproveorRejectpendingapproval</v>
      </c>
      <c r="AN4" s="26" t="str">
        <f>IFERROR(__xludf.DUMMYFUNCTION("""COMPUTED_VALUE"""),"VerifyAlertHistory")</f>
        <v>VerifyAlertHistory</v>
      </c>
      <c r="AO4" s="26" t="str">
        <f>IFERROR(__xludf.DUMMYFUNCTION("""COMPUTED_VALUE"""),"EditInterceptorFile")</f>
        <v>EditInterceptorFile</v>
      </c>
      <c r="AP4" s="26" t="str">
        <f>IFERROR(__xludf.DUMMYFUNCTION("""COMPUTED_VALUE"""),"ReplaceInterceptorFile")</f>
        <v>ReplaceInterceptorFile</v>
      </c>
      <c r="AQ4" s="26" t="str">
        <f>IFERROR(__xludf.DUMMYFUNCTION("""COMPUTED_VALUE"""),"RestartReleasesAndServices")</f>
        <v>RestartReleasesAndServices</v>
      </c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IFERROR(__xludf.DUMMYFUNCTION("""COMPUTED_VALUE"""),"Trade Date")</f>
        <v>Trade Date</v>
      </c>
      <c r="C5" s="28" t="str">
        <f>IFERROR(__xludf.DUMMYFUNCTION("""COMPUTED_VALUE"""),"Symbols")</f>
        <v>Symbols</v>
      </c>
      <c r="D5" s="28" t="str">
        <f>IFERROR(__xludf.DUMMYFUNCTION("""COMPUTED_VALUE"""),"Trade Origination")</f>
        <v>Trade Origination</v>
      </c>
      <c r="E5" s="28" t="str">
        <f>IFERROR(__xludf.DUMMYFUNCTION("""COMPUTED_VALUE"""),"Trader")</f>
        <v>Trader</v>
      </c>
      <c r="F5" s="29" t="str">
        <f>IFERROR(__xludf.DUMMYFUNCTION("""COMPUTED_VALUE"""),"Trade Details")</f>
        <v>Trade Details</v>
      </c>
      <c r="G5" s="28" t="str">
        <f>IFERROR(__xludf.DUMMYFUNCTION("""COMPUTED_VALUE"""),"Trade Notes")</f>
        <v>Trade Notes</v>
      </c>
      <c r="H5" s="28" t="str">
        <f>IFERROR(__xludf.DUMMYFUNCTION("""COMPUTED_VALUE"""),"Compliance Officer Notes")</f>
        <v>Compliance Officer Notes</v>
      </c>
      <c r="I5" s="28" t="str">
        <f>IFERROR(__xludf.DUMMYFUNCTION("""COMPUTED_VALUE"""),"User Name")</f>
        <v>User Name</v>
      </c>
      <c r="J5" s="28" t="str">
        <f>IFERROR(__xludf.DUMMYFUNCTION("""COMPUTED_VALUE"""),"Trade Price")</f>
        <v>Trade Price</v>
      </c>
      <c r="K5" s="28" t="str">
        <f>IFERROR(__xludf.DUMMYFUNCTION("""COMPUTED_VALUE"""),"Basket Name")</f>
        <v>Basket Name</v>
      </c>
      <c r="L5" s="28" t="str">
        <f>IFERROR(__xludf.DUMMYFUNCTION("""COMPUTED_VALUE"""),"Quantity")</f>
        <v>Quantity</v>
      </c>
      <c r="M5" s="28" t="str">
        <f>IFERROR(__xludf.DUMMYFUNCTION("""COMPUTED_VALUE"""),"Broker")</f>
        <v>Broker</v>
      </c>
      <c r="N5" s="28" t="str">
        <f>IFERROR(__xludf.DUMMYFUNCTION("""COMPUTED_VALUE"""),"Status")</f>
        <v>Status</v>
      </c>
      <c r="O5" s="28" t="str">
        <f>IFERROR(__xludf.DUMMYFUNCTION("""COMPUTED_VALUE"""),"Order Side")</f>
        <v>Order Side</v>
      </c>
      <c r="P5" s="28" t="str">
        <f>IFERROR(__xludf.DUMMYFUNCTION("""COMPUTED_VALUE"""),"ApproveorRejectAll")</f>
        <v>ApproveorRejectAll</v>
      </c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9"/>
      <c r="B6" s="47"/>
      <c r="C6" s="48" t="s">
        <v>36</v>
      </c>
      <c r="D6" s="49" t="s">
        <v>37</v>
      </c>
      <c r="E6" s="50" t="s">
        <v>38</v>
      </c>
      <c r="F6" s="51" t="s">
        <v>47</v>
      </c>
      <c r="G6" s="50" t="s">
        <v>40</v>
      </c>
      <c r="H6" s="52"/>
      <c r="I6" s="50" t="s">
        <v>41</v>
      </c>
      <c r="J6" s="50">
        <v>12.0</v>
      </c>
      <c r="K6" s="50"/>
      <c r="L6" s="50">
        <v>200.0</v>
      </c>
      <c r="M6" s="50" t="s">
        <v>42</v>
      </c>
      <c r="N6" s="53" t="s">
        <v>43</v>
      </c>
      <c r="O6" s="51" t="s">
        <v>19</v>
      </c>
      <c r="P6" s="32" t="s">
        <v>44</v>
      </c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ApproveorRejectpendingapproval2!$4:$4</formula1>
    </dataValidation>
  </dataValidations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25</v>
      </c>
      <c r="D3" s="5" t="s">
        <v>9</v>
      </c>
      <c r="E3" s="23" t="s">
        <v>26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IFERROR(__xludf.DUMMYFUNCTION("""COMPUTED_VALUE"""),"ReloadOrderFromBlotter")</f>
        <v>ReloadOrderFromBlotter</v>
      </c>
      <c r="BE4" s="26" t="str">
        <f>IFERROR(__xludf.DUMMYFUNCTION("""COMPUTED_VALUE"""),"ReloadOrderFromSubOrder")</f>
        <v>ReloadOrderFromSubOrder</v>
      </c>
      <c r="BF4" s="26" t="str">
        <f>IFERROR(__xludf.DUMMYFUNCTION("""COMPUTED_VALUE"""),"ReloadOrderFromWorkingSubs")</f>
        <v>ReloadOrderFromWorkingSubs</v>
      </c>
      <c r="BG4" s="26" t="str">
        <f>IFERROR(__xludf.DUMMYFUNCTION("""COMPUTED_VALUE"""),"SelectFills")</f>
        <v>SelectFills</v>
      </c>
      <c r="BH4" s="26" t="str">
        <f>IFERROR(__xludf.DUMMYFUNCTION("""COMPUTED_VALUE"""),"ModifyFills")</f>
        <v>ModifyFills</v>
      </c>
      <c r="BI4" s="26" t="str">
        <f>IFERROR(__xludf.DUMMYFUNCTION("""COMPUTED_VALUE"""),"AllocateFromBlotter")</f>
        <v>AllocateFromBlotter</v>
      </c>
      <c r="BJ4" s="26" t="str">
        <f>IFERROR(__xludf.DUMMYFUNCTION("""COMPUTED_VALUE"""),"ViewPTTAllocationDetails")</f>
        <v>ViewPTTAllocationDetails</v>
      </c>
      <c r="BK4" s="26" t="str">
        <f>IFERROR(__xludf.DUMMYFUNCTION("""COMPUTED_VALUE"""),"MergeOrder")</f>
        <v>MergeOrder</v>
      </c>
      <c r="BL4" s="26" t="str">
        <f>IFERROR(__xludf.DUMMYFUNCTION("""COMPUTED_VALUE"""),"VerifyMergeOrder")</f>
        <v>VerifyMergeOrder</v>
      </c>
      <c r="BM4" s="26" t="str">
        <f>IFERROR(__xludf.DUMMYFUNCTION("""COMPUTED_VALUE"""),"AddTabBlotter")</f>
        <v>AddTabBlotter</v>
      </c>
      <c r="BN4" s="26" t="str">
        <f>IFERROR(__xludf.DUMMYFUNCTION("""COMPUTED_VALUE"""),"VerifyLowerStripBlotterUI")</f>
        <v>VerifyLowerStripBlotterUI</v>
      </c>
      <c r="BO4" s="26" t="str">
        <f>IFERROR(__xludf.DUMMYFUNCTION("""COMPUTED_VALUE"""),"SaveOrRemoveInSummaryTab")</f>
        <v>SaveOrRemoveInSummaryTab</v>
      </c>
      <c r="BP4" s="26" t="str">
        <f>IFERROR(__xludf.DUMMYFUNCTION("""COMPUTED_VALUE"""),"SaveOrRemoveInWorkingSubsTab")</f>
        <v>SaveOrRemoveInWorkingSubsTab</v>
      </c>
      <c r="BQ4" s="26" t="str">
        <f>IFERROR(__xludf.DUMMYFUNCTION("""COMPUTED_VALUE"""),"SelectCheckBoxOnOrderGrid")</f>
        <v>SelectCheckBoxOnOrderGrid</v>
      </c>
      <c r="BR4" s="26" t="str">
        <f>IFERROR(__xludf.DUMMYFUNCTION("""COMPUTED_VALUE"""),"ReAllocateFromBlotterByAllocate")</f>
        <v>ReAllocateFromBlotterByAllocate</v>
      </c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IFERROR(__xludf.DUMMYFUNCTION("""COMPUTED_VALUE"""),"User")</f>
        <v>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6")</f>
        <v>Trade Attribute 6</v>
      </c>
      <c r="N5" s="28" t="str">
        <f>IFERROR(__xludf.DUMMYFUNCTION("""COMPUTED_VALUE"""),"Trade Attribute 5")</f>
        <v>Trade Attribute 5</v>
      </c>
      <c r="O5" s="28" t="str">
        <f>IFERROR(__xludf.DUMMYFUNCTION("""COMPUTED_VALUE"""),"Trade Attribute 4")</f>
        <v>Trade Attribute 4</v>
      </c>
      <c r="P5" s="28" t="str">
        <f>IFERROR(__xludf.DUMMYFUNCTION("""COMPUTED_VALUE"""),"Trade Attribute 3")</f>
        <v>Trade Attribute 3</v>
      </c>
      <c r="Q5" s="28" t="str">
        <f>IFERROR(__xludf.DUMMYFUNCTION("""COMPUTED_VALUE"""),"Trade Attribute 1")</f>
        <v>Trade Attribute 1</v>
      </c>
      <c r="R5" s="28" t="str">
        <f>IFERROR(__xludf.DUMMYFUNCTION("""COMPUTED_VALUE"""),"Trade Attribute 2")</f>
        <v>Trade Attribute 2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IFERROR(__xludf.DUMMYFUNCTION("""COMPUTED_VALUE"""),"Target Qty")</f>
        <v>Target Qty</v>
      </c>
      <c r="AM5" s="30" t="str">
        <f>IFERROR(__xludf.DUMMYFUNCTION("""COMPUTED_VALUE"""),"Total Executed Qty")</f>
        <v>Total Executed Qty</v>
      </c>
      <c r="AN5" s="30" t="str">
        <f>IFERROR(__xludf.DUMMYFUNCTION("""COMPUTED_VALUE"""),"% Executed")</f>
        <v>% Executed</v>
      </c>
      <c r="AO5" s="30" t="str">
        <f>IFERROR(__xludf.DUMMYFUNCTION("""COMPUTED_VALUE"""),"Day Executed Qty")</f>
        <v>Day Executed Qty</v>
      </c>
      <c r="AP5" s="30" t="str">
        <f>IFERROR(__xludf.DUMMYFUNCTION("""COMPUTED_VALUE"""),"Uncommitted Qty")</f>
        <v>Uncommitted Qty</v>
      </c>
      <c r="AQ5" s="30" t="str">
        <f>IFERROR(__xludf.DUMMYFUNCTION("""COMPUTED_VALUE"""),"Last Fill Price (Local)")</f>
        <v>Last Fill Price (Local)</v>
      </c>
      <c r="AR5" s="30" t="str">
        <f>IFERROR(__xludf.DUMMYFUNCTION("""COMPUTED_VALUE"""),"Avg Fill Price (Local)")</f>
        <v>Avg Fill Price (Local)</v>
      </c>
      <c r="AS5" s="30" t="str">
        <f>IFERROR(__xludf.DUMMYFUNCTION("""COMPUTED_VALUE"""),"Broker")</f>
        <v>Broker</v>
      </c>
      <c r="AT5" s="30" t="str">
        <f>IFERROR(__xludf.DUMMYFUNCTION("""COMPUTED_VALUE"""),"Account")</f>
        <v>Account</v>
      </c>
      <c r="AU5" s="30" t="str">
        <f>IFERROR(__xludf.DUMMYFUNCTION("""COMPUTED_VALUE"""),"Order Type")</f>
        <v>Order Type</v>
      </c>
      <c r="AV5" s="30" t="str">
        <f>IFERROR(__xludf.DUMMYFUNCTION("""COMPUTED_VALUE"""),"Principal Amount (Local)")</f>
        <v>Principal Amount (Local)</v>
      </c>
      <c r="AW5" s="30" t="str">
        <f>IFERROR(__xludf.DUMMYFUNCTION("""COMPUTED_VALUE"""),"Principal Amount (Base)")</f>
        <v>Principal Amount (Base)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IFERROR(__xludf.DUMMYFUNCTION("""COMPUTED_VALUE"""),"Status (With Rollover)")</f>
        <v>Status (With Rollover)</v>
      </c>
      <c r="AZ5" s="30" t="str">
        <f>IFERROR(__xludf.DUMMYFUNCTION("""COMPUTED_VALUE"""),"Start of Day Qty")</f>
        <v>Start of Day Qty</v>
      </c>
      <c r="BA5" s="30" t="str">
        <f>IFERROR(__xludf.DUMMYFUNCTION("""COMPUTED_VALUE"""),"Leaves")</f>
        <v>Leaves</v>
      </c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/>
      <c r="E6" s="37"/>
      <c r="F6" s="8"/>
      <c r="G6" s="8"/>
      <c r="H6" s="8"/>
      <c r="I6" s="8"/>
      <c r="J6" s="8"/>
      <c r="K6" s="8"/>
      <c r="L6" s="8"/>
      <c r="M6" s="8"/>
      <c r="N6" s="8"/>
      <c r="O6" s="8"/>
      <c r="AI6" s="38" t="s">
        <v>16</v>
      </c>
      <c r="AJ6" s="38" t="s">
        <v>20</v>
      </c>
      <c r="AK6" s="32" t="s">
        <v>27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TradeNewSubOrder4!$4:$4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28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IFERROR(__xludf.DUMMYFUNCTION("""COMPUTED_VALUE"""),"VerifyComplianceOrder")</f>
        <v>VerifyComplianceOrder</v>
      </c>
      <c r="I4" s="25" t="str">
        <f>IFERROR(__xludf.DUMMYFUNCTION("""COMPUTED_VALUE"""),"TradeNewSub")</f>
        <v>TradeNewSub</v>
      </c>
      <c r="J4" s="25" t="str">
        <f>IFERROR(__xludf.DUMMYFUNCTION("""COMPUTED_VALUE"""),"CreateStageOrder")</f>
        <v>CreateStageOrder</v>
      </c>
      <c r="K4" s="25" t="str">
        <f>IFERROR(__xludf.DUMMYFUNCTION("""COMPUTED_VALUE"""),"CreateReplaceOrder")</f>
        <v>CreateReplaceOrder</v>
      </c>
      <c r="L4" s="25" t="str">
        <f>IFERROR(__xludf.DUMMYFUNCTION("""COMPUTED_VALUE"""),"SetGeneralPreference")</f>
        <v>SetGeneralPreference</v>
      </c>
      <c r="M4" s="25" t="str">
        <f>IFERROR(__xludf.DUMMYFUNCTION("""COMPUTED_VALUE"""),"CreateNewSubOrder")</f>
        <v>CreateNewSubOrder</v>
      </c>
      <c r="N4" s="25" t="str">
        <f>IFERROR(__xludf.DUMMYFUNCTION("""COMPUTED_VALUE"""),"TradeBloomberg")</f>
        <v>TradeBloomberg</v>
      </c>
      <c r="O4" s="25" t="str">
        <f>IFERROR(__xludf.DUMMYFUNCTION("""COMPUTED_VALUE"""),"ClickSymbolLookup")</f>
        <v>ClickSymbolLookup</v>
      </c>
      <c r="P4" s="26" t="str">
        <f>IFERROR(__xludf.DUMMYFUNCTION("""COMPUTED_VALUE"""),"VerifyTT")</f>
        <v>VerifyTT</v>
      </c>
      <c r="Q4" s="26" t="str">
        <f>IFERROR(__xludf.DUMMYFUNCTION("""COMPUTED_VALUE"""),"CreateLiveOrder")</f>
        <v>CreateLiveOrder</v>
      </c>
      <c r="R4" s="26" t="str">
        <f>IFERROR(__xludf.DUMMYFUNCTION("""COMPUTED_VALUE"""),"UpdateMasterFundOnTT")</f>
        <v>UpdateMasterFundOnTT</v>
      </c>
      <c r="S4" s="26" t="str">
        <f>IFERROR(__xludf.DUMMYFUNCTION("""COMPUTED_VALUE"""),"SetTTCompliancePreference")</f>
        <v>SetTTCompliancePreference</v>
      </c>
      <c r="T4" s="26" t="str">
        <f>IFERROR(__xludf.DUMMYFUNCTION("""COMPUTED_VALUE"""),"ImportSymbol")</f>
        <v>ImportSymbol</v>
      </c>
      <c r="U4" s="26" t="str">
        <f>IFERROR(__xludf.DUMMYFUNCTION("""COMPUTED_VALUE"""),"ExportSymbolFromRAList")</f>
        <v>ExportSymbolFromRAList</v>
      </c>
      <c r="V4" s="26" t="str">
        <f>IFERROR(__xludf.DUMMYFUNCTION("""COMPUTED_VALUE"""),"CheckPendingNewOrderAlert")</f>
        <v>CheckPendingNewOrderAlert</v>
      </c>
      <c r="W4" s="26" t="str">
        <f>IFERROR(__xludf.DUMMYFUNCTION("""COMPUTED_VALUE"""),"AddSymbolOnRAList")</f>
        <v>AddSymbolOnRAList</v>
      </c>
      <c r="X4" s="26" t="str">
        <f>IFERROR(__xludf.DUMMYFUNCTION("""COMPUTED_VALUE"""),"DeleteSymbolListFromRA")</f>
        <v>DeleteSymbolListFromRA</v>
      </c>
      <c r="Y4" s="26" t="str">
        <f>IFERROR(__xludf.DUMMYFUNCTION("""COMPUTED_VALUE"""),"RemoveSymbolFromRAList")</f>
        <v>RemoveSymbolFromRAList</v>
      </c>
      <c r="Z4" s="26" t="str">
        <f>IFERROR(__xludf.DUMMYFUNCTION("""COMPUTED_VALUE"""),"ToggleBlombergOnRA")</f>
        <v>ToggleBlombergOnRA</v>
      </c>
      <c r="AA4" s="26" t="str">
        <f>IFERROR(__xludf.DUMMYFUNCTION("""COMPUTED_VALUE"""),"CreateDoneAwayOrder")</f>
        <v>CreateDoneAwayOrder</v>
      </c>
      <c r="AB4" s="26" t="str">
        <f>IFERROR(__xludf.DUMMYFUNCTION("""COMPUTED_VALUE"""),"CreateComplianceOrder")</f>
        <v>CreateComplianceOrder</v>
      </c>
      <c r="AC4" s="26" t="str">
        <f>IFERROR(__xludf.DUMMYFUNCTION("""COMPUTED_VALUE"""),"AddOptionTrade")</f>
        <v>AddOptionTrade</v>
      </c>
      <c r="AD4" s="26" t="str">
        <f>IFERROR(__xludf.DUMMYFUNCTION("""COMPUTED_VALUE"""),"SendLiveBloomberg")</f>
        <v>SendLiveBloomberg</v>
      </c>
      <c r="AE4" s="26" t="str">
        <f>IFERROR(__xludf.DUMMYFUNCTION("""COMPUTED_VALUE"""),"ViewAllocation")</f>
        <v>ViewAllocation</v>
      </c>
      <c r="AF4" s="26" t="str">
        <f>IFERROR(__xludf.DUMMYFUNCTION("""COMPUTED_VALUE"""),"CreateReplaceLiveOrder")</f>
        <v>CreateReplaceLiveOrder</v>
      </c>
      <c r="AG4" s="26" t="str">
        <f>IFERROR(__xludf.DUMMYFUNCTION("""COMPUTED_VALUE"""),"CreateNewSubLiveOrder")</f>
        <v>CreateNewSubLiveOrder</v>
      </c>
      <c r="AH4" s="26" t="str">
        <f>IFERROR(__xludf.DUMMYFUNCTION("""COMPUTED_VALUE"""),"VerifyBasketExport")</f>
        <v>VerifyBasketExport</v>
      </c>
      <c r="AI4" s="26" t="str">
        <f>IFERROR(__xludf.DUMMYFUNCTION("""COMPUTED_VALUE"""),"VerifyCustomAllocationonTT")</f>
        <v>VerifyCustomAllocationonTT</v>
      </c>
      <c r="AJ4" s="26" t="str">
        <f>IFERROR(__xludf.DUMMYFUNCTION("""COMPUTED_VALUE"""),"CustomOrderTT")</f>
        <v>CustomOrderTT</v>
      </c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IFERROR(__xludf.DUMMYFUNCTION("""COMPUTED_VALUE"""),"PopUpQuantity")</f>
        <v>PopUpQuantity</v>
      </c>
      <c r="AO5" s="30" t="str">
        <f>IFERROR(__xludf.DUMMYFUNCTION("""COMPUTED_VALUE"""),"ShortLocate")</f>
        <v>ShortLocate</v>
      </c>
      <c r="AP5" s="30" t="str">
        <f>IFERROR(__xludf.DUMMYFUNCTION("""COMPUTED_VALUE"""),"ChkBoxBookAsSwap")</f>
        <v>ChkBoxBookAsSwap</v>
      </c>
      <c r="AQ5" s="30" t="str">
        <f>IFERROR(__xludf.DUMMYFUNCTION("""COMPUTED_VALUE"""),"Interest Rate")</f>
        <v>Interest Rate</v>
      </c>
      <c r="AR5" s="30" t="str">
        <f>IFERROR(__xludf.DUMMYFUNCTION("""COMPUTED_VALUE"""),"SharesOutstandingPopUp")</f>
        <v>SharesOutstandingPopUp</v>
      </c>
      <c r="AS5" s="30" t="str">
        <f>IFERROR(__xludf.DUMMYFUNCTION("""COMPUTED_VALUE"""),"AllowTrade")</f>
        <v>AllowTrade</v>
      </c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/>
      <c r="C6" s="32"/>
      <c r="D6" s="33">
        <v>200.0</v>
      </c>
      <c r="E6" s="32"/>
      <c r="F6" s="32"/>
      <c r="G6" s="32"/>
      <c r="H6" s="32"/>
      <c r="I6" s="32"/>
      <c r="J6" s="34">
        <v>12.0</v>
      </c>
      <c r="K6" s="32"/>
      <c r="L6" s="34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 t="s">
        <v>29</v>
      </c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CreateNewSubOrder3!$4:$4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34</v>
      </c>
      <c r="D3" s="5" t="s">
        <v>9</v>
      </c>
      <c r="E3" s="23" t="s">
        <v>35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IFERROR(__xludf.DUMMYFUNCTION("IF(C3="""","""",Transpose(IMPORTRANGE('_Settings'!$B$3,C3&amp;""!A4:A1000"")))"),"CheckCompliance")</f>
        <v>CheckCompliance</v>
      </c>
      <c r="C4" s="25" t="str">
        <f>IFERROR(__xludf.DUMMYFUNCTION("""COMPUTED_VALUE"""),"VerifyAccountDivisorWindow")</f>
        <v>VerifyAccountDivisorWindow</v>
      </c>
      <c r="D4" s="25" t="str">
        <f>IFERROR(__xludf.DUMMYFUNCTION("""COMPUTED_VALUE"""),"VerifyAccountSymbolDivisorWindow")</f>
        <v>VerifyAccountSymbolDivisorWindow</v>
      </c>
      <c r="E4" s="25" t="str">
        <f>IFERROR(__xludf.DUMMYFUNCTION("""COMPUTED_VALUE"""),"VerifyAggregationAccountSymbolWithNav")</f>
        <v>VerifyAggregationAccountSymbolWithNav</v>
      </c>
      <c r="F4" s="25" t="str">
        <f>IFERROR(__xludf.DUMMYFUNCTION("""COMPUTED_VALUE"""),"VerifyAggregationAccountWithNav")</f>
        <v>VerifyAggregationAccountWithNav</v>
      </c>
      <c r="G4" s="25" t="str">
        <f>IFERROR(__xludf.DUMMYFUNCTION("""COMPUTED_VALUE"""),"VerifyAggregationMasterFundSymbolWithNav")</f>
        <v>VerifyAggregationMasterFundSymbolWithNav</v>
      </c>
      <c r="H4" s="25" t="str">
        <f>IFERROR(__xludf.DUMMYFUNCTION("""COMPUTED_VALUE"""),"VerifyAggregationMasterFundUnderlyingSymbolWithNav")</f>
        <v>VerifyAggregationMasterFundUnderlyingSymbolWithNav</v>
      </c>
      <c r="I4" s="25" t="str">
        <f>IFERROR(__xludf.DUMMYFUNCTION("""COMPUTED_VALUE"""),"VerifyAggregationMasterFundWithNav")</f>
        <v>VerifyAggregationMasterFundWithNav</v>
      </c>
      <c r="J4" s="25" t="str">
        <f>IFERROR(__xludf.DUMMYFUNCTION("""COMPUTED_VALUE"""),"VerifyAggregationSectorWithNav")</f>
        <v>VerifyAggregationSectorWithNav</v>
      </c>
      <c r="K4" s="25" t="str">
        <f>IFERROR(__xludf.DUMMYFUNCTION("""COMPUTED_VALUE"""),"VerifyAggregationUnderlyingSymbolWithNav")</f>
        <v>VerifyAggregationUnderlyingSymbolWithNav</v>
      </c>
      <c r="L4" s="25" t="str">
        <f>IFERROR(__xludf.DUMMYFUNCTION("""COMPUTED_VALUE"""),"VerifyAuecWindow")</f>
        <v>VerifyAuecWindow</v>
      </c>
      <c r="M4" s="25" t="str">
        <f>IFERROR(__xludf.DUMMYFUNCTION("""COMPUTED_VALUE"""),"VerifyBetaWindow")</f>
        <v>VerifyBetaWindow</v>
      </c>
      <c r="N4" s="25" t="str">
        <f>IFERROR(__xludf.DUMMYFUNCTION("""COMPUTED_VALUE"""),"VerifyCustomSymbolDataWindow")</f>
        <v>VerifyCustomSymbolDataWindow</v>
      </c>
      <c r="O4" s="25" t="str">
        <f>IFERROR(__xludf.DUMMYFUNCTION("""COMPUTED_VALUE"""),"VerifyDayEndCashAccountWindow")</f>
        <v>VerifyDayEndCashAccountWindow</v>
      </c>
      <c r="P4" s="26" t="str">
        <f>IFERROR(__xludf.DUMMYFUNCTION("""COMPUTED_VALUE"""),"VerifyDbNavWindow")</f>
        <v>VerifyDbNavWindow</v>
      </c>
      <c r="Q4" s="26" t="str">
        <f>IFERROR(__xludf.DUMMYFUNCTION("""COMPUTED_VALUE"""),"VerifyGlobalDivisorWindow")</f>
        <v>VerifyGlobalDivisorWindow</v>
      </c>
      <c r="R4" s="26" t="str">
        <f>IFERROR(__xludf.DUMMYFUNCTION("""COMPUTED_VALUE"""),"VerifyPmCalculationPreferenceWindow")</f>
        <v>VerifyPmCalculationPreferenceWindow</v>
      </c>
      <c r="S4" s="26" t="str">
        <f>IFERROR(__xludf.DUMMYFUNCTION("""COMPUTED_VALUE"""),"VerifyRowCalculationBaseWindow")</f>
        <v>VerifyRowCalculationBaseWindow</v>
      </c>
      <c r="T4" s="26" t="str">
        <f>IFERROR(__xludf.DUMMYFUNCTION("""COMPUTED_VALUE"""),"VerifySecurityWindow")</f>
        <v>VerifySecurityWindow</v>
      </c>
      <c r="U4" s="26" t="str">
        <f>IFERROR(__xludf.DUMMYFUNCTION("""COMPUTED_VALUE"""),"VerifySymbolDataWindow")</f>
        <v>VerifySymbolDataWindow</v>
      </c>
      <c r="V4" s="26" t="str">
        <f>IFERROR(__xludf.DUMMYFUNCTION("""COMPUTED_VALUE"""),"VerifySymbolDivisorWindow")</f>
        <v>VerifySymbolDivisorWindow</v>
      </c>
      <c r="W4" s="26" t="str">
        <f>IFERROR(__xludf.DUMMYFUNCTION("""COMPUTED_VALUE"""),"VerifyTaxlotWindow")</f>
        <v>VerifyTaxlotWindow</v>
      </c>
      <c r="X4" s="26" t="str">
        <f>IFERROR(__xludf.DUMMYFUNCTION("""COMPUTED_VALUE"""),"RestartEsper")</f>
        <v>RestartEsper</v>
      </c>
      <c r="Y4" s="26" t="str">
        <f>IFERROR(__xludf.DUMMYFUNCTION("""COMPUTED_VALUE"""),"VerifyAccountNavPreferenceWindow")</f>
        <v>VerifyAccountNavPreferenceWindow</v>
      </c>
      <c r="Z4" s="26" t="str">
        <f>IFERROR(__xludf.DUMMYFUNCTION("""COMPUTED_VALUE"""),"VerifyAggregationAccountUnderlyingSymbolWithNav")</f>
        <v>VerifyAggregationAccountUnderlyingSymbolWithNav</v>
      </c>
      <c r="AA4" s="26" t="str">
        <f>IFERROR(__xludf.DUMMYFUNCTION("""COMPUTED_VALUE"""),"VerifyAggregationAssetWithNav")</f>
        <v>VerifyAggregationAssetWithNav</v>
      </c>
      <c r="AB4" s="26" t="str">
        <f>IFERROR(__xludf.DUMMYFUNCTION("""COMPUTED_VALUE"""),"VerifyAggregationSymbolWithNav")</f>
        <v>VerifyAggregationSymbolWithNav</v>
      </c>
      <c r="AC4" s="26" t="str">
        <f>IFERROR(__xludf.DUMMYFUNCTION("""COMPUTED_VALUE"""),"VerifyAggregationSubSectorWithNav")</f>
        <v>VerifyAggregationSubSectorWithNav</v>
      </c>
      <c r="AD4" s="26" t="str">
        <f>IFERROR(__xludf.DUMMYFUNCTION("""COMPUTED_VALUE"""),"VerifyAggregationGlobalWithNav")</f>
        <v>VerifyAggregationGlobalWithNav</v>
      </c>
      <c r="AE4" s="26" t="str">
        <f>IFERROR(__xludf.DUMMYFUNCTION("""COMPUTED_VALUE"""),"VerifyAggregationGlobalWithNav")</f>
        <v>VerifyAggregationGlobalWithNav</v>
      </c>
      <c r="AF4" s="26" t="str">
        <f>IFERROR(__xludf.DUMMYFUNCTION("""COMPUTED_VALUE"""),"VerifyGlobalDivisorWindow")</f>
        <v>VerifyGlobalDivisorWindow</v>
      </c>
      <c r="AG4" s="26" t="str">
        <f>IFERROR(__xludf.DUMMYFUNCTION("""COMPUTED_VALUE"""),"VerifyAccrualForAccountWindow")</f>
        <v>VerifyAccrualForAccountWindow</v>
      </c>
      <c r="AH4" s="26" t="str">
        <f>IFERROR(__xludf.DUMMYFUNCTION("""COMPUTED_VALUE"""),"VerifyGlobalDivisorWindow")</f>
        <v>VerifyGlobalDivisorWindow</v>
      </c>
      <c r="AI4" s="26" t="str">
        <f>IFERROR(__xludf.DUMMYFUNCTION("""COMPUTED_VALUE"""),"VerifyMasterFundDivisorWindow")</f>
        <v>VerifyMasterFundDivisorWindow</v>
      </c>
      <c r="AJ4" s="26" t="str">
        <f>IFERROR(__xludf.DUMMYFUNCTION("""COMPUTED_VALUE"""),"VerifyMasterFundSymbolDivisorWindow")</f>
        <v>VerifyMasterFundSymbolDivisorWindow</v>
      </c>
      <c r="AK4" s="26" t="str">
        <f>IFERROR(__xludf.DUMMYFUNCTION("""COMPUTED_VALUE"""),"RestartRuleMediator")</f>
        <v>RestartRuleMediator</v>
      </c>
      <c r="AL4" s="26" t="str">
        <f>IFERROR(__xludf.DUMMYFUNCTION("""COMPUTED_VALUE"""),"VerifyAggAccountSymbolWithNav")</f>
        <v>VerifyAggAccountSymbolWithNav</v>
      </c>
      <c r="AM4" s="26" t="str">
        <f>IFERROR(__xludf.DUMMYFUNCTION("""COMPUTED_VALUE"""),"ApproveorRejectpendingapproval")</f>
        <v>ApproveorRejectpendingapproval</v>
      </c>
      <c r="AN4" s="26" t="str">
        <f>IFERROR(__xludf.DUMMYFUNCTION("""COMPUTED_VALUE"""),"VerifyAlertHistory")</f>
        <v>VerifyAlertHistory</v>
      </c>
      <c r="AO4" s="26" t="str">
        <f>IFERROR(__xludf.DUMMYFUNCTION("""COMPUTED_VALUE"""),"EditInterceptorFile")</f>
        <v>EditInterceptorFile</v>
      </c>
      <c r="AP4" s="26" t="str">
        <f>IFERROR(__xludf.DUMMYFUNCTION("""COMPUTED_VALUE"""),"ReplaceInterceptorFile")</f>
        <v>ReplaceInterceptorFile</v>
      </c>
      <c r="AQ4" s="26" t="str">
        <f>IFERROR(__xludf.DUMMYFUNCTION("""COMPUTED_VALUE"""),"RestartReleasesAndServices")</f>
        <v>RestartReleasesAndServices</v>
      </c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IFERROR(__xludf.DUMMYFUNCTION("""COMPUTED_VALUE"""),"Trade Date")</f>
        <v>Trade Date</v>
      </c>
      <c r="C5" s="28" t="str">
        <f>IFERROR(__xludf.DUMMYFUNCTION("""COMPUTED_VALUE"""),"Symbols")</f>
        <v>Symbols</v>
      </c>
      <c r="D5" s="28" t="str">
        <f>IFERROR(__xludf.DUMMYFUNCTION("""COMPUTED_VALUE"""),"Trade Origination")</f>
        <v>Trade Origination</v>
      </c>
      <c r="E5" s="28" t="str">
        <f>IFERROR(__xludf.DUMMYFUNCTION("""COMPUTED_VALUE"""),"Trader")</f>
        <v>Trader</v>
      </c>
      <c r="F5" s="29" t="str">
        <f>IFERROR(__xludf.DUMMYFUNCTION("""COMPUTED_VALUE"""),"Trade Details")</f>
        <v>Trade Details</v>
      </c>
      <c r="G5" s="28" t="str">
        <f>IFERROR(__xludf.DUMMYFUNCTION("""COMPUTED_VALUE"""),"Trade Notes")</f>
        <v>Trade Notes</v>
      </c>
      <c r="H5" s="28" t="str">
        <f>IFERROR(__xludf.DUMMYFUNCTION("""COMPUTED_VALUE"""),"Compliance Officer Notes")</f>
        <v>Compliance Officer Notes</v>
      </c>
      <c r="I5" s="28" t="str">
        <f>IFERROR(__xludf.DUMMYFUNCTION("""COMPUTED_VALUE"""),"User Name")</f>
        <v>User Name</v>
      </c>
      <c r="J5" s="28" t="str">
        <f>IFERROR(__xludf.DUMMYFUNCTION("""COMPUTED_VALUE"""),"Trade Price")</f>
        <v>Trade Price</v>
      </c>
      <c r="K5" s="28" t="str">
        <f>IFERROR(__xludf.DUMMYFUNCTION("""COMPUTED_VALUE"""),"Basket Name")</f>
        <v>Basket Name</v>
      </c>
      <c r="L5" s="28" t="str">
        <f>IFERROR(__xludf.DUMMYFUNCTION("""COMPUTED_VALUE"""),"Quantity")</f>
        <v>Quantity</v>
      </c>
      <c r="M5" s="28" t="str">
        <f>IFERROR(__xludf.DUMMYFUNCTION("""COMPUTED_VALUE"""),"Broker")</f>
        <v>Broker</v>
      </c>
      <c r="N5" s="28" t="str">
        <f>IFERROR(__xludf.DUMMYFUNCTION("""COMPUTED_VALUE"""),"Status")</f>
        <v>Status</v>
      </c>
      <c r="O5" s="28" t="str">
        <f>IFERROR(__xludf.DUMMYFUNCTION("""COMPUTED_VALUE"""),"Order Side")</f>
        <v>Order Side</v>
      </c>
      <c r="P5" s="28" t="str">
        <f>IFERROR(__xludf.DUMMYFUNCTION("""COMPUTED_VALUE"""),"ApproveorRejectAll")</f>
        <v>ApproveorRejectAll</v>
      </c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9"/>
      <c r="B6" s="47"/>
      <c r="C6" s="48" t="s">
        <v>36</v>
      </c>
      <c r="D6" s="49" t="s">
        <v>37</v>
      </c>
      <c r="E6" s="50" t="s">
        <v>38</v>
      </c>
      <c r="F6" s="50" t="s">
        <v>48</v>
      </c>
      <c r="G6" s="50" t="s">
        <v>40</v>
      </c>
      <c r="H6" s="52"/>
      <c r="I6" s="50" t="s">
        <v>41</v>
      </c>
      <c r="J6" s="50">
        <v>12.0</v>
      </c>
      <c r="K6" s="50"/>
      <c r="L6" s="50">
        <v>200.0</v>
      </c>
      <c r="M6" s="50" t="s">
        <v>42</v>
      </c>
      <c r="N6" s="53" t="s">
        <v>43</v>
      </c>
      <c r="O6" s="50" t="s">
        <v>20</v>
      </c>
      <c r="P6" s="32" t="s">
        <v>44</v>
      </c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ApproveorRejectpendingapproval3!$4:$4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