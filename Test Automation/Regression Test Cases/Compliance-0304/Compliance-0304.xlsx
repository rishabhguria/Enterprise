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CreateComplianceOrder" sheetId="13" r:id="rId15"/>
    <sheet state="visible" name="VerifyComplianceOrder" sheetId="14" r:id="rId16"/>
    <sheet state="visible" name="SelectTradeOnOrderGrid" sheetId="15" r:id="rId17"/>
    <sheet state="visible" name="ReplaceSubOrder" sheetId="16" r:id="rId18"/>
    <sheet state="visible" name="CreateComplianceOrder1" sheetId="17" r:id="rId19"/>
    <sheet state="visible" name="VerifyComplianceOrder1" sheetId="18" r:id="rId20"/>
    <sheet state="visible" name="CancelSubOrder" sheetId="19" r:id="rId21"/>
    <sheet state="visible" name="VerifyComplianceOrder2" sheetId="20" r:id="rId22"/>
  </sheets>
  <definedNames/>
  <calcPr/>
</workbook>
</file>

<file path=xl/sharedStrings.xml><?xml version="1.0" encoding="utf-8"?>
<sst xmlns="http://schemas.openxmlformats.org/spreadsheetml/2006/main" count="206" uniqueCount="53">
  <si>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</si>
  <si>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</si>
  <si>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</si>
  <si>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</si>
  <si>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</si>
  <si>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</si>
  <si>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</si>
  <si>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</si>
  <si>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</si>
  <si>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</si>
  <si>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</si>
  <si>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</si>
  <si>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</si>
  <si>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</si>
  <si>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</si>
  <si>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</si>
  <si>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</si>
  <si>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</si>
  <si>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</si>
  <si>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</si>
  <si>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</si>
  <si>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</si>
  <si>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</si>
  <si>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</si>
  <si>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</si>
  <si>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</si>
  <si>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</si>
  <si>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</si>
  <si>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</si>
  <si>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</si>
  <si>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</si>
  <si>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</si>
  <si>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</si>
  <si>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</si>
  <si>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</si>
  <si>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Allocation3</t>
  </si>
  <si>
    <t>CreateComplianceOrder</t>
  </si>
  <si>
    <t>DoneAway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</si>
  <si>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</si>
  <si>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</si>
  <si>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</si>
  <si>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</si>
  <si>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</si>
  <si>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</si>
  <si>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2.9851, percentNetMarketValueGlobal: 2.9851, percentGrossExposureGlobal: 2.9851, percentGrossMarketValueGlobal: 2.9851</t>
  </si>
  <si>
    <t>Blotter</t>
  </si>
  <si>
    <t>SelectTradeOnOrderGrid</t>
  </si>
  <si>
    <t>Filled</t>
  </si>
  <si>
    <t>ReplaceSubOrder</t>
  </si>
  <si>
    <t>Replace</t>
  </si>
  <si>
    <t>percentNetExposureGlobal: 3.5714, percentNetMarketValueGlobal: 3.5714, percentGrossExposureGlobal: 3.5714, percentGrossMarketValueGlobal: 3.5714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</si>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</sst>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7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readingOrder="0" vertical="bottom"/>
    </xf>
    <xf borderId="7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7" fontId="14" numFmtId="0" xfId="0" applyAlignment="1" applyBorder="1" applyFill="1" applyFont="1">
      <alignment horizontal="left" readingOrder="0" shrinkToFit="0" vertical="top" wrapText="0"/>
    </xf>
    <xf borderId="9" fillId="8" fontId="15" numFmtId="0" xfId="0" applyAlignment="1" applyBorder="1" applyFill="1" applyFont="1">
      <alignment horizontal="left" readingOrder="0" shrinkToFit="0" vertical="top" wrapText="0"/>
    </xf>
    <xf borderId="10" fillId="9" fontId="3" numFmtId="0" xfId="0" applyAlignment="1" applyBorder="1" applyFill="1" applyFont="1">
      <alignment vertical="top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9" fillId="9" fontId="15" numFmtId="0" xfId="0" applyAlignment="1" applyBorder="1" applyFont="1">
      <alignment horizontal="left" readingOrder="0" shrinkToFit="0" vertical="top" wrapText="0"/>
    </xf>
    <xf borderId="9" fillId="9" fontId="16" numFmtId="0" xfId="0" applyAlignment="1" applyBorder="1" applyFont="1">
      <alignment horizontal="left" readingOrder="0" shrinkToFit="0" vertical="top" wrapText="0"/>
    </xf>
    <xf borderId="9" fillId="8" fontId="16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21</v>
      </c>
      <c r="C7" s="31" t="s">
        <v>22</v>
      </c>
      <c r="D7" s="36">
        <v>100.0</v>
      </c>
      <c r="E7" s="36">
        <v>0.0</v>
      </c>
      <c r="F7" s="37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24</v>
      </c>
      <c r="C8" s="31" t="s">
        <v>22</v>
      </c>
      <c r="D8" s="36">
        <v>100.0</v>
      </c>
      <c r="E8" s="31"/>
      <c r="F8" s="37" t="s">
        <v>23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24</v>
      </c>
      <c r="C9" s="31" t="s">
        <v>22</v>
      </c>
      <c r="D9" s="36">
        <v>100.0</v>
      </c>
      <c r="E9" s="36">
        <v>0.0</v>
      </c>
      <c r="F9" s="37" t="s">
        <v>23</v>
      </c>
      <c r="G9" s="31"/>
      <c r="H9" s="31"/>
      <c r="I9" s="3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21</v>
      </c>
      <c r="C6" s="40" t="s">
        <v>22</v>
      </c>
      <c r="D6" s="41">
        <v>100.0</v>
      </c>
      <c r="E6" s="40"/>
      <c r="F6" s="31" t="s">
        <v>23</v>
      </c>
      <c r="G6" s="40"/>
      <c r="H6" s="40"/>
      <c r="I6" s="40"/>
      <c r="J6" s="42">
        <v>10.0</v>
      </c>
      <c r="K6" s="43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4"/>
      <c r="B7" s="43" t="s">
        <v>24</v>
      </c>
      <c r="C7" s="43" t="s">
        <v>22</v>
      </c>
      <c r="D7" s="45">
        <v>100.0</v>
      </c>
      <c r="E7" s="43"/>
      <c r="F7" s="31" t="s">
        <v>23</v>
      </c>
      <c r="G7" s="43"/>
      <c r="H7" s="43"/>
      <c r="I7" s="43"/>
      <c r="J7" s="4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21</v>
      </c>
      <c r="C6" s="42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3" t="s">
        <v>24</v>
      </c>
      <c r="C7" s="42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>
        <f>TODAY()-1</f>
        <v>45839</v>
      </c>
      <c r="C6" s="46">
        <f>TODAY()</f>
        <v>45840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30</v>
      </c>
      <c r="C6" s="48" t="s">
        <v>31</v>
      </c>
      <c r="D6" s="47" t="s">
        <v>32</v>
      </c>
      <c r="E6" s="42">
        <v>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>
        <f t="shared" ref="B6:C6" si="1">today()-1</f>
        <v>45839</v>
      </c>
      <c r="C6" s="50">
        <f t="shared" si="1"/>
        <v>45839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23</v>
      </c>
      <c r="C6" s="52" t="s">
        <v>30</v>
      </c>
      <c r="D6" s="53">
        <v>233000.0</v>
      </c>
      <c r="E6" s="4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4" t="s">
        <v>35</v>
      </c>
      <c r="C7" s="55" t="s">
        <v>30</v>
      </c>
      <c r="D7" s="56">
        <v>100000.0</v>
      </c>
      <c r="E7" s="43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24</v>
      </c>
      <c r="C6" s="40" t="s">
        <v>22</v>
      </c>
      <c r="D6" s="41">
        <v>100.0</v>
      </c>
      <c r="E6" s="40"/>
      <c r="F6" s="31" t="s">
        <v>23</v>
      </c>
      <c r="G6" s="40"/>
      <c r="H6" s="40"/>
      <c r="I6" s="40"/>
      <c r="J6" s="42">
        <v>20.0</v>
      </c>
      <c r="K6" s="43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37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39</v>
      </c>
      <c r="C6" s="59" t="s">
        <v>40</v>
      </c>
      <c r="D6" s="59" t="s">
        <v>41</v>
      </c>
      <c r="E6" s="59" t="s">
        <v>42</v>
      </c>
      <c r="F6" s="59" t="s">
        <v>43</v>
      </c>
      <c r="G6" s="59" t="s">
        <v>43</v>
      </c>
      <c r="H6" s="59" t="s">
        <v>44</v>
      </c>
      <c r="I6" s="60"/>
      <c r="J6" s="31"/>
      <c r="K6" s="48" t="s">
        <v>18</v>
      </c>
      <c r="L6" s="31"/>
      <c r="M6" s="48" t="s">
        <v>37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9" t="s">
        <v>24</v>
      </c>
      <c r="E6" s="31"/>
      <c r="F6" s="48" t="s">
        <v>22</v>
      </c>
      <c r="G6" s="48" t="s">
        <v>47</v>
      </c>
      <c r="H6" s="42">
        <v>100.0</v>
      </c>
      <c r="I6" s="31"/>
      <c r="J6" s="31"/>
      <c r="K6" s="31"/>
      <c r="L6" s="31"/>
      <c r="M6" s="31"/>
      <c r="N6" s="31"/>
      <c r="O6" s="31"/>
      <c r="P6" s="42">
        <v>20.0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1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2" t="s">
        <v>24</v>
      </c>
      <c r="AK6" s="31" t="s">
        <v>22</v>
      </c>
      <c r="AL6" s="31" t="s">
        <v>47</v>
      </c>
      <c r="AM6" s="36">
        <v>100.0</v>
      </c>
      <c r="AN6" s="31"/>
      <c r="AO6" s="31"/>
      <c r="AP6" s="31"/>
      <c r="AQ6" s="31"/>
      <c r="AR6" s="31"/>
      <c r="AS6" s="36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1" t="s">
        <v>24</v>
      </c>
      <c r="C6" s="31"/>
      <c r="D6" s="61">
        <v>200.0</v>
      </c>
      <c r="E6" s="31"/>
      <c r="F6" s="31"/>
      <c r="G6" s="31"/>
      <c r="H6" s="31"/>
      <c r="I6" s="31"/>
      <c r="J6" s="42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39</v>
      </c>
      <c r="C6" s="63" t="s">
        <v>40</v>
      </c>
      <c r="D6" s="63" t="s">
        <v>41</v>
      </c>
      <c r="E6" s="63" t="s">
        <v>42</v>
      </c>
      <c r="F6" s="63" t="s">
        <v>43</v>
      </c>
      <c r="G6" s="63" t="s">
        <v>43</v>
      </c>
      <c r="H6" s="64" t="s">
        <v>50</v>
      </c>
      <c r="I6" s="60"/>
      <c r="J6" s="31"/>
      <c r="K6" s="48" t="s">
        <v>18</v>
      </c>
      <c r="L6" s="31"/>
      <c r="M6" s="48" t="s">
        <v>49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1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6" t="s">
        <v>24</v>
      </c>
      <c r="AJ6" s="31" t="s">
        <v>22</v>
      </c>
      <c r="AK6" s="31" t="s">
        <v>52</v>
      </c>
      <c r="AL6" s="36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39</v>
      </c>
      <c r="C6" s="59" t="s">
        <v>40</v>
      </c>
      <c r="D6" s="59" t="s">
        <v>41</v>
      </c>
      <c r="E6" s="59" t="s">
        <v>42</v>
      </c>
      <c r="F6" s="59" t="s">
        <v>43</v>
      </c>
      <c r="G6" s="59" t="s">
        <v>43</v>
      </c>
      <c r="H6" s="65" t="s">
        <v>50</v>
      </c>
      <c r="I6" s="60"/>
      <c r="J6" s="31"/>
      <c r="K6" s="48" t="s">
        <v>18</v>
      </c>
      <c r="L6" s="31"/>
      <c r="M6" s="66" t="s">
        <v>37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