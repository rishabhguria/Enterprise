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AutoGroupingAllocation" sheetId="4" r:id="rId6"/>
    <sheet state="visible" name="CreateLiveOrder" sheetId="5" r:id="rId7"/>
    <sheet state="visible" name="AddCalculatedPreferences" sheetId="6" r:id="rId8"/>
    <sheet state="visible" name="SetAccountValueCalculatedPref" sheetId="7" r:id="rId9"/>
    <sheet state="visible" name="SelectTradeOnOrderGrid" sheetId="8" r:id="rId10"/>
    <sheet state="visible" name="SelectTradeOnOrderGrid1" sheetId="9" r:id="rId11"/>
    <sheet state="visible" name="AllocateFromBlotter" sheetId="10" r:id="rId12"/>
    <sheet state="visible" name="SelectTrade" sheetId="11" r:id="rId13"/>
    <sheet state="visible" name="SelectTrade1" sheetId="12" r:id="rId14"/>
    <sheet state="visible" name="SelectTrade2" sheetId="13" r:id="rId15"/>
    <sheet state="visible" name="SelectTrade3" sheetId="14" r:id="rId16"/>
    <sheet state="visible" name="AcknowledgeTrade" sheetId="15" r:id="rId17"/>
    <sheet state="visible" name="AcknowledgeTrade1" sheetId="16" r:id="rId18"/>
    <sheet state="visible" name="AcknowledgeTrade2" sheetId="17" r:id="rId19"/>
    <sheet state="visible" name="AcknowledgeTrade3" sheetId="18" r:id="rId20"/>
    <sheet state="visible" name="ExecuteTrade" sheetId="19" r:id="rId21"/>
    <sheet state="visible" name="ExecuteTrade1" sheetId="20" r:id="rId22"/>
    <sheet state="visible" name="ExecuteTrade2" sheetId="21" r:id="rId23"/>
    <sheet state="visible" name="ExecuteTrade3" sheetId="22" r:id="rId24"/>
    <sheet state="visible" name="VerifyWorkingSubs" sheetId="23" r:id="rId25"/>
    <sheet state="visible" name="Copy of Data" sheetId="24" r:id="rId26"/>
  </sheets>
  <definedNames/>
  <calcPr/>
</workbook>
</file>

<file path=xl/sharedStrings.xml><?xml version="1.0" encoding="utf-8"?>
<sst xmlns="http://schemas.openxmlformats.org/spreadsheetml/2006/main" count="202" uniqueCount="39">
  <si>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</si>
  <si>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</si>
  <si>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</si>
  <si>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</si>
  <si>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</si>
  <si>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</si>
  <si>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</si>
  <si>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</si>
  <si>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</si>
  <si>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</si>
  <si>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</si>
  <si>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</si>
  <si>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</si>
  <si>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EnableAutoGroupingAllocation</t>
  </si>
  <si>
    <t>Data Format</t>
  </si>
  <si>
    <t>Input Format</t>
  </si>
  <si>
    <t>TradingTicket</t>
  </si>
  <si>
    <t>CreateLiveOrder</t>
  </si>
  <si>
    <t>AAPL</t>
  </si>
  <si>
    <t>Buy</t>
  </si>
  <si>
    <t>Unallocated</t>
  </si>
  <si>
    <t>AMZN</t>
  </si>
  <si>
    <t>Allocation2</t>
  </si>
  <si>
    <t>Allocation</t>
  </si>
  <si>
    <t>AddCalculatedPreferences</t>
  </si>
  <si>
    <t>Test</t>
  </si>
  <si>
    <t>SetAccountValueCalculatedPref</t>
  </si>
  <si>
    <t>Allocation3</t>
  </si>
  <si>
    <t>Blotter</t>
  </si>
  <si>
    <t>SelectTradeOnOrderGrid</t>
  </si>
  <si>
    <t>AllocateFromBlotter</t>
  </si>
  <si>
    <t>Simulator</t>
  </si>
  <si>
    <t>SelectTrade</t>
  </si>
  <si>
    <t>AcknowledgeTrade</t>
  </si>
  <si>
    <t>ExecuteTrade</t>
  </si>
  <si>
    <t>VerifyWorkingSubs</t>
  </si>
  <si>
    <t>CreateDoneAwayOrder</t>
  </si>
  <si>
    <t>msft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</si>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</sst>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IFERROR(__xludf.DUMMYFUNCTION("""COMPUTED_VALUE"""),"Enable")</f>
        <v>Enable</v>
      </c>
      <c r="C5" s="27" t="str">
        <f>IFERROR(__xludf.DUMMYFUNCTION("""COMPUTED_VALUE"""),"EnableAllFunds")</f>
        <v>EnableAllFunds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b">
        <v>1</v>
      </c>
      <c r="C6" s="32" t="b">
        <v>1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EnableAutoGroupingAllocation!$4:$4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18</v>
      </c>
      <c r="C6" s="35" t="s">
        <v>19</v>
      </c>
      <c r="D6" s="36">
        <v>120.0</v>
      </c>
      <c r="E6" s="33"/>
      <c r="F6" s="35" t="s">
        <v>20</v>
      </c>
      <c r="G6" s="33"/>
      <c r="H6" s="33"/>
      <c r="I6" s="33"/>
      <c r="J6" s="37">
        <v>2.0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5" t="s">
        <v>21</v>
      </c>
      <c r="C7" s="35" t="s">
        <v>19</v>
      </c>
      <c r="D7" s="37">
        <v>120.0</v>
      </c>
      <c r="E7" s="33"/>
      <c r="F7" s="35" t="s">
        <v>22</v>
      </c>
      <c r="G7" s="33"/>
      <c r="H7" s="33"/>
      <c r="I7" s="33"/>
      <c r="J7" s="37">
        <v>2.0</v>
      </c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5" t="s">
        <v>18</v>
      </c>
      <c r="C8" s="35" t="s">
        <v>19</v>
      </c>
      <c r="D8" s="37">
        <v>100.0</v>
      </c>
      <c r="E8" s="33"/>
      <c r="F8" s="35" t="s">
        <v>20</v>
      </c>
      <c r="G8" s="33"/>
      <c r="H8" s="33"/>
      <c r="I8" s="33"/>
      <c r="J8" s="37">
        <v>2.0</v>
      </c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5" t="s">
        <v>21</v>
      </c>
      <c r="C9" s="35" t="s">
        <v>19</v>
      </c>
      <c r="D9" s="37">
        <v>100.0</v>
      </c>
      <c r="E9" s="33"/>
      <c r="F9" s="35" t="s">
        <v>22</v>
      </c>
      <c r="G9" s="33"/>
      <c r="H9" s="33"/>
      <c r="I9" s="33"/>
      <c r="J9" s="37">
        <v>2.0</v>
      </c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8"/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12" t="s">
        <v>22</v>
      </c>
      <c r="D6" s="12">
        <v>50.0</v>
      </c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25</v>
      </c>
      <c r="C7" s="12" t="s">
        <v>27</v>
      </c>
      <c r="D7" s="12">
        <v>50.0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18</v>
      </c>
      <c r="E6" s="38"/>
      <c r="F6" s="12" t="s">
        <v>19</v>
      </c>
      <c r="G6" s="8"/>
      <c r="H6" s="12">
        <v>120.0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21</v>
      </c>
      <c r="E6" s="38"/>
      <c r="F6" s="12" t="s">
        <v>19</v>
      </c>
      <c r="G6" s="8"/>
      <c r="H6" s="12">
        <v>120.0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IFERROR(__xludf.DUMMYFUNCTION("""COMPUTED_VALUE"""),"Account")</f>
        <v>Account</v>
      </c>
      <c r="D5" s="27" t="str">
        <f>IFERROR(__xludf.DUMMYFUNCTION("""COMPUTED_VALUE"""),"Target Allocation Percentage")</f>
        <v>Target Allocation Percentage</v>
      </c>
      <c r="E5" s="27" t="str">
        <f>IFERROR(__xludf.DUMMYFUNCTION("""COMPUTED_VALUE"""),"TargetAllocationQuantity")</f>
        <v>TargetAllocationQuantity</v>
      </c>
      <c r="F5" s="28" t="str">
        <f>IFERROR(__xludf.DUMMYFUNCTION("""COMPUTED_VALUE"""),"ViewAllocationVerfication")</f>
        <v>ViewAllocationVerfication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8"/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AllocateFromBlotter!$4:$4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18</v>
      </c>
      <c r="D6" s="12"/>
      <c r="E6" s="38"/>
      <c r="F6" s="8"/>
      <c r="G6" s="12">
        <v>120.0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21</v>
      </c>
      <c r="D6" s="12"/>
      <c r="E6" s="38"/>
      <c r="F6" s="8"/>
      <c r="G6" s="12">
        <v>120.0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18</v>
      </c>
      <c r="D6" s="12"/>
      <c r="E6" s="38"/>
      <c r="F6" s="8"/>
      <c r="G6" s="12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21</v>
      </c>
      <c r="D6" s="12"/>
      <c r="E6" s="38"/>
      <c r="F6" s="8"/>
      <c r="G6" s="12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SelectTrade3!$4:$4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18</v>
      </c>
      <c r="D6" s="12"/>
      <c r="E6" s="38"/>
      <c r="F6" s="8"/>
      <c r="G6" s="12">
        <v>120.0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21</v>
      </c>
      <c r="D6" s="12"/>
      <c r="E6" s="38"/>
      <c r="F6" s="8"/>
      <c r="G6" s="12">
        <v>120.0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18</v>
      </c>
      <c r="D6" s="12"/>
      <c r="E6" s="38"/>
      <c r="F6" s="8"/>
      <c r="G6" s="12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21</v>
      </c>
      <c r="D6" s="12"/>
      <c r="E6" s="38"/>
      <c r="F6" s="8"/>
      <c r="G6" s="12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AcknowledgeTrade3!$4:$4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2.0</v>
      </c>
      <c r="C6" s="12">
        <v>120.0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2.0</v>
      </c>
      <c r="C6" s="12">
        <v>120.0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2.0</v>
      </c>
      <c r="C6" s="12">
        <v>100.0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2.0</v>
      </c>
      <c r="C6" s="12">
        <v>100.0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IFERROR(__xludf.DUMMYFUNCTION("""COMPUTED_VALUE"""),"Unexecuted Qty")</f>
        <v>Unexecuted Qty</v>
      </c>
      <c r="G5" s="27" t="str">
        <f>IFERROR(__xludf.DUMMYFUNCTION("""COMPUTED_VALUE"""),"Status")</f>
        <v>Status</v>
      </c>
      <c r="H5" s="27" t="str">
        <f>IFERROR(__xludf.DUMMYFUNCTION("""COMPUTED_VALUE"""),"Last Shares")</f>
        <v>Last Shares</v>
      </c>
      <c r="I5" s="27" t="str">
        <f>IFERROR(__xludf.DUMMYFUNCTION("""COMPUTED_VALUE"""),"Last Fill Price (Local)")</f>
        <v>Last Fill Price (Local)</v>
      </c>
      <c r="J5" s="27" t="str">
        <f>IFERROR(__xludf.DUMMYFUNCTION("""COMPUTED_VALUE"""),"Avg Fill Price (Local)")</f>
        <v>Avg Fill Price (Local)</v>
      </c>
      <c r="K5" s="27" t="str">
        <f>IFERROR(__xludf.DUMMYFUNCTION("""COMPUTED_VALUE"""),"Broker")</f>
        <v>Broker</v>
      </c>
      <c r="L5" s="27" t="str">
        <f>IFERROR(__xludf.DUMMYFUNCTION("""COMPUTED_VALUE"""),"Account")</f>
        <v>Account</v>
      </c>
      <c r="M5" s="27" t="str">
        <f>IFERROR(__xludf.DUMMYFUNCTION("""COMPUTED_VALUE"""),"Order Type")</f>
        <v>Order Type</v>
      </c>
      <c r="N5" s="27" t="str">
        <f>IFERROR(__xludf.DUMMYFUNCTION("""COMPUTED_VALUE"""),"OrderStatus")</f>
        <v>OrderStatus</v>
      </c>
      <c r="O5" s="27" t="str">
        <f>IFERROR(__xludf.DUMMYFUNCTION("""COMPUTED_VALUE"""),"Avg Fill Price (Base)")</f>
        <v>Avg Fill Price (Base)</v>
      </c>
      <c r="P5" s="27" t="str">
        <f>IFERROR(__xludf.DUMMYFUNCTION("""COMPUTED_VALUE"""),"Limit Price")</f>
        <v>Limit Price</v>
      </c>
      <c r="Q5" s="27" t="str">
        <f>IFERROR(__xludf.DUMMYFUNCTION("""COMPUTED_VALUE"""),"Stop Price")</f>
        <v>Stop Price</v>
      </c>
      <c r="R5" s="27" t="str">
        <f>IFERROR(__xludf.DUMMYFUNCTION("""COMPUTED_VALUE"""),"Actual User")</f>
        <v>Actual User</v>
      </c>
      <c r="S5" s="27" t="str">
        <f>IFERROR(__xludf.DUMMYFUNCTION("""COMPUTED_VALUE"""),"Bloomberg Symbol")</f>
        <v>Bloomberg Symbol</v>
      </c>
      <c r="T5" s="29" t="str">
        <f>IFERROR(__xludf.DUMMYFUNCTION("""COMPUTED_VALUE"""),"Algo")</f>
        <v>Algo</v>
      </c>
      <c r="U5" s="29" t="str">
        <f>IFERROR(__xludf.DUMMYFUNCTION("""COMPUTED_VALUE"""),"Allocation Scheme Name")</f>
        <v>Allocation Scheme Name</v>
      </c>
      <c r="V5" s="29" t="str">
        <f>IFERROR(__xludf.DUMMYFUNCTION("""COMPUTED_VALUE"""),"Allocation Status")</f>
        <v>Allocation Status</v>
      </c>
      <c r="W5" s="29" t="str">
        <f>IFERROR(__xludf.DUMMYFUNCTION("""COMPUTED_VALUE"""),"Asset Class")</f>
        <v>Asset Class</v>
      </c>
      <c r="X5" s="29" t="str">
        <f>IFERROR(__xludf.DUMMYFUNCTION("""COMPUTED_VALUE"""),"FX Conversion Operator")</f>
        <v>FX Conversion Operator</v>
      </c>
      <c r="Y5" s="29" t="str">
        <f>IFERROR(__xludf.DUMMYFUNCTION("""COMPUTED_VALUE"""),"FX Rate")</f>
        <v>FX Rate</v>
      </c>
      <c r="Z5" s="29" t="str">
        <f>IFERROR(__xludf.DUMMYFUNCTION("""COMPUTED_VALUE"""),"Imported File Name")</f>
        <v>Imported File Name</v>
      </c>
      <c r="AA5" s="29" t="str">
        <f>IFERROR(__xludf.DUMMYFUNCTION("""COMPUTED_VALUE"""),"Internal Comments")</f>
        <v>Internal Comments</v>
      </c>
      <c r="AB5" s="29" t="str">
        <f>IFERROR(__xludf.DUMMYFUNCTION("""COMPUTED_VALUE"""),"Peg")</f>
        <v>Peg</v>
      </c>
      <c r="AC5" s="29" t="str">
        <f>IFERROR(__xludf.DUMMYFUNCTION("""COMPUTED_VALUE"""),"Principal Amount (Base)")</f>
        <v>Principal Amount (Base)</v>
      </c>
      <c r="AD5" s="29" t="str">
        <f>IFERROR(__xludf.DUMMYFUNCTION("""COMPUTED_VALUE"""),"Principal Amount (Local)")</f>
        <v>Principal Amount (Local)</v>
      </c>
      <c r="AE5" s="29" t="str">
        <f>IFERROR(__xludf.DUMMYFUNCTION("""COMPUTED_VALUE"""),"Process Date")</f>
        <v>Process Date</v>
      </c>
      <c r="AF5" s="29" t="str">
        <f>IFERROR(__xludf.DUMMYFUNCTION("""COMPUTED_VALUE"""),"Put/Call")</f>
        <v>Put/Call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IFERROR(__xludf.DUMMYFUNCTION("""COMPUTED_VALUE"""),"Source")</f>
        <v>Source</v>
      </c>
      <c r="AI5" s="29" t="str">
        <f>IFERROR(__xludf.DUMMYFUNCTION("""COMPUTED_VALUE"""),"Status (With Rollover)")</f>
        <v>Status (With Rollover)</v>
      </c>
      <c r="AJ5" s="29" t="str">
        <f>IFERROR(__xludf.DUMMYFUNCTION("""COMPUTED_VALUE"""),"Strategy")</f>
        <v>Strategy</v>
      </c>
      <c r="AK5" s="29" t="str">
        <f>IFERROR(__xludf.DUMMYFUNCTION("""COMPUTED_VALUE"""),"Strike Price")</f>
        <v>Strike Price</v>
      </c>
      <c r="AL5" s="29" t="str">
        <f>IFERROR(__xludf.DUMMYFUNCTION("""COMPUTED_VALUE"""),"Trade Attribute 1")</f>
        <v>Trade Attribute 1</v>
      </c>
      <c r="AM5" s="29" t="str">
        <f>IFERROR(__xludf.DUMMYFUNCTION("""COMPUTED_VALUE"""),"Trade Attribute 2")</f>
        <v>Trade Attribute 2</v>
      </c>
      <c r="AN5" s="29" t="str">
        <f>IFERROR(__xludf.DUMMYFUNCTION("""COMPUTED_VALUE"""),"Trade Attribute 3")</f>
        <v>Trade Attribute 3</v>
      </c>
      <c r="AO5" s="29" t="str">
        <f>IFERROR(__xludf.DUMMYFUNCTION("""COMPUTED_VALUE"""),"Trade Attribute 4")</f>
        <v>Trade Attribute 4</v>
      </c>
      <c r="AP5" s="29" t="str">
        <f>IFERROR(__xludf.DUMMYFUNCTION("""COMPUTED_VALUE"""),"Trade Attribute 5")</f>
        <v>Trade Attribute 5</v>
      </c>
      <c r="AQ5" s="29" t="str">
        <f>IFERROR(__xludf.DUMMYFUNCTION("""COMPUTED_VALUE"""),"Trade Attribute 6")</f>
        <v>Trade Attribute 6</v>
      </c>
      <c r="AR5" s="29" t="str">
        <f>IFERROR(__xludf.DUMMYFUNCTION("""COMPUTED_VALUE"""),"Trader")</f>
        <v>Trader</v>
      </c>
      <c r="AS5" s="29" t="str">
        <f>IFERROR(__xludf.DUMMYFUNCTION("""COMPUTED_VALUE"""),"Transaction Time")</f>
        <v>Transaction Time</v>
      </c>
      <c r="AT5" s="29" t="str">
        <f>IFERROR(__xludf.DUMMYFUNCTION("""COMPUTED_VALUE"""),"Underlying Country")</f>
        <v>Underlying Country</v>
      </c>
      <c r="AU5" s="29" t="str">
        <f>IFERROR(__xludf.DUMMYFUNCTION("""COMPUTED_VALUE"""),"Underlying Symbol")</f>
        <v>Underlying Symbol</v>
      </c>
      <c r="AV5" s="29" t="str">
        <f>IFERROR(__xludf.DUMMYFUNCTION("""COMPUTED_VALUE"""),"Venue")</f>
        <v>Venue</v>
      </c>
      <c r="AW5" s="29" t="str">
        <f>IFERROR(__xludf.DUMMYFUNCTION("""COMPUTED_VALUE"""),"Working Qty")</f>
        <v>Working Qty</v>
      </c>
      <c r="AX5" s="29" t="str">
        <f>IFERROR(__xludf.DUMMYFUNCTION("""COMPUTED_VALUE"""),"Client")</f>
        <v>Client</v>
      </c>
      <c r="AY5" s="29" t="str">
        <f>IFERROR(__xludf.DUMMYFUNCTION("""COMPUTED_VALUE"""),"OrderID")</f>
        <v>OrderID</v>
      </c>
      <c r="AZ5" s="29" t="str">
        <f>IFERROR(__xludf.DUMMYFUNCTION("""COMPUTED_VALUE"""),"ParentClOrderID")</f>
        <v>ParentClOrderID</v>
      </c>
      <c r="BA5" s="29" t="str">
        <f>IFERROR(__xludf.DUMMYFUNCTION("""COMPUTED_VALUE"""),"Master Fund")</f>
        <v>Master Fund</v>
      </c>
      <c r="BB5" s="29" t="str">
        <f>IFERROR(__xludf.DUMMYFUNCTION("""COMPUTED_VALUE"""),"Current User")</f>
        <v>Current User</v>
      </c>
      <c r="BC5" s="29" t="str">
        <f>IFERROR(__xludf.DUMMYFUNCTION("""COMPUTED_VALUE"""),"% Completed")</f>
        <v>% Completed</v>
      </c>
      <c r="BD5" s="29" t="str">
        <f>IFERROR(__xludf.DUMMYFUNCTION("""COMPUTED_VALUE"""),"isRowCountCheck")</f>
        <v>isRowCountCheck</v>
      </c>
      <c r="BE5" s="29" t="str">
        <f>IFERROR(__xludf.DUMMYFUNCTION("""COMPUTED_VALUE"""),"MandatoryColumn")</f>
        <v>MandatoryColumn</v>
      </c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8"/>
      <c r="D6" s="12"/>
      <c r="E6" s="12">
        <v>120.0</v>
      </c>
      <c r="F6" s="8"/>
      <c r="G6" s="8"/>
      <c r="H6" s="8"/>
      <c r="I6" s="8"/>
      <c r="J6" s="8"/>
      <c r="K6" s="8"/>
      <c r="M6" s="8"/>
      <c r="N6" s="8"/>
      <c r="O6" s="8"/>
      <c r="U6" s="12" t="s">
        <v>25</v>
      </c>
    </row>
    <row r="7" ht="15.75" customHeight="1">
      <c r="A7" s="8"/>
      <c r="B7" s="12" t="s">
        <v>21</v>
      </c>
      <c r="C7" s="8"/>
      <c r="D7" s="8"/>
      <c r="E7" s="12">
        <v>120.0</v>
      </c>
      <c r="F7" s="8"/>
      <c r="G7" s="8"/>
      <c r="H7" s="8"/>
      <c r="I7" s="8"/>
      <c r="J7" s="8"/>
      <c r="K7" s="8"/>
      <c r="M7" s="8"/>
      <c r="N7" s="8"/>
      <c r="O7" s="8"/>
      <c r="U7" s="12" t="s">
        <v>25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IFERROR(__xludf.DUMMYFUNCTION("TRANSPOSE(IMPORTRANGE(VLOOKUP($E$3,IMPORTRANGE('_Settings'!$B$3,$C$3&amp;""!A4:B1000""),2,FALSE),$G$3&amp;""!A4:A1000""))"),"#REF!")</f>
        <v>#REF!</v>
      </c>
      <c r="B5" s="27"/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37</v>
      </c>
      <c r="C6" s="8"/>
      <c r="D6" s="12" t="s">
        <v>38</v>
      </c>
      <c r="E6" s="38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'Copy of Data'!$4:$4</formula1>
    </dataValidation>
  </dataValidations>
  <drawing r:id="rId1"/>
</worksheet>
</file>