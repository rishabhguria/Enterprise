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<sst xmlns="http://schemas.openxmlformats.org/spreadsheetml/2006/main" count="150" uniqueCount="52">
  <si>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</si>
  <si>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</si>
  <si>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</si>
  <si>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</si>
  <si>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</si>
  <si>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</si>
  <si>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</si>
  <si>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</si>
  <si>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</si>
  <si>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</si>
  <si>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</si>
  <si>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</si>
  <si>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</si>
  <si>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</si>
  <si>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</si>
  <si>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</si>
  <si>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23D100.00D21</t>
  </si>
  <si>
    <t>Closing</t>
  </si>
  <si>
    <t>SetClosingPreference</t>
  </si>
  <si>
    <t>TradingTicket</t>
  </si>
  <si>
    <t>CreateDoneAwayOrder</t>
  </si>
  <si>
    <t>Buy to Open</t>
  </si>
  <si>
    <t>Allocation1</t>
  </si>
  <si>
    <t>AAPL</t>
  </si>
  <si>
    <t>Buy</t>
  </si>
  <si>
    <t>DailyValuation</t>
  </si>
  <si>
    <t>GetMarkPriceData</t>
  </si>
  <si>
    <t>UpdateMarkPrice</t>
  </si>
  <si>
    <t>GetDataClosing</t>
  </si>
  <si>
    <t>Current</t>
  </si>
  <si>
    <t>AutoExercise</t>
  </si>
  <si>
    <t>EquityOption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</si>
  <si>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</si>
  <si>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</si>
  <si>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</si>
  <si>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</si>
  <si>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</si>
  <si>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</si>
  <si>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</si>
  <si>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</si>
  <si>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</si>
  <si>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CheckAllocatedGroups</t>
  </si>
  <si>
    <t/>
  </si>
  <si>
    <t>Manual</t>
  </si>
  <si>
    <t>MS</t>
  </si>
  <si>
    <t>M</t>
  </si>
  <si>
    <t>IsExercised</t>
  </si>
  <si>
    <t>Market</t>
  </si>
  <si>
    <t>C</t>
  </si>
  <si>
    <t>GCCAP1</t>
  </si>
  <si>
    <t>BuytoOpen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</si>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</sst>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&quot;Google Sans Mono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4" fontId="14" numFmtId="1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>
        <f>Today()</f>
        <v>45069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3"/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4">
        <v>0.01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16</v>
      </c>
      <c r="C6" s="35" t="s">
        <v>21</v>
      </c>
      <c r="D6" s="36">
        <v>10.0</v>
      </c>
      <c r="E6" s="36">
        <v>10.0</v>
      </c>
      <c r="F6" s="35" t="s">
        <v>22</v>
      </c>
      <c r="G6" s="32"/>
      <c r="H6" s="32"/>
      <c r="I6" s="32"/>
      <c r="J6" s="36">
        <v>10.0</v>
      </c>
      <c r="K6" s="32"/>
      <c r="L6" s="32"/>
      <c r="M6" s="32"/>
      <c r="N6" s="37">
        <f>TODAY()</f>
        <v>45069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23</v>
      </c>
      <c r="C7" s="38" t="s">
        <v>24</v>
      </c>
      <c r="D7" s="36">
        <v>1100.0</v>
      </c>
      <c r="E7" s="36">
        <v>1100.0</v>
      </c>
      <c r="F7" s="35" t="s">
        <v>22</v>
      </c>
      <c r="G7" s="32"/>
      <c r="H7" s="32"/>
      <c r="I7" s="32"/>
      <c r="J7" s="36">
        <v>10.0</v>
      </c>
      <c r="K7" s="32"/>
      <c r="L7" s="32"/>
      <c r="M7" s="32"/>
      <c r="N7" s="37">
        <f>TODAY()-25</f>
        <v>45044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f>today()-1</f>
        <v>45068</v>
      </c>
      <c r="C6" s="39">
        <f>Today()</f>
        <v>45069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23</v>
      </c>
      <c r="C6" s="40">
        <v>100.01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29</v>
      </c>
      <c r="C6" s="32"/>
      <c r="D6" s="35"/>
      <c r="E6" s="35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8"/>
      <c r="D6" s="8"/>
      <c r="E6" s="41" t="s">
        <v>31</v>
      </c>
      <c r="F6" s="8"/>
      <c r="G6" s="8"/>
      <c r="H6" s="8"/>
      <c r="I6" s="8"/>
      <c r="J6" s="42">
        <v>100.0</v>
      </c>
      <c r="K6" s="8"/>
      <c r="L6" s="8"/>
      <c r="M6" s="8"/>
      <c r="N6" s="8"/>
      <c r="O6" s="8"/>
      <c r="AO6" s="35"/>
      <c r="BL6" s="13" t="s">
        <v>16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2" t="s">
        <v>31</v>
      </c>
      <c r="D6" s="32"/>
      <c r="E6" s="32"/>
      <c r="F6" s="36"/>
      <c r="G6" s="36">
        <v>10.0</v>
      </c>
      <c r="H6" s="32"/>
      <c r="I6" s="32"/>
      <c r="J6" s="32" t="s">
        <v>33</v>
      </c>
      <c r="K6" s="34" t="s">
        <v>34</v>
      </c>
      <c r="L6" s="32"/>
      <c r="M6" s="36"/>
      <c r="N6" s="32"/>
      <c r="O6" s="36"/>
      <c r="P6" s="32" t="s">
        <v>35</v>
      </c>
      <c r="Q6" s="32"/>
      <c r="R6" s="32" t="s">
        <v>36</v>
      </c>
      <c r="S6" s="43"/>
      <c r="T6" s="43"/>
      <c r="U6" s="32"/>
      <c r="V6" s="34" t="s">
        <v>37</v>
      </c>
      <c r="W6" s="44" t="s">
        <v>37</v>
      </c>
      <c r="X6" s="32"/>
      <c r="Y6" s="43"/>
      <c r="Z6" s="34" t="s">
        <v>21</v>
      </c>
      <c r="AA6" s="32" t="s">
        <v>38</v>
      </c>
      <c r="AB6" s="13" t="s">
        <v>16</v>
      </c>
      <c r="AC6" s="32"/>
      <c r="AD6" s="32" t="s">
        <v>39</v>
      </c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22</v>
      </c>
      <c r="C6" s="8" t="s">
        <v>42</v>
      </c>
      <c r="D6" s="8"/>
      <c r="E6" s="8">
        <v>10.0</v>
      </c>
      <c r="F6" s="8" t="s">
        <v>43</v>
      </c>
      <c r="G6" s="8" t="s">
        <v>31</v>
      </c>
      <c r="H6" s="8"/>
      <c r="I6" s="8"/>
      <c r="J6" s="8"/>
      <c r="K6" s="8"/>
      <c r="L6" s="8"/>
      <c r="M6" s="8"/>
      <c r="N6" s="8" t="s">
        <v>42</v>
      </c>
      <c r="O6" s="8" t="s">
        <v>44</v>
      </c>
      <c r="Q6">
        <v>3.0</v>
      </c>
      <c r="V6" t="s">
        <v>16</v>
      </c>
      <c r="W6">
        <v>100.0</v>
      </c>
      <c r="X6" t="s">
        <v>42</v>
      </c>
      <c r="Y6" t="s">
        <v>42</v>
      </c>
      <c r="Z6" t="s">
        <v>35</v>
      </c>
      <c r="AD6" t="s">
        <v>36</v>
      </c>
      <c r="AE6">
        <v>10.0</v>
      </c>
      <c r="AF6" t="s">
        <v>42</v>
      </c>
      <c r="AH6" t="s">
        <v>45</v>
      </c>
      <c r="AI6">
        <v>1.0</v>
      </c>
      <c r="AJ6" t="s">
        <v>46</v>
      </c>
      <c r="AT6">
        <v>10000.0</v>
      </c>
      <c r="AU6">
        <v>10000.0</v>
      </c>
      <c r="AY6" t="s">
        <v>47</v>
      </c>
      <c r="BI6" t="s">
        <v>48</v>
      </c>
      <c r="BJ6">
        <v>10.0</v>
      </c>
      <c r="BL6" t="s">
        <v>42</v>
      </c>
      <c r="BM6" t="s">
        <v>35</v>
      </c>
      <c r="BO6" t="s">
        <v>21</v>
      </c>
      <c r="BS6" t="s">
        <v>38</v>
      </c>
      <c r="BT6" t="s">
        <v>16</v>
      </c>
      <c r="CF6" t="s">
        <v>49</v>
      </c>
      <c r="CH6" t="s">
        <v>19</v>
      </c>
      <c r="CI6" t="s">
        <v>50</v>
      </c>
      <c r="CK6" t="s">
        <v>39</v>
      </c>
      <c r="CM6" t="s">
        <v>23</v>
      </c>
    </row>
    <row r="7" ht="15.75" customHeight="1">
      <c r="A7" s="8"/>
      <c r="B7" s="8" t="s">
        <v>22</v>
      </c>
      <c r="C7" s="8" t="s">
        <v>42</v>
      </c>
      <c r="D7" s="8"/>
      <c r="E7" s="8">
        <v>10.0</v>
      </c>
      <c r="F7" s="8" t="s">
        <v>43</v>
      </c>
      <c r="G7" s="8" t="s">
        <v>31</v>
      </c>
      <c r="H7" s="8"/>
      <c r="I7" s="8"/>
      <c r="J7" s="8"/>
      <c r="K7" s="8"/>
      <c r="L7" s="8"/>
      <c r="M7" s="8"/>
      <c r="N7" s="8" t="s">
        <v>42</v>
      </c>
      <c r="O7" s="8" t="s">
        <v>44</v>
      </c>
      <c r="Q7">
        <v>3.0</v>
      </c>
      <c r="V7" t="s">
        <v>16</v>
      </c>
      <c r="W7">
        <v>100.0</v>
      </c>
      <c r="X7" t="s">
        <v>42</v>
      </c>
      <c r="Y7" t="s">
        <v>42</v>
      </c>
      <c r="Z7" t="s">
        <v>35</v>
      </c>
      <c r="AD7" t="s">
        <v>36</v>
      </c>
      <c r="AE7">
        <v>10.0</v>
      </c>
      <c r="AF7" t="s">
        <v>42</v>
      </c>
      <c r="AH7" t="s">
        <v>45</v>
      </c>
      <c r="AI7">
        <v>1.0</v>
      </c>
      <c r="AJ7" t="s">
        <v>46</v>
      </c>
      <c r="AT7">
        <v>10000.0</v>
      </c>
      <c r="AU7">
        <v>10000.0</v>
      </c>
      <c r="AY7" t="s">
        <v>47</v>
      </c>
      <c r="BI7" t="s">
        <v>48</v>
      </c>
      <c r="BJ7">
        <v>10.0</v>
      </c>
      <c r="BL7" t="s">
        <v>42</v>
      </c>
      <c r="BM7" t="s">
        <v>35</v>
      </c>
      <c r="BO7" t="s">
        <v>51</v>
      </c>
      <c r="BS7" t="s">
        <v>38</v>
      </c>
      <c r="BT7" t="s">
        <v>16</v>
      </c>
      <c r="CH7" t="s">
        <v>17</v>
      </c>
      <c r="CI7" t="s">
        <v>33</v>
      </c>
      <c r="CK7" t="s">
        <v>39</v>
      </c>
      <c r="CM7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