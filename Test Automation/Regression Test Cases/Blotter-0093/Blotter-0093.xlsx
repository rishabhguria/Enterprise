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22" activeTab="22"/>
  </bookViews>
  <sheets>
    <sheet name="_Modules" sheetId="1" r:id="rId1"/>
    <sheet name="_Settings" sheetId="2" r:id="rId2"/>
    <sheet name="_MasterData" sheetId="3" r:id="rId3"/>
    <sheet name="CreateLiveOrder" sheetId="4" r:id="rId4"/>
    <sheet name="AcknowledgeTrade" sheetId="5" r:id="rId5"/>
    <sheet name="SelectTrade" sheetId="6" r:id="rId6"/>
    <sheet name="ExecuteTrade" sheetId="7" r:id="rId7"/>
    <sheet name="VerifyTrades" sheetId="8" r:id="rId8"/>
    <sheet name="EditStageOrder" sheetId="9" r:id="rId9"/>
    <sheet name="CreateReplaceOrder" sheetId="10" r:id="rId10"/>
    <sheet name="ReplaceSubOrder" sheetId="11" r:id="rId11"/>
    <sheet name="CreateReplaceOrder1" sheetId="12" r:id="rId12"/>
    <sheet name="AcknowledgeTrade1" sheetId="13" r:id="rId13"/>
    <sheet name="SelectTrade1" sheetId="14" r:id="rId14"/>
    <sheet name="ExecuteTrade1" sheetId="15" r:id="rId15"/>
    <sheet name="VerifyTrades1" sheetId="16" r:id="rId16"/>
    <sheet name="CancelSubOrder" sheetId="17" r:id="rId17"/>
    <sheet name="AcknowledgeTrade2" sheetId="18" r:id="rId18"/>
    <sheet name="VerifyOrder" sheetId="19" r:id="rId19"/>
    <sheet name="VerifySubOrder" sheetId="20" r:id="rId20"/>
    <sheet name="GetDataAllocation" sheetId="21" r:id="rId21"/>
    <sheet name="CheckAllocatedGroups" sheetId="22" r:id="rId22"/>
    <sheet name="CheckPortfolioManagement" sheetId="23" r:id="rId23"/>
    <sheet name="GetDataClosing" sheetId="24" r:id="rId24"/>
    <sheet name="VerifyLongPositionsGrid" sheetId="25" r:id="rId25"/>
    <sheet name="SelectTradeOnOrderGrid" sheetId="26" r:id="rId26"/>
    <sheet name="SelectTradeOnOrderGrid1" sheetId="27" r:id="rId27"/>
  </sheets>
  <calcPr calcId="145621"/>
</workbook>
</file>

<file path=xl/calcChain.xml><?xml version="1.0" encoding="utf-8"?>
<calcChain xmlns="http://schemas.openxmlformats.org/spreadsheetml/2006/main">
  <c r="J2" i="27" l="1"/>
  <c r="J2" i="26"/>
  <c r="U6" i="25"/>
  <c r="J6" i="25"/>
  <c r="J2" i="25"/>
  <c r="J2" i="24"/>
  <c r="J2" i="23"/>
  <c r="J2" i="22"/>
  <c r="J2" i="21"/>
  <c r="J2" i="20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N6" i="4"/>
  <c r="J2" i="4"/>
  <c r="BK5" i="23"/>
  <c r="AZ5" i="27"/>
  <c r="AR5" i="27"/>
  <c r="AJ5" i="27"/>
  <c r="AB5" i="27"/>
  <c r="T5" i="27"/>
  <c r="L5" i="27"/>
  <c r="D5" i="27"/>
  <c r="AZ4" i="27"/>
  <c r="AR4" i="27"/>
  <c r="AJ4" i="27"/>
  <c r="AB4" i="27"/>
  <c r="T4" i="27"/>
  <c r="L4" i="27"/>
  <c r="D4" i="27"/>
  <c r="AV5" i="26"/>
  <c r="AN5" i="26"/>
  <c r="AF5" i="26"/>
  <c r="X5" i="26"/>
  <c r="P5" i="26"/>
  <c r="H5" i="26"/>
  <c r="BD4" i="26"/>
  <c r="AV4" i="26"/>
  <c r="AN4" i="26"/>
  <c r="AF4" i="26"/>
  <c r="X4" i="26"/>
  <c r="P4" i="26"/>
  <c r="H4" i="26"/>
  <c r="AY5" i="27"/>
  <c r="AQ5" i="27"/>
  <c r="AI5" i="27"/>
  <c r="AA5" i="27"/>
  <c r="S5" i="27"/>
  <c r="K5" i="27"/>
  <c r="C5" i="27"/>
  <c r="AY4" i="27"/>
  <c r="AQ4" i="27"/>
  <c r="AI4" i="27"/>
  <c r="AA4" i="27"/>
  <c r="S4" i="27"/>
  <c r="K4" i="27"/>
  <c r="C4" i="27"/>
  <c r="AU5" i="26"/>
  <c r="AM5" i="26"/>
  <c r="AE5" i="26"/>
  <c r="W5" i="26"/>
  <c r="O5" i="26"/>
  <c r="G5" i="26"/>
  <c r="BC4" i="26"/>
  <c r="AU4" i="26"/>
  <c r="AM4" i="26"/>
  <c r="AE4" i="26"/>
  <c r="W4" i="26"/>
  <c r="O4" i="26"/>
  <c r="G4" i="26"/>
  <c r="AX5" i="27"/>
  <c r="AP5" i="27"/>
  <c r="AH5" i="27"/>
  <c r="Z5" i="27"/>
  <c r="R5" i="27"/>
  <c r="J5" i="27"/>
  <c r="B5" i="27"/>
  <c r="AX4" i="27"/>
  <c r="AP4" i="27"/>
  <c r="AH4" i="27"/>
  <c r="Z4" i="27"/>
  <c r="R4" i="27"/>
  <c r="J4" i="27"/>
  <c r="B4" i="27"/>
  <c r="AT5" i="26"/>
  <c r="AL5" i="26"/>
  <c r="AD5" i="26"/>
  <c r="V5" i="26"/>
  <c r="N5" i="26"/>
  <c r="F5" i="26"/>
  <c r="BB4" i="26"/>
  <c r="AT4" i="26"/>
  <c r="AL4" i="26"/>
  <c r="AD4" i="26"/>
  <c r="V4" i="26"/>
  <c r="N4" i="26"/>
  <c r="F4" i="26"/>
  <c r="Z5" i="25"/>
  <c r="R5" i="25"/>
  <c r="J5" i="25"/>
  <c r="B5" i="25"/>
  <c r="W4" i="25"/>
  <c r="O4" i="25"/>
  <c r="G4" i="25"/>
  <c r="D5" i="24"/>
  <c r="Y4" i="24"/>
  <c r="Q4" i="24"/>
  <c r="I4" i="24"/>
  <c r="AW5" i="27"/>
  <c r="AO5" i="27"/>
  <c r="AG5" i="27"/>
  <c r="Y5" i="27"/>
  <c r="Q5" i="27"/>
  <c r="I5" i="27"/>
  <c r="A5" i="27"/>
  <c r="AW4" i="27"/>
  <c r="AO4" i="27"/>
  <c r="AG4" i="27"/>
  <c r="Y4" i="27"/>
  <c r="Q4" i="27"/>
  <c r="I4" i="27"/>
  <c r="AV5" i="27"/>
  <c r="AN5" i="27"/>
  <c r="AF5" i="27"/>
  <c r="X5" i="27"/>
  <c r="P5" i="27"/>
  <c r="H5" i="27"/>
  <c r="BD4" i="27"/>
  <c r="AV4" i="27"/>
  <c r="AN4" i="27"/>
  <c r="AF4" i="27"/>
  <c r="X4" i="27"/>
  <c r="P4" i="27"/>
  <c r="H4" i="27"/>
  <c r="AZ5" i="26"/>
  <c r="AR5" i="26"/>
  <c r="AJ5" i="26"/>
  <c r="AB5" i="26"/>
  <c r="T5" i="26"/>
  <c r="L5" i="26"/>
  <c r="D5" i="26"/>
  <c r="AZ4" i="26"/>
  <c r="AR4" i="26"/>
  <c r="AJ4" i="26"/>
  <c r="AB4" i="26"/>
  <c r="T4" i="26"/>
  <c r="L4" i="26"/>
  <c r="D4" i="26"/>
  <c r="X5" i="25"/>
  <c r="P5" i="25"/>
  <c r="H5" i="25"/>
  <c r="AC4" i="25"/>
  <c r="U4" i="25"/>
  <c r="M4" i="25"/>
  <c r="E4" i="25"/>
  <c r="B5" i="24"/>
  <c r="W4" i="24"/>
  <c r="O4" i="24"/>
  <c r="G4" i="24"/>
  <c r="FA5" i="23"/>
  <c r="ES5" i="23"/>
  <c r="EK5" i="23"/>
  <c r="EC5" i="23"/>
  <c r="DU5" i="23"/>
  <c r="DM5" i="23"/>
  <c r="DE5" i="23"/>
  <c r="CW5" i="23"/>
  <c r="CO5" i="23"/>
  <c r="CG5" i="23"/>
  <c r="BY5" i="23"/>
  <c r="BQ5" i="23"/>
  <c r="BI5" i="23"/>
  <c r="BA5" i="23"/>
  <c r="AS5" i="23"/>
  <c r="AK5" i="23"/>
  <c r="AC5" i="23"/>
  <c r="U5" i="23"/>
  <c r="M5" i="23"/>
  <c r="E5" i="23"/>
  <c r="W4" i="23"/>
  <c r="O4" i="23"/>
  <c r="G4" i="23"/>
  <c r="CR5" i="22"/>
  <c r="CJ5" i="22"/>
  <c r="CB5" i="22"/>
  <c r="BT5" i="22"/>
  <c r="BL5" i="22"/>
  <c r="BD5" i="22"/>
  <c r="AV5" i="22"/>
  <c r="AN5" i="22"/>
  <c r="AF5" i="22"/>
  <c r="X5" i="22"/>
  <c r="P5" i="22"/>
  <c r="H5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AU5" i="27"/>
  <c r="AM5" i="27"/>
  <c r="AE5" i="27"/>
  <c r="W5" i="27"/>
  <c r="O5" i="27"/>
  <c r="G5" i="27"/>
  <c r="BC4" i="27"/>
  <c r="AU4" i="27"/>
  <c r="AM4" i="27"/>
  <c r="AE4" i="27"/>
  <c r="W4" i="27"/>
  <c r="O4" i="27"/>
  <c r="G4" i="27"/>
  <c r="AY5" i="26"/>
  <c r="AQ5" i="26"/>
  <c r="AI5" i="26"/>
  <c r="AA5" i="26"/>
  <c r="S5" i="26"/>
  <c r="K5" i="26"/>
  <c r="C5" i="26"/>
  <c r="AY4" i="26"/>
  <c r="AQ4" i="26"/>
  <c r="AI4" i="26"/>
  <c r="AA4" i="26"/>
  <c r="S4" i="26"/>
  <c r="K4" i="26"/>
  <c r="C4" i="26"/>
  <c r="W5" i="25"/>
  <c r="O5" i="25"/>
  <c r="G5" i="25"/>
  <c r="AB4" i="25"/>
  <c r="T4" i="25"/>
  <c r="L4" i="25"/>
  <c r="D4" i="25"/>
  <c r="A5" i="24"/>
  <c r="V4" i="24"/>
  <c r="N4" i="24"/>
  <c r="F4" i="24"/>
  <c r="EZ5" i="23"/>
  <c r="ER5" i="23"/>
  <c r="EJ5" i="23"/>
  <c r="EB5" i="23"/>
  <c r="DT5" i="23"/>
  <c r="DL5" i="23"/>
  <c r="DD5" i="23"/>
  <c r="CV5" i="23"/>
  <c r="CN5" i="23"/>
  <c r="CF5" i="23"/>
  <c r="BX5" i="23"/>
  <c r="BP5" i="23"/>
  <c r="BH5" i="23"/>
  <c r="AZ5" i="23"/>
  <c r="AR5" i="23"/>
  <c r="AJ5" i="23"/>
  <c r="AB5" i="23"/>
  <c r="T5" i="23"/>
  <c r="L5" i="23"/>
  <c r="D5" i="23"/>
  <c r="V4" i="23"/>
  <c r="N4" i="23"/>
  <c r="F4" i="23"/>
  <c r="CQ5" i="22"/>
  <c r="CI5" i="22"/>
  <c r="CA5" i="22"/>
  <c r="BS5" i="22"/>
  <c r="BK5" i="22"/>
  <c r="BC5" i="22"/>
  <c r="AU5" i="22"/>
  <c r="AM5" i="22"/>
  <c r="AE5" i="22"/>
  <c r="W5" i="22"/>
  <c r="O5" i="22"/>
  <c r="G5" i="22"/>
  <c r="DP4" i="22"/>
  <c r="DH4" i="22"/>
  <c r="CZ4" i="22"/>
  <c r="AT5" i="27"/>
  <c r="AL5" i="27"/>
  <c r="AD5" i="27"/>
  <c r="V5" i="27"/>
  <c r="N5" i="27"/>
  <c r="F5" i="27"/>
  <c r="BB4" i="27"/>
  <c r="AT4" i="27"/>
  <c r="AL4" i="27"/>
  <c r="AD4" i="27"/>
  <c r="V4" i="27"/>
  <c r="N4" i="27"/>
  <c r="F4" i="27"/>
  <c r="AX5" i="26"/>
  <c r="AP5" i="26"/>
  <c r="AH5" i="26"/>
  <c r="Z5" i="26"/>
  <c r="R5" i="26"/>
  <c r="J5" i="26"/>
  <c r="B5" i="26"/>
  <c r="AX4" i="26"/>
  <c r="AP4" i="26"/>
  <c r="AH4" i="26"/>
  <c r="Z4" i="26"/>
  <c r="R4" i="26"/>
  <c r="J4" i="26"/>
  <c r="B4" i="26"/>
  <c r="V5" i="25"/>
  <c r="N5" i="25"/>
  <c r="F5" i="25"/>
  <c r="AA4" i="25"/>
  <c r="S4" i="25"/>
  <c r="K4" i="25"/>
  <c r="C4" i="25"/>
  <c r="AC4" i="24"/>
  <c r="U4" i="24"/>
  <c r="M4" i="24"/>
  <c r="E4" i="24"/>
  <c r="EY5" i="23"/>
  <c r="EQ5" i="23"/>
  <c r="EI5" i="23"/>
  <c r="EA5" i="23"/>
  <c r="DS5" i="23"/>
  <c r="DK5" i="23"/>
  <c r="DC5" i="23"/>
  <c r="CU5" i="23"/>
  <c r="CM5" i="23"/>
  <c r="CE5" i="23"/>
  <c r="BW5" i="23"/>
  <c r="BO5" i="23"/>
  <c r="BG5" i="23"/>
  <c r="AY5" i="23"/>
  <c r="AQ5" i="23"/>
  <c r="AI5" i="23"/>
  <c r="AA5" i="23"/>
  <c r="S5" i="23"/>
  <c r="K5" i="23"/>
  <c r="C5" i="23"/>
  <c r="U4" i="23"/>
  <c r="M4" i="23"/>
  <c r="E4" i="23"/>
  <c r="CP5" i="22"/>
  <c r="CH5" i="22"/>
  <c r="BZ5" i="22"/>
  <c r="BR5" i="22"/>
  <c r="BJ5" i="22"/>
  <c r="BB5" i="22"/>
  <c r="AT5" i="22"/>
  <c r="AL5" i="22"/>
  <c r="AD5" i="22"/>
  <c r="V5" i="22"/>
  <c r="N5" i="22"/>
  <c r="F5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Q5" i="21"/>
  <c r="I5" i="21"/>
  <c r="A5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AT5" i="20"/>
  <c r="AL5" i="20"/>
  <c r="AD5" i="20"/>
  <c r="V5" i="20"/>
  <c r="N5" i="20"/>
  <c r="F5" i="20"/>
  <c r="BB4" i="20"/>
  <c r="AT4" i="20"/>
  <c r="AL4" i="20"/>
  <c r="AD4" i="20"/>
  <c r="V4" i="20"/>
  <c r="N4" i="20"/>
  <c r="F4" i="20"/>
  <c r="AY5" i="19"/>
  <c r="AQ5" i="19"/>
  <c r="AI5" i="19"/>
  <c r="AA5" i="19"/>
  <c r="S5" i="19"/>
  <c r="K5" i="19"/>
  <c r="C5" i="19"/>
  <c r="AY4" i="19"/>
  <c r="AS5" i="27"/>
  <c r="AK5" i="27"/>
  <c r="AC5" i="27"/>
  <c r="U5" i="27"/>
  <c r="M5" i="27"/>
  <c r="E5" i="27"/>
  <c r="BA4" i="27"/>
  <c r="AS4" i="27"/>
  <c r="AK4" i="27"/>
  <c r="AC4" i="27"/>
  <c r="U4" i="27"/>
  <c r="M4" i="27"/>
  <c r="E4" i="27"/>
  <c r="AW5" i="26"/>
  <c r="AO5" i="26"/>
  <c r="AG5" i="26"/>
  <c r="Y5" i="26"/>
  <c r="Q5" i="26"/>
  <c r="I5" i="26"/>
  <c r="A5" i="26"/>
  <c r="AW4" i="26"/>
  <c r="AO4" i="26"/>
  <c r="AG4" i="26"/>
  <c r="Y4" i="26"/>
  <c r="Q4" i="26"/>
  <c r="I4" i="26"/>
  <c r="AS5" i="26"/>
  <c r="AK4" i="26"/>
  <c r="Y5" i="25"/>
  <c r="I5" i="25"/>
  <c r="V4" i="25"/>
  <c r="F4" i="25"/>
  <c r="X4" i="24"/>
  <c r="H4" i="24"/>
  <c r="EV5" i="23"/>
  <c r="EH5" i="23"/>
  <c r="DW5" i="23"/>
  <c r="DI5" i="23"/>
  <c r="CX5" i="23"/>
  <c r="CJ5" i="23"/>
  <c r="BV5" i="23"/>
  <c r="AW5" i="23"/>
  <c r="AL5" i="23"/>
  <c r="X5" i="23"/>
  <c r="J5" i="23"/>
  <c r="Y4" i="23"/>
  <c r="K4" i="23"/>
  <c r="CS5" i="22"/>
  <c r="CE5" i="22"/>
  <c r="BQ5" i="22"/>
  <c r="BF5" i="22"/>
  <c r="AR5" i="22"/>
  <c r="AG5" i="22"/>
  <c r="S5" i="22"/>
  <c r="E5" i="22"/>
  <c r="DK4" i="22"/>
  <c r="CW4" i="22"/>
  <c r="CM4" i="22"/>
  <c r="CB4" i="22"/>
  <c r="BQ4" i="22"/>
  <c r="BG4" i="22"/>
  <c r="AV4" i="22"/>
  <c r="AK4" i="22"/>
  <c r="AA4" i="22"/>
  <c r="P4" i="22"/>
  <c r="E4" i="22"/>
  <c r="N5" i="21"/>
  <c r="E5" i="21"/>
  <c r="DM4" i="21"/>
  <c r="DD4" i="21"/>
  <c r="CU4" i="21"/>
  <c r="CK4" i="21"/>
  <c r="CB4" i="21"/>
  <c r="BS4" i="21"/>
  <c r="BJ4" i="21"/>
  <c r="BA4" i="21"/>
  <c r="AR4" i="21"/>
  <c r="AI4" i="21"/>
  <c r="Y4" i="21"/>
  <c r="P4" i="21"/>
  <c r="G4" i="21"/>
  <c r="AX5" i="20"/>
  <c r="AO5" i="20"/>
  <c r="AF5" i="20"/>
  <c r="W5" i="20"/>
  <c r="M5" i="20"/>
  <c r="D5" i="20"/>
  <c r="AY4" i="20"/>
  <c r="AP4" i="20"/>
  <c r="AG4" i="20"/>
  <c r="X4" i="20"/>
  <c r="O4" i="20"/>
  <c r="E4" i="20"/>
  <c r="AW5" i="19"/>
  <c r="AN5" i="19"/>
  <c r="AE5" i="19"/>
  <c r="V5" i="19"/>
  <c r="M5" i="19"/>
  <c r="D5" i="19"/>
  <c r="AX4" i="19"/>
  <c r="AP4" i="19"/>
  <c r="AH4" i="19"/>
  <c r="Z4" i="19"/>
  <c r="R4" i="19"/>
  <c r="J4" i="19"/>
  <c r="B4" i="19"/>
  <c r="A5" i="18"/>
  <c r="D4" i="18"/>
  <c r="AW5" i="17"/>
  <c r="AO5" i="17"/>
  <c r="AG5" i="17"/>
  <c r="Y5" i="17"/>
  <c r="Q5" i="17"/>
  <c r="I5" i="17"/>
  <c r="A5" i="17"/>
  <c r="AW4" i="17"/>
  <c r="AO4" i="17"/>
  <c r="AG4" i="17"/>
  <c r="Y4" i="17"/>
  <c r="Q4" i="17"/>
  <c r="I4" i="17"/>
  <c r="K4" i="16"/>
  <c r="C4" i="16"/>
  <c r="I4" i="15"/>
  <c r="K4" i="14"/>
  <c r="C4" i="14"/>
  <c r="B5" i="13"/>
  <c r="E4" i="13"/>
  <c r="AL5" i="12"/>
  <c r="AD5" i="12"/>
  <c r="V5" i="12"/>
  <c r="N5" i="12"/>
  <c r="F5" i="12"/>
  <c r="Z4" i="12"/>
  <c r="R4" i="12"/>
  <c r="J4" i="12"/>
  <c r="B4" i="12"/>
  <c r="AT5" i="11"/>
  <c r="AL5" i="11"/>
  <c r="AD5" i="11"/>
  <c r="V5" i="11"/>
  <c r="N5" i="11"/>
  <c r="F5" i="11"/>
  <c r="BB4" i="11"/>
  <c r="AT4" i="11"/>
  <c r="AL4" i="11"/>
  <c r="AD4" i="11"/>
  <c r="V4" i="11"/>
  <c r="N4" i="11"/>
  <c r="F4" i="11"/>
  <c r="AK5" i="26"/>
  <c r="AC4" i="26"/>
  <c r="U5" i="25"/>
  <c r="E5" i="25"/>
  <c r="R4" i="25"/>
  <c r="B4" i="25"/>
  <c r="T4" i="24"/>
  <c r="D4" i="24"/>
  <c r="EU5" i="23"/>
  <c r="EG5" i="23"/>
  <c r="DV5" i="23"/>
  <c r="DH5" i="23"/>
  <c r="CT5" i="23"/>
  <c r="CI5" i="23"/>
  <c r="BU5" i="23"/>
  <c r="BJ5" i="23"/>
  <c r="AV5" i="23"/>
  <c r="AH5" i="23"/>
  <c r="W5" i="23"/>
  <c r="I5" i="23"/>
  <c r="X4" i="23"/>
  <c r="J4" i="23"/>
  <c r="CO5" i="22"/>
  <c r="CD5" i="22"/>
  <c r="BP5" i="22"/>
  <c r="BE5" i="22"/>
  <c r="AQ5" i="22"/>
  <c r="AC5" i="22"/>
  <c r="R5" i="22"/>
  <c r="D5" i="22"/>
  <c r="DJ4" i="22"/>
  <c r="CV4" i="22"/>
  <c r="CL4" i="22"/>
  <c r="BZ4" i="22"/>
  <c r="BP4" i="22"/>
  <c r="BF4" i="22"/>
  <c r="AT4" i="22"/>
  <c r="AJ4" i="22"/>
  <c r="Z4" i="22"/>
  <c r="N4" i="22"/>
  <c r="D4" i="22"/>
  <c r="M5" i="21"/>
  <c r="D5" i="21"/>
  <c r="DL4" i="21"/>
  <c r="DC4" i="21"/>
  <c r="CS4" i="21"/>
  <c r="CJ4" i="21"/>
  <c r="CA4" i="21"/>
  <c r="BR4" i="21"/>
  <c r="BI4" i="21"/>
  <c r="AZ4" i="21"/>
  <c r="AQ4" i="21"/>
  <c r="AG4" i="21"/>
  <c r="X4" i="21"/>
  <c r="O4" i="21"/>
  <c r="F4" i="21"/>
  <c r="AW5" i="20"/>
  <c r="AN5" i="20"/>
  <c r="AE5" i="20"/>
  <c r="U5" i="20"/>
  <c r="L5" i="20"/>
  <c r="C5" i="20"/>
  <c r="AX4" i="20"/>
  <c r="AO4" i="20"/>
  <c r="AF4" i="20"/>
  <c r="W4" i="20"/>
  <c r="M4" i="20"/>
  <c r="D4" i="20"/>
  <c r="AV5" i="19"/>
  <c r="AM5" i="19"/>
  <c r="AD5" i="19"/>
  <c r="U5" i="19"/>
  <c r="L5" i="19"/>
  <c r="B5" i="19"/>
  <c r="AW4" i="19"/>
  <c r="AO4" i="19"/>
  <c r="AG4" i="19"/>
  <c r="Y4" i="19"/>
  <c r="Q4" i="19"/>
  <c r="I4" i="19"/>
  <c r="K4" i="18"/>
  <c r="C4" i="18"/>
  <c r="AV5" i="17"/>
  <c r="AN5" i="17"/>
  <c r="AF5" i="17"/>
  <c r="X5" i="17"/>
  <c r="P5" i="17"/>
  <c r="H5" i="17"/>
  <c r="BD4" i="17"/>
  <c r="AV4" i="17"/>
  <c r="AN4" i="17"/>
  <c r="AF4" i="17"/>
  <c r="X4" i="17"/>
  <c r="P4" i="17"/>
  <c r="H4" i="17"/>
  <c r="G5" i="16"/>
  <c r="J4" i="16"/>
  <c r="B4" i="16"/>
  <c r="H4" i="15"/>
  <c r="G5" i="14"/>
  <c r="J4" i="14"/>
  <c r="B4" i="14"/>
  <c r="A5" i="13"/>
  <c r="D4" i="13"/>
  <c r="AK5" i="12"/>
  <c r="AC5" i="12"/>
  <c r="U5" i="12"/>
  <c r="M5" i="12"/>
  <c r="E5" i="12"/>
  <c r="Y4" i="12"/>
  <c r="Q4" i="12"/>
  <c r="I4" i="12"/>
  <c r="AS5" i="11"/>
  <c r="AK5" i="11"/>
  <c r="AC5" i="11"/>
  <c r="U5" i="11"/>
  <c r="M5" i="11"/>
  <c r="E5" i="11"/>
  <c r="BA4" i="11"/>
  <c r="AS4" i="11"/>
  <c r="AK4" i="11"/>
  <c r="AC4" i="11"/>
  <c r="U4" i="11"/>
  <c r="M4" i="11"/>
  <c r="E4" i="11"/>
  <c r="AL5" i="10"/>
  <c r="AD5" i="10"/>
  <c r="AC5" i="26"/>
  <c r="U4" i="26"/>
  <c r="T5" i="25"/>
  <c r="D5" i="25"/>
  <c r="Q4" i="25"/>
  <c r="S4" i="24"/>
  <c r="C4" i="24"/>
  <c r="ET5" i="23"/>
  <c r="EF5" i="23"/>
  <c r="DR5" i="23"/>
  <c r="DG5" i="23"/>
  <c r="CS5" i="23"/>
  <c r="CH5" i="23"/>
  <c r="BT5" i="23"/>
  <c r="BF5" i="23"/>
  <c r="AU5" i="23"/>
  <c r="AG5" i="23"/>
  <c r="V5" i="23"/>
  <c r="H5" i="23"/>
  <c r="T4" i="23"/>
  <c r="I4" i="23"/>
  <c r="CN5" i="22"/>
  <c r="CC5" i="22"/>
  <c r="BO5" i="22"/>
  <c r="BA5" i="22"/>
  <c r="AP5" i="22"/>
  <c r="AB5" i="22"/>
  <c r="Q5" i="22"/>
  <c r="C5" i="22"/>
  <c r="DF4" i="22"/>
  <c r="CU4" i="22"/>
  <c r="CJ4" i="22"/>
  <c r="BY4" i="22"/>
  <c r="BO4" i="22"/>
  <c r="BD4" i="22"/>
  <c r="AS4" i="22"/>
  <c r="AI4" i="22"/>
  <c r="X4" i="22"/>
  <c r="M4" i="22"/>
  <c r="C4" i="22"/>
  <c r="L5" i="21"/>
  <c r="C5" i="21"/>
  <c r="DK4" i="21"/>
  <c r="DA4" i="21"/>
  <c r="CR4" i="21"/>
  <c r="CI4" i="21"/>
  <c r="BZ4" i="21"/>
  <c r="BQ4" i="21"/>
  <c r="BH4" i="21"/>
  <c r="AY4" i="21"/>
  <c r="AO4" i="21"/>
  <c r="AF4" i="21"/>
  <c r="W4" i="21"/>
  <c r="N4" i="21"/>
  <c r="E4" i="21"/>
  <c r="AV5" i="20"/>
  <c r="AM5" i="20"/>
  <c r="AC5" i="20"/>
  <c r="T5" i="20"/>
  <c r="K5" i="20"/>
  <c r="B5" i="20"/>
  <c r="AW4" i="20"/>
  <c r="AN4" i="20"/>
  <c r="AE4" i="20"/>
  <c r="U4" i="20"/>
  <c r="L4" i="20"/>
  <c r="C4" i="20"/>
  <c r="AU5" i="19"/>
  <c r="AL5" i="19"/>
  <c r="AC5" i="19"/>
  <c r="T5" i="19"/>
  <c r="J5" i="19"/>
  <c r="A5" i="19"/>
  <c r="AV4" i="19"/>
  <c r="AN4" i="19"/>
  <c r="AF4" i="19"/>
  <c r="X4" i="19"/>
  <c r="P4" i="19"/>
  <c r="H4" i="19"/>
  <c r="G5" i="18"/>
  <c r="J4" i="18"/>
  <c r="B4" i="18"/>
  <c r="AU5" i="17"/>
  <c r="AM5" i="17"/>
  <c r="AE5" i="17"/>
  <c r="W5" i="17"/>
  <c r="O5" i="17"/>
  <c r="G5" i="17"/>
  <c r="BC4" i="17"/>
  <c r="AU4" i="17"/>
  <c r="AM4" i="17"/>
  <c r="AE4" i="17"/>
  <c r="W4" i="17"/>
  <c r="O4" i="17"/>
  <c r="G4" i="17"/>
  <c r="F5" i="16"/>
  <c r="I4" i="16"/>
  <c r="G4" i="15"/>
  <c r="F5" i="14"/>
  <c r="I4" i="14"/>
  <c r="K4" i="13"/>
  <c r="C4" i="13"/>
  <c r="AJ5" i="12"/>
  <c r="AB5" i="12"/>
  <c r="T5" i="12"/>
  <c r="L5" i="12"/>
  <c r="D5" i="12"/>
  <c r="X4" i="12"/>
  <c r="P4" i="12"/>
  <c r="H4" i="12"/>
  <c r="AZ5" i="11"/>
  <c r="AR5" i="11"/>
  <c r="AJ5" i="11"/>
  <c r="AB5" i="11"/>
  <c r="T5" i="11"/>
  <c r="L5" i="11"/>
  <c r="D5" i="11"/>
  <c r="AZ4" i="11"/>
  <c r="AR4" i="11"/>
  <c r="AJ4" i="11"/>
  <c r="AB4" i="11"/>
  <c r="T4" i="11"/>
  <c r="L4" i="11"/>
  <c r="D4" i="11"/>
  <c r="AK5" i="10"/>
  <c r="AC5" i="10"/>
  <c r="U5" i="26"/>
  <c r="M4" i="26"/>
  <c r="S5" i="25"/>
  <c r="C5" i="25"/>
  <c r="P4" i="25"/>
  <c r="E5" i="24"/>
  <c r="R4" i="24"/>
  <c r="B4" i="24"/>
  <c r="EP5" i="23"/>
  <c r="EE5" i="23"/>
  <c r="DQ5" i="23"/>
  <c r="DF5" i="23"/>
  <c r="CR5" i="23"/>
  <c r="CD5" i="23"/>
  <c r="BS5" i="23"/>
  <c r="BE5" i="23"/>
  <c r="AT5" i="23"/>
  <c r="AF5" i="23"/>
  <c r="R5" i="23"/>
  <c r="G5" i="23"/>
  <c r="S4" i="23"/>
  <c r="H4" i="23"/>
  <c r="CM5" i="22"/>
  <c r="BY5" i="22"/>
  <c r="BN5" i="22"/>
  <c r="AZ5" i="22"/>
  <c r="AO5" i="22"/>
  <c r="AA5" i="22"/>
  <c r="M5" i="22"/>
  <c r="B5" i="22"/>
  <c r="DE4" i="22"/>
  <c r="CT4" i="22"/>
  <c r="CH4" i="22"/>
  <c r="BX4" i="22"/>
  <c r="BN4" i="22"/>
  <c r="BB4" i="22"/>
  <c r="AR4" i="22"/>
  <c r="AH4" i="22"/>
  <c r="V4" i="22"/>
  <c r="L4" i="22"/>
  <c r="B4" i="22"/>
  <c r="K5" i="21"/>
  <c r="B5" i="21"/>
  <c r="DI4" i="21"/>
  <c r="CZ4" i="21"/>
  <c r="CQ4" i="21"/>
  <c r="CH4" i="21"/>
  <c r="BY4" i="21"/>
  <c r="BP4" i="21"/>
  <c r="BG4" i="21"/>
  <c r="AW4" i="21"/>
  <c r="AN4" i="21"/>
  <c r="AE4" i="21"/>
  <c r="V4" i="21"/>
  <c r="M4" i="21"/>
  <c r="D4" i="21"/>
  <c r="AU5" i="20"/>
  <c r="AK5" i="20"/>
  <c r="AB5" i="20"/>
  <c r="S5" i="20"/>
  <c r="J5" i="20"/>
  <c r="A5" i="20"/>
  <c r="AV4" i="20"/>
  <c r="AM4" i="20"/>
  <c r="AC4" i="20"/>
  <c r="T4" i="20"/>
  <c r="K4" i="20"/>
  <c r="B4" i="20"/>
  <c r="AT5" i="19"/>
  <c r="AK5" i="19"/>
  <c r="AB5" i="19"/>
  <c r="R5" i="19"/>
  <c r="I5" i="19"/>
  <c r="BD4" i="19"/>
  <c r="AU4" i="19"/>
  <c r="AM4" i="19"/>
  <c r="AE4" i="19"/>
  <c r="W4" i="19"/>
  <c r="O4" i="19"/>
  <c r="G4" i="19"/>
  <c r="F5" i="18"/>
  <c r="I4" i="18"/>
  <c r="AT5" i="17"/>
  <c r="AL5" i="17"/>
  <c r="AD5" i="17"/>
  <c r="V5" i="17"/>
  <c r="N5" i="17"/>
  <c r="F5" i="17"/>
  <c r="BB4" i="17"/>
  <c r="AT4" i="17"/>
  <c r="AL4" i="17"/>
  <c r="AD4" i="17"/>
  <c r="V4" i="17"/>
  <c r="N4" i="17"/>
  <c r="F4" i="17"/>
  <c r="E5" i="16"/>
  <c r="H4" i="16"/>
  <c r="C5" i="15"/>
  <c r="F4" i="15"/>
  <c r="E5" i="14"/>
  <c r="H4" i="14"/>
  <c r="G5" i="13"/>
  <c r="J4" i="13"/>
  <c r="B4" i="13"/>
  <c r="AI5" i="12"/>
  <c r="AA5" i="12"/>
  <c r="S5" i="12"/>
  <c r="K5" i="12"/>
  <c r="C5" i="12"/>
  <c r="W4" i="12"/>
  <c r="O4" i="12"/>
  <c r="G4" i="12"/>
  <c r="AY5" i="11"/>
  <c r="AQ5" i="11"/>
  <c r="AI5" i="11"/>
  <c r="AA5" i="11"/>
  <c r="S5" i="11"/>
  <c r="K5" i="11"/>
  <c r="C5" i="11"/>
  <c r="AY4" i="11"/>
  <c r="AQ4" i="11"/>
  <c r="AI4" i="11"/>
  <c r="M5" i="26"/>
  <c r="E4" i="26"/>
  <c r="Q5" i="25"/>
  <c r="A5" i="25"/>
  <c r="N4" i="25"/>
  <c r="C5" i="24"/>
  <c r="P4" i="24"/>
  <c r="EO5" i="23"/>
  <c r="ED5" i="23"/>
  <c r="DP5" i="23"/>
  <c r="DB5" i="23"/>
  <c r="CQ5" i="23"/>
  <c r="CC5" i="23"/>
  <c r="BR5" i="23"/>
  <c r="BD5" i="23"/>
  <c r="AP5" i="23"/>
  <c r="AE5" i="23"/>
  <c r="Q5" i="23"/>
  <c r="F5" i="23"/>
  <c r="R4" i="23"/>
  <c r="D4" i="23"/>
  <c r="CL5" i="22"/>
  <c r="BX5" i="22"/>
  <c r="BM5" i="22"/>
  <c r="AY5" i="22"/>
  <c r="AK5" i="22"/>
  <c r="Z5" i="22"/>
  <c r="L5" i="22"/>
  <c r="A5" i="22"/>
  <c r="DD4" i="22"/>
  <c r="CR4" i="22"/>
  <c r="CG4" i="22"/>
  <c r="BW4" i="22"/>
  <c r="BL4" i="22"/>
  <c r="BA4" i="22"/>
  <c r="AQ4" i="22"/>
  <c r="AF4" i="22"/>
  <c r="U4" i="22"/>
  <c r="K4" i="22"/>
  <c r="J5" i="21"/>
  <c r="DQ4" i="21"/>
  <c r="DH4" i="21"/>
  <c r="CY4" i="21"/>
  <c r="CP4" i="21"/>
  <c r="CG4" i="21"/>
  <c r="BX4" i="21"/>
  <c r="BO4" i="21"/>
  <c r="BE4" i="21"/>
  <c r="AV4" i="21"/>
  <c r="AM4" i="21"/>
  <c r="AD4" i="21"/>
  <c r="U4" i="21"/>
  <c r="L4" i="21"/>
  <c r="C4" i="21"/>
  <c r="AS5" i="20"/>
  <c r="AJ5" i="20"/>
  <c r="AA5" i="20"/>
  <c r="R5" i="20"/>
  <c r="I5" i="20"/>
  <c r="BD4" i="20"/>
  <c r="AU4" i="20"/>
  <c r="AK4" i="20"/>
  <c r="AB4" i="20"/>
  <c r="S4" i="20"/>
  <c r="J4" i="20"/>
  <c r="AS5" i="19"/>
  <c r="AJ5" i="19"/>
  <c r="Z5" i="19"/>
  <c r="Q5" i="19"/>
  <c r="H5" i="19"/>
  <c r="BC4" i="19"/>
  <c r="AT4" i="19"/>
  <c r="AL4" i="19"/>
  <c r="AD4" i="19"/>
  <c r="V4" i="19"/>
  <c r="N4" i="19"/>
  <c r="F4" i="19"/>
  <c r="E5" i="18"/>
  <c r="H4" i="18"/>
  <c r="BA5" i="17"/>
  <c r="AS5" i="17"/>
  <c r="AK5" i="17"/>
  <c r="AC5" i="17"/>
  <c r="U5" i="17"/>
  <c r="M5" i="17"/>
  <c r="E5" i="17"/>
  <c r="BA4" i="17"/>
  <c r="AS4" i="17"/>
  <c r="AK4" i="17"/>
  <c r="AC4" i="17"/>
  <c r="U4" i="17"/>
  <c r="M4" i="17"/>
  <c r="E4" i="17"/>
  <c r="D5" i="16"/>
  <c r="G4" i="16"/>
  <c r="B5" i="15"/>
  <c r="E4" i="15"/>
  <c r="D5" i="14"/>
  <c r="G4" i="14"/>
  <c r="F5" i="13"/>
  <c r="I4" i="13"/>
  <c r="AH5" i="12"/>
  <c r="Z5" i="12"/>
  <c r="R5" i="12"/>
  <c r="J5" i="12"/>
  <c r="B5" i="12"/>
  <c r="V4" i="12"/>
  <c r="N4" i="12"/>
  <c r="F4" i="12"/>
  <c r="AX5" i="11"/>
  <c r="AP5" i="11"/>
  <c r="AH5" i="11"/>
  <c r="Z5" i="11"/>
  <c r="R5" i="11"/>
  <c r="J5" i="11"/>
  <c r="B5" i="11"/>
  <c r="AX4" i="11"/>
  <c r="AP4" i="11"/>
  <c r="AH4" i="11"/>
  <c r="Z4" i="11"/>
  <c r="R4" i="11"/>
  <c r="J4" i="11"/>
  <c r="B4" i="11"/>
  <c r="AI5" i="10"/>
  <c r="AA5" i="10"/>
  <c r="S5" i="10"/>
  <c r="K5" i="10"/>
  <c r="BA4" i="26"/>
  <c r="L5" i="25"/>
  <c r="Y4" i="25"/>
  <c r="I4" i="25"/>
  <c r="AA4" i="24"/>
  <c r="K4" i="24"/>
  <c r="EX5" i="23"/>
  <c r="EM5" i="23"/>
  <c r="DY5" i="23"/>
  <c r="DN5" i="23"/>
  <c r="CZ5" i="23"/>
  <c r="CL5" i="23"/>
  <c r="CA5" i="23"/>
  <c r="BM5" i="23"/>
  <c r="BB5" i="23"/>
  <c r="AN5" i="23"/>
  <c r="Z5" i="23"/>
  <c r="O5" i="23"/>
  <c r="A5" i="23"/>
  <c r="P4" i="23"/>
  <c r="B4" i="23"/>
  <c r="CG5" i="22"/>
  <c r="BV5" i="22"/>
  <c r="BH5" i="22"/>
  <c r="AW5" i="22"/>
  <c r="AI5" i="22"/>
  <c r="U5" i="22"/>
  <c r="J5" i="22"/>
  <c r="DM4" i="22"/>
  <c r="DB4" i="22"/>
  <c r="CO4" i="22"/>
  <c r="CE4" i="22"/>
  <c r="BT4" i="22"/>
  <c r="BI4" i="22"/>
  <c r="AY4" i="22"/>
  <c r="AN4" i="22"/>
  <c r="AC4" i="22"/>
  <c r="S4" i="22"/>
  <c r="H4" i="22"/>
  <c r="P5" i="21"/>
  <c r="G5" i="21"/>
  <c r="DO4" i="21"/>
  <c r="DF4" i="21"/>
  <c r="CW4" i="21"/>
  <c r="CN4" i="21"/>
  <c r="CE4" i="21"/>
  <c r="BU4" i="21"/>
  <c r="BL4" i="21"/>
  <c r="BC4" i="21"/>
  <c r="AT4" i="21"/>
  <c r="AK4" i="21"/>
  <c r="AB4" i="21"/>
  <c r="S4" i="21"/>
  <c r="I4" i="21"/>
  <c r="AZ5" i="20"/>
  <c r="AQ5" i="20"/>
  <c r="AH5" i="20"/>
  <c r="Y5" i="20"/>
  <c r="P5" i="20"/>
  <c r="G5" i="20"/>
  <c r="BA4" i="20"/>
  <c r="AR4" i="20"/>
  <c r="AI4" i="20"/>
  <c r="Z4" i="20"/>
  <c r="Q4" i="20"/>
  <c r="H4" i="20"/>
  <c r="AZ5" i="19"/>
  <c r="AP5" i="19"/>
  <c r="AG5" i="19"/>
  <c r="X5" i="19"/>
  <c r="O5" i="19"/>
  <c r="F5" i="19"/>
  <c r="BA4" i="19"/>
  <c r="AR4" i="19"/>
  <c r="AJ4" i="19"/>
  <c r="AB4" i="19"/>
  <c r="T4" i="19"/>
  <c r="L4" i="19"/>
  <c r="D4" i="19"/>
  <c r="C5" i="18"/>
  <c r="F4" i="18"/>
  <c r="AY5" i="17"/>
  <c r="AQ5" i="17"/>
  <c r="AI5" i="17"/>
  <c r="AA5" i="17"/>
  <c r="S5" i="17"/>
  <c r="K5" i="17"/>
  <c r="C5" i="17"/>
  <c r="AY4" i="17"/>
  <c r="AQ4" i="17"/>
  <c r="AI4" i="17"/>
  <c r="AA4" i="17"/>
  <c r="S4" i="17"/>
  <c r="K4" i="17"/>
  <c r="C4" i="17"/>
  <c r="B5" i="16"/>
  <c r="E4" i="16"/>
  <c r="K4" i="15"/>
  <c r="C4" i="15"/>
  <c r="B5" i="14"/>
  <c r="E4" i="14"/>
  <c r="D5" i="13"/>
  <c r="G4" i="13"/>
  <c r="AN5" i="12"/>
  <c r="AF5" i="12"/>
  <c r="X5" i="12"/>
  <c r="P5" i="12"/>
  <c r="H5" i="12"/>
  <c r="AB4" i="12"/>
  <c r="T4" i="12"/>
  <c r="L4" i="12"/>
  <c r="D4" i="12"/>
  <c r="AV5" i="11"/>
  <c r="AN5" i="11"/>
  <c r="AF5" i="11"/>
  <c r="X5" i="11"/>
  <c r="P5" i="11"/>
  <c r="H5" i="11"/>
  <c r="BD4" i="11"/>
  <c r="AV4" i="11"/>
  <c r="AN4" i="11"/>
  <c r="AF4" i="11"/>
  <c r="X4" i="11"/>
  <c r="P4" i="11"/>
  <c r="H4" i="11"/>
  <c r="AO5" i="10"/>
  <c r="AG5" i="10"/>
  <c r="Y5" i="10"/>
  <c r="Q5" i="10"/>
  <c r="I5" i="10"/>
  <c r="A5" i="10"/>
  <c r="E5" i="26"/>
  <c r="X4" i="25"/>
  <c r="DJ5" i="23"/>
  <c r="BL5" i="23"/>
  <c r="N5" i="23"/>
  <c r="CF5" i="22"/>
  <c r="AH5" i="22"/>
  <c r="CX4" i="22"/>
  <c r="BH4" i="22"/>
  <c r="R4" i="22"/>
  <c r="DP4" i="21"/>
  <c r="CF4" i="21"/>
  <c r="AU4" i="21"/>
  <c r="K4" i="21"/>
  <c r="Z5" i="20"/>
  <c r="AS4" i="20"/>
  <c r="I4" i="20"/>
  <c r="AF5" i="19"/>
  <c r="AZ4" i="19"/>
  <c r="S4" i="19"/>
  <c r="G4" i="18"/>
  <c r="AH5" i="17"/>
  <c r="B5" i="17"/>
  <c r="Z4" i="17"/>
  <c r="C5" i="16"/>
  <c r="B4" i="15"/>
  <c r="C5" i="13"/>
  <c r="Y5" i="12"/>
  <c r="U4" i="12"/>
  <c r="AU5" i="11"/>
  <c r="O5" i="11"/>
  <c r="AM4" i="11"/>
  <c r="O4" i="11"/>
  <c r="AJ5" i="10"/>
  <c r="V5" i="10"/>
  <c r="L5" i="10"/>
  <c r="B5" i="10"/>
  <c r="U4" i="10"/>
  <c r="M4" i="10"/>
  <c r="E4" i="10"/>
  <c r="AW5" i="9"/>
  <c r="AO5" i="9"/>
  <c r="AG5" i="9"/>
  <c r="Y5" i="9"/>
  <c r="Q5" i="9"/>
  <c r="I5" i="9"/>
  <c r="A5" i="9"/>
  <c r="AW4" i="9"/>
  <c r="AO4" i="9"/>
  <c r="AG4" i="9"/>
  <c r="Y4" i="9"/>
  <c r="Q4" i="9"/>
  <c r="I4" i="9"/>
  <c r="K4" i="8"/>
  <c r="C4" i="8"/>
  <c r="I4" i="7"/>
  <c r="K4" i="6"/>
  <c r="C4" i="6"/>
  <c r="B5" i="5"/>
  <c r="E4" i="5"/>
  <c r="AM5" i="4"/>
  <c r="AE5" i="4"/>
  <c r="W5" i="4"/>
  <c r="O5" i="4"/>
  <c r="G5" i="4"/>
  <c r="AA4" i="4"/>
  <c r="S4" i="4"/>
  <c r="K4" i="4"/>
  <c r="C4" i="4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AS4" i="26"/>
  <c r="J4" i="25"/>
  <c r="FB5" i="23"/>
  <c r="DA5" i="23"/>
  <c r="BC5" i="23"/>
  <c r="B5" i="23"/>
  <c r="BW5" i="22"/>
  <c r="Y5" i="22"/>
  <c r="CP4" i="22"/>
  <c r="AZ4" i="22"/>
  <c r="J4" i="22"/>
  <c r="DN4" i="21"/>
  <c r="CC4" i="21"/>
  <c r="AS4" i="21"/>
  <c r="H4" i="21"/>
  <c r="X5" i="20"/>
  <c r="AQ4" i="20"/>
  <c r="G4" i="20"/>
  <c r="Y5" i="19"/>
  <c r="AS4" i="19"/>
  <c r="M4" i="19"/>
  <c r="E4" i="18"/>
  <c r="AB5" i="17"/>
  <c r="AZ4" i="17"/>
  <c r="T4" i="17"/>
  <c r="A5" i="16"/>
  <c r="H4" i="13"/>
  <c r="W5" i="12"/>
  <c r="S4" i="12"/>
  <c r="AO5" i="11"/>
  <c r="I5" i="11"/>
  <c r="AG4" i="11"/>
  <c r="K4" i="11"/>
  <c r="AH5" i="10"/>
  <c r="U5" i="10"/>
  <c r="J5" i="10"/>
  <c r="AB4" i="10"/>
  <c r="T4" i="10"/>
  <c r="L4" i="10"/>
  <c r="D4" i="10"/>
  <c r="AV5" i="9"/>
  <c r="AN5" i="9"/>
  <c r="AF5" i="9"/>
  <c r="X5" i="9"/>
  <c r="P5" i="9"/>
  <c r="H5" i="9"/>
  <c r="BD4" i="9"/>
  <c r="AV4" i="9"/>
  <c r="AN4" i="9"/>
  <c r="AF4" i="9"/>
  <c r="X4" i="9"/>
  <c r="P4" i="9"/>
  <c r="H4" i="9"/>
  <c r="G5" i="8"/>
  <c r="J4" i="8"/>
  <c r="B4" i="8"/>
  <c r="H4" i="7"/>
  <c r="G5" i="6"/>
  <c r="J4" i="6"/>
  <c r="B4" i="6"/>
  <c r="A5" i="5"/>
  <c r="D4" i="5"/>
  <c r="AL5" i="4"/>
  <c r="AD5" i="4"/>
  <c r="V5" i="4"/>
  <c r="N5" i="4"/>
  <c r="F5" i="4"/>
  <c r="Z4" i="4"/>
  <c r="R4" i="4"/>
  <c r="J4" i="4"/>
  <c r="B4" i="4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H4" i="25"/>
  <c r="EW5" i="23"/>
  <c r="CY5" i="23"/>
  <c r="AX5" i="23"/>
  <c r="Z4" i="23"/>
  <c r="BU5" i="22"/>
  <c r="T5" i="22"/>
  <c r="CN4" i="22"/>
  <c r="AX4" i="22"/>
  <c r="F4" i="22"/>
  <c r="DG4" i="21"/>
  <c r="BW4" i="21"/>
  <c r="AL4" i="21"/>
  <c r="Q5" i="20"/>
  <c r="AJ4" i="20"/>
  <c r="W5" i="19"/>
  <c r="AQ4" i="19"/>
  <c r="K4" i="19"/>
  <c r="Z5" i="17"/>
  <c r="AX4" i="17"/>
  <c r="R4" i="17"/>
  <c r="F4" i="16"/>
  <c r="C5" i="14"/>
  <c r="F4" i="13"/>
  <c r="Q5" i="12"/>
  <c r="M4" i="12"/>
  <c r="AM5" i="11"/>
  <c r="G5" i="11"/>
  <c r="AE4" i="11"/>
  <c r="I4" i="11"/>
  <c r="AF5" i="10"/>
  <c r="T5" i="10"/>
  <c r="H5" i="10"/>
  <c r="AA4" i="10"/>
  <c r="S4" i="10"/>
  <c r="K4" i="10"/>
  <c r="C4" i="10"/>
  <c r="AU5" i="9"/>
  <c r="AM5" i="9"/>
  <c r="AE5" i="9"/>
  <c r="W5" i="9"/>
  <c r="O5" i="9"/>
  <c r="G5" i="9"/>
  <c r="BC4" i="9"/>
  <c r="AU4" i="9"/>
  <c r="AM4" i="9"/>
  <c r="AE4" i="9"/>
  <c r="W4" i="9"/>
  <c r="O4" i="9"/>
  <c r="G4" i="9"/>
  <c r="F5" i="8"/>
  <c r="I4" i="8"/>
  <c r="G4" i="7"/>
  <c r="F5" i="6"/>
  <c r="I4" i="6"/>
  <c r="K4" i="5"/>
  <c r="C4" i="5"/>
  <c r="AK5" i="4"/>
  <c r="AC5" i="4"/>
  <c r="U5" i="4"/>
  <c r="M5" i="4"/>
  <c r="E5" i="4"/>
  <c r="Y4" i="4"/>
  <c r="Q4" i="4"/>
  <c r="I4" i="4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EN5" i="23"/>
  <c r="CP5" i="23"/>
  <c r="AO5" i="23"/>
  <c r="Q4" i="23"/>
  <c r="BI5" i="22"/>
  <c r="K5" i="22"/>
  <c r="CF4" i="22"/>
  <c r="AP4" i="22"/>
  <c r="DE4" i="21"/>
  <c r="BT4" i="21"/>
  <c r="AJ4" i="21"/>
  <c r="AY5" i="20"/>
  <c r="O5" i="20"/>
  <c r="AH4" i="20"/>
  <c r="BA5" i="19"/>
  <c r="P5" i="19"/>
  <c r="AK4" i="19"/>
  <c r="E4" i="19"/>
  <c r="AZ5" i="17"/>
  <c r="T5" i="17"/>
  <c r="AR4" i="17"/>
  <c r="L4" i="17"/>
  <c r="D4" i="16"/>
  <c r="A5" i="14"/>
  <c r="O5" i="12"/>
  <c r="K4" i="12"/>
  <c r="AG5" i="11"/>
  <c r="A5" i="11"/>
  <c r="AA4" i="11"/>
  <c r="G4" i="11"/>
  <c r="AE5" i="10"/>
  <c r="R5" i="10"/>
  <c r="G5" i="10"/>
  <c r="Z4" i="10"/>
  <c r="R4" i="10"/>
  <c r="J4" i="10"/>
  <c r="B4" i="10"/>
  <c r="AT5" i="9"/>
  <c r="AL5" i="9"/>
  <c r="AD5" i="9"/>
  <c r="V5" i="9"/>
  <c r="N5" i="9"/>
  <c r="F5" i="9"/>
  <c r="BB4" i="9"/>
  <c r="AT4" i="9"/>
  <c r="AL4" i="9"/>
  <c r="AD4" i="9"/>
  <c r="V4" i="9"/>
  <c r="N4" i="9"/>
  <c r="F4" i="9"/>
  <c r="E5" i="8"/>
  <c r="H4" i="8"/>
  <c r="C5" i="7"/>
  <c r="F4" i="7"/>
  <c r="E5" i="6"/>
  <c r="H4" i="6"/>
  <c r="G5" i="5"/>
  <c r="J4" i="5"/>
  <c r="B4" i="5"/>
  <c r="AJ5" i="4"/>
  <c r="AB5" i="4"/>
  <c r="T5" i="4"/>
  <c r="L5" i="4"/>
  <c r="D5" i="4"/>
  <c r="X4" i="4"/>
  <c r="P4" i="4"/>
  <c r="H4" i="4"/>
  <c r="A4" i="3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B4" i="24"/>
  <c r="EL5" i="23"/>
  <c r="CK5" i="23"/>
  <c r="AM5" i="23"/>
  <c r="L4" i="23"/>
  <c r="BG5" i="22"/>
  <c r="I5" i="22"/>
  <c r="CD4" i="22"/>
  <c r="AL4" i="22"/>
  <c r="R5" i="21"/>
  <c r="CX4" i="21"/>
  <c r="BM4" i="21"/>
  <c r="AC4" i="21"/>
  <c r="AR5" i="20"/>
  <c r="H5" i="20"/>
  <c r="AA4" i="20"/>
  <c r="AX5" i="19"/>
  <c r="N5" i="19"/>
  <c r="AI4" i="19"/>
  <c r="C4" i="19"/>
  <c r="AX5" i="17"/>
  <c r="R5" i="17"/>
  <c r="AP4" i="17"/>
  <c r="J4" i="17"/>
  <c r="F4" i="14"/>
  <c r="AO5" i="12"/>
  <c r="I5" i="12"/>
  <c r="E4" i="12"/>
  <c r="AE5" i="11"/>
  <c r="BC4" i="11"/>
  <c r="Y4" i="11"/>
  <c r="C4" i="11"/>
  <c r="AB5" i="10"/>
  <c r="P5" i="10"/>
  <c r="F5" i="10"/>
  <c r="Y4" i="10"/>
  <c r="Q4" i="10"/>
  <c r="I4" i="10"/>
  <c r="AS5" i="9"/>
  <c r="AK5" i="9"/>
  <c r="AC5" i="9"/>
  <c r="U5" i="9"/>
  <c r="M5" i="9"/>
  <c r="E5" i="9"/>
  <c r="BA4" i="9"/>
  <c r="AS4" i="9"/>
  <c r="AK4" i="9"/>
  <c r="AC4" i="9"/>
  <c r="U4" i="9"/>
  <c r="M4" i="9"/>
  <c r="E4" i="9"/>
  <c r="D5" i="8"/>
  <c r="G4" i="8"/>
  <c r="B5" i="7"/>
  <c r="E4" i="7"/>
  <c r="D5" i="6"/>
  <c r="G4" i="6"/>
  <c r="F5" i="5"/>
  <c r="I4" i="5"/>
  <c r="AI5" i="4"/>
  <c r="AA5" i="4"/>
  <c r="S5" i="4"/>
  <c r="K5" i="4"/>
  <c r="C5" i="4"/>
  <c r="W4" i="4"/>
  <c r="O4" i="4"/>
  <c r="G4" i="4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K5" i="25"/>
  <c r="L4" i="24"/>
  <c r="DX5" i="23"/>
  <c r="BZ5" i="23"/>
  <c r="Y5" i="23"/>
  <c r="Z4" i="25"/>
  <c r="J4" i="24"/>
  <c r="DO5" i="23"/>
  <c r="BN5" i="23"/>
  <c r="P5" i="23"/>
  <c r="CK5" i="22"/>
  <c r="AJ5" i="22"/>
  <c r="DC4" i="22"/>
  <c r="BJ4" i="22"/>
  <c r="T4" i="22"/>
  <c r="F5" i="21"/>
  <c r="CM4" i="21"/>
  <c r="BB4" i="21"/>
  <c r="Q4" i="21"/>
  <c r="AG5" i="20"/>
  <c r="AZ4" i="20"/>
  <c r="P4" i="20"/>
  <c r="AH5" i="19"/>
  <c r="BB4" i="19"/>
  <c r="U4" i="19"/>
  <c r="B5" i="18"/>
  <c r="AJ5" i="17"/>
  <c r="D5" i="17"/>
  <c r="AB4" i="17"/>
  <c r="D4" i="15"/>
  <c r="E5" i="13"/>
  <c r="AE5" i="12"/>
  <c r="AA4" i="12"/>
  <c r="AW5" i="11"/>
  <c r="Q5" i="11"/>
  <c r="AO4" i="11"/>
  <c r="Q4" i="11"/>
  <c r="AM5" i="10"/>
  <c r="W5" i="10"/>
  <c r="M5" i="10"/>
  <c r="C5" i="10"/>
  <c r="V4" i="10"/>
  <c r="N4" i="10"/>
  <c r="F4" i="10"/>
  <c r="AX5" i="9"/>
  <c r="AP5" i="9"/>
  <c r="AH5" i="9"/>
  <c r="Z5" i="9"/>
  <c r="R5" i="9"/>
  <c r="J5" i="9"/>
  <c r="B5" i="9"/>
  <c r="AX4" i="9"/>
  <c r="AP4" i="9"/>
  <c r="AH4" i="9"/>
  <c r="Z4" i="9"/>
  <c r="R4" i="9"/>
  <c r="J4" i="9"/>
  <c r="B4" i="9"/>
  <c r="A5" i="8"/>
  <c r="D4" i="8"/>
  <c r="J4" i="7"/>
  <c r="B4" i="7"/>
  <c r="A5" i="6"/>
  <c r="D4" i="6"/>
  <c r="C5" i="5"/>
  <c r="F4" i="5"/>
  <c r="AN5" i="4"/>
  <c r="AF5" i="4"/>
  <c r="X5" i="4"/>
  <c r="P5" i="4"/>
  <c r="H5" i="4"/>
  <c r="AB4" i="4"/>
  <c r="T4" i="4"/>
  <c r="L4" i="4"/>
  <c r="D4" i="4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M5" i="25"/>
  <c r="AB4" i="22"/>
  <c r="AA4" i="21"/>
  <c r="R4" i="20"/>
  <c r="AH4" i="17"/>
  <c r="D4" i="14"/>
  <c r="AN5" i="10"/>
  <c r="W4" i="10"/>
  <c r="AR5" i="9"/>
  <c r="L5" i="9"/>
  <c r="AJ4" i="9"/>
  <c r="D4" i="9"/>
  <c r="A5" i="7"/>
  <c r="E4" i="6"/>
  <c r="AO5" i="4"/>
  <c r="I5" i="4"/>
  <c r="E4" i="4"/>
  <c r="B502" i="1"/>
  <c r="C491" i="1"/>
  <c r="A481" i="1"/>
  <c r="B470" i="1"/>
  <c r="C459" i="1"/>
  <c r="A449" i="1"/>
  <c r="B438" i="1"/>
  <c r="C427" i="1"/>
  <c r="A417" i="1"/>
  <c r="B406" i="1"/>
  <c r="C395" i="1"/>
  <c r="A385" i="1"/>
  <c r="B374" i="1"/>
  <c r="C363" i="1"/>
  <c r="C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X5" i="22"/>
  <c r="T4" i="21"/>
  <c r="D5" i="18"/>
  <c r="D4" i="17"/>
  <c r="Y5" i="11"/>
  <c r="Z5" i="10"/>
  <c r="P4" i="10"/>
  <c r="AQ5" i="9"/>
  <c r="K5" i="9"/>
  <c r="AI4" i="9"/>
  <c r="C4" i="9"/>
  <c r="K4" i="7"/>
  <c r="AH5" i="4"/>
  <c r="B5" i="4"/>
  <c r="A502" i="1"/>
  <c r="B491" i="1"/>
  <c r="C480" i="1"/>
  <c r="A470" i="1"/>
  <c r="B459" i="1"/>
  <c r="C448" i="1"/>
  <c r="A438" i="1"/>
  <c r="B427" i="1"/>
  <c r="C416" i="1"/>
  <c r="A406" i="1"/>
  <c r="B395" i="1"/>
  <c r="C384" i="1"/>
  <c r="A374" i="1"/>
  <c r="B363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Z4" i="24"/>
  <c r="AS5" i="22"/>
  <c r="O5" i="21"/>
  <c r="AR5" i="19"/>
  <c r="B4" i="17"/>
  <c r="W5" i="11"/>
  <c r="X5" i="10"/>
  <c r="O4" i="10"/>
  <c r="AJ5" i="9"/>
  <c r="D5" i="9"/>
  <c r="AB4" i="9"/>
  <c r="D4" i="7"/>
  <c r="E5" i="5"/>
  <c r="AG5" i="4"/>
  <c r="A5" i="4"/>
  <c r="B510" i="1"/>
  <c r="C499" i="1"/>
  <c r="A489" i="1"/>
  <c r="B478" i="1"/>
  <c r="C467" i="1"/>
  <c r="A457" i="1"/>
  <c r="B446" i="1"/>
  <c r="C435" i="1"/>
  <c r="A425" i="1"/>
  <c r="B414" i="1"/>
  <c r="C403" i="1"/>
  <c r="A393" i="1"/>
  <c r="B382" i="1"/>
  <c r="C371" i="1"/>
  <c r="A361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DN4" i="22"/>
  <c r="H5" i="21"/>
  <c r="AP5" i="20"/>
  <c r="AO5" i="19"/>
  <c r="AR5" i="17"/>
  <c r="AM5" i="12"/>
  <c r="AW4" i="11"/>
  <c r="O5" i="10"/>
  <c r="H4" i="10"/>
  <c r="AI5" i="9"/>
  <c r="C5" i="9"/>
  <c r="AA4" i="9"/>
  <c r="C5" i="8"/>
  <c r="C4" i="7"/>
  <c r="D5" i="5"/>
  <c r="Z5" i="4"/>
  <c r="V4" i="4"/>
  <c r="A510" i="1"/>
  <c r="B499" i="1"/>
  <c r="C488" i="1"/>
  <c r="A478" i="1"/>
  <c r="B467" i="1"/>
  <c r="C456" i="1"/>
  <c r="A446" i="1"/>
  <c r="B435" i="1"/>
  <c r="C424" i="1"/>
  <c r="A414" i="1"/>
  <c r="B403" i="1"/>
  <c r="C392" i="1"/>
  <c r="A382" i="1"/>
  <c r="B371" i="1"/>
  <c r="C360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DZ5" i="23"/>
  <c r="DL4" i="22"/>
  <c r="CV4" i="21"/>
  <c r="AI5" i="20"/>
  <c r="G5" i="19"/>
  <c r="AP5" i="17"/>
  <c r="AG5" i="12"/>
  <c r="AU4" i="11"/>
  <c r="N5" i="10"/>
  <c r="G4" i="10"/>
  <c r="AB5" i="9"/>
  <c r="AZ4" i="9"/>
  <c r="T4" i="9"/>
  <c r="B5" i="8"/>
  <c r="H4" i="5"/>
  <c r="Y5" i="4"/>
  <c r="U4" i="4"/>
  <c r="C507" i="1"/>
  <c r="A497" i="1"/>
  <c r="B486" i="1"/>
  <c r="C475" i="1"/>
  <c r="A465" i="1"/>
  <c r="B454" i="1"/>
  <c r="C443" i="1"/>
  <c r="A433" i="1"/>
  <c r="B422" i="1"/>
  <c r="C411" i="1"/>
  <c r="A401" i="1"/>
  <c r="B390" i="1"/>
  <c r="C379" i="1"/>
  <c r="A369" i="1"/>
  <c r="C359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B5" i="23"/>
  <c r="BV4" i="22"/>
  <c r="CO4" i="21"/>
  <c r="E5" i="20"/>
  <c r="E5" i="19"/>
  <c r="L5" i="17"/>
  <c r="A5" i="15"/>
  <c r="G5" i="12"/>
  <c r="W4" i="11"/>
  <c r="E5" i="10"/>
  <c r="AA5" i="9"/>
  <c r="AY4" i="9"/>
  <c r="S4" i="9"/>
  <c r="F4" i="8"/>
  <c r="C5" i="6"/>
  <c r="G4" i="5"/>
  <c r="R5" i="4"/>
  <c r="N4" i="4"/>
  <c r="B507" i="1"/>
  <c r="C496" i="1"/>
  <c r="A486" i="1"/>
  <c r="B475" i="1"/>
  <c r="C464" i="1"/>
  <c r="A454" i="1"/>
  <c r="B443" i="1"/>
  <c r="C432" i="1"/>
  <c r="A422" i="1"/>
  <c r="B411" i="1"/>
  <c r="C400" i="1"/>
  <c r="A390" i="1"/>
  <c r="B379" i="1"/>
  <c r="C368" i="1"/>
  <c r="A359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C4" i="23"/>
  <c r="AD4" i="22"/>
  <c r="BD4" i="21"/>
  <c r="Y4" i="20"/>
  <c r="AA4" i="19"/>
  <c r="AJ4" i="17"/>
  <c r="C4" i="12"/>
  <c r="X4" i="10"/>
  <c r="AY5" i="9"/>
  <c r="S5" i="9"/>
  <c r="AQ4" i="9"/>
  <c r="K4" i="9"/>
  <c r="F4" i="6"/>
  <c r="J5" i="4"/>
  <c r="F4" i="4"/>
  <c r="C504" i="1"/>
  <c r="A494" i="1"/>
  <c r="B483" i="1"/>
  <c r="C472" i="1"/>
  <c r="A462" i="1"/>
  <c r="B451" i="1"/>
  <c r="C440" i="1"/>
  <c r="A430" i="1"/>
  <c r="B419" i="1"/>
  <c r="C408" i="1"/>
  <c r="A398" i="1"/>
  <c r="B387" i="1"/>
  <c r="C376" i="1"/>
  <c r="A366" i="1"/>
  <c r="A358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D5" i="23"/>
  <c r="AC4" i="19"/>
  <c r="AZ5" i="9"/>
  <c r="B5" i="6"/>
  <c r="B494" i="1"/>
  <c r="A409" i="1"/>
  <c r="A350" i="1"/>
  <c r="C328" i="1"/>
  <c r="B307" i="1"/>
  <c r="A286" i="1"/>
  <c r="C264" i="1"/>
  <c r="B243" i="1"/>
  <c r="A222" i="1"/>
  <c r="C200" i="1"/>
  <c r="B179" i="1"/>
  <c r="A158" i="1"/>
  <c r="A137" i="1"/>
  <c r="B126" i="1"/>
  <c r="C115" i="1"/>
  <c r="A107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272" i="1"/>
  <c r="A110" i="1"/>
  <c r="C85" i="1"/>
  <c r="A67" i="1"/>
  <c r="A51" i="1"/>
  <c r="A35" i="1"/>
  <c r="C21" i="1"/>
  <c r="D5" i="10"/>
  <c r="B291" i="1"/>
  <c r="A206" i="1"/>
  <c r="B118" i="1"/>
  <c r="A96" i="1"/>
  <c r="C82" i="1"/>
  <c r="A72" i="1"/>
  <c r="T5" i="9"/>
  <c r="C483" i="1"/>
  <c r="B398" i="1"/>
  <c r="B347" i="1"/>
  <c r="A326" i="1"/>
  <c r="C304" i="1"/>
  <c r="B283" i="1"/>
  <c r="A262" i="1"/>
  <c r="C240" i="1"/>
  <c r="B219" i="1"/>
  <c r="A198" i="1"/>
  <c r="C176" i="1"/>
  <c r="B155" i="1"/>
  <c r="C136" i="1"/>
  <c r="A126" i="1"/>
  <c r="B115" i="1"/>
  <c r="B106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441" i="1"/>
  <c r="C336" i="1"/>
  <c r="A294" i="1"/>
  <c r="B187" i="1"/>
  <c r="B131" i="1"/>
  <c r="C101" i="1"/>
  <c r="B88" i="1"/>
  <c r="A75" i="1"/>
  <c r="A59" i="1"/>
  <c r="A43" i="1"/>
  <c r="B24" i="1"/>
  <c r="B8" i="1"/>
  <c r="J4" i="15"/>
  <c r="BR4" i="22"/>
  <c r="A5" i="12"/>
  <c r="AR4" i="9"/>
  <c r="A473" i="1"/>
  <c r="C387" i="1"/>
  <c r="C344" i="1"/>
  <c r="B323" i="1"/>
  <c r="A302" i="1"/>
  <c r="C280" i="1"/>
  <c r="B259" i="1"/>
  <c r="A238" i="1"/>
  <c r="C216" i="1"/>
  <c r="B195" i="1"/>
  <c r="A174" i="1"/>
  <c r="C152" i="1"/>
  <c r="B134" i="1"/>
  <c r="C123" i="1"/>
  <c r="A113" i="1"/>
  <c r="A106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M4" i="4"/>
  <c r="A230" i="1"/>
  <c r="C120" i="1"/>
  <c r="C93" i="1"/>
  <c r="B72" i="1"/>
  <c r="B56" i="1"/>
  <c r="C37" i="1"/>
  <c r="A19" i="1"/>
  <c r="C5" i="1"/>
  <c r="B430" i="1"/>
  <c r="B227" i="1"/>
  <c r="A129" i="1"/>
  <c r="C98" i="1"/>
  <c r="B85" i="1"/>
  <c r="B69" i="1"/>
  <c r="A56" i="1"/>
  <c r="C42" i="1"/>
  <c r="C34" i="1"/>
  <c r="C18" i="1"/>
  <c r="A8" i="1"/>
  <c r="J5" i="17"/>
  <c r="L4" i="9"/>
  <c r="B462" i="1"/>
  <c r="A377" i="1"/>
  <c r="A342" i="1"/>
  <c r="C320" i="1"/>
  <c r="B299" i="1"/>
  <c r="A278" i="1"/>
  <c r="C256" i="1"/>
  <c r="B235" i="1"/>
  <c r="A214" i="1"/>
  <c r="C192" i="1"/>
  <c r="B171" i="1"/>
  <c r="A150" i="1"/>
  <c r="A134" i="1"/>
  <c r="B123" i="1"/>
  <c r="C112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358" i="1"/>
  <c r="B315" i="1"/>
  <c r="C208" i="1"/>
  <c r="C144" i="1"/>
  <c r="A99" i="1"/>
  <c r="A83" i="1"/>
  <c r="C69" i="1"/>
  <c r="C53" i="1"/>
  <c r="B40" i="1"/>
  <c r="A27" i="1"/>
  <c r="A11" i="1"/>
  <c r="BC4" i="20"/>
  <c r="C312" i="1"/>
  <c r="C184" i="1"/>
  <c r="C107" i="1"/>
  <c r="B93" i="1"/>
  <c r="A80" i="1"/>
  <c r="C66" i="1"/>
  <c r="C58" i="1"/>
  <c r="B53" i="1"/>
  <c r="B45" i="1"/>
  <c r="B37" i="1"/>
  <c r="C26" i="1"/>
  <c r="B21" i="1"/>
  <c r="C10" i="1"/>
  <c r="BK4" i="21"/>
  <c r="S4" i="11"/>
  <c r="Q5" i="4"/>
  <c r="C451" i="1"/>
  <c r="B366" i="1"/>
  <c r="B339" i="1"/>
  <c r="A318" i="1"/>
  <c r="C296" i="1"/>
  <c r="B275" i="1"/>
  <c r="A254" i="1"/>
  <c r="C232" i="1"/>
  <c r="B211" i="1"/>
  <c r="A190" i="1"/>
  <c r="C168" i="1"/>
  <c r="B147" i="1"/>
  <c r="C131" i="1"/>
  <c r="A121" i="1"/>
  <c r="B110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251" i="1"/>
  <c r="B104" i="1"/>
  <c r="A91" i="1"/>
  <c r="C77" i="1"/>
  <c r="C61" i="1"/>
  <c r="C45" i="1"/>
  <c r="C29" i="1"/>
  <c r="C13" i="1"/>
  <c r="B355" i="1"/>
  <c r="A334" i="1"/>
  <c r="C248" i="1"/>
  <c r="A142" i="1"/>
  <c r="A104" i="1"/>
  <c r="A88" i="1"/>
  <c r="C74" i="1"/>
  <c r="B61" i="1"/>
  <c r="A48" i="1"/>
  <c r="A32" i="1"/>
  <c r="A24" i="1"/>
  <c r="B13" i="1"/>
  <c r="A505" i="1"/>
  <c r="C419" i="1"/>
  <c r="C352" i="1"/>
  <c r="B331" i="1"/>
  <c r="A310" i="1"/>
  <c r="C288" i="1"/>
  <c r="B267" i="1"/>
  <c r="A246" i="1"/>
  <c r="C224" i="1"/>
  <c r="B203" i="1"/>
  <c r="A182" i="1"/>
  <c r="C160" i="1"/>
  <c r="B139" i="1"/>
  <c r="C128" i="1"/>
  <c r="A118" i="1"/>
  <c r="B107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E4" i="8"/>
  <c r="A166" i="1"/>
  <c r="B96" i="1"/>
  <c r="B80" i="1"/>
  <c r="B64" i="1"/>
  <c r="B48" i="1"/>
  <c r="B32" i="1"/>
  <c r="B16" i="1"/>
  <c r="A270" i="1"/>
  <c r="B163" i="1"/>
  <c r="B101" i="1"/>
  <c r="C90" i="1"/>
  <c r="B77" i="1"/>
  <c r="A64" i="1"/>
  <c r="C50" i="1"/>
  <c r="A40" i="1"/>
  <c r="B29" i="1"/>
  <c r="A16" i="1"/>
  <c r="B5" i="1"/>
</calcChain>
</file>

<file path=xl/sharedStrings.xml><?xml version="1.0" encoding="utf-8"?>
<sst xmlns="http://schemas.openxmlformats.org/spreadsheetml/2006/main" count="268" uniqueCount="54">
  <si>
    <t>Modules Info</t>
  </si>
  <si>
    <t>Modules</t>
  </si>
  <si>
    <t>Settings</t>
  </si>
  <si>
    <t>Module Step Setting File</t>
  </si>
  <si>
    <t>1-YzRU9k076OTLvhUStpIR0Eu6nrBz7vYPArbk2m7Tjk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</si>
  <si>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</si>
  <si>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</si>
  <si>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</si>
  <si>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</si>
  <si>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</si>
  <si>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</si>
  <si>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</si>
  <si>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</si>
  <si>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</si>
  <si>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</si>
  <si>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</si>
  <si>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NM/WS</t>
  </si>
  <si>
    <t>Buy</t>
  </si>
  <si>
    <t>Allocation1</t>
  </si>
  <si>
    <t>Simulator</t>
  </si>
  <si>
    <t>AcknowledgeTrade</t>
  </si>
  <si>
    <t>SelectTrade</t>
  </si>
  <si>
    <t>ExecuteTrade</t>
  </si>
  <si>
    <t>VerifyTrades</t>
  </si>
  <si>
    <t>Blotter</t>
  </si>
  <si>
    <t>EditStageOrder</t>
  </si>
  <si>
    <t>PartiallyFilled</t>
  </si>
  <si>
    <t>MS</t>
  </si>
  <si>
    <t>Market</t>
  </si>
  <si>
    <t>CreateReplaceOrder</t>
  </si>
  <si>
    <t>ReplaceSubOrder</t>
  </si>
  <si>
    <t>PartialllyFilled</t>
  </si>
  <si>
    <t>CancelSubOrder</t>
  </si>
  <si>
    <t>VerifyOrder</t>
  </si>
  <si>
    <t>VerifySubOrder</t>
  </si>
  <si>
    <t>Cancelled</t>
  </si>
  <si>
    <t>Allocation</t>
  </si>
  <si>
    <t>GetDataAllocation</t>
  </si>
  <si>
    <t>Current</t>
  </si>
  <si>
    <t>CheckAllocatedGroups</t>
  </si>
  <si>
    <t>Equity</t>
  </si>
  <si>
    <t>Open</t>
  </si>
  <si>
    <t>USD</t>
  </si>
  <si>
    <t>PortfolioManagement</t>
  </si>
  <si>
    <t>CheckPortfolioManagement</t>
  </si>
  <si>
    <t>NewMF</t>
  </si>
  <si>
    <t>Long</t>
  </si>
  <si>
    <t>US</t>
  </si>
  <si>
    <t>Closing</t>
  </si>
  <si>
    <t>GetDataClosing</t>
  </si>
  <si>
    <t>VerifyLongPositionsGrid</t>
  </si>
  <si>
    <t>Strategy Unallocated</t>
  </si>
  <si>
    <t>SelectTradeOnOrderGrid</t>
  </si>
  <si>
    <t>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</si>
</sst>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Arial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Calibri"/>
    </font>
    <font>
      <sz val="9"/>
      <color rgb="FFFF8000"/>
      <name val="&quot;Segoe UI&quot;"/>
    </font>
    <font>
      <sz val="9"/>
      <color rgb="FFFF8000"/>
      <name val="Arial"/>
    </font>
    <font>
      <sz val="9"/>
      <color rgb="FFFF8000"/>
      <name val="Verdana"/>
    </font>
    <font>
      <sz val="11"/>
      <color rgb="FF000000"/>
      <name val="Calibri"/>
    </font>
    <font>
      <b/>
      <sz val="10"/>
      <name val="Arial"/>
    </font>
    <font>
      <sz val="11"/>
      <color rgb="FF000000"/>
      <name val="Inconsolata"/>
    </font>
  </fonts>
  <fills count="8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5" fillId="0" borderId="5" xfId="0" applyFont="1" applyBorder="1" applyAlignment="1"/>
    <xf numFmtId="0" fontId="14" fillId="0" borderId="5" xfId="0" applyFont="1" applyBorder="1" applyAlignment="1"/>
    <xf numFmtId="0" fontId="3" fillId="0" borderId="5" xfId="0" applyFont="1" applyBorder="1" applyAlignment="1"/>
    <xf numFmtId="0" fontId="5" fillId="0" borderId="0" xfId="0" applyFont="1" applyAlignment="1"/>
    <xf numFmtId="0" fontId="15" fillId="7" borderId="0" xfId="0" applyFont="1" applyFill="1" applyAlignment="1">
      <alignment horizontal="center" vertical="top"/>
    </xf>
    <xf numFmtId="0" fontId="16" fillId="7" borderId="0" xfId="0" applyFont="1" applyFill="1" applyAlignment="1">
      <alignment horizontal="center" vertical="top"/>
    </xf>
    <xf numFmtId="0" fontId="15" fillId="7" borderId="0" xfId="0" applyFont="1" applyFill="1" applyAlignment="1">
      <alignment horizontal="right" vertical="top"/>
    </xf>
    <xf numFmtId="0" fontId="16" fillId="7" borderId="0" xfId="0" applyFont="1" applyFill="1" applyAlignment="1">
      <alignment horizontal="right" vertical="top"/>
    </xf>
    <xf numFmtId="0" fontId="17" fillId="7" borderId="0" xfId="0" applyFont="1" applyFill="1" applyAlignment="1">
      <alignment horizontal="center" vertical="top"/>
    </xf>
    <xf numFmtId="0" fontId="18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0" fontId="18" fillId="0" borderId="0" xfId="0" applyFont="1" applyAlignment="1"/>
    <xf numFmtId="0" fontId="18" fillId="0" borderId="0" xfId="0" applyFont="1" applyAlignment="1"/>
    <xf numFmtId="0" fontId="3" fillId="0" borderId="0" xfId="0" applyFont="1" applyAlignment="1">
      <alignment horizontal="right"/>
    </xf>
    <xf numFmtId="3" fontId="18" fillId="0" borderId="0" xfId="0" applyNumberFormat="1" applyFont="1" applyAlignment="1">
      <alignment horizontal="right"/>
    </xf>
    <xf numFmtId="0" fontId="19" fillId="0" borderId="0" xfId="0" applyFont="1" applyAlignment="1"/>
    <xf numFmtId="0" fontId="18" fillId="0" borderId="0" xfId="0" applyFont="1" applyAlignment="1">
      <alignment horizontal="right"/>
    </xf>
    <xf numFmtId="14" fontId="20" fillId="4" borderId="0" xfId="0" applyNumberFormat="1" applyFont="1" applyFill="1"/>
    <xf numFmtId="0" fontId="18" fillId="0" borderId="0" xfId="0" applyFont="1" applyAlignment="1"/>
    <xf numFmtId="14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C21" sqref="C2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6" t="s">
        <v>0</v>
      </c>
      <c r="B1" s="57"/>
      <c r="C1" s="57"/>
      <c r="D1" s="57"/>
      <c r="E1" s="57"/>
      <c r="F1" s="58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9" t="s">
        <v>2</v>
      </c>
      <c r="B1" s="57"/>
      <c r="C1" s="58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6" t="s">
        <v>7</v>
      </c>
      <c r="B1" s="57"/>
      <c r="C1" s="57"/>
      <c r="D1" s="57"/>
      <c r="E1" s="57"/>
      <c r="F1" s="58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 t="str">
        <f ca="1">IFERROR(__xludf.DUMMYFUNCTION("""COMPUTED_VALUE"""),"AllowTrade")</f>
        <v>AllowTrade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6" t="s">
        <v>16</v>
      </c>
      <c r="C6" s="27" t="s">
        <v>17</v>
      </c>
      <c r="D6" s="28">
        <v>100</v>
      </c>
      <c r="E6" s="28">
        <v>100</v>
      </c>
      <c r="F6" s="27" t="s">
        <v>18</v>
      </c>
      <c r="G6" s="29"/>
      <c r="H6" s="29"/>
      <c r="I6" s="29"/>
      <c r="J6" s="30">
        <v>10</v>
      </c>
      <c r="K6" s="29"/>
      <c r="L6" s="29"/>
      <c r="M6" s="29"/>
      <c r="N6" s="31">
        <f ca="1">TODAY()</f>
        <v>44412</v>
      </c>
      <c r="O6" s="29"/>
      <c r="P6" s="29"/>
      <c r="Q6" s="29"/>
      <c r="R6" s="29"/>
      <c r="S6" s="29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17</v>
      </c>
      <c r="C6" s="34" t="s">
        <v>16</v>
      </c>
      <c r="D6" s="33"/>
      <c r="E6" s="29"/>
      <c r="F6" s="29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17</v>
      </c>
      <c r="C6" s="34" t="s">
        <v>16</v>
      </c>
      <c r="D6" s="33"/>
      <c r="E6" s="29"/>
      <c r="F6" s="35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>
        <v>10</v>
      </c>
      <c r="C6" s="9">
        <v>50</v>
      </c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17</v>
      </c>
      <c r="C6" s="34" t="s">
        <v>16</v>
      </c>
      <c r="D6" s="33"/>
      <c r="E6" s="29"/>
      <c r="F6" s="35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1")</f>
        <v>Trade Attribute 1</v>
      </c>
      <c r="N5" s="23" t="str">
        <f ca="1">IFERROR(__xludf.DUMMYFUNCTION("""COMPUTED_VALUE"""),"Trade Attribute 2")</f>
        <v>Trade Attribute 2</v>
      </c>
      <c r="O5" s="23" t="str">
        <f ca="1">IFERROR(__xludf.DUMMYFUNCTION("""COMPUTED_VALUE"""),"Trade Attribute 3")</f>
        <v>Trade Attribute 3</v>
      </c>
      <c r="P5" s="23" t="str">
        <f ca="1">IFERROR(__xludf.DUMMYFUNCTION("""COMPUTED_VALUE"""),"Trade Attribute 4")</f>
        <v>Trade Attribute 4</v>
      </c>
      <c r="Q5" s="23" t="str">
        <f ca="1">IFERROR(__xludf.DUMMYFUNCTION("""COMPUTED_VALUE"""),"Trade Attribute 5")</f>
        <v>Trade Attribute 5</v>
      </c>
      <c r="R5" s="23" t="str">
        <f ca="1">IFERROR(__xludf.DUMMYFUNCTION("""COMPUTED_VALUE"""),"Trade Attribute 6")</f>
        <v>Trade Attribute 6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  <c r="AI6" s="37" t="s">
        <v>16</v>
      </c>
      <c r="AJ6" s="37" t="s">
        <v>17</v>
      </c>
      <c r="AK6" s="38" t="s">
        <v>26</v>
      </c>
      <c r="AL6" s="39">
        <v>100</v>
      </c>
      <c r="AM6" s="40">
        <v>50</v>
      </c>
      <c r="AN6" s="40">
        <v>50</v>
      </c>
      <c r="AO6" s="40">
        <v>50</v>
      </c>
      <c r="AP6" s="37"/>
      <c r="AQ6" s="38">
        <v>10</v>
      </c>
      <c r="AR6" s="40">
        <v>10</v>
      </c>
      <c r="AS6" s="40" t="s">
        <v>27</v>
      </c>
      <c r="AT6" s="37" t="s">
        <v>18</v>
      </c>
      <c r="AU6" s="37" t="s">
        <v>28</v>
      </c>
      <c r="AZ6" s="6">
        <v>50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IFERROR(__xludf.DUMMYFUNCTION("""COMPUTED_VALUE"""),"MasterFund")</f>
        <v>MasterFund</v>
      </c>
      <c r="AO5" s="25" t="str">
        <f ca="1">IFERROR(__xludf.DUMMYFUNCTION("""COMPUTED_VALUE"""),"AllowTrade")</f>
        <v>AllowTrade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16</v>
      </c>
      <c r="C6" s="5"/>
      <c r="D6" s="9">
        <v>200</v>
      </c>
      <c r="E6" s="36"/>
      <c r="F6" s="5"/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30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1")</f>
        <v>Trade Attribute 1</v>
      </c>
      <c r="N5" s="23" t="str">
        <f ca="1">IFERROR(__xludf.DUMMYFUNCTION("""COMPUTED_VALUE"""),"Trade Attribute 2")</f>
        <v>Trade Attribute 2</v>
      </c>
      <c r="O5" s="23" t="str">
        <f ca="1">IFERROR(__xludf.DUMMYFUNCTION("""COMPUTED_VALUE"""),"Trade Attribute 3")</f>
        <v>Trade Attribute 3</v>
      </c>
      <c r="P5" s="23" t="str">
        <f ca="1">IFERROR(__xludf.DUMMYFUNCTION("""COMPUTED_VALUE"""),"Trade Attribute 4")</f>
        <v>Trade Attribute 4</v>
      </c>
      <c r="Q5" s="23" t="str">
        <f ca="1">IFERROR(__xludf.DUMMYFUNCTION("""COMPUTED_VALUE"""),"Trade Attribute 5")</f>
        <v>Trade Attribute 5</v>
      </c>
      <c r="R5" s="23" t="str">
        <f ca="1">IFERROR(__xludf.DUMMYFUNCTION("""COMPUTED_VALUE"""),"Trade Attribute 6")</f>
        <v>Trade Attribute 6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FxRate Operator")</f>
        <v>Settlement FxRate Operator</v>
      </c>
      <c r="V5" s="25" t="str">
        <f ca="1">IFERROR(__xludf.DUMMYFUNCTION("""COMPUTED_VALUE"""),"Settlement Currency")</f>
        <v>Settlement Currency</v>
      </c>
      <c r="W5" s="25" t="str">
        <f ca="1">IFERROR(__xludf.DUMMYFUNCTION("""COMPUTED_VALUE"""),"Put/Call")</f>
        <v>Put/Call</v>
      </c>
      <c r="X5" s="25" t="str">
        <f ca="1">IFERROR(__xludf.DUMMYFUNCTION("""COMPUTED_VALUE"""),"Process Date")</f>
        <v>Process Date</v>
      </c>
      <c r="Y5" s="25" t="str">
        <f ca="1">IFERROR(__xludf.DUMMYFUNCTION("""COMPUTED_VALUE"""),"Peg")</f>
        <v>Peg</v>
      </c>
      <c r="Z5" s="25" t="str">
        <f ca="1">IFERROR(__xludf.DUMMYFUNCTION("""COMPUTED_VALUE"""),"ParentClOrderID")</f>
        <v>ParentClOrderID</v>
      </c>
      <c r="AA5" s="25" t="str">
        <f ca="1">IFERROR(__xludf.DUMMYFUNCTION("""COMPUTED_VALUE"""),"OrderID")</f>
        <v>OrderID</v>
      </c>
      <c r="AB5" s="25" t="str">
        <f ca="1">IFERROR(__xludf.DUMMYFUNCTION("""COMPUTED_VALUE"""),"Master Fund")</f>
        <v>Master Fund</v>
      </c>
      <c r="AC5" s="25" t="str">
        <f ca="1">IFERROR(__xludf.DUMMYFUNCTION("""COMPUTED_VALUE"""),"Last Shares")</f>
        <v>Last Shares</v>
      </c>
      <c r="AD5" s="25" t="str">
        <f ca="1">IFERROR(__xludf.DUMMYFUNCTION("""COMPUTED_VALUE"""),"Internal Comments")</f>
        <v>Internal Comments</v>
      </c>
      <c r="AE5" s="25" t="str">
        <f ca="1">IFERROR(__xludf.DUMMYFUNCTION("""COMPUTED_VALUE"""),"FX Rate")</f>
        <v>FX Rate</v>
      </c>
      <c r="AF5" s="25" t="str">
        <f ca="1">IFERROR(__xludf.DUMMYFUNCTION("""COMPUTED_VALUE"""),"Imported File Name")</f>
        <v>Imported File Name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IFERROR(__xludf.DUMMYFUNCTION("""COMPUTED_VALUE"""),"Day Average Price")</f>
        <v>Day Average Price</v>
      </c>
      <c r="AI5" s="25" t="str">
        <f ca="1">IFERROR(__xludf.DUMMYFUNCTION("""COMPUTED_VALUE"""),"Asset Class")</f>
        <v>Asset Class</v>
      </c>
      <c r="AJ5" s="25" t="str">
        <f ca="1">IFERROR(__xludf.DUMMYFUNCTION("""COMPUTED_VALUE"""),"Symbol")</f>
        <v>Symbol</v>
      </c>
      <c r="AK5" s="25" t="str">
        <f ca="1">IFERROR(__xludf.DUMMYFUNCTION("""COMPUTED_VALUE"""),"Side")</f>
        <v>Side</v>
      </c>
      <c r="AL5" s="25" t="str">
        <f ca="1">IFERROR(__xludf.DUMMYFUNCTION("""COMPUTED_VALUE"""),"Status")</f>
        <v>Status</v>
      </c>
      <c r="AM5" s="25" t="str">
        <f ca="1">IFERROR(__xludf.DUMMYFUNCTION("""COMPUTED_VALUE"""),"Quantity")</f>
        <v>Quantity</v>
      </c>
      <c r="AN5" s="25" t="str">
        <f ca="1">IFERROR(__xludf.DUMMYFUNCTION("""COMPUTED_VALUE"""),"Executed Qty")</f>
        <v>Executed Qty</v>
      </c>
      <c r="AO5" s="25" t="str">
        <f ca="1">IFERROR(__xludf.DUMMYFUNCTION("""COMPUTED_VALUE"""),"% Executed")</f>
        <v>% Executed</v>
      </c>
      <c r="AP5" s="25" t="str">
        <f ca="1">IFERROR(__xludf.DUMMYFUNCTION("""COMPUTED_VALUE"""),"Day Executed Qty")</f>
        <v>Day Executed Qty</v>
      </c>
      <c r="AQ5" s="25" t="str">
        <f ca="1">IFERROR(__xludf.DUMMYFUNCTION("""COMPUTED_VALUE"""),"Remaining Qty")</f>
        <v>Remaining Qty</v>
      </c>
      <c r="AR5" s="25" t="str">
        <f ca="1">IFERROR(__xludf.DUMMYFUNCTION("""COMPUTED_VALUE"""),"Last Fill Price (Local)")</f>
        <v>Last Fill Price (Local)</v>
      </c>
      <c r="AS5" s="25" t="str">
        <f ca="1">IFERROR(__xludf.DUMMYFUNCTION("""COMPUTED_VALUE"""),"Avg Fill Price (Local)")</f>
        <v>Avg Fill Price (Local)</v>
      </c>
      <c r="AT5" s="25" t="str">
        <f ca="1">IFERROR(__xludf.DUMMYFUNCTION("""COMPUTED_VALUE"""),"Broker")</f>
        <v>Broker</v>
      </c>
      <c r="AU5" s="25" t="str">
        <f ca="1">IFERROR(__xludf.DUMMYFUNCTION("""COMPUTED_VALUE"""),"Account")</f>
        <v>Account</v>
      </c>
      <c r="AV5" s="25" t="str">
        <f ca="1">IFERROR(__xludf.DUMMYFUNCTION("""COMPUTED_VALUE"""),"Order Type")</f>
        <v>Order Type</v>
      </c>
      <c r="AW5" s="25" t="str">
        <f ca="1">IFERROR(__xludf.DUMMYFUNCTION("""COMPUTED_VALUE"""),"Principal Amount (Local)")</f>
        <v>Principal Amount (Local)</v>
      </c>
      <c r="AX5" s="25" t="str">
        <f ca="1">IFERROR(__xludf.DUMMYFUNCTION("""COMPUTED_VALUE"""),"Principal Amount (Base)")</f>
        <v>Principal Amount (Base)</v>
      </c>
      <c r="AY5" s="25" t="str">
        <f ca="1">IFERROR(__xludf.DUMMYFUNCTION("""COMPUTED_VALUE"""),"Settlement FxRate")</f>
        <v>Settlement FxRate</v>
      </c>
      <c r="AZ5" s="25" t="str">
        <f ca="1">IFERROR(__xludf.DUMMYFUNCTION("""COMPUTED_VALUE"""),"Settlement Price")</f>
        <v>Settlement Price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/>
      <c r="E6" s="36"/>
      <c r="F6" s="5"/>
      <c r="G6" s="9">
        <v>50</v>
      </c>
      <c r="H6" s="5"/>
      <c r="I6" s="5"/>
      <c r="J6" s="5"/>
      <c r="K6" s="5"/>
      <c r="L6" s="5"/>
      <c r="M6" s="5"/>
      <c r="N6" s="5"/>
      <c r="O6" s="5"/>
      <c r="AJ6" s="37" t="s">
        <v>16</v>
      </c>
      <c r="AK6" s="37" t="s">
        <v>17</v>
      </c>
      <c r="AL6" s="38" t="s">
        <v>31</v>
      </c>
      <c r="AM6" s="38">
        <v>100</v>
      </c>
      <c r="AN6" s="40">
        <v>50</v>
      </c>
      <c r="AO6" s="40">
        <v>50</v>
      </c>
      <c r="AP6" s="40"/>
      <c r="AQ6" s="37"/>
      <c r="AR6" s="38">
        <v>10</v>
      </c>
      <c r="AS6" s="40">
        <v>10</v>
      </c>
      <c r="AT6" s="40" t="s">
        <v>27</v>
      </c>
      <c r="AU6" s="37" t="s">
        <v>18</v>
      </c>
      <c r="AV6" s="37" t="s">
        <v>28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IFERROR(__xludf.DUMMYFUNCTION("""COMPUTED_VALUE"""),"MasterFund")</f>
        <v>MasterFund</v>
      </c>
      <c r="AO5" s="25" t="str">
        <f ca="1">IFERROR(__xludf.DUMMYFUNCTION("""COMPUTED_VALUE"""),"AllowTrade")</f>
        <v>AllowTrade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150</v>
      </c>
      <c r="E6" s="36"/>
      <c r="F6" s="5"/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17</v>
      </c>
      <c r="C6" s="34" t="s">
        <v>16</v>
      </c>
      <c r="D6" s="33"/>
      <c r="E6" s="29"/>
      <c r="F6" s="29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17</v>
      </c>
      <c r="C6" s="34" t="s">
        <v>16</v>
      </c>
      <c r="D6" s="33"/>
      <c r="E6" s="29"/>
      <c r="F6" s="29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>
        <v>10</v>
      </c>
      <c r="C6" s="9">
        <v>50</v>
      </c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17</v>
      </c>
      <c r="C6" s="34" t="s">
        <v>16</v>
      </c>
      <c r="D6" s="33"/>
      <c r="E6" s="29"/>
      <c r="F6" s="35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1")</f>
        <v>Trade Attribute 1</v>
      </c>
      <c r="N5" s="23" t="str">
        <f ca="1">IFERROR(__xludf.DUMMYFUNCTION("""COMPUTED_VALUE"""),"Trade Attribute 2")</f>
        <v>Trade Attribute 2</v>
      </c>
      <c r="O5" s="23" t="str">
        <f ca="1">IFERROR(__xludf.DUMMYFUNCTION("""COMPUTED_VALUE"""),"Trade Attribute 3")</f>
        <v>Trade Attribute 3</v>
      </c>
      <c r="P5" s="23" t="str">
        <f ca="1">IFERROR(__xludf.DUMMYFUNCTION("""COMPUTED_VALUE"""),"Trade Attribute 4")</f>
        <v>Trade Attribute 4</v>
      </c>
      <c r="Q5" s="23" t="str">
        <f ca="1">IFERROR(__xludf.DUMMYFUNCTION("""COMPUTED_VALUE"""),"Trade Attribute 5")</f>
        <v>Trade Attribute 5</v>
      </c>
      <c r="R5" s="23" t="str">
        <f ca="1">IFERROR(__xludf.DUMMYFUNCTION("""COMPUTED_VALUE"""),"Trade Attribute 6")</f>
        <v>Trade Attribute 6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IFERROR(__xludf.DUMMYFUNCTION("""COMPUTED_VALUE"""),"Quantity")</f>
        <v>Quantity</v>
      </c>
      <c r="AM5" s="25" t="str">
        <f ca="1">IFERROR(__xludf.DUMMYFUNCTION("""COMPUTED_VALUE"""),"Executed Qty")</f>
        <v>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IFERROR(__xludf.DUMMYFUNCTION("""COMPUTED_VALUE"""),"Remaining Qty")</f>
        <v>Remaining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IFERROR(__xludf.DUMMYFUNCTION("""COMPUTED_VALUE"""),"Status (With Rollover)")</f>
        <v>Status (With Rollover)</v>
      </c>
      <c r="AZ5" s="25" t="str">
        <f ca="1">IFERROR(__xludf.DUMMYFUNCTION("""COMPUTED_VALUE"""),"Start of Day Qty")</f>
        <v>Start of Day Qty</v>
      </c>
      <c r="BA5" s="25" t="str">
        <f ca="1">IFERROR(__xludf.DUMMYFUNCTION("""COMPUTED_VALUE"""),"Leaves")</f>
        <v>Leaves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/>
      <c r="E6" s="36"/>
      <c r="F6" s="5"/>
      <c r="G6" s="9">
        <v>50</v>
      </c>
      <c r="H6" s="5"/>
      <c r="I6" s="5"/>
      <c r="J6" s="5"/>
      <c r="K6" s="5"/>
      <c r="L6" s="5"/>
      <c r="M6" s="5"/>
      <c r="N6" s="5"/>
      <c r="O6" s="5"/>
      <c r="AJ6" s="37" t="s">
        <v>16</v>
      </c>
      <c r="AK6" s="37" t="s">
        <v>17</v>
      </c>
      <c r="AL6" s="38" t="s">
        <v>31</v>
      </c>
      <c r="AM6" s="38">
        <v>100</v>
      </c>
      <c r="AN6" s="40"/>
      <c r="AO6" s="40"/>
      <c r="AP6" s="40"/>
      <c r="AQ6" s="37"/>
      <c r="AR6" s="38">
        <v>10</v>
      </c>
      <c r="AS6" s="40" t="s">
        <v>27</v>
      </c>
      <c r="AT6" s="37" t="s">
        <v>18</v>
      </c>
      <c r="AU6" s="37" t="s">
        <v>28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 t="str">
        <f ca="1">IFERROR(__xludf.DUMMYFUNCTION("""COMPUTED_VALUE"""),"VerifyTrades")</f>
        <v>VerifyTrades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17</v>
      </c>
      <c r="C6" s="34" t="s">
        <v>16</v>
      </c>
      <c r="D6" s="33"/>
      <c r="E6" s="29"/>
      <c r="F6" s="29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33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  <c r="U6" s="41"/>
      <c r="AI6" s="37" t="s">
        <v>16</v>
      </c>
      <c r="AJ6" s="37" t="s">
        <v>17</v>
      </c>
      <c r="AK6" s="38" t="s">
        <v>26</v>
      </c>
      <c r="AL6" s="39">
        <v>200</v>
      </c>
      <c r="AM6" s="6">
        <v>100</v>
      </c>
      <c r="AN6" s="40">
        <v>50</v>
      </c>
      <c r="AO6" s="39">
        <v>100</v>
      </c>
      <c r="AP6" s="38"/>
      <c r="AQ6" s="38"/>
      <c r="AR6" s="40">
        <v>10</v>
      </c>
      <c r="AS6" s="40" t="s">
        <v>27</v>
      </c>
      <c r="AT6" s="37" t="s">
        <v>18</v>
      </c>
      <c r="AU6" s="37" t="s">
        <v>28</v>
      </c>
      <c r="AV6" s="37">
        <v>1000</v>
      </c>
      <c r="AW6" s="37">
        <v>1000</v>
      </c>
      <c r="AZ6" s="6">
        <v>100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2")</f>
        <v>Trade Attribute 2</v>
      </c>
      <c r="R5" s="23" t="str">
        <f ca="1">IFERROR(__xludf.DUMMYFUNCTION("""COMPUTED_VALUE"""),"Trade Attribute 1")</f>
        <v>Trade Attribute 1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IFERROR(__xludf.DUMMYFUNCTION("""COMPUTED_VALUE"""),"Quantity")</f>
        <v>Quantity</v>
      </c>
      <c r="AM5" s="25" t="str">
        <f ca="1">IFERROR(__xludf.DUMMYFUNCTION("""COMPUTED_VALUE"""),"Executed Qty")</f>
        <v>Executed Qty</v>
      </c>
      <c r="AN5" s="25" t="str">
        <f ca="1">IFERROR(__xludf.DUMMYFUNCTION("""COMPUTED_VALUE"""),"Day Executed Qty")</f>
        <v>Day Executed Qty</v>
      </c>
      <c r="AO5" s="25" t="str">
        <f ca="1">IFERROR(__xludf.DUMMYFUNCTION("""COMPUTED_VALUE"""),"Last Fill Price (Local)")</f>
        <v>Last Fill Price (Local)</v>
      </c>
      <c r="AP5" s="25" t="str">
        <f ca="1">IFERROR(__xludf.DUMMYFUNCTION("""COMPUTED_VALUE"""),"Avg Fill Price (Local)")</f>
        <v>Avg Fill Price (Local)</v>
      </c>
      <c r="AQ5" s="25" t="str">
        <f ca="1">IFERROR(__xludf.DUMMYFUNCTION("""COMPUTED_VALUE"""),"Broker")</f>
        <v>Broker</v>
      </c>
      <c r="AR5" s="25" t="str">
        <f ca="1">IFERROR(__xludf.DUMMYFUNCTION("""COMPUTED_VALUE"""),"Account")</f>
        <v>Account</v>
      </c>
      <c r="AS5" s="25" t="str">
        <f ca="1">IFERROR(__xludf.DUMMYFUNCTION("""COMPUTED_VALUE"""),"Order Type")</f>
        <v>Order Type</v>
      </c>
      <c r="AT5" s="25" t="str">
        <f ca="1">IFERROR(__xludf.DUMMYFUNCTION("""COMPUTED_VALUE"""),"Principal Amount (Local)")</f>
        <v>Principal Amount (Local)</v>
      </c>
      <c r="AU5" s="25" t="str">
        <f ca="1">IFERROR(__xludf.DUMMYFUNCTION("""COMPUTED_VALUE"""),"Principal Amount (Base)")</f>
        <v>Principal Amount (Base)</v>
      </c>
      <c r="AV5" s="25" t="str">
        <f ca="1">IFERROR(__xludf.DUMMYFUNCTION("""COMPUTED_VALUE"""),"Allocation Scheme Name")</f>
        <v>Allocation Scheme Name</v>
      </c>
      <c r="AW5" s="25" t="str">
        <f ca="1">IFERROR(__xludf.DUMMYFUNCTION("""COMPUTED_VALUE"""),"Status (With Rollover)")</f>
        <v>Status (With Rollover)</v>
      </c>
      <c r="AX5" s="25" t="str">
        <f ca="1">IFERROR(__xludf.DUMMYFUNCTION("""COMPUTED_VALUE"""),"Unexecuted Qty")</f>
        <v>Unexecuted Qty</v>
      </c>
      <c r="AY5" s="25" t="str">
        <f ca="1">IFERROR(__xludf.DUMMYFUNCTION("""COMPUTED_VALUE"""),"Strategy")</f>
        <v>Strategy</v>
      </c>
      <c r="AZ5" s="25" t="str">
        <f ca="1">IFERROR(__xludf.DUMMYFUNCTION("""COMPUTED_VALUE"""),"Actual User")</f>
        <v>Actual User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  <c r="U6" s="41"/>
      <c r="AI6" s="37" t="s">
        <v>16</v>
      </c>
      <c r="AJ6" s="37" t="s">
        <v>17</v>
      </c>
      <c r="AK6" s="37" t="s">
        <v>35</v>
      </c>
      <c r="AL6" s="39">
        <v>150</v>
      </c>
      <c r="AM6" s="39">
        <v>100</v>
      </c>
      <c r="AN6" s="40"/>
      <c r="AP6" s="39">
        <v>10</v>
      </c>
      <c r="AQ6" s="37" t="s">
        <v>27</v>
      </c>
      <c r="AR6" s="37" t="s">
        <v>18</v>
      </c>
      <c r="AS6" s="37" t="s">
        <v>28</v>
      </c>
      <c r="AT6" s="37">
        <v>1000</v>
      </c>
      <c r="AU6" s="37">
        <v>1000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36</v>
      </c>
      <c r="D3" s="2" t="s">
        <v>9</v>
      </c>
      <c r="E3" s="18" t="s">
        <v>37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38</v>
      </c>
      <c r="C6" s="5"/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36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18</v>
      </c>
      <c r="C6" s="5"/>
      <c r="D6" s="9"/>
      <c r="E6" s="42">
        <v>100</v>
      </c>
      <c r="F6" s="5"/>
      <c r="G6" s="9" t="s">
        <v>40</v>
      </c>
      <c r="H6" s="5"/>
      <c r="I6" s="5"/>
      <c r="J6" s="5"/>
      <c r="K6" s="30">
        <v>10</v>
      </c>
      <c r="L6" s="30">
        <v>10</v>
      </c>
      <c r="M6" s="29"/>
      <c r="N6" s="29"/>
      <c r="O6" s="27" t="s">
        <v>27</v>
      </c>
      <c r="S6" s="6" t="s">
        <v>41</v>
      </c>
      <c r="T6" s="43"/>
      <c r="U6" s="32"/>
      <c r="V6" s="32"/>
      <c r="W6" s="32"/>
      <c r="X6" s="32"/>
      <c r="Y6" s="32"/>
      <c r="Z6" s="32" t="s">
        <v>42</v>
      </c>
      <c r="AA6" s="32"/>
      <c r="AB6" s="32"/>
      <c r="AC6" s="32"/>
      <c r="AD6" s="32"/>
      <c r="AE6" s="44">
        <v>100</v>
      </c>
      <c r="AI6" s="43">
        <v>1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5">
        <v>1010.175</v>
      </c>
      <c r="AU6" s="45">
        <v>1010.175</v>
      </c>
      <c r="AY6" s="6" t="s">
        <v>28</v>
      </c>
      <c r="BE6" s="46">
        <v>1000</v>
      </c>
      <c r="BF6" s="46">
        <v>1000</v>
      </c>
      <c r="BJ6" s="6">
        <v>150</v>
      </c>
      <c r="BO6" s="32" t="s">
        <v>17</v>
      </c>
      <c r="BP6" s="43"/>
      <c r="BQ6" s="32"/>
      <c r="BR6" s="32"/>
      <c r="BS6" s="32"/>
      <c r="BT6" s="47" t="s">
        <v>16</v>
      </c>
      <c r="CI6" s="48" t="s">
        <v>17</v>
      </c>
      <c r="CJ6" s="49">
        <v>0</v>
      </c>
      <c r="CK6" s="32"/>
      <c r="CL6" s="32"/>
      <c r="CM6" s="47" t="s">
        <v>16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L11" sqref="BL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7" width="14.42578125" customWidth="1"/>
    <col min="28" max="28" width="18" customWidth="1"/>
    <col min="29" max="61" width="14.42578125" customWidth="1"/>
    <col min="62" max="62" width="18.85546875" customWidth="1"/>
    <col min="63" max="63" width="23.7109375" customWidth="1"/>
    <col min="64" max="64" width="20.7109375" customWidth="1"/>
    <col min="65" max="65" width="23.5703125" customWidth="1"/>
    <col min="66" max="74" width="14.42578125" customWidth="1"/>
    <col min="75" max="75" width="19" customWidth="1"/>
    <col min="76" max="76" width="19.7109375" customWidth="1"/>
    <col min="77" max="77" width="24.85546875" customWidth="1"/>
    <col min="78" max="78" width="21.5703125" customWidth="1"/>
    <col min="79" max="79" width="21.140625" customWidth="1"/>
    <col min="80" max="168" width="14.42578125" customWidth="1"/>
  </cols>
  <sheetData>
    <row r="1" spans="1:168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43</v>
      </c>
      <c r="D3" s="2" t="s">
        <v>9</v>
      </c>
      <c r="E3" s="18" t="s">
        <v>44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47" t="s">
        <v>16</v>
      </c>
      <c r="D6" s="42">
        <v>100</v>
      </c>
      <c r="E6" s="47" t="s">
        <v>18</v>
      </c>
      <c r="F6" s="47" t="s">
        <v>45</v>
      </c>
      <c r="G6" s="42">
        <v>10</v>
      </c>
      <c r="H6" s="47" t="s">
        <v>46</v>
      </c>
      <c r="I6" s="5"/>
      <c r="J6" s="5"/>
      <c r="K6" s="5"/>
      <c r="L6" s="5"/>
      <c r="M6" s="5"/>
      <c r="N6" s="50">
        <v>-1000</v>
      </c>
      <c r="O6" s="5"/>
      <c r="Q6" s="50">
        <v>-1000</v>
      </c>
      <c r="T6" s="32" t="s">
        <v>40</v>
      </c>
      <c r="U6" s="32" t="s">
        <v>47</v>
      </c>
      <c r="V6" s="32"/>
      <c r="W6" s="32" t="s">
        <v>42</v>
      </c>
      <c r="X6" s="32"/>
      <c r="Y6" s="43">
        <v>1</v>
      </c>
      <c r="AB6" s="43">
        <v>0</v>
      </c>
      <c r="AC6" s="43">
        <v>0</v>
      </c>
      <c r="AF6" s="6">
        <v>100</v>
      </c>
      <c r="AK6" s="50">
        <v>-1000</v>
      </c>
      <c r="AN6" s="6" t="s">
        <v>17</v>
      </c>
      <c r="AP6" s="51" t="s">
        <v>46</v>
      </c>
      <c r="AQ6" s="47" t="s">
        <v>16</v>
      </c>
      <c r="AV6" s="6">
        <v>1</v>
      </c>
      <c r="AW6" s="50">
        <v>-1000</v>
      </c>
      <c r="AZ6" s="6">
        <v>0</v>
      </c>
      <c r="BD6" s="50">
        <v>-1000</v>
      </c>
      <c r="BE6" s="47" t="s">
        <v>40</v>
      </c>
      <c r="BJ6" s="43">
        <v>0</v>
      </c>
      <c r="BK6" s="43">
        <v>0</v>
      </c>
      <c r="BL6" s="43">
        <v>0</v>
      </c>
      <c r="BM6" s="43">
        <v>0</v>
      </c>
      <c r="BP6" s="43">
        <v>0</v>
      </c>
      <c r="BQ6" s="32"/>
      <c r="BR6" s="32" t="s">
        <v>27</v>
      </c>
      <c r="BS6" s="43">
        <v>0</v>
      </c>
      <c r="BT6" s="43">
        <v>0</v>
      </c>
      <c r="BU6" s="32" t="s">
        <v>40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50">
        <v>-1000</v>
      </c>
      <c r="CE6" s="6">
        <v>0</v>
      </c>
      <c r="CF6" s="6">
        <v>0</v>
      </c>
      <c r="CG6" s="50">
        <v>-1000</v>
      </c>
      <c r="CI6" s="43">
        <v>0</v>
      </c>
      <c r="CJ6" s="43">
        <v>0</v>
      </c>
      <c r="DA6" s="43">
        <v>0</v>
      </c>
      <c r="DB6" s="43"/>
      <c r="DE6" s="43">
        <v>0</v>
      </c>
      <c r="DF6" s="43">
        <v>0</v>
      </c>
      <c r="DG6" s="6">
        <v>0</v>
      </c>
      <c r="DJ6" s="32" t="s">
        <v>17</v>
      </c>
      <c r="DK6" s="32"/>
      <c r="DL6" s="32"/>
      <c r="DM6" s="43">
        <v>1</v>
      </c>
    </row>
    <row r="7" spans="1:168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48</v>
      </c>
      <c r="D3" s="2" t="s">
        <v>9</v>
      </c>
      <c r="E3" s="18" t="s">
        <v>49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IFERROR(__xludf.DUMMYFUNCTION("IF(C3="""","""",Transpose(IMPORTRANGE('_Settings'!$B$3,C3&amp;""!A4:A1000"")))"),"SwapExpire")</f>
        <v>SwapExpire</v>
      </c>
      <c r="C4" s="20" t="str">
        <f ca="1">IFERROR(__xludf.DUMMYFUNCTION("""COMPUTED_VALUE"""),"GetDataClosing")</f>
        <v>GetDataClosing</v>
      </c>
      <c r="D4" s="20" t="str">
        <f ca="1">IFERROR(__xludf.DUMMYFUNCTION("""COMPUTED_VALUE"""),"ManualClosing")</f>
        <v>ManualClosing</v>
      </c>
      <c r="E4" s="20" t="str">
        <f ca="1">IFERROR(__xludf.DUMMYFUNCTION("""COMPUTED_VALUE"""),"AutomaticClosing")</f>
        <v>AutomaticClosing</v>
      </c>
      <c r="F4" s="20" t="str">
        <f ca="1">IFERROR(__xludf.DUMMYFUNCTION("""COMPUTED_VALUE"""),"UnwindClosing")</f>
        <v>UnwindClosing</v>
      </c>
      <c r="G4" s="20" t="str">
        <f ca="1">IFERROR(__xludf.DUMMYFUNCTION("""COMPUTED_VALUE"""),"VerifyClosedTrades")</f>
        <v>VerifyClosedTrades</v>
      </c>
      <c r="H4" s="20" t="str">
        <f ca="1">IFERROR(__xludf.DUMMYFUNCTION("""COMPUTED_VALUE"""),"VerifyLongPositionsGrid")</f>
        <v>VerifyLongPositionsGrid</v>
      </c>
      <c r="I4" s="20" t="str">
        <f ca="1">IFERROR(__xludf.DUMMYFUNCTION("""COMPUTED_VALUE"""),"VerifyShortPositionsGrid")</f>
        <v>VerifyShortPositionsGrid</v>
      </c>
      <c r="J4" s="20" t="str">
        <f ca="1">IFERROR(__xludf.DUMMYFUNCTION("""COMPUTED_VALUE"""),"SelectTradeUnexpiredUnsettled")</f>
        <v>SelectTradeUnexpiredUnsettled</v>
      </c>
      <c r="K4" s="20" t="str">
        <f ca="1">IFERROR(__xludf.DUMMYFUNCTION("""COMPUTED_VALUE"""),"CashSettlementAtCost")</f>
        <v>CashSettlementAtCost</v>
      </c>
      <c r="L4" s="20" t="str">
        <f ca="1">IFERROR(__xludf.DUMMYFUNCTION("""COMPUTED_VALUE"""),"CashSettlementAtZeroPrice")</f>
        <v>CashSettlementAtZeroPrice</v>
      </c>
      <c r="M4" s="20" t="str">
        <f ca="1">IFERROR(__xludf.DUMMYFUNCTION("""COMPUTED_VALUE"""),"CashSettlementAtClosingDtSpotPx")</f>
        <v>CashSettlementAtClosingDtSpotPx</v>
      </c>
      <c r="N4" s="20" t="str">
        <f ca="1">IFERROR(__xludf.DUMMYFUNCTION("""COMPUTED_VALUE"""),"PhysicalSettlement")</f>
        <v>PhysicalSettlement</v>
      </c>
      <c r="O4" s="20" t="str">
        <f ca="1">IFERROR(__xludf.DUMMYFUNCTION("""COMPUTED_VALUE"""),"Expire")</f>
        <v>Expire</v>
      </c>
      <c r="P4" s="21" t="str">
        <f ca="1">IFERROR(__xludf.DUMMYFUNCTION("""COMPUTED_VALUE"""),"ExerciseAssignment")</f>
        <v>ExerciseAssignment</v>
      </c>
      <c r="Q4" s="21" t="str">
        <f ca="1">IFERROR(__xludf.DUMMYFUNCTION("""COMPUTED_VALUE"""),"ExerciseAssignmentAtZero")</f>
        <v>ExerciseAssignmentAtZero</v>
      </c>
      <c r="R4" s="21" t="str">
        <f ca="1">IFERROR(__xludf.DUMMYFUNCTION("""COMPUTED_VALUE"""),"SwapExpireAndRollover")</f>
        <v>SwapExpireAndRollover</v>
      </c>
      <c r="S4" s="21" t="str">
        <f ca="1">IFERROR(__xludf.DUMMYFUNCTION("""COMPUTED_VALUE"""),"SwapExpire")</f>
        <v>SwapExpire</v>
      </c>
      <c r="T4" s="21" t="str">
        <f ca="1">IFERROR(__xludf.DUMMYFUNCTION("""COMPUTED_VALUE"""),"VerifyExpiredSettledGrid")</f>
        <v>VerifyExpiredSettledGrid</v>
      </c>
      <c r="U4" s="21" t="str">
        <f ca="1">IFERROR(__xludf.DUMMYFUNCTION("""COMPUTED_VALUE"""),"VerifyUnExpiredUnSettledGrid")</f>
        <v>VerifyUnExpiredUnSettledGrid</v>
      </c>
      <c r="V4" s="21" t="str">
        <f ca="1">IFERROR(__xludf.DUMMYFUNCTION("""COMPUTED_VALUE"""),"UnWindTradeSettlement")</f>
        <v>UnWindTradeSettlement</v>
      </c>
      <c r="W4" s="21" t="str">
        <f ca="1">IFERROR(__xludf.DUMMYFUNCTION("""COMPUTED_VALUE"""),"CloseOrder")</f>
        <v>CloseOrder</v>
      </c>
      <c r="X4" s="21" t="str">
        <f ca="1">IFERROR(__xludf.DUMMYFUNCTION("""COMPUTED_VALUE"""),"VerifyCloseOrder")</f>
        <v>VerifyCloseOrder</v>
      </c>
      <c r="Y4" s="21" t="str">
        <f ca="1">IFERROR(__xludf.DUMMYFUNCTION("""COMPUTED_VALUE"""),"UnWindCloseOrder")</f>
        <v>UnWindCloseOrder</v>
      </c>
      <c r="Z4" s="21" t="str">
        <f ca="1">IFERROR(__xludf.DUMMYFUNCTION("""COMPUTED_VALUE"""),"ClosingCleanUp")</f>
        <v>ClosingCleanUp</v>
      </c>
      <c r="AA4" s="21" t="str">
        <f ca="1">IFERROR(__xludf.DUMMYFUNCTION("""COMPUTED_VALUE"""),"CloseClosingUI")</f>
        <v>CloseClosingUI</v>
      </c>
      <c r="AB4" s="21" t="str">
        <f ca="1">IFERROR(__xludf.DUMMYFUNCTION("""COMPUTED_VALUE"""),"SetClosingPreference")</f>
        <v>SetClosingPreference</v>
      </c>
      <c r="AC4" s="21" t="str">
        <f ca="1">IFERROR(__xludf.DUMMYFUNCTION("""COMPUTED_VALUE"""),"EditTradeUnexpiredUnsettled")</f>
        <v>EditTradeUnexpiredUnsettled</v>
      </c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IFERROR(__xludf.DUMMYFUNCTION("""COMPUTED_VALUE"""),"Account Filter")</f>
        <v>Account Filter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38</v>
      </c>
      <c r="C6" s="5"/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18.85546875" customWidth="1"/>
    <col min="18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48</v>
      </c>
      <c r="D3" s="2" t="s">
        <v>9</v>
      </c>
      <c r="E3" s="18" t="s">
        <v>50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IFERROR(__xludf.DUMMYFUNCTION("IF(C3="""","""",Transpose(IMPORTRANGE('_Settings'!$B$3,C3&amp;""!A4:A1000"")))"),"SwapExpire")</f>
        <v>SwapExpire</v>
      </c>
      <c r="C4" s="20" t="str">
        <f ca="1">IFERROR(__xludf.DUMMYFUNCTION("""COMPUTED_VALUE"""),"GetDataClosing")</f>
        <v>GetDataClosing</v>
      </c>
      <c r="D4" s="20" t="str">
        <f ca="1">IFERROR(__xludf.DUMMYFUNCTION("""COMPUTED_VALUE"""),"ManualClosing")</f>
        <v>ManualClosing</v>
      </c>
      <c r="E4" s="20" t="str">
        <f ca="1">IFERROR(__xludf.DUMMYFUNCTION("""COMPUTED_VALUE"""),"AutomaticClosing")</f>
        <v>AutomaticClosing</v>
      </c>
      <c r="F4" s="20" t="str">
        <f ca="1">IFERROR(__xludf.DUMMYFUNCTION("""COMPUTED_VALUE"""),"UnwindClosing")</f>
        <v>UnwindClosing</v>
      </c>
      <c r="G4" s="20" t="str">
        <f ca="1">IFERROR(__xludf.DUMMYFUNCTION("""COMPUTED_VALUE"""),"VerifyClosedTrades")</f>
        <v>VerifyClosedTrades</v>
      </c>
      <c r="H4" s="20" t="str">
        <f ca="1">IFERROR(__xludf.DUMMYFUNCTION("""COMPUTED_VALUE"""),"VerifyLongPositionsGrid")</f>
        <v>VerifyLongPositionsGrid</v>
      </c>
      <c r="I4" s="20" t="str">
        <f ca="1">IFERROR(__xludf.DUMMYFUNCTION("""COMPUTED_VALUE"""),"VerifyShortPositionsGrid")</f>
        <v>VerifyShortPositionsGrid</v>
      </c>
      <c r="J4" s="20" t="str">
        <f ca="1">IFERROR(__xludf.DUMMYFUNCTION("""COMPUTED_VALUE"""),"SelectTradeUnexpiredUnsettled")</f>
        <v>SelectTradeUnexpiredUnsettled</v>
      </c>
      <c r="K4" s="20" t="str">
        <f ca="1">IFERROR(__xludf.DUMMYFUNCTION("""COMPUTED_VALUE"""),"CashSettlementAtCost")</f>
        <v>CashSettlementAtCost</v>
      </c>
      <c r="L4" s="20" t="str">
        <f ca="1">IFERROR(__xludf.DUMMYFUNCTION("""COMPUTED_VALUE"""),"CashSettlementAtZeroPrice")</f>
        <v>CashSettlementAtZeroPrice</v>
      </c>
      <c r="M4" s="20" t="str">
        <f ca="1">IFERROR(__xludf.DUMMYFUNCTION("""COMPUTED_VALUE"""),"CashSettlementAtClosingDtSpotPx")</f>
        <v>CashSettlementAtClosingDtSpotPx</v>
      </c>
      <c r="N4" s="20" t="str">
        <f ca="1">IFERROR(__xludf.DUMMYFUNCTION("""COMPUTED_VALUE"""),"PhysicalSettlement")</f>
        <v>PhysicalSettlement</v>
      </c>
      <c r="O4" s="20" t="str">
        <f ca="1">IFERROR(__xludf.DUMMYFUNCTION("""COMPUTED_VALUE"""),"Expire")</f>
        <v>Expire</v>
      </c>
      <c r="P4" s="21" t="str">
        <f ca="1">IFERROR(__xludf.DUMMYFUNCTION("""COMPUTED_VALUE"""),"ExerciseAssignment")</f>
        <v>ExerciseAssignment</v>
      </c>
      <c r="Q4" s="21" t="str">
        <f ca="1">IFERROR(__xludf.DUMMYFUNCTION("""COMPUTED_VALUE"""),"ExerciseAssignmentAtZero")</f>
        <v>ExerciseAssignmentAtZero</v>
      </c>
      <c r="R4" s="21" t="str">
        <f ca="1">IFERROR(__xludf.DUMMYFUNCTION("""COMPUTED_VALUE"""),"SwapExpireAndRollover")</f>
        <v>SwapExpireAndRollover</v>
      </c>
      <c r="S4" s="21" t="str">
        <f ca="1">IFERROR(__xludf.DUMMYFUNCTION("""COMPUTED_VALUE"""),"SwapExpire")</f>
        <v>SwapExpire</v>
      </c>
      <c r="T4" s="21" t="str">
        <f ca="1">IFERROR(__xludf.DUMMYFUNCTION("""COMPUTED_VALUE"""),"VerifyExpiredSettledGrid")</f>
        <v>VerifyExpiredSettledGrid</v>
      </c>
      <c r="U4" s="21" t="str">
        <f ca="1">IFERROR(__xludf.DUMMYFUNCTION("""COMPUTED_VALUE"""),"VerifyUnExpiredUnSettledGrid")</f>
        <v>VerifyUnExpiredUnSettledGrid</v>
      </c>
      <c r="V4" s="21" t="str">
        <f ca="1">IFERROR(__xludf.DUMMYFUNCTION("""COMPUTED_VALUE"""),"UnWindTradeSettlement")</f>
        <v>UnWindTradeSettlement</v>
      </c>
      <c r="W4" s="21" t="str">
        <f ca="1">IFERROR(__xludf.DUMMYFUNCTION("""COMPUTED_VALUE"""),"CloseOrder")</f>
        <v>CloseOrder</v>
      </c>
      <c r="X4" s="21" t="str">
        <f ca="1">IFERROR(__xludf.DUMMYFUNCTION("""COMPUTED_VALUE"""),"VerifyCloseOrder")</f>
        <v>VerifyCloseOrder</v>
      </c>
      <c r="Y4" s="21" t="str">
        <f ca="1">IFERROR(__xludf.DUMMYFUNCTION("""COMPUTED_VALUE"""),"UnWindCloseOrder")</f>
        <v>UnWindCloseOrder</v>
      </c>
      <c r="Z4" s="21" t="str">
        <f ca="1">IFERROR(__xludf.DUMMYFUNCTION("""COMPUTED_VALUE"""),"ClosingCleanUp")</f>
        <v>ClosingCleanUp</v>
      </c>
      <c r="AA4" s="21" t="str">
        <f ca="1">IFERROR(__xludf.DUMMYFUNCTION("""COMPUTED_VALUE"""),"CloseClosingUI")</f>
        <v>CloseClosingUI</v>
      </c>
      <c r="AB4" s="21" t="str">
        <f ca="1">IFERROR(__xludf.DUMMYFUNCTION("""COMPUTED_VALUE"""),"SetClosingPreference")</f>
        <v>SetClosingPreference</v>
      </c>
      <c r="AC4" s="21" t="str">
        <f ca="1">IFERROR(__xludf.DUMMYFUNCTION("""COMPUTED_VALUE"""),"EditTradeUnexpiredUnsettled")</f>
        <v>EditTradeUnexpiredUnsettled</v>
      </c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IFERROR(__xludf.DUMMYFUNCTION("""COMPUTED_VALUE"""),"Asset Class")</f>
        <v>Asset Class</v>
      </c>
      <c r="D5" s="23" t="str">
        <f ca="1">IFERROR(__xludf.DUMMYFUNCTION("""COMPUTED_VALUE"""),"AUECID")</f>
        <v>AUECID</v>
      </c>
      <c r="E5" s="23" t="str">
        <f ca="1">IFERROR(__xludf.DUMMYFUNCTION("""COMPUTED_VALUE"""),"ExternalTransId")</f>
        <v>ExternalTransId</v>
      </c>
      <c r="F5" s="24" t="str">
        <f ca="1">IFERROR(__xludf.DUMMYFUNCTION("""COMPUTED_VALUE"""),"IsSwapped")</f>
        <v>IsSwapped</v>
      </c>
      <c r="G5" s="23" t="str">
        <f ca="1">IFERROR(__xludf.DUMMYFUNCTION("""COMPUTED_VALUE"""),"LotId")</f>
        <v>LotId</v>
      </c>
      <c r="H5" s="23" t="str">
        <f ca="1">IFERROR(__xludf.DUMMYFUNCTION("""COMPUTED_VALUE"""),"Net Notional")</f>
        <v>Net Notional</v>
      </c>
      <c r="I5" s="23" t="str">
        <f ca="1">IFERROR(__xludf.DUMMYFUNCTION("""COMPUTED_VALUE"""),"Opening Price")</f>
        <v>Opening Price</v>
      </c>
      <c r="J5" s="23" t="str">
        <f ca="1">IFERROR(__xludf.DUMMYFUNCTION("""COMPUTED_VALUE"""),"Original Purchase Date")</f>
        <v>Original Purchase Date</v>
      </c>
      <c r="K5" s="23" t="str">
        <f ca="1">IFERROR(__xludf.DUMMYFUNCTION("""COMPUTED_VALUE"""),"PositionTag")</f>
        <v>PositionTag</v>
      </c>
      <c r="L5" s="23" t="str">
        <f ca="1">IFERROR(__xludf.DUMMYFUNCTION("""COMPUTED_VALUE"""),"Process Date")</f>
        <v>Process Date</v>
      </c>
      <c r="M5" s="23" t="str">
        <f ca="1">IFERROR(__xludf.DUMMYFUNCTION("""COMPUTED_VALUE"""),"Quantity")</f>
        <v>Quantity</v>
      </c>
      <c r="N5" s="23" t="str">
        <f ca="1">IFERROR(__xludf.DUMMYFUNCTION("""COMPUTED_VALUE"""),"Security Name")</f>
        <v>Security Name</v>
      </c>
      <c r="O5" s="23" t="str">
        <f ca="1">IFERROR(__xludf.DUMMYFUNCTION("""COMPUTED_VALUE"""),"Settlement Currency")</f>
        <v>Settlement Currency</v>
      </c>
      <c r="P5" s="23" t="str">
        <f ca="1">IFERROR(__xludf.DUMMYFUNCTION("""COMPUTED_VALUE"""),"Side")</f>
        <v>Side</v>
      </c>
      <c r="Q5" s="23" t="str">
        <f ca="1">IFERROR(__xludf.DUMMYFUNCTION("""COMPUTED_VALUE"""),"Strategy")</f>
        <v>Strategy</v>
      </c>
      <c r="R5" s="23" t="str">
        <f ca="1">IFERROR(__xludf.DUMMYFUNCTION("""COMPUTED_VALUE"""),"Symbol")</f>
        <v>Symbol</v>
      </c>
      <c r="S5" s="23" t="str">
        <f ca="1">IFERROR(__xludf.DUMMYFUNCTION("""COMPUTED_VALUE"""),"Taxlot ID")</f>
        <v>Taxlot ID</v>
      </c>
      <c r="T5" s="25" t="str">
        <f ca="1">IFERROR(__xludf.DUMMYFUNCTION("""COMPUTED_VALUE"""),"Total Fees and Commission")</f>
        <v>Total Fees and Commission</v>
      </c>
      <c r="U5" s="25" t="str">
        <f ca="1">IFERROR(__xludf.DUMMYFUNCTION("""COMPUTED_VALUE"""),"Trade Date")</f>
        <v>Trade Date</v>
      </c>
      <c r="V5" s="25" t="str">
        <f ca="1">IFERROR(__xludf.DUMMYFUNCTION("""COMPUTED_VALUE"""),"Transaction Type")</f>
        <v>Transaction Type</v>
      </c>
      <c r="W5" s="25" t="str">
        <f ca="1">IFERROR(__xludf.DUMMYFUNCTION("""COMPUTED_VALUE"""),"UnderlyingName")</f>
        <v>UnderlyingName</v>
      </c>
      <c r="X5" s="25" t="str">
        <f ca="1">IFERROR(__xludf.DUMMYFUNCTION("""COMPUTED_VALUE"""),"UnitCost")</f>
        <v>UnitCost</v>
      </c>
      <c r="Y5" s="25" t="str">
        <f ca="1">IFERROR(__xludf.DUMMYFUNCTION("""COMPUTED_VALUE"""),"Unit Cost(Base)")</f>
        <v>Unit Cost(Base)</v>
      </c>
      <c r="Z5" s="25" t="str">
        <f ca="1">IFERROR(__xludf.DUMMYFUNCTION("""COMPUTED_VALUE"""),"AvgPriceBase")</f>
        <v>AvgPriceBase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18</v>
      </c>
      <c r="C6" s="27" t="s">
        <v>40</v>
      </c>
      <c r="D6" s="9"/>
      <c r="E6" s="36"/>
      <c r="F6" s="5"/>
      <c r="G6" s="5"/>
      <c r="H6" s="52">
        <v>1010.175</v>
      </c>
      <c r="I6" s="52">
        <v>10</v>
      </c>
      <c r="J6" s="53">
        <f ca="1">TODAY()</f>
        <v>44412</v>
      </c>
      <c r="K6" s="9" t="s">
        <v>46</v>
      </c>
      <c r="L6" s="5"/>
      <c r="M6" s="52">
        <v>100</v>
      </c>
      <c r="N6" s="5"/>
      <c r="O6" s="27" t="s">
        <v>42</v>
      </c>
      <c r="P6" s="29" t="s">
        <v>17</v>
      </c>
      <c r="Q6" s="54" t="s">
        <v>51</v>
      </c>
      <c r="R6" s="54" t="s">
        <v>16</v>
      </c>
      <c r="T6" s="52"/>
      <c r="U6" s="55">
        <f ca="1">TODAY()</f>
        <v>44412</v>
      </c>
      <c r="V6" s="32" t="s">
        <v>17</v>
      </c>
      <c r="W6" s="32" t="s">
        <v>47</v>
      </c>
      <c r="Y6" s="52">
        <v>10.101749999999999</v>
      </c>
      <c r="Z6" s="6">
        <v>10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52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IFERROR(__xludf.DUMMYFUNCTION("""COMPUTED_VALUE"""),"Avg Fill Price (Base)")</f>
        <v>Avg Fill Price (Base)</v>
      </c>
      <c r="C5" s="23" t="str">
        <f ca="1">IFERROR(__xludf.DUMMYFUNCTION("""COMPUTED_VALUE"""),"Transaction Time")</f>
        <v>Transaction Time</v>
      </c>
      <c r="D5" s="23" t="str">
        <f ca="1">IFERROR(__xludf.DUMMYFUNCTION("""COMPUTED_VALUE"""),"Symbol")</f>
        <v>Symbol</v>
      </c>
      <c r="E5" s="23" t="str">
        <f ca="1">IFERROR(__xludf.DUMMYFUNCTION("""COMPUTED_VALUE"""),"Algo")</f>
        <v>Algo</v>
      </c>
      <c r="F5" s="24" t="str">
        <f ca="1">IFERROR(__xludf.DUMMYFUNCTION("""COMPUTED_VALUE"""),"Side")</f>
        <v>Side</v>
      </c>
      <c r="G5" s="23" t="str">
        <f ca="1">IFERROR(__xludf.DUMMYFUNCTION("""COMPUTED_VALUE"""),"Status")</f>
        <v>Status</v>
      </c>
      <c r="H5" s="23" t="str">
        <f ca="1">IFERROR(__xludf.DUMMYFUNCTION("""COMPUTED_VALUE"""),"Target Qty")</f>
        <v>Target Qty</v>
      </c>
      <c r="I5" s="23" t="str">
        <f ca="1">IFERROR(__xludf.DUMMYFUNCTION("""COMPUTED_VALUE"""),"Total Executed Qty")</f>
        <v>Total Executed Qty</v>
      </c>
      <c r="J5" s="23" t="str">
        <f ca="1">IFERROR(__xludf.DUMMYFUNCTION("""COMPUTED_VALUE"""),"% Executed")</f>
        <v>% Executed</v>
      </c>
      <c r="K5" s="23" t="str">
        <f ca="1">IFERROR(__xludf.DUMMYFUNCTION("""COMPUTED_VALUE"""),"Day Executed Qty")</f>
        <v>Day Executed Qty</v>
      </c>
      <c r="L5" s="23" t="str">
        <f ca="1">IFERROR(__xludf.DUMMYFUNCTION("""COMPUTED_VALUE"""),"Uncommitted Qty")</f>
        <v>Uncommitted Qty</v>
      </c>
      <c r="M5" s="23" t="str">
        <f ca="1">IFERROR(__xludf.DUMMYFUNCTION("""COMPUTED_VALUE"""),"Limit Price")</f>
        <v>Limit Price</v>
      </c>
      <c r="N5" s="23" t="str">
        <f ca="1">IFERROR(__xludf.DUMMYFUNCTION("""COMPUTED_VALUE"""),"Last Fill Price (Local)")</f>
        <v>Last Fill Price (Local)</v>
      </c>
      <c r="O5" s="23" t="str">
        <f ca="1">IFERROR(__xludf.DUMMYFUNCTION("""COMPUTED_VALUE"""),"Stop Price")</f>
        <v>Stop Price</v>
      </c>
      <c r="P5" s="23" t="str">
        <f ca="1">IFERROR(__xludf.DUMMYFUNCTION("""COMPUTED_VALUE"""),"Avg Fill Price (Local)")</f>
        <v>Avg Fill Price (Local)</v>
      </c>
      <c r="Q5" s="23" t="str">
        <f ca="1">IFERROR(__xludf.DUMMYFUNCTION("""COMPUTED_VALUE"""),"Broker")</f>
        <v>Broker</v>
      </c>
      <c r="R5" s="23" t="str">
        <f ca="1">IFERROR(__xludf.DUMMYFUNCTION("""COMPUTED_VALUE"""),"Account")</f>
        <v>Account</v>
      </c>
      <c r="S5" s="23" t="str">
        <f ca="1">IFERROR(__xludf.DUMMYFUNCTION("""COMPUTED_VALUE"""),"OrderID")</f>
        <v>OrderID</v>
      </c>
      <c r="T5" s="25" t="str">
        <f ca="1">IFERROR(__xludf.DUMMYFUNCTION("""COMPUTED_VALUE"""),"Order Type")</f>
        <v>Order Type</v>
      </c>
      <c r="U5" s="25" t="str">
        <f ca="1">IFERROR(__xludf.DUMMYFUNCTION("""COMPUTED_VALUE"""),"Principal Amount (Local)")</f>
        <v>Principal Amount (Local)</v>
      </c>
      <c r="V5" s="25" t="str">
        <f ca="1">IFERROR(__xludf.DUMMYFUNCTION("""COMPUTED_VALUE"""),"Principal Amount (Base)")</f>
        <v>Principal Amount (Base)</v>
      </c>
      <c r="W5" s="25" t="str">
        <f ca="1">IFERROR(__xludf.DUMMYFUNCTION("""COMPUTED_VALUE"""),"Peg")</f>
        <v>Peg</v>
      </c>
      <c r="X5" s="25" t="str">
        <f ca="1">IFERROR(__xludf.DUMMYFUNCTION("""COMPUTED_VALUE"""),"ParentClOrderID")</f>
        <v>ParentClOrderID</v>
      </c>
      <c r="Y5" s="25" t="str">
        <f ca="1">IFERROR(__xludf.DUMMYFUNCTION("""COMPUTED_VALUE"""),"Strike Price")</f>
        <v>Strike Price</v>
      </c>
      <c r="Z5" s="25" t="str">
        <f ca="1">IFERROR(__xludf.DUMMYFUNCTION("""COMPUTED_VALUE"""),"Last Shares")</f>
        <v>Last Shares</v>
      </c>
      <c r="AA5" s="25" t="str">
        <f ca="1">IFERROR(__xludf.DUMMYFUNCTION("""COMPUTED_VALUE"""),"Working Qty")</f>
        <v>Working Qty</v>
      </c>
      <c r="AB5" s="25" t="str">
        <f ca="1">IFERROR(__xludf.DUMMYFUNCTION("""COMPUTED_VALUE"""),"Bloomberg Symbol")</f>
        <v>Bloomberg Symbol</v>
      </c>
      <c r="AC5" s="25" t="str">
        <f ca="1">IFERROR(__xludf.DUMMYFUNCTION("""COMPUTED_VALUE"""),"Imported File Name")</f>
        <v>Imported File Name</v>
      </c>
      <c r="AD5" s="25" t="str">
        <f ca="1">IFERROR(__xludf.DUMMYFUNCTION("""COMPUTED_VALUE"""),"Master Fund")</f>
        <v>Master Fund</v>
      </c>
      <c r="AE5" s="25" t="str">
        <f ca="1">IFERROR(__xludf.DUMMYFUNCTION("""COMPUTED_VALUE"""),"Day Average Price")</f>
        <v>Day Average Price</v>
      </c>
      <c r="AF5" s="25" t="str">
        <f ca="1">IFERROR(__xludf.DUMMYFUNCTION("""COMPUTED_VALUE"""),"Asset Class")</f>
        <v>Asset Class</v>
      </c>
      <c r="AG5" s="25" t="str">
        <f ca="1">IFERROR(__xludf.DUMMYFUNCTION("""COMPUTED_VALUE"""),"Underlying Country")</f>
        <v>Underlying Country</v>
      </c>
      <c r="AH5" s="25" t="str">
        <f ca="1">IFERROR(__xludf.DUMMYFUNCTION("""COMPUTED_VALUE"""),"Trader")</f>
        <v>Trader</v>
      </c>
      <c r="AI5" s="25" t="str">
        <f ca="1">IFERROR(__xludf.DUMMYFUNCTION("""COMPUTED_VALUE"""),"User")</f>
        <v>User</v>
      </c>
      <c r="AJ5" s="25" t="str">
        <f ca="1">IFERROR(__xludf.DUMMYFUNCTION("""COMPUTED_VALUE"""),"Venue")</f>
        <v>Venue</v>
      </c>
      <c r="AK5" s="25" t="str">
        <f ca="1">IFERROR(__xludf.DUMMYFUNCTION("""COMPUTED_VALUE"""),"Settlement Currency")</f>
        <v>Settlement Currency</v>
      </c>
      <c r="AL5" s="25" t="str">
        <f ca="1">IFERROR(__xludf.DUMMYFUNCTION("""COMPUTED_VALUE"""),"FX Conversion Operator")</f>
        <v>FX Conversion Operator</v>
      </c>
      <c r="AM5" s="25" t="str">
        <f ca="1">IFERROR(__xludf.DUMMYFUNCTION("""COMPUTED_VALUE"""),"Process Date")</f>
        <v>Process Date</v>
      </c>
      <c r="AN5" s="25" t="str">
        <f ca="1">IFERROR(__xludf.DUMMYFUNCTION("""COMPUTED_VALUE"""),"Underlying Symbol")</f>
        <v>Underlying Symbol</v>
      </c>
      <c r="AO5" s="25" t="str">
        <f ca="1">IFERROR(__xludf.DUMMYFUNCTION("""COMPUTED_VALUE"""),"Put/Call")</f>
        <v>Put/Call</v>
      </c>
      <c r="AP5" s="25" t="str">
        <f ca="1">IFERROR(__xludf.DUMMYFUNCTION("""COMPUTED_VALUE"""),"FX Rate")</f>
        <v>FX Rate</v>
      </c>
      <c r="AQ5" s="25" t="str">
        <f ca="1">IFERROR(__xludf.DUMMYFUNCTION("""COMPUTED_VALUE"""),"Trade Attribute 1")</f>
        <v>Trade Attribute 1</v>
      </c>
      <c r="AR5" s="25" t="str">
        <f ca="1">IFERROR(__xludf.DUMMYFUNCTION("""COMPUTED_VALUE"""),"Trade Attribute 2")</f>
        <v>Trade Attribute 2</v>
      </c>
      <c r="AS5" s="25" t="str">
        <f ca="1">IFERROR(__xludf.DUMMYFUNCTION("""COMPUTED_VALUE"""),"Trade Attribute 3")</f>
        <v>Trade Attribute 3</v>
      </c>
      <c r="AT5" s="25" t="str">
        <f ca="1">IFERROR(__xludf.DUMMYFUNCTION("""COMPUTED_VALUE"""),"Trade Attribute 4")</f>
        <v>Trade Attribute 4</v>
      </c>
      <c r="AU5" s="25" t="str">
        <f ca="1">IFERROR(__xludf.DUMMYFUNCTION("""COMPUTED_VALUE"""),"Trade Attribute 5")</f>
        <v>Trade Attribute 5</v>
      </c>
      <c r="AV5" s="25" t="str">
        <f ca="1">IFERROR(__xludf.DUMMYFUNCTION("""COMPUTED_VALUE"""),"Trade Attribute 6")</f>
        <v>Trade Attribute 6</v>
      </c>
      <c r="AW5" s="25" t="str">
        <f ca="1">IFERROR(__xludf.DUMMYFUNCTION("""COMPUTED_VALUE"""),"Internal Comments")</f>
        <v>Internal Comments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 t="s">
        <v>16</v>
      </c>
      <c r="E6" s="36"/>
      <c r="F6" s="9" t="s">
        <v>17</v>
      </c>
      <c r="G6" s="9" t="s">
        <v>53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6" t="s">
        <v>11</v>
      </c>
      <c r="C1" s="57"/>
      <c r="D1" s="57"/>
      <c r="E1" s="57"/>
      <c r="F1" s="57"/>
      <c r="G1" s="57"/>
      <c r="H1" s="5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52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IFERROR(__xludf.DUMMYFUNCTION("""COMPUTED_VALUE"""),"Avg Fill Price (Base)")</f>
        <v>Avg Fill Price (Base)</v>
      </c>
      <c r="C5" s="23" t="str">
        <f ca="1">IFERROR(__xludf.DUMMYFUNCTION("""COMPUTED_VALUE"""),"Transaction Time")</f>
        <v>Transaction Time</v>
      </c>
      <c r="D5" s="23" t="str">
        <f ca="1">IFERROR(__xludf.DUMMYFUNCTION("""COMPUTED_VALUE"""),"Symbol")</f>
        <v>Symbol</v>
      </c>
      <c r="E5" s="23" t="str">
        <f ca="1">IFERROR(__xludf.DUMMYFUNCTION("""COMPUTED_VALUE"""),"Algo")</f>
        <v>Algo</v>
      </c>
      <c r="F5" s="24" t="str">
        <f ca="1">IFERROR(__xludf.DUMMYFUNCTION("""COMPUTED_VALUE"""),"Side")</f>
        <v>Side</v>
      </c>
      <c r="G5" s="23" t="str">
        <f ca="1">IFERROR(__xludf.DUMMYFUNCTION("""COMPUTED_VALUE"""),"Status")</f>
        <v>Status</v>
      </c>
      <c r="H5" s="23" t="str">
        <f ca="1">IFERROR(__xludf.DUMMYFUNCTION("""COMPUTED_VALUE"""),"Target Qty")</f>
        <v>Target Qty</v>
      </c>
      <c r="I5" s="23" t="str">
        <f ca="1">IFERROR(__xludf.DUMMYFUNCTION("""COMPUTED_VALUE"""),"Total Executed Qty")</f>
        <v>Total Executed Qty</v>
      </c>
      <c r="J5" s="23" t="str">
        <f ca="1">IFERROR(__xludf.DUMMYFUNCTION("""COMPUTED_VALUE"""),"% Executed")</f>
        <v>% Executed</v>
      </c>
      <c r="K5" s="23" t="str">
        <f ca="1">IFERROR(__xludf.DUMMYFUNCTION("""COMPUTED_VALUE"""),"Day Executed Qty")</f>
        <v>Day Executed Qty</v>
      </c>
      <c r="L5" s="23" t="str">
        <f ca="1">IFERROR(__xludf.DUMMYFUNCTION("""COMPUTED_VALUE"""),"Uncommitted Qty")</f>
        <v>Uncommitted Qty</v>
      </c>
      <c r="M5" s="23" t="str">
        <f ca="1">IFERROR(__xludf.DUMMYFUNCTION("""COMPUTED_VALUE"""),"Limit Price")</f>
        <v>Limit Price</v>
      </c>
      <c r="N5" s="23" t="str">
        <f ca="1">IFERROR(__xludf.DUMMYFUNCTION("""COMPUTED_VALUE"""),"Last Fill Price (Local)")</f>
        <v>Last Fill Price (Local)</v>
      </c>
      <c r="O5" s="23" t="str">
        <f ca="1">IFERROR(__xludf.DUMMYFUNCTION("""COMPUTED_VALUE"""),"Stop Price")</f>
        <v>Stop Price</v>
      </c>
      <c r="P5" s="23" t="str">
        <f ca="1">IFERROR(__xludf.DUMMYFUNCTION("""COMPUTED_VALUE"""),"Avg Fill Price (Local)")</f>
        <v>Avg Fill Price (Local)</v>
      </c>
      <c r="Q5" s="23" t="str">
        <f ca="1">IFERROR(__xludf.DUMMYFUNCTION("""COMPUTED_VALUE"""),"Broker")</f>
        <v>Broker</v>
      </c>
      <c r="R5" s="23" t="str">
        <f ca="1">IFERROR(__xludf.DUMMYFUNCTION("""COMPUTED_VALUE"""),"Account")</f>
        <v>Account</v>
      </c>
      <c r="S5" s="23" t="str">
        <f ca="1">IFERROR(__xludf.DUMMYFUNCTION("""COMPUTED_VALUE"""),"OrderID")</f>
        <v>OrderID</v>
      </c>
      <c r="T5" s="25" t="str">
        <f ca="1">IFERROR(__xludf.DUMMYFUNCTION("""COMPUTED_VALUE"""),"Order Type")</f>
        <v>Order Type</v>
      </c>
      <c r="U5" s="25" t="str">
        <f ca="1">IFERROR(__xludf.DUMMYFUNCTION("""COMPUTED_VALUE"""),"Principal Amount (Local)")</f>
        <v>Principal Amount (Local)</v>
      </c>
      <c r="V5" s="25" t="str">
        <f ca="1">IFERROR(__xludf.DUMMYFUNCTION("""COMPUTED_VALUE"""),"Principal Amount (Base)")</f>
        <v>Principal Amount (Base)</v>
      </c>
      <c r="W5" s="25" t="str">
        <f ca="1">IFERROR(__xludf.DUMMYFUNCTION("""COMPUTED_VALUE"""),"Peg")</f>
        <v>Peg</v>
      </c>
      <c r="X5" s="25" t="str">
        <f ca="1">IFERROR(__xludf.DUMMYFUNCTION("""COMPUTED_VALUE"""),"ParentClOrderID")</f>
        <v>ParentClOrderID</v>
      </c>
      <c r="Y5" s="25" t="str">
        <f ca="1">IFERROR(__xludf.DUMMYFUNCTION("""COMPUTED_VALUE"""),"Strike Price")</f>
        <v>Strike Price</v>
      </c>
      <c r="Z5" s="25" t="str">
        <f ca="1">IFERROR(__xludf.DUMMYFUNCTION("""COMPUTED_VALUE"""),"Last Shares")</f>
        <v>Last Shares</v>
      </c>
      <c r="AA5" s="25" t="str">
        <f ca="1">IFERROR(__xludf.DUMMYFUNCTION("""COMPUTED_VALUE"""),"Working Qty")</f>
        <v>Working Qty</v>
      </c>
      <c r="AB5" s="25" t="str">
        <f ca="1">IFERROR(__xludf.DUMMYFUNCTION("""COMPUTED_VALUE"""),"Bloomberg Symbol")</f>
        <v>Bloomberg Symbol</v>
      </c>
      <c r="AC5" s="25" t="str">
        <f ca="1">IFERROR(__xludf.DUMMYFUNCTION("""COMPUTED_VALUE"""),"Imported File Name")</f>
        <v>Imported File Name</v>
      </c>
      <c r="AD5" s="25" t="str">
        <f ca="1">IFERROR(__xludf.DUMMYFUNCTION("""COMPUTED_VALUE"""),"Master Fund")</f>
        <v>Master Fund</v>
      </c>
      <c r="AE5" s="25" t="str">
        <f ca="1">IFERROR(__xludf.DUMMYFUNCTION("""COMPUTED_VALUE"""),"Day Average Price")</f>
        <v>Day Average Price</v>
      </c>
      <c r="AF5" s="25" t="str">
        <f ca="1">IFERROR(__xludf.DUMMYFUNCTION("""COMPUTED_VALUE"""),"Asset Class")</f>
        <v>Asset Class</v>
      </c>
      <c r="AG5" s="25" t="str">
        <f ca="1">IFERROR(__xludf.DUMMYFUNCTION("""COMPUTED_VALUE"""),"Underlying Country")</f>
        <v>Underlying Country</v>
      </c>
      <c r="AH5" s="25" t="str">
        <f ca="1">IFERROR(__xludf.DUMMYFUNCTION("""COMPUTED_VALUE"""),"Trader")</f>
        <v>Trader</v>
      </c>
      <c r="AI5" s="25" t="str">
        <f ca="1">IFERROR(__xludf.DUMMYFUNCTION("""COMPUTED_VALUE"""),"User")</f>
        <v>User</v>
      </c>
      <c r="AJ5" s="25" t="str">
        <f ca="1">IFERROR(__xludf.DUMMYFUNCTION("""COMPUTED_VALUE"""),"Venue")</f>
        <v>Venue</v>
      </c>
      <c r="AK5" s="25" t="str">
        <f ca="1">IFERROR(__xludf.DUMMYFUNCTION("""COMPUTED_VALUE"""),"Settlement Currency")</f>
        <v>Settlement Currency</v>
      </c>
      <c r="AL5" s="25" t="str">
        <f ca="1">IFERROR(__xludf.DUMMYFUNCTION("""COMPUTED_VALUE"""),"FX Conversion Operator")</f>
        <v>FX Conversion Operator</v>
      </c>
      <c r="AM5" s="25" t="str">
        <f ca="1">IFERROR(__xludf.DUMMYFUNCTION("""COMPUTED_VALUE"""),"Process Date")</f>
        <v>Process Date</v>
      </c>
      <c r="AN5" s="25" t="str">
        <f ca="1">IFERROR(__xludf.DUMMYFUNCTION("""COMPUTED_VALUE"""),"Underlying Symbol")</f>
        <v>Underlying Symbol</v>
      </c>
      <c r="AO5" s="25" t="str">
        <f ca="1">IFERROR(__xludf.DUMMYFUNCTION("""COMPUTED_VALUE"""),"Put/Call")</f>
        <v>Put/Call</v>
      </c>
      <c r="AP5" s="25" t="str">
        <f ca="1">IFERROR(__xludf.DUMMYFUNCTION("""COMPUTED_VALUE"""),"FX Rate")</f>
        <v>FX Rate</v>
      </c>
      <c r="AQ5" s="25" t="str">
        <f ca="1">IFERROR(__xludf.DUMMYFUNCTION("""COMPUTED_VALUE"""),"Trade Attribute 1")</f>
        <v>Trade Attribute 1</v>
      </c>
      <c r="AR5" s="25" t="str">
        <f ca="1">IFERROR(__xludf.DUMMYFUNCTION("""COMPUTED_VALUE"""),"Trade Attribute 2")</f>
        <v>Trade Attribute 2</v>
      </c>
      <c r="AS5" s="25" t="str">
        <f ca="1">IFERROR(__xludf.DUMMYFUNCTION("""COMPUTED_VALUE"""),"Trade Attribute 3")</f>
        <v>Trade Attribute 3</v>
      </c>
      <c r="AT5" s="25" t="str">
        <f ca="1">IFERROR(__xludf.DUMMYFUNCTION("""COMPUTED_VALUE"""),"Trade Attribute 4")</f>
        <v>Trade Attribute 4</v>
      </c>
      <c r="AU5" s="25" t="str">
        <f ca="1">IFERROR(__xludf.DUMMYFUNCTION("""COMPUTED_VALUE"""),"Trade Attribute 5")</f>
        <v>Trade Attribute 5</v>
      </c>
      <c r="AV5" s="25" t="str">
        <f ca="1">IFERROR(__xludf.DUMMYFUNCTION("""COMPUTED_VALUE"""),"Trade Attribute 6")</f>
        <v>Trade Attribute 6</v>
      </c>
      <c r="AW5" s="25" t="str">
        <f ca="1">IFERROR(__xludf.DUMMYFUNCTION("""COMPUTED_VALUE"""),"Internal Comments")</f>
        <v>Internal Comments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 t="s">
        <v>16</v>
      </c>
      <c r="E6" s="36"/>
      <c r="F6" s="9" t="s">
        <v>17</v>
      </c>
      <c r="G6" s="9" t="s">
        <v>53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_Modules</vt:lpstr>
      <vt:lpstr>_Settings</vt:lpstr>
      <vt:lpstr>_MasterData</vt:lpstr>
      <vt:lpstr>CreateLiveOrder</vt:lpstr>
      <vt:lpstr>AcknowledgeTrade</vt:lpstr>
      <vt:lpstr>SelectTrade</vt:lpstr>
      <vt:lpstr>ExecuteTrade</vt:lpstr>
      <vt:lpstr>VerifyTrades</vt:lpstr>
      <vt:lpstr>EditStageOrder</vt:lpstr>
      <vt:lpstr>CreateReplaceOrder</vt:lpstr>
      <vt:lpstr>ReplaceSubOrder</vt:lpstr>
      <vt:lpstr>CreateReplaceOrder1</vt:lpstr>
      <vt:lpstr>AcknowledgeTrade1</vt:lpstr>
      <vt:lpstr>SelectTrade1</vt:lpstr>
      <vt:lpstr>ExecuteTrade1</vt:lpstr>
      <vt:lpstr>VerifyTrades1</vt:lpstr>
      <vt:lpstr>CancelSubOrder</vt:lpstr>
      <vt:lpstr>AcknowledgeTrade2</vt:lpstr>
      <vt:lpstr>VerifyOrder</vt:lpstr>
      <vt:lpstr>VerifySubOrder</vt:lpstr>
      <vt:lpstr>GetDataAllocation</vt:lpstr>
      <vt:lpstr>CheckAllocatedGroups</vt:lpstr>
      <vt:lpstr>CheckPortfolioManagement</vt:lpstr>
      <vt:lpstr>GetDataClosing</vt:lpstr>
      <vt:lpstr>VerifyLongPositionsGrid</vt:lpstr>
      <vt:lpstr>SelectTradeOnOrderGrid</vt:lpstr>
      <vt:lpstr>SelectTradeOnOrderGrid1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2021-08-04T11:49:13Z</dcterms:modified>
</cp:coreProperties>
</file>