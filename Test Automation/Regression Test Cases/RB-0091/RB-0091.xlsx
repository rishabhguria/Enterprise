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<sst xmlns="http://schemas.openxmlformats.org/spreadsheetml/2006/main" count="261" uniqueCount="55">
  <si>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</si>
  <si>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</si>
  <si>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</si>
  <si>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</si>
  <si>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</si>
  <si>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</si>
  <si>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</si>
  <si>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</si>
  <si>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</si>
  <si>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</si>
  <si>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</si>
  <si>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</si>
  <si>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</si>
  <si>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</si>
  <si>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</si>
  <si>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</si>
  <si>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</si>
  <si>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</si>
  <si>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</si>
  <si>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</si>
  <si>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</si>
  <si>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</si>
  <si>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</si>
  <si>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</si>
  <si>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</si>
  <si>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</si>
  <si>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</si>
  <si>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</si>
  <si>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</si>
  <si>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</si>
  <si>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</si>
  <si>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</si>
  <si>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</si>
  <si>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</si>
  <si>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</si>
  <si>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</si>
  <si>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</si>
  <si>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</si>
  <si>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</si>
  <si>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</si>
  <si>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RebalanceAcrossSecurities</t>
  </si>
  <si>
    <t>AAPL</t>
  </si>
  <si>
    <t>Set</t>
  </si>
  <si>
    <t>Pro-Rata</t>
  </si>
  <si>
    <t>RunRebalance</t>
  </si>
  <si>
    <t>Round Down</t>
  </si>
  <si>
    <t>VerifyGridData</t>
  </si>
  <si>
    <t>FixedIncome</t>
  </si>
  <si>
    <t>Long</t>
  </si>
  <si>
    <t>Equity</t>
  </si>
  <si>
    <t>Short</t>
  </si>
  <si>
    <t>Accruals</t>
  </si>
  <si>
    <t>Cash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</si>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</sst>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b/>
      <sz val="11.0"/>
      <color rgb="FFFFFFFF"/>
      <name val="Calibri"/>
    </font>
    <font>
      <sz val="11.0"/>
    </font>
    <font>
      <sz val="11.0"/>
      <name val="Calibri"/>
    </font>
    <font>
      <sz val="11.0"/>
      <color rgb="FFFFFFFF"/>
      <name val="Calibri"/>
    </font>
    <font>
      <sz val="11.0"/>
      <color rgb="FFFFFFFF"/>
    </font>
    <font>
      <sz val="11.0"/>
      <color rgb="FFD9D9D9"/>
      <name val="Calibri"/>
    </font>
    <font>
      <sz val="11.0"/>
      <color rgb="FFD9D9D9"/>
    </font>
    <font>
      <sz val="11.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2" fontId="14" numFmtId="0" xfId="0" applyAlignment="1" applyFont="1">
      <alignment horizontal="center" shrinkToFit="0" wrapText="0"/>
    </xf>
    <xf borderId="1" fillId="2" fontId="14" numFmtId="0" xfId="0" applyAlignment="1" applyBorder="1" applyFont="1">
      <alignment horizontal="center" shrinkToFit="0" wrapText="0"/>
    </xf>
    <xf borderId="0" fillId="2" fontId="15" numFmtId="0" xfId="0" applyFont="1"/>
    <xf borderId="0" fillId="0" fontId="16" numFmtId="0" xfId="0" applyAlignment="1" applyFont="1">
      <alignment shrinkToFit="0" wrapText="0"/>
    </xf>
    <xf borderId="0" fillId="0" fontId="17" numFmtId="0" xfId="0" applyAlignment="1" applyFont="1">
      <alignment shrinkToFit="0" wrapText="0"/>
    </xf>
    <xf borderId="0" fillId="0" fontId="15" numFmtId="0" xfId="0" applyFont="1"/>
    <xf borderId="0" fillId="3" fontId="14" numFmtId="0" xfId="0" applyAlignment="1" applyFont="1">
      <alignment shrinkToFit="0" wrapText="0"/>
    </xf>
    <xf borderId="4" fillId="3" fontId="14" numFmtId="0" xfId="0" applyAlignment="1" applyBorder="1" applyFont="1">
      <alignment shrinkToFit="0" wrapText="0"/>
    </xf>
    <xf borderId="4" fillId="3" fontId="17" numFmtId="0" xfId="0" applyAlignment="1" applyBorder="1" applyFont="1">
      <alignment readingOrder="0" shrinkToFit="0" wrapText="0"/>
    </xf>
    <xf borderId="4" fillId="3" fontId="17" numFmtId="0" xfId="0" applyAlignment="1" applyBorder="1" applyFont="1">
      <alignment shrinkToFit="0" wrapText="0"/>
    </xf>
    <xf borderId="0" fillId="3" fontId="18" numFmtId="0" xfId="0" applyFont="1"/>
    <xf borderId="0" fillId="4" fontId="19" numFmtId="0" xfId="0" applyAlignment="1" applyFont="1">
      <alignment shrinkToFit="0" wrapText="0"/>
    </xf>
    <xf borderId="0" fillId="4" fontId="20" numFmtId="0" xfId="0" applyFont="1"/>
    <xf borderId="0" fillId="5" fontId="14" numFmtId="0" xfId="0" applyAlignment="1" applyFont="1">
      <alignment shrinkToFit="0" wrapText="0"/>
    </xf>
    <xf borderId="4" fillId="5" fontId="14" numFmtId="0" xfId="0" applyAlignment="1" applyBorder="1" applyFont="1">
      <alignment shrinkToFit="0" wrapText="0"/>
    </xf>
    <xf borderId="4" fillId="5" fontId="14" numFmtId="0" xfId="0" applyAlignment="1" applyBorder="1" applyFont="1">
      <alignment readingOrder="0" shrinkToFit="0" wrapText="0"/>
    </xf>
    <xf borderId="0" fillId="5" fontId="18" numFmtId="0" xfId="0" applyFont="1"/>
    <xf borderId="0" fillId="0" fontId="21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readingOrder="0" vertical="bottom"/>
    </xf>
    <xf borderId="0" fillId="0" fontId="21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22" numFmtId="0" xfId="0" applyAlignment="1" applyFont="1">
      <alignment readingOrder="0" shrinkToFit="0" vertical="bottom" wrapText="0"/>
    </xf>
    <xf borderId="0" fillId="0" fontId="22" numFmtId="4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v>1.23456789E8</v>
      </c>
      <c r="C6" s="31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17</v>
      </c>
      <c r="C8" s="31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18</v>
      </c>
      <c r="C9" s="31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19</v>
      </c>
      <c r="C10" s="31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20</v>
      </c>
      <c r="C11" s="31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21</v>
      </c>
      <c r="C12" s="31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22</v>
      </c>
      <c r="C13" s="31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 t="s">
        <v>23</v>
      </c>
      <c r="C14" s="31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4"/>
      <c r="B1" s="35" t="s">
        <v>11</v>
      </c>
      <c r="C1" s="2"/>
      <c r="D1" s="2"/>
      <c r="E1" s="2"/>
      <c r="F1" s="2"/>
      <c r="G1" s="2"/>
      <c r="H1" s="3"/>
      <c r="I1" s="34"/>
      <c r="J1" s="34"/>
      <c r="K1" s="34"/>
      <c r="L1" s="34"/>
      <c r="M1" s="34"/>
      <c r="N1" s="34"/>
      <c r="O1" s="34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</row>
    <row r="2" ht="15.75" customHeight="1">
      <c r="A2" s="37"/>
      <c r="B2" s="37"/>
      <c r="C2" s="37"/>
      <c r="D2" s="37"/>
      <c r="E2" s="37"/>
      <c r="F2" s="37"/>
      <c r="G2" s="37"/>
      <c r="H2" s="37"/>
      <c r="I2" s="37"/>
      <c r="J2" s="38" t="str">
        <f> VLOOKUP($E$3,'_MasterData'!B4:D1000,3,FALSE)</f>
        <v>1b5S4Xpp4fgZ1ez6cK92QFnVBylqz8jhwxdAyEvwDqUI</v>
      </c>
      <c r="K2" s="38"/>
      <c r="L2" s="37"/>
      <c r="M2" s="37"/>
      <c r="N2" s="37"/>
      <c r="O2" s="37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</row>
    <row r="3" ht="15.75" customHeight="1">
      <c r="A3" s="40"/>
      <c r="B3" s="41" t="s">
        <v>8</v>
      </c>
      <c r="C3" s="42" t="s">
        <v>24</v>
      </c>
      <c r="D3" s="41" t="s">
        <v>9</v>
      </c>
      <c r="E3" s="42" t="s">
        <v>25</v>
      </c>
      <c r="F3" s="41" t="s">
        <v>14</v>
      </c>
      <c r="G3" s="43" t="s">
        <v>15</v>
      </c>
      <c r="H3" s="41"/>
      <c r="I3" s="40"/>
      <c r="J3" s="40"/>
      <c r="K3" s="40"/>
      <c r="L3" s="40"/>
      <c r="M3" s="40"/>
      <c r="N3" s="40"/>
      <c r="O3" s="40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</row>
    <row r="4" ht="15.75" customHeight="1">
      <c r="A4" s="45"/>
      <c r="B4" s="45" t="str">
        <f>IFERROR(__xludf.DUMMYFUNCTION("IF(C3="""","""",Transpose(IMPORTRANGE('_Settings'!$B$3,C3&amp;""!A4:A1000"")))"),"OpenTTFromPST")</f>
        <v>OpenTTFromPST</v>
      </c>
      <c r="C4" s="45" t="str">
        <f>IFERROR(__xludf.DUMMYFUNCTION("""COMPUTED_VALUE"""),"EnterDetailsOnTT")</f>
        <v>EnterDetailsOnTT</v>
      </c>
      <c r="D4" s="45" t="str">
        <f>IFERROR(__xludf.DUMMYFUNCTION("""COMPUTED_VALUE"""),"ValidateSymbolTT")</f>
        <v>ValidateSymbolTT</v>
      </c>
      <c r="E4" s="45" t="str">
        <f>IFERROR(__xludf.DUMMYFUNCTION("""COMPUTED_VALUE"""),"VerifyDataTT")</f>
        <v>VerifyDataTT</v>
      </c>
      <c r="F4" s="45" t="str">
        <f>IFERROR(__xludf.DUMMYFUNCTION("""COMPUTED_VALUE"""),"SetUIPreferencesTT")</f>
        <v>SetUIPreferencesTT</v>
      </c>
      <c r="G4" s="45" t="str">
        <f>IFERROR(__xludf.DUMMYFUNCTION("""COMPUTED_VALUE"""),"SetBrokerWisePreferencesTT")</f>
        <v>SetBrokerWisePreferencesTT</v>
      </c>
      <c r="H4" s="45" t="str">
        <f>IFERROR(__xludf.DUMMYFUNCTION("""COMPUTED_VALUE"""),"TradeNewSub")</f>
        <v>TradeNewSub</v>
      </c>
      <c r="I4" s="45" t="str">
        <f>IFERROR(__xludf.DUMMYFUNCTION("""COMPUTED_VALUE"""),"CreateStageOrder")</f>
        <v>CreateStageOrder</v>
      </c>
      <c r="J4" s="45" t="str">
        <f>IFERROR(__xludf.DUMMYFUNCTION("""COMPUTED_VALUE"""),"CreateReplaceOrder")</f>
        <v>CreateReplaceOrder</v>
      </c>
      <c r="K4" s="45" t="str">
        <f>IFERROR(__xludf.DUMMYFUNCTION("""COMPUTED_VALUE"""),"SetGeneralPreference")</f>
        <v>SetGeneralPreference</v>
      </c>
      <c r="L4" s="45" t="str">
        <f>IFERROR(__xludf.DUMMYFUNCTION("""COMPUTED_VALUE"""),"CreateNewSubOrder")</f>
        <v>CreateNewSubOrder</v>
      </c>
      <c r="M4" s="45" t="str">
        <f>IFERROR(__xludf.DUMMYFUNCTION("""COMPUTED_VALUE"""),"TradeBloomberg")</f>
        <v>TradeBloomberg</v>
      </c>
      <c r="N4" s="45" t="str">
        <f>IFERROR(__xludf.DUMMYFUNCTION("""COMPUTED_VALUE"""),"ClickSymbolLookup")</f>
        <v>ClickSymbolLookup</v>
      </c>
      <c r="O4" s="45" t="str">
        <f>IFERROR(__xludf.DUMMYFUNCTION("""COMPUTED_VALUE"""),"VerifyTT")</f>
        <v>VerifyTT</v>
      </c>
      <c r="P4" s="46" t="str">
        <f>IFERROR(__xludf.DUMMYFUNCTION("""COMPUTED_VALUE"""),"CreateLiveOrder")</f>
        <v>CreateLiveOrder</v>
      </c>
      <c r="Q4" s="46" t="str">
        <f>IFERROR(__xludf.DUMMYFUNCTION("""COMPUTED_VALUE"""),"UpdateMasterFundOnTT")</f>
        <v>UpdateMasterFundOnTT</v>
      </c>
      <c r="R4" s="46" t="str">
        <f>IFERROR(__xludf.DUMMYFUNCTION("""COMPUTED_VALUE"""),"SetTTCompliancePreference")</f>
        <v>SetTTCompliancePreference</v>
      </c>
      <c r="S4" s="46" t="str">
        <f>IFERROR(__xludf.DUMMYFUNCTION("""COMPUTED_VALUE"""),"ImportSymbol")</f>
        <v>ImportSymbol</v>
      </c>
      <c r="T4" s="46" t="str">
        <f>IFERROR(__xludf.DUMMYFUNCTION("""COMPUTED_VALUE"""),"ExportSymbolFromRAList")</f>
        <v>ExportSymbolFromRAList</v>
      </c>
      <c r="U4" s="46" t="str">
        <f>IFERROR(__xludf.DUMMYFUNCTION("""COMPUTED_VALUE"""),"CheckPendingNewOrderAlert")</f>
        <v>CheckPendingNewOrderAlert</v>
      </c>
      <c r="V4" s="46" t="str">
        <f>IFERROR(__xludf.DUMMYFUNCTION("""COMPUTED_VALUE"""),"AddSymbolOnRAList")</f>
        <v>AddSymbolOnRAList</v>
      </c>
      <c r="W4" s="46" t="str">
        <f>IFERROR(__xludf.DUMMYFUNCTION("""COMPUTED_VALUE"""),"DeleteSymbolListFromRA")</f>
        <v>DeleteSymbolListFromRA</v>
      </c>
      <c r="X4" s="46" t="str">
        <f>IFERROR(__xludf.DUMMYFUNCTION("""COMPUTED_VALUE"""),"RemoveSymbolFromRAList")</f>
        <v>RemoveSymbolFromRAList</v>
      </c>
      <c r="Y4" s="46" t="str">
        <f>IFERROR(__xludf.DUMMYFUNCTION("""COMPUTED_VALUE"""),"ToggleBlombergOnRA")</f>
        <v>ToggleBlombergOnRA</v>
      </c>
      <c r="Z4" s="46" t="str">
        <f>IFERROR(__xludf.DUMMYFUNCTION("""COMPUTED_VALUE"""),"CreateDoneAwayOrder")</f>
        <v>CreateDoneAwayOrder</v>
      </c>
      <c r="AA4" s="46" t="str">
        <f>IFERROR(__xludf.DUMMYFUNCTION("""COMPUTED_VALUE"""),"AddOptionTrade")</f>
        <v>AddOptionTrade</v>
      </c>
      <c r="AB4" s="46" t="str">
        <f>IFERROR(__xludf.DUMMYFUNCTION("""COMPUTED_VALUE"""),"SendLiveBloomberg")</f>
        <v>SendLiveBloomberg</v>
      </c>
      <c r="AC4" s="46" t="str">
        <f>IFERROR(__xludf.DUMMYFUNCTION("""COMPUTED_VALUE"""),"ViewAllocation")</f>
        <v>ViewAllocation</v>
      </c>
      <c r="AD4" s="46" t="str">
        <f>IFERROR(__xludf.DUMMYFUNCTION("""COMPUTED_VALUE"""),"CreateReplaceLiveOrder")</f>
        <v>CreateReplaceLiveOrder</v>
      </c>
      <c r="AE4" s="46" t="str">
        <f>IFERROR(__xludf.DUMMYFUNCTION("""COMPUTED_VALUE"""),"CreateNewSubLiveOrder")</f>
        <v>CreateNewSubLiveOrder</v>
      </c>
      <c r="AF4" s="46" t="str">
        <f>IFERROR(__xludf.DUMMYFUNCTION("""COMPUTED_VALUE"""),"VerifyBasketExport")</f>
        <v>VerifyBasketExport</v>
      </c>
      <c r="AG4" s="46" t="str">
        <f>IFERROR(__xludf.DUMMYFUNCTION("""COMPUTED_VALUE"""),"CreateComplianceOrder")</f>
        <v>CreateComplianceOrder</v>
      </c>
      <c r="AH4" s="46" t="str">
        <f>IFERROR(__xludf.DUMMYFUNCTION("""COMPUTED_VALUE"""),"VerifyComplianceOrder")</f>
        <v>VerifyComplianceOrder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</row>
    <row r="5" ht="15.75" customHeight="1">
      <c r="A5" s="47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IFERROR(__xludf.DUMMYFUNCTION("""COMPUTED_VALUE"""),"Symbol")</f>
        <v>Symbol</v>
      </c>
      <c r="C5" s="48" t="str">
        <f>IFERROR(__xludf.DUMMYFUNCTION("""COMPUTED_VALUE"""),"Order Side")</f>
        <v>Order Side</v>
      </c>
      <c r="D5" s="48" t="str">
        <f>IFERROR(__xludf.DUMMYFUNCTION("""COMPUTED_VALUE"""),"Quantity")</f>
        <v>Quantity</v>
      </c>
      <c r="E5" s="48" t="str">
        <f>IFERROR(__xludf.DUMMYFUNCTION("""COMPUTED_VALUE"""),"TargetQuantityIn")</f>
        <v>TargetQuantityIn</v>
      </c>
      <c r="F5" s="49" t="str">
        <f>IFERROR(__xludf.DUMMYFUNCTION("""COMPUTED_VALUE"""),"AllocationMethod")</f>
        <v>AllocationMethod</v>
      </c>
      <c r="G5" s="48" t="str">
        <f>IFERROR(__xludf.DUMMYFUNCTION("""COMPUTED_VALUE"""),"Broker")</f>
        <v>Broker</v>
      </c>
      <c r="H5" s="48" t="str">
        <f>IFERROR(__xludf.DUMMYFUNCTION("""COMPUTED_VALUE"""),"TIF")</f>
        <v>TIF</v>
      </c>
      <c r="I5" s="48" t="str">
        <f>IFERROR(__xludf.DUMMYFUNCTION("""COMPUTED_VALUE"""),"Order Type")</f>
        <v>Order Type</v>
      </c>
      <c r="J5" s="48" t="str">
        <f>IFERROR(__xludf.DUMMYFUNCTION("""COMPUTED_VALUE"""),"Price")</f>
        <v>Price</v>
      </c>
      <c r="K5" s="48" t="str">
        <f>IFERROR(__xludf.DUMMYFUNCTION("""COMPUTED_VALUE"""),"Stop")</f>
        <v>Stop</v>
      </c>
      <c r="L5" s="48" t="str">
        <f>IFERROR(__xludf.DUMMYFUNCTION("""COMPUTED_VALUE"""),"Limit")</f>
        <v>Limit</v>
      </c>
      <c r="M5" s="48" t="str">
        <f>IFERROR(__xludf.DUMMYFUNCTION("""COMPUTED_VALUE"""),"Strategy")</f>
        <v>Strategy</v>
      </c>
      <c r="N5" s="48" t="str">
        <f>IFERROR(__xludf.DUMMYFUNCTION("""COMPUTED_VALUE"""),"Trade Date")</f>
        <v>Trade Date</v>
      </c>
      <c r="O5" s="48" t="str">
        <f>IFERROR(__xludf.DUMMYFUNCTION("""COMPUTED_VALUE"""),"FxRate")</f>
        <v>FxRate</v>
      </c>
      <c r="P5" s="48" t="str">
        <f>IFERROR(__xludf.DUMMYFUNCTION("""COMPUTED_VALUE"""),"Notes")</f>
        <v>Notes</v>
      </c>
      <c r="Q5" s="48" t="str">
        <f>IFERROR(__xludf.DUMMYFUNCTION("""COMPUTED_VALUE"""),"Broker Notes")</f>
        <v>Broker Notes</v>
      </c>
      <c r="R5" s="48" t="str">
        <f>IFERROR(__xludf.DUMMYFUNCTION("""COMPUTED_VALUE"""),"CommissionBasis")</f>
        <v>CommissionBasis</v>
      </c>
      <c r="S5" s="48" t="str">
        <f>IFERROR(__xludf.DUMMYFUNCTION("""COMPUTED_VALUE"""),"CommissionRate")</f>
        <v>CommissionRate</v>
      </c>
      <c r="T5" s="50" t="str">
        <f>IFERROR(__xludf.DUMMYFUNCTION("""COMPUTED_VALUE"""),"SoftBasis")</f>
        <v>SoftBasis</v>
      </c>
      <c r="U5" s="50" t="str">
        <f>IFERROR(__xludf.DUMMYFUNCTION("""COMPUTED_VALUE"""),"SoftRate")</f>
        <v>SoftRate</v>
      </c>
      <c r="V5" s="50" t="str">
        <f>IFERROR(__xludf.DUMMYFUNCTION("""COMPUTED_VALUE"""),"TradeAttribute1")</f>
        <v>TradeAttribute1</v>
      </c>
      <c r="W5" s="50" t="str">
        <f>IFERROR(__xludf.DUMMYFUNCTION("""COMPUTED_VALUE"""),"TradeAttribute2")</f>
        <v>TradeAttribute2</v>
      </c>
      <c r="X5" s="50" t="str">
        <f>IFERROR(__xludf.DUMMYFUNCTION("""COMPUTED_VALUE"""),"TradeAttribute3")</f>
        <v>TradeAttribute3</v>
      </c>
      <c r="Y5" s="50" t="str">
        <f>IFERROR(__xludf.DUMMYFUNCTION("""COMPUTED_VALUE"""),"TradeAttribute4")</f>
        <v>TradeAttribute4</v>
      </c>
      <c r="Z5" s="50" t="str">
        <f>IFERROR(__xludf.DUMMYFUNCTION("""COMPUTED_VALUE"""),"TradeAttribute5")</f>
        <v>TradeAttribute5</v>
      </c>
      <c r="AA5" s="50" t="str">
        <f>IFERROR(__xludf.DUMMYFUNCTION("""COMPUTED_VALUE"""),"TradeAttribute6")</f>
        <v>TradeAttribute6</v>
      </c>
      <c r="AB5" s="50" t="str">
        <f>IFERROR(__xludf.DUMMYFUNCTION("""COMPUTED_VALUE"""),"Venue")</f>
        <v>Venue</v>
      </c>
      <c r="AC5" s="50" t="str">
        <f>IFERROR(__xludf.DUMMYFUNCTION("""COMPUTED_VALUE"""),"ExecutionInstructions")</f>
        <v>ExecutionInstructions</v>
      </c>
      <c r="AD5" s="50" t="str">
        <f>IFERROR(__xludf.DUMMYFUNCTION("""COMPUTED_VALUE"""),"HandlingInstructions")</f>
        <v>HandlingInstructions</v>
      </c>
      <c r="AE5" s="50" t="str">
        <f>IFERROR(__xludf.DUMMYFUNCTION("""COMPUTED_VALUE"""),"Trader")</f>
        <v>Trader</v>
      </c>
      <c r="AF5" s="50" t="str">
        <f>IFERROR(__xludf.DUMMYFUNCTION("""COMPUTED_VALUE"""),"SettlementCurrency")</f>
        <v>SettlementCurrency</v>
      </c>
      <c r="AG5" s="50" t="str">
        <f>IFERROR(__xludf.DUMMYFUNCTION("""COMPUTED_VALUE"""),"SettlementFXRate")</f>
        <v>SettlementFXRate</v>
      </c>
      <c r="AH5" s="50" t="str">
        <f>IFERROR(__xludf.DUMMYFUNCTION("""COMPUTED_VALUE"""),"SettlementAmount")</f>
        <v>SettlementAmount</v>
      </c>
      <c r="AI5" s="50" t="str">
        <f>IFERROR(__xludf.DUMMYFUNCTION("""COMPUTED_VALUE"""),"SettlementFXOperator")</f>
        <v>SettlementFXOperator</v>
      </c>
      <c r="AJ5" s="50" t="str">
        <f>IFERROR(__xludf.DUMMYFUNCTION("""COMPUTED_VALUE"""),"SettleByBroker")</f>
        <v>SettleByBroker</v>
      </c>
      <c r="AK5" s="50" t="str">
        <f>IFERROR(__xludf.DUMMYFUNCTION("""COMPUTED_VALUE"""),"Account")</f>
        <v>Account</v>
      </c>
      <c r="AL5" s="50" t="str">
        <f>IFERROR(__xludf.DUMMYFUNCTION("""COMPUTED_VALUE"""),"Account %")</f>
        <v>Account %</v>
      </c>
      <c r="AM5" s="50" t="str">
        <f>IFERROR(__xludf.DUMMYFUNCTION("""COMPUTED_VALUE"""),"Deal In")</f>
        <v>Deal In</v>
      </c>
      <c r="AN5" s="50" t="str">
        <f>IFERROR(__xludf.DUMMYFUNCTION("""COMPUTED_VALUE"""),"ChkBoxBookAsSwap")</f>
        <v>ChkBoxBookAsSwap</v>
      </c>
      <c r="AO5" s="50" t="str">
        <f>IFERROR(__xludf.DUMMYFUNCTION("""COMPUTED_VALUE"""),"PopUpQuantity")</f>
        <v>PopUpQuantity</v>
      </c>
      <c r="AP5" s="50" t="str">
        <f>IFERROR(__xludf.DUMMYFUNCTION("""COMPUTED_VALUE"""),"ShortLocate")</f>
        <v>ShortLocate</v>
      </c>
      <c r="AQ5" s="50" t="str">
        <f>IFERROR(__xludf.DUMMYFUNCTION("""COMPUTED_VALUE"""),"AllowTrade")</f>
        <v>AllowTrade</v>
      </c>
      <c r="AR5" s="50" t="str">
        <f>IFERROR(__xludf.DUMMYFUNCTION("""COMPUTED_VALUE"""),"SharesOutstandingPopUpQty")</f>
        <v>SharesOutstandingPopUpQty</v>
      </c>
      <c r="AS5" s="50" t="str">
        <f>IFERROR(__xludf.DUMMYFUNCTION("""COMPUTED_VALUE"""),"SharesOutstandingPopUp")</f>
        <v>SharesOutstandingPopUp</v>
      </c>
      <c r="AT5" s="50" t="str">
        <f>IFERROR(__xludf.DUMMYFUNCTION("""COMPUTED_VALUE"""),"ResAllowedListPopUp")</f>
        <v>ResAllowedListPopUp</v>
      </c>
      <c r="AU5" s="50" t="str">
        <f>IFERROR(__xludf.DUMMYFUNCTION("""COMPUTED_VALUE"""),"Rate(%)")</f>
        <v>Rate(%)</v>
      </c>
      <c r="AV5" s="50" t="str">
        <f>IFERROR(__xludf.DUMMYFUNCTION("""COMPUTED_VALUE"""),"Interest Rate")</f>
        <v>Interest Rate</v>
      </c>
      <c r="AW5" s="50" t="str">
        <f>IFERROR(__xludf.DUMMYFUNCTION("""COMPUTED_VALUE"""),"SelectAlgoStrategy")</f>
        <v>SelectAlgoStrategy</v>
      </c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</row>
    <row r="6" ht="15.75" customHeight="1">
      <c r="A6" s="51"/>
      <c r="B6" s="52">
        <v>1.23456789E8</v>
      </c>
      <c r="C6" s="52" t="s">
        <v>26</v>
      </c>
      <c r="D6" s="53">
        <v>1000.0</v>
      </c>
      <c r="E6" s="52"/>
      <c r="F6" s="52" t="s">
        <v>27</v>
      </c>
      <c r="G6" s="52"/>
      <c r="H6" s="52"/>
      <c r="I6" s="52"/>
      <c r="J6" s="52">
        <v>10.0</v>
      </c>
      <c r="K6" s="52"/>
      <c r="L6" s="54"/>
      <c r="M6" s="54"/>
      <c r="N6" s="55">
        <f t="shared" ref="N6:N23" si="1">today()-1</f>
        <v>44837</v>
      </c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</row>
    <row r="7" ht="15.75" customHeight="1">
      <c r="A7" s="54"/>
      <c r="B7" s="52" t="s">
        <v>16</v>
      </c>
      <c r="C7" s="52" t="s">
        <v>26</v>
      </c>
      <c r="D7" s="52">
        <v>100.0</v>
      </c>
      <c r="E7" s="52"/>
      <c r="F7" s="52" t="s">
        <v>27</v>
      </c>
      <c r="G7" s="52"/>
      <c r="H7" s="52"/>
      <c r="I7" s="52"/>
      <c r="J7" s="52">
        <v>10.0</v>
      </c>
      <c r="K7" s="52"/>
      <c r="L7" s="52"/>
      <c r="M7" s="54"/>
      <c r="N7" s="55">
        <f t="shared" si="1"/>
        <v>44837</v>
      </c>
      <c r="O7" s="52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</row>
    <row r="8" ht="15.75" customHeight="1">
      <c r="A8" s="54"/>
      <c r="B8" s="52" t="s">
        <v>17</v>
      </c>
      <c r="C8" s="52" t="s">
        <v>26</v>
      </c>
      <c r="D8" s="52">
        <v>100.0</v>
      </c>
      <c r="E8" s="52"/>
      <c r="F8" s="52" t="s">
        <v>27</v>
      </c>
      <c r="G8" s="52"/>
      <c r="H8" s="52"/>
      <c r="I8" s="52"/>
      <c r="J8" s="52">
        <v>10.0</v>
      </c>
      <c r="K8" s="52"/>
      <c r="L8" s="52"/>
      <c r="M8" s="54"/>
      <c r="N8" s="55">
        <f t="shared" si="1"/>
        <v>44837</v>
      </c>
      <c r="O8" s="52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</row>
    <row r="9" ht="15.75" customHeight="1">
      <c r="A9" s="54"/>
      <c r="B9" s="52" t="s">
        <v>18</v>
      </c>
      <c r="C9" s="52" t="s">
        <v>26</v>
      </c>
      <c r="D9" s="52">
        <v>1000.0</v>
      </c>
      <c r="E9" s="52"/>
      <c r="F9" s="52" t="s">
        <v>27</v>
      </c>
      <c r="G9" s="52"/>
      <c r="H9" s="52"/>
      <c r="I9" s="52"/>
      <c r="J9" s="52">
        <v>10.0</v>
      </c>
      <c r="K9" s="52"/>
      <c r="L9" s="52"/>
      <c r="M9" s="52"/>
      <c r="N9" s="55">
        <f t="shared" si="1"/>
        <v>44837</v>
      </c>
      <c r="O9" s="52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</row>
    <row r="10" ht="15.75" customHeight="1">
      <c r="A10" s="54"/>
      <c r="B10" s="52" t="s">
        <v>19</v>
      </c>
      <c r="C10" s="52" t="s">
        <v>26</v>
      </c>
      <c r="D10" s="52">
        <v>1000.0</v>
      </c>
      <c r="E10" s="52"/>
      <c r="F10" s="52" t="s">
        <v>27</v>
      </c>
      <c r="G10" s="52"/>
      <c r="H10" s="52"/>
      <c r="I10" s="52"/>
      <c r="J10" s="52">
        <v>10.0</v>
      </c>
      <c r="K10" s="52"/>
      <c r="L10" s="52"/>
      <c r="M10" s="52"/>
      <c r="N10" s="55">
        <f t="shared" si="1"/>
        <v>44837</v>
      </c>
      <c r="O10" s="52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</row>
    <row r="11" ht="15.75" customHeight="1">
      <c r="A11" s="54"/>
      <c r="B11" s="52" t="s">
        <v>20</v>
      </c>
      <c r="C11" s="52" t="s">
        <v>26</v>
      </c>
      <c r="D11" s="52">
        <v>1000.0</v>
      </c>
      <c r="E11" s="52"/>
      <c r="F11" s="52" t="s">
        <v>27</v>
      </c>
      <c r="G11" s="52"/>
      <c r="H11" s="52"/>
      <c r="I11" s="52"/>
      <c r="J11" s="52">
        <v>10.0</v>
      </c>
      <c r="K11" s="52"/>
      <c r="L11" s="52"/>
      <c r="M11" s="52"/>
      <c r="N11" s="55">
        <f t="shared" si="1"/>
        <v>44837</v>
      </c>
      <c r="O11" s="52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</row>
    <row r="12" ht="15.75" customHeight="1">
      <c r="A12" s="54"/>
      <c r="B12" s="52" t="s">
        <v>21</v>
      </c>
      <c r="C12" s="52" t="s">
        <v>26</v>
      </c>
      <c r="D12" s="52">
        <v>1000.0</v>
      </c>
      <c r="E12" s="52"/>
      <c r="F12" s="52" t="s">
        <v>27</v>
      </c>
      <c r="G12" s="52"/>
      <c r="H12" s="52"/>
      <c r="I12" s="52"/>
      <c r="J12" s="52">
        <v>10.0</v>
      </c>
      <c r="K12" s="52"/>
      <c r="L12" s="52"/>
      <c r="M12" s="52"/>
      <c r="N12" s="55">
        <f t="shared" si="1"/>
        <v>44837</v>
      </c>
      <c r="O12" s="52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</row>
    <row r="13" ht="15.75" customHeight="1">
      <c r="A13" s="54"/>
      <c r="B13" s="52" t="s">
        <v>22</v>
      </c>
      <c r="C13" s="52" t="s">
        <v>26</v>
      </c>
      <c r="D13" s="52">
        <v>1000.0</v>
      </c>
      <c r="E13" s="52"/>
      <c r="F13" s="52" t="s">
        <v>27</v>
      </c>
      <c r="G13" s="52"/>
      <c r="H13" s="52"/>
      <c r="I13" s="52"/>
      <c r="J13" s="52">
        <v>10.0</v>
      </c>
      <c r="K13" s="52"/>
      <c r="L13" s="52"/>
      <c r="M13" s="52"/>
      <c r="N13" s="55">
        <f t="shared" si="1"/>
        <v>44837</v>
      </c>
      <c r="O13" s="52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</row>
    <row r="14" ht="15.75" customHeight="1">
      <c r="A14" s="54"/>
      <c r="B14" s="52" t="s">
        <v>23</v>
      </c>
      <c r="C14" s="52" t="s">
        <v>26</v>
      </c>
      <c r="D14" s="52">
        <v>1000.0</v>
      </c>
      <c r="E14" s="52"/>
      <c r="F14" s="52" t="s">
        <v>27</v>
      </c>
      <c r="G14" s="52"/>
      <c r="H14" s="52"/>
      <c r="I14" s="52"/>
      <c r="J14" s="52">
        <v>10.0</v>
      </c>
      <c r="K14" s="52"/>
      <c r="L14" s="52"/>
      <c r="M14" s="52"/>
      <c r="N14" s="55">
        <f t="shared" si="1"/>
        <v>44837</v>
      </c>
      <c r="O14" s="52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</row>
    <row r="15" ht="15.75" customHeight="1">
      <c r="A15" s="54"/>
      <c r="B15" s="52">
        <v>1.23456789E8</v>
      </c>
      <c r="C15" s="52" t="s">
        <v>26</v>
      </c>
      <c r="D15" s="52">
        <v>2000.0</v>
      </c>
      <c r="E15" s="52"/>
      <c r="F15" s="52" t="s">
        <v>28</v>
      </c>
      <c r="G15" s="52"/>
      <c r="H15" s="52"/>
      <c r="I15" s="52"/>
      <c r="J15" s="52">
        <v>10.0</v>
      </c>
      <c r="K15" s="52"/>
      <c r="L15" s="52"/>
      <c r="M15" s="52"/>
      <c r="N15" s="55">
        <f t="shared" si="1"/>
        <v>44837</v>
      </c>
      <c r="O15" s="52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</row>
    <row r="16" ht="15.75" customHeight="1">
      <c r="A16" s="54"/>
      <c r="B16" s="52" t="s">
        <v>16</v>
      </c>
      <c r="C16" s="52" t="s">
        <v>26</v>
      </c>
      <c r="D16" s="52">
        <v>200.0</v>
      </c>
      <c r="E16" s="52"/>
      <c r="F16" s="52" t="s">
        <v>28</v>
      </c>
      <c r="G16" s="52"/>
      <c r="H16" s="52"/>
      <c r="I16" s="52"/>
      <c r="J16" s="52">
        <v>10.0</v>
      </c>
      <c r="K16" s="52"/>
      <c r="L16" s="52"/>
      <c r="M16" s="52"/>
      <c r="N16" s="55">
        <f t="shared" si="1"/>
        <v>44837</v>
      </c>
      <c r="O16" s="52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</row>
    <row r="17" ht="15.75" customHeight="1">
      <c r="A17" s="54"/>
      <c r="B17" s="52" t="s">
        <v>17</v>
      </c>
      <c r="C17" s="52" t="s">
        <v>26</v>
      </c>
      <c r="D17" s="52">
        <v>200.0</v>
      </c>
      <c r="E17" s="52"/>
      <c r="F17" s="52" t="s">
        <v>28</v>
      </c>
      <c r="G17" s="52"/>
      <c r="H17" s="52"/>
      <c r="I17" s="52"/>
      <c r="J17" s="52">
        <v>10.0</v>
      </c>
      <c r="K17" s="52"/>
      <c r="L17" s="52"/>
      <c r="M17" s="52"/>
      <c r="N17" s="55">
        <f t="shared" si="1"/>
        <v>44837</v>
      </c>
      <c r="O17" s="52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</row>
    <row r="18" ht="15.75" customHeight="1">
      <c r="A18" s="54"/>
      <c r="B18" s="52" t="s">
        <v>18</v>
      </c>
      <c r="C18" s="52" t="s">
        <v>26</v>
      </c>
      <c r="D18" s="52">
        <v>2000.0</v>
      </c>
      <c r="E18" s="52"/>
      <c r="F18" s="52" t="s">
        <v>28</v>
      </c>
      <c r="G18" s="52"/>
      <c r="H18" s="52"/>
      <c r="I18" s="52"/>
      <c r="J18" s="52">
        <v>10.0</v>
      </c>
      <c r="K18" s="52"/>
      <c r="L18" s="52"/>
      <c r="M18" s="52"/>
      <c r="N18" s="55">
        <f t="shared" si="1"/>
        <v>44837</v>
      </c>
      <c r="O18" s="52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</row>
    <row r="19" ht="15.75" customHeight="1">
      <c r="A19" s="54"/>
      <c r="B19" s="52" t="s">
        <v>19</v>
      </c>
      <c r="C19" s="52" t="s">
        <v>26</v>
      </c>
      <c r="D19" s="52">
        <v>2000.0</v>
      </c>
      <c r="E19" s="52"/>
      <c r="F19" s="52" t="s">
        <v>28</v>
      </c>
      <c r="G19" s="52"/>
      <c r="H19" s="52"/>
      <c r="I19" s="52"/>
      <c r="J19" s="52">
        <v>10.0</v>
      </c>
      <c r="K19" s="52"/>
      <c r="L19" s="52"/>
      <c r="M19" s="52"/>
      <c r="N19" s="55">
        <f t="shared" si="1"/>
        <v>44837</v>
      </c>
      <c r="O19" s="52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</row>
    <row r="20" ht="15.75" customHeight="1">
      <c r="A20" s="54"/>
      <c r="B20" s="52" t="s">
        <v>20</v>
      </c>
      <c r="C20" s="52" t="s">
        <v>26</v>
      </c>
      <c r="D20" s="52">
        <v>2000.0</v>
      </c>
      <c r="E20" s="52"/>
      <c r="F20" s="52" t="s">
        <v>28</v>
      </c>
      <c r="G20" s="52"/>
      <c r="H20" s="52"/>
      <c r="I20" s="52"/>
      <c r="J20" s="52">
        <v>10.0</v>
      </c>
      <c r="K20" s="52"/>
      <c r="L20" s="52"/>
      <c r="M20" s="52"/>
      <c r="N20" s="55">
        <f t="shared" si="1"/>
        <v>44837</v>
      </c>
      <c r="O20" s="52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</row>
    <row r="21" ht="15.75" customHeight="1">
      <c r="A21" s="54"/>
      <c r="B21" s="52" t="s">
        <v>21</v>
      </c>
      <c r="C21" s="52" t="s">
        <v>26</v>
      </c>
      <c r="D21" s="52">
        <v>2000.0</v>
      </c>
      <c r="E21" s="52"/>
      <c r="F21" s="52" t="s">
        <v>28</v>
      </c>
      <c r="G21" s="52"/>
      <c r="H21" s="52"/>
      <c r="I21" s="52"/>
      <c r="J21" s="52">
        <v>10.0</v>
      </c>
      <c r="K21" s="52"/>
      <c r="L21" s="52"/>
      <c r="M21" s="52"/>
      <c r="N21" s="55">
        <f t="shared" si="1"/>
        <v>44837</v>
      </c>
      <c r="O21" s="52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</row>
    <row r="22" ht="15.75" customHeight="1">
      <c r="A22" s="54"/>
      <c r="B22" s="52" t="s">
        <v>22</v>
      </c>
      <c r="C22" s="52" t="s">
        <v>26</v>
      </c>
      <c r="D22" s="52">
        <v>2000.0</v>
      </c>
      <c r="E22" s="52"/>
      <c r="F22" s="52" t="s">
        <v>28</v>
      </c>
      <c r="G22" s="52"/>
      <c r="H22" s="52"/>
      <c r="I22" s="52"/>
      <c r="J22" s="52">
        <v>10.0</v>
      </c>
      <c r="K22" s="52"/>
      <c r="L22" s="52"/>
      <c r="M22" s="52"/>
      <c r="N22" s="55">
        <f t="shared" si="1"/>
        <v>44837</v>
      </c>
      <c r="O22" s="52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</row>
    <row r="23" ht="15.75" customHeight="1">
      <c r="A23" s="54"/>
      <c r="B23" s="52" t="s">
        <v>23</v>
      </c>
      <c r="C23" s="52" t="s">
        <v>26</v>
      </c>
      <c r="D23" s="52">
        <v>2000.0</v>
      </c>
      <c r="E23" s="52"/>
      <c r="F23" s="52" t="s">
        <v>28</v>
      </c>
      <c r="G23" s="52"/>
      <c r="H23" s="52"/>
      <c r="I23" s="52"/>
      <c r="J23" s="52">
        <v>10.0</v>
      </c>
      <c r="K23" s="52"/>
      <c r="L23" s="52"/>
      <c r="M23" s="52"/>
      <c r="N23" s="55">
        <f t="shared" si="1"/>
        <v>44837</v>
      </c>
      <c r="O23" s="52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</row>
    <row r="24" ht="15.75" customHeight="1">
      <c r="A24" s="8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ht="15.75" customHeight="1">
      <c r="A25" s="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ht="15.75" customHeight="1">
      <c r="A26" s="8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ht="15.75" customHeight="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ht="15.7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ht="15.7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 ht="15.7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ht="15.7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ht="15.7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</row>
    <row r="33" ht="15.75" customHeight="1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</row>
    <row r="34" ht="15.75" customHeight="1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ht="15.75" customHeight="1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</row>
    <row r="36" ht="15.75" customHeight="1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</row>
    <row r="37" ht="15.75" customHeigh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ht="15.75" customHeigh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>
        <v>1.23456789E8</v>
      </c>
      <c r="C6" s="56">
        <v>1300.0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16</v>
      </c>
      <c r="C7" s="56">
        <v>1840.12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17</v>
      </c>
      <c r="C8" s="56">
        <v>1120.44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18</v>
      </c>
      <c r="C9" s="56">
        <v>133.31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19</v>
      </c>
      <c r="C10" s="56">
        <v>5.81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6" t="s">
        <v>20</v>
      </c>
      <c r="C11" s="56">
        <v>75.54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21</v>
      </c>
      <c r="C12" s="56">
        <v>58.48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6" t="s">
        <v>22</v>
      </c>
      <c r="C13" s="53">
        <v>865.35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23</v>
      </c>
      <c r="C14" s="53">
        <v>1200.0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>
        <f t="shared" ref="B6:C6" si="1">today()-1</f>
        <v>44837</v>
      </c>
      <c r="C6" s="5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 t="s">
        <v>27</v>
      </c>
      <c r="C6" s="58" t="s">
        <v>33</v>
      </c>
      <c r="D6" s="58">
        <v>264534.0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8" t="s">
        <v>28</v>
      </c>
      <c r="C7" s="58" t="s">
        <v>33</v>
      </c>
      <c r="D7" s="58">
        <v>529068.0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36</v>
      </c>
      <c r="C6" s="33" t="s">
        <v>37</v>
      </c>
      <c r="D6" s="33" t="s">
        <v>38</v>
      </c>
      <c r="E6" s="33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41</v>
      </c>
      <c r="C6" s="33" t="s">
        <v>42</v>
      </c>
      <c r="D6" s="31">
        <v>-10.0</v>
      </c>
      <c r="E6" s="33" t="s">
        <v>43</v>
      </c>
      <c r="F6" s="8"/>
      <c r="G6" s="8"/>
      <c r="H6" s="8"/>
      <c r="I6" s="8"/>
      <c r="J6" s="13">
        <v>194.0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45</v>
      </c>
      <c r="C6" s="60"/>
      <c r="D6" s="61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2"/>
      <c r="C6" s="62" t="s">
        <v>27</v>
      </c>
      <c r="D6" s="62">
        <v>1.23456789E8</v>
      </c>
      <c r="E6" s="62" t="s">
        <v>47</v>
      </c>
      <c r="F6" s="62" t="s">
        <v>48</v>
      </c>
      <c r="G6" s="63">
        <v>1300.0</v>
      </c>
      <c r="H6" s="64">
        <v>1300.0</v>
      </c>
      <c r="I6" s="64">
        <v>1.0</v>
      </c>
      <c r="J6" s="64"/>
      <c r="K6" s="64">
        <v>1000.0</v>
      </c>
      <c r="L6" s="64">
        <v>13000.0</v>
      </c>
      <c r="M6" s="64">
        <v>13000.0</v>
      </c>
      <c r="N6" s="62"/>
      <c r="O6" s="64">
        <v>1000.0</v>
      </c>
      <c r="P6" s="64">
        <v>13000.0</v>
      </c>
      <c r="Q6" s="64">
        <v>13000.0</v>
      </c>
      <c r="R6" s="64">
        <v>0.0</v>
      </c>
      <c r="S6" s="64">
        <v>0.0</v>
      </c>
      <c r="T6" s="62"/>
    </row>
    <row r="7" ht="15.75" customHeight="1">
      <c r="A7" s="8"/>
      <c r="B7" s="62"/>
      <c r="C7" s="62" t="s">
        <v>28</v>
      </c>
      <c r="D7" s="62">
        <v>1.23456789E8</v>
      </c>
      <c r="E7" s="62" t="s">
        <v>47</v>
      </c>
      <c r="F7" s="62" t="s">
        <v>48</v>
      </c>
      <c r="G7" s="63">
        <v>1300.0</v>
      </c>
      <c r="H7" s="64">
        <v>1300.0</v>
      </c>
      <c r="I7" s="64">
        <v>1.0</v>
      </c>
      <c r="J7" s="64"/>
      <c r="K7" s="64">
        <v>2000.0</v>
      </c>
      <c r="L7" s="64">
        <v>26000.0</v>
      </c>
      <c r="M7" s="64">
        <v>26000.0</v>
      </c>
      <c r="N7" s="62"/>
      <c r="O7" s="64">
        <v>2000.0</v>
      </c>
      <c r="P7" s="64">
        <v>26000.0</v>
      </c>
      <c r="Q7" s="64">
        <v>26000.0</v>
      </c>
      <c r="R7" s="64">
        <v>0.0</v>
      </c>
      <c r="S7" s="64">
        <v>0.0</v>
      </c>
      <c r="T7" s="62"/>
    </row>
    <row r="8" ht="15.75" customHeight="1">
      <c r="A8" s="8"/>
      <c r="B8" s="62"/>
      <c r="C8" s="62" t="s">
        <v>27</v>
      </c>
      <c r="D8" s="62" t="s">
        <v>41</v>
      </c>
      <c r="E8" s="62" t="s">
        <v>49</v>
      </c>
      <c r="F8" s="62" t="s">
        <v>50</v>
      </c>
      <c r="G8" s="64">
        <v>194.0</v>
      </c>
      <c r="H8" s="64">
        <v>194.0</v>
      </c>
      <c r="I8" s="64">
        <v>1.0</v>
      </c>
      <c r="J8" s="64"/>
      <c r="K8" s="64">
        <v>0.0</v>
      </c>
      <c r="L8" s="64">
        <v>0.0</v>
      </c>
      <c r="M8" s="64">
        <v>0.0</v>
      </c>
      <c r="N8" s="62"/>
      <c r="O8" s="65">
        <v>6549.0</v>
      </c>
      <c r="P8" s="64">
        <v>-1270506.0</v>
      </c>
      <c r="Q8" s="64">
        <v>-1270506.0</v>
      </c>
      <c r="R8" s="64">
        <v>6549.0</v>
      </c>
      <c r="S8" s="65">
        <v>-1270506.0</v>
      </c>
      <c r="T8" s="62"/>
    </row>
    <row r="9" ht="15.75" customHeight="1">
      <c r="A9" s="8"/>
      <c r="B9" s="62"/>
      <c r="C9" s="62" t="s">
        <v>28</v>
      </c>
      <c r="D9" s="62" t="s">
        <v>41</v>
      </c>
      <c r="E9" s="62" t="s">
        <v>49</v>
      </c>
      <c r="F9" s="62" t="s">
        <v>50</v>
      </c>
      <c r="G9" s="64">
        <v>194.0</v>
      </c>
      <c r="H9" s="64">
        <v>194.0</v>
      </c>
      <c r="I9" s="64">
        <v>1.0</v>
      </c>
      <c r="J9" s="64"/>
      <c r="K9" s="64">
        <v>0.0</v>
      </c>
      <c r="L9" s="64">
        <v>0.0</v>
      </c>
      <c r="M9" s="64">
        <v>0.0</v>
      </c>
      <c r="N9" s="62"/>
      <c r="O9" s="65">
        <v>13099.0</v>
      </c>
      <c r="P9" s="64">
        <v>-2541206.0</v>
      </c>
      <c r="Q9" s="64">
        <v>-2541206.0</v>
      </c>
      <c r="R9" s="64">
        <v>13099.0</v>
      </c>
      <c r="S9" s="65">
        <v>-2541206.0</v>
      </c>
      <c r="T9" s="62"/>
    </row>
    <row r="10" ht="15.75" customHeight="1">
      <c r="A10" s="8"/>
      <c r="B10" s="62"/>
      <c r="C10" s="62" t="s">
        <v>27</v>
      </c>
      <c r="D10" s="62" t="s">
        <v>23</v>
      </c>
      <c r="E10" s="62" t="s">
        <v>47</v>
      </c>
      <c r="F10" s="62" t="s">
        <v>48</v>
      </c>
      <c r="G10" s="63">
        <v>1200.0</v>
      </c>
      <c r="H10" s="64">
        <v>1200.0</v>
      </c>
      <c r="I10" s="64">
        <v>1.0</v>
      </c>
      <c r="J10" s="64"/>
      <c r="K10" s="64">
        <v>1000.0</v>
      </c>
      <c r="L10" s="64">
        <v>1.2E7</v>
      </c>
      <c r="M10" s="64">
        <v>1.2E7</v>
      </c>
      <c r="N10" s="62"/>
      <c r="O10" s="64">
        <v>1000.0</v>
      </c>
      <c r="P10" s="64">
        <v>1.2E7</v>
      </c>
      <c r="Q10" s="64">
        <v>1.2E7</v>
      </c>
      <c r="R10" s="64">
        <v>0.0</v>
      </c>
      <c r="S10" s="64">
        <v>0.0</v>
      </c>
      <c r="T10" s="62"/>
    </row>
    <row r="11" ht="15.75" customHeight="1">
      <c r="A11" s="8"/>
      <c r="B11" s="62"/>
      <c r="C11" s="62" t="s">
        <v>28</v>
      </c>
      <c r="D11" s="62" t="s">
        <v>23</v>
      </c>
      <c r="E11" s="62" t="s">
        <v>47</v>
      </c>
      <c r="F11" s="62" t="s">
        <v>48</v>
      </c>
      <c r="G11" s="63">
        <v>1200.0</v>
      </c>
      <c r="H11" s="64">
        <v>1200.0</v>
      </c>
      <c r="I11" s="64">
        <v>1.0</v>
      </c>
      <c r="J11" s="64"/>
      <c r="K11" s="64">
        <v>2000.0</v>
      </c>
      <c r="L11" s="64">
        <v>2.4E7</v>
      </c>
      <c r="M11" s="64">
        <v>2.4E7</v>
      </c>
      <c r="N11" s="62"/>
      <c r="O11" s="64">
        <v>2000.0</v>
      </c>
      <c r="P11" s="64">
        <v>2.4E7</v>
      </c>
      <c r="Q11" s="64">
        <v>2.4E7</v>
      </c>
      <c r="R11" s="64">
        <v>0.0</v>
      </c>
      <c r="S11" s="64">
        <v>0.0</v>
      </c>
      <c r="T11" s="62"/>
    </row>
    <row r="12" ht="15.75" customHeight="1">
      <c r="A12" s="8"/>
      <c r="B12" s="62"/>
      <c r="C12" s="62" t="s">
        <v>27</v>
      </c>
      <c r="D12" s="62" t="s">
        <v>16</v>
      </c>
      <c r="E12" s="62" t="s">
        <v>49</v>
      </c>
      <c r="F12" s="62" t="s">
        <v>48</v>
      </c>
      <c r="G12" s="63">
        <v>1840.12</v>
      </c>
      <c r="H12" s="64">
        <v>1840.12</v>
      </c>
      <c r="I12" s="64">
        <v>1.0</v>
      </c>
      <c r="J12" s="64"/>
      <c r="K12" s="64">
        <v>100.0</v>
      </c>
      <c r="L12" s="64">
        <v>184012.0</v>
      </c>
      <c r="M12" s="64">
        <v>184012.0</v>
      </c>
      <c r="N12" s="62"/>
      <c r="O12" s="64">
        <v>100.0</v>
      </c>
      <c r="P12" s="64">
        <v>184012.0</v>
      </c>
      <c r="Q12" s="64">
        <v>184012.0</v>
      </c>
      <c r="R12" s="64">
        <v>0.0</v>
      </c>
      <c r="S12" s="64">
        <v>0.0</v>
      </c>
      <c r="T12" s="62"/>
    </row>
    <row r="13" ht="15.75" customHeight="1">
      <c r="A13" s="8"/>
      <c r="B13" s="62"/>
      <c r="C13" s="62" t="s">
        <v>28</v>
      </c>
      <c r="D13" s="62" t="s">
        <v>16</v>
      </c>
      <c r="E13" s="62" t="s">
        <v>49</v>
      </c>
      <c r="F13" s="62" t="s">
        <v>48</v>
      </c>
      <c r="G13" s="63">
        <v>1840.12</v>
      </c>
      <c r="H13" s="64">
        <v>1840.12</v>
      </c>
      <c r="I13" s="64">
        <v>1.0</v>
      </c>
      <c r="J13" s="64"/>
      <c r="K13" s="64">
        <v>200.0</v>
      </c>
      <c r="L13" s="64">
        <v>368024.0</v>
      </c>
      <c r="M13" s="64">
        <v>368024.0</v>
      </c>
      <c r="N13" s="62"/>
      <c r="O13" s="64">
        <v>200.0</v>
      </c>
      <c r="P13" s="64">
        <v>368024.0</v>
      </c>
      <c r="Q13" s="64">
        <v>368024.0</v>
      </c>
      <c r="R13" s="64">
        <v>0.0</v>
      </c>
      <c r="S13" s="64">
        <v>0.0</v>
      </c>
      <c r="T13" s="62"/>
    </row>
    <row r="14" ht="15.75" customHeight="1">
      <c r="A14" s="8"/>
      <c r="B14" s="62"/>
      <c r="C14" s="62" t="s">
        <v>27</v>
      </c>
      <c r="D14" s="62" t="s">
        <v>20</v>
      </c>
      <c r="E14" s="62" t="s">
        <v>49</v>
      </c>
      <c r="F14" s="62" t="s">
        <v>48</v>
      </c>
      <c r="G14" s="64">
        <v>75.54</v>
      </c>
      <c r="H14" s="64">
        <v>0.0</v>
      </c>
      <c r="I14" s="64">
        <v>0.0</v>
      </c>
      <c r="J14" s="64"/>
      <c r="K14" s="64">
        <v>1000.0</v>
      </c>
      <c r="L14" s="64">
        <v>75540.0</v>
      </c>
      <c r="M14" s="64">
        <v>0.0</v>
      </c>
      <c r="N14" s="62"/>
      <c r="O14" s="64">
        <v>1000.0</v>
      </c>
      <c r="P14" s="64">
        <v>75540.0</v>
      </c>
      <c r="Q14" s="64">
        <v>0.0</v>
      </c>
      <c r="R14" s="64">
        <v>0.0</v>
      </c>
      <c r="S14" s="64">
        <v>0.0</v>
      </c>
      <c r="T14" s="62"/>
    </row>
    <row r="15" ht="15.75" customHeight="1">
      <c r="A15" s="8"/>
      <c r="B15" s="62"/>
      <c r="C15" s="62" t="s">
        <v>28</v>
      </c>
      <c r="D15" s="62" t="s">
        <v>20</v>
      </c>
      <c r="E15" s="62" t="s">
        <v>49</v>
      </c>
      <c r="F15" s="62" t="s">
        <v>48</v>
      </c>
      <c r="G15" s="64">
        <v>75.54</v>
      </c>
      <c r="H15" s="64">
        <v>0.0</v>
      </c>
      <c r="I15" s="64">
        <v>0.0</v>
      </c>
      <c r="J15" s="64"/>
      <c r="K15" s="64">
        <v>2000.0</v>
      </c>
      <c r="L15" s="64">
        <v>151080.0</v>
      </c>
      <c r="M15" s="64">
        <v>0.0</v>
      </c>
      <c r="N15" s="62"/>
      <c r="O15" s="64">
        <v>2000.0</v>
      </c>
      <c r="P15" s="64">
        <v>151080.0</v>
      </c>
      <c r="Q15" s="64">
        <v>0.0</v>
      </c>
      <c r="R15" s="64">
        <v>0.0</v>
      </c>
      <c r="S15" s="64">
        <v>0.0</v>
      </c>
      <c r="T15" s="62"/>
    </row>
    <row r="16" ht="15.75" customHeight="1">
      <c r="A16" s="8"/>
      <c r="B16" s="62"/>
      <c r="C16" s="62" t="s">
        <v>27</v>
      </c>
      <c r="D16" s="62" t="s">
        <v>22</v>
      </c>
      <c r="E16" s="62" t="s">
        <v>49</v>
      </c>
      <c r="F16" s="62" t="s">
        <v>48</v>
      </c>
      <c r="G16" s="64">
        <v>865.35</v>
      </c>
      <c r="H16" s="64">
        <v>0.0</v>
      </c>
      <c r="I16" s="64">
        <v>0.0</v>
      </c>
      <c r="J16" s="64"/>
      <c r="K16" s="64">
        <v>1000.0</v>
      </c>
      <c r="L16" s="64">
        <v>865350.0</v>
      </c>
      <c r="M16" s="64">
        <v>0.0</v>
      </c>
      <c r="N16" s="62"/>
      <c r="O16" s="64">
        <v>1000.0</v>
      </c>
      <c r="P16" s="64">
        <v>865350.0</v>
      </c>
      <c r="Q16" s="64">
        <v>0.0</v>
      </c>
      <c r="R16" s="64">
        <v>0.0</v>
      </c>
      <c r="S16" s="64">
        <v>0.0</v>
      </c>
      <c r="T16" s="62"/>
    </row>
    <row r="17" ht="15.75" customHeight="1">
      <c r="A17" s="8"/>
      <c r="B17" s="62"/>
      <c r="C17" s="62" t="s">
        <v>28</v>
      </c>
      <c r="D17" s="62" t="s">
        <v>22</v>
      </c>
      <c r="E17" s="62" t="s">
        <v>49</v>
      </c>
      <c r="F17" s="62" t="s">
        <v>48</v>
      </c>
      <c r="G17" s="64">
        <v>865.35</v>
      </c>
      <c r="H17" s="64">
        <v>0.0</v>
      </c>
      <c r="I17" s="64">
        <v>0.0</v>
      </c>
      <c r="J17" s="64"/>
      <c r="K17" s="64">
        <v>2000.0</v>
      </c>
      <c r="L17" s="64">
        <v>1730700.0</v>
      </c>
      <c r="M17" s="64">
        <v>0.0</v>
      </c>
      <c r="N17" s="62"/>
      <c r="O17" s="64">
        <v>2000.0</v>
      </c>
      <c r="P17" s="64">
        <v>1730700.0</v>
      </c>
      <c r="Q17" s="64">
        <v>0.0</v>
      </c>
      <c r="R17" s="64">
        <v>0.0</v>
      </c>
      <c r="S17" s="64">
        <v>0.0</v>
      </c>
      <c r="T17" s="62"/>
    </row>
    <row r="18" ht="15.75" customHeight="1">
      <c r="A18" s="8"/>
      <c r="B18" s="62"/>
      <c r="C18" s="62" t="s">
        <v>27</v>
      </c>
      <c r="D18" s="62" t="s">
        <v>21</v>
      </c>
      <c r="E18" s="62" t="s">
        <v>49</v>
      </c>
      <c r="F18" s="62" t="s">
        <v>48</v>
      </c>
      <c r="G18" s="64">
        <v>58.48</v>
      </c>
      <c r="H18" s="64">
        <v>0.0</v>
      </c>
      <c r="I18" s="64">
        <v>0.0</v>
      </c>
      <c r="J18" s="64"/>
      <c r="K18" s="64">
        <v>1000.0</v>
      </c>
      <c r="L18" s="64">
        <v>58480.0</v>
      </c>
      <c r="M18" s="64">
        <v>0.0</v>
      </c>
      <c r="N18" s="62"/>
      <c r="O18" s="64">
        <v>1000.0</v>
      </c>
      <c r="P18" s="64">
        <v>58480.0</v>
      </c>
      <c r="Q18" s="64">
        <v>0.0</v>
      </c>
      <c r="R18" s="64">
        <v>0.0</v>
      </c>
      <c r="S18" s="64">
        <v>0.0</v>
      </c>
      <c r="T18" s="62"/>
    </row>
    <row r="19" ht="15.75" customHeight="1">
      <c r="A19" s="8"/>
      <c r="B19" s="62"/>
      <c r="C19" s="62" t="s">
        <v>28</v>
      </c>
      <c r="D19" s="62" t="s">
        <v>21</v>
      </c>
      <c r="E19" s="62" t="s">
        <v>49</v>
      </c>
      <c r="F19" s="62" t="s">
        <v>48</v>
      </c>
      <c r="G19" s="64">
        <v>58.48</v>
      </c>
      <c r="H19" s="64">
        <v>0.0</v>
      </c>
      <c r="I19" s="64">
        <v>0.0</v>
      </c>
      <c r="J19" s="64"/>
      <c r="K19" s="64">
        <v>2000.0</v>
      </c>
      <c r="L19" s="64">
        <v>116960.0</v>
      </c>
      <c r="M19" s="64">
        <v>0.0</v>
      </c>
      <c r="N19" s="62"/>
      <c r="O19" s="64">
        <v>2000.0</v>
      </c>
      <c r="P19" s="64">
        <v>116960.0</v>
      </c>
      <c r="Q19" s="64">
        <v>0.0</v>
      </c>
      <c r="R19" s="64">
        <v>0.0</v>
      </c>
      <c r="S19" s="64">
        <v>0.0</v>
      </c>
      <c r="T19" s="62"/>
    </row>
    <row r="20" ht="15.75" customHeight="1">
      <c r="A20" s="8"/>
      <c r="B20" s="62"/>
      <c r="C20" s="62" t="s">
        <v>27</v>
      </c>
      <c r="D20" s="62" t="s">
        <v>19</v>
      </c>
      <c r="E20" s="62" t="s">
        <v>49</v>
      </c>
      <c r="F20" s="62" t="s">
        <v>48</v>
      </c>
      <c r="G20" s="64">
        <v>5.81</v>
      </c>
      <c r="H20" s="64">
        <v>0.0</v>
      </c>
      <c r="I20" s="64">
        <v>0.0</v>
      </c>
      <c r="J20" s="64"/>
      <c r="K20" s="64">
        <v>1000.0</v>
      </c>
      <c r="L20" s="64">
        <v>5810.0</v>
      </c>
      <c r="M20" s="64">
        <v>0.0</v>
      </c>
      <c r="N20" s="62"/>
      <c r="O20" s="64">
        <v>1000.0</v>
      </c>
      <c r="P20" s="64">
        <v>5810.0</v>
      </c>
      <c r="Q20" s="64">
        <v>0.0</v>
      </c>
      <c r="R20" s="64">
        <v>0.0</v>
      </c>
      <c r="S20" s="64">
        <v>0.0</v>
      </c>
      <c r="T20" s="62"/>
    </row>
    <row r="21" ht="15.75" customHeight="1">
      <c r="A21" s="8"/>
      <c r="B21" s="62"/>
      <c r="C21" s="62" t="s">
        <v>28</v>
      </c>
      <c r="D21" s="62" t="s">
        <v>19</v>
      </c>
      <c r="E21" s="62" t="s">
        <v>49</v>
      </c>
      <c r="F21" s="62" t="s">
        <v>48</v>
      </c>
      <c r="G21" s="64">
        <v>5.81</v>
      </c>
      <c r="H21" s="64">
        <v>0.0</v>
      </c>
      <c r="I21" s="64">
        <v>0.0</v>
      </c>
      <c r="J21" s="64"/>
      <c r="K21" s="64">
        <v>2000.0</v>
      </c>
      <c r="L21" s="64">
        <v>11620.0</v>
      </c>
      <c r="M21" s="64">
        <v>0.0</v>
      </c>
      <c r="N21" s="62"/>
      <c r="O21" s="64">
        <v>2000.0</v>
      </c>
      <c r="P21" s="64">
        <v>11620.0</v>
      </c>
      <c r="Q21" s="64">
        <v>0.0</v>
      </c>
      <c r="R21" s="64">
        <v>0.0</v>
      </c>
      <c r="S21" s="64">
        <v>0.0</v>
      </c>
      <c r="T21" s="62"/>
    </row>
    <row r="22" ht="15.75" customHeight="1">
      <c r="A22" s="8"/>
      <c r="B22" s="62"/>
      <c r="C22" s="62" t="s">
        <v>27</v>
      </c>
      <c r="D22" s="62" t="s">
        <v>17</v>
      </c>
      <c r="E22" s="62" t="s">
        <v>49</v>
      </c>
      <c r="F22" s="62" t="s">
        <v>48</v>
      </c>
      <c r="G22" s="63">
        <v>1120.44</v>
      </c>
      <c r="H22" s="64">
        <v>1120.44</v>
      </c>
      <c r="I22" s="64">
        <v>1.0</v>
      </c>
      <c r="J22" s="64"/>
      <c r="K22" s="64">
        <v>100.0</v>
      </c>
      <c r="L22" s="64">
        <v>112044.0</v>
      </c>
      <c r="M22" s="64">
        <v>112044.0</v>
      </c>
      <c r="N22" s="62"/>
      <c r="O22" s="64">
        <v>100.0</v>
      </c>
      <c r="P22" s="64">
        <v>112044.0</v>
      </c>
      <c r="Q22" s="64">
        <v>112044.0</v>
      </c>
      <c r="R22" s="64">
        <v>0.0</v>
      </c>
      <c r="S22" s="64">
        <v>0.0</v>
      </c>
      <c r="T22" s="62"/>
    </row>
    <row r="23" ht="15.75" customHeight="1">
      <c r="A23" s="8"/>
      <c r="B23" s="62"/>
      <c r="C23" s="62" t="s">
        <v>28</v>
      </c>
      <c r="D23" s="62" t="s">
        <v>17</v>
      </c>
      <c r="E23" s="62" t="s">
        <v>49</v>
      </c>
      <c r="F23" s="62" t="s">
        <v>48</v>
      </c>
      <c r="G23" s="63">
        <v>1120.44</v>
      </c>
      <c r="H23" s="64">
        <v>1120.44</v>
      </c>
      <c r="I23" s="64">
        <v>1.0</v>
      </c>
      <c r="J23" s="64"/>
      <c r="K23" s="64">
        <v>200.0</v>
      </c>
      <c r="L23" s="64">
        <v>224088.0</v>
      </c>
      <c r="M23" s="64">
        <v>224088.0</v>
      </c>
      <c r="N23" s="62"/>
      <c r="O23" s="64">
        <v>200.0</v>
      </c>
      <c r="P23" s="64">
        <v>224088.0</v>
      </c>
      <c r="Q23" s="64">
        <v>224088.0</v>
      </c>
      <c r="R23" s="64">
        <v>0.0</v>
      </c>
      <c r="S23" s="64">
        <v>0.0</v>
      </c>
      <c r="T23" s="62"/>
    </row>
    <row r="24" ht="15.75" customHeight="1">
      <c r="A24" s="8"/>
      <c r="B24" s="62"/>
      <c r="C24" s="62" t="s">
        <v>27</v>
      </c>
      <c r="D24" s="62" t="s">
        <v>18</v>
      </c>
      <c r="E24" s="62" t="s">
        <v>49</v>
      </c>
      <c r="F24" s="62" t="s">
        <v>48</v>
      </c>
      <c r="G24" s="64">
        <v>133.31</v>
      </c>
      <c r="H24" s="64">
        <v>133.31</v>
      </c>
      <c r="I24" s="64">
        <v>1.0</v>
      </c>
      <c r="J24" s="64"/>
      <c r="K24" s="64">
        <v>1000.0</v>
      </c>
      <c r="L24" s="64">
        <v>133310.0</v>
      </c>
      <c r="M24" s="64">
        <v>133310.0</v>
      </c>
      <c r="N24" s="62"/>
      <c r="O24" s="64">
        <v>1000.0</v>
      </c>
      <c r="P24" s="64">
        <v>133310.0</v>
      </c>
      <c r="Q24" s="64">
        <v>133310.0</v>
      </c>
      <c r="R24" s="64">
        <v>0.0</v>
      </c>
      <c r="S24" s="64">
        <v>0.0</v>
      </c>
      <c r="T24" s="62"/>
    </row>
    <row r="25" ht="15.75" customHeight="1">
      <c r="A25" s="8"/>
      <c r="B25" s="62"/>
      <c r="C25" s="62" t="s">
        <v>28</v>
      </c>
      <c r="D25" s="62" t="s">
        <v>18</v>
      </c>
      <c r="E25" s="62" t="s">
        <v>49</v>
      </c>
      <c r="F25" s="62" t="s">
        <v>48</v>
      </c>
      <c r="G25" s="64">
        <v>133.31</v>
      </c>
      <c r="H25" s="64">
        <v>133.31</v>
      </c>
      <c r="I25" s="64">
        <v>1.0</v>
      </c>
      <c r="J25" s="64"/>
      <c r="K25" s="64">
        <v>2000.0</v>
      </c>
      <c r="L25" s="64">
        <v>266620.0</v>
      </c>
      <c r="M25" s="64">
        <v>266620.0</v>
      </c>
      <c r="N25" s="62"/>
      <c r="O25" s="64">
        <v>2000.0</v>
      </c>
      <c r="P25" s="64">
        <v>266620.0</v>
      </c>
      <c r="Q25" s="64">
        <v>266620.0</v>
      </c>
      <c r="R25" s="64">
        <v>0.0</v>
      </c>
      <c r="S25" s="64">
        <v>0.0</v>
      </c>
      <c r="T25" s="62"/>
    </row>
    <row r="26" ht="15.75" customHeight="1">
      <c r="B26" s="62"/>
      <c r="C26" s="62" t="s">
        <v>27</v>
      </c>
      <c r="D26" s="62" t="s">
        <v>51</v>
      </c>
      <c r="E26" s="62" t="s">
        <v>51</v>
      </c>
      <c r="F26" s="62" t="s">
        <v>48</v>
      </c>
      <c r="G26" s="64">
        <v>1.0</v>
      </c>
      <c r="H26" s="64">
        <v>1.0</v>
      </c>
      <c r="I26" s="64">
        <v>1.0</v>
      </c>
      <c r="J26" s="64"/>
      <c r="K26" s="64">
        <v>0.0</v>
      </c>
      <c r="L26" s="64">
        <v>0.0</v>
      </c>
      <c r="M26" s="64">
        <v>0.0</v>
      </c>
      <c r="N26" s="62"/>
      <c r="O26" s="64">
        <v>0.0</v>
      </c>
      <c r="P26" s="64">
        <v>0.0</v>
      </c>
      <c r="Q26" s="64">
        <v>0.0</v>
      </c>
      <c r="R26" s="64">
        <v>0.0</v>
      </c>
      <c r="S26" s="64">
        <v>0.0</v>
      </c>
      <c r="T26" s="62"/>
    </row>
    <row r="27" ht="15.75" customHeight="1">
      <c r="B27" s="62"/>
      <c r="C27" s="62" t="s">
        <v>28</v>
      </c>
      <c r="D27" s="62" t="s">
        <v>51</v>
      </c>
      <c r="E27" s="62" t="s">
        <v>51</v>
      </c>
      <c r="F27" s="62" t="s">
        <v>48</v>
      </c>
      <c r="G27" s="64">
        <v>1.0</v>
      </c>
      <c r="H27" s="64">
        <v>1.0</v>
      </c>
      <c r="I27" s="64">
        <v>1.0</v>
      </c>
      <c r="J27" s="64"/>
      <c r="K27" s="64">
        <v>0.0</v>
      </c>
      <c r="L27" s="64">
        <v>0.0</v>
      </c>
      <c r="M27" s="64">
        <v>0.0</v>
      </c>
      <c r="N27" s="62"/>
      <c r="O27" s="64">
        <v>0.0</v>
      </c>
      <c r="P27" s="64">
        <v>0.0</v>
      </c>
      <c r="Q27" s="64">
        <v>0.0</v>
      </c>
      <c r="R27" s="64">
        <v>0.0</v>
      </c>
      <c r="S27" s="64">
        <v>0.0</v>
      </c>
      <c r="T27" s="62"/>
    </row>
    <row r="28" ht="15.75" customHeight="1">
      <c r="B28" s="62"/>
      <c r="C28" s="62" t="s">
        <v>27</v>
      </c>
      <c r="D28" s="62" t="s">
        <v>52</v>
      </c>
      <c r="E28" s="62" t="s">
        <v>52</v>
      </c>
      <c r="F28" s="62" t="s">
        <v>48</v>
      </c>
      <c r="G28" s="64">
        <v>1.0</v>
      </c>
      <c r="H28" s="64">
        <v>1.0</v>
      </c>
      <c r="I28" s="64">
        <v>1.0</v>
      </c>
      <c r="J28" s="64"/>
      <c r="K28" s="64">
        <v>264534.0</v>
      </c>
      <c r="L28" s="64">
        <v>264534.0</v>
      </c>
      <c r="M28" s="64">
        <v>264534.0</v>
      </c>
      <c r="N28" s="62"/>
      <c r="O28" s="64">
        <v>1535040.0</v>
      </c>
      <c r="P28" s="64">
        <v>1535040.0</v>
      </c>
      <c r="Q28" s="64">
        <v>1535040.0</v>
      </c>
      <c r="R28" s="64">
        <v>1270506.0</v>
      </c>
      <c r="S28" s="65">
        <v>1270506.0</v>
      </c>
      <c r="T28" s="62"/>
    </row>
    <row r="29" ht="15.75" customHeight="1">
      <c r="B29" s="62"/>
      <c r="C29" s="62" t="s">
        <v>28</v>
      </c>
      <c r="D29" s="62" t="s">
        <v>52</v>
      </c>
      <c r="E29" s="62" t="s">
        <v>52</v>
      </c>
      <c r="F29" s="62" t="s">
        <v>48</v>
      </c>
      <c r="G29" s="64">
        <v>1.0</v>
      </c>
      <c r="H29" s="64">
        <v>1.0</v>
      </c>
      <c r="I29" s="64">
        <v>1.0</v>
      </c>
      <c r="J29" s="64"/>
      <c r="K29" s="64">
        <v>529068.0</v>
      </c>
      <c r="L29" s="64">
        <v>529068.0</v>
      </c>
      <c r="M29" s="64">
        <v>529068.0</v>
      </c>
      <c r="N29" s="62"/>
      <c r="O29" s="64">
        <v>3070274.0</v>
      </c>
      <c r="P29" s="64">
        <v>3070274.0</v>
      </c>
      <c r="Q29" s="64">
        <v>3070274.0</v>
      </c>
      <c r="R29" s="64">
        <v>2541206.0</v>
      </c>
      <c r="S29" s="65">
        <v>2541206.0</v>
      </c>
      <c r="T29" s="62"/>
    </row>
    <row r="30" ht="15.75" customHeight="1">
      <c r="C30" s="62"/>
      <c r="D30" s="6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2" t="s">
        <v>27</v>
      </c>
      <c r="C6" s="62" t="s">
        <v>54</v>
      </c>
      <c r="D6" s="62" t="s">
        <v>41</v>
      </c>
      <c r="E6" s="64">
        <v>6549.0</v>
      </c>
      <c r="F6" s="64">
        <v>194.0</v>
      </c>
      <c r="G6" s="65">
        <v>-1270506.0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2" t="s">
        <v>28</v>
      </c>
      <c r="C7" s="62" t="s">
        <v>54</v>
      </c>
      <c r="D7" s="62" t="s">
        <v>41</v>
      </c>
      <c r="E7" s="64">
        <v>13099.0</v>
      </c>
      <c r="F7" s="64">
        <v>194.0</v>
      </c>
      <c r="G7" s="65">
        <v>-2541206.0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