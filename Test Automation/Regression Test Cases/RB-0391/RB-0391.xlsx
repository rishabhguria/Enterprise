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UpdateExpnlConfig" sheetId="5" r:id="rId7"/>
    <sheet state="visible" name="RebalancePreference" sheetId="6" r:id="rId8"/>
    <sheet state="visible" name="RebalancePreference1" sheetId="7" r:id="rId9"/>
    <sheet state="visible" name="FetchAccountPositions" sheetId="8" r:id="rId10"/>
    <sheet state="visible" name="NavImpactingComponent" sheetId="9" r:id="rId11"/>
    <sheet state="visible" name="AddCash" sheetId="10" r:id="rId12"/>
    <sheet state="visible" name="RunRebalance" sheetId="11" r:id="rId13"/>
    <sheet state="visible" name="RebalanceAcrossSecurities" sheetId="12" r:id="rId14"/>
    <sheet state="visible" name="ModifyRebalance" sheetId="13" r:id="rId15"/>
    <sheet state="visible" name="SendtoStaging" sheetId="14" r:id="rId16"/>
    <sheet state="visible" name="RunRebalance1" sheetId="15" r:id="rId17"/>
    <sheet state="visible" name="SendtoStaging1" sheetId="16" r:id="rId18"/>
    <sheet state="visible" name="RunRebalance2" sheetId="17" r:id="rId19"/>
    <sheet state="visible" name="SendtoStaging2" sheetId="18" r:id="rId20"/>
    <sheet state="visible" name="TradeNewSubOrder" sheetId="19" r:id="rId21"/>
    <sheet state="visible" name="CreateNewSubLiveOrder" sheetId="20" r:id="rId22"/>
    <sheet state="visible" name="TradeNewSubOrder1" sheetId="21" r:id="rId23"/>
    <sheet state="visible" name="CreateNewSubLiveOrder1" sheetId="22" r:id="rId24"/>
    <sheet state="visible" name="SelectTrade" sheetId="23" r:id="rId25"/>
    <sheet state="visible" name="AcknowledgeTrade" sheetId="24" r:id="rId26"/>
    <sheet state="visible" name="ExecuteTrade" sheetId="25" r:id="rId27"/>
    <sheet state="visible" name="SelectTrade1" sheetId="26" r:id="rId28"/>
    <sheet state="visible" name="AcknowledgeTrade1" sheetId="27" r:id="rId29"/>
    <sheet state="visible" name="ExecuteTrade1" sheetId="28" r:id="rId30"/>
    <sheet state="visible" name="CheckAllocatedGroups" sheetId="29" r:id="rId31"/>
    <sheet state="visible" name="CheckPortfolioManagement" sheetId="30" r:id="rId32"/>
    <sheet state="visible" name="RestartClient" sheetId="31" r:id="rId33"/>
    <sheet state="visible" name="Copy of Data" sheetId="32" r:id="rId34"/>
    <sheet state="visible" name="Copy of Data 1" sheetId="33" r:id="rId35"/>
  </sheets>
  <definedNames/>
  <calcPr/>
</workbook>
</file>

<file path=xl/sharedStrings.xml><?xml version="1.0" encoding="utf-8"?>
<sst xmlns="http://schemas.openxmlformats.org/spreadsheetml/2006/main" count="603" uniqueCount="103">
  <si>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</si>
  <si>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</si>
  <si>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</si>
  <si>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</si>
  <si>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</si>
  <si>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</si>
  <si>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</si>
  <si>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</si>
  <si>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</si>
  <si>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</si>
  <si>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</si>
  <si>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</si>
  <si>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</si>
  <si>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</si>
  <si>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</si>
  <si>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</si>
  <si>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</si>
  <si>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Portfolio2</t>
  </si>
  <si>
    <t>Expnl</t>
  </si>
  <si>
    <t>UpdateExpnlConfig</t>
  </si>
  <si>
    <t>EquitySwapsMarketValueAsEquity</t>
  </si>
  <si>
    <t>Rebalancer</t>
  </si>
  <si>
    <t>RebalancePreference</t>
  </si>
  <si>
    <t>Allocation1,Other Assets Market Value,Swap NAV Adjustments,Unrealized P&amp;L of Swaps</t>
  </si>
  <si>
    <t>Allocation3,Other Assets Market Value,Swap NAV Adjustments,Unrealized P&amp;L of Swaps</t>
  </si>
  <si>
    <t>FetchAccountPositions</t>
  </si>
  <si>
    <t>NewMF</t>
  </si>
  <si>
    <t>NavImpactingComponent</t>
  </si>
  <si>
    <t>Allocation1</t>
  </si>
  <si>
    <t>Allocation3</t>
  </si>
  <si>
    <t>AddCash</t>
  </si>
  <si>
    <t>No Impact</t>
  </si>
  <si>
    <t>None</t>
  </si>
  <si>
    <t>RunRebalance</t>
  </si>
  <si>
    <t>Round Up</t>
  </si>
  <si>
    <t>RebalanceAcrossSecurities</t>
  </si>
  <si>
    <t>BMW-XET</t>
  </si>
  <si>
    <t>Increase</t>
  </si>
  <si>
    <t>Pro-Rata</t>
  </si>
  <si>
    <t>ModifyRebalance</t>
  </si>
  <si>
    <t>Yes</t>
  </si>
  <si>
    <t>SendtoStaging</t>
  </si>
  <si>
    <t>Sell</t>
  </si>
  <si>
    <t>SellShort</t>
  </si>
  <si>
    <t>INFY</t>
  </si>
  <si>
    <t>AMZN</t>
  </si>
  <si>
    <t>BuyToClose</t>
  </si>
  <si>
    <t>912828WJ5</t>
  </si>
  <si>
    <t>Buy</t>
  </si>
  <si>
    <t>SAP</t>
  </si>
  <si>
    <t>KO</t>
  </si>
  <si>
    <t>GLE-LON</t>
  </si>
  <si>
    <t>Nearest Round Off</t>
  </si>
  <si>
    <t>Round Down</t>
  </si>
  <si>
    <t>Blotter</t>
  </si>
  <si>
    <t>TradeNewSubOrder</t>
  </si>
  <si>
    <t>Sell short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</si>
  <si>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</si>
  <si>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</si>
  <si>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</si>
  <si>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</si>
  <si>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</si>
  <si>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</si>
  <si>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</si>
  <si>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</si>
  <si>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</si>
  <si>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Multiple</t>
  </si>
  <si>
    <t>Actual_365</t>
  </si>
  <si>
    <t>Equity</t>
  </si>
  <si>
    <t>KO US EQUITY</t>
  </si>
  <si>
    <t>Treasury</t>
  </si>
  <si>
    <t>MS</t>
  </si>
  <si>
    <t>Open</t>
  </si>
  <si>
    <t>COCA COLA</t>
  </si>
  <si>
    <t>USD</t>
  </si>
  <si>
    <t>NYSE</t>
  </si>
  <si>
    <t>M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</si>
  <si>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</si>
  <si>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</si>
  <si>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</si>
  <si>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</si>
  <si>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</si>
  <si>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</si>
  <si>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</si>
  <si>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</si>
  <si>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AMZN US EQUITY</t>
  </si>
  <si>
    <t>AMAZON.COM</t>
  </si>
  <si>
    <t>PortfolioManagement</t>
  </si>
  <si>
    <t>CheckPortfolioManagement</t>
  </si>
  <si>
    <t>Short</t>
  </si>
  <si>
    <t>Undefined</t>
  </si>
  <si>
    <t>Equity General</t>
  </si>
  <si>
    <t>Consumer</t>
  </si>
  <si>
    <t>USA</t>
  </si>
  <si>
    <t>User Defined</t>
  </si>
  <si>
    <t>Default</t>
  </si>
  <si>
    <t>KO.N</t>
  </si>
  <si>
    <t>UK</t>
  </si>
  <si>
    <t>NA</t>
  </si>
  <si>
    <t>RestartClient</t>
  </si>
  <si>
    <t>msft</t>
  </si>
  <si>
    <t>buy</t>
  </si>
  <si>
    <t>CreateDoneAwayOrder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</si>
</sst>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>
      <c r="A797" t="str">
        <f>IFERROR(__xludf.DUMMYFUNCTION("""COMPUTED_VALUE"""),"Blotter")</f>
        <v>Blotter</v>
      </c>
      <c r="B797" t="str">
        <f>IFERROR(__xludf.DUMMYFUNCTION("""COMPUTED_VALUE"""),"EditTradeAttributes")</f>
        <v>EditTradeAttributes</v>
      </c>
    </row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RunPortfolio!$4:$4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11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4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5" t="s">
        <v>23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6" t="s">
        <v>24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28</v>
      </c>
      <c r="C6" s="37">
        <v>50000.0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 t="s">
        <v>29</v>
      </c>
      <c r="C7" s="37">
        <v>50000.0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NavImpactingComponent!$4:$4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v>-10000.0</v>
      </c>
      <c r="C6" s="32" t="s">
        <v>31</v>
      </c>
      <c r="D6" s="31" t="s">
        <v>32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34</v>
      </c>
      <c r="C6" s="33"/>
      <c r="D6" s="39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36</v>
      </c>
      <c r="C6" s="32" t="s">
        <v>37</v>
      </c>
      <c r="D6" s="38">
        <v>1.0</v>
      </c>
      <c r="E6" s="32" t="s">
        <v>38</v>
      </c>
      <c r="F6" s="33"/>
      <c r="G6" s="33"/>
      <c r="H6" s="33"/>
      <c r="I6" s="33"/>
      <c r="J6" s="37">
        <v>10.0</v>
      </c>
      <c r="K6" s="37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40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28</v>
      </c>
      <c r="C6" s="40" t="s">
        <v>42</v>
      </c>
      <c r="D6" s="40">
        <v>1.23456789E8</v>
      </c>
      <c r="E6" s="41">
        <v>6005.0</v>
      </c>
      <c r="F6" s="41">
        <v>25.0</v>
      </c>
      <c r="G6" s="42">
        <v>-1501.0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28</v>
      </c>
      <c r="C7" s="40" t="s">
        <v>43</v>
      </c>
      <c r="D7" s="40" t="s">
        <v>44</v>
      </c>
      <c r="E7" s="41">
        <v>500.0</v>
      </c>
      <c r="F7" s="41">
        <v>10.0</v>
      </c>
      <c r="G7" s="42">
        <v>-5000.0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28</v>
      </c>
      <c r="C8" s="40" t="s">
        <v>42</v>
      </c>
      <c r="D8" s="40" t="s">
        <v>45</v>
      </c>
      <c r="E8" s="41">
        <v>100.0</v>
      </c>
      <c r="F8" s="41">
        <v>8.0</v>
      </c>
      <c r="G8" s="41">
        <v>-800.0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28</v>
      </c>
      <c r="C9" s="40" t="s">
        <v>46</v>
      </c>
      <c r="D9" s="40" t="s">
        <v>47</v>
      </c>
      <c r="E9" s="41">
        <v>10009.0</v>
      </c>
      <c r="F9" s="41">
        <v>5.0</v>
      </c>
      <c r="G9" s="41">
        <v>500.0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28</v>
      </c>
      <c r="C10" s="40" t="s">
        <v>48</v>
      </c>
      <c r="D10" s="40" t="s">
        <v>49</v>
      </c>
      <c r="E10" s="41">
        <v>300.0</v>
      </c>
      <c r="F10" s="41">
        <v>10.0</v>
      </c>
      <c r="G10" s="42">
        <v>3000.0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28</v>
      </c>
      <c r="C11" s="40" t="s">
        <v>43</v>
      </c>
      <c r="D11" s="40" t="s">
        <v>50</v>
      </c>
      <c r="E11" s="41">
        <v>600.0</v>
      </c>
      <c r="F11" s="41">
        <v>20.0</v>
      </c>
      <c r="G11" s="42">
        <v>-12000.0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28</v>
      </c>
      <c r="C12" s="40" t="s">
        <v>43</v>
      </c>
      <c r="D12" s="40" t="s">
        <v>51</v>
      </c>
      <c r="E12" s="41">
        <v>400.0</v>
      </c>
      <c r="F12" s="41">
        <v>30.0</v>
      </c>
      <c r="G12" s="42">
        <v>-14640.0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28</v>
      </c>
      <c r="C13" s="40" t="s">
        <v>48</v>
      </c>
      <c r="D13" s="40" t="s">
        <v>36</v>
      </c>
      <c r="E13" s="41">
        <v>51.0</v>
      </c>
      <c r="F13" s="41">
        <v>10.0</v>
      </c>
      <c r="G13" s="41">
        <v>510.0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 t="s">
        <v>29</v>
      </c>
      <c r="C14" s="40" t="s">
        <v>42</v>
      </c>
      <c r="D14" s="40">
        <v>1.23456789E8</v>
      </c>
      <c r="E14" s="41">
        <v>6005.0</v>
      </c>
      <c r="F14" s="41">
        <v>25.0</v>
      </c>
      <c r="G14" s="42">
        <v>-1501.0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 t="s">
        <v>29</v>
      </c>
      <c r="C15" s="40" t="s">
        <v>43</v>
      </c>
      <c r="D15" s="40" t="s">
        <v>44</v>
      </c>
      <c r="E15" s="41">
        <v>500.0</v>
      </c>
      <c r="F15" s="41">
        <v>10.0</v>
      </c>
      <c r="G15" s="42">
        <v>-5000.0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 t="s">
        <v>29</v>
      </c>
      <c r="C16" s="40" t="s">
        <v>42</v>
      </c>
      <c r="D16" s="40" t="s">
        <v>45</v>
      </c>
      <c r="E16" s="41">
        <v>100.0</v>
      </c>
      <c r="F16" s="41">
        <v>8.0</v>
      </c>
      <c r="G16" s="41">
        <v>-800.0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0" t="s">
        <v>29</v>
      </c>
      <c r="C17" s="40" t="s">
        <v>46</v>
      </c>
      <c r="D17" s="40" t="s">
        <v>47</v>
      </c>
      <c r="E17" s="41">
        <v>10009.0</v>
      </c>
      <c r="F17" s="41">
        <v>5.0</v>
      </c>
      <c r="G17" s="41">
        <v>500.0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0" t="s">
        <v>29</v>
      </c>
      <c r="C18" s="40" t="s">
        <v>48</v>
      </c>
      <c r="D18" s="40" t="s">
        <v>49</v>
      </c>
      <c r="E18" s="41">
        <v>300.0</v>
      </c>
      <c r="F18" s="41">
        <v>10.0</v>
      </c>
      <c r="G18" s="42">
        <v>3000.0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0" t="s">
        <v>29</v>
      </c>
      <c r="C19" s="40" t="s">
        <v>43</v>
      </c>
      <c r="D19" s="40" t="s">
        <v>50</v>
      </c>
      <c r="E19" s="41">
        <v>600.0</v>
      </c>
      <c r="F19" s="41">
        <v>20.0</v>
      </c>
      <c r="G19" s="42">
        <v>-12000.0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0" t="s">
        <v>29</v>
      </c>
      <c r="C20" s="40" t="s">
        <v>43</v>
      </c>
      <c r="D20" s="40" t="s">
        <v>51</v>
      </c>
      <c r="E20" s="41">
        <v>400.0</v>
      </c>
      <c r="F20" s="41">
        <v>30.0</v>
      </c>
      <c r="G20" s="42">
        <v>-14640.0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0" t="s">
        <v>29</v>
      </c>
      <c r="C21" s="40" t="s">
        <v>48</v>
      </c>
      <c r="D21" s="40" t="s">
        <v>36</v>
      </c>
      <c r="E21" s="41">
        <v>51.0</v>
      </c>
      <c r="F21" s="41">
        <v>10.0</v>
      </c>
      <c r="G21" s="41">
        <v>510.0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 t="s">
        <v>52</v>
      </c>
      <c r="C6" s="33"/>
      <c r="D6" s="39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28</v>
      </c>
      <c r="C6" s="40" t="s">
        <v>42</v>
      </c>
      <c r="D6" s="40">
        <v>1.23456789E8</v>
      </c>
      <c r="E6" s="41">
        <v>6006.0</v>
      </c>
      <c r="F6" s="41">
        <v>25.0</v>
      </c>
      <c r="G6" s="42">
        <v>-1502.0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28</v>
      </c>
      <c r="C7" s="40" t="s">
        <v>46</v>
      </c>
      <c r="D7" s="40" t="s">
        <v>47</v>
      </c>
      <c r="E7" s="41">
        <v>10010.0</v>
      </c>
      <c r="F7" s="41">
        <v>5.0</v>
      </c>
      <c r="G7" s="41">
        <v>500.0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28</v>
      </c>
      <c r="C8" s="40" t="s">
        <v>48</v>
      </c>
      <c r="D8" s="40" t="s">
        <v>36</v>
      </c>
      <c r="E8" s="41">
        <v>50.0</v>
      </c>
      <c r="F8" s="41">
        <v>10.0</v>
      </c>
      <c r="G8" s="41">
        <v>500.0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29</v>
      </c>
      <c r="C9" s="40" t="s">
        <v>42</v>
      </c>
      <c r="D9" s="40">
        <v>1.23456789E8</v>
      </c>
      <c r="E9" s="41">
        <v>6006.0</v>
      </c>
      <c r="F9" s="41">
        <v>25.0</v>
      </c>
      <c r="G9" s="42">
        <v>-1502.0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29</v>
      </c>
      <c r="C10" s="40" t="s">
        <v>46</v>
      </c>
      <c r="D10" s="40" t="s">
        <v>47</v>
      </c>
      <c r="E10" s="41">
        <v>10010.0</v>
      </c>
      <c r="F10" s="41">
        <v>5.0</v>
      </c>
      <c r="G10" s="41">
        <v>500.0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29</v>
      </c>
      <c r="C11" s="40" t="s">
        <v>48</v>
      </c>
      <c r="D11" s="40" t="s">
        <v>36</v>
      </c>
      <c r="E11" s="41">
        <v>50.0</v>
      </c>
      <c r="F11" s="41">
        <v>10.0</v>
      </c>
      <c r="G11" s="41">
        <v>500.0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53</v>
      </c>
      <c r="C6" s="33"/>
      <c r="D6" s="39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28</v>
      </c>
      <c r="C6" s="40" t="s">
        <v>42</v>
      </c>
      <c r="D6" s="40">
        <v>1.23456789E8</v>
      </c>
      <c r="E6" s="41">
        <v>6006.0</v>
      </c>
      <c r="F6" s="41">
        <v>25.0</v>
      </c>
      <c r="G6" s="42">
        <v>-1502.0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28</v>
      </c>
      <c r="C7" s="40" t="s">
        <v>46</v>
      </c>
      <c r="D7" s="40" t="s">
        <v>47</v>
      </c>
      <c r="E7" s="41">
        <v>10010.0</v>
      </c>
      <c r="F7" s="41">
        <v>5.0</v>
      </c>
      <c r="G7" s="41">
        <v>500.0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28</v>
      </c>
      <c r="C8" s="40" t="s">
        <v>48</v>
      </c>
      <c r="D8" s="40" t="s">
        <v>36</v>
      </c>
      <c r="E8" s="41">
        <v>49.0</v>
      </c>
      <c r="F8" s="41">
        <v>10.0</v>
      </c>
      <c r="G8" s="41">
        <v>490.0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29</v>
      </c>
      <c r="C9" s="40" t="s">
        <v>42</v>
      </c>
      <c r="D9" s="40">
        <v>1.23456789E8</v>
      </c>
      <c r="E9" s="41">
        <v>6006.0</v>
      </c>
      <c r="F9" s="41">
        <v>25.0</v>
      </c>
      <c r="G9" s="42">
        <v>-1502.0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29</v>
      </c>
      <c r="C10" s="40" t="s">
        <v>46</v>
      </c>
      <c r="D10" s="40" t="s">
        <v>47</v>
      </c>
      <c r="E10" s="41">
        <v>10010.0</v>
      </c>
      <c r="F10" s="41">
        <v>5.0</v>
      </c>
      <c r="G10" s="41">
        <v>500.0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29</v>
      </c>
      <c r="C11" s="40" t="s">
        <v>48</v>
      </c>
      <c r="D11" s="40" t="s">
        <v>36</v>
      </c>
      <c r="E11" s="41">
        <v>49.0</v>
      </c>
      <c r="F11" s="41">
        <v>10.0</v>
      </c>
      <c r="G11" s="41">
        <v>490.0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/>
      <c r="C12" s="44"/>
      <c r="D12" s="44"/>
      <c r="E12" s="44"/>
      <c r="F12" s="44"/>
      <c r="G12" s="44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50</v>
      </c>
      <c r="AJ6" s="33" t="s">
        <v>56</v>
      </c>
      <c r="AK6" s="33"/>
      <c r="AL6" s="45">
        <v>1200.0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50</v>
      </c>
      <c r="C6" s="33" t="s">
        <v>56</v>
      </c>
      <c r="D6" s="38">
        <v>1200.0</v>
      </c>
      <c r="E6" s="33"/>
      <c r="F6" s="33"/>
      <c r="G6" s="33"/>
      <c r="H6" s="33"/>
      <c r="I6" s="33"/>
      <c r="J6" s="37">
        <v>20.0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45</v>
      </c>
      <c r="AJ6" s="33" t="s">
        <v>42</v>
      </c>
      <c r="AK6" s="33"/>
      <c r="AL6" s="45">
        <v>200.0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45</v>
      </c>
      <c r="C6" s="33" t="s">
        <v>42</v>
      </c>
      <c r="D6" s="38">
        <v>200.0</v>
      </c>
      <c r="E6" s="33"/>
      <c r="F6" s="33"/>
      <c r="G6" s="33"/>
      <c r="H6" s="33"/>
      <c r="I6" s="33"/>
      <c r="J6" s="37">
        <v>8.0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50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50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v>20.0</v>
      </c>
      <c r="C6" s="37">
        <v>1200.0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45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45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v>8.0</v>
      </c>
      <c r="C6" s="37">
        <v>200.0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65</v>
      </c>
      <c r="B6" s="31" t="s">
        <v>66</v>
      </c>
      <c r="C6" s="32" t="s">
        <v>67</v>
      </c>
      <c r="D6" s="30"/>
      <c r="E6" s="37">
        <v>1200.0</v>
      </c>
      <c r="F6" s="33"/>
      <c r="G6" s="32" t="s">
        <v>68</v>
      </c>
      <c r="H6" s="33"/>
      <c r="I6" s="33"/>
      <c r="J6" s="33"/>
      <c r="K6" s="37">
        <v>20.0</v>
      </c>
      <c r="L6" s="37">
        <v>20.0</v>
      </c>
      <c r="M6" s="32" t="s">
        <v>69</v>
      </c>
      <c r="N6" s="32" t="s">
        <v>70</v>
      </c>
      <c r="O6" s="32" t="s">
        <v>71</v>
      </c>
      <c r="P6" s="33"/>
      <c r="Q6" s="45">
        <v>2.0</v>
      </c>
      <c r="R6" s="33"/>
      <c r="S6" s="33" t="s">
        <v>72</v>
      </c>
      <c r="T6" s="33"/>
      <c r="U6" s="33"/>
      <c r="V6" s="33" t="s">
        <v>73</v>
      </c>
      <c r="W6" s="45">
        <v>1.0</v>
      </c>
      <c r="X6" s="33"/>
      <c r="Y6" s="33" t="s">
        <v>65</v>
      </c>
      <c r="Z6" s="33" t="s">
        <v>74</v>
      </c>
      <c r="AA6" s="33"/>
      <c r="AB6" s="45">
        <v>1.0</v>
      </c>
      <c r="AC6" s="33"/>
      <c r="AD6" s="33" t="s">
        <v>75</v>
      </c>
      <c r="AE6" s="45">
        <v>1200.0</v>
      </c>
      <c r="AF6" s="33" t="s">
        <v>65</v>
      </c>
      <c r="AG6" s="33"/>
      <c r="AH6" s="33" t="s">
        <v>76</v>
      </c>
      <c r="AI6" s="45">
        <v>1.0</v>
      </c>
      <c r="AJ6" s="33" t="s">
        <v>32</v>
      </c>
      <c r="AK6" s="33"/>
      <c r="AL6" s="33"/>
      <c r="AM6" s="33"/>
      <c r="AN6" s="46" t="b">
        <v>0</v>
      </c>
      <c r="AO6" s="33"/>
      <c r="AP6" s="46" t="b">
        <v>0</v>
      </c>
      <c r="AQ6" s="46" t="b">
        <v>0</v>
      </c>
      <c r="AR6" s="46" t="b">
        <v>1</v>
      </c>
      <c r="AS6" s="33"/>
      <c r="AT6" s="33"/>
      <c r="AU6" s="33"/>
      <c r="AV6" s="33"/>
      <c r="AW6" s="33"/>
      <c r="AX6" s="33"/>
      <c r="AY6" s="33" t="s">
        <v>77</v>
      </c>
      <c r="AZ6" s="33"/>
      <c r="BA6" s="33"/>
      <c r="BB6" s="33"/>
      <c r="BC6" s="33"/>
      <c r="BD6" s="33" t="s">
        <v>78</v>
      </c>
      <c r="BE6" s="45">
        <v>24000.0</v>
      </c>
      <c r="BF6" s="45">
        <v>24000.0</v>
      </c>
      <c r="BG6" s="33"/>
      <c r="BH6" s="33"/>
      <c r="BI6" s="33"/>
      <c r="BJ6" s="45">
        <v>1200.0</v>
      </c>
      <c r="BK6" s="33"/>
      <c r="BL6" s="33" t="s">
        <v>65</v>
      </c>
      <c r="BM6" s="33" t="s">
        <v>74</v>
      </c>
      <c r="BN6" s="33"/>
      <c r="BO6" s="33" t="s">
        <v>56</v>
      </c>
      <c r="BP6" s="33"/>
      <c r="BQ6" s="33"/>
      <c r="BR6" s="33"/>
      <c r="BS6" s="33" t="s">
        <v>79</v>
      </c>
      <c r="BT6" s="33" t="s">
        <v>50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 t="s">
        <v>80</v>
      </c>
      <c r="CG6" s="33"/>
      <c r="CH6" s="33" t="s">
        <v>21</v>
      </c>
      <c r="CI6" s="33" t="s">
        <v>43</v>
      </c>
      <c r="CJ6" s="33"/>
      <c r="CK6" s="33" t="s">
        <v>81</v>
      </c>
      <c r="CL6" s="45">
        <v>1.0</v>
      </c>
      <c r="CM6" s="33" t="s">
        <v>50</v>
      </c>
      <c r="CN6" s="33" t="s">
        <v>82</v>
      </c>
      <c r="CO6" s="33" t="s">
        <v>83</v>
      </c>
      <c r="CP6" s="33" t="s">
        <v>84</v>
      </c>
      <c r="CQ6" s="33"/>
      <c r="CR6" s="33"/>
      <c r="CS6" s="33" t="s">
        <v>65</v>
      </c>
      <c r="CT6" s="33"/>
      <c r="CU6" s="33"/>
      <c r="CV6" s="33"/>
      <c r="CW6" s="33"/>
      <c r="CX6" s="33" t="s">
        <v>26</v>
      </c>
      <c r="CY6" s="33" t="s">
        <v>65</v>
      </c>
      <c r="CZ6" s="33" t="s">
        <v>65</v>
      </c>
      <c r="DA6" s="33" t="s">
        <v>65</v>
      </c>
      <c r="DB6" s="33" t="s">
        <v>65</v>
      </c>
      <c r="DC6" s="33" t="s">
        <v>65</v>
      </c>
      <c r="DD6" s="33" t="s">
        <v>65</v>
      </c>
      <c r="DE6" s="33" t="s">
        <v>65</v>
      </c>
      <c r="DF6" s="33" t="s">
        <v>65</v>
      </c>
      <c r="DG6" s="33" t="s">
        <v>65</v>
      </c>
      <c r="DH6" s="33" t="s">
        <v>65</v>
      </c>
      <c r="DI6" s="33" t="s">
        <v>65</v>
      </c>
      <c r="DJ6" s="33" t="s">
        <v>65</v>
      </c>
      <c r="DK6" s="33" t="s">
        <v>65</v>
      </c>
      <c r="DL6" s="33" t="s">
        <v>65</v>
      </c>
      <c r="DM6" s="33" t="s">
        <v>65</v>
      </c>
      <c r="DN6" s="33" t="s">
        <v>65</v>
      </c>
      <c r="DO6" s="33" t="s">
        <v>65</v>
      </c>
      <c r="DP6" s="33" t="s">
        <v>65</v>
      </c>
      <c r="DQ6" s="33" t="s">
        <v>65</v>
      </c>
      <c r="DR6" s="33" t="s">
        <v>65</v>
      </c>
      <c r="DS6" s="33" t="s">
        <v>65</v>
      </c>
      <c r="DT6" s="33" t="s">
        <v>65</v>
      </c>
      <c r="DU6" s="33" t="s">
        <v>65</v>
      </c>
      <c r="DV6" s="33" t="s">
        <v>65</v>
      </c>
      <c r="DW6" s="33" t="s">
        <v>65</v>
      </c>
      <c r="DX6" s="33" t="s">
        <v>65</v>
      </c>
      <c r="DY6" s="33" t="s">
        <v>65</v>
      </c>
      <c r="DZ6" s="33" t="s">
        <v>65</v>
      </c>
      <c r="EA6" s="33" t="s">
        <v>65</v>
      </c>
      <c r="EB6" s="33" t="s">
        <v>65</v>
      </c>
      <c r="EC6" s="33" t="s">
        <v>65</v>
      </c>
      <c r="ED6" s="33" t="s">
        <v>65</v>
      </c>
      <c r="EE6" s="33" t="s">
        <v>65</v>
      </c>
      <c r="EF6" s="33" t="s">
        <v>65</v>
      </c>
      <c r="EG6" s="33" t="s">
        <v>65</v>
      </c>
      <c r="EH6" s="33" t="s">
        <v>65</v>
      </c>
      <c r="EI6" s="33" t="s">
        <v>65</v>
      </c>
      <c r="EJ6" s="33" t="s">
        <v>65</v>
      </c>
      <c r="EK6" s="33" t="s">
        <v>65</v>
      </c>
      <c r="EL6" s="33" t="s">
        <v>65</v>
      </c>
      <c r="EM6" s="33" t="s">
        <v>65</v>
      </c>
      <c r="EN6" s="33" t="s">
        <v>65</v>
      </c>
      <c r="EO6" s="33" t="s">
        <v>65</v>
      </c>
      <c r="EP6" s="33" t="s">
        <v>65</v>
      </c>
      <c r="EQ6" s="33" t="s">
        <v>65</v>
      </c>
      <c r="ER6" s="33" t="s">
        <v>65</v>
      </c>
      <c r="ES6" s="33" t="s">
        <v>65</v>
      </c>
      <c r="ET6" s="33" t="s">
        <v>65</v>
      </c>
      <c r="EU6" s="33" t="s">
        <v>65</v>
      </c>
      <c r="EV6" s="33" t="s">
        <v>65</v>
      </c>
      <c r="EW6" s="33" t="s">
        <v>65</v>
      </c>
      <c r="EX6" s="33" t="s">
        <v>65</v>
      </c>
      <c r="EY6" s="33"/>
      <c r="EZ6" s="33"/>
      <c r="FA6" s="33" t="s">
        <v>65</v>
      </c>
      <c r="FB6" s="33" t="s">
        <v>65</v>
      </c>
      <c r="FC6" s="33" t="s">
        <v>65</v>
      </c>
      <c r="FD6" s="33" t="s">
        <v>65</v>
      </c>
      <c r="FE6" s="33" t="s">
        <v>65</v>
      </c>
      <c r="FF6" s="33" t="s">
        <v>65</v>
      </c>
      <c r="FG6" s="33" t="s">
        <v>65</v>
      </c>
      <c r="FH6" s="33" t="s">
        <v>65</v>
      </c>
      <c r="FI6" s="33" t="s">
        <v>65</v>
      </c>
      <c r="FJ6" s="33"/>
      <c r="FK6" s="33" t="s">
        <v>65</v>
      </c>
      <c r="FL6" s="33" t="s">
        <v>65</v>
      </c>
      <c r="FM6" s="33" t="s">
        <v>65</v>
      </c>
      <c r="FN6" s="33" t="s">
        <v>65</v>
      </c>
      <c r="FO6" s="33" t="s">
        <v>65</v>
      </c>
      <c r="FP6" s="33" t="s">
        <v>65</v>
      </c>
      <c r="FQ6" s="33" t="s">
        <v>65</v>
      </c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47"/>
      <c r="LG6" s="47"/>
      <c r="LH6" s="47"/>
      <c r="LI6" s="47"/>
      <c r="LJ6" s="47"/>
      <c r="LK6" s="47"/>
      <c r="LL6" s="47"/>
      <c r="LM6" s="47"/>
      <c r="LN6" s="47"/>
      <c r="LO6" s="47"/>
      <c r="LP6" s="47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7"/>
      <c r="MI6" s="47"/>
      <c r="MJ6" s="47"/>
      <c r="MK6" s="47"/>
      <c r="ML6" s="47"/>
      <c r="MM6" s="47"/>
      <c r="MN6" s="47"/>
      <c r="MO6" s="47"/>
      <c r="MP6" s="47"/>
      <c r="MQ6" s="47"/>
      <c r="MR6" s="47"/>
      <c r="MS6" s="47"/>
      <c r="MT6" s="47"/>
      <c r="MU6" s="47"/>
      <c r="MV6" s="47"/>
      <c r="MW6" s="47"/>
      <c r="MX6" s="47"/>
      <c r="MY6" s="47"/>
      <c r="MZ6" s="47"/>
      <c r="NA6" s="47"/>
      <c r="NB6" s="47"/>
      <c r="NC6" s="47"/>
      <c r="ND6" s="47"/>
      <c r="NE6" s="47"/>
      <c r="NF6" s="47"/>
      <c r="NG6" s="47"/>
      <c r="NH6" s="47"/>
      <c r="NI6" s="47"/>
      <c r="NJ6" s="47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47"/>
      <c r="NV6" s="47"/>
      <c r="NW6" s="47"/>
      <c r="NX6" s="47"/>
      <c r="NY6" s="47"/>
      <c r="NZ6" s="47"/>
      <c r="OA6" s="47"/>
      <c r="OB6" s="47"/>
      <c r="OC6" s="47"/>
      <c r="OD6" s="47"/>
      <c r="OE6" s="47"/>
      <c r="OF6" s="47"/>
      <c r="OG6" s="47"/>
      <c r="OH6" s="47"/>
      <c r="OI6" s="47"/>
      <c r="OJ6" s="47"/>
      <c r="OK6" s="47"/>
      <c r="OL6" s="47"/>
      <c r="OM6" s="47"/>
      <c r="ON6" s="47"/>
      <c r="OO6" s="47"/>
      <c r="OP6" s="47"/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7"/>
      <c r="QZ6" s="47"/>
      <c r="RA6" s="47"/>
      <c r="RB6" s="47"/>
      <c r="RC6" s="47"/>
      <c r="RD6" s="47"/>
      <c r="RE6" s="47"/>
      <c r="RF6" s="47"/>
      <c r="RG6" s="47"/>
      <c r="RH6" s="47"/>
      <c r="RI6" s="47"/>
      <c r="RJ6" s="47"/>
      <c r="RK6" s="47"/>
      <c r="RL6" s="47"/>
      <c r="RM6" s="47"/>
      <c r="RN6" s="47"/>
      <c r="RO6" s="47"/>
      <c r="RP6" s="47"/>
      <c r="RQ6" s="47"/>
      <c r="RR6" s="47"/>
      <c r="RS6" s="47"/>
      <c r="RT6" s="47"/>
      <c r="RU6" s="47"/>
      <c r="RV6" s="47"/>
      <c r="RW6" s="47"/>
      <c r="RX6" s="47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7"/>
      <c r="SQ6" s="47"/>
      <c r="SR6" s="47"/>
      <c r="SS6" s="47"/>
      <c r="ST6" s="47"/>
      <c r="SU6" s="47"/>
      <c r="SV6" s="47"/>
      <c r="SW6" s="47"/>
      <c r="SX6" s="47"/>
      <c r="SY6" s="47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7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/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/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/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/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7"/>
      <c r="YF6" s="47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7"/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/>
      <c r="ZL6" s="47"/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7"/>
      <c r="ACN6" s="47"/>
      <c r="ACO6" s="47"/>
      <c r="ACP6" s="47"/>
      <c r="ACQ6" s="47"/>
      <c r="ACR6" s="47"/>
      <c r="ACS6" s="47"/>
      <c r="ACT6" s="47"/>
      <c r="ACU6" s="47"/>
      <c r="ACV6" s="47"/>
      <c r="ACW6" s="47"/>
      <c r="ACX6" s="47"/>
      <c r="ACY6" s="47"/>
      <c r="ACZ6" s="47"/>
      <c r="ADA6" s="47"/>
      <c r="ADB6" s="47"/>
      <c r="ADC6" s="47"/>
      <c r="ADD6" s="47"/>
      <c r="ADE6" s="47"/>
      <c r="ADF6" s="47"/>
      <c r="ADG6" s="47"/>
      <c r="ADH6" s="47"/>
      <c r="ADI6" s="47"/>
      <c r="ADJ6" s="47"/>
      <c r="ADK6" s="47"/>
      <c r="ADL6" s="47"/>
      <c r="ADM6" s="47"/>
      <c r="ADN6" s="47"/>
      <c r="ADO6" s="47"/>
      <c r="ADP6" s="47"/>
      <c r="ADQ6" s="47"/>
      <c r="ADR6" s="47"/>
      <c r="ADS6" s="47"/>
      <c r="ADT6" s="47"/>
      <c r="ADU6" s="47"/>
      <c r="ADV6" s="47"/>
      <c r="ADW6" s="47"/>
      <c r="ADX6" s="47"/>
      <c r="ADY6" s="47"/>
      <c r="ADZ6" s="47"/>
      <c r="AEA6" s="47"/>
      <c r="AEB6" s="47"/>
      <c r="AEC6" s="47"/>
      <c r="AED6" s="47"/>
      <c r="AEE6" s="47"/>
      <c r="AEF6" s="47"/>
      <c r="AEG6" s="47"/>
      <c r="AEH6" s="47"/>
      <c r="AEI6" s="47"/>
      <c r="AEJ6" s="47"/>
      <c r="AEK6" s="47"/>
      <c r="AEL6" s="47"/>
      <c r="AEM6" s="47"/>
      <c r="AEN6" s="47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7"/>
      <c r="AFG6" s="47"/>
      <c r="AFH6" s="47"/>
      <c r="AFI6" s="47"/>
      <c r="AFJ6" s="47"/>
      <c r="AFK6" s="47"/>
      <c r="AFL6" s="47"/>
      <c r="AFM6" s="47"/>
      <c r="AFN6" s="47"/>
      <c r="AFO6" s="47"/>
      <c r="AFP6" s="47"/>
      <c r="AFQ6" s="47"/>
      <c r="AFR6" s="47"/>
      <c r="AFS6" s="47"/>
      <c r="AFT6" s="47"/>
      <c r="AFU6" s="47"/>
      <c r="AFV6" s="47"/>
      <c r="AFW6" s="47"/>
      <c r="AFX6" s="47"/>
      <c r="AFY6" s="47"/>
      <c r="AFZ6" s="47"/>
      <c r="AGA6" s="47"/>
      <c r="AGB6" s="47"/>
      <c r="AGC6" s="47"/>
      <c r="AGD6" s="47"/>
      <c r="AGE6" s="47"/>
      <c r="AGF6" s="47"/>
      <c r="AGG6" s="47"/>
      <c r="AGH6" s="47"/>
      <c r="AGI6" s="47"/>
      <c r="AGJ6" s="47"/>
      <c r="AGK6" s="47"/>
      <c r="AGL6" s="47"/>
      <c r="AGM6" s="47"/>
      <c r="AGN6" s="47"/>
      <c r="AGO6" s="47"/>
      <c r="AGP6" s="47"/>
      <c r="AGQ6" s="47"/>
      <c r="AGR6" s="47"/>
      <c r="AGS6" s="47"/>
      <c r="AGT6" s="47"/>
      <c r="AGU6" s="47"/>
      <c r="AGV6" s="47"/>
      <c r="AGW6" s="47"/>
      <c r="AGX6" s="47"/>
      <c r="AGY6" s="47"/>
      <c r="AGZ6" s="47"/>
      <c r="AHA6" s="47"/>
      <c r="AHB6" s="47"/>
      <c r="AHC6" s="47"/>
      <c r="AHD6" s="47"/>
      <c r="AHE6" s="47"/>
      <c r="AHF6" s="47"/>
      <c r="AHG6" s="47"/>
      <c r="AHH6" s="47"/>
      <c r="AHI6" s="47"/>
      <c r="AHJ6" s="47"/>
      <c r="AHK6" s="47"/>
      <c r="AHL6" s="47"/>
      <c r="AHM6" s="47"/>
      <c r="AHN6" s="47"/>
      <c r="AHO6" s="47"/>
      <c r="AHP6" s="47"/>
      <c r="AHQ6" s="47"/>
      <c r="AHR6" s="47"/>
      <c r="AHS6" s="47"/>
      <c r="AHT6" s="47"/>
      <c r="AHU6" s="47"/>
      <c r="AHV6" s="47"/>
      <c r="AHW6" s="47"/>
      <c r="AHX6" s="47"/>
      <c r="AHY6" s="47"/>
      <c r="AHZ6" s="47"/>
      <c r="AIA6" s="47"/>
      <c r="AIB6" s="47"/>
      <c r="AIC6" s="47"/>
      <c r="AID6" s="47"/>
      <c r="AIE6" s="47"/>
      <c r="AIF6" s="47"/>
      <c r="AIG6" s="47"/>
      <c r="AIH6" s="47"/>
      <c r="AII6" s="47"/>
      <c r="AIJ6" s="47"/>
      <c r="AIK6" s="47"/>
      <c r="AIL6" s="47"/>
      <c r="AIM6" s="47"/>
      <c r="AIN6" s="47"/>
      <c r="AIO6" s="47"/>
      <c r="AIP6" s="47"/>
      <c r="AIQ6" s="47"/>
      <c r="AIR6" s="47"/>
      <c r="AIS6" s="47"/>
      <c r="AIT6" s="47"/>
      <c r="AIU6" s="47"/>
      <c r="AIV6" s="47"/>
      <c r="AIW6" s="47"/>
      <c r="AIX6" s="47"/>
      <c r="AIY6" s="47"/>
      <c r="AIZ6" s="47"/>
      <c r="AJA6" s="47"/>
      <c r="AJB6" s="47"/>
      <c r="AJC6" s="47"/>
      <c r="AJD6" s="47"/>
      <c r="AJE6" s="47"/>
      <c r="AJF6" s="47"/>
      <c r="AJG6" s="47"/>
      <c r="AJH6" s="47"/>
      <c r="AJI6" s="47"/>
      <c r="AJJ6" s="47"/>
      <c r="AJK6" s="47"/>
      <c r="AJL6" s="47"/>
      <c r="AJM6" s="47"/>
      <c r="AJN6" s="47"/>
      <c r="AJO6" s="47"/>
      <c r="AJP6" s="47"/>
      <c r="AJQ6" s="47"/>
      <c r="AJR6" s="47"/>
      <c r="AJS6" s="47"/>
      <c r="AJT6" s="47"/>
      <c r="AJU6" s="47"/>
      <c r="AJV6" s="47"/>
      <c r="AJW6" s="47"/>
      <c r="AJX6" s="47"/>
      <c r="AJY6" s="47"/>
      <c r="AJZ6" s="47"/>
      <c r="AKA6" s="47"/>
      <c r="AKB6" s="47"/>
      <c r="AKC6" s="47"/>
      <c r="AKD6" s="47"/>
      <c r="AKE6" s="47"/>
      <c r="AKF6" s="47"/>
      <c r="AKG6" s="47"/>
      <c r="AKH6" s="47"/>
      <c r="AKI6" s="47"/>
      <c r="AKJ6" s="47"/>
      <c r="AKK6" s="47"/>
      <c r="AKL6" s="47"/>
      <c r="AKM6" s="47"/>
      <c r="AKN6" s="47"/>
      <c r="AKO6" s="47"/>
      <c r="AKP6" s="47"/>
      <c r="AKQ6" s="47"/>
      <c r="AKR6" s="47"/>
      <c r="AKS6" s="47"/>
      <c r="AKT6" s="47"/>
      <c r="AKU6" s="47"/>
      <c r="AKV6" s="47"/>
      <c r="AKW6" s="47"/>
      <c r="AKX6" s="47"/>
      <c r="AKY6" s="47"/>
      <c r="AKZ6" s="47"/>
      <c r="ALA6" s="47"/>
      <c r="ALB6" s="47"/>
      <c r="ALC6" s="47"/>
      <c r="ALD6" s="47"/>
      <c r="ALE6" s="47"/>
      <c r="ALF6" s="47"/>
      <c r="ALG6" s="47"/>
      <c r="ALH6" s="47"/>
      <c r="ALI6" s="47"/>
      <c r="ALJ6" s="47"/>
      <c r="ALK6" s="47"/>
      <c r="ALL6" s="47"/>
      <c r="ALM6" s="47"/>
      <c r="ALN6" s="47"/>
      <c r="ALO6" s="47"/>
      <c r="ALP6" s="47"/>
      <c r="ALQ6" s="47"/>
      <c r="ALR6" s="47"/>
      <c r="ALS6" s="47"/>
      <c r="ALT6" s="47"/>
      <c r="ALU6" s="47"/>
      <c r="ALV6" s="47"/>
      <c r="ALW6" s="47"/>
      <c r="ALX6" s="47"/>
      <c r="ALY6" s="47"/>
      <c r="ALZ6" s="47"/>
      <c r="AMA6" s="47"/>
      <c r="AMB6" s="47"/>
      <c r="AMC6" s="47"/>
      <c r="AMD6" s="47"/>
      <c r="AME6" s="47"/>
      <c r="AMF6" s="47"/>
      <c r="AMG6" s="47"/>
      <c r="AMH6" s="47"/>
      <c r="AMI6" s="47"/>
      <c r="AMJ6" s="47"/>
      <c r="AMK6" s="47"/>
      <c r="AML6" s="47"/>
    </row>
    <row r="7" ht="15.75" customHeight="1">
      <c r="A7" s="33" t="s">
        <v>65</v>
      </c>
      <c r="B7" s="32" t="s">
        <v>66</v>
      </c>
      <c r="C7" s="32" t="s">
        <v>67</v>
      </c>
      <c r="D7" s="33"/>
      <c r="E7" s="37">
        <v>200.0</v>
      </c>
      <c r="F7" s="33"/>
      <c r="G7" s="32" t="s">
        <v>68</v>
      </c>
      <c r="H7" s="33"/>
      <c r="I7" s="33"/>
      <c r="J7" s="33"/>
      <c r="K7" s="37">
        <v>8.0</v>
      </c>
      <c r="L7" s="37">
        <v>8.0</v>
      </c>
      <c r="M7" s="32" t="s">
        <v>85</v>
      </c>
      <c r="N7" s="32" t="s">
        <v>70</v>
      </c>
      <c r="O7" s="32" t="s">
        <v>71</v>
      </c>
      <c r="P7" s="33"/>
      <c r="Q7" s="45">
        <v>2.0</v>
      </c>
      <c r="R7" s="33"/>
      <c r="S7" s="33" t="s">
        <v>72</v>
      </c>
      <c r="T7" s="33"/>
      <c r="U7" s="33"/>
      <c r="V7" s="33" t="s">
        <v>86</v>
      </c>
      <c r="W7" s="45">
        <v>1.0</v>
      </c>
      <c r="X7" s="33"/>
      <c r="Y7" s="33" t="s">
        <v>65</v>
      </c>
      <c r="Z7" s="33" t="s">
        <v>74</v>
      </c>
      <c r="AA7" s="33"/>
      <c r="AB7" s="45">
        <v>1.0</v>
      </c>
      <c r="AC7" s="33"/>
      <c r="AD7" s="33" t="s">
        <v>83</v>
      </c>
      <c r="AE7" s="45">
        <v>200.0</v>
      </c>
      <c r="AF7" s="33" t="s">
        <v>65</v>
      </c>
      <c r="AG7" s="33"/>
      <c r="AH7" s="33" t="s">
        <v>76</v>
      </c>
      <c r="AI7" s="45">
        <v>1.0</v>
      </c>
      <c r="AJ7" s="33" t="s">
        <v>32</v>
      </c>
      <c r="AK7" s="33"/>
      <c r="AL7" s="33"/>
      <c r="AM7" s="33"/>
      <c r="AN7" s="46" t="b">
        <v>0</v>
      </c>
      <c r="AO7" s="33"/>
      <c r="AP7" s="46" t="b">
        <v>0</v>
      </c>
      <c r="AQ7" s="46" t="b">
        <v>0</v>
      </c>
      <c r="AR7" s="46" t="b">
        <v>1</v>
      </c>
      <c r="AS7" s="33"/>
      <c r="AT7" s="33"/>
      <c r="AU7" s="33"/>
      <c r="AV7" s="33"/>
      <c r="AW7" s="33"/>
      <c r="AX7" s="33"/>
      <c r="AY7" s="33" t="s">
        <v>77</v>
      </c>
      <c r="AZ7" s="33"/>
      <c r="BA7" s="33"/>
      <c r="BB7" s="33"/>
      <c r="BC7" s="33"/>
      <c r="BD7" s="33" t="s">
        <v>78</v>
      </c>
      <c r="BE7" s="45">
        <v>1600.0</v>
      </c>
      <c r="BF7" s="45">
        <v>1600.0</v>
      </c>
      <c r="BG7" s="33"/>
      <c r="BH7" s="33"/>
      <c r="BI7" s="33"/>
      <c r="BJ7" s="45">
        <v>200.0</v>
      </c>
      <c r="BK7" s="33"/>
      <c r="BL7" s="33" t="s">
        <v>65</v>
      </c>
      <c r="BM7" s="33" t="s">
        <v>74</v>
      </c>
      <c r="BN7" s="33"/>
      <c r="BO7" s="33" t="s">
        <v>42</v>
      </c>
      <c r="BP7" s="33"/>
      <c r="BQ7" s="33"/>
      <c r="BR7" s="33"/>
      <c r="BS7" s="33" t="s">
        <v>79</v>
      </c>
      <c r="BT7" s="33" t="s">
        <v>45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 t="s">
        <v>80</v>
      </c>
      <c r="CG7" s="33"/>
      <c r="CH7" s="33" t="s">
        <v>21</v>
      </c>
      <c r="CI7" s="33" t="s">
        <v>42</v>
      </c>
      <c r="CJ7" s="33"/>
      <c r="CK7" s="33" t="s">
        <v>81</v>
      </c>
      <c r="CL7" s="45">
        <v>1.0</v>
      </c>
      <c r="CM7" s="33" t="s">
        <v>45</v>
      </c>
      <c r="CN7" s="33" t="s">
        <v>82</v>
      </c>
      <c r="CO7" s="33" t="s">
        <v>83</v>
      </c>
      <c r="CP7" s="33" t="s">
        <v>84</v>
      </c>
      <c r="CQ7" s="33"/>
      <c r="CR7" s="33"/>
      <c r="CS7" s="33" t="s">
        <v>65</v>
      </c>
      <c r="CT7" s="33"/>
      <c r="CU7" s="33"/>
      <c r="CV7" s="33"/>
      <c r="CW7" s="33"/>
      <c r="CX7" s="33" t="s">
        <v>26</v>
      </c>
      <c r="CY7" s="33" t="s">
        <v>65</v>
      </c>
      <c r="CZ7" s="33" t="s">
        <v>65</v>
      </c>
      <c r="DA7" s="33" t="s">
        <v>65</v>
      </c>
      <c r="DB7" s="33" t="s">
        <v>65</v>
      </c>
      <c r="DC7" s="33" t="s">
        <v>65</v>
      </c>
      <c r="DD7" s="33" t="s">
        <v>65</v>
      </c>
      <c r="DE7" s="33" t="s">
        <v>65</v>
      </c>
      <c r="DF7" s="33" t="s">
        <v>65</v>
      </c>
      <c r="DG7" s="33" t="s">
        <v>65</v>
      </c>
      <c r="DH7" s="33" t="s">
        <v>65</v>
      </c>
      <c r="DI7" s="33" t="s">
        <v>65</v>
      </c>
      <c r="DJ7" s="33" t="s">
        <v>65</v>
      </c>
      <c r="DK7" s="33" t="s">
        <v>65</v>
      </c>
      <c r="DL7" s="33" t="s">
        <v>65</v>
      </c>
      <c r="DM7" s="33" t="s">
        <v>65</v>
      </c>
      <c r="DN7" s="33" t="s">
        <v>65</v>
      </c>
      <c r="DO7" s="33" t="s">
        <v>65</v>
      </c>
      <c r="DP7" s="33" t="s">
        <v>65</v>
      </c>
      <c r="DQ7" s="33" t="s">
        <v>65</v>
      </c>
      <c r="DR7" s="33" t="s">
        <v>65</v>
      </c>
      <c r="DS7" s="33" t="s">
        <v>65</v>
      </c>
      <c r="DT7" s="33" t="s">
        <v>65</v>
      </c>
      <c r="DU7" s="33" t="s">
        <v>65</v>
      </c>
      <c r="DV7" s="33" t="s">
        <v>65</v>
      </c>
      <c r="DW7" s="33" t="s">
        <v>65</v>
      </c>
      <c r="DX7" s="33" t="s">
        <v>65</v>
      </c>
      <c r="DY7" s="33" t="s">
        <v>65</v>
      </c>
      <c r="DZ7" s="33" t="s">
        <v>65</v>
      </c>
      <c r="EA7" s="33" t="s">
        <v>65</v>
      </c>
      <c r="EB7" s="33" t="s">
        <v>65</v>
      </c>
      <c r="EC7" s="33" t="s">
        <v>65</v>
      </c>
      <c r="ED7" s="33" t="s">
        <v>65</v>
      </c>
      <c r="EE7" s="33" t="s">
        <v>65</v>
      </c>
      <c r="EF7" s="33" t="s">
        <v>65</v>
      </c>
      <c r="EG7" s="33" t="s">
        <v>65</v>
      </c>
      <c r="EH7" s="33" t="s">
        <v>65</v>
      </c>
      <c r="EI7" s="33" t="s">
        <v>65</v>
      </c>
      <c r="EJ7" s="33" t="s">
        <v>65</v>
      </c>
      <c r="EK7" s="33" t="s">
        <v>65</v>
      </c>
      <c r="EL7" s="33" t="s">
        <v>65</v>
      </c>
      <c r="EM7" s="33" t="s">
        <v>65</v>
      </c>
      <c r="EN7" s="33" t="s">
        <v>65</v>
      </c>
      <c r="EO7" s="33" t="s">
        <v>65</v>
      </c>
      <c r="EP7" s="33" t="s">
        <v>65</v>
      </c>
      <c r="EQ7" s="33" t="s">
        <v>65</v>
      </c>
      <c r="ER7" s="33" t="s">
        <v>65</v>
      </c>
      <c r="ES7" s="33" t="s">
        <v>65</v>
      </c>
      <c r="ET7" s="33" t="s">
        <v>65</v>
      </c>
      <c r="EU7" s="33" t="s">
        <v>65</v>
      </c>
      <c r="EV7" s="33" t="s">
        <v>65</v>
      </c>
      <c r="EW7" s="33" t="s">
        <v>65</v>
      </c>
      <c r="EX7" s="33" t="s">
        <v>65</v>
      </c>
      <c r="EY7" s="33"/>
      <c r="EZ7" s="33"/>
      <c r="FA7" s="33" t="s">
        <v>65</v>
      </c>
      <c r="FB7" s="33" t="s">
        <v>65</v>
      </c>
      <c r="FC7" s="33" t="s">
        <v>65</v>
      </c>
      <c r="FD7" s="33" t="s">
        <v>65</v>
      </c>
      <c r="FE7" s="33" t="s">
        <v>65</v>
      </c>
      <c r="FF7" s="33" t="s">
        <v>65</v>
      </c>
      <c r="FG7" s="33" t="s">
        <v>65</v>
      </c>
      <c r="FH7" s="33" t="s">
        <v>65</v>
      </c>
      <c r="FI7" s="33" t="s">
        <v>65</v>
      </c>
      <c r="FJ7" s="33"/>
      <c r="FK7" s="33" t="s">
        <v>65</v>
      </c>
      <c r="FL7" s="33" t="s">
        <v>65</v>
      </c>
      <c r="FM7" s="33" t="s">
        <v>65</v>
      </c>
      <c r="FN7" s="33" t="s">
        <v>65</v>
      </c>
      <c r="FO7" s="33" t="s">
        <v>65</v>
      </c>
      <c r="FP7" s="33" t="s">
        <v>65</v>
      </c>
      <c r="FQ7" s="33" t="s">
        <v>65</v>
      </c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7"/>
      <c r="YB7" s="47"/>
      <c r="YC7" s="47"/>
      <c r="YD7" s="47"/>
      <c r="YE7" s="47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7"/>
      <c r="ZX7" s="47"/>
      <c r="ZY7" s="47"/>
      <c r="ZZ7" s="47"/>
      <c r="AAA7" s="47"/>
      <c r="AAB7" s="47"/>
      <c r="AAC7" s="47"/>
      <c r="AAD7" s="47"/>
      <c r="AAE7" s="47"/>
      <c r="AAF7" s="47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7"/>
      <c r="ACI7" s="47"/>
      <c r="ACJ7" s="47"/>
      <c r="ACK7" s="47"/>
      <c r="ACL7" s="47"/>
      <c r="ACM7" s="47"/>
      <c r="ACN7" s="47"/>
      <c r="ACO7" s="47"/>
      <c r="ACP7" s="47"/>
      <c r="ACQ7" s="47"/>
      <c r="ACR7" s="47"/>
      <c r="ACS7" s="47"/>
      <c r="ACT7" s="47"/>
      <c r="ACU7" s="47"/>
      <c r="ACV7" s="47"/>
      <c r="ACW7" s="47"/>
      <c r="ACX7" s="47"/>
      <c r="ACY7" s="47"/>
      <c r="ACZ7" s="47"/>
      <c r="ADA7" s="47"/>
      <c r="ADB7" s="47"/>
      <c r="ADC7" s="47"/>
      <c r="ADD7" s="47"/>
      <c r="ADE7" s="47"/>
      <c r="ADF7" s="47"/>
      <c r="ADG7" s="47"/>
      <c r="ADH7" s="47"/>
      <c r="ADI7" s="47"/>
      <c r="ADJ7" s="47"/>
      <c r="ADK7" s="47"/>
      <c r="ADL7" s="47"/>
      <c r="ADM7" s="47"/>
      <c r="ADN7" s="47"/>
      <c r="ADO7" s="47"/>
      <c r="ADP7" s="47"/>
      <c r="ADQ7" s="47"/>
      <c r="ADR7" s="47"/>
      <c r="ADS7" s="47"/>
      <c r="ADT7" s="47"/>
      <c r="ADU7" s="47"/>
      <c r="ADV7" s="47"/>
      <c r="ADW7" s="47"/>
      <c r="ADX7" s="47"/>
      <c r="ADY7" s="47"/>
      <c r="ADZ7" s="47"/>
      <c r="AEA7" s="47"/>
      <c r="AEB7" s="47"/>
      <c r="AEC7" s="47"/>
      <c r="AED7" s="47"/>
      <c r="AEE7" s="47"/>
      <c r="AEF7" s="47"/>
      <c r="AEG7" s="47"/>
      <c r="AEH7" s="47"/>
      <c r="AEI7" s="47"/>
      <c r="AEJ7" s="47"/>
      <c r="AEK7" s="47"/>
      <c r="AEL7" s="47"/>
      <c r="AEM7" s="47"/>
      <c r="AEN7" s="47"/>
      <c r="AEO7" s="47"/>
      <c r="AEP7" s="47"/>
      <c r="AEQ7" s="47"/>
      <c r="AER7" s="47"/>
      <c r="AES7" s="47"/>
      <c r="AET7" s="47"/>
      <c r="AEU7" s="47"/>
      <c r="AEV7" s="47"/>
      <c r="AEW7" s="47"/>
      <c r="AEX7" s="47"/>
      <c r="AEY7" s="47"/>
      <c r="AEZ7" s="47"/>
      <c r="AFA7" s="47"/>
      <c r="AFB7" s="47"/>
      <c r="AFC7" s="47"/>
      <c r="AFD7" s="47"/>
      <c r="AFE7" s="47"/>
      <c r="AFF7" s="47"/>
      <c r="AFG7" s="47"/>
      <c r="AFH7" s="47"/>
      <c r="AFI7" s="47"/>
      <c r="AFJ7" s="47"/>
      <c r="AFK7" s="47"/>
      <c r="AFL7" s="47"/>
      <c r="AFM7" s="47"/>
      <c r="AFN7" s="47"/>
      <c r="AFO7" s="47"/>
      <c r="AFP7" s="47"/>
      <c r="AFQ7" s="47"/>
      <c r="AFR7" s="47"/>
      <c r="AFS7" s="47"/>
      <c r="AFT7" s="47"/>
      <c r="AFU7" s="47"/>
      <c r="AFV7" s="47"/>
      <c r="AFW7" s="47"/>
      <c r="AFX7" s="47"/>
      <c r="AFY7" s="47"/>
      <c r="AFZ7" s="47"/>
      <c r="AGA7" s="47"/>
      <c r="AGB7" s="47"/>
      <c r="AGC7" s="47"/>
      <c r="AGD7" s="47"/>
      <c r="AGE7" s="47"/>
      <c r="AGF7" s="47"/>
      <c r="AGG7" s="47"/>
      <c r="AGH7" s="47"/>
      <c r="AGI7" s="47"/>
      <c r="AGJ7" s="47"/>
      <c r="AGK7" s="47"/>
      <c r="AGL7" s="47"/>
      <c r="AGM7" s="47"/>
      <c r="AGN7" s="47"/>
      <c r="AGO7" s="47"/>
      <c r="AGP7" s="47"/>
      <c r="AGQ7" s="47"/>
      <c r="AGR7" s="47"/>
      <c r="AGS7" s="47"/>
      <c r="AGT7" s="47"/>
      <c r="AGU7" s="47"/>
      <c r="AGV7" s="47"/>
      <c r="AGW7" s="47"/>
      <c r="AGX7" s="47"/>
      <c r="AGY7" s="47"/>
      <c r="AGZ7" s="47"/>
      <c r="AHA7" s="47"/>
      <c r="AHB7" s="47"/>
      <c r="AHC7" s="47"/>
      <c r="AHD7" s="47"/>
      <c r="AHE7" s="47"/>
      <c r="AHF7" s="47"/>
      <c r="AHG7" s="47"/>
      <c r="AHH7" s="47"/>
      <c r="AHI7" s="47"/>
      <c r="AHJ7" s="47"/>
      <c r="AHK7" s="47"/>
      <c r="AHL7" s="47"/>
      <c r="AHM7" s="47"/>
      <c r="AHN7" s="47"/>
      <c r="AHO7" s="47"/>
      <c r="AHP7" s="47"/>
      <c r="AHQ7" s="47"/>
      <c r="AHR7" s="47"/>
      <c r="AHS7" s="47"/>
      <c r="AHT7" s="47"/>
      <c r="AHU7" s="47"/>
      <c r="AHV7" s="47"/>
      <c r="AHW7" s="47"/>
      <c r="AHX7" s="47"/>
      <c r="AHY7" s="47"/>
      <c r="AHZ7" s="47"/>
      <c r="AIA7" s="47"/>
      <c r="AIB7" s="47"/>
      <c r="AIC7" s="47"/>
      <c r="AID7" s="47"/>
      <c r="AIE7" s="47"/>
      <c r="AIF7" s="47"/>
      <c r="AIG7" s="47"/>
      <c r="AIH7" s="47"/>
      <c r="AII7" s="47"/>
      <c r="AIJ7" s="47"/>
      <c r="AIK7" s="47"/>
      <c r="AIL7" s="47"/>
      <c r="AIM7" s="47"/>
      <c r="AIN7" s="47"/>
      <c r="AIO7" s="47"/>
      <c r="AIP7" s="47"/>
      <c r="AIQ7" s="47"/>
      <c r="AIR7" s="47"/>
      <c r="AIS7" s="47"/>
      <c r="AIT7" s="47"/>
      <c r="AIU7" s="47"/>
      <c r="AIV7" s="47"/>
      <c r="AIW7" s="47"/>
      <c r="AIX7" s="47"/>
      <c r="AIY7" s="47"/>
      <c r="AIZ7" s="47"/>
      <c r="AJA7" s="47"/>
      <c r="AJB7" s="47"/>
      <c r="AJC7" s="47"/>
      <c r="AJD7" s="47"/>
      <c r="AJE7" s="47"/>
      <c r="AJF7" s="47"/>
      <c r="AJG7" s="47"/>
      <c r="AJH7" s="47"/>
      <c r="AJI7" s="47"/>
      <c r="AJJ7" s="47"/>
      <c r="AJK7" s="47"/>
      <c r="AJL7" s="47"/>
      <c r="AJM7" s="47"/>
      <c r="AJN7" s="47"/>
      <c r="AJO7" s="47"/>
      <c r="AJP7" s="47"/>
      <c r="AJQ7" s="47"/>
      <c r="AJR7" s="47"/>
      <c r="AJS7" s="47"/>
      <c r="AJT7" s="47"/>
      <c r="AJU7" s="47"/>
      <c r="AJV7" s="47"/>
      <c r="AJW7" s="47"/>
      <c r="AJX7" s="47"/>
      <c r="AJY7" s="47"/>
      <c r="AJZ7" s="47"/>
      <c r="AKA7" s="47"/>
      <c r="AKB7" s="47"/>
      <c r="AKC7" s="47"/>
      <c r="AKD7" s="47"/>
      <c r="AKE7" s="47"/>
      <c r="AKF7" s="47"/>
      <c r="AKG7" s="47"/>
      <c r="AKH7" s="47"/>
      <c r="AKI7" s="47"/>
      <c r="AKJ7" s="47"/>
      <c r="AKK7" s="47"/>
      <c r="AKL7" s="47"/>
      <c r="AKM7" s="47"/>
      <c r="AKN7" s="47"/>
      <c r="AKO7" s="47"/>
      <c r="AKP7" s="47"/>
      <c r="AKQ7" s="47"/>
      <c r="AKR7" s="47"/>
      <c r="AKS7" s="47"/>
      <c r="AKT7" s="47"/>
      <c r="AKU7" s="47"/>
      <c r="AKV7" s="47"/>
      <c r="AKW7" s="47"/>
      <c r="AKX7" s="47"/>
      <c r="AKY7" s="47"/>
      <c r="AKZ7" s="47"/>
      <c r="ALA7" s="47"/>
      <c r="ALB7" s="47"/>
      <c r="ALC7" s="47"/>
      <c r="ALD7" s="47"/>
      <c r="ALE7" s="47"/>
      <c r="ALF7" s="47"/>
      <c r="ALG7" s="47"/>
      <c r="ALH7" s="47"/>
      <c r="ALI7" s="47"/>
      <c r="ALJ7" s="47"/>
      <c r="ALK7" s="47"/>
      <c r="ALL7" s="47"/>
      <c r="ALM7" s="47"/>
      <c r="ALN7" s="47"/>
      <c r="ALO7" s="47"/>
      <c r="ALP7" s="47"/>
      <c r="ALQ7" s="47"/>
      <c r="ALR7" s="47"/>
      <c r="ALS7" s="47"/>
      <c r="ALT7" s="47"/>
      <c r="ALU7" s="47"/>
      <c r="ALV7" s="47"/>
      <c r="ALW7" s="47"/>
      <c r="ALX7" s="47"/>
      <c r="ALY7" s="47"/>
      <c r="ALZ7" s="47"/>
      <c r="AMA7" s="47"/>
      <c r="AMB7" s="47"/>
      <c r="AMC7" s="47"/>
      <c r="AMD7" s="47"/>
      <c r="AME7" s="47"/>
      <c r="AMF7" s="47"/>
      <c r="AMG7" s="47"/>
      <c r="AMH7" s="47"/>
      <c r="AMI7" s="47"/>
      <c r="AMJ7" s="47"/>
      <c r="AMK7" s="47"/>
      <c r="AML7" s="47"/>
    </row>
    <row r="8" ht="15.75" customHeight="1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87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65</v>
      </c>
      <c r="B6" s="30"/>
      <c r="C6" s="32" t="s">
        <v>50</v>
      </c>
      <c r="D6" s="38">
        <v>-600.0</v>
      </c>
      <c r="E6" s="32" t="s">
        <v>29</v>
      </c>
      <c r="F6" s="32" t="s">
        <v>26</v>
      </c>
      <c r="G6" s="37">
        <v>20.0</v>
      </c>
      <c r="H6" s="32" t="s">
        <v>89</v>
      </c>
      <c r="I6" s="33"/>
      <c r="J6" s="33"/>
      <c r="K6" s="33"/>
      <c r="L6" s="33"/>
      <c r="M6" s="33"/>
      <c r="N6" s="33"/>
      <c r="O6" s="32" t="s">
        <v>73</v>
      </c>
      <c r="P6" s="33" t="s">
        <v>90</v>
      </c>
      <c r="Q6" s="33"/>
      <c r="R6" s="33" t="s">
        <v>71</v>
      </c>
      <c r="S6" s="33" t="s">
        <v>79</v>
      </c>
      <c r="T6" s="33" t="s">
        <v>68</v>
      </c>
      <c r="U6" s="33" t="s">
        <v>81</v>
      </c>
      <c r="V6" s="33" t="s">
        <v>75</v>
      </c>
      <c r="W6" s="33" t="s">
        <v>74</v>
      </c>
      <c r="X6" s="45">
        <v>1.0</v>
      </c>
      <c r="Y6" s="45">
        <v>1.0</v>
      </c>
      <c r="Z6" s="33"/>
      <c r="AA6" s="33"/>
      <c r="AB6" s="33"/>
      <c r="AC6" s="33"/>
      <c r="AD6" s="45">
        <v>-12000.0</v>
      </c>
      <c r="AE6" s="45">
        <v>-12000.0</v>
      </c>
      <c r="AF6" s="45">
        <v>-600.0</v>
      </c>
      <c r="AG6" s="45">
        <v>-12000.0</v>
      </c>
      <c r="AH6" s="45">
        <v>-12000.0</v>
      </c>
      <c r="AI6" s="45">
        <v>-12000.0</v>
      </c>
      <c r="AJ6" s="33"/>
      <c r="AK6" s="33"/>
      <c r="AL6" s="45">
        <v>1.0</v>
      </c>
      <c r="AM6" s="45">
        <v>1.0</v>
      </c>
      <c r="AN6" s="33" t="s">
        <v>56</v>
      </c>
      <c r="AO6" s="33"/>
      <c r="AP6" s="33" t="s">
        <v>89</v>
      </c>
      <c r="AQ6" s="33" t="s">
        <v>50</v>
      </c>
      <c r="AR6" s="45">
        <v>20.0</v>
      </c>
      <c r="AS6" s="45">
        <v>-1.0</v>
      </c>
      <c r="AT6" s="33"/>
      <c r="AU6" s="33"/>
      <c r="AV6" s="45">
        <v>1.0</v>
      </c>
      <c r="AW6" s="33"/>
      <c r="AX6" s="33"/>
      <c r="AY6" s="33"/>
      <c r="AZ6" s="45">
        <v>-12000.0</v>
      </c>
      <c r="BA6" s="33"/>
      <c r="BB6" s="33"/>
      <c r="BC6" s="45">
        <v>1.0</v>
      </c>
      <c r="BD6" s="45">
        <v>12000.0</v>
      </c>
      <c r="BE6" s="33" t="s">
        <v>68</v>
      </c>
      <c r="BF6" s="33" t="s">
        <v>91</v>
      </c>
      <c r="BG6" s="33" t="s">
        <v>92</v>
      </c>
      <c r="BH6" s="33" t="s">
        <v>90</v>
      </c>
      <c r="BI6" s="33" t="s">
        <v>93</v>
      </c>
      <c r="BJ6" s="33"/>
      <c r="BK6" s="33"/>
      <c r="BL6" s="33"/>
      <c r="BM6" s="33"/>
      <c r="BN6" s="33"/>
      <c r="BO6" s="45">
        <v>12000.0</v>
      </c>
      <c r="BP6" s="33"/>
      <c r="BQ6" s="33" t="s">
        <v>82</v>
      </c>
      <c r="BR6" s="33" t="s">
        <v>71</v>
      </c>
      <c r="BS6" s="33"/>
      <c r="BT6" s="33"/>
      <c r="BU6" s="33" t="s">
        <v>68</v>
      </c>
      <c r="BV6" s="33"/>
      <c r="BW6" s="33"/>
      <c r="BX6" s="45">
        <v>12000.0</v>
      </c>
      <c r="BY6" s="45">
        <v>12000.0</v>
      </c>
      <c r="BZ6" s="45">
        <v>20.0</v>
      </c>
      <c r="CA6" s="45">
        <v>20.0</v>
      </c>
      <c r="CB6" s="33"/>
      <c r="CC6" s="33"/>
      <c r="CD6" s="33"/>
      <c r="CE6" s="33"/>
      <c r="CF6" s="33"/>
      <c r="CG6" s="33"/>
      <c r="CH6" s="33"/>
      <c r="CI6" s="33"/>
      <c r="CJ6" s="33"/>
      <c r="CK6" s="46" t="b">
        <v>0</v>
      </c>
      <c r="CL6" s="33"/>
      <c r="CM6" s="33"/>
      <c r="CN6" s="33"/>
      <c r="CO6" s="33"/>
      <c r="CP6" s="33" t="s">
        <v>69</v>
      </c>
      <c r="CQ6" s="33"/>
      <c r="CR6" s="33"/>
      <c r="CS6" s="45">
        <v>20.0</v>
      </c>
      <c r="CT6" s="33"/>
      <c r="CU6" s="33"/>
      <c r="CV6" s="33"/>
      <c r="CW6" s="33"/>
      <c r="CX6" s="33"/>
      <c r="CY6" s="33" t="s">
        <v>94</v>
      </c>
      <c r="CZ6" s="33" t="s">
        <v>95</v>
      </c>
      <c r="DA6" s="45">
        <v>12000.0</v>
      </c>
      <c r="DB6" s="33"/>
      <c r="DC6" s="33"/>
      <c r="DD6" s="45">
        <v>-600.0</v>
      </c>
      <c r="DE6" s="33"/>
      <c r="DF6" s="33"/>
      <c r="DG6" s="33"/>
      <c r="DH6" s="33" t="s">
        <v>90</v>
      </c>
      <c r="DI6" s="33"/>
      <c r="DJ6" s="33" t="s">
        <v>56</v>
      </c>
      <c r="DK6" s="33"/>
      <c r="DL6" s="33"/>
      <c r="DM6" s="45">
        <v>1.0</v>
      </c>
      <c r="DN6" s="45">
        <v>20.0</v>
      </c>
      <c r="DO6" s="33" t="s">
        <v>96</v>
      </c>
      <c r="DP6" s="33" t="s">
        <v>89</v>
      </c>
      <c r="DQ6" s="33" t="s">
        <v>90</v>
      </c>
      <c r="DR6" s="33" t="s">
        <v>97</v>
      </c>
      <c r="DS6" s="33" t="s">
        <v>90</v>
      </c>
      <c r="DT6" s="33" t="s">
        <v>90</v>
      </c>
      <c r="DU6" s="33" t="s">
        <v>90</v>
      </c>
      <c r="DV6" s="33" t="s">
        <v>90</v>
      </c>
      <c r="DW6" s="33" t="s">
        <v>90</v>
      </c>
      <c r="DX6" s="33" t="s">
        <v>90</v>
      </c>
      <c r="DY6" s="33" t="s">
        <v>90</v>
      </c>
      <c r="DZ6" s="33" t="s">
        <v>73</v>
      </c>
      <c r="EA6" s="33" t="s">
        <v>40</v>
      </c>
      <c r="EB6" s="33" t="s">
        <v>90</v>
      </c>
      <c r="EC6" s="33" t="s">
        <v>90</v>
      </c>
      <c r="ED6" s="33" t="s">
        <v>74</v>
      </c>
      <c r="EE6" s="33" t="s">
        <v>40</v>
      </c>
      <c r="EF6" s="33"/>
      <c r="EG6" s="33"/>
      <c r="EH6" s="33"/>
      <c r="EI6" s="33"/>
      <c r="EJ6" s="33" t="s">
        <v>65</v>
      </c>
      <c r="EK6" s="33" t="s">
        <v>65</v>
      </c>
      <c r="EL6" s="33" t="s">
        <v>65</v>
      </c>
      <c r="EM6" s="33" t="s">
        <v>65</v>
      </c>
      <c r="EN6" s="33" t="s">
        <v>65</v>
      </c>
      <c r="EO6" s="33" t="s">
        <v>65</v>
      </c>
      <c r="EP6" s="33" t="s">
        <v>65</v>
      </c>
      <c r="EQ6" s="33" t="s">
        <v>65</v>
      </c>
      <c r="ER6" s="33" t="s">
        <v>65</v>
      </c>
      <c r="ES6" s="33" t="s">
        <v>65</v>
      </c>
      <c r="ET6" s="33" t="s">
        <v>65</v>
      </c>
      <c r="EU6" s="33" t="s">
        <v>65</v>
      </c>
      <c r="EV6" s="33" t="s">
        <v>65</v>
      </c>
      <c r="EW6" s="33" t="s">
        <v>65</v>
      </c>
      <c r="EX6" s="33" t="s">
        <v>65</v>
      </c>
      <c r="EY6" s="33" t="s">
        <v>65</v>
      </c>
      <c r="EZ6" s="33" t="s">
        <v>65</v>
      </c>
      <c r="FA6" s="33" t="s">
        <v>65</v>
      </c>
      <c r="FB6" s="33" t="s">
        <v>65</v>
      </c>
      <c r="FC6" s="33" t="s">
        <v>98</v>
      </c>
      <c r="FD6" s="33"/>
      <c r="FE6" s="33"/>
      <c r="FF6" s="33"/>
      <c r="FG6" s="33"/>
      <c r="FH6" s="48">
        <v>-600.0</v>
      </c>
      <c r="FI6" s="33" t="s">
        <v>65</v>
      </c>
      <c r="FJ6" s="33"/>
      <c r="FK6" s="33" t="s">
        <v>65</v>
      </c>
      <c r="FL6" s="33" t="s">
        <v>65</v>
      </c>
      <c r="FM6" s="33"/>
      <c r="FN6" s="33"/>
      <c r="FO6" s="33"/>
      <c r="FP6" s="33"/>
      <c r="FQ6" s="33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47"/>
      <c r="LG6" s="47"/>
      <c r="LH6" s="47"/>
      <c r="LI6" s="47"/>
      <c r="LJ6" s="47"/>
      <c r="LK6" s="47"/>
      <c r="LL6" s="47"/>
      <c r="LM6" s="47"/>
      <c r="LN6" s="47"/>
      <c r="LO6" s="47"/>
      <c r="LP6" s="47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7"/>
      <c r="MI6" s="47"/>
      <c r="MJ6" s="47"/>
      <c r="MK6" s="47"/>
      <c r="ML6" s="47"/>
      <c r="MM6" s="47"/>
      <c r="MN6" s="47"/>
      <c r="MO6" s="47"/>
      <c r="MP6" s="47"/>
      <c r="MQ6" s="47"/>
      <c r="MR6" s="47"/>
      <c r="MS6" s="47"/>
      <c r="MT6" s="47"/>
      <c r="MU6" s="47"/>
      <c r="MV6" s="47"/>
      <c r="MW6" s="47"/>
      <c r="MX6" s="47"/>
      <c r="MY6" s="47"/>
      <c r="MZ6" s="47"/>
      <c r="NA6" s="47"/>
      <c r="NB6" s="47"/>
      <c r="NC6" s="47"/>
      <c r="ND6" s="47"/>
      <c r="NE6" s="47"/>
      <c r="NF6" s="47"/>
      <c r="NG6" s="47"/>
      <c r="NH6" s="47"/>
      <c r="NI6" s="47"/>
      <c r="NJ6" s="47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47"/>
      <c r="NV6" s="47"/>
      <c r="NW6" s="47"/>
      <c r="NX6" s="47"/>
      <c r="NY6" s="47"/>
      <c r="NZ6" s="47"/>
      <c r="OA6" s="47"/>
      <c r="OB6" s="47"/>
      <c r="OC6" s="47"/>
      <c r="OD6" s="47"/>
      <c r="OE6" s="47"/>
      <c r="OF6" s="47"/>
      <c r="OG6" s="47"/>
      <c r="OH6" s="47"/>
      <c r="OI6" s="47"/>
      <c r="OJ6" s="47"/>
      <c r="OK6" s="47"/>
      <c r="OL6" s="47"/>
      <c r="OM6" s="47"/>
      <c r="ON6" s="47"/>
      <c r="OO6" s="47"/>
      <c r="OP6" s="47"/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7"/>
      <c r="QZ6" s="47"/>
      <c r="RA6" s="47"/>
      <c r="RB6" s="47"/>
      <c r="RC6" s="47"/>
      <c r="RD6" s="47"/>
      <c r="RE6" s="47"/>
      <c r="RF6" s="47"/>
      <c r="RG6" s="47"/>
      <c r="RH6" s="47"/>
      <c r="RI6" s="47"/>
      <c r="RJ6" s="47"/>
      <c r="RK6" s="47"/>
      <c r="RL6" s="47"/>
      <c r="RM6" s="47"/>
      <c r="RN6" s="47"/>
      <c r="RO6" s="47"/>
      <c r="RP6" s="47"/>
      <c r="RQ6" s="47"/>
      <c r="RR6" s="47"/>
      <c r="RS6" s="47"/>
      <c r="RT6" s="47"/>
      <c r="RU6" s="47"/>
      <c r="RV6" s="47"/>
      <c r="RW6" s="47"/>
      <c r="RX6" s="47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7"/>
      <c r="SQ6" s="47"/>
      <c r="SR6" s="47"/>
      <c r="SS6" s="47"/>
      <c r="ST6" s="47"/>
      <c r="SU6" s="47"/>
      <c r="SV6" s="47"/>
      <c r="SW6" s="47"/>
      <c r="SX6" s="47"/>
      <c r="SY6" s="47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7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/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/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/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/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7"/>
      <c r="YF6" s="47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7"/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/>
      <c r="ZL6" s="47"/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7"/>
      <c r="ACN6" s="47"/>
      <c r="ACO6" s="47"/>
      <c r="ACP6" s="47"/>
      <c r="ACQ6" s="47"/>
      <c r="ACR6" s="47"/>
      <c r="ACS6" s="47"/>
      <c r="ACT6" s="47"/>
      <c r="ACU6" s="47"/>
      <c r="ACV6" s="47"/>
      <c r="ACW6" s="47"/>
      <c r="ACX6" s="47"/>
      <c r="ACY6" s="47"/>
      <c r="ACZ6" s="47"/>
      <c r="ADA6" s="47"/>
      <c r="ADB6" s="47"/>
      <c r="ADC6" s="47"/>
      <c r="ADD6" s="47"/>
      <c r="ADE6" s="47"/>
      <c r="ADF6" s="47"/>
      <c r="ADG6" s="47"/>
      <c r="ADH6" s="47"/>
      <c r="ADI6" s="47"/>
      <c r="ADJ6" s="47"/>
      <c r="ADK6" s="47"/>
      <c r="ADL6" s="47"/>
      <c r="ADM6" s="47"/>
      <c r="ADN6" s="47"/>
      <c r="ADO6" s="47"/>
      <c r="ADP6" s="47"/>
      <c r="ADQ6" s="47"/>
      <c r="ADR6" s="47"/>
      <c r="ADS6" s="47"/>
      <c r="ADT6" s="47"/>
      <c r="ADU6" s="47"/>
      <c r="ADV6" s="47"/>
      <c r="ADW6" s="47"/>
      <c r="ADX6" s="47"/>
      <c r="ADY6" s="47"/>
      <c r="ADZ6" s="47"/>
      <c r="AEA6" s="47"/>
      <c r="AEB6" s="47"/>
      <c r="AEC6" s="47"/>
      <c r="AED6" s="47"/>
      <c r="AEE6" s="47"/>
      <c r="AEF6" s="47"/>
      <c r="AEG6" s="47"/>
      <c r="AEH6" s="47"/>
      <c r="AEI6" s="47"/>
      <c r="AEJ6" s="47"/>
      <c r="AEK6" s="47"/>
      <c r="AEL6" s="47"/>
      <c r="AEM6" s="47"/>
      <c r="AEN6" s="47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7"/>
      <c r="AFG6" s="47"/>
      <c r="AFH6" s="47"/>
      <c r="AFI6" s="47"/>
      <c r="AFJ6" s="47"/>
      <c r="AFK6" s="47"/>
      <c r="AFL6" s="47"/>
      <c r="AFM6" s="47"/>
      <c r="AFN6" s="47"/>
      <c r="AFO6" s="47"/>
      <c r="AFP6" s="47"/>
      <c r="AFQ6" s="47"/>
      <c r="AFR6" s="47"/>
      <c r="AFS6" s="47"/>
      <c r="AFT6" s="47"/>
      <c r="AFU6" s="47"/>
      <c r="AFV6" s="47"/>
      <c r="AFW6" s="47"/>
      <c r="AFX6" s="47"/>
      <c r="AFY6" s="47"/>
      <c r="AFZ6" s="47"/>
      <c r="AGA6" s="47"/>
      <c r="AGB6" s="47"/>
      <c r="AGC6" s="47"/>
      <c r="AGD6" s="47"/>
      <c r="AGE6" s="47"/>
      <c r="AGF6" s="47"/>
      <c r="AGG6" s="47"/>
      <c r="AGH6" s="47"/>
      <c r="AGI6" s="47"/>
      <c r="AGJ6" s="47"/>
      <c r="AGK6" s="47"/>
      <c r="AGL6" s="47"/>
      <c r="AGM6" s="47"/>
      <c r="AGN6" s="47"/>
      <c r="AGO6" s="47"/>
      <c r="AGP6" s="47"/>
      <c r="AGQ6" s="47"/>
      <c r="AGR6" s="47"/>
      <c r="AGS6" s="47"/>
      <c r="AGT6" s="47"/>
      <c r="AGU6" s="47"/>
      <c r="AGV6" s="47"/>
      <c r="AGW6" s="47"/>
      <c r="AGX6" s="47"/>
      <c r="AGY6" s="47"/>
      <c r="AGZ6" s="47"/>
      <c r="AHA6" s="47"/>
      <c r="AHB6" s="47"/>
      <c r="AHC6" s="47"/>
      <c r="AHD6" s="47"/>
      <c r="AHE6" s="47"/>
      <c r="AHF6" s="47"/>
      <c r="AHG6" s="47"/>
      <c r="AHH6" s="47"/>
      <c r="AHI6" s="47"/>
      <c r="AHJ6" s="47"/>
      <c r="AHK6" s="47"/>
      <c r="AHL6" s="47"/>
      <c r="AHM6" s="47"/>
      <c r="AHN6" s="47"/>
      <c r="AHO6" s="47"/>
      <c r="AHP6" s="47"/>
      <c r="AHQ6" s="47"/>
      <c r="AHR6" s="47"/>
      <c r="AHS6" s="47"/>
      <c r="AHT6" s="47"/>
      <c r="AHU6" s="47"/>
      <c r="AHV6" s="47"/>
      <c r="AHW6" s="47"/>
      <c r="AHX6" s="47"/>
      <c r="AHY6" s="47"/>
      <c r="AHZ6" s="47"/>
      <c r="AIA6" s="47"/>
      <c r="AIB6" s="47"/>
      <c r="AIC6" s="47"/>
      <c r="AID6" s="47"/>
      <c r="AIE6" s="47"/>
      <c r="AIF6" s="47"/>
      <c r="AIG6" s="47"/>
      <c r="AIH6" s="47"/>
      <c r="AII6" s="47"/>
      <c r="AIJ6" s="47"/>
      <c r="AIK6" s="47"/>
      <c r="AIL6" s="47"/>
      <c r="AIM6" s="47"/>
      <c r="AIN6" s="47"/>
      <c r="AIO6" s="47"/>
      <c r="AIP6" s="47"/>
      <c r="AIQ6" s="47"/>
      <c r="AIR6" s="47"/>
      <c r="AIS6" s="47"/>
      <c r="AIT6" s="47"/>
      <c r="AIU6" s="47"/>
      <c r="AIV6" s="47"/>
      <c r="AIW6" s="47"/>
      <c r="AIX6" s="47"/>
      <c r="AIY6" s="47"/>
      <c r="AIZ6" s="47"/>
      <c r="AJA6" s="47"/>
      <c r="AJB6" s="47"/>
      <c r="AJC6" s="47"/>
      <c r="AJD6" s="47"/>
      <c r="AJE6" s="47"/>
      <c r="AJF6" s="47"/>
      <c r="AJG6" s="47"/>
      <c r="AJH6" s="47"/>
      <c r="AJI6" s="47"/>
      <c r="AJJ6" s="47"/>
      <c r="AJK6" s="47"/>
      <c r="AJL6" s="47"/>
      <c r="AJM6" s="47"/>
      <c r="AJN6" s="47"/>
      <c r="AJO6" s="47"/>
      <c r="AJP6" s="47"/>
      <c r="AJQ6" s="47"/>
      <c r="AJR6" s="47"/>
      <c r="AJS6" s="47"/>
      <c r="AJT6" s="47"/>
      <c r="AJU6" s="47"/>
      <c r="AJV6" s="47"/>
      <c r="AJW6" s="47"/>
      <c r="AJX6" s="47"/>
      <c r="AJY6" s="47"/>
      <c r="AJZ6" s="47"/>
      <c r="AKA6" s="47"/>
      <c r="AKB6" s="47"/>
      <c r="AKC6" s="47"/>
      <c r="AKD6" s="47"/>
      <c r="AKE6" s="47"/>
      <c r="AKF6" s="47"/>
      <c r="AKG6" s="47"/>
      <c r="AKH6" s="47"/>
      <c r="AKI6" s="47"/>
      <c r="AKJ6" s="47"/>
      <c r="AKK6" s="47"/>
      <c r="AKL6" s="47"/>
      <c r="AKM6" s="47"/>
      <c r="AKN6" s="47"/>
      <c r="AKO6" s="47"/>
      <c r="AKP6" s="47"/>
      <c r="AKQ6" s="47"/>
      <c r="AKR6" s="47"/>
      <c r="AKS6" s="47"/>
      <c r="AKT6" s="47"/>
      <c r="AKU6" s="47"/>
      <c r="AKV6" s="47"/>
      <c r="AKW6" s="47"/>
      <c r="AKX6" s="47"/>
      <c r="AKY6" s="47"/>
      <c r="AKZ6" s="47"/>
      <c r="ALA6" s="47"/>
      <c r="ALB6" s="47"/>
      <c r="ALC6" s="47"/>
      <c r="ALD6" s="47"/>
      <c r="ALE6" s="47"/>
      <c r="ALF6" s="47"/>
      <c r="ALG6" s="47"/>
      <c r="ALH6" s="47"/>
      <c r="ALI6" s="47"/>
      <c r="ALJ6" s="47"/>
      <c r="ALK6" s="47"/>
      <c r="ALL6" s="47"/>
      <c r="ALM6" s="47"/>
      <c r="ALN6" s="47"/>
      <c r="ALO6" s="47"/>
      <c r="ALP6" s="47"/>
      <c r="ALQ6" s="47"/>
      <c r="ALR6" s="47"/>
      <c r="ALS6" s="47"/>
      <c r="ALT6" s="47"/>
      <c r="ALU6" s="47"/>
      <c r="ALV6" s="47"/>
      <c r="ALW6" s="47"/>
      <c r="ALX6" s="47"/>
      <c r="ALY6" s="47"/>
      <c r="ALZ6" s="47"/>
      <c r="AMA6" s="47"/>
      <c r="AMB6" s="47"/>
      <c r="AMC6" s="47"/>
      <c r="AMD6" s="47"/>
      <c r="AME6" s="47"/>
      <c r="AMF6" s="47"/>
      <c r="AMG6" s="47"/>
      <c r="AMH6" s="47"/>
      <c r="AMI6" s="47"/>
      <c r="AMJ6" s="47"/>
      <c r="AMK6" s="47"/>
      <c r="AML6" s="4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99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100</v>
      </c>
      <c r="C6" s="8"/>
      <c r="D6" s="12" t="s">
        <v>101</v>
      </c>
      <c r="E6" s="49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102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100</v>
      </c>
      <c r="C6" s="8"/>
      <c r="D6" s="12" t="s">
        <v>101</v>
      </c>
      <c r="E6" s="49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102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100</v>
      </c>
      <c r="C6" s="8"/>
      <c r="D6" s="12" t="s">
        <v>101</v>
      </c>
      <c r="E6" s="49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 1'!$4:$4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