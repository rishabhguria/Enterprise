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PricingInput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TradeNewSubOrder" sheetId="14" r:id="rId16"/>
    <sheet state="visible" name="CreateLiveOrder" sheetId="15" r:id="rId17"/>
    <sheet state="visible" name="AcknowledgeTrade" sheetId="16" r:id="rId18"/>
    <sheet state="visible" name="SelectTrade" sheetId="17" r:id="rId19"/>
    <sheet state="visible" name="ExecuteTrade" sheetId="18" r:id="rId20"/>
    <sheet state="visible" name="FetchAccountPositions1" sheetId="19" r:id="rId21"/>
    <sheet state="visible" name="AddCash1" sheetId="20" r:id="rId22"/>
    <sheet state="visible" name="RunRebalance1" sheetId="21" r:id="rId23"/>
    <sheet state="visible" name="SendtoStaging1" sheetId="22" r:id="rId24"/>
    <sheet state="visible" name="TradeNewSubOrder1" sheetId="23" r:id="rId25"/>
    <sheet state="visible" name="CreateLiveOrder1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VerifyOrder" sheetId="28" r:id="rId30"/>
    <sheet state="visible" name="GetDataAllocation" sheetId="29" r:id="rId31"/>
    <sheet state="visible" name="CheckAllocatedGroups" sheetId="30" r:id="rId32"/>
    <sheet state="visible" name="CheckPortfolioManagement" sheetId="31" r:id="rId33"/>
  </sheets>
  <definedNames/>
  <calcPr/>
</workbook>
</file>

<file path=xl/sharedStrings.xml><?xml version="1.0" encoding="utf-8"?>
<sst xmlns="http://schemas.openxmlformats.org/spreadsheetml/2006/main" count="404" uniqueCount="63">
  <si>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</si>
  <si>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</si>
  <si>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</si>
  <si>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</si>
  <si>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</si>
  <si>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</si>
  <si>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</si>
  <si>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</si>
  <si>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</si>
  <si>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</si>
  <si>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</si>
  <si>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</si>
  <si>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</si>
  <si>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</si>
  <si>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</si>
  <si>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</si>
  <si>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</si>
  <si>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</si>
  <si>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Allocation3</t>
  </si>
  <si>
    <t>DailyValuation</t>
  </si>
  <si>
    <t>GetDailyCash</t>
  </si>
  <si>
    <t>UpdateDailyCash</t>
  </si>
  <si>
    <t>USD</t>
  </si>
  <si>
    <t>TradingTicket</t>
  </si>
  <si>
    <t>CreateDoneAwayOrder</t>
  </si>
  <si>
    <t>MSFT</t>
  </si>
  <si>
    <t>Buy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</si>
  <si>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</si>
  <si>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</si>
  <si>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</si>
  <si>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</si>
  <si>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</si>
  <si>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</si>
  <si>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</si>
  <si>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</si>
  <si>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</si>
  <si>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</si>
  <si>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</si>
  <si>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</si>
  <si>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SendtoStaging</t>
  </si>
  <si>
    <t>Blotter</t>
  </si>
  <si>
    <t>TradeNewSubOrder</t>
  </si>
  <si>
    <t>New</t>
  </si>
  <si>
    <t>CreateLiveOrder</t>
  </si>
  <si>
    <t>Simulator</t>
  </si>
  <si>
    <t>AcknowledgeTrade</t>
  </si>
  <si>
    <t>SelectTrade</t>
  </si>
  <si>
    <t>ExecuteTrade</t>
  </si>
  <si>
    <t>VerifyOrder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</si>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</sst>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IFERROR(__xludf.DUMMYFUNCTION("""COMPUTED_VALUE"""),"AutoGroup")</f>
        <v>AutoGroup</v>
      </c>
      <c r="C5" s="27" t="str">
        <f>IFERROR(__xludf.DUMMYFUNCTION("""COMPUTED_VALUE"""),"TradeAttribute1")</f>
        <v>TradeAttribute1</v>
      </c>
      <c r="D5" s="27" t="str">
        <f>IFERROR(__xludf.DUMMYFUNCTION("""COMPUTED_VALUE"""),"TradeAttribute2")</f>
        <v>TradeAttribute2</v>
      </c>
      <c r="E5" s="27" t="str">
        <f>IFERROR(__xludf.DUMMYFUNCTION("""COMPUTED_VALUE"""),"TradeAttribute3")</f>
        <v>TradeAttribute3</v>
      </c>
      <c r="F5" s="28" t="str">
        <f>IFERROR(__xludf.DUMMYFUNCTION("""COMPUTED_VALUE"""),"TradeAttribute4")</f>
        <v>TradeAttribute4</v>
      </c>
      <c r="G5" s="27" t="str">
        <f>IFERROR(__xludf.DUMMYFUNCTION("""COMPUTED_VALUE"""),"TradeAttribute5")</f>
        <v>TradeAttribute5</v>
      </c>
      <c r="H5" s="27" t="str">
        <f>IFERROR(__xludf.DUMMYFUNCTION("""COMPUTED_VALUE"""),"TradeAttribute6")</f>
        <v>TradeAttribute6</v>
      </c>
      <c r="I5" s="27" t="str">
        <f>IFERROR(__xludf.DUMMYFUNCTION("""COMPUTED_VALUE"""),"Broker")</f>
        <v>Broker</v>
      </c>
      <c r="J5" s="27" t="str">
        <f>IFERROR(__xludf.DUMMYFUNCTION("""COMPUTED_VALUE"""),"Venue")</f>
        <v>Venue</v>
      </c>
      <c r="K5" s="27" t="str">
        <f>IFERROR(__xludf.DUMMYFUNCTION("""COMPUTED_VALUE"""),"TradingAC")</f>
        <v>TradingAC</v>
      </c>
      <c r="L5" s="27" t="str">
        <f>IFERROR(__xludf.DUMMYFUNCTION("""COMPUTED_VALUE"""),"TradeDate")</f>
        <v>TradeDate</v>
      </c>
      <c r="M5" s="27" t="str">
        <f>IFERROR(__xludf.DUMMYFUNCTION("""COMPUTED_VALUE"""),"ProcessDate")</f>
        <v>ProcessDate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11" t="b">
        <v>1</v>
      </c>
      <c r="L6" s="11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IFERROR(__xludf.DUMMYFUNCTION("""COMPUTED_VALUE"""),"FundName")</f>
        <v>FundName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44774</v>
      </c>
      <c r="C6" s="31">
        <f t="shared" si="1"/>
        <v>44774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22</v>
      </c>
      <c r="D6" s="34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22</v>
      </c>
      <c r="D7" s="36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>
        <v>1000.0</v>
      </c>
      <c r="E6" s="11">
        <v>1000.0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 t="s">
        <v>26</v>
      </c>
      <c r="D7" s="11">
        <v>1000.0</v>
      </c>
      <c r="E7" s="11">
        <v>1000.0</v>
      </c>
      <c r="F7" s="11" t="s">
        <v>18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>
        <v>10.0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30</v>
      </c>
      <c r="C6" s="39" t="s">
        <v>31</v>
      </c>
      <c r="D6" s="38" t="s">
        <v>32</v>
      </c>
      <c r="E6" s="39" t="s">
        <v>33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1000.0</v>
      </c>
      <c r="C6" s="33" t="s">
        <v>35</v>
      </c>
      <c r="D6" s="38" t="s">
        <v>36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38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">
        <v>17</v>
      </c>
      <c r="C6" s="43" t="s">
        <v>26</v>
      </c>
      <c r="D6" s="43" t="s">
        <v>25</v>
      </c>
      <c r="E6" s="44">
        <v>50.0</v>
      </c>
      <c r="F6" s="45">
        <v>10.0</v>
      </c>
      <c r="G6" s="44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18</v>
      </c>
      <c r="C7" s="47" t="s">
        <v>26</v>
      </c>
      <c r="D7" s="47" t="s">
        <v>25</v>
      </c>
      <c r="E7" s="48">
        <v>50.0</v>
      </c>
      <c r="F7" s="49">
        <v>10.0</v>
      </c>
      <c r="G7" s="48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K6" s="9" t="s">
        <v>42</v>
      </c>
      <c r="AL6" s="9">
        <v>100.0</v>
      </c>
      <c r="AP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>
        <v>100.0</v>
      </c>
      <c r="E6" s="11">
        <v>100.0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25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25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30</v>
      </c>
      <c r="C6" s="39" t="s">
        <v>31</v>
      </c>
      <c r="D6" s="38" t="s">
        <v>32</v>
      </c>
      <c r="E6" s="39" t="s">
        <v>33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1000.0</v>
      </c>
      <c r="C6" s="33" t="s">
        <v>35</v>
      </c>
      <c r="D6" s="38" t="s">
        <v>36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38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">
        <v>17</v>
      </c>
      <c r="C6" s="43" t="s">
        <v>26</v>
      </c>
      <c r="D6" s="43" t="s">
        <v>25</v>
      </c>
      <c r="E6" s="44">
        <v>52.0</v>
      </c>
      <c r="F6" s="45">
        <v>10.0</v>
      </c>
      <c r="G6" s="44">
        <v>520.0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18</v>
      </c>
      <c r="C7" s="47" t="s">
        <v>26</v>
      </c>
      <c r="D7" s="47" t="s">
        <v>25</v>
      </c>
      <c r="E7" s="48">
        <v>52.0</v>
      </c>
      <c r="F7" s="49">
        <v>10.0</v>
      </c>
      <c r="G7" s="48">
        <v>520.0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K6" s="9" t="s">
        <v>42</v>
      </c>
      <c r="AL6" s="9">
        <v>104.0</v>
      </c>
      <c r="AP6" s="9">
        <v>104.0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>
        <v>104.0</v>
      </c>
      <c r="E6" s="11">
        <v>104.0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25</v>
      </c>
      <c r="D6" s="11"/>
      <c r="E6" s="30"/>
      <c r="F6" s="8"/>
      <c r="G6" s="11">
        <v>104.0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25</v>
      </c>
      <c r="D6" s="11"/>
      <c r="E6" s="30"/>
      <c r="F6" s="8"/>
      <c r="G6" s="11">
        <v>104.0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104.0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49</v>
      </c>
      <c r="AI6" s="9" t="s">
        <v>25</v>
      </c>
      <c r="AJ6" s="9" t="s">
        <v>26</v>
      </c>
      <c r="AK6" s="9" t="s">
        <v>50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51</v>
      </c>
      <c r="AT6" s="9" t="s">
        <v>52</v>
      </c>
      <c r="AU6" s="9" t="s">
        <v>53</v>
      </c>
      <c r="AV6" s="50">
        <v>1000.0</v>
      </c>
      <c r="AW6" s="50">
        <v>1000.0</v>
      </c>
      <c r="AZ6" s="9">
        <v>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49</v>
      </c>
      <c r="AI7" s="9" t="s">
        <v>25</v>
      </c>
      <c r="AJ7" s="9" t="s">
        <v>26</v>
      </c>
      <c r="AK7" s="9" t="s">
        <v>50</v>
      </c>
      <c r="AL7" s="50">
        <v>1000.0</v>
      </c>
      <c r="AM7" s="50">
        <v>1000.0</v>
      </c>
      <c r="AN7" s="9">
        <v>100.0</v>
      </c>
      <c r="AO7" s="50">
        <v>1000.0</v>
      </c>
      <c r="AQ7" s="9">
        <v>10.0</v>
      </c>
      <c r="AR7" s="9">
        <v>10.0</v>
      </c>
      <c r="AS7" s="9" t="s">
        <v>51</v>
      </c>
      <c r="AT7" s="9" t="s">
        <v>17</v>
      </c>
      <c r="AU7" s="9" t="s">
        <v>53</v>
      </c>
      <c r="AV7" s="50">
        <v>10000.0</v>
      </c>
      <c r="AW7" s="50">
        <v>10000.0</v>
      </c>
      <c r="AY7" s="50"/>
      <c r="AZ7" s="9">
        <v>0.0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49</v>
      </c>
      <c r="AI8" s="9" t="s">
        <v>25</v>
      </c>
      <c r="AJ8" s="9" t="s">
        <v>26</v>
      </c>
      <c r="AK8" s="9" t="s">
        <v>50</v>
      </c>
      <c r="AL8" s="50">
        <v>1000.0</v>
      </c>
      <c r="AM8" s="50">
        <v>1000.0</v>
      </c>
      <c r="AN8" s="9">
        <v>100.0</v>
      </c>
      <c r="AO8" s="50">
        <v>1000.0</v>
      </c>
      <c r="AQ8" s="9">
        <v>10.0</v>
      </c>
      <c r="AR8" s="9">
        <v>10.0</v>
      </c>
      <c r="AS8" s="9" t="s">
        <v>51</v>
      </c>
      <c r="AT8" s="9" t="s">
        <v>18</v>
      </c>
      <c r="AU8" s="9" t="s">
        <v>53</v>
      </c>
      <c r="AV8" s="50">
        <v>10000.0</v>
      </c>
      <c r="AW8" s="50">
        <v>10000.0</v>
      </c>
      <c r="AY8" s="50"/>
      <c r="AZ8" s="9">
        <v>0.0</v>
      </c>
    </row>
    <row r="9" ht="15.75" customHeight="1">
      <c r="A9" s="8"/>
      <c r="B9" s="8"/>
      <c r="C9" s="8"/>
      <c r="D9" s="11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H9" s="9" t="s">
        <v>49</v>
      </c>
      <c r="AI9" s="9" t="s">
        <v>25</v>
      </c>
      <c r="AJ9" s="9" t="s">
        <v>26</v>
      </c>
      <c r="AK9" s="9" t="s">
        <v>50</v>
      </c>
      <c r="AL9" s="9">
        <v>104.0</v>
      </c>
      <c r="AM9" s="9">
        <v>104.0</v>
      </c>
      <c r="AN9" s="9">
        <v>100.0</v>
      </c>
      <c r="AO9" s="9">
        <v>104.0</v>
      </c>
      <c r="AQ9" s="9">
        <v>10.0</v>
      </c>
      <c r="AR9" s="9">
        <v>10.0</v>
      </c>
      <c r="AS9" s="9" t="s">
        <v>51</v>
      </c>
      <c r="AT9" s="9" t="s">
        <v>52</v>
      </c>
      <c r="AU9" s="9" t="s">
        <v>53</v>
      </c>
      <c r="AV9" s="50">
        <v>1040.0</v>
      </c>
      <c r="AW9" s="50">
        <v>1040.0</v>
      </c>
      <c r="AZ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8"/>
      <c r="D6" s="11"/>
      <c r="E6" s="51">
        <v>1000.0</v>
      </c>
      <c r="F6" s="8"/>
      <c r="G6" s="11" t="s">
        <v>49</v>
      </c>
      <c r="H6" s="11">
        <v>4.0</v>
      </c>
      <c r="I6" s="11">
        <v>5.0</v>
      </c>
      <c r="J6" s="11">
        <v>1.0</v>
      </c>
      <c r="K6" s="11">
        <v>10.0</v>
      </c>
      <c r="L6" s="11">
        <v>10.0</v>
      </c>
      <c r="M6" s="8"/>
      <c r="N6" s="8"/>
      <c r="O6" s="11" t="s">
        <v>51</v>
      </c>
      <c r="Q6" s="9">
        <v>3.0</v>
      </c>
      <c r="R6" s="9">
        <v>0.0</v>
      </c>
      <c r="S6" s="9" t="s">
        <v>57</v>
      </c>
      <c r="T6" s="9">
        <v>0.0</v>
      </c>
      <c r="Z6" s="9" t="s">
        <v>22</v>
      </c>
      <c r="AE6" s="51">
        <v>1000.0</v>
      </c>
      <c r="AI6" s="9">
        <v>1.0</v>
      </c>
      <c r="AT6" s="52">
        <v>10014.0056</v>
      </c>
      <c r="AU6" s="52">
        <v>10014.0056</v>
      </c>
      <c r="AW6" s="9">
        <v>0.0</v>
      </c>
      <c r="AY6" s="9" t="s">
        <v>53</v>
      </c>
      <c r="AZ6" s="9">
        <v>0.0</v>
      </c>
      <c r="BC6" s="9">
        <v>0.0</v>
      </c>
      <c r="BE6" s="51">
        <v>10000.0</v>
      </c>
      <c r="BF6" s="51">
        <v>10000.0</v>
      </c>
      <c r="BJ6" s="51">
        <v>1000.0</v>
      </c>
      <c r="BO6" s="9" t="s">
        <v>26</v>
      </c>
      <c r="BP6" s="9">
        <v>0.0</v>
      </c>
      <c r="BT6" s="9" t="s">
        <v>25</v>
      </c>
      <c r="BU6" s="9">
        <v>3.0</v>
      </c>
      <c r="BV6" s="9">
        <v>0.0</v>
      </c>
      <c r="BX6" s="9">
        <v>0.0</v>
      </c>
      <c r="CI6" s="53" t="s">
        <v>26</v>
      </c>
      <c r="CJ6" s="9">
        <v>0.0</v>
      </c>
      <c r="CM6" s="9" t="s">
        <v>25</v>
      </c>
    </row>
    <row r="7" ht="15.75" customHeight="1">
      <c r="A7" s="8"/>
      <c r="B7" s="11" t="s">
        <v>18</v>
      </c>
      <c r="C7" s="8"/>
      <c r="D7" s="8"/>
      <c r="E7" s="51">
        <v>1000.0</v>
      </c>
      <c r="F7" s="8"/>
      <c r="G7" s="11" t="s">
        <v>49</v>
      </c>
      <c r="H7" s="11">
        <v>4.0</v>
      </c>
      <c r="I7" s="11">
        <v>5.0</v>
      </c>
      <c r="J7" s="11">
        <v>1.0</v>
      </c>
      <c r="K7" s="11">
        <v>10.0</v>
      </c>
      <c r="L7" s="11">
        <v>10.0</v>
      </c>
      <c r="M7" s="8"/>
      <c r="N7" s="8"/>
      <c r="O7" s="11" t="s">
        <v>51</v>
      </c>
      <c r="Q7" s="9">
        <v>3.0</v>
      </c>
      <c r="R7" s="9">
        <v>0.0</v>
      </c>
      <c r="S7" s="9" t="s">
        <v>57</v>
      </c>
      <c r="T7" s="9">
        <v>0.0</v>
      </c>
      <c r="Z7" s="9" t="s">
        <v>22</v>
      </c>
      <c r="AE7" s="51">
        <v>1000.0</v>
      </c>
      <c r="AI7" s="9">
        <v>1.0</v>
      </c>
      <c r="AT7" s="52">
        <v>10014.0056</v>
      </c>
      <c r="AU7" s="52">
        <v>10014.0056</v>
      </c>
      <c r="AW7" s="9">
        <v>0.0</v>
      </c>
      <c r="AY7" s="9" t="s">
        <v>53</v>
      </c>
      <c r="AZ7" s="9">
        <v>0.0</v>
      </c>
      <c r="BC7" s="9">
        <v>0.0</v>
      </c>
      <c r="BE7" s="51">
        <v>10000.0</v>
      </c>
      <c r="BF7" s="51">
        <v>10000.0</v>
      </c>
      <c r="BJ7" s="51">
        <v>1000.0</v>
      </c>
      <c r="BO7" s="9" t="s">
        <v>26</v>
      </c>
      <c r="BP7" s="9">
        <v>0.0</v>
      </c>
      <c r="BT7" s="9" t="s">
        <v>25</v>
      </c>
      <c r="BU7" s="9">
        <v>3.0</v>
      </c>
      <c r="BV7" s="9">
        <v>0.0</v>
      </c>
      <c r="BX7" s="9">
        <v>0.0</v>
      </c>
      <c r="CI7" s="53" t="s">
        <v>26</v>
      </c>
      <c r="CJ7" s="9">
        <v>0.0</v>
      </c>
      <c r="CM7" s="9" t="s">
        <v>25</v>
      </c>
    </row>
    <row r="8" ht="15.75" customHeight="1">
      <c r="A8" s="8"/>
      <c r="B8" s="11" t="s">
        <v>52</v>
      </c>
      <c r="C8" s="8"/>
      <c r="D8" s="8"/>
      <c r="E8" s="54">
        <v>100.0</v>
      </c>
      <c r="F8" s="8"/>
      <c r="G8" s="11" t="s">
        <v>49</v>
      </c>
      <c r="H8" s="11">
        <v>4.0</v>
      </c>
      <c r="I8" s="11">
        <v>5.0</v>
      </c>
      <c r="J8" s="11">
        <v>1.0</v>
      </c>
      <c r="K8" s="11">
        <v>10.0</v>
      </c>
      <c r="L8" s="11">
        <v>10.0</v>
      </c>
      <c r="M8" s="8"/>
      <c r="N8" s="8"/>
      <c r="O8" s="11" t="s">
        <v>51</v>
      </c>
      <c r="Q8" s="9">
        <v>2.0</v>
      </c>
      <c r="R8" s="9">
        <v>0.0</v>
      </c>
      <c r="S8" s="9" t="s">
        <v>57</v>
      </c>
      <c r="T8" s="9">
        <v>0.0</v>
      </c>
      <c r="Z8" s="9" t="s">
        <v>22</v>
      </c>
      <c r="AE8" s="54">
        <v>100.0</v>
      </c>
      <c r="AI8" s="9">
        <v>1.0</v>
      </c>
      <c r="AT8" s="52">
        <v>1014.0006</v>
      </c>
      <c r="AU8" s="52">
        <v>1014.0006</v>
      </c>
      <c r="AW8" s="9">
        <v>0.0</v>
      </c>
      <c r="AY8" s="9" t="s">
        <v>53</v>
      </c>
      <c r="AZ8" s="9">
        <v>0.0</v>
      </c>
      <c r="BC8" s="9">
        <v>0.0</v>
      </c>
      <c r="BE8" s="54">
        <v>1000.0</v>
      </c>
      <c r="BF8" s="54">
        <v>1000.0</v>
      </c>
      <c r="BJ8" s="54">
        <v>100.0</v>
      </c>
      <c r="BO8" s="9" t="s">
        <v>26</v>
      </c>
      <c r="BP8" s="9">
        <v>0.0</v>
      </c>
      <c r="BT8" s="9" t="s">
        <v>25</v>
      </c>
      <c r="BU8" s="9">
        <v>3.0</v>
      </c>
      <c r="BV8" s="9">
        <v>0.0</v>
      </c>
      <c r="BX8" s="9">
        <v>0.0</v>
      </c>
      <c r="CI8" s="53" t="s">
        <v>26</v>
      </c>
      <c r="CJ8" s="9">
        <v>0.0</v>
      </c>
      <c r="CM8" s="9" t="s">
        <v>25</v>
      </c>
    </row>
    <row r="9" ht="15.75" customHeight="1">
      <c r="A9" s="8"/>
      <c r="B9" s="11" t="s">
        <v>52</v>
      </c>
      <c r="C9" s="8"/>
      <c r="D9" s="8"/>
      <c r="E9" s="54">
        <v>104.0</v>
      </c>
      <c r="F9" s="8"/>
      <c r="G9" s="11" t="s">
        <v>49</v>
      </c>
      <c r="H9" s="11">
        <v>4.0</v>
      </c>
      <c r="I9" s="11">
        <v>5.0</v>
      </c>
      <c r="J9" s="11">
        <v>1.0</v>
      </c>
      <c r="K9" s="11">
        <v>10.0</v>
      </c>
      <c r="L9" s="11">
        <v>10.0</v>
      </c>
      <c r="M9" s="8"/>
      <c r="N9" s="8"/>
      <c r="O9" s="11" t="s">
        <v>51</v>
      </c>
      <c r="Q9" s="9">
        <v>2.0</v>
      </c>
      <c r="R9" s="9">
        <v>0.0</v>
      </c>
      <c r="S9" s="9" t="s">
        <v>57</v>
      </c>
      <c r="T9" s="9">
        <v>0.0</v>
      </c>
      <c r="Z9" s="9" t="s">
        <v>22</v>
      </c>
      <c r="AE9" s="54">
        <v>104.0</v>
      </c>
      <c r="AI9" s="9">
        <v>1.0</v>
      </c>
      <c r="AT9" s="52">
        <v>1054.0006</v>
      </c>
      <c r="AU9" s="52">
        <v>1054.0006</v>
      </c>
      <c r="AW9" s="9">
        <v>0.0</v>
      </c>
      <c r="AY9" s="9" t="s">
        <v>53</v>
      </c>
      <c r="AZ9" s="9">
        <v>0.0</v>
      </c>
      <c r="BC9" s="9">
        <v>0.0</v>
      </c>
      <c r="BE9" s="54">
        <v>1040.0</v>
      </c>
      <c r="BF9" s="54">
        <v>1040.0</v>
      </c>
      <c r="BJ9" s="54">
        <v>104.0</v>
      </c>
      <c r="BO9" s="9" t="s">
        <v>26</v>
      </c>
      <c r="BP9" s="9">
        <v>0.0</v>
      </c>
      <c r="BT9" s="9" t="s">
        <v>25</v>
      </c>
      <c r="BU9" s="9">
        <v>3.0</v>
      </c>
      <c r="BV9" s="9">
        <v>0.0</v>
      </c>
      <c r="BX9" s="9">
        <v>0.0</v>
      </c>
      <c r="CI9" s="53" t="s">
        <v>26</v>
      </c>
      <c r="CJ9" s="9">
        <v>0.0</v>
      </c>
      <c r="CM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11" t="s">
        <v>25</v>
      </c>
      <c r="D6" s="55">
        <v>1000.0</v>
      </c>
      <c r="E6" s="11" t="s">
        <v>17</v>
      </c>
      <c r="F6" s="8"/>
      <c r="G6" s="11">
        <v>10.0</v>
      </c>
      <c r="H6" s="11" t="s">
        <v>60</v>
      </c>
      <c r="I6" s="8"/>
      <c r="J6" s="8"/>
      <c r="K6" s="11">
        <v>10000.0</v>
      </c>
      <c r="L6" s="8"/>
      <c r="M6" s="8"/>
      <c r="N6" s="55">
        <v>0.0</v>
      </c>
      <c r="O6" s="8"/>
      <c r="Q6" s="55">
        <v>0.0</v>
      </c>
      <c r="T6" s="9" t="s">
        <v>49</v>
      </c>
      <c r="U6" s="9" t="s">
        <v>61</v>
      </c>
      <c r="W6" s="9" t="s">
        <v>22</v>
      </c>
      <c r="Y6" s="9">
        <v>1.0</v>
      </c>
      <c r="AB6" s="9">
        <v>0.0</v>
      </c>
      <c r="AC6" s="9">
        <v>0.0</v>
      </c>
      <c r="AD6" s="55">
        <v>10000.0</v>
      </c>
      <c r="AE6" s="55">
        <v>10000.0</v>
      </c>
      <c r="AF6" s="55">
        <v>1000.0</v>
      </c>
      <c r="AG6" s="11">
        <v>10000.0</v>
      </c>
      <c r="AH6" s="55">
        <v>10000.0</v>
      </c>
      <c r="AI6" s="55">
        <v>10000.0</v>
      </c>
      <c r="AJ6" s="11"/>
      <c r="AK6" s="9">
        <v>0.0</v>
      </c>
      <c r="AL6" s="9">
        <v>1.0</v>
      </c>
      <c r="AM6" s="9">
        <v>1.0</v>
      </c>
      <c r="AN6" s="9" t="s">
        <v>26</v>
      </c>
      <c r="AP6" s="9" t="s">
        <v>60</v>
      </c>
      <c r="AQ6" s="9" t="s">
        <v>25</v>
      </c>
      <c r="AV6" s="9">
        <v>1.0</v>
      </c>
      <c r="AW6" s="9">
        <v>0.0</v>
      </c>
      <c r="AX6" s="9">
        <v>0.0</v>
      </c>
      <c r="AY6" s="9">
        <v>0.0</v>
      </c>
      <c r="AZ6" s="11">
        <v>10000.0</v>
      </c>
      <c r="BA6" s="9">
        <v>0.0</v>
      </c>
      <c r="BD6" s="11">
        <v>-10000.0</v>
      </c>
      <c r="BJ6" s="9">
        <v>0.0</v>
      </c>
      <c r="BK6" s="9">
        <v>0.0</v>
      </c>
      <c r="BL6" s="9">
        <v>0.0</v>
      </c>
      <c r="BM6" s="9">
        <v>0.0</v>
      </c>
      <c r="BP6" s="9">
        <v>0.0</v>
      </c>
      <c r="BR6" s="9" t="s">
        <v>51</v>
      </c>
      <c r="BS6" s="9">
        <v>0.0</v>
      </c>
      <c r="BT6" s="9">
        <v>0.0</v>
      </c>
      <c r="BU6" s="9" t="s">
        <v>49</v>
      </c>
      <c r="BW6" s="9">
        <v>0.0</v>
      </c>
      <c r="BX6" s="11">
        <v>10000.0</v>
      </c>
      <c r="BY6" s="11">
        <v>10000.0</v>
      </c>
      <c r="BZ6" s="9">
        <v>10.0</v>
      </c>
      <c r="CA6" s="9">
        <v>10.0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I6" s="9">
        <v>0.0</v>
      </c>
      <c r="CJ6" s="9">
        <v>0.0</v>
      </c>
      <c r="DA6" s="55">
        <v>10000.0</v>
      </c>
      <c r="DE6" s="9">
        <v>0.0</v>
      </c>
      <c r="DF6" s="9">
        <v>0.0</v>
      </c>
      <c r="DG6" s="9">
        <v>0.0</v>
      </c>
      <c r="DJ6" s="9" t="s">
        <v>26</v>
      </c>
      <c r="DM6" s="9">
        <v>1.0</v>
      </c>
    </row>
    <row r="7" ht="15.75" customHeight="1">
      <c r="A7" s="8"/>
      <c r="B7" s="8"/>
      <c r="C7" s="11" t="s">
        <v>25</v>
      </c>
      <c r="D7" s="11">
        <v>50.0</v>
      </c>
      <c r="E7" s="11" t="s">
        <v>17</v>
      </c>
      <c r="F7" s="8"/>
      <c r="G7" s="11">
        <v>10.0</v>
      </c>
      <c r="H7" s="11" t="s">
        <v>60</v>
      </c>
      <c r="I7" s="8"/>
      <c r="J7" s="8"/>
      <c r="K7" s="11">
        <v>500.0</v>
      </c>
      <c r="L7" s="8"/>
      <c r="M7" s="8"/>
      <c r="N7" s="55">
        <v>0.0</v>
      </c>
      <c r="O7" s="8"/>
      <c r="Q7" s="55">
        <v>0.0</v>
      </c>
      <c r="T7" s="9" t="s">
        <v>49</v>
      </c>
      <c r="U7" s="9" t="s">
        <v>61</v>
      </c>
      <c r="W7" s="9" t="s">
        <v>22</v>
      </c>
      <c r="Y7" s="9">
        <v>1.0</v>
      </c>
      <c r="AB7" s="9">
        <v>0.0</v>
      </c>
      <c r="AC7" s="9">
        <v>0.0</v>
      </c>
      <c r="AD7" s="11">
        <v>500.0</v>
      </c>
      <c r="AE7" s="11">
        <v>500.0</v>
      </c>
      <c r="AF7" s="11">
        <v>50.0</v>
      </c>
      <c r="AG7" s="11">
        <v>500.0</v>
      </c>
      <c r="AH7" s="11">
        <v>500.0</v>
      </c>
      <c r="AI7" s="11">
        <v>500.0</v>
      </c>
      <c r="AJ7" s="11"/>
      <c r="AK7" s="9">
        <v>0.0</v>
      </c>
      <c r="AL7" s="9">
        <v>1.0</v>
      </c>
      <c r="AM7" s="9">
        <v>1.0</v>
      </c>
      <c r="AN7" s="9" t="s">
        <v>26</v>
      </c>
      <c r="AP7" s="9" t="s">
        <v>60</v>
      </c>
      <c r="AQ7" s="9" t="s">
        <v>25</v>
      </c>
      <c r="AV7" s="9">
        <v>1.0</v>
      </c>
      <c r="AW7" s="9">
        <v>0.0</v>
      </c>
      <c r="AX7" s="9">
        <v>0.0</v>
      </c>
      <c r="AY7" s="9">
        <v>0.0</v>
      </c>
      <c r="AZ7" s="11">
        <v>500.0</v>
      </c>
      <c r="BA7" s="9">
        <v>0.0</v>
      </c>
      <c r="BD7" s="11">
        <v>-500.0</v>
      </c>
      <c r="BJ7" s="9">
        <v>0.0</v>
      </c>
      <c r="BK7" s="9">
        <v>0.0</v>
      </c>
      <c r="BL7" s="9">
        <v>0.0</v>
      </c>
      <c r="BM7" s="9">
        <v>0.0</v>
      </c>
      <c r="BP7" s="9">
        <v>0.0</v>
      </c>
      <c r="BR7" s="9" t="s">
        <v>51</v>
      </c>
      <c r="BS7" s="9">
        <v>0.0</v>
      </c>
      <c r="BT7" s="9">
        <v>0.0</v>
      </c>
      <c r="BU7" s="9" t="s">
        <v>49</v>
      </c>
      <c r="BW7" s="9">
        <v>0.0</v>
      </c>
      <c r="BX7" s="11">
        <v>500.0</v>
      </c>
      <c r="BY7" s="11">
        <v>500.0</v>
      </c>
      <c r="BZ7" s="9">
        <v>10.0</v>
      </c>
      <c r="CA7" s="9">
        <v>10.0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I7" s="9">
        <v>0.0</v>
      </c>
      <c r="CJ7" s="9">
        <v>0.0</v>
      </c>
      <c r="DA7" s="11">
        <v>500.0</v>
      </c>
      <c r="DE7" s="9">
        <v>0.0</v>
      </c>
      <c r="DF7" s="9">
        <v>0.0</v>
      </c>
      <c r="DG7" s="9">
        <v>0.0</v>
      </c>
      <c r="DJ7" s="9" t="s">
        <v>26</v>
      </c>
      <c r="DM7" s="9">
        <v>1.0</v>
      </c>
    </row>
    <row r="8" ht="15.75" customHeight="1">
      <c r="A8" s="8"/>
      <c r="B8" s="8"/>
      <c r="C8" s="11" t="s">
        <v>25</v>
      </c>
      <c r="D8" s="11">
        <v>52.0</v>
      </c>
      <c r="E8" s="11" t="s">
        <v>17</v>
      </c>
      <c r="F8" s="8"/>
      <c r="G8" s="11">
        <v>10.0</v>
      </c>
      <c r="H8" s="11" t="s">
        <v>60</v>
      </c>
      <c r="I8" s="8"/>
      <c r="J8" s="8"/>
      <c r="K8" s="11">
        <v>520.0</v>
      </c>
      <c r="L8" s="8"/>
      <c r="M8" s="8"/>
      <c r="N8" s="55">
        <v>0.0</v>
      </c>
      <c r="O8" s="8"/>
      <c r="Q8" s="55">
        <v>0.0</v>
      </c>
      <c r="T8" s="9" t="s">
        <v>49</v>
      </c>
      <c r="U8" s="9" t="s">
        <v>61</v>
      </c>
      <c r="W8" s="9" t="s">
        <v>22</v>
      </c>
      <c r="Y8" s="9">
        <v>1.0</v>
      </c>
      <c r="AB8" s="9">
        <v>0.0</v>
      </c>
      <c r="AC8" s="9">
        <v>0.0</v>
      </c>
      <c r="AD8" s="11">
        <v>520.0</v>
      </c>
      <c r="AE8" s="11">
        <v>520.0</v>
      </c>
      <c r="AF8" s="11">
        <v>52.0</v>
      </c>
      <c r="AG8" s="11">
        <v>520.0</v>
      </c>
      <c r="AH8" s="11">
        <v>520.0</v>
      </c>
      <c r="AI8" s="11">
        <v>520.0</v>
      </c>
      <c r="AJ8" s="11"/>
      <c r="AK8" s="9">
        <v>0.0</v>
      </c>
      <c r="AL8" s="9">
        <v>1.0</v>
      </c>
      <c r="AM8" s="9">
        <v>1.0</v>
      </c>
      <c r="AN8" s="9" t="s">
        <v>26</v>
      </c>
      <c r="AP8" s="9" t="s">
        <v>60</v>
      </c>
      <c r="AQ8" s="9" t="s">
        <v>25</v>
      </c>
      <c r="AV8" s="9">
        <v>1.0</v>
      </c>
      <c r="AW8" s="9">
        <v>0.0</v>
      </c>
      <c r="AX8" s="9">
        <v>0.0</v>
      </c>
      <c r="AY8" s="9">
        <v>0.0</v>
      </c>
      <c r="AZ8" s="11">
        <v>520.0</v>
      </c>
      <c r="BA8" s="9">
        <v>0.0</v>
      </c>
      <c r="BD8" s="11">
        <v>-520.0</v>
      </c>
      <c r="BJ8" s="9">
        <v>0.0</v>
      </c>
      <c r="BK8" s="9">
        <v>0.0</v>
      </c>
      <c r="BL8" s="9">
        <v>0.0</v>
      </c>
      <c r="BM8" s="9">
        <v>0.0</v>
      </c>
      <c r="BP8" s="9">
        <v>0.0</v>
      </c>
      <c r="BR8" s="9" t="s">
        <v>51</v>
      </c>
      <c r="BS8" s="9">
        <v>0.0</v>
      </c>
      <c r="BT8" s="9">
        <v>0.0</v>
      </c>
      <c r="BU8" s="9" t="s">
        <v>49</v>
      </c>
      <c r="BW8" s="9">
        <v>0.0</v>
      </c>
      <c r="BX8" s="11">
        <v>520.0</v>
      </c>
      <c r="BY8" s="11">
        <v>520.0</v>
      </c>
      <c r="BZ8" s="9">
        <v>10.0</v>
      </c>
      <c r="CA8" s="9">
        <v>10.0</v>
      </c>
      <c r="CC8" s="9">
        <v>0.0</v>
      </c>
      <c r="CD8" s="9">
        <v>0.0</v>
      </c>
      <c r="CE8" s="9">
        <v>0.0</v>
      </c>
      <c r="CF8" s="9">
        <v>0.0</v>
      </c>
      <c r="CG8" s="9">
        <v>0.0</v>
      </c>
      <c r="CI8" s="9">
        <v>0.0</v>
      </c>
      <c r="CJ8" s="9">
        <v>0.0</v>
      </c>
      <c r="DA8" s="11">
        <v>520.0</v>
      </c>
      <c r="DE8" s="9">
        <v>0.0</v>
      </c>
      <c r="DF8" s="9">
        <v>0.0</v>
      </c>
      <c r="DG8" s="9">
        <v>0.0</v>
      </c>
      <c r="DJ8" s="9" t="s">
        <v>26</v>
      </c>
      <c r="DM8" s="9">
        <v>1.0</v>
      </c>
    </row>
    <row r="9" ht="15.75" customHeight="1">
      <c r="A9" s="8"/>
      <c r="B9" s="8"/>
      <c r="C9" s="11" t="s">
        <v>25</v>
      </c>
      <c r="D9" s="55">
        <v>1000.0</v>
      </c>
      <c r="E9" s="11" t="s">
        <v>18</v>
      </c>
      <c r="F9" s="8"/>
      <c r="G9" s="11">
        <v>10.0</v>
      </c>
      <c r="H9" s="11" t="s">
        <v>60</v>
      </c>
      <c r="I9" s="8"/>
      <c r="J9" s="8"/>
      <c r="K9" s="11">
        <v>10000.0</v>
      </c>
      <c r="L9" s="8"/>
      <c r="M9" s="8"/>
      <c r="N9" s="55">
        <v>0.0</v>
      </c>
      <c r="O9" s="8"/>
      <c r="Q9" s="55">
        <v>0.0</v>
      </c>
      <c r="T9" s="9" t="s">
        <v>49</v>
      </c>
      <c r="U9" s="9" t="s">
        <v>61</v>
      </c>
      <c r="W9" s="9" t="s">
        <v>22</v>
      </c>
      <c r="Y9" s="9">
        <v>1.0</v>
      </c>
      <c r="AB9" s="9">
        <v>0.0</v>
      </c>
      <c r="AC9" s="9">
        <v>0.0</v>
      </c>
      <c r="AD9" s="55">
        <v>10000.0</v>
      </c>
      <c r="AE9" s="55">
        <v>10000.0</v>
      </c>
      <c r="AF9" s="55">
        <v>1000.0</v>
      </c>
      <c r="AG9" s="11">
        <v>10000.0</v>
      </c>
      <c r="AH9" s="55">
        <v>10000.0</v>
      </c>
      <c r="AI9" s="55">
        <v>10000.0</v>
      </c>
      <c r="AJ9" s="11"/>
      <c r="AK9" s="9">
        <v>0.0</v>
      </c>
      <c r="AL9" s="9">
        <v>1.0</v>
      </c>
      <c r="AM9" s="9">
        <v>1.0</v>
      </c>
      <c r="AN9" s="9" t="s">
        <v>26</v>
      </c>
      <c r="AP9" s="9" t="s">
        <v>60</v>
      </c>
      <c r="AQ9" s="9" t="s">
        <v>25</v>
      </c>
      <c r="AV9" s="9">
        <v>1.0</v>
      </c>
      <c r="AW9" s="9">
        <v>0.0</v>
      </c>
      <c r="AX9" s="9">
        <v>0.0</v>
      </c>
      <c r="AY9" s="9">
        <v>0.0</v>
      </c>
      <c r="AZ9" s="11">
        <v>10000.0</v>
      </c>
      <c r="BA9" s="9">
        <v>0.0</v>
      </c>
      <c r="BD9" s="11">
        <v>-10000.0</v>
      </c>
      <c r="BJ9" s="9">
        <v>0.0</v>
      </c>
      <c r="BK9" s="9">
        <v>0.0</v>
      </c>
      <c r="BL9" s="9">
        <v>0.0</v>
      </c>
      <c r="BM9" s="9">
        <v>0.0</v>
      </c>
      <c r="BP9" s="9">
        <v>0.0</v>
      </c>
      <c r="BR9" s="9" t="s">
        <v>51</v>
      </c>
      <c r="BS9" s="9">
        <v>0.0</v>
      </c>
      <c r="BT9" s="9">
        <v>0.0</v>
      </c>
      <c r="BU9" s="9" t="s">
        <v>49</v>
      </c>
      <c r="BW9" s="9">
        <v>0.0</v>
      </c>
      <c r="BX9" s="11">
        <v>10000.0</v>
      </c>
      <c r="BY9" s="11">
        <v>10000.0</v>
      </c>
      <c r="BZ9" s="9">
        <v>10.0</v>
      </c>
      <c r="CA9" s="9">
        <v>10.0</v>
      </c>
      <c r="CC9" s="9">
        <v>0.0</v>
      </c>
      <c r="CD9" s="9">
        <v>0.0</v>
      </c>
      <c r="CE9" s="9">
        <v>0.0</v>
      </c>
      <c r="CF9" s="9">
        <v>0.0</v>
      </c>
      <c r="CG9" s="9">
        <v>0.0</v>
      </c>
      <c r="CI9" s="9">
        <v>0.0</v>
      </c>
      <c r="CJ9" s="9">
        <v>0.0</v>
      </c>
      <c r="DA9" s="55">
        <v>10000.0</v>
      </c>
      <c r="DE9" s="9">
        <v>0.0</v>
      </c>
      <c r="DF9" s="9">
        <v>0.0</v>
      </c>
      <c r="DG9" s="9">
        <v>0.0</v>
      </c>
      <c r="DJ9" s="9" t="s">
        <v>26</v>
      </c>
      <c r="DM9" s="9">
        <v>1.0</v>
      </c>
    </row>
    <row r="10" ht="15.75" customHeight="1">
      <c r="A10" s="8"/>
      <c r="B10" s="8"/>
      <c r="C10" s="11" t="s">
        <v>25</v>
      </c>
      <c r="D10" s="11">
        <v>50.0</v>
      </c>
      <c r="E10" s="11" t="s">
        <v>18</v>
      </c>
      <c r="F10" s="8"/>
      <c r="G10" s="11">
        <v>10.0</v>
      </c>
      <c r="H10" s="11" t="s">
        <v>60</v>
      </c>
      <c r="I10" s="8"/>
      <c r="J10" s="8"/>
      <c r="K10" s="11">
        <v>500.0</v>
      </c>
      <c r="L10" s="8"/>
      <c r="M10" s="8"/>
      <c r="N10" s="55">
        <v>0.0</v>
      </c>
      <c r="O10" s="8"/>
      <c r="Q10" s="55">
        <v>0.0</v>
      </c>
      <c r="T10" s="9" t="s">
        <v>49</v>
      </c>
      <c r="U10" s="9" t="s">
        <v>61</v>
      </c>
      <c r="W10" s="9" t="s">
        <v>22</v>
      </c>
      <c r="Y10" s="9">
        <v>1.0</v>
      </c>
      <c r="AB10" s="9">
        <v>0.0</v>
      </c>
      <c r="AC10" s="9">
        <v>0.0</v>
      </c>
      <c r="AD10" s="11">
        <v>500.0</v>
      </c>
      <c r="AE10" s="11">
        <v>500.0</v>
      </c>
      <c r="AF10" s="11">
        <v>50.0</v>
      </c>
      <c r="AG10" s="11">
        <v>500.0</v>
      </c>
      <c r="AH10" s="11">
        <v>500.0</v>
      </c>
      <c r="AI10" s="11">
        <v>500.0</v>
      </c>
      <c r="AJ10" s="11"/>
      <c r="AK10" s="9">
        <v>0.0</v>
      </c>
      <c r="AL10" s="9">
        <v>1.0</v>
      </c>
      <c r="AM10" s="9">
        <v>1.0</v>
      </c>
      <c r="AN10" s="9" t="s">
        <v>26</v>
      </c>
      <c r="AP10" s="9" t="s">
        <v>60</v>
      </c>
      <c r="AQ10" s="9" t="s">
        <v>25</v>
      </c>
      <c r="AV10" s="9">
        <v>1.0</v>
      </c>
      <c r="AW10" s="9">
        <v>0.0</v>
      </c>
      <c r="AX10" s="9">
        <v>0.0</v>
      </c>
      <c r="AY10" s="9">
        <v>0.0</v>
      </c>
      <c r="AZ10" s="11">
        <v>500.0</v>
      </c>
      <c r="BA10" s="9">
        <v>0.0</v>
      </c>
      <c r="BD10" s="11">
        <v>-500.0</v>
      </c>
      <c r="BJ10" s="9">
        <v>0.0</v>
      </c>
      <c r="BK10" s="9">
        <v>0.0</v>
      </c>
      <c r="BL10" s="9">
        <v>0.0</v>
      </c>
      <c r="BM10" s="9">
        <v>0.0</v>
      </c>
      <c r="BP10" s="9">
        <v>0.0</v>
      </c>
      <c r="BR10" s="9" t="s">
        <v>51</v>
      </c>
      <c r="BS10" s="9">
        <v>0.0</v>
      </c>
      <c r="BT10" s="9">
        <v>0.0</v>
      </c>
      <c r="BU10" s="9" t="s">
        <v>49</v>
      </c>
      <c r="BW10" s="9">
        <v>0.0</v>
      </c>
      <c r="BX10" s="11">
        <v>500.0</v>
      </c>
      <c r="BY10" s="11">
        <v>500.0</v>
      </c>
      <c r="BZ10" s="9">
        <v>10.0</v>
      </c>
      <c r="CA10" s="9">
        <v>10.0</v>
      </c>
      <c r="CC10" s="9">
        <v>0.0</v>
      </c>
      <c r="CD10" s="9">
        <v>0.0</v>
      </c>
      <c r="CE10" s="9">
        <v>0.0</v>
      </c>
      <c r="CF10" s="9">
        <v>0.0</v>
      </c>
      <c r="CG10" s="9">
        <v>0.0</v>
      </c>
      <c r="CI10" s="9">
        <v>0.0</v>
      </c>
      <c r="CJ10" s="9">
        <v>0.0</v>
      </c>
      <c r="DA10" s="11">
        <v>500.0</v>
      </c>
      <c r="DE10" s="9">
        <v>0.0</v>
      </c>
      <c r="DF10" s="9">
        <v>0.0</v>
      </c>
      <c r="DG10" s="9">
        <v>0.0</v>
      </c>
      <c r="DJ10" s="9" t="s">
        <v>26</v>
      </c>
      <c r="DM10" s="9">
        <v>1.0</v>
      </c>
    </row>
    <row r="11" ht="15.75" customHeight="1">
      <c r="A11" s="8"/>
      <c r="B11" s="8"/>
      <c r="C11" s="11" t="s">
        <v>25</v>
      </c>
      <c r="D11" s="11">
        <v>52.0</v>
      </c>
      <c r="E11" s="11" t="s">
        <v>18</v>
      </c>
      <c r="F11" s="8"/>
      <c r="G11" s="11">
        <v>10.0</v>
      </c>
      <c r="H11" s="11" t="s">
        <v>60</v>
      </c>
      <c r="I11" s="8"/>
      <c r="J11" s="8"/>
      <c r="K11" s="11">
        <v>520.0</v>
      </c>
      <c r="L11" s="8"/>
      <c r="M11" s="8"/>
      <c r="N11" s="55">
        <v>0.0</v>
      </c>
      <c r="O11" s="8"/>
      <c r="Q11" s="55">
        <v>0.0</v>
      </c>
      <c r="T11" s="9" t="s">
        <v>49</v>
      </c>
      <c r="U11" s="9" t="s">
        <v>61</v>
      </c>
      <c r="W11" s="9" t="s">
        <v>22</v>
      </c>
      <c r="Y11" s="9">
        <v>1.0</v>
      </c>
      <c r="AB11" s="9">
        <v>0.0</v>
      </c>
      <c r="AC11" s="9">
        <v>0.0</v>
      </c>
      <c r="AD11" s="11">
        <v>520.0</v>
      </c>
      <c r="AE11" s="11">
        <v>520.0</v>
      </c>
      <c r="AF11" s="11">
        <v>52.0</v>
      </c>
      <c r="AG11" s="11">
        <v>520.0</v>
      </c>
      <c r="AH11" s="11">
        <v>520.0</v>
      </c>
      <c r="AI11" s="11">
        <v>520.0</v>
      </c>
      <c r="AJ11" s="11"/>
      <c r="AK11" s="9">
        <v>0.0</v>
      </c>
      <c r="AL11" s="9">
        <v>1.0</v>
      </c>
      <c r="AM11" s="9">
        <v>1.0</v>
      </c>
      <c r="AN11" s="9" t="s">
        <v>26</v>
      </c>
      <c r="AP11" s="9" t="s">
        <v>60</v>
      </c>
      <c r="AQ11" s="9" t="s">
        <v>25</v>
      </c>
      <c r="AV11" s="9">
        <v>1.0</v>
      </c>
      <c r="AW11" s="9">
        <v>0.0</v>
      </c>
      <c r="AX11" s="9">
        <v>0.0</v>
      </c>
      <c r="AY11" s="9">
        <v>0.0</v>
      </c>
      <c r="AZ11" s="11">
        <v>520.0</v>
      </c>
      <c r="BA11" s="9">
        <v>0.0</v>
      </c>
      <c r="BD11" s="11">
        <v>-520.0</v>
      </c>
      <c r="BJ11" s="9">
        <v>0.0</v>
      </c>
      <c r="BK11" s="9">
        <v>0.0</v>
      </c>
      <c r="BL11" s="9">
        <v>0.0</v>
      </c>
      <c r="BM11" s="9">
        <v>0.0</v>
      </c>
      <c r="BP11" s="9">
        <v>0.0</v>
      </c>
      <c r="BR11" s="9" t="s">
        <v>51</v>
      </c>
      <c r="BS11" s="9">
        <v>0.0</v>
      </c>
      <c r="BT11" s="9">
        <v>0.0</v>
      </c>
      <c r="BU11" s="9" t="s">
        <v>49</v>
      </c>
      <c r="BW11" s="9">
        <v>0.0</v>
      </c>
      <c r="BX11" s="11">
        <v>520.0</v>
      </c>
      <c r="BY11" s="11">
        <v>520.0</v>
      </c>
      <c r="BZ11" s="9">
        <v>10.0</v>
      </c>
      <c r="CA11" s="9">
        <v>10.0</v>
      </c>
      <c r="CB11" s="9" t="s">
        <v>62</v>
      </c>
      <c r="CC11" s="9">
        <v>0.0</v>
      </c>
      <c r="CD11" s="9">
        <v>0.0</v>
      </c>
      <c r="CE11" s="9">
        <v>0.0</v>
      </c>
      <c r="CF11" s="9">
        <v>0.0</v>
      </c>
      <c r="CG11" s="9">
        <v>0.0</v>
      </c>
      <c r="CI11" s="9">
        <v>0.0</v>
      </c>
      <c r="CJ11" s="9">
        <v>0.0</v>
      </c>
      <c r="DA11" s="11">
        <v>520.0</v>
      </c>
      <c r="DE11" s="9">
        <v>0.0</v>
      </c>
      <c r="DF11" s="9">
        <v>0.0</v>
      </c>
      <c r="DG11" s="9">
        <v>0.0</v>
      </c>
      <c r="DJ11" s="9" t="s">
        <v>26</v>
      </c>
      <c r="DM11" s="9">
        <v>1.0</v>
      </c>
    </row>
    <row r="12" ht="15.75" customHeight="1">
      <c r="A12" s="8"/>
      <c r="B12" s="8"/>
      <c r="C12" s="11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