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loadStageOrder" sheetId="4" r:id="rId6"/>
    <sheet state="visible" name="UploadStageOrder1" sheetId="5" r:id="rId7"/>
    <sheet state="visible" name="ReloadOrderFromBlotter" sheetId="6" r:id="rId8"/>
    <sheet state="visible" name="CustomOrderTT" sheetId="7" r:id="rId9"/>
    <sheet state="visible" name="VerifyOrder" sheetId="8" r:id="rId10"/>
    <sheet state="visible" name="CheckAllocatedGroups" sheetId="9" r:id="rId11"/>
    <sheet state="visible" name="CheckPortfolioManagement" sheetId="10" r:id="rId12"/>
    <sheet state="visible" name="TransferToUserOrder" sheetId="11" r:id="rId13"/>
    <sheet state="visible" name="VerifyOrder1" sheetId="12" r:id="rId14"/>
  </sheets>
  <definedNames/>
  <calcPr/>
</workbook>
</file>

<file path=xl/sharedStrings.xml><?xml version="1.0" encoding="utf-8"?>
<sst xmlns="http://schemas.openxmlformats.org/spreadsheetml/2006/main" count="789" uniqueCount="69">
  <si>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</si>
  <si>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</si>
  <si>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</si>
  <si>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</si>
  <si>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</si>
  <si>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</si>
  <si>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</si>
  <si>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</si>
  <si>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</si>
  <si>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</si>
  <si>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</si>
  <si>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</si>
  <si>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</si>
  <si>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UploadStageOrder</t>
  </si>
  <si>
    <t>Data Format</t>
  </si>
  <si>
    <t>Input Format</t>
  </si>
  <si>
    <t>Upload</t>
  </si>
  <si>
    <t>\\192.168.2.108\DistributedAutomation_Master\Import Cases\Stage(Blotter-0489).csv</t>
  </si>
  <si>
    <t>UPLOAD</t>
  </si>
  <si>
    <t>\\192.168.2.108\DistributedAutomation_Master\Import Cases\Stage(Blotter-0358).csv</t>
  </si>
  <si>
    <t>ReloadOrderFromBlotter</t>
  </si>
  <si>
    <t>AAPL</t>
  </si>
  <si>
    <t>Buy</t>
  </si>
  <si>
    <t>New</t>
  </si>
  <si>
    <t>TradingTicket</t>
  </si>
  <si>
    <t>CustomOrderTT</t>
  </si>
  <si>
    <t>DONEAWAY</t>
  </si>
  <si>
    <t>VerifyOrder</t>
  </si>
  <si>
    <t/>
  </si>
  <si>
    <t>N.A.</t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</si>
  <si>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</si>
  <si>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</si>
  <si>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</si>
  <si>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</si>
  <si>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</si>
  <si>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</si>
  <si>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</si>
  <si>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</si>
  <si>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M</t>
  </si>
  <si>
    <t>Equity</t>
  </si>
  <si>
    <t>MS</t>
  </si>
  <si>
    <t>Allocation1</t>
  </si>
  <si>
    <t>Limit</t>
  </si>
  <si>
    <t>Manual</t>
  </si>
  <si>
    <t>Day</t>
  </si>
  <si>
    <t>Filled</t>
  </si>
  <si>
    <t xml:space="preserve"> </t>
  </si>
  <si>
    <t>Allocation</t>
  </si>
  <si>
    <t>CheckAllocatedGroups</t>
  </si>
  <si>
    <t>Actual_365</t>
  </si>
  <si>
    <t>Treasury</t>
  </si>
  <si>
    <t>Open</t>
  </si>
  <si>
    <t>APPLE</t>
  </si>
  <si>
    <t>None</t>
  </si>
  <si>
    <t>InternalOrder</t>
  </si>
  <si>
    <t>Strategy Unallocated</t>
  </si>
  <si>
    <t>PortfolioManagement</t>
  </si>
  <si>
    <t>CheckPortfolioManagement</t>
  </si>
  <si>
    <t>Long</t>
  </si>
  <si>
    <t>FIMAT</t>
  </si>
  <si>
    <t>New Hedge</t>
  </si>
  <si>
    <t>Small Cap</t>
  </si>
  <si>
    <t>Default</t>
  </si>
  <si>
    <t>test1</t>
  </si>
  <si>
    <t>india</t>
  </si>
  <si>
    <t>test 1</t>
  </si>
  <si>
    <t>Yes</t>
  </si>
  <si>
    <t>TransferToUserOrder</t>
  </si>
  <si>
    <t>jgulbrandsen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</si>
</sst>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2" fontId="1" numFmtId="0" xfId="0" applyAlignment="1" applyFont="1">
      <alignment horizontal="center"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7.2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 t="str">
        <f>IFERROR(__xludf.DUMMYFUNCTION("""COMPUTED_VALUE"""),"Select File")</f>
        <v>Select File</v>
      </c>
      <c r="D5" s="28" t="str">
        <f>IFERROR(__xludf.DUMMYFUNCTION("""COMPUTED_VALUE"""),"WrongFormatPopUp")</f>
        <v>WrongFormatPopUp</v>
      </c>
      <c r="E5" s="28" t="str">
        <f>IFERROR(__xludf.DUMMYFUNCTION("""COMPUTED_VALUE"""),"Order Quantity")</f>
        <v>Order Quantity</v>
      </c>
      <c r="F5" s="29" t="str">
        <f>IFERROR(__xludf.DUMMYFUNCTION("""COMPUTED_VALUE"""),"Order Count")</f>
        <v>Order Count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 t="b">
        <v>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UploadStageOrder!$4:$4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 t="str">
        <f>IFERROR(__xludf.DUMMYFUNCTION("""COMPUTED_VALUE"""),"Select File")</f>
        <v>Select File</v>
      </c>
      <c r="D5" s="28" t="str">
        <f>IFERROR(__xludf.DUMMYFUNCTION("""COMPUTED_VALUE"""),"WrongFormatPopUp")</f>
        <v>WrongFormatPopUp</v>
      </c>
      <c r="E5" s="28" t="str">
        <f>IFERROR(__xludf.DUMMYFUNCTION("""COMPUTED_VALUE"""),"Order Quantity")</f>
        <v>Order Quantity</v>
      </c>
      <c r="F5" s="29" t="str">
        <f>IFERROR(__xludf.DUMMYFUNCTION("""COMPUTED_VALUE"""),"Order Count")</f>
        <v>Order Count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18</v>
      </c>
      <c r="C6" s="3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UploadStageOrder1!$4:$4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34" t="s">
        <v>21</v>
      </c>
      <c r="AJ6" s="34" t="s">
        <v>22</v>
      </c>
      <c r="AK6" s="34" t="s">
        <v>23</v>
      </c>
      <c r="AL6" s="35">
        <v>100.28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26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6" t="s">
        <v>28</v>
      </c>
      <c r="B6" s="36"/>
      <c r="C6" s="8" t="s">
        <v>29</v>
      </c>
      <c r="D6" s="36">
        <v>0.0</v>
      </c>
      <c r="E6" s="8" t="s">
        <v>30</v>
      </c>
      <c r="F6" s="8"/>
      <c r="G6" s="8"/>
      <c r="H6" s="8" t="s">
        <v>31</v>
      </c>
      <c r="I6" s="8" t="s">
        <v>32</v>
      </c>
      <c r="J6" s="8" t="s">
        <v>21</v>
      </c>
      <c r="K6" s="8" t="s">
        <v>33</v>
      </c>
      <c r="L6" s="8" t="s">
        <v>34</v>
      </c>
      <c r="M6" s="8"/>
      <c r="N6" s="8"/>
      <c r="O6" s="8"/>
      <c r="U6" t="s">
        <v>35</v>
      </c>
      <c r="V6" t="s">
        <v>36</v>
      </c>
      <c r="AA6" t="s">
        <v>37</v>
      </c>
      <c r="AD6">
        <v>1.0</v>
      </c>
      <c r="AF6" t="s">
        <v>38</v>
      </c>
      <c r="AG6">
        <v>0.0</v>
      </c>
      <c r="AH6" t="s">
        <v>39</v>
      </c>
      <c r="AI6" t="s">
        <v>21</v>
      </c>
      <c r="AJ6" t="s">
        <v>22</v>
      </c>
      <c r="AK6" t="s">
        <v>23</v>
      </c>
      <c r="AL6">
        <v>100.28</v>
      </c>
      <c r="AS6" t="s">
        <v>40</v>
      </c>
      <c r="AT6" t="s">
        <v>41</v>
      </c>
      <c r="AU6" t="s">
        <v>42</v>
      </c>
      <c r="AV6">
        <v>0.0</v>
      </c>
      <c r="AW6">
        <v>0.0</v>
      </c>
      <c r="AX6" t="s">
        <v>43</v>
      </c>
      <c r="AY6" t="s">
        <v>28</v>
      </c>
      <c r="BA6" t="s">
        <v>32</v>
      </c>
      <c r="BB6" t="s">
        <v>28</v>
      </c>
      <c r="BC6" t="s">
        <v>28</v>
      </c>
      <c r="BD6" t="s">
        <v>28</v>
      </c>
      <c r="BE6" t="s">
        <v>28</v>
      </c>
      <c r="BF6" t="s">
        <v>28</v>
      </c>
      <c r="BH6" t="s">
        <v>44</v>
      </c>
      <c r="BK6" t="s">
        <v>28</v>
      </c>
      <c r="BP6" t="s">
        <v>28</v>
      </c>
      <c r="BQ6" t="s">
        <v>28</v>
      </c>
      <c r="BR6" t="s">
        <v>28</v>
      </c>
      <c r="BS6" t="s">
        <v>28</v>
      </c>
      <c r="BT6" t="s">
        <v>28</v>
      </c>
      <c r="BU6" t="s">
        <v>28</v>
      </c>
      <c r="BV6" t="s">
        <v>28</v>
      </c>
      <c r="BW6" t="s">
        <v>28</v>
      </c>
      <c r="BX6" t="s">
        <v>28</v>
      </c>
      <c r="BY6" t="s">
        <v>28</v>
      </c>
      <c r="BZ6" t="s">
        <v>28</v>
      </c>
      <c r="CA6" t="s">
        <v>28</v>
      </c>
      <c r="CB6" t="s">
        <v>28</v>
      </c>
      <c r="CC6" t="s">
        <v>28</v>
      </c>
      <c r="CD6" t="s">
        <v>28</v>
      </c>
      <c r="CE6" t="s">
        <v>28</v>
      </c>
      <c r="CF6" t="s">
        <v>28</v>
      </c>
      <c r="CG6" t="s">
        <v>28</v>
      </c>
      <c r="CH6" t="s">
        <v>28</v>
      </c>
      <c r="CI6" t="s">
        <v>28</v>
      </c>
      <c r="CJ6" t="s">
        <v>28</v>
      </c>
      <c r="CK6" t="s">
        <v>28</v>
      </c>
      <c r="CL6" t="s">
        <v>28</v>
      </c>
      <c r="CM6" t="s">
        <v>28</v>
      </c>
      <c r="CN6" t="s">
        <v>28</v>
      </c>
      <c r="CO6" t="s">
        <v>28</v>
      </c>
      <c r="CP6" t="s">
        <v>28</v>
      </c>
      <c r="CQ6" t="s">
        <v>28</v>
      </c>
      <c r="CR6" t="s">
        <v>28</v>
      </c>
      <c r="CS6" t="s">
        <v>28</v>
      </c>
      <c r="CT6" t="s">
        <v>28</v>
      </c>
      <c r="CU6" t="s">
        <v>28</v>
      </c>
      <c r="CV6" t="s">
        <v>28</v>
      </c>
      <c r="CW6" t="s">
        <v>28</v>
      </c>
      <c r="CX6" t="s">
        <v>28</v>
      </c>
      <c r="CY6" t="s">
        <v>28</v>
      </c>
      <c r="CZ6" t="s">
        <v>28</v>
      </c>
      <c r="DA6" t="s">
        <v>28</v>
      </c>
      <c r="DB6" t="s">
        <v>28</v>
      </c>
      <c r="DC6" t="s">
        <v>28</v>
      </c>
      <c r="DD6" t="s">
        <v>28</v>
      </c>
      <c r="DE6" t="s">
        <v>28</v>
      </c>
      <c r="DF6" t="s">
        <v>28</v>
      </c>
      <c r="DG6" t="s">
        <v>28</v>
      </c>
      <c r="DH6" t="s">
        <v>28</v>
      </c>
      <c r="DI6" t="s">
        <v>28</v>
      </c>
      <c r="DJ6" t="s">
        <v>28</v>
      </c>
      <c r="DK6" t="s">
        <v>28</v>
      </c>
      <c r="DL6" t="s">
        <v>28</v>
      </c>
      <c r="DM6" t="s">
        <v>28</v>
      </c>
      <c r="DN6" t="s">
        <v>28</v>
      </c>
      <c r="DO6" t="s">
        <v>28</v>
      </c>
      <c r="DP6" t="s">
        <v>28</v>
      </c>
      <c r="DQ6" t="s">
        <v>28</v>
      </c>
      <c r="DR6" t="s">
        <v>28</v>
      </c>
      <c r="DS6" t="s">
        <v>28</v>
      </c>
      <c r="DT6" t="s">
        <v>28</v>
      </c>
      <c r="DU6" t="s">
        <v>28</v>
      </c>
      <c r="DV6" t="s">
        <v>28</v>
      </c>
      <c r="DW6" t="s">
        <v>28</v>
      </c>
      <c r="DX6" t="s">
        <v>28</v>
      </c>
      <c r="DY6" t="s">
        <v>28</v>
      </c>
      <c r="DZ6" t="s">
        <v>28</v>
      </c>
      <c r="EA6" t="s">
        <v>28</v>
      </c>
      <c r="EB6" t="s">
        <v>28</v>
      </c>
      <c r="EC6" t="s">
        <v>28</v>
      </c>
      <c r="ED6" t="s">
        <v>28</v>
      </c>
      <c r="EE6" t="s">
        <v>28</v>
      </c>
      <c r="EF6" t="s">
        <v>28</v>
      </c>
      <c r="EG6" t="s">
        <v>28</v>
      </c>
      <c r="EH6" t="s">
        <v>28</v>
      </c>
      <c r="EI6" t="s">
        <v>28</v>
      </c>
      <c r="EJ6" t="s">
        <v>28</v>
      </c>
      <c r="EK6" t="s">
        <v>28</v>
      </c>
      <c r="EL6" t="s">
        <v>28</v>
      </c>
      <c r="EM6" t="s">
        <v>28</v>
      </c>
      <c r="EN6" t="s">
        <v>28</v>
      </c>
      <c r="EO6" t="s">
        <v>28</v>
      </c>
      <c r="EP6" t="s">
        <v>28</v>
      </c>
      <c r="EQ6" t="s">
        <v>28</v>
      </c>
      <c r="ER6" t="s">
        <v>28</v>
      </c>
      <c r="ES6" t="s">
        <v>28</v>
      </c>
      <c r="ET6" t="s">
        <v>28</v>
      </c>
      <c r="EU6" t="s">
        <v>28</v>
      </c>
      <c r="EV6" t="s">
        <v>28</v>
      </c>
      <c r="EW6" t="s">
        <v>28</v>
      </c>
      <c r="EX6" t="s">
        <v>28</v>
      </c>
      <c r="EY6" t="s">
        <v>28</v>
      </c>
      <c r="EZ6" t="s">
        <v>28</v>
      </c>
      <c r="FA6" t="s">
        <v>28</v>
      </c>
      <c r="FB6" t="s">
        <v>28</v>
      </c>
      <c r="FC6" t="s">
        <v>28</v>
      </c>
      <c r="FD6" t="s">
        <v>28</v>
      </c>
      <c r="FE6" t="s">
        <v>28</v>
      </c>
      <c r="FF6" t="s">
        <v>28</v>
      </c>
      <c r="FG6" t="s">
        <v>28</v>
      </c>
      <c r="FH6" t="s">
        <v>28</v>
      </c>
      <c r="FI6" t="s">
        <v>28</v>
      </c>
      <c r="FJ6" t="s">
        <v>28</v>
      </c>
      <c r="FK6" t="s">
        <v>28</v>
      </c>
      <c r="FL6" t="s">
        <v>28</v>
      </c>
      <c r="FM6" t="s">
        <v>28</v>
      </c>
      <c r="FN6" t="s">
        <v>28</v>
      </c>
      <c r="FO6" t="s">
        <v>28</v>
      </c>
      <c r="FP6" t="s">
        <v>28</v>
      </c>
      <c r="FQ6" t="s">
        <v>28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 t="s">
        <v>28</v>
      </c>
      <c r="B7" s="8"/>
      <c r="C7" s="8" t="s">
        <v>29</v>
      </c>
      <c r="D7" s="8">
        <v>0.0</v>
      </c>
      <c r="E7" s="8" t="s">
        <v>30</v>
      </c>
      <c r="F7" s="8"/>
      <c r="G7" s="8"/>
      <c r="H7" s="8" t="s">
        <v>31</v>
      </c>
      <c r="I7" s="8" t="s">
        <v>32</v>
      </c>
      <c r="J7" s="8" t="s">
        <v>21</v>
      </c>
      <c r="K7" s="8" t="s">
        <v>33</v>
      </c>
      <c r="L7" s="8" t="s">
        <v>34</v>
      </c>
      <c r="M7" s="8"/>
      <c r="N7" s="8"/>
      <c r="O7" s="8"/>
      <c r="U7" t="s">
        <v>35</v>
      </c>
      <c r="V7" t="s">
        <v>36</v>
      </c>
      <c r="AA7" t="s">
        <v>37</v>
      </c>
      <c r="AD7">
        <v>1.0</v>
      </c>
      <c r="AF7" t="s">
        <v>38</v>
      </c>
      <c r="AG7">
        <v>0.0</v>
      </c>
      <c r="AH7" t="s">
        <v>39</v>
      </c>
      <c r="AI7" t="s">
        <v>21</v>
      </c>
      <c r="AJ7" t="s">
        <v>22</v>
      </c>
      <c r="AK7" t="s">
        <v>45</v>
      </c>
      <c r="AL7">
        <v>100.28</v>
      </c>
      <c r="AS7" t="s">
        <v>40</v>
      </c>
      <c r="AT7" t="s">
        <v>41</v>
      </c>
      <c r="AU7" t="s">
        <v>42</v>
      </c>
      <c r="AV7">
        <v>0.0</v>
      </c>
      <c r="AW7">
        <v>0.0</v>
      </c>
      <c r="AX7" t="s">
        <v>43</v>
      </c>
      <c r="AY7" t="s">
        <v>28</v>
      </c>
      <c r="BA7" t="s">
        <v>32</v>
      </c>
      <c r="BB7" t="s">
        <v>28</v>
      </c>
      <c r="BC7" t="s">
        <v>28</v>
      </c>
      <c r="BD7" t="s">
        <v>28</v>
      </c>
      <c r="BE7" t="s">
        <v>28</v>
      </c>
      <c r="BF7" t="s">
        <v>28</v>
      </c>
      <c r="BH7" t="s">
        <v>44</v>
      </c>
      <c r="BK7" t="s">
        <v>28</v>
      </c>
      <c r="BP7" t="s">
        <v>28</v>
      </c>
      <c r="BQ7" t="s">
        <v>28</v>
      </c>
      <c r="BR7" t="s">
        <v>28</v>
      </c>
      <c r="BS7" t="s">
        <v>28</v>
      </c>
      <c r="BT7" t="s">
        <v>28</v>
      </c>
      <c r="BU7" t="s">
        <v>28</v>
      </c>
      <c r="BV7" t="s">
        <v>28</v>
      </c>
      <c r="BW7" t="s">
        <v>28</v>
      </c>
      <c r="BX7" t="s">
        <v>28</v>
      </c>
      <c r="BY7" t="s">
        <v>28</v>
      </c>
      <c r="BZ7" t="s">
        <v>28</v>
      </c>
      <c r="CA7" t="s">
        <v>28</v>
      </c>
      <c r="CB7" t="s">
        <v>28</v>
      </c>
      <c r="CC7" t="s">
        <v>28</v>
      </c>
      <c r="CD7" t="s">
        <v>28</v>
      </c>
      <c r="CE7" t="s">
        <v>28</v>
      </c>
      <c r="CF7" t="s">
        <v>28</v>
      </c>
      <c r="CG7" t="s">
        <v>28</v>
      </c>
      <c r="CH7" t="s">
        <v>28</v>
      </c>
      <c r="CI7" t="s">
        <v>28</v>
      </c>
      <c r="CJ7" t="s">
        <v>28</v>
      </c>
      <c r="CK7" t="s">
        <v>28</v>
      </c>
      <c r="CL7" t="s">
        <v>28</v>
      </c>
      <c r="CM7" t="s">
        <v>28</v>
      </c>
      <c r="CN7" t="s">
        <v>28</v>
      </c>
      <c r="CO7" t="s">
        <v>28</v>
      </c>
      <c r="CP7" t="s">
        <v>28</v>
      </c>
      <c r="CQ7" t="s">
        <v>28</v>
      </c>
      <c r="CR7" t="s">
        <v>28</v>
      </c>
      <c r="CS7" t="s">
        <v>28</v>
      </c>
      <c r="CT7" t="s">
        <v>28</v>
      </c>
      <c r="CU7" t="s">
        <v>28</v>
      </c>
      <c r="CV7" t="s">
        <v>28</v>
      </c>
      <c r="CW7" t="s">
        <v>28</v>
      </c>
      <c r="CX7" t="s">
        <v>28</v>
      </c>
      <c r="CY7" t="s">
        <v>28</v>
      </c>
      <c r="CZ7" t="s">
        <v>28</v>
      </c>
      <c r="DA7" t="s">
        <v>28</v>
      </c>
      <c r="DB7" t="s">
        <v>28</v>
      </c>
      <c r="DC7" t="s">
        <v>28</v>
      </c>
      <c r="DD7" t="s">
        <v>28</v>
      </c>
      <c r="DE7" t="s">
        <v>28</v>
      </c>
      <c r="DF7" t="s">
        <v>28</v>
      </c>
      <c r="DG7" t="s">
        <v>28</v>
      </c>
      <c r="DH7" t="s">
        <v>28</v>
      </c>
      <c r="DI7" t="s">
        <v>28</v>
      </c>
      <c r="DJ7" t="s">
        <v>28</v>
      </c>
      <c r="DK7" t="s">
        <v>28</v>
      </c>
      <c r="DL7" t="s">
        <v>28</v>
      </c>
      <c r="DM7" t="s">
        <v>28</v>
      </c>
      <c r="DN7" t="s">
        <v>28</v>
      </c>
      <c r="DO7" t="s">
        <v>28</v>
      </c>
      <c r="DP7" t="s">
        <v>28</v>
      </c>
      <c r="DQ7" t="s">
        <v>28</v>
      </c>
      <c r="DR7" t="s">
        <v>28</v>
      </c>
      <c r="DS7" t="s">
        <v>28</v>
      </c>
      <c r="DT7" t="s">
        <v>28</v>
      </c>
      <c r="DU7" t="s">
        <v>28</v>
      </c>
      <c r="DV7" t="s">
        <v>28</v>
      </c>
      <c r="DW7" t="s">
        <v>28</v>
      </c>
      <c r="DX7" t="s">
        <v>28</v>
      </c>
      <c r="DY7" t="s">
        <v>28</v>
      </c>
      <c r="DZ7" t="s">
        <v>28</v>
      </c>
      <c r="EA7" t="s">
        <v>28</v>
      </c>
      <c r="EB7" t="s">
        <v>28</v>
      </c>
      <c r="EC7" t="s">
        <v>28</v>
      </c>
      <c r="ED7" t="s">
        <v>28</v>
      </c>
      <c r="EE7" t="s">
        <v>28</v>
      </c>
      <c r="EF7" t="s">
        <v>28</v>
      </c>
      <c r="EG7" t="s">
        <v>28</v>
      </c>
      <c r="EH7" t="s">
        <v>28</v>
      </c>
      <c r="EI7" t="s">
        <v>28</v>
      </c>
      <c r="EJ7" t="s">
        <v>28</v>
      </c>
      <c r="EK7" t="s">
        <v>28</v>
      </c>
      <c r="EL7" t="s">
        <v>28</v>
      </c>
      <c r="EM7" t="s">
        <v>28</v>
      </c>
      <c r="EN7" t="s">
        <v>28</v>
      </c>
      <c r="EO7" t="s">
        <v>28</v>
      </c>
      <c r="EP7" t="s">
        <v>28</v>
      </c>
      <c r="EQ7" t="s">
        <v>28</v>
      </c>
      <c r="ER7" t="s">
        <v>28</v>
      </c>
      <c r="ES7" t="s">
        <v>28</v>
      </c>
      <c r="ET7" t="s">
        <v>28</v>
      </c>
      <c r="EU7" t="s">
        <v>28</v>
      </c>
      <c r="EV7" t="s">
        <v>28</v>
      </c>
      <c r="EW7" t="s">
        <v>28</v>
      </c>
      <c r="EX7" t="s">
        <v>28</v>
      </c>
      <c r="EY7" t="s">
        <v>28</v>
      </c>
      <c r="EZ7" t="s">
        <v>28</v>
      </c>
      <c r="FA7" t="s">
        <v>28</v>
      </c>
      <c r="FB7" t="s">
        <v>28</v>
      </c>
      <c r="FC7" t="s">
        <v>28</v>
      </c>
      <c r="FD7" t="s">
        <v>28</v>
      </c>
      <c r="FE7" t="s">
        <v>28</v>
      </c>
      <c r="FF7" t="s">
        <v>28</v>
      </c>
      <c r="FG7" t="s">
        <v>28</v>
      </c>
      <c r="FH7" t="s">
        <v>28</v>
      </c>
      <c r="FI7" t="s">
        <v>28</v>
      </c>
      <c r="FJ7" t="s">
        <v>28</v>
      </c>
      <c r="FK7" t="s">
        <v>28</v>
      </c>
      <c r="FL7" t="s">
        <v>28</v>
      </c>
      <c r="FM7" t="s">
        <v>28</v>
      </c>
      <c r="FN7" t="s">
        <v>28</v>
      </c>
      <c r="FO7" t="s">
        <v>28</v>
      </c>
      <c r="FP7" t="s">
        <v>28</v>
      </c>
      <c r="FQ7" t="s">
        <v>28</v>
      </c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37"/>
      <c r="AMH7" s="37"/>
      <c r="AMI7" s="37"/>
      <c r="AMJ7" s="37"/>
      <c r="AMK7" s="37"/>
      <c r="AML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38" t="s">
        <v>46</v>
      </c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6" t="s">
        <v>28</v>
      </c>
      <c r="B6" s="36" t="s">
        <v>41</v>
      </c>
      <c r="C6" s="8" t="s">
        <v>49</v>
      </c>
      <c r="D6" s="36">
        <v>0.0</v>
      </c>
      <c r="E6" s="8">
        <v>100.28</v>
      </c>
      <c r="F6" s="8" t="s">
        <v>43</v>
      </c>
      <c r="G6" s="8" t="s">
        <v>39</v>
      </c>
      <c r="H6" s="8">
        <v>4.0</v>
      </c>
      <c r="I6" s="8">
        <v>5.0</v>
      </c>
      <c r="J6" s="8">
        <v>1.0</v>
      </c>
      <c r="K6" s="8">
        <v>0.0</v>
      </c>
      <c r="L6" s="8">
        <v>0.0</v>
      </c>
      <c r="M6" s="8" t="s">
        <v>30</v>
      </c>
      <c r="N6" s="8" t="s">
        <v>50</v>
      </c>
      <c r="O6" s="8" t="s">
        <v>40</v>
      </c>
      <c r="Q6">
        <v>3.0</v>
      </c>
      <c r="R6">
        <v>0.0</v>
      </c>
      <c r="S6" t="s">
        <v>51</v>
      </c>
      <c r="T6">
        <v>0.0</v>
      </c>
      <c r="U6">
        <v>0.0</v>
      </c>
      <c r="V6" t="s">
        <v>52</v>
      </c>
      <c r="W6">
        <v>1.0</v>
      </c>
      <c r="X6">
        <v>0.0</v>
      </c>
      <c r="Y6" t="s">
        <v>28</v>
      </c>
      <c r="Z6" t="s">
        <v>35</v>
      </c>
      <c r="AA6" t="s">
        <v>21</v>
      </c>
      <c r="AB6">
        <v>1.0</v>
      </c>
      <c r="AD6" t="s">
        <v>31</v>
      </c>
      <c r="AE6">
        <v>100.28</v>
      </c>
      <c r="AF6" t="s">
        <v>28</v>
      </c>
      <c r="AH6" t="s">
        <v>38</v>
      </c>
      <c r="AI6">
        <v>1.0</v>
      </c>
      <c r="AJ6" t="s">
        <v>53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14.0</v>
      </c>
      <c r="AU6">
        <v>14.0</v>
      </c>
      <c r="AW6">
        <v>0.0</v>
      </c>
      <c r="AX6">
        <v>0.0</v>
      </c>
      <c r="AY6" t="s">
        <v>42</v>
      </c>
      <c r="AZ6">
        <v>0.0</v>
      </c>
      <c r="BC6">
        <v>0.0</v>
      </c>
      <c r="BD6" t="s">
        <v>54</v>
      </c>
      <c r="BE6">
        <v>0.0</v>
      </c>
      <c r="BF6">
        <v>0.0</v>
      </c>
      <c r="BJ6">
        <v>100.28</v>
      </c>
      <c r="BK6">
        <v>0.0</v>
      </c>
      <c r="BL6" t="s">
        <v>28</v>
      </c>
      <c r="BM6" t="s">
        <v>35</v>
      </c>
      <c r="BO6" t="s">
        <v>22</v>
      </c>
      <c r="BP6">
        <v>0.0</v>
      </c>
      <c r="BQ6">
        <v>0.0</v>
      </c>
      <c r="BR6">
        <v>0.0</v>
      </c>
      <c r="BS6" t="s">
        <v>55</v>
      </c>
      <c r="BT6" t="s">
        <v>21</v>
      </c>
      <c r="BU6">
        <v>3.0</v>
      </c>
      <c r="BV6">
        <v>0.0</v>
      </c>
      <c r="BW6">
        <v>14.0</v>
      </c>
      <c r="BX6">
        <v>0.0</v>
      </c>
      <c r="CF6" t="s">
        <v>34</v>
      </c>
      <c r="CG6">
        <v>2.0</v>
      </c>
      <c r="CH6" t="s">
        <v>24</v>
      </c>
      <c r="CI6" t="s">
        <v>22</v>
      </c>
      <c r="CJ6">
        <v>0.0</v>
      </c>
      <c r="CK6" t="s">
        <v>33</v>
      </c>
      <c r="CL6">
        <v>1.0</v>
      </c>
      <c r="CM6" t="s">
        <v>21</v>
      </c>
      <c r="CN6" t="s">
        <v>32</v>
      </c>
      <c r="CO6" t="s">
        <v>31</v>
      </c>
      <c r="CP6" t="s">
        <v>36</v>
      </c>
      <c r="CS6" t="s">
        <v>28</v>
      </c>
      <c r="CW6">
        <v>0.0</v>
      </c>
      <c r="CX6" t="s">
        <v>37</v>
      </c>
      <c r="CY6" s="9" t="b">
        <v>1</v>
      </c>
      <c r="CZ6" t="s">
        <v>28</v>
      </c>
      <c r="DA6" t="s">
        <v>28</v>
      </c>
      <c r="DB6" t="s">
        <v>28</v>
      </c>
      <c r="DC6" t="s">
        <v>28</v>
      </c>
      <c r="DD6" t="s">
        <v>28</v>
      </c>
      <c r="DE6" t="s">
        <v>28</v>
      </c>
      <c r="DF6" t="s">
        <v>28</v>
      </c>
      <c r="DG6" t="s">
        <v>28</v>
      </c>
      <c r="DH6" t="s">
        <v>28</v>
      </c>
      <c r="DI6" t="s">
        <v>28</v>
      </c>
      <c r="DJ6" t="s">
        <v>28</v>
      </c>
      <c r="DK6" t="s">
        <v>28</v>
      </c>
      <c r="DL6" t="s">
        <v>28</v>
      </c>
      <c r="DM6" t="s">
        <v>28</v>
      </c>
      <c r="DN6" t="s">
        <v>28</v>
      </c>
      <c r="DO6" t="s">
        <v>28</v>
      </c>
      <c r="DP6" t="s">
        <v>28</v>
      </c>
      <c r="DQ6" t="s">
        <v>28</v>
      </c>
      <c r="DR6" t="s">
        <v>28</v>
      </c>
      <c r="DS6" t="s">
        <v>28</v>
      </c>
      <c r="DT6" t="s">
        <v>28</v>
      </c>
      <c r="DU6" t="s">
        <v>28</v>
      </c>
      <c r="DV6" t="s">
        <v>28</v>
      </c>
      <c r="DW6" t="s">
        <v>28</v>
      </c>
      <c r="DX6" t="s">
        <v>28</v>
      </c>
      <c r="DY6" t="s">
        <v>28</v>
      </c>
      <c r="DZ6" t="s">
        <v>28</v>
      </c>
      <c r="EA6" t="s">
        <v>28</v>
      </c>
      <c r="EB6" t="s">
        <v>28</v>
      </c>
      <c r="EC6" t="s">
        <v>28</v>
      </c>
      <c r="ED6" t="s">
        <v>28</v>
      </c>
      <c r="EE6" t="s">
        <v>28</v>
      </c>
      <c r="EF6" t="s">
        <v>28</v>
      </c>
      <c r="EG6" t="s">
        <v>28</v>
      </c>
      <c r="EH6" t="s">
        <v>28</v>
      </c>
      <c r="EI6" t="s">
        <v>28</v>
      </c>
      <c r="EJ6" t="s">
        <v>28</v>
      </c>
      <c r="EK6" t="s">
        <v>28</v>
      </c>
      <c r="EL6" t="s">
        <v>28</v>
      </c>
      <c r="EM6" t="s">
        <v>28</v>
      </c>
      <c r="EN6" t="s">
        <v>28</v>
      </c>
      <c r="EO6" t="s">
        <v>28</v>
      </c>
      <c r="EP6" t="s">
        <v>28</v>
      </c>
      <c r="EQ6" t="s">
        <v>28</v>
      </c>
      <c r="ER6" t="s">
        <v>28</v>
      </c>
      <c r="ES6" t="s">
        <v>28</v>
      </c>
      <c r="ET6" t="s">
        <v>28</v>
      </c>
      <c r="EU6" t="s">
        <v>28</v>
      </c>
      <c r="EV6" t="s">
        <v>28</v>
      </c>
      <c r="EW6" t="s">
        <v>28</v>
      </c>
      <c r="EX6" t="s">
        <v>28</v>
      </c>
      <c r="EY6" t="s">
        <v>28</v>
      </c>
      <c r="EZ6" t="s">
        <v>28</v>
      </c>
      <c r="FA6" t="s">
        <v>28</v>
      </c>
      <c r="FB6" t="s">
        <v>28</v>
      </c>
      <c r="FC6" t="s">
        <v>28</v>
      </c>
      <c r="FD6" t="s">
        <v>28</v>
      </c>
      <c r="FE6" t="s">
        <v>28</v>
      </c>
      <c r="FF6" t="s">
        <v>28</v>
      </c>
      <c r="FG6" t="s">
        <v>28</v>
      </c>
      <c r="FH6" t="s">
        <v>28</v>
      </c>
      <c r="FI6" t="s">
        <v>28</v>
      </c>
      <c r="FJ6" t="s">
        <v>28</v>
      </c>
      <c r="FK6" t="s">
        <v>28</v>
      </c>
      <c r="FL6" t="s">
        <v>28</v>
      </c>
      <c r="FM6" t="s">
        <v>28</v>
      </c>
      <c r="FN6" t="s">
        <v>28</v>
      </c>
      <c r="FO6" t="s">
        <v>28</v>
      </c>
      <c r="FP6" t="s">
        <v>28</v>
      </c>
      <c r="FQ6" t="s">
        <v>28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 t="str">
        <f>IFERROR(__xludf.DUMMYFUNCTION("""COMPUTED_VALUE"""),"OpenTaxlotDetails")</f>
        <v>OpenTaxlotDetails</v>
      </c>
      <c r="AJ4" s="26" t="str">
        <f>IFERROR(__xludf.DUMMYFUNCTION("""COMPUTED_VALUE"""),"CheckTaxlotDetails")</f>
        <v>CheckTaxlotDetails</v>
      </c>
      <c r="AK4" s="26" t="str">
        <f>IFERROR(__xludf.DUMMYFUNCTION("""COMPUTED_VALUE"""),"SelectTradeOnPM")</f>
        <v>SelectTradeOnPM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9" t="s">
        <v>28</v>
      </c>
      <c r="B6" s="40"/>
      <c r="C6" s="34" t="s">
        <v>21</v>
      </c>
      <c r="D6" s="8">
        <v>100.28</v>
      </c>
      <c r="E6" s="34" t="s">
        <v>41</v>
      </c>
      <c r="F6" s="34" t="s">
        <v>37</v>
      </c>
      <c r="G6" s="35">
        <v>0.0</v>
      </c>
      <c r="H6" s="34" t="s">
        <v>58</v>
      </c>
      <c r="I6" s="35"/>
      <c r="J6" s="35"/>
      <c r="K6" s="35"/>
      <c r="L6" s="35"/>
      <c r="M6" s="35"/>
      <c r="N6" s="35"/>
      <c r="O6" s="34" t="s">
        <v>52</v>
      </c>
      <c r="P6" s="34"/>
      <c r="Q6" s="35">
        <v>0.0</v>
      </c>
      <c r="R6" s="34" t="s">
        <v>59</v>
      </c>
      <c r="S6" s="34" t="s">
        <v>55</v>
      </c>
      <c r="T6" s="34" t="s">
        <v>39</v>
      </c>
      <c r="U6" s="34" t="s">
        <v>33</v>
      </c>
      <c r="V6" s="34" t="s">
        <v>31</v>
      </c>
      <c r="W6" s="34" t="s">
        <v>35</v>
      </c>
      <c r="X6" s="35">
        <v>1.0</v>
      </c>
      <c r="Y6" s="35">
        <v>1.0</v>
      </c>
      <c r="Z6" s="34"/>
      <c r="AA6" s="34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>
        <v>1.0</v>
      </c>
      <c r="AM6" s="35">
        <v>1.0</v>
      </c>
      <c r="AN6" s="34" t="s">
        <v>22</v>
      </c>
      <c r="AO6" s="34"/>
      <c r="AP6" s="34" t="s">
        <v>58</v>
      </c>
      <c r="AQ6" s="34" t="s">
        <v>21</v>
      </c>
      <c r="AR6" s="35"/>
      <c r="AS6" s="35">
        <v>1.0</v>
      </c>
      <c r="AT6" s="34"/>
      <c r="AU6" s="34"/>
      <c r="AV6" s="35">
        <v>1.0</v>
      </c>
      <c r="AW6" s="35"/>
      <c r="AX6" s="35"/>
      <c r="AY6" s="35"/>
      <c r="AZ6" s="35"/>
      <c r="BA6" s="35"/>
      <c r="BB6" s="35"/>
      <c r="BC6" s="35">
        <v>1.0</v>
      </c>
      <c r="BD6" s="35"/>
      <c r="BE6" s="34" t="s">
        <v>39</v>
      </c>
      <c r="BF6" s="34" t="s">
        <v>60</v>
      </c>
      <c r="BG6" s="34" t="s">
        <v>61</v>
      </c>
      <c r="BH6" s="34"/>
      <c r="BI6" s="35"/>
      <c r="BJ6" s="35"/>
      <c r="BK6" s="35"/>
      <c r="BL6" s="35"/>
      <c r="BM6" s="35"/>
      <c r="BN6" s="35"/>
      <c r="BO6" s="35"/>
      <c r="BP6" s="35">
        <v>0.0</v>
      </c>
      <c r="BQ6" s="34" t="s">
        <v>32</v>
      </c>
      <c r="BR6" s="34" t="s">
        <v>40</v>
      </c>
      <c r="BS6" s="35"/>
      <c r="BT6" s="35"/>
      <c r="BU6" s="34" t="s">
        <v>39</v>
      </c>
      <c r="BV6" s="34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41" t="b">
        <v>0</v>
      </c>
      <c r="CL6" s="34"/>
      <c r="CM6" s="34"/>
      <c r="CN6" s="34" t="s">
        <v>21</v>
      </c>
      <c r="CO6" s="34" t="s">
        <v>21</v>
      </c>
      <c r="CP6" s="34" t="s">
        <v>30</v>
      </c>
      <c r="CQ6" s="34"/>
      <c r="CR6" s="35"/>
      <c r="CS6" s="35"/>
      <c r="CT6" s="34"/>
      <c r="CU6" s="34"/>
      <c r="CV6" s="34"/>
      <c r="CW6" s="34"/>
      <c r="CX6" s="34"/>
      <c r="CY6" s="34" t="s">
        <v>53</v>
      </c>
      <c r="CZ6" s="34" t="s">
        <v>62</v>
      </c>
      <c r="DA6" s="35"/>
      <c r="DB6" s="35"/>
      <c r="DC6" s="35"/>
      <c r="DD6" s="35"/>
      <c r="DE6" s="35"/>
      <c r="DF6" s="35"/>
      <c r="DG6" s="35"/>
      <c r="DH6" s="34"/>
      <c r="DI6" s="35"/>
      <c r="DJ6" s="34" t="s">
        <v>22</v>
      </c>
      <c r="DK6" s="35"/>
      <c r="DL6" s="35"/>
      <c r="DM6" s="35">
        <v>1.0</v>
      </c>
      <c r="DN6" s="35"/>
      <c r="DO6" s="34"/>
      <c r="DP6" s="34" t="s">
        <v>58</v>
      </c>
      <c r="DQ6" s="34" t="s">
        <v>63</v>
      </c>
      <c r="DR6" s="34" t="s">
        <v>64</v>
      </c>
      <c r="DS6" s="34" t="s">
        <v>63</v>
      </c>
      <c r="DT6" s="34" t="s">
        <v>63</v>
      </c>
      <c r="DU6" s="34" t="s">
        <v>65</v>
      </c>
      <c r="DV6" s="34" t="s">
        <v>63</v>
      </c>
      <c r="DW6" s="34" t="s">
        <v>63</v>
      </c>
      <c r="DX6" s="34" t="s">
        <v>63</v>
      </c>
      <c r="DY6" s="34" t="s">
        <v>63</v>
      </c>
      <c r="DZ6" s="34" t="s">
        <v>52</v>
      </c>
      <c r="EA6" s="34" t="s">
        <v>65</v>
      </c>
      <c r="EB6" s="34" t="s">
        <v>63</v>
      </c>
      <c r="EC6" s="34" t="s">
        <v>63</v>
      </c>
      <c r="ED6" s="34" t="s">
        <v>35</v>
      </c>
      <c r="EE6" s="34" t="s">
        <v>66</v>
      </c>
      <c r="EF6" s="35"/>
      <c r="EG6" s="35"/>
      <c r="EH6" s="35"/>
      <c r="EI6" s="35"/>
      <c r="EJ6" s="34"/>
      <c r="EK6" s="34"/>
      <c r="EL6" s="34" t="s">
        <v>28</v>
      </c>
      <c r="EM6" s="34" t="s">
        <v>28</v>
      </c>
      <c r="EN6" s="34" t="s">
        <v>28</v>
      </c>
      <c r="EO6" s="34" t="s">
        <v>28</v>
      </c>
      <c r="EP6" s="34" t="s">
        <v>28</v>
      </c>
      <c r="EQ6" s="34" t="s">
        <v>28</v>
      </c>
      <c r="ER6" s="34" t="s">
        <v>28</v>
      </c>
      <c r="ES6" s="34" t="s">
        <v>28</v>
      </c>
      <c r="ET6" s="34" t="s">
        <v>28</v>
      </c>
      <c r="EU6" s="34" t="s">
        <v>28</v>
      </c>
      <c r="EV6" s="34" t="s">
        <v>28</v>
      </c>
      <c r="EW6" s="34" t="s">
        <v>28</v>
      </c>
      <c r="EX6" s="34" t="s">
        <v>28</v>
      </c>
      <c r="EY6" s="34" t="s">
        <v>28</v>
      </c>
      <c r="EZ6" s="34" t="s">
        <v>28</v>
      </c>
      <c r="FA6" s="34" t="s">
        <v>28</v>
      </c>
      <c r="FB6" s="34" t="s">
        <v>28</v>
      </c>
      <c r="FC6" s="34"/>
      <c r="FD6" s="35"/>
      <c r="FE6" s="34"/>
      <c r="FF6" s="35"/>
      <c r="FG6" s="35"/>
      <c r="FH6" s="35"/>
      <c r="FI6" s="34" t="s">
        <v>28</v>
      </c>
      <c r="FJ6" s="34"/>
      <c r="FK6" s="34" t="s">
        <v>28</v>
      </c>
      <c r="FL6" s="34" t="s">
        <v>28</v>
      </c>
      <c r="FM6" s="35">
        <v>0.0</v>
      </c>
      <c r="FN6" s="35">
        <v>0.0</v>
      </c>
      <c r="FO6" s="35">
        <v>0.0</v>
      </c>
      <c r="FP6" s="35">
        <v>0.0</v>
      </c>
      <c r="FQ6" s="35">
        <v>0.0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t="s">
        <v>21</v>
      </c>
      <c r="AJ6" t="s">
        <v>22</v>
      </c>
      <c r="AK6" t="s">
        <v>23</v>
      </c>
      <c r="AL6">
        <v>100.28</v>
      </c>
      <c r="AX6" s="9" t="s">
        <v>68</v>
      </c>
      <c r="AZ6" s="9" t="s">
        <v>66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6" t="s">
        <v>28</v>
      </c>
      <c r="B6" s="36"/>
      <c r="C6" s="8" t="s">
        <v>29</v>
      </c>
      <c r="D6" s="36">
        <v>0.0</v>
      </c>
      <c r="E6" s="8" t="s">
        <v>30</v>
      </c>
      <c r="F6" s="8"/>
      <c r="G6" s="8"/>
      <c r="H6" s="8" t="s">
        <v>31</v>
      </c>
      <c r="I6" s="8" t="s">
        <v>68</v>
      </c>
      <c r="J6" s="8" t="s">
        <v>21</v>
      </c>
      <c r="K6" s="8" t="s">
        <v>33</v>
      </c>
      <c r="L6" s="8" t="s">
        <v>34</v>
      </c>
      <c r="M6" s="8"/>
      <c r="N6" s="8"/>
      <c r="O6" s="8"/>
      <c r="U6" t="s">
        <v>35</v>
      </c>
      <c r="V6" t="s">
        <v>36</v>
      </c>
      <c r="AA6" t="s">
        <v>37</v>
      </c>
      <c r="AD6">
        <v>1.0</v>
      </c>
      <c r="AF6" t="s">
        <v>38</v>
      </c>
      <c r="AH6" t="s">
        <v>39</v>
      </c>
      <c r="AI6" t="s">
        <v>21</v>
      </c>
      <c r="AJ6" t="s">
        <v>22</v>
      </c>
      <c r="AK6" t="s">
        <v>23</v>
      </c>
      <c r="AL6">
        <v>100.28</v>
      </c>
      <c r="AS6" t="s">
        <v>40</v>
      </c>
      <c r="AT6" t="s">
        <v>41</v>
      </c>
      <c r="AU6" t="s">
        <v>42</v>
      </c>
      <c r="AV6">
        <v>0.0</v>
      </c>
      <c r="AW6">
        <v>0.0</v>
      </c>
      <c r="AX6" t="s">
        <v>43</v>
      </c>
      <c r="AY6" t="s">
        <v>28</v>
      </c>
      <c r="BA6" t="s">
        <v>32</v>
      </c>
      <c r="BB6" t="s">
        <v>28</v>
      </c>
      <c r="BC6" t="s">
        <v>28</v>
      </c>
      <c r="BD6" t="s">
        <v>28</v>
      </c>
      <c r="BE6" t="s">
        <v>28</v>
      </c>
      <c r="BF6" t="s">
        <v>28</v>
      </c>
      <c r="BH6" t="s">
        <v>44</v>
      </c>
      <c r="BK6" t="s">
        <v>28</v>
      </c>
      <c r="BN6">
        <v>0.0</v>
      </c>
      <c r="BP6" t="s">
        <v>28</v>
      </c>
      <c r="BQ6" t="s">
        <v>28</v>
      </c>
      <c r="BR6" t="s">
        <v>28</v>
      </c>
      <c r="BS6" t="s">
        <v>28</v>
      </c>
      <c r="BT6" t="s">
        <v>28</v>
      </c>
      <c r="BU6" t="s">
        <v>28</v>
      </c>
      <c r="BV6" t="s">
        <v>28</v>
      </c>
      <c r="BW6" t="s">
        <v>28</v>
      </c>
      <c r="BX6" t="s">
        <v>28</v>
      </c>
      <c r="BY6" t="s">
        <v>28</v>
      </c>
      <c r="BZ6" t="s">
        <v>28</v>
      </c>
      <c r="CA6" t="s">
        <v>28</v>
      </c>
      <c r="CB6" t="s">
        <v>28</v>
      </c>
      <c r="CC6" t="s">
        <v>28</v>
      </c>
      <c r="CD6" t="s">
        <v>28</v>
      </c>
      <c r="CE6" t="s">
        <v>28</v>
      </c>
      <c r="CF6" t="s">
        <v>28</v>
      </c>
      <c r="CG6" t="s">
        <v>28</v>
      </c>
      <c r="CH6" t="s">
        <v>28</v>
      </c>
      <c r="CI6" t="s">
        <v>28</v>
      </c>
      <c r="CJ6" t="s">
        <v>28</v>
      </c>
      <c r="CK6" t="s">
        <v>28</v>
      </c>
      <c r="CL6" t="s">
        <v>28</v>
      </c>
      <c r="CM6" t="s">
        <v>28</v>
      </c>
      <c r="CN6" t="s">
        <v>28</v>
      </c>
      <c r="CO6" t="s">
        <v>28</v>
      </c>
      <c r="CP6" t="s">
        <v>28</v>
      </c>
      <c r="CQ6" t="s">
        <v>28</v>
      </c>
      <c r="CR6" t="s">
        <v>28</v>
      </c>
      <c r="CS6" t="s">
        <v>28</v>
      </c>
      <c r="CT6" t="s">
        <v>28</v>
      </c>
      <c r="CU6" t="s">
        <v>28</v>
      </c>
      <c r="CV6" t="s">
        <v>28</v>
      </c>
      <c r="CW6" t="s">
        <v>28</v>
      </c>
      <c r="CX6" t="s">
        <v>28</v>
      </c>
      <c r="CY6" t="s">
        <v>28</v>
      </c>
      <c r="CZ6" t="s">
        <v>28</v>
      </c>
      <c r="DA6" t="s">
        <v>28</v>
      </c>
      <c r="DB6" t="s">
        <v>28</v>
      </c>
      <c r="DC6" t="s">
        <v>28</v>
      </c>
      <c r="DD6" t="s">
        <v>28</v>
      </c>
      <c r="DE6" t="s">
        <v>28</v>
      </c>
      <c r="DF6" t="s">
        <v>28</v>
      </c>
      <c r="DG6" t="s">
        <v>28</v>
      </c>
      <c r="DH6" t="s">
        <v>28</v>
      </c>
      <c r="DI6" t="s">
        <v>28</v>
      </c>
      <c r="DJ6" t="s">
        <v>28</v>
      </c>
      <c r="DK6" t="s">
        <v>28</v>
      </c>
      <c r="DL6" t="s">
        <v>28</v>
      </c>
      <c r="DM6" t="s">
        <v>28</v>
      </c>
      <c r="DN6" t="s">
        <v>28</v>
      </c>
      <c r="DO6" t="s">
        <v>28</v>
      </c>
      <c r="DP6" t="s">
        <v>28</v>
      </c>
      <c r="DQ6" t="s">
        <v>28</v>
      </c>
      <c r="DR6" t="s">
        <v>28</v>
      </c>
      <c r="DS6" t="s">
        <v>28</v>
      </c>
      <c r="DT6" t="s">
        <v>28</v>
      </c>
      <c r="DU6" t="s">
        <v>28</v>
      </c>
      <c r="DV6" t="s">
        <v>28</v>
      </c>
      <c r="DW6" t="s">
        <v>28</v>
      </c>
      <c r="DX6" t="s">
        <v>28</v>
      </c>
      <c r="DY6" t="s">
        <v>28</v>
      </c>
      <c r="DZ6" t="s">
        <v>28</v>
      </c>
      <c r="EA6" t="s">
        <v>28</v>
      </c>
      <c r="EB6" t="s">
        <v>28</v>
      </c>
      <c r="EC6" t="s">
        <v>28</v>
      </c>
      <c r="ED6" t="s">
        <v>28</v>
      </c>
      <c r="EE6" t="s">
        <v>28</v>
      </c>
      <c r="EF6" t="s">
        <v>28</v>
      </c>
      <c r="EG6" t="s">
        <v>28</v>
      </c>
      <c r="EH6" t="s">
        <v>28</v>
      </c>
      <c r="EI6" t="s">
        <v>28</v>
      </c>
      <c r="EJ6" t="s">
        <v>28</v>
      </c>
      <c r="EK6" t="s">
        <v>28</v>
      </c>
      <c r="EL6" t="s">
        <v>28</v>
      </c>
      <c r="EM6" t="s">
        <v>28</v>
      </c>
      <c r="EN6" t="s">
        <v>28</v>
      </c>
      <c r="EO6" t="s">
        <v>28</v>
      </c>
      <c r="EP6" t="s">
        <v>28</v>
      </c>
      <c r="EQ6" t="s">
        <v>28</v>
      </c>
      <c r="ER6" t="s">
        <v>28</v>
      </c>
      <c r="ES6" t="s">
        <v>28</v>
      </c>
      <c r="ET6" t="s">
        <v>28</v>
      </c>
      <c r="EU6" t="s">
        <v>28</v>
      </c>
      <c r="EV6" t="s">
        <v>28</v>
      </c>
      <c r="EW6" t="s">
        <v>28</v>
      </c>
      <c r="EX6" t="s">
        <v>28</v>
      </c>
      <c r="FA6" t="s">
        <v>28</v>
      </c>
      <c r="FB6" t="s">
        <v>28</v>
      </c>
      <c r="FC6" t="s">
        <v>28</v>
      </c>
      <c r="FD6" t="s">
        <v>28</v>
      </c>
      <c r="FE6" t="s">
        <v>28</v>
      </c>
      <c r="FF6" t="s">
        <v>28</v>
      </c>
      <c r="FG6" t="s">
        <v>28</v>
      </c>
      <c r="FH6" t="s">
        <v>28</v>
      </c>
      <c r="FI6" t="s">
        <v>28</v>
      </c>
      <c r="FK6" t="s">
        <v>28</v>
      </c>
      <c r="FL6" t="s">
        <v>28</v>
      </c>
      <c r="FM6" t="s">
        <v>28</v>
      </c>
      <c r="FN6" t="s">
        <v>28</v>
      </c>
      <c r="FO6" t="s">
        <v>28</v>
      </c>
      <c r="FP6" t="s">
        <v>28</v>
      </c>
      <c r="FQ6" t="s">
        <v>28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 t="s">
        <v>28</v>
      </c>
      <c r="B7" s="8"/>
      <c r="C7" s="8" t="s">
        <v>29</v>
      </c>
      <c r="D7" s="8">
        <v>0.0</v>
      </c>
      <c r="E7" s="8" t="s">
        <v>30</v>
      </c>
      <c r="F7" s="8"/>
      <c r="G7" s="8"/>
      <c r="H7" s="8" t="s">
        <v>31</v>
      </c>
      <c r="I7" s="8" t="s">
        <v>32</v>
      </c>
      <c r="J7" s="8" t="s">
        <v>21</v>
      </c>
      <c r="K7" s="8" t="s">
        <v>33</v>
      </c>
      <c r="L7" s="8" t="s">
        <v>34</v>
      </c>
      <c r="M7" s="8"/>
      <c r="N7" s="8"/>
      <c r="O7" s="8"/>
      <c r="U7" t="s">
        <v>35</v>
      </c>
      <c r="V7" t="s">
        <v>36</v>
      </c>
      <c r="AA7" t="s">
        <v>37</v>
      </c>
      <c r="AD7">
        <v>1.0</v>
      </c>
      <c r="AF7" t="s">
        <v>38</v>
      </c>
      <c r="AH7" t="s">
        <v>39</v>
      </c>
      <c r="AI7" t="s">
        <v>21</v>
      </c>
      <c r="AJ7" t="s">
        <v>22</v>
      </c>
      <c r="AK7" t="s">
        <v>45</v>
      </c>
      <c r="AL7">
        <v>100.28</v>
      </c>
      <c r="AS7" t="s">
        <v>40</v>
      </c>
      <c r="AT7" t="s">
        <v>41</v>
      </c>
      <c r="AU7" t="s">
        <v>42</v>
      </c>
      <c r="AV7">
        <v>0.0</v>
      </c>
      <c r="AW7">
        <v>0.0</v>
      </c>
      <c r="AX7" t="s">
        <v>43</v>
      </c>
      <c r="AY7" t="s">
        <v>28</v>
      </c>
      <c r="BA7" t="s">
        <v>32</v>
      </c>
      <c r="BB7" t="s">
        <v>28</v>
      </c>
      <c r="BC7" t="s">
        <v>28</v>
      </c>
      <c r="BD7" t="s">
        <v>28</v>
      </c>
      <c r="BE7" t="s">
        <v>28</v>
      </c>
      <c r="BF7" t="s">
        <v>28</v>
      </c>
      <c r="BH7" t="s">
        <v>44</v>
      </c>
      <c r="BK7" t="s">
        <v>28</v>
      </c>
      <c r="BN7">
        <v>0.0</v>
      </c>
      <c r="BP7" t="s">
        <v>28</v>
      </c>
      <c r="BQ7" t="s">
        <v>28</v>
      </c>
      <c r="BR7" t="s">
        <v>28</v>
      </c>
      <c r="BS7" t="s">
        <v>28</v>
      </c>
      <c r="BT7" t="s">
        <v>28</v>
      </c>
      <c r="BU7" t="s">
        <v>28</v>
      </c>
      <c r="BV7" t="s">
        <v>28</v>
      </c>
      <c r="BW7" t="s">
        <v>28</v>
      </c>
      <c r="BX7" t="s">
        <v>28</v>
      </c>
      <c r="BY7" t="s">
        <v>28</v>
      </c>
      <c r="BZ7" t="s">
        <v>28</v>
      </c>
      <c r="CA7" t="s">
        <v>28</v>
      </c>
      <c r="CB7" t="s">
        <v>28</v>
      </c>
      <c r="CC7" t="s">
        <v>28</v>
      </c>
      <c r="CD7" t="s">
        <v>28</v>
      </c>
      <c r="CE7" t="s">
        <v>28</v>
      </c>
      <c r="CF7" t="s">
        <v>28</v>
      </c>
      <c r="CG7" t="s">
        <v>28</v>
      </c>
      <c r="CH7" t="s">
        <v>28</v>
      </c>
      <c r="CI7" t="s">
        <v>28</v>
      </c>
      <c r="CJ7" t="s">
        <v>28</v>
      </c>
      <c r="CK7" t="s">
        <v>28</v>
      </c>
      <c r="CL7" t="s">
        <v>28</v>
      </c>
      <c r="CM7" t="s">
        <v>28</v>
      </c>
      <c r="CN7" t="s">
        <v>28</v>
      </c>
      <c r="CO7" t="s">
        <v>28</v>
      </c>
      <c r="CP7" t="s">
        <v>28</v>
      </c>
      <c r="CQ7" t="s">
        <v>28</v>
      </c>
      <c r="CR7" t="s">
        <v>28</v>
      </c>
      <c r="CS7" t="s">
        <v>28</v>
      </c>
      <c r="CT7" t="s">
        <v>28</v>
      </c>
      <c r="CU7" t="s">
        <v>28</v>
      </c>
      <c r="CV7" t="s">
        <v>28</v>
      </c>
      <c r="CW7" t="s">
        <v>28</v>
      </c>
      <c r="CX7" t="s">
        <v>28</v>
      </c>
      <c r="CY7" t="s">
        <v>28</v>
      </c>
      <c r="CZ7" t="s">
        <v>28</v>
      </c>
      <c r="DA7" t="s">
        <v>28</v>
      </c>
      <c r="DB7" t="s">
        <v>28</v>
      </c>
      <c r="DC7" t="s">
        <v>28</v>
      </c>
      <c r="DD7" t="s">
        <v>28</v>
      </c>
      <c r="DE7" t="s">
        <v>28</v>
      </c>
      <c r="DF7" t="s">
        <v>28</v>
      </c>
      <c r="DG7" t="s">
        <v>28</v>
      </c>
      <c r="DH7" t="s">
        <v>28</v>
      </c>
      <c r="DI7" t="s">
        <v>28</v>
      </c>
      <c r="DJ7" t="s">
        <v>28</v>
      </c>
      <c r="DK7" t="s">
        <v>28</v>
      </c>
      <c r="DL7" t="s">
        <v>28</v>
      </c>
      <c r="DM7" t="s">
        <v>28</v>
      </c>
      <c r="DN7" t="s">
        <v>28</v>
      </c>
      <c r="DO7" t="s">
        <v>28</v>
      </c>
      <c r="DP7" t="s">
        <v>28</v>
      </c>
      <c r="DQ7" t="s">
        <v>28</v>
      </c>
      <c r="DR7" t="s">
        <v>28</v>
      </c>
      <c r="DS7" t="s">
        <v>28</v>
      </c>
      <c r="DT7" t="s">
        <v>28</v>
      </c>
      <c r="DU7" t="s">
        <v>28</v>
      </c>
      <c r="DV7" t="s">
        <v>28</v>
      </c>
      <c r="DW7" t="s">
        <v>28</v>
      </c>
      <c r="DX7" t="s">
        <v>28</v>
      </c>
      <c r="DY7" t="s">
        <v>28</v>
      </c>
      <c r="DZ7" t="s">
        <v>28</v>
      </c>
      <c r="EA7" t="s">
        <v>28</v>
      </c>
      <c r="EB7" t="s">
        <v>28</v>
      </c>
      <c r="EC7" t="s">
        <v>28</v>
      </c>
      <c r="ED7" t="s">
        <v>28</v>
      </c>
      <c r="EE7" t="s">
        <v>28</v>
      </c>
      <c r="EF7" t="s">
        <v>28</v>
      </c>
      <c r="EG7" t="s">
        <v>28</v>
      </c>
      <c r="EH7" t="s">
        <v>28</v>
      </c>
      <c r="EI7" t="s">
        <v>28</v>
      </c>
      <c r="EJ7" t="s">
        <v>28</v>
      </c>
      <c r="EK7" t="s">
        <v>28</v>
      </c>
      <c r="EL7" t="s">
        <v>28</v>
      </c>
      <c r="EM7" t="s">
        <v>28</v>
      </c>
      <c r="EN7" t="s">
        <v>28</v>
      </c>
      <c r="EO7" t="s">
        <v>28</v>
      </c>
      <c r="EP7" t="s">
        <v>28</v>
      </c>
      <c r="EQ7" t="s">
        <v>28</v>
      </c>
      <c r="ER7" t="s">
        <v>28</v>
      </c>
      <c r="ES7" t="s">
        <v>28</v>
      </c>
      <c r="ET7" t="s">
        <v>28</v>
      </c>
      <c r="EU7" t="s">
        <v>28</v>
      </c>
      <c r="EV7" t="s">
        <v>28</v>
      </c>
      <c r="EW7" t="s">
        <v>28</v>
      </c>
      <c r="EX7" t="s">
        <v>28</v>
      </c>
      <c r="FA7" t="s">
        <v>28</v>
      </c>
      <c r="FB7" t="s">
        <v>28</v>
      </c>
      <c r="FC7" t="s">
        <v>28</v>
      </c>
      <c r="FD7" t="s">
        <v>28</v>
      </c>
      <c r="FE7" t="s">
        <v>28</v>
      </c>
      <c r="FF7" t="s">
        <v>28</v>
      </c>
      <c r="FG7" t="s">
        <v>28</v>
      </c>
      <c r="FH7" t="s">
        <v>28</v>
      </c>
      <c r="FI7" t="s">
        <v>28</v>
      </c>
      <c r="FK7" t="s">
        <v>28</v>
      </c>
      <c r="FL7" t="s">
        <v>28</v>
      </c>
      <c r="FM7" t="s">
        <v>28</v>
      </c>
      <c r="FN7" t="s">
        <v>28</v>
      </c>
      <c r="FO7" t="s">
        <v>28</v>
      </c>
      <c r="FP7" t="s">
        <v>28</v>
      </c>
      <c r="FQ7" t="s">
        <v>28</v>
      </c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37"/>
      <c r="AMH7" s="37"/>
      <c r="AMI7" s="37"/>
      <c r="AMJ7" s="37"/>
      <c r="AMK7" s="37"/>
      <c r="AML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