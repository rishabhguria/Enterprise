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AddSymbolOnRAList" sheetId="5" r:id="rId7"/>
    <sheet state="visible" name="CreateLiveOrder" sheetId="6" r:id="rId8"/>
    <sheet state="visible" name="CreateDoneAwayOrder" sheetId="7" r:id="rId9"/>
    <sheet state="visible" name="SelectTrade" sheetId="8" r:id="rId10"/>
    <sheet state="visible" name="AcknowledgeTrade" sheetId="9" r:id="rId11"/>
    <sheet state="visible" name="TradeBloomberg" sheetId="10" r:id="rId12"/>
    <sheet state="visible" name="ExecuteTrade" sheetId="11" r:id="rId13"/>
    <sheet state="visible" name="SelectTrade1" sheetId="12" r:id="rId14"/>
    <sheet state="visible" name="AcknowledgeTrade1" sheetId="13" r:id="rId15"/>
    <sheet state="visible" name="ExecuteTrade1" sheetId="14" r:id="rId16"/>
    <sheet state="visible" name="SendLiveBloomberg" sheetId="15" r:id="rId17"/>
    <sheet state="visible" name="SelectTrade2" sheetId="16" r:id="rId18"/>
    <sheet state="visible" name="AcknowledgeTrade2" sheetId="17" r:id="rId19"/>
    <sheet state="visible" name="SelectTrade3" sheetId="18" r:id="rId20"/>
    <sheet state="visible" name="AcknowledgeTrade3" sheetId="19" r:id="rId21"/>
    <sheet state="visible" name="VerifyOrder" sheetId="20" r:id="rId22"/>
  </sheets>
  <definedNames/>
  <calcPr/>
</workbook>
</file>

<file path=xl/sharedStrings.xml><?xml version="1.0" encoding="utf-8"?>
<sst xmlns="http://schemas.openxmlformats.org/spreadsheetml/2006/main" count="388" uniqueCount="71">
  <si>
    <t>Modules Info</t>
  </si>
  <si>
    <t>Modules</t>
  </si>
  <si>
    <t>Settings</t>
  </si>
  <si>
    <t>Module Step Setting File</t>
  </si>
  <si>
    <t>1A_wgxBZ-gb8MQ4EutEiVLMRaA3L9tP9GEqdFWSH_8hc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</si>
  <si>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</si>
  <si>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</si>
  <si>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</si>
  <si>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</si>
  <si>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</si>
  <si>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</si>
  <si>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</si>
  <si>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</si>
  <si>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</si>
  <si>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</si>
  <si>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</si>
  <si>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TradingTicket</t>
  </si>
  <si>
    <t>AddSymbolOnRAList</t>
  </si>
  <si>
    <t>AAPL</t>
  </si>
  <si>
    <t>O:CAM 10E37.50</t>
  </si>
  <si>
    <t>ES H9</t>
  </si>
  <si>
    <t>ES H9C670</t>
  </si>
  <si>
    <t>EF828225</t>
  </si>
  <si>
    <t>EUR/USD</t>
  </si>
  <si>
    <t>EUR/USD 02/06/2019</t>
  </si>
  <si>
    <t>CreateLiveOrder</t>
  </si>
  <si>
    <t>Buy</t>
  </si>
  <si>
    <t>Allocation1</t>
  </si>
  <si>
    <t>Buy to Open</t>
  </si>
  <si>
    <t>Sell</t>
  </si>
  <si>
    <t>Allocation2</t>
  </si>
  <si>
    <t>MSFT</t>
  </si>
  <si>
    <t>O:ABM 10D20.00</t>
  </si>
  <si>
    <t>CL F9</t>
  </si>
  <si>
    <t>ES H9C700</t>
  </si>
  <si>
    <t>GBP/USD</t>
  </si>
  <si>
    <t>USD/CAD 02/06/2019</t>
  </si>
  <si>
    <t>CreateDoneAwayOrder</t>
  </si>
  <si>
    <t>EF255559</t>
  </si>
  <si>
    <t>Simulator</t>
  </si>
  <si>
    <t>SelectTrade</t>
  </si>
  <si>
    <t>AcknowledgeTrade</t>
  </si>
  <si>
    <t>TradeBloomberg</t>
  </si>
  <si>
    <t>AAPL US EQUITY</t>
  </si>
  <si>
    <t>YES</t>
  </si>
  <si>
    <t>CAM US 05/22/10 C37.5 Equity</t>
  </si>
  <si>
    <t>EURUSD CURNCY</t>
  </si>
  <si>
    <t>EUR/USD N 02/06/2019 CURNCY</t>
  </si>
  <si>
    <t>MSFT US EQUITY</t>
  </si>
  <si>
    <t>ABM US 04/17/10 C20 EQUITY</t>
  </si>
  <si>
    <t>GBPUSD CURNCY</t>
  </si>
  <si>
    <t>USD/CAD N 02/06/2019 CURNCY</t>
  </si>
  <si>
    <t>ExecuteTrade</t>
  </si>
  <si>
    <t>SendLiveBloomberg</t>
  </si>
  <si>
    <t>Yes</t>
  </si>
  <si>
    <t>Sell to Open</t>
  </si>
  <si>
    <t>Buy to Close</t>
  </si>
  <si>
    <t>Blotter</t>
  </si>
  <si>
    <t>VerifyOrder</t>
  </si>
  <si>
    <t>NASDAQ</t>
  </si>
  <si>
    <t>jpearce</t>
  </si>
  <si>
    <t>NewMF1</t>
  </si>
  <si>
    <t>FXForward</t>
  </si>
  <si>
    <t>MS</t>
  </si>
  <si>
    <t>Market</t>
  </si>
  <si>
    <t>FX</t>
  </si>
  <si>
    <t>NewMF</t>
  </si>
  <si>
    <t>Future</t>
  </si>
  <si>
    <t>FutureOption</t>
  </si>
  <si>
    <t>Equity</t>
  </si>
  <si>
    <t>EquityOption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</si>
</sst>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horizontal="right" readingOrder="0" vertical="bottom"/>
    </xf>
    <xf borderId="5" fillId="0" fontId="3" numFmtId="14" xfId="0" applyAlignment="1" applyBorder="1" applyFont="1" applyNumberForma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3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3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3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3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3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3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3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3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3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3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3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3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3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3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3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3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IFERROR(__xludf.DUMMYFUNCTION("""COMPUTED_VALUE"""),"RestrictedSecuritiesList")</f>
        <v>RestrictedSecuritiesList</v>
      </c>
      <c r="C5" s="27" t="str">
        <f>IFERROR(__xludf.DUMMYFUNCTION("""COMPUTED_VALUE"""),"AllowedSecuritiesList")</f>
        <v>AllowedSecuritiesList</v>
      </c>
      <c r="D5" s="27" t="str">
        <f>IFERROR(__xludf.DUMMYFUNCTION("""COMPUTED_VALUE"""),"AllowAllUserToCancelReplaceRemove")</f>
        <v>AllowAllUserToCancelReplaceRemove</v>
      </c>
      <c r="E5" s="27" t="str">
        <f>IFERROR(__xludf.DUMMYFUNCTION("""COMPUTED_VALUE"""),"MasterUserPermission")</f>
        <v>MasterUserPermission</v>
      </c>
      <c r="F5" s="28" t="str">
        <f>IFERROR(__xludf.DUMMYFUNCTION("""COMPUTED_VALUE"""),"AllowAllUserToTransferTrade")</f>
        <v>AllowAllUserToTransferTrade</v>
      </c>
      <c r="G5" s="27" t="str">
        <f>IFERROR(__xludf.DUMMYFUNCTION("""COMPUTED_VALUE"""),"DefaultOrderType")</f>
        <v>DefaultOrderType</v>
      </c>
      <c r="H5" s="27" t="str">
        <f>IFERROR(__xludf.DUMMYFUNCTION("""COMPUTED_VALUE"""),"AllowAllUserToGenerateSubs")</f>
        <v>AllowAllUserToGenerateSubs</v>
      </c>
      <c r="I5" s="27" t="str">
        <f>IFERROR(__xludf.DUMMYFUNCTION("""COMPUTED_VALUE"""),"LimitPriceRulesForStageOrdersOnly")</f>
        <v>LimitPriceRulesForStageOrdersOnly</v>
      </c>
      <c r="J5" s="27" t="str">
        <f>IFERROR(__xludf.DUMMYFUNCTION("""COMPUTED_VALUE"""),"LimitRulesForSubOrders")</f>
        <v>LimitRulesForSubOrders</v>
      </c>
      <c r="K5" s="27" t="str">
        <f>IFERROR(__xludf.DUMMYFUNCTION("""COMPUTED_VALUE"""),"LimitRulesForOrdersExceptStagedAndSubOrders")</f>
        <v>LimitRulesForOrdersExceptStagedAndSubOrders</v>
      </c>
      <c r="L5" s="27" t="str">
        <f>IFERROR(__xludf.DUMMYFUNCTION("""COMPUTED_VALUE"""),"LimitPriceRules")</f>
        <v>LimitPriceRules</v>
      </c>
      <c r="M5" s="27" t="str">
        <f>IFERROR(__xludf.DUMMYFUNCTION("""COMPUTED_VALUE"""),"CancelReplaceRemoveRules")</f>
        <v>CancelReplaceRemoveRules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19</v>
      </c>
      <c r="C7" s="12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20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21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22</v>
      </c>
      <c r="C10" s="12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 t="s">
        <v>23</v>
      </c>
      <c r="C11" s="12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2" t="s">
        <v>24</v>
      </c>
      <c r="C12" s="12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AddSymbolOnRAList!$4:$4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18</v>
      </c>
      <c r="C6" s="33" t="s">
        <v>26</v>
      </c>
      <c r="D6" s="34">
        <v>100.0</v>
      </c>
      <c r="E6" s="35"/>
      <c r="F6" s="36" t="s">
        <v>27</v>
      </c>
      <c r="G6" s="35"/>
      <c r="H6" s="35"/>
      <c r="I6" s="35"/>
      <c r="J6" s="37">
        <v>10.0</v>
      </c>
      <c r="K6" s="35"/>
      <c r="L6" s="35"/>
      <c r="M6" s="35"/>
      <c r="N6" s="38">
        <f t="shared" ref="N6:N17" si="1">today()</f>
        <v>45922</v>
      </c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12" t="s">
        <v>19</v>
      </c>
      <c r="C7" s="33" t="s">
        <v>28</v>
      </c>
      <c r="D7" s="34">
        <v>100.0</v>
      </c>
      <c r="E7" s="35"/>
      <c r="F7" s="36" t="s">
        <v>27</v>
      </c>
      <c r="G7" s="8"/>
      <c r="H7" s="8"/>
      <c r="I7" s="8"/>
      <c r="J7" s="12">
        <v>20.0</v>
      </c>
      <c r="K7" s="8"/>
      <c r="L7" s="8"/>
      <c r="M7" s="8"/>
      <c r="N7" s="38">
        <f t="shared" si="1"/>
        <v>45922</v>
      </c>
      <c r="O7" s="8"/>
    </row>
    <row r="8" ht="15.75" customHeight="1">
      <c r="A8" s="8"/>
      <c r="B8" s="12" t="s">
        <v>20</v>
      </c>
      <c r="C8" s="33" t="s">
        <v>26</v>
      </c>
      <c r="D8" s="34">
        <v>100.0</v>
      </c>
      <c r="E8" s="35"/>
      <c r="F8" s="36" t="s">
        <v>27</v>
      </c>
      <c r="G8" s="8"/>
      <c r="H8" s="8"/>
      <c r="I8" s="8"/>
      <c r="J8" s="12">
        <v>30.0</v>
      </c>
      <c r="K8" s="8"/>
      <c r="L8" s="8"/>
      <c r="M8" s="8"/>
      <c r="N8" s="38">
        <f t="shared" si="1"/>
        <v>45922</v>
      </c>
      <c r="O8" s="8"/>
    </row>
    <row r="9" ht="15.75" customHeight="1">
      <c r="A9" s="8"/>
      <c r="B9" s="12" t="s">
        <v>21</v>
      </c>
      <c r="C9" s="33" t="s">
        <v>26</v>
      </c>
      <c r="D9" s="34">
        <v>100.0</v>
      </c>
      <c r="E9" s="35"/>
      <c r="F9" s="36" t="s">
        <v>27</v>
      </c>
      <c r="G9" s="8"/>
      <c r="H9" s="8"/>
      <c r="I9" s="8"/>
      <c r="J9" s="12">
        <v>40.0</v>
      </c>
      <c r="K9" s="8"/>
      <c r="L9" s="8"/>
      <c r="M9" s="8"/>
      <c r="N9" s="38">
        <f t="shared" si="1"/>
        <v>45922</v>
      </c>
      <c r="O9" s="8"/>
    </row>
    <row r="10" ht="15.75" customHeight="1">
      <c r="A10" s="8"/>
      <c r="B10" s="12" t="s">
        <v>23</v>
      </c>
      <c r="C10" s="12" t="s">
        <v>29</v>
      </c>
      <c r="D10" s="34">
        <v>100.0</v>
      </c>
      <c r="E10" s="35"/>
      <c r="F10" s="33" t="s">
        <v>30</v>
      </c>
      <c r="G10" s="8"/>
      <c r="H10" s="8"/>
      <c r="I10" s="8"/>
      <c r="J10" s="12">
        <v>20.0</v>
      </c>
      <c r="K10" s="8"/>
      <c r="L10" s="8"/>
      <c r="M10" s="8"/>
      <c r="N10" s="38">
        <f t="shared" si="1"/>
        <v>45922</v>
      </c>
      <c r="O10" s="8"/>
    </row>
    <row r="11" ht="15.75" customHeight="1">
      <c r="A11" s="8"/>
      <c r="B11" s="12" t="s">
        <v>24</v>
      </c>
      <c r="C11" s="12" t="s">
        <v>29</v>
      </c>
      <c r="D11" s="34">
        <v>100.0</v>
      </c>
      <c r="E11" s="35"/>
      <c r="F11" s="33" t="s">
        <v>30</v>
      </c>
      <c r="G11" s="8"/>
      <c r="H11" s="8"/>
      <c r="I11" s="8"/>
      <c r="J11" s="12">
        <v>30.0</v>
      </c>
      <c r="K11" s="8"/>
      <c r="L11" s="8"/>
      <c r="M11" s="8"/>
      <c r="N11" s="38">
        <f t="shared" si="1"/>
        <v>45922</v>
      </c>
      <c r="O11" s="8"/>
    </row>
    <row r="12" ht="15.75" customHeight="1">
      <c r="A12" s="8"/>
      <c r="B12" s="12" t="s">
        <v>31</v>
      </c>
      <c r="C12" s="33" t="s">
        <v>26</v>
      </c>
      <c r="D12" s="34">
        <v>100.0</v>
      </c>
      <c r="E12" s="35"/>
      <c r="F12" s="36" t="s">
        <v>27</v>
      </c>
      <c r="G12" s="8"/>
      <c r="H12" s="8"/>
      <c r="I12" s="8"/>
      <c r="J12" s="37">
        <v>10.0</v>
      </c>
      <c r="K12" s="8"/>
      <c r="L12" s="8"/>
      <c r="M12" s="8"/>
      <c r="N12" s="38">
        <f t="shared" si="1"/>
        <v>45922</v>
      </c>
      <c r="O12" s="8"/>
    </row>
    <row r="13" ht="15.75" customHeight="1">
      <c r="A13" s="8"/>
      <c r="B13" s="12" t="s">
        <v>32</v>
      </c>
      <c r="C13" s="33" t="s">
        <v>28</v>
      </c>
      <c r="D13" s="34">
        <v>100.0</v>
      </c>
      <c r="E13" s="35"/>
      <c r="F13" s="36" t="s">
        <v>27</v>
      </c>
      <c r="G13" s="8"/>
      <c r="H13" s="8"/>
      <c r="I13" s="8"/>
      <c r="J13" s="12">
        <v>20.0</v>
      </c>
      <c r="K13" s="8"/>
      <c r="L13" s="8"/>
      <c r="M13" s="8"/>
      <c r="N13" s="38">
        <f t="shared" si="1"/>
        <v>45922</v>
      </c>
      <c r="O13" s="8"/>
    </row>
    <row r="14" ht="15.75" customHeight="1">
      <c r="A14" s="8"/>
      <c r="B14" s="12" t="s">
        <v>33</v>
      </c>
      <c r="C14" s="33" t="s">
        <v>26</v>
      </c>
      <c r="D14" s="34">
        <v>100.0</v>
      </c>
      <c r="E14" s="35"/>
      <c r="F14" s="36" t="s">
        <v>27</v>
      </c>
      <c r="G14" s="8"/>
      <c r="H14" s="8"/>
      <c r="I14" s="8"/>
      <c r="J14" s="12">
        <v>30.0</v>
      </c>
      <c r="K14" s="8"/>
      <c r="L14" s="8"/>
      <c r="M14" s="8"/>
      <c r="N14" s="38">
        <f t="shared" si="1"/>
        <v>45922</v>
      </c>
      <c r="O14" s="8"/>
    </row>
    <row r="15" ht="15.75" customHeight="1">
      <c r="A15" s="8"/>
      <c r="B15" s="12" t="s">
        <v>34</v>
      </c>
      <c r="C15" s="33" t="s">
        <v>26</v>
      </c>
      <c r="D15" s="34">
        <v>100.0</v>
      </c>
      <c r="E15" s="35"/>
      <c r="F15" s="36" t="s">
        <v>27</v>
      </c>
      <c r="G15" s="8"/>
      <c r="H15" s="8"/>
      <c r="I15" s="8"/>
      <c r="J15" s="12">
        <v>40.0</v>
      </c>
      <c r="K15" s="8"/>
      <c r="L15" s="8"/>
      <c r="M15" s="8"/>
      <c r="N15" s="38">
        <f t="shared" si="1"/>
        <v>45922</v>
      </c>
      <c r="O15" s="8"/>
    </row>
    <row r="16" ht="15.75" customHeight="1">
      <c r="A16" s="8"/>
      <c r="B16" s="12" t="s">
        <v>35</v>
      </c>
      <c r="C16" s="12" t="s">
        <v>29</v>
      </c>
      <c r="D16" s="34">
        <v>100.0</v>
      </c>
      <c r="E16" s="35"/>
      <c r="F16" s="33" t="s">
        <v>30</v>
      </c>
      <c r="G16" s="8"/>
      <c r="H16" s="8"/>
      <c r="I16" s="8"/>
      <c r="J16" s="12">
        <v>20.0</v>
      </c>
      <c r="K16" s="8"/>
      <c r="L16" s="8"/>
      <c r="M16" s="8"/>
      <c r="N16" s="38">
        <f t="shared" si="1"/>
        <v>45922</v>
      </c>
      <c r="O16" s="8"/>
    </row>
    <row r="17" ht="15.75" customHeight="1">
      <c r="A17" s="8"/>
      <c r="B17" s="12" t="s">
        <v>36</v>
      </c>
      <c r="C17" s="12" t="s">
        <v>29</v>
      </c>
      <c r="D17" s="34">
        <v>100.0</v>
      </c>
      <c r="E17" s="35"/>
      <c r="F17" s="33" t="s">
        <v>30</v>
      </c>
      <c r="G17" s="8"/>
      <c r="H17" s="8"/>
      <c r="I17" s="8"/>
      <c r="J17" s="12">
        <v>30.0</v>
      </c>
      <c r="K17" s="8"/>
      <c r="L17" s="8"/>
      <c r="M17" s="8"/>
      <c r="N17" s="38">
        <f t="shared" si="1"/>
        <v>45922</v>
      </c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5.75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18</v>
      </c>
      <c r="C6" s="33" t="s">
        <v>26</v>
      </c>
      <c r="D6" s="34">
        <v>100.0</v>
      </c>
      <c r="E6" s="35"/>
      <c r="F6" s="36" t="s">
        <v>27</v>
      </c>
      <c r="G6" s="35"/>
      <c r="H6" s="35"/>
      <c r="I6" s="35"/>
      <c r="J6" s="37">
        <v>10.0</v>
      </c>
      <c r="K6" s="35"/>
      <c r="L6" s="35"/>
      <c r="M6" s="35"/>
      <c r="N6" s="38">
        <f t="shared" ref="N6:N19" si="1">today()</f>
        <v>45922</v>
      </c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12" t="s">
        <v>19</v>
      </c>
      <c r="C7" s="33" t="s">
        <v>28</v>
      </c>
      <c r="D7" s="34">
        <v>100.0</v>
      </c>
      <c r="E7" s="35"/>
      <c r="F7" s="36" t="s">
        <v>27</v>
      </c>
      <c r="G7" s="8"/>
      <c r="H7" s="8"/>
      <c r="I7" s="8"/>
      <c r="J7" s="12">
        <v>20.0</v>
      </c>
      <c r="K7" s="8"/>
      <c r="L7" s="8"/>
      <c r="M7" s="8"/>
      <c r="N7" s="38">
        <f t="shared" si="1"/>
        <v>45922</v>
      </c>
      <c r="O7" s="8"/>
    </row>
    <row r="8" ht="15.75" customHeight="1">
      <c r="A8" s="8"/>
      <c r="B8" s="12" t="s">
        <v>20</v>
      </c>
      <c r="C8" s="33" t="s">
        <v>26</v>
      </c>
      <c r="D8" s="34">
        <v>100.0</v>
      </c>
      <c r="E8" s="35"/>
      <c r="F8" s="36" t="s">
        <v>27</v>
      </c>
      <c r="G8" s="8"/>
      <c r="H8" s="8"/>
      <c r="I8" s="8"/>
      <c r="J8" s="12">
        <v>30.0</v>
      </c>
      <c r="K8" s="8"/>
      <c r="L8" s="8"/>
      <c r="M8" s="8"/>
      <c r="N8" s="38">
        <f t="shared" si="1"/>
        <v>45922</v>
      </c>
      <c r="O8" s="8"/>
    </row>
    <row r="9" ht="15.75" customHeight="1">
      <c r="A9" s="8"/>
      <c r="B9" s="12" t="s">
        <v>21</v>
      </c>
      <c r="C9" s="33" t="s">
        <v>26</v>
      </c>
      <c r="D9" s="34">
        <v>100.0</v>
      </c>
      <c r="E9" s="35"/>
      <c r="F9" s="36" t="s">
        <v>27</v>
      </c>
      <c r="G9" s="8"/>
      <c r="H9" s="8"/>
      <c r="I9" s="8"/>
      <c r="J9" s="12">
        <v>40.0</v>
      </c>
      <c r="K9" s="8"/>
      <c r="L9" s="8"/>
      <c r="M9" s="8"/>
      <c r="N9" s="38">
        <f t="shared" si="1"/>
        <v>45922</v>
      </c>
      <c r="O9" s="8"/>
    </row>
    <row r="10" ht="15.75" customHeight="1">
      <c r="A10" s="8"/>
      <c r="B10" s="12" t="s">
        <v>22</v>
      </c>
      <c r="C10" s="12" t="s">
        <v>29</v>
      </c>
      <c r="D10" s="34">
        <v>100.0</v>
      </c>
      <c r="E10" s="35"/>
      <c r="F10" s="33" t="s">
        <v>30</v>
      </c>
      <c r="G10" s="8"/>
      <c r="H10" s="8"/>
      <c r="I10" s="8"/>
      <c r="J10" s="12">
        <v>10.0</v>
      </c>
      <c r="K10" s="8"/>
      <c r="L10" s="8"/>
      <c r="M10" s="8"/>
      <c r="N10" s="38">
        <f t="shared" si="1"/>
        <v>45922</v>
      </c>
      <c r="O10" s="8"/>
    </row>
    <row r="11" ht="15.75" customHeight="1">
      <c r="A11" s="8"/>
      <c r="B11" s="12" t="s">
        <v>23</v>
      </c>
      <c r="C11" s="12" t="s">
        <v>29</v>
      </c>
      <c r="D11" s="34">
        <v>100.0</v>
      </c>
      <c r="E11" s="35"/>
      <c r="F11" s="33" t="s">
        <v>30</v>
      </c>
      <c r="G11" s="8"/>
      <c r="H11" s="8"/>
      <c r="I11" s="8"/>
      <c r="J11" s="12">
        <v>20.0</v>
      </c>
      <c r="K11" s="8"/>
      <c r="L11" s="8"/>
      <c r="M11" s="8"/>
      <c r="N11" s="38">
        <f t="shared" si="1"/>
        <v>45922</v>
      </c>
      <c r="O11" s="8"/>
    </row>
    <row r="12" ht="15.75" customHeight="1">
      <c r="A12" s="8"/>
      <c r="B12" s="12" t="s">
        <v>24</v>
      </c>
      <c r="C12" s="12" t="s">
        <v>29</v>
      </c>
      <c r="D12" s="34">
        <v>100.0</v>
      </c>
      <c r="E12" s="35"/>
      <c r="F12" s="33" t="s">
        <v>30</v>
      </c>
      <c r="G12" s="8"/>
      <c r="H12" s="8"/>
      <c r="I12" s="8"/>
      <c r="J12" s="12">
        <v>30.0</v>
      </c>
      <c r="K12" s="8"/>
      <c r="L12" s="8"/>
      <c r="M12" s="8"/>
      <c r="N12" s="38">
        <f t="shared" si="1"/>
        <v>45922</v>
      </c>
      <c r="O12" s="8"/>
    </row>
    <row r="13" ht="15.75" customHeight="1">
      <c r="A13" s="8"/>
      <c r="B13" s="12" t="s">
        <v>31</v>
      </c>
      <c r="C13" s="33" t="s">
        <v>26</v>
      </c>
      <c r="D13" s="34">
        <v>100.0</v>
      </c>
      <c r="E13" s="35"/>
      <c r="F13" s="36" t="s">
        <v>27</v>
      </c>
      <c r="G13" s="8"/>
      <c r="H13" s="8"/>
      <c r="I13" s="8"/>
      <c r="J13" s="37">
        <v>10.0</v>
      </c>
      <c r="K13" s="8"/>
      <c r="L13" s="8"/>
      <c r="M13" s="8"/>
      <c r="N13" s="38">
        <f t="shared" si="1"/>
        <v>45922</v>
      </c>
      <c r="O13" s="8"/>
    </row>
    <row r="14" ht="15.75" customHeight="1">
      <c r="A14" s="8"/>
      <c r="B14" s="12" t="s">
        <v>32</v>
      </c>
      <c r="C14" s="33" t="s">
        <v>28</v>
      </c>
      <c r="D14" s="34">
        <v>100.0</v>
      </c>
      <c r="E14" s="35"/>
      <c r="F14" s="36" t="s">
        <v>27</v>
      </c>
      <c r="G14" s="8"/>
      <c r="H14" s="8"/>
      <c r="I14" s="8"/>
      <c r="J14" s="12">
        <v>20.0</v>
      </c>
      <c r="K14" s="8"/>
      <c r="L14" s="8"/>
      <c r="M14" s="8"/>
      <c r="N14" s="38">
        <f t="shared" si="1"/>
        <v>45922</v>
      </c>
      <c r="O14" s="8"/>
    </row>
    <row r="15" ht="15.75" customHeight="1">
      <c r="A15" s="8"/>
      <c r="B15" s="12" t="s">
        <v>33</v>
      </c>
      <c r="C15" s="33" t="s">
        <v>26</v>
      </c>
      <c r="D15" s="34">
        <v>100.0</v>
      </c>
      <c r="E15" s="35"/>
      <c r="F15" s="36" t="s">
        <v>27</v>
      </c>
      <c r="G15" s="8"/>
      <c r="H15" s="8"/>
      <c r="I15" s="8"/>
      <c r="J15" s="12">
        <v>30.0</v>
      </c>
      <c r="K15" s="8"/>
      <c r="L15" s="8"/>
      <c r="M15" s="8"/>
      <c r="N15" s="38">
        <f t="shared" si="1"/>
        <v>45922</v>
      </c>
      <c r="O15" s="8"/>
    </row>
    <row r="16" ht="15.75" customHeight="1">
      <c r="A16" s="8"/>
      <c r="B16" s="12" t="s">
        <v>34</v>
      </c>
      <c r="C16" s="33" t="s">
        <v>26</v>
      </c>
      <c r="D16" s="34">
        <v>100.0</v>
      </c>
      <c r="E16" s="35"/>
      <c r="F16" s="36" t="s">
        <v>27</v>
      </c>
      <c r="G16" s="8"/>
      <c r="H16" s="8"/>
      <c r="I16" s="8"/>
      <c r="J16" s="12">
        <v>40.0</v>
      </c>
      <c r="K16" s="8"/>
      <c r="L16" s="8"/>
      <c r="M16" s="8"/>
      <c r="N16" s="38">
        <f t="shared" si="1"/>
        <v>45922</v>
      </c>
      <c r="O16" s="8"/>
    </row>
    <row r="17" ht="15.75" customHeight="1">
      <c r="A17" s="8"/>
      <c r="B17" s="9" t="s">
        <v>38</v>
      </c>
      <c r="C17" s="12" t="s">
        <v>29</v>
      </c>
      <c r="D17" s="34">
        <v>100.0</v>
      </c>
      <c r="E17" s="35"/>
      <c r="F17" s="33" t="s">
        <v>30</v>
      </c>
      <c r="G17" s="8"/>
      <c r="H17" s="8"/>
      <c r="I17" s="8"/>
      <c r="J17" s="12">
        <v>10.0</v>
      </c>
      <c r="K17" s="8"/>
      <c r="L17" s="8"/>
      <c r="M17" s="8"/>
      <c r="N17" s="38">
        <f t="shared" si="1"/>
        <v>45922</v>
      </c>
      <c r="O17" s="8"/>
    </row>
    <row r="18" ht="15.75" customHeight="1">
      <c r="A18" s="8"/>
      <c r="B18" s="12" t="s">
        <v>35</v>
      </c>
      <c r="C18" s="12" t="s">
        <v>29</v>
      </c>
      <c r="D18" s="34">
        <v>100.0</v>
      </c>
      <c r="E18" s="35"/>
      <c r="F18" s="33" t="s">
        <v>30</v>
      </c>
      <c r="G18" s="8"/>
      <c r="H18" s="8"/>
      <c r="I18" s="8"/>
      <c r="J18" s="12">
        <v>20.0</v>
      </c>
      <c r="K18" s="8"/>
      <c r="L18" s="8"/>
      <c r="M18" s="8"/>
      <c r="N18" s="38">
        <f t="shared" si="1"/>
        <v>45922</v>
      </c>
      <c r="O18" s="8"/>
    </row>
    <row r="19" ht="15.75" customHeight="1">
      <c r="A19" s="8"/>
      <c r="B19" s="12" t="s">
        <v>36</v>
      </c>
      <c r="C19" s="12" t="s">
        <v>29</v>
      </c>
      <c r="D19" s="34">
        <v>100.0</v>
      </c>
      <c r="E19" s="35"/>
      <c r="F19" s="33" t="s">
        <v>30</v>
      </c>
      <c r="G19" s="8"/>
      <c r="H19" s="8"/>
      <c r="I19" s="8"/>
      <c r="J19" s="12">
        <v>30.0</v>
      </c>
      <c r="K19" s="8"/>
      <c r="L19" s="8"/>
      <c r="M19" s="8"/>
      <c r="N19" s="38">
        <f t="shared" si="1"/>
        <v>45922</v>
      </c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18</v>
      </c>
      <c r="D6" s="12"/>
      <c r="E6" s="12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18</v>
      </c>
      <c r="D6" s="12"/>
      <c r="E6" s="12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IFERROR(__xludf.DUMMYFUNCTION("""COMPUTED_VALUE"""),"ResAllowedListPopUp")</f>
        <v>ResAllowedListPopUp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40" t="s">
        <v>43</v>
      </c>
      <c r="C6" s="33" t="s">
        <v>26</v>
      </c>
      <c r="D6" s="34">
        <v>100.0</v>
      </c>
      <c r="E6" s="35"/>
      <c r="F6" s="36" t="s">
        <v>27</v>
      </c>
      <c r="G6" s="35"/>
      <c r="H6" s="35"/>
      <c r="I6" s="35"/>
      <c r="J6" s="37">
        <v>10.0</v>
      </c>
      <c r="K6" s="35"/>
      <c r="L6" s="35"/>
      <c r="M6" s="35"/>
      <c r="N6" s="38">
        <f t="shared" ref="N6:N15" si="1">today()</f>
        <v>45922</v>
      </c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41" t="s">
        <v>44</v>
      </c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12" t="s">
        <v>45</v>
      </c>
      <c r="C7" s="33" t="s">
        <v>28</v>
      </c>
      <c r="D7" s="34">
        <v>100.0</v>
      </c>
      <c r="E7" s="35"/>
      <c r="F7" s="36" t="s">
        <v>27</v>
      </c>
      <c r="G7" s="8"/>
      <c r="H7" s="8"/>
      <c r="I7" s="8"/>
      <c r="J7" s="12">
        <v>20.0</v>
      </c>
      <c r="K7" s="8"/>
      <c r="L7" s="8"/>
      <c r="M7" s="8"/>
      <c r="N7" s="38">
        <f t="shared" si="1"/>
        <v>45922</v>
      </c>
      <c r="O7" s="8"/>
      <c r="AN7" s="9" t="s">
        <v>44</v>
      </c>
    </row>
    <row r="8" ht="15.75" customHeight="1">
      <c r="A8" s="8"/>
      <c r="B8" s="12" t="s">
        <v>22</v>
      </c>
      <c r="C8" s="12" t="s">
        <v>29</v>
      </c>
      <c r="D8" s="34">
        <v>100.0</v>
      </c>
      <c r="E8" s="35"/>
      <c r="F8" s="33" t="s">
        <v>30</v>
      </c>
      <c r="G8" s="8"/>
      <c r="H8" s="8"/>
      <c r="I8" s="8"/>
      <c r="J8" s="12">
        <v>10.0</v>
      </c>
      <c r="K8" s="8"/>
      <c r="L8" s="8"/>
      <c r="M8" s="8"/>
      <c r="N8" s="38">
        <f t="shared" si="1"/>
        <v>45922</v>
      </c>
      <c r="O8" s="8"/>
    </row>
    <row r="9" ht="15.75" customHeight="1">
      <c r="A9" s="8"/>
      <c r="B9" s="12" t="s">
        <v>46</v>
      </c>
      <c r="C9" s="12" t="s">
        <v>29</v>
      </c>
      <c r="D9" s="34">
        <v>100.0</v>
      </c>
      <c r="E9" s="35"/>
      <c r="F9" s="33" t="s">
        <v>30</v>
      </c>
      <c r="G9" s="8"/>
      <c r="H9" s="8"/>
      <c r="I9" s="8"/>
      <c r="J9" s="12">
        <v>20.0</v>
      </c>
      <c r="K9" s="8"/>
      <c r="L9" s="8"/>
      <c r="M9" s="8"/>
      <c r="N9" s="38">
        <f t="shared" si="1"/>
        <v>45922</v>
      </c>
      <c r="O9" s="8"/>
      <c r="AN9" s="9" t="s">
        <v>44</v>
      </c>
    </row>
    <row r="10" ht="15.75" customHeight="1">
      <c r="A10" s="8"/>
      <c r="B10" s="12" t="s">
        <v>47</v>
      </c>
      <c r="C10" s="12" t="s">
        <v>29</v>
      </c>
      <c r="D10" s="34">
        <v>100.0</v>
      </c>
      <c r="E10" s="35"/>
      <c r="F10" s="33" t="s">
        <v>30</v>
      </c>
      <c r="G10" s="8"/>
      <c r="H10" s="8"/>
      <c r="I10" s="8"/>
      <c r="J10" s="12">
        <v>30.0</v>
      </c>
      <c r="K10" s="8"/>
      <c r="L10" s="8"/>
      <c r="M10" s="8"/>
      <c r="N10" s="38">
        <f t="shared" si="1"/>
        <v>45922</v>
      </c>
      <c r="O10" s="8"/>
      <c r="AN10" s="9" t="s">
        <v>44</v>
      </c>
    </row>
    <row r="11" ht="15.75" customHeight="1">
      <c r="A11" s="8"/>
      <c r="B11" s="40" t="s">
        <v>48</v>
      </c>
      <c r="C11" s="33" t="s">
        <v>26</v>
      </c>
      <c r="D11" s="34">
        <v>100.0</v>
      </c>
      <c r="E11" s="35"/>
      <c r="F11" s="36" t="s">
        <v>27</v>
      </c>
      <c r="G11" s="35"/>
      <c r="H11" s="35"/>
      <c r="I11" s="35"/>
      <c r="J11" s="37">
        <v>10.0</v>
      </c>
      <c r="K11" s="8"/>
      <c r="L11" s="8"/>
      <c r="M11" s="8"/>
      <c r="N11" s="38">
        <f t="shared" si="1"/>
        <v>45922</v>
      </c>
      <c r="O11" s="8"/>
    </row>
    <row r="12" ht="15.75" customHeight="1">
      <c r="A12" s="8"/>
      <c r="B12" s="12" t="s">
        <v>49</v>
      </c>
      <c r="C12" s="33" t="s">
        <v>26</v>
      </c>
      <c r="D12" s="34">
        <v>100.0</v>
      </c>
      <c r="E12" s="35"/>
      <c r="F12" s="36" t="s">
        <v>27</v>
      </c>
      <c r="G12" s="8"/>
      <c r="H12" s="8"/>
      <c r="I12" s="8"/>
      <c r="J12" s="12">
        <v>20.0</v>
      </c>
      <c r="K12" s="8"/>
      <c r="L12" s="8"/>
      <c r="M12" s="8"/>
      <c r="N12" s="38">
        <f t="shared" si="1"/>
        <v>45922</v>
      </c>
      <c r="O12" s="8"/>
    </row>
    <row r="13" ht="15.75" customHeight="1">
      <c r="A13" s="8"/>
      <c r="B13" s="12" t="s">
        <v>38</v>
      </c>
      <c r="C13" s="12" t="s">
        <v>29</v>
      </c>
      <c r="D13" s="34">
        <v>100.0</v>
      </c>
      <c r="E13" s="35"/>
      <c r="F13" s="33" t="s">
        <v>30</v>
      </c>
      <c r="G13" s="8"/>
      <c r="H13" s="8"/>
      <c r="I13" s="8"/>
      <c r="J13" s="12">
        <v>10.0</v>
      </c>
      <c r="K13" s="8"/>
      <c r="L13" s="8"/>
      <c r="M13" s="8"/>
      <c r="N13" s="38">
        <f t="shared" si="1"/>
        <v>45922</v>
      </c>
      <c r="O13" s="8"/>
    </row>
    <row r="14" ht="15.75" customHeight="1">
      <c r="A14" s="8"/>
      <c r="B14" s="12" t="s">
        <v>50</v>
      </c>
      <c r="C14" s="12" t="s">
        <v>29</v>
      </c>
      <c r="D14" s="34">
        <v>100.0</v>
      </c>
      <c r="E14" s="35"/>
      <c r="F14" s="33" t="s">
        <v>30</v>
      </c>
      <c r="G14" s="8"/>
      <c r="H14" s="8"/>
      <c r="I14" s="8"/>
      <c r="J14" s="12">
        <v>20.0</v>
      </c>
      <c r="K14" s="8"/>
      <c r="L14" s="8"/>
      <c r="M14" s="8"/>
      <c r="N14" s="38">
        <f t="shared" si="1"/>
        <v>45922</v>
      </c>
      <c r="O14" s="8"/>
    </row>
    <row r="15" ht="15.75" customHeight="1">
      <c r="A15" s="8"/>
      <c r="B15" s="12" t="s">
        <v>51</v>
      </c>
      <c r="C15" s="12" t="s">
        <v>29</v>
      </c>
      <c r="D15" s="34">
        <v>100.0</v>
      </c>
      <c r="E15" s="35"/>
      <c r="F15" s="33" t="s">
        <v>30</v>
      </c>
      <c r="G15" s="8"/>
      <c r="H15" s="8"/>
      <c r="I15" s="8"/>
      <c r="J15" s="12">
        <v>30.0</v>
      </c>
      <c r="K15" s="8"/>
      <c r="L15" s="8"/>
      <c r="M15" s="8"/>
      <c r="N15" s="38">
        <f t="shared" si="1"/>
        <v>45922</v>
      </c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TradeBloomberg!$4:$4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19</v>
      </c>
      <c r="D6" s="12"/>
      <c r="E6" s="12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19</v>
      </c>
      <c r="D6" s="12"/>
      <c r="E6" s="12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100.0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7.25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IFERROR(__xludf.DUMMYFUNCTION("""COMPUTED_VALUE"""),"ResAllowedListPopUp")</f>
        <v>ResAllowedListPopUp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40" t="s">
        <v>43</v>
      </c>
      <c r="C6" s="12" t="s">
        <v>29</v>
      </c>
      <c r="D6" s="34">
        <v>100.0</v>
      </c>
      <c r="E6" s="35"/>
      <c r="F6" s="36" t="s">
        <v>27</v>
      </c>
      <c r="G6" s="35"/>
      <c r="H6" s="35"/>
      <c r="I6" s="35"/>
      <c r="J6" s="37">
        <v>10.0</v>
      </c>
      <c r="K6" s="35"/>
      <c r="L6" s="35"/>
      <c r="M6" s="35"/>
      <c r="N6" s="38">
        <f t="shared" ref="N6:N13" si="1">today()</f>
        <v>45922</v>
      </c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41" t="s">
        <v>54</v>
      </c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12" t="s">
        <v>45</v>
      </c>
      <c r="C7" s="12" t="s">
        <v>55</v>
      </c>
      <c r="D7" s="34">
        <v>100.0</v>
      </c>
      <c r="E7" s="35"/>
      <c r="F7" s="36" t="s">
        <v>27</v>
      </c>
      <c r="G7" s="8"/>
      <c r="H7" s="8"/>
      <c r="I7" s="8"/>
      <c r="J7" s="12">
        <v>20.0</v>
      </c>
      <c r="K7" s="8"/>
      <c r="L7" s="8"/>
      <c r="M7" s="8"/>
      <c r="N7" s="38">
        <f t="shared" si="1"/>
        <v>45922</v>
      </c>
      <c r="O7" s="8"/>
    </row>
    <row r="8" ht="15.75" customHeight="1">
      <c r="A8" s="8"/>
      <c r="B8" s="12" t="s">
        <v>46</v>
      </c>
      <c r="C8" s="12" t="s">
        <v>29</v>
      </c>
      <c r="D8" s="34">
        <v>100.0</v>
      </c>
      <c r="E8" s="35"/>
      <c r="F8" s="33" t="s">
        <v>30</v>
      </c>
      <c r="G8" s="8"/>
      <c r="H8" s="8"/>
      <c r="I8" s="8"/>
      <c r="J8" s="12">
        <v>20.0</v>
      </c>
      <c r="K8" s="8"/>
      <c r="L8" s="8"/>
      <c r="M8" s="8"/>
      <c r="N8" s="38">
        <f t="shared" si="1"/>
        <v>45922</v>
      </c>
      <c r="O8" s="8"/>
    </row>
    <row r="9" ht="15.75" customHeight="1">
      <c r="A9" s="8"/>
      <c r="B9" s="12" t="s">
        <v>47</v>
      </c>
      <c r="C9" s="12" t="s">
        <v>29</v>
      </c>
      <c r="D9" s="34">
        <v>100.0</v>
      </c>
      <c r="E9" s="35"/>
      <c r="F9" s="33" t="s">
        <v>30</v>
      </c>
      <c r="G9" s="8"/>
      <c r="H9" s="8"/>
      <c r="I9" s="8"/>
      <c r="J9" s="12">
        <v>30.0</v>
      </c>
      <c r="K9" s="8"/>
      <c r="L9" s="8"/>
      <c r="M9" s="8"/>
      <c r="N9" s="38">
        <f t="shared" si="1"/>
        <v>45922</v>
      </c>
      <c r="O9" s="8"/>
    </row>
    <row r="10" ht="15.75" customHeight="1">
      <c r="A10" s="8"/>
      <c r="B10" s="40" t="s">
        <v>48</v>
      </c>
      <c r="C10" s="33" t="s">
        <v>26</v>
      </c>
      <c r="D10" s="34">
        <v>100.0</v>
      </c>
      <c r="E10" s="35"/>
      <c r="F10" s="36" t="s">
        <v>27</v>
      </c>
      <c r="G10" s="35"/>
      <c r="H10" s="35"/>
      <c r="I10" s="35"/>
      <c r="J10" s="37">
        <v>10.0</v>
      </c>
      <c r="K10" s="8"/>
      <c r="L10" s="8"/>
      <c r="M10" s="8"/>
      <c r="N10" s="38">
        <f t="shared" si="1"/>
        <v>45922</v>
      </c>
      <c r="O10" s="8"/>
    </row>
    <row r="11" ht="15.75" customHeight="1">
      <c r="A11" s="8"/>
      <c r="B11" s="12" t="s">
        <v>49</v>
      </c>
      <c r="C11" s="33" t="s">
        <v>56</v>
      </c>
      <c r="D11" s="34">
        <v>100.0</v>
      </c>
      <c r="E11" s="35"/>
      <c r="F11" s="36" t="s">
        <v>27</v>
      </c>
      <c r="G11" s="8"/>
      <c r="H11" s="8"/>
      <c r="I11" s="8"/>
      <c r="J11" s="12">
        <v>20.0</v>
      </c>
      <c r="K11" s="8"/>
      <c r="L11" s="8"/>
      <c r="M11" s="8"/>
      <c r="N11" s="38">
        <f t="shared" si="1"/>
        <v>45922</v>
      </c>
      <c r="O11" s="8"/>
    </row>
    <row r="12" ht="15.75" customHeight="1">
      <c r="A12" s="8"/>
      <c r="B12" s="12" t="s">
        <v>50</v>
      </c>
      <c r="C12" s="12" t="s">
        <v>29</v>
      </c>
      <c r="D12" s="34">
        <v>100.0</v>
      </c>
      <c r="E12" s="35"/>
      <c r="F12" s="33" t="s">
        <v>30</v>
      </c>
      <c r="G12" s="8"/>
      <c r="H12" s="8"/>
      <c r="I12" s="8"/>
      <c r="J12" s="12">
        <v>20.0</v>
      </c>
      <c r="K12" s="8"/>
      <c r="L12" s="8"/>
      <c r="M12" s="8"/>
      <c r="N12" s="38">
        <f t="shared" si="1"/>
        <v>45922</v>
      </c>
      <c r="O12" s="8"/>
    </row>
    <row r="13" ht="15.75" customHeight="1">
      <c r="A13" s="8"/>
      <c r="B13" s="12" t="s">
        <v>51</v>
      </c>
      <c r="C13" s="12" t="s">
        <v>29</v>
      </c>
      <c r="D13" s="34">
        <v>100.0</v>
      </c>
      <c r="E13" s="35"/>
      <c r="F13" s="33" t="s">
        <v>30</v>
      </c>
      <c r="G13" s="8"/>
      <c r="H13" s="8"/>
      <c r="I13" s="8"/>
      <c r="J13" s="12">
        <v>30.0</v>
      </c>
      <c r="K13" s="8"/>
      <c r="L13" s="8"/>
      <c r="M13" s="8"/>
      <c r="N13" s="38">
        <f t="shared" si="1"/>
        <v>45922</v>
      </c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SendLiveBloomberg!$4:$4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40" t="s">
        <v>43</v>
      </c>
      <c r="D6" s="12"/>
      <c r="E6" s="12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40" t="s">
        <v>43</v>
      </c>
      <c r="D6" s="12"/>
      <c r="E6" s="12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22.0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55</v>
      </c>
      <c r="C6" s="12" t="s">
        <v>45</v>
      </c>
      <c r="D6" s="12"/>
      <c r="E6" s="12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SelectTrade3!$4:$4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55</v>
      </c>
      <c r="C6" s="12" t="s">
        <v>45</v>
      </c>
      <c r="D6" s="12"/>
      <c r="E6" s="12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AcknowledgeTrade3!$4:$4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E6" s="9" t="s">
        <v>47</v>
      </c>
      <c r="G6" s="12"/>
      <c r="H6" s="9" t="s">
        <v>59</v>
      </c>
      <c r="I6" s="9" t="s">
        <v>60</v>
      </c>
      <c r="K6" s="8"/>
      <c r="O6" s="8"/>
      <c r="AA6" s="9" t="s">
        <v>61</v>
      </c>
      <c r="AH6" s="9" t="s">
        <v>62</v>
      </c>
      <c r="AI6" s="9" t="s">
        <v>24</v>
      </c>
      <c r="AJ6" s="9" t="s">
        <v>29</v>
      </c>
      <c r="AL6" s="9">
        <v>100.0</v>
      </c>
      <c r="AQ6" s="42"/>
      <c r="AR6" s="42"/>
      <c r="AS6" s="9" t="s">
        <v>63</v>
      </c>
      <c r="AT6" s="9" t="s">
        <v>30</v>
      </c>
      <c r="AU6" s="9" t="s">
        <v>64</v>
      </c>
      <c r="AY6" s="9">
        <v>100.0</v>
      </c>
    </row>
    <row r="7" ht="15.75" customHeight="1">
      <c r="A7" s="8"/>
      <c r="E7" s="9" t="s">
        <v>47</v>
      </c>
      <c r="G7" s="12"/>
      <c r="H7" s="9" t="s">
        <v>59</v>
      </c>
      <c r="I7" s="9" t="s">
        <v>60</v>
      </c>
      <c r="K7" s="8"/>
      <c r="O7" s="8"/>
      <c r="AA7" s="9" t="s">
        <v>61</v>
      </c>
      <c r="AH7" s="9" t="s">
        <v>62</v>
      </c>
      <c r="AI7" s="9" t="s">
        <v>24</v>
      </c>
      <c r="AJ7" s="9" t="s">
        <v>29</v>
      </c>
      <c r="AL7" s="9">
        <v>100.0</v>
      </c>
      <c r="AQ7" s="42"/>
      <c r="AR7" s="42"/>
      <c r="AS7" s="9" t="s">
        <v>63</v>
      </c>
      <c r="AT7" s="9" t="s">
        <v>30</v>
      </c>
      <c r="AU7" s="9" t="s">
        <v>64</v>
      </c>
      <c r="AY7" s="9">
        <v>100.0</v>
      </c>
    </row>
    <row r="8" ht="15.75" customHeight="1">
      <c r="A8" s="8"/>
      <c r="E8" s="9" t="s">
        <v>46</v>
      </c>
      <c r="G8" s="12"/>
      <c r="H8" s="9" t="s">
        <v>59</v>
      </c>
      <c r="I8" s="9" t="s">
        <v>60</v>
      </c>
      <c r="K8" s="8"/>
      <c r="O8" s="8"/>
      <c r="AA8" s="9" t="s">
        <v>61</v>
      </c>
      <c r="AH8" s="9" t="s">
        <v>65</v>
      </c>
      <c r="AI8" s="9" t="s">
        <v>23</v>
      </c>
      <c r="AJ8" s="9" t="s">
        <v>29</v>
      </c>
      <c r="AL8" s="9">
        <v>100.0</v>
      </c>
      <c r="AQ8" s="42"/>
      <c r="AR8" s="42"/>
      <c r="AS8" s="9" t="s">
        <v>63</v>
      </c>
      <c r="AT8" s="9" t="s">
        <v>30</v>
      </c>
      <c r="AU8" s="9" t="s">
        <v>64</v>
      </c>
      <c r="AY8" s="9">
        <v>100.0</v>
      </c>
    </row>
    <row r="9" ht="15.75" customHeight="1">
      <c r="A9" s="8"/>
      <c r="E9" s="9" t="s">
        <v>46</v>
      </c>
      <c r="G9" s="12"/>
      <c r="H9" s="9" t="s">
        <v>59</v>
      </c>
      <c r="I9" s="9" t="s">
        <v>60</v>
      </c>
      <c r="K9" s="8"/>
      <c r="O9" s="8"/>
      <c r="AA9" s="9" t="s">
        <v>61</v>
      </c>
      <c r="AH9" s="9" t="s">
        <v>65</v>
      </c>
      <c r="AI9" s="9" t="s">
        <v>23</v>
      </c>
      <c r="AJ9" s="9" t="s">
        <v>29</v>
      </c>
      <c r="AL9" s="9">
        <v>100.0</v>
      </c>
      <c r="AQ9" s="42"/>
      <c r="AR9" s="42"/>
      <c r="AS9" s="9" t="s">
        <v>63</v>
      </c>
      <c r="AT9" s="9" t="s">
        <v>30</v>
      </c>
      <c r="AU9" s="9" t="s">
        <v>64</v>
      </c>
      <c r="AY9" s="9">
        <v>100.0</v>
      </c>
    </row>
    <row r="10" ht="15.75" customHeight="1">
      <c r="A10" s="8"/>
      <c r="D10" s="42"/>
      <c r="G10" s="12"/>
      <c r="H10" s="9" t="s">
        <v>59</v>
      </c>
      <c r="I10" s="9" t="s">
        <v>60</v>
      </c>
      <c r="K10" s="8"/>
      <c r="O10" s="8"/>
      <c r="AA10" s="9" t="s">
        <v>66</v>
      </c>
      <c r="AH10" s="9" t="s">
        <v>67</v>
      </c>
      <c r="AI10" s="9" t="s">
        <v>20</v>
      </c>
      <c r="AJ10" s="9" t="s">
        <v>26</v>
      </c>
      <c r="AL10" s="9">
        <v>100.0</v>
      </c>
      <c r="AQ10" s="42"/>
      <c r="AR10" s="42"/>
      <c r="AS10" s="9" t="s">
        <v>63</v>
      </c>
      <c r="AT10" s="9" t="s">
        <v>27</v>
      </c>
      <c r="AU10" s="9" t="s">
        <v>64</v>
      </c>
      <c r="AY10" s="9">
        <v>100.0</v>
      </c>
    </row>
    <row r="11" ht="15.75" customHeight="1">
      <c r="A11" s="8"/>
      <c r="B11" s="8"/>
      <c r="D11" s="42"/>
      <c r="G11" s="12"/>
      <c r="H11" s="9" t="s">
        <v>59</v>
      </c>
      <c r="I11" s="9" t="s">
        <v>60</v>
      </c>
      <c r="K11" s="8"/>
      <c r="O11" s="8"/>
      <c r="AA11" s="9" t="s">
        <v>66</v>
      </c>
      <c r="AH11" s="9" t="s">
        <v>68</v>
      </c>
      <c r="AI11" s="9" t="s">
        <v>21</v>
      </c>
      <c r="AJ11" s="9" t="s">
        <v>26</v>
      </c>
      <c r="AL11" s="9">
        <v>100.0</v>
      </c>
      <c r="AQ11" s="42"/>
      <c r="AR11" s="42"/>
      <c r="AS11" s="9" t="s">
        <v>63</v>
      </c>
      <c r="AT11" s="9" t="s">
        <v>27</v>
      </c>
      <c r="AU11" s="9" t="s">
        <v>64</v>
      </c>
      <c r="AY11" s="9">
        <v>100.0</v>
      </c>
    </row>
    <row r="12" ht="15.75" customHeight="1">
      <c r="A12" s="39"/>
      <c r="B12" s="39"/>
      <c r="C12" s="39"/>
      <c r="D12" s="43"/>
      <c r="E12" s="39" t="s">
        <v>43</v>
      </c>
      <c r="F12" s="43"/>
      <c r="G12" s="39"/>
      <c r="H12" s="39" t="s">
        <v>59</v>
      </c>
      <c r="I12" s="39" t="s">
        <v>60</v>
      </c>
      <c r="J12" s="39"/>
      <c r="K12" s="39"/>
      <c r="L12" s="39"/>
      <c r="M12" s="39"/>
      <c r="N12" s="39"/>
      <c r="O12" s="39"/>
      <c r="P12" s="39"/>
      <c r="Q12" s="39"/>
      <c r="R12" s="39"/>
      <c r="S12" s="43"/>
      <c r="T12" s="43"/>
      <c r="U12" s="39"/>
      <c r="V12" s="39"/>
      <c r="W12" s="39"/>
      <c r="X12" s="43"/>
      <c r="Y12" s="39"/>
      <c r="Z12" s="39"/>
      <c r="AA12" s="39" t="s">
        <v>66</v>
      </c>
      <c r="AB12" s="43"/>
      <c r="AC12" s="39"/>
      <c r="AD12" s="43"/>
      <c r="AE12" s="39"/>
      <c r="AF12" s="39"/>
      <c r="AG12" s="43"/>
      <c r="AH12" s="39" t="s">
        <v>69</v>
      </c>
      <c r="AI12" s="39" t="s">
        <v>18</v>
      </c>
      <c r="AJ12" s="39" t="s">
        <v>26</v>
      </c>
      <c r="AL12" s="43">
        <v>100.0</v>
      </c>
      <c r="AM12" s="43"/>
      <c r="AN12" s="43"/>
      <c r="AO12" s="43"/>
      <c r="AP12" s="39"/>
      <c r="AQ12" s="43"/>
      <c r="AR12" s="43"/>
      <c r="AS12" s="39" t="s">
        <v>63</v>
      </c>
      <c r="AT12" s="39" t="s">
        <v>27</v>
      </c>
      <c r="AU12" s="39" t="s">
        <v>64</v>
      </c>
      <c r="AV12" s="43"/>
      <c r="AW12" s="43"/>
      <c r="AX12" s="39"/>
      <c r="AY12" s="43">
        <v>100.0</v>
      </c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39"/>
      <c r="DC12" s="39"/>
      <c r="DD12" s="39"/>
      <c r="DE12" s="39"/>
      <c r="DF12" s="39"/>
      <c r="DG12" s="39"/>
      <c r="DH12" s="39"/>
      <c r="DI12" s="39"/>
      <c r="DJ12" s="39"/>
      <c r="DK12" s="39"/>
      <c r="DL12" s="39"/>
      <c r="DM12" s="39"/>
      <c r="DN12" s="39"/>
      <c r="DO12" s="39"/>
      <c r="DP12" s="39"/>
      <c r="DQ12" s="39"/>
      <c r="DR12" s="39"/>
      <c r="DS12" s="39"/>
      <c r="DT12" s="39"/>
      <c r="DU12" s="39"/>
      <c r="DV12" s="39"/>
      <c r="DW12" s="39"/>
      <c r="DX12" s="39"/>
      <c r="DY12" s="39"/>
      <c r="DZ12" s="39"/>
      <c r="EA12" s="39"/>
      <c r="EB12" s="39"/>
      <c r="EC12" s="39"/>
      <c r="ED12" s="39"/>
      <c r="EE12" s="39"/>
      <c r="EF12" s="39"/>
      <c r="EG12" s="39"/>
      <c r="EH12" s="39"/>
      <c r="EI12" s="39"/>
      <c r="EJ12" s="39"/>
      <c r="EK12" s="39"/>
      <c r="EL12" s="39"/>
      <c r="EM12" s="39"/>
      <c r="EN12" s="39"/>
      <c r="EO12" s="39"/>
      <c r="EP12" s="39"/>
      <c r="EQ12" s="39"/>
      <c r="ER12" s="39"/>
      <c r="ES12" s="39"/>
      <c r="ET12" s="39"/>
      <c r="EU12" s="39"/>
      <c r="EV12" s="39"/>
      <c r="EW12" s="39"/>
      <c r="EX12" s="39"/>
    </row>
    <row r="13" ht="15.75" customHeight="1">
      <c r="A13" s="39"/>
      <c r="B13" s="39"/>
      <c r="C13" s="39"/>
      <c r="D13" s="43"/>
      <c r="E13" s="39" t="s">
        <v>43</v>
      </c>
      <c r="F13" s="43"/>
      <c r="G13" s="39"/>
      <c r="H13" s="39" t="s">
        <v>59</v>
      </c>
      <c r="I13" s="39" t="s">
        <v>60</v>
      </c>
      <c r="J13" s="39"/>
      <c r="K13" s="39"/>
      <c r="L13" s="39"/>
      <c r="M13" s="39"/>
      <c r="N13" s="39"/>
      <c r="O13" s="39"/>
      <c r="P13" s="39"/>
      <c r="Q13" s="39"/>
      <c r="R13" s="39"/>
      <c r="S13" s="43"/>
      <c r="T13" s="43"/>
      <c r="U13" s="39"/>
      <c r="V13" s="39"/>
      <c r="W13" s="39"/>
      <c r="X13" s="43"/>
      <c r="Y13" s="39"/>
      <c r="Z13" s="39"/>
      <c r="AA13" s="39" t="s">
        <v>66</v>
      </c>
      <c r="AB13" s="43"/>
      <c r="AC13" s="39"/>
      <c r="AD13" s="43"/>
      <c r="AE13" s="39"/>
      <c r="AF13" s="39"/>
      <c r="AG13" s="43"/>
      <c r="AH13" s="39" t="s">
        <v>69</v>
      </c>
      <c r="AI13" s="39" t="s">
        <v>18</v>
      </c>
      <c r="AJ13" s="41" t="s">
        <v>29</v>
      </c>
      <c r="AL13" s="43">
        <v>100.0</v>
      </c>
      <c r="AM13" s="43"/>
      <c r="AN13" s="43"/>
      <c r="AO13" s="43"/>
      <c r="AP13" s="39"/>
      <c r="AQ13" s="43"/>
      <c r="AR13" s="43"/>
      <c r="AS13" s="39" t="s">
        <v>63</v>
      </c>
      <c r="AT13" s="39" t="s">
        <v>27</v>
      </c>
      <c r="AU13" s="39" t="s">
        <v>64</v>
      </c>
      <c r="AV13" s="44"/>
      <c r="AW13" s="44"/>
      <c r="AX13" s="39"/>
      <c r="AY13" s="43">
        <v>100.0</v>
      </c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  <c r="BX13" s="39"/>
      <c r="BY13" s="39"/>
      <c r="BZ13" s="39"/>
      <c r="CA13" s="39"/>
      <c r="CB13" s="39"/>
      <c r="CC13" s="39"/>
      <c r="CD13" s="39"/>
      <c r="CE13" s="39"/>
      <c r="CF13" s="39"/>
      <c r="CG13" s="39"/>
      <c r="CH13" s="39"/>
      <c r="CI13" s="39"/>
      <c r="CJ13" s="39"/>
      <c r="CK13" s="39"/>
      <c r="CL13" s="39"/>
      <c r="CM13" s="39"/>
      <c r="CN13" s="39"/>
      <c r="CO13" s="39"/>
      <c r="CP13" s="39"/>
      <c r="CQ13" s="39"/>
      <c r="CR13" s="39"/>
      <c r="CS13" s="39"/>
      <c r="CT13" s="39"/>
      <c r="CU13" s="39"/>
      <c r="CV13" s="39"/>
      <c r="CW13" s="39"/>
      <c r="CX13" s="39"/>
      <c r="CY13" s="39"/>
      <c r="CZ13" s="39"/>
      <c r="DA13" s="39"/>
      <c r="DB13" s="39"/>
      <c r="DC13" s="39"/>
      <c r="DD13" s="39"/>
      <c r="DE13" s="39"/>
      <c r="DF13" s="39"/>
      <c r="DG13" s="39"/>
      <c r="DH13" s="39"/>
      <c r="DI13" s="39"/>
      <c r="DJ13" s="39"/>
      <c r="DK13" s="39"/>
      <c r="DL13" s="39"/>
      <c r="DM13" s="39"/>
      <c r="DN13" s="39"/>
      <c r="DO13" s="39"/>
      <c r="DP13" s="39"/>
      <c r="DQ13" s="39"/>
      <c r="DR13" s="39"/>
      <c r="DS13" s="39"/>
      <c r="DT13" s="39"/>
      <c r="DU13" s="39"/>
      <c r="DV13" s="39"/>
      <c r="DW13" s="39"/>
      <c r="DX13" s="39"/>
      <c r="DY13" s="39"/>
      <c r="DZ13" s="39"/>
      <c r="EA13" s="39"/>
      <c r="EB13" s="39"/>
      <c r="EC13" s="39"/>
      <c r="ED13" s="39"/>
      <c r="EE13" s="39"/>
      <c r="EF13" s="39"/>
      <c r="EG13" s="39"/>
      <c r="EH13" s="39"/>
      <c r="EI13" s="39"/>
      <c r="EJ13" s="39"/>
      <c r="EK13" s="39"/>
      <c r="EL13" s="39"/>
      <c r="EM13" s="39"/>
      <c r="EN13" s="39"/>
      <c r="EO13" s="39"/>
      <c r="EP13" s="39"/>
      <c r="EQ13" s="39"/>
      <c r="ER13" s="39"/>
      <c r="ES13" s="39"/>
      <c r="ET13" s="39"/>
      <c r="EU13" s="39"/>
      <c r="EV13" s="39"/>
      <c r="EW13" s="39"/>
      <c r="EX13" s="39"/>
    </row>
    <row r="14" ht="15.75" customHeight="1">
      <c r="A14" s="39"/>
      <c r="B14" s="39"/>
      <c r="C14" s="39"/>
      <c r="D14" s="43"/>
      <c r="E14" s="39" t="s">
        <v>45</v>
      </c>
      <c r="F14" s="43"/>
      <c r="G14" s="39"/>
      <c r="H14" s="39" t="s">
        <v>59</v>
      </c>
      <c r="I14" s="39" t="s">
        <v>60</v>
      </c>
      <c r="J14" s="39"/>
      <c r="K14" s="39"/>
      <c r="L14" s="39"/>
      <c r="M14" s="39"/>
      <c r="N14" s="39"/>
      <c r="O14" s="39"/>
      <c r="P14" s="39"/>
      <c r="Q14" s="39"/>
      <c r="R14" s="39"/>
      <c r="S14" s="43"/>
      <c r="T14" s="43"/>
      <c r="U14" s="39"/>
      <c r="V14" s="39"/>
      <c r="W14" s="39"/>
      <c r="X14" s="43"/>
      <c r="Y14" s="39"/>
      <c r="Z14" s="39"/>
      <c r="AA14" s="39" t="s">
        <v>66</v>
      </c>
      <c r="AB14" s="43"/>
      <c r="AC14" s="39"/>
      <c r="AD14" s="43"/>
      <c r="AE14" s="39"/>
      <c r="AF14" s="39"/>
      <c r="AG14" s="43"/>
      <c r="AH14" s="39" t="s">
        <v>70</v>
      </c>
      <c r="AI14" s="39" t="s">
        <v>19</v>
      </c>
      <c r="AJ14" s="41" t="s">
        <v>28</v>
      </c>
      <c r="AK14" s="39"/>
      <c r="AL14" s="43">
        <v>100.0</v>
      </c>
      <c r="AM14" s="43"/>
      <c r="AN14" s="43"/>
      <c r="AO14" s="43"/>
      <c r="AP14" s="39"/>
      <c r="AQ14" s="43"/>
      <c r="AR14" s="43"/>
      <c r="AS14" s="39" t="s">
        <v>63</v>
      </c>
      <c r="AT14" s="39" t="s">
        <v>27</v>
      </c>
      <c r="AU14" s="39" t="s">
        <v>64</v>
      </c>
      <c r="AV14" s="43"/>
      <c r="AW14" s="43"/>
      <c r="AX14" s="39"/>
      <c r="AY14" s="43">
        <v>100.0</v>
      </c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  <c r="CX14" s="39"/>
      <c r="CY14" s="39"/>
      <c r="CZ14" s="39"/>
      <c r="DA14" s="39"/>
      <c r="DB14" s="39"/>
      <c r="DC14" s="39"/>
      <c r="DD14" s="39"/>
      <c r="DE14" s="39"/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  <c r="ER14" s="39"/>
      <c r="ES14" s="39"/>
      <c r="ET14" s="39"/>
      <c r="EU14" s="39"/>
      <c r="EV14" s="39"/>
      <c r="EW14" s="39"/>
      <c r="EX14" s="39"/>
    </row>
    <row r="15" ht="15.75" customHeight="1">
      <c r="A15" s="39"/>
      <c r="B15" s="39"/>
      <c r="C15" s="39"/>
      <c r="D15" s="43"/>
      <c r="E15" s="39" t="s">
        <v>45</v>
      </c>
      <c r="F15" s="43"/>
      <c r="G15" s="39"/>
      <c r="H15" s="39" t="s">
        <v>59</v>
      </c>
      <c r="I15" s="39" t="s">
        <v>60</v>
      </c>
      <c r="J15" s="39"/>
      <c r="K15" s="39"/>
      <c r="L15" s="39"/>
      <c r="M15" s="39"/>
      <c r="N15" s="39"/>
      <c r="O15" s="39"/>
      <c r="P15" s="39"/>
      <c r="Q15" s="39"/>
      <c r="R15" s="39"/>
      <c r="S15" s="43"/>
      <c r="T15" s="43"/>
      <c r="U15" s="39"/>
      <c r="V15" s="39"/>
      <c r="W15" s="39"/>
      <c r="X15" s="43"/>
      <c r="Y15" s="39"/>
      <c r="Z15" s="39"/>
      <c r="AA15" s="39" t="s">
        <v>66</v>
      </c>
      <c r="AB15" s="43"/>
      <c r="AC15" s="39"/>
      <c r="AD15" s="43"/>
      <c r="AE15" s="39"/>
      <c r="AF15" s="39"/>
      <c r="AG15" s="43"/>
      <c r="AH15" s="39" t="s">
        <v>70</v>
      </c>
      <c r="AI15" s="39" t="s">
        <v>19</v>
      </c>
      <c r="AJ15" s="41" t="s">
        <v>55</v>
      </c>
      <c r="AK15" s="39"/>
      <c r="AL15" s="43">
        <v>100.0</v>
      </c>
      <c r="AM15" s="43"/>
      <c r="AN15" s="43"/>
      <c r="AO15" s="43"/>
      <c r="AP15" s="39"/>
      <c r="AQ15" s="43"/>
      <c r="AR15" s="43"/>
      <c r="AS15" s="39" t="s">
        <v>63</v>
      </c>
      <c r="AT15" s="39" t="s">
        <v>27</v>
      </c>
      <c r="AU15" s="39" t="s">
        <v>64</v>
      </c>
      <c r="AV15" s="44"/>
      <c r="AW15" s="44"/>
      <c r="AX15" s="39"/>
      <c r="AY15" s="43">
        <v>100.0</v>
      </c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  <c r="CG15" s="39"/>
      <c r="CH15" s="39"/>
      <c r="CI15" s="39"/>
      <c r="CJ15" s="39"/>
      <c r="CK15" s="39"/>
      <c r="CL15" s="39"/>
      <c r="CM15" s="39"/>
      <c r="CN15" s="39"/>
      <c r="CO15" s="39"/>
      <c r="CP15" s="39"/>
      <c r="CQ15" s="39"/>
      <c r="CR15" s="39"/>
      <c r="CS15" s="39"/>
      <c r="CT15" s="39"/>
      <c r="CU15" s="39"/>
      <c r="CV15" s="39"/>
      <c r="CW15" s="39"/>
      <c r="CX15" s="39"/>
      <c r="CY15" s="39"/>
      <c r="CZ15" s="39"/>
      <c r="DA15" s="39"/>
      <c r="DB15" s="39"/>
      <c r="DC15" s="39"/>
      <c r="DD15" s="39"/>
      <c r="DE15" s="39"/>
      <c r="DF15" s="39"/>
      <c r="DG15" s="39"/>
      <c r="DH15" s="39"/>
      <c r="DI15" s="39"/>
      <c r="DJ15" s="39"/>
      <c r="DK15" s="39"/>
      <c r="DL15" s="39"/>
      <c r="DM15" s="39"/>
      <c r="DN15" s="39"/>
      <c r="DO15" s="39"/>
      <c r="DP15" s="39"/>
      <c r="DQ15" s="39"/>
      <c r="DR15" s="39"/>
      <c r="DS15" s="39"/>
      <c r="DT15" s="39"/>
      <c r="DU15" s="39"/>
      <c r="DV15" s="39"/>
      <c r="DW15" s="39"/>
      <c r="DX15" s="39"/>
      <c r="DY15" s="39"/>
      <c r="DZ15" s="39"/>
      <c r="EA15" s="39"/>
      <c r="EB15" s="39"/>
      <c r="EC15" s="39"/>
      <c r="ED15" s="39"/>
      <c r="EE15" s="39"/>
      <c r="EF15" s="39"/>
      <c r="EG15" s="39"/>
      <c r="EH15" s="39"/>
      <c r="EI15" s="39"/>
      <c r="EJ15" s="39"/>
      <c r="EK15" s="39"/>
      <c r="EL15" s="39"/>
      <c r="EM15" s="39"/>
      <c r="EN15" s="39"/>
      <c r="EO15" s="39"/>
      <c r="EP15" s="39"/>
      <c r="EQ15" s="39"/>
      <c r="ER15" s="39"/>
      <c r="ES15" s="39"/>
      <c r="ET15" s="39"/>
      <c r="EU15" s="39"/>
      <c r="EV15" s="39"/>
      <c r="EW15" s="39"/>
      <c r="EX15" s="39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