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CustomOrderTT" sheetId="8" r:id="rId10"/>
    <sheet state="visible" name="CalculatePTT" sheetId="9" r:id="rId11"/>
    <sheet state="visible" name="CalculatePTT1" sheetId="10" r:id="rId12"/>
    <sheet state="visible" name="CustomOrderTT1" sheetId="11" r:id="rId13"/>
    <sheet state="visible" name="VerifyTradeSummary" sheetId="12" r:id="rId14"/>
    <sheet state="visible" name="VerifyAllocationDetailsSam" sheetId="13" r:id="rId15"/>
    <sheet state="visible" name="GetDailyCash" sheetId="14" r:id="rId16"/>
    <sheet state="visible" name="UpdateMultipleDailyCash" sheetId="15" r:id="rId17"/>
    <sheet state="visible" name="PricingInput" sheetId="16" r:id="rId18"/>
  </sheets>
  <definedNames/>
  <calcPr/>
</workbook>
</file>

<file path=xl/sharedStrings.xml><?xml version="1.0" encoding="utf-8"?>
<sst xmlns="http://schemas.openxmlformats.org/spreadsheetml/2006/main" count="150" uniqueCount="53">
  <si>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</si>
  <si>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</si>
  <si>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</si>
  <si>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</si>
  <si>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</si>
  <si>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</si>
  <si>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</si>
  <si>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</si>
  <si>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</si>
  <si>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</si>
  <si>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</si>
  <si>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</si>
  <si>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</si>
  <si>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</si>
  <si>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</si>
  <si>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</si>
  <si>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TT</t>
  </si>
  <si>
    <t>PTT</t>
  </si>
  <si>
    <t>Y1</t>
  </si>
  <si>
    <t>SetAccountValueCalculatedPref</t>
  </si>
  <si>
    <t>Allocation1</t>
  </si>
  <si>
    <t>Allocation2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</si>
  <si>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</si>
  <si>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</si>
  <si>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</si>
  <si>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</si>
  <si>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</si>
  <si>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</si>
  <si>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PreferenceName</t>
  </si>
  <si>
    <t>Trade Quantity</t>
  </si>
  <si>
    <t>Current Preference</t>
  </si>
  <si>
    <t>TradingTicket</t>
  </si>
  <si>
    <t>CustomOrderTT</t>
  </si>
  <si>
    <t>AAPL</t>
  </si>
  <si>
    <t>DoneAway</t>
  </si>
  <si>
    <t>Buy</t>
  </si>
  <si>
    <t>CalculatePTT</t>
  </si>
  <si>
    <t>AMT</t>
  </si>
  <si>
    <t>Account</t>
  </si>
  <si>
    <t>Allocation1,Allocation2</t>
  </si>
  <si>
    <t>Allocation Preference</t>
  </si>
  <si>
    <t>VerifyTradeSummary</t>
  </si>
  <si>
    <t>Yes</t>
  </si>
  <si>
    <t>Account Name</t>
  </si>
  <si>
    <t>Change Percentage</t>
  </si>
  <si>
    <t>Order Side</t>
  </si>
  <si>
    <t>Target QTY</t>
  </si>
  <si>
    <t>% Allocation</t>
  </si>
  <si>
    <t>DailyValuation</t>
  </si>
  <si>
    <t>GetDailyCash</t>
  </si>
  <si>
    <t>UpdateMultipleDailyCash</t>
  </si>
  <si>
    <t>USD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</si>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</sst>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21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22</v>
      </c>
      <c r="C5" s="27" t="s">
        <v>23</v>
      </c>
      <c r="D5" s="27" t="s">
        <v>24</v>
      </c>
      <c r="E5" s="27" t="s">
        <v>25</v>
      </c>
      <c r="F5" s="27" t="s">
        <v>26</v>
      </c>
      <c r="G5" s="27" t="s">
        <v>27</v>
      </c>
      <c r="H5" s="27" t="s">
        <v>28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/>
      <c r="D6" s="12" t="s">
        <v>30</v>
      </c>
      <c r="E6" s="30"/>
      <c r="F6" s="8"/>
      <c r="G6" s="12" t="b">
        <v>0</v>
      </c>
      <c r="H6" s="12" t="s">
        <v>18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7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>
        <v>100.0</v>
      </c>
      <c r="D6" s="12">
        <v>10.0</v>
      </c>
      <c r="E6" s="12" t="s">
        <v>34</v>
      </c>
      <c r="F6" s="8"/>
      <c r="G6" s="8"/>
      <c r="H6" s="8"/>
      <c r="I6" s="8"/>
      <c r="J6" s="12" t="s">
        <v>35</v>
      </c>
      <c r="K6" s="8"/>
      <c r="L6" s="8"/>
      <c r="M6" s="8"/>
      <c r="N6" s="8"/>
      <c r="O6" s="8"/>
    </row>
    <row r="7" ht="15.75" customHeight="1">
      <c r="A7" s="8"/>
      <c r="B7" s="12" t="s">
        <v>33</v>
      </c>
      <c r="C7" s="12">
        <v>200.0</v>
      </c>
      <c r="D7" s="12">
        <v>10.0</v>
      </c>
      <c r="E7" s="12" t="s">
        <v>34</v>
      </c>
      <c r="F7" s="8"/>
      <c r="G7" s="8"/>
      <c r="H7" s="8"/>
      <c r="I7" s="8"/>
      <c r="J7" s="12" t="s">
        <v>35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7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 t="s">
        <v>37</v>
      </c>
      <c r="E6" s="12">
        <v>2000.0</v>
      </c>
      <c r="F6" s="12">
        <v>20.0</v>
      </c>
      <c r="G6" s="8"/>
      <c r="H6" s="12" t="s">
        <v>38</v>
      </c>
      <c r="I6" s="12" t="s">
        <v>39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7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 t="s">
        <v>37</v>
      </c>
      <c r="E6" s="12">
        <v>2000.0</v>
      </c>
      <c r="F6" s="12">
        <v>20.0</v>
      </c>
      <c r="G6" s="8"/>
      <c r="H6" s="12" t="s">
        <v>40</v>
      </c>
      <c r="I6" s="12" t="s">
        <v>18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7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34</v>
      </c>
      <c r="F6" s="8"/>
      <c r="G6" s="12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IFERROR(__xludf.DUMMYFUNCTION("""COMPUTED_VALUE"""),"Quantity")</f>
        <v>Quantity</v>
      </c>
      <c r="D5" s="28" t="str">
        <f>IFERROR(__xludf.DUMMYFUNCTION("""COMPUTED_VALUE"""),"Order side")</f>
        <v>Order side</v>
      </c>
      <c r="E5" s="28" t="str">
        <f>IFERROR(__xludf.DUMMYFUNCTION("""COMPUTED_VALUE"""),"AllowTrade")</f>
        <v>AllowTrade</v>
      </c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12" t="s">
        <v>42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VerifyTradeSummary!$4:$4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43</v>
      </c>
      <c r="C5" s="27" t="s">
        <v>44</v>
      </c>
      <c r="D5" s="27" t="s">
        <v>45</v>
      </c>
      <c r="E5" s="27" t="s">
        <v>46</v>
      </c>
      <c r="F5" s="27" t="s">
        <v>47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 t="s">
        <v>35</v>
      </c>
      <c r="E6" s="12">
        <v>100.0</v>
      </c>
      <c r="F6" s="12">
        <v>50.0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8"/>
      <c r="D7" s="12" t="s">
        <v>35</v>
      </c>
      <c r="E7" s="12">
        <v>100.0</v>
      </c>
      <c r="F7" s="12">
        <v>50.0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VerifyAllocationDetailsSam!$4:$4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TODAY()-1</f>
        <v>45938</v>
      </c>
      <c r="C6" s="31">
        <f t="shared" si="1"/>
        <v>45938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51</v>
      </c>
      <c r="D6" s="12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51</v>
      </c>
      <c r="D7" s="12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>
        <v>20.0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