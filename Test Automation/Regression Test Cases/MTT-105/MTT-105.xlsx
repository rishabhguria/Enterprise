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UIAdminPreferences" sheetId="4" r:id="rId6"/>
    <sheet state="visible" name="SetBrokerWisePreferencesTT" sheetId="5" r:id="rId7"/>
    <sheet state="visible" name="CreateDoneAwayOrder" sheetId="6" r:id="rId8"/>
    <sheet state="visible" name="PricingInput" sheetId="7" r:id="rId9"/>
    <sheet state="visible" name="GetDailyCash" sheetId="8" r:id="rId10"/>
    <sheet state="visible" name="UpdateMultipleDailyCash" sheetId="9" r:id="rId11"/>
    <sheet state="visible" name="CreateOrderPTT" sheetId="10" r:id="rId12"/>
    <sheet state="visible" name="CreateOrderPTT1" sheetId="11" r:id="rId13"/>
    <sheet state="visible" name="MultiTradingTicketFromBlotter" sheetId="12" r:id="rId14"/>
    <sheet state="visible" name="BulkUpdateUsingMTT" sheetId="13" r:id="rId15"/>
    <sheet state="visible" name="VerifyMTT" sheetId="14" r:id="rId16"/>
  </sheets>
  <definedNames/>
  <calcPr/>
</workbook>
</file>

<file path=xl/sharedStrings.xml><?xml version="1.0" encoding="utf-8"?>
<sst xmlns="http://schemas.openxmlformats.org/spreadsheetml/2006/main" count="131" uniqueCount="43">
  <si>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</si>
  <si>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</si>
  <si>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</si>
  <si>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</si>
  <si>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</si>
  <si>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</si>
  <si>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</si>
  <si>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</si>
  <si>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</si>
  <si>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</si>
  <si>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</si>
  <si>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</si>
  <si>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</si>
  <si>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SetTTUIAdminPreferences</t>
  </si>
  <si>
    <t>Data Format</t>
  </si>
  <si>
    <t>Input Format</t>
  </si>
  <si>
    <t>GSCO</t>
  </si>
  <si>
    <t>Drop</t>
  </si>
  <si>
    <t>TradingTicket</t>
  </si>
  <si>
    <t>SetBrokerWisePreferencesTT</t>
  </si>
  <si>
    <t>MS</t>
  </si>
  <si>
    <t>Algo</t>
  </si>
  <si>
    <t>CreateDoneAwayOrder</t>
  </si>
  <si>
    <t>SAP</t>
  </si>
  <si>
    <t>Buy</t>
  </si>
  <si>
    <t>IBM</t>
  </si>
  <si>
    <t>PricingInput</t>
  </si>
  <si>
    <t>DailyValuation</t>
  </si>
  <si>
    <t>GetDailyCash</t>
  </si>
  <si>
    <t>UpdateMultipleDailyCash</t>
  </si>
  <si>
    <t>Allocation1</t>
  </si>
  <si>
    <t>USD</t>
  </si>
  <si>
    <t>PTT</t>
  </si>
  <si>
    <t>CreateOrderPTT</t>
  </si>
  <si>
    <t>Increase</t>
  </si>
  <si>
    <t>No</t>
  </si>
  <si>
    <t>Account</t>
  </si>
  <si>
    <t>New</t>
  </si>
  <si>
    <t>Blotter</t>
  </si>
  <si>
    <t>MultiTradingTicketFromBlotter</t>
  </si>
  <si>
    <t>MultiTradingTicket</t>
  </si>
  <si>
    <t>BulkUpdateUsingMTT</t>
  </si>
  <si>
    <t>VerifyMTT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</si>
</sst>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14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IFERROR(__xludf.DUMMYFUNCTION("""COMPUTED_VALUE"""),"TIF")</f>
        <v>TIF</v>
      </c>
      <c r="E5" s="28" t="str">
        <f>IFERROR(__xludf.DUMMYFUNCTION("""COMPUTED_VALUE"""),"Trader")</f>
        <v>Trader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SetTTUIAdminPreferences!$4:$4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IFERROR(__xludf.DUMMYFUNCTION("""COMPUTED_VALUE"""),"Commission Basis")</f>
        <v>Commission Basis</v>
      </c>
      <c r="D5" s="28" t="str">
        <f>IFERROR(__xludf.DUMMYFUNCTION("""COMPUTED_VALUE"""),"Soft Commission Basis")</f>
        <v>Soft Commission Basis</v>
      </c>
      <c r="E5" s="28" t="str">
        <f>IFERROR(__xludf.DUMMYFUNCTION("""COMPUTED_VALUE"""),"Execution Instruction")</f>
        <v>Execution Instruction</v>
      </c>
      <c r="F5" s="29" t="str">
        <f>IFERROR(__xludf.DUMMYFUNCTION("""COMPUTED_VALUE"""),"Venue")</f>
        <v>Venue</v>
      </c>
      <c r="G5" s="28" t="str">
        <f>IFERROR(__xludf.DUMMYFUNCTION("""COMPUTED_VALUE"""),"Algo Type")</f>
        <v>Algo Type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3"/>
      <c r="D6" s="31"/>
      <c r="E6" s="33"/>
      <c r="F6" s="33" t="s">
        <v>21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SetBrokerWisePreferencesTT!$4:$4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 t="s">
        <v>24</v>
      </c>
      <c r="D6" s="34">
        <v>100.0</v>
      </c>
      <c r="E6" s="33"/>
      <c r="F6" s="33"/>
      <c r="G6" s="32" t="s">
        <v>20</v>
      </c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2" t="s">
        <v>25</v>
      </c>
      <c r="C7" s="32" t="s">
        <v>24</v>
      </c>
      <c r="D7" s="35">
        <v>100.0</v>
      </c>
      <c r="E7" s="33"/>
      <c r="F7" s="33"/>
      <c r="G7" s="32" t="s">
        <v>20</v>
      </c>
      <c r="H7" s="33"/>
      <c r="I7" s="33"/>
      <c r="J7" s="35">
        <v>10.0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23</v>
      </c>
      <c r="C6" s="37">
        <v>10.0</v>
      </c>
      <c r="D6" s="36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 t="s">
        <v>25</v>
      </c>
      <c r="C7" s="37">
        <v>10.0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9">
        <f>TODAY()-1</f>
        <v>45076</v>
      </c>
      <c r="C6" s="39">
        <f>TODAY()</f>
        <v>45077</v>
      </c>
      <c r="D6" s="36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30</v>
      </c>
      <c r="C6" s="38" t="s">
        <v>31</v>
      </c>
      <c r="D6" s="40">
        <v>10000.0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 t="s">
        <v>34</v>
      </c>
      <c r="D6" s="31"/>
      <c r="E6" s="35">
        <v>100.0</v>
      </c>
      <c r="F6" s="32"/>
      <c r="G6" s="32" t="s">
        <v>35</v>
      </c>
      <c r="H6" s="32" t="s">
        <v>36</v>
      </c>
      <c r="I6" s="32" t="s">
        <v>30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25</v>
      </c>
      <c r="C6" s="38" t="s">
        <v>34</v>
      </c>
      <c r="D6" s="36"/>
      <c r="E6" s="37">
        <v>100.0</v>
      </c>
      <c r="F6" s="38"/>
      <c r="G6" s="38" t="s">
        <v>35</v>
      </c>
      <c r="H6" s="38" t="s">
        <v>36</v>
      </c>
      <c r="I6" s="38" t="s">
        <v>30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 t="s">
        <v>25</v>
      </c>
      <c r="AJ7" s="33" t="s">
        <v>24</v>
      </c>
      <c r="AK7" s="33" t="s">
        <v>37</v>
      </c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/>
      <c r="C6" s="38"/>
      <c r="D6" s="36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 t="s">
        <v>23</v>
      </c>
      <c r="AJ6" s="38" t="s">
        <v>24</v>
      </c>
      <c r="AK6" s="38" t="s">
        <v>37</v>
      </c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 t="s">
        <v>25</v>
      </c>
      <c r="AJ7" s="38" t="s">
        <v>24</v>
      </c>
      <c r="AK7" s="38" t="s">
        <v>37</v>
      </c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IFERROR(__xludf.DUMMYFUNCTION("""COMPUTED_VALUE"""),"ClearOldCA")</f>
        <v>ClearOldCA</v>
      </c>
      <c r="AL5" s="30" t="str">
        <f>IFERROR(__xludf.DUMMYFUNCTION("""COMPUTED_VALUE"""),"Custom Account")</f>
        <v>Custom Account</v>
      </c>
      <c r="AM5" s="30" t="str">
        <f>IFERROR(__xludf.DUMMYFUNCTION("""COMPUTED_VALUE"""),"Custom Account %")</f>
        <v>Custom Account %</v>
      </c>
      <c r="AN5" s="30" t="str">
        <f>IFERROR(__xludf.DUMMYFUNCTION("""COMPUTED_VALUE"""),"ClickOnCommit")</f>
        <v>ClickOnCommit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/>
      <c r="C6" s="38"/>
      <c r="D6" s="36"/>
      <c r="E6" s="38"/>
      <c r="F6" s="38"/>
      <c r="G6" s="38" t="s">
        <v>20</v>
      </c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/>
      <c r="C7" s="38"/>
      <c r="D7" s="38"/>
      <c r="E7" s="38"/>
      <c r="F7" s="38"/>
      <c r="G7" s="38" t="s">
        <v>20</v>
      </c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BulkUpdateUsingMTT!$4:$4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 t="s">
        <v>24</v>
      </c>
      <c r="D6" s="31"/>
      <c r="E6" s="32"/>
      <c r="F6" s="32" t="s">
        <v>30</v>
      </c>
      <c r="G6" s="32" t="s">
        <v>20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25</v>
      </c>
      <c r="C7" s="32" t="s">
        <v>24</v>
      </c>
      <c r="D7" s="32"/>
      <c r="E7" s="32"/>
      <c r="F7" s="32" t="s">
        <v>30</v>
      </c>
      <c r="G7" s="32" t="s">
        <v>20</v>
      </c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VerifyMTT!$4:$4</formula1>
    </dataValidation>
  </dataValidations>
  <drawing r:id="rId1"/>
</worksheet>
</file>