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OpenRTPNL" sheetId="5" r:id="rId7"/>
    <sheet state="visible" name="CheckSymbolLevelAggregation" sheetId="6" r:id="rId8"/>
    <sheet state="visible" name="CheckRealTimeSymbolFundMonitor" sheetId="7" r:id="rId9"/>
    <sheet state="visible" name="CheckRealTimeSymAccountMonitor" sheetId="8" r:id="rId10"/>
    <sheet state="visible" name="GetDataSymbolLookup" sheetId="9" r:id="rId11"/>
    <sheet state="visible" name="EditSMGridUi" sheetId="10" r:id="rId12"/>
    <sheet state="visible" name="CheckSymbolLevelAggregation1" sheetId="11" r:id="rId13"/>
    <sheet state="visible" name="CheckRealTimeSymbolFundMonitor1" sheetId="12" r:id="rId14"/>
    <sheet state="visible" name="CheckRealTimeSymAccountMonitor1" sheetId="13" r:id="rId15"/>
    <sheet state="visible" name="CloseRTPNL" sheetId="14" r:id="rId16"/>
  </sheets>
  <definedNames/>
  <calcPr/>
</workbook>
</file>

<file path=xl/sharedStrings.xml><?xml version="1.0" encoding="utf-8"?>
<sst xmlns="http://schemas.openxmlformats.org/spreadsheetml/2006/main" count="126" uniqueCount="37">
  <si>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</si>
  <si>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</si>
  <si>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</si>
  <si>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</si>
  <si>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</si>
  <si>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</si>
  <si>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</si>
  <si>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</si>
  <si>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</si>
  <si>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</si>
  <si>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</si>
  <si>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</si>
  <si>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</si>
  <si>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</si>
  <si>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</si>
  <si>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</si>
  <si>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</si>
  <si>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</si>
  <si>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</si>
  <si>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RTPNL</t>
  </si>
  <si>
    <t>OpenRTPNL</t>
  </si>
  <si>
    <t>Nirvana,PM</t>
  </si>
  <si>
    <t>CheckSymbolLevelAggregation</t>
  </si>
  <si>
    <t>APPLE</t>
  </si>
  <si>
    <t>AAPL US EQUITY</t>
  </si>
  <si>
    <t>CheckRealTimeSymbolFundMonitor</t>
  </si>
  <si>
    <t>NewMF</t>
  </si>
  <si>
    <t>Equity</t>
  </si>
  <si>
    <t>CheckRealTimeSymAccountMonitor</t>
  </si>
  <si>
    <t>SymbolLookup</t>
  </si>
  <si>
    <t>GetDataSymbolLookup</t>
  </si>
  <si>
    <t>Exact</t>
  </si>
  <si>
    <t>EditSMGridUi</t>
  </si>
  <si>
    <t>YES</t>
  </si>
  <si>
    <t>aapl us equity</t>
  </si>
  <si>
    <t>CloseRTPNL</t>
  </si>
  <si>
    <t>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</si>
</sst>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2" t="s">
        <v>18</v>
      </c>
      <c r="G6" s="34"/>
      <c r="H6" s="34"/>
      <c r="I6" s="34"/>
      <c r="J6" s="35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21</v>
      </c>
      <c r="C6" s="34"/>
      <c r="D6" s="30"/>
      <c r="E6" s="36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23</v>
      </c>
      <c r="D6" s="33">
        <v>100.0</v>
      </c>
      <c r="E6" s="35">
        <v>200.0</v>
      </c>
      <c r="F6" s="35">
        <v>0.0</v>
      </c>
      <c r="G6" s="35">
        <v>0.0</v>
      </c>
      <c r="H6" s="35">
        <v>200.0</v>
      </c>
      <c r="I6" s="35">
        <v>0.0</v>
      </c>
      <c r="J6" s="35">
        <v>0.0</v>
      </c>
      <c r="K6" s="35">
        <v>0.0</v>
      </c>
      <c r="L6" s="35">
        <v>0.0</v>
      </c>
      <c r="M6" s="35">
        <v>0.0</v>
      </c>
      <c r="N6" s="35">
        <v>200.0</v>
      </c>
      <c r="O6" s="35">
        <v>0.0</v>
      </c>
      <c r="P6" s="37">
        <v>0.0</v>
      </c>
      <c r="Q6" s="34"/>
      <c r="R6" s="34"/>
      <c r="S6" s="34"/>
      <c r="T6" s="34"/>
      <c r="U6" s="34"/>
      <c r="V6" s="38" t="s">
        <v>24</v>
      </c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CheckSymbolLevelAggregation!$4:$4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IFERROR(__xludf.DUMMYFUNCTION("""COMPUTED_VALUE"""),"Asset Class")</f>
        <v>Asset Class</v>
      </c>
      <c r="F5" s="28" t="str">
        <f>IFERROR(__xludf.DUMMYFUNCTION("""COMPUTED_VALUE"""),"Position")</f>
        <v>Position</v>
      </c>
      <c r="G5" s="27" t="str">
        <f>IFERROR(__xludf.DUMMYFUNCTION("""COMPUTED_VALUE"""),"Position Side")</f>
        <v>Position Side</v>
      </c>
      <c r="H5" s="27" t="str">
        <f>IFERROR(__xludf.DUMMYFUNCTION("""COMPUTED_VALUE"""),"Px Selected Feed (Local)")</f>
        <v>Px Selected Feed (Local)</v>
      </c>
      <c r="I5" s="27" t="str">
        <f>IFERROR(__xludf.DUMMYFUNCTION("""COMPUTED_VALUE"""),"Px Selected Feed (Base)")</f>
        <v>Px Selected Feed (Base)</v>
      </c>
      <c r="J5" s="27" t="str">
        <f>IFERROR(__xludf.DUMMYFUNCTION("""COMPUTED_VALUE"""),"Market Value (Base)")</f>
        <v>Market Value (Base)</v>
      </c>
      <c r="K5" s="27" t="str">
        <f>IFERROR(__xludf.DUMMYFUNCTION("""COMPUTED_VALUE"""),"% Net Market Value (Base)")</f>
        <v>% Net Market Value (Base)</v>
      </c>
      <c r="L5" s="27" t="str">
        <f>IFERROR(__xludf.DUMMYFUNCTION("""COMPUTED_VALUE"""),"Cost Basis P&amp;L (Base)")</f>
        <v>Cost Basis P&amp;L (Base)</v>
      </c>
      <c r="M5" s="27" t="str">
        <f>IFERROR(__xludf.DUMMYFUNCTION("""COMPUTED_VALUE"""),"% Gain/Loss Cost")</f>
        <v>% Gain/Loss Cost</v>
      </c>
      <c r="N5" s="27" t="str">
        <f>IFERROR(__xludf.DUMMYFUNCTION("""COMPUTED_VALUE"""),"Day P&amp;L (Base)")</f>
        <v>Day P&amp;L (Base)</v>
      </c>
      <c r="O5" s="27" t="str">
        <f>IFERROR(__xludf.DUMMYFUNCTION("""COMPUTED_VALUE"""),"% Gain/Loss Day")</f>
        <v>% Gain/Loss Day</v>
      </c>
      <c r="P5" s="27" t="str">
        <f>IFERROR(__xludf.DUMMYFUNCTION("""COMPUTED_VALUE"""),"Exposure (Base)")</f>
        <v>Exposure (Base)</v>
      </c>
      <c r="Q5" s="27" t="str">
        <f>IFERROR(__xludf.DUMMYFUNCTION("""COMPUTED_VALUE"""),"% Exposure (Base)")</f>
        <v>% Exposure (Base)</v>
      </c>
      <c r="R5" s="27" t="str">
        <f>IFERROR(__xludf.DUMMYFUNCTION("""COMPUTED_VALUE"""),"Live Feed Provider Ticker")</f>
        <v>Live Feed Provider Ticker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 t="str">
        <f>IFERROR(__xludf.DUMMYFUNCTION("""COMPUTED_VALUE"""),"Bloomberg Symbol")</f>
        <v>Bloomberg Symbol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23</v>
      </c>
      <c r="D6" s="31" t="s">
        <v>26</v>
      </c>
      <c r="E6" s="32" t="s">
        <v>27</v>
      </c>
      <c r="F6" s="35">
        <v>100.0</v>
      </c>
      <c r="G6" s="34"/>
      <c r="H6" s="35">
        <v>2.0</v>
      </c>
      <c r="I6" s="35">
        <v>2.0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9" t="s">
        <v>24</v>
      </c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CheckRealTimeSymbolFundMonitor!$4:$4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23</v>
      </c>
      <c r="D6" s="31" t="s">
        <v>26</v>
      </c>
      <c r="E6" s="9" t="s">
        <v>18</v>
      </c>
      <c r="F6" s="32" t="s">
        <v>27</v>
      </c>
      <c r="G6" s="40">
        <v>100.0</v>
      </c>
      <c r="I6" s="35">
        <v>2.0</v>
      </c>
      <c r="J6" s="35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9" t="s">
        <v>24</v>
      </c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CheckRealTimeSymAccountMonitor!$4:$4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IFERROR(__xludf.DUMMYFUNCTION("""COMPUTED_VALUE"""),"TradeID")</f>
        <v>TradeID</v>
      </c>
      <c r="C5" s="27" t="str">
        <f>IFERROR(__xludf.DUMMYFUNCTION("""COMPUTED_VALUE"""),"Symbol")</f>
        <v>Symbol</v>
      </c>
      <c r="D5" s="27" t="str">
        <f>IFERROR(__xludf.DUMMYFUNCTION("""COMPUTED_VALUE"""),"Search Type")</f>
        <v>Search Type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31" t="s">
        <v>31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GetDataSymbolLookup!$4:$4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1"/>
      <c r="F6" s="8"/>
      <c r="G6" s="8"/>
      <c r="H6" s="12" t="s">
        <v>16</v>
      </c>
      <c r="I6" s="12" t="s">
        <v>33</v>
      </c>
      <c r="J6" s="12" t="s">
        <v>34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EditSMGridUi!$4:$4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23</v>
      </c>
      <c r="D6" s="33">
        <v>100.0</v>
      </c>
      <c r="E6" s="35">
        <v>200.0</v>
      </c>
      <c r="F6" s="35">
        <v>0.0</v>
      </c>
      <c r="G6" s="35">
        <v>0.0</v>
      </c>
      <c r="H6" s="35">
        <v>200.0</v>
      </c>
      <c r="I6" s="35">
        <v>0.0</v>
      </c>
      <c r="J6" s="35">
        <v>0.0</v>
      </c>
      <c r="K6" s="35">
        <v>0.0</v>
      </c>
      <c r="L6" s="35">
        <v>0.0</v>
      </c>
      <c r="M6" s="35">
        <v>0.0</v>
      </c>
      <c r="N6" s="35">
        <v>200.0</v>
      </c>
      <c r="O6" s="35">
        <v>0.0</v>
      </c>
      <c r="P6" s="37">
        <v>0.0</v>
      </c>
      <c r="Q6" s="34"/>
      <c r="R6" s="34"/>
      <c r="S6" s="34"/>
      <c r="T6" s="34"/>
      <c r="U6" s="34"/>
      <c r="V6" s="12" t="s">
        <v>34</v>
      </c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CheckSymbolLevelAggregation1!$4:$4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IFERROR(__xludf.DUMMYFUNCTION("""COMPUTED_VALUE"""),"Asset Class")</f>
        <v>Asset Class</v>
      </c>
      <c r="F5" s="28" t="str">
        <f>IFERROR(__xludf.DUMMYFUNCTION("""COMPUTED_VALUE"""),"Position")</f>
        <v>Position</v>
      </c>
      <c r="G5" s="27" t="str">
        <f>IFERROR(__xludf.DUMMYFUNCTION("""COMPUTED_VALUE"""),"Position Side")</f>
        <v>Position Side</v>
      </c>
      <c r="H5" s="27" t="str">
        <f>IFERROR(__xludf.DUMMYFUNCTION("""COMPUTED_VALUE"""),"Px Selected Feed (Local)")</f>
        <v>Px Selected Feed (Local)</v>
      </c>
      <c r="I5" s="27" t="str">
        <f>IFERROR(__xludf.DUMMYFUNCTION("""COMPUTED_VALUE"""),"Px Selected Feed (Base)")</f>
        <v>Px Selected Feed (Base)</v>
      </c>
      <c r="J5" s="27" t="str">
        <f>IFERROR(__xludf.DUMMYFUNCTION("""COMPUTED_VALUE"""),"Market Value (Base)")</f>
        <v>Market Value (Base)</v>
      </c>
      <c r="K5" s="27" t="str">
        <f>IFERROR(__xludf.DUMMYFUNCTION("""COMPUTED_VALUE"""),"% Net Market Value (Base)")</f>
        <v>% Net Market Value (Base)</v>
      </c>
      <c r="L5" s="27" t="str">
        <f>IFERROR(__xludf.DUMMYFUNCTION("""COMPUTED_VALUE"""),"Cost Basis P&amp;L (Base)")</f>
        <v>Cost Basis P&amp;L (Base)</v>
      </c>
      <c r="M5" s="27" t="str">
        <f>IFERROR(__xludf.DUMMYFUNCTION("""COMPUTED_VALUE"""),"% Gain/Loss Cost")</f>
        <v>% Gain/Loss Cost</v>
      </c>
      <c r="N5" s="27" t="str">
        <f>IFERROR(__xludf.DUMMYFUNCTION("""COMPUTED_VALUE"""),"Day P&amp;L (Base)")</f>
        <v>Day P&amp;L (Base)</v>
      </c>
      <c r="O5" s="27" t="str">
        <f>IFERROR(__xludf.DUMMYFUNCTION("""COMPUTED_VALUE"""),"% Gain/Loss Day")</f>
        <v>% Gain/Loss Day</v>
      </c>
      <c r="P5" s="27" t="str">
        <f>IFERROR(__xludf.DUMMYFUNCTION("""COMPUTED_VALUE"""),"Exposure (Base)")</f>
        <v>Exposure (Base)</v>
      </c>
      <c r="Q5" s="27" t="str">
        <f>IFERROR(__xludf.DUMMYFUNCTION("""COMPUTED_VALUE"""),"% Exposure (Base)")</f>
        <v>% Exposure (Base)</v>
      </c>
      <c r="R5" s="27" t="str">
        <f>IFERROR(__xludf.DUMMYFUNCTION("""COMPUTED_VALUE"""),"Live Feed Provider Ticker")</f>
        <v>Live Feed Provider Ticker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 t="str">
        <f>IFERROR(__xludf.DUMMYFUNCTION("""COMPUTED_VALUE"""),"Bloomberg Symbol")</f>
        <v>Bloomberg Symbol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23</v>
      </c>
      <c r="D6" s="31" t="s">
        <v>26</v>
      </c>
      <c r="E6" s="32" t="s">
        <v>27</v>
      </c>
      <c r="F6" s="35">
        <v>100.0</v>
      </c>
      <c r="G6" s="34"/>
      <c r="H6" s="35">
        <v>2.0</v>
      </c>
      <c r="I6" s="35">
        <v>2.0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12" t="s">
        <v>34</v>
      </c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CheckRealTimeSymbolFundMonitor1!$4:$4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23</v>
      </c>
      <c r="D6" s="31" t="s">
        <v>26</v>
      </c>
      <c r="E6" s="9" t="s">
        <v>18</v>
      </c>
      <c r="F6" s="32" t="s">
        <v>27</v>
      </c>
      <c r="G6" s="40">
        <v>100.0</v>
      </c>
      <c r="I6" s="35">
        <v>2.0</v>
      </c>
      <c r="J6" s="35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12" t="s">
        <v>34</v>
      </c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36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