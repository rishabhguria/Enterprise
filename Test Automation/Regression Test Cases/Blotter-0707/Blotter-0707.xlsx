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ustomOrderT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AllocateFromBlotter" sheetId="13" r:id="rId15"/>
    <sheet state="visible" name="VerifyOrder1" sheetId="14" r:id="rId16"/>
    <sheet state="visible" name="CheckAllocatedGroups1" sheetId="15" r:id="rId17"/>
    <sheet state="visible" name="ExecuteTrade1" sheetId="16" r:id="rId18"/>
    <sheet state="visible" name="VerifyOrder2" sheetId="17" r:id="rId19"/>
    <sheet state="visible" name="CheckAllocatedGroups2" sheetId="18" r:id="rId20"/>
    <sheet state="visible" name="SelectTradeOnOrderGrid" sheetId="19" r:id="rId21"/>
  </sheets>
  <definedNames/>
  <calcPr/>
</workbook>
</file>

<file path=xl/sharedStrings.xml><?xml version="1.0" encoding="utf-8"?>
<sst xmlns="http://schemas.openxmlformats.org/spreadsheetml/2006/main" count="172" uniqueCount="42">
  <si>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</si>
  <si>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</si>
  <si>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</si>
  <si>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</si>
  <si>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</si>
  <si>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</si>
  <si>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</si>
  <si>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</si>
  <si>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</si>
  <si>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</si>
  <si>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</si>
  <si>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</si>
  <si>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</si>
  <si>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</si>
  <si>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</si>
  <si>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</si>
  <si>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</si>
  <si>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</si>
  <si>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Allocation1,Allocation3</t>
  </si>
  <si>
    <t>50,50</t>
  </si>
  <si>
    <t>Allocation</t>
  </si>
  <si>
    <t>SetGeneralPreferences</t>
  </si>
  <si>
    <t>ABC</t>
  </si>
  <si>
    <t>RunProrata</t>
  </si>
  <si>
    <t>CustomOrderTT</t>
  </si>
  <si>
    <t>Send</t>
  </si>
  <si>
    <t>Allocation2</t>
  </si>
  <si>
    <t>GTC</t>
  </si>
  <si>
    <t>Limit</t>
  </si>
  <si>
    <t>Simulator</t>
  </si>
  <si>
    <t>SelectTrade</t>
  </si>
  <si>
    <t>AcknowledgeTrade</t>
  </si>
  <si>
    <t>ExecuteTrade</t>
  </si>
  <si>
    <t>Blotter</t>
  </si>
  <si>
    <t>VerifyOrder</t>
  </si>
  <si>
    <t>PartiallyFilled</t>
  </si>
  <si>
    <t>MS</t>
  </si>
  <si>
    <t>CheckAllocatedGroups</t>
  </si>
  <si>
    <t>AllocateFromBlotter</t>
  </si>
  <si>
    <t>Allocation3</t>
  </si>
  <si>
    <t>Multiple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</si>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</sst>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6" fontId="14" numFmtId="164" xfId="0" applyAlignment="1" applyFill="1" applyFont="1" applyNumberFormat="1">
      <alignment horizontal="right" vertical="bottom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8"/>
      <c r="H6" s="8"/>
      <c r="I6" s="8"/>
      <c r="J6" s="13">
        <v>2.0</v>
      </c>
      <c r="K6" s="8"/>
      <c r="L6" s="8"/>
      <c r="M6" s="8"/>
      <c r="N6" s="32">
        <f>TODAY()-1</f>
        <v>45744</v>
      </c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5" t="s">
        <v>22</v>
      </c>
      <c r="Y6" s="34"/>
      <c r="Z6" s="36" t="b">
        <v>1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>today()-1</f>
        <v>45744</v>
      </c>
      <c r="C6" s="35" t="s">
        <v>22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10000.0</v>
      </c>
      <c r="D6" s="13">
        <v>5.0</v>
      </c>
      <c r="E6" s="35" t="s">
        <v>25</v>
      </c>
      <c r="F6" s="8"/>
      <c r="G6" s="8"/>
      <c r="H6" s="8"/>
      <c r="I6" s="13" t="s">
        <v>26</v>
      </c>
      <c r="J6" s="13" t="s">
        <v>17</v>
      </c>
      <c r="K6" s="8"/>
      <c r="L6" s="8"/>
      <c r="M6" s="8"/>
      <c r="N6" s="8"/>
      <c r="O6" s="8"/>
      <c r="U6" s="9" t="s">
        <v>27</v>
      </c>
      <c r="V6" s="9" t="s">
        <v>28</v>
      </c>
      <c r="X6" s="9">
        <v>5.0</v>
      </c>
      <c r="Z6" s="38">
        <f>today()</f>
        <v>45745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10000.0</v>
      </c>
      <c r="AM6" s="9">
        <v>1.0</v>
      </c>
      <c r="AS6" s="9" t="s">
        <v>36</v>
      </c>
      <c r="AT6" s="9" t="s">
        <v>26</v>
      </c>
      <c r="AU6" s="9" t="s">
        <v>28</v>
      </c>
      <c r="BH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BJ6" s="9">
        <v>10000.0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10000.0</v>
      </c>
      <c r="AM6" s="9">
        <v>1.0</v>
      </c>
      <c r="AS6" s="9" t="s">
        <v>36</v>
      </c>
      <c r="AT6" s="9" t="s">
        <v>26</v>
      </c>
      <c r="AU6" s="9" t="s">
        <v>28</v>
      </c>
      <c r="BH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BJ6" s="9">
        <v>10000.0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10000.0</v>
      </c>
      <c r="AM6" s="9">
        <v>5001.0</v>
      </c>
      <c r="AS6" s="9" t="s">
        <v>36</v>
      </c>
      <c r="AT6" s="9" t="s">
        <v>26</v>
      </c>
      <c r="AU6" s="9" t="s">
        <v>28</v>
      </c>
      <c r="BH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5001.0</v>
      </c>
      <c r="BJ6" s="9">
        <v>10000.0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9" t="s">
        <v>16</v>
      </c>
      <c r="F6" s="9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