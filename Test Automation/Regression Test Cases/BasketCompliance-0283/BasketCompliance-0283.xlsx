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FetchAccountPositions" sheetId="13" r:id="rId15"/>
    <sheet state="visible" name="AddCash" sheetId="14" r:id="rId16"/>
    <sheet state="visible" name="RunRebalance" sheetId="15" r:id="rId17"/>
    <sheet state="visible" name="CheckBasketCompliance" sheetId="16" r:id="rId18"/>
    <sheet state="visible" name="SendToStagingExport" sheetId="17" r:id="rId19"/>
    <sheet state="visible" name="SelectTradeOnOrderGrid" sheetId="18" r:id="rId20"/>
    <sheet state="visible" name="ReplaceSubOrder" sheetId="19" r:id="rId21"/>
    <sheet state="visible" name="CreateReplaceOrder" sheetId="20" r:id="rId22"/>
    <sheet state="visible" name="VerifyComplianceOrder" sheetId="21" r:id="rId23"/>
    <sheet state="visible" name="EditOrder" sheetId="22" r:id="rId24"/>
  </sheets>
  <definedNames/>
  <calcPr/>
</workbook>
</file>

<file path=xl/sharedStrings.xml><?xml version="1.0" encoding="utf-8"?>
<sst xmlns="http://schemas.openxmlformats.org/spreadsheetml/2006/main" count="280" uniqueCount="70">
  <si>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</si>
  <si>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</si>
  <si>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</si>
  <si>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</si>
  <si>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</si>
  <si>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</si>
  <si>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</si>
  <si>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</si>
  <si>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</si>
  <si>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</si>
  <si>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</si>
  <si>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</si>
  <si>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</si>
  <si>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</si>
  <si>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</si>
  <si>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</si>
  <si>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</si>
  <si>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</si>
  <si>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</si>
  <si>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</si>
  <si>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</si>
  <si>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</si>
  <si>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</si>
  <si>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</si>
  <si>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</si>
  <si>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</si>
  <si>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</si>
  <si>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</si>
  <si>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</si>
  <si>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</si>
  <si>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</si>
  <si>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</si>
  <si>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</si>
  <si>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</si>
  <si>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</si>
  <si>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</si>
  <si>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</si>
  <si>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</si>
  <si>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</si>
  <si>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</si>
  <si>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</si>
  <si>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</si>
  <si>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</si>
  <si>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</si>
  <si>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</si>
  <si>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</si>
  <si>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</si>
  <si>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</si>
  <si>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</si>
  <si>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Rule_GMV</t>
  </si>
  <si>
    <t>Enter Summary</t>
  </si>
  <si>
    <t>NewMF-IBM</t>
  </si>
  <si>
    <t>percentGrossMarketValueMasterFund: 0.352, MasterFundName: NewMF, Symbol: IBM</t>
  </si>
  <si>
    <t>NewMF-123456789</t>
  </si>
  <si>
    <t>percentGrossMarketValueMasterFund: 0.0035, MasterFundName: NewMF, Symbol: 123456789</t>
  </si>
  <si>
    <t>NewMF-038315EW3</t>
  </si>
  <si>
    <t>percentGrossMarketValueMasterFund: 0.0035, MasterFundName: NewMF, Symbol: 038315EW3</t>
  </si>
  <si>
    <t>NewMF-FRU-TC</t>
  </si>
  <si>
    <t>percentGrossMarketValueMasterFund: 0.5189, MasterFundName: NewMF, Symbol: FRU-TC</t>
  </si>
  <si>
    <t>SendToStagingExport</t>
  </si>
  <si>
    <t>Blotter</t>
  </si>
  <si>
    <t>SelectTradeOnOrderGrid</t>
  </si>
  <si>
    <t>New</t>
  </si>
  <si>
    <t>ReplaceSubOrder</t>
  </si>
  <si>
    <t>CreateReplaceOrder</t>
  </si>
  <si>
    <t>VerifyComplianceOrder</t>
  </si>
  <si>
    <t>percentGrossMarketValueMasterFund: 0.7788, MasterFundName: NewMF, Symbol: FRU-TC</t>
  </si>
  <si>
    <t>Replace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</si>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</sst>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4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10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22</v>
      </c>
      <c r="D6" s="34">
        <v>100.0</v>
      </c>
      <c r="E6" s="33"/>
      <c r="F6" s="33" t="s">
        <v>23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21</v>
      </c>
      <c r="C7" s="33" t="s">
        <v>22</v>
      </c>
      <c r="D7" s="35">
        <v>100.0</v>
      </c>
      <c r="E7" s="35">
        <v>0.0</v>
      </c>
      <c r="F7" s="33" t="s">
        <v>23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18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6"/>
      <c r="B8" s="37" t="s">
        <v>24</v>
      </c>
      <c r="C8" s="33" t="s">
        <v>25</v>
      </c>
      <c r="D8" s="35">
        <v>10.0</v>
      </c>
      <c r="E8" s="33"/>
      <c r="F8" s="33" t="s">
        <v>23</v>
      </c>
      <c r="G8" s="33"/>
      <c r="H8" s="33"/>
      <c r="I8" s="33"/>
      <c r="J8" s="35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18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6"/>
      <c r="B9" s="37" t="s">
        <v>24</v>
      </c>
      <c r="C9" s="38" t="s">
        <v>25</v>
      </c>
      <c r="D9" s="39">
        <v>10.0</v>
      </c>
      <c r="E9" s="39">
        <v>0.0</v>
      </c>
      <c r="F9" s="40" t="s">
        <v>23</v>
      </c>
      <c r="G9" s="40"/>
      <c r="H9" s="40"/>
      <c r="I9" s="40"/>
      <c r="J9" s="35">
        <v>10.0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18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6"/>
      <c r="B10" s="37" t="s">
        <v>26</v>
      </c>
      <c r="C10" s="37" t="s">
        <v>22</v>
      </c>
      <c r="D10" s="41">
        <v>100.0</v>
      </c>
      <c r="E10" s="37"/>
      <c r="F10" s="40" t="s">
        <v>23</v>
      </c>
      <c r="G10" s="37"/>
      <c r="H10" s="37"/>
      <c r="I10" s="37"/>
      <c r="J10" s="35">
        <v>10.0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18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6"/>
      <c r="B11" s="37" t="s">
        <v>26</v>
      </c>
      <c r="C11" s="37" t="s">
        <v>22</v>
      </c>
      <c r="D11" s="41">
        <v>100.0</v>
      </c>
      <c r="E11" s="42">
        <v>0.0</v>
      </c>
      <c r="F11" s="40" t="s">
        <v>23</v>
      </c>
      <c r="G11" s="37"/>
      <c r="H11" s="37"/>
      <c r="I11" s="37"/>
      <c r="J11" s="35">
        <v>10.0</v>
      </c>
      <c r="K11" s="40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18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7"/>
      <c r="B12" s="42">
        <v>1.23456789E8</v>
      </c>
      <c r="C12" s="37" t="s">
        <v>22</v>
      </c>
      <c r="D12" s="41">
        <v>100.0</v>
      </c>
      <c r="E12" s="37"/>
      <c r="F12" s="40" t="s">
        <v>23</v>
      </c>
      <c r="G12" s="37"/>
      <c r="H12" s="37"/>
      <c r="I12" s="37"/>
      <c r="J12" s="35">
        <v>10.0</v>
      </c>
      <c r="K12" s="37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18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43"/>
      <c r="B13" s="42">
        <v>1.23456789E8</v>
      </c>
      <c r="C13" s="37" t="s">
        <v>22</v>
      </c>
      <c r="D13" s="41">
        <v>100.0</v>
      </c>
      <c r="E13" s="42">
        <v>0.0</v>
      </c>
      <c r="F13" s="40" t="s">
        <v>23</v>
      </c>
      <c r="G13" s="37"/>
      <c r="H13" s="37"/>
      <c r="I13" s="37"/>
      <c r="J13" s="35">
        <v>10.0</v>
      </c>
      <c r="K13" s="37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18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6"/>
      <c r="B14" s="37" t="s">
        <v>27</v>
      </c>
      <c r="C14" s="37" t="s">
        <v>22</v>
      </c>
      <c r="D14" s="41">
        <v>100.0</v>
      </c>
      <c r="E14" s="37"/>
      <c r="F14" s="40" t="s">
        <v>23</v>
      </c>
      <c r="G14" s="37"/>
      <c r="H14" s="37"/>
      <c r="I14" s="37"/>
      <c r="J14" s="35">
        <v>10.0</v>
      </c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18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6"/>
      <c r="B15" s="37" t="s">
        <v>27</v>
      </c>
      <c r="C15" s="37" t="s">
        <v>22</v>
      </c>
      <c r="D15" s="41">
        <v>100.0</v>
      </c>
      <c r="E15" s="42">
        <v>0.0</v>
      </c>
      <c r="F15" s="40" t="s">
        <v>23</v>
      </c>
      <c r="G15" s="37"/>
      <c r="H15" s="37"/>
      <c r="I15" s="37"/>
      <c r="J15" s="35">
        <v>10.0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18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6"/>
      <c r="B16" s="37" t="s">
        <v>28</v>
      </c>
      <c r="C16" s="37" t="s">
        <v>22</v>
      </c>
      <c r="D16" s="41">
        <v>100.0</v>
      </c>
      <c r="E16" s="37"/>
      <c r="F16" s="40" t="s">
        <v>23</v>
      </c>
      <c r="G16" s="37"/>
      <c r="H16" s="37"/>
      <c r="I16" s="37"/>
      <c r="J16" s="35">
        <v>10.0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18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6"/>
      <c r="B17" s="37" t="s">
        <v>28</v>
      </c>
      <c r="C17" s="37" t="s">
        <v>22</v>
      </c>
      <c r="D17" s="41">
        <v>100.0</v>
      </c>
      <c r="E17" s="42">
        <v>0.0</v>
      </c>
      <c r="F17" s="40" t="s">
        <v>23</v>
      </c>
      <c r="G17" s="37"/>
      <c r="H17" s="37"/>
      <c r="I17" s="37"/>
      <c r="J17" s="35">
        <v>10.0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18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3" t="s">
        <v>22</v>
      </c>
      <c r="D6" s="34">
        <v>100.0</v>
      </c>
      <c r="E6" s="33"/>
      <c r="F6" s="33" t="s">
        <v>23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18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6"/>
      <c r="B7" s="37" t="s">
        <v>24</v>
      </c>
      <c r="C7" s="33" t="s">
        <v>25</v>
      </c>
      <c r="D7" s="35">
        <v>10.0</v>
      </c>
      <c r="E7" s="33"/>
      <c r="F7" s="33" t="s">
        <v>23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18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6"/>
      <c r="B8" s="37" t="s">
        <v>26</v>
      </c>
      <c r="C8" s="37" t="s">
        <v>22</v>
      </c>
      <c r="D8" s="41">
        <v>100.0</v>
      </c>
      <c r="E8" s="37"/>
      <c r="F8" s="33" t="s">
        <v>23</v>
      </c>
      <c r="G8" s="37"/>
      <c r="H8" s="37"/>
      <c r="I8" s="37"/>
      <c r="J8" s="35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18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7"/>
      <c r="B9" s="42">
        <v>1.23456789E8</v>
      </c>
      <c r="C9" s="37" t="s">
        <v>22</v>
      </c>
      <c r="D9" s="41">
        <v>100.0</v>
      </c>
      <c r="E9" s="37"/>
      <c r="F9" s="33" t="s">
        <v>23</v>
      </c>
      <c r="G9" s="37"/>
      <c r="H9" s="37"/>
      <c r="I9" s="37"/>
      <c r="J9" s="35">
        <v>10.0</v>
      </c>
      <c r="K9" s="3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18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6"/>
      <c r="B10" s="37" t="s">
        <v>27</v>
      </c>
      <c r="C10" s="37" t="s">
        <v>22</v>
      </c>
      <c r="D10" s="41">
        <v>100.0</v>
      </c>
      <c r="E10" s="37"/>
      <c r="F10" s="33" t="s">
        <v>23</v>
      </c>
      <c r="G10" s="37"/>
      <c r="H10" s="37"/>
      <c r="I10" s="37"/>
      <c r="J10" s="35">
        <v>10.0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18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6"/>
      <c r="B11" s="37" t="s">
        <v>28</v>
      </c>
      <c r="C11" s="37" t="s">
        <v>22</v>
      </c>
      <c r="D11" s="41">
        <v>100.0</v>
      </c>
      <c r="E11" s="37"/>
      <c r="F11" s="33" t="s">
        <v>23</v>
      </c>
      <c r="G11" s="37"/>
      <c r="H11" s="37"/>
      <c r="I11" s="37"/>
      <c r="J11" s="35">
        <v>10.0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18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21</v>
      </c>
      <c r="C6" s="45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27</v>
      </c>
      <c r="C7" s="35">
        <v>24.0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28</v>
      </c>
      <c r="C8" s="35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24</v>
      </c>
      <c r="C9" s="35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26</v>
      </c>
      <c r="C10" s="35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>
        <v>1.23456789E8</v>
      </c>
      <c r="C11" s="35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31</v>
      </c>
      <c r="C12" s="35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f t="shared" ref="B6:C6" si="1">today()-1</f>
        <v>45859</v>
      </c>
      <c r="C6" s="48">
        <f t="shared" si="1"/>
        <v>45859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35</v>
      </c>
      <c r="C6" s="50" t="s">
        <v>36</v>
      </c>
      <c r="D6" s="51" t="s">
        <v>37</v>
      </c>
      <c r="E6" s="45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>
        <f>today()-1</f>
        <v>45859</v>
      </c>
      <c r="C6" s="53">
        <f>today()</f>
        <v>45860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23</v>
      </c>
      <c r="C6" s="50" t="s">
        <v>35</v>
      </c>
      <c r="D6" s="13">
        <v>271823.0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5">
        <v>100000.0</v>
      </c>
      <c r="C6" s="56" t="s">
        <v>43</v>
      </c>
      <c r="D6" s="51" t="s">
        <v>44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8" t="s">
        <v>48</v>
      </c>
      <c r="C6" s="46" t="s">
        <v>49</v>
      </c>
      <c r="D6" s="58" t="s">
        <v>50</v>
      </c>
      <c r="E6" s="46" t="s">
        <v>51</v>
      </c>
      <c r="F6" s="35">
        <v>-10.0</v>
      </c>
      <c r="G6" s="35">
        <v>0.35</v>
      </c>
      <c r="H6" s="46" t="s">
        <v>52</v>
      </c>
      <c r="I6" s="33"/>
      <c r="J6" s="33"/>
      <c r="K6" s="8"/>
      <c r="L6" s="8"/>
      <c r="M6" s="8"/>
      <c r="N6" s="8"/>
      <c r="O6" s="8"/>
    </row>
    <row r="7" ht="15.75" customHeight="1">
      <c r="A7" s="8"/>
      <c r="B7" s="46" t="s">
        <v>48</v>
      </c>
      <c r="C7" s="46" t="s">
        <v>49</v>
      </c>
      <c r="D7" s="46" t="s">
        <v>50</v>
      </c>
      <c r="E7" s="46" t="s">
        <v>53</v>
      </c>
      <c r="F7" s="35">
        <v>-10.0</v>
      </c>
      <c r="G7" s="35">
        <v>0.0</v>
      </c>
      <c r="H7" s="46" t="s">
        <v>54</v>
      </c>
      <c r="I7" s="33"/>
      <c r="J7" s="33"/>
      <c r="K7" s="8"/>
      <c r="L7" s="8"/>
      <c r="M7" s="8"/>
      <c r="N7" s="8"/>
      <c r="O7" s="8"/>
    </row>
    <row r="8" ht="15.75" customHeight="1">
      <c r="A8" s="8"/>
      <c r="B8" s="46" t="s">
        <v>48</v>
      </c>
      <c r="C8" s="46" t="s">
        <v>49</v>
      </c>
      <c r="D8" s="46" t="s">
        <v>50</v>
      </c>
      <c r="E8" s="46" t="s">
        <v>55</v>
      </c>
      <c r="F8" s="35">
        <v>-10.0</v>
      </c>
      <c r="G8" s="35">
        <v>0.0</v>
      </c>
      <c r="H8" s="46" t="s">
        <v>56</v>
      </c>
      <c r="I8" s="33"/>
      <c r="J8" s="33"/>
      <c r="K8" s="8"/>
      <c r="L8" s="8"/>
      <c r="M8" s="8"/>
      <c r="N8" s="8"/>
      <c r="O8" s="8"/>
    </row>
    <row r="9" ht="15.75" customHeight="1">
      <c r="A9" s="8"/>
      <c r="B9" s="46" t="s">
        <v>48</v>
      </c>
      <c r="C9" s="46" t="s">
        <v>49</v>
      </c>
      <c r="D9" s="46" t="s">
        <v>50</v>
      </c>
      <c r="E9" s="46" t="s">
        <v>57</v>
      </c>
      <c r="F9" s="35">
        <v>-10.0</v>
      </c>
      <c r="G9" s="35">
        <v>0.52</v>
      </c>
      <c r="H9" s="46" t="s">
        <v>58</v>
      </c>
      <c r="I9" s="33"/>
      <c r="J9" s="3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 t="s">
        <v>23</v>
      </c>
      <c r="C6" s="9" t="s">
        <v>22</v>
      </c>
      <c r="D6" s="59">
        <v>1.23456789E8</v>
      </c>
      <c r="E6" s="60">
        <v>38.0</v>
      </c>
      <c r="F6" s="60">
        <v>20.0</v>
      </c>
      <c r="G6" s="8"/>
      <c r="H6" s="8"/>
      <c r="I6" s="13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59" t="s">
        <v>23</v>
      </c>
      <c r="C7" s="9" t="s">
        <v>22</v>
      </c>
      <c r="D7" s="59" t="s">
        <v>28</v>
      </c>
      <c r="E7" s="60">
        <v>38.0</v>
      </c>
      <c r="F7" s="60">
        <v>20.0</v>
      </c>
      <c r="G7" s="8"/>
      <c r="H7" s="8"/>
      <c r="I7" s="13" t="s">
        <v>18</v>
      </c>
      <c r="J7" s="8"/>
      <c r="K7" s="8"/>
      <c r="L7" s="8"/>
      <c r="M7" s="8"/>
      <c r="N7" s="8"/>
      <c r="O7" s="8"/>
    </row>
    <row r="8" ht="15.75" customHeight="1">
      <c r="A8" s="8"/>
      <c r="B8" s="59" t="s">
        <v>23</v>
      </c>
      <c r="C8" s="9" t="s">
        <v>22</v>
      </c>
      <c r="D8" s="59" t="s">
        <v>27</v>
      </c>
      <c r="E8" s="60">
        <v>38.0</v>
      </c>
      <c r="F8" s="60">
        <v>24.0</v>
      </c>
      <c r="G8" s="8"/>
      <c r="H8" s="8"/>
      <c r="I8" s="13" t="s">
        <v>18</v>
      </c>
      <c r="J8" s="8"/>
      <c r="K8" s="8"/>
      <c r="L8" s="8"/>
      <c r="M8" s="8"/>
      <c r="N8" s="8"/>
      <c r="O8" s="8"/>
    </row>
    <row r="9" ht="15.75" customHeight="1">
      <c r="A9" s="8"/>
      <c r="B9" s="59" t="s">
        <v>23</v>
      </c>
      <c r="C9" s="9" t="s">
        <v>22</v>
      </c>
      <c r="D9" s="59" t="s">
        <v>21</v>
      </c>
      <c r="E9" s="60">
        <v>38.0</v>
      </c>
      <c r="F9" s="60">
        <v>20.0</v>
      </c>
      <c r="G9" s="8"/>
      <c r="H9" s="8"/>
      <c r="I9" s="13" t="s">
        <v>18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58" t="s">
        <v>27</v>
      </c>
      <c r="E6" s="33"/>
      <c r="F6" s="46" t="s">
        <v>22</v>
      </c>
      <c r="G6" s="46" t="s">
        <v>62</v>
      </c>
      <c r="H6" s="35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23</v>
      </c>
      <c r="S6" s="33"/>
      <c r="T6" s="33"/>
      <c r="U6" s="33"/>
      <c r="V6" s="33"/>
      <c r="W6" s="33"/>
      <c r="X6" s="33"/>
      <c r="Y6" s="33"/>
      <c r="Z6" s="33"/>
      <c r="AA6" s="61">
        <v>100.0</v>
      </c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5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46" t="s">
        <v>27</v>
      </c>
      <c r="AK6" s="46" t="s">
        <v>22</v>
      </c>
      <c r="AL6" s="46" t="s">
        <v>62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200.0</v>
      </c>
      <c r="E6" s="33"/>
      <c r="F6" s="33"/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8" t="s">
        <v>48</v>
      </c>
      <c r="C6" s="46" t="s">
        <v>49</v>
      </c>
      <c r="D6" s="58" t="s">
        <v>50</v>
      </c>
      <c r="E6" s="46" t="s">
        <v>57</v>
      </c>
      <c r="F6" s="35">
        <v>-10.0</v>
      </c>
      <c r="G6" s="35">
        <v>0.78</v>
      </c>
      <c r="H6" s="46" t="s">
        <v>66</v>
      </c>
      <c r="I6" s="33"/>
      <c r="J6" s="33"/>
      <c r="K6" s="46" t="s">
        <v>18</v>
      </c>
      <c r="L6" s="33"/>
      <c r="M6" s="46" t="s">
        <v>67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68</v>
      </c>
      <c r="C6" s="8"/>
      <c r="D6" s="13" t="s">
        <v>69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