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1" activeTab="14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FilterPM" sheetId="6" r:id="rId6"/>
    <sheet name="CloseSelectedTaxlots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VerifyOrder" sheetId="12" r:id="rId12"/>
    <sheet name="GetDataAllocation" sheetId="13" r:id="rId13"/>
    <sheet name="CheckAllocatedGroups" sheetId="14" r:id="rId14"/>
    <sheet name="CheckPortfolioManagement1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BK5" i="15"/>
  <c r="BK5" i="5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M5" i="13"/>
  <c r="E5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AZ5" i="12"/>
  <c r="AR5" i="12"/>
  <c r="AJ5" i="12"/>
  <c r="AB5" i="12"/>
  <c r="T5" i="12"/>
  <c r="L5" i="12"/>
  <c r="D5" i="12"/>
  <c r="AP4" i="12"/>
  <c r="AH4" i="12"/>
  <c r="Z4" i="12"/>
  <c r="R4" i="12"/>
  <c r="J4" i="12"/>
  <c r="B4" i="12"/>
  <c r="T5" i="11"/>
  <c r="L5" i="11"/>
  <c r="D5" i="11"/>
  <c r="Y4" i="11"/>
  <c r="Q4" i="11"/>
  <c r="I4" i="11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AX5" i="12"/>
  <c r="AP5" i="12"/>
  <c r="AH5" i="12"/>
  <c r="Z5" i="12"/>
  <c r="R5" i="12"/>
  <c r="J5" i="12"/>
  <c r="B5" i="12"/>
  <c r="AN4" i="12"/>
  <c r="AF4" i="12"/>
  <c r="X4" i="12"/>
  <c r="P4" i="12"/>
  <c r="H4" i="12"/>
  <c r="Z5" i="11"/>
  <c r="R5" i="11"/>
  <c r="J5" i="11"/>
  <c r="B5" i="11"/>
  <c r="W4" i="11"/>
  <c r="O4" i="11"/>
  <c r="G4" i="11"/>
  <c r="Y5" i="10"/>
  <c r="Q5" i="10"/>
  <c r="I5" i="10"/>
  <c r="A5" i="10"/>
  <c r="V4" i="10"/>
  <c r="N4" i="10"/>
  <c r="F4" i="10"/>
  <c r="C5" i="9"/>
  <c r="X4" i="9"/>
  <c r="P4" i="9"/>
  <c r="H4" i="9"/>
  <c r="AO5" i="8"/>
  <c r="AG5" i="8"/>
  <c r="Y5" i="8"/>
  <c r="Q5" i="8"/>
  <c r="I5" i="8"/>
  <c r="A5" i="8"/>
  <c r="M4" i="8"/>
  <c r="E4" i="8"/>
  <c r="Y4" i="7"/>
  <c r="Q4" i="7"/>
  <c r="I4" i="7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W5" i="12"/>
  <c r="AO5" i="12"/>
  <c r="AG5" i="12"/>
  <c r="Y5" i="12"/>
  <c r="Q5" i="12"/>
  <c r="I5" i="12"/>
  <c r="A5" i="12"/>
  <c r="AM4" i="12"/>
  <c r="AE4" i="12"/>
  <c r="W4" i="12"/>
  <c r="O4" i="12"/>
  <c r="G4" i="12"/>
  <c r="Y5" i="11"/>
  <c r="Q5" i="11"/>
  <c r="I5" i="11"/>
  <c r="A5" i="11"/>
  <c r="V4" i="11"/>
  <c r="N4" i="11"/>
  <c r="F4" i="11"/>
  <c r="X5" i="10"/>
  <c r="P5" i="10"/>
  <c r="H5" i="10"/>
  <c r="AC4" i="10"/>
  <c r="U4" i="10"/>
  <c r="M4" i="10"/>
  <c r="E4" i="10"/>
  <c r="B5" i="9"/>
  <c r="W4" i="9"/>
  <c r="O4" i="9"/>
  <c r="G4" i="9"/>
  <c r="AN5" i="8"/>
  <c r="AF5" i="8"/>
  <c r="X5" i="8"/>
  <c r="P5" i="8"/>
  <c r="H5" i="8"/>
  <c r="T4" i="8"/>
  <c r="L4" i="8"/>
  <c r="D4" i="8"/>
  <c r="X4" i="7"/>
  <c r="P4" i="7"/>
  <c r="H4" i="7"/>
  <c r="C5" i="6"/>
  <c r="T4" i="6"/>
  <c r="L4" i="6"/>
  <c r="D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Y4" i="15"/>
  <c r="Q4" i="15"/>
  <c r="I4" i="15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U5" i="12"/>
  <c r="AM5" i="12"/>
  <c r="AE5" i="12"/>
  <c r="W5" i="12"/>
  <c r="O5" i="12"/>
  <c r="G5" i="12"/>
  <c r="AS4" i="12"/>
  <c r="AK4" i="12"/>
  <c r="AC4" i="12"/>
  <c r="U4" i="12"/>
  <c r="M4" i="12"/>
  <c r="E4" i="12"/>
  <c r="W5" i="11"/>
  <c r="O5" i="11"/>
  <c r="G5" i="11"/>
  <c r="AB4" i="11"/>
  <c r="T4" i="11"/>
  <c r="L4" i="11"/>
  <c r="D4" i="11"/>
  <c r="V5" i="10"/>
  <c r="N5" i="10"/>
  <c r="F5" i="10"/>
  <c r="AA4" i="10"/>
  <c r="S4" i="10"/>
  <c r="K4" i="10"/>
  <c r="C4" i="10"/>
  <c r="AC4" i="9"/>
  <c r="U4" i="9"/>
  <c r="M4" i="9"/>
  <c r="E4" i="9"/>
  <c r="AL5" i="8"/>
  <c r="AD5" i="8"/>
  <c r="V5" i="8"/>
  <c r="N5" i="8"/>
  <c r="F5" i="8"/>
  <c r="R4" i="8"/>
  <c r="J4" i="8"/>
  <c r="B4" i="8"/>
  <c r="V4" i="7"/>
  <c r="N4" i="7"/>
  <c r="F4" i="7"/>
  <c r="A5" i="6"/>
  <c r="R4" i="6"/>
  <c r="J4" i="6"/>
  <c r="B4" i="6"/>
  <c r="EU5" i="5"/>
  <c r="EM5" i="5"/>
  <c r="EE5" i="5"/>
  <c r="DW5" i="5"/>
  <c r="DO5" i="5"/>
  <c r="DG5" i="5"/>
  <c r="CY5" i="5"/>
  <c r="CQ5" i="5"/>
  <c r="CI5" i="5"/>
  <c r="CA5" i="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T5" i="12"/>
  <c r="AL5" i="12"/>
  <c r="AD5" i="12"/>
  <c r="V5" i="12"/>
  <c r="N5" i="12"/>
  <c r="F5" i="12"/>
  <c r="AR4" i="12"/>
  <c r="AJ4" i="12"/>
  <c r="AB4" i="12"/>
  <c r="T4" i="12"/>
  <c r="L4" i="12"/>
  <c r="D4" i="12"/>
  <c r="V5" i="11"/>
  <c r="N5" i="11"/>
  <c r="F5" i="11"/>
  <c r="AA4" i="11"/>
  <c r="S4" i="11"/>
  <c r="K4" i="11"/>
  <c r="C4" i="11"/>
  <c r="U5" i="10"/>
  <c r="M5" i="10"/>
  <c r="E5" i="10"/>
  <c r="Z4" i="10"/>
  <c r="R4" i="10"/>
  <c r="J4" i="10"/>
  <c r="B4" i="10"/>
  <c r="AB4" i="9"/>
  <c r="T4" i="9"/>
  <c r="L4" i="9"/>
  <c r="D4" i="9"/>
  <c r="AK5" i="8"/>
  <c r="AC5" i="8"/>
  <c r="U5" i="8"/>
  <c r="M5" i="8"/>
  <c r="E5" i="8"/>
  <c r="Q4" i="8"/>
  <c r="I4" i="8"/>
  <c r="CL5" i="14"/>
  <c r="Z5" i="14"/>
  <c r="BZ4" i="14"/>
  <c r="N4" i="14"/>
  <c r="DG4" i="13"/>
  <c r="CA4" i="13"/>
  <c r="AU4" i="13"/>
  <c r="O4" i="13"/>
  <c r="AQ5" i="12"/>
  <c r="U5" i="12"/>
  <c r="AT4" i="12"/>
  <c r="Y4" i="12"/>
  <c r="C4" i="12"/>
  <c r="H5" i="11"/>
  <c r="P4" i="11"/>
  <c r="W5" i="10"/>
  <c r="G5" i="10"/>
  <c r="T4" i="10"/>
  <c r="D4" i="10"/>
  <c r="V4" i="9"/>
  <c r="F4" i="9"/>
  <c r="AE5" i="8"/>
  <c r="O5" i="8"/>
  <c r="S4" i="8"/>
  <c r="C4" i="8"/>
  <c r="S4" i="7"/>
  <c r="E4" i="7"/>
  <c r="W4" i="6"/>
  <c r="M4" i="6"/>
  <c r="ER5" i="5"/>
  <c r="EH5" i="5"/>
  <c r="DV5" i="5"/>
  <c r="DL5" i="5"/>
  <c r="DB5" i="5"/>
  <c r="CP5" i="5"/>
  <c r="CF5" i="5"/>
  <c r="BV5" i="5"/>
  <c r="BL5" i="5"/>
  <c r="BC5" i="5"/>
  <c r="AT5" i="5"/>
  <c r="AK5" i="5"/>
  <c r="AB5" i="5"/>
  <c r="T5" i="5"/>
  <c r="L5" i="5"/>
  <c r="D5" i="5"/>
  <c r="U4" i="5"/>
  <c r="M4" i="5"/>
  <c r="E4" i="5"/>
  <c r="AL5" i="4"/>
  <c r="AD5" i="4"/>
  <c r="V5" i="4"/>
  <c r="N5" i="4"/>
  <c r="F5" i="4"/>
  <c r="R4" i="4"/>
  <c r="J4" i="4"/>
  <c r="B4" i="4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CD5" i="14"/>
  <c r="R5" i="14"/>
  <c r="BR4" i="14"/>
  <c r="F4" i="14"/>
  <c r="DD4" i="13"/>
  <c r="BX4" i="13"/>
  <c r="AR4" i="13"/>
  <c r="L4" i="13"/>
  <c r="AN5" i="12"/>
  <c r="S5" i="12"/>
  <c r="AQ4" i="12"/>
  <c r="V4" i="12"/>
  <c r="E5" i="11"/>
  <c r="M4" i="11"/>
  <c r="T5" i="10"/>
  <c r="D5" i="10"/>
  <c r="Q4" i="10"/>
  <c r="S4" i="9"/>
  <c r="C4" i="9"/>
  <c r="AB5" i="8"/>
  <c r="L5" i="8"/>
  <c r="P4" i="8"/>
  <c r="R4" i="7"/>
  <c r="D4" i="7"/>
  <c r="V4" i="6"/>
  <c r="K4" i="6"/>
  <c r="FA5" i="5"/>
  <c r="EQ5" i="5"/>
  <c r="EF5" i="5"/>
  <c r="DU5" i="5"/>
  <c r="DK5" i="5"/>
  <c r="CZ5" i="5"/>
  <c r="CO5" i="5"/>
  <c r="CE5" i="5"/>
  <c r="BT5" i="5"/>
  <c r="BB5" i="5"/>
  <c r="AS5" i="5"/>
  <c r="AJ5" i="5"/>
  <c r="AA5" i="5"/>
  <c r="S5" i="5"/>
  <c r="K5" i="5"/>
  <c r="C5" i="5"/>
  <c r="T4" i="5"/>
  <c r="L4" i="5"/>
  <c r="D4" i="5"/>
  <c r="AK5" i="4"/>
  <c r="AC5" i="4"/>
  <c r="U5" i="4"/>
  <c r="M5" i="4"/>
  <c r="E5" i="4"/>
  <c r="Q4" i="4"/>
  <c r="I4" i="4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BV5" i="14"/>
  <c r="J5" i="14"/>
  <c r="BJ4" i="14"/>
  <c r="CY4" i="13"/>
  <c r="BS4" i="13"/>
  <c r="AM4" i="13"/>
  <c r="G4" i="13"/>
  <c r="AK5" i="12"/>
  <c r="P5" i="12"/>
  <c r="AO4" i="12"/>
  <c r="S4" i="12"/>
  <c r="X5" i="11"/>
  <c r="C5" i="11"/>
  <c r="J4" i="11"/>
  <c r="S5" i="10"/>
  <c r="C5" i="10"/>
  <c r="P4" i="10"/>
  <c r="E5" i="9"/>
  <c r="R4" i="9"/>
  <c r="B4" i="9"/>
  <c r="AA5" i="8"/>
  <c r="K5" i="8"/>
  <c r="O4" i="8"/>
  <c r="C5" i="7"/>
  <c r="O4" i="7"/>
  <c r="C4" i="7"/>
  <c r="U4" i="6"/>
  <c r="I4" i="6"/>
  <c r="EZ5" i="5"/>
  <c r="EP5" i="5"/>
  <c r="ED5" i="5"/>
  <c r="DT5" i="5"/>
  <c r="DJ5" i="5"/>
  <c r="CX5" i="5"/>
  <c r="CN5" i="5"/>
  <c r="CD5" i="5"/>
  <c r="BS5" i="5"/>
  <c r="BJ5" i="5"/>
  <c r="BA5" i="5"/>
  <c r="AR5" i="5"/>
  <c r="AI5" i="5"/>
  <c r="Z5" i="5"/>
  <c r="R5" i="5"/>
  <c r="J5" i="5"/>
  <c r="B5" i="5"/>
  <c r="S4" i="5"/>
  <c r="K4" i="5"/>
  <c r="C4" i="5"/>
  <c r="AJ5" i="4"/>
  <c r="AB5" i="4"/>
  <c r="T5" i="4"/>
  <c r="L5" i="4"/>
  <c r="D5" i="4"/>
  <c r="P4" i="4"/>
  <c r="H4" i="4"/>
  <c r="A4" i="3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BN5" i="14"/>
  <c r="B5" i="14"/>
  <c r="BB4" i="14"/>
  <c r="P5" i="13"/>
  <c r="CV4" i="13"/>
  <c r="BP4" i="13"/>
  <c r="AJ4" i="13"/>
  <c r="D4" i="13"/>
  <c r="AI5" i="12"/>
  <c r="M5" i="12"/>
  <c r="AL4" i="12"/>
  <c r="Q4" i="12"/>
  <c r="U5" i="11"/>
  <c r="AC4" i="11"/>
  <c r="H4" i="11"/>
  <c r="R5" i="10"/>
  <c r="B5" i="10"/>
  <c r="O4" i="10"/>
  <c r="D5" i="9"/>
  <c r="Q4" i="9"/>
  <c r="Z5" i="8"/>
  <c r="J5" i="8"/>
  <c r="N4" i="8"/>
  <c r="B5" i="7"/>
  <c r="M4" i="7"/>
  <c r="B4" i="7"/>
  <c r="S4" i="6"/>
  <c r="H4" i="6"/>
  <c r="EY5" i="5"/>
  <c r="EN5" i="5"/>
  <c r="EC5" i="5"/>
  <c r="DS5" i="5"/>
  <c r="DH5" i="5"/>
  <c r="CW5" i="5"/>
  <c r="CM5" i="5"/>
  <c r="CB5" i="5"/>
  <c r="BR5" i="5"/>
  <c r="BI5" i="5"/>
  <c r="AZ5" i="5"/>
  <c r="AQ5" i="5"/>
  <c r="AH5" i="5"/>
  <c r="Y5" i="5"/>
  <c r="Q5" i="5"/>
  <c r="I5" i="5"/>
  <c r="A5" i="5"/>
  <c r="R4" i="5"/>
  <c r="J4" i="5"/>
  <c r="B4" i="5"/>
  <c r="AI5" i="4"/>
  <c r="AA5" i="4"/>
  <c r="S5" i="4"/>
  <c r="K5" i="4"/>
  <c r="C5" i="4"/>
  <c r="O4" i="4"/>
  <c r="G4" i="4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BF5" i="14"/>
  <c r="DF4" i="14"/>
  <c r="AT4" i="14"/>
  <c r="K5" i="13"/>
  <c r="CQ4" i="13"/>
  <c r="BK4" i="13"/>
  <c r="AE4" i="13"/>
  <c r="AF5" i="12"/>
  <c r="K5" i="12"/>
  <c r="AI4" i="12"/>
  <c r="N4" i="12"/>
  <c r="S5" i="11"/>
  <c r="Z4" i="11"/>
  <c r="E4" i="11"/>
  <c r="O5" i="10"/>
  <c r="AB4" i="10"/>
  <c r="L4" i="10"/>
  <c r="A5" i="9"/>
  <c r="N4" i="9"/>
  <c r="AM5" i="8"/>
  <c r="W5" i="8"/>
  <c r="G5" i="8"/>
  <c r="K4" i="8"/>
  <c r="A5" i="7"/>
  <c r="L4" i="7"/>
  <c r="Q4" i="6"/>
  <c r="G4" i="6"/>
  <c r="EX5" i="5"/>
  <c r="EL5" i="5"/>
  <c r="EB5" i="5"/>
  <c r="DR5" i="5"/>
  <c r="DF5" i="5"/>
  <c r="CV5" i="5"/>
  <c r="CL5" i="5"/>
  <c r="BZ5" i="5"/>
  <c r="BQ5" i="5"/>
  <c r="BH5" i="5"/>
  <c r="AY5" i="5"/>
  <c r="AP5" i="5"/>
  <c r="AF5" i="5"/>
  <c r="X5" i="5"/>
  <c r="P5" i="5"/>
  <c r="H5" i="5"/>
  <c r="Y4" i="5"/>
  <c r="Q4" i="5"/>
  <c r="I4" i="5"/>
  <c r="AH5" i="4"/>
  <c r="Z5" i="4"/>
  <c r="R5" i="4"/>
  <c r="J5" i="4"/>
  <c r="B5" i="4"/>
  <c r="N4" i="4"/>
  <c r="F4" i="4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AX5" i="14"/>
  <c r="CX4" i="14"/>
  <c r="AL4" i="14"/>
  <c r="H5" i="13"/>
  <c r="CN4" i="13"/>
  <c r="BH4" i="13"/>
  <c r="AB4" i="13"/>
  <c r="AY5" i="12"/>
  <c r="AC5" i="12"/>
  <c r="H5" i="12"/>
  <c r="AG4" i="12"/>
  <c r="K4" i="12"/>
  <c r="P5" i="11"/>
  <c r="X4" i="11"/>
  <c r="B4" i="11"/>
  <c r="L5" i="10"/>
  <c r="Y4" i="10"/>
  <c r="I4" i="10"/>
  <c r="AA4" i="9"/>
  <c r="K4" i="9"/>
  <c r="AJ5" i="8"/>
  <c r="T5" i="8"/>
  <c r="D5" i="8"/>
  <c r="H4" i="8"/>
  <c r="W4" i="7"/>
  <c r="K4" i="7"/>
  <c r="B5" i="6"/>
  <c r="P4" i="6"/>
  <c r="F4" i="6"/>
  <c r="EV5" i="5"/>
  <c r="EK5" i="5"/>
  <c r="EA5" i="5"/>
  <c r="DP5" i="5"/>
  <c r="DE5" i="5"/>
  <c r="CU5" i="5"/>
  <c r="CJ5" i="5"/>
  <c r="BY5" i="5"/>
  <c r="BP5" i="5"/>
  <c r="BG5" i="5"/>
  <c r="AX5" i="5"/>
  <c r="AN5" i="5"/>
  <c r="AE5" i="5"/>
  <c r="W5" i="5"/>
  <c r="O5" i="5"/>
  <c r="G5" i="5"/>
  <c r="X4" i="5"/>
  <c r="P4" i="5"/>
  <c r="H4" i="5"/>
  <c r="AO5" i="4"/>
  <c r="AG5" i="4"/>
  <c r="Y5" i="4"/>
  <c r="Q5" i="4"/>
  <c r="I5" i="4"/>
  <c r="A5" i="4"/>
  <c r="M4" i="4"/>
  <c r="E4" i="4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AP5" i="14"/>
  <c r="CP4" i="14"/>
  <c r="AD4" i="14"/>
  <c r="C5" i="13"/>
  <c r="CI4" i="13"/>
  <c r="BC4" i="13"/>
  <c r="W4" i="13"/>
  <c r="AV5" i="12"/>
  <c r="AA5" i="12"/>
  <c r="E5" i="12"/>
  <c r="AD4" i="12"/>
  <c r="I4" i="12"/>
  <c r="M5" i="11"/>
  <c r="U4" i="11"/>
  <c r="K5" i="10"/>
  <c r="X4" i="10"/>
  <c r="H4" i="10"/>
  <c r="Z4" i="9"/>
  <c r="J4" i="9"/>
  <c r="AI5" i="8"/>
  <c r="S5" i="8"/>
  <c r="C5" i="8"/>
  <c r="G4" i="8"/>
  <c r="U4" i="7"/>
  <c r="J4" i="7"/>
  <c r="Y4" i="6"/>
  <c r="O4" i="6"/>
  <c r="E4" i="6"/>
  <c r="ET5" i="5"/>
  <c r="EJ5" i="5"/>
  <c r="DZ5" i="5"/>
  <c r="DN5" i="5"/>
  <c r="DD5" i="5"/>
  <c r="CT5" i="5"/>
  <c r="CH5" i="5"/>
  <c r="BX5" i="5"/>
  <c r="BO5" i="5"/>
  <c r="BF5" i="5"/>
  <c r="AV5" i="5"/>
  <c r="AM5" i="5"/>
  <c r="AD5" i="5"/>
  <c r="V5" i="5"/>
  <c r="N5" i="5"/>
  <c r="F5" i="5"/>
  <c r="W4" i="5"/>
  <c r="O4" i="5"/>
  <c r="G4" i="5"/>
  <c r="AN5" i="4"/>
  <c r="AF5" i="4"/>
  <c r="X5" i="4"/>
  <c r="P5" i="4"/>
  <c r="H5" i="4"/>
  <c r="T4" i="4"/>
  <c r="L4" i="4"/>
  <c r="D4" i="4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AH5" i="14"/>
  <c r="CH4" i="14"/>
  <c r="V4" i="14"/>
  <c r="DL4" i="13"/>
  <c r="CF4" i="13"/>
  <c r="AZ4" i="13"/>
  <c r="T4" i="13"/>
  <c r="AS5" i="12"/>
  <c r="X5" i="12"/>
  <c r="C5" i="12"/>
  <c r="AA4" i="12"/>
  <c r="F4" i="12"/>
  <c r="K5" i="11"/>
  <c r="R4" i="11"/>
  <c r="Z5" i="10"/>
  <c r="J5" i="10"/>
  <c r="W4" i="10"/>
  <c r="G4" i="10"/>
  <c r="Y4" i="9"/>
  <c r="I4" i="9"/>
  <c r="AH5" i="8"/>
  <c r="R5" i="8"/>
  <c r="B5" i="8"/>
  <c r="F4" i="8"/>
  <c r="T4" i="7"/>
  <c r="G4" i="7"/>
  <c r="X4" i="6"/>
  <c r="N4" i="6"/>
  <c r="C4" i="6"/>
  <c r="ES5" i="5"/>
  <c r="EI5" i="5"/>
  <c r="DX5" i="5"/>
  <c r="DM5" i="5"/>
  <c r="DC5" i="5"/>
  <c r="CR5" i="5"/>
  <c r="CG5" i="5"/>
  <c r="BW5" i="5"/>
  <c r="BN5" i="5"/>
  <c r="BD5" i="5"/>
  <c r="AU5" i="5"/>
  <c r="AL5" i="5"/>
  <c r="AC5" i="5"/>
  <c r="U5" i="5"/>
  <c r="M5" i="5"/>
  <c r="E5" i="5"/>
  <c r="V4" i="5"/>
  <c r="N4" i="5"/>
  <c r="F4" i="5"/>
  <c r="AM5" i="4"/>
  <c r="AE5" i="4"/>
  <c r="W5" i="4"/>
  <c r="O5" i="4"/>
  <c r="G5" i="4"/>
  <c r="S4" i="4"/>
  <c r="K4" i="4"/>
  <c r="C4" i="4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5" i="1"/>
  <c r="A272" i="1"/>
  <c r="C268" i="1"/>
  <c r="C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74" i="1"/>
  <c r="B271" i="1"/>
  <c r="B268" i="1"/>
  <c r="B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74" i="1"/>
  <c r="A271" i="1"/>
  <c r="A268" i="1"/>
  <c r="A265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73" i="1"/>
  <c r="C270" i="1"/>
  <c r="C267" i="1"/>
  <c r="C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273" i="1"/>
  <c r="B270" i="1"/>
  <c r="B267" i="1"/>
  <c r="B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273" i="1"/>
  <c r="A270" i="1"/>
  <c r="A267" i="1"/>
  <c r="A264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72" i="1"/>
  <c r="C269" i="1"/>
  <c r="C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272" i="1"/>
  <c r="B269" i="1"/>
  <c r="A266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</calcChain>
</file>

<file path=xl/sharedStrings.xml><?xml version="1.0" encoding="utf-8"?>
<sst xmlns="http://schemas.openxmlformats.org/spreadsheetml/2006/main" count="267" uniqueCount="49">
  <si>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</si>
  <si>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</si>
  <si>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</si>
  <si>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</si>
  <si>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</si>
  <si>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</si>
  <si>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</si>
  <si>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</si>
  <si>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</si>
  <si>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</si>
  <si>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</si>
  <si>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</si>
  <si>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</si>
  <si>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</si>
  <si>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</si>
  <si>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</si>
  <si>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</si>
  <si>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</si>
  <si>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</si>
  <si>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</si>
  <si>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IBM</t>
  </si>
  <si>
    <t>PortfolioManagement</t>
  </si>
  <si>
    <t>CheckPortfolioManagement</t>
  </si>
  <si>
    <t>Long</t>
  </si>
  <si>
    <t>Equity</t>
  </si>
  <si>
    <t>FilterPM</t>
  </si>
  <si>
    <t>Symbol</t>
  </si>
  <si>
    <t>CloseSelectedTaxlotsFromPM</t>
  </si>
  <si>
    <t>Sell</t>
  </si>
  <si>
    <t>Closing</t>
  </si>
  <si>
    <t>GetDataClosing</t>
  </si>
  <si>
    <t>Current</t>
  </si>
  <si>
    <t>VerifyLongPositionsGrid</t>
  </si>
  <si>
    <t>APPLE</t>
  </si>
  <si>
    <t>US</t>
  </si>
  <si>
    <t>MICROSOFT INC</t>
  </si>
  <si>
    <t>VerifyShortPositionsGrid</t>
  </si>
  <si>
    <t>Blotter</t>
  </si>
  <si>
    <t>VerifyOrder</t>
  </si>
  <si>
    <t>Filled</t>
  </si>
  <si>
    <t>MS</t>
  </si>
  <si>
    <t>Market</t>
  </si>
  <si>
    <t>Allocation</t>
  </si>
  <si>
    <t>GetDataAllocation</t>
  </si>
  <si>
    <t>CheckAllocatedGroups</t>
  </si>
  <si>
    <t>Open</t>
  </si>
  <si>
    <t>USD</t>
  </si>
  <si>
    <t>M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</si>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</sst>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1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4" t="s">
        <v>0</v>
      </c>
      <c r="B1" s="55"/>
      <c r="C1" s="55"/>
      <c r="D1" s="55"/>
      <c r="E1" s="55"/>
      <c r="F1" s="5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</row>
    <row r="330" spans="1:3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</row>
    <row r="331" spans="1:3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</row>
    <row r="332" spans="1:3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</row>
    <row r="334" spans="1:3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</row>
    <row r="336" spans="1:3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</row>
    <row r="337" spans="1:3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</row>
    <row r="344" spans="1:3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</row>
    <row r="346" spans="1:3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</row>
    <row r="347" spans="1:3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</row>
    <row r="349" spans="1:3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</row>
    <row r="350" spans="1:3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</row>
    <row r="351" spans="1:3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</row>
    <row r="386" spans="1:3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</row>
    <row r="390" spans="1:3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</row>
    <row r="397" spans="1:3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</row>
    <row r="399" spans="1:3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</row>
    <row r="402" spans="1:3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</row>
    <row r="409" spans="1:3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</row>
    <row r="410" spans="1:3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</row>
    <row r="412" spans="1:3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</row>
    <row r="413" spans="1:3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</row>
    <row r="414" spans="1:3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</row>
    <row r="415" spans="1:3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</row>
    <row r="416" spans="1:3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</row>
    <row r="417" spans="1:3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</row>
    <row r="418" spans="1:3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</row>
    <row r="420" spans="1:3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</row>
    <row r="421" spans="1:3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</row>
    <row r="427" spans="1:3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</row>
    <row r="432" spans="1:3" ht="15.75" customHeight="1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</row>
    <row r="433" spans="1:3" ht="15.75" customHeight="1">
      <c r="A433" t="str">
        <f ca="1">IFERROR(__xludf.DUMMYFUNCTION("""COMPUTED_VALUE"""),"Admin")</f>
        <v>Admin</v>
      </c>
      <c r="B433" t="str">
        <f ca="1">IFERROR(__xludf.DUMMYFUNCTION("""COMPUTED_VALUE"""),"SetRollover")</f>
        <v>SetRollover</v>
      </c>
      <c r="C433" t="str">
        <f ca="1">IFERROR(__xludf.DUMMYFUNCTION("""COMPUTED_VALUE"""),"1mcj3boGZkRmnkbGNVOiMK0RBd1tDfxGwoUagq09FwTM")</f>
        <v>1mcj3boGZkRmnkbGNVOiMK0RBd1tDfxGwoUagq09FwTM</v>
      </c>
    </row>
    <row r="434" spans="1:3" ht="15.75" customHeight="1">
      <c r="A434" t="str">
        <f ca="1">IFERROR(__xludf.DUMMYFUNCTION("""COMPUTED_VALUE"""),"Blotter")</f>
        <v>Blotter</v>
      </c>
      <c r="B434" t="str">
        <f ca="1">IFERROR(__xludf.DUMMYFUNCTION("""COMPUTED_VALUE"""),"VerifyRollover")</f>
        <v>VerifyRollover</v>
      </c>
      <c r="C434" t="str">
        <f ca="1">IFERROR(__xludf.DUMMYFUNCTION("""COMPUTED_VALUE"""),"1ZZ2-R1OHOoSZ9jUfqlZ7UX-MNoTL_RipoEPOEeDhUiU")</f>
        <v>1ZZ2-R1OHOoSZ9jUfqlZ7UX-MNoTL_RipoEPOEeDhUiU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IFERROR(__xludf.DUMMYFUNCTION("""COMPUTED_VALUE"""),"EditAllocatedGridTaxlot")</f>
        <v>EditAllocatedGridTaxlot</v>
      </c>
      <c r="C435" t="str">
        <f ca="1">IFERROR(__xludf.DUMMYFUNCTION("""COMPUTED_VALUE"""),"1tuNkOgVUAgmGZdePkvb6Kq4fOIVUbM2Oo-j35VwEMxU")</f>
        <v>1tuNkOgVUAgmGZdePkvb6Kq4fOIVUbM2Oo-j35VwEMxU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IFERROR(__xludf.DUMMYFUNCTION("""COMPUTED_VALUE"""),"ExpandCollapseAllocatedGrid")</f>
        <v>ExpandCollapseAllocatedGrid</v>
      </c>
      <c r="C436" t="str">
        <f ca="1">IFERROR(__xludf.DUMMYFUNCTION("""COMPUTED_VALUE"""),"1rFegPn3vtFd9CjW_Q7sLLAAJfMR24R2aIjZeDzV88kI")</f>
        <v>1rFegPn3vtFd9CjW_Q7sLLAAJfMR24R2aIjZeDzV88kI</v>
      </c>
    </row>
    <row r="437" spans="1:3" ht="15.75" customHeight="1">
      <c r="A437" t="str">
        <f ca="1">IFERROR(__xludf.DUMMYFUNCTION("""COMPUTED_VALUE"""),"Allocation")</f>
        <v>Allocation</v>
      </c>
      <c r="B437" t="str">
        <f ca="1">IFERROR(__xludf.DUMMYFUNCTION("""COMPUTED_VALUE"""),"ExpandCollapseUnallocatedGrid")</f>
        <v>ExpandCollapseUnallocatedGrid</v>
      </c>
      <c r="C437" t="str">
        <f ca="1">IFERROR(__xludf.DUMMYFUNCTION("""COMPUTED_VALUE"""),"1AUbU9P9evi80SGX-0B0OEU4EIeSy8XoX0Jxc2neUG7Y")</f>
        <v>1AUbU9P9evi80SGX-0B0OEU4EIeSy8XoX0Jxc2neUG7Y</v>
      </c>
    </row>
    <row r="438" spans="1:3" ht="15.75" customHeight="1">
      <c r="A438" t="str">
        <f ca="1">IFERROR(__xludf.DUMMYFUNCTION("""COMPUTED_VALUE"""),"Blotter")</f>
        <v>Blotter</v>
      </c>
      <c r="B438" t="str">
        <f ca="1">IFERROR(__xludf.DUMMYFUNCTION("""COMPUTED_VALUE"""),"VerifySubOrderAfterRollover")</f>
        <v>VerifySubOrderAfterRollover</v>
      </c>
      <c r="C438" t="str">
        <f ca="1">IFERROR(__xludf.DUMMYFUNCTION("""COMPUTED_VALUE"""),"1BmRHukyQ4miHL0fDoU1ytWmIfZkbbUhts6aUXOoJt1M")</f>
        <v>1BmRHukyQ4miHL0fDoU1ytWmIfZkbbUhts6aUXOoJt1M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IFERROR(__xludf.DUMMYFUNCTION("""COMPUTED_VALUE"""),"SelectTransactionImportType")</f>
        <v>SelectTransactionImportType</v>
      </c>
      <c r="C439" t="str">
        <f ca="1">IFERROR(__xludf.DUMMYFUNCTION("""COMPUTED_VALUE"""),"1ultylVChPDBFQEPMhDgNhsGAOiEjOy4yrylpQgIIDRs")</f>
        <v>1ultylVChPDBFQEPMhDgNhsGAOiEjOy4yrylpQgIIDRs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IFERROR(__xludf.DUMMYFUNCTION("""COMPUTED_VALUE"""),"SelectAllOnImport")</f>
        <v>SelectAllOnImport</v>
      </c>
      <c r="C440" t="str">
        <f ca="1">IFERROR(__xludf.DUMMYFUNCTION("""COMPUTED_VALUE"""),"1kfuraVHmWK4GQJ5l-V_xi5ZOvrVVE_6df75wO3Tczkw")</f>
        <v>1kfuraVHmWK4GQJ5l-V_xi5ZOvrVVE_6df75wO3Tczkw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IFERROR(__xludf.DUMMYFUNCTION("""COMPUTED_VALUE"""),"SelectMarkPriceImportType")</f>
        <v>SelectMarkPriceImportType</v>
      </c>
      <c r="C441" t="str">
        <f ca="1">IFERROR(__xludf.DUMMYFUNCTION("""COMPUTED_VALUE"""),"16WxFw58KivOf3P1utNNMuCYVONlWBgTIRn0wVd6Sq10")</f>
        <v>16WxFw58KivOf3P1utNNMuCYVONlWBgTIRn0wVd6Sq10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IFERROR(__xludf.DUMMYFUNCTION("""COMPUTED_VALUE"""),"SelectForexImportType")</f>
        <v>SelectForexImportType</v>
      </c>
      <c r="C442" t="str">
        <f ca="1">IFERROR(__xludf.DUMMYFUNCTION("""COMPUTED_VALUE"""),"1niCpVuSl0IoWtjAcvElNI0GeVHeA4cKvepxzq7Z4t0Y")</f>
        <v>1niCpVuSl0IoWtjAcvElNI0GeVHeA4cKvepxzq7Z4t0Y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IFERROR(__xludf.DUMMYFUNCTION("""COMPUTED_VALUE"""),"SelectDoubleEntryCashImportType")</f>
        <v>SelectDoubleEntryCashImportType</v>
      </c>
      <c r="C443" t="str">
        <f ca="1">IFERROR(__xludf.DUMMYFUNCTION("""COMPUTED_VALUE"""),"1c3AV5tCWYyTG5GupbNYTh4Y6mBGeI5Q18WF7jbA_FoE")</f>
        <v>1c3AV5tCWYyTG5GupbNYTh4Y6mBGeI5Q18WF7jbA_FoE</v>
      </c>
    </row>
    <row r="444" spans="1:3" ht="15.75" customHeight="1">
      <c r="A444" t="str">
        <f ca="1">IFERROR(__xludf.DUMMYFUNCTION("""COMPUTED_VALUE"""),"Import")</f>
        <v>Import</v>
      </c>
      <c r="B444" t="str">
        <f ca="1">IFERROR(__xludf.DUMMYFUNCTION("""COMPUTED_VALUE"""),"SelectActivitiesImportType")</f>
        <v>SelectActivitiesImportType</v>
      </c>
      <c r="C444" t="str">
        <f ca="1">IFERROR(__xludf.DUMMYFUNCTION("""COMPUTED_VALUE"""),"1X6nskWL8-xWWF-gN9qfxhhV3aBuAeoxKsrdra5tJcpQ")</f>
        <v>1X6nskWL8-xWWF-gN9qfxhhV3aBuAeoxKsrdra5tJcpQ</v>
      </c>
    </row>
    <row r="445" spans="1:3" ht="15.75" customHeight="1">
      <c r="A445" t="str">
        <f ca="1">IFERROR(__xludf.DUMMYFUNCTION("""COMPUTED_VALUE"""),"TradingTicket")</f>
        <v>TradingTicket</v>
      </c>
      <c r="B445" t="str">
        <f ca="1">IFERROR(__xludf.DUMMYFUNCTION("""COMPUTED_VALUE"""),"SetTTCompliancePreference")</f>
        <v>SetTTCompliancePreference</v>
      </c>
      <c r="C445" t="str">
        <f ca="1">IFERROR(__xludf.DUMMYFUNCTION("""COMPUTED_VALUE"""),"1OPa8vYQi1QXXNENlCNdP6ay_L5vU7WyWP5dErE2KHEA")</f>
        <v>1OPa8vYQi1QXXNENlCNdP6ay_L5vU7WyWP5dErE2KHEA</v>
      </c>
    </row>
    <row r="446" spans="1:3" ht="15.75" customHeight="1">
      <c r="A446" t="str">
        <f ca="1">IFERROR(__xludf.DUMMYFUNCTION("""COMPUTED_VALUE"""),"Rebalancer")</f>
        <v>Rebalancer</v>
      </c>
      <c r="B446" t="str">
        <f ca="1">IFERROR(__xludf.DUMMYFUNCTION("""COMPUTED_VALUE"""),"LockandUnlockGridData")</f>
        <v>LockandUnlockGridData</v>
      </c>
      <c r="C446" t="str">
        <f ca="1">IFERROR(__xludf.DUMMYFUNCTION("""COMPUTED_VALUE"""),"1Km85kIYSTzG-NQHFDL8ZVRQQ0TKLUDOYsw-kdDX29xE")</f>
        <v>1Km85kIYSTzG-NQHFDL8ZVRQQ0TKLUDOYsw-kdDX29xE</v>
      </c>
    </row>
    <row r="447" spans="1:3" ht="15.75" customHeight="1">
      <c r="A447" t="str">
        <f ca="1">IFERROR(__xludf.DUMMYFUNCTION("""COMPUTED_VALUE"""),"Allocation")</f>
        <v>Allocation</v>
      </c>
      <c r="B447" t="str">
        <f ca="1">IFERROR(__xludf.DUMMYFUNCTION("""COMPUTED_VALUE"""),"SetTradeAttributePreferences")</f>
        <v>SetTradeAttributePreferences</v>
      </c>
      <c r="C447" t="str">
        <f ca="1">IFERROR(__xludf.DUMMYFUNCTION("""COMPUTED_VALUE"""),"1jyPRPc_0lTWCpP9oldB5fgtg2dy3jSnXLkS_qYf40-I")</f>
        <v>1jyPRPc_0lTWCpP9oldB5fgtg2dy3jSnXLkS_qYf40-I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IFERROR(__xludf.DUMMYFUNCTION("""COMPUTED_VALUE"""),"VerifyAccountBalances")</f>
        <v>VerifyAccountBalances</v>
      </c>
      <c r="C448" t="str">
        <f ca="1">IFERROR(__xludf.DUMMYFUNCTION("""COMPUTED_VALUE"""),"1ym14EKcw7B3au8SvVteq2gmFR3cDcsMvQQEIm0TQjf4")</f>
        <v>1ym14EKcw7B3au8SvVteq2gmFR3cDcsMvQQEIm0TQjf4</v>
      </c>
    </row>
    <row r="449" spans="1:3" ht="15.75" customHeight="1">
      <c r="A449" t="str">
        <f ca="1">IFERROR(__xludf.DUMMYFUNCTION("""COMPUTED_VALUE"""),"Rebalancer")</f>
        <v>Rebalancer</v>
      </c>
      <c r="B449" t="str">
        <f ca="1">IFERROR(__xludf.DUMMYFUNCTION("""COMPUTED_VALUE"""),"RefreshGridData")</f>
        <v>RefreshGridData</v>
      </c>
      <c r="C449" t="str">
        <f ca="1">IFERROR(__xludf.DUMMYFUNCTION("""COMPUTED_VALUE"""),"1iFsjUbnYA0Jwd89eYQjg5OrnW3lr2WGVb5quimwHrRw")</f>
        <v>1iFsjUbnYA0Jwd89eYQjg5OrnW3lr2WGVb5quimwHrRw</v>
      </c>
    </row>
    <row r="450" spans="1:3" ht="15.75" customHeight="1">
      <c r="A450" t="str">
        <f ca="1">IFERROR(__xludf.DUMMYFUNCTION("""COMPUTED_VALUE"""),"GeneralLedger")</f>
        <v>GeneralLedger</v>
      </c>
      <c r="B450" t="str">
        <f ca="1">IFERROR(__xludf.DUMMYFUNCTION("""COMPUTED_VALUE"""),"AddMultipleOpeningBalTranItem")</f>
        <v>AddMultipleOpeningBalTranItem</v>
      </c>
      <c r="C450" t="str">
        <f ca="1">IFERROR(__xludf.DUMMYFUNCTION("""COMPUTED_VALUE"""),"14VkN8stineosylh8hvnYNK-GMxNG0uFZBKPjv00GOVc")</f>
        <v>14VkN8stineosylh8hvnYNK-GMxNG0uFZBKPjv00GOVc</v>
      </c>
    </row>
    <row r="451" spans="1:3" ht="15.75" customHeight="1">
      <c r="A451" t="str">
        <f ca="1">IFERROR(__xludf.DUMMYFUNCTION("""COMPUTED_VALUE"""),"Import")</f>
        <v>Import</v>
      </c>
      <c r="B451" t="str">
        <f ca="1">IFERROR(__xludf.DUMMYFUNCTION("""COMPUTED_VALUE"""),"ApplyFilterOnImport")</f>
        <v>ApplyFilterOnImport</v>
      </c>
      <c r="C451" t="str">
        <f ca="1">IFERROR(__xludf.DUMMYFUNCTION("""COMPUTED_VALUE"""),"1NbH6CrAG4P2-tfFJ5m9jUCbnHY9N7cAluffYy9kFrtg")</f>
        <v>1NbH6CrAG4P2-tfFJ5m9jUCbnHY9N7cAluffYy9kFrtg</v>
      </c>
    </row>
    <row r="452" spans="1:3" ht="15.75" customHeight="1">
      <c r="A452" t="str">
        <f ca="1">IFERROR(__xludf.DUMMYFUNCTION("""COMPUTED_VALUE"""),"Rebalancer")</f>
        <v>Rebalancer</v>
      </c>
      <c r="B452" t="str">
        <f ca="1">IFERROR(__xludf.DUMMYFUNCTION("""COMPUTED_VALUE"""),"SendtoStaging")</f>
        <v>SendtoStaging</v>
      </c>
      <c r="C452" t="str">
        <f ca="1">IFERROR(__xludf.DUMMYFUNCTION("""COMPUTED_VALUE"""),"1Zhte_TGc173a8WWc7feC_7HQ_A-M9Q7Np-aK2NPeTIo")</f>
        <v>1Zhte_TGc173a8WWc7feC_7HQ_A-M9Q7Np-aK2NPeTIo</v>
      </c>
    </row>
    <row r="453" spans="1:3" ht="15.75" customHeight="1"/>
    <row r="454" spans="1:3" ht="15.75" customHeight="1"/>
    <row r="455" spans="1:3" ht="15.75" customHeight="1"/>
    <row r="456" spans="1:3" ht="15.75" customHeight="1"/>
    <row r="457" spans="1:3" ht="15.75" customHeight="1"/>
    <row r="458" spans="1:3" ht="15.75" customHeight="1"/>
    <row r="459" spans="1:3" ht="15.75" customHeight="1"/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7" t="s">
        <v>2</v>
      </c>
      <c r="B1" s="55"/>
      <c r="C1" s="5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4" t="s">
        <v>7</v>
      </c>
      <c r="B1" s="55"/>
      <c r="C1" s="55"/>
      <c r="D1" s="55"/>
      <c r="E1" s="55"/>
      <c r="F1" s="5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16</v>
      </c>
      <c r="C6" s="27" t="s">
        <v>17</v>
      </c>
      <c r="D6" s="28">
        <v>1000</v>
      </c>
      <c r="E6" s="29">
        <v>1000</v>
      </c>
      <c r="F6" s="27" t="s">
        <v>18</v>
      </c>
      <c r="G6" s="27"/>
      <c r="H6" s="27"/>
      <c r="I6" s="27"/>
      <c r="J6" s="29">
        <v>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19</v>
      </c>
      <c r="C7" s="30" t="s">
        <v>17</v>
      </c>
      <c r="D7" s="31">
        <v>1500</v>
      </c>
      <c r="E7" s="31">
        <v>1500</v>
      </c>
      <c r="F7" s="27" t="s">
        <v>18</v>
      </c>
      <c r="G7" s="30"/>
      <c r="H7" s="30"/>
      <c r="I7" s="30"/>
      <c r="J7" s="31">
        <v>15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 t="s">
        <v>20</v>
      </c>
      <c r="C8" s="30" t="s">
        <v>17</v>
      </c>
      <c r="D8" s="31">
        <v>2000</v>
      </c>
      <c r="E8" s="31">
        <v>2000</v>
      </c>
      <c r="F8" s="27" t="s">
        <v>18</v>
      </c>
      <c r="G8" s="30"/>
      <c r="H8" s="30"/>
      <c r="I8" s="30"/>
      <c r="J8" s="31">
        <v>20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D1" workbookViewId="0">
      <selection activeCell="BM16" sqref="BM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.5703125" customWidth="1"/>
    <col min="64" max="167" width="14.42578125" customWidth="1"/>
  </cols>
  <sheetData>
    <row r="1" spans="1:167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25"/>
      <c r="B6" s="26"/>
      <c r="C6" s="27" t="s">
        <v>16</v>
      </c>
      <c r="D6" s="28">
        <v>1000</v>
      </c>
      <c r="E6" s="27" t="s">
        <v>18</v>
      </c>
      <c r="F6" s="27"/>
      <c r="G6" s="27"/>
      <c r="H6" s="27" t="s">
        <v>23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 t="s">
        <v>24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 t="s">
        <v>17</v>
      </c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</row>
    <row r="7" spans="1:167" ht="15.75" customHeight="1">
      <c r="A7" s="30"/>
      <c r="B7" s="30"/>
      <c r="C7" s="30" t="s">
        <v>20</v>
      </c>
      <c r="D7" s="31">
        <v>2000</v>
      </c>
      <c r="E7" s="27" t="s">
        <v>18</v>
      </c>
      <c r="F7" s="30"/>
      <c r="G7" s="30"/>
      <c r="H7" s="30" t="s">
        <v>23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 t="s">
        <v>24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 t="s">
        <v>17</v>
      </c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</row>
    <row r="8" spans="1:167" ht="15.75" customHeight="1">
      <c r="A8" s="30"/>
      <c r="B8" s="30"/>
      <c r="C8" s="30" t="s">
        <v>19</v>
      </c>
      <c r="D8" s="31">
        <v>1500</v>
      </c>
      <c r="E8" s="27" t="s">
        <v>18</v>
      </c>
      <c r="F8" s="30"/>
      <c r="G8" s="30"/>
      <c r="H8" s="30" t="s">
        <v>23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 t="s">
        <v>24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 t="s">
        <v>17</v>
      </c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 t="str">
        <f ca="1">IFERROR(__xludf.DUMMYFUNCTION("""COMPUTED_VALUE"""),"FilterList")</f>
        <v>FilterList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2" t="s">
        <v>26</v>
      </c>
      <c r="C6" s="32" t="s">
        <v>16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7"/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16</v>
      </c>
      <c r="C6" s="26" t="s">
        <v>28</v>
      </c>
      <c r="D6" s="28">
        <v>1000</v>
      </c>
      <c r="E6" s="28">
        <v>1000</v>
      </c>
      <c r="F6" s="26" t="s">
        <v>18</v>
      </c>
      <c r="G6" s="27"/>
      <c r="H6" s="27"/>
      <c r="I6" s="27"/>
      <c r="J6" s="34">
        <v>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31</v>
      </c>
      <c r="C6" s="5"/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5" t="s">
        <v>18</v>
      </c>
      <c r="C6" s="36" t="s">
        <v>24</v>
      </c>
      <c r="D6" s="26"/>
      <c r="E6" s="27"/>
      <c r="F6" s="27"/>
      <c r="G6" s="27"/>
      <c r="H6" s="37">
        <v>10014.0056</v>
      </c>
      <c r="I6" s="37">
        <v>10</v>
      </c>
      <c r="J6" s="27"/>
      <c r="K6" s="27"/>
      <c r="L6" s="27"/>
      <c r="M6" s="37">
        <v>1000</v>
      </c>
      <c r="N6" s="36" t="s">
        <v>33</v>
      </c>
      <c r="O6" s="27"/>
      <c r="P6" s="36" t="s">
        <v>17</v>
      </c>
      <c r="Q6" s="27"/>
      <c r="R6" s="36" t="s">
        <v>16</v>
      </c>
      <c r="S6" s="27"/>
      <c r="T6" s="38">
        <v>14.005599999999999</v>
      </c>
      <c r="U6" s="30"/>
      <c r="V6" s="39" t="s">
        <v>17</v>
      </c>
      <c r="W6" s="39" t="s">
        <v>34</v>
      </c>
      <c r="X6" s="38">
        <v>10.014005600000001</v>
      </c>
      <c r="Y6" s="38">
        <v>10.014005600000001</v>
      </c>
      <c r="Z6" s="38">
        <v>10</v>
      </c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40" t="s">
        <v>18</v>
      </c>
      <c r="C7" s="39" t="s">
        <v>24</v>
      </c>
      <c r="D7" s="30"/>
      <c r="E7" s="30"/>
      <c r="F7" s="30"/>
      <c r="G7" s="30"/>
      <c r="H7" s="38">
        <v>22514.012599999998</v>
      </c>
      <c r="I7" s="38">
        <v>15</v>
      </c>
      <c r="J7" s="30"/>
      <c r="K7" s="30"/>
      <c r="L7" s="30"/>
      <c r="M7" s="38">
        <v>1500</v>
      </c>
      <c r="N7" s="41" t="s">
        <v>35</v>
      </c>
      <c r="O7" s="30"/>
      <c r="P7" s="39" t="s">
        <v>17</v>
      </c>
      <c r="Q7" s="30"/>
      <c r="R7" s="39" t="s">
        <v>19</v>
      </c>
      <c r="S7" s="30"/>
      <c r="T7" s="38">
        <v>14.012600000000001</v>
      </c>
      <c r="U7" s="30"/>
      <c r="V7" s="39" t="s">
        <v>17</v>
      </c>
      <c r="W7" s="39" t="s">
        <v>34</v>
      </c>
      <c r="X7" s="38">
        <v>15.009341733333301</v>
      </c>
      <c r="Y7" s="38">
        <v>15.009341733333301</v>
      </c>
      <c r="Z7" s="38">
        <v>15</v>
      </c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40" t="s">
        <v>18</v>
      </c>
      <c r="C8" s="39" t="s">
        <v>24</v>
      </c>
      <c r="D8" s="30"/>
      <c r="E8" s="30"/>
      <c r="F8" s="30"/>
      <c r="G8" s="30"/>
      <c r="H8" s="38">
        <v>40368</v>
      </c>
      <c r="I8" s="38">
        <v>20</v>
      </c>
      <c r="J8" s="30"/>
      <c r="K8" s="30"/>
      <c r="L8" s="30"/>
      <c r="M8" s="38">
        <v>2000</v>
      </c>
      <c r="N8" s="39" t="s">
        <v>20</v>
      </c>
      <c r="O8" s="30"/>
      <c r="P8" s="39" t="s">
        <v>17</v>
      </c>
      <c r="Q8" s="30"/>
      <c r="R8" s="39" t="s">
        <v>20</v>
      </c>
      <c r="S8" s="30"/>
      <c r="T8" s="38">
        <v>368</v>
      </c>
      <c r="U8" s="30"/>
      <c r="V8" s="39" t="s">
        <v>17</v>
      </c>
      <c r="W8" s="39" t="s">
        <v>34</v>
      </c>
      <c r="X8" s="38">
        <v>20.184000000000001</v>
      </c>
      <c r="Y8" s="38">
        <v>20.184000000000001</v>
      </c>
      <c r="Z8" s="38">
        <v>20</v>
      </c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5" t="s">
        <v>18</v>
      </c>
      <c r="C6" s="36" t="s">
        <v>24</v>
      </c>
      <c r="D6" s="26"/>
      <c r="E6" s="27"/>
      <c r="F6" s="27"/>
      <c r="G6" s="27"/>
      <c r="H6" s="42">
        <v>9985.9943999999996</v>
      </c>
      <c r="I6" s="43">
        <v>10</v>
      </c>
      <c r="J6" s="27"/>
      <c r="K6" s="27"/>
      <c r="L6" s="27"/>
      <c r="M6" s="37">
        <v>1000</v>
      </c>
      <c r="N6" s="36" t="s">
        <v>33</v>
      </c>
      <c r="O6" s="27"/>
      <c r="P6" s="36" t="s">
        <v>28</v>
      </c>
      <c r="Q6" s="27"/>
      <c r="R6" s="36" t="s">
        <v>16</v>
      </c>
      <c r="S6" s="27"/>
      <c r="T6" s="42">
        <v>14.005599999999999</v>
      </c>
      <c r="U6" s="30"/>
      <c r="V6" s="39" t="s">
        <v>28</v>
      </c>
      <c r="W6" s="39" t="s">
        <v>34</v>
      </c>
      <c r="X6" s="42">
        <v>9.9859943999999992</v>
      </c>
      <c r="Y6" s="42">
        <v>9.9859943999999992</v>
      </c>
      <c r="Z6" s="42">
        <v>10</v>
      </c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8">
        <v>10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44">
        <v>1</v>
      </c>
      <c r="AE6" s="30"/>
      <c r="AF6" s="30"/>
      <c r="AG6" s="30"/>
      <c r="AH6" s="30" t="s">
        <v>24</v>
      </c>
      <c r="AI6" s="30" t="s">
        <v>16</v>
      </c>
      <c r="AJ6" s="30" t="s">
        <v>17</v>
      </c>
      <c r="AK6" s="30" t="s">
        <v>39</v>
      </c>
      <c r="AL6" s="45">
        <v>1000</v>
      </c>
      <c r="AM6" s="45">
        <v>1000</v>
      </c>
      <c r="AN6" s="44">
        <v>100</v>
      </c>
      <c r="AO6" s="45">
        <v>1000</v>
      </c>
      <c r="AP6" s="30"/>
      <c r="AQ6" s="44">
        <v>10</v>
      </c>
      <c r="AR6" s="44">
        <v>10</v>
      </c>
      <c r="AS6" s="30" t="s">
        <v>40</v>
      </c>
      <c r="AT6" s="30" t="s">
        <v>18</v>
      </c>
      <c r="AU6" s="30" t="s">
        <v>41</v>
      </c>
      <c r="AV6" s="30"/>
      <c r="AW6" s="30"/>
      <c r="AX6" s="30"/>
      <c r="AY6" s="45">
        <v>1000</v>
      </c>
      <c r="AZ6" s="44">
        <v>0</v>
      </c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46">
        <v>10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44">
        <v>1</v>
      </c>
      <c r="AE7" s="30"/>
      <c r="AF7" s="30"/>
      <c r="AG7" s="30"/>
      <c r="AH7" s="30" t="s">
        <v>24</v>
      </c>
      <c r="AI7" s="30" t="s">
        <v>16</v>
      </c>
      <c r="AJ7" s="30" t="s">
        <v>28</v>
      </c>
      <c r="AK7" s="30" t="s">
        <v>39</v>
      </c>
      <c r="AL7" s="45">
        <v>1000</v>
      </c>
      <c r="AM7" s="45">
        <v>1000</v>
      </c>
      <c r="AN7" s="44">
        <v>100</v>
      </c>
      <c r="AO7" s="45">
        <v>1000</v>
      </c>
      <c r="AP7" s="30"/>
      <c r="AQ7" s="47">
        <v>10</v>
      </c>
      <c r="AR7" s="47">
        <v>10</v>
      </c>
      <c r="AS7" s="30" t="s">
        <v>40</v>
      </c>
      <c r="AT7" s="30" t="s">
        <v>18</v>
      </c>
      <c r="AU7" s="30" t="s">
        <v>41</v>
      </c>
      <c r="AV7" s="30"/>
      <c r="AW7" s="30"/>
      <c r="AX7" s="30"/>
      <c r="AY7" s="45">
        <v>1000</v>
      </c>
      <c r="AZ7" s="44">
        <v>0</v>
      </c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31">
        <v>20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44">
        <v>1</v>
      </c>
      <c r="AE8" s="30"/>
      <c r="AF8" s="30"/>
      <c r="AG8" s="30"/>
      <c r="AH8" s="30" t="s">
        <v>24</v>
      </c>
      <c r="AI8" s="30" t="s">
        <v>20</v>
      </c>
      <c r="AJ8" s="30" t="s">
        <v>17</v>
      </c>
      <c r="AK8" s="30" t="s">
        <v>39</v>
      </c>
      <c r="AL8" s="45">
        <v>2000</v>
      </c>
      <c r="AM8" s="45">
        <v>2000</v>
      </c>
      <c r="AN8" s="44">
        <v>100</v>
      </c>
      <c r="AO8" s="45">
        <v>2000</v>
      </c>
      <c r="AP8" s="30"/>
      <c r="AQ8" s="44">
        <v>20</v>
      </c>
      <c r="AR8" s="44">
        <v>20</v>
      </c>
      <c r="AS8" s="30" t="s">
        <v>40</v>
      </c>
      <c r="AT8" s="30" t="s">
        <v>18</v>
      </c>
      <c r="AU8" s="30" t="s">
        <v>41</v>
      </c>
      <c r="AV8" s="30"/>
      <c r="AW8" s="30"/>
      <c r="AX8" s="30"/>
      <c r="AY8" s="45">
        <v>2000</v>
      </c>
      <c r="AZ8" s="44">
        <v>0</v>
      </c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30"/>
      <c r="C9" s="30"/>
      <c r="D9" s="31">
        <v>15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44">
        <v>1</v>
      </c>
      <c r="AE9" s="30"/>
      <c r="AF9" s="30"/>
      <c r="AG9" s="30"/>
      <c r="AH9" s="30" t="s">
        <v>24</v>
      </c>
      <c r="AI9" s="30" t="s">
        <v>19</v>
      </c>
      <c r="AJ9" s="30" t="s">
        <v>17</v>
      </c>
      <c r="AK9" s="30" t="s">
        <v>39</v>
      </c>
      <c r="AL9" s="45">
        <v>1500</v>
      </c>
      <c r="AM9" s="45">
        <v>1500</v>
      </c>
      <c r="AN9" s="44">
        <v>100</v>
      </c>
      <c r="AO9" s="45">
        <v>1500</v>
      </c>
      <c r="AP9" s="30"/>
      <c r="AQ9" s="44">
        <v>15</v>
      </c>
      <c r="AR9" s="44">
        <v>15</v>
      </c>
      <c r="AS9" s="30" t="s">
        <v>40</v>
      </c>
      <c r="AT9" s="30" t="s">
        <v>18</v>
      </c>
      <c r="AU9" s="30" t="s">
        <v>41</v>
      </c>
      <c r="AV9" s="30"/>
      <c r="AW9" s="30"/>
      <c r="AX9" s="30"/>
      <c r="AY9" s="45">
        <v>1500</v>
      </c>
      <c r="AZ9" s="44">
        <v>0</v>
      </c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31</v>
      </c>
      <c r="C6" s="5"/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8" t="s">
        <v>18</v>
      </c>
      <c r="C6" s="5"/>
      <c r="D6" s="49">
        <v>0</v>
      </c>
      <c r="E6" s="49">
        <v>1000</v>
      </c>
      <c r="F6" s="5"/>
      <c r="G6" s="5"/>
      <c r="H6" s="49">
        <v>4</v>
      </c>
      <c r="I6" s="49">
        <v>5</v>
      </c>
      <c r="J6" s="5"/>
      <c r="K6" s="49">
        <v>10</v>
      </c>
      <c r="L6" s="49">
        <v>10</v>
      </c>
      <c r="M6" s="5"/>
      <c r="N6" s="5"/>
      <c r="O6" s="5"/>
      <c r="R6" s="49">
        <v>0</v>
      </c>
      <c r="S6" s="50" t="s">
        <v>45</v>
      </c>
      <c r="T6" s="49">
        <v>0</v>
      </c>
      <c r="U6" s="49">
        <v>0</v>
      </c>
      <c r="V6" s="50" t="s">
        <v>33</v>
      </c>
      <c r="Z6" s="50" t="s">
        <v>46</v>
      </c>
      <c r="AE6" s="49">
        <v>1000</v>
      </c>
      <c r="AH6" s="50" t="s">
        <v>47</v>
      </c>
      <c r="AI6" s="49">
        <v>1</v>
      </c>
      <c r="AT6" s="49">
        <v>10014.0056</v>
      </c>
      <c r="AU6" s="49">
        <v>10014.0056</v>
      </c>
      <c r="AW6" s="49">
        <v>0</v>
      </c>
      <c r="AX6" s="49">
        <v>0</v>
      </c>
      <c r="AY6" s="50" t="s">
        <v>41</v>
      </c>
      <c r="AZ6" s="49">
        <v>0</v>
      </c>
      <c r="BC6" s="49">
        <v>0</v>
      </c>
      <c r="BE6" s="49">
        <v>10000</v>
      </c>
      <c r="BF6" s="49">
        <v>10000</v>
      </c>
      <c r="BJ6" s="49">
        <v>1000</v>
      </c>
      <c r="BK6" s="49">
        <v>0</v>
      </c>
      <c r="BO6" s="50" t="s">
        <v>17</v>
      </c>
      <c r="BP6" s="49">
        <v>0</v>
      </c>
      <c r="BQ6" s="49">
        <v>0</v>
      </c>
      <c r="BT6" s="50" t="s">
        <v>16</v>
      </c>
      <c r="BU6" s="49">
        <v>3</v>
      </c>
      <c r="BV6" s="49">
        <v>0</v>
      </c>
      <c r="BX6" s="49">
        <v>0</v>
      </c>
      <c r="CJ6" s="49">
        <v>0</v>
      </c>
    </row>
    <row r="7" spans="1:154" ht="15.75" customHeight="1">
      <c r="A7" s="5"/>
      <c r="B7" s="50" t="s">
        <v>18</v>
      </c>
      <c r="C7" s="5"/>
      <c r="D7" s="49">
        <v>0</v>
      </c>
      <c r="E7" s="49">
        <v>1500</v>
      </c>
      <c r="F7" s="5"/>
      <c r="G7" s="5"/>
      <c r="H7" s="49">
        <v>4</v>
      </c>
      <c r="I7" s="49">
        <v>5</v>
      </c>
      <c r="J7" s="5"/>
      <c r="K7" s="49">
        <v>15</v>
      </c>
      <c r="L7" s="49">
        <v>15</v>
      </c>
      <c r="M7" s="5"/>
      <c r="N7" s="5"/>
      <c r="O7" s="5"/>
      <c r="R7" s="49">
        <v>0</v>
      </c>
      <c r="S7" s="50" t="s">
        <v>45</v>
      </c>
      <c r="T7" s="49">
        <v>0</v>
      </c>
      <c r="U7" s="49">
        <v>0</v>
      </c>
      <c r="V7" s="50" t="s">
        <v>35</v>
      </c>
      <c r="Z7" s="50" t="s">
        <v>46</v>
      </c>
      <c r="AE7" s="49">
        <v>1500</v>
      </c>
      <c r="AH7" s="50" t="s">
        <v>47</v>
      </c>
      <c r="AI7" s="49">
        <v>1</v>
      </c>
      <c r="AT7" s="49">
        <v>22514.012599999998</v>
      </c>
      <c r="AU7" s="49">
        <v>22514.012599999998</v>
      </c>
      <c r="AW7" s="49">
        <v>0</v>
      </c>
      <c r="AX7" s="49">
        <v>0</v>
      </c>
      <c r="AY7" s="50" t="s">
        <v>41</v>
      </c>
      <c r="AZ7" s="49">
        <v>0</v>
      </c>
      <c r="BC7" s="49">
        <v>0</v>
      </c>
      <c r="BE7" s="49">
        <v>22500</v>
      </c>
      <c r="BF7" s="49">
        <v>22500</v>
      </c>
      <c r="BJ7" s="49">
        <v>1500</v>
      </c>
      <c r="BK7" s="49">
        <v>0</v>
      </c>
      <c r="BO7" s="50" t="s">
        <v>17</v>
      </c>
      <c r="BP7" s="49">
        <v>0</v>
      </c>
      <c r="BQ7" s="49">
        <v>0</v>
      </c>
      <c r="BT7" s="50" t="s">
        <v>19</v>
      </c>
      <c r="BU7" s="49">
        <v>3</v>
      </c>
      <c r="BV7" s="49">
        <v>0</v>
      </c>
      <c r="BX7" s="49">
        <v>0</v>
      </c>
      <c r="CJ7" s="49">
        <v>0</v>
      </c>
    </row>
    <row r="8" spans="1:154" ht="15.75" customHeight="1">
      <c r="A8" s="5"/>
      <c r="B8" s="50" t="s">
        <v>18</v>
      </c>
      <c r="C8" s="5"/>
      <c r="D8" s="49">
        <v>0</v>
      </c>
      <c r="E8" s="49">
        <v>2000</v>
      </c>
      <c r="F8" s="5"/>
      <c r="G8" s="5"/>
      <c r="H8" s="49">
        <v>360</v>
      </c>
      <c r="I8" s="49">
        <v>0</v>
      </c>
      <c r="J8" s="5"/>
      <c r="K8" s="49">
        <v>20</v>
      </c>
      <c r="L8" s="49">
        <v>20</v>
      </c>
      <c r="M8" s="5"/>
      <c r="N8" s="5"/>
      <c r="O8" s="5"/>
      <c r="R8" s="49">
        <v>0</v>
      </c>
      <c r="S8" s="50" t="s">
        <v>45</v>
      </c>
      <c r="T8" s="49">
        <v>0</v>
      </c>
      <c r="U8" s="49">
        <v>0</v>
      </c>
      <c r="V8" s="50" t="s">
        <v>20</v>
      </c>
      <c r="Z8" s="50" t="s">
        <v>46</v>
      </c>
      <c r="AE8" s="49">
        <v>2000</v>
      </c>
      <c r="AH8" s="50" t="s">
        <v>47</v>
      </c>
      <c r="AI8" s="49">
        <v>1</v>
      </c>
      <c r="AT8" s="49">
        <v>40368</v>
      </c>
      <c r="AU8" s="49">
        <v>40368</v>
      </c>
      <c r="AW8" s="49">
        <v>0</v>
      </c>
      <c r="AX8" s="49">
        <v>0</v>
      </c>
      <c r="AY8" s="50" t="s">
        <v>41</v>
      </c>
      <c r="AZ8" s="49">
        <v>0</v>
      </c>
      <c r="BC8" s="49">
        <v>0</v>
      </c>
      <c r="BE8" s="49">
        <v>40000</v>
      </c>
      <c r="BF8" s="49">
        <v>40000</v>
      </c>
      <c r="BJ8" s="49">
        <v>2000</v>
      </c>
      <c r="BK8" s="49">
        <v>0</v>
      </c>
      <c r="BO8" s="50" t="s">
        <v>17</v>
      </c>
      <c r="BP8" s="49">
        <v>0</v>
      </c>
      <c r="BQ8" s="49">
        <v>0</v>
      </c>
      <c r="BT8" s="50" t="s">
        <v>20</v>
      </c>
      <c r="BU8" s="49">
        <v>1</v>
      </c>
      <c r="BV8" s="49">
        <v>0</v>
      </c>
      <c r="BX8" s="49">
        <v>0</v>
      </c>
      <c r="CJ8" s="49">
        <v>0</v>
      </c>
    </row>
    <row r="9" spans="1:154" ht="15.75" customHeight="1">
      <c r="A9" s="5"/>
      <c r="B9" s="50" t="s">
        <v>18</v>
      </c>
      <c r="C9" s="5"/>
      <c r="D9" s="49">
        <v>0</v>
      </c>
      <c r="E9" s="49">
        <v>1000</v>
      </c>
      <c r="F9" s="5"/>
      <c r="G9" s="5"/>
      <c r="H9" s="49">
        <v>4</v>
      </c>
      <c r="I9" s="49">
        <v>5</v>
      </c>
      <c r="J9" s="5"/>
      <c r="K9" s="49">
        <v>10</v>
      </c>
      <c r="L9" s="49">
        <v>10</v>
      </c>
      <c r="M9" s="5"/>
      <c r="N9" s="5"/>
      <c r="O9" s="5"/>
      <c r="R9" s="49">
        <v>0</v>
      </c>
      <c r="S9" s="50" t="s">
        <v>45</v>
      </c>
      <c r="T9" s="49">
        <v>0</v>
      </c>
      <c r="U9" s="49">
        <v>0</v>
      </c>
      <c r="V9" s="50" t="s">
        <v>33</v>
      </c>
      <c r="Z9" s="50" t="s">
        <v>46</v>
      </c>
      <c r="AE9" s="49">
        <v>1000</v>
      </c>
      <c r="AH9" s="50" t="s">
        <v>47</v>
      </c>
      <c r="AI9" s="49">
        <v>1</v>
      </c>
      <c r="AT9" s="49">
        <v>9985.9943999999996</v>
      </c>
      <c r="AU9" s="49">
        <v>9985.9943999999996</v>
      </c>
      <c r="AW9" s="49">
        <v>0</v>
      </c>
      <c r="AX9" s="49">
        <v>0</v>
      </c>
      <c r="AY9" s="50" t="s">
        <v>41</v>
      </c>
      <c r="AZ9" s="49">
        <v>0</v>
      </c>
      <c r="BC9" s="49">
        <v>0</v>
      </c>
      <c r="BE9" s="49">
        <v>10000</v>
      </c>
      <c r="BF9" s="49">
        <v>10000</v>
      </c>
      <c r="BJ9" s="49">
        <v>1000</v>
      </c>
      <c r="BK9" s="49">
        <v>0</v>
      </c>
      <c r="BO9" s="50" t="s">
        <v>28</v>
      </c>
      <c r="BP9" s="49">
        <v>0</v>
      </c>
      <c r="BQ9" s="49">
        <v>0</v>
      </c>
      <c r="BT9" s="50" t="s">
        <v>16</v>
      </c>
      <c r="BU9" s="49">
        <v>3</v>
      </c>
      <c r="BV9" s="49">
        <v>0</v>
      </c>
      <c r="BX9" s="49">
        <v>0</v>
      </c>
      <c r="CJ9" s="49">
        <v>0</v>
      </c>
    </row>
    <row r="10" spans="1:154" ht="15.75" customHeight="1">
      <c r="A10" s="5"/>
      <c r="B10" s="50" t="s">
        <v>18</v>
      </c>
      <c r="C10" s="5"/>
      <c r="D10" s="49">
        <v>0</v>
      </c>
      <c r="E10" s="49">
        <v>1000</v>
      </c>
      <c r="F10" s="5"/>
      <c r="G10" s="5"/>
      <c r="H10" s="49">
        <v>4</v>
      </c>
      <c r="I10" s="49">
        <v>5</v>
      </c>
      <c r="J10" s="5"/>
      <c r="K10" s="49">
        <v>10</v>
      </c>
      <c r="L10" s="49">
        <v>10</v>
      </c>
      <c r="M10" s="5"/>
      <c r="N10" s="5"/>
      <c r="O10" s="5"/>
      <c r="R10" s="49">
        <v>0</v>
      </c>
      <c r="S10" s="50" t="s">
        <v>45</v>
      </c>
      <c r="T10" s="49">
        <v>0</v>
      </c>
      <c r="U10" s="49">
        <v>0</v>
      </c>
      <c r="V10" s="50" t="s">
        <v>33</v>
      </c>
      <c r="Z10" s="50" t="s">
        <v>46</v>
      </c>
      <c r="AE10" s="49">
        <v>1000</v>
      </c>
      <c r="AH10" s="50" t="s">
        <v>47</v>
      </c>
      <c r="AI10" s="49">
        <v>1</v>
      </c>
      <c r="AT10" s="49">
        <v>9985.9943999999996</v>
      </c>
      <c r="AU10" s="49">
        <v>9985.9943999999996</v>
      </c>
      <c r="AW10" s="49">
        <v>0</v>
      </c>
      <c r="AX10" s="49">
        <v>0</v>
      </c>
      <c r="AY10" s="50" t="s">
        <v>41</v>
      </c>
      <c r="AZ10" s="49">
        <v>0</v>
      </c>
      <c r="BC10" s="49">
        <v>0</v>
      </c>
      <c r="BE10" s="49">
        <v>10000</v>
      </c>
      <c r="BF10" s="49">
        <v>10000</v>
      </c>
      <c r="BJ10" s="49">
        <v>1000</v>
      </c>
      <c r="BK10" s="49">
        <v>0</v>
      </c>
      <c r="BO10" s="50" t="s">
        <v>28</v>
      </c>
      <c r="BP10" s="49">
        <v>0</v>
      </c>
      <c r="BQ10" s="49">
        <v>0</v>
      </c>
      <c r="BT10" s="50" t="s">
        <v>16</v>
      </c>
      <c r="BU10" s="49">
        <v>3</v>
      </c>
      <c r="BV10" s="49">
        <v>0</v>
      </c>
      <c r="BX10" s="49">
        <v>0</v>
      </c>
      <c r="CJ10" s="49">
        <v>0</v>
      </c>
    </row>
    <row r="11" spans="1:154" ht="15.75" customHeight="1">
      <c r="A11" s="5"/>
      <c r="B11" s="5"/>
      <c r="C11" s="5"/>
      <c r="D11" s="5"/>
      <c r="E11" s="50"/>
      <c r="F11" s="5"/>
      <c r="G11" s="5"/>
      <c r="H11" s="50"/>
      <c r="I11" s="50"/>
      <c r="J11" s="5"/>
      <c r="K11" s="50"/>
      <c r="L11" s="50"/>
      <c r="M11" s="5"/>
      <c r="N11" s="5"/>
      <c r="O11" s="5"/>
      <c r="AH11" s="50"/>
      <c r="AI11" s="50"/>
      <c r="AT11" s="50"/>
      <c r="AU11" s="50"/>
      <c r="BE11" s="50"/>
      <c r="BF11" s="50"/>
      <c r="BU11" s="50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AH12" s="50"/>
      <c r="AI12" s="50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G1" workbookViewId="0">
      <selection activeCell="BL17" sqref="BL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85546875" customWidth="1"/>
    <col min="64" max="167" width="14.42578125" customWidth="1"/>
  </cols>
  <sheetData>
    <row r="1" spans="1:167" ht="15.75" customHeight="1">
      <c r="A1" s="13"/>
      <c r="B1" s="54" t="s">
        <v>11</v>
      </c>
      <c r="C1" s="55"/>
      <c r="D1" s="55"/>
      <c r="E1" s="55"/>
      <c r="F1" s="55"/>
      <c r="G1" s="55"/>
      <c r="H1" s="5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25"/>
      <c r="B6" s="26"/>
      <c r="C6" s="27" t="s">
        <v>16</v>
      </c>
      <c r="D6" s="51">
        <v>1000</v>
      </c>
      <c r="E6" s="27" t="s">
        <v>18</v>
      </c>
      <c r="F6" s="27"/>
      <c r="G6" s="27"/>
      <c r="H6" s="27" t="s">
        <v>48</v>
      </c>
      <c r="I6" s="29">
        <v>0</v>
      </c>
      <c r="J6" s="27"/>
      <c r="K6" s="27"/>
      <c r="L6" s="27"/>
      <c r="M6" s="27"/>
      <c r="N6" s="51">
        <v>-10000</v>
      </c>
      <c r="O6" s="27"/>
      <c r="P6" s="27"/>
      <c r="Q6" s="51">
        <v>-10000</v>
      </c>
      <c r="R6" s="27"/>
      <c r="S6" s="27"/>
      <c r="T6" s="30" t="s">
        <v>24</v>
      </c>
      <c r="U6" s="30" t="s">
        <v>34</v>
      </c>
      <c r="V6" s="30"/>
      <c r="W6" s="30" t="s">
        <v>46</v>
      </c>
      <c r="X6" s="30"/>
      <c r="Y6" s="44">
        <v>1</v>
      </c>
      <c r="Z6" s="30"/>
      <c r="AA6" s="30"/>
      <c r="AB6" s="44">
        <v>0</v>
      </c>
      <c r="AC6" s="44">
        <v>0</v>
      </c>
      <c r="AD6" s="44">
        <v>0</v>
      </c>
      <c r="AE6" s="44">
        <v>0</v>
      </c>
      <c r="AF6" s="45">
        <v>1000</v>
      </c>
      <c r="AG6" s="44">
        <v>0</v>
      </c>
      <c r="AH6" s="44">
        <v>0</v>
      </c>
      <c r="AI6" s="44">
        <v>0</v>
      </c>
      <c r="AJ6" s="44">
        <v>0</v>
      </c>
      <c r="AK6" s="52">
        <v>-10000</v>
      </c>
      <c r="AL6" s="44">
        <v>1</v>
      </c>
      <c r="AM6" s="44">
        <v>1</v>
      </c>
      <c r="AN6" s="30" t="s">
        <v>17</v>
      </c>
      <c r="AO6" s="30"/>
      <c r="AP6" s="30"/>
      <c r="AQ6" s="30" t="s">
        <v>16</v>
      </c>
      <c r="AR6" s="44">
        <v>0</v>
      </c>
      <c r="AS6" s="44">
        <v>1</v>
      </c>
      <c r="AT6" s="30"/>
      <c r="AU6" s="30"/>
      <c r="AV6" s="44">
        <v>1</v>
      </c>
      <c r="AW6" s="52">
        <v>-10000</v>
      </c>
      <c r="AX6" s="44">
        <v>0</v>
      </c>
      <c r="AY6" s="44">
        <v>0</v>
      </c>
      <c r="AZ6" s="44">
        <v>0</v>
      </c>
      <c r="BA6" s="30"/>
      <c r="BB6" s="30"/>
      <c r="BC6" s="44">
        <v>1</v>
      </c>
      <c r="BD6" s="52">
        <v>-10000</v>
      </c>
      <c r="BE6" s="30" t="s">
        <v>24</v>
      </c>
      <c r="BF6" s="30"/>
      <c r="BG6" s="30"/>
      <c r="BH6" s="30"/>
      <c r="BI6" s="30"/>
      <c r="BJ6" s="44">
        <v>0</v>
      </c>
      <c r="BK6" s="44">
        <v>0</v>
      </c>
      <c r="BL6" s="44">
        <v>0</v>
      </c>
      <c r="BM6" s="44">
        <v>0</v>
      </c>
      <c r="BN6" s="30"/>
      <c r="BO6" s="30"/>
      <c r="BP6" s="44">
        <v>0</v>
      </c>
      <c r="BQ6" s="30"/>
      <c r="BR6" s="30" t="s">
        <v>40</v>
      </c>
      <c r="BS6" s="44">
        <v>0</v>
      </c>
      <c r="BT6" s="44">
        <v>0</v>
      </c>
      <c r="BU6" s="30"/>
      <c r="BV6" s="30"/>
      <c r="BW6" s="44">
        <v>0</v>
      </c>
      <c r="BX6" s="44">
        <v>0</v>
      </c>
      <c r="BY6" s="44">
        <v>0</v>
      </c>
      <c r="BZ6" s="44">
        <v>0</v>
      </c>
      <c r="CA6" s="44">
        <v>0</v>
      </c>
      <c r="CB6" s="30"/>
      <c r="CC6" s="44">
        <v>0</v>
      </c>
      <c r="CD6" s="45">
        <v>-10000</v>
      </c>
      <c r="CE6" s="44">
        <v>0</v>
      </c>
      <c r="CF6" s="44">
        <v>0</v>
      </c>
      <c r="CG6" s="45">
        <v>-10000</v>
      </c>
      <c r="CH6" s="30"/>
      <c r="CI6" s="44">
        <v>0</v>
      </c>
      <c r="CJ6" s="44">
        <v>0</v>
      </c>
      <c r="CK6" s="30"/>
      <c r="CL6" s="30"/>
      <c r="CM6" s="30"/>
      <c r="CN6" s="30"/>
      <c r="CO6" s="30"/>
      <c r="CP6" s="30"/>
      <c r="CQ6" s="30"/>
      <c r="CR6" s="30"/>
      <c r="CS6" s="44">
        <v>10</v>
      </c>
      <c r="CT6" s="30"/>
      <c r="CU6" s="30"/>
      <c r="CV6" s="30"/>
      <c r="CW6" s="30"/>
      <c r="CX6" s="30"/>
      <c r="CY6" s="30"/>
      <c r="CZ6" s="30"/>
      <c r="DA6" s="44">
        <v>0</v>
      </c>
      <c r="DB6" s="44">
        <v>0</v>
      </c>
      <c r="DC6" s="30"/>
      <c r="DD6" s="30"/>
      <c r="DE6" s="44">
        <v>0</v>
      </c>
      <c r="DF6" s="44">
        <v>0</v>
      </c>
      <c r="DG6" s="44">
        <v>0</v>
      </c>
      <c r="DH6" s="30"/>
      <c r="DI6" s="44">
        <v>0</v>
      </c>
      <c r="DJ6" s="30" t="s">
        <v>17</v>
      </c>
      <c r="DK6" s="44">
        <v>0</v>
      </c>
      <c r="DL6" s="44">
        <v>0</v>
      </c>
      <c r="DM6" s="30"/>
      <c r="DN6" s="44">
        <v>0</v>
      </c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44">
        <v>0</v>
      </c>
      <c r="EH6" s="44">
        <v>0</v>
      </c>
      <c r="EI6" s="44">
        <v>0</v>
      </c>
      <c r="EJ6" s="44">
        <v>0</v>
      </c>
      <c r="EK6" s="44">
        <v>0</v>
      </c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</row>
    <row r="7" spans="1:167" ht="15.75" customHeight="1">
      <c r="A7" s="30"/>
      <c r="B7" s="30"/>
      <c r="C7" s="30" t="s">
        <v>19</v>
      </c>
      <c r="D7" s="52">
        <v>1500</v>
      </c>
      <c r="E7" s="27" t="s">
        <v>18</v>
      </c>
      <c r="F7" s="30"/>
      <c r="G7" s="30"/>
      <c r="H7" s="30" t="s">
        <v>23</v>
      </c>
      <c r="I7" s="31">
        <v>0</v>
      </c>
      <c r="J7" s="30"/>
      <c r="K7" s="30"/>
      <c r="L7" s="30"/>
      <c r="M7" s="30"/>
      <c r="N7" s="52">
        <v>-22500</v>
      </c>
      <c r="O7" s="30"/>
      <c r="P7" s="30"/>
      <c r="Q7" s="52">
        <v>-22500</v>
      </c>
      <c r="R7" s="30"/>
      <c r="S7" s="30"/>
      <c r="T7" s="30" t="s">
        <v>24</v>
      </c>
      <c r="U7" s="30" t="s">
        <v>34</v>
      </c>
      <c r="V7" s="30"/>
      <c r="W7" s="30" t="s">
        <v>46</v>
      </c>
      <c r="X7" s="30"/>
      <c r="Y7" s="44">
        <v>1</v>
      </c>
      <c r="Z7" s="30"/>
      <c r="AA7" s="30"/>
      <c r="AB7" s="44">
        <v>0</v>
      </c>
      <c r="AC7" s="44">
        <v>0</v>
      </c>
      <c r="AD7" s="44">
        <v>0</v>
      </c>
      <c r="AE7" s="44">
        <v>0</v>
      </c>
      <c r="AF7" s="45">
        <v>1500</v>
      </c>
      <c r="AG7" s="44">
        <v>0</v>
      </c>
      <c r="AH7" s="44">
        <v>0</v>
      </c>
      <c r="AI7" s="44">
        <v>0</v>
      </c>
      <c r="AJ7" s="44">
        <v>0</v>
      </c>
      <c r="AK7" s="52">
        <v>-22500</v>
      </c>
      <c r="AL7" s="44">
        <v>1</v>
      </c>
      <c r="AM7" s="44">
        <v>1</v>
      </c>
      <c r="AN7" s="30" t="s">
        <v>17</v>
      </c>
      <c r="AO7" s="30"/>
      <c r="AP7" s="30"/>
      <c r="AQ7" s="30" t="s">
        <v>19</v>
      </c>
      <c r="AR7" s="44">
        <v>0</v>
      </c>
      <c r="AS7" s="44">
        <v>1</v>
      </c>
      <c r="AT7" s="30"/>
      <c r="AU7" s="30"/>
      <c r="AV7" s="44">
        <v>1</v>
      </c>
      <c r="AW7" s="52">
        <v>-22500</v>
      </c>
      <c r="AX7" s="44">
        <v>0</v>
      </c>
      <c r="AY7" s="44">
        <v>0</v>
      </c>
      <c r="AZ7" s="44">
        <v>0</v>
      </c>
      <c r="BA7" s="30"/>
      <c r="BB7" s="30"/>
      <c r="BC7" s="44">
        <v>1</v>
      </c>
      <c r="BD7" s="52">
        <v>-22500</v>
      </c>
      <c r="BE7" s="30" t="s">
        <v>24</v>
      </c>
      <c r="BF7" s="30"/>
      <c r="BG7" s="30"/>
      <c r="BH7" s="30"/>
      <c r="BI7" s="30"/>
      <c r="BJ7" s="44">
        <v>0</v>
      </c>
      <c r="BK7" s="44">
        <v>0</v>
      </c>
      <c r="BL7" s="44">
        <v>0</v>
      </c>
      <c r="BM7" s="44">
        <v>0</v>
      </c>
      <c r="BN7" s="30"/>
      <c r="BO7" s="30"/>
      <c r="BP7" s="44">
        <v>0</v>
      </c>
      <c r="BQ7" s="30"/>
      <c r="BR7" s="30" t="s">
        <v>40</v>
      </c>
      <c r="BS7" s="44">
        <v>0</v>
      </c>
      <c r="BT7" s="44">
        <v>0</v>
      </c>
      <c r="BU7" s="30"/>
      <c r="BV7" s="30"/>
      <c r="BW7" s="44">
        <v>0</v>
      </c>
      <c r="BX7" s="44">
        <v>0</v>
      </c>
      <c r="BY7" s="44">
        <v>0</v>
      </c>
      <c r="BZ7" s="44">
        <v>0</v>
      </c>
      <c r="CA7" s="44">
        <v>0</v>
      </c>
      <c r="CB7" s="30"/>
      <c r="CC7" s="44">
        <v>0</v>
      </c>
      <c r="CD7" s="45">
        <v>-22500</v>
      </c>
      <c r="CE7" s="44">
        <v>0</v>
      </c>
      <c r="CF7" s="44">
        <v>0</v>
      </c>
      <c r="CG7" s="45">
        <v>-22500</v>
      </c>
      <c r="CH7" s="30"/>
      <c r="CI7" s="44">
        <v>0</v>
      </c>
      <c r="CJ7" s="44">
        <v>0</v>
      </c>
      <c r="CK7" s="30"/>
      <c r="CL7" s="30"/>
      <c r="CM7" s="30"/>
      <c r="CN7" s="30"/>
      <c r="CO7" s="30"/>
      <c r="CP7" s="30"/>
      <c r="CQ7" s="30"/>
      <c r="CR7" s="30"/>
      <c r="CS7" s="44">
        <v>15</v>
      </c>
      <c r="CT7" s="30"/>
      <c r="CU7" s="30"/>
      <c r="CV7" s="30"/>
      <c r="CW7" s="30"/>
      <c r="CX7" s="30"/>
      <c r="CY7" s="30"/>
      <c r="CZ7" s="30"/>
      <c r="DA7" s="44">
        <v>0</v>
      </c>
      <c r="DB7" s="44">
        <v>0</v>
      </c>
      <c r="DC7" s="30"/>
      <c r="DD7" s="30"/>
      <c r="DE7" s="44">
        <v>0</v>
      </c>
      <c r="DF7" s="44">
        <v>0</v>
      </c>
      <c r="DG7" s="44">
        <v>0</v>
      </c>
      <c r="DH7" s="30"/>
      <c r="DI7" s="44">
        <v>0</v>
      </c>
      <c r="DJ7" s="30" t="s">
        <v>17</v>
      </c>
      <c r="DK7" s="44">
        <v>0</v>
      </c>
      <c r="DL7" s="44">
        <v>0</v>
      </c>
      <c r="DM7" s="30"/>
      <c r="DN7" s="44">
        <v>0</v>
      </c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44">
        <v>0</v>
      </c>
      <c r="EH7" s="44">
        <v>0</v>
      </c>
      <c r="EI7" s="44">
        <v>0</v>
      </c>
      <c r="EJ7" s="44">
        <v>0</v>
      </c>
      <c r="EK7" s="44">
        <v>0</v>
      </c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</row>
    <row r="8" spans="1:167" ht="15.75" customHeight="1">
      <c r="A8" s="30"/>
      <c r="B8" s="30"/>
      <c r="C8" s="30" t="s">
        <v>20</v>
      </c>
      <c r="D8" s="52">
        <v>2000</v>
      </c>
      <c r="E8" s="27" t="s">
        <v>18</v>
      </c>
      <c r="F8" s="30"/>
      <c r="G8" s="30"/>
      <c r="H8" s="30" t="s">
        <v>23</v>
      </c>
      <c r="I8" s="31">
        <v>0</v>
      </c>
      <c r="J8" s="30"/>
      <c r="K8" s="30"/>
      <c r="L8" s="30"/>
      <c r="M8" s="30"/>
      <c r="N8" s="52">
        <v>-40000</v>
      </c>
      <c r="O8" s="30"/>
      <c r="P8" s="30"/>
      <c r="Q8" s="52">
        <v>-40000</v>
      </c>
      <c r="R8" s="30"/>
      <c r="S8" s="30"/>
      <c r="T8" s="30" t="s">
        <v>24</v>
      </c>
      <c r="U8" s="30" t="s">
        <v>34</v>
      </c>
      <c r="V8" s="30"/>
      <c r="W8" s="30" t="s">
        <v>46</v>
      </c>
      <c r="X8" s="30"/>
      <c r="Y8" s="44">
        <v>1</v>
      </c>
      <c r="Z8" s="30"/>
      <c r="AA8" s="30"/>
      <c r="AB8" s="44">
        <v>0</v>
      </c>
      <c r="AC8" s="44">
        <v>0</v>
      </c>
      <c r="AD8" s="44">
        <v>0</v>
      </c>
      <c r="AE8" s="44">
        <v>0</v>
      </c>
      <c r="AF8" s="45">
        <v>2000</v>
      </c>
      <c r="AG8" s="44">
        <v>0</v>
      </c>
      <c r="AH8" s="44">
        <v>0</v>
      </c>
      <c r="AI8" s="44">
        <v>0</v>
      </c>
      <c r="AJ8" s="44">
        <v>0</v>
      </c>
      <c r="AK8" s="52">
        <v>-40000</v>
      </c>
      <c r="AL8" s="44">
        <v>1</v>
      </c>
      <c r="AM8" s="44">
        <v>1</v>
      </c>
      <c r="AN8" s="30" t="s">
        <v>17</v>
      </c>
      <c r="AO8" s="30"/>
      <c r="AP8" s="30"/>
      <c r="AQ8" s="30" t="s">
        <v>20</v>
      </c>
      <c r="AR8" s="44">
        <v>0</v>
      </c>
      <c r="AS8" s="44">
        <v>1</v>
      </c>
      <c r="AT8" s="30"/>
      <c r="AU8" s="30"/>
      <c r="AV8" s="44">
        <v>1</v>
      </c>
      <c r="AW8" s="52">
        <v>-40000</v>
      </c>
      <c r="AX8" s="44">
        <v>0</v>
      </c>
      <c r="AY8" s="44">
        <v>0</v>
      </c>
      <c r="AZ8" s="44">
        <v>0</v>
      </c>
      <c r="BA8" s="30"/>
      <c r="BB8" s="30"/>
      <c r="BC8" s="44">
        <v>1</v>
      </c>
      <c r="BD8" s="52">
        <v>-40000</v>
      </c>
      <c r="BE8" s="30" t="s">
        <v>24</v>
      </c>
      <c r="BF8" s="30"/>
      <c r="BG8" s="30"/>
      <c r="BH8" s="30"/>
      <c r="BI8" s="30"/>
      <c r="BJ8" s="44">
        <v>0</v>
      </c>
      <c r="BK8" s="44">
        <v>0</v>
      </c>
      <c r="BL8" s="44">
        <v>0</v>
      </c>
      <c r="BM8" s="44">
        <v>0</v>
      </c>
      <c r="BN8" s="30"/>
      <c r="BO8" s="30"/>
      <c r="BP8" s="44">
        <v>0</v>
      </c>
      <c r="BQ8" s="30"/>
      <c r="BR8" s="30" t="s">
        <v>40</v>
      </c>
      <c r="BS8" s="44">
        <v>0</v>
      </c>
      <c r="BT8" s="44">
        <v>0</v>
      </c>
      <c r="BU8" s="30"/>
      <c r="BV8" s="30"/>
      <c r="BW8" s="44">
        <v>0</v>
      </c>
      <c r="BX8" s="44">
        <v>0</v>
      </c>
      <c r="BY8" s="44">
        <v>0</v>
      </c>
      <c r="BZ8" s="44">
        <v>0</v>
      </c>
      <c r="CA8" s="44">
        <v>0</v>
      </c>
      <c r="CB8" s="30"/>
      <c r="CC8" s="44">
        <v>0</v>
      </c>
      <c r="CD8" s="45">
        <v>-40000</v>
      </c>
      <c r="CE8" s="44">
        <v>0</v>
      </c>
      <c r="CF8" s="44">
        <v>0</v>
      </c>
      <c r="CG8" s="45">
        <v>-40000</v>
      </c>
      <c r="CH8" s="30"/>
      <c r="CI8" s="44">
        <v>0</v>
      </c>
      <c r="CJ8" s="44">
        <v>0</v>
      </c>
      <c r="CK8" s="30"/>
      <c r="CL8" s="30"/>
      <c r="CM8" s="30"/>
      <c r="CN8" s="30"/>
      <c r="CO8" s="30"/>
      <c r="CP8" s="30"/>
      <c r="CQ8" s="30"/>
      <c r="CR8" s="30"/>
      <c r="CS8" s="44">
        <v>20</v>
      </c>
      <c r="CT8" s="30"/>
      <c r="CU8" s="30"/>
      <c r="CV8" s="30"/>
      <c r="CW8" s="30"/>
      <c r="CX8" s="30"/>
      <c r="CY8" s="30"/>
      <c r="CZ8" s="30"/>
      <c r="DA8" s="44">
        <v>0</v>
      </c>
      <c r="DB8" s="44">
        <v>0</v>
      </c>
      <c r="DC8" s="30"/>
      <c r="DD8" s="30"/>
      <c r="DE8" s="44">
        <v>0</v>
      </c>
      <c r="DF8" s="44">
        <v>0</v>
      </c>
      <c r="DG8" s="44">
        <v>0</v>
      </c>
      <c r="DH8" s="30"/>
      <c r="DI8" s="44">
        <v>0</v>
      </c>
      <c r="DJ8" s="30" t="s">
        <v>17</v>
      </c>
      <c r="DK8" s="44">
        <v>0</v>
      </c>
      <c r="DL8" s="44">
        <v>0</v>
      </c>
      <c r="DM8" s="30"/>
      <c r="DN8" s="44">
        <v>0</v>
      </c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44">
        <v>0</v>
      </c>
      <c r="EH8" s="44">
        <v>0</v>
      </c>
      <c r="EI8" s="44">
        <v>0</v>
      </c>
      <c r="EJ8" s="44">
        <v>0</v>
      </c>
      <c r="EK8" s="44">
        <v>0</v>
      </c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</row>
    <row r="9" spans="1:167" ht="15.75" customHeight="1">
      <c r="A9" s="30"/>
      <c r="B9" s="30"/>
      <c r="C9" s="30" t="s">
        <v>16</v>
      </c>
      <c r="D9" s="52">
        <v>-1000</v>
      </c>
      <c r="E9" s="30" t="s">
        <v>18</v>
      </c>
      <c r="F9" s="30"/>
      <c r="G9" s="30"/>
      <c r="H9" s="30" t="s">
        <v>48</v>
      </c>
      <c r="I9" s="31">
        <v>0</v>
      </c>
      <c r="J9" s="30"/>
      <c r="K9" s="30"/>
      <c r="L9" s="30"/>
      <c r="M9" s="30"/>
      <c r="N9" s="53">
        <v>10000</v>
      </c>
      <c r="O9" s="30"/>
      <c r="P9" s="30"/>
      <c r="Q9" s="53">
        <v>10000</v>
      </c>
      <c r="R9" s="30"/>
      <c r="S9" s="30"/>
      <c r="T9" s="30" t="s">
        <v>24</v>
      </c>
      <c r="U9" s="30" t="s">
        <v>34</v>
      </c>
      <c r="V9" s="30"/>
      <c r="W9" s="30" t="s">
        <v>46</v>
      </c>
      <c r="X9" s="30"/>
      <c r="Y9" s="44">
        <v>1</v>
      </c>
      <c r="Z9" s="30"/>
      <c r="AA9" s="30"/>
      <c r="AB9" s="44">
        <v>0</v>
      </c>
      <c r="AC9" s="44">
        <v>0</v>
      </c>
      <c r="AD9" s="44">
        <v>0</v>
      </c>
      <c r="AE9" s="44">
        <v>0</v>
      </c>
      <c r="AF9" s="45">
        <v>-1000</v>
      </c>
      <c r="AG9" s="44">
        <v>0</v>
      </c>
      <c r="AH9" s="44">
        <v>0</v>
      </c>
      <c r="AI9" s="44">
        <v>0</v>
      </c>
      <c r="AJ9" s="44">
        <v>0</v>
      </c>
      <c r="AK9" s="53">
        <v>10000</v>
      </c>
      <c r="AL9" s="44">
        <v>1</v>
      </c>
      <c r="AM9" s="44">
        <v>1</v>
      </c>
      <c r="AN9" s="30" t="s">
        <v>28</v>
      </c>
      <c r="AO9" s="30"/>
      <c r="AP9" s="30"/>
      <c r="AQ9" s="30" t="s">
        <v>16</v>
      </c>
      <c r="AR9" s="44">
        <v>0</v>
      </c>
      <c r="AS9" s="44">
        <v>-1</v>
      </c>
      <c r="AT9" s="30"/>
      <c r="AU9" s="30"/>
      <c r="AV9" s="44">
        <v>1</v>
      </c>
      <c r="AW9" s="53">
        <v>10000</v>
      </c>
      <c r="AX9" s="44">
        <v>0</v>
      </c>
      <c r="AY9" s="44">
        <v>0</v>
      </c>
      <c r="AZ9" s="44">
        <v>0</v>
      </c>
      <c r="BA9" s="30"/>
      <c r="BB9" s="30"/>
      <c r="BC9" s="44">
        <v>1</v>
      </c>
      <c r="BD9" s="53">
        <v>10000</v>
      </c>
      <c r="BE9" s="30" t="s">
        <v>24</v>
      </c>
      <c r="BF9" s="30"/>
      <c r="BG9" s="30"/>
      <c r="BH9" s="30"/>
      <c r="BI9" s="30"/>
      <c r="BJ9" s="44">
        <v>0</v>
      </c>
      <c r="BK9" s="44">
        <v>0</v>
      </c>
      <c r="BL9" s="44">
        <v>0</v>
      </c>
      <c r="BM9" s="44">
        <v>0</v>
      </c>
      <c r="BN9" s="30"/>
      <c r="BO9" s="30"/>
      <c r="BP9" s="44">
        <v>0</v>
      </c>
      <c r="BQ9" s="30"/>
      <c r="BR9" s="30" t="s">
        <v>40</v>
      </c>
      <c r="BS9" s="44">
        <v>0</v>
      </c>
      <c r="BT9" s="44">
        <v>0</v>
      </c>
      <c r="BU9" s="30"/>
      <c r="BV9" s="30"/>
      <c r="BW9" s="44">
        <v>0</v>
      </c>
      <c r="BX9" s="44">
        <v>0</v>
      </c>
      <c r="BY9" s="44">
        <v>0</v>
      </c>
      <c r="BZ9" s="44">
        <v>0</v>
      </c>
      <c r="CA9" s="44">
        <v>0</v>
      </c>
      <c r="CB9" s="30"/>
      <c r="CC9" s="44">
        <v>0</v>
      </c>
      <c r="CD9" s="53">
        <v>10000</v>
      </c>
      <c r="CE9" s="44">
        <v>0</v>
      </c>
      <c r="CF9" s="44">
        <v>0</v>
      </c>
      <c r="CG9" s="53">
        <v>10000</v>
      </c>
      <c r="CH9" s="30"/>
      <c r="CI9" s="44">
        <v>0</v>
      </c>
      <c r="CJ9" s="44">
        <v>0</v>
      </c>
      <c r="CK9" s="30"/>
      <c r="CL9" s="30"/>
      <c r="CM9" s="30"/>
      <c r="CN9" s="30"/>
      <c r="CO9" s="30"/>
      <c r="CP9" s="30"/>
      <c r="CQ9" s="30"/>
      <c r="CR9" s="30"/>
      <c r="CS9" s="47">
        <v>10</v>
      </c>
      <c r="CT9" s="30"/>
      <c r="CU9" s="30"/>
      <c r="CV9" s="30"/>
      <c r="CW9" s="30"/>
      <c r="CX9" s="30"/>
      <c r="CY9" s="30"/>
      <c r="CZ9" s="30"/>
      <c r="DA9" s="44">
        <v>0</v>
      </c>
      <c r="DB9" s="44">
        <v>0</v>
      </c>
      <c r="DC9" s="30"/>
      <c r="DD9" s="30"/>
      <c r="DE9" s="44">
        <v>0</v>
      </c>
      <c r="DF9" s="44">
        <v>0</v>
      </c>
      <c r="DG9" s="44">
        <v>0</v>
      </c>
      <c r="DH9" s="30"/>
      <c r="DI9" s="44">
        <v>0</v>
      </c>
      <c r="DJ9" s="30" t="s">
        <v>28</v>
      </c>
      <c r="DK9" s="44">
        <v>0</v>
      </c>
      <c r="DL9" s="44">
        <v>0</v>
      </c>
      <c r="DM9" s="30"/>
      <c r="DN9" s="44">
        <v>0</v>
      </c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44">
        <v>0</v>
      </c>
      <c r="EH9" s="44">
        <v>0</v>
      </c>
      <c r="EI9" s="44">
        <v>0</v>
      </c>
      <c r="EJ9" s="44">
        <v>0</v>
      </c>
      <c r="EK9" s="44">
        <v>0</v>
      </c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CreateDoneAwayOrder</vt:lpstr>
      <vt:lpstr>CheckPortfolioManagement</vt:lpstr>
      <vt:lpstr>FilterPM</vt:lpstr>
      <vt:lpstr>CloseSelectedTaxlotsFromPM</vt:lpstr>
      <vt:lpstr>CreateDoneAwayOrder1</vt:lpstr>
      <vt:lpstr>GetDataClosing</vt:lpstr>
      <vt:lpstr>VerifyLongPositionsGrid</vt:lpstr>
      <vt:lpstr>VerifyShortPositionsGrid</vt:lpstr>
      <vt:lpstr>VerifyOrder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2021-08-04T11:05:40Z</dcterms:modified>
</cp:coreProperties>
</file>