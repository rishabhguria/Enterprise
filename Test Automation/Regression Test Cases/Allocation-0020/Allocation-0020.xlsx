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ditUnallocatedGridWPF" sheetId="6" r:id="rId8"/>
    <sheet state="visible" name="CheckUnallocatedGroups" sheetId="7" r:id="rId9"/>
    <sheet state="visible" name="EditAllocatedGridWPF" sheetId="8" r:id="rId10"/>
    <sheet state="visible" name="SelectAllocatedGroup" sheetId="9" r:id="rId11"/>
    <sheet state="visible" name="CheckAllocatedGroups" sheetId="10" r:id="rId12"/>
    <sheet state="visible" name="GetDataClosing" sheetId="11" r:id="rId13"/>
    <sheet state="visible" name="VerifyLongPositionsGrid" sheetId="12" r:id="rId14"/>
    <sheet state="visible" name="CheckPortfolioManagement" sheetId="13" r:id="rId15"/>
    <sheet state="visible" name="GetActivityData" sheetId="14" r:id="rId16"/>
    <sheet state="visible" name="VerifyActivity" sheetId="15" r:id="rId17"/>
  </sheets>
  <definedNames/>
  <calcPr/>
</workbook>
</file>

<file path=xl/sharedStrings.xml><?xml version="1.0" encoding="utf-8"?>
<sst xmlns="http://schemas.openxmlformats.org/spreadsheetml/2006/main" count="176" uniqueCount="58">
  <si>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</si>
  <si>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</si>
  <si>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</si>
  <si>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</si>
  <si>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</si>
  <si>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</si>
  <si>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</si>
  <si>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</si>
  <si>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</si>
  <si>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</si>
  <si>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</si>
  <si>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</si>
  <si>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</si>
  <si>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</si>
  <si>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</si>
  <si>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</si>
  <si>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</si>
  <si>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</si>
  <si>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</si>
  <si>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IBM</t>
  </si>
  <si>
    <t>Allocation2</t>
  </si>
  <si>
    <t>Allocation</t>
  </si>
  <si>
    <t>SelectUnallocatedGroup</t>
  </si>
  <si>
    <t>EditUnallocatedGridWPF</t>
  </si>
  <si>
    <t>Sell</t>
  </si>
  <si>
    <t>EditTrade</t>
  </si>
  <si>
    <t>TA1</t>
  </si>
  <si>
    <t>TA2</t>
  </si>
  <si>
    <t>TA3</t>
  </si>
  <si>
    <t>TA4</t>
  </si>
  <si>
    <t>TA5</t>
  </si>
  <si>
    <t>TA6</t>
  </si>
  <si>
    <t>Editing</t>
  </si>
  <si>
    <t>CheckUnallocatedGroups</t>
  </si>
  <si>
    <t>M</t>
  </si>
  <si>
    <t>EditAllocatedGridWPF</t>
  </si>
  <si>
    <t>SelectAllocatedGroup</t>
  </si>
  <si>
    <t>CheckAllocatedGroups</t>
  </si>
  <si>
    <t>Closing</t>
  </si>
  <si>
    <t>GetDataClosing</t>
  </si>
  <si>
    <t>Historical</t>
  </si>
  <si>
    <t>All Account(s) Selected</t>
  </si>
  <si>
    <t>VerifyLongPositionsGrid</t>
  </si>
  <si>
    <t>Equity</t>
  </si>
  <si>
    <t>Long</t>
  </si>
  <si>
    <t>PortfolioManagement</t>
  </si>
  <si>
    <t>CheckPortfolioManagement</t>
  </si>
  <si>
    <t>Short</t>
  </si>
  <si>
    <t>GeneralLedger</t>
  </si>
  <si>
    <t>GetActivityData</t>
  </si>
  <si>
    <t>All MasterFund(s) Selected</t>
  </si>
  <si>
    <t>No</t>
  </si>
  <si>
    <t>Yes</t>
  </si>
  <si>
    <t>VerifyActivity</t>
  </si>
  <si>
    <t>EquityL</t>
  </si>
  <si>
    <t>Cash</t>
  </si>
  <si>
    <t>USD</t>
  </si>
  <si>
    <t>Trading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</si>
</sst>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</font>
    <font>
      <sz val="11.0"/>
      <color rgb="FF000000"/>
      <name val="Calibri"/>
    </font>
    <font>
      <color rgb="FF000000"/>
      <name val="Calibri"/>
    </font>
    <font>
      <sz val="10.0"/>
      <color rgb="FF000000"/>
    </font>
    <font>
      <b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vertical="bottom"/>
    </xf>
    <xf borderId="0" fillId="0" fontId="5" numFmtId="0" xfId="0" applyFont="1"/>
    <xf borderId="0" fillId="0" fontId="15" numFmtId="0" xfId="0" applyAlignment="1" applyFont="1">
      <alignment readingOrder="0" vertical="bottom"/>
    </xf>
    <xf borderId="0" fillId="6" fontId="16" numFmtId="0" xfId="0" applyAlignment="1" applyFill="1" applyFont="1">
      <alignment horizontal="left" readingOrder="0"/>
    </xf>
    <xf borderId="0" fillId="5" fontId="8" numFmtId="0" xfId="0" applyFont="1"/>
    <xf borderId="0" fillId="0" fontId="17" numFmtId="0" xfId="0" applyAlignment="1" applyFont="1">
      <alignment readingOrder="0" vertical="bottom"/>
    </xf>
    <xf borderId="0" fillId="0" fontId="18" numFmtId="0" xfId="0" applyFont="1"/>
    <xf borderId="0" fillId="0" fontId="15" numFmtId="0" xfId="0" applyAlignment="1" applyFont="1">
      <alignment readingOrder="0"/>
    </xf>
    <xf borderId="0" fillId="0" fontId="14" numFmtId="0" xfId="0" applyAlignment="1" applyFont="1">
      <alignment horizontal="right" readingOrder="0" vertical="bottom"/>
    </xf>
    <xf borderId="0" fillId="0" fontId="1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1">
        <f t="shared" ref="N6:N7" si="1">TODAY()</f>
        <v>45840</v>
      </c>
      <c r="O6" s="8"/>
    </row>
    <row r="7" ht="15.75" customHeight="1">
      <c r="A7" s="8"/>
      <c r="B7" s="13" t="s">
        <v>19</v>
      </c>
      <c r="C7" s="13" t="s">
        <v>17</v>
      </c>
      <c r="D7" s="13">
        <v>100.0</v>
      </c>
      <c r="E7" s="13">
        <v>100.0</v>
      </c>
      <c r="F7" s="13" t="s">
        <v>20</v>
      </c>
      <c r="G7" s="8"/>
      <c r="H7" s="8"/>
      <c r="I7" s="8"/>
      <c r="J7" s="13">
        <v>12.0</v>
      </c>
      <c r="K7" s="8"/>
      <c r="L7" s="8"/>
      <c r="M7" s="8"/>
      <c r="N7" s="31">
        <f t="shared" si="1"/>
        <v>45840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IFERROR(__xludf.DUMMYFUNCTION("""COMPUTED_VALUE"""),"Venue")</f>
        <v>Venue</v>
      </c>
      <c r="D5" s="28" t="str">
        <f>IFERROR(__xludf.DUMMYFUNCTION("""COMPUTED_VALUE"""),"Transaction Levy")</f>
        <v>Transaction Levy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IFERROR(__xludf.DUMMYFUNCTION("""COMPUTED_VALUE"""),"Process Date")</f>
        <v>Process Date</v>
      </c>
      <c r="H5" s="28" t="str">
        <f>IFERROR(__xludf.DUMMYFUNCTION("""COMPUTED_VALUE"""),"Original Purchase Date")</f>
        <v>Original Purchase Date</v>
      </c>
      <c r="I5" s="28" t="str">
        <f>IFERROR(__xludf.DUMMYFUNCTION("""COMPUTED_VALUE"""),"Settlement Date")</f>
        <v>Settlement Date</v>
      </c>
      <c r="J5" s="28" t="str">
        <f>IFERROR(__xludf.DUMMYFUNCTION("""COMPUTED_VALUE"""),"ISIN")</f>
        <v>ISIN</v>
      </c>
      <c r="K5" s="28" t="str">
        <f>IFERROR(__xludf.DUMMYFUNCTION("""COMPUTED_VALUE"""),"Internal Comments")</f>
        <v>Internal Comments</v>
      </c>
      <c r="L5" s="28" t="str">
        <f>IFERROR(__xludf.DUMMYFUNCTION("""COMPUTED_VALUE"""),"Accrued Interest")</f>
        <v>Accrued Interest</v>
      </c>
      <c r="M5" s="28" t="str">
        <f>IFERROR(__xludf.DUMMYFUNCTION("""COMPUTED_VALUE"""),"Broker")</f>
        <v>Broker</v>
      </c>
      <c r="N5" s="28" t="str">
        <f>IFERROR(__xludf.DUMMYFUNCTION("""COMPUTED_VALUE"""),"Transaction Type")</f>
        <v>Transaction Type</v>
      </c>
      <c r="O5" s="28" t="str">
        <f>IFERROR(__xludf.DUMMYFUNCTION("""COMPUTED_VALUE"""),"Trade Attribute 1")</f>
        <v>Trade Attribute 1</v>
      </c>
      <c r="P5" s="28" t="str">
        <f>IFERROR(__xludf.DUMMYFUNCTION("""COMPUTED_VALUE"""),"Trade Attribute 2")</f>
        <v>Trade Attribute 2</v>
      </c>
      <c r="Q5" s="28" t="str">
        <f>IFERROR(__xludf.DUMMYFUNCTION("""COMPUTED_VALUE"""),"Trade Attribute 3")</f>
        <v>Trade Attribute 3</v>
      </c>
      <c r="R5" s="28" t="str">
        <f>IFERROR(__xludf.DUMMYFUNCTION("""COMPUTED_VALUE"""),"Trade Attribute 4")</f>
        <v>Trade Attribute 4</v>
      </c>
      <c r="S5" s="28" t="str">
        <f>IFERROR(__xludf.DUMMYFUNCTION("""COMPUTED_VALUE"""),"Trade Attribute 5")</f>
        <v>Trade Attribute 5</v>
      </c>
      <c r="T5" s="30" t="str">
        <f>IFERROR(__xludf.DUMMYFUNCTION("""COMPUTED_VALUE"""),"Trade Attribute 6")</f>
        <v>Trade Attribute 6</v>
      </c>
      <c r="U5" s="30" t="str">
        <f>IFERROR(__xludf.DUMMYFUNCTION("""COMPUTED_VALUE"""),"Commission")</f>
        <v>Commission</v>
      </c>
      <c r="V5" s="30" t="str">
        <f>IFERROR(__xludf.DUMMYFUNCTION("""COMPUTED_VALUE"""),"Soft Commission")</f>
        <v>Soft Commission</v>
      </c>
      <c r="W5" s="30" t="str">
        <f>IFERROR(__xludf.DUMMYFUNCTION("""COMPUTED_VALUE"""),"Other Broker Fees")</f>
        <v>Other Broker Fees</v>
      </c>
      <c r="X5" s="30" t="str">
        <f>IFERROR(__xludf.DUMMYFUNCTION("""COMPUTED_VALUE"""),"Clearing Broker Fee")</f>
        <v>Clearing Broker Fee</v>
      </c>
      <c r="Y5" s="30" t="str">
        <f>IFERROR(__xludf.DUMMYFUNCTION("""COMPUTED_VALUE"""),"Stamp Duty")</f>
        <v>Stamp Duty</v>
      </c>
      <c r="Z5" s="30" t="str">
        <f>IFERROR(__xludf.DUMMYFUNCTION("""COMPUTED_VALUE"""),"AUEC Fee1")</f>
        <v>AUEC Fee1</v>
      </c>
      <c r="AA5" s="30" t="str">
        <f>IFERROR(__xludf.DUMMYFUNCTION("""COMPUTED_VALUE"""),"Tax On Commissions")</f>
        <v>Tax On Commissions</v>
      </c>
      <c r="AB5" s="30" t="str">
        <f>IFERROR(__xludf.DUMMYFUNCTION("""COMPUTED_VALUE"""),"AUEC Fee2")</f>
        <v>AUEC Fee2</v>
      </c>
      <c r="AC5" s="30" t="str">
        <f>IFERROR(__xludf.DUMMYFUNCTION("""COMPUTED_VALUE"""),"Avg Price(Local)")</f>
        <v>Avg Price(Local)</v>
      </c>
      <c r="AD5" s="30" t="str">
        <f>IFERROR(__xludf.DUMMYFUNCTION("""COMPUTED_VALUE"""),"OCC Fee")</f>
        <v>OCC Fee</v>
      </c>
      <c r="AE5" s="30" t="str">
        <f>IFERROR(__xludf.DUMMYFUNCTION("""COMPUTED_VALUE"""),"ORF Fee")</f>
        <v>ORF Fee</v>
      </c>
      <c r="AF5" s="30" t="str">
        <f>IFERROR(__xludf.DUMMYFUNCTION("""COMPUTED_VALUE"""),"Option Premium Adjustment")</f>
        <v>Option Premium Adjustment</v>
      </c>
      <c r="AG5" s="30" t="str">
        <f>IFERROR(__xludf.DUMMYFUNCTION("""COMPUTED_VALUE"""),"Change Comment")</f>
        <v>Change Comment</v>
      </c>
      <c r="AH5" s="30" t="str">
        <f>IFERROR(__xludf.DUMMYFUNCTION("""COMPUTED_VALUE"""),"SEC Fee")</f>
        <v>SEC Fee</v>
      </c>
      <c r="AI5" s="30" t="str">
        <f>IFERROR(__xludf.DUMMYFUNCTION("""COMPUTED_VALUE"""),"Nirvana Process Date")</f>
        <v>Nirvana Process Date</v>
      </c>
      <c r="AJ5" s="30" t="str">
        <f>IFERROR(__xludf.DUMMYFUNCTION("""COMPUTED_VALUE"""),"Closing Date")</f>
        <v>Closing Date</v>
      </c>
      <c r="AK5" s="30" t="str">
        <f>IFERROR(__xludf.DUMMYFUNCTION("""COMPUTED_VALUE"""),"Description")</f>
        <v>Description</v>
      </c>
      <c r="AL5" s="30" t="str">
        <f>IFERROR(__xludf.DUMMYFUNCTION("""COMPUTED_VALUE"""),"Coupon Rate")</f>
        <v>Coupon Rate</v>
      </c>
      <c r="AM5" s="30" t="str">
        <f>IFERROR(__xludf.DUMMYFUNCTION("""COMPUTED_VALUE"""),"Delta")</f>
        <v>Delta</v>
      </c>
      <c r="AN5" s="30" t="str">
        <f>IFERROR(__xludf.DUMMYFUNCTION("""COMPUTED_VALUE"""),"Symbol")</f>
        <v>Symbol</v>
      </c>
      <c r="AO5" s="30" t="str">
        <f>IFERROR(__xludf.DUMMYFUNCTION("""COMPUTED_VALUE"""),"Quantity")</f>
        <v>Quantity</v>
      </c>
      <c r="AP5" s="30" t="str">
        <f>IFERROR(__xludf.DUMMYFUNCTION("""COMPUTED_VALUE"""),"Avg Price(Base)")</f>
        <v>Avg Price(Base)</v>
      </c>
      <c r="AQ5" s="30" t="str">
        <f>IFERROR(__xludf.DUMMYFUNCTION("""COMPUTED_VALUE"""),"Sedol Symbol")</f>
        <v>Sedol Symbol</v>
      </c>
      <c r="AR5" s="30" t="str">
        <f>IFERROR(__xludf.DUMMYFUNCTION("""COMPUTED_VALUE"""),"Borrow Broker")</f>
        <v>Borrow Broker</v>
      </c>
      <c r="AS5" s="30" t="str">
        <f>IFERROR(__xludf.DUMMYFUNCTION("""COMPUTED_VALUE"""),"FX Rate")</f>
        <v>FX Rate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13">
        <v>50.0</v>
      </c>
      <c r="F6" s="8"/>
      <c r="G6" s="8"/>
      <c r="H6" s="8"/>
      <c r="I6" s="8"/>
      <c r="J6" s="8"/>
      <c r="K6" s="13" t="s">
        <v>25</v>
      </c>
      <c r="L6" s="8"/>
      <c r="M6" s="8"/>
      <c r="N6" s="8"/>
      <c r="O6" s="9" t="s">
        <v>26</v>
      </c>
      <c r="P6" s="9" t="s">
        <v>27</v>
      </c>
      <c r="Q6" s="9" t="s">
        <v>28</v>
      </c>
      <c r="R6" s="9" t="s">
        <v>29</v>
      </c>
      <c r="S6" s="9" t="s">
        <v>30</v>
      </c>
      <c r="T6" s="9" t="s">
        <v>31</v>
      </c>
      <c r="U6" s="9">
        <v>15.0</v>
      </c>
      <c r="V6" s="9">
        <v>25.0</v>
      </c>
      <c r="W6" s="9">
        <v>12.0</v>
      </c>
      <c r="X6" s="9">
        <v>13.0</v>
      </c>
      <c r="Y6" s="9">
        <v>14.0</v>
      </c>
      <c r="Z6" s="9">
        <v>11.0</v>
      </c>
      <c r="AA6" s="9">
        <v>5.0</v>
      </c>
      <c r="AB6" s="9">
        <v>6.0</v>
      </c>
      <c r="AC6" s="9">
        <v>7.0</v>
      </c>
      <c r="AD6" s="9">
        <v>8.0</v>
      </c>
      <c r="AE6" s="9">
        <v>9.0</v>
      </c>
      <c r="AF6" s="9">
        <v>10.0</v>
      </c>
      <c r="AG6" s="32" t="s">
        <v>32</v>
      </c>
      <c r="AH6" s="9">
        <v>5.0</v>
      </c>
      <c r="AN6" s="9" t="s">
        <v>16</v>
      </c>
      <c r="AO6" s="9">
        <v>100.0</v>
      </c>
      <c r="AP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EditUnallocatedGridWPF!$4:$4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27.5"/>
    <col customWidth="1" min="6" max="8" width="12.63"/>
    <col customWidth="1" min="9" max="9" width="15.88"/>
    <col customWidth="1" min="10" max="11" width="15.25"/>
    <col customWidth="1" min="12" max="67" width="12.63"/>
    <col customWidth="1" min="68" max="68" width="19.38"/>
    <col customWidth="1" min="69" max="69" width="18.38"/>
    <col customWidth="1" min="70" max="72" width="12.63"/>
    <col customWidth="1" min="73" max="73" width="21.0"/>
    <col customWidth="1" min="74" max="74" width="21.75"/>
    <col customWidth="1" min="75" max="75" width="24.0"/>
    <col customWidth="1" min="76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34">
        <v>11.0</v>
      </c>
      <c r="H6" s="34">
        <v>6.0</v>
      </c>
      <c r="I6" s="8"/>
      <c r="J6" s="13">
        <v>7.0</v>
      </c>
      <c r="K6" s="13">
        <v>7.0</v>
      </c>
      <c r="L6" s="8"/>
      <c r="M6" s="8"/>
      <c r="N6" s="8"/>
      <c r="O6" s="8"/>
      <c r="P6" s="35"/>
      <c r="Q6" s="34"/>
      <c r="R6" s="35"/>
      <c r="S6" s="35"/>
      <c r="T6" s="36">
        <v>15.0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4">
        <v>50.0</v>
      </c>
      <c r="AF6" s="35"/>
      <c r="AG6" s="32" t="s">
        <v>34</v>
      </c>
      <c r="AH6" s="32">
        <v>1.0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4">
        <v>8.0</v>
      </c>
      <c r="AX6" s="35"/>
      <c r="AY6" s="35"/>
      <c r="AZ6" s="34">
        <v>9.0</v>
      </c>
      <c r="BA6" s="35"/>
      <c r="BB6" s="35"/>
      <c r="BC6" s="35"/>
      <c r="BD6" s="35"/>
      <c r="BE6" s="35"/>
      <c r="BF6" s="35"/>
      <c r="BG6" s="35"/>
      <c r="BH6" s="35"/>
      <c r="BI6" s="35"/>
      <c r="BJ6" s="36">
        <v>100.0</v>
      </c>
      <c r="BK6" s="34">
        <v>5.0</v>
      </c>
      <c r="BL6" s="35"/>
      <c r="BM6" s="35"/>
      <c r="BN6" s="35"/>
      <c r="BO6" s="36" t="s">
        <v>24</v>
      </c>
      <c r="BP6" s="36">
        <v>25.0</v>
      </c>
      <c r="BQ6" s="36"/>
      <c r="BR6" s="35"/>
      <c r="BS6" s="36" t="s">
        <v>16</v>
      </c>
      <c r="BT6" s="34">
        <v>5.0</v>
      </c>
      <c r="BU6" s="36">
        <v>40.0</v>
      </c>
      <c r="BV6" s="34">
        <v>135.0</v>
      </c>
      <c r="BW6" s="34">
        <v>0.8</v>
      </c>
      <c r="BX6" s="36" t="s">
        <v>26</v>
      </c>
      <c r="BY6" s="36" t="s">
        <v>27</v>
      </c>
      <c r="BZ6" s="36" t="s">
        <v>28</v>
      </c>
      <c r="CA6" s="36" t="s">
        <v>29</v>
      </c>
      <c r="CB6" s="36" t="s">
        <v>30</v>
      </c>
      <c r="CC6" s="36" t="s">
        <v>31</v>
      </c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IFERROR(__xludf.DUMMYFUNCTION("""COMPUTED_VALUE"""),"Transaction Levy")</f>
        <v>Transaction Levy</v>
      </c>
      <c r="AH5" s="30" t="str">
        <f>IFERROR(__xludf.DUMMYFUNCTION("""COMPUTED_VALUE"""),"Borrow Broker")</f>
        <v>Borrow Broker</v>
      </c>
      <c r="AI5" s="30" t="str">
        <f>IFERROR(__xludf.DUMMYFUNCTION("""COMPUTED_VALUE"""),"RecalculateCommPopUp")</f>
        <v>RecalculateCommPopUp</v>
      </c>
      <c r="AJ5" s="30" t="str">
        <f>IFERROR(__xludf.DUMMYFUNCTION("""COMPUTED_VALUE"""),"FX Rate")</f>
        <v>FX Rate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13" t="s">
        <v>26</v>
      </c>
      <c r="F6" s="37" t="s">
        <v>27</v>
      </c>
      <c r="G6" s="37" t="s">
        <v>28</v>
      </c>
      <c r="H6" s="37" t="s">
        <v>29</v>
      </c>
      <c r="I6" s="37" t="s">
        <v>30</v>
      </c>
      <c r="J6" s="37" t="s">
        <v>31</v>
      </c>
      <c r="K6" s="13">
        <v>5.0</v>
      </c>
      <c r="L6" s="13">
        <v>2.0</v>
      </c>
      <c r="M6" s="8"/>
      <c r="N6" s="8"/>
      <c r="O6" s="8"/>
      <c r="P6" s="9">
        <v>2.0</v>
      </c>
      <c r="Q6" s="9">
        <v>1.0</v>
      </c>
      <c r="R6" s="9">
        <v>2.0</v>
      </c>
      <c r="S6" s="9">
        <v>3.0</v>
      </c>
      <c r="T6" s="9">
        <v>4.0</v>
      </c>
      <c r="U6" s="9">
        <v>5.0</v>
      </c>
      <c r="W6" s="9" t="s">
        <v>32</v>
      </c>
      <c r="X6" s="9">
        <v>12.0</v>
      </c>
      <c r="AD6" s="9" t="s">
        <v>19</v>
      </c>
      <c r="AE6" s="9">
        <v>100.0</v>
      </c>
      <c r="AF6" s="9">
        <v>12.0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8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100.0</v>
      </c>
      <c r="D6" s="13"/>
      <c r="E6" s="13" t="s">
        <v>20</v>
      </c>
      <c r="F6" s="13" t="s">
        <v>17</v>
      </c>
      <c r="G6" s="8"/>
      <c r="H6" s="8"/>
      <c r="I6" s="8"/>
      <c r="J6" s="8"/>
      <c r="K6" s="34">
        <v>12.0</v>
      </c>
      <c r="L6" s="8"/>
      <c r="M6" s="8"/>
      <c r="N6" s="8"/>
      <c r="O6" s="8"/>
      <c r="AS6" s="13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G13" s="8"/>
      <c r="H13" s="8"/>
      <c r="I13" s="8"/>
      <c r="J13" s="13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7" width="12.63"/>
    <col customWidth="1" min="68" max="68" width="19.75"/>
    <col customWidth="1" min="69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34">
        <v>2.0</v>
      </c>
      <c r="I6" s="8"/>
      <c r="J6" s="8"/>
      <c r="K6" s="8"/>
      <c r="L6" s="34">
        <v>12.0</v>
      </c>
      <c r="M6" s="8"/>
      <c r="N6" s="8"/>
      <c r="O6" s="8"/>
      <c r="P6" s="34"/>
      <c r="T6" s="34">
        <v>5.0</v>
      </c>
      <c r="AW6" s="34">
        <v>4.0</v>
      </c>
      <c r="AZ6" s="34">
        <v>5.0</v>
      </c>
      <c r="BJ6" s="34">
        <v>100.0</v>
      </c>
      <c r="BK6" s="34">
        <v>3.0</v>
      </c>
      <c r="BO6" s="39" t="s">
        <v>17</v>
      </c>
      <c r="BP6" s="34">
        <v>2.0</v>
      </c>
      <c r="BT6" s="34" t="s">
        <v>19</v>
      </c>
      <c r="BU6" s="34">
        <v>1.0</v>
      </c>
      <c r="BY6" s="34" t="s">
        <v>26</v>
      </c>
      <c r="BZ6" s="34" t="s">
        <v>27</v>
      </c>
      <c r="CA6" s="34" t="s">
        <v>28</v>
      </c>
      <c r="CB6" s="34" t="s">
        <v>29</v>
      </c>
      <c r="CC6" s="34" t="s">
        <v>30</v>
      </c>
      <c r="CD6" s="34" t="s">
        <v>31</v>
      </c>
      <c r="CI6" s="34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31">
        <f t="shared" ref="C6:D6" si="1">today()</f>
        <v>45840</v>
      </c>
      <c r="D6" s="31">
        <f t="shared" si="1"/>
        <v>45840</v>
      </c>
      <c r="E6" s="13" t="s">
        <v>41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" width="12.63"/>
    <col customWidth="1" min="20" max="20" width="22.38"/>
    <col customWidth="1" min="21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20</v>
      </c>
      <c r="C6" s="41" t="s">
        <v>43</v>
      </c>
      <c r="D6" s="13"/>
      <c r="E6" s="33"/>
      <c r="F6" s="8"/>
      <c r="G6" s="8"/>
      <c r="H6" s="8"/>
      <c r="I6" s="41">
        <v>12.0</v>
      </c>
      <c r="J6" s="8"/>
      <c r="K6" s="41" t="s">
        <v>44</v>
      </c>
      <c r="L6" s="8"/>
      <c r="M6" s="41">
        <v>100.0</v>
      </c>
      <c r="N6" s="8"/>
      <c r="O6" s="8"/>
      <c r="P6" s="41" t="s">
        <v>17</v>
      </c>
      <c r="Q6" s="35"/>
      <c r="R6" s="41" t="s">
        <v>19</v>
      </c>
      <c r="S6" s="35"/>
      <c r="T6" s="41">
        <v>24.21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</row>
    <row r="6" ht="15.75" customHeight="1">
      <c r="A6" s="13"/>
      <c r="B6" s="13"/>
      <c r="C6" s="34" t="s">
        <v>16</v>
      </c>
      <c r="D6" s="42">
        <v>-50.0</v>
      </c>
      <c r="E6" s="33"/>
      <c r="F6" s="8"/>
      <c r="G6" s="42">
        <v>7.0</v>
      </c>
      <c r="H6" s="36" t="s">
        <v>47</v>
      </c>
      <c r="I6" s="35"/>
      <c r="J6" s="8"/>
      <c r="K6" s="8"/>
      <c r="L6" s="8"/>
      <c r="M6" s="8"/>
      <c r="N6" s="8"/>
      <c r="O6" s="8"/>
      <c r="P6" s="35"/>
      <c r="Q6" s="35"/>
      <c r="R6" s="35"/>
      <c r="S6" s="35"/>
      <c r="T6" s="35"/>
      <c r="U6" s="36"/>
      <c r="V6" s="36"/>
      <c r="W6" s="36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4" t="s">
        <v>24</v>
      </c>
      <c r="AO6" s="35"/>
      <c r="AP6" s="34" t="s">
        <v>44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</row>
    <row r="7" ht="15.75" customHeight="1">
      <c r="A7" s="8"/>
      <c r="B7" s="8"/>
      <c r="C7" s="34" t="s">
        <v>19</v>
      </c>
      <c r="D7" s="42">
        <v>100.0</v>
      </c>
      <c r="E7" s="34" t="s">
        <v>20</v>
      </c>
      <c r="F7" s="8"/>
      <c r="G7" s="42">
        <v>12.0</v>
      </c>
      <c r="H7" s="36" t="s">
        <v>44</v>
      </c>
      <c r="I7" s="35"/>
      <c r="J7" s="8"/>
      <c r="K7" s="8"/>
      <c r="L7" s="8"/>
      <c r="M7" s="8"/>
      <c r="N7" s="8"/>
      <c r="O7" s="8"/>
      <c r="P7" s="35"/>
      <c r="Q7" s="35"/>
      <c r="R7" s="35"/>
      <c r="S7" s="35"/>
      <c r="T7" s="35"/>
      <c r="U7" s="36"/>
      <c r="V7" s="36"/>
      <c r="W7" s="36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4" t="s">
        <v>17</v>
      </c>
      <c r="AO7" s="35"/>
      <c r="AP7" s="34" t="s">
        <v>44</v>
      </c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</row>
    <row r="8" ht="15.75" customHeight="1">
      <c r="A8" s="8"/>
      <c r="B8" s="8"/>
      <c r="C8" s="36"/>
      <c r="D8" s="43"/>
      <c r="E8" s="36"/>
      <c r="F8" s="8"/>
      <c r="G8" s="43"/>
      <c r="H8" s="36"/>
      <c r="I8" s="35"/>
      <c r="J8" s="8"/>
      <c r="K8" s="8"/>
      <c r="L8" s="8"/>
      <c r="M8" s="8"/>
      <c r="N8" s="8"/>
      <c r="O8" s="8"/>
      <c r="P8" s="35"/>
      <c r="Q8" s="35"/>
      <c r="R8" s="35"/>
      <c r="S8" s="35"/>
      <c r="T8" s="35"/>
      <c r="U8" s="36"/>
      <c r="V8" s="36"/>
      <c r="W8" s="36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6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</row>
    <row r="9" ht="15.75" customHeight="1">
      <c r="A9" s="8"/>
      <c r="B9" s="8"/>
      <c r="C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34.38"/>
    <col customWidth="1" min="3" max="3" width="19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IFERROR(__xludf.DUMMYFUNCTION("""COMPUTED_VALUE"""),"From")</f>
        <v>From</v>
      </c>
      <c r="E5" s="28" t="str">
        <f>IFERROR(__xludf.DUMMYFUNCTION("""COMPUTED_VALUE"""),"To")</f>
        <v>To</v>
      </c>
      <c r="F5" s="29" t="str">
        <f>IFERROR(__xludf.DUMMYFUNCTION("""COMPUTED_VALUE"""),"SettlementDate")</f>
        <v>SettlementDate</v>
      </c>
      <c r="G5" s="28" t="str">
        <f>IFERROR(__xludf.DUMMYFUNCTION("""COMPUTED_VALUE"""),"TradeDate")</f>
        <v>TradeDate</v>
      </c>
      <c r="H5" s="28" t="str">
        <f>IFERROR(__xludf.DUMMYFUNCTION("""COMPUTED_VALUE"""),"All")</f>
        <v>All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13" t="s">
        <v>20</v>
      </c>
      <c r="D6" s="44">
        <f t="shared" ref="D6:E6" si="1">today()</f>
        <v>45840</v>
      </c>
      <c r="E6" s="44">
        <f t="shared" si="1"/>
        <v>45840</v>
      </c>
      <c r="F6" s="13" t="s">
        <v>51</v>
      </c>
      <c r="G6" s="13" t="s">
        <v>52</v>
      </c>
      <c r="H6" s="13" t="s">
        <v>51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IFERROR(__xludf.DUMMYFUNCTION("""COMPUTED_VALUE"""),"Activity Source")</f>
        <v>Activity Source</v>
      </c>
      <c r="D5" s="28" t="str">
        <f>IFERROR(__xludf.DUMMYFUNCTION("""COMPUTED_VALUE"""),"ActivityType")</f>
        <v>ActivityType</v>
      </c>
      <c r="E5" s="28" t="str">
        <f>IFERROR(__xludf.DUMMYFUNCTION("""COMPUTED_VALUE"""),"Net Amount(Local)")</f>
        <v>Net Amount(Local)</v>
      </c>
      <c r="F5" s="29" t="str">
        <f>IFERROR(__xludf.DUMMYFUNCTION("""COMPUTED_VALUE"""),"AUEC Fee1")</f>
        <v>AUEC Fee1</v>
      </c>
      <c r="G5" s="28" t="str">
        <f>IFERROR(__xludf.DUMMYFUNCTION("""COMPUTED_VALUE"""),"AUEC Fee2")</f>
        <v>AUEC Fee2</v>
      </c>
      <c r="H5" s="28" t="str">
        <f>IFERROR(__xludf.DUMMYFUNCTION("""COMPUTED_VALUE"""),"Balance Type")</f>
        <v>Balance Type</v>
      </c>
      <c r="I5" s="28" t="str">
        <f>IFERROR(__xludf.DUMMYFUNCTION("""COMPUTED_VALUE"""),"Clearing Broker Fees")</f>
        <v>Clearing Broker Fees</v>
      </c>
      <c r="J5" s="28" t="str">
        <f>IFERROR(__xludf.DUMMYFUNCTION("""COMPUTED_VALUE"""),"Commission")</f>
        <v>Commission</v>
      </c>
      <c r="K5" s="28" t="str">
        <f>IFERROR(__xludf.DUMMYFUNCTION("""COMPUTED_VALUE"""),"Currency")</f>
        <v>Currency</v>
      </c>
      <c r="L5" s="28" t="str">
        <f>IFERROR(__xludf.DUMMYFUNCTION("""COMPUTED_VALUE"""),"Description")</f>
        <v>Description</v>
      </c>
      <c r="M5" s="28" t="str">
        <f>IFERROR(__xludf.DUMMYFUNCTION("""COMPUTED_VALUE"""),"Entry Date")</f>
        <v>Entry Date</v>
      </c>
      <c r="N5" s="28" t="str">
        <f>IFERROR(__xludf.DUMMYFUNCTION("""COMPUTED_VALUE"""),"FX Conversion Method Operator")</f>
        <v>FX Conversion Method Operator</v>
      </c>
      <c r="O5" s="28" t="str">
        <f>IFERROR(__xludf.DUMMYFUNCTION("""COMPUTED_VALUE"""),"Fx Rate")</f>
        <v>Fx Rate</v>
      </c>
      <c r="P5" s="28" t="str">
        <f>IFERROR(__xludf.DUMMYFUNCTION("""COMPUTED_VALUE"""),"Lead Currency")</f>
        <v>Lead Currency</v>
      </c>
      <c r="Q5" s="28" t="str">
        <f>IFERROR(__xludf.DUMMYFUNCTION("""COMPUTED_VALUE"""),"Modify date")</f>
        <v>Modify date</v>
      </c>
      <c r="R5" s="28" t="str">
        <f>IFERROR(__xludf.DUMMYFUNCTION("""COMPUTED_VALUE"""),"OCC Fee")</f>
        <v>OCC Fee</v>
      </c>
      <c r="S5" s="28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20</v>
      </c>
      <c r="C6" s="8"/>
      <c r="D6" s="36" t="s">
        <v>54</v>
      </c>
      <c r="E6" s="33"/>
      <c r="F6" s="8"/>
      <c r="G6" s="8"/>
      <c r="H6" s="36" t="s">
        <v>55</v>
      </c>
      <c r="I6" s="8"/>
      <c r="J6" s="8"/>
      <c r="K6" s="36" t="s">
        <v>56</v>
      </c>
      <c r="L6" s="8"/>
      <c r="M6" s="8"/>
      <c r="N6" s="8"/>
      <c r="O6" s="8"/>
      <c r="P6" s="35"/>
      <c r="Q6" s="35"/>
      <c r="R6" s="35"/>
      <c r="S6" s="35"/>
      <c r="T6" s="35"/>
      <c r="U6" s="35"/>
      <c r="V6" s="36">
        <v>100.0</v>
      </c>
      <c r="W6" s="35"/>
      <c r="X6" s="35"/>
      <c r="Y6" s="35"/>
      <c r="Z6" s="35"/>
      <c r="AA6" s="35"/>
      <c r="AB6" s="36" t="s">
        <v>19</v>
      </c>
      <c r="AC6" s="35"/>
      <c r="AD6" s="35"/>
      <c r="AE6" s="35"/>
      <c r="AF6" s="35"/>
      <c r="AG6" s="36" t="s">
        <v>57</v>
      </c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36" t="s">
        <v>20</v>
      </c>
      <c r="C7" s="8"/>
      <c r="D7" s="36" t="s">
        <v>54</v>
      </c>
      <c r="E7" s="8"/>
      <c r="F7" s="8"/>
      <c r="G7" s="8"/>
      <c r="H7" s="36" t="s">
        <v>55</v>
      </c>
      <c r="I7" s="8"/>
      <c r="J7" s="8"/>
      <c r="K7" s="36" t="s">
        <v>56</v>
      </c>
      <c r="L7" s="8"/>
      <c r="M7" s="8"/>
      <c r="N7" s="8"/>
      <c r="O7" s="8"/>
      <c r="P7" s="35"/>
      <c r="Q7" s="35"/>
      <c r="R7" s="35"/>
      <c r="S7" s="35"/>
      <c r="T7" s="35"/>
      <c r="U7" s="35"/>
      <c r="V7" s="36">
        <v>100.0</v>
      </c>
      <c r="W7" s="35"/>
      <c r="X7" s="35"/>
      <c r="Y7" s="35"/>
      <c r="Z7" s="35"/>
      <c r="AA7" s="35"/>
      <c r="AB7" s="36" t="s">
        <v>19</v>
      </c>
      <c r="AC7" s="35"/>
      <c r="AD7" s="35"/>
      <c r="AE7" s="35"/>
      <c r="AF7" s="35"/>
      <c r="AG7" s="36" t="s">
        <v>57</v>
      </c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