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CreateDoneAwayOrder" sheetId="5" r:id="rId7"/>
    <sheet state="visible" name="GetDailyCash" sheetId="6" r:id="rId8"/>
    <sheet state="visible" name="UpdateDailyCash" sheetId="7" r:id="rId9"/>
    <sheet state="visible" name="PricingInput" sheetId="8" r:id="rId10"/>
    <sheet state="visible" name="CalculatePTT" sheetId="9" r:id="rId11"/>
    <sheet state="visible" name="VerifyPTT" sheetId="10" r:id="rId12"/>
    <sheet state="visible" name="TradePTT" sheetId="11" r:id="rId13"/>
    <sheet state="visible" name="CreateDoneAwayOrder1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<sst xmlns="http://schemas.openxmlformats.org/spreadsheetml/2006/main" count="666" uniqueCount="51">
  <si>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</si>
  <si>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</si>
  <si>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</si>
  <si>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</si>
  <si>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</si>
  <si>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</si>
  <si>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</si>
  <si>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</si>
  <si>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</si>
  <si>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</si>
  <si>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</si>
  <si>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</si>
  <si>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</si>
  <si>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</si>
  <si>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</si>
  <si>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</si>
  <si>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</si>
  <si>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</si>
  <si>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</si>
  <si>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</si>
  <si>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</si>
  <si>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MS</t>
  </si>
  <si>
    <t>Allocation2</t>
  </si>
  <si>
    <t>DailyValuation</t>
  </si>
  <si>
    <t>GetDailyCash</t>
  </si>
  <si>
    <t>UpdateDailyCash</t>
  </si>
  <si>
    <t>USD</t>
  </si>
  <si>
    <t>PricingInput</t>
  </si>
  <si>
    <t>PTT</t>
  </si>
  <si>
    <t>CalculatePTT</t>
  </si>
  <si>
    <t>Set</t>
  </si>
  <si>
    <t>$ Amount</t>
  </si>
  <si>
    <t>Yes</t>
  </si>
  <si>
    <t>Account</t>
  </si>
  <si>
    <t>Allocation1,Allocation2</t>
  </si>
  <si>
    <t>VerifyPTT</t>
  </si>
  <si>
    <t>TradePTT</t>
  </si>
  <si>
    <t>Sell</t>
  </si>
  <si>
    <t>PortfolioManagement</t>
  </si>
  <si>
    <t>CheckPortfolioManagement</t>
  </si>
  <si>
    <t/>
  </si>
  <si>
    <t>NewMF</t>
  </si>
  <si>
    <t>Long</t>
  </si>
  <si>
    <t>APPLE</t>
  </si>
  <si>
    <t>Undefined</t>
  </si>
  <si>
    <t>Equity</t>
  </si>
  <si>
    <t>US</t>
  </si>
  <si>
    <t>NASDAQ</t>
  </si>
  <si>
    <t>jpearce</t>
  </si>
  <si>
    <t>AAPL US EQUITY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</si>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</sst>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>
      <c r="A587" t="str">
        <f>IFERROR(__xludf.DUMMYFUNCTION("""COMPUTED_VALUE"""),"QTT")</f>
        <v>QTT</v>
      </c>
      <c r="B587" t="str">
        <f>IFERROR(__xludf.DUMMYFUNCTION("""COMPUTED_VALUE"""),"OpenQtt")</f>
        <v>OpenQtt</v>
      </c>
      <c r="C587" t="str">
        <f>IFERROR(__xludf.DUMMYFUNCTION("""COMPUTED_VALUE"""),"1w_R8_0C8pikIkKOjwqbblpApJ-NG3VoHrCDrW9YJ19Q")</f>
        <v>1w_R8_0C8pikIkKOjwqbblpApJ-NG3VoHrCDrW9YJ19Q</v>
      </c>
    </row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 t="b"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SetDollarAmountPermission!$4:$4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2" t="s">
        <v>19</v>
      </c>
      <c r="D6" s="33">
        <v>12000.0</v>
      </c>
      <c r="E6" s="33">
        <v>12000.0</v>
      </c>
      <c r="F6" s="32" t="s">
        <v>20</v>
      </c>
      <c r="G6" s="32" t="s">
        <v>21</v>
      </c>
      <c r="H6" s="32"/>
      <c r="I6" s="32"/>
      <c r="J6" s="33">
        <v>10.0</v>
      </c>
      <c r="K6" s="32"/>
      <c r="L6" s="32"/>
      <c r="M6" s="32"/>
      <c r="N6" s="32"/>
      <c r="O6" s="32"/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18</v>
      </c>
      <c r="C7" s="32" t="s">
        <v>19</v>
      </c>
      <c r="D7" s="33">
        <v>12000.0</v>
      </c>
      <c r="E7" s="33">
        <v>12000.0</v>
      </c>
      <c r="F7" s="34" t="s">
        <v>22</v>
      </c>
      <c r="G7" s="32" t="s">
        <v>21</v>
      </c>
      <c r="H7" s="32"/>
      <c r="I7" s="32"/>
      <c r="J7" s="33">
        <v>10.0</v>
      </c>
      <c r="K7" s="32"/>
      <c r="L7" s="32"/>
      <c r="M7" s="32"/>
      <c r="N7" s="32"/>
      <c r="O7" s="32"/>
      <c r="P7" s="32"/>
      <c r="Q7" s="32"/>
      <c r="R7" s="32"/>
      <c r="S7" s="32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>
        <f t="shared" ref="B6:C6" si="1">today()-1</f>
        <v>44704</v>
      </c>
      <c r="C6" s="36">
        <f t="shared" si="1"/>
        <v>44704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20</v>
      </c>
      <c r="C6" s="32" t="s">
        <v>26</v>
      </c>
      <c r="D6" s="33">
        <v>200000.0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22</v>
      </c>
      <c r="C7" s="32" t="s">
        <v>26</v>
      </c>
      <c r="D7" s="33">
        <v>200000.0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18</v>
      </c>
      <c r="C6" s="3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2" t="s">
        <v>30</v>
      </c>
      <c r="D6" s="32" t="s">
        <v>31</v>
      </c>
      <c r="E6" s="38">
        <v>200000.0</v>
      </c>
      <c r="F6" s="33">
        <v>10.0</v>
      </c>
      <c r="G6" s="32" t="s">
        <v>32</v>
      </c>
      <c r="H6" s="32" t="s">
        <v>33</v>
      </c>
      <c r="I6" s="34" t="s">
        <v>34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 t="s">
        <v>20</v>
      </c>
      <c r="C6" s="40">
        <v>200000.0</v>
      </c>
      <c r="D6" s="40">
        <v>12000.0</v>
      </c>
      <c r="E6" s="40">
        <v>120000.0</v>
      </c>
      <c r="F6" s="40"/>
      <c r="G6" s="40"/>
      <c r="H6" s="40"/>
      <c r="I6" s="40">
        <v>2000.0</v>
      </c>
      <c r="J6" s="40">
        <v>10000.0</v>
      </c>
      <c r="K6" s="40">
        <v>100000.0</v>
      </c>
      <c r="L6" s="40">
        <v>50.0</v>
      </c>
      <c r="M6" s="40">
        <v>1.0</v>
      </c>
      <c r="N6" s="8"/>
      <c r="O6" s="8"/>
    </row>
    <row r="7" ht="15.75" customHeight="1">
      <c r="A7" s="8"/>
      <c r="B7" s="39" t="s">
        <v>22</v>
      </c>
      <c r="C7" s="40">
        <v>200000.0</v>
      </c>
      <c r="D7" s="40">
        <v>12000.0</v>
      </c>
      <c r="E7" s="40">
        <v>120000.0</v>
      </c>
      <c r="F7" s="40"/>
      <c r="G7" s="40"/>
      <c r="H7" s="40"/>
      <c r="I7" s="40">
        <v>2000.0</v>
      </c>
      <c r="J7" s="40">
        <v>10000.0</v>
      </c>
      <c r="K7" s="40">
        <v>100000.0</v>
      </c>
      <c r="L7" s="40">
        <v>50.0</v>
      </c>
      <c r="M7" s="40">
        <v>1.0</v>
      </c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G9" s="41"/>
      <c r="O9" s="41"/>
      <c r="P9" s="41"/>
      <c r="Q9" s="41"/>
      <c r="R9" s="41"/>
    </row>
    <row r="10" ht="15.75" customHeight="1">
      <c r="A10" s="8"/>
      <c r="G10" s="41"/>
      <c r="O10" s="41"/>
      <c r="P10" s="41"/>
      <c r="Q10" s="41"/>
      <c r="R10" s="4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2" t="s">
        <v>30</v>
      </c>
      <c r="D6" s="32" t="s">
        <v>31</v>
      </c>
      <c r="E6" s="38">
        <v>200000.0</v>
      </c>
      <c r="F6" s="33">
        <v>10.0</v>
      </c>
      <c r="G6" s="32" t="s">
        <v>32</v>
      </c>
      <c r="H6" s="32" t="s">
        <v>33</v>
      </c>
      <c r="I6" s="34" t="s">
        <v>34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37</v>
      </c>
      <c r="D6" s="8"/>
      <c r="E6" s="8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 t="s">
        <v>40</v>
      </c>
      <c r="B6" s="8"/>
      <c r="C6" s="8" t="s">
        <v>18</v>
      </c>
      <c r="D6" s="8">
        <v>12000.0</v>
      </c>
      <c r="E6" s="8" t="s">
        <v>20</v>
      </c>
      <c r="F6" s="8" t="s">
        <v>41</v>
      </c>
      <c r="G6" s="8">
        <v>10.0</v>
      </c>
      <c r="H6" s="8" t="s">
        <v>42</v>
      </c>
      <c r="I6" s="8" t="s">
        <v>40</v>
      </c>
      <c r="J6" s="8" t="s">
        <v>40</v>
      </c>
      <c r="K6" s="42">
        <v>120000.0</v>
      </c>
      <c r="L6" s="8" t="s">
        <v>40</v>
      </c>
      <c r="M6" s="8" t="s">
        <v>40</v>
      </c>
      <c r="N6" s="8" t="s">
        <v>40</v>
      </c>
      <c r="O6" s="39" t="s">
        <v>43</v>
      </c>
      <c r="P6" s="39" t="s">
        <v>44</v>
      </c>
      <c r="Q6" t="s">
        <v>40</v>
      </c>
      <c r="R6" t="s">
        <v>40</v>
      </c>
      <c r="S6" t="s">
        <v>40</v>
      </c>
      <c r="T6" s="39" t="s">
        <v>45</v>
      </c>
      <c r="U6" s="39" t="s">
        <v>46</v>
      </c>
      <c r="V6" s="39" t="s">
        <v>47</v>
      </c>
      <c r="W6" s="39" t="s">
        <v>26</v>
      </c>
      <c r="X6">
        <v>1.0</v>
      </c>
      <c r="Y6" s="40">
        <v>1.0</v>
      </c>
      <c r="Z6" t="s">
        <v>40</v>
      </c>
      <c r="AA6" t="s">
        <v>40</v>
      </c>
      <c r="AB6" t="s">
        <v>40</v>
      </c>
      <c r="AC6" t="s">
        <v>40</v>
      </c>
      <c r="AD6" s="42">
        <v>120000.0</v>
      </c>
      <c r="AE6" s="42">
        <v>120000.0</v>
      </c>
      <c r="AF6" s="42">
        <v>12000.0</v>
      </c>
      <c r="AG6" s="42">
        <v>120000.0</v>
      </c>
      <c r="AH6" s="42">
        <v>120000.0</v>
      </c>
      <c r="AI6" s="42">
        <v>120000.0</v>
      </c>
      <c r="AJ6" s="42">
        <v>3000.0</v>
      </c>
      <c r="AK6" t="s">
        <v>40</v>
      </c>
      <c r="AL6" t="s">
        <v>40</v>
      </c>
      <c r="AM6" t="s">
        <v>40</v>
      </c>
      <c r="AN6" t="s">
        <v>19</v>
      </c>
      <c r="AO6" t="s">
        <v>40</v>
      </c>
      <c r="AP6" t="s">
        <v>40</v>
      </c>
      <c r="AQ6" s="39" t="s">
        <v>18</v>
      </c>
      <c r="AR6" s="40">
        <v>10.0</v>
      </c>
      <c r="AS6" s="40">
        <v>1.0</v>
      </c>
      <c r="AT6" t="s">
        <v>40</v>
      </c>
      <c r="AU6" t="s">
        <v>40</v>
      </c>
      <c r="AV6" s="40">
        <v>1.0</v>
      </c>
      <c r="AW6" s="40">
        <v>0.0</v>
      </c>
      <c r="AX6" t="s">
        <v>40</v>
      </c>
      <c r="AY6" t="s">
        <v>40</v>
      </c>
      <c r="AZ6" s="42">
        <v>120000.0</v>
      </c>
      <c r="BA6" s="40">
        <v>0.0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40</v>
      </c>
      <c r="BH6" t="s">
        <v>40</v>
      </c>
      <c r="BI6" t="s">
        <v>40</v>
      </c>
      <c r="BJ6" t="s">
        <v>40</v>
      </c>
      <c r="BK6" t="s">
        <v>40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s="39" t="s">
        <v>48</v>
      </c>
      <c r="BR6" s="39" t="s">
        <v>21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s="39" t="s">
        <v>49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s="42">
        <v>120000.0</v>
      </c>
      <c r="DB6" s="40">
        <v>0.0</v>
      </c>
      <c r="DC6" t="s">
        <v>40</v>
      </c>
      <c r="DD6" s="42">
        <v>12000.0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D6" t="s">
        <v>40</v>
      </c>
      <c r="FE6" t="s">
        <v>40</v>
      </c>
      <c r="FF6">
        <v>0.0</v>
      </c>
      <c r="FG6" t="s">
        <v>40</v>
      </c>
    </row>
    <row r="7" ht="15.75" customHeight="1">
      <c r="A7" s="8" t="s">
        <v>40</v>
      </c>
      <c r="B7" s="8"/>
      <c r="C7" s="8" t="s">
        <v>18</v>
      </c>
      <c r="D7" s="8">
        <v>-2000.0</v>
      </c>
      <c r="E7" s="8" t="s">
        <v>20</v>
      </c>
      <c r="F7" s="8" t="s">
        <v>41</v>
      </c>
      <c r="G7" s="8">
        <v>10.0</v>
      </c>
      <c r="H7" s="8" t="s">
        <v>42</v>
      </c>
      <c r="I7" s="8" t="s">
        <v>40</v>
      </c>
      <c r="J7" s="8" t="s">
        <v>40</v>
      </c>
      <c r="K7" s="42">
        <v>-20000.0</v>
      </c>
      <c r="L7" s="8" t="s">
        <v>40</v>
      </c>
      <c r="M7" s="8" t="s">
        <v>40</v>
      </c>
      <c r="N7" s="8" t="s">
        <v>40</v>
      </c>
      <c r="O7" s="39" t="s">
        <v>43</v>
      </c>
      <c r="P7" s="39" t="s">
        <v>44</v>
      </c>
      <c r="Q7" t="s">
        <v>40</v>
      </c>
      <c r="R7" t="s">
        <v>40</v>
      </c>
      <c r="S7" t="s">
        <v>40</v>
      </c>
      <c r="T7" s="39" t="s">
        <v>45</v>
      </c>
      <c r="U7" s="39" t="s">
        <v>46</v>
      </c>
      <c r="V7" s="39" t="s">
        <v>47</v>
      </c>
      <c r="W7" s="39" t="s">
        <v>26</v>
      </c>
      <c r="X7">
        <v>1.0</v>
      </c>
      <c r="Y7" s="40">
        <v>1.0</v>
      </c>
      <c r="Z7" t="s">
        <v>40</v>
      </c>
      <c r="AA7" t="s">
        <v>40</v>
      </c>
      <c r="AB7" t="s">
        <v>40</v>
      </c>
      <c r="AC7" t="s">
        <v>40</v>
      </c>
      <c r="AD7" s="42">
        <v>-20000.0</v>
      </c>
      <c r="AE7" s="42">
        <v>-20000.0</v>
      </c>
      <c r="AF7" s="42">
        <v>-2000.0</v>
      </c>
      <c r="AG7" s="42">
        <v>-20000.0</v>
      </c>
      <c r="AH7" s="42">
        <v>-20000.0</v>
      </c>
      <c r="AI7" s="42">
        <v>-20000.0</v>
      </c>
      <c r="AJ7" s="40">
        <v>-500.0</v>
      </c>
      <c r="AK7" t="s">
        <v>40</v>
      </c>
      <c r="AL7" t="s">
        <v>40</v>
      </c>
      <c r="AM7" t="s">
        <v>40</v>
      </c>
      <c r="AN7" t="s">
        <v>37</v>
      </c>
      <c r="AO7" t="s">
        <v>40</v>
      </c>
      <c r="AP7" t="s">
        <v>40</v>
      </c>
      <c r="AQ7" s="39" t="s">
        <v>18</v>
      </c>
      <c r="AR7" s="40">
        <v>10.0</v>
      </c>
      <c r="AS7" s="40">
        <v>-1.0</v>
      </c>
      <c r="AT7" t="s">
        <v>40</v>
      </c>
      <c r="AU7" t="s">
        <v>40</v>
      </c>
      <c r="AV7" s="40">
        <v>1.0</v>
      </c>
      <c r="AW7" s="40">
        <v>0.0</v>
      </c>
      <c r="AX7" t="s">
        <v>40</v>
      </c>
      <c r="AY7" t="s">
        <v>40</v>
      </c>
      <c r="AZ7" s="42">
        <v>-20000.0</v>
      </c>
      <c r="BA7" s="40">
        <v>0.0</v>
      </c>
      <c r="BB7" t="s">
        <v>40</v>
      </c>
      <c r="BC7" t="s">
        <v>40</v>
      </c>
      <c r="BD7" t="s">
        <v>40</v>
      </c>
      <c r="BE7" t="s">
        <v>40</v>
      </c>
      <c r="BF7" t="s">
        <v>40</v>
      </c>
      <c r="BG7" t="s">
        <v>40</v>
      </c>
      <c r="BH7" t="s">
        <v>40</v>
      </c>
      <c r="BI7" t="s">
        <v>40</v>
      </c>
      <c r="BJ7" t="s">
        <v>40</v>
      </c>
      <c r="BK7" t="s">
        <v>40</v>
      </c>
      <c r="BL7" t="s">
        <v>40</v>
      </c>
      <c r="BM7" t="s">
        <v>40</v>
      </c>
      <c r="BN7" t="s">
        <v>40</v>
      </c>
      <c r="BO7" t="s">
        <v>40</v>
      </c>
      <c r="BP7" t="s">
        <v>40</v>
      </c>
      <c r="BQ7" s="39" t="s">
        <v>48</v>
      </c>
      <c r="BR7" s="39" t="s">
        <v>21</v>
      </c>
      <c r="BS7" t="s">
        <v>40</v>
      </c>
      <c r="BT7" t="s">
        <v>40</v>
      </c>
      <c r="BU7" t="s">
        <v>40</v>
      </c>
      <c r="BV7" t="s">
        <v>40</v>
      </c>
      <c r="BW7" t="s">
        <v>40</v>
      </c>
      <c r="BX7" t="s">
        <v>40</v>
      </c>
      <c r="BY7" t="s">
        <v>40</v>
      </c>
      <c r="BZ7" t="s">
        <v>40</v>
      </c>
      <c r="CA7" t="s">
        <v>40</v>
      </c>
      <c r="CB7" t="s">
        <v>40</v>
      </c>
      <c r="CC7" t="s">
        <v>40</v>
      </c>
      <c r="CD7" t="s">
        <v>40</v>
      </c>
      <c r="CE7" t="s">
        <v>40</v>
      </c>
      <c r="CF7" t="s">
        <v>40</v>
      </c>
      <c r="CG7" t="s">
        <v>40</v>
      </c>
      <c r="CH7" t="s">
        <v>40</v>
      </c>
      <c r="CI7" t="s">
        <v>40</v>
      </c>
      <c r="CJ7" t="s">
        <v>40</v>
      </c>
      <c r="CK7" t="s">
        <v>40</v>
      </c>
      <c r="CL7" t="s">
        <v>40</v>
      </c>
      <c r="CM7" t="s">
        <v>40</v>
      </c>
      <c r="CN7" t="s">
        <v>40</v>
      </c>
      <c r="CO7" t="s">
        <v>40</v>
      </c>
      <c r="CP7" s="39" t="s">
        <v>49</v>
      </c>
      <c r="CQ7" t="s">
        <v>40</v>
      </c>
      <c r="CR7" t="s">
        <v>40</v>
      </c>
      <c r="CS7" t="s">
        <v>40</v>
      </c>
      <c r="CT7" t="s">
        <v>40</v>
      </c>
      <c r="CU7" t="s">
        <v>40</v>
      </c>
      <c r="CV7" t="s">
        <v>40</v>
      </c>
      <c r="CW7" t="s">
        <v>40</v>
      </c>
      <c r="CX7" t="s">
        <v>40</v>
      </c>
      <c r="CY7" t="s">
        <v>40</v>
      </c>
      <c r="CZ7" t="s">
        <v>40</v>
      </c>
      <c r="DA7" s="42">
        <v>20000.0</v>
      </c>
      <c r="DB7" s="40">
        <v>0.0</v>
      </c>
      <c r="DC7" t="s">
        <v>40</v>
      </c>
      <c r="DD7" s="42">
        <v>-2000.0</v>
      </c>
      <c r="DE7" t="s">
        <v>40</v>
      </c>
      <c r="DF7" t="s">
        <v>40</v>
      </c>
      <c r="DG7" t="s">
        <v>40</v>
      </c>
      <c r="DH7" t="s">
        <v>40</v>
      </c>
      <c r="DI7" t="s">
        <v>40</v>
      </c>
      <c r="DJ7" t="s">
        <v>40</v>
      </c>
      <c r="DK7" t="s">
        <v>40</v>
      </c>
      <c r="DL7" t="s">
        <v>40</v>
      </c>
      <c r="DM7" t="s">
        <v>40</v>
      </c>
      <c r="DN7" t="s">
        <v>40</v>
      </c>
      <c r="DO7" t="s">
        <v>40</v>
      </c>
      <c r="DP7" t="s">
        <v>40</v>
      </c>
      <c r="DQ7" t="s">
        <v>40</v>
      </c>
      <c r="DR7" t="s">
        <v>40</v>
      </c>
      <c r="DS7" t="s">
        <v>40</v>
      </c>
      <c r="DT7" t="s">
        <v>40</v>
      </c>
      <c r="DU7" t="s">
        <v>40</v>
      </c>
      <c r="DV7" t="s">
        <v>40</v>
      </c>
      <c r="DW7" t="s">
        <v>40</v>
      </c>
      <c r="DX7" t="s">
        <v>40</v>
      </c>
      <c r="DY7" t="s">
        <v>40</v>
      </c>
      <c r="DZ7" t="s">
        <v>40</v>
      </c>
      <c r="EA7" t="s">
        <v>40</v>
      </c>
      <c r="EB7" t="s">
        <v>40</v>
      </c>
      <c r="EC7" t="s">
        <v>40</v>
      </c>
      <c r="ED7" t="s">
        <v>40</v>
      </c>
      <c r="EE7" t="s">
        <v>40</v>
      </c>
      <c r="EF7" t="s">
        <v>40</v>
      </c>
      <c r="EG7" t="s">
        <v>40</v>
      </c>
      <c r="EH7" t="s">
        <v>40</v>
      </c>
      <c r="EI7" t="s">
        <v>40</v>
      </c>
      <c r="EJ7" t="s">
        <v>40</v>
      </c>
      <c r="EK7" t="s">
        <v>40</v>
      </c>
      <c r="EL7" t="s">
        <v>40</v>
      </c>
      <c r="EM7" t="s">
        <v>40</v>
      </c>
      <c r="EN7" t="s">
        <v>40</v>
      </c>
      <c r="EO7" t="s">
        <v>40</v>
      </c>
      <c r="EP7" t="s">
        <v>40</v>
      </c>
      <c r="EQ7" t="s">
        <v>40</v>
      </c>
      <c r="ER7" t="s">
        <v>40</v>
      </c>
      <c r="ES7" t="s">
        <v>40</v>
      </c>
      <c r="ET7" t="s">
        <v>40</v>
      </c>
      <c r="EU7" t="s">
        <v>40</v>
      </c>
      <c r="EV7" t="s">
        <v>40</v>
      </c>
      <c r="EW7" t="s">
        <v>40</v>
      </c>
      <c r="EX7" t="s">
        <v>40</v>
      </c>
      <c r="EY7" t="s">
        <v>40</v>
      </c>
      <c r="EZ7" t="s">
        <v>40</v>
      </c>
      <c r="FA7" t="s">
        <v>40</v>
      </c>
      <c r="FB7" t="s">
        <v>40</v>
      </c>
      <c r="FD7" t="s">
        <v>40</v>
      </c>
      <c r="FE7" t="s">
        <v>40</v>
      </c>
      <c r="FF7">
        <v>0.0</v>
      </c>
      <c r="FG7" t="s">
        <v>40</v>
      </c>
    </row>
    <row r="8" ht="15.75" customHeight="1">
      <c r="A8" s="8" t="s">
        <v>40</v>
      </c>
      <c r="B8" s="8"/>
      <c r="C8" s="8" t="s">
        <v>18</v>
      </c>
      <c r="D8" s="8">
        <v>12000.0</v>
      </c>
      <c r="E8" s="8" t="s">
        <v>22</v>
      </c>
      <c r="F8" s="8" t="s">
        <v>50</v>
      </c>
      <c r="G8" s="8">
        <v>10.0</v>
      </c>
      <c r="H8" s="8" t="s">
        <v>42</v>
      </c>
      <c r="I8" s="8" t="s">
        <v>40</v>
      </c>
      <c r="J8" s="8" t="s">
        <v>40</v>
      </c>
      <c r="K8" s="42">
        <v>120000.0</v>
      </c>
      <c r="L8" s="8" t="s">
        <v>40</v>
      </c>
      <c r="M8" s="8" t="s">
        <v>40</v>
      </c>
      <c r="N8" s="8" t="s">
        <v>40</v>
      </c>
      <c r="O8" s="39" t="s">
        <v>43</v>
      </c>
      <c r="P8" s="39" t="s">
        <v>44</v>
      </c>
      <c r="Q8" t="s">
        <v>40</v>
      </c>
      <c r="R8" t="s">
        <v>40</v>
      </c>
      <c r="S8" t="s">
        <v>40</v>
      </c>
      <c r="T8" s="39" t="s">
        <v>45</v>
      </c>
      <c r="U8" s="39" t="s">
        <v>46</v>
      </c>
      <c r="V8" s="39" t="s">
        <v>47</v>
      </c>
      <c r="W8" s="39" t="s">
        <v>26</v>
      </c>
      <c r="X8">
        <v>1.0</v>
      </c>
      <c r="Y8" s="40">
        <v>1.0</v>
      </c>
      <c r="Z8" t="s">
        <v>40</v>
      </c>
      <c r="AA8" t="s">
        <v>40</v>
      </c>
      <c r="AB8" t="s">
        <v>40</v>
      </c>
      <c r="AC8" t="s">
        <v>40</v>
      </c>
      <c r="AD8" s="42">
        <v>120000.0</v>
      </c>
      <c r="AE8" s="42">
        <v>120000.0</v>
      </c>
      <c r="AF8" s="42">
        <v>12000.0</v>
      </c>
      <c r="AG8" s="42">
        <v>120000.0</v>
      </c>
      <c r="AH8" s="42">
        <v>120000.0</v>
      </c>
      <c r="AI8" s="42">
        <v>120000.0</v>
      </c>
      <c r="AJ8" s="42">
        <v>3000.0</v>
      </c>
      <c r="AK8" t="s">
        <v>40</v>
      </c>
      <c r="AL8" t="s">
        <v>40</v>
      </c>
      <c r="AM8" t="s">
        <v>40</v>
      </c>
      <c r="AN8" t="s">
        <v>19</v>
      </c>
      <c r="AO8" t="s">
        <v>40</v>
      </c>
      <c r="AP8" t="s">
        <v>40</v>
      </c>
      <c r="AQ8" s="39" t="s">
        <v>18</v>
      </c>
      <c r="AR8" s="40">
        <v>10.0</v>
      </c>
      <c r="AS8" s="40">
        <v>1.0</v>
      </c>
      <c r="AT8" t="s">
        <v>40</v>
      </c>
      <c r="AU8" t="s">
        <v>40</v>
      </c>
      <c r="AV8" s="40">
        <v>1.0</v>
      </c>
      <c r="AW8" s="40">
        <v>0.0</v>
      </c>
      <c r="AX8" t="s">
        <v>40</v>
      </c>
      <c r="AY8" t="s">
        <v>40</v>
      </c>
      <c r="AZ8" s="42">
        <v>120000.0</v>
      </c>
      <c r="BA8" s="40">
        <v>0.0</v>
      </c>
      <c r="BB8" t="s">
        <v>40</v>
      </c>
      <c r="BC8" t="s">
        <v>40</v>
      </c>
      <c r="BD8" t="s">
        <v>40</v>
      </c>
      <c r="BE8" t="s">
        <v>40</v>
      </c>
      <c r="BF8" t="s">
        <v>40</v>
      </c>
      <c r="BG8" t="s">
        <v>40</v>
      </c>
      <c r="BH8" t="s">
        <v>40</v>
      </c>
      <c r="BI8" t="s">
        <v>40</v>
      </c>
      <c r="BJ8" t="s">
        <v>40</v>
      </c>
      <c r="BK8" t="s">
        <v>40</v>
      </c>
      <c r="BL8" t="s">
        <v>40</v>
      </c>
      <c r="BM8" t="s">
        <v>40</v>
      </c>
      <c r="BN8" t="s">
        <v>40</v>
      </c>
      <c r="BO8" t="s">
        <v>40</v>
      </c>
      <c r="BP8" t="s">
        <v>40</v>
      </c>
      <c r="BQ8" s="39" t="s">
        <v>48</v>
      </c>
      <c r="BR8" s="39" t="s">
        <v>21</v>
      </c>
      <c r="BS8" t="s">
        <v>40</v>
      </c>
      <c r="BT8" t="s">
        <v>40</v>
      </c>
      <c r="BU8" t="s">
        <v>40</v>
      </c>
      <c r="BV8" t="s">
        <v>40</v>
      </c>
      <c r="BW8" t="s">
        <v>40</v>
      </c>
      <c r="BX8" t="s">
        <v>40</v>
      </c>
      <c r="BY8" t="s">
        <v>40</v>
      </c>
      <c r="BZ8" t="s">
        <v>40</v>
      </c>
      <c r="CA8" t="s">
        <v>40</v>
      </c>
      <c r="CB8" t="s">
        <v>40</v>
      </c>
      <c r="CC8" t="s">
        <v>40</v>
      </c>
      <c r="CD8" t="s">
        <v>40</v>
      </c>
      <c r="CE8" t="s">
        <v>40</v>
      </c>
      <c r="CF8" t="s">
        <v>40</v>
      </c>
      <c r="CG8" t="s">
        <v>40</v>
      </c>
      <c r="CH8" t="s">
        <v>40</v>
      </c>
      <c r="CI8" t="s">
        <v>40</v>
      </c>
      <c r="CJ8" t="s">
        <v>40</v>
      </c>
      <c r="CK8" t="s">
        <v>40</v>
      </c>
      <c r="CL8" t="s">
        <v>40</v>
      </c>
      <c r="CM8" t="s">
        <v>40</v>
      </c>
      <c r="CN8" t="s">
        <v>40</v>
      </c>
      <c r="CO8" t="s">
        <v>40</v>
      </c>
      <c r="CP8" s="39" t="s">
        <v>49</v>
      </c>
      <c r="CQ8" t="s">
        <v>40</v>
      </c>
      <c r="CR8" t="s">
        <v>40</v>
      </c>
      <c r="CS8" t="s">
        <v>40</v>
      </c>
      <c r="CT8" t="s">
        <v>40</v>
      </c>
      <c r="CU8" t="s">
        <v>40</v>
      </c>
      <c r="CV8" t="s">
        <v>40</v>
      </c>
      <c r="CW8" t="s">
        <v>40</v>
      </c>
      <c r="CX8" t="s">
        <v>40</v>
      </c>
      <c r="CY8" t="s">
        <v>40</v>
      </c>
      <c r="CZ8" t="s">
        <v>40</v>
      </c>
      <c r="DA8" s="42">
        <v>120000.0</v>
      </c>
      <c r="DB8" s="40">
        <v>0.0</v>
      </c>
      <c r="DC8" t="s">
        <v>40</v>
      </c>
      <c r="DD8" s="42">
        <v>12000.0</v>
      </c>
      <c r="DE8" t="s">
        <v>40</v>
      </c>
      <c r="DF8" t="s">
        <v>40</v>
      </c>
      <c r="DG8" t="s">
        <v>40</v>
      </c>
      <c r="DH8" t="s">
        <v>40</v>
      </c>
      <c r="DI8" t="s">
        <v>40</v>
      </c>
      <c r="DJ8" t="s">
        <v>40</v>
      </c>
      <c r="DK8" t="s">
        <v>40</v>
      </c>
      <c r="DL8" t="s">
        <v>40</v>
      </c>
      <c r="DM8" t="s">
        <v>40</v>
      </c>
      <c r="DN8" t="s">
        <v>40</v>
      </c>
      <c r="DO8" t="s">
        <v>40</v>
      </c>
      <c r="DP8" t="s">
        <v>40</v>
      </c>
      <c r="DQ8" t="s">
        <v>40</v>
      </c>
      <c r="DR8" t="s">
        <v>40</v>
      </c>
      <c r="DS8" t="s">
        <v>40</v>
      </c>
      <c r="DT8" t="s">
        <v>40</v>
      </c>
      <c r="DU8" t="s">
        <v>40</v>
      </c>
      <c r="DV8" t="s">
        <v>40</v>
      </c>
      <c r="DW8" t="s">
        <v>40</v>
      </c>
      <c r="DX8" t="s">
        <v>40</v>
      </c>
      <c r="DY8" t="s">
        <v>40</v>
      </c>
      <c r="DZ8" t="s">
        <v>40</v>
      </c>
      <c r="EA8" t="s">
        <v>40</v>
      </c>
      <c r="EB8" t="s">
        <v>40</v>
      </c>
      <c r="EC8" t="s">
        <v>40</v>
      </c>
      <c r="ED8" t="s">
        <v>40</v>
      </c>
      <c r="EE8" t="s">
        <v>40</v>
      </c>
      <c r="EF8" t="s">
        <v>40</v>
      </c>
      <c r="EG8" t="s">
        <v>40</v>
      </c>
      <c r="EH8" t="s">
        <v>40</v>
      </c>
      <c r="EI8" t="s">
        <v>40</v>
      </c>
      <c r="EJ8" t="s">
        <v>40</v>
      </c>
      <c r="EK8" t="s">
        <v>40</v>
      </c>
      <c r="EL8" t="s">
        <v>40</v>
      </c>
      <c r="EM8" t="s">
        <v>40</v>
      </c>
      <c r="EN8" t="s">
        <v>40</v>
      </c>
      <c r="EO8" t="s">
        <v>40</v>
      </c>
      <c r="EP8" t="s">
        <v>40</v>
      </c>
      <c r="EQ8" t="s">
        <v>40</v>
      </c>
      <c r="ER8" t="s">
        <v>40</v>
      </c>
      <c r="ES8" t="s">
        <v>40</v>
      </c>
      <c r="ET8" t="s">
        <v>40</v>
      </c>
      <c r="EU8" t="s">
        <v>40</v>
      </c>
      <c r="EV8" t="s">
        <v>40</v>
      </c>
      <c r="EW8" t="s">
        <v>40</v>
      </c>
      <c r="EX8" t="s">
        <v>40</v>
      </c>
      <c r="EY8" t="s">
        <v>40</v>
      </c>
      <c r="EZ8" t="s">
        <v>40</v>
      </c>
      <c r="FA8" t="s">
        <v>40</v>
      </c>
      <c r="FB8" t="s">
        <v>40</v>
      </c>
      <c r="FD8" t="s">
        <v>40</v>
      </c>
      <c r="FE8" t="s">
        <v>40</v>
      </c>
      <c r="FF8">
        <v>0.0</v>
      </c>
      <c r="FG8" t="s">
        <v>40</v>
      </c>
    </row>
    <row r="9" ht="15.75" customHeight="1">
      <c r="A9" s="8" t="s">
        <v>40</v>
      </c>
      <c r="B9" s="8"/>
      <c r="C9" s="8" t="s">
        <v>18</v>
      </c>
      <c r="D9" s="8">
        <v>-2000.0</v>
      </c>
      <c r="E9" s="8" t="s">
        <v>22</v>
      </c>
      <c r="F9" s="8" t="s">
        <v>50</v>
      </c>
      <c r="G9" s="8">
        <v>10.0</v>
      </c>
      <c r="H9" s="8" t="s">
        <v>42</v>
      </c>
      <c r="I9" s="8" t="s">
        <v>40</v>
      </c>
      <c r="J9" s="8" t="s">
        <v>40</v>
      </c>
      <c r="K9" s="42">
        <v>-20000.0</v>
      </c>
      <c r="L9" s="8" t="s">
        <v>40</v>
      </c>
      <c r="M9" s="8" t="s">
        <v>40</v>
      </c>
      <c r="N9" s="8" t="s">
        <v>40</v>
      </c>
      <c r="O9" s="39" t="s">
        <v>43</v>
      </c>
      <c r="P9" s="39" t="s">
        <v>44</v>
      </c>
      <c r="Q9" t="s">
        <v>40</v>
      </c>
      <c r="R9" t="s">
        <v>40</v>
      </c>
      <c r="S9" t="s">
        <v>40</v>
      </c>
      <c r="T9" s="39" t="s">
        <v>45</v>
      </c>
      <c r="U9" s="39" t="s">
        <v>46</v>
      </c>
      <c r="V9" s="39" t="s">
        <v>47</v>
      </c>
      <c r="W9" s="39" t="s">
        <v>26</v>
      </c>
      <c r="X9">
        <v>1.0</v>
      </c>
      <c r="Y9" s="40">
        <v>1.0</v>
      </c>
      <c r="Z9" t="s">
        <v>40</v>
      </c>
      <c r="AA9" t="s">
        <v>40</v>
      </c>
      <c r="AB9" t="s">
        <v>40</v>
      </c>
      <c r="AC9" t="s">
        <v>40</v>
      </c>
      <c r="AD9" s="42">
        <v>-20000.0</v>
      </c>
      <c r="AE9" s="42">
        <v>-20000.0</v>
      </c>
      <c r="AF9" s="42">
        <v>-2000.0</v>
      </c>
      <c r="AG9" s="42">
        <v>-20000.0</v>
      </c>
      <c r="AH9" s="42">
        <v>-20000.0</v>
      </c>
      <c r="AI9" s="42">
        <v>-20000.0</v>
      </c>
      <c r="AJ9" s="40">
        <v>-500.0</v>
      </c>
      <c r="AK9" t="s">
        <v>40</v>
      </c>
      <c r="AL9" t="s">
        <v>40</v>
      </c>
      <c r="AM9" t="s">
        <v>40</v>
      </c>
      <c r="AN9" t="s">
        <v>37</v>
      </c>
      <c r="AO9" t="s">
        <v>40</v>
      </c>
      <c r="AP9" t="s">
        <v>40</v>
      </c>
      <c r="AQ9" s="39" t="s">
        <v>18</v>
      </c>
      <c r="AR9" s="40">
        <v>10.0</v>
      </c>
      <c r="AS9" s="40">
        <v>-1.0</v>
      </c>
      <c r="AT9" t="s">
        <v>40</v>
      </c>
      <c r="AU9" t="s">
        <v>40</v>
      </c>
      <c r="AV9" s="40">
        <v>1.0</v>
      </c>
      <c r="AW9" s="40">
        <v>0.0</v>
      </c>
      <c r="AX9" t="s">
        <v>40</v>
      </c>
      <c r="AY9" t="s">
        <v>40</v>
      </c>
      <c r="AZ9" s="42">
        <v>-20000.0</v>
      </c>
      <c r="BA9" s="40">
        <v>0.0</v>
      </c>
      <c r="BB9" t="s">
        <v>40</v>
      </c>
      <c r="BC9" t="s">
        <v>40</v>
      </c>
      <c r="BD9" t="s">
        <v>40</v>
      </c>
      <c r="BE9" t="s">
        <v>40</v>
      </c>
      <c r="BF9" t="s">
        <v>40</v>
      </c>
      <c r="BG9" t="s">
        <v>40</v>
      </c>
      <c r="BH9" t="s">
        <v>40</v>
      </c>
      <c r="BI9" t="s">
        <v>40</v>
      </c>
      <c r="BJ9" t="s">
        <v>40</v>
      </c>
      <c r="BK9" t="s">
        <v>40</v>
      </c>
      <c r="BL9" t="s">
        <v>40</v>
      </c>
      <c r="BM9" t="s">
        <v>40</v>
      </c>
      <c r="BN9" t="s">
        <v>40</v>
      </c>
      <c r="BO9" t="s">
        <v>40</v>
      </c>
      <c r="BP9" t="s">
        <v>40</v>
      </c>
      <c r="BQ9" s="39" t="s">
        <v>48</v>
      </c>
      <c r="BR9" s="39" t="s">
        <v>21</v>
      </c>
      <c r="BS9" t="s">
        <v>40</v>
      </c>
      <c r="BT9" t="s">
        <v>40</v>
      </c>
      <c r="BU9" t="s">
        <v>40</v>
      </c>
      <c r="BV9" t="s">
        <v>40</v>
      </c>
      <c r="BW9" t="s">
        <v>40</v>
      </c>
      <c r="BX9" t="s">
        <v>40</v>
      </c>
      <c r="BY9" t="s">
        <v>40</v>
      </c>
      <c r="BZ9" t="s">
        <v>40</v>
      </c>
      <c r="CA9" t="s">
        <v>40</v>
      </c>
      <c r="CB9" t="s">
        <v>40</v>
      </c>
      <c r="CC9" t="s">
        <v>40</v>
      </c>
      <c r="CD9" t="s">
        <v>40</v>
      </c>
      <c r="CE9" t="s">
        <v>40</v>
      </c>
      <c r="CF9" t="s">
        <v>40</v>
      </c>
      <c r="CG9" t="s">
        <v>40</v>
      </c>
      <c r="CH9" t="s">
        <v>40</v>
      </c>
      <c r="CI9" t="s">
        <v>40</v>
      </c>
      <c r="CJ9" t="s">
        <v>40</v>
      </c>
      <c r="CK9" t="s">
        <v>40</v>
      </c>
      <c r="CL9" t="s">
        <v>40</v>
      </c>
      <c r="CM9" t="s">
        <v>40</v>
      </c>
      <c r="CN9" t="s">
        <v>40</v>
      </c>
      <c r="CO9" t="s">
        <v>40</v>
      </c>
      <c r="CP9" s="39" t="s">
        <v>49</v>
      </c>
      <c r="CQ9" t="s">
        <v>40</v>
      </c>
      <c r="CR9" t="s">
        <v>40</v>
      </c>
      <c r="CS9" t="s">
        <v>40</v>
      </c>
      <c r="CT9" t="s">
        <v>40</v>
      </c>
      <c r="CU9" t="s">
        <v>40</v>
      </c>
      <c r="CV9" t="s">
        <v>40</v>
      </c>
      <c r="CW9" t="s">
        <v>40</v>
      </c>
      <c r="CX9" t="s">
        <v>40</v>
      </c>
      <c r="CY9" t="s">
        <v>40</v>
      </c>
      <c r="CZ9" t="s">
        <v>40</v>
      </c>
      <c r="DA9" s="42">
        <v>20000.0</v>
      </c>
      <c r="DB9" s="40">
        <v>0.0</v>
      </c>
      <c r="DC9" t="s">
        <v>40</v>
      </c>
      <c r="DD9" s="42">
        <v>-2000.0</v>
      </c>
      <c r="DE9" t="s">
        <v>40</v>
      </c>
      <c r="DF9" t="s">
        <v>40</v>
      </c>
      <c r="DG9" t="s">
        <v>40</v>
      </c>
      <c r="DH9" t="s">
        <v>40</v>
      </c>
      <c r="DI9" t="s">
        <v>40</v>
      </c>
      <c r="DJ9" t="s">
        <v>40</v>
      </c>
      <c r="DK9" t="s">
        <v>40</v>
      </c>
      <c r="DL9" t="s">
        <v>40</v>
      </c>
      <c r="DM9" t="s">
        <v>40</v>
      </c>
      <c r="DN9" t="s">
        <v>40</v>
      </c>
      <c r="DO9" t="s">
        <v>40</v>
      </c>
      <c r="DP9" t="s">
        <v>40</v>
      </c>
      <c r="DQ9" t="s">
        <v>40</v>
      </c>
      <c r="DR9" t="s">
        <v>40</v>
      </c>
      <c r="DS9" t="s">
        <v>40</v>
      </c>
      <c r="DT9" t="s">
        <v>40</v>
      </c>
      <c r="DU9" t="s">
        <v>40</v>
      </c>
      <c r="DV9" t="s">
        <v>40</v>
      </c>
      <c r="DW9" t="s">
        <v>40</v>
      </c>
      <c r="DX9" t="s">
        <v>40</v>
      </c>
      <c r="DY9" t="s">
        <v>40</v>
      </c>
      <c r="DZ9" t="s">
        <v>40</v>
      </c>
      <c r="EA9" t="s">
        <v>40</v>
      </c>
      <c r="EB9" t="s">
        <v>40</v>
      </c>
      <c r="EC9" t="s">
        <v>40</v>
      </c>
      <c r="ED9" t="s">
        <v>40</v>
      </c>
      <c r="EE9" t="s">
        <v>40</v>
      </c>
      <c r="EF9" t="s">
        <v>40</v>
      </c>
      <c r="EG9" t="s">
        <v>40</v>
      </c>
      <c r="EH9" t="s">
        <v>40</v>
      </c>
      <c r="EI9" t="s">
        <v>40</v>
      </c>
      <c r="EJ9" t="s">
        <v>40</v>
      </c>
      <c r="EK9" t="s">
        <v>40</v>
      </c>
      <c r="EL9" t="s">
        <v>40</v>
      </c>
      <c r="EM9" t="s">
        <v>40</v>
      </c>
      <c r="EN9" t="s">
        <v>40</v>
      </c>
      <c r="EO9" t="s">
        <v>40</v>
      </c>
      <c r="EP9" t="s">
        <v>40</v>
      </c>
      <c r="EQ9" t="s">
        <v>40</v>
      </c>
      <c r="ER9" t="s">
        <v>40</v>
      </c>
      <c r="ES9" t="s">
        <v>40</v>
      </c>
      <c r="ET9" t="s">
        <v>40</v>
      </c>
      <c r="EU9" t="s">
        <v>40</v>
      </c>
      <c r="EV9" t="s">
        <v>40</v>
      </c>
      <c r="EW9" t="s">
        <v>40</v>
      </c>
      <c r="EX9" t="s">
        <v>40</v>
      </c>
      <c r="EY9" t="s">
        <v>40</v>
      </c>
      <c r="EZ9" t="s">
        <v>40</v>
      </c>
      <c r="FA9" t="s">
        <v>40</v>
      </c>
      <c r="FB9" t="s">
        <v>40</v>
      </c>
      <c r="FD9" t="s">
        <v>40</v>
      </c>
      <c r="FE9" t="s">
        <v>40</v>
      </c>
      <c r="FF9">
        <v>0.0</v>
      </c>
      <c r="FG9" t="s">
        <v>40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