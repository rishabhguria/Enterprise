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ustomOrderTT" sheetId="4" r:id="rId6"/>
    <sheet state="visible" name="SelectTrade" sheetId="5" r:id="rId7"/>
    <sheet state="visible" name="AcknowledgeTrade" sheetId="6" r:id="rId8"/>
    <sheet state="visible" name="ExecuteTrade" sheetId="7" r:id="rId9"/>
    <sheet state="visible" name="SelectTrade1" sheetId="8" r:id="rId10"/>
    <sheet state="visible" name="AcknowledgeTrade1" sheetId="9" r:id="rId11"/>
    <sheet state="visible" name="ExecuteTrade1" sheetId="10" r:id="rId12"/>
    <sheet state="visible" name="SelectTradeOnOrderGrid" sheetId="11" r:id="rId13"/>
    <sheet state="visible" name="CancelSubOrder" sheetId="12" r:id="rId14"/>
    <sheet state="visible" name="RejectTrade" sheetId="13" r:id="rId15"/>
    <sheet state="visible" name="SelectTradeOnOrderGrid1" sheetId="14" r:id="rId16"/>
    <sheet state="visible" name="CancelSubOrder1" sheetId="15" r:id="rId17"/>
    <sheet state="visible" name="RejectTrade1" sheetId="16" r:id="rId18"/>
    <sheet state="visible" name="ExecuteTrade2" sheetId="17" r:id="rId19"/>
    <sheet state="visible" name="TransferToUserOrder" sheetId="18" r:id="rId20"/>
    <sheet state="visible" name="CheckAllocatedGroups" sheetId="19" r:id="rId21"/>
    <sheet state="visible" name="CheckAllocatedTaxlots" sheetId="20" r:id="rId22"/>
  </sheets>
  <definedNames/>
  <calcPr/>
</workbook>
</file>

<file path=xl/sharedStrings.xml><?xml version="1.0" encoding="utf-8"?>
<sst xmlns="http://schemas.openxmlformats.org/spreadsheetml/2006/main" count="606" uniqueCount="60">
  <si>
    <t>Modules Info</t>
  </si>
  <si>
    <t>Modules</t>
  </si>
  <si>
    <t>Settings</t>
  </si>
  <si>
    <t>Module Step Setting File</t>
  </si>
  <si>
    <t>1T1tZWWYnvdv480jLhPIvKd10XF8KGuhND38_o5Mst7Y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</si>
  <si>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</si>
  <si>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</si>
  <si>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</si>
  <si>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</si>
  <si>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</si>
  <si>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</si>
  <si>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</si>
  <si>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</si>
  <si>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CustomOrderTT</t>
  </si>
  <si>
    <t>Data Format</t>
  </si>
  <si>
    <t>Input Format</t>
  </si>
  <si>
    <t>ASX</t>
  </si>
  <si>
    <t>Send</t>
  </si>
  <si>
    <t>Buy</t>
  </si>
  <si>
    <t>Good Till Date</t>
  </si>
  <si>
    <t>GTC</t>
  </si>
  <si>
    <t>Simulator</t>
  </si>
  <si>
    <t>SelectTrade</t>
  </si>
  <si>
    <t>AcknowledgeTrade</t>
  </si>
  <si>
    <t>ExecuteTrade</t>
  </si>
  <si>
    <t>Blotter</t>
  </si>
  <si>
    <t>SelectTradeOnOrderGrid</t>
  </si>
  <si>
    <t>CancelSubOrder</t>
  </si>
  <si>
    <t>RejectTrade</t>
  </si>
  <si>
    <t>TransferToUserOrder</t>
  </si>
  <si>
    <t>jgulbrandsen</t>
  </si>
  <si>
    <t>Yes</t>
  </si>
  <si>
    <t>Allocation</t>
  </si>
  <si>
    <t>CheckAllocatedGroups</t>
  </si>
  <si>
    <t/>
  </si>
  <si>
    <t>Allocation1</t>
  </si>
  <si>
    <t>Actual_365</t>
  </si>
  <si>
    <t>Manual</t>
  </si>
  <si>
    <t>Equity</t>
  </si>
  <si>
    <t>ASX US EQUITY</t>
  </si>
  <si>
    <t>Treasury</t>
  </si>
  <si>
    <t>MS</t>
  </si>
  <si>
    <t>Open</t>
  </si>
  <si>
    <t>ADV SEMICND SP.ADR</t>
  </si>
  <si>
    <t>USD</t>
  </si>
  <si>
    <t>00756M404</t>
  </si>
  <si>
    <t>BrokerNotes</t>
  </si>
  <si>
    <t>M</t>
  </si>
  <si>
    <t>None</t>
  </si>
  <si>
    <t>DefaultNotes</t>
  </si>
  <si>
    <t>Limit</t>
  </si>
  <si>
    <t>InternalOrder</t>
  </si>
  <si>
    <t>Strategy Unallocated</t>
  </si>
  <si>
    <t>GCCAP1</t>
  </si>
  <si>
    <t>US</t>
  </si>
  <si>
    <t>NASDAQ</t>
  </si>
  <si>
    <t>NONE</t>
  </si>
  <si>
    <t>NewMF</t>
  </si>
  <si>
    <t>NYSE</t>
  </si>
  <si>
    <t>CheckAllocatedTaxlots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</si>
</sst>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color rgb="FF000000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4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3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3" numFmtId="0" xfId="0" applyAlignment="1" applyFont="1">
      <alignment horizontal="right" vertical="bottom"/>
    </xf>
    <xf borderId="0" fillId="0" fontId="3" numFmtId="14" xfId="0" applyAlignment="1" applyFont="1" applyNumberFormat="1">
      <alignment horizontal="right"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horizontal="right" readingOrder="0" vertical="bottom"/>
    </xf>
    <xf borderId="0" fillId="0" fontId="5" numFmtId="0" xfId="0" applyAlignment="1" applyFont="1">
      <alignment readingOrder="0" shrinkToFit="0" wrapText="0"/>
    </xf>
    <xf borderId="0" fillId="0" fontId="5" numFmtId="0" xfId="0" applyAlignment="1" applyFont="1">
      <alignment shrinkToFit="0" wrapText="0"/>
    </xf>
    <xf borderId="0" fillId="0" fontId="2" numFmtId="164" xfId="0" applyFont="1" applyNumberFormat="1"/>
    <xf borderId="0" fillId="0" fontId="13" numFmtId="4" xfId="0" applyAlignment="1" applyFont="1" applyNumberFormat="1">
      <alignment horizontal="right" readingOrder="0" shrinkToFit="0" vertical="bottom" wrapText="0"/>
    </xf>
    <xf borderId="0" fillId="0" fontId="13" numFmtId="0" xfId="0" applyAlignment="1" applyFont="1">
      <alignment readingOrder="0" shrinkToFit="0" vertical="bottom" wrapText="0"/>
    </xf>
    <xf borderId="0" fillId="0" fontId="13" numFmtId="0" xfId="0" applyAlignment="1" applyFont="1">
      <alignment horizontal="right"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11" Type="http://schemas.openxmlformats.org/officeDocument/2006/relationships/worksheet" Target="worksheets/sheet9.xml"/><Relationship Id="rId22" Type="http://schemas.openxmlformats.org/officeDocument/2006/relationships/worksheet" Target="worksheets/sheet20.xml"/><Relationship Id="rId10" Type="http://schemas.openxmlformats.org/officeDocument/2006/relationships/worksheet" Target="worksheets/sheet8.xml"/><Relationship Id="rId21" Type="http://schemas.openxmlformats.org/officeDocument/2006/relationships/worksheet" Target="worksheets/sheet19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19" Type="http://schemas.openxmlformats.org/officeDocument/2006/relationships/worksheet" Target="worksheets/sheet17.xml"/><Relationship Id="rId6" Type="http://schemas.openxmlformats.org/officeDocument/2006/relationships/worksheet" Target="worksheets/sheet4.xml"/><Relationship Id="rId18" Type="http://schemas.openxmlformats.org/officeDocument/2006/relationships/worksheet" Target="worksheets/sheet16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8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8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8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8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8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8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8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8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8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8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8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8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8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8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8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8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8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IFERROR(__xludf.DUMMYFUNCTION("""COMPUTED_VALUE"""),"1G2yAwEmGug4VRRGiVJM3yHe88F7UHCmwLdFo2-Xj4bA")</f>
        <v>1G2yAwEmGug4VRRGiVJM3yHe88F7UHCmwLdFo2-Xj4bA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IFERROR(__xludf.DUMMYFUNCTION("""COMPUTED_VALUE"""),"1sN4dA0wRDbkiqDmGZD3fRqB5XP8vsNgVSKTClqF2aqA")</f>
        <v>1sN4dA0wRDbkiqDmGZD3fRqB5XP8vsNgVSKTClqF2aqA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IFERROR(__xludf.DUMMYFUNCTION("""COMPUTED_VALUE"""),"1iFwUbi4eWTRVGpAAB27Nc1Ubu4j6hxNuLgSZZV6c_E4")</f>
        <v>1iFwUbi4eWTRVGpAAB27Nc1Ubu4j6hxNuLgSZZV6c_E4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IFERROR(__xludf.DUMMYFUNCTION("""COMPUTED_VALUE"""),"1XV7WEkcXTDuOgwDoGhKvy8HU-K-3479ZHAEZBvsa_tc")</f>
        <v>1XV7WEkcXTDuOgwDoGhKvy8HU-K-3479ZHAEZBvsa_tc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IFERROR(__xludf.DUMMYFUNCTION("""COMPUTED_VALUE"""),"1sQmxpKX5ogSXiV1qHf6NVjQl8QoUTsuD2rJ4pzqABAg")</f>
        <v>1sQmxpKX5ogSXiV1qHf6NVjQl8QoUTsuD2rJ4pzqABAg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IFERROR(__xludf.DUMMYFUNCTION("""COMPUTED_VALUE"""),"1WOXvZZCIiWWwLt85sMAJs5lA2Sd5seftlo0-PMFepo4")</f>
        <v>1WOXvZZCIiWWwLt85sMAJs5lA2Sd5seftlo0-PMFepo4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IFERROR(__xludf.DUMMYFUNCTION("""COMPUTED_VALUE"""),"13pRCCWisWUdYIzGghxtJvmhlBsj5sDr94g6VDPP0q-o")</f>
        <v>13pRCCWisWUdYIzGghxtJvmhlBsj5sDr94g6VDPP0q-o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IFERROR(__xludf.DUMMYFUNCTION("""COMPUTED_VALUE"""),"1npQSl0FjE4Lw1QD6s0yIpLzJ-rj0nbumIonEIRbWZwA")</f>
        <v>1npQSl0FjE4Lw1QD6s0yIpLzJ-rj0nbumIonEIRbWZwA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IFERROR(__xludf.DUMMYFUNCTION("""COMPUTED_VALUE"""),"1-pEik0paMvKDzhMzUpCB2FadNd3tINN9bPXcpr5W9hI")</f>
        <v>1-pEik0paMvKDzhMzUpCB2FadNd3tINN9bPXcpr5W9hI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IFERROR(__xludf.DUMMYFUNCTION("""COMPUTED_VALUE"""),"1G5A2JHuXFwIAKeFyFP_6qaRbfVnU9mvHz6q_tG-5I3M")</f>
        <v>1G5A2JHuXFwIAKeFyFP_6qaRbfVnU9mvHz6q_tG-5I3M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IFERROR(__xludf.DUMMYFUNCTION("""COMPUTED_VALUE"""),"1Qf7-OMFYaQTpiT3A76WLvhP_zTcAvN-GlTkEKWQI6CI")</f>
        <v>1Qf7-OMFYaQTpiT3A76WLvhP_zTcAvN-GlTkEKWQI6CI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IFERROR(__xludf.DUMMYFUNCTION("""COMPUTED_VALUE"""),"1X2GLgKZ0jCCf9C8tNz4LZTT8MEJ0rPmHVf74CRF92nI")</f>
        <v>1X2GLgKZ0jCCf9C8tNz4LZTT8MEJ0rPmHVf74CRF92nI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IFERROR(__xludf.DUMMYFUNCTION("""COMPUTED_VALUE"""),"1e3JDW1yEKYP-8ma-BqYu0whzm4Ze8aVDK3dsCw79llk")</f>
        <v>1e3JDW1yEKYP-8ma-BqYu0whzm4Ze8aVDK3dsCw79llk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IFERROR(__xludf.DUMMYFUNCTION("""COMPUTED_VALUE"""),"1eR96defw9DNiXlrKjqRh3R-qg9Pp1BeoNro96zMlcU0")</f>
        <v>1eR96defw9DNiXlrKjqRh3R-qg9Pp1BeoNro96zMlcU0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IFERROR(__xludf.DUMMYFUNCTION("""COMPUTED_VALUE"""),"1SYzOFlwMP7q1fa9ftG5nF3Q9-tr0BByrF1knPegiHxE")</f>
        <v>1SYzOFlwMP7q1fa9ftG5nF3Q9-tr0BByrF1knPegiHxE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IFERROR(__xludf.DUMMYFUNCTION("""COMPUTED_VALUE"""),"1oCPrKMTa-3fxaM06t7r0xjhAywYxptxUUWlM6IrpjIM")</f>
        <v>1oCPrKMTa-3fxaM06t7r0xjhAywYxptxUUWlM6IrpjIM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IFERROR(__xludf.DUMMYFUNCTION("""COMPUTED_VALUE"""),"1Juj0ekcKQL6KCq8ujd84mA8LXjLIO7F5-pt1BH073k4")</f>
        <v>1Juj0ekcKQL6KCq8ujd84mA8LXjLIO7F5-pt1BH073k4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IFERROR(__xludf.DUMMYFUNCTION("""COMPUTED_VALUE"""),"1TxDikOKco3kj-fpVp_swFmHRjk9xUFlp6SC01FXKsUA")</f>
        <v>1TxDikOKco3kj-fpVp_swFmHRjk9xUFlp6SC01FXKsUA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IFERROR(__xludf.DUMMYFUNCTION("""COMPUTED_VALUE"""),"1MIFnyUZMyR5a_8yHN1aP-GaxtBQUxu1tPzzD93BRKG4")</f>
        <v>1MIFnyUZMyR5a_8yHN1aP-GaxtBQUxu1tPzzD93BRKG4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IFERROR(__xludf.DUMMYFUNCTION("""COMPUTED_VALUE"""),"1UcA_Bp3Tg0bduC_hG_ymQO8Nl0fC8zwr0dqhn3G0X7w")</f>
        <v>1UcA_Bp3Tg0bduC_hG_ymQO8Nl0fC8zwr0dqhn3G0X7w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IFERROR(__xludf.DUMMYFUNCTION("""COMPUTED_VALUE"""),"1b3teGR3SeddkzmOAOI70zt3TPTIueqIXMb0_64vLmhg")</f>
        <v>1b3teGR3SeddkzmOAOI70zt3TPTIueqIXMb0_64vLmhg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IFERROR(__xludf.DUMMYFUNCTION("""COMPUTED_VALUE"""),"1x3db-DRDI09f9JOxbjTsFLBMBLSyw9w2LJAcwA_jthE")</f>
        <v>1x3db-DRDI09f9JOxbjTsFLBMBLSyw9w2LJAcwA_jthE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IFERROR(__xludf.DUMMYFUNCTION("""COMPUTED_VALUE"""),"1eWGWoFECkbD-qbHWTGCUT8Fyg7YSEuxVBQShAfH-4G8")</f>
        <v>1eWGWoFECkbD-qbHWTGCUT8Fyg7YSEuxVBQShAfH-4G8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IFERROR(__xludf.DUMMYFUNCTION("""COMPUTED_VALUE"""),"19tHMRXibaAxm7XMdcCTWHQ4bfVUBpa3dYIoVg7LgjMU")</f>
        <v>19tHMRXibaAxm7XMdcCTWHQ4bfVUBpa3dYIoVg7LgjMU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IFERROR(__xludf.DUMMYFUNCTION("""COMPUTED_VALUE"""),"15dCu2cI6h2zz7EyE3HRTPJXretS_8rJXb6kEecm2wE4")</f>
        <v>15dCu2cI6h2zz7EyE3HRTPJXretS_8rJXb6kEecm2wE4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IFERROR(__xludf.DUMMYFUNCTION("""COMPUTED_VALUE"""),"1ox4TNNK5MqyA6BJGrZngJ2D4HejJ2lRtDKIKyPqu-tQ")</f>
        <v>1ox4TNNK5MqyA6BJGrZngJ2D4HejJ2lRtDKIKyPqu-tQ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IFERROR(__xludf.DUMMYFUNCTION("""COMPUTED_VALUE"""),"1H1jKHI5sFjF2JGI5Hsg2bL9f8P4Efy6KU_cClE3r75U")</f>
        <v>1H1jKHI5sFjF2JGI5Hsg2bL9f8P4Efy6KU_cClE3r75U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IFERROR(__xludf.DUMMYFUNCTION("""COMPUTED_VALUE"""),"1SOn4_JJeoHJYkiaVBjxfn5Lb7mA_qhKHshd3opLPQ1I")</f>
        <v>1SOn4_JJeoHJYkiaVBjxfn5Lb7mA_qhKHshd3opLPQ1I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IFERROR(__xludf.DUMMYFUNCTION("""COMPUTED_VALUE"""),"1IorkfR8EskF9Rg56tJ2oKYZpqvMIZEs2668wybtTQB4")</f>
        <v>1IorkfR8EskF9Rg56tJ2oKYZpqvMIZEs2668wybtTQB4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IFERROR(__xludf.DUMMYFUNCTION("""COMPUTED_VALUE"""),"1psefeS-lWFS-teA6LWf_DI6EUG6mtcOuqu918FZCTQU")</f>
        <v>1psefeS-lWFS-teA6LWf_DI6EUG6mtcOuqu918FZCTQU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IFERROR(__xludf.DUMMYFUNCTION("""COMPUTED_VALUE"""),"1rznTwdTAEkrPH0xYZH81RkQ1wUryJGoM9CMoeL4nmcQ")</f>
        <v>1rznTwdTAEkrPH0xYZH81RkQ1wUryJGoM9CMoeL4nmcQ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IFERROR(__xludf.DUMMYFUNCTION("""COMPUTED_VALUE"""),"1_z8RqXBRujVk2nmOKATscV8OMNcUKi2JifkR1W7KdRE")</f>
        <v>1_z8RqXBRujVk2nmOKATscV8OMNcUKi2JifkR1W7KdRE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IFERROR(__xludf.DUMMYFUNCTION("""COMPUTED_VALUE"""),"1PWEqwYA12VgsLsj6lvnqrW4sngZuq-sjrmnpL9peQPo")</f>
        <v>1PWEqwYA12VgsLsj6lvnqrW4sngZuq-sjrmnpL9peQPo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IFERROR(__xludf.DUMMYFUNCTION("""COMPUTED_VALUE"""),"1qWD23r6S8L6qNcKOENcBsVpBS_5raHBTtvCMOf8rwRo")</f>
        <v>1qWD23r6S8L6qNcKOENcBsVpBS_5raHBTtvCMOf8rwRo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IFERROR(__xludf.DUMMYFUNCTION("""COMPUTED_VALUE"""),"1ih6B6H3dMqTN2qoqiNuco5rugaDHzlFQvUiQTafq1-Y")</f>
        <v>1ih6B6H3dMqTN2qoqiNuco5rugaDHzlFQvUiQTafq1-Y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IFERROR(__xludf.DUMMYFUNCTION("""COMPUTED_VALUE"""),"105kp1yXOdHuKObnT282Gjsr9VcKIYY9fVt3jwRMQivk")</f>
        <v>105kp1yXOdHuKObnT282Gjsr9VcKIYY9fVt3jwRMQivk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IFERROR(__xludf.DUMMYFUNCTION("""COMPUTED_VALUE"""),"155MwUZO0qphL6P5-kiOzXA9wszW7MLyU3r6cueRluPE")</f>
        <v>155MwUZO0qphL6P5-kiOzXA9wszW7MLyU3r6cueRluPE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IFERROR(__xludf.DUMMYFUNCTION("""COMPUTED_VALUE"""),"1Me9UTDrd2996RjhiWBMkCi9mXdb5L42QQfdj510IoVM")</f>
        <v>1Me9UTDrd2996RjhiWBMkCi9mXdb5L42QQfdj510IoVM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IFERROR(__xludf.DUMMYFUNCTION("""COMPUTED_VALUE"""),"1kSbyPWCAETWkagyJeACNwFnEDTZGBY7V9VzLov8MtUE")</f>
        <v>1kSbyPWCAETWkagyJeACNwFnEDTZGBY7V9VzLov8MtUE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IFERROR(__xludf.DUMMYFUNCTION("""COMPUTED_VALUE"""),"1HUC5rEPCZfFcwW21tVUh6_8T3y5OGGZm3qS66vN0_Bc")</f>
        <v>1HUC5rEPCZfFcwW21tVUh6_8T3y5OGGZm3qS66vN0_Bc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IFERROR(__xludf.DUMMYFUNCTION("""COMPUTED_VALUE"""),"1nqghloueAtXKgiCD7E97C4HJhoG52Mgd5lseF3sy40Y")</f>
        <v>1nqghloueAtXKgiCD7E97C4HJhoG52Mgd5lseF3sy40Y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IFERROR(__xludf.DUMMYFUNCTION("""COMPUTED_VALUE"""),"1U4lTeqJHZq-7DOC_oNjNvpvqxZzMTAVQzmbDBSE3iSw")</f>
        <v>1U4lTeqJHZq-7DOC_oNjNvpvqxZzMTAVQzmbDBSE3iSw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IFERROR(__xludf.DUMMYFUNCTION("""COMPUTED_VALUE"""),"1_7vsYYCvTxkAYqYXjLmISGV0viOCb9khDDddgaDCzbE")</f>
        <v>1_7vsYYCvTxkAYqYXjLmISGV0viOCb9khDDddgaDCzbE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IFERROR(__xludf.DUMMYFUNCTION("""COMPUTED_VALUE"""),"1O0bP5QXQjQiDANZIp9Obrifa55tdLvVLynbjdLFGE3g")</f>
        <v>1O0bP5QXQjQiDANZIp9Obrifa55tdLvVLynbjdLFGE3g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IFERROR(__xludf.DUMMYFUNCTION("""COMPUTED_VALUE"""),"1o4oo91ek1Mn_DDe4KMGTI4QP4Tr2a7dk4W6GhZrx8C0")</f>
        <v>1o4oo91ek1Mn_DDe4KMGTI4QP4Tr2a7dk4W6GhZrx8C0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IFERROR(__xludf.DUMMYFUNCTION("""COMPUTED_VALUE"""),"1rqUHYcdAPy30n3DVnBbBC1G7pAs0HVw8bk6U4wElamU")</f>
        <v>1rqUHYcdAPy30n3DVnBbBC1G7pAs0HVw8bk6U4wElamU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IFERROR(__xludf.DUMMYFUNCTION("""COMPUTED_VALUE"""),"1_xxunJZv--OoaMu--vIqANsrHbGnp7zgAejiREqgC9o")</f>
        <v>1_xxunJZv--OoaMu--vIqANsrHbGnp7zgAejiREqgC9o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IFERROR(__xludf.DUMMYFUNCTION("""COMPUTED_VALUE"""),"1szTOtKIGVoQMbhobEgnUxaIGXhP5R27tXCm0Kr5COss")</f>
        <v>1szTOtKIGVoQMbhobEgnUxaIGXhP5R27tXCm0Kr5COss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IFERROR(__xludf.DUMMYFUNCTION("""COMPUTED_VALUE"""),"19kT9xClnQROyvkZyFnUNnYg5PZsgZfC-L8n5MQshEKw")</f>
        <v>19kT9xClnQROyvkZyFnUNnYg5PZsgZfC-L8n5MQshEKw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IFERROR(__xludf.DUMMYFUNCTION("""COMPUTED_VALUE"""),"14i8_M9tTYQnmPA2vP4WK8Gc1mKSw08Q2z6JEQNMQ2jA")</f>
        <v>14i8_M9tTYQnmPA2vP4WK8Gc1mKSw08Q2z6JEQNMQ2jA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IFERROR(__xludf.DUMMYFUNCTION("""COMPUTED_VALUE"""),"1XudD6Nj0wqCZAKVseYGTPtKQwNCe9E1uqJVw4IlOpus")</f>
        <v>1XudD6Nj0wqCZAKVseYGTPtKQwNCe9E1uqJVw4IlOpus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IFERROR(__xludf.DUMMYFUNCTION("""COMPUTED_VALUE"""),"1Zsko4640_o83_hPa401AVs4ihF17JntIpyHAOhJZX6E")</f>
        <v>1Zsko4640_o83_hPa401AVs4ihF17JntIpyHAOhJZX6E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IFERROR(__xludf.DUMMYFUNCTION("""COMPUTED_VALUE"""),"13CpGgA7xAiUMopTzEjt2gG1RljXAXIuKfHjB9r5e5x4")</f>
        <v>13CpGgA7xAiUMopTzEjt2gG1RljXAXIuKfHjB9r5e5x4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IFERROR(__xludf.DUMMYFUNCTION("""COMPUTED_VALUE"""),"1UZ09M0xmOuNjWYpsoghYu3B-9Dp1XeyMl6CRaUgL7PU")</f>
        <v>1UZ09M0xmOuNjWYpsoghYu3B-9Dp1XeyMl6CRaUgL7PU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IFERROR(__xludf.DUMMYFUNCTION("""COMPUTED_VALUE"""),"1l11hWn_7rpljZexuNHkg5KleyKXo_4jx1d21BZRdJLg")</f>
        <v>1l11hWn_7rpljZexuNHkg5KleyKXo_4jx1d21BZRdJLg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IFERROR(__xludf.DUMMYFUNCTION("""COMPUTED_VALUE"""),"1R_5SIhO5vmNiNTSvxGDIsDQW7k4dpl_tTORq2eMqTMQ")</f>
        <v>1R_5SIhO5vmNiNTSvxGDIsDQW7k4dpl_tTORq2eMqTMQ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IFERROR(__xludf.DUMMYFUNCTION("""COMPUTED_VALUE"""),"1BNSpLr6-8xmfOdPhxn_mllvRzgMVOx2ZkRBPRI9o3dM")</f>
        <v>1BNSpLr6-8xmfOdPhxn_mllvRzgMVOx2ZkRBPRI9o3dM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IFERROR(__xludf.DUMMYFUNCTION("""COMPUTED_VALUE"""),"1YQ4eqVgAhL_mqQU2z2kvxzIhWYpzfuAfnqY561FQoSE")</f>
        <v>1YQ4eqVgAhL_mqQU2z2kvxzIhWYpzfuAfnqY561FQoSE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IFERROR(__xludf.DUMMYFUNCTION("""COMPUTED_VALUE"""),"1McqZVOvpDAyyblkMX74qXcQoiQxkSLybROu-ztjMQIc")</f>
        <v>1McqZVOvpDAyyblkMX74qXcQoiQxkSLybROu-ztjMQIc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IFERROR(__xludf.DUMMYFUNCTION("""COMPUTED_VALUE"""),"1P841AyLOX69wx-NB44lpyuRlaUGV1cMYqaugaIGxr5Q")</f>
        <v>1P841AyLOX69wx-NB44lpyuRlaUGV1cMYqaugaIGxr5Q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IFERROR(__xludf.DUMMYFUNCTION("""COMPUTED_VALUE"""),"1fEUUuW7bCEL3WiGDSZKRox2hDLlMEtVBUR46151jGvw")</f>
        <v>1fEUUuW7bCEL3WiGDSZKRox2hDLlMEtVBUR46151jGvw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IFERROR(__xludf.DUMMYFUNCTION("""COMPUTED_VALUE"""),"1fYqc0dGDB6VLPr77gmUss7eBXhlUYc0GLttj6ffr-Kg")</f>
        <v>1fYqc0dGDB6VLPr77gmUss7eBXhlUYc0GLttj6ffr-Kg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IFERROR(__xludf.DUMMYFUNCTION("""COMPUTED_VALUE"""),"1WebIwh6H8t2c0-92bwEKV5DshdjoRQmVPIJVFLHmnls")</f>
        <v>1WebIwh6H8t2c0-92bwEKV5DshdjoRQmVPIJVFLHmnls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IFERROR(__xludf.DUMMYFUNCTION("""COMPUTED_VALUE"""),"19L_mzuhDLQ5wPlLAxlOHp1eRSS4zc0D4J6BOKCagXpw")</f>
        <v>19L_mzuhDLQ5wPlLAxlOHp1eRSS4zc0D4J6BOKCagXpw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IFERROR(__xludf.DUMMYFUNCTION("""COMPUTED_VALUE"""),"1SYHCL9X3kLj_YpZgCZTrllmRvVgAsjam3MbM-5vKhuQ")</f>
        <v>1SYHCL9X3kLj_YpZgCZTrllmRvVgAsjam3MbM-5vKhuQ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IFERROR(__xludf.DUMMYFUNCTION("""COMPUTED_VALUE"""),"1O_QhVVvq9XcwVG6eOk1KDiQEBXDVkfHIoF5OQ05ChQM")</f>
        <v>1O_QhVVvq9XcwVG6eOk1KDiQEBXDVkfHIoF5OQ05ChQM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IFERROR(__xludf.DUMMYFUNCTION("""COMPUTED_VALUE"""),"1WZoxOuHE4Qt6q835PwLh8-0EnNhekv7piYE-Kd-vnjg")</f>
        <v>1WZoxOuHE4Qt6q835PwLh8-0EnNhekv7piYE-Kd-vnjg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IFERROR(__xludf.DUMMYFUNCTION("""COMPUTED_VALUE"""),"1V8BI4yfIyQECE1JcMRsApfmTPthAoYudd5HOhx1IeZ4")</f>
        <v>1V8BI4yfIyQECE1JcMRsApfmTPthAoYudd5HOhx1IeZ4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IFERROR(__xludf.DUMMYFUNCTION("""COMPUTED_VALUE"""),"1C9lg9oeUsmJEC3FDEmDYEDxYEZ48vhTvBpc_7jzrG-A")</f>
        <v>1C9lg9oeUsmJEC3FDEmDYEDxYEZ48vhTvBpc_7jzrG-A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IFERROR(__xludf.DUMMYFUNCTION("""COMPUTED_VALUE"""),"1pIqb45gaTMZAVl6ZTIr9XBk4KURb-nsLncnz6oXfhbs")</f>
        <v>1pIqb45gaTMZAVl6ZTIr9XBk4KURb-nsLncnz6oXfhbs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IFERROR(__xludf.DUMMYFUNCTION("""COMPUTED_VALUE"""),"1m-tuubYj3kpg3IX2REfAJAcN1l96k6ONTKyiKvxjX2Y")</f>
        <v>1m-tuubYj3kpg3IX2REfAJAcN1l96k6ONTKyiKvxjX2Y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IFERROR(__xludf.DUMMYFUNCTION("""COMPUTED_VALUE"""),"16c7e_rK3O0Zi9I0WlDJ908i_nRkDa4gzAI-9qAWkMGU")</f>
        <v>16c7e_rK3O0Zi9I0WlDJ908i_nRkDa4gzAI-9qAWkMGU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IFERROR(__xludf.DUMMYFUNCTION("""COMPUTED_VALUE"""),"1NsatpolfnrnOWuJS48_OImvxU5HT7tC5tpa6K_1j4nw")</f>
        <v>1NsatpolfnrnOWuJS48_OImvxU5HT7tC5tpa6K_1j4nw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IFERROR(__xludf.DUMMYFUNCTION("""COMPUTED_VALUE"""),"1wzlYzJ1XCTaoLeP4tjkY8-ZhqlYA9IRvRsKXraPyMT4")</f>
        <v>1wzlYzJ1XCTaoLeP4tjkY8-ZhqlYA9IRvRsKXraPyMT4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IFERROR(__xludf.DUMMYFUNCTION("""COMPUTED_VALUE"""),"1uzLHi4CNBx0MyhR8WKVB_6WHQpiBXI6BeN8IK55J1co")</f>
        <v>1uzLHi4CNBx0MyhR8WKVB_6WHQpiBXI6BeN8IK55J1co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IFERROR(__xludf.DUMMYFUNCTION("""COMPUTED_VALUE"""),"1Ch8ljdOLO5qpDv9DppYdH0GSLe_dObZX8Z4007tRKtk")</f>
        <v>1Ch8ljdOLO5qpDv9DppYdH0GSLe_dObZX8Z4007tRKtk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IFERROR(__xludf.DUMMYFUNCTION("""COMPUTED_VALUE"""),"1bWNa-3AC2rjiVCHfnFAnV1_niiebvWSmqy0pa2Y3A1U")</f>
        <v>1bWNa-3AC2rjiVCHfnFAnV1_niiebvWSmqy0pa2Y3A1U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IFERROR(__xludf.DUMMYFUNCTION("""COMPUTED_VALUE"""),"1P2MumATI6sYkJ-NV9pAkg1QlFtz454tMWNv0omhAY0U")</f>
        <v>1P2MumATI6sYkJ-NV9pAkg1QlFtz454tMWNv0omhAY0U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IFERROR(__xludf.DUMMYFUNCTION("""COMPUTED_VALUE"""),"18AeAxxP9aKc0LkOM-a21d3p-tmpinB6dTkwcwxQslJ4")</f>
        <v>18AeAxxP9aKc0LkOM-a21d3p-tmpinB6dTkwcwxQslJ4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IFERROR(__xludf.DUMMYFUNCTION("""COMPUTED_VALUE"""),"1Vd5K36QAgnLOt0ytUkYptPSTuOBM4MelFsNL6C-vyXQ")</f>
        <v>1Vd5K36QAgnLOt0ytUkYptPSTuOBM4MelFsNL6C-vyXQ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IFERROR(__xludf.DUMMYFUNCTION("""COMPUTED_VALUE"""),"1Kn7RmQ6euNcNOy6NDUbPzjJlZhiqP-WxVYqXlDo2C6U")</f>
        <v>1Kn7RmQ6euNcNOy6NDUbPzjJlZhiqP-WxVYqXlDo2C6U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IFERROR(__xludf.DUMMYFUNCTION("""COMPUTED_VALUE"""),"1p-jiDGPGYwCR90lkSnOJde0bJTbS9VRZ-owO733geR8")</f>
        <v>1p-jiDGPGYwCR90lkSnOJde0bJTbS9VRZ-owO733geR8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IFERROR(__xludf.DUMMYFUNCTION("""COMPUTED_VALUE"""),"1TafQ5l2I9Hkp5-ghxq8hrHGyq-Oxs6F71aj4qMJyg5c")</f>
        <v>1TafQ5l2I9Hkp5-ghxq8hrHGyq-Oxs6F71aj4qMJyg5c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IFERROR(__xludf.DUMMYFUNCTION("""COMPUTED_VALUE"""),"1J3iMkZUt2VcZ66ADaKSSINJ5EJabuIdY1zSwd6M45wM")</f>
        <v>1J3iMkZUt2VcZ66ADaKSSINJ5EJabuIdY1zSwd6M45wM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IFERROR(__xludf.DUMMYFUNCTION("""COMPUTED_VALUE"""),"179OBcD6MtBcn4KEI2yimM-WbOG9HdQPq_M4QYKWxCWE")</f>
        <v>179OBcD6MtBcn4KEI2yimM-WbOG9HdQPq_M4QYKWxCWE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IFERROR(__xludf.DUMMYFUNCTION("""COMPUTED_VALUE"""),"13Mz382SvngJftLB83NIojgoFXnAjqYRnP5Vbj9lh-rA")</f>
        <v>13Mz382SvngJftLB83NIojgoFXnAjqYRnP5Vbj9lh-rA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IFERROR(__xludf.DUMMYFUNCTION("""COMPUTED_VALUE"""),"1IuRqDm9SdGbwaATc_E-eFeQdhAmE2zhtBB3igLL_Md4")</f>
        <v>1IuRqDm9SdGbwaATc_E-eFeQdhAmE2zhtBB3igLL_Md4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IFERROR(__xludf.DUMMYFUNCTION("""COMPUTED_VALUE"""),"1UHeoJyRun4tW18yAwGHn5G5F3bVCz5YfTdVoKPsPhio")</f>
        <v>1UHeoJyRun4tW18yAwGHn5G5F3bVCz5YfTdVoKPsPhio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IFERROR(__xludf.DUMMYFUNCTION("""COMPUTED_VALUE"""),"19q7R-0jpTlv8r84XWOTVvpxM4KAqBUjmWW6bBepm980")</f>
        <v>19q7R-0jpTlv8r84XWOTVvpxM4KAqBUjmWW6bBepm980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IFERROR(__xludf.DUMMYFUNCTION("""COMPUTED_VALUE"""),"1_gksmHNJnLr9h_WVPZU3z30gw7YXBg5xb6ekKca50wE")</f>
        <v>1_gksmHNJnLr9h_WVPZU3z30gw7YXBg5xb6ekKca50wE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IFERROR(__xludf.DUMMYFUNCTION("""COMPUTED_VALUE"""),"12SdpCUJEukku3_4FXm4sTQG2YnlN1FabyPasyveh6Dw")</f>
        <v>12SdpCUJEukku3_4FXm4sTQG2YnlN1FabyPasyveh6Dw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IFERROR(__xludf.DUMMYFUNCTION("""COMPUTED_VALUE"""),"1V0qkYxwmCcH2Rlv3ntrESGxjt8CqDUtCWLpF5NLEkms")</f>
        <v>1V0qkYxwmCcH2Rlv3ntrESGxjt8CqDUtCWLpF5NLEkms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IFERROR(__xludf.DUMMYFUNCTION("""COMPUTED_VALUE"""),"1C2CqSypfxVefrec-UaZokCKMFMAIxUNiNEksS0cQC9U")</f>
        <v>1C2CqSypfxVefrec-UaZokCKMFMAIxUNiNEksS0cQC9U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IFERROR(__xludf.DUMMYFUNCTION("""COMPUTED_VALUE"""),"1qTWgd0vjJZEbzPL7hyO9Ya7BIHhBEh6QZh1zrIXWpQU")</f>
        <v>1qTWgd0vjJZEbzPL7hyO9Ya7BIHhBEh6QZh1zrIXWpQU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IFERROR(__xludf.DUMMYFUNCTION("""COMPUTED_VALUE"""),"1WmisSfIxG2dETBBICN9Eopb2Zv5RAlXVeuJrc4fJW4g")</f>
        <v>1WmisSfIxG2dETBBICN9Eopb2Zv5RAlXVeuJrc4fJW4g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IFERROR(__xludf.DUMMYFUNCTION("""COMPUTED_VALUE"""),"1e5H-E0bLrEbyATTG2-Q8bJEJjiq7I3m-fVl6pCGecHY")</f>
        <v>1e5H-E0bLrEbyATTG2-Q8bJEJjiq7I3m-fVl6pCGecHY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IFERROR(__xludf.DUMMYFUNCTION("""COMPUTED_VALUE"""),"1MvfhsW88dxVl3ZUBRUYKI_kaV1VM3uvoAiEBGKh80jc")</f>
        <v>1MvfhsW88dxVl3ZUBRUYKI_kaV1VM3uvoAiEBGKh80jc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IFERROR(__xludf.DUMMYFUNCTION("""COMPUTED_VALUE"""),"11WwR-OgN8B5mzAatud8VLIETSaP2cgH0N18z_22aKgM")</f>
        <v>11WwR-OgN8B5mzAatud8VLIETSaP2cgH0N18z_22aKgM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IFERROR(__xludf.DUMMYFUNCTION("""COMPUTED_VALUE"""),"12i9wrB43t1Z92_jmrsnfeEq7d6hFZLuijrf1vuyfCko")</f>
        <v>12i9wrB43t1Z92_jmrsnfeEq7d6hFZLuijrf1vuyfCko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IFERROR(__xludf.DUMMYFUNCTION("""COMPUTED_VALUE"""),"1s50OqXSYiKWrnT8nYaGDzYThTJTAHIyFoV9ohpgHPgY")</f>
        <v>1s50OqXSYiKWrnT8nYaGDzYThTJTAHIyFoV9ohpgHPgY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IFERROR(__xludf.DUMMYFUNCTION("""COMPUTED_VALUE"""),"1s_0rGgUmKN57rRoq55juTGojQ5Fitk0m-U_OTDoirHA")</f>
        <v>1s_0rGgUmKN57rRoq55juTGojQ5Fitk0m-U_OTDoirHA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IFERROR(__xludf.DUMMYFUNCTION("""COMPUTED_VALUE"""),"1ZIhvRGHTU76uT9xqOXXJRFi1H1sbFljHmLeOicgscVU")</f>
        <v>1ZIhvRGHTU76uT9xqOXXJRFi1H1sbFljHmLeOicgscVU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IFERROR(__xludf.DUMMYFUNCTION("""COMPUTED_VALUE"""),"1dFC-TZzOuqwhb_lRy1ppdZVR5YELDGJURNyboYEsnco")</f>
        <v>1dFC-TZzOuqwhb_lRy1ppdZVR5YELDGJURNyboYEsnco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IFERROR(__xludf.DUMMYFUNCTION("""COMPUTED_VALUE"""),"1rWzqQSM4eQ-4N76g_1QP-9cfgPs0Z0ZIXVExsfMleuM")</f>
        <v>1rWzqQSM4eQ-4N76g_1QP-9cfgPs0Z0ZIXVExsfMleuM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IFERROR(__xludf.DUMMYFUNCTION("""COMPUTED_VALUE"""),"1TDDqb6Jok6OvWUFmx4I0wMt8-yhtBiM7TnVQKCoYxTA")</f>
        <v>1TDDqb6Jok6OvWUFmx4I0wMt8-yhtBiM7TnVQKCoYxTA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IFERROR(__xludf.DUMMYFUNCTION("""COMPUTED_VALUE"""),"1T2Ras3k5fDjACI972XeavE_8pgs6THSrI1HhB1ye48s")</f>
        <v>1T2Ras3k5fDjACI972XeavE_8pgs6THSrI1HhB1ye48s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IFERROR(__xludf.DUMMYFUNCTION("""COMPUTED_VALUE"""),"1YcVp-kfCDUoegdhsKsCe_PMzE3_cIy1wejc4JCzTgEw")</f>
        <v>1YcVp-kfCDUoegdhsKsCe_PMzE3_cIy1wejc4JCzTgEw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IFERROR(__xludf.DUMMYFUNCTION("""COMPUTED_VALUE"""),"1PzyY_nfLYU66GT9Elm7rbepVT4M0Aao_ExWURbHlXso")</f>
        <v>1PzyY_nfLYU66GT9Elm7rbepVT4M0Aao_ExWURbHlXso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IFERROR(__xludf.DUMMYFUNCTION("""COMPUTED_VALUE"""),"1Z_dQvfdgkluFyhKo149XBcbe0Kth-fg0fOFf4_u2E-4")</f>
        <v>1Z_dQvfdgkluFyhKo149XBcbe0Kth-fg0fOFf4_u2E-4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IFERROR(__xludf.DUMMYFUNCTION("""COMPUTED_VALUE"""),"1RZplEfcQQUVd1Ggv65V_0dKqsLpnMuOaVEaLnQ7ckpE")</f>
        <v>1RZplEfcQQUVd1Ggv65V_0dKqsLpnMuOaVEaLnQ7ckpE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IFERROR(__xludf.DUMMYFUNCTION("""COMPUTED_VALUE"""),"1_ZLPKYyCpcCv90izwkS7MZMbhNEXzuAQiOx8npro20g")</f>
        <v>1_ZLPKYyCpcCv90izwkS7MZMbhNEXzuAQiOx8npro20g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IFERROR(__xludf.DUMMYFUNCTION("""COMPUTED_VALUE"""),"1AS722xjcIKYd_PpocpO2JLwR2JMqFfBPkVK39Q2XMxE")</f>
        <v>1AS722xjcIKYd_PpocpO2JLwR2JMqFfBPkVK39Q2XMxE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IFERROR(__xludf.DUMMYFUNCTION("""COMPUTED_VALUE"""),"1r-tyec_fx-pIqzGddgSbcLuJdAU-B20ZTaGzahpBV2w")</f>
        <v>1r-tyec_fx-pIqzGddgSbcLuJdAU-B20ZTaGzahpBV2w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IFERROR(__xludf.DUMMYFUNCTION("""COMPUTED_VALUE"""),"1PRG5_5qrohtjUlpAk-DjC1B6M75OdF99hA2vEgdD_Uw")</f>
        <v>1PRG5_5qrohtjUlpAk-DjC1B6M75OdF99hA2vEgdD_Uw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IFERROR(__xludf.DUMMYFUNCTION("""COMPUTED_VALUE"""),"1U9O1ZNQe03mFGPQ67ySm3ZLNJbWXRqnbI-8ZV30Jyz4")</f>
        <v>1U9O1ZNQe03mFGPQ67ySm3ZLNJbWXRqnbI-8ZV30Jyz4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IFERROR(__xludf.DUMMYFUNCTION("""COMPUTED_VALUE"""),"157yMc4dFxYWky5rc3_ip4Q-PBeeptVpZvBUznJzbfjE")</f>
        <v>157yMc4dFxYWky5rc3_ip4Q-PBeeptVpZvBUznJzbfjE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IFERROR(__xludf.DUMMYFUNCTION("""COMPUTED_VALUE"""),"1qeXbjcZPeClkYAwZmHJs2rG7V0JsRRg6mw5SmjAQHTE")</f>
        <v>1qeXbjcZPeClkYAwZmHJs2rG7V0JsRRg6mw5SmjAQHTE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IFERROR(__xludf.DUMMYFUNCTION("""COMPUTED_VALUE"""),"1lMHtKGRo9R39-rGVJg8v2Vp15-3oz56OtDPZn55yAvA")</f>
        <v>1lMHtKGRo9R39-rGVJg8v2Vp15-3oz56OtDPZn55yAvA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IFERROR(__xludf.DUMMYFUNCTION("""COMPUTED_VALUE"""),"1_UOfRF0S9c4jZDCW6MVXmTaalhrK1N7Qp-p7qITvrb4")</f>
        <v>1_UOfRF0S9c4jZDCW6MVXmTaalhrK1N7Qp-p7qITvrb4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IFERROR(__xludf.DUMMYFUNCTION("""COMPUTED_VALUE"""),"1hHq4PASBEElrCZSeU0tjApkvEqoqk_kzbqRw1XNza9I")</f>
        <v>1hHq4PASBEElrCZSeU0tjApkvEqoqk_kzbqRw1XNza9I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IFERROR(__xludf.DUMMYFUNCTION("""COMPUTED_VALUE"""),"1pHb0k1fYZKumDsM-GMxxgG_-LpX7T8zxKSXMXqWTh3o")</f>
        <v>1pHb0k1fYZKumDsM-GMxxgG_-LpX7T8zxKSXMXqWTh3o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IFERROR(__xludf.DUMMYFUNCTION("""COMPUTED_VALUE"""),"12tr3nHtXwkFq8bzK-zX9KhfXrHqVcRxmWSgThepFUAU")</f>
        <v>12tr3nHtXwkFq8bzK-zX9KhfXrHqVcRxmWSgThepFUAU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IFERROR(__xludf.DUMMYFUNCTION("""COMPUTED_VALUE"""),"1cbxy6VdPjCKlq1CYH-5uKvOCKpxB1FDLj3t8SOJ-Lic")</f>
        <v>1cbxy6VdPjCKlq1CYH-5uKvOCKpxB1FDLj3t8SOJ-Lic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IFERROR(__xludf.DUMMYFUNCTION("""COMPUTED_VALUE"""),"1VwGGAbs40-P3TWEPuxpd84Kd482ffeBen_bvUeH5XLs")</f>
        <v>1VwGGAbs40-P3TWEPuxpd84Kd482ffeBen_bvUeH5XLs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IFERROR(__xludf.DUMMYFUNCTION("""COMPUTED_VALUE"""),"1ZXcPQzGoPQ5lCt0SIdxE4Wn22XxZZBrghVN8TQa_PA8")</f>
        <v>1ZXcPQzGoPQ5lCt0SIdxE4Wn22XxZZBrghVN8TQa_PA8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IFERROR(__xludf.DUMMYFUNCTION("""COMPUTED_VALUE"""),"1pfMfohF1Z5TFRSXZGi_8kDUwu6rKdB84lDXAsFAROuo")</f>
        <v>1pfMfohF1Z5TFRSXZGi_8kDUwu6rKdB84lDXAsFAROuo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IFERROR(__xludf.DUMMYFUNCTION("""COMPUTED_VALUE"""),"1U-4IfRlC3qUMRnRVCAR_hKALXnY1sI4xOCfuq1PlavE")</f>
        <v>1U-4IfRlC3qUMRnRVCAR_hKALXnY1sI4xOCfuq1PlavE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IFERROR(__xludf.DUMMYFUNCTION("""COMPUTED_VALUE"""),"1ch-af2kKdJm7_QNV7VeJuxk-LrNEXnkjKpb6t0Dug3c")</f>
        <v>1ch-af2kKdJm7_QNV7VeJuxk-LrNEXnkjKpb6t0Dug3c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IFERROR(__xludf.DUMMYFUNCTION("""COMPUTED_VALUE"""),"1wWqxRP1qZT537GjecxDT1YzzgNpudY5jHpZOp2gu3Ys")</f>
        <v>1wWqxRP1qZT537GjecxDT1YzzgNpudY5jHpZOp2gu3Ys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IFERROR(__xludf.DUMMYFUNCTION("""COMPUTED_VALUE"""),"1VkaV63Kp_-m9xakgvN4nwjFQliVbH-uDTupRnx4k5U0")</f>
        <v>1VkaV63Kp_-m9xakgvN4nwjFQliVbH-uDTupRnx4k5U0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IFERROR(__xludf.DUMMYFUNCTION("""COMPUTED_VALUE"""),"1yDZte754Sm0fLUnothHlWsZVXFoWOOh4q4YiAbmaN6A")</f>
        <v>1yDZte754Sm0fLUnothHlWsZVXFoWOOh4q4YiAbmaN6A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IFERROR(__xludf.DUMMYFUNCTION("""COMPUTED_VALUE"""),"1CcDYZea7aWB5x3R1FD5XPCk14XdXJmtBfwMqrKIo5P8")</f>
        <v>1CcDYZea7aWB5x3R1FD5XPCk14XdXJmtBfwMqrKIo5P8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IFERROR(__xludf.DUMMYFUNCTION("""COMPUTED_VALUE"""),"1IiJr_OFZwBuXGoSVJLT-iESeCoaaWmoNTh6qdlxCYp8")</f>
        <v>1IiJr_OFZwBuXGoSVJLT-iESeCoaaWmoNTh6qdlxCYp8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IFERROR(__xludf.DUMMYFUNCTION("""COMPUTED_VALUE"""),"1U2asF2q2-aZLq6UJkzTZA2eUVbNqPzpMApCuwatTcT8")</f>
        <v>1U2asF2q2-aZLq6UJkzTZA2eUVbNqPzpMApCuwatTcT8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IFERROR(__xludf.DUMMYFUNCTION("""COMPUTED_VALUE"""),"1azHuhW2QGS0U6YxkL00Txr4JY62dACA7LLHadkRZziQ")</f>
        <v>1azHuhW2QGS0U6YxkL00Txr4JY62dACA7LLHadkRZziQ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IFERROR(__xludf.DUMMYFUNCTION("""COMPUTED_VALUE"""),"1V8imeRfJQChz23ycPrmDDSrmAMiwTobLSV9OD1bH-ME")</f>
        <v>1V8imeRfJQChz23ycPrmDDSrmAMiwTobLSV9OD1bH-ME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IFERROR(__xludf.DUMMYFUNCTION("""COMPUTED_VALUE"""),"18PQbi1ps1nA6V6t9zvfGRiJCtqCe0Uh1GTuATjDjRFU")</f>
        <v>18PQbi1ps1nA6V6t9zvfGRiJCtqCe0Uh1GTuATjDjRFU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IFERROR(__xludf.DUMMYFUNCTION("""COMPUTED_VALUE"""),"1ygZhQ5BPNveZ0IXpSzWUoJb1-CWbPI5yquJ9p2XgS_A")</f>
        <v>1ygZhQ5BPNveZ0IXpSzWUoJb1-CWbPI5yquJ9p2XgS_A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IFERROR(__xludf.DUMMYFUNCTION("""COMPUTED_VALUE"""),"1t6rdR9qbfOeXuejoH6-sBwI1bEWh_0AoKUHuMjTKafo")</f>
        <v>1t6rdR9qbfOeXuejoH6-sBwI1bEWh_0AoKUHuMjTKafo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IFERROR(__xludf.DUMMYFUNCTION("""COMPUTED_VALUE"""),"1xOQEqNJ31jaKfw8cBs7M5YCMT7FCefB_iA4lkNg82js")</f>
        <v>1xOQEqNJ31jaKfw8cBs7M5YCMT7FCefB_iA4lkNg82js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IFERROR(__xludf.DUMMYFUNCTION("""COMPUTED_VALUE"""),"1JROeUyPo81jRm3vqYwqsMl1H0kBJhkmxJV8gZyip19Q")</f>
        <v>1JROeUyPo81jRm3vqYwqsMl1H0kBJhkmxJV8gZyip19Q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IFERROR(__xludf.DUMMYFUNCTION("""COMPUTED_VALUE"""),"12owFpcC343n8bWFq_cmWVlxZQTmpEiqxbdSc8TdfgEw")</f>
        <v>12owFpcC343n8bWFq_cmWVlxZQTmpEiqxbdSc8TdfgEw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IFERROR(__xludf.DUMMYFUNCTION("""COMPUTED_VALUE"""),"1sDEuT-X92-7VkSoQJG80zx85OLZfb4OJklyeYXjn00w")</f>
        <v>1sDEuT-X92-7VkSoQJG80zx85OLZfb4OJklyeYXjn00w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IFERROR(__xludf.DUMMYFUNCTION("""COMPUTED_VALUE"""),"1g_US2vYcZyFbH88JB_z0oKsrXpyeYv1qZRWzpU4UgoM")</f>
        <v>1g_US2vYcZyFbH88JB_z0oKsrXpyeYv1qZRWzpU4UgoM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IFERROR(__xludf.DUMMYFUNCTION("""COMPUTED_VALUE"""),"11epgwU0jWDfsHzxAEUws_p-DkKq5wLTVrJRQztotJjU")</f>
        <v>11epgwU0jWDfsHzxAEUws_p-DkKq5wLTVrJRQztotJjU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IFERROR(__xludf.DUMMYFUNCTION("""COMPUTED_VALUE"""),"19tR0THpqi92bFoT67A4MgCZbfdZtGuYVK1wFx1a6hwo")</f>
        <v>19tR0THpqi92bFoT67A4MgCZbfdZtGuYVK1wFx1a6hwo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IFERROR(__xludf.DUMMYFUNCTION("""COMPUTED_VALUE"""),"1u7slY1ab8D2XeXM53lB7bN6QKwuw3IYd0Uezr9zLB70")</f>
        <v>1u7slY1ab8D2XeXM53lB7bN6QKwuw3IYd0Uezr9zLB70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IFERROR(__xludf.DUMMYFUNCTION("""COMPUTED_VALUE"""),"1l5zTPCkdGLabcDuCPPiDIGH_EGN_2xuth7vkyyaCe9E")</f>
        <v>1l5zTPCkdGLabcDuCPPiDIGH_EGN_2xuth7vkyyaCe9E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IFERROR(__xludf.DUMMYFUNCTION("""COMPUTED_VALUE"""),"1NMIbm0wDsBqrDHS0Aoctj5TYT8IIncVXBEr7jRlTKX8")</f>
        <v>1NMIbm0wDsBqrDHS0Aoctj5TYT8IIncVXBEr7jRlTKX8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IFERROR(__xludf.DUMMYFUNCTION("""COMPUTED_VALUE"""),"1x3CBu_5bjY_MnaanR3C8FZLu7-9IkDv52367LRcP7lY")</f>
        <v>1x3CBu_5bjY_MnaanR3C8FZLu7-9IkDv52367LRcP7lY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IFERROR(__xludf.DUMMYFUNCTION("""COMPUTED_VALUE"""),"1moqW_Avii95AiWD080nTWw5DOlaf1npl8FoxJYdN1CQ")</f>
        <v>1moqW_Avii95AiWD080nTWw5DOlaf1npl8FoxJYdN1CQ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IFERROR(__xludf.DUMMYFUNCTION("""COMPUTED_VALUE"""),"1f-tHMdwxYv41Vtbgl8usVHR6_T_uXK9iU0Jvj6byf54")</f>
        <v>1f-tHMdwxYv41Vtbgl8usVHR6_T_uXK9iU0Jvj6byf54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IFERROR(__xludf.DUMMYFUNCTION("""COMPUTED_VALUE"""),"1v7x__YSHVrzfUigPB6cJL0n6H5tfL-dG0jQDSNwK77w")</f>
        <v>1v7x__YSHVrzfUigPB6cJL0n6H5tfL-dG0jQDSNwK77w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IFERROR(__xludf.DUMMYFUNCTION("""COMPUTED_VALUE"""),"1C_WPdfJ5Y6XiI6PQIaQC_kYRA1cyB4pILSmTaQXBjt4")</f>
        <v>1C_WPdfJ5Y6XiI6PQIaQC_kYRA1cyB4pILSmTaQXBjt4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IFERROR(__xludf.DUMMYFUNCTION("""COMPUTED_VALUE"""),"1W8cpbOsbEL0O66_8nq5ID6snA8EoJQojgueScqnJeds")</f>
        <v>1W8cpbOsbEL0O66_8nq5ID6snA8EoJQojgueScqnJeds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IFERROR(__xludf.DUMMYFUNCTION("""COMPUTED_VALUE"""),"1S-1Yd6wHzPfXlddWYHNVJ59ndiC9mBcoDpJ24XG_wEs")</f>
        <v>1S-1Yd6wHzPfXlddWYHNVJ59ndiC9mBcoDpJ24XG_wEs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IFERROR(__xludf.DUMMYFUNCTION("""COMPUTED_VALUE"""),"1_NT03sUSvuLe4_tGLyzUnjVgc0h0wP1QyFRqz5J0AQs")</f>
        <v>1_NT03sUSvuLe4_tGLyzUnjVgc0h0wP1QyFRqz5J0AQs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IFERROR(__xludf.DUMMYFUNCTION("""COMPUTED_VALUE"""),"1NsF8mN2Zlx2L1ZUQo3cwyNVoYdFbhQ1U5KK4lQjqyj8")</f>
        <v>1NsF8mN2Zlx2L1ZUQo3cwyNVoYdFbhQ1U5KK4lQjqyj8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IFERROR(__xludf.DUMMYFUNCTION("""COMPUTED_VALUE"""),"1TAvTYpcE3pQc_4LWO3rdsALNXiihqGoq5C7VuUqnyGI")</f>
        <v>1TAvTYpcE3pQc_4LWO3rdsALNXiihqGoq5C7VuUqnyGI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IFERROR(__xludf.DUMMYFUNCTION("""COMPUTED_VALUE"""),"1n5b-erBJJNMUcxydpftL5PGG7ARm-uGjDncl8Qx2sLo")</f>
        <v>1n5b-erBJJNMUcxydpftL5PGG7ARm-uGjDncl8Qx2sLo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IFERROR(__xludf.DUMMYFUNCTION("""COMPUTED_VALUE"""),"1oZ2JeM-TEXzpPQK7aQoL3fUJwhe037lPXwowIAhJJXM")</f>
        <v>1oZ2JeM-TEXzpPQK7aQoL3fUJwhe037lPXwowIAhJJXM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IFERROR(__xludf.DUMMYFUNCTION("""COMPUTED_VALUE"""),"1n66-ge1M-RYaB4fzMAeKVE4b9J93Ec6FE8prEnrbrUY")</f>
        <v>1n66-ge1M-RYaB4fzMAeKVE4b9J93Ec6FE8prEnrbrUY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IFERROR(__xludf.DUMMYFUNCTION("""COMPUTED_VALUE"""),"147WeBw6VRRHCzDjjEVkUG93H71mx9_6u7JDqSzExZfQ")</f>
        <v>147WeBw6VRRHCzDjjEVkUG93H71mx9_6u7JDqSzExZfQ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IFERROR(__xludf.DUMMYFUNCTION("""COMPUTED_VALUE"""),"1FObt5ouO_Fd-1C35ZJOB1hwrDeISMD1uqyNw6Muc52E")</f>
        <v>1FObt5ouO_Fd-1C35ZJOB1hwrDeISMD1uqyNw6Muc52E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IFERROR(__xludf.DUMMYFUNCTION("""COMPUTED_VALUE"""),"1awz_EN5JaDo7-X8Cf7oYlxG4f8ZrsYEG1oL1QBkQb8o")</f>
        <v>1awz_EN5JaDo7-X8Cf7oYlxG4f8ZrsYEG1oL1QBkQb8o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IFERROR(__xludf.DUMMYFUNCTION("""COMPUTED_VALUE"""),"1txP1PJigV4vdVbKFMO3GMi5BhiLWeUOneGt9yA7DphY")</f>
        <v>1txP1PJigV4vdVbKFMO3GMi5BhiLWeUOneGt9yA7DphY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IFERROR(__xludf.DUMMYFUNCTION("""COMPUTED_VALUE"""),"1if6Ixw7Wo72s71jewq4kGd3bUrRBHD3uxb6oVEU8m4M")</f>
        <v>1if6Ixw7Wo72s71jewq4kGd3bUrRBHD3uxb6oVEU8m4M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IFERROR(__xludf.DUMMYFUNCTION("""COMPUTED_VALUE"""),"1j0_OFQL6cAngAn_f8e2c9s48kIx6T1DMB1HtKzhVgxM")</f>
        <v>1j0_OFQL6cAngAn_f8e2c9s48kIx6T1DMB1HtKzhVgxM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IFERROR(__xludf.DUMMYFUNCTION("""COMPUTED_VALUE"""),"1uTXnR3b0dBBJ12poieg819Sw5X7A31DAefoPTF8HvS8")</f>
        <v>1uTXnR3b0dBBJ12poieg819Sw5X7A31DAefoPTF8HvS8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IFERROR(__xludf.DUMMYFUNCTION("""COMPUTED_VALUE"""),"1bA6aaAVKiSAEQCN3NhxCUAsXZXF9JFxOfu0VhfUugtE")</f>
        <v>1bA6aaAVKiSAEQCN3NhxCUAsXZXF9JFxOfu0VhfUugtE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IFERROR(__xludf.DUMMYFUNCTION("""COMPUTED_VALUE"""),"1kqk3qr2A_0HgAfwasm4ONZYUjKRgUd9wRoNg3NH_CQs")</f>
        <v>1kqk3qr2A_0HgAfwasm4ONZYUjKRgUd9wRoNg3NH_CQs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IFERROR(__xludf.DUMMYFUNCTION("""COMPUTED_VALUE"""),"1ZgJYe9feHH1JnnrqSkw7W1JoIKEcT_NnlnQtzP0MXSc")</f>
        <v>1ZgJYe9feHH1JnnrqSkw7W1JoIKEcT_NnlnQtzP0MXSc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IFERROR(__xludf.DUMMYFUNCTION("""COMPUTED_VALUE"""),"1Ch8ljdOLO5qpDv9DppYdH0GSLe_dObZX8Z4007tRKtk")</f>
        <v>1Ch8ljdOLO5qpDv9DppYdH0GSLe_dObZX8Z4007tRKtk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IFERROR(__xludf.DUMMYFUNCTION("""COMPUTED_VALUE"""),"1Y7iTcrm1lcqAexGSYgLsLlCOYw223ra4LBG0yn-I2bY")</f>
        <v>1Y7iTcrm1lcqAexGSYgLsLlCOYw223ra4LBG0yn-I2bY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IFERROR(__xludf.DUMMYFUNCTION("""COMPUTED_VALUE"""),"1L2S89q_MaWf4uZDOO7k9zl1iHulikAZk9KJ78CUobIc")</f>
        <v>1L2S89q_MaWf4uZDOO7k9zl1iHulikAZk9KJ78CUobIc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IFERROR(__xludf.DUMMYFUNCTION("""COMPUTED_VALUE"""),"1r8av4OWUDi-9UDzyWe0DRs-rlCS90W4iepyl32hgsu0")</f>
        <v>1r8av4OWUDi-9UDzyWe0DRs-rlCS90W4iepyl32hgsu0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IFERROR(__xludf.DUMMYFUNCTION("""COMPUTED_VALUE"""),"1L4oOTgickdBKDs0CYP74xqSVxT5XAemsQon_0M_wIY4")</f>
        <v>1L4oOTgickdBKDs0CYP74xqSVxT5XAemsQon_0M_wIY4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IFERROR(__xludf.DUMMYFUNCTION("""COMPUTED_VALUE"""),"1wVhrU78CBgt-9aXoQMxmex2szYfOWevs1reuZQwcSlU")</f>
        <v>1wVhrU78CBgt-9aXoQMxmex2szYfOWevs1reuZQwcSlU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IFERROR(__xludf.DUMMYFUNCTION("""COMPUTED_VALUE"""),"1h8Riwp0PTUKBHWNb4d5NQ9Foe2ig0mS3tu7vxq74C6A")</f>
        <v>1h8Riwp0PTUKBHWNb4d5NQ9Foe2ig0mS3tu7vxq74C6A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IFERROR(__xludf.DUMMYFUNCTION("""COMPUTED_VALUE"""),"1_1ie9PGDigjyhcBrTgIzPawnFkZMYxHtKWtsPu9B_3c")</f>
        <v>1_1ie9PGDigjyhcBrTgIzPawnFkZMYxHtKWtsPu9B_3c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IFERROR(__xludf.DUMMYFUNCTION("""COMPUTED_VALUE"""),"1KiRs-Mdk_DhlHcSNlHArhVLFJzMKzKu1kat_TZ71jkQ")</f>
        <v>1KiRs-Mdk_DhlHcSNlHArhVLFJzMKzKu1kat_TZ71jkQ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IFERROR(__xludf.DUMMYFUNCTION("""COMPUTED_VALUE"""),"1pIJnQCXHxy82ZF8KgUVRHcagp8aZHkkagJfnU-cLYRo")</f>
        <v>1pIJnQCXHxy82ZF8KgUVRHcagp8aZHkkagJfnU-cLYRo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IFERROR(__xludf.DUMMYFUNCTION("""COMPUTED_VALUE"""),"1wqhiyeuGFjr-d-douLAdeAoIl9zOMj0hG7J2an8e7EA")</f>
        <v>1wqhiyeuGFjr-d-douLAdeAoIl9zOMj0hG7J2an8e7EA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IFERROR(__xludf.DUMMYFUNCTION("""COMPUTED_VALUE"""),"1yTjsXnh8twOBshtRTYPboRkkXpXN8T2vC7KUsimL2Ec")</f>
        <v>1yTjsXnh8twOBshtRTYPboRkkXpXN8T2vC7KUsimL2Ec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IFERROR(__xludf.DUMMYFUNCTION("""COMPUTED_VALUE"""),"14bzYQBiZIs2a3lfzwT4TROCDnXpt72UALcJjBTZdEAk")</f>
        <v>14bzYQBiZIs2a3lfzwT4TROCDnXpt72UALcJjBTZdEAk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IFERROR(__xludf.DUMMYFUNCTION("""COMPUTED_VALUE"""),"13mmaXGk97gVSQ6zDXJnzFolB9Xj-Wrq5OulWkf9iQjA")</f>
        <v>13mmaXGk97gVSQ6zDXJnzFolB9Xj-Wrq5OulWkf9iQjA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IFERROR(__xludf.DUMMYFUNCTION("""COMPUTED_VALUE"""),"1qlSfNvUHenegqRyv9ZFeKA5gN-iwbykaaRHcYfx0vR8")</f>
        <v>1qlSfNvUHenegqRyv9ZFeKA5gN-iwbykaaRHcYfx0vR8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IFERROR(__xludf.DUMMYFUNCTION("""COMPUTED_VALUE"""),"10wpUsik3kWUK9FdBcY3wa_rIK92CGwBAPxPW94n8RI0")</f>
        <v>10wpUsik3kWUK9FdBcY3wa_rIK92CGwBAPxPW94n8RI0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IFERROR(__xludf.DUMMYFUNCTION("""COMPUTED_VALUE"""),"1WMfqGkZABhjGZzyIgr3hBp-ZTraQiBbIVqdAP3KAOGo")</f>
        <v>1WMfqGkZABhjGZzyIgr3hBp-ZTraQiBbIVqdAP3KAOGo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IFERROR(__xludf.DUMMYFUNCTION("""COMPUTED_VALUE"""),"1PWZIcowZzyQZ43yBopMfNLylAaq2RlmTxS0-Y7SK0KI")</f>
        <v>1PWZIcowZzyQZ43yBopMfNLylAaq2RlmTxS0-Y7SK0KI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IFERROR(__xludf.DUMMYFUNCTION("""COMPUTED_VALUE"""),"1K-Bl5yG-Q_sgro0guK9BOk2wSxZk_7rHH7Lj7Qp_H2U")</f>
        <v>1K-Bl5yG-Q_sgro0guK9BOk2wSxZk_7rHH7Lj7Qp_H2U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IFERROR(__xludf.DUMMYFUNCTION("""COMPUTED_VALUE"""),"1iKNzN1CKH1HHjrGq7o2kZo9f76Pk7b7qYuTxqOHQZzE")</f>
        <v>1iKNzN1CKH1HHjrGq7o2kZo9f76Pk7b7qYuTxqOHQZzE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IFERROR(__xludf.DUMMYFUNCTION("""COMPUTED_VALUE"""),"1lo4DMzd6cjmA4-4d7dLNuKsGBW61BpeW2eCf7oK-9og")</f>
        <v>1lo4DMzd6cjmA4-4d7dLNuKsGBW61BpeW2eCf7oK-9og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IFERROR(__xludf.DUMMYFUNCTION("""COMPUTED_VALUE"""),"1pgA3lsv5kfGNh9RHELfgbcW6XvdfbOLjdTg2dR5EYAU")</f>
        <v>1pgA3lsv5kfGNh9RHELfgbcW6XvdfbOLjdTg2dR5EYAU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IFERROR(__xludf.DUMMYFUNCTION("""COMPUTED_VALUE"""),"18xKZpSz1Db7JKLK-skQuvwxZf_NdSC71Y9j-EFPSnbQ")</f>
        <v>18xKZpSz1Db7JKLK-skQuvwxZf_NdSC71Y9j-EFPSnbQ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IFERROR(__xludf.DUMMYFUNCTION("""COMPUTED_VALUE"""),"1-oDkMaOdHN8EaXZIPTt5fr6PNuottX0kRXE8vmlhi0M")</f>
        <v>1-oDkMaOdHN8EaXZIPTt5fr6PNuottX0kRXE8vmlhi0M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IFERROR(__xludf.DUMMYFUNCTION("""COMPUTED_VALUE"""),"11lQbu7XGSf0C5u04fqQXzcjWfa8v7VnskbBQpcCwy_o")</f>
        <v>11lQbu7XGSf0C5u04fqQXzcjWfa8v7VnskbBQpcCwy_o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IFERROR(__xludf.DUMMYFUNCTION("""COMPUTED_VALUE"""),"1RZrP677SP63N91bZw2_Jkjen0Emt_iknfC5GljLySfA")</f>
        <v>1RZrP677SP63N91bZw2_Jkjen0Emt_iknfC5GljLySfA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IFERROR(__xludf.DUMMYFUNCTION("""COMPUTED_VALUE"""),"1MnHnb-l2FXZIx21V59Pn6jwBL3jngTBLnGBTJFgQ-Ac")</f>
        <v>1MnHnb-l2FXZIx21V59Pn6jwBL3jngTBLnGBTJFgQ-Ac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IFERROR(__xludf.DUMMYFUNCTION("""COMPUTED_VALUE"""),"1igxH2dPQGq9u7PuOMV2GHwxFfHVL1KzVtINO6ZbdDOk")</f>
        <v>1igxH2dPQGq9u7PuOMV2GHwxFfHVL1KzVtINO6ZbdDOk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IFERROR(__xludf.DUMMYFUNCTION("""COMPUTED_VALUE"""),"1_Bm_U_dCrJ0O95Ye84SVu3C35Bm-_zVESf68LNiMCZg")</f>
        <v>1_Bm_U_dCrJ0O95Ye84SVu3C35Bm-_zVESf68LNiMCZg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IFERROR(__xludf.DUMMYFUNCTION("""COMPUTED_VALUE"""),"1k3a_zG703e90jYbfBz_iHma7miT_nDAo2-jitint-XA")</f>
        <v>1k3a_zG703e90jYbfBz_iHma7miT_nDAo2-jitint-XA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IFERROR(__xludf.DUMMYFUNCTION("""COMPUTED_VALUE"""),"1MfgZTAXl6-DPer9VdHbo42n6sPuMFimLowm4iDrtYBI")</f>
        <v>1MfgZTAXl6-DPer9VdHbo42n6sPuMFimLowm4iDrtYBI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IFERROR(__xludf.DUMMYFUNCTION("""COMPUTED_VALUE"""),"1TkGJ89cY994clB-HD-UJNYqO5eDGSgcM1fC_LiASQLE")</f>
        <v>1TkGJ89cY994clB-HD-UJNYqO5eDGSgcM1fC_LiASQLE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IFERROR(__xludf.DUMMYFUNCTION("""COMPUTED_VALUE"""),"1yHP4_99wm3NtNEt8v0-IjBSsqD_IeK0TrVbe411pPPY")</f>
        <v>1yHP4_99wm3NtNEt8v0-IjBSsqD_IeK0TrVbe411pPPY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IFERROR(__xludf.DUMMYFUNCTION("""COMPUTED_VALUE"""),"1824j5jyCdsYtwCFE1rcBhAGlXsh5bjIsayUXkGUuMpA")</f>
        <v>1824j5jyCdsYtwCFE1rcBhAGlXsh5bjIsayUXkGUuMpA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IFERROR(__xludf.DUMMYFUNCTION("""COMPUTED_VALUE"""),"1yei-AbmUpfNZz4VT2JbIDaKDIJzO7hZwvaUFib1oTyU")</f>
        <v>1yei-AbmUpfNZz4VT2JbIDaKDIJzO7hZwvaUFib1oTyU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IFERROR(__xludf.DUMMYFUNCTION("""COMPUTED_VALUE"""),"1u1w8ItMzM1YYZrH2R4RqLkUrIog6pmIGeXUsy-3e_ZA")</f>
        <v>1u1w8ItMzM1YYZrH2R4RqLkUrIog6pmIGeXUsy-3e_ZA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IFERROR(__xludf.DUMMYFUNCTION("""COMPUTED_VALUE"""),"1EbdeLHTIKN4RoLAyfGnlPPL3QVcvg2-CXPpGl0RGN44")</f>
        <v>1EbdeLHTIKN4RoLAyfGnlPPL3QVcvg2-CXPpGl0RGN44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IFERROR(__xludf.DUMMYFUNCTION("""COMPUTED_VALUE"""),"1pJFZ4nCBnJDUZQAqiaY6J68G36x1oN7JuKzRtRA-0zc")</f>
        <v>1pJFZ4nCBnJDUZQAqiaY6J68G36x1oN7JuKzRtRA-0zc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IFERROR(__xludf.DUMMYFUNCTION("""COMPUTED_VALUE"""),"1_DLMzeonBUhfhJl5AJqMD8mt1Z4T5mgBI7fF7cbQFWs")</f>
        <v>1_DLMzeonBUhfhJl5AJqMD8mt1Z4T5mgBI7fF7cbQFWs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IFERROR(__xludf.DUMMYFUNCTION("""COMPUTED_VALUE"""),"1GRj9e94k8ieHylVePoJ-nbC4owLOnPd7BKuaFvCouaI")</f>
        <v>1GRj9e94k8ieHylVePoJ-nbC4owLOnPd7BKuaFvCouaI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IFERROR(__xludf.DUMMYFUNCTION("""COMPUTED_VALUE"""),"1e52wyc2ELTM7QWL7k_ZT3-JQQ8Kf4qrLMW0R_fjW7Qc")</f>
        <v>1e52wyc2ELTM7QWL7k_ZT3-JQQ8Kf4qrLMW0R_fjW7Qc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IFERROR(__xludf.DUMMYFUNCTION("""COMPUTED_VALUE"""),"1kwb8DPg_4i30YSR_tr8LD3r1jIWVTgBzMVprGkITggA")</f>
        <v>1kwb8DPg_4i30YSR_tr8LD3r1jIWVTgBzMVprGkITggA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IFERROR(__xludf.DUMMYFUNCTION("""COMPUTED_VALUE"""),"1wbgmqX9Wp9SZWfRgJAummbN_5spSjp-tG3G1lreoQKk")</f>
        <v>1wbgmqX9Wp9SZWfRgJAummbN_5spSjp-tG3G1lreoQKk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IFERROR(__xludf.DUMMYFUNCTION("""COMPUTED_VALUE"""),"1FQlM2ubifDakZ2t9YEosDOTBdf06YZcr9_nTRuQDt2Q")</f>
        <v>1FQlM2ubifDakZ2t9YEosDOTBdf06YZcr9_nTRuQDt2Q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IFERROR(__xludf.DUMMYFUNCTION("""COMPUTED_VALUE"""),"1iacfEsOlPHPGZ6nQjKZ7USkjh5EdozTXI9wUlBmEE4k")</f>
        <v>1iacfEsOlPHPGZ6nQjKZ7USkjh5EdozTXI9wUlBmEE4k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IFERROR(__xludf.DUMMYFUNCTION("""COMPUTED_VALUE"""),"13sqL2ynaexfP9lWe37uE-qHPdf1jgMi_dGKwnz6usMQ")</f>
        <v>13sqL2ynaexfP9lWe37uE-qHPdf1jgMi_dGKwnz6usMQ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IFERROR(__xludf.DUMMYFUNCTION("""COMPUTED_VALUE"""),"1X_Cc-k1Zsfie7xcaz_9nQ2vWDlJ47gL_5qoTESaishI")</f>
        <v>1X_Cc-k1Zsfie7xcaz_9nQ2vWDlJ47gL_5qoTESaishI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IFERROR(__xludf.DUMMYFUNCTION("""COMPUTED_VALUE"""),"1ZvOomDY73mDwy_2FkmlYUkc7eFVBtku_M6XrhU6zAMQ")</f>
        <v>1ZvOomDY73mDwy_2FkmlYUkc7eFVBtku_M6XrhU6zAMQ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IFERROR(__xludf.DUMMYFUNCTION("""COMPUTED_VALUE"""),"1lFz3FRcCczoccbDWuOrmoeTNI3Wt72tV40C0B_Fdulo")</f>
        <v>1lFz3FRcCczoccbDWuOrmoeTNI3Wt72tV40C0B_Fdulo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IFERROR(__xludf.DUMMYFUNCTION("""COMPUTED_VALUE"""),"1vJUuWNjZCta9Nc4XEHCHO5jwABRogxaKkvSksrCc1y4")</f>
        <v>1vJUuWNjZCta9Nc4XEHCHO5jwABRogxaKkvSksrCc1y4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IFERROR(__xludf.DUMMYFUNCTION("""COMPUTED_VALUE"""),"1AMJDRnPPFGSypYHzJlk3Nkh0AERQpMOKwpNzmwWYf3k")</f>
        <v>1AMJDRnPPFGSypYHzJlk3Nkh0AERQpMOKwpNzmwWYf3k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IFERROR(__xludf.DUMMYFUNCTION("""COMPUTED_VALUE"""),"1x73ZveKV63dLEGp1JA9RvvtDZiF2PeXvK6rEa4ECUUg")</f>
        <v>1x73ZveKV63dLEGp1JA9RvvtDZiF2PeXvK6rEa4ECUUg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IFERROR(__xludf.DUMMYFUNCTION("""COMPUTED_VALUE"""),"19n2Z-CCAzNZctQndnPqhAilz4AHqd4Hew_NupZSf3AA")</f>
        <v>19n2Z-CCAzNZctQndnPqhAilz4AHqd4Hew_NupZSf3AA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IFERROR(__xludf.DUMMYFUNCTION("""COMPUTED_VALUE"""),"1Lz82jeHUZGtvibY9vO7baLqlJAO5OFAL6yO4JpHFkAo")</f>
        <v>1Lz82jeHUZGtvibY9vO7baLqlJAO5OFAL6yO4JpHFkAo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IFERROR(__xludf.DUMMYFUNCTION("""COMPUTED_VALUE"""),"1AksWVHEmnBxwC-L3YrZrbvNzH0SfJRQe4Dy7NrKt6qU")</f>
        <v>1AksWVHEmnBxwC-L3YrZrbvNzH0SfJRQe4Dy7NrKt6qU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IFERROR(__xludf.DUMMYFUNCTION("""COMPUTED_VALUE"""),"1s4ugOdWq4GlEglv4uvOceAxijOR8vwwy9sfLCQSJsPI")</f>
        <v>1s4ugOdWq4GlEglv4uvOceAxijOR8vwwy9sfLCQSJsPI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IFERROR(__xludf.DUMMYFUNCTION("""COMPUTED_VALUE"""),"1kF8Cp9ixfKWT-O7A_ykr8O24ot4jIuMf7Cny33fw3tE")</f>
        <v>1kF8Cp9ixfKWT-O7A_ykr8O24ot4jIuMf7Cny33fw3tE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IFERROR(__xludf.DUMMYFUNCTION("""COMPUTED_VALUE"""),"1CgwWCnwId8fIOzVPEbCjbP0EmIDkblROsvVu3kqYqG8")</f>
        <v>1CgwWCnwId8fIOzVPEbCjbP0EmIDkblROsvVu3kqYqG8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IFERROR(__xludf.DUMMYFUNCTION("""COMPUTED_VALUE"""),"1LgeTTI9drsJb1V9MtKWU3N5XU-_UpbynXkgneV6bnSU")</f>
        <v>1LgeTTI9drsJb1V9MtKWU3N5XU-_UpbynXkgneV6bnSU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IFERROR(__xludf.DUMMYFUNCTION("""COMPUTED_VALUE"""),"1ICA8c_OKdesVMDcE_s1raBD2JqcZdspbl-jQG5DX7vA")</f>
        <v>1ICA8c_OKdesVMDcE_s1raBD2JqcZdspbl-jQG5DX7vA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IFERROR(__xludf.DUMMYFUNCTION("""COMPUTED_VALUE"""),"1Nend9TmgX0Jkh8tsL--LHqNCMB0QE7KGu0lM4MrvJx8")</f>
        <v>1Nend9TmgX0Jkh8tsL--LHqNCMB0QE7KGu0lM4MrvJx8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IFERROR(__xludf.DUMMYFUNCTION("""COMPUTED_VALUE"""),"1OkFtbYrIDPpC3pMP--6KPjkSbZDpo31jp348DsVbjWk")</f>
        <v>1OkFtbYrIDPpC3pMP--6KPjkSbZDpo31jp348DsVbjWk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IFERROR(__xludf.DUMMYFUNCTION("""COMPUTED_VALUE"""),"1sNOuaTOrp-Ppia2ZUARA48WLB5S-7ja2Q0cjsdZu1cc")</f>
        <v>1sNOuaTOrp-Ppia2ZUARA48WLB5S-7ja2Q0cjsdZu1cc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IFERROR(__xludf.DUMMYFUNCTION("""COMPUTED_VALUE"""),"1SseU888nr5JryggSHE9VBdTiZug_v-cOJmjdm-vO3sQ")</f>
        <v>1SseU888nr5JryggSHE9VBdTiZug_v-cOJmjdm-vO3sQ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IFERROR(__xludf.DUMMYFUNCTION("""COMPUTED_VALUE"""),"1HfizE5szbvAqgcrnlAlRZlGwJnDpLifnRSpo_rNHclE")</f>
        <v>1HfizE5szbvAqgcrnlAlRZlGwJnDpLifnRSpo_rNHclE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IFERROR(__xludf.DUMMYFUNCTION("""COMPUTED_VALUE"""),"18dn1sQFfRDKOAHwu3DueV8YA7DVB7FDzA7y_am44ADk")</f>
        <v>18dn1sQFfRDKOAHwu3DueV8YA7DVB7FDzA7y_am44ADk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IFERROR(__xludf.DUMMYFUNCTION("""COMPUTED_VALUE"""),"1ochAcIa6jxqrTKXkyAIMtaQp8GfBZfq8KAPLV0y7yvU")</f>
        <v>1ochAcIa6jxqrTKXkyAIMtaQp8GfBZfq8KAPLV0y7yvU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IFERROR(__xludf.DUMMYFUNCTION("""COMPUTED_VALUE"""),"1PUqbTX2rRI0cNPNL7NJ1fKh-Jy0Q9mQVBO0nXiQtUlc")</f>
        <v>1PUqbTX2rRI0cNPNL7NJ1fKh-Jy0Q9mQVBO0nXiQtUlc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IFERROR(__xludf.DUMMYFUNCTION("""COMPUTED_VALUE"""),"1XFWL8Sv_tc7--6q-PVtJAyjWEb-HcxsbKKtSdB3jRJY")</f>
        <v>1XFWL8Sv_tc7--6q-PVtJAyjWEb-HcxsbKKtSdB3jRJY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IFERROR(__xludf.DUMMYFUNCTION("""COMPUTED_VALUE"""),"1rdEWSy_MOHkYaq5akux-7N0yuwWEIIprojEJYWvhiRo")</f>
        <v>1rdEWSy_MOHkYaq5akux-7N0yuwWEIIprojEJYWvhiRo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IFERROR(__xludf.DUMMYFUNCTION("""COMPUTED_VALUE"""),"1h5l007iy5WesxdhwZzCT3YK9aNRB6rnqf82fKK-qWhA")</f>
        <v>1h5l007iy5WesxdhwZzCT3YK9aNRB6rnqf82fKK-qWhA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IFERROR(__xludf.DUMMYFUNCTION("""COMPUTED_VALUE"""),"1ixTeJ65ywBUTH41BRto926xFAKoLo3WSj5TxpKyxMCI")</f>
        <v>1ixTeJ65ywBUTH41BRto926xFAKoLo3WSj5TxpKyxMCI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IFERROR(__xludf.DUMMYFUNCTION("""COMPUTED_VALUE"""),"1LE8gxOzR6SvbLuSropjBzTYDDoubnt2wbweARCuf3LU")</f>
        <v>1LE8gxOzR6SvbLuSropjBzTYDDoubnt2wbweARCuf3LU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IFERROR(__xludf.DUMMYFUNCTION("""COMPUTED_VALUE"""),"121YPApuObrizJgYF5sgfQP5hMExkoSYkCPrW-Ew_ldk")</f>
        <v>121YPApuObrizJgYF5sgfQP5hMExkoSYkCPrW-Ew_ldk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IFERROR(__xludf.DUMMYFUNCTION("""COMPUTED_VALUE"""),"10LRFkXyhAzpYLr41wTB8e5wmi1IZIGFBMZPeDp64XK0")</f>
        <v>10LRFkXyhAzpYLr41wTB8e5wmi1IZIGFBMZPeDp64XK0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IFERROR(__xludf.DUMMYFUNCTION("""COMPUTED_VALUE"""),"1vJSNFM5zkHc9zBvl1ymJquJpvovmW3E_RSN3pozpWns")</f>
        <v>1vJSNFM5zkHc9zBvl1ymJquJpvovmW3E_RSN3pozpWns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IFERROR(__xludf.DUMMYFUNCTION("""COMPUTED_VALUE"""),"1kNeqOSQLa6o8vkFZaArRKZabtB_GXZBV_Al1s8DHf50")</f>
        <v>1kNeqOSQLa6o8vkFZaArRKZabtB_GXZBV_Al1s8DHf50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IFERROR(__xludf.DUMMYFUNCTION("""COMPUTED_VALUE"""),"1WARVnQ0kPZNSKX8kRaPiqFQVReKwU7ReLEjyOvwThEk")</f>
        <v>1WARVnQ0kPZNSKX8kRaPiqFQVReKwU7ReLEjyOvwThEk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IFERROR(__xludf.DUMMYFUNCTION("""COMPUTED_VALUE"""),"1221yqGeEHt8OWBppipf5Q2xZ7hMYHBO7XKQ1Hp4-_1k")</f>
        <v>1221yqGeEHt8OWBppipf5Q2xZ7hMYHBO7XKQ1Hp4-_1k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IFERROR(__xludf.DUMMYFUNCTION("""COMPUTED_VALUE"""),"1saPHdgxC5QXYmLAufIbglxhQ01_MTtBMgX000SwjhFY")</f>
        <v>1saPHdgxC5QXYmLAufIbglxhQ01_MTtBMgX000SwjhFY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IFERROR(__xludf.DUMMYFUNCTION("""COMPUTED_VALUE"""),"1_EYKIDrS0AWuMJMgbTbeqmEwSkf7_gL_EAGl7D2-Ggk")</f>
        <v>1_EYKIDrS0AWuMJMgbTbeqmEwSkf7_gL_EAGl7D2-Ggk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IFERROR(__xludf.DUMMYFUNCTION("""COMPUTED_VALUE"""),"1cplMQV_xOYFJ8djnU96c9xg2GdJ6on6353kFnCvM4ig")</f>
        <v>1cplMQV_xOYFJ8djnU96c9xg2GdJ6on6353kFnCvM4ig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IFERROR(__xludf.DUMMYFUNCTION("""COMPUTED_VALUE"""),"1ZILedE8lKyjaVDMMusXelzpLvtoQCjqNJqFoXOUTp4I")</f>
        <v>1ZILedE8lKyjaVDMMusXelzpLvtoQCjqNJqFoXOUTp4I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IFERROR(__xludf.DUMMYFUNCTION("""COMPUTED_VALUE"""),"19QWlDxD5eijFqhVbgkdX7QOLXkQ9taESRekiHpQgMcU")</f>
        <v>19QWlDxD5eijFqhVbgkdX7QOLXkQ9taESRekiHpQgMcU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IFERROR(__xludf.DUMMYFUNCTION("""COMPUTED_VALUE"""),"1Baqp1iuVr1x4qDwfwIaTJvW6VzT4ZWfbjwZ_EWPzpzY")</f>
        <v>1Baqp1iuVr1x4qDwfwIaTJvW6VzT4ZWfbjwZ_EWPzpzY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IFERROR(__xludf.DUMMYFUNCTION("""COMPUTED_VALUE"""),"1_lCMnn8iZS0bQEHszxmzf23ats0dIWEEckwO9fjPCeE")</f>
        <v>1_lCMnn8iZS0bQEHszxmzf23ats0dIWEEckwO9fjPCeE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IFERROR(__xludf.DUMMYFUNCTION("""COMPUTED_VALUE"""),"13oTZo0AjsgJNWyNhqVmwouwYywOEGfdiPe94wMNxXqo")</f>
        <v>13oTZo0AjsgJNWyNhqVmwouwYywOEGfdiPe94wMNxXqo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IFERROR(__xludf.DUMMYFUNCTION("""COMPUTED_VALUE"""),"1rucb3CcDlDDXwMhjXDHQWofStRKKouzl7PSb2_F37FA")</f>
        <v>1rucb3CcDlDDXwMhjXDHQWofStRKKouzl7PSb2_F37FA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IFERROR(__xludf.DUMMYFUNCTION("""COMPUTED_VALUE"""),"1dixy47vGD4ZYjt9U_ih3BSiZbzPzvIDLtlafZIpeyC4")</f>
        <v>1dixy47vGD4ZYjt9U_ih3BSiZbzPzvIDLtlafZIpeyC4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IFERROR(__xludf.DUMMYFUNCTION("""COMPUTED_VALUE"""),"1S-6rMK11n-3mFrONpo_U4rlR4O69j6bQAGuGNcrrS6A")</f>
        <v>1S-6rMK11n-3mFrONpo_U4rlR4O69j6bQAGuGNcrrS6A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IFERROR(__xludf.DUMMYFUNCTION("""COMPUTED_VALUE"""),"11nzl66L5rtvJi9vTz487iVKURd3BfoYcknfycWFT-fU")</f>
        <v>11nzl66L5rtvJi9vTz487iVKURd3BfoYcknfycWFT-fU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IFERROR(__xludf.DUMMYFUNCTION("""COMPUTED_VALUE"""),"1dD8vrEBSx_3diJl50IJ7yG6cl8wP386vXzl21YBIEPg")</f>
        <v>1dD8vrEBSx_3diJl50IJ7yG6cl8wP386vXzl21YBIEPg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IFERROR(__xludf.DUMMYFUNCTION("""COMPUTED_VALUE"""),"1MCpJWwFXEogB1VlqUXy1Ww954nX83LPwb4Qy6-fZMp8")</f>
        <v>1MCpJWwFXEogB1VlqUXy1Ww954nX83LPwb4Qy6-fZMp8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IFERROR(__xludf.DUMMYFUNCTION("""COMPUTED_VALUE"""),"1gKeBaYxaZTHXY5r3gp7mJKZhpLEFv3B0eTcgmwO2faY")</f>
        <v>1gKeBaYxaZTHXY5r3gp7mJKZhpLEFv3B0eTcgmwO2faY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IFERROR(__xludf.DUMMYFUNCTION("""COMPUTED_VALUE"""),"1gjchR0Aowyhj6YMJ5EMxZmG6NvilqGkSR93seXN-MEo")</f>
        <v>1gjchR0Aowyhj6YMJ5EMxZmG6NvilqGkSR93seXN-MEo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IFERROR(__xludf.DUMMYFUNCTION("""COMPUTED_VALUE"""),"1v_Yhw10id_6Cs6P4bR6iDeu8RDRjtyjgz19lxjEw6Ng")</f>
        <v>1v_Yhw10id_6Cs6P4bR6iDeu8RDRjtyjgz19lxjEw6Ng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IFERROR(__xludf.DUMMYFUNCTION("""COMPUTED_VALUE"""),"1Mk2JLd9CmSbDVOmTJu58VWjrwhxNKoopJHemupq4qBs")</f>
        <v>1Mk2JLd9CmSbDVOmTJu58VWjrwhxNKoopJHemupq4qBs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IFERROR(__xludf.DUMMYFUNCTION("""COMPUTED_VALUE"""),"118wRv0r1kNYT6nexs-UFGKd_eWq769gwdBDpcAfrJMc")</f>
        <v>118wRv0r1kNYT6nexs-UFGKd_eWq769gwdBDpcAfrJMc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IFERROR(__xludf.DUMMYFUNCTION("""COMPUTED_VALUE"""),"1SsqNYuLQYnAQojY1ScqgFlAVNPt1c0Du5CgtRfS4XTs")</f>
        <v>1SsqNYuLQYnAQojY1ScqgFlAVNPt1c0Du5CgtRfS4XTs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IFERROR(__xludf.DUMMYFUNCTION("""COMPUTED_VALUE"""),"1nWJ7MmdctU6UHdtDMBx4cO0Za1AVHgWqATvU2HaIrN0")</f>
        <v>1nWJ7MmdctU6UHdtDMBx4cO0Za1AVHgWqATvU2HaIrN0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IFERROR(__xludf.DUMMYFUNCTION("""COMPUTED_VALUE"""),"1XEkR9NvAEC2bh6wfHaqLzZiNwp5p6N_DuThzwLCpi_k")</f>
        <v>1XEkR9NvAEC2bh6wfHaqLzZiNwp5p6N_DuThzwLCpi_k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IFERROR(__xludf.DUMMYFUNCTION("""COMPUTED_VALUE"""),"1wa6cXAbpdMTz-hsF4yUayu1Tnpnl9Kbq__2Vi33WjNM")</f>
        <v>1wa6cXAbpdMTz-hsF4yUayu1Tnpnl9Kbq__2Vi33WjNM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IFERROR(__xludf.DUMMYFUNCTION("""COMPUTED_VALUE"""),"1_rVRnADrf7Ggj_HNj9UdEOl7VoPKVA5LDHVnB3Llwac")</f>
        <v>1_rVRnADrf7Ggj_HNj9UdEOl7VoPKVA5LDHVnB3Llwac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IFERROR(__xludf.DUMMYFUNCTION("""COMPUTED_VALUE"""),"1v9DEhh9RUUR50m2cY_9XHSOZSpjev0D_FC7YxL6Dx-M")</f>
        <v>1v9DEhh9RUUR50m2cY_9XHSOZSpjev0D_FC7YxL6Dx-M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IFERROR(__xludf.DUMMYFUNCTION("""COMPUTED_VALUE"""),"1_l1dXRaSvBu8xSpL_0LuTGDpZT2uwv7HrTTqPpX1zh0")</f>
        <v>1_l1dXRaSvBu8xSpL_0LuTGDpZT2uwv7HrTTqPpX1zh0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IFERROR(__xludf.DUMMYFUNCTION("""COMPUTED_VALUE"""),"1bukvmw7uDn5EWU749u99t380wnpilFiwB3NEfjqNUko")</f>
        <v>1bukvmw7uDn5EWU749u99t380wnpilFiwB3NEfjqNUko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IFERROR(__xludf.DUMMYFUNCTION("""COMPUTED_VALUE"""),"1Fv-QPc8yv7ZaNdT1FlDCX7eIaQQMAYX7KS5-P986RCQ")</f>
        <v>1Fv-QPc8yv7ZaNdT1FlDCX7eIaQQMAYX7KS5-P986RCQ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IFERROR(__xludf.DUMMYFUNCTION("""COMPUTED_VALUE"""),"1lb3zBRstb1VKpx0rM4A2DDz_IQHBTzL0OUyXXa4H2AU")</f>
        <v>1lb3zBRstb1VKpx0rM4A2DDz_IQHBTzL0OUyXXa4H2AU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IFERROR(__xludf.DUMMYFUNCTION("""COMPUTED_VALUE"""),"1EhWPzRJ5WEwpWzc-SX3LVcLgYlPDIKzkNS-LD2bNahk")</f>
        <v>1EhWPzRJ5WEwpWzc-SX3LVcLgYlPDIKzkNS-LD2bNahk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IFERROR(__xludf.DUMMYFUNCTION("""COMPUTED_VALUE"""),"1vnD8kKYEQArpqSXLRpqKdW0bWfXfMAye26LmcRtOGI4")</f>
        <v>1vnD8kKYEQArpqSXLRpqKdW0bWfXfMAye26LmcRtOGI4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IFERROR(__xludf.DUMMYFUNCTION("""COMPUTED_VALUE"""),"1xency978Yhb2ZeNxG-Gp8xcJ8QjKX9kP348vEmQ2gwA")</f>
        <v>1xency978Yhb2ZeNxG-Gp8xcJ8QjKX9kP348vEmQ2gwA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IFERROR(__xludf.DUMMYFUNCTION("""COMPUTED_VALUE"""),"1qPMFAgMRzEYcCWAk5IayLOH_U1htslpfkeJMVPWbpLQ")</f>
        <v>1qPMFAgMRzEYcCWAk5IayLOH_U1htslpfkeJMVPWbpLQ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IFERROR(__xludf.DUMMYFUNCTION("""COMPUTED_VALUE"""),"1KIH7eWcCPPCZqRVbqOvdvQQatjP_INfvJUbzjGTz7fE")</f>
        <v>1KIH7eWcCPPCZqRVbqOvdvQQatjP_INfvJUbzjGTz7fE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IFERROR(__xludf.DUMMYFUNCTION("""COMPUTED_VALUE"""),"11KuCDI7q37RrZjNhVRB_sRU4JrklHajDN-nvioCXIow")</f>
        <v>11KuCDI7q37RrZjNhVRB_sRU4JrklHajDN-nvioCXIow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IFERROR(__xludf.DUMMYFUNCTION("""COMPUTED_VALUE"""),"1tHuAZIaBkKFsAt4wQU_f2q5uJEGZ6DbWQnO08Rx4g5Y")</f>
        <v>1tHuAZIaBkKFsAt4wQU_f2q5uJEGZ6DbWQnO08Rx4g5Y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IFERROR(__xludf.DUMMYFUNCTION("""COMPUTED_VALUE"""),"1LloNg0BgixU9tpWx4HUT43bl1SpVE4381HnFlsajvaQ")</f>
        <v>1LloNg0BgixU9tpWx4HUT43bl1SpVE4381HnFlsajvaQ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IFERROR(__xludf.DUMMYFUNCTION("""COMPUTED_VALUE"""),"1C0AkzcituMMrkQqJg0M_n6cswWPjROFn0jqkTPCHfis")</f>
        <v>1C0AkzcituMMrkQqJg0M_n6cswWPjROFn0jqkTPCHfis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IFERROR(__xludf.DUMMYFUNCTION("""COMPUTED_VALUE"""),"1WOYWuhLyuq1ul6GF5dWAdvSkpKBaWmcsEY0pPRgeOWM")</f>
        <v>1WOYWuhLyuq1ul6GF5dWAdvSkpKBaWmcsEY0pPRgeOWM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IFERROR(__xludf.DUMMYFUNCTION("""COMPUTED_VALUE"""),"1e9Xd2rI7lHFWIFLmRoe5LtT9y4BSPW6sfCjWP0lcVso")</f>
        <v>1e9Xd2rI7lHFWIFLmRoe5LtT9y4BSPW6sfCjWP0lcVso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IFERROR(__xludf.DUMMYFUNCTION("""COMPUTED_VALUE"""),"1X0RghwSavvuWnxK9psKDA7-qI86K-IaBKRJ1fVYnJbY")</f>
        <v>1X0RghwSavvuWnxK9psKDA7-qI86K-IaBKRJ1fVYnJbY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IFERROR(__xludf.DUMMYFUNCTION("""COMPUTED_VALUE"""),"1nlqDVTvG9tGHVZU_R5Kpe2ScGFiP2pODIjUgp62eOcg")</f>
        <v>1nlqDVTvG9tGHVZU_R5Kpe2ScGFiP2pODIjUgp62eOcg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IFERROR(__xludf.DUMMYFUNCTION("""COMPUTED_VALUE"""),"1td6xh2jOVJ_tOP88gOQ7VzA7zC3W0ZUyud3q5jhH1eM")</f>
        <v>1td6xh2jOVJ_tOP88gOQ7VzA7zC3W0ZUyud3q5jhH1eM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IFERROR(__xludf.DUMMYFUNCTION("""COMPUTED_VALUE"""),"11IOPX3JerrbITJGj2KKdtGuSCn7wqoda4D14yJors8g")</f>
        <v>11IOPX3JerrbITJGj2KKdtGuSCn7wqoda4D14yJors8g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IFERROR(__xludf.DUMMYFUNCTION("""COMPUTED_VALUE"""),"10pZ09xnUx2pqa5QZzEljxvSOWUoO4MpFFlj3IgHixAY")</f>
        <v>10pZ09xnUx2pqa5QZzEljxvSOWUoO4MpFFlj3IgHixAY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IFERROR(__xludf.DUMMYFUNCTION("""COMPUTED_VALUE"""),"1lLMwkGATnotz4Fwa-o2i_-buFLFRD1fPDjBRCRge2g8")</f>
        <v>1lLMwkGATnotz4Fwa-o2i_-buFLFRD1fPDjBRCRge2g8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IFERROR(__xludf.DUMMYFUNCTION("""COMPUTED_VALUE"""),"1AvL03tSx1mQR9FO4i7ta-0KC1RPfLKkELFYsFU7pHz0")</f>
        <v>1AvL03tSx1mQR9FO4i7ta-0KC1RPfLKkELFYsFU7pHz0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IFERROR(__xludf.DUMMYFUNCTION("""COMPUTED_VALUE"""),"11KuCDI7q37RrZjNhVRB_sRU4JrklHajDN-nvioCXIow")</f>
        <v>11KuCDI7q37RrZjNhVRB_sRU4JrklHajDN-nvioCXIow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IFERROR(__xludf.DUMMYFUNCTION("""COMPUTED_VALUE"""),"1UibESJzXseK9_-c9HjMbuHTeklThYekhSZ72rmoM1T8")</f>
        <v>1UibESJzXseK9_-c9HjMbuHTeklThYekhSZ72rmoM1T8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IFERROR(__xludf.DUMMYFUNCTION("""COMPUTED_VALUE"""),"11KuCDI7q37RrZjNhVRB_sRU4JrklHajDN-nvioCXIow")</f>
        <v>11KuCDI7q37RrZjNhVRB_sRU4JrklHajDN-nvioCXIow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IFERROR(__xludf.DUMMYFUNCTION("""COMPUTED_VALUE"""),"1MjAfg4F6NQuUAQUFW37k3htPnyMxWHWagiOU-lnvmGI")</f>
        <v>1MjAfg4F6NQuUAQUFW37k3htPnyMxWHWagiOU-lnvmGI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IFERROR(__xludf.DUMMYFUNCTION("""COMPUTED_VALUE"""),"12jSVbeEJpxmA75PPUiLNi7NaIc00WbgI34Q6rhSS0Ds")</f>
        <v>12jSVbeEJpxmA75PPUiLNi7NaIc00WbgI34Q6rhSS0Ds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IFERROR(__xludf.DUMMYFUNCTION("""COMPUTED_VALUE"""),"16zBwty-rTFSFJMyCqyxtBb2FiCbKptl_JuviIETsEjc")</f>
        <v>16zBwty-rTFSFJMyCqyxtBb2FiCbKptl_JuviIETsEjc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IFERROR(__xludf.DUMMYFUNCTION("""COMPUTED_VALUE"""),"1uD1wJYx80LMyhlbMy1CctqDOk9brp6uU03OlbnDuAe4")</f>
        <v>1uD1wJYx80LMyhlbMy1CctqDOk9brp6uU03OlbnDuAe4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IFERROR(__xludf.DUMMYFUNCTION("""COMPUTED_VALUE"""),"1m6MOQNhKkVt1jpFum_tComrSd-dEbwpLJ09ma9hwHJ0")</f>
        <v>1m6MOQNhKkVt1jpFum_tComrSd-dEbwpLJ09ma9hwHJ0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IFERROR(__xludf.DUMMYFUNCTION("""COMPUTED_VALUE"""),"1z6sLqoF1dgSy-5wTE_wKZTVXhp9JEOqwje341a02WpA")</f>
        <v>1z6sLqoF1dgSy-5wTE_wKZTVXhp9JEOqwje341a02WpA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IFERROR(__xludf.DUMMYFUNCTION("""COMPUTED_VALUE"""),"1OuZKBdhFXWj4geXHEAw683kkB5iaP1xy85nS7Y_bfc8")</f>
        <v>1OuZKBdhFXWj4geXHEAw683kkB5iaP1xy85nS7Y_bfc8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IFERROR(__xludf.DUMMYFUNCTION("""COMPUTED_VALUE"""),"1acRsUVfXLMARgfUMygVmnq-Xn9oHJ7aBMct5mdqEBsA")</f>
        <v>1acRsUVfXLMARgfUMygVmnq-Xn9oHJ7aBMct5mdqEBsA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IFERROR(__xludf.DUMMYFUNCTION("""COMPUTED_VALUE"""),"1lkSiBclw-Nrw61K0j2t1vOsiLqNO8ejgCPuA23bupec")</f>
        <v>1lkSiBclw-Nrw61K0j2t1vOsiLqNO8ejgCPuA23bupec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IFERROR(__xludf.DUMMYFUNCTION("""COMPUTED_VALUE"""),"1KZmCs4XZYKInO0g2s3RZpteE670ImER8luciQluLB8Q")</f>
        <v>1KZmCs4XZYKInO0g2s3RZpteE670ImER8luciQluLB8Q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IFERROR(__xludf.DUMMYFUNCTION("""COMPUTED_VALUE"""),"1Kga6eZygJKjrpwyXiE7s-uRu_0SsnmwvP5tlfNUz67E")</f>
        <v>1Kga6eZygJKjrpwyXiE7s-uRu_0SsnmwvP5tlfNUz67E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IFERROR(__xludf.DUMMYFUNCTION("""COMPUTED_VALUE"""),"1wokLkQCDTR1Moa2-CJdvv9EBpX8uIBke1ynZq7Am8Qo")</f>
        <v>1wokLkQCDTR1Moa2-CJdvv9EBpX8uIBke1ynZq7Am8Qo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IFERROR(__xludf.DUMMYFUNCTION("""COMPUTED_VALUE"""),"1GDmvU5vTnCfl5qfCk6XuxvygpiC0858nHCMz3cF2Th8")</f>
        <v>1GDmvU5vTnCfl5qfCk6XuxvygpiC0858nHCMz3cF2Th8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IFERROR(__xludf.DUMMYFUNCTION("""COMPUTED_VALUE"""),"1LsvDJHpVcibXPqLhnrrvp6d6K4W1s7PURcprihlc9WE")</f>
        <v>1LsvDJHpVcibXPqLhnrrvp6d6K4W1s7PURcprihlc9WE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IFERROR(__xludf.DUMMYFUNCTION("""COMPUTED_VALUE"""),"15NzWGpqvL8MMBvyvBoyZPbRw6m8dVQhvejNQYv6xMAo")</f>
        <v>15NzWGpqvL8MMBvyvBoyZPbRw6m8dVQhvejNQYv6xMAo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IFERROR(__xludf.DUMMYFUNCTION("""COMPUTED_VALUE"""),"1pm8fmqh314rXSGDiLAdwO0bk-M2SwTJobffwoZFZfZw")</f>
        <v>1pm8fmqh314rXSGDiLAdwO0bk-M2SwTJobffwoZFZfZw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IFERROR(__xludf.DUMMYFUNCTION("""COMPUTED_VALUE"""),"1hj7paFEdaJfp8zCVq4BI5XPlCE2BysKhNQY5CdXDN44")</f>
        <v>1hj7paFEdaJfp8zCVq4BI5XPlCE2BysKhNQY5CdXDN44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IFERROR(__xludf.DUMMYFUNCTION("""COMPUTED_VALUE"""),"1TJXKyPI71JpDJp6PJy2JOx4mnjeYvDigctM4hrexDvM")</f>
        <v>1TJXKyPI71JpDJp6PJy2JOx4mnjeYvDigctM4hrexDvM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IFERROR(__xludf.DUMMYFUNCTION("""COMPUTED_VALUE"""),"1ctMlkyXd7Fyoxty8UQ8vXNA2lmrIfMbc3leGsnW7ne0")</f>
        <v>1ctMlkyXd7Fyoxty8UQ8vXNA2lmrIfMbc3leGsnW7ne0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IFERROR(__xludf.DUMMYFUNCTION("""COMPUTED_VALUE"""),"14V-PVFSEtii0bJelGOw8nDeNWqcO5GO2gi1hoqmJbFU")</f>
        <v>14V-PVFSEtii0bJelGOw8nDeNWqcO5GO2gi1hoqmJbFU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IFERROR(__xludf.DUMMYFUNCTION("""COMPUTED_VALUE"""),"1wKEUsTX7MrGti2S1TEzF0iJk4vRZB1LxyQL9WgMGYrY")</f>
        <v>1wKEUsTX7MrGti2S1TEzF0iJk4vRZB1LxyQL9WgMGYrY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IFERROR(__xludf.DUMMYFUNCTION("""COMPUTED_VALUE"""),"1UalkAEsbJcZQAzEnT3T29et4u4PKQ3n66SBTt1HPqVc")</f>
        <v>1UalkAEsbJcZQAzEnT3T29et4u4PKQ3n66SBTt1HPqVc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IFERROR(__xludf.DUMMYFUNCTION("""COMPUTED_VALUE"""),"1DvEoe2QroRweeE3U1wG41DK1tPqNY7Qfs3ZfLQeMbgA")</f>
        <v>1DvEoe2QroRweeE3U1wG41DK1tPqNY7Qfs3ZfLQeMbgA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IFERROR(__xludf.DUMMYFUNCTION("""COMPUTED_VALUE"""),"118wRv0r1kNYT6nexs-UFGKd_eWq769gwdBDpcAfrJMc")</f>
        <v>118wRv0r1kNYT6nexs-UFGKd_eWq769gwdBDpcAfrJMc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IFERROR(__xludf.DUMMYFUNCTION("""COMPUTED_VALUE"""),"1bvzvGTpSSz8jFgbBJV7s2zMg9ku9TwcOoI2gD8mXZeI")</f>
        <v>1bvzvGTpSSz8jFgbBJV7s2zMg9ku9TwcOoI2gD8mXZeI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IFERROR(__xludf.DUMMYFUNCTION("""COMPUTED_VALUE"""),"1Uss7PL0z4ynwsEaU-5ZugX8DJ-4eQWi9JELroKHVjks")</f>
        <v>1Uss7PL0z4ynwsEaU-5ZugX8DJ-4eQWi9JELroKHVjks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IFERROR(__xludf.DUMMYFUNCTION("""COMPUTED_VALUE"""),"10lROCv8vZU4pHDAKFRaGDjYVmJmDXRVY6aLP5O0hPiU")</f>
        <v>10lROCv8vZU4pHDAKFRaGDjYVmJmDXRVY6aLP5O0hPiU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IFERROR(__xludf.DUMMYFUNCTION("""COMPUTED_VALUE"""),"1N0pdLUTdwOkDe6Oxo1hLVvtHrAW845GKRDRrNw2nQsA")</f>
        <v>1N0pdLUTdwOkDe6Oxo1hLVvtHrAW845GKRDRrNw2nQsA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IFERROR(__xludf.DUMMYFUNCTION("""COMPUTED_VALUE"""),"1XeFP2lm7tB6wETfm2dDqZYoeAfXyeA1KjbojdrZ69vE")</f>
        <v>1XeFP2lm7tB6wETfm2dDqZYoeAfXyeA1KjbojdrZ69vE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IFERROR(__xludf.DUMMYFUNCTION("""COMPUTED_VALUE"""),"EditPTTRecordAndExecuteOrder")</f>
        <v>EditPTTRecordAndExecuteOrder</v>
      </c>
      <c r="C418" t="str">
        <f>IFERROR(__xludf.DUMMYFUNCTION("""COMPUTED_VALUE"""),"1PSIJ72QdQ-ByplSZsPtKhZm3ADB7dR-xpWzGR4Bdl_4")</f>
        <v>1PSIJ72QdQ-ByplSZsPtKhZm3ADB7dR-xpWzGR4Bdl_4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IFERROR(__xludf.DUMMYFUNCTION("""COMPUTED_VALUE"""),"1KsDVAM-jGZBkXQCAjl-IKGN6XcMkdTfUj_E_EYUPpqE")</f>
        <v>1KsDVAM-jGZBkXQCAjl-IKGN6XcMkdTfUj_E_EYUPpqE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IFERROR(__xludf.DUMMYFUNCTION("""COMPUTED_VALUE"""),"1ZN6M0c0ta4_uysjU0LRmcc9chF9IgYpFmqSwGW6bPCY")</f>
        <v>1ZN6M0c0ta4_uysjU0LRmcc9chF9IgYpFmqSwGW6bPCY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IFERROR(__xludf.DUMMYFUNCTION("""COMPUTED_VALUE"""),"1I3StwH3fzwwbh9YvrnDvP_ICtYYZrMPHOthgqOvVOQc")</f>
        <v>1I3StwH3fzwwbh9YvrnDvP_ICtYYZrMPHOthgqOvVOQc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IFERROR(__xludf.DUMMYFUNCTION("""COMPUTED_VALUE"""),"1Urp2F7pMdEwHLyPetR0SnA22v2OTvsTN73e1Eyzzg08")</f>
        <v>1Urp2F7pMdEwHLyPetR0SnA22v2OTvsTN73e1Eyzzg08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IFERROR(__xludf.DUMMYFUNCTION("""COMPUTED_VALUE"""),"1BbwKnMbWwdBYCEpdFconwZ_xILH2kPX-Qj3vt8xntk8")</f>
        <v>1BbwKnMbWwdBYCEpdFconwZ_xILH2kPX-Qj3vt8xntk8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IFERROR(__xludf.DUMMYFUNCTION("""COMPUTED_VALUE"""),"1p7JeAcaHVG_A1SPdHgM-evd78CkJgoJkRTeDWckd4RI")</f>
        <v>1p7JeAcaHVG_A1SPdHgM-evd78CkJgoJkRTeDWckd4RI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IFERROR(__xludf.DUMMYFUNCTION("""COMPUTED_VALUE"""),"1LLz3d9Ay0qFO2Tla_12_h2xvLhss_jI9DSuQFTlU_-4")</f>
        <v>1LLz3d9Ay0qFO2Tla_12_h2xvLhss_jI9DSuQFTlU_-4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IFERROR(__xludf.DUMMYFUNCTION("""COMPUTED_VALUE"""),"1U-BRH15bKLYYFZT4KsAnHYfSvzq2OYUbyJ1Q899SsZo")</f>
        <v>1U-BRH15bKLYYFZT4KsAnHYfSvzq2OYUbyJ1Q899SsZo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IFERROR(__xludf.DUMMYFUNCTION("""COMPUTED_VALUE"""),"1AigkCEPlVCiWI2_hOeywoNapLN_03Q3acTp_JCEFIOQ")</f>
        <v>1AigkCEPlVCiWI2_hOeywoNapLN_03Q3acTp_JCEFIOQ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IFERROR(__xludf.DUMMYFUNCTION("""COMPUTED_VALUE"""),"1C7e-MCh1gT21XsWE5Tb7VqU31f42EtVA62RnW2VwOPQ")</f>
        <v>1C7e-MCh1gT21XsWE5Tb7VqU31f42EtVA62RnW2VwOPQ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IFERROR(__xludf.DUMMYFUNCTION("""COMPUTED_VALUE"""),"1RfBjyCTLzPEw44vo9RFEbPNENo_b3MvJETDgJ_nbkSM")</f>
        <v>1RfBjyCTLzPEw44vo9RFEbPNENo_b3MvJETDgJ_nbkSM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IFERROR(__xludf.DUMMYFUNCTION("""COMPUTED_VALUE"""),"11m6ioGVfQ91nl6h-xQws9I_OKyCH0bSRW5XRwmAkUaI")</f>
        <v>11m6ioGVfQ91nl6h-xQws9I_OKyCH0bSRW5XRwmAkUaI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IFERROR(__xludf.DUMMYFUNCTION("""COMPUTED_VALUE"""),"1y3920luel_XKEL-2MDmGAmxE3KlfO7vibX7k3zEiD9Q")</f>
        <v>1y3920luel_XKEL-2MDmGAmxE3KlfO7vibX7k3zEiD9Q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IFERROR(__xludf.DUMMYFUNCTION("""COMPUTED_VALUE"""),"1h5qvpgDwc493Hj-H0wWhM1iGSyxbWrc_X9wqtwjDzjw")</f>
        <v>1h5qvpgDwc493Hj-H0wWhM1iGSyxbWrc_X9wqtwjDzjw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IFERROR(__xludf.DUMMYFUNCTION("""COMPUTED_VALUE"""),"1T-KlzOWiZhplDNh7jZx1mhTu8M9hH3oMPjY-e5YW0xo")</f>
        <v>1T-KlzOWiZhplDNh7jZx1mhTu8M9hH3oMPjY-e5YW0xo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IFERROR(__xludf.DUMMYFUNCTION("""COMPUTED_VALUE"""),"1N4y3bAhW2tDoINGw83G-QdXBeLDO0PKtGSW5-tKN3js")</f>
        <v>1N4y3bAhW2tDoINGw83G-QdXBeLDO0PKtGSW5-tKN3js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IFERROR(__xludf.DUMMYFUNCTION("""COMPUTED_VALUE"""),"1iwI9tV-bzTDjn_UTMv4g-Fow5pL0wNDuxL4_vgERgxw")</f>
        <v>1iwI9tV-bzTDjn_UTMv4g-Fow5pL0wNDuxL4_vgERgxw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IFERROR(__xludf.DUMMYFUNCTION("""COMPUTED_VALUE"""),"1HEkSiTQJoo7hAoCQeG1OliZY3I1tX5067K2-bEPpUxg")</f>
        <v>1HEkSiTQJoo7hAoCQeG1OliZY3I1tX5067K2-bEPpUxg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IFERROR(__xludf.DUMMYFUNCTION("""COMPUTED_VALUE"""),"1-jAH0BUHYr2W4UnUXp9EOBGtAxXgCqMhloL3-aVw-xA")</f>
        <v>1-jAH0BUHYr2W4UnUXp9EOBGtAxXgCqMhloL3-aVw-xA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IFERROR(__xludf.DUMMYFUNCTION("""COMPUTED_VALUE"""),"1WjO2793DSB3AexrCH-5fVAyD2T9Kn-TpIQtV-sN3fXM")</f>
        <v>1WjO2793DSB3AexrCH-5fVAyD2T9Kn-TpIQtV-sN3fXM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IFERROR(__xludf.DUMMYFUNCTION("""COMPUTED_VALUE"""),"1FZKuHmBcm_XpFiBPl_RDPdJ0LU4pfInz2KIRBirG4RA")</f>
        <v>1FZKuHmBcm_XpFiBPl_RDPdJ0LU4pfInz2KIRBirG4RA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IFERROR(__xludf.DUMMYFUNCTION("""COMPUTED_VALUE"""),"1IsN0Cfhu8GLrkUalboK5NrRy7btTAbLYUuekJ2Ma6Yg")</f>
        <v>1IsN0Cfhu8GLrkUalboK5NrRy7btTAbLYUuekJ2Ma6Yg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IFERROR(__xludf.DUMMYFUNCTION("""COMPUTED_VALUE"""),"1LK99kRJ1Jix1IHxif4J6qr7zVjtU8vqt4IThBtuOVf4")</f>
        <v>1LK99kRJ1Jix1IHxif4J6qr7zVjtU8vqt4IThBtuOVf4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IFERROR(__xludf.DUMMYFUNCTION("""COMPUTED_VALUE"""),"1BFSIhQB5TYAg8_M-Mo1tG8w-M1mRnNY_0PslvrGE6V0")</f>
        <v>1BFSIhQB5TYAg8_M-Mo1tG8w-M1mRnNY_0PslvrGE6V0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IFERROR(__xludf.DUMMYFUNCTION("""COMPUTED_VALUE"""),"1qQZFllfIgVu8YI6RYgRzVq7hDp1kHBoOsvq3lGCpsu0")</f>
        <v>1qQZFllfIgVu8YI6RYgRzVq7hDp1kHBoOsvq3lGCpsu0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IFERROR(__xludf.DUMMYFUNCTION("""COMPUTED_VALUE"""),"1UD0TjK90W_15S50XezLY8jX9yJZvWP_kzf3zvGKH6Lo")</f>
        <v>1UD0TjK90W_15S50XezLY8jX9yJZvWP_kzf3zvGKH6Lo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IFERROR(__xludf.DUMMYFUNCTION("""COMPUTED_VALUE"""),"1d2n7uTbGUAG0Fw_-hVLgvR5bPSacMCQFYb_9Aqwi25c")</f>
        <v>1d2n7uTbGUAG0Fw_-hVLgvR5bPSacMCQFYb_9Aqwi25c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IFERROR(__xludf.DUMMYFUNCTION("""COMPUTED_VALUE"""),"1Ug5aDJXZ2MYzdZjiy87TkbK0iURa_OwZ6nFZNhxoHGY")</f>
        <v>1Ug5aDJXZ2MYzdZjiy87TkbK0iURa_OwZ6nFZNhxoHGY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IFERROR(__xludf.DUMMYFUNCTION("""COMPUTED_VALUE"""),"15kH24bHLnChO_IakP1yWGQ4NHnPUcWr-qrx2hCLl0Rs")</f>
        <v>15kH24bHLnChO_IakP1yWGQ4NHnPUcWr-qrx2hCLl0Rs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IFERROR(__xludf.DUMMYFUNCTION("""COMPUTED_VALUE"""),"1u361oGPG-Jq-p0fQA91MqPpn9RXhbu_kuvkRTxMFWxM")</f>
        <v>1u361oGPG-Jq-p0fQA91MqPpn9RXhbu_kuvkRTxMFWxM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IFERROR(__xludf.DUMMYFUNCTION("""COMPUTED_VALUE"""),"1VuEhlxb0Ntlbh7FJ4BwgZpb9ydlc_jleqg7A8gRSuOE")</f>
        <v>1VuEhlxb0Ntlbh7FJ4BwgZpb9ydlc_jleqg7A8gRSuOE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IFERROR(__xludf.DUMMYFUNCTION("""COMPUTED_VALUE"""),"1w4_aAJj7RTcH4PfJ4aGD-0Fx9fQcCz5rUlLhFvihhzU")</f>
        <v>1w4_aAJj7RTcH4PfJ4aGD-0Fx9fQcCz5rUlLhFvihhzU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IFERROR(__xludf.DUMMYFUNCTION("""COMPUTED_VALUE"""),"1QRxHDbBMkMUkH0F8WiORPd2loUWwUte9XykaaWPOOig")</f>
        <v>1QRxHDbBMkMUkH0F8WiORPd2loUWwUte9XykaaWPOOig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IFERROR(__xludf.DUMMYFUNCTION("""COMPUTED_VALUE"""),"1gOOiQiJSKveyRw21YYv0m2VV5trx-l9sZqzNVA40Sc8")</f>
        <v>1gOOiQiJSKveyRw21YYv0m2VV5trx-l9sZqzNVA40Sc8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IFERROR(__xludf.DUMMYFUNCTION("""COMPUTED_VALUE"""),"1DO2kiuySeBrdw-FrV0IYgBcHEHdO56ih8X2yodtEv_w")</f>
        <v>1DO2kiuySeBrdw-FrV0IYgBcHEHdO56ih8X2yodtEv_w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IFERROR(__xludf.DUMMYFUNCTION("""COMPUTED_VALUE"""),"1dN2leQSssJt9dSc9XBrW1dbIBOLPLbP7aD2QXcqVoYI")</f>
        <v>1dN2leQSssJt9dSc9XBrW1dbIBOLPLbP7aD2QXcqVoYI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IFERROR(__xludf.DUMMYFUNCTION("""COMPUTED_VALUE"""),"1_Bb0NJhmEZf0GRznXLKybd9VevZ8za-sCX4G7B4qtsM")</f>
        <v>1_Bb0NJhmEZf0GRznXLKybd9VevZ8za-sCX4G7B4qtsM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IFERROR(__xludf.DUMMYFUNCTION("""COMPUTED_VALUE"""),"1eXT2UFbktlYGRbqw2LWDBJOU8xuu3DfP6EZDAMps2jg")</f>
        <v>1eXT2UFbktlYGRbqw2LWDBJOU8xuu3DfP6EZDAMps2jg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IFERROR(__xludf.DUMMYFUNCTION("""COMPUTED_VALUE"""),"11A7t3ReNCtqF9GmtCIeyqSvuLyXTOIz6Z7rrR1rcLxU")</f>
        <v>11A7t3ReNCtqF9GmtCIeyqSvuLyXTOIz6Z7rrR1rcLxU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IFERROR(__xludf.DUMMYFUNCTION("""COMPUTED_VALUE"""),"1X_Y_CvwjwEfeRv6rV15vWdCxvbtSeiwVqa6n3rAtKrs")</f>
        <v>1X_Y_CvwjwEfeRv6rV15vWdCxvbtSeiwVqa6n3rAtKrs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IFERROR(__xludf.DUMMYFUNCTION("""COMPUTED_VALUE"""),"1Xnuh_Wo19bTeQK24IGGha1PcZfjhUkK-31O4OTo-8gk")</f>
        <v>1Xnuh_Wo19bTeQK24IGGha1PcZfjhUkK-31O4OTo-8gk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IFERROR(__xludf.DUMMYFUNCTION("""COMPUTED_VALUE"""),"1OPD3lVtYSDe_XHE5HwEohhSSru0N2Ct-tsJMahW36gA")</f>
        <v>1OPD3lVtYSDe_XHE5HwEohhSSru0N2Ct-tsJMahW36gA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IFERROR(__xludf.DUMMYFUNCTION("""COMPUTED_VALUE"""),"1KdWYL-9o3T_s8hnOZgoqVlgZifoowhBftf1dB8UUEjA")</f>
        <v>1KdWYL-9o3T_s8hnOZgoqVlgZifoowhBftf1dB8UUEjA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IFERROR(__xludf.DUMMYFUNCTION("""COMPUTED_VALUE"""),"1kexOrwBiHtqG3kWPF004vh7Uh_fsxYODz7FwJELyxHs")</f>
        <v>1kexOrwBiHtqG3kWPF004vh7Uh_fsxYODz7FwJELyxHs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IFERROR(__xludf.DUMMYFUNCTION("""COMPUTED_VALUE"""),"1FOz3pvVXQqHqNaQZoj1ZAwoakpNcXbTzmGBaHQHWAHg")</f>
        <v>1FOz3pvVXQqHqNaQZoj1ZAwoakpNcXbTzmGBaHQHWAHg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IFERROR(__xludf.DUMMYFUNCTION("""COMPUTED_VALUE"""),"1P5WpmZxUJFZHJeXXrd3NNkBg8pOhlyvhikvYTRi0xJw")</f>
        <v>1P5WpmZxUJFZHJeXXrd3NNkBg8pOhlyvhikvYTRi0xJw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IFERROR(__xludf.DUMMYFUNCTION("""COMPUTED_VALUE"""),"1AhbrxQBzlUvYhZ04Lc7wrtynsHI_0KCLcf8QD3l6tpk")</f>
        <v>1AhbrxQBzlUvYhZ04Lc7wrtynsHI_0KCLcf8QD3l6tpk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IFERROR(__xludf.DUMMYFUNCTION("""COMPUTED_VALUE"""),"18esH6GBNz1-GV7-ZFJ2hX2Sp9V56SlvmGczGBmWjjgk")</f>
        <v>18esH6GBNz1-GV7-ZFJ2hX2Sp9V56SlvmGczGBmWjjgk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IFERROR(__xludf.DUMMYFUNCTION("""COMPUTED_VALUE"""),"1rkw9xlq4Ee01gKbFKqk4K6RIEIEZdOXtofMrjBh_3qs")</f>
        <v>1rkw9xlq4Ee01gKbFKqk4K6RIEIEZdOXtofMrjBh_3qs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IFERROR(__xludf.DUMMYFUNCTION("""COMPUTED_VALUE"""),"1gUu6sYSTqVEyjUlOCoeeIVztfrHW4NwiHtVAghjPiO0")</f>
        <v>1gUu6sYSTqVEyjUlOCoeeIVztfrHW4NwiHtVAghjPiO0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IFERROR(__xludf.DUMMYFUNCTION("""COMPUTED_VALUE"""),"1taVilha9wCvlWWrWySxYHIg1IUM3Js0xeAEsGXu1wb4")</f>
        <v>1taVilha9wCvlWWrWySxYHIg1IUM3Js0xeAEsGXu1wb4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IFERROR(__xludf.DUMMYFUNCTION("""COMPUTED_VALUE"""),"1vPyYrDAjwQJe-gHSwofvAmZ5sGU32BIPiqw9QJOb7sE")</f>
        <v>1vPyYrDAjwQJe-gHSwofvAmZ5sGU32BIPiqw9QJOb7sE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IFERROR(__xludf.DUMMYFUNCTION("""COMPUTED_VALUE"""),"1b_5w3PXwhAeh_pAkVMhtUU4Bo19ZrhM2By_3wd6TgrU")</f>
        <v>1b_5w3PXwhAeh_pAkVMhtUU4Bo19ZrhM2By_3wd6TgrU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IFERROR(__xludf.DUMMYFUNCTION("""COMPUTED_VALUE"""),"1_zhn88q1H87WPtNgcDXU0tgtHx0YBJLMCcYxzXXroVs")</f>
        <v>1_zhn88q1H87WPtNgcDXU0tgtHx0YBJLMCcYxzXXroVs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IFERROR(__xludf.DUMMYFUNCTION("""COMPUTED_VALUE"""),"1ifdh8xwjLpytsTG8bbxfIam9ZdqvEHGM-CzxVYGEXIs")</f>
        <v>1ifdh8xwjLpytsTG8bbxfIam9ZdqvEHGM-CzxVYGEXIs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IFERROR(__xludf.DUMMYFUNCTION("""COMPUTED_VALUE"""),"1-MLs_Ww619D0GTJenhKi8JspiyKlENvHCAfkc99ZDXk")</f>
        <v>1-MLs_Ww619D0GTJenhKi8JspiyKlENvHCAfkc99ZDXk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IFERROR(__xludf.DUMMYFUNCTION("""COMPUTED_VALUE"""),"18TtTrIfDPZ4FY6y6BEM1QWT6a3RezlV2Qgs0VYjta1Y")</f>
        <v>18TtTrIfDPZ4FY6y6BEM1QWT6a3RezlV2Qgs0VYjta1Y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IFERROR(__xludf.DUMMYFUNCTION("""COMPUTED_VALUE"""),"1e-EcYLjI4QLWe-aVZQLSs4AE3HMdDde42AK_ilP7W14")</f>
        <v>1e-EcYLjI4QLWe-aVZQLSs4AE3HMdDde42AK_ilP7W14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IFERROR(__xludf.DUMMYFUNCTION("""COMPUTED_VALUE"""),"1uHiyIq7-VOPV7W3fHIxv6wpgB0bdb_j-j33CMdKoHG8")</f>
        <v>1uHiyIq7-VOPV7W3fHIxv6wpgB0bdb_j-j33CMdKoHG8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IFERROR(__xludf.DUMMYFUNCTION("""COMPUTED_VALUE"""),"1a2knGiql1wCzuaB8DKpd6ZNGZ4PU78GHbVc-HCTMRz4")</f>
        <v>1a2knGiql1wCzuaB8DKpd6ZNGZ4PU78GHbVc-HCTMRz4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IFERROR(__xludf.DUMMYFUNCTION("""COMPUTED_VALUE"""),"1azJ9v2w7AwJhl_0_bAUZne2G_SFJMuLBPzq7954262s")</f>
        <v>1azJ9v2w7AwJhl_0_bAUZne2G_SFJMuLBPzq7954262s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IFERROR(__xludf.DUMMYFUNCTION("""COMPUTED_VALUE"""),"1dywOfaMeYMgLGbyodr_rgJqA7HdxAyRDvqwTgOr_FV8")</f>
        <v>1dywOfaMeYMgLGbyodr_rgJqA7HdxAyRDvqwTgOr_FV8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IFERROR(__xludf.DUMMYFUNCTION("""COMPUTED_VALUE"""),"1K3403vK5pLvuvcWTXHu1UmgT1GohIYz7DPLRQAD0HCk")</f>
        <v>1K3403vK5pLvuvcWTXHu1UmgT1GohIYz7DPLRQAD0HCk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IFERROR(__xludf.DUMMYFUNCTION("""COMPUTED_VALUE"""),"1hgvmb7xlOL1LeDD1_c2ehf_CcTQs-NVEQcrj52EgfkY")</f>
        <v>1hgvmb7xlOL1LeDD1_c2ehf_CcTQs-NVEQcrj52EgfkY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IFERROR(__xludf.DUMMYFUNCTION("""COMPUTED_VALUE"""),"1a_lIF-yQ_4BbBIj3H4E_Sa208tyBml3azCVHLulXbZA")</f>
        <v>1a_lIF-yQ_4BbBIj3H4E_Sa208tyBml3azCVHLulXbZA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IFERROR(__xludf.DUMMYFUNCTION("""COMPUTED_VALUE"""),"1hLXxcwsJweMSg5Go7Aa_QZphxBktbdPjlASa0S1xBos")</f>
        <v>1hLXxcwsJweMSg5Go7Aa_QZphxBktbdPjlASa0S1xBos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IFERROR(__xludf.DUMMYFUNCTION("""COMPUTED_VALUE"""),"1NPXdEV4aauKt592s3ZSJRLqkCido8G_bhh0amZ9aT9g")</f>
        <v>1NPXdEV4aauKt592s3ZSJRLqkCido8G_bhh0amZ9aT9g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IFERROR(__xludf.DUMMYFUNCTION("""COMPUTED_VALUE"""),"1l0BuHlCc_a8ajF2i2LyuIx-ihrOOGibGtDl3YzOfSEY")</f>
        <v>1l0BuHlCc_a8ajF2i2LyuIx-ihrOOGibGtDl3YzOfSEY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IFERROR(__xludf.DUMMYFUNCTION("""COMPUTED_VALUE"""),"1Dpr8WIv6TDBK0rxjxSy_MqWbkp0VcPh0dzzq05jelwk")</f>
        <v>1Dpr8WIv6TDBK0rxjxSy_MqWbkp0VcPh0dzzq05jelwk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IFERROR(__xludf.DUMMYFUNCTION("""COMPUTED_VALUE"""),"1vn6eAU_TNbjFlzAIJE-M1vn49jstJpRKNVt1ALlVQus")</f>
        <v>1vn6eAU_TNbjFlzAIJE-M1vn49jstJpRKNVt1ALlVQus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IFERROR(__xludf.DUMMYFUNCTION("""COMPUTED_VALUE"""),"1vO08eQ3WtVgvFFa4m5QUSWEYmv1ZOhFWcta7Kzp1MBQ")</f>
        <v>1vO08eQ3WtVgvFFa4m5QUSWEYmv1ZOhFWcta7Kzp1MBQ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IFERROR(__xludf.DUMMYFUNCTION("""COMPUTED_VALUE"""),"1bIqD5onAh5fgPov8t1pUC5b4a9exQ5D7TG3YiT7HTiQ")</f>
        <v>1bIqD5onAh5fgPov8t1pUC5b4a9exQ5D7TG3YiT7HTiQ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IFERROR(__xludf.DUMMYFUNCTION("""COMPUTED_VALUE"""),"1oBs-bjVGuZxR8kCsLcXR9mY_XazhDhrpRb2xJaLqs_E")</f>
        <v>1oBs-bjVGuZxR8kCsLcXR9mY_XazhDhrpRb2xJaLqs_E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IFERROR(__xludf.DUMMYFUNCTION("""COMPUTED_VALUE"""),"1xtzuWBhZe0eLq8O7xxtzG82zLI_pS5mUV_moECZdNpU")</f>
        <v>1xtzuWBhZe0eLq8O7xxtzG82zLI_pS5mUV_moECZdNpU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IFERROR(__xludf.DUMMYFUNCTION("""COMPUTED_VALUE"""),"1Uee-x9kYITNzfo5Jmi-ZzN4muIc1l3aGkFEjg6zK4rw")</f>
        <v>1Uee-x9kYITNzfo5Jmi-ZzN4muIc1l3aGkFEjg6zK4rw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IFERROR(__xludf.DUMMYFUNCTION("""COMPUTED_VALUE"""),"1Ylf1m_iypjthZ6_f8Zwlk6GflWigvWKGFKPUkF0Lw3M")</f>
        <v>1Ylf1m_iypjthZ6_f8Zwlk6GflWigvWKGFKPUkF0Lw3M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IFERROR(__xludf.DUMMYFUNCTION("""COMPUTED_VALUE"""),"18mAZrsY4iORaJ31tWyzQUe_E2I0WZiducaWhtQhI1bo")</f>
        <v>18mAZrsY4iORaJ31tWyzQUe_E2I0WZiducaWhtQhI1bo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IFERROR(__xludf.DUMMYFUNCTION("""COMPUTED_VALUE"""),"14z6QrYYlP1TDKDUb39O0_rjdC6MZsyDDHft5bKbFe7Y")</f>
        <v>14z6QrYYlP1TDKDUb39O0_rjdC6MZsyDDHft5bKbFe7Y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IFERROR(__xludf.DUMMYFUNCTION("""COMPUTED_VALUE"""),"1cUl6l-zlpV-4qvapXc106s6KeXaODz51BbbafJiEu1o")</f>
        <v>1cUl6l-zlpV-4qvapXc106s6KeXaODz51BbbafJiEu1o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IFERROR(__xludf.DUMMYFUNCTION("""COMPUTED_VALUE"""),"1wcOWSlWdG4WrRltcCk8absTbbQd4rfzbEvV0Z6QnDIw")</f>
        <v>1wcOWSlWdG4WrRltcCk8absTbbQd4rfzbEvV0Z6QnDIw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IFERROR(__xludf.DUMMYFUNCTION("""COMPUTED_VALUE"""),"16Tth7MhAr108iP6FoFBCWQNX3Hmi5JoCWiuEzBw-oDs")</f>
        <v>16Tth7MhAr108iP6FoFBCWQNX3Hmi5JoCWiuEzBw-oDs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IFERROR(__xludf.DUMMYFUNCTION("""COMPUTED_VALUE"""),"1l2IXt5uxs1t4URHUX-BmZTtbv2Q2iQVM5OFWXazn3Wc")</f>
        <v>1l2IXt5uxs1t4URHUX-BmZTtbv2Q2iQVM5OFWXazn3Wc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IFERROR(__xludf.DUMMYFUNCTION("""COMPUTED_VALUE"""),"1_4imnW45MZPZdDQqRFOTudFEJKoWNdNsFhqwsPVjiyI")</f>
        <v>1_4imnW45MZPZdDQqRFOTudFEJKoWNdNsFhqwsPVjiyI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IFERROR(__xludf.DUMMYFUNCTION("""COMPUTED_VALUE"""),"1QO8L98pM1tM7XV0KByn2LfhNUlfBr61uBaOgp8tlTrY")</f>
        <v>1QO8L98pM1tM7XV0KByn2LfhNUlfBr61uBaOgp8tlTrY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IFERROR(__xludf.DUMMYFUNCTION("""COMPUTED_VALUE"""),"1El5uRwN8Zwko5NwYgHohK1zpiRKkh_YePJ0cX2E3glo")</f>
        <v>1El5uRwN8Zwko5NwYgHohK1zpiRKkh_YePJ0cX2E3glo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IFERROR(__xludf.DUMMYFUNCTION("""COMPUTED_VALUE"""),"1Gty3Ew09-jbNIs7SPwjiMC4qk0nDYdsdjNgVHEdl6r0")</f>
        <v>1Gty3Ew09-jbNIs7SPwjiMC4qk0nDYdsdjNgVHEdl6r0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IFERROR(__xludf.DUMMYFUNCTION("""COMPUTED_VALUE"""),"1h8dY4l_y7yym8l9hTXHVlg3E6GsG52_9KIo5GFjmA8k")</f>
        <v>1h8dY4l_y7yym8l9hTXHVlg3E6GsG52_9KIo5GFjmA8k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IFERROR(__xludf.DUMMYFUNCTION("""COMPUTED_VALUE"""),"1dwpz97u-suG-Fl1p7vL-LH_dugKcjjOV8oBHWhL-Ggg")</f>
        <v>1dwpz97u-suG-Fl1p7vL-LH_dugKcjjOV8oBHWhL-Ggg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IFERROR(__xludf.DUMMYFUNCTION("""COMPUTED_VALUE"""),"1RUpNNC94eo6CzUCyYXnEgJjNJNHljZmxUqpU88hDqvo")</f>
        <v>1RUpNNC94eo6CzUCyYXnEgJjNJNHljZmxUqpU88hDqvo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IFERROR(__xludf.DUMMYFUNCTION("""COMPUTED_VALUE"""),"1AFiNBanUg4LBaZwE0sKs99uF_4CT4Qq3z4KSYaBlk8s")</f>
        <v>1AFiNBanUg4LBaZwE0sKs99uF_4CT4Qq3z4KSYaBlk8s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IFERROR(__xludf.DUMMYFUNCTION("""COMPUTED_VALUE"""),"1Ns2Ww-kwbzOvCy0I9cUznz2PW19y3SgMCpf0oi4ieAA")</f>
        <v>1Ns2Ww-kwbzOvCy0I9cUznz2PW19y3SgMCpf0oi4ieAA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IFERROR(__xludf.DUMMYFUNCTION("""COMPUTED_VALUE"""),"1LAiUKfzdOor0ACQpWIfOZgQ4MfnhBXObmZFMPVXU20w")</f>
        <v>1LAiUKfzdOor0ACQpWIfOZgQ4MfnhBXObmZFMPVXU20w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IFERROR(__xludf.DUMMYFUNCTION("""COMPUTED_VALUE"""),"1yd48b6wQ6aCrLoLmfkjO8wiQZP62vLgpK_Q_eTapu4w")</f>
        <v>1yd48b6wQ6aCrLoLmfkjO8wiQZP62vLgpK_Q_eTapu4w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IFERROR(__xludf.DUMMYFUNCTION("""COMPUTED_VALUE"""),"1QqGxhnz20HsALFYnGuJyEDL2dd1qSmiBMaPsF8MowY4")</f>
        <v>1QqGxhnz20HsALFYnGuJyEDL2dd1qSmiBMaPsF8MowY4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IFERROR(__xludf.DUMMYFUNCTION("""COMPUTED_VALUE"""),"1NsNQ11sPW94qOsA9wYppHUUVQ7VTg0TDchX6vMjxHSM")</f>
        <v>1NsNQ11sPW94qOsA9wYppHUUVQ7VTg0TDchX6vMjxHSM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IFERROR(__xludf.DUMMYFUNCTION("""COMPUTED_VALUE"""),"1-qgayCVgYh-TiFPYq2yiHpH2YNskBCiyIqUU44hFn5Q")</f>
        <v>1-qgayCVgYh-TiFPYq2yiHpH2YNskBCiyIqUU44hFn5Q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IFERROR(__xludf.DUMMYFUNCTION("""COMPUTED_VALUE"""),"1E2U9CGylDUGLaqjTgTRpuzNMvkBV33m3fLyu2q73_EA")</f>
        <v>1E2U9CGylDUGLaqjTgTRpuzNMvkBV33m3fLyu2q73_EA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IFERROR(__xludf.DUMMYFUNCTION("""COMPUTED_VALUE"""),"1MgEuiFXaa1Xj8qTQvvYNz_eFGUeOpsltw9v4WXyPp2Y")</f>
        <v>1MgEuiFXaa1Xj8qTQvvYNz_eFGUeOpsltw9v4WXyPp2Y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IFERROR(__xludf.DUMMYFUNCTION("""COMPUTED_VALUE"""),"1JXTS2aPwtzmzfaVv_4dqx8kGMWZ6ZPlluMh_AtB-VLM")</f>
        <v>1JXTS2aPwtzmzfaVv_4dqx8kGMWZ6ZPlluMh_AtB-VLM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IFERROR(__xludf.DUMMYFUNCTION("""COMPUTED_VALUE"""),"1GexWNjbmQyaHL_wkUkmt5M8rNIMs2PLpyJ1OKlPF_6U")</f>
        <v>1GexWNjbmQyaHL_wkUkmt5M8rNIMs2PLpyJ1OKlPF_6U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IFERROR(__xludf.DUMMYFUNCTION("""COMPUTED_VALUE"""),"1DKCTM5c59GatMPMxnS0Zbz1IgpCEMmNSn4fulcFSBWA")</f>
        <v>1DKCTM5c59GatMPMxnS0Zbz1IgpCEMmNSn4fulcFSBWA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IFERROR(__xludf.DUMMYFUNCTION("""COMPUTED_VALUE"""),"1TeGYQgGxypH87IAS1MA8NIqqh4_U0q0H_IsXTnmORFw")</f>
        <v>1TeGYQgGxypH87IAS1MA8NIqqh4_U0q0H_IsXTnmORFw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IFERROR(__xludf.DUMMYFUNCTION("""COMPUTED_VALUE"""),"1uZhdRETigrNB3cZo1BXMteOrJRYMf6Vdte0mKG3B7a4")</f>
        <v>1uZhdRETigrNB3cZo1BXMteOrJRYMf6Vdte0mKG3B7a4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IFERROR(__xludf.DUMMYFUNCTION("""COMPUTED_VALUE"""),"11LnIuQUyQWz16zxwmr7_BDMlsw3tCEXwF0lALQ35sts")</f>
        <v>11LnIuQUyQWz16zxwmr7_BDMlsw3tCEXwF0lALQ35sts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IFERROR(__xludf.DUMMYFUNCTION("""COMPUTED_VALUE"""),"1NeZSwz1SIB3gUqQIL6UzRE-Qr4gJDeQupuxQaufcHLY")</f>
        <v>1NeZSwz1SIB3gUqQIL6UzRE-Qr4gJDeQupuxQaufcHLY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IFERROR(__xludf.DUMMYFUNCTION("""COMPUTED_VALUE"""),"1vv3kyJccjfIyDBgn04x7w4Z7FTIBcJUQzYbJHry0Wks")</f>
        <v>1vv3kyJccjfIyDBgn04x7w4Z7FTIBcJUQzYbJHry0Wks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IFERROR(__xludf.DUMMYFUNCTION("""COMPUTED_VALUE"""),"16iJOTy3fdvVyoTNVUlTTv2ipMkLHpwnR83hPFzIH7Ak")</f>
        <v>16iJOTy3fdvVyoTNVUlTTv2ipMkLHpwnR83hPFzIH7Ak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IFERROR(__xludf.DUMMYFUNCTION("""COMPUTED_VALUE"""),"1akNR1Amf59L1AstQQY5CTYwWnooFsbcOYuynBM4CKmM")</f>
        <v>1akNR1Amf59L1AstQQY5CTYwWnooFsbcOYuynBM4CKmM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IFERROR(__xludf.DUMMYFUNCTION("""COMPUTED_VALUE"""),"1LuYoSjO5AtvBb9EYhrEUIwfKVSVQx9KjgCN-yIF7lFk")</f>
        <v>1LuYoSjO5AtvBb9EYhrEUIwfKVSVQx9KjgCN-yIF7lFk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IFERROR(__xludf.DUMMYFUNCTION("""COMPUTED_VALUE"""),"1KxvRGZsDhpllA_7NzN1oRSxO912EnakDtX0IH-ZIdC4")</f>
        <v>1KxvRGZsDhpllA_7NzN1oRSxO912EnakDtX0IH-ZIdC4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IFERROR(__xludf.DUMMYFUNCTION("""COMPUTED_VALUE"""),"1EkVmrnKs5-j3ysMwtCilrRqPyrGmw8rBBIGOYfmBm9Y")</f>
        <v>1EkVmrnKs5-j3ysMwtCilrRqPyrGmw8rBBIGOYfmBm9Y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IFERROR(__xludf.DUMMYFUNCTION("""COMPUTED_VALUE"""),"1Df8QexVjibp6e-DrJ15K3SNBfL1Xk8NzcYqAlIfaa0Q")</f>
        <v>1Df8QexVjibp6e-DrJ15K3SNBfL1Xk8NzcYqAlIfaa0Q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IFERROR(__xludf.DUMMYFUNCTION("""COMPUTED_VALUE"""),"1_Z5bqDo4adEqHJVIqWRtiyLJ5XKZ_2mwsPRoF8LP0Bw")</f>
        <v>1_Z5bqDo4adEqHJVIqWRtiyLJ5XKZ_2mwsPRoF8LP0Bw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IFERROR(__xludf.DUMMYFUNCTION("""COMPUTED_VALUE"""),"13xi1kTQASkj8aQlRGOWvQoPk02IQ_8Htevc-MnANS_E")</f>
        <v>13xi1kTQASkj8aQlRGOWvQoPk02IQ_8Htevc-MnANS_E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IFERROR(__xludf.DUMMYFUNCTION("""COMPUTED_VALUE"""),"1A8qhbXaCu_lyhbz2UUV32k3iWOdMoe0Sf6z4T7bvx9A")</f>
        <v>1A8qhbXaCu_lyhbz2UUV32k3iWOdMoe0Sf6z4T7bvx9A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IFERROR(__xludf.DUMMYFUNCTION("""COMPUTED_VALUE"""),"1BnawmW4udc8sZOPuV7h7bRAlUEV61-K41xkK0_fFpqM")</f>
        <v>1BnawmW4udc8sZOPuV7h7bRAlUEV61-K41xkK0_fFpqM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IFERROR(__xludf.DUMMYFUNCTION("""COMPUTED_VALUE"""),"1CgHn_7kdT53U7SiVepIsdA1uAaPRM8bfTqAGitUOOP4")</f>
        <v>1CgHn_7kdT53U7SiVepIsdA1uAaPRM8bfTqAGitUOOP4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IFERROR(__xludf.DUMMYFUNCTION("""COMPUTED_VALUE"""),"1mmWGifvPj1sNVTticw-ikM3hyycxf4NX4_kCu7BEFVg")</f>
        <v>1mmWGifvPj1sNVTticw-ikM3hyycxf4NX4_kCu7BEFVg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IFERROR(__xludf.DUMMYFUNCTION("""COMPUTED_VALUE"""),"1Bv6bI4dQ2ISUgEtnN3hvoJAzlS1QXNp7i6djThWT5cY")</f>
        <v>1Bv6bI4dQ2ISUgEtnN3hvoJAzlS1QXNp7i6djThWT5cY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IFERROR(__xludf.DUMMYFUNCTION("""COMPUTED_VALUE"""),"12O1uREcq0M99vtEd065TQGLRLI69TvAORCdhR9BifGE")</f>
        <v>12O1uREcq0M99vtEd065TQGLRLI69TvAORCdhR9BifGE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IFERROR(__xludf.DUMMYFUNCTION("""COMPUTED_VALUE"""),"1GwliO03epBl45R4knM3UVULlRK9QRt0v-e2GwmiEUVI")</f>
        <v>1GwliO03epBl45R4knM3UVULlRK9QRt0v-e2GwmiEUVI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IFERROR(__xludf.DUMMYFUNCTION("""COMPUTED_VALUE"""),"1YjVe9_PX2h3FN6yNWurYgQZIShnphN6dzATY8FarTcw")</f>
        <v>1YjVe9_PX2h3FN6yNWurYgQZIShnphN6dzATY8FarTcw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IFERROR(__xludf.DUMMYFUNCTION("""COMPUTED_VALUE"""),"1i5E-WuqIWaEe-yq-sesr8ybgECXELHpH055E0IrggKc")</f>
        <v>1i5E-WuqIWaEe-yq-sesr8ybgECXELHpH055E0IrggKc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IFERROR(__xludf.DUMMYFUNCTION("""COMPUTED_VALUE"""),"1LqHFuFqpoaWRQRABWhj8ApwmhDIIDfhqJOvirqq1jXs")</f>
        <v>1LqHFuFqpoaWRQRABWhj8ApwmhDIIDfhqJOvirqq1jXs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IFERROR(__xludf.DUMMYFUNCTION("""COMPUTED_VALUE"""),"1SRIxoyDz2yiuwxeL4eG8FC_4NGCpPmQ7cq3BGkqiS_M")</f>
        <v>1SRIxoyDz2yiuwxeL4eG8FC_4NGCpPmQ7cq3BGkqiS_M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IFERROR(__xludf.DUMMYFUNCTION("""COMPUTED_VALUE"""),"1NBKCTAbyW8FTd7HpiDVAL8uUdoKPPfDaX-zyJ69TnN8")</f>
        <v>1NBKCTAbyW8FTd7HpiDVAL8uUdoKPPfDaX-zyJ69TnN8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IFERROR(__xludf.DUMMYFUNCTION("""COMPUTED_VALUE"""),"1UfijNzsxS8xhicrd1aaNFJ8AVGE-4qurWWApSDn5ctE")</f>
        <v>1UfijNzsxS8xhicrd1aaNFJ8AVGE-4qurWWApSDn5ctE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IFERROR(__xludf.DUMMYFUNCTION("""COMPUTED_VALUE"""),"1hZIgWSjxAyvd_l19sawUh-Lx7qkIkwoEJWszPqq6LiM")</f>
        <v>1hZIgWSjxAyvd_l19sawUh-Lx7qkIkwoEJWszPqq6LiM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IFERROR(__xludf.DUMMYFUNCTION("""COMPUTED_VALUE"""),"1fx7weHaG3pIYPq09mXJDlCsGxJxkuwvD9qpnxGKxsUg")</f>
        <v>1fx7weHaG3pIYPq09mXJDlCsGxJxkuwvD9qpnxGKxsUg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IFERROR(__xludf.DUMMYFUNCTION("""COMPUTED_VALUE"""),"1idwtgSTl3puPU819EeoiFOFlLMiFqqc7fSq_DQM9Ahw")</f>
        <v>1idwtgSTl3puPU819EeoiFOFlLMiFqqc7fSq_DQM9Ahw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IFERROR(__xludf.DUMMYFUNCTION("""COMPUTED_VALUE"""),"1yALn3s6q8XYTgNqh8-DnAgKgqPoPCCf4cd3q4rK7dc4")</f>
        <v>1yALn3s6q8XYTgNqh8-DnAgKgqPoPCCf4cd3q4rK7dc4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IFERROR(__xludf.DUMMYFUNCTION("""COMPUTED_VALUE"""),"1NuhPbvX0aXlI0GJFIFdnaVEUWbKSGZAOsYo2ZJs_LTI")</f>
        <v>1NuhPbvX0aXlI0GJFIFdnaVEUWbKSGZAOsYo2ZJs_LTI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IFERROR(__xludf.DUMMYFUNCTION("""COMPUTED_VALUE"""),"1FPAHemO6UOqAm-LkkBB9rvkNCOTy_xygY4DA2D71HrY")</f>
        <v>1FPAHemO6UOqAm-LkkBB9rvkNCOTy_xygY4DA2D71HrY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IFERROR(__xludf.DUMMYFUNCTION("""COMPUTED_VALUE"""),"1HD9Qq-FkgtsDvTn0E1mBJqbrvDYs85STToXiwyfSFIc")</f>
        <v>1HD9Qq-FkgtsDvTn0E1mBJqbrvDYs85STToXiwyfSFIc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IFERROR(__xludf.DUMMYFUNCTION("""COMPUTED_VALUE"""),"1aMbSm8ZDz2Qwg0lNK8q7egOJXYlZK0_CTEZ8ROuOuw4")</f>
        <v>1aMbSm8ZDz2Qwg0lNK8q7egOJXYlZK0_CTEZ8ROuOuw4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IFERROR(__xludf.DUMMYFUNCTION("""COMPUTED_VALUE"""),"1C9HB4waKEi-rOcSPUPOqqKP4_UtACzcf-3WiPrg8wl8")</f>
        <v>1C9HB4waKEi-rOcSPUPOqqKP4_UtACzcf-3WiPrg8wl8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IFERROR(__xludf.DUMMYFUNCTION("""COMPUTED_VALUE"""),"1CrtezjyXDUNI03P2ug3fbBszOkDQB11KC1jkQWvhhb0")</f>
        <v>1CrtezjyXDUNI03P2ug3fbBszOkDQB11KC1jkQWvhhb0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IFERROR(__xludf.DUMMYFUNCTION("""COMPUTED_VALUE"""),"1aaVe9FlMYC6RFGiTb4FjozEKzxGyq3kDwxhYjfzfAD4")</f>
        <v>1aaVe9FlMYC6RFGiTb4FjozEKzxGyq3kDwxhYjfzfAD4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IFERROR(__xludf.DUMMYFUNCTION("""COMPUTED_VALUE"""),"17-t-GrQf2zL-8Q67F4HdNpsG_6uuzTew55S0LtWs234")</f>
        <v>17-t-GrQf2zL-8Q67F4HdNpsG_6uuzTew55S0LtWs234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IFERROR(__xludf.DUMMYFUNCTION("""COMPUTED_VALUE"""),"1XTJi2OXX9tDNK8ST579LThIVIiMnVsCWKD8hYv1DwCk")</f>
        <v>1XTJi2OXX9tDNK8ST579LThIVIiMnVsCWKD8hYv1DwCk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IFERROR(__xludf.DUMMYFUNCTION("""COMPUTED_VALUE"""),"18i3ZoYVYHAnZwXwaD1wecFKaay3F1XWD-fGr1yOXxiI")</f>
        <v>18i3ZoYVYHAnZwXwaD1wecFKaay3F1XWD-fGr1yOXxiI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IFERROR(__xludf.DUMMYFUNCTION("""COMPUTED_VALUE"""),"1aIaLYmwd1_7VvSXSXs0xCiLDHvkOFY2I2WhFegjZjbM")</f>
        <v>1aIaLYmwd1_7VvSXSXs0xCiLDHvkOFY2I2WhFegjZjbM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IFERROR(__xludf.DUMMYFUNCTION("""COMPUTED_VALUE"""),"1Gt4DTANotwpTFTn2K0N4FyEH3Wy4mVS3CndTI3qhjT0")</f>
        <v>1Gt4DTANotwpTFTn2K0N4FyEH3Wy4mVS3CndTI3qhjT0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IFERROR(__xludf.DUMMYFUNCTION("""COMPUTED_VALUE"""),"1k4O2DH0z6o7Zp7BJki2B-GvLEd7WL3r0-BBl39ErSwA")</f>
        <v>1k4O2DH0z6o7Zp7BJki2B-GvLEd7WL3r0-BBl39ErSwA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IFERROR(__xludf.DUMMYFUNCTION("""COMPUTED_VALUE"""),"14NB1Fv5kuloQb2TqNZV019UwD238JCIlsMkapq0l2ag")</f>
        <v>14NB1Fv5kuloQb2TqNZV019UwD238JCIlsMkapq0l2ag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IFERROR(__xludf.DUMMYFUNCTION("""COMPUTED_VALUE"""),"1QQqyEJAxSiITSpbxeSzT-43Z_t_k8RMkNqyDU83B9yw")</f>
        <v>1QQqyEJAxSiITSpbxeSzT-43Z_t_k8RMkNqyDU83B9yw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IFERROR(__xludf.DUMMYFUNCTION("""COMPUTED_VALUE"""),"1dg717feD1PLoJMODUOkjay-kVKs_HU6lWkwzq6Dzicw")</f>
        <v>1dg717feD1PLoJMODUOkjay-kVKs_HU6lWkwzq6Dzicw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IFERROR(__xludf.DUMMYFUNCTION("""COMPUTED_VALUE"""),"1DhgxoqROPCGpHN0ZvF_CxvGD_XGKqi4hirH4AyU5edM")</f>
        <v>1DhgxoqROPCGpHN0ZvF_CxvGD_XGKqi4hirH4AyU5edM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IFERROR(__xludf.DUMMYFUNCTION("""COMPUTED_VALUE"""),"13ISfl53WS5qjapt8_QubQCWQC5PngpTaN-DNznWEfnM")</f>
        <v>13ISfl53WS5qjapt8_QubQCWQC5PngpTaN-DNznWEfnM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IFERROR(__xludf.DUMMYFUNCTION("""COMPUTED_VALUE"""),"1lX2ofL0aTKUlfGG5tlpbifm1409nxXKN3EvA38tIwsI")</f>
        <v>1lX2ofL0aTKUlfGG5tlpbifm1409nxXKN3EvA38tIwsI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IFERROR(__xludf.DUMMYFUNCTION("""COMPUTED_VALUE"""),"1xGs6-0rm5y24BDfu0xaFuFjmw24xo_mnA1FsmchPkoQ")</f>
        <v>1xGs6-0rm5y24BDfu0xaFuFjmw24xo_mnA1FsmchPkoQ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IFERROR(__xludf.DUMMYFUNCTION("""COMPUTED_VALUE"""),"1sXlRlM3l3g7Y_cbxe72XjBbsp4DKHWhRKjq3FHbAEZg")</f>
        <v>1sXlRlM3l3g7Y_cbxe72XjBbsp4DKHWhRKjq3FHbAEZg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IFERROR(__xludf.DUMMYFUNCTION("""COMPUTED_VALUE"""),"1K3kCif21tZY3Z_07H3JuRu8yZ2BuxGjW7WwookIx-Fc")</f>
        <v>1K3kCif21tZY3Z_07H3JuRu8yZ2BuxGjW7WwookIx-Fc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IFERROR(__xludf.DUMMYFUNCTION("""COMPUTED_VALUE"""),"1-12TcMWdB2mXxQH8e7co5k5BUH-Uzpps1uWKQ-CLR00")</f>
        <v>1-12TcMWdB2mXxQH8e7co5k5BUH-Uzpps1uWKQ-CLR00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IFERROR(__xludf.DUMMYFUNCTION("""COMPUTED_VALUE"""),"1te_tPkqDmMAupeEd8qm_jD3j66mFB1Z4N9FMCo8XPy4")</f>
        <v>1te_tPkqDmMAupeEd8qm_jD3j66mFB1Z4N9FMCo8XPy4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IFERROR(__xludf.DUMMYFUNCTION("""COMPUTED_VALUE"""),"1E9KQGFIuEW08WBNI-XqSj37_5i6SG51bbwPJ0NN4Mmc")</f>
        <v>1E9KQGFIuEW08WBNI-XqSj37_5i6SG51bbwPJ0NN4Mmc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IFERROR(__xludf.DUMMYFUNCTION("""COMPUTED_VALUE"""),"1eQ05g7FlkoucBRzqzHC6DYgristCD8IKA7i0JOPqMMs")</f>
        <v>1eQ05g7FlkoucBRzqzHC6DYgristCD8IKA7i0JOPqMMs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IFERROR(__xludf.DUMMYFUNCTION("""COMPUTED_VALUE"""),"1_Kaj9Gla2_3_3DWDcJLohN-Ulu6Or19SpBltOn1IqpA")</f>
        <v>1_Kaj9Gla2_3_3DWDcJLohN-Ulu6Or19SpBltOn1IqpA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IFERROR(__xludf.DUMMYFUNCTION("""COMPUTED_VALUE"""),"1x0tSTgqZ5yRnN4Tz7nFtGYNGMoM4Tz6TBq0Ru3xflwY")</f>
        <v>1x0tSTgqZ5yRnN4Tz7nFtGYNGMoM4Tz6TBq0Ru3xflwY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IFERROR(__xludf.DUMMYFUNCTION("""COMPUTED_VALUE"""),"19__Spg6yNEdiEgPsq0ju_vHO7AEAj0c1TjazwCSKFSs")</f>
        <v>19__Spg6yNEdiEgPsq0ju_vHO7AEAj0c1TjazwCSKFSs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IFERROR(__xludf.DUMMYFUNCTION("""COMPUTED_VALUE"""),"1jZq080VyNhunffpTX7Q8WctBF6FMMlgDqxOs2X0M62s")</f>
        <v>1jZq080VyNhunffpTX7Q8WctBF6FMMlgDqxOs2X0M62s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IFERROR(__xludf.DUMMYFUNCTION("""COMPUTED_VALUE"""),"1yFQmKvzwAFdsY1i_j5krUyRXB0Jw9K6HiJ1sedlnizE")</f>
        <v>1yFQmKvzwAFdsY1i_j5krUyRXB0Jw9K6HiJ1sedlnizE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IFERROR(__xludf.DUMMYFUNCTION("""COMPUTED_VALUE"""),"1Dpr8WIv6TDBK0rxjxSy_MqWbkp0VcPh0dzzq05jelwk")</f>
        <v>1Dpr8WIv6TDBK0rxjxSy_MqWbkp0VcPh0dzzq05jelwk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IFERROR(__xludf.DUMMYFUNCTION("""COMPUTED_VALUE"""),"1U3Lll-22S6_flQX8K9e2RYFi60F4xvlFiIrO7oI53SM")</f>
        <v>1U3Lll-22S6_flQX8K9e2RYFi60F4xvlFiIrO7oI53SM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IFERROR(__xludf.DUMMYFUNCTION("""COMPUTED_VALUE"""),"1tWUIoWkYt76dEoPLffGeR3BKhumyPmGYrDDpNHf57-E")</f>
        <v>1tWUIoWkYt76dEoPLffGeR3BKhumyPmGYrDDpNHf57-E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IFERROR(__xludf.DUMMYFUNCTION("""COMPUTED_VALUE"""),"1B21k1fT7qeMq7F9lYaslrVehhg0joFVgy-pYc8Lkmf8")</f>
        <v>1B21k1fT7qeMq7F9lYaslrVehhg0joFVgy-pYc8Lkmf8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IFERROR(__xludf.DUMMYFUNCTION("""COMPUTED_VALUE"""),"1h4P6VS7hFcj6Gpcpap9UycUQLIp7GSGhFN-Pc67f1mU")</f>
        <v>1h4P6VS7hFcj6Gpcpap9UycUQLIp7GSGhFN-Pc67f1mU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IFERROR(__xludf.DUMMYFUNCTION("""COMPUTED_VALUE"""),"1tQChZuaBAI5usO4RbYIySlrw0tFhWje4RI-gh286me8")</f>
        <v>1tQChZuaBAI5usO4RbYIySlrw0tFhWje4RI-gh286me8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IFERROR(__xludf.DUMMYFUNCTION("""COMPUTED_VALUE"""),"1Sm5U6q-jz5LeKeyf9JfBjKzov0tNefLFi5MsaafqKYg")</f>
        <v>1Sm5U6q-jz5LeKeyf9JfBjKzov0tNefLFi5MsaafqKYg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IFERROR(__xludf.DUMMYFUNCTION("""COMPUTED_VALUE"""),"1DudMRucUgcEjmlylDgFYqu5uXTRzRsr-jnE6lVHMbjY")</f>
        <v>1DudMRucUgcEjmlylDgFYqu5uXTRzRsr-jnE6lVHMbjY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IFERROR(__xludf.DUMMYFUNCTION("""COMPUTED_VALUE"""),"1XmnTrOtQLoxDHPfo2HMbZB9NBqLkHPulaqnXm4cQ5KA")</f>
        <v>1XmnTrOtQLoxDHPfo2HMbZB9NBqLkHPulaqnXm4cQ5KA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IFERROR(__xludf.DUMMYFUNCTION("""COMPUTED_VALUE"""),"1T9s9NPtF9Q_Ppi6FLLTTJxb43fAm4QnWCD3GM96gXjQ")</f>
        <v>1T9s9NPtF9Q_Ppi6FLLTTJxb43fAm4QnWCD3GM96gXjQ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IFERROR(__xludf.DUMMYFUNCTION("""COMPUTED_VALUE"""),"13Bo68XuCJXrtlP5Ji1GdlQm3HIyUjNAnbQEqNi_0j80")</f>
        <v>13Bo68XuCJXrtlP5Ji1GdlQm3HIyUjNAnbQEqNi_0j80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IFERROR(__xludf.DUMMYFUNCTION("""COMPUTED_VALUE"""),"1KR8LzaHhEwxGacZ2Jul0uakCfHBvSq8Om-PWySPLpHU")</f>
        <v>1KR8LzaHhEwxGacZ2Jul0uakCfHBvSq8Om-PWySPLpHU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IFERROR(__xludf.DUMMYFUNCTION("""COMPUTED_VALUE"""),"1fkU0S4violR7UFjAn9TlUpgOonAIAkkJZA9g0xcb6hU")</f>
        <v>1fkU0S4violR7UFjAn9TlUpgOonAIAkkJZA9g0xcb6hU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IFERROR(__xludf.DUMMYFUNCTION("""COMPUTED_VALUE"""),"14GA6gCi0TKNLF2vISw-OK2MXQBKkoHIrNEl4pTEICeg")</f>
        <v>14GA6gCi0TKNLF2vISw-OK2MXQBKkoHIrNEl4pTEICeg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IFERROR(__xludf.DUMMYFUNCTION("""COMPUTED_VALUE"""),"1fRtlhH7TyRkIcxAV3P_BFbmJBgSLDwOvrBxrqiU6xKw")</f>
        <v>1fRtlhH7TyRkIcxAV3P_BFbmJBgSLDwOvrBxrqiU6xKw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IFERROR(__xludf.DUMMYFUNCTION("""COMPUTED_VALUE"""),"18BzE30Ho0Qvtx4D8qR8XqV6nyyOdYbSVu-Z17SjWyuA")</f>
        <v>18BzE30Ho0Qvtx4D8qR8XqV6nyyOdYbSVu-Z17SjWyuA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IFERROR(__xludf.DUMMYFUNCTION("""COMPUTED_VALUE"""),"175euYUhYwu8NiO4e3-6islzKymxACVs9cl3KioQ0DbA")</f>
        <v>175euYUhYwu8NiO4e3-6islzKymxACVs9cl3KioQ0DbA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IFERROR(__xludf.DUMMYFUNCTION("""COMPUTED_VALUE"""),"1aAWPiagRSQBPzFpFvPGXOL3ffgkx6Nv3C5nWfeoNcgM")</f>
        <v>1aAWPiagRSQBPzFpFvPGXOL3ffgkx6Nv3C5nWfeoNcgM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IFERROR(__xludf.DUMMYFUNCTION("""COMPUTED_VALUE"""),"1VxR48DRURy-5fMryJTwAP30_4MHBsyd5IYM_MA17mH4")</f>
        <v>1VxR48DRURy-5fMryJTwAP30_4MHBsyd5IYM_MA17mH4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IFERROR(__xludf.DUMMYFUNCTION("""COMPUTED_VALUE"""),"1KOVAJXM-60wuzbemyOcR8_7Pu3PI0nXBRqpYgb3dzkU")</f>
        <v>1KOVAJXM-60wuzbemyOcR8_7Pu3PI0nXBRqpYgb3dzkU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IFERROR(__xludf.DUMMYFUNCTION("""COMPUTED_VALUE"""),"125GL21UTNAv-VPIkHZbpZjsENPGN-XLVcbrUI4CZxxA")</f>
        <v>125GL21UTNAv-VPIkHZbpZjsENPGN-XLVcbrUI4CZxxA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IFERROR(__xludf.DUMMYFUNCTION("""COMPUTED_VALUE"""),"1kblrJiY5tjWVV0kCU90-uYIUPjXfJMDg72L-1IJOLGU")</f>
        <v>1kblrJiY5tjWVV0kCU90-uYIUPjXfJMDg72L-1IJOLGU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IFERROR(__xludf.DUMMYFUNCTION("""COMPUTED_VALUE"""),"1flh7l8ahyS7C018bO_Y6k1K-XT76tXzdz53HLkQ4xU4")</f>
        <v>1flh7l8ahyS7C018bO_Y6k1K-XT76tXzdz53HLkQ4xU4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IFERROR(__xludf.DUMMYFUNCTION("""COMPUTED_VALUE"""),"1MPmJ5VEjT-ZUHCoVctZCP9aHjIzuZW0_hruDc41GD-A")</f>
        <v>1MPmJ5VEjT-ZUHCoVctZCP9aHjIzuZW0_hruDc41GD-A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IFERROR(__xludf.DUMMYFUNCTION("""COMPUTED_VALUE"""),"1YPCy9ceoUg_SjAt-3PXhz8GxVOfWkuIJ1yRR9c0aZrE")</f>
        <v>1YPCy9ceoUg_SjAt-3PXhz8GxVOfWkuIJ1yRR9c0aZrE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IFERROR(__xludf.DUMMYFUNCTION("""COMPUTED_VALUE"""),"1YMp0jrKM8rLBzloaDu3tQ6aTv8C98xCVaQ6Wxe_flKc")</f>
        <v>1YMp0jrKM8rLBzloaDu3tQ6aTv8C98xCVaQ6Wxe_flKc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IFERROR(__xludf.DUMMYFUNCTION("""COMPUTED_VALUE"""),"1nK0OIxssf5AR0xHG2TzYVlqjkwDX8BRkcb7sWcPW2kA")</f>
        <v>1nK0OIxssf5AR0xHG2TzYVlqjkwDX8BRkcb7sWcPW2kA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IFERROR(__xludf.DUMMYFUNCTION("""COMPUTED_VALUE"""),"1QX_rYsr8GIcxa1bv4oQ2qNxe0w-YwiY_loABgwfLsP0")</f>
        <v>1QX_rYsr8GIcxa1bv4oQ2qNxe0w-YwiY_loABgwfLsP0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IFERROR(__xludf.DUMMYFUNCTION("""COMPUTED_VALUE"""),"10Mzp90fyme73_sxAYwM2i8xwqgeQUe_de_N7Y-Cnu6Q")</f>
        <v>10Mzp90fyme73_sxAYwM2i8xwqgeQUe_de_N7Y-Cnu6Q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IFERROR(__xludf.DUMMYFUNCTION("""COMPUTED_VALUE"""),"1Y4lmODSKti17gLeUqSwERRx-4D5awbTM9UOJZrp60F4")</f>
        <v>1Y4lmODSKti17gLeUqSwERRx-4D5awbTM9UOJZrp60F4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IFERROR(__xludf.DUMMYFUNCTION("""COMPUTED_VALUE"""),"1i5WlaPZ1-uo5yRQyqBi_NoGgPj8ziXj7cnN8reG8SXo")</f>
        <v>1i5WlaPZ1-uo5yRQyqBi_NoGgPj8ziXj7cnN8reG8SXo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IFERROR(__xludf.DUMMYFUNCTION("""COMPUTED_VALUE"""),"1zsU3_vPB4UlwnEI6Hgxofosk22-vdytF5SYhkTLGr3Y")</f>
        <v>1zsU3_vPB4UlwnEI6Hgxofosk22-vdytF5SYhkTLGr3Y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IFERROR(__xludf.DUMMYFUNCTION("""COMPUTED_VALUE"""),"1RozaKMXual4WXW46lBsE3Orf9OV2Nn-FhxvokH28xaw")</f>
        <v>1RozaKMXual4WXW46lBsE3Orf9OV2Nn-FhxvokH28xaw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IFERROR(__xludf.DUMMYFUNCTION("""COMPUTED_VALUE"""),"1P3hQI12FYJP4QrekwcLQ4UJcZeg6WQU7Y7X6wSfNfe4")</f>
        <v>1P3hQI12FYJP4QrekwcLQ4UJcZeg6WQU7Y7X6wSfNfe4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IFERROR(__xludf.DUMMYFUNCTION("""COMPUTED_VALUE"""),"1E0GenYl5VsF6ic5npTKWWfS_gebqIIj6InrHMvvbtso")</f>
        <v>1E0GenYl5VsF6ic5npTKWWfS_gebqIIj6InrHMvvbtso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IFERROR(__xludf.DUMMYFUNCTION("""COMPUTED_VALUE"""),"1HZDVVf9laKE8xHcR6trbwHakdbl6uFndhwO94MHDlcQ")</f>
        <v>1HZDVVf9laKE8xHcR6trbwHakdbl6uFndhwO94MHDlcQ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IFERROR(__xludf.DUMMYFUNCTION("""COMPUTED_VALUE"""),"16E73g0W5LRIhkg1RbjzOOK94Uv0Vlbn7MMDq-QXA2kc")</f>
        <v>16E73g0W5LRIhkg1RbjzOOK94Uv0Vlbn7MMDq-QXA2kc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IFERROR(__xludf.DUMMYFUNCTION("""COMPUTED_VALUE"""),"15CFpQocegIFfZ23cSQZai_mnb9NZPlp99oh6nO0sjXg")</f>
        <v>15CFpQocegIFfZ23cSQZai_mnb9NZPlp99oh6nO0sjXg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IFERROR(__xludf.DUMMYFUNCTION("""COMPUTED_VALUE"""),"18ge8W43MnUH64uDLyzdwmaOTsTAxaKRTY5e2M2PR7Ig")</f>
        <v>18ge8W43MnUH64uDLyzdwmaOTsTAxaKRTY5e2M2PR7Ig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IFERROR(__xludf.DUMMYFUNCTION("""COMPUTED_VALUE"""),"1T07pMES6_0vIAOHEcHllSqzIfxdK3kjZkG_bnk1Q87E")</f>
        <v>1T07pMES6_0vIAOHEcHllSqzIfxdK3kjZkG_bnk1Q87E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IFERROR(__xludf.DUMMYFUNCTION("""COMPUTED_VALUE"""),"1JSzRoeUWroBBbNbincAHC4uO8KmsFjinSPOeKTzIgWw")</f>
        <v>1JSzRoeUWroBBbNbincAHC4uO8KmsFjinSPOeKTzIgWw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IFERROR(__xludf.DUMMYFUNCTION("""COMPUTED_VALUE"""),"1M4JJJsoeSKu6pTetWn8bRE7zQlcKGucRxjGGlqEA3d4")</f>
        <v>1M4JJJsoeSKu6pTetWn8bRE7zQlcKGucRxjGGlqEA3d4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IFERROR(__xludf.DUMMYFUNCTION("""COMPUTED_VALUE"""),"1eGv-pvwZhT1511VogxRAfh-QbF2wJZDvzpTQHphliak")</f>
        <v>1eGv-pvwZhT1511VogxRAfh-QbF2wJZDvzpTQHphliak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IFERROR(__xludf.DUMMYFUNCTION("""COMPUTED_VALUE"""),"1H01hn91s0buuShObE8vUpumNB-99MHja4DJxcTvy1GU")</f>
        <v>1H01hn91s0buuShObE8vUpumNB-99MHja4DJxcTvy1GU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IFERROR(__xludf.DUMMYFUNCTION("""COMPUTED_VALUE"""),"1WtgbOyiLNErYI8GO9AbbJE12IcFr1TtjqIL6v2nwjLU")</f>
        <v>1WtgbOyiLNErYI8GO9AbbJE12IcFr1TtjqIL6v2nwjLU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IFERROR(__xludf.DUMMYFUNCTION("""COMPUTED_VALUE"""),"1duRG5DukVziXM3AbWJjEHG1WfsWREKj0zcQWLcC3N0o")</f>
        <v>1duRG5DukVziXM3AbWJjEHG1WfsWREKj0zcQWLcC3N0o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IFERROR(__xludf.DUMMYFUNCTION("""COMPUTED_VALUE"""),"1Z3l-jIyJbM2hFTF5NgxtnL1fChZg2TPPhaAzx7mfVm8")</f>
        <v>1Z3l-jIyJbM2hFTF5NgxtnL1fChZg2TPPhaAzx7mfVm8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IFERROR(__xludf.DUMMYFUNCTION("""COMPUTED_VALUE"""),"1NHKxDgR0tyL2jet1xXc0HhWXSJ-79CcnSRkHUBgPpoY")</f>
        <v>1NHKxDgR0tyL2jet1xXc0HhWXSJ-79CcnSRkHUBgPpoY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IFERROR(__xludf.DUMMYFUNCTION("""COMPUTED_VALUE"""),"1uy63r2XjpUIBlAUk-lXKJTr-PpvpP6wxvLlLDzoM-Ic")</f>
        <v>1uy63r2XjpUIBlAUk-lXKJTr-PpvpP6wxvLlLDzoM-Ic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IFERROR(__xludf.DUMMYFUNCTION("""COMPUTED_VALUE"""),"1zfvz-aZrAcrVcCZFJj3FAv1GqBrnIiDpgU-TteWVAOw")</f>
        <v>1zfvz-aZrAcrVcCZFJj3FAv1GqBrnIiDpgU-TteWVAOw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IFERROR(__xludf.DUMMYFUNCTION("""COMPUTED_VALUE"""),"SortAndVerifyPM")</f>
        <v>SortAndVerifyPM</v>
      </c>
      <c r="C637" t="str">
        <f>IFERROR(__xludf.DUMMYFUNCTION("""COMPUTED_VALUE"""),"1X7RzdVuf6bK9F2T7pOeh4nUpKg76Hv2aa-gBjDxYkcs")</f>
        <v>1X7RzdVuf6bK9F2T7pOeh4nUpKg76Hv2aa-gBjDxYkcs</v>
      </c>
    </row>
    <row r="638" ht="15.75" customHeight="1">
      <c r="A638" t="str">
        <f>IFERROR(__xludf.DUMMYFUNCTION("""COMPUTED_VALUE"""),"PortfolioManagement")</f>
        <v>PortfolioManagement</v>
      </c>
      <c r="B638" t="str">
        <f>IFERROR(__xludf.DUMMYFUNCTION("""COMPUTED_VALUE"""),"OpenPIFromPM")</f>
        <v>OpenPIFromPM</v>
      </c>
      <c r="C638" t="str">
        <f>IFERROR(__xludf.DUMMYFUNCTION("""COMPUTED_VALUE"""),"1IuAnXzRzuOehEMtqDK11-sb6DktGPWzx0jT8n2IsrY4")</f>
        <v>1IuAnXzRzuOehEMtqDK11-sb6DktGPWzx0jT8n2IsrY4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IFERROR(__xludf.DUMMYFUNCTION("""COMPUTED_VALUE"""),"RefreshPriceUsingMTT")</f>
        <v>RefreshPriceUsingMTT</v>
      </c>
      <c r="C639" t="str">
        <f>IFERROR(__xludf.DUMMYFUNCTION("""COMPUTED_VALUE"""),"1YtdRVMbFR2kvDHO7XasICZNjFKswCtDImUT3Gjkkfk4")</f>
        <v>1YtdRVMbFR2kvDHO7XasICZNjFKswCtDImUT3Gjkkfk4</v>
      </c>
    </row>
    <row r="640" ht="15.75" customHeight="1">
      <c r="A640" t="str">
        <f>IFERROR(__xludf.DUMMYFUNCTION("""COMPUTED_VALUE"""),"MultiTradingTicket")</f>
        <v>MultiTradingTicket</v>
      </c>
      <c r="B640" t="str">
        <f>IFERROR(__xludf.DUMMYFUNCTION("""COMPUTED_VALUE"""),"VerifyMTT")</f>
        <v>VerifyMTT</v>
      </c>
      <c r="C640" t="str">
        <f>IFERROR(__xludf.DUMMYFUNCTION("""COMPUTED_VALUE"""),"1LkpuYouts5i-ZznsIzocNzJ13lcRDsnSdXk19BRgReI")</f>
        <v>1LkpuYouts5i-ZznsIzocNzJ13lcRDsnSdXk19BRgReI</v>
      </c>
    </row>
    <row r="641" ht="15.75" customHeight="1">
      <c r="A641" t="str">
        <f>IFERROR(__xludf.DUMMYFUNCTION("""COMPUTED_VALUE"""),"Simulator")</f>
        <v>Simulator</v>
      </c>
      <c r="B641" t="str">
        <f>IFERROR(__xludf.DUMMYFUNCTION("""COMPUTED_VALUE"""),"SetToAutomaticResponse")</f>
        <v>SetToAutomaticResponse</v>
      </c>
      <c r="C641" t="str">
        <f>IFERROR(__xludf.DUMMYFUNCTION("""COMPUTED_VALUE"""),"Undefined")</f>
        <v>Undefined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IFERROR(__xludf.DUMMYFUNCTION("""COMPUTED_VALUE"""),"SaveTradeList")</f>
        <v>SaveTradeList</v>
      </c>
      <c r="C642" t="str">
        <f>IFERROR(__xludf.DUMMYFUNCTION("""COMPUTED_VALUE"""),"1xCgr8y8ZWOV67Yl77qPCYg-GSJNVZrE2EwAmtpL4Xfg")</f>
        <v>1xCgr8y8ZWOV67Yl77qPCYg-GSJNVZrE2EwAmtpL4Xfg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IFERROR(__xludf.DUMMYFUNCTION("""COMPUTED_VALUE"""),"NavImpactingComponent")</f>
        <v>NavImpactingComponent</v>
      </c>
      <c r="C643" t="str">
        <f>IFERROR(__xludf.DUMMYFUNCTION("""COMPUTED_VALUE"""),"1f0zk0GxJ77AGpV5f_CL_mwxkoRha7_3Z1PIbpXZtod4")</f>
        <v>1f0zk0GxJ77AGpV5f_CL_mwxkoRha7_3Z1PIbpXZtod4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IFERROR(__xludf.DUMMYFUNCTION("""COMPUTED_VALUE"""),"ImportUsingRebalAccrossSec")</f>
        <v>ImportUsingRebalAccrossSec</v>
      </c>
      <c r="C644" t="str">
        <f>IFERROR(__xludf.DUMMYFUNCTION("""COMPUTED_VALUE"""),"1wqAINPqghzd-HB-5iMIqQiCzJj40pqhM2cTv6gahRwo")</f>
        <v>1wqAINPqghzd-HB-5iMIqQiCzJj40pqhM2cTv6gahRwo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IFERROR(__xludf.DUMMYFUNCTION("""COMPUTED_VALUE"""),"EditImportStatus")</f>
        <v>EditImportStatus</v>
      </c>
      <c r="C645" t="str">
        <f>IFERROR(__xludf.DUMMYFUNCTION("""COMPUTED_VALUE"""),"1Xkf1z6WsFfAEpWdBzMACVnTjRvtpZJ0Jbfvug1u1fb8")</f>
        <v>1Xkf1z6WsFfAEpWdBzMACVnTjRvtpZJ0Jbfvug1u1fb8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IFERROR(__xludf.DUMMYFUNCTION("""COMPUTED_VALUE"""),"SelectActionsOnImportStatus")</f>
        <v>SelectActionsOnImportStatus</v>
      </c>
      <c r="C646" t="str">
        <f>IFERROR(__xludf.DUMMYFUNCTION("""COMPUTED_VALUE"""),"10jCuA8F_28LjeoDXTbc5IgQjfWoEPTWq9svKzhi97OA")</f>
        <v>10jCuA8F_28LjeoDXTbc5IgQjfWoEPTWq9svKzhi97OA</v>
      </c>
    </row>
    <row r="647" ht="15.75" customHeight="1">
      <c r="A647" t="str">
        <f>IFERROR(__xludf.DUMMYFUNCTION("""COMPUTED_VALUE"""),"Rebalancer")</f>
        <v>Rebalancer</v>
      </c>
      <c r="B647" t="str">
        <f>IFERROR(__xludf.DUMMYFUNCTION("""COMPUTED_VALUE"""),"VerifyImportStatus")</f>
        <v>VerifyImportStatus</v>
      </c>
      <c r="C647" t="str">
        <f>IFERROR(__xludf.DUMMYFUNCTION("""COMPUTED_VALUE"""),"1cyg6XGf_AlQQ_g5DPcBgmBfH4Oz4BH6IUMfTD5nIhFQ")</f>
        <v>1cyg6XGf_AlQQ_g5DPcBgmBfH4Oz4BH6IUMfTD5nIhFQ</v>
      </c>
    </row>
    <row r="648" ht="15.75" customHeight="1">
      <c r="A648" t="str">
        <f>IFERROR(__xludf.DUMMYFUNCTION("""COMPUTED_VALUE"""),"PTT")</f>
        <v>PTT</v>
      </c>
      <c r="B648" t="str">
        <f>IFERROR(__xludf.DUMMYFUNCTION("""COMPUTED_VALUE"""),"OpenPreferencesFromPTT")</f>
        <v>OpenPreferencesFromPTT</v>
      </c>
      <c r="C648" t="str">
        <f>IFERROR(__xludf.DUMMYFUNCTION("""COMPUTED_VALUE"""),"Undefined")</f>
        <v>Undefined</v>
      </c>
    </row>
    <row r="649" ht="15.75" customHeight="1">
      <c r="A649" t="str">
        <f>IFERROR(__xludf.DUMMYFUNCTION("""COMPUTED_VALUE"""),"Watchlist")</f>
        <v>Watchlist</v>
      </c>
      <c r="B649" t="str">
        <f>IFERROR(__xludf.DUMMYFUNCTION("""COMPUTED_VALUE"""),"OpenPTTFromWatchlist")</f>
        <v>OpenPTTFromWatchlist</v>
      </c>
      <c r="C649" t="str">
        <f>IFERROR(__xludf.DUMMYFUNCTION("""COMPUTED_VALUE"""),"1CRJ_F5octCl23LyAw_CoHc_10OvrxRq8f7mNNzl_B6c")</f>
        <v>1CRJ_F5octCl23LyAw_CoHc_10OvrxRq8f7mNNzl_B6c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IFERROR(__xludf.DUMMYFUNCTION("""COMPUTED_VALUE"""),"SetMarketDataProvider")</f>
        <v>SetMarketDataProvider</v>
      </c>
      <c r="C650" t="str">
        <f>IFERROR(__xludf.DUMMYFUNCTION("""COMPUTED_VALUE"""),"11vW7fknzM8vTBH8SeRsGGkS29p8E1Xfx9205Qtc5hC4")</f>
        <v>11vW7fknzM8vTBH8SeRsGGkS29p8E1Xfx9205Qtc5hC4</v>
      </c>
    </row>
    <row r="651" ht="15.75" customHeight="1">
      <c r="A651" t="str">
        <f>IFERROR(__xludf.DUMMYFUNCTION("""COMPUTED_VALUE"""),"Admin")</f>
        <v>Admin</v>
      </c>
      <c r="B651" t="str">
        <f>IFERROR(__xludf.DUMMYFUNCTION("""COMPUTED_VALUE"""),"SetAllocationPreferences")</f>
        <v>SetAllocationPreferences</v>
      </c>
      <c r="C651" t="str">
        <f>IFERROR(__xludf.DUMMYFUNCTION("""COMPUTED_VALUE"""),"16PO4KGgITIDM3iQzFlyKHfXPBXba023pXOJQCBN_Elc")</f>
        <v>16PO4KGgITIDM3iQzFlyKHfXPBXba023pXOJQCBN_Elc</v>
      </c>
    </row>
    <row r="652" ht="15.75" customHeight="1">
      <c r="A652" t="str">
        <f>IFERROR(__xludf.DUMMYFUNCTION("""COMPUTED_VALUE"""),"TradingTicket")</f>
        <v>TradingTicket</v>
      </c>
      <c r="B652" t="str">
        <f>IFERROR(__xludf.DUMMYFUNCTION("""COMPUTED_VALUE"""),"CustomOrderTT")</f>
        <v>CustomOrderTT</v>
      </c>
      <c r="C652" t="str">
        <f>IFERROR(__xludf.DUMMYFUNCTION("""COMPUTED_VALUE"""),"1v9UMAQA-yD9UreUAgBLbyi4tqqYMESm4YnqZhD5jKvk")</f>
        <v>1v9UMAQA-yD9UreUAgBLbyi4tqqYMESm4YnqZhD5jKvk</v>
      </c>
    </row>
    <row r="653" ht="15.75" customHeight="1">
      <c r="A653" t="str">
        <f>IFERROR(__xludf.DUMMYFUNCTION("""COMPUTED_VALUE"""),"TradeServer")</f>
        <v>TradeServer</v>
      </c>
      <c r="B653" t="str">
        <f>IFERROR(__xludf.DUMMYFUNCTION("""COMPUTED_VALUE"""),"ConnectToSimAutoMan")</f>
        <v>ConnectToSimAutoMan</v>
      </c>
      <c r="C653" t="str">
        <f>IFERROR(__xludf.DUMMYFUNCTION("""COMPUTED_VALUE"""),"1kmGpZTH9xe92vT2JQhF-Njj6d_RCoVtRypLmoKTlseo")</f>
        <v>1kmGpZTH9xe92vT2JQhF-Njj6d_RCoVtRypLmoKTlseo</v>
      </c>
    </row>
    <row r="654" ht="15.75" customHeight="1">
      <c r="A654" t="str">
        <f>IFERROR(__xludf.DUMMYFUNCTION("""COMPUTED_VALUE"""),"Admin")</f>
        <v>Admin</v>
      </c>
      <c r="B654" t="str">
        <f>IFERROR(__xludf.DUMMYFUNCTION("""COMPUTED_VALUE"""),"SetRegularCompliancePermission")</f>
        <v>SetRegularCompliancePermission</v>
      </c>
      <c r="C654" t="str">
        <f>IFERROR(__xludf.DUMMYFUNCTION("""COMPUTED_VALUE"""),"1pGZ7u9bF4Lu1nJJRSpSz5TQn_FVJsrIH05yxOHHU4S4")</f>
        <v>1pGZ7u9bF4Lu1nJJRSpSz5TQn_FVJsrIH05yxOHHU4S4</v>
      </c>
    </row>
    <row r="655" ht="15.75" customHeight="1">
      <c r="A655" t="str">
        <f>IFERROR(__xludf.DUMMYFUNCTION("""COMPUTED_VALUE"""),"MultiTradingTicket")</f>
        <v>MultiTradingTicket</v>
      </c>
      <c r="B655" t="str">
        <f>IFERROR(__xludf.DUMMYFUNCTION("""COMPUTED_VALUE"""),"AddOrRemoveColumn")</f>
        <v>AddOrRemoveColumn</v>
      </c>
      <c r="C655" t="str">
        <f>IFERROR(__xludf.DUMMYFUNCTION("""COMPUTED_VALUE"""),"143kwNkqtTW1E3kVeTrESBbZbd8h3b9KHBzWYPombeFE")</f>
        <v>143kwNkqtTW1E3kVeTrESBbZbd8h3b9KHBzWYPombeFE</v>
      </c>
    </row>
    <row r="656" ht="15.75" customHeight="1">
      <c r="A656" t="str">
        <f>IFERROR(__xludf.DUMMYFUNCTION("""COMPUTED_VALUE"""),"Blotter")</f>
        <v>Blotter</v>
      </c>
      <c r="B656" t="str">
        <f>IFERROR(__xludf.DUMMYFUNCTION("""COMPUTED_VALUE"""),"RemoveOrderFromCustomTab")</f>
        <v>RemoveOrderFromCustomTab</v>
      </c>
      <c r="C656" t="str">
        <f>IFERROR(__xludf.DUMMYFUNCTION("""COMPUTED_VALUE"""),"1sfynQiLVUyAEBtlKhgJSpN7R6q9257IFweh0qT9mx20")</f>
        <v>1sfynQiLVUyAEBtlKhgJSpN7R6q9257IFweh0qT9mx20</v>
      </c>
    </row>
    <row r="657" ht="15.75" customHeight="1">
      <c r="A657" t="str">
        <f>IFERROR(__xludf.DUMMYFUNCTION("""COMPUTED_VALUE"""),"MultiTradingTicket")</f>
        <v>MultiTradingTicket</v>
      </c>
      <c r="B657" t="str">
        <f>IFERROR(__xludf.DUMMYFUNCTION("""COMPUTED_VALUE"""),"SaveLayoutUsingMTT")</f>
        <v>SaveLayoutUsingMTT</v>
      </c>
      <c r="C657" t="str">
        <f>IFERROR(__xludf.DUMMYFUNCTION("""COMPUTED_VALUE"""),"Undefined")</f>
        <v>Undefined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IFERROR(__xludf.DUMMYFUNCTION("""COMPUTED_VALUE"""),"ReloadFromSummary")</f>
        <v>ReloadFromSummary</v>
      </c>
      <c r="C658" t="str">
        <f>IFERROR(__xludf.DUMMYFUNCTION("""COMPUTED_VALUE"""),"1va9lkysxv5IoF2imeSPCpBsD6J_IgJcN5bBcjjoS3g4")</f>
        <v>1va9lkysxv5IoF2imeSPCpBsD6J_IgJcN5bBcjjoS3g4</v>
      </c>
    </row>
    <row r="659" ht="15.75" customHeight="1">
      <c r="A659" t="str">
        <f>IFERROR(__xludf.DUMMYFUNCTION("""COMPUTED_VALUE"""),"Blotter")</f>
        <v>Blotter</v>
      </c>
      <c r="B659" t="str">
        <f>IFERROR(__xludf.DUMMYFUNCTION("""COMPUTED_VALUE"""),"AllocateFromWorkingSubsBlotter")</f>
        <v>AllocateFromWorkingSubsBlotter</v>
      </c>
      <c r="C659" t="str">
        <f>IFERROR(__xludf.DUMMYFUNCTION("""COMPUTED_VALUE"""),"1y2YFZm3A-cdE2rpKOdJdC0HlrimUfKr3DluQsVb-w0E")</f>
        <v>1y2YFZm3A-cdE2rpKOdJdC0HlrimUfKr3DluQsVb-w0E</v>
      </c>
    </row>
    <row r="660" ht="15.75" customHeight="1">
      <c r="A660" t="str">
        <f>IFERROR(__xludf.DUMMYFUNCTION("""COMPUTED_VALUE"""),"TradingTicket")</f>
        <v>TradingTicket</v>
      </c>
      <c r="B660" t="str">
        <f>IFERROR(__xludf.DUMMYFUNCTION("""COMPUTED_VALUE"""),"CheckStepSheet")</f>
        <v>CheckStepSheet</v>
      </c>
      <c r="C660" t="str">
        <f>IFERROR(__xludf.DUMMYFUNCTION("""COMPUTED_VALUE"""),"1CcLgTaVQvUoDbfsClCPnFcyGRwVMAdsncTnhtlJxsws")</f>
        <v>1CcLgTaVQvUoDbfsClCPnFcyGRwVMAdsncTnhtlJxsws</v>
      </c>
    </row>
    <row r="661" ht="15.75" customHeight="1">
      <c r="A661" t="str">
        <f>IFERROR(__xludf.DUMMYFUNCTION("""COMPUTED_VALUE"""),"Rebalancer")</f>
        <v>Rebalancer</v>
      </c>
      <c r="B661" t="str">
        <f>IFERROR(__xludf.DUMMYFUNCTION("""COMPUTED_VALUE"""),"AddNewModelPortfolio")</f>
        <v>AddNewModelPortfolio</v>
      </c>
      <c r="C661" t="str">
        <f>IFERROR(__xludf.DUMMYFUNCTION("""COMPUTED_VALUE"""),"1Qh_vkSA3OzQ68ohGqDcDXce4JnkIitnyepLjVSKsW40")</f>
        <v>1Qh_vkSA3OzQ68ohGqDcDXce4JnkIitnyepLjVSKsW40</v>
      </c>
    </row>
    <row r="662" ht="15.75" customHeight="1">
      <c r="A662" t="str">
        <f>IFERROR(__xludf.DUMMYFUNCTION("""COMPUTED_VALUE"""),"MultiTradingTicket")</f>
        <v>MultiTradingTicket</v>
      </c>
      <c r="B662" t="str">
        <f>IFERROR(__xludf.DUMMYFUNCTION("""COMPUTED_VALUE"""),"ApplyFilterOnMTTGrid")</f>
        <v>ApplyFilterOnMTTGrid</v>
      </c>
      <c r="C662" t="str">
        <f>IFERROR(__xludf.DUMMYFUNCTION("""COMPUTED_VALUE"""),"1Vbhwhkyzzv1rTVbuvoBAl60OJALDvg_yXNHVYwq0EhE")</f>
        <v>1Vbhwhkyzzv1rTVbuvoBAl60OJALDvg_yXNHVYwq0EhE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IFERROR(__xludf.DUMMYFUNCTION("""COMPUTED_VALUE"""),"SaveLayoutPM")</f>
        <v>SaveLayoutPM</v>
      </c>
      <c r="C663" t="str">
        <f>IFERROR(__xludf.DUMMYFUNCTION("""COMPUTED_VALUE"""),"18bINF8LvIWUr1rFpe1vpLTKdPT6dJi-B14KFcAVwyfQ")</f>
        <v>18bINF8LvIWUr1rFpe1vpLTKdPT6dJi-B14KFcAVwyfQ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IFERROR(__xludf.DUMMYFUNCTION("""COMPUTED_VALUE"""),"ViewSettings")</f>
        <v>ViewSettings</v>
      </c>
      <c r="C664" t="str">
        <f>IFERROR(__xludf.DUMMYFUNCTION("""COMPUTED_VALUE"""),"1BCFYc9ywS4ss91grP2kHc2F1OGEGuTk3Hc5CFYfKKao")</f>
        <v>1BCFYc9ywS4ss91grP2kHc2F1OGEGuTk3Hc5CFYfKKao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IFERROR(__xludf.DUMMYFUNCTION("""COMPUTED_VALUE"""),"Rebalancer")</f>
        <v>Rebalancer</v>
      </c>
      <c r="B668" t="str">
        <f>IFERROR(__xludf.DUMMYFUNCTION("""COMPUTED_VALUE"""),"VerifyBuySellList")</f>
        <v>VerifyBuySellList</v>
      </c>
      <c r="C668" t="str">
        <f>IFERROR(__xludf.DUMMYFUNCTION("""COMPUTED_VALUE"""),"1O2u9vu9lB8RTOcsD20GdbXlSWEbt310TUvIkuLxRuBg")</f>
        <v>1O2u9vu9lB8RTOcsD20GdbXlSWEbt310TUvIkuLxRuBg</v>
      </c>
    </row>
    <row r="669" ht="15.75" customHeight="1">
      <c r="A669" t="str">
        <f>IFERROR(__xludf.DUMMYFUNCTION("""COMPUTED_VALUE"""),"Admin")</f>
        <v>Admin</v>
      </c>
      <c r="B669" t="str">
        <f>IFERROR(__xludf.DUMMYFUNCTION("""COMPUTED_VALUE"""),"SetCommissionRule")</f>
        <v>SetCommissionRule</v>
      </c>
      <c r="C669" t="str">
        <f>IFERROR(__xludf.DUMMYFUNCTION("""COMPUTED_VALUE"""),"1e-yvODG5ey0ZbxkvSZQ_rap65UOoA-JbxTp0ybaw-TQ")</f>
        <v>1e-yvODG5ey0ZbxkvSZQ_rap65UOoA-JbxTp0ybaw-TQ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9" t="s">
        <v>4</v>
      </c>
      <c r="C3" s="8"/>
    </row>
    <row r="4" ht="15.75" customHeight="1">
      <c r="A4" s="11" t="s">
        <v>5</v>
      </c>
      <c r="B4" s="12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1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IFERROR(__xludf.DUMMYFUNCTION("""COMPUTED_VALUE"""),"Quantity")</f>
        <v>Quantity</v>
      </c>
      <c r="D5" s="27" t="str">
        <f>IFERROR(__xludf.DUMMYFUNCTION("""COMPUTED_VALUE"""),"Price")</f>
        <v>Price</v>
      </c>
      <c r="E5" s="27" t="str">
        <f>IFERROR(__xludf.DUMMYFUNCTION("""COMPUTED_VALUE"""),"Order type button")</f>
        <v>Order type button</v>
      </c>
      <c r="F5" s="28" t="str">
        <f>IFERROR(__xludf.DUMMYFUNCTION("""COMPUTED_VALUE"""),"SharesOutstandingPopUp")</f>
        <v>SharesOutstandingPopUp</v>
      </c>
      <c r="G5" s="27" t="str">
        <f>IFERROR(__xludf.DUMMYFUNCTION("""COMPUTED_VALUE"""),"TT_Open")</f>
        <v>TT_Open</v>
      </c>
      <c r="H5" s="27" t="str">
        <f>IFERROR(__xludf.DUMMYFUNCTION("""COMPUTED_VALUE"""),"SharesOutstandingPopUpQty")</f>
        <v>SharesOutstandingPopUpQty</v>
      </c>
      <c r="I5" s="27" t="str">
        <f>IFERROR(__xludf.DUMMYFUNCTION("""COMPUTED_VALUE"""),"AllocationMethod")</f>
        <v>AllocationMethod</v>
      </c>
      <c r="J5" s="27" t="str">
        <f>IFERROR(__xludf.DUMMYFUNCTION("""COMPUTED_VALUE"""),"Order Side")</f>
        <v>Order Side</v>
      </c>
      <c r="K5" s="27" t="str">
        <f>IFERROR(__xludf.DUMMYFUNCTION("""COMPUTED_VALUE"""),"DB_Check")</f>
        <v>DB_Check</v>
      </c>
      <c r="L5" s="27" t="str">
        <f>IFERROR(__xludf.DUMMYFUNCTION("""COMPUTED_VALUE"""),"CommissionBasis")</f>
        <v>CommissionBasis</v>
      </c>
      <c r="M5" s="27" t="str">
        <f>IFERROR(__xludf.DUMMYFUNCTION("""COMPUTED_VALUE"""),"CommissionRate")</f>
        <v>CommissionRate</v>
      </c>
      <c r="N5" s="27" t="str">
        <f>IFERROR(__xludf.DUMMYFUNCTION("""COMPUTED_VALUE"""),"SoftBasis")</f>
        <v>SoftBasis</v>
      </c>
      <c r="O5" s="27" t="str">
        <f>IFERROR(__xludf.DUMMYFUNCTION("""COMPUTED_VALUE"""),"SoftRate")</f>
        <v>SoftRate</v>
      </c>
      <c r="P5" s="27" t="str">
        <f>IFERROR(__xludf.DUMMYFUNCTION("""COMPUTED_VALUE"""),"Account")</f>
        <v>Account</v>
      </c>
      <c r="Q5" s="27" t="str">
        <f>IFERROR(__xludf.DUMMYFUNCTION("""COMPUTED_VALUE"""),"Account %")</f>
        <v>Account %</v>
      </c>
      <c r="R5" s="27" t="str">
        <f>IFERROR(__xludf.DUMMYFUNCTION("""COMPUTED_VALUE"""),"VerifySuggestions")</f>
        <v>VerifySuggestions</v>
      </c>
      <c r="S5" s="27" t="str">
        <f>IFERROR(__xludf.DUMMYFUNCTION("""COMPUTED_VALUE"""),"SymbolToPickFromSuggesstions")</f>
        <v>SymbolToPickFromSuggesstions</v>
      </c>
      <c r="T5" s="29" t="str">
        <f>IFERROR(__xludf.DUMMYFUNCTION("""COMPUTED_VALUE"""),"TypedSymbolAvailableOnSuggestion")</f>
        <v>TypedSymbolAvailableOnSuggestion</v>
      </c>
      <c r="U5" s="29" t="str">
        <f>IFERROR(__xludf.DUMMYFUNCTION("""COMPUTED_VALUE"""),"TIF")</f>
        <v>TIF</v>
      </c>
      <c r="V5" s="29" t="str">
        <f>IFERROR(__xludf.DUMMYFUNCTION("""COMPUTED_VALUE"""),"Order Type")</f>
        <v>Order Type</v>
      </c>
      <c r="W5" s="29" t="str">
        <f>IFERROR(__xludf.DUMMYFUNCTION("""COMPUTED_VALUE"""),"Stop")</f>
        <v>Stop</v>
      </c>
      <c r="X5" s="29" t="str">
        <f>IFERROR(__xludf.DUMMYFUNCTION("""COMPUTED_VALUE"""),"Limit")</f>
        <v>Limit</v>
      </c>
      <c r="Y5" s="29" t="str">
        <f>IFERROR(__xludf.DUMMYFUNCTION("""COMPUTED_VALUE"""),"Expiration Date")</f>
        <v>Expiration Date</v>
      </c>
      <c r="Z5" s="29" t="str">
        <f>IFERROR(__xludf.DUMMYFUNCTION("""COMPUTED_VALUE"""),"Trade Date")</f>
        <v>Trade Date</v>
      </c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s">
        <v>16</v>
      </c>
      <c r="C6" s="32">
        <v>1000.0</v>
      </c>
      <c r="D6" s="30"/>
      <c r="E6" s="33" t="s">
        <v>17</v>
      </c>
      <c r="F6" s="34"/>
      <c r="G6" s="34"/>
      <c r="H6" s="34"/>
      <c r="I6" s="34"/>
      <c r="J6" s="33" t="s">
        <v>18</v>
      </c>
      <c r="K6" s="34"/>
      <c r="L6" s="34"/>
      <c r="M6" s="34"/>
      <c r="N6" s="34"/>
      <c r="O6" s="34"/>
      <c r="P6" s="34"/>
      <c r="Q6" s="34"/>
      <c r="R6" s="34"/>
      <c r="S6" s="34"/>
      <c r="T6" s="34"/>
      <c r="U6" s="34" t="s">
        <v>19</v>
      </c>
      <c r="V6" s="34"/>
      <c r="W6" s="34"/>
      <c r="X6" s="35">
        <v>100.0</v>
      </c>
      <c r="Y6" s="36">
        <f>TODAY()</f>
        <v>45301</v>
      </c>
      <c r="Z6" s="36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34"/>
      <c r="B7" s="33" t="s">
        <v>16</v>
      </c>
      <c r="C7" s="32">
        <v>1001.0</v>
      </c>
      <c r="D7" s="34"/>
      <c r="E7" s="33" t="s">
        <v>17</v>
      </c>
      <c r="F7" s="34"/>
      <c r="G7" s="34"/>
      <c r="H7" s="34"/>
      <c r="I7" s="34"/>
      <c r="J7" s="33" t="s">
        <v>18</v>
      </c>
      <c r="K7" s="34"/>
      <c r="L7" s="34"/>
      <c r="M7" s="34"/>
      <c r="N7" s="34"/>
      <c r="O7" s="34"/>
      <c r="P7" s="34"/>
      <c r="Q7" s="34"/>
      <c r="R7" s="34"/>
      <c r="S7" s="34"/>
      <c r="T7" s="34"/>
      <c r="U7" s="34" t="s">
        <v>20</v>
      </c>
      <c r="V7" s="34"/>
      <c r="W7" s="34"/>
      <c r="X7" s="35">
        <v>100.0</v>
      </c>
      <c r="Y7" s="34"/>
      <c r="Z7" s="36"/>
      <c r="AA7" s="34"/>
      <c r="AB7" s="34"/>
      <c r="AC7" s="34"/>
      <c r="AD7" s="34"/>
      <c r="AE7" s="34"/>
      <c r="AF7" s="34"/>
      <c r="AG7" s="34"/>
      <c r="AH7" s="34"/>
      <c r="AI7" s="34"/>
      <c r="AJ7" s="34"/>
      <c r="AK7" s="34"/>
      <c r="AL7" s="34"/>
      <c r="AM7" s="34"/>
      <c r="AN7" s="34"/>
      <c r="AO7" s="34"/>
      <c r="AP7" s="34"/>
      <c r="AQ7" s="34"/>
      <c r="AR7" s="34"/>
      <c r="AS7" s="34"/>
      <c r="AT7" s="34"/>
      <c r="AU7" s="34"/>
      <c r="AV7" s="34"/>
      <c r="AW7" s="34"/>
      <c r="AX7" s="34"/>
      <c r="AY7" s="34"/>
      <c r="AZ7" s="34"/>
      <c r="BA7" s="34"/>
      <c r="BB7" s="34"/>
      <c r="BC7" s="34"/>
      <c r="BD7" s="34"/>
      <c r="BE7" s="34"/>
      <c r="BF7" s="34"/>
      <c r="BG7" s="34"/>
      <c r="BH7" s="34"/>
      <c r="BI7" s="34"/>
      <c r="BJ7" s="34"/>
      <c r="BK7" s="34"/>
      <c r="BL7" s="34"/>
      <c r="BM7" s="34"/>
      <c r="BN7" s="34"/>
      <c r="BO7" s="34"/>
      <c r="BP7" s="34"/>
      <c r="BQ7" s="34"/>
      <c r="BR7" s="34"/>
      <c r="BS7" s="34"/>
      <c r="BT7" s="34"/>
      <c r="BU7" s="34"/>
      <c r="BV7" s="34"/>
      <c r="BW7" s="34"/>
      <c r="BX7" s="34"/>
      <c r="BY7" s="34"/>
      <c r="BZ7" s="34"/>
      <c r="CA7" s="34"/>
      <c r="CB7" s="34"/>
      <c r="CC7" s="34"/>
      <c r="CD7" s="34"/>
      <c r="CE7" s="34"/>
      <c r="CF7" s="34"/>
      <c r="CG7" s="34"/>
      <c r="CH7" s="34"/>
      <c r="CI7" s="34"/>
      <c r="CJ7" s="34"/>
      <c r="CK7" s="34"/>
      <c r="CL7" s="34"/>
      <c r="CM7" s="34"/>
      <c r="CN7" s="34"/>
      <c r="CO7" s="34"/>
      <c r="CP7" s="34"/>
      <c r="CQ7" s="34"/>
      <c r="CR7" s="34"/>
      <c r="CS7" s="34"/>
      <c r="CT7" s="34"/>
      <c r="CU7" s="34"/>
      <c r="CV7" s="34"/>
      <c r="CW7" s="34"/>
      <c r="CX7" s="34"/>
      <c r="CY7" s="34"/>
      <c r="CZ7" s="34"/>
      <c r="DA7" s="34"/>
      <c r="DB7" s="34"/>
      <c r="DC7" s="34"/>
      <c r="DD7" s="34"/>
      <c r="DE7" s="34"/>
      <c r="DF7" s="34"/>
      <c r="DG7" s="34"/>
      <c r="DH7" s="34"/>
      <c r="DI7" s="34"/>
      <c r="DJ7" s="34"/>
      <c r="DK7" s="34"/>
      <c r="DL7" s="34"/>
      <c r="DM7" s="34"/>
      <c r="DN7" s="34"/>
      <c r="DO7" s="34"/>
      <c r="DP7" s="34"/>
      <c r="DQ7" s="34"/>
      <c r="DR7" s="34"/>
      <c r="DS7" s="34"/>
      <c r="DT7" s="34"/>
      <c r="DU7" s="34"/>
      <c r="DV7" s="34"/>
      <c r="DW7" s="34"/>
      <c r="DX7" s="34"/>
      <c r="DY7" s="34"/>
      <c r="DZ7" s="34"/>
      <c r="EA7" s="34"/>
      <c r="EB7" s="34"/>
      <c r="EC7" s="34"/>
      <c r="ED7" s="34"/>
      <c r="EE7" s="34"/>
      <c r="EF7" s="34"/>
      <c r="EG7" s="34"/>
      <c r="EH7" s="34"/>
      <c r="EI7" s="34"/>
      <c r="EJ7" s="34"/>
      <c r="EK7" s="34"/>
      <c r="EL7" s="34"/>
      <c r="EM7" s="34"/>
      <c r="EN7" s="34"/>
      <c r="EO7" s="34"/>
      <c r="EP7" s="34"/>
      <c r="EQ7" s="34"/>
      <c r="ER7" s="34"/>
      <c r="ES7" s="34"/>
      <c r="ET7" s="34"/>
      <c r="EU7" s="34"/>
      <c r="EV7" s="34"/>
      <c r="EW7" s="34"/>
      <c r="EX7" s="34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CustomOrderTT!$4:$4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21</v>
      </c>
      <c r="D3" s="5" t="s">
        <v>9</v>
      </c>
      <c r="E3" s="22" t="s">
        <v>22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s">
        <v>18</v>
      </c>
      <c r="C6" s="33" t="s">
        <v>16</v>
      </c>
      <c r="D6" s="30"/>
      <c r="E6" s="34"/>
      <c r="F6" s="34"/>
      <c r="G6" s="32">
        <v>1000.0</v>
      </c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SelectTrade!$4:$4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21</v>
      </c>
      <c r="D3" s="5" t="s">
        <v>9</v>
      </c>
      <c r="E3" s="22" t="s">
        <v>23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s">
        <v>18</v>
      </c>
      <c r="C6" s="33" t="s">
        <v>16</v>
      </c>
      <c r="D6" s="30"/>
      <c r="E6" s="34"/>
      <c r="F6" s="34"/>
      <c r="G6" s="32">
        <v>1000.0</v>
      </c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AcknowledgeTrade!$4:$4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21</v>
      </c>
      <c r="D3" s="5" t="s">
        <v>9</v>
      </c>
      <c r="E3" s="22" t="s">
        <v>24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IFERROR(__xludf.DUMMYFUNCTION("""COMPUTED_VALUE"""),"Price")</f>
        <v>Price</v>
      </c>
      <c r="C5" s="27" t="str">
        <f>IFERROR(__xludf.DUMMYFUNCTION("""COMPUTED_VALUE"""),"Shares")</f>
        <v>Shares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7">
        <v>12.0</v>
      </c>
      <c r="C6" s="32">
        <v>500.0</v>
      </c>
      <c r="D6" s="30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ExecuteTrade!$4:$4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21</v>
      </c>
      <c r="D3" s="5" t="s">
        <v>9</v>
      </c>
      <c r="E3" s="22" t="s">
        <v>22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s">
        <v>18</v>
      </c>
      <c r="C6" s="33" t="s">
        <v>16</v>
      </c>
      <c r="D6" s="30"/>
      <c r="E6" s="34"/>
      <c r="F6" s="34"/>
      <c r="G6" s="32">
        <v>1001.0</v>
      </c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SelectTrade1!$4:$4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21</v>
      </c>
      <c r="D3" s="5" t="s">
        <v>9</v>
      </c>
      <c r="E3" s="22" t="s">
        <v>23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s">
        <v>18</v>
      </c>
      <c r="C6" s="33" t="s">
        <v>16</v>
      </c>
      <c r="D6" s="30"/>
      <c r="E6" s="34"/>
      <c r="F6" s="34"/>
      <c r="G6" s="32">
        <v>1001.0</v>
      </c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AcknowledgeTrade1!$4:$4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21</v>
      </c>
      <c r="D3" s="5" t="s">
        <v>9</v>
      </c>
      <c r="E3" s="22" t="s">
        <v>24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IFERROR(__xludf.DUMMYFUNCTION("""COMPUTED_VALUE"""),"Price")</f>
        <v>Price</v>
      </c>
      <c r="C5" s="27" t="str">
        <f>IFERROR(__xludf.DUMMYFUNCTION("""COMPUTED_VALUE"""),"Shares")</f>
        <v>Shares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7">
        <v>12.0</v>
      </c>
      <c r="C6" s="32">
        <v>500.0</v>
      </c>
      <c r="D6" s="30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ExecuteTrade1!$4:$4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25</v>
      </c>
      <c r="D3" s="5" t="s">
        <v>9</v>
      </c>
      <c r="E3" s="22" t="s">
        <v>26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IFERROR(__xludf.DUMMYFUNCTION("""COMPUTED_VALUE"""),"Avg Fill Price (Base)")</f>
        <v>Avg Fill Price (Base)</v>
      </c>
      <c r="C5" s="27" t="str">
        <f>IFERROR(__xludf.DUMMYFUNCTION("""COMPUTED_VALUE"""),"Transaction Time")</f>
        <v>Transaction Time</v>
      </c>
      <c r="D5" s="27" t="str">
        <f>IFERROR(__xludf.DUMMYFUNCTION("""COMPUTED_VALUE"""),"Symbol")</f>
        <v>Symbol</v>
      </c>
      <c r="E5" s="27" t="str">
        <f>IFERROR(__xludf.DUMMYFUNCTION("""COMPUTED_VALUE"""),"Algo")</f>
        <v>Algo</v>
      </c>
      <c r="F5" s="28" t="str">
        <f>IFERROR(__xludf.DUMMYFUNCTION("""COMPUTED_VALUE"""),"Side")</f>
        <v>Side</v>
      </c>
      <c r="G5" s="27" t="str">
        <f>IFERROR(__xludf.DUMMYFUNCTION("""COMPUTED_VALUE"""),"Status")</f>
        <v>Status</v>
      </c>
      <c r="H5" s="27" t="str">
        <f>IFERROR(__xludf.DUMMYFUNCTION("""COMPUTED_VALUE"""),"Target Qty")</f>
        <v>Target Qty</v>
      </c>
      <c r="I5" s="27" t="str">
        <f>IFERROR(__xludf.DUMMYFUNCTION("""COMPUTED_VALUE"""),"Total Executed Qty")</f>
        <v>Total Executed Qty</v>
      </c>
      <c r="J5" s="27" t="str">
        <f>IFERROR(__xludf.DUMMYFUNCTION("""COMPUTED_VALUE"""),"% Executed")</f>
        <v>% Executed</v>
      </c>
      <c r="K5" s="27" t="str">
        <f>IFERROR(__xludf.DUMMYFUNCTION("""COMPUTED_VALUE"""),"Day Executed Qty")</f>
        <v>Day Executed Qty</v>
      </c>
      <c r="L5" s="27" t="str">
        <f>IFERROR(__xludf.DUMMYFUNCTION("""COMPUTED_VALUE"""),"Uncommitted Qty")</f>
        <v>Uncommitted Qty</v>
      </c>
      <c r="M5" s="27" t="str">
        <f>IFERROR(__xludf.DUMMYFUNCTION("""COMPUTED_VALUE"""),"Limit Price")</f>
        <v>Limit Price</v>
      </c>
      <c r="N5" s="27" t="str">
        <f>IFERROR(__xludf.DUMMYFUNCTION("""COMPUTED_VALUE"""),"Last Fill Price (Local)")</f>
        <v>Last Fill Price (Local)</v>
      </c>
      <c r="O5" s="27" t="str">
        <f>IFERROR(__xludf.DUMMYFUNCTION("""COMPUTED_VALUE"""),"Stop Price")</f>
        <v>Stop Price</v>
      </c>
      <c r="P5" s="27" t="str">
        <f>IFERROR(__xludf.DUMMYFUNCTION("""COMPUTED_VALUE"""),"Avg Fill Price (Local)")</f>
        <v>Avg Fill Price (Local)</v>
      </c>
      <c r="Q5" s="27" t="str">
        <f>IFERROR(__xludf.DUMMYFUNCTION("""COMPUTED_VALUE"""),"Broker")</f>
        <v>Broker</v>
      </c>
      <c r="R5" s="27" t="str">
        <f>IFERROR(__xludf.DUMMYFUNCTION("""COMPUTED_VALUE"""),"Account")</f>
        <v>Account</v>
      </c>
      <c r="S5" s="27" t="str">
        <f>IFERROR(__xludf.DUMMYFUNCTION("""COMPUTED_VALUE"""),"OrderID")</f>
        <v>OrderID</v>
      </c>
      <c r="T5" s="29" t="str">
        <f>IFERROR(__xludf.DUMMYFUNCTION("""COMPUTED_VALUE"""),"Order Type")</f>
        <v>Order Type</v>
      </c>
      <c r="U5" s="29" t="str">
        <f>IFERROR(__xludf.DUMMYFUNCTION("""COMPUTED_VALUE"""),"Principal Amount (Local)")</f>
        <v>Principal Amount (Local)</v>
      </c>
      <c r="V5" s="29" t="str">
        <f>IFERROR(__xludf.DUMMYFUNCTION("""COMPUTED_VALUE"""),"Principal Amount (Base)")</f>
        <v>Principal Amount (Base)</v>
      </c>
      <c r="W5" s="29" t="str">
        <f>IFERROR(__xludf.DUMMYFUNCTION("""COMPUTED_VALUE"""),"Peg")</f>
        <v>Peg</v>
      </c>
      <c r="X5" s="29" t="str">
        <f>IFERROR(__xludf.DUMMYFUNCTION("""COMPUTED_VALUE"""),"ParentClOrderID")</f>
        <v>ParentClOrderID</v>
      </c>
      <c r="Y5" s="29" t="str">
        <f>IFERROR(__xludf.DUMMYFUNCTION("""COMPUTED_VALUE"""),"Strike Price")</f>
        <v>Strike Price</v>
      </c>
      <c r="Z5" s="29" t="str">
        <f>IFERROR(__xludf.DUMMYFUNCTION("""COMPUTED_VALUE"""),"Last Shares")</f>
        <v>Last Shares</v>
      </c>
      <c r="AA5" s="29" t="str">
        <f>IFERROR(__xludf.DUMMYFUNCTION("""COMPUTED_VALUE"""),"Working Qty")</f>
        <v>Working Qty</v>
      </c>
      <c r="AB5" s="29" t="str">
        <f>IFERROR(__xludf.DUMMYFUNCTION("""COMPUTED_VALUE"""),"Bloomberg Symbol")</f>
        <v>Bloomberg Symbol</v>
      </c>
      <c r="AC5" s="29" t="str">
        <f>IFERROR(__xludf.DUMMYFUNCTION("""COMPUTED_VALUE"""),"Imported File Name")</f>
        <v>Imported File Name</v>
      </c>
      <c r="AD5" s="29" t="str">
        <f>IFERROR(__xludf.DUMMYFUNCTION("""COMPUTED_VALUE"""),"Master Fund")</f>
        <v>Master Fund</v>
      </c>
      <c r="AE5" s="29" t="str">
        <f>IFERROR(__xludf.DUMMYFUNCTION("""COMPUTED_VALUE"""),"Day Average Price")</f>
        <v>Day Average Price</v>
      </c>
      <c r="AF5" s="29" t="str">
        <f>IFERROR(__xludf.DUMMYFUNCTION("""COMPUTED_VALUE"""),"Asset Class")</f>
        <v>Asset Class</v>
      </c>
      <c r="AG5" s="29" t="str">
        <f>IFERROR(__xludf.DUMMYFUNCTION("""COMPUTED_VALUE"""),"Underlying Country")</f>
        <v>Underlying Country</v>
      </c>
      <c r="AH5" s="29" t="str">
        <f>IFERROR(__xludf.DUMMYFUNCTION("""COMPUTED_VALUE"""),"Trader")</f>
        <v>Trader</v>
      </c>
      <c r="AI5" s="29" t="str">
        <f>IFERROR(__xludf.DUMMYFUNCTION("""COMPUTED_VALUE"""),"User")</f>
        <v>User</v>
      </c>
      <c r="AJ5" s="29" t="str">
        <f>IFERROR(__xludf.DUMMYFUNCTION("""COMPUTED_VALUE"""),"Venue")</f>
        <v>Venue</v>
      </c>
      <c r="AK5" s="29" t="str">
        <f>IFERROR(__xludf.DUMMYFUNCTION("""COMPUTED_VALUE"""),"Settlement Currency")</f>
        <v>Settlement Currency</v>
      </c>
      <c r="AL5" s="29" t="str">
        <f>IFERROR(__xludf.DUMMYFUNCTION("""COMPUTED_VALUE"""),"FX Conversion Operator")</f>
        <v>FX Conversion Operator</v>
      </c>
      <c r="AM5" s="29" t="str">
        <f>IFERROR(__xludf.DUMMYFUNCTION("""COMPUTED_VALUE"""),"Process Date")</f>
        <v>Process Date</v>
      </c>
      <c r="AN5" s="29" t="str">
        <f>IFERROR(__xludf.DUMMYFUNCTION("""COMPUTED_VALUE"""),"Underlying Symbol")</f>
        <v>Underlying Symbol</v>
      </c>
      <c r="AO5" s="29" t="str">
        <f>IFERROR(__xludf.DUMMYFUNCTION("""COMPUTED_VALUE"""),"Put/Call")</f>
        <v>Put/Call</v>
      </c>
      <c r="AP5" s="29" t="str">
        <f>IFERROR(__xludf.DUMMYFUNCTION("""COMPUTED_VALUE"""),"FX Rate")</f>
        <v>FX Rate</v>
      </c>
      <c r="AQ5" s="29" t="str">
        <f>IFERROR(__xludf.DUMMYFUNCTION("""COMPUTED_VALUE"""),"Trade Attribute 1")</f>
        <v>Trade Attribute 1</v>
      </c>
      <c r="AR5" s="29" t="str">
        <f>IFERROR(__xludf.DUMMYFUNCTION("""COMPUTED_VALUE"""),"Trade Attribute 2")</f>
        <v>Trade Attribute 2</v>
      </c>
      <c r="AS5" s="29" t="str">
        <f>IFERROR(__xludf.DUMMYFUNCTION("""COMPUTED_VALUE"""),"Trade Attribute 3")</f>
        <v>Trade Attribute 3</v>
      </c>
      <c r="AT5" s="29" t="str">
        <f>IFERROR(__xludf.DUMMYFUNCTION("""COMPUTED_VALUE"""),"Trade Attribute 4")</f>
        <v>Trade Attribute 4</v>
      </c>
      <c r="AU5" s="29" t="str">
        <f>IFERROR(__xludf.DUMMYFUNCTION("""COMPUTED_VALUE"""),"Trade Attribute 5")</f>
        <v>Trade Attribute 5</v>
      </c>
      <c r="AV5" s="29" t="str">
        <f>IFERROR(__xludf.DUMMYFUNCTION("""COMPUTED_VALUE"""),"Trade Attribute 6")</f>
        <v>Trade Attribute 6</v>
      </c>
      <c r="AW5" s="29" t="str">
        <f>IFERROR(__xludf.DUMMYFUNCTION("""COMPUTED_VALUE"""),"Internal Comments")</f>
        <v>Internal Comments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/>
      <c r="C6" s="34"/>
      <c r="D6" s="31" t="s">
        <v>16</v>
      </c>
      <c r="E6" s="34"/>
      <c r="F6" s="34"/>
      <c r="G6" s="34"/>
      <c r="H6" s="32">
        <v>1000.0</v>
      </c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SelectTradeOnOrderGrid!$4:$4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25</v>
      </c>
      <c r="D3" s="5" t="s">
        <v>9</v>
      </c>
      <c r="E3" s="22" t="s">
        <v>27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IFERROR(__xludf.DUMMYFUNCTION("""COMPUTED_VALUE"""),"User")</f>
        <v>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1")</f>
        <v>Trade Attribute 1</v>
      </c>
      <c r="N5" s="27" t="str">
        <f>IFERROR(__xludf.DUMMYFUNCTION("""COMPUTED_VALUE"""),"Trade Attribute 2")</f>
        <v>Trade Attribute 2</v>
      </c>
      <c r="O5" s="27" t="str">
        <f>IFERROR(__xludf.DUMMYFUNCTION("""COMPUTED_VALUE"""),"Trade Attribute 3")</f>
        <v>Trade Attribute 3</v>
      </c>
      <c r="P5" s="27" t="str">
        <f>IFERROR(__xludf.DUMMYFUNCTION("""COMPUTED_VALUE"""),"Trade Attribute 4")</f>
        <v>Trade Attribute 4</v>
      </c>
      <c r="Q5" s="27" t="str">
        <f>IFERROR(__xludf.DUMMYFUNCTION("""COMPUTED_VALUE"""),"Trade Attribute 5")</f>
        <v>Trade Attribute 5</v>
      </c>
      <c r="R5" s="27" t="str">
        <f>IFERROR(__xludf.DUMMYFUNCTION("""COMPUTED_VALUE"""),"Trade Attribute 6")</f>
        <v>Trade Attribute 6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IFERROR(__xludf.DUMMYFUNCTION("""COMPUTED_VALUE"""),"Quantity")</f>
        <v>Quantity</v>
      </c>
      <c r="AM5" s="29" t="str">
        <f>IFERROR(__xludf.DUMMYFUNCTION("""COMPUTED_VALUE"""),"Executed Qty")</f>
        <v>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IFERROR(__xludf.DUMMYFUNCTION("""COMPUTED_VALUE"""),"Remaining Qty")</f>
        <v>Remaining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IFERROR(__xludf.DUMMYFUNCTION("""COMPUTED_VALUE"""),"Status (With Rollover)")</f>
        <v>Status (With Rollover)</v>
      </c>
      <c r="AZ5" s="29" t="str">
        <f>IFERROR(__xludf.DUMMYFUNCTION("""COMPUTED_VALUE"""),"Start of Day Qty")</f>
        <v>Start of Day Qty</v>
      </c>
      <c r="BA5" s="29" t="str">
        <f>IFERROR(__xludf.DUMMYFUNCTION("""COMPUTED_VALUE"""),"Leaves")</f>
        <v>Leaves</v>
      </c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/>
      <c r="C6" s="34"/>
      <c r="D6" s="30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 t="s">
        <v>16</v>
      </c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CancelSubOrder!$4:$4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21</v>
      </c>
      <c r="D3" s="5" t="s">
        <v>9</v>
      </c>
      <c r="E3" s="22" t="s">
        <v>28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s">
        <v>18</v>
      </c>
      <c r="C6" s="33" t="s">
        <v>16</v>
      </c>
      <c r="D6" s="30"/>
      <c r="E6" s="34"/>
      <c r="F6" s="34"/>
      <c r="G6" s="32">
        <v>1000.0</v>
      </c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RejectTrade!$4:$4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25</v>
      </c>
      <c r="D3" s="5" t="s">
        <v>9</v>
      </c>
      <c r="E3" s="22" t="s">
        <v>26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IFERROR(__xludf.DUMMYFUNCTION("""COMPUTED_VALUE"""),"Avg Fill Price (Base)")</f>
        <v>Avg Fill Price (Base)</v>
      </c>
      <c r="C5" s="27" t="str">
        <f>IFERROR(__xludf.DUMMYFUNCTION("""COMPUTED_VALUE"""),"Transaction Time")</f>
        <v>Transaction Time</v>
      </c>
      <c r="D5" s="27" t="str">
        <f>IFERROR(__xludf.DUMMYFUNCTION("""COMPUTED_VALUE"""),"Symbol")</f>
        <v>Symbol</v>
      </c>
      <c r="E5" s="27" t="str">
        <f>IFERROR(__xludf.DUMMYFUNCTION("""COMPUTED_VALUE"""),"Algo")</f>
        <v>Algo</v>
      </c>
      <c r="F5" s="28" t="str">
        <f>IFERROR(__xludf.DUMMYFUNCTION("""COMPUTED_VALUE"""),"Side")</f>
        <v>Side</v>
      </c>
      <c r="G5" s="27" t="str">
        <f>IFERROR(__xludf.DUMMYFUNCTION("""COMPUTED_VALUE"""),"Status")</f>
        <v>Status</v>
      </c>
      <c r="H5" s="27" t="str">
        <f>IFERROR(__xludf.DUMMYFUNCTION("""COMPUTED_VALUE"""),"Target Qty")</f>
        <v>Target Qty</v>
      </c>
      <c r="I5" s="27" t="str">
        <f>IFERROR(__xludf.DUMMYFUNCTION("""COMPUTED_VALUE"""),"Total Executed Qty")</f>
        <v>Total Executed Qty</v>
      </c>
      <c r="J5" s="27" t="str">
        <f>IFERROR(__xludf.DUMMYFUNCTION("""COMPUTED_VALUE"""),"% Executed")</f>
        <v>% Executed</v>
      </c>
      <c r="K5" s="27" t="str">
        <f>IFERROR(__xludf.DUMMYFUNCTION("""COMPUTED_VALUE"""),"Day Executed Qty")</f>
        <v>Day Executed Qty</v>
      </c>
      <c r="L5" s="27" t="str">
        <f>IFERROR(__xludf.DUMMYFUNCTION("""COMPUTED_VALUE"""),"Uncommitted Qty")</f>
        <v>Uncommitted Qty</v>
      </c>
      <c r="M5" s="27" t="str">
        <f>IFERROR(__xludf.DUMMYFUNCTION("""COMPUTED_VALUE"""),"Limit Price")</f>
        <v>Limit Price</v>
      </c>
      <c r="N5" s="27" t="str">
        <f>IFERROR(__xludf.DUMMYFUNCTION("""COMPUTED_VALUE"""),"Last Fill Price (Local)")</f>
        <v>Last Fill Price (Local)</v>
      </c>
      <c r="O5" s="27" t="str">
        <f>IFERROR(__xludf.DUMMYFUNCTION("""COMPUTED_VALUE"""),"Stop Price")</f>
        <v>Stop Price</v>
      </c>
      <c r="P5" s="27" t="str">
        <f>IFERROR(__xludf.DUMMYFUNCTION("""COMPUTED_VALUE"""),"Avg Fill Price (Local)")</f>
        <v>Avg Fill Price (Local)</v>
      </c>
      <c r="Q5" s="27" t="str">
        <f>IFERROR(__xludf.DUMMYFUNCTION("""COMPUTED_VALUE"""),"Broker")</f>
        <v>Broker</v>
      </c>
      <c r="R5" s="27" t="str">
        <f>IFERROR(__xludf.DUMMYFUNCTION("""COMPUTED_VALUE"""),"Account")</f>
        <v>Account</v>
      </c>
      <c r="S5" s="27" t="str">
        <f>IFERROR(__xludf.DUMMYFUNCTION("""COMPUTED_VALUE"""),"OrderID")</f>
        <v>OrderID</v>
      </c>
      <c r="T5" s="29" t="str">
        <f>IFERROR(__xludf.DUMMYFUNCTION("""COMPUTED_VALUE"""),"Order Type")</f>
        <v>Order Type</v>
      </c>
      <c r="U5" s="29" t="str">
        <f>IFERROR(__xludf.DUMMYFUNCTION("""COMPUTED_VALUE"""),"Principal Amount (Local)")</f>
        <v>Principal Amount (Local)</v>
      </c>
      <c r="V5" s="29" t="str">
        <f>IFERROR(__xludf.DUMMYFUNCTION("""COMPUTED_VALUE"""),"Principal Amount (Base)")</f>
        <v>Principal Amount (Base)</v>
      </c>
      <c r="W5" s="29" t="str">
        <f>IFERROR(__xludf.DUMMYFUNCTION("""COMPUTED_VALUE"""),"Peg")</f>
        <v>Peg</v>
      </c>
      <c r="X5" s="29" t="str">
        <f>IFERROR(__xludf.DUMMYFUNCTION("""COMPUTED_VALUE"""),"ParentClOrderID")</f>
        <v>ParentClOrderID</v>
      </c>
      <c r="Y5" s="29" t="str">
        <f>IFERROR(__xludf.DUMMYFUNCTION("""COMPUTED_VALUE"""),"Strike Price")</f>
        <v>Strike Price</v>
      </c>
      <c r="Z5" s="29" t="str">
        <f>IFERROR(__xludf.DUMMYFUNCTION("""COMPUTED_VALUE"""),"Last Shares")</f>
        <v>Last Shares</v>
      </c>
      <c r="AA5" s="29" t="str">
        <f>IFERROR(__xludf.DUMMYFUNCTION("""COMPUTED_VALUE"""),"Working Qty")</f>
        <v>Working Qty</v>
      </c>
      <c r="AB5" s="29" t="str">
        <f>IFERROR(__xludf.DUMMYFUNCTION("""COMPUTED_VALUE"""),"Bloomberg Symbol")</f>
        <v>Bloomberg Symbol</v>
      </c>
      <c r="AC5" s="29" t="str">
        <f>IFERROR(__xludf.DUMMYFUNCTION("""COMPUTED_VALUE"""),"Imported File Name")</f>
        <v>Imported File Name</v>
      </c>
      <c r="AD5" s="29" t="str">
        <f>IFERROR(__xludf.DUMMYFUNCTION("""COMPUTED_VALUE"""),"Master Fund")</f>
        <v>Master Fund</v>
      </c>
      <c r="AE5" s="29" t="str">
        <f>IFERROR(__xludf.DUMMYFUNCTION("""COMPUTED_VALUE"""),"Day Average Price")</f>
        <v>Day Average Price</v>
      </c>
      <c r="AF5" s="29" t="str">
        <f>IFERROR(__xludf.DUMMYFUNCTION("""COMPUTED_VALUE"""),"Asset Class")</f>
        <v>Asset Class</v>
      </c>
      <c r="AG5" s="29" t="str">
        <f>IFERROR(__xludf.DUMMYFUNCTION("""COMPUTED_VALUE"""),"Underlying Country")</f>
        <v>Underlying Country</v>
      </c>
      <c r="AH5" s="29" t="str">
        <f>IFERROR(__xludf.DUMMYFUNCTION("""COMPUTED_VALUE"""),"Trader")</f>
        <v>Trader</v>
      </c>
      <c r="AI5" s="29" t="str">
        <f>IFERROR(__xludf.DUMMYFUNCTION("""COMPUTED_VALUE"""),"User")</f>
        <v>User</v>
      </c>
      <c r="AJ5" s="29" t="str">
        <f>IFERROR(__xludf.DUMMYFUNCTION("""COMPUTED_VALUE"""),"Venue")</f>
        <v>Venue</v>
      </c>
      <c r="AK5" s="29" t="str">
        <f>IFERROR(__xludf.DUMMYFUNCTION("""COMPUTED_VALUE"""),"Settlement Currency")</f>
        <v>Settlement Currency</v>
      </c>
      <c r="AL5" s="29" t="str">
        <f>IFERROR(__xludf.DUMMYFUNCTION("""COMPUTED_VALUE"""),"FX Conversion Operator")</f>
        <v>FX Conversion Operator</v>
      </c>
      <c r="AM5" s="29" t="str">
        <f>IFERROR(__xludf.DUMMYFUNCTION("""COMPUTED_VALUE"""),"Process Date")</f>
        <v>Process Date</v>
      </c>
      <c r="AN5" s="29" t="str">
        <f>IFERROR(__xludf.DUMMYFUNCTION("""COMPUTED_VALUE"""),"Underlying Symbol")</f>
        <v>Underlying Symbol</v>
      </c>
      <c r="AO5" s="29" t="str">
        <f>IFERROR(__xludf.DUMMYFUNCTION("""COMPUTED_VALUE"""),"Put/Call")</f>
        <v>Put/Call</v>
      </c>
      <c r="AP5" s="29" t="str">
        <f>IFERROR(__xludf.DUMMYFUNCTION("""COMPUTED_VALUE"""),"FX Rate")</f>
        <v>FX Rate</v>
      </c>
      <c r="AQ5" s="29" t="str">
        <f>IFERROR(__xludf.DUMMYFUNCTION("""COMPUTED_VALUE"""),"Trade Attribute 1")</f>
        <v>Trade Attribute 1</v>
      </c>
      <c r="AR5" s="29" t="str">
        <f>IFERROR(__xludf.DUMMYFUNCTION("""COMPUTED_VALUE"""),"Trade Attribute 2")</f>
        <v>Trade Attribute 2</v>
      </c>
      <c r="AS5" s="29" t="str">
        <f>IFERROR(__xludf.DUMMYFUNCTION("""COMPUTED_VALUE"""),"Trade Attribute 3")</f>
        <v>Trade Attribute 3</v>
      </c>
      <c r="AT5" s="29" t="str">
        <f>IFERROR(__xludf.DUMMYFUNCTION("""COMPUTED_VALUE"""),"Trade Attribute 4")</f>
        <v>Trade Attribute 4</v>
      </c>
      <c r="AU5" s="29" t="str">
        <f>IFERROR(__xludf.DUMMYFUNCTION("""COMPUTED_VALUE"""),"Trade Attribute 5")</f>
        <v>Trade Attribute 5</v>
      </c>
      <c r="AV5" s="29" t="str">
        <f>IFERROR(__xludf.DUMMYFUNCTION("""COMPUTED_VALUE"""),"Trade Attribute 6")</f>
        <v>Trade Attribute 6</v>
      </c>
      <c r="AW5" s="29" t="str">
        <f>IFERROR(__xludf.DUMMYFUNCTION("""COMPUTED_VALUE"""),"Internal Comments")</f>
        <v>Internal Comments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/>
      <c r="C6" s="34"/>
      <c r="D6" s="31" t="s">
        <v>16</v>
      </c>
      <c r="E6" s="34"/>
      <c r="F6" s="34"/>
      <c r="G6" s="34"/>
      <c r="H6" s="38">
        <v>1001.0</v>
      </c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SelectTradeOnOrderGrid1!$4:$4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25</v>
      </c>
      <c r="D3" s="5" t="s">
        <v>9</v>
      </c>
      <c r="E3" s="22" t="s">
        <v>27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IFERROR(__xludf.DUMMYFUNCTION("""COMPUTED_VALUE"""),"User")</f>
        <v>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1")</f>
        <v>Trade Attribute 1</v>
      </c>
      <c r="N5" s="27" t="str">
        <f>IFERROR(__xludf.DUMMYFUNCTION("""COMPUTED_VALUE"""),"Trade Attribute 2")</f>
        <v>Trade Attribute 2</v>
      </c>
      <c r="O5" s="27" t="str">
        <f>IFERROR(__xludf.DUMMYFUNCTION("""COMPUTED_VALUE"""),"Trade Attribute 3")</f>
        <v>Trade Attribute 3</v>
      </c>
      <c r="P5" s="27" t="str">
        <f>IFERROR(__xludf.DUMMYFUNCTION("""COMPUTED_VALUE"""),"Trade Attribute 4")</f>
        <v>Trade Attribute 4</v>
      </c>
      <c r="Q5" s="27" t="str">
        <f>IFERROR(__xludf.DUMMYFUNCTION("""COMPUTED_VALUE"""),"Trade Attribute 5")</f>
        <v>Trade Attribute 5</v>
      </c>
      <c r="R5" s="27" t="str">
        <f>IFERROR(__xludf.DUMMYFUNCTION("""COMPUTED_VALUE"""),"Trade Attribute 6")</f>
        <v>Trade Attribute 6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IFERROR(__xludf.DUMMYFUNCTION("""COMPUTED_VALUE"""),"Quantity")</f>
        <v>Quantity</v>
      </c>
      <c r="AM5" s="29" t="str">
        <f>IFERROR(__xludf.DUMMYFUNCTION("""COMPUTED_VALUE"""),"Executed Qty")</f>
        <v>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IFERROR(__xludf.DUMMYFUNCTION("""COMPUTED_VALUE"""),"Remaining Qty")</f>
        <v>Remaining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IFERROR(__xludf.DUMMYFUNCTION("""COMPUTED_VALUE"""),"Status (With Rollover)")</f>
        <v>Status (With Rollover)</v>
      </c>
      <c r="AZ5" s="29" t="str">
        <f>IFERROR(__xludf.DUMMYFUNCTION("""COMPUTED_VALUE"""),"Start of Day Qty")</f>
        <v>Start of Day Qty</v>
      </c>
      <c r="BA5" s="29" t="str">
        <f>IFERROR(__xludf.DUMMYFUNCTION("""COMPUTED_VALUE"""),"Leaves")</f>
        <v>Leaves</v>
      </c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/>
      <c r="C6" s="34"/>
      <c r="D6" s="30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 t="s">
        <v>16</v>
      </c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CancelSubOrder1!$4:$4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21</v>
      </c>
      <c r="D3" s="5" t="s">
        <v>9</v>
      </c>
      <c r="E3" s="22" t="s">
        <v>28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s">
        <v>18</v>
      </c>
      <c r="C6" s="33" t="s">
        <v>16</v>
      </c>
      <c r="D6" s="30"/>
      <c r="E6" s="34"/>
      <c r="F6" s="34"/>
      <c r="G6" s="38">
        <v>1001.0</v>
      </c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RejectTrade1!$4:$4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21</v>
      </c>
      <c r="D3" s="5" t="s">
        <v>9</v>
      </c>
      <c r="E3" s="22" t="s">
        <v>24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IFERROR(__xludf.DUMMYFUNCTION("""COMPUTED_VALUE"""),"Price")</f>
        <v>Price</v>
      </c>
      <c r="C5" s="27" t="str">
        <f>IFERROR(__xludf.DUMMYFUNCTION("""COMPUTED_VALUE"""),"Shares")</f>
        <v>Shares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>
        <v>12.0</v>
      </c>
      <c r="C6" s="12">
        <v>200.0</v>
      </c>
      <c r="D6" s="12"/>
      <c r="E6" s="39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ExecuteTrade2!$4:$4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25</v>
      </c>
      <c r="D3" s="5" t="s">
        <v>9</v>
      </c>
      <c r="E3" s="22" t="s">
        <v>29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IFERROR(__xludf.DUMMYFUNCTION("""COMPUTED_VALUE"""),"User")</f>
        <v>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1")</f>
        <v>Trade Attribute 1</v>
      </c>
      <c r="N5" s="27" t="str">
        <f>IFERROR(__xludf.DUMMYFUNCTION("""COMPUTED_VALUE"""),"Trade Attribute 2")</f>
        <v>Trade Attribute 2</v>
      </c>
      <c r="O5" s="27" t="str">
        <f>IFERROR(__xludf.DUMMYFUNCTION("""COMPUTED_VALUE"""),"Trade Attribute 3")</f>
        <v>Trade Attribute 3</v>
      </c>
      <c r="P5" s="27" t="str">
        <f>IFERROR(__xludf.DUMMYFUNCTION("""COMPUTED_VALUE"""),"Trade Attribute 4")</f>
        <v>Trade Attribute 4</v>
      </c>
      <c r="Q5" s="27" t="str">
        <f>IFERROR(__xludf.DUMMYFUNCTION("""COMPUTED_VALUE"""),"Trade Attribute 5")</f>
        <v>Trade Attribute 5</v>
      </c>
      <c r="R5" s="27" t="str">
        <f>IFERROR(__xludf.DUMMYFUNCTION("""COMPUTED_VALUE"""),"Trade Attribute 6")</f>
        <v>Trade Attribute 6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IFERROR(__xludf.DUMMYFUNCTION("""COMPUTED_VALUE"""),"Remaining Qty")</f>
        <v>Remaining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IFERROR(__xludf.DUMMYFUNCTION("""COMPUTED_VALUE"""),"userName")</f>
        <v>userName</v>
      </c>
      <c r="AY5" s="29" t="str">
        <f>IFERROR(__xludf.DUMMYFUNCTION("""COMPUTED_VALUE"""),"Allocation Scheme Name")</f>
        <v>Allocation Scheme Name</v>
      </c>
      <c r="AZ5" s="29" t="str">
        <f>IFERROR(__xludf.DUMMYFUNCTION("""COMPUTED_VALUE"""),"Allow Transfer")</f>
        <v>Allow Transfer</v>
      </c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/>
      <c r="C6" s="34"/>
      <c r="D6" s="30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 t="s">
        <v>16</v>
      </c>
      <c r="AJ6" s="34" t="s">
        <v>18</v>
      </c>
      <c r="AK6" s="34"/>
      <c r="AL6" s="35">
        <v>1000.0</v>
      </c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 t="s">
        <v>30</v>
      </c>
      <c r="AY6" s="34"/>
      <c r="AZ6" s="34" t="s">
        <v>31</v>
      </c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34"/>
      <c r="B7" s="34"/>
      <c r="C7" s="34"/>
      <c r="D7" s="34"/>
      <c r="E7" s="34"/>
      <c r="F7" s="34"/>
      <c r="G7" s="34"/>
      <c r="H7" s="34"/>
      <c r="I7" s="34"/>
      <c r="J7" s="34"/>
      <c r="K7" s="34"/>
      <c r="L7" s="34"/>
      <c r="M7" s="34"/>
      <c r="N7" s="34"/>
      <c r="O7" s="34"/>
      <c r="P7" s="34"/>
      <c r="Q7" s="34"/>
      <c r="R7" s="34"/>
      <c r="S7" s="34"/>
      <c r="T7" s="34"/>
      <c r="U7" s="34"/>
      <c r="V7" s="34"/>
      <c r="W7" s="34"/>
      <c r="X7" s="34"/>
      <c r="Y7" s="34"/>
      <c r="Z7" s="34"/>
      <c r="AA7" s="34"/>
      <c r="AB7" s="34"/>
      <c r="AC7" s="34"/>
      <c r="AD7" s="34"/>
      <c r="AE7" s="34"/>
      <c r="AF7" s="34"/>
      <c r="AG7" s="34"/>
      <c r="AH7" s="34"/>
      <c r="AI7" s="34" t="s">
        <v>16</v>
      </c>
      <c r="AJ7" s="34" t="s">
        <v>18</v>
      </c>
      <c r="AK7" s="34"/>
      <c r="AL7" s="35">
        <v>1001.0</v>
      </c>
      <c r="AM7" s="34"/>
      <c r="AN7" s="34"/>
      <c r="AO7" s="34"/>
      <c r="AP7" s="34"/>
      <c r="AQ7" s="34"/>
      <c r="AR7" s="34"/>
      <c r="AS7" s="34"/>
      <c r="AT7" s="34"/>
      <c r="AU7" s="34"/>
      <c r="AV7" s="34"/>
      <c r="AW7" s="34"/>
      <c r="AX7" s="34" t="s">
        <v>30</v>
      </c>
      <c r="AY7" s="34"/>
      <c r="AZ7" s="34" t="s">
        <v>31</v>
      </c>
      <c r="BA7" s="34"/>
      <c r="BB7" s="34"/>
      <c r="BC7" s="34"/>
      <c r="BD7" s="34"/>
      <c r="BE7" s="34"/>
      <c r="BF7" s="34"/>
      <c r="BG7" s="34"/>
      <c r="BH7" s="34"/>
      <c r="BI7" s="34"/>
      <c r="BJ7" s="34"/>
      <c r="BK7" s="34"/>
      <c r="BL7" s="34"/>
      <c r="BM7" s="34"/>
      <c r="BN7" s="34"/>
      <c r="BO7" s="34"/>
      <c r="BP7" s="34"/>
      <c r="BQ7" s="34"/>
      <c r="BR7" s="34"/>
      <c r="BS7" s="34"/>
      <c r="BT7" s="34"/>
      <c r="BU7" s="34"/>
      <c r="BV7" s="34"/>
      <c r="BW7" s="34"/>
      <c r="BX7" s="34"/>
      <c r="BY7" s="34"/>
      <c r="BZ7" s="34"/>
      <c r="CA7" s="34"/>
      <c r="CB7" s="34"/>
      <c r="CC7" s="34"/>
      <c r="CD7" s="34"/>
      <c r="CE7" s="34"/>
      <c r="CF7" s="34"/>
      <c r="CG7" s="34"/>
      <c r="CH7" s="34"/>
      <c r="CI7" s="34"/>
      <c r="CJ7" s="34"/>
      <c r="CK7" s="34"/>
      <c r="CL7" s="34"/>
      <c r="CM7" s="34"/>
      <c r="CN7" s="34"/>
      <c r="CO7" s="34"/>
      <c r="CP7" s="34"/>
      <c r="CQ7" s="34"/>
      <c r="CR7" s="34"/>
      <c r="CS7" s="34"/>
      <c r="CT7" s="34"/>
      <c r="CU7" s="34"/>
      <c r="CV7" s="34"/>
      <c r="CW7" s="34"/>
      <c r="CX7" s="34"/>
      <c r="CY7" s="34"/>
      <c r="CZ7" s="34"/>
      <c r="DA7" s="34"/>
      <c r="DB7" s="34"/>
      <c r="DC7" s="34"/>
      <c r="DD7" s="34"/>
      <c r="DE7" s="34"/>
      <c r="DF7" s="34"/>
      <c r="DG7" s="34"/>
      <c r="DH7" s="34"/>
      <c r="DI7" s="34"/>
      <c r="DJ7" s="34"/>
      <c r="DK7" s="34"/>
      <c r="DL7" s="34"/>
      <c r="DM7" s="34"/>
      <c r="DN7" s="34"/>
      <c r="DO7" s="34"/>
      <c r="DP7" s="34"/>
      <c r="DQ7" s="34"/>
      <c r="DR7" s="34"/>
      <c r="DS7" s="34"/>
      <c r="DT7" s="34"/>
      <c r="DU7" s="34"/>
      <c r="DV7" s="34"/>
      <c r="DW7" s="34"/>
      <c r="DX7" s="34"/>
      <c r="DY7" s="34"/>
      <c r="DZ7" s="34"/>
      <c r="EA7" s="34"/>
      <c r="EB7" s="34"/>
      <c r="EC7" s="34"/>
      <c r="ED7" s="34"/>
      <c r="EE7" s="34"/>
      <c r="EF7" s="34"/>
      <c r="EG7" s="34"/>
      <c r="EH7" s="34"/>
      <c r="EI7" s="34"/>
      <c r="EJ7" s="34"/>
      <c r="EK7" s="34"/>
      <c r="EL7" s="34"/>
      <c r="EM7" s="34"/>
      <c r="EN7" s="34"/>
      <c r="EO7" s="34"/>
      <c r="EP7" s="34"/>
      <c r="EQ7" s="34"/>
      <c r="ER7" s="34"/>
      <c r="ES7" s="34"/>
      <c r="ET7" s="34"/>
      <c r="EU7" s="34"/>
      <c r="EV7" s="34"/>
      <c r="EW7" s="34"/>
      <c r="EX7" s="34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TransferToUserOrder!$4:$4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6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  <c r="GH1" s="19"/>
      <c r="GI1" s="19"/>
      <c r="GJ1" s="19"/>
      <c r="GK1" s="19"/>
      <c r="GL1" s="19"/>
      <c r="GM1" s="19"/>
      <c r="GN1" s="19"/>
      <c r="GO1" s="19"/>
      <c r="GP1" s="19"/>
      <c r="GQ1" s="19"/>
      <c r="GR1" s="19"/>
      <c r="GS1" s="19"/>
      <c r="GT1" s="19"/>
      <c r="GU1" s="19"/>
      <c r="GV1" s="19"/>
      <c r="GW1" s="19"/>
      <c r="GX1" s="19"/>
      <c r="GY1" s="19"/>
      <c r="GZ1" s="19"/>
      <c r="HA1" s="19"/>
      <c r="HB1" s="19"/>
      <c r="HC1" s="19"/>
      <c r="HD1" s="19"/>
      <c r="HE1" s="19"/>
      <c r="HF1" s="19"/>
      <c r="HG1" s="19"/>
      <c r="HH1" s="19"/>
      <c r="HI1" s="19"/>
      <c r="HJ1" s="19"/>
      <c r="HK1" s="19"/>
      <c r="HL1" s="19"/>
      <c r="HM1" s="19"/>
      <c r="HN1" s="19"/>
      <c r="HO1" s="19"/>
      <c r="HP1" s="19"/>
      <c r="HQ1" s="19"/>
      <c r="HR1" s="19"/>
      <c r="HS1" s="19"/>
      <c r="HT1" s="19"/>
      <c r="HU1" s="19"/>
      <c r="HV1" s="19"/>
      <c r="HW1" s="19"/>
      <c r="HX1" s="19"/>
      <c r="HY1" s="19"/>
      <c r="HZ1" s="19"/>
      <c r="IA1" s="19"/>
      <c r="IB1" s="19"/>
      <c r="IC1" s="19"/>
      <c r="ID1" s="19"/>
      <c r="IE1" s="19"/>
      <c r="IF1" s="19"/>
      <c r="IG1" s="19"/>
      <c r="IH1" s="19"/>
      <c r="II1" s="19"/>
      <c r="IJ1" s="19"/>
      <c r="IK1" s="19"/>
      <c r="IL1" s="19"/>
      <c r="IM1" s="19"/>
      <c r="IN1" s="19"/>
      <c r="IO1" s="19"/>
      <c r="IP1" s="19"/>
      <c r="IQ1" s="19"/>
      <c r="IR1" s="19"/>
      <c r="IS1" s="19"/>
      <c r="IT1" s="19"/>
      <c r="IU1" s="19"/>
      <c r="IV1" s="19"/>
      <c r="IW1" s="19"/>
      <c r="IX1" s="19"/>
      <c r="IY1" s="19"/>
      <c r="IZ1" s="19"/>
      <c r="JA1" s="19"/>
      <c r="JB1" s="19"/>
      <c r="JC1" s="19"/>
      <c r="JD1" s="19"/>
      <c r="JE1" s="19"/>
      <c r="JF1" s="19"/>
      <c r="JG1" s="19"/>
      <c r="JH1" s="19"/>
      <c r="JI1" s="19"/>
      <c r="JJ1" s="19"/>
      <c r="JK1" s="19"/>
      <c r="JL1" s="19"/>
      <c r="JM1" s="19"/>
      <c r="JN1" s="19"/>
      <c r="JO1" s="19"/>
      <c r="JP1" s="19"/>
      <c r="JQ1" s="19"/>
      <c r="JR1" s="19"/>
      <c r="JS1" s="19"/>
      <c r="JT1" s="19"/>
      <c r="JU1" s="19"/>
      <c r="JV1" s="19"/>
      <c r="JW1" s="19"/>
      <c r="JX1" s="19"/>
      <c r="JY1" s="19"/>
      <c r="JZ1" s="19"/>
      <c r="KA1" s="19"/>
      <c r="KB1" s="19"/>
      <c r="KC1" s="19"/>
      <c r="KD1" s="19"/>
      <c r="KE1" s="19"/>
      <c r="KF1" s="19"/>
      <c r="KG1" s="19"/>
      <c r="KH1" s="19"/>
      <c r="KI1" s="19"/>
      <c r="KJ1" s="19"/>
      <c r="KK1" s="19"/>
      <c r="KL1" s="19"/>
      <c r="KM1" s="19"/>
      <c r="KN1" s="19"/>
      <c r="KO1" s="19"/>
      <c r="KP1" s="19"/>
      <c r="KQ1" s="19"/>
      <c r="KR1" s="19"/>
      <c r="KS1" s="19"/>
      <c r="KT1" s="19"/>
      <c r="KU1" s="19"/>
      <c r="KV1" s="19"/>
      <c r="KW1" s="19"/>
      <c r="KX1" s="19"/>
      <c r="KY1" s="19"/>
      <c r="KZ1" s="19"/>
      <c r="LA1" s="19"/>
      <c r="LB1" s="19"/>
      <c r="LC1" s="19"/>
      <c r="LD1" s="19"/>
      <c r="LE1" s="19"/>
      <c r="LF1" s="19"/>
      <c r="LG1" s="19"/>
      <c r="LH1" s="19"/>
      <c r="LI1" s="19"/>
      <c r="LJ1" s="19"/>
      <c r="LK1" s="19"/>
      <c r="LL1" s="19"/>
      <c r="LM1" s="19"/>
      <c r="LN1" s="19"/>
      <c r="LO1" s="19"/>
      <c r="LP1" s="19"/>
      <c r="LQ1" s="19"/>
      <c r="LR1" s="19"/>
      <c r="LS1" s="19"/>
      <c r="LT1" s="19"/>
      <c r="LU1" s="19"/>
      <c r="LV1" s="19"/>
      <c r="LW1" s="19"/>
      <c r="LX1" s="19"/>
      <c r="LY1" s="19"/>
      <c r="LZ1" s="19"/>
      <c r="MA1" s="19"/>
      <c r="MB1" s="19"/>
      <c r="MC1" s="19"/>
      <c r="MD1" s="19"/>
      <c r="ME1" s="19"/>
      <c r="MF1" s="19"/>
      <c r="MG1" s="19"/>
      <c r="MH1" s="19"/>
      <c r="MI1" s="19"/>
      <c r="MJ1" s="19"/>
      <c r="MK1" s="19"/>
      <c r="ML1" s="19"/>
      <c r="MM1" s="19"/>
      <c r="MN1" s="19"/>
      <c r="MO1" s="19"/>
      <c r="MP1" s="19"/>
      <c r="MQ1" s="19"/>
      <c r="MR1" s="19"/>
      <c r="MS1" s="19"/>
      <c r="MT1" s="19"/>
      <c r="MU1" s="19"/>
      <c r="MV1" s="19"/>
      <c r="MW1" s="19"/>
      <c r="MX1" s="19"/>
      <c r="MY1" s="19"/>
      <c r="MZ1" s="19"/>
      <c r="NA1" s="19"/>
      <c r="NB1" s="19"/>
      <c r="NC1" s="19"/>
      <c r="ND1" s="19"/>
      <c r="NE1" s="19"/>
      <c r="NF1" s="19"/>
      <c r="NG1" s="19"/>
      <c r="NH1" s="19"/>
      <c r="NI1" s="19"/>
      <c r="NJ1" s="19"/>
      <c r="NK1" s="19"/>
      <c r="NL1" s="19"/>
      <c r="NM1" s="19"/>
      <c r="NN1" s="19"/>
      <c r="NO1" s="19"/>
      <c r="NP1" s="19"/>
      <c r="NQ1" s="19"/>
      <c r="NR1" s="19"/>
      <c r="NS1" s="19"/>
      <c r="NT1" s="19"/>
      <c r="NU1" s="19"/>
      <c r="NV1" s="19"/>
      <c r="NW1" s="19"/>
      <c r="NX1" s="19"/>
      <c r="NY1" s="19"/>
      <c r="NZ1" s="19"/>
      <c r="OA1" s="19"/>
      <c r="OB1" s="19"/>
      <c r="OC1" s="19"/>
      <c r="OD1" s="19"/>
      <c r="OE1" s="19"/>
      <c r="OF1" s="19"/>
      <c r="OG1" s="19"/>
      <c r="OH1" s="19"/>
      <c r="OI1" s="19"/>
      <c r="OJ1" s="19"/>
      <c r="OK1" s="19"/>
      <c r="OL1" s="19"/>
      <c r="OM1" s="19"/>
      <c r="ON1" s="19"/>
      <c r="OO1" s="19"/>
      <c r="OP1" s="19"/>
      <c r="OQ1" s="19"/>
      <c r="OR1" s="19"/>
      <c r="OS1" s="19"/>
      <c r="OT1" s="19"/>
      <c r="OU1" s="19"/>
      <c r="OV1" s="19"/>
      <c r="OW1" s="19"/>
      <c r="OX1" s="19"/>
      <c r="OY1" s="19"/>
      <c r="OZ1" s="19"/>
      <c r="PA1" s="19"/>
      <c r="PB1" s="19"/>
      <c r="PC1" s="19"/>
      <c r="PD1" s="19"/>
      <c r="PE1" s="19"/>
      <c r="PF1" s="19"/>
      <c r="PG1" s="19"/>
      <c r="PH1" s="19"/>
      <c r="PI1" s="19"/>
      <c r="PJ1" s="19"/>
      <c r="PK1" s="19"/>
      <c r="PL1" s="19"/>
      <c r="PM1" s="19"/>
      <c r="PN1" s="19"/>
      <c r="PO1" s="19"/>
      <c r="PP1" s="19"/>
      <c r="PQ1" s="19"/>
      <c r="PR1" s="19"/>
      <c r="PS1" s="19"/>
      <c r="PT1" s="19"/>
      <c r="PU1" s="19"/>
      <c r="PV1" s="19"/>
      <c r="PW1" s="19"/>
      <c r="PX1" s="19"/>
      <c r="PY1" s="19"/>
      <c r="PZ1" s="19"/>
      <c r="QA1" s="19"/>
      <c r="QB1" s="19"/>
      <c r="QC1" s="19"/>
      <c r="QD1" s="19"/>
      <c r="QE1" s="19"/>
      <c r="QF1" s="19"/>
      <c r="QG1" s="19"/>
      <c r="QH1" s="19"/>
      <c r="QI1" s="19"/>
      <c r="QJ1" s="19"/>
      <c r="QK1" s="19"/>
      <c r="QL1" s="19"/>
      <c r="QM1" s="19"/>
      <c r="QN1" s="19"/>
      <c r="QO1" s="19"/>
      <c r="QP1" s="19"/>
      <c r="QQ1" s="19"/>
      <c r="QR1" s="19"/>
      <c r="QS1" s="19"/>
      <c r="QT1" s="19"/>
      <c r="QU1" s="19"/>
      <c r="QV1" s="19"/>
      <c r="QW1" s="19"/>
      <c r="QX1" s="19"/>
      <c r="QY1" s="19"/>
      <c r="QZ1" s="19"/>
      <c r="RA1" s="19"/>
      <c r="RB1" s="19"/>
      <c r="RC1" s="19"/>
      <c r="RD1" s="19"/>
      <c r="RE1" s="19"/>
      <c r="RF1" s="19"/>
      <c r="RG1" s="19"/>
      <c r="RH1" s="19"/>
      <c r="RI1" s="19"/>
      <c r="RJ1" s="19"/>
      <c r="RK1" s="19"/>
      <c r="RL1" s="19"/>
      <c r="RM1" s="19"/>
      <c r="RN1" s="19"/>
      <c r="RO1" s="19"/>
      <c r="RP1" s="19"/>
      <c r="RQ1" s="19"/>
      <c r="RR1" s="19"/>
      <c r="RS1" s="19"/>
      <c r="RT1" s="19"/>
      <c r="RU1" s="19"/>
      <c r="RV1" s="19"/>
      <c r="RW1" s="19"/>
      <c r="RX1" s="19"/>
      <c r="RY1" s="19"/>
      <c r="RZ1" s="19"/>
      <c r="SA1" s="19"/>
      <c r="SB1" s="19"/>
      <c r="SC1" s="19"/>
      <c r="SD1" s="19"/>
      <c r="SE1" s="19"/>
      <c r="SF1" s="19"/>
      <c r="SG1" s="19"/>
      <c r="SH1" s="19"/>
      <c r="SI1" s="19"/>
      <c r="SJ1" s="19"/>
      <c r="SK1" s="19"/>
      <c r="SL1" s="19"/>
      <c r="SM1" s="19"/>
      <c r="SN1" s="19"/>
      <c r="SO1" s="19"/>
      <c r="SP1" s="19"/>
      <c r="SQ1" s="19"/>
      <c r="SR1" s="19"/>
      <c r="SS1" s="19"/>
      <c r="ST1" s="19"/>
      <c r="SU1" s="19"/>
      <c r="SV1" s="19"/>
      <c r="SW1" s="19"/>
      <c r="SX1" s="19"/>
      <c r="SY1" s="19"/>
      <c r="SZ1" s="19"/>
      <c r="TA1" s="19"/>
      <c r="TB1" s="19"/>
      <c r="TC1" s="19"/>
      <c r="TD1" s="19"/>
      <c r="TE1" s="19"/>
      <c r="TF1" s="19"/>
      <c r="TG1" s="19"/>
      <c r="TH1" s="19"/>
      <c r="TI1" s="19"/>
      <c r="TJ1" s="19"/>
      <c r="TK1" s="19"/>
      <c r="TL1" s="19"/>
      <c r="TM1" s="19"/>
      <c r="TN1" s="19"/>
      <c r="TO1" s="19"/>
      <c r="TP1" s="19"/>
      <c r="TQ1" s="19"/>
      <c r="TR1" s="19"/>
      <c r="TS1" s="19"/>
      <c r="TT1" s="19"/>
      <c r="TU1" s="19"/>
      <c r="TV1" s="19"/>
      <c r="TW1" s="19"/>
      <c r="TX1" s="19"/>
      <c r="TY1" s="19"/>
      <c r="TZ1" s="19"/>
      <c r="UA1" s="19"/>
      <c r="UB1" s="19"/>
      <c r="UC1" s="19"/>
      <c r="UD1" s="19"/>
      <c r="UE1" s="19"/>
      <c r="UF1" s="19"/>
      <c r="UG1" s="19"/>
      <c r="UH1" s="19"/>
      <c r="UI1" s="19"/>
      <c r="UJ1" s="19"/>
      <c r="UK1" s="19"/>
      <c r="UL1" s="19"/>
      <c r="UM1" s="19"/>
      <c r="UN1" s="19"/>
      <c r="UO1" s="19"/>
      <c r="UP1" s="19"/>
      <c r="UQ1" s="19"/>
      <c r="UR1" s="19"/>
      <c r="US1" s="19"/>
      <c r="UT1" s="19"/>
      <c r="UU1" s="19"/>
      <c r="UV1" s="19"/>
      <c r="UW1" s="19"/>
      <c r="UX1" s="19"/>
      <c r="UY1" s="19"/>
      <c r="UZ1" s="19"/>
      <c r="VA1" s="19"/>
      <c r="VB1" s="19"/>
      <c r="VC1" s="19"/>
      <c r="VD1" s="19"/>
      <c r="VE1" s="19"/>
      <c r="VF1" s="19"/>
      <c r="VG1" s="19"/>
      <c r="VH1" s="19"/>
      <c r="VI1" s="19"/>
      <c r="VJ1" s="19"/>
      <c r="VK1" s="19"/>
      <c r="VL1" s="19"/>
      <c r="VM1" s="19"/>
      <c r="VN1" s="19"/>
      <c r="VO1" s="19"/>
      <c r="VP1" s="19"/>
      <c r="VQ1" s="19"/>
      <c r="VR1" s="19"/>
      <c r="VS1" s="19"/>
      <c r="VT1" s="19"/>
      <c r="VU1" s="19"/>
      <c r="VV1" s="19"/>
      <c r="VW1" s="19"/>
      <c r="VX1" s="19"/>
      <c r="VY1" s="19"/>
      <c r="VZ1" s="19"/>
      <c r="WA1" s="19"/>
      <c r="WB1" s="19"/>
      <c r="WC1" s="19"/>
      <c r="WD1" s="19"/>
      <c r="WE1" s="19"/>
      <c r="WF1" s="19"/>
      <c r="WG1" s="19"/>
      <c r="WH1" s="19"/>
      <c r="WI1" s="19"/>
      <c r="WJ1" s="19"/>
      <c r="WK1" s="19"/>
      <c r="WL1" s="19"/>
      <c r="WM1" s="19"/>
      <c r="WN1" s="19"/>
      <c r="WO1" s="19"/>
      <c r="WP1" s="19"/>
      <c r="WQ1" s="19"/>
      <c r="WR1" s="19"/>
      <c r="WS1" s="19"/>
      <c r="WT1" s="19"/>
      <c r="WU1" s="19"/>
      <c r="WV1" s="19"/>
      <c r="WW1" s="19"/>
      <c r="WX1" s="19"/>
      <c r="WY1" s="19"/>
      <c r="WZ1" s="19"/>
      <c r="XA1" s="19"/>
      <c r="XB1" s="19"/>
      <c r="XC1" s="19"/>
      <c r="XD1" s="19"/>
      <c r="XE1" s="19"/>
      <c r="XF1" s="19"/>
      <c r="XG1" s="19"/>
      <c r="XH1" s="19"/>
      <c r="XI1" s="19"/>
      <c r="XJ1" s="19"/>
      <c r="XK1" s="19"/>
      <c r="XL1" s="19"/>
      <c r="XM1" s="19"/>
      <c r="XN1" s="19"/>
      <c r="XO1" s="19"/>
      <c r="XP1" s="19"/>
      <c r="XQ1" s="19"/>
      <c r="XR1" s="19"/>
      <c r="XS1" s="19"/>
      <c r="XT1" s="19"/>
      <c r="XU1" s="19"/>
      <c r="XV1" s="19"/>
      <c r="XW1" s="19"/>
      <c r="XX1" s="19"/>
      <c r="XY1" s="19"/>
      <c r="XZ1" s="19"/>
      <c r="YA1" s="19"/>
      <c r="YB1" s="19"/>
      <c r="YC1" s="19"/>
      <c r="YD1" s="19"/>
      <c r="YE1" s="19"/>
      <c r="YF1" s="19"/>
      <c r="YG1" s="19"/>
      <c r="YH1" s="19"/>
      <c r="YI1" s="19"/>
      <c r="YJ1" s="19"/>
      <c r="YK1" s="19"/>
      <c r="YL1" s="19"/>
      <c r="YM1" s="19"/>
      <c r="YN1" s="19"/>
      <c r="YO1" s="19"/>
      <c r="YP1" s="19"/>
      <c r="YQ1" s="19"/>
      <c r="YR1" s="19"/>
      <c r="YS1" s="19"/>
      <c r="YT1" s="19"/>
      <c r="YU1" s="19"/>
      <c r="YV1" s="19"/>
      <c r="YW1" s="19"/>
      <c r="YX1" s="19"/>
      <c r="YY1" s="19"/>
      <c r="YZ1" s="19"/>
      <c r="ZA1" s="19"/>
      <c r="ZB1" s="19"/>
      <c r="ZC1" s="19"/>
      <c r="ZD1" s="19"/>
      <c r="ZE1" s="19"/>
      <c r="ZF1" s="19"/>
      <c r="ZG1" s="19"/>
      <c r="ZH1" s="19"/>
      <c r="ZI1" s="19"/>
      <c r="ZJ1" s="19"/>
      <c r="ZK1" s="19"/>
      <c r="ZL1" s="19"/>
      <c r="ZM1" s="19"/>
      <c r="ZN1" s="19"/>
      <c r="ZO1" s="19"/>
      <c r="ZP1" s="19"/>
      <c r="ZQ1" s="19"/>
      <c r="ZR1" s="19"/>
      <c r="ZS1" s="19"/>
      <c r="ZT1" s="19"/>
      <c r="ZU1" s="19"/>
      <c r="ZV1" s="19"/>
      <c r="ZW1" s="19"/>
      <c r="ZX1" s="19"/>
      <c r="ZY1" s="19"/>
      <c r="ZZ1" s="19"/>
      <c r="AAA1" s="19"/>
      <c r="AAB1" s="19"/>
      <c r="AAC1" s="19"/>
      <c r="AAD1" s="19"/>
      <c r="AAE1" s="19"/>
      <c r="AAF1" s="19"/>
      <c r="AAG1" s="19"/>
      <c r="AAH1" s="19"/>
      <c r="AAI1" s="19"/>
      <c r="AAJ1" s="19"/>
      <c r="AAK1" s="19"/>
      <c r="AAL1" s="19"/>
      <c r="AAM1" s="19"/>
      <c r="AAN1" s="19"/>
      <c r="AAO1" s="19"/>
      <c r="AAP1" s="19"/>
      <c r="AAQ1" s="19"/>
      <c r="AAR1" s="19"/>
      <c r="AAS1" s="19"/>
      <c r="AAT1" s="19"/>
      <c r="AAU1" s="19"/>
      <c r="AAV1" s="19"/>
      <c r="AAW1" s="19"/>
      <c r="AAX1" s="19"/>
      <c r="AAY1" s="19"/>
      <c r="AAZ1" s="19"/>
      <c r="ABA1" s="19"/>
      <c r="ABB1" s="19"/>
      <c r="ABC1" s="19"/>
      <c r="ABD1" s="19"/>
      <c r="ABE1" s="19"/>
      <c r="ABF1" s="19"/>
      <c r="ABG1" s="19"/>
      <c r="ABH1" s="19"/>
      <c r="ABI1" s="19"/>
      <c r="ABJ1" s="19"/>
      <c r="ABK1" s="19"/>
      <c r="ABL1" s="19"/>
      <c r="ABM1" s="19"/>
      <c r="ABN1" s="19"/>
      <c r="ABO1" s="19"/>
      <c r="ABP1" s="19"/>
      <c r="ABQ1" s="19"/>
      <c r="ABR1" s="19"/>
      <c r="ABS1" s="19"/>
      <c r="ABT1" s="19"/>
      <c r="ABU1" s="19"/>
      <c r="ABV1" s="19"/>
      <c r="ABW1" s="19"/>
      <c r="ABX1" s="19"/>
      <c r="ABY1" s="19"/>
      <c r="ABZ1" s="19"/>
      <c r="ACA1" s="19"/>
      <c r="ACB1" s="19"/>
      <c r="ACC1" s="19"/>
      <c r="ACD1" s="19"/>
      <c r="ACE1" s="19"/>
      <c r="ACF1" s="19"/>
      <c r="ACG1" s="19"/>
      <c r="ACH1" s="19"/>
      <c r="ACI1" s="19"/>
      <c r="ACJ1" s="19"/>
      <c r="ACK1" s="19"/>
      <c r="ACL1" s="19"/>
      <c r="ACM1" s="19"/>
      <c r="ACN1" s="19"/>
      <c r="ACO1" s="19"/>
      <c r="ACP1" s="19"/>
      <c r="ACQ1" s="19"/>
      <c r="ACR1" s="19"/>
      <c r="ACS1" s="19"/>
      <c r="ACT1" s="19"/>
      <c r="ACU1" s="19"/>
      <c r="ACV1" s="19"/>
      <c r="ACW1" s="19"/>
      <c r="ACX1" s="19"/>
      <c r="ACY1" s="19"/>
      <c r="ACZ1" s="19"/>
      <c r="ADA1" s="19"/>
      <c r="ADB1" s="19"/>
      <c r="ADC1" s="19"/>
      <c r="ADD1" s="19"/>
      <c r="ADE1" s="19"/>
      <c r="ADF1" s="19"/>
      <c r="ADG1" s="19"/>
      <c r="ADH1" s="19"/>
      <c r="ADI1" s="19"/>
      <c r="ADJ1" s="19"/>
      <c r="ADK1" s="19"/>
      <c r="ADL1" s="19"/>
      <c r="ADM1" s="19"/>
      <c r="ADN1" s="19"/>
      <c r="ADO1" s="19"/>
      <c r="ADP1" s="19"/>
      <c r="ADQ1" s="19"/>
      <c r="ADR1" s="19"/>
      <c r="ADS1" s="19"/>
      <c r="ADT1" s="19"/>
      <c r="ADU1" s="19"/>
      <c r="ADV1" s="19"/>
      <c r="ADW1" s="19"/>
      <c r="ADX1" s="19"/>
      <c r="ADY1" s="19"/>
      <c r="ADZ1" s="19"/>
      <c r="AEA1" s="19"/>
      <c r="AEB1" s="19"/>
      <c r="AEC1" s="19"/>
      <c r="AED1" s="19"/>
      <c r="AEE1" s="19"/>
      <c r="AEF1" s="19"/>
      <c r="AEG1" s="19"/>
      <c r="AEH1" s="19"/>
      <c r="AEI1" s="19"/>
      <c r="AEJ1" s="19"/>
      <c r="AEK1" s="19"/>
      <c r="AEL1" s="19"/>
      <c r="AEM1" s="19"/>
      <c r="AEN1" s="19"/>
      <c r="AEO1" s="19"/>
      <c r="AEP1" s="19"/>
      <c r="AEQ1" s="19"/>
      <c r="AER1" s="19"/>
      <c r="AES1" s="19"/>
      <c r="AET1" s="19"/>
      <c r="AEU1" s="19"/>
      <c r="AEV1" s="19"/>
      <c r="AEW1" s="19"/>
      <c r="AEX1" s="19"/>
      <c r="AEY1" s="19"/>
      <c r="AEZ1" s="19"/>
      <c r="AFA1" s="19"/>
      <c r="AFB1" s="19"/>
      <c r="AFC1" s="19"/>
      <c r="AFD1" s="19"/>
      <c r="AFE1" s="19"/>
      <c r="AFF1" s="19"/>
      <c r="AFG1" s="19"/>
      <c r="AFH1" s="19"/>
      <c r="AFI1" s="19"/>
      <c r="AFJ1" s="19"/>
      <c r="AFK1" s="19"/>
      <c r="AFL1" s="19"/>
      <c r="AFM1" s="19"/>
      <c r="AFN1" s="19"/>
      <c r="AFO1" s="19"/>
      <c r="AFP1" s="19"/>
      <c r="AFQ1" s="19"/>
      <c r="AFR1" s="19"/>
      <c r="AFS1" s="19"/>
      <c r="AFT1" s="19"/>
      <c r="AFU1" s="19"/>
      <c r="AFV1" s="19"/>
      <c r="AFW1" s="19"/>
      <c r="AFX1" s="19"/>
      <c r="AFY1" s="19"/>
      <c r="AFZ1" s="19"/>
      <c r="AGA1" s="19"/>
      <c r="AGB1" s="19"/>
      <c r="AGC1" s="19"/>
      <c r="AGD1" s="19"/>
      <c r="AGE1" s="19"/>
      <c r="AGF1" s="19"/>
      <c r="AGG1" s="19"/>
      <c r="AGH1" s="19"/>
      <c r="AGI1" s="19"/>
      <c r="AGJ1" s="19"/>
      <c r="AGK1" s="19"/>
      <c r="AGL1" s="19"/>
      <c r="AGM1" s="19"/>
      <c r="AGN1" s="19"/>
      <c r="AGO1" s="19"/>
      <c r="AGP1" s="19"/>
      <c r="AGQ1" s="19"/>
      <c r="AGR1" s="19"/>
      <c r="AGS1" s="19"/>
      <c r="AGT1" s="19"/>
      <c r="AGU1" s="19"/>
      <c r="AGV1" s="19"/>
      <c r="AGW1" s="19"/>
      <c r="AGX1" s="19"/>
      <c r="AGY1" s="19"/>
      <c r="AGZ1" s="19"/>
      <c r="AHA1" s="19"/>
      <c r="AHB1" s="19"/>
      <c r="AHC1" s="19"/>
      <c r="AHD1" s="19"/>
      <c r="AHE1" s="19"/>
      <c r="AHF1" s="19"/>
      <c r="AHG1" s="19"/>
      <c r="AHH1" s="19"/>
      <c r="AHI1" s="19"/>
      <c r="AHJ1" s="19"/>
      <c r="AHK1" s="19"/>
      <c r="AHL1" s="19"/>
      <c r="AHM1" s="19"/>
      <c r="AHN1" s="19"/>
      <c r="AHO1" s="19"/>
      <c r="AHP1" s="19"/>
      <c r="AHQ1" s="19"/>
      <c r="AHR1" s="19"/>
      <c r="AHS1" s="19"/>
      <c r="AHT1" s="19"/>
      <c r="AHU1" s="19"/>
      <c r="AHV1" s="19"/>
      <c r="AHW1" s="19"/>
      <c r="AHX1" s="19"/>
      <c r="AHY1" s="19"/>
      <c r="AHZ1" s="19"/>
      <c r="AIA1" s="19"/>
      <c r="AIB1" s="19"/>
      <c r="AIC1" s="19"/>
      <c r="AID1" s="19"/>
      <c r="AIE1" s="19"/>
      <c r="AIF1" s="19"/>
      <c r="AIG1" s="19"/>
      <c r="AIH1" s="19"/>
      <c r="AII1" s="19"/>
      <c r="AIJ1" s="19"/>
      <c r="AIK1" s="19"/>
      <c r="AIL1" s="19"/>
      <c r="AIM1" s="19"/>
      <c r="AIN1" s="19"/>
      <c r="AIO1" s="19"/>
      <c r="AIP1" s="19"/>
      <c r="AIQ1" s="19"/>
      <c r="AIR1" s="19"/>
      <c r="AIS1" s="19"/>
      <c r="AIT1" s="19"/>
      <c r="AIU1" s="19"/>
      <c r="AIV1" s="19"/>
      <c r="AIW1" s="19"/>
      <c r="AIX1" s="19"/>
      <c r="AIY1" s="19"/>
      <c r="AIZ1" s="19"/>
      <c r="AJA1" s="19"/>
      <c r="AJB1" s="19"/>
      <c r="AJC1" s="19"/>
      <c r="AJD1" s="19"/>
      <c r="AJE1" s="19"/>
      <c r="AJF1" s="19"/>
      <c r="AJG1" s="19"/>
      <c r="AJH1" s="19"/>
      <c r="AJI1" s="19"/>
      <c r="AJJ1" s="19"/>
      <c r="AJK1" s="19"/>
      <c r="AJL1" s="19"/>
      <c r="AJM1" s="19"/>
      <c r="AJN1" s="19"/>
      <c r="AJO1" s="19"/>
      <c r="AJP1" s="19"/>
      <c r="AJQ1" s="19"/>
      <c r="AJR1" s="19"/>
      <c r="AJS1" s="19"/>
      <c r="AJT1" s="19"/>
      <c r="AJU1" s="19"/>
      <c r="AJV1" s="19"/>
      <c r="AJW1" s="19"/>
      <c r="AJX1" s="19"/>
      <c r="AJY1" s="19"/>
      <c r="AJZ1" s="19"/>
      <c r="AKA1" s="19"/>
      <c r="AKB1" s="19"/>
      <c r="AKC1" s="19"/>
      <c r="AKD1" s="19"/>
      <c r="AKE1" s="19"/>
      <c r="AKF1" s="19"/>
      <c r="AKG1" s="19"/>
      <c r="AKH1" s="19"/>
      <c r="AKI1" s="19"/>
      <c r="AKJ1" s="19"/>
      <c r="AKK1" s="19"/>
      <c r="AKL1" s="19"/>
      <c r="AKM1" s="19"/>
      <c r="AKN1" s="19"/>
      <c r="AKO1" s="19"/>
      <c r="AKP1" s="19"/>
      <c r="AKQ1" s="19"/>
      <c r="AKR1" s="19"/>
      <c r="AKS1" s="19"/>
      <c r="AKT1" s="19"/>
      <c r="AKU1" s="19"/>
      <c r="AKV1" s="19"/>
      <c r="AKW1" s="19"/>
      <c r="AKX1" s="19"/>
      <c r="AKY1" s="19"/>
      <c r="AKZ1" s="19"/>
      <c r="ALA1" s="19"/>
      <c r="ALB1" s="19"/>
      <c r="ALC1" s="19"/>
      <c r="ALD1" s="19"/>
      <c r="ALE1" s="19"/>
      <c r="ALF1" s="19"/>
      <c r="ALG1" s="19"/>
      <c r="ALH1" s="19"/>
      <c r="ALI1" s="19"/>
      <c r="ALJ1" s="19"/>
      <c r="ALK1" s="19"/>
      <c r="ALL1" s="19"/>
      <c r="ALM1" s="19"/>
      <c r="ALN1" s="19"/>
      <c r="ALO1" s="19"/>
      <c r="ALP1" s="19"/>
      <c r="ALQ1" s="19"/>
      <c r="ALR1" s="19"/>
      <c r="ALS1" s="19"/>
      <c r="ALT1" s="19"/>
      <c r="ALU1" s="19"/>
      <c r="ALV1" s="19"/>
      <c r="ALW1" s="19"/>
      <c r="ALX1" s="19"/>
      <c r="ALY1" s="19"/>
      <c r="ALZ1" s="19"/>
      <c r="AMA1" s="19"/>
      <c r="AMB1" s="19"/>
      <c r="AMC1" s="19"/>
      <c r="AMD1" s="19"/>
      <c r="AME1" s="19"/>
      <c r="AMF1" s="19"/>
      <c r="AMG1" s="19"/>
      <c r="AMH1" s="19"/>
      <c r="AMI1" s="19"/>
      <c r="AMJ1" s="19"/>
      <c r="AMK1" s="19"/>
      <c r="AML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32</v>
      </c>
      <c r="D3" s="5" t="s">
        <v>9</v>
      </c>
      <c r="E3" s="22" t="s">
        <v>33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  <c r="GL3" s="23"/>
      <c r="GM3" s="23"/>
      <c r="GN3" s="23"/>
      <c r="GO3" s="23"/>
      <c r="GP3" s="23"/>
      <c r="GQ3" s="23"/>
      <c r="GR3" s="23"/>
      <c r="GS3" s="23"/>
      <c r="GT3" s="23"/>
      <c r="GU3" s="23"/>
      <c r="GV3" s="23"/>
      <c r="GW3" s="23"/>
      <c r="GX3" s="23"/>
      <c r="GY3" s="23"/>
      <c r="GZ3" s="23"/>
      <c r="HA3" s="23"/>
      <c r="HB3" s="23"/>
      <c r="HC3" s="23"/>
      <c r="HD3" s="23"/>
      <c r="HE3" s="23"/>
      <c r="HF3" s="23"/>
      <c r="HG3" s="23"/>
      <c r="HH3" s="23"/>
      <c r="HI3" s="23"/>
      <c r="HJ3" s="23"/>
      <c r="HK3" s="23"/>
      <c r="HL3" s="23"/>
      <c r="HM3" s="23"/>
      <c r="HN3" s="23"/>
      <c r="HO3" s="23"/>
      <c r="HP3" s="23"/>
      <c r="HQ3" s="23"/>
      <c r="HR3" s="23"/>
      <c r="HS3" s="23"/>
      <c r="HT3" s="23"/>
      <c r="HU3" s="23"/>
      <c r="HV3" s="23"/>
      <c r="HW3" s="23"/>
      <c r="HX3" s="23"/>
      <c r="HY3" s="23"/>
      <c r="HZ3" s="23"/>
      <c r="IA3" s="23"/>
      <c r="IB3" s="23"/>
      <c r="IC3" s="23"/>
      <c r="ID3" s="23"/>
      <c r="IE3" s="23"/>
      <c r="IF3" s="23"/>
      <c r="IG3" s="23"/>
      <c r="IH3" s="23"/>
      <c r="II3" s="23"/>
      <c r="IJ3" s="23"/>
      <c r="IK3" s="23"/>
      <c r="IL3" s="23"/>
      <c r="IM3" s="23"/>
      <c r="IN3" s="23"/>
      <c r="IO3" s="23"/>
      <c r="IP3" s="23"/>
      <c r="IQ3" s="23"/>
      <c r="IR3" s="23"/>
      <c r="IS3" s="23"/>
      <c r="IT3" s="23"/>
      <c r="IU3" s="23"/>
      <c r="IV3" s="23"/>
      <c r="IW3" s="23"/>
      <c r="IX3" s="23"/>
      <c r="IY3" s="23"/>
      <c r="IZ3" s="23"/>
      <c r="JA3" s="23"/>
      <c r="JB3" s="23"/>
      <c r="JC3" s="23"/>
      <c r="JD3" s="23"/>
      <c r="JE3" s="23"/>
      <c r="JF3" s="23"/>
      <c r="JG3" s="23"/>
      <c r="JH3" s="23"/>
      <c r="JI3" s="23"/>
      <c r="JJ3" s="23"/>
      <c r="JK3" s="23"/>
      <c r="JL3" s="23"/>
      <c r="JM3" s="23"/>
      <c r="JN3" s="23"/>
      <c r="JO3" s="23"/>
      <c r="JP3" s="23"/>
      <c r="JQ3" s="23"/>
      <c r="JR3" s="23"/>
      <c r="JS3" s="23"/>
      <c r="JT3" s="23"/>
      <c r="JU3" s="23"/>
      <c r="JV3" s="23"/>
      <c r="JW3" s="23"/>
      <c r="JX3" s="23"/>
      <c r="JY3" s="23"/>
      <c r="JZ3" s="23"/>
      <c r="KA3" s="23"/>
      <c r="KB3" s="23"/>
      <c r="KC3" s="23"/>
      <c r="KD3" s="23"/>
      <c r="KE3" s="23"/>
      <c r="KF3" s="23"/>
      <c r="KG3" s="23"/>
      <c r="KH3" s="23"/>
      <c r="KI3" s="23"/>
      <c r="KJ3" s="23"/>
      <c r="KK3" s="23"/>
      <c r="KL3" s="23"/>
      <c r="KM3" s="23"/>
      <c r="KN3" s="23"/>
      <c r="KO3" s="23"/>
      <c r="KP3" s="23"/>
      <c r="KQ3" s="23"/>
      <c r="KR3" s="23"/>
      <c r="KS3" s="23"/>
      <c r="KT3" s="23"/>
      <c r="KU3" s="23"/>
      <c r="KV3" s="23"/>
      <c r="KW3" s="23"/>
      <c r="KX3" s="23"/>
      <c r="KY3" s="23"/>
      <c r="KZ3" s="23"/>
      <c r="LA3" s="23"/>
      <c r="LB3" s="23"/>
      <c r="LC3" s="23"/>
      <c r="LD3" s="23"/>
      <c r="LE3" s="23"/>
      <c r="LF3" s="23"/>
      <c r="LG3" s="23"/>
      <c r="LH3" s="23"/>
      <c r="LI3" s="23"/>
      <c r="LJ3" s="23"/>
      <c r="LK3" s="23"/>
      <c r="LL3" s="23"/>
      <c r="LM3" s="23"/>
      <c r="LN3" s="23"/>
      <c r="LO3" s="23"/>
      <c r="LP3" s="23"/>
      <c r="LQ3" s="23"/>
      <c r="LR3" s="23"/>
      <c r="LS3" s="23"/>
      <c r="LT3" s="23"/>
      <c r="LU3" s="23"/>
      <c r="LV3" s="23"/>
      <c r="LW3" s="23"/>
      <c r="LX3" s="23"/>
      <c r="LY3" s="23"/>
      <c r="LZ3" s="23"/>
      <c r="MA3" s="23"/>
      <c r="MB3" s="23"/>
      <c r="MC3" s="23"/>
      <c r="MD3" s="23"/>
      <c r="ME3" s="23"/>
      <c r="MF3" s="23"/>
      <c r="MG3" s="23"/>
      <c r="MH3" s="23"/>
      <c r="MI3" s="23"/>
      <c r="MJ3" s="23"/>
      <c r="MK3" s="23"/>
      <c r="ML3" s="23"/>
      <c r="MM3" s="23"/>
      <c r="MN3" s="23"/>
      <c r="MO3" s="23"/>
      <c r="MP3" s="23"/>
      <c r="MQ3" s="23"/>
      <c r="MR3" s="23"/>
      <c r="MS3" s="23"/>
      <c r="MT3" s="23"/>
      <c r="MU3" s="23"/>
      <c r="MV3" s="23"/>
      <c r="MW3" s="23"/>
      <c r="MX3" s="23"/>
      <c r="MY3" s="23"/>
      <c r="MZ3" s="23"/>
      <c r="NA3" s="23"/>
      <c r="NB3" s="23"/>
      <c r="NC3" s="23"/>
      <c r="ND3" s="23"/>
      <c r="NE3" s="23"/>
      <c r="NF3" s="23"/>
      <c r="NG3" s="23"/>
      <c r="NH3" s="23"/>
      <c r="NI3" s="23"/>
      <c r="NJ3" s="23"/>
      <c r="NK3" s="23"/>
      <c r="NL3" s="23"/>
      <c r="NM3" s="23"/>
      <c r="NN3" s="23"/>
      <c r="NO3" s="23"/>
      <c r="NP3" s="23"/>
      <c r="NQ3" s="23"/>
      <c r="NR3" s="23"/>
      <c r="NS3" s="23"/>
      <c r="NT3" s="23"/>
      <c r="NU3" s="23"/>
      <c r="NV3" s="23"/>
      <c r="NW3" s="23"/>
      <c r="NX3" s="23"/>
      <c r="NY3" s="23"/>
      <c r="NZ3" s="23"/>
      <c r="OA3" s="23"/>
      <c r="OB3" s="23"/>
      <c r="OC3" s="23"/>
      <c r="OD3" s="23"/>
      <c r="OE3" s="23"/>
      <c r="OF3" s="23"/>
      <c r="OG3" s="23"/>
      <c r="OH3" s="23"/>
      <c r="OI3" s="23"/>
      <c r="OJ3" s="23"/>
      <c r="OK3" s="23"/>
      <c r="OL3" s="23"/>
      <c r="OM3" s="23"/>
      <c r="ON3" s="23"/>
      <c r="OO3" s="23"/>
      <c r="OP3" s="23"/>
      <c r="OQ3" s="23"/>
      <c r="OR3" s="23"/>
      <c r="OS3" s="23"/>
      <c r="OT3" s="23"/>
      <c r="OU3" s="23"/>
      <c r="OV3" s="23"/>
      <c r="OW3" s="23"/>
      <c r="OX3" s="23"/>
      <c r="OY3" s="23"/>
      <c r="OZ3" s="23"/>
      <c r="PA3" s="23"/>
      <c r="PB3" s="23"/>
      <c r="PC3" s="23"/>
      <c r="PD3" s="23"/>
      <c r="PE3" s="23"/>
      <c r="PF3" s="23"/>
      <c r="PG3" s="23"/>
      <c r="PH3" s="23"/>
      <c r="PI3" s="23"/>
      <c r="PJ3" s="23"/>
      <c r="PK3" s="23"/>
      <c r="PL3" s="23"/>
      <c r="PM3" s="23"/>
      <c r="PN3" s="23"/>
      <c r="PO3" s="23"/>
      <c r="PP3" s="23"/>
      <c r="PQ3" s="23"/>
      <c r="PR3" s="23"/>
      <c r="PS3" s="23"/>
      <c r="PT3" s="23"/>
      <c r="PU3" s="23"/>
      <c r="PV3" s="23"/>
      <c r="PW3" s="23"/>
      <c r="PX3" s="23"/>
      <c r="PY3" s="23"/>
      <c r="PZ3" s="23"/>
      <c r="QA3" s="23"/>
      <c r="QB3" s="23"/>
      <c r="QC3" s="23"/>
      <c r="QD3" s="23"/>
      <c r="QE3" s="23"/>
      <c r="QF3" s="23"/>
      <c r="QG3" s="23"/>
      <c r="QH3" s="23"/>
      <c r="QI3" s="23"/>
      <c r="QJ3" s="23"/>
      <c r="QK3" s="23"/>
      <c r="QL3" s="23"/>
      <c r="QM3" s="23"/>
      <c r="QN3" s="23"/>
      <c r="QO3" s="23"/>
      <c r="QP3" s="23"/>
      <c r="QQ3" s="23"/>
      <c r="QR3" s="23"/>
      <c r="QS3" s="23"/>
      <c r="QT3" s="23"/>
      <c r="QU3" s="23"/>
      <c r="QV3" s="23"/>
      <c r="QW3" s="23"/>
      <c r="QX3" s="23"/>
      <c r="QY3" s="23"/>
      <c r="QZ3" s="23"/>
      <c r="RA3" s="23"/>
      <c r="RB3" s="23"/>
      <c r="RC3" s="23"/>
      <c r="RD3" s="23"/>
      <c r="RE3" s="23"/>
      <c r="RF3" s="23"/>
      <c r="RG3" s="23"/>
      <c r="RH3" s="23"/>
      <c r="RI3" s="23"/>
      <c r="RJ3" s="23"/>
      <c r="RK3" s="23"/>
      <c r="RL3" s="23"/>
      <c r="RM3" s="23"/>
      <c r="RN3" s="23"/>
      <c r="RO3" s="23"/>
      <c r="RP3" s="23"/>
      <c r="RQ3" s="23"/>
      <c r="RR3" s="23"/>
      <c r="RS3" s="23"/>
      <c r="RT3" s="23"/>
      <c r="RU3" s="23"/>
      <c r="RV3" s="23"/>
      <c r="RW3" s="23"/>
      <c r="RX3" s="23"/>
      <c r="RY3" s="23"/>
      <c r="RZ3" s="23"/>
      <c r="SA3" s="23"/>
      <c r="SB3" s="23"/>
      <c r="SC3" s="23"/>
      <c r="SD3" s="23"/>
      <c r="SE3" s="23"/>
      <c r="SF3" s="23"/>
      <c r="SG3" s="23"/>
      <c r="SH3" s="23"/>
      <c r="SI3" s="23"/>
      <c r="SJ3" s="23"/>
      <c r="SK3" s="23"/>
      <c r="SL3" s="23"/>
      <c r="SM3" s="23"/>
      <c r="SN3" s="23"/>
      <c r="SO3" s="23"/>
      <c r="SP3" s="23"/>
      <c r="SQ3" s="23"/>
      <c r="SR3" s="23"/>
      <c r="SS3" s="23"/>
      <c r="ST3" s="23"/>
      <c r="SU3" s="23"/>
      <c r="SV3" s="23"/>
      <c r="SW3" s="23"/>
      <c r="SX3" s="23"/>
      <c r="SY3" s="23"/>
      <c r="SZ3" s="23"/>
      <c r="TA3" s="23"/>
      <c r="TB3" s="23"/>
      <c r="TC3" s="23"/>
      <c r="TD3" s="23"/>
      <c r="TE3" s="23"/>
      <c r="TF3" s="23"/>
      <c r="TG3" s="23"/>
      <c r="TH3" s="23"/>
      <c r="TI3" s="23"/>
      <c r="TJ3" s="23"/>
      <c r="TK3" s="23"/>
      <c r="TL3" s="23"/>
      <c r="TM3" s="23"/>
      <c r="TN3" s="23"/>
      <c r="TO3" s="23"/>
      <c r="TP3" s="23"/>
      <c r="TQ3" s="23"/>
      <c r="TR3" s="23"/>
      <c r="TS3" s="23"/>
      <c r="TT3" s="23"/>
      <c r="TU3" s="23"/>
      <c r="TV3" s="23"/>
      <c r="TW3" s="23"/>
      <c r="TX3" s="23"/>
      <c r="TY3" s="23"/>
      <c r="TZ3" s="23"/>
      <c r="UA3" s="23"/>
      <c r="UB3" s="23"/>
      <c r="UC3" s="23"/>
      <c r="UD3" s="23"/>
      <c r="UE3" s="23"/>
      <c r="UF3" s="23"/>
      <c r="UG3" s="23"/>
      <c r="UH3" s="23"/>
      <c r="UI3" s="23"/>
      <c r="UJ3" s="23"/>
      <c r="UK3" s="23"/>
      <c r="UL3" s="23"/>
      <c r="UM3" s="23"/>
      <c r="UN3" s="23"/>
      <c r="UO3" s="23"/>
      <c r="UP3" s="23"/>
      <c r="UQ3" s="23"/>
      <c r="UR3" s="23"/>
      <c r="US3" s="23"/>
      <c r="UT3" s="23"/>
      <c r="UU3" s="23"/>
      <c r="UV3" s="23"/>
      <c r="UW3" s="23"/>
      <c r="UX3" s="23"/>
      <c r="UY3" s="23"/>
      <c r="UZ3" s="23"/>
      <c r="VA3" s="23"/>
      <c r="VB3" s="23"/>
      <c r="VC3" s="23"/>
      <c r="VD3" s="23"/>
      <c r="VE3" s="23"/>
      <c r="VF3" s="23"/>
      <c r="VG3" s="23"/>
      <c r="VH3" s="23"/>
      <c r="VI3" s="23"/>
      <c r="VJ3" s="23"/>
      <c r="VK3" s="23"/>
      <c r="VL3" s="23"/>
      <c r="VM3" s="23"/>
      <c r="VN3" s="23"/>
      <c r="VO3" s="23"/>
      <c r="VP3" s="23"/>
      <c r="VQ3" s="23"/>
      <c r="VR3" s="23"/>
      <c r="VS3" s="23"/>
      <c r="VT3" s="23"/>
      <c r="VU3" s="23"/>
      <c r="VV3" s="23"/>
      <c r="VW3" s="23"/>
      <c r="VX3" s="23"/>
      <c r="VY3" s="23"/>
      <c r="VZ3" s="23"/>
      <c r="WA3" s="23"/>
      <c r="WB3" s="23"/>
      <c r="WC3" s="23"/>
      <c r="WD3" s="23"/>
      <c r="WE3" s="23"/>
      <c r="WF3" s="23"/>
      <c r="WG3" s="23"/>
      <c r="WH3" s="23"/>
      <c r="WI3" s="23"/>
      <c r="WJ3" s="23"/>
      <c r="WK3" s="23"/>
      <c r="WL3" s="23"/>
      <c r="WM3" s="23"/>
      <c r="WN3" s="23"/>
      <c r="WO3" s="23"/>
      <c r="WP3" s="23"/>
      <c r="WQ3" s="23"/>
      <c r="WR3" s="23"/>
      <c r="WS3" s="23"/>
      <c r="WT3" s="23"/>
      <c r="WU3" s="23"/>
      <c r="WV3" s="23"/>
      <c r="WW3" s="23"/>
      <c r="WX3" s="23"/>
      <c r="WY3" s="23"/>
      <c r="WZ3" s="23"/>
      <c r="XA3" s="23"/>
      <c r="XB3" s="23"/>
      <c r="XC3" s="23"/>
      <c r="XD3" s="23"/>
      <c r="XE3" s="23"/>
      <c r="XF3" s="23"/>
      <c r="XG3" s="23"/>
      <c r="XH3" s="23"/>
      <c r="XI3" s="23"/>
      <c r="XJ3" s="23"/>
      <c r="XK3" s="23"/>
      <c r="XL3" s="23"/>
      <c r="XM3" s="23"/>
      <c r="XN3" s="23"/>
      <c r="XO3" s="23"/>
      <c r="XP3" s="23"/>
      <c r="XQ3" s="23"/>
      <c r="XR3" s="23"/>
      <c r="XS3" s="23"/>
      <c r="XT3" s="23"/>
      <c r="XU3" s="23"/>
      <c r="XV3" s="23"/>
      <c r="XW3" s="23"/>
      <c r="XX3" s="23"/>
      <c r="XY3" s="23"/>
      <c r="XZ3" s="23"/>
      <c r="YA3" s="23"/>
      <c r="YB3" s="23"/>
      <c r="YC3" s="23"/>
      <c r="YD3" s="23"/>
      <c r="YE3" s="23"/>
      <c r="YF3" s="23"/>
      <c r="YG3" s="23"/>
      <c r="YH3" s="23"/>
      <c r="YI3" s="23"/>
      <c r="YJ3" s="23"/>
      <c r="YK3" s="23"/>
      <c r="YL3" s="23"/>
      <c r="YM3" s="23"/>
      <c r="YN3" s="23"/>
      <c r="YO3" s="23"/>
      <c r="YP3" s="23"/>
      <c r="YQ3" s="23"/>
      <c r="YR3" s="23"/>
      <c r="YS3" s="23"/>
      <c r="YT3" s="23"/>
      <c r="YU3" s="23"/>
      <c r="YV3" s="23"/>
      <c r="YW3" s="23"/>
      <c r="YX3" s="23"/>
      <c r="YY3" s="23"/>
      <c r="YZ3" s="23"/>
      <c r="ZA3" s="23"/>
      <c r="ZB3" s="23"/>
      <c r="ZC3" s="23"/>
      <c r="ZD3" s="23"/>
      <c r="ZE3" s="23"/>
      <c r="ZF3" s="23"/>
      <c r="ZG3" s="23"/>
      <c r="ZH3" s="23"/>
      <c r="ZI3" s="23"/>
      <c r="ZJ3" s="23"/>
      <c r="ZK3" s="23"/>
      <c r="ZL3" s="23"/>
      <c r="ZM3" s="23"/>
      <c r="ZN3" s="23"/>
      <c r="ZO3" s="23"/>
      <c r="ZP3" s="23"/>
      <c r="ZQ3" s="23"/>
      <c r="ZR3" s="23"/>
      <c r="ZS3" s="23"/>
      <c r="ZT3" s="23"/>
      <c r="ZU3" s="23"/>
      <c r="ZV3" s="23"/>
      <c r="ZW3" s="23"/>
      <c r="ZX3" s="23"/>
      <c r="ZY3" s="23"/>
      <c r="ZZ3" s="23"/>
      <c r="AAA3" s="23"/>
      <c r="AAB3" s="23"/>
      <c r="AAC3" s="23"/>
      <c r="AAD3" s="23"/>
      <c r="AAE3" s="23"/>
      <c r="AAF3" s="23"/>
      <c r="AAG3" s="23"/>
      <c r="AAH3" s="23"/>
      <c r="AAI3" s="23"/>
      <c r="AAJ3" s="23"/>
      <c r="AAK3" s="23"/>
      <c r="AAL3" s="23"/>
      <c r="AAM3" s="23"/>
      <c r="AAN3" s="23"/>
      <c r="AAO3" s="23"/>
      <c r="AAP3" s="23"/>
      <c r="AAQ3" s="23"/>
      <c r="AAR3" s="23"/>
      <c r="AAS3" s="23"/>
      <c r="AAT3" s="23"/>
      <c r="AAU3" s="23"/>
      <c r="AAV3" s="23"/>
      <c r="AAW3" s="23"/>
      <c r="AAX3" s="23"/>
      <c r="AAY3" s="23"/>
      <c r="AAZ3" s="23"/>
      <c r="ABA3" s="23"/>
      <c r="ABB3" s="23"/>
      <c r="ABC3" s="23"/>
      <c r="ABD3" s="23"/>
      <c r="ABE3" s="23"/>
      <c r="ABF3" s="23"/>
      <c r="ABG3" s="23"/>
      <c r="ABH3" s="23"/>
      <c r="ABI3" s="23"/>
      <c r="ABJ3" s="23"/>
      <c r="ABK3" s="23"/>
      <c r="ABL3" s="23"/>
      <c r="ABM3" s="23"/>
      <c r="ABN3" s="23"/>
      <c r="ABO3" s="23"/>
      <c r="ABP3" s="23"/>
      <c r="ABQ3" s="23"/>
      <c r="ABR3" s="23"/>
      <c r="ABS3" s="23"/>
      <c r="ABT3" s="23"/>
      <c r="ABU3" s="23"/>
      <c r="ABV3" s="23"/>
      <c r="ABW3" s="23"/>
      <c r="ABX3" s="23"/>
      <c r="ABY3" s="23"/>
      <c r="ABZ3" s="23"/>
      <c r="ACA3" s="23"/>
      <c r="ACB3" s="23"/>
      <c r="ACC3" s="23"/>
      <c r="ACD3" s="23"/>
      <c r="ACE3" s="23"/>
      <c r="ACF3" s="23"/>
      <c r="ACG3" s="23"/>
      <c r="ACH3" s="23"/>
      <c r="ACI3" s="23"/>
      <c r="ACJ3" s="23"/>
      <c r="ACK3" s="23"/>
      <c r="ACL3" s="23"/>
      <c r="ACM3" s="23"/>
      <c r="ACN3" s="23"/>
      <c r="ACO3" s="23"/>
      <c r="ACP3" s="23"/>
      <c r="ACQ3" s="23"/>
      <c r="ACR3" s="23"/>
      <c r="ACS3" s="23"/>
      <c r="ACT3" s="23"/>
      <c r="ACU3" s="23"/>
      <c r="ACV3" s="23"/>
      <c r="ACW3" s="23"/>
      <c r="ACX3" s="23"/>
      <c r="ACY3" s="23"/>
      <c r="ACZ3" s="23"/>
      <c r="ADA3" s="23"/>
      <c r="ADB3" s="23"/>
      <c r="ADC3" s="23"/>
      <c r="ADD3" s="23"/>
      <c r="ADE3" s="23"/>
      <c r="ADF3" s="23"/>
      <c r="ADG3" s="23"/>
      <c r="ADH3" s="23"/>
      <c r="ADI3" s="23"/>
      <c r="ADJ3" s="23"/>
      <c r="ADK3" s="23"/>
      <c r="ADL3" s="23"/>
      <c r="ADM3" s="23"/>
      <c r="ADN3" s="23"/>
      <c r="ADO3" s="23"/>
      <c r="ADP3" s="23"/>
      <c r="ADQ3" s="23"/>
      <c r="ADR3" s="23"/>
      <c r="ADS3" s="23"/>
      <c r="ADT3" s="23"/>
      <c r="ADU3" s="23"/>
      <c r="ADV3" s="23"/>
      <c r="ADW3" s="23"/>
      <c r="ADX3" s="23"/>
      <c r="ADY3" s="23"/>
      <c r="ADZ3" s="23"/>
      <c r="AEA3" s="23"/>
      <c r="AEB3" s="23"/>
      <c r="AEC3" s="23"/>
      <c r="AED3" s="23"/>
      <c r="AEE3" s="23"/>
      <c r="AEF3" s="23"/>
      <c r="AEG3" s="23"/>
      <c r="AEH3" s="23"/>
      <c r="AEI3" s="23"/>
      <c r="AEJ3" s="23"/>
      <c r="AEK3" s="23"/>
      <c r="AEL3" s="23"/>
      <c r="AEM3" s="23"/>
      <c r="AEN3" s="23"/>
      <c r="AEO3" s="23"/>
      <c r="AEP3" s="23"/>
      <c r="AEQ3" s="23"/>
      <c r="AER3" s="23"/>
      <c r="AES3" s="23"/>
      <c r="AET3" s="23"/>
      <c r="AEU3" s="23"/>
      <c r="AEV3" s="23"/>
      <c r="AEW3" s="23"/>
      <c r="AEX3" s="23"/>
      <c r="AEY3" s="23"/>
      <c r="AEZ3" s="23"/>
      <c r="AFA3" s="23"/>
      <c r="AFB3" s="23"/>
      <c r="AFC3" s="23"/>
      <c r="AFD3" s="23"/>
      <c r="AFE3" s="23"/>
      <c r="AFF3" s="23"/>
      <c r="AFG3" s="23"/>
      <c r="AFH3" s="23"/>
      <c r="AFI3" s="23"/>
      <c r="AFJ3" s="23"/>
      <c r="AFK3" s="23"/>
      <c r="AFL3" s="23"/>
      <c r="AFM3" s="23"/>
      <c r="AFN3" s="23"/>
      <c r="AFO3" s="23"/>
      <c r="AFP3" s="23"/>
      <c r="AFQ3" s="23"/>
      <c r="AFR3" s="23"/>
      <c r="AFS3" s="23"/>
      <c r="AFT3" s="23"/>
      <c r="AFU3" s="23"/>
      <c r="AFV3" s="23"/>
      <c r="AFW3" s="23"/>
      <c r="AFX3" s="23"/>
      <c r="AFY3" s="23"/>
      <c r="AFZ3" s="23"/>
      <c r="AGA3" s="23"/>
      <c r="AGB3" s="23"/>
      <c r="AGC3" s="23"/>
      <c r="AGD3" s="23"/>
      <c r="AGE3" s="23"/>
      <c r="AGF3" s="23"/>
      <c r="AGG3" s="23"/>
      <c r="AGH3" s="23"/>
      <c r="AGI3" s="23"/>
      <c r="AGJ3" s="23"/>
      <c r="AGK3" s="23"/>
      <c r="AGL3" s="23"/>
      <c r="AGM3" s="23"/>
      <c r="AGN3" s="23"/>
      <c r="AGO3" s="23"/>
      <c r="AGP3" s="23"/>
      <c r="AGQ3" s="23"/>
      <c r="AGR3" s="23"/>
      <c r="AGS3" s="23"/>
      <c r="AGT3" s="23"/>
      <c r="AGU3" s="23"/>
      <c r="AGV3" s="23"/>
      <c r="AGW3" s="23"/>
      <c r="AGX3" s="23"/>
      <c r="AGY3" s="23"/>
      <c r="AGZ3" s="23"/>
      <c r="AHA3" s="23"/>
      <c r="AHB3" s="23"/>
      <c r="AHC3" s="23"/>
      <c r="AHD3" s="23"/>
      <c r="AHE3" s="23"/>
      <c r="AHF3" s="23"/>
      <c r="AHG3" s="23"/>
      <c r="AHH3" s="23"/>
      <c r="AHI3" s="23"/>
      <c r="AHJ3" s="23"/>
      <c r="AHK3" s="23"/>
      <c r="AHL3" s="23"/>
      <c r="AHM3" s="23"/>
      <c r="AHN3" s="23"/>
      <c r="AHO3" s="23"/>
      <c r="AHP3" s="23"/>
      <c r="AHQ3" s="23"/>
      <c r="AHR3" s="23"/>
      <c r="AHS3" s="23"/>
      <c r="AHT3" s="23"/>
      <c r="AHU3" s="23"/>
      <c r="AHV3" s="23"/>
      <c r="AHW3" s="23"/>
      <c r="AHX3" s="23"/>
      <c r="AHY3" s="23"/>
      <c r="AHZ3" s="23"/>
      <c r="AIA3" s="23"/>
      <c r="AIB3" s="23"/>
      <c r="AIC3" s="23"/>
      <c r="AID3" s="23"/>
      <c r="AIE3" s="23"/>
      <c r="AIF3" s="23"/>
      <c r="AIG3" s="23"/>
      <c r="AIH3" s="23"/>
      <c r="AII3" s="23"/>
      <c r="AIJ3" s="23"/>
      <c r="AIK3" s="23"/>
      <c r="AIL3" s="23"/>
      <c r="AIM3" s="23"/>
      <c r="AIN3" s="23"/>
      <c r="AIO3" s="23"/>
      <c r="AIP3" s="23"/>
      <c r="AIQ3" s="23"/>
      <c r="AIR3" s="23"/>
      <c r="AIS3" s="23"/>
      <c r="AIT3" s="23"/>
      <c r="AIU3" s="23"/>
      <c r="AIV3" s="23"/>
      <c r="AIW3" s="23"/>
      <c r="AIX3" s="23"/>
      <c r="AIY3" s="23"/>
      <c r="AIZ3" s="23"/>
      <c r="AJA3" s="23"/>
      <c r="AJB3" s="23"/>
      <c r="AJC3" s="23"/>
      <c r="AJD3" s="23"/>
      <c r="AJE3" s="23"/>
      <c r="AJF3" s="23"/>
      <c r="AJG3" s="23"/>
      <c r="AJH3" s="23"/>
      <c r="AJI3" s="23"/>
      <c r="AJJ3" s="23"/>
      <c r="AJK3" s="23"/>
      <c r="AJL3" s="23"/>
      <c r="AJM3" s="23"/>
      <c r="AJN3" s="23"/>
      <c r="AJO3" s="23"/>
      <c r="AJP3" s="23"/>
      <c r="AJQ3" s="23"/>
      <c r="AJR3" s="23"/>
      <c r="AJS3" s="23"/>
      <c r="AJT3" s="23"/>
      <c r="AJU3" s="23"/>
      <c r="AJV3" s="23"/>
      <c r="AJW3" s="23"/>
      <c r="AJX3" s="23"/>
      <c r="AJY3" s="23"/>
      <c r="AJZ3" s="23"/>
      <c r="AKA3" s="23"/>
      <c r="AKB3" s="23"/>
      <c r="AKC3" s="23"/>
      <c r="AKD3" s="23"/>
      <c r="AKE3" s="23"/>
      <c r="AKF3" s="23"/>
      <c r="AKG3" s="23"/>
      <c r="AKH3" s="23"/>
      <c r="AKI3" s="23"/>
      <c r="AKJ3" s="23"/>
      <c r="AKK3" s="23"/>
      <c r="AKL3" s="23"/>
      <c r="AKM3" s="23"/>
      <c r="AKN3" s="23"/>
      <c r="AKO3" s="23"/>
      <c r="AKP3" s="23"/>
      <c r="AKQ3" s="23"/>
      <c r="AKR3" s="23"/>
      <c r="AKS3" s="23"/>
      <c r="AKT3" s="23"/>
      <c r="AKU3" s="23"/>
      <c r="AKV3" s="23"/>
      <c r="AKW3" s="23"/>
      <c r="AKX3" s="23"/>
      <c r="AKY3" s="23"/>
      <c r="AKZ3" s="23"/>
      <c r="ALA3" s="23"/>
      <c r="ALB3" s="23"/>
      <c r="ALC3" s="23"/>
      <c r="ALD3" s="23"/>
      <c r="ALE3" s="23"/>
      <c r="ALF3" s="23"/>
      <c r="ALG3" s="23"/>
      <c r="ALH3" s="23"/>
      <c r="ALI3" s="23"/>
      <c r="ALJ3" s="23"/>
      <c r="ALK3" s="23"/>
      <c r="ALL3" s="23"/>
      <c r="ALM3" s="23"/>
      <c r="ALN3" s="23"/>
      <c r="ALO3" s="23"/>
      <c r="ALP3" s="23"/>
      <c r="ALQ3" s="23"/>
      <c r="ALR3" s="23"/>
      <c r="ALS3" s="23"/>
      <c r="ALT3" s="23"/>
      <c r="ALU3" s="23"/>
      <c r="ALV3" s="23"/>
      <c r="ALW3" s="23"/>
      <c r="ALX3" s="23"/>
      <c r="ALY3" s="23"/>
      <c r="ALZ3" s="23"/>
      <c r="AMA3" s="23"/>
      <c r="AMB3" s="23"/>
      <c r="AMC3" s="23"/>
      <c r="AMD3" s="23"/>
      <c r="AME3" s="23"/>
      <c r="AMF3" s="23"/>
      <c r="AMG3" s="23"/>
      <c r="AMH3" s="23"/>
      <c r="AMI3" s="23"/>
      <c r="AMJ3" s="23"/>
      <c r="AMK3" s="23"/>
      <c r="AML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  <c r="FR4" s="25"/>
      <c r="FS4" s="25"/>
      <c r="FT4" s="25"/>
      <c r="FU4" s="25"/>
      <c r="FV4" s="25"/>
      <c r="FW4" s="25"/>
      <c r="FX4" s="25"/>
      <c r="FY4" s="25"/>
      <c r="FZ4" s="25"/>
      <c r="GA4" s="25"/>
      <c r="GB4" s="25"/>
      <c r="GC4" s="25"/>
      <c r="GD4" s="25"/>
      <c r="GE4" s="25"/>
      <c r="GF4" s="25"/>
      <c r="GG4" s="25"/>
      <c r="GH4" s="25"/>
      <c r="GI4" s="25"/>
      <c r="GJ4" s="25"/>
      <c r="GK4" s="25"/>
      <c r="GL4" s="25"/>
      <c r="GM4" s="25"/>
      <c r="GN4" s="25"/>
      <c r="GO4" s="25"/>
      <c r="GP4" s="25"/>
      <c r="GQ4" s="25"/>
      <c r="GR4" s="25"/>
      <c r="GS4" s="25"/>
      <c r="GT4" s="25"/>
      <c r="GU4" s="25"/>
      <c r="GV4" s="25"/>
      <c r="GW4" s="25"/>
      <c r="GX4" s="25"/>
      <c r="GY4" s="25"/>
      <c r="GZ4" s="25"/>
      <c r="HA4" s="25"/>
      <c r="HB4" s="25"/>
      <c r="HC4" s="25"/>
      <c r="HD4" s="25"/>
      <c r="HE4" s="25"/>
      <c r="HF4" s="25"/>
      <c r="HG4" s="25"/>
      <c r="HH4" s="25"/>
      <c r="HI4" s="25"/>
      <c r="HJ4" s="25"/>
      <c r="HK4" s="25"/>
      <c r="HL4" s="25"/>
      <c r="HM4" s="25"/>
      <c r="HN4" s="25"/>
      <c r="HO4" s="25"/>
      <c r="HP4" s="25"/>
      <c r="HQ4" s="25"/>
      <c r="HR4" s="25"/>
      <c r="HS4" s="25"/>
      <c r="HT4" s="25"/>
      <c r="HU4" s="25"/>
      <c r="HV4" s="25"/>
      <c r="HW4" s="25"/>
      <c r="HX4" s="25"/>
      <c r="HY4" s="25"/>
      <c r="HZ4" s="25"/>
      <c r="IA4" s="25"/>
      <c r="IB4" s="25"/>
      <c r="IC4" s="25"/>
      <c r="ID4" s="25"/>
      <c r="IE4" s="25"/>
      <c r="IF4" s="25"/>
      <c r="IG4" s="25"/>
      <c r="IH4" s="25"/>
      <c r="II4" s="25"/>
      <c r="IJ4" s="25"/>
      <c r="IK4" s="25"/>
      <c r="IL4" s="25"/>
      <c r="IM4" s="25"/>
      <c r="IN4" s="25"/>
      <c r="IO4" s="25"/>
      <c r="IP4" s="25"/>
      <c r="IQ4" s="25"/>
      <c r="IR4" s="25"/>
      <c r="IS4" s="25"/>
      <c r="IT4" s="25"/>
      <c r="IU4" s="25"/>
      <c r="IV4" s="25"/>
      <c r="IW4" s="25"/>
      <c r="IX4" s="25"/>
      <c r="IY4" s="25"/>
      <c r="IZ4" s="25"/>
      <c r="JA4" s="25"/>
      <c r="JB4" s="25"/>
      <c r="JC4" s="25"/>
      <c r="JD4" s="25"/>
      <c r="JE4" s="25"/>
      <c r="JF4" s="25"/>
      <c r="JG4" s="25"/>
      <c r="JH4" s="25"/>
      <c r="JI4" s="25"/>
      <c r="JJ4" s="25"/>
      <c r="JK4" s="25"/>
      <c r="JL4" s="25"/>
      <c r="JM4" s="25"/>
      <c r="JN4" s="25"/>
      <c r="JO4" s="25"/>
      <c r="JP4" s="25"/>
      <c r="JQ4" s="25"/>
      <c r="JR4" s="25"/>
      <c r="JS4" s="25"/>
      <c r="JT4" s="25"/>
      <c r="JU4" s="25"/>
      <c r="JV4" s="25"/>
      <c r="JW4" s="25"/>
      <c r="JX4" s="25"/>
      <c r="JY4" s="25"/>
      <c r="JZ4" s="25"/>
      <c r="KA4" s="25"/>
      <c r="KB4" s="25"/>
      <c r="KC4" s="25"/>
      <c r="KD4" s="25"/>
      <c r="KE4" s="25"/>
      <c r="KF4" s="25"/>
      <c r="KG4" s="25"/>
      <c r="KH4" s="25"/>
      <c r="KI4" s="25"/>
      <c r="KJ4" s="25"/>
      <c r="KK4" s="25"/>
      <c r="KL4" s="25"/>
      <c r="KM4" s="25"/>
      <c r="KN4" s="25"/>
      <c r="KO4" s="25"/>
      <c r="KP4" s="25"/>
      <c r="KQ4" s="25"/>
      <c r="KR4" s="25"/>
      <c r="KS4" s="25"/>
      <c r="KT4" s="25"/>
      <c r="KU4" s="25"/>
      <c r="KV4" s="25"/>
      <c r="KW4" s="25"/>
      <c r="KX4" s="25"/>
      <c r="KY4" s="25"/>
      <c r="KZ4" s="25"/>
      <c r="LA4" s="25"/>
      <c r="LB4" s="25"/>
      <c r="LC4" s="25"/>
      <c r="LD4" s="25"/>
      <c r="LE4" s="25"/>
      <c r="LF4" s="25"/>
      <c r="LG4" s="25"/>
      <c r="LH4" s="25"/>
      <c r="LI4" s="25"/>
      <c r="LJ4" s="25"/>
      <c r="LK4" s="25"/>
      <c r="LL4" s="25"/>
      <c r="LM4" s="25"/>
      <c r="LN4" s="25"/>
      <c r="LO4" s="25"/>
      <c r="LP4" s="25"/>
      <c r="LQ4" s="25"/>
      <c r="LR4" s="25"/>
      <c r="LS4" s="25"/>
      <c r="LT4" s="25"/>
      <c r="LU4" s="25"/>
      <c r="LV4" s="25"/>
      <c r="LW4" s="25"/>
      <c r="LX4" s="25"/>
      <c r="LY4" s="25"/>
      <c r="LZ4" s="25"/>
      <c r="MA4" s="25"/>
      <c r="MB4" s="25"/>
      <c r="MC4" s="25"/>
      <c r="MD4" s="25"/>
      <c r="ME4" s="25"/>
      <c r="MF4" s="25"/>
      <c r="MG4" s="25"/>
      <c r="MH4" s="25"/>
      <c r="MI4" s="25"/>
      <c r="MJ4" s="25"/>
      <c r="MK4" s="25"/>
      <c r="ML4" s="25"/>
      <c r="MM4" s="25"/>
      <c r="MN4" s="25"/>
      <c r="MO4" s="25"/>
      <c r="MP4" s="25"/>
      <c r="MQ4" s="25"/>
      <c r="MR4" s="25"/>
      <c r="MS4" s="25"/>
      <c r="MT4" s="25"/>
      <c r="MU4" s="25"/>
      <c r="MV4" s="25"/>
      <c r="MW4" s="25"/>
      <c r="MX4" s="25"/>
      <c r="MY4" s="25"/>
      <c r="MZ4" s="25"/>
      <c r="NA4" s="25"/>
      <c r="NB4" s="25"/>
      <c r="NC4" s="25"/>
      <c r="ND4" s="25"/>
      <c r="NE4" s="25"/>
      <c r="NF4" s="25"/>
      <c r="NG4" s="25"/>
      <c r="NH4" s="25"/>
      <c r="NI4" s="25"/>
      <c r="NJ4" s="25"/>
      <c r="NK4" s="25"/>
      <c r="NL4" s="25"/>
      <c r="NM4" s="25"/>
      <c r="NN4" s="25"/>
      <c r="NO4" s="25"/>
      <c r="NP4" s="25"/>
      <c r="NQ4" s="25"/>
      <c r="NR4" s="25"/>
      <c r="NS4" s="25"/>
      <c r="NT4" s="25"/>
      <c r="NU4" s="25"/>
      <c r="NV4" s="25"/>
      <c r="NW4" s="25"/>
      <c r="NX4" s="25"/>
      <c r="NY4" s="25"/>
      <c r="NZ4" s="25"/>
      <c r="OA4" s="25"/>
      <c r="OB4" s="25"/>
      <c r="OC4" s="25"/>
      <c r="OD4" s="25"/>
      <c r="OE4" s="25"/>
      <c r="OF4" s="25"/>
      <c r="OG4" s="25"/>
      <c r="OH4" s="25"/>
      <c r="OI4" s="25"/>
      <c r="OJ4" s="25"/>
      <c r="OK4" s="25"/>
      <c r="OL4" s="25"/>
      <c r="OM4" s="25"/>
      <c r="ON4" s="25"/>
      <c r="OO4" s="25"/>
      <c r="OP4" s="25"/>
      <c r="OQ4" s="25"/>
      <c r="OR4" s="25"/>
      <c r="OS4" s="25"/>
      <c r="OT4" s="25"/>
      <c r="OU4" s="25"/>
      <c r="OV4" s="25"/>
      <c r="OW4" s="25"/>
      <c r="OX4" s="25"/>
      <c r="OY4" s="25"/>
      <c r="OZ4" s="25"/>
      <c r="PA4" s="25"/>
      <c r="PB4" s="25"/>
      <c r="PC4" s="25"/>
      <c r="PD4" s="25"/>
      <c r="PE4" s="25"/>
      <c r="PF4" s="25"/>
      <c r="PG4" s="25"/>
      <c r="PH4" s="25"/>
      <c r="PI4" s="25"/>
      <c r="PJ4" s="25"/>
      <c r="PK4" s="25"/>
      <c r="PL4" s="25"/>
      <c r="PM4" s="25"/>
      <c r="PN4" s="25"/>
      <c r="PO4" s="25"/>
      <c r="PP4" s="25"/>
      <c r="PQ4" s="25"/>
      <c r="PR4" s="25"/>
      <c r="PS4" s="25"/>
      <c r="PT4" s="25"/>
      <c r="PU4" s="25"/>
      <c r="PV4" s="25"/>
      <c r="PW4" s="25"/>
      <c r="PX4" s="25"/>
      <c r="PY4" s="25"/>
      <c r="PZ4" s="25"/>
      <c r="QA4" s="25"/>
      <c r="QB4" s="25"/>
      <c r="QC4" s="25"/>
      <c r="QD4" s="25"/>
      <c r="QE4" s="25"/>
      <c r="QF4" s="25"/>
      <c r="QG4" s="25"/>
      <c r="QH4" s="25"/>
      <c r="QI4" s="25"/>
      <c r="QJ4" s="25"/>
      <c r="QK4" s="25"/>
      <c r="QL4" s="25"/>
      <c r="QM4" s="25"/>
      <c r="QN4" s="25"/>
      <c r="QO4" s="25"/>
      <c r="QP4" s="25"/>
      <c r="QQ4" s="25"/>
      <c r="QR4" s="25"/>
      <c r="QS4" s="25"/>
      <c r="QT4" s="25"/>
      <c r="QU4" s="25"/>
      <c r="QV4" s="25"/>
      <c r="QW4" s="25"/>
      <c r="QX4" s="25"/>
      <c r="QY4" s="25"/>
      <c r="QZ4" s="25"/>
      <c r="RA4" s="25"/>
      <c r="RB4" s="25"/>
      <c r="RC4" s="25"/>
      <c r="RD4" s="25"/>
      <c r="RE4" s="25"/>
      <c r="RF4" s="25"/>
      <c r="RG4" s="25"/>
      <c r="RH4" s="25"/>
      <c r="RI4" s="25"/>
      <c r="RJ4" s="25"/>
      <c r="RK4" s="25"/>
      <c r="RL4" s="25"/>
      <c r="RM4" s="25"/>
      <c r="RN4" s="25"/>
      <c r="RO4" s="25"/>
      <c r="RP4" s="25"/>
      <c r="RQ4" s="25"/>
      <c r="RR4" s="25"/>
      <c r="RS4" s="25"/>
      <c r="RT4" s="25"/>
      <c r="RU4" s="25"/>
      <c r="RV4" s="25"/>
      <c r="RW4" s="25"/>
      <c r="RX4" s="25"/>
      <c r="RY4" s="25"/>
      <c r="RZ4" s="25"/>
      <c r="SA4" s="25"/>
      <c r="SB4" s="25"/>
      <c r="SC4" s="25"/>
      <c r="SD4" s="25"/>
      <c r="SE4" s="25"/>
      <c r="SF4" s="25"/>
      <c r="SG4" s="25"/>
      <c r="SH4" s="25"/>
      <c r="SI4" s="25"/>
      <c r="SJ4" s="25"/>
      <c r="SK4" s="25"/>
      <c r="SL4" s="25"/>
      <c r="SM4" s="25"/>
      <c r="SN4" s="25"/>
      <c r="SO4" s="25"/>
      <c r="SP4" s="25"/>
      <c r="SQ4" s="25"/>
      <c r="SR4" s="25"/>
      <c r="SS4" s="25"/>
      <c r="ST4" s="25"/>
      <c r="SU4" s="25"/>
      <c r="SV4" s="25"/>
      <c r="SW4" s="25"/>
      <c r="SX4" s="25"/>
      <c r="SY4" s="25"/>
      <c r="SZ4" s="25"/>
      <c r="TA4" s="25"/>
      <c r="TB4" s="25"/>
      <c r="TC4" s="25"/>
      <c r="TD4" s="25"/>
      <c r="TE4" s="25"/>
      <c r="TF4" s="25"/>
      <c r="TG4" s="25"/>
      <c r="TH4" s="25"/>
      <c r="TI4" s="25"/>
      <c r="TJ4" s="25"/>
      <c r="TK4" s="25"/>
      <c r="TL4" s="25"/>
      <c r="TM4" s="25"/>
      <c r="TN4" s="25"/>
      <c r="TO4" s="25"/>
      <c r="TP4" s="25"/>
      <c r="TQ4" s="25"/>
      <c r="TR4" s="25"/>
      <c r="TS4" s="25"/>
      <c r="TT4" s="25"/>
      <c r="TU4" s="25"/>
      <c r="TV4" s="25"/>
      <c r="TW4" s="25"/>
      <c r="TX4" s="25"/>
      <c r="TY4" s="25"/>
      <c r="TZ4" s="25"/>
      <c r="UA4" s="25"/>
      <c r="UB4" s="25"/>
      <c r="UC4" s="25"/>
      <c r="UD4" s="25"/>
      <c r="UE4" s="25"/>
      <c r="UF4" s="25"/>
      <c r="UG4" s="25"/>
      <c r="UH4" s="25"/>
      <c r="UI4" s="25"/>
      <c r="UJ4" s="25"/>
      <c r="UK4" s="25"/>
      <c r="UL4" s="25"/>
      <c r="UM4" s="25"/>
      <c r="UN4" s="25"/>
      <c r="UO4" s="25"/>
      <c r="UP4" s="25"/>
      <c r="UQ4" s="25"/>
      <c r="UR4" s="25"/>
      <c r="US4" s="25"/>
      <c r="UT4" s="25"/>
      <c r="UU4" s="25"/>
      <c r="UV4" s="25"/>
      <c r="UW4" s="25"/>
      <c r="UX4" s="25"/>
      <c r="UY4" s="25"/>
      <c r="UZ4" s="25"/>
      <c r="VA4" s="25"/>
      <c r="VB4" s="25"/>
      <c r="VC4" s="25"/>
      <c r="VD4" s="25"/>
      <c r="VE4" s="25"/>
      <c r="VF4" s="25"/>
      <c r="VG4" s="25"/>
      <c r="VH4" s="25"/>
      <c r="VI4" s="25"/>
      <c r="VJ4" s="25"/>
      <c r="VK4" s="25"/>
      <c r="VL4" s="25"/>
      <c r="VM4" s="25"/>
      <c r="VN4" s="25"/>
      <c r="VO4" s="25"/>
      <c r="VP4" s="25"/>
      <c r="VQ4" s="25"/>
      <c r="VR4" s="25"/>
      <c r="VS4" s="25"/>
      <c r="VT4" s="25"/>
      <c r="VU4" s="25"/>
      <c r="VV4" s="25"/>
      <c r="VW4" s="25"/>
      <c r="VX4" s="25"/>
      <c r="VY4" s="25"/>
      <c r="VZ4" s="25"/>
      <c r="WA4" s="25"/>
      <c r="WB4" s="25"/>
      <c r="WC4" s="25"/>
      <c r="WD4" s="25"/>
      <c r="WE4" s="25"/>
      <c r="WF4" s="25"/>
      <c r="WG4" s="25"/>
      <c r="WH4" s="25"/>
      <c r="WI4" s="25"/>
      <c r="WJ4" s="25"/>
      <c r="WK4" s="25"/>
      <c r="WL4" s="25"/>
      <c r="WM4" s="25"/>
      <c r="WN4" s="25"/>
      <c r="WO4" s="25"/>
      <c r="WP4" s="25"/>
      <c r="WQ4" s="25"/>
      <c r="WR4" s="25"/>
      <c r="WS4" s="25"/>
      <c r="WT4" s="25"/>
      <c r="WU4" s="25"/>
      <c r="WV4" s="25"/>
      <c r="WW4" s="25"/>
      <c r="WX4" s="25"/>
      <c r="WY4" s="25"/>
      <c r="WZ4" s="25"/>
      <c r="XA4" s="25"/>
      <c r="XB4" s="25"/>
      <c r="XC4" s="25"/>
      <c r="XD4" s="25"/>
      <c r="XE4" s="25"/>
      <c r="XF4" s="25"/>
      <c r="XG4" s="25"/>
      <c r="XH4" s="25"/>
      <c r="XI4" s="25"/>
      <c r="XJ4" s="25"/>
      <c r="XK4" s="25"/>
      <c r="XL4" s="25"/>
      <c r="XM4" s="25"/>
      <c r="XN4" s="25"/>
      <c r="XO4" s="25"/>
      <c r="XP4" s="25"/>
      <c r="XQ4" s="25"/>
      <c r="XR4" s="25"/>
      <c r="XS4" s="25"/>
      <c r="XT4" s="25"/>
      <c r="XU4" s="25"/>
      <c r="XV4" s="25"/>
      <c r="XW4" s="25"/>
      <c r="XX4" s="25"/>
      <c r="XY4" s="25"/>
      <c r="XZ4" s="25"/>
      <c r="YA4" s="25"/>
      <c r="YB4" s="25"/>
      <c r="YC4" s="25"/>
      <c r="YD4" s="25"/>
      <c r="YE4" s="25"/>
      <c r="YF4" s="25"/>
      <c r="YG4" s="25"/>
      <c r="YH4" s="25"/>
      <c r="YI4" s="25"/>
      <c r="YJ4" s="25"/>
      <c r="YK4" s="25"/>
      <c r="YL4" s="25"/>
      <c r="YM4" s="25"/>
      <c r="YN4" s="25"/>
      <c r="YO4" s="25"/>
      <c r="YP4" s="25"/>
      <c r="YQ4" s="25"/>
      <c r="YR4" s="25"/>
      <c r="YS4" s="25"/>
      <c r="YT4" s="25"/>
      <c r="YU4" s="25"/>
      <c r="YV4" s="25"/>
      <c r="YW4" s="25"/>
      <c r="YX4" s="25"/>
      <c r="YY4" s="25"/>
      <c r="YZ4" s="25"/>
      <c r="ZA4" s="25"/>
      <c r="ZB4" s="25"/>
      <c r="ZC4" s="25"/>
      <c r="ZD4" s="25"/>
      <c r="ZE4" s="25"/>
      <c r="ZF4" s="25"/>
      <c r="ZG4" s="25"/>
      <c r="ZH4" s="25"/>
      <c r="ZI4" s="25"/>
      <c r="ZJ4" s="25"/>
      <c r="ZK4" s="25"/>
      <c r="ZL4" s="25"/>
      <c r="ZM4" s="25"/>
      <c r="ZN4" s="25"/>
      <c r="ZO4" s="25"/>
      <c r="ZP4" s="25"/>
      <c r="ZQ4" s="25"/>
      <c r="ZR4" s="25"/>
      <c r="ZS4" s="25"/>
      <c r="ZT4" s="25"/>
      <c r="ZU4" s="25"/>
      <c r="ZV4" s="25"/>
      <c r="ZW4" s="25"/>
      <c r="ZX4" s="25"/>
      <c r="ZY4" s="25"/>
      <c r="ZZ4" s="25"/>
      <c r="AAA4" s="25"/>
      <c r="AAB4" s="25"/>
      <c r="AAC4" s="25"/>
      <c r="AAD4" s="25"/>
      <c r="AAE4" s="25"/>
      <c r="AAF4" s="25"/>
      <c r="AAG4" s="25"/>
      <c r="AAH4" s="25"/>
      <c r="AAI4" s="25"/>
      <c r="AAJ4" s="25"/>
      <c r="AAK4" s="25"/>
      <c r="AAL4" s="25"/>
      <c r="AAM4" s="25"/>
      <c r="AAN4" s="25"/>
      <c r="AAO4" s="25"/>
      <c r="AAP4" s="25"/>
      <c r="AAQ4" s="25"/>
      <c r="AAR4" s="25"/>
      <c r="AAS4" s="25"/>
      <c r="AAT4" s="25"/>
      <c r="AAU4" s="25"/>
      <c r="AAV4" s="25"/>
      <c r="AAW4" s="25"/>
      <c r="AAX4" s="25"/>
      <c r="AAY4" s="25"/>
      <c r="AAZ4" s="25"/>
      <c r="ABA4" s="25"/>
      <c r="ABB4" s="25"/>
      <c r="ABC4" s="25"/>
      <c r="ABD4" s="25"/>
      <c r="ABE4" s="25"/>
      <c r="ABF4" s="25"/>
      <c r="ABG4" s="25"/>
      <c r="ABH4" s="25"/>
      <c r="ABI4" s="25"/>
      <c r="ABJ4" s="25"/>
      <c r="ABK4" s="25"/>
      <c r="ABL4" s="25"/>
      <c r="ABM4" s="25"/>
      <c r="ABN4" s="25"/>
      <c r="ABO4" s="25"/>
      <c r="ABP4" s="25"/>
      <c r="ABQ4" s="25"/>
      <c r="ABR4" s="25"/>
      <c r="ABS4" s="25"/>
      <c r="ABT4" s="25"/>
      <c r="ABU4" s="25"/>
      <c r="ABV4" s="25"/>
      <c r="ABW4" s="25"/>
      <c r="ABX4" s="25"/>
      <c r="ABY4" s="25"/>
      <c r="ABZ4" s="25"/>
      <c r="ACA4" s="25"/>
      <c r="ACB4" s="25"/>
      <c r="ACC4" s="25"/>
      <c r="ACD4" s="25"/>
      <c r="ACE4" s="25"/>
      <c r="ACF4" s="25"/>
      <c r="ACG4" s="25"/>
      <c r="ACH4" s="25"/>
      <c r="ACI4" s="25"/>
      <c r="ACJ4" s="25"/>
      <c r="ACK4" s="25"/>
      <c r="ACL4" s="25"/>
      <c r="ACM4" s="25"/>
      <c r="ACN4" s="25"/>
      <c r="ACO4" s="25"/>
      <c r="ACP4" s="25"/>
      <c r="ACQ4" s="25"/>
      <c r="ACR4" s="25"/>
      <c r="ACS4" s="25"/>
      <c r="ACT4" s="25"/>
      <c r="ACU4" s="25"/>
      <c r="ACV4" s="25"/>
      <c r="ACW4" s="25"/>
      <c r="ACX4" s="25"/>
      <c r="ACY4" s="25"/>
      <c r="ACZ4" s="25"/>
      <c r="ADA4" s="25"/>
      <c r="ADB4" s="25"/>
      <c r="ADC4" s="25"/>
      <c r="ADD4" s="25"/>
      <c r="ADE4" s="25"/>
      <c r="ADF4" s="25"/>
      <c r="ADG4" s="25"/>
      <c r="ADH4" s="25"/>
      <c r="ADI4" s="25"/>
      <c r="ADJ4" s="25"/>
      <c r="ADK4" s="25"/>
      <c r="ADL4" s="25"/>
      <c r="ADM4" s="25"/>
      <c r="ADN4" s="25"/>
      <c r="ADO4" s="25"/>
      <c r="ADP4" s="25"/>
      <c r="ADQ4" s="25"/>
      <c r="ADR4" s="25"/>
      <c r="ADS4" s="25"/>
      <c r="ADT4" s="25"/>
      <c r="ADU4" s="25"/>
      <c r="ADV4" s="25"/>
      <c r="ADW4" s="25"/>
      <c r="ADX4" s="25"/>
      <c r="ADY4" s="25"/>
      <c r="ADZ4" s="25"/>
      <c r="AEA4" s="25"/>
      <c r="AEB4" s="25"/>
      <c r="AEC4" s="25"/>
      <c r="AED4" s="25"/>
      <c r="AEE4" s="25"/>
      <c r="AEF4" s="25"/>
      <c r="AEG4" s="25"/>
      <c r="AEH4" s="25"/>
      <c r="AEI4" s="25"/>
      <c r="AEJ4" s="25"/>
      <c r="AEK4" s="25"/>
      <c r="AEL4" s="25"/>
      <c r="AEM4" s="25"/>
      <c r="AEN4" s="25"/>
      <c r="AEO4" s="25"/>
      <c r="AEP4" s="25"/>
      <c r="AEQ4" s="25"/>
      <c r="AER4" s="25"/>
      <c r="AES4" s="25"/>
      <c r="AET4" s="25"/>
      <c r="AEU4" s="25"/>
      <c r="AEV4" s="25"/>
      <c r="AEW4" s="25"/>
      <c r="AEX4" s="25"/>
      <c r="AEY4" s="25"/>
      <c r="AEZ4" s="25"/>
      <c r="AFA4" s="25"/>
      <c r="AFB4" s="25"/>
      <c r="AFC4" s="25"/>
      <c r="AFD4" s="25"/>
      <c r="AFE4" s="25"/>
      <c r="AFF4" s="25"/>
      <c r="AFG4" s="25"/>
      <c r="AFH4" s="25"/>
      <c r="AFI4" s="25"/>
      <c r="AFJ4" s="25"/>
      <c r="AFK4" s="25"/>
      <c r="AFL4" s="25"/>
      <c r="AFM4" s="25"/>
      <c r="AFN4" s="25"/>
      <c r="AFO4" s="25"/>
      <c r="AFP4" s="25"/>
      <c r="AFQ4" s="25"/>
      <c r="AFR4" s="25"/>
      <c r="AFS4" s="25"/>
      <c r="AFT4" s="25"/>
      <c r="AFU4" s="25"/>
      <c r="AFV4" s="25"/>
      <c r="AFW4" s="25"/>
      <c r="AFX4" s="25"/>
      <c r="AFY4" s="25"/>
      <c r="AFZ4" s="25"/>
      <c r="AGA4" s="25"/>
      <c r="AGB4" s="25"/>
      <c r="AGC4" s="25"/>
      <c r="AGD4" s="25"/>
      <c r="AGE4" s="25"/>
      <c r="AGF4" s="25"/>
      <c r="AGG4" s="25"/>
      <c r="AGH4" s="25"/>
      <c r="AGI4" s="25"/>
      <c r="AGJ4" s="25"/>
      <c r="AGK4" s="25"/>
      <c r="AGL4" s="25"/>
      <c r="AGM4" s="25"/>
      <c r="AGN4" s="25"/>
      <c r="AGO4" s="25"/>
      <c r="AGP4" s="25"/>
      <c r="AGQ4" s="25"/>
      <c r="AGR4" s="25"/>
      <c r="AGS4" s="25"/>
      <c r="AGT4" s="25"/>
      <c r="AGU4" s="25"/>
      <c r="AGV4" s="25"/>
      <c r="AGW4" s="25"/>
      <c r="AGX4" s="25"/>
      <c r="AGY4" s="25"/>
      <c r="AGZ4" s="25"/>
      <c r="AHA4" s="25"/>
      <c r="AHB4" s="25"/>
      <c r="AHC4" s="25"/>
      <c r="AHD4" s="25"/>
      <c r="AHE4" s="25"/>
      <c r="AHF4" s="25"/>
      <c r="AHG4" s="25"/>
      <c r="AHH4" s="25"/>
      <c r="AHI4" s="25"/>
      <c r="AHJ4" s="25"/>
      <c r="AHK4" s="25"/>
      <c r="AHL4" s="25"/>
      <c r="AHM4" s="25"/>
      <c r="AHN4" s="25"/>
      <c r="AHO4" s="25"/>
      <c r="AHP4" s="25"/>
      <c r="AHQ4" s="25"/>
      <c r="AHR4" s="25"/>
      <c r="AHS4" s="25"/>
      <c r="AHT4" s="25"/>
      <c r="AHU4" s="25"/>
      <c r="AHV4" s="25"/>
      <c r="AHW4" s="25"/>
      <c r="AHX4" s="25"/>
      <c r="AHY4" s="25"/>
      <c r="AHZ4" s="25"/>
      <c r="AIA4" s="25"/>
      <c r="AIB4" s="25"/>
      <c r="AIC4" s="25"/>
      <c r="AID4" s="25"/>
      <c r="AIE4" s="25"/>
      <c r="AIF4" s="25"/>
      <c r="AIG4" s="25"/>
      <c r="AIH4" s="25"/>
      <c r="AII4" s="25"/>
      <c r="AIJ4" s="25"/>
      <c r="AIK4" s="25"/>
      <c r="AIL4" s="25"/>
      <c r="AIM4" s="25"/>
      <c r="AIN4" s="25"/>
      <c r="AIO4" s="25"/>
      <c r="AIP4" s="25"/>
      <c r="AIQ4" s="25"/>
      <c r="AIR4" s="25"/>
      <c r="AIS4" s="25"/>
      <c r="AIT4" s="25"/>
      <c r="AIU4" s="25"/>
      <c r="AIV4" s="25"/>
      <c r="AIW4" s="25"/>
      <c r="AIX4" s="25"/>
      <c r="AIY4" s="25"/>
      <c r="AIZ4" s="25"/>
      <c r="AJA4" s="25"/>
      <c r="AJB4" s="25"/>
      <c r="AJC4" s="25"/>
      <c r="AJD4" s="25"/>
      <c r="AJE4" s="25"/>
      <c r="AJF4" s="25"/>
      <c r="AJG4" s="25"/>
      <c r="AJH4" s="25"/>
      <c r="AJI4" s="25"/>
      <c r="AJJ4" s="25"/>
      <c r="AJK4" s="25"/>
      <c r="AJL4" s="25"/>
      <c r="AJM4" s="25"/>
      <c r="AJN4" s="25"/>
      <c r="AJO4" s="25"/>
      <c r="AJP4" s="25"/>
      <c r="AJQ4" s="25"/>
      <c r="AJR4" s="25"/>
      <c r="AJS4" s="25"/>
      <c r="AJT4" s="25"/>
      <c r="AJU4" s="25"/>
      <c r="AJV4" s="25"/>
      <c r="AJW4" s="25"/>
      <c r="AJX4" s="25"/>
      <c r="AJY4" s="25"/>
      <c r="AJZ4" s="25"/>
      <c r="AKA4" s="25"/>
      <c r="AKB4" s="25"/>
      <c r="AKC4" s="25"/>
      <c r="AKD4" s="25"/>
      <c r="AKE4" s="25"/>
      <c r="AKF4" s="25"/>
      <c r="AKG4" s="25"/>
      <c r="AKH4" s="25"/>
      <c r="AKI4" s="25"/>
      <c r="AKJ4" s="25"/>
      <c r="AKK4" s="25"/>
      <c r="AKL4" s="25"/>
      <c r="AKM4" s="25"/>
      <c r="AKN4" s="25"/>
      <c r="AKO4" s="25"/>
      <c r="AKP4" s="25"/>
      <c r="AKQ4" s="25"/>
      <c r="AKR4" s="25"/>
      <c r="AKS4" s="25"/>
      <c r="AKT4" s="25"/>
      <c r="AKU4" s="25"/>
      <c r="AKV4" s="25"/>
      <c r="AKW4" s="25"/>
      <c r="AKX4" s="25"/>
      <c r="AKY4" s="25"/>
      <c r="AKZ4" s="25"/>
      <c r="ALA4" s="25"/>
      <c r="ALB4" s="25"/>
      <c r="ALC4" s="25"/>
      <c r="ALD4" s="25"/>
      <c r="ALE4" s="25"/>
      <c r="ALF4" s="25"/>
      <c r="ALG4" s="25"/>
      <c r="ALH4" s="25"/>
      <c r="ALI4" s="25"/>
      <c r="ALJ4" s="25"/>
      <c r="ALK4" s="25"/>
      <c r="ALL4" s="25"/>
      <c r="ALM4" s="25"/>
      <c r="ALN4" s="25"/>
      <c r="ALO4" s="25"/>
      <c r="ALP4" s="25"/>
      <c r="ALQ4" s="25"/>
      <c r="ALR4" s="25"/>
      <c r="ALS4" s="25"/>
      <c r="ALT4" s="25"/>
      <c r="ALU4" s="25"/>
      <c r="ALV4" s="25"/>
      <c r="ALW4" s="25"/>
      <c r="ALX4" s="25"/>
      <c r="ALY4" s="25"/>
      <c r="ALZ4" s="25"/>
      <c r="AMA4" s="25"/>
      <c r="AMB4" s="25"/>
      <c r="AMC4" s="25"/>
      <c r="AMD4" s="25"/>
      <c r="AME4" s="25"/>
      <c r="AMF4" s="25"/>
      <c r="AMG4" s="25"/>
      <c r="AMH4" s="25"/>
      <c r="AMI4" s="25"/>
      <c r="AMJ4" s="25"/>
      <c r="AMK4" s="25"/>
      <c r="AML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 Name")</f>
        <v>Account Name</v>
      </c>
      <c r="C5" s="27" t="str">
        <f>IFERROR(__xludf.DUMMYFUNCTION("""COMPUTED_VALUE"""),"Accrual Basis")</f>
        <v>Accrual Basis</v>
      </c>
      <c r="D5" s="27" t="str">
        <f>IFERROR(__xludf.DUMMYFUNCTION("""COMPUTED_VALUE"""),"Accrued Interest")</f>
        <v>Accrued Interest</v>
      </c>
      <c r="E5" s="27" t="str">
        <f>IFERROR(__xludf.DUMMYFUNCTION("""COMPUTED_VALUE"""),"Allocated Qty")</f>
        <v>Allocated Qty</v>
      </c>
      <c r="F5" s="28" t="str">
        <f>IFERROR(__xludf.DUMMYFUNCTION("""COMPUTED_VALUE"""),"Allocation Scheme Name")</f>
        <v>Allocation Scheme Name</v>
      </c>
      <c r="G5" s="27" t="str">
        <f>IFERROR(__xludf.DUMMYFUNCTION("""COMPUTED_VALUE"""),"Asset Category")</f>
        <v>Asset Category</v>
      </c>
      <c r="H5" s="27" t="str">
        <f>IFERROR(__xludf.DUMMYFUNCTION("""COMPUTED_VALUE"""),"AUEC Fee1")</f>
        <v>AUEC Fee1</v>
      </c>
      <c r="I5" s="27" t="str">
        <f>IFERROR(__xludf.DUMMYFUNCTION("""COMPUTED_VALUE"""),"AUEC Fee2")</f>
        <v>AUEC Fee2</v>
      </c>
      <c r="J5" s="27" t="str">
        <f>IFERROR(__xludf.DUMMYFUNCTION("""COMPUTED_VALUE"""),"AUECID")</f>
        <v>AUECID</v>
      </c>
      <c r="K5" s="27" t="str">
        <f>IFERROR(__xludf.DUMMYFUNCTION("""COMPUTED_VALUE"""),"Avg Price(Base)")</f>
        <v>Avg Price(Base)</v>
      </c>
      <c r="L5" s="27" t="str">
        <f>IFERROR(__xludf.DUMMYFUNCTION("""COMPUTED_VALUE"""),"Avg Price(Local)")</f>
        <v>Avg Price(Local)</v>
      </c>
      <c r="M5" s="27" t="str">
        <f>IFERROR(__xludf.DUMMYFUNCTION("""COMPUTED_VALUE"""),"Bloomberg")</f>
        <v>Bloomberg</v>
      </c>
      <c r="N5" s="27" t="str">
        <f>IFERROR(__xludf.DUMMYFUNCTION("""COMPUTED_VALUE"""),"Bond Type")</f>
        <v>Bond Type</v>
      </c>
      <c r="O5" s="27" t="str">
        <f>IFERROR(__xludf.DUMMYFUNCTION("""COMPUTED_VALUE"""),"Broker")</f>
        <v>Broker</v>
      </c>
      <c r="P5" s="27" t="str">
        <f>IFERROR(__xludf.DUMMYFUNCTION("""COMPUTED_VALUE"""),"Change Comment")</f>
        <v>Change Comment</v>
      </c>
      <c r="Q5" s="27" t="str">
        <f>IFERROR(__xludf.DUMMYFUNCTION("""COMPUTED_VALUE"""),"Change Type")</f>
        <v>Change Type</v>
      </c>
      <c r="R5" s="27" t="str">
        <f>IFERROR(__xludf.DUMMYFUNCTION("""COMPUTED_VALUE"""),"Clearing Broker Fee")</f>
        <v>Clearing Broker Fee</v>
      </c>
      <c r="S5" s="27" t="str">
        <f>IFERROR(__xludf.DUMMYFUNCTION("""COMPUTED_VALUE"""),"Closing Status")</f>
        <v>Closing Status</v>
      </c>
      <c r="T5" s="29" t="str">
        <f>IFERROR(__xludf.DUMMYFUNCTION("""COMPUTED_VALUE"""),"Commission")</f>
        <v>Commission</v>
      </c>
      <c r="U5" s="29" t="str">
        <f>IFERROR(__xludf.DUMMYFUNCTION("""COMPUTED_VALUE"""),"Commission Per Share")</f>
        <v>Commission Per Share</v>
      </c>
      <c r="V5" s="29" t="str">
        <f>IFERROR(__xludf.DUMMYFUNCTION("""COMPUTED_VALUE"""),"Company")</f>
        <v>Company</v>
      </c>
      <c r="W5" s="29" t="str">
        <f>IFERROR(__xludf.DUMMYFUNCTION("""COMPUTED_VALUE"""),"Contract Multiplier")</f>
        <v>Contract Multiplier</v>
      </c>
      <c r="X5" s="29" t="str">
        <f>IFERROR(__xludf.DUMMYFUNCTION("""COMPUTED_VALUE"""),"Coupon Rate")</f>
        <v>Coupon Rate</v>
      </c>
      <c r="Y5" s="29" t="str">
        <f>IFERROR(__xludf.DUMMYFUNCTION("""COMPUTED_VALUE"""),"Cum Qty For Sub Order")</f>
        <v>Cum Qty For Sub Order</v>
      </c>
      <c r="Z5" s="29" t="str">
        <f>IFERROR(__xludf.DUMMYFUNCTION("""COMPUTED_VALUE"""),"Currency")</f>
        <v>Currency</v>
      </c>
      <c r="AA5" s="29" t="str">
        <f>IFERROR(__xludf.DUMMYFUNCTION("""COMPUTED_VALUE"""),"Cusip Symbol")</f>
        <v>Cusip Symbol</v>
      </c>
      <c r="AB5" s="29" t="str">
        <f>IFERROR(__xludf.DUMMYFUNCTION("""COMPUTED_VALUE"""),"Delta")</f>
        <v>Delta</v>
      </c>
      <c r="AC5" s="29" t="str">
        <f>IFERROR(__xludf.DUMMYFUNCTION("""COMPUTED_VALUE"""),"Description")</f>
        <v>Description</v>
      </c>
      <c r="AD5" s="29" t="str">
        <f>IFERROR(__xludf.DUMMYFUNCTION("""COMPUTED_VALUE"""),"Exchange")</f>
        <v>Exchange</v>
      </c>
      <c r="AE5" s="29" t="str">
        <f>IFERROR(__xludf.DUMMYFUNCTION("""COMPUTED_VALUE"""),"Executed Qty")</f>
        <v>Executed Qty</v>
      </c>
      <c r="AF5" s="29" t="str">
        <f>IFERROR(__xludf.DUMMYFUNCTION("""COMPUTED_VALUE"""),"Exceution Time")</f>
        <v>Exceution Time</v>
      </c>
      <c r="AG5" s="29" t="str">
        <f>IFERROR(__xludf.DUMMYFUNCTION("""COMPUTED_VALUE"""),"Expiration Date")</f>
        <v>Expiration Date</v>
      </c>
      <c r="AH5" s="29" t="str">
        <f>IFERROR(__xludf.DUMMYFUNCTION("""COMPUTED_VALUE"""),"FX Conversion Operator")</f>
        <v>FX Conversion Operator</v>
      </c>
      <c r="AI5" s="29" t="str">
        <f>IFERROR(__xludf.DUMMYFUNCTION("""COMPUTED_VALUE"""),"FX Rate")</f>
        <v>FX Rate</v>
      </c>
      <c r="AJ5" s="29" t="str">
        <f>IFERROR(__xludf.DUMMYFUNCTION("""COMPUTED_VALUE"""),"Group Status")</f>
        <v>Group Status</v>
      </c>
      <c r="AK5" s="29" t="str">
        <f>IFERROR(__xludf.DUMMYFUNCTION("""COMPUTED_VALUE"""),"IDCOSymbol")</f>
        <v>IDCOSymbol</v>
      </c>
      <c r="AL5" s="29" t="str">
        <f>IFERROR(__xludf.DUMMYFUNCTION("""COMPUTED_VALUE"""),"Import File Name")</f>
        <v>Import File Name</v>
      </c>
      <c r="AM5" s="29" t="str">
        <f>IFERROR(__xludf.DUMMYFUNCTION("""COMPUTED_VALUE"""),"Internal Comments")</f>
        <v>Internal Comments</v>
      </c>
      <c r="AN5" s="29" t="str">
        <f>IFERROR(__xludf.DUMMYFUNCTION("""COMPUTED_VALUE"""),"IsAnotherTaxlotAttributesUpdated")</f>
        <v>IsAnotherTaxlotAttributesUpdated</v>
      </c>
      <c r="AO5" s="29" t="str">
        <f>IFERROR(__xludf.DUMMYFUNCTION("""COMPUTED_VALUE"""),"ISIN")</f>
        <v>ISIN</v>
      </c>
      <c r="AP5" s="29" t="str">
        <f>IFERROR(__xludf.DUMMYFUNCTION("""COMPUTED_VALUE"""),"IsManual Group")</f>
        <v>IsManual Group</v>
      </c>
      <c r="AQ5" s="29" t="str">
        <f>IFERROR(__xludf.DUMMYFUNCTION("""COMPUTED_VALUE"""),"ISNDF")</f>
        <v>ISNDF</v>
      </c>
      <c r="AR5" s="29" t="str">
        <f>IFERROR(__xludf.DUMMYFUNCTION("""COMPUTED_VALUE"""),"IsPreAllocated")</f>
        <v>IsPreAllocated</v>
      </c>
      <c r="AS5" s="29" t="str">
        <f>IFERROR(__xludf.DUMMYFUNCTION("""COMPUTED_VALUE"""),"M2MProfitLoss")</f>
        <v>M2MProfitLoss</v>
      </c>
      <c r="AT5" s="29" t="str">
        <f>IFERROR(__xludf.DUMMYFUNCTION("""COMPUTED_VALUE"""),"Net Amount( Base)")</f>
        <v>Net Amount( Base)</v>
      </c>
      <c r="AU5" s="29" t="str">
        <f>IFERROR(__xludf.DUMMYFUNCTION("""COMPUTED_VALUE"""),"Net Amount( Local)")</f>
        <v>Net Amount( Local)</v>
      </c>
      <c r="AV5" s="29" t="str">
        <f>IFERROR(__xludf.DUMMYFUNCTION("""COMPUTED_VALUE"""),"Nirvana Process Date")</f>
        <v>Nirvana Process Date</v>
      </c>
      <c r="AW5" s="29" t="str">
        <f>IFERROR(__xludf.DUMMYFUNCTION("""COMPUTED_VALUE"""),"OCC Fee")</f>
        <v>OCC Fee</v>
      </c>
      <c r="AX5" s="29" t="str">
        <f>IFERROR(__xludf.DUMMYFUNCTION("""COMPUTED_VALUE"""),"Option Premium Adjustment")</f>
        <v>Option Premium Adjustment</v>
      </c>
      <c r="AY5" s="29" t="str">
        <f>IFERROR(__xludf.DUMMYFUNCTION("""COMPUTED_VALUE"""),"Order Type")</f>
        <v>Order Type</v>
      </c>
      <c r="AZ5" s="29" t="str">
        <f>IFERROR(__xludf.DUMMYFUNCTION("""COMPUTED_VALUE"""),"ORF Fee")</f>
        <v>ORF Fee</v>
      </c>
      <c r="BA5" s="29" t="str">
        <f>IFERROR(__xludf.DUMMYFUNCTION("""COMPUTED_VALUE"""),"Original Purchase Date")</f>
        <v>Original Purchase Date</v>
      </c>
      <c r="BB5" s="29" t="str">
        <f>IFERROR(__xludf.DUMMYFUNCTION("""COMPUTED_VALUE"""),"OSISSymbol")</f>
        <v>OSISSymbol</v>
      </c>
      <c r="BC5" s="29" t="str">
        <f>IFERROR(__xludf.DUMMYFUNCTION("""COMPUTED_VALUE"""),"Other Broker Fees")</f>
        <v>Other Broker Fees</v>
      </c>
      <c r="BD5" s="29" t="str">
        <f>IFERROR(__xludf.DUMMYFUNCTION("""COMPUTED_VALUE"""),"Prana Msg Type")</f>
        <v>Prana Msg Type</v>
      </c>
      <c r="BE5" s="29" t="str">
        <f>IFERROR(__xludf.DUMMYFUNCTION("""COMPUTED_VALUE"""),"Principal Amount( Base)")</f>
        <v>Principal Amount( Base)</v>
      </c>
      <c r="BF5" s="29" t="str">
        <f>IFERROR(__xludf.DUMMYFUNCTION("""COMPUTED_VALUE"""),"Principal Amount( Local)")</f>
        <v>Principal Amount( Local)</v>
      </c>
      <c r="BG5" s="29" t="str">
        <f>IFERROR(__xludf.DUMMYFUNCTION("""COMPUTED_VALUE"""),"Process Date")</f>
        <v>Process Date</v>
      </c>
      <c r="BH5" s="29" t="str">
        <f>IFERROR(__xludf.DUMMYFUNCTION("""COMPUTED_VALUE"""),"Proxy Symbol")</f>
        <v>Proxy Symbol</v>
      </c>
      <c r="BI5" s="29" t="str">
        <f>IFERROR(__xludf.DUMMYFUNCTION("""COMPUTED_VALUE"""),"Put Or Call")</f>
        <v>Put Or Call</v>
      </c>
      <c r="BJ5" s="29" t="str">
        <f>IFERROR(__xludf.DUMMYFUNCTION("""COMPUTED_VALUE"""),"Quantity")</f>
        <v>Quantity</v>
      </c>
      <c r="BK5" s="29" t="str">
        <f>IFERROR(__xludf.DUMMYFUNCTION("""COMPUTED_VALUE"""),"SEC Fee")</f>
        <v>SEC Fee</v>
      </c>
      <c r="BL5" s="29" t="str">
        <f>IFERROR(__xludf.DUMMYFUNCTION("""COMPUTED_VALUE"""),"Sedol Symbol")</f>
        <v>Sedol Symbol</v>
      </c>
      <c r="BM5" s="29" t="str">
        <f>IFERROR(__xludf.DUMMYFUNCTION("""COMPUTED_VALUE"""),"Settlement Currency")</f>
        <v>Settlement Currency</v>
      </c>
      <c r="BN5" s="29" t="str">
        <f>IFERROR(__xludf.DUMMYFUNCTION("""COMPUTED_VALUE"""),"Settlement Date")</f>
        <v>Settlement Date</v>
      </c>
      <c r="BO5" s="29" t="str">
        <f>IFERROR(__xludf.DUMMYFUNCTION("""COMPUTED_VALUE"""),"Side")</f>
        <v>Side</v>
      </c>
      <c r="BP5" s="29" t="str">
        <f>IFERROR(__xludf.DUMMYFUNCTION("""COMPUTED_VALUE"""),"Soft Commission")</f>
        <v>Soft Commission</v>
      </c>
      <c r="BQ5" s="29" t="str">
        <f>IFERROR(__xludf.DUMMYFUNCTION("""COMPUTED_VALUE"""),"Soft Commission Per Share")</f>
        <v>Soft Commission Per Share</v>
      </c>
      <c r="BR5" s="29" t="str">
        <f>IFERROR(__xludf.DUMMYFUNCTION("""COMPUTED_VALUE"""),"Stamp Duty")</f>
        <v>Stamp Duty</v>
      </c>
      <c r="BS5" s="29" t="str">
        <f>IFERROR(__xludf.DUMMYFUNCTION("""COMPUTED_VALUE"""),"Strategy Name")</f>
        <v>Strategy Name</v>
      </c>
      <c r="BT5" s="29" t="str">
        <f>IFERROR(__xludf.DUMMYFUNCTION("""COMPUTED_VALUE"""),"Symbol")</f>
        <v>Symbol</v>
      </c>
      <c r="BU5" s="29" t="str">
        <f>IFERROR(__xludf.DUMMYFUNCTION("""COMPUTED_VALUE"""),"Tax On Commissions")</f>
        <v>Tax On Commissions</v>
      </c>
      <c r="BV5" s="29" t="str">
        <f>IFERROR(__xludf.DUMMYFUNCTION("""COMPUTED_VALUE"""),"Total Commission")</f>
        <v>Total Commission</v>
      </c>
      <c r="BW5" s="29" t="str">
        <f>IFERROR(__xludf.DUMMYFUNCTION("""COMPUTED_VALUE"""),"Total Commission And Fee")</f>
        <v>Total Commission And Fee</v>
      </c>
      <c r="BX5" s="29" t="str">
        <f>IFERROR(__xludf.DUMMYFUNCTION("""COMPUTED_VALUE"""),"Total Commission Per Share")</f>
        <v>Total Commission Per Share</v>
      </c>
      <c r="BY5" s="29" t="str">
        <f>IFERROR(__xludf.DUMMYFUNCTION("""COMPUTED_VALUE"""),"Trade Attribute 1")</f>
        <v>Trade Attribute 1</v>
      </c>
      <c r="BZ5" s="29" t="str">
        <f>IFERROR(__xludf.DUMMYFUNCTION("""COMPUTED_VALUE"""),"Trade Attribute 2")</f>
        <v>Trade Attribute 2</v>
      </c>
      <c r="CA5" s="29" t="str">
        <f>IFERROR(__xludf.DUMMYFUNCTION("""COMPUTED_VALUE"""),"Trade Attribute 3")</f>
        <v>Trade Attribute 3</v>
      </c>
      <c r="CB5" s="29" t="str">
        <f>IFERROR(__xludf.DUMMYFUNCTION("""COMPUTED_VALUE"""),"Trade Attribute 4")</f>
        <v>Trade Attribute 4</v>
      </c>
      <c r="CC5" s="29" t="str">
        <f>IFERROR(__xludf.DUMMYFUNCTION("""COMPUTED_VALUE"""),"Trade Attribute 5")</f>
        <v>Trade Attribute 5</v>
      </c>
      <c r="CD5" s="29" t="str">
        <f>IFERROR(__xludf.DUMMYFUNCTION("""COMPUTED_VALUE"""),"Trade Attribute 6")</f>
        <v>Trade Attribute 6</v>
      </c>
      <c r="CE5" s="29" t="str">
        <f>IFERROR(__xludf.DUMMYFUNCTION("""COMPUTED_VALUE"""),"Trade Date")</f>
        <v>Trade Date</v>
      </c>
      <c r="CF5" s="29" t="str">
        <f>IFERROR(__xludf.DUMMYFUNCTION("""COMPUTED_VALUE"""),"Trading Account")</f>
        <v>Trading Account</v>
      </c>
      <c r="CG5" s="29" t="str">
        <f>IFERROR(__xludf.DUMMYFUNCTION("""COMPUTED_VALUE"""),"Transaction Levy")</f>
        <v>Transaction Levy</v>
      </c>
      <c r="CH5" s="29" t="str">
        <f>IFERROR(__xludf.DUMMYFUNCTION("""COMPUTED_VALUE"""),"Transaction Source")</f>
        <v>Transaction Source</v>
      </c>
      <c r="CI5" s="29" t="str">
        <f>IFERROR(__xludf.DUMMYFUNCTION("""COMPUTED_VALUE"""),"Transaction Type")</f>
        <v>Transaction Type</v>
      </c>
      <c r="CJ5" s="29" t="str">
        <f>IFERROR(__xludf.DUMMYFUNCTION("""COMPUTED_VALUE"""),"UnAllocatedQty")</f>
        <v>UnAllocatedQty</v>
      </c>
      <c r="CK5" s="29" t="str">
        <f>IFERROR(__xludf.DUMMYFUNCTION("""COMPUTED_VALUE"""),"Underlying")</f>
        <v>Underlying</v>
      </c>
      <c r="CL5" s="29" t="str">
        <f>IFERROR(__xludf.DUMMYFUNCTION("""COMPUTED_VALUE"""),"Underlying Delta")</f>
        <v>Underlying Delta</v>
      </c>
      <c r="CM5" s="29" t="str">
        <f>IFERROR(__xludf.DUMMYFUNCTION("""COMPUTED_VALUE"""),"Underlying Symbol")</f>
        <v>Underlying Symbol</v>
      </c>
      <c r="CN5" s="29" t="str">
        <f>IFERROR(__xludf.DUMMYFUNCTION("""COMPUTED_VALUE"""),"User")</f>
        <v>User</v>
      </c>
      <c r="CO5" s="29" t="str">
        <f>IFERROR(__xludf.DUMMYFUNCTION("""COMPUTED_VALUE"""),"Venue")</f>
        <v>Venue</v>
      </c>
      <c r="CP5" s="29" t="str">
        <f>IFERROR(__xludf.DUMMYFUNCTION("""COMPUTED_VALUE"""),"Closing Method")</f>
        <v>Closing Method</v>
      </c>
      <c r="CQ5" s="29" t="str">
        <f>IFERROR(__xludf.DUMMYFUNCTION("""COMPUTED_VALUE"""),"Closing Date")</f>
        <v>Closing Date</v>
      </c>
      <c r="CR5" s="29" t="str">
        <f>IFERROR(__xludf.DUMMYFUNCTION("""COMPUTED_VALUE"""),"GroupID")</f>
        <v>GroupID</v>
      </c>
      <c r="CS5" s="29" t="str">
        <f>IFERROR(__xludf.DUMMYFUNCTION("""COMPUTED_VALUE"""),"Client")</f>
        <v>Client</v>
      </c>
      <c r="CT5" s="29" t="str">
        <f>IFERROR(__xludf.DUMMYFUNCTION("""COMPUTED_VALUE"""),"Borrow Broker")</f>
        <v>Borrow Broker</v>
      </c>
      <c r="CU5" s="29" t="str">
        <f>IFERROR(__xludf.DUMMYFUNCTION("""COMPUTED_VALUE"""),"ACTIV Symbol")</f>
        <v>ACTIV Symbol</v>
      </c>
      <c r="CV5" s="29" t="str">
        <f>IFERROR(__xludf.DUMMYFUNCTION("""COMPUTED_VALUE"""),"Borrower Id")</f>
        <v>Borrower Id</v>
      </c>
      <c r="CW5" s="29" t="str">
        <f>IFERROR(__xludf.DUMMYFUNCTION("""COMPUTED_VALUE"""),"Borrow Rate(%)")</f>
        <v>Borrow Rate(%)</v>
      </c>
      <c r="CX5" s="29" t="str">
        <f>IFERROR(__xludf.DUMMYFUNCTION("""COMPUTED_VALUE"""),"Master Fund")</f>
        <v>Master Fund</v>
      </c>
      <c r="CY5" s="29" t="str">
        <f>IFERROR(__xludf.DUMMYFUNCTION("""COMPUTED_VALUE"""),"MandatoryColumn")</f>
        <v>MandatoryColumn</v>
      </c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  <c r="EY5" s="29"/>
      <c r="EZ5" s="29"/>
      <c r="FA5" s="29"/>
      <c r="FB5" s="29"/>
      <c r="FC5" s="29"/>
      <c r="FD5" s="29"/>
      <c r="FE5" s="29"/>
      <c r="FF5" s="29"/>
      <c r="FG5" s="29"/>
      <c r="FH5" s="29"/>
      <c r="FI5" s="29"/>
      <c r="FJ5" s="29"/>
      <c r="FK5" s="29"/>
      <c r="FL5" s="29"/>
      <c r="FM5" s="29"/>
      <c r="FN5" s="29"/>
      <c r="FO5" s="29"/>
      <c r="FP5" s="29"/>
      <c r="FQ5" s="29"/>
      <c r="FR5" s="29"/>
      <c r="FS5" s="29"/>
      <c r="FT5" s="29"/>
      <c r="FU5" s="29"/>
      <c r="FV5" s="29"/>
      <c r="FW5" s="29"/>
      <c r="FX5" s="29"/>
      <c r="FY5" s="29"/>
      <c r="FZ5" s="29"/>
      <c r="GA5" s="29"/>
      <c r="GB5" s="29"/>
      <c r="GC5" s="29"/>
      <c r="GD5" s="29"/>
      <c r="GE5" s="29"/>
      <c r="GF5" s="29"/>
      <c r="GG5" s="29"/>
      <c r="GH5" s="29"/>
      <c r="GI5" s="29"/>
      <c r="GJ5" s="29"/>
      <c r="GK5" s="29"/>
      <c r="GL5" s="29"/>
      <c r="GM5" s="29"/>
      <c r="GN5" s="29"/>
      <c r="GO5" s="29"/>
      <c r="GP5" s="29"/>
      <c r="GQ5" s="29"/>
      <c r="GR5" s="29"/>
      <c r="GS5" s="29"/>
      <c r="GT5" s="29"/>
      <c r="GU5" s="29"/>
      <c r="GV5" s="29"/>
      <c r="GW5" s="29"/>
      <c r="GX5" s="29"/>
      <c r="GY5" s="29"/>
      <c r="GZ5" s="29"/>
      <c r="HA5" s="29"/>
      <c r="HB5" s="29"/>
      <c r="HC5" s="29"/>
      <c r="HD5" s="29"/>
      <c r="HE5" s="29"/>
      <c r="HF5" s="29"/>
      <c r="HG5" s="29"/>
      <c r="HH5" s="29"/>
      <c r="HI5" s="29"/>
      <c r="HJ5" s="29"/>
      <c r="HK5" s="29"/>
      <c r="HL5" s="29"/>
      <c r="HM5" s="29"/>
      <c r="HN5" s="29"/>
      <c r="HO5" s="29"/>
      <c r="HP5" s="29"/>
      <c r="HQ5" s="29"/>
      <c r="HR5" s="29"/>
      <c r="HS5" s="29"/>
      <c r="HT5" s="29"/>
      <c r="HU5" s="29"/>
      <c r="HV5" s="29"/>
      <c r="HW5" s="29"/>
      <c r="HX5" s="29"/>
      <c r="HY5" s="29"/>
      <c r="HZ5" s="29"/>
      <c r="IA5" s="29"/>
      <c r="IB5" s="29"/>
      <c r="IC5" s="29"/>
      <c r="ID5" s="29"/>
      <c r="IE5" s="29"/>
      <c r="IF5" s="29"/>
      <c r="IG5" s="29"/>
      <c r="IH5" s="29"/>
      <c r="II5" s="29"/>
      <c r="IJ5" s="29"/>
      <c r="IK5" s="29"/>
      <c r="IL5" s="29"/>
      <c r="IM5" s="29"/>
      <c r="IN5" s="29"/>
      <c r="IO5" s="29"/>
      <c r="IP5" s="29"/>
      <c r="IQ5" s="29"/>
      <c r="IR5" s="29"/>
      <c r="IS5" s="29"/>
      <c r="IT5" s="29"/>
      <c r="IU5" s="29"/>
      <c r="IV5" s="29"/>
      <c r="IW5" s="29"/>
      <c r="IX5" s="29"/>
      <c r="IY5" s="29"/>
      <c r="IZ5" s="29"/>
      <c r="JA5" s="29"/>
      <c r="JB5" s="29"/>
      <c r="JC5" s="29"/>
      <c r="JD5" s="29"/>
      <c r="JE5" s="29"/>
      <c r="JF5" s="29"/>
      <c r="JG5" s="29"/>
      <c r="JH5" s="29"/>
      <c r="JI5" s="29"/>
      <c r="JJ5" s="29"/>
      <c r="JK5" s="29"/>
      <c r="JL5" s="29"/>
      <c r="JM5" s="29"/>
      <c r="JN5" s="29"/>
      <c r="JO5" s="29"/>
      <c r="JP5" s="29"/>
      <c r="JQ5" s="29"/>
      <c r="JR5" s="29"/>
      <c r="JS5" s="29"/>
      <c r="JT5" s="29"/>
      <c r="JU5" s="29"/>
      <c r="JV5" s="29"/>
      <c r="JW5" s="29"/>
      <c r="JX5" s="29"/>
      <c r="JY5" s="29"/>
      <c r="JZ5" s="29"/>
      <c r="KA5" s="29"/>
      <c r="KB5" s="29"/>
      <c r="KC5" s="29"/>
      <c r="KD5" s="29"/>
      <c r="KE5" s="29"/>
      <c r="KF5" s="29"/>
      <c r="KG5" s="29"/>
      <c r="KH5" s="29"/>
      <c r="KI5" s="29"/>
      <c r="KJ5" s="29"/>
      <c r="KK5" s="29"/>
      <c r="KL5" s="29"/>
      <c r="KM5" s="29"/>
      <c r="KN5" s="29"/>
      <c r="KO5" s="29"/>
      <c r="KP5" s="29"/>
      <c r="KQ5" s="29"/>
      <c r="KR5" s="29"/>
      <c r="KS5" s="29"/>
      <c r="KT5" s="29"/>
      <c r="KU5" s="29"/>
      <c r="KV5" s="29"/>
      <c r="KW5" s="29"/>
      <c r="KX5" s="29"/>
      <c r="KY5" s="29"/>
      <c r="KZ5" s="29"/>
      <c r="LA5" s="29"/>
      <c r="LB5" s="29"/>
      <c r="LC5" s="29"/>
      <c r="LD5" s="29"/>
      <c r="LE5" s="29"/>
      <c r="LF5" s="29"/>
      <c r="LG5" s="29"/>
      <c r="LH5" s="29"/>
      <c r="LI5" s="29"/>
      <c r="LJ5" s="29"/>
      <c r="LK5" s="29"/>
      <c r="LL5" s="29"/>
      <c r="LM5" s="29"/>
      <c r="LN5" s="29"/>
      <c r="LO5" s="29"/>
      <c r="LP5" s="29"/>
      <c r="LQ5" s="29"/>
      <c r="LR5" s="29"/>
      <c r="LS5" s="29"/>
      <c r="LT5" s="29"/>
      <c r="LU5" s="29"/>
      <c r="LV5" s="29"/>
      <c r="LW5" s="29"/>
      <c r="LX5" s="29"/>
      <c r="LY5" s="29"/>
      <c r="LZ5" s="29"/>
      <c r="MA5" s="29"/>
      <c r="MB5" s="29"/>
      <c r="MC5" s="29"/>
      <c r="MD5" s="29"/>
      <c r="ME5" s="29"/>
      <c r="MF5" s="29"/>
      <c r="MG5" s="29"/>
      <c r="MH5" s="29"/>
      <c r="MI5" s="29"/>
      <c r="MJ5" s="29"/>
      <c r="MK5" s="29"/>
      <c r="ML5" s="29"/>
      <c r="MM5" s="29"/>
      <c r="MN5" s="29"/>
      <c r="MO5" s="29"/>
      <c r="MP5" s="29"/>
      <c r="MQ5" s="29"/>
      <c r="MR5" s="29"/>
      <c r="MS5" s="29"/>
      <c r="MT5" s="29"/>
      <c r="MU5" s="29"/>
      <c r="MV5" s="29"/>
      <c r="MW5" s="29"/>
      <c r="MX5" s="29"/>
      <c r="MY5" s="29"/>
      <c r="MZ5" s="29"/>
      <c r="NA5" s="29"/>
      <c r="NB5" s="29"/>
      <c r="NC5" s="29"/>
      <c r="ND5" s="29"/>
      <c r="NE5" s="29"/>
      <c r="NF5" s="29"/>
      <c r="NG5" s="29"/>
      <c r="NH5" s="29"/>
      <c r="NI5" s="29"/>
      <c r="NJ5" s="29"/>
      <c r="NK5" s="29"/>
      <c r="NL5" s="29"/>
      <c r="NM5" s="29"/>
      <c r="NN5" s="29"/>
      <c r="NO5" s="29"/>
      <c r="NP5" s="29"/>
      <c r="NQ5" s="29"/>
      <c r="NR5" s="29"/>
      <c r="NS5" s="29"/>
      <c r="NT5" s="29"/>
      <c r="NU5" s="29"/>
      <c r="NV5" s="29"/>
      <c r="NW5" s="29"/>
      <c r="NX5" s="29"/>
      <c r="NY5" s="29"/>
      <c r="NZ5" s="29"/>
      <c r="OA5" s="29"/>
      <c r="OB5" s="29"/>
      <c r="OC5" s="29"/>
      <c r="OD5" s="29"/>
      <c r="OE5" s="29"/>
      <c r="OF5" s="29"/>
      <c r="OG5" s="29"/>
      <c r="OH5" s="29"/>
      <c r="OI5" s="29"/>
      <c r="OJ5" s="29"/>
      <c r="OK5" s="29"/>
      <c r="OL5" s="29"/>
      <c r="OM5" s="29"/>
      <c r="ON5" s="29"/>
      <c r="OO5" s="29"/>
      <c r="OP5" s="29"/>
      <c r="OQ5" s="29"/>
      <c r="OR5" s="29"/>
      <c r="OS5" s="29"/>
      <c r="OT5" s="29"/>
      <c r="OU5" s="29"/>
      <c r="OV5" s="29"/>
      <c r="OW5" s="29"/>
      <c r="OX5" s="29"/>
      <c r="OY5" s="29"/>
      <c r="OZ5" s="29"/>
      <c r="PA5" s="29"/>
      <c r="PB5" s="29"/>
      <c r="PC5" s="29"/>
      <c r="PD5" s="29"/>
      <c r="PE5" s="29"/>
      <c r="PF5" s="29"/>
      <c r="PG5" s="29"/>
      <c r="PH5" s="29"/>
      <c r="PI5" s="29"/>
      <c r="PJ5" s="29"/>
      <c r="PK5" s="29"/>
      <c r="PL5" s="29"/>
      <c r="PM5" s="29"/>
      <c r="PN5" s="29"/>
      <c r="PO5" s="29"/>
      <c r="PP5" s="29"/>
      <c r="PQ5" s="29"/>
      <c r="PR5" s="29"/>
      <c r="PS5" s="29"/>
      <c r="PT5" s="29"/>
      <c r="PU5" s="29"/>
      <c r="PV5" s="29"/>
      <c r="PW5" s="29"/>
      <c r="PX5" s="29"/>
      <c r="PY5" s="29"/>
      <c r="PZ5" s="29"/>
      <c r="QA5" s="29"/>
      <c r="QB5" s="29"/>
      <c r="QC5" s="29"/>
      <c r="QD5" s="29"/>
      <c r="QE5" s="29"/>
      <c r="QF5" s="29"/>
      <c r="QG5" s="29"/>
      <c r="QH5" s="29"/>
      <c r="QI5" s="29"/>
      <c r="QJ5" s="29"/>
      <c r="QK5" s="29"/>
      <c r="QL5" s="29"/>
      <c r="QM5" s="29"/>
      <c r="QN5" s="29"/>
      <c r="QO5" s="29"/>
      <c r="QP5" s="29"/>
      <c r="QQ5" s="29"/>
      <c r="QR5" s="29"/>
      <c r="QS5" s="29"/>
      <c r="QT5" s="29"/>
      <c r="QU5" s="29"/>
      <c r="QV5" s="29"/>
      <c r="QW5" s="29"/>
      <c r="QX5" s="29"/>
      <c r="QY5" s="29"/>
      <c r="QZ5" s="29"/>
      <c r="RA5" s="29"/>
      <c r="RB5" s="29"/>
      <c r="RC5" s="29"/>
      <c r="RD5" s="29"/>
      <c r="RE5" s="29"/>
      <c r="RF5" s="29"/>
      <c r="RG5" s="29"/>
      <c r="RH5" s="29"/>
      <c r="RI5" s="29"/>
      <c r="RJ5" s="29"/>
      <c r="RK5" s="29"/>
      <c r="RL5" s="29"/>
      <c r="RM5" s="29"/>
      <c r="RN5" s="29"/>
      <c r="RO5" s="29"/>
      <c r="RP5" s="29"/>
      <c r="RQ5" s="29"/>
      <c r="RR5" s="29"/>
      <c r="RS5" s="29"/>
      <c r="RT5" s="29"/>
      <c r="RU5" s="29"/>
      <c r="RV5" s="29"/>
      <c r="RW5" s="29"/>
      <c r="RX5" s="29"/>
      <c r="RY5" s="29"/>
      <c r="RZ5" s="29"/>
      <c r="SA5" s="29"/>
      <c r="SB5" s="29"/>
      <c r="SC5" s="29"/>
      <c r="SD5" s="29"/>
      <c r="SE5" s="29"/>
      <c r="SF5" s="29"/>
      <c r="SG5" s="29"/>
      <c r="SH5" s="29"/>
      <c r="SI5" s="29"/>
      <c r="SJ5" s="29"/>
      <c r="SK5" s="29"/>
      <c r="SL5" s="29"/>
      <c r="SM5" s="29"/>
      <c r="SN5" s="29"/>
      <c r="SO5" s="29"/>
      <c r="SP5" s="29"/>
      <c r="SQ5" s="29"/>
      <c r="SR5" s="29"/>
      <c r="SS5" s="29"/>
      <c r="ST5" s="29"/>
      <c r="SU5" s="29"/>
      <c r="SV5" s="29"/>
      <c r="SW5" s="29"/>
      <c r="SX5" s="29"/>
      <c r="SY5" s="29"/>
      <c r="SZ5" s="29"/>
      <c r="TA5" s="29"/>
      <c r="TB5" s="29"/>
      <c r="TC5" s="29"/>
      <c r="TD5" s="29"/>
      <c r="TE5" s="29"/>
      <c r="TF5" s="29"/>
      <c r="TG5" s="29"/>
      <c r="TH5" s="29"/>
      <c r="TI5" s="29"/>
      <c r="TJ5" s="29"/>
      <c r="TK5" s="29"/>
      <c r="TL5" s="29"/>
      <c r="TM5" s="29"/>
      <c r="TN5" s="29"/>
      <c r="TO5" s="29"/>
      <c r="TP5" s="29"/>
      <c r="TQ5" s="29"/>
      <c r="TR5" s="29"/>
      <c r="TS5" s="29"/>
      <c r="TT5" s="29"/>
      <c r="TU5" s="29"/>
      <c r="TV5" s="29"/>
      <c r="TW5" s="29"/>
      <c r="TX5" s="29"/>
      <c r="TY5" s="29"/>
      <c r="TZ5" s="29"/>
      <c r="UA5" s="29"/>
      <c r="UB5" s="29"/>
      <c r="UC5" s="29"/>
      <c r="UD5" s="29"/>
      <c r="UE5" s="29"/>
      <c r="UF5" s="29"/>
      <c r="UG5" s="29"/>
      <c r="UH5" s="29"/>
      <c r="UI5" s="29"/>
      <c r="UJ5" s="29"/>
      <c r="UK5" s="29"/>
      <c r="UL5" s="29"/>
      <c r="UM5" s="29"/>
      <c r="UN5" s="29"/>
      <c r="UO5" s="29"/>
      <c r="UP5" s="29"/>
      <c r="UQ5" s="29"/>
      <c r="UR5" s="29"/>
      <c r="US5" s="29"/>
      <c r="UT5" s="29"/>
      <c r="UU5" s="29"/>
      <c r="UV5" s="29"/>
      <c r="UW5" s="29"/>
      <c r="UX5" s="29"/>
      <c r="UY5" s="29"/>
      <c r="UZ5" s="29"/>
      <c r="VA5" s="29"/>
      <c r="VB5" s="29"/>
      <c r="VC5" s="29"/>
      <c r="VD5" s="29"/>
      <c r="VE5" s="29"/>
      <c r="VF5" s="29"/>
      <c r="VG5" s="29"/>
      <c r="VH5" s="29"/>
      <c r="VI5" s="29"/>
      <c r="VJ5" s="29"/>
      <c r="VK5" s="29"/>
      <c r="VL5" s="29"/>
      <c r="VM5" s="29"/>
      <c r="VN5" s="29"/>
      <c r="VO5" s="29"/>
      <c r="VP5" s="29"/>
      <c r="VQ5" s="29"/>
      <c r="VR5" s="29"/>
      <c r="VS5" s="29"/>
      <c r="VT5" s="29"/>
      <c r="VU5" s="29"/>
      <c r="VV5" s="29"/>
      <c r="VW5" s="29"/>
      <c r="VX5" s="29"/>
      <c r="VY5" s="29"/>
      <c r="VZ5" s="29"/>
      <c r="WA5" s="29"/>
      <c r="WB5" s="29"/>
      <c r="WC5" s="29"/>
      <c r="WD5" s="29"/>
      <c r="WE5" s="29"/>
      <c r="WF5" s="29"/>
      <c r="WG5" s="29"/>
      <c r="WH5" s="29"/>
      <c r="WI5" s="29"/>
      <c r="WJ5" s="29"/>
      <c r="WK5" s="29"/>
      <c r="WL5" s="29"/>
      <c r="WM5" s="29"/>
      <c r="WN5" s="29"/>
      <c r="WO5" s="29"/>
      <c r="WP5" s="29"/>
      <c r="WQ5" s="29"/>
      <c r="WR5" s="29"/>
      <c r="WS5" s="29"/>
      <c r="WT5" s="29"/>
      <c r="WU5" s="29"/>
      <c r="WV5" s="29"/>
      <c r="WW5" s="29"/>
      <c r="WX5" s="29"/>
      <c r="WY5" s="29"/>
      <c r="WZ5" s="29"/>
      <c r="XA5" s="29"/>
      <c r="XB5" s="29"/>
      <c r="XC5" s="29"/>
      <c r="XD5" s="29"/>
      <c r="XE5" s="29"/>
      <c r="XF5" s="29"/>
      <c r="XG5" s="29"/>
      <c r="XH5" s="29"/>
      <c r="XI5" s="29"/>
      <c r="XJ5" s="29"/>
      <c r="XK5" s="29"/>
      <c r="XL5" s="29"/>
      <c r="XM5" s="29"/>
      <c r="XN5" s="29"/>
      <c r="XO5" s="29"/>
      <c r="XP5" s="29"/>
      <c r="XQ5" s="29"/>
      <c r="XR5" s="29"/>
      <c r="XS5" s="29"/>
      <c r="XT5" s="29"/>
      <c r="XU5" s="29"/>
      <c r="XV5" s="29"/>
      <c r="XW5" s="29"/>
      <c r="XX5" s="29"/>
      <c r="XY5" s="29"/>
      <c r="XZ5" s="29"/>
      <c r="YA5" s="29"/>
      <c r="YB5" s="29"/>
      <c r="YC5" s="29"/>
      <c r="YD5" s="29"/>
      <c r="YE5" s="29"/>
      <c r="YF5" s="29"/>
      <c r="YG5" s="29"/>
      <c r="YH5" s="29"/>
      <c r="YI5" s="29"/>
      <c r="YJ5" s="29"/>
      <c r="YK5" s="29"/>
      <c r="YL5" s="29"/>
      <c r="YM5" s="29"/>
      <c r="YN5" s="29"/>
      <c r="YO5" s="29"/>
      <c r="YP5" s="29"/>
      <c r="YQ5" s="29"/>
      <c r="YR5" s="29"/>
      <c r="YS5" s="29"/>
      <c r="YT5" s="29"/>
      <c r="YU5" s="29"/>
      <c r="YV5" s="29"/>
      <c r="YW5" s="29"/>
      <c r="YX5" s="29"/>
      <c r="YY5" s="29"/>
      <c r="YZ5" s="29"/>
      <c r="ZA5" s="29"/>
      <c r="ZB5" s="29"/>
      <c r="ZC5" s="29"/>
      <c r="ZD5" s="29"/>
      <c r="ZE5" s="29"/>
      <c r="ZF5" s="29"/>
      <c r="ZG5" s="29"/>
      <c r="ZH5" s="29"/>
      <c r="ZI5" s="29"/>
      <c r="ZJ5" s="29"/>
      <c r="ZK5" s="29"/>
      <c r="ZL5" s="29"/>
      <c r="ZM5" s="29"/>
      <c r="ZN5" s="29"/>
      <c r="ZO5" s="29"/>
      <c r="ZP5" s="29"/>
      <c r="ZQ5" s="29"/>
      <c r="ZR5" s="29"/>
      <c r="ZS5" s="29"/>
      <c r="ZT5" s="29"/>
      <c r="ZU5" s="29"/>
      <c r="ZV5" s="29"/>
      <c r="ZW5" s="29"/>
      <c r="ZX5" s="29"/>
      <c r="ZY5" s="29"/>
      <c r="ZZ5" s="29"/>
      <c r="AAA5" s="29"/>
      <c r="AAB5" s="29"/>
      <c r="AAC5" s="29"/>
      <c r="AAD5" s="29"/>
      <c r="AAE5" s="29"/>
      <c r="AAF5" s="29"/>
      <c r="AAG5" s="29"/>
      <c r="AAH5" s="29"/>
      <c r="AAI5" s="29"/>
      <c r="AAJ5" s="29"/>
      <c r="AAK5" s="29"/>
      <c r="AAL5" s="29"/>
      <c r="AAM5" s="29"/>
      <c r="AAN5" s="29"/>
      <c r="AAO5" s="29"/>
      <c r="AAP5" s="29"/>
      <c r="AAQ5" s="29"/>
      <c r="AAR5" s="29"/>
      <c r="AAS5" s="29"/>
      <c r="AAT5" s="29"/>
      <c r="AAU5" s="29"/>
      <c r="AAV5" s="29"/>
      <c r="AAW5" s="29"/>
      <c r="AAX5" s="29"/>
      <c r="AAY5" s="29"/>
      <c r="AAZ5" s="29"/>
      <c r="ABA5" s="29"/>
      <c r="ABB5" s="29"/>
      <c r="ABC5" s="29"/>
      <c r="ABD5" s="29"/>
      <c r="ABE5" s="29"/>
      <c r="ABF5" s="29"/>
      <c r="ABG5" s="29"/>
      <c r="ABH5" s="29"/>
      <c r="ABI5" s="29"/>
      <c r="ABJ5" s="29"/>
      <c r="ABK5" s="29"/>
      <c r="ABL5" s="29"/>
      <c r="ABM5" s="29"/>
      <c r="ABN5" s="29"/>
      <c r="ABO5" s="29"/>
      <c r="ABP5" s="29"/>
      <c r="ABQ5" s="29"/>
      <c r="ABR5" s="29"/>
      <c r="ABS5" s="29"/>
      <c r="ABT5" s="29"/>
      <c r="ABU5" s="29"/>
      <c r="ABV5" s="29"/>
      <c r="ABW5" s="29"/>
      <c r="ABX5" s="29"/>
      <c r="ABY5" s="29"/>
      <c r="ABZ5" s="29"/>
      <c r="ACA5" s="29"/>
      <c r="ACB5" s="29"/>
      <c r="ACC5" s="29"/>
      <c r="ACD5" s="29"/>
      <c r="ACE5" s="29"/>
      <c r="ACF5" s="29"/>
      <c r="ACG5" s="29"/>
      <c r="ACH5" s="29"/>
      <c r="ACI5" s="29"/>
      <c r="ACJ5" s="29"/>
      <c r="ACK5" s="29"/>
      <c r="ACL5" s="29"/>
      <c r="ACM5" s="29"/>
      <c r="ACN5" s="29"/>
      <c r="ACO5" s="29"/>
      <c r="ACP5" s="29"/>
      <c r="ACQ5" s="29"/>
      <c r="ACR5" s="29"/>
      <c r="ACS5" s="29"/>
      <c r="ACT5" s="29"/>
      <c r="ACU5" s="29"/>
      <c r="ACV5" s="29"/>
      <c r="ACW5" s="29"/>
      <c r="ACX5" s="29"/>
      <c r="ACY5" s="29"/>
      <c r="ACZ5" s="29"/>
      <c r="ADA5" s="29"/>
      <c r="ADB5" s="29"/>
      <c r="ADC5" s="29"/>
      <c r="ADD5" s="29"/>
      <c r="ADE5" s="29"/>
      <c r="ADF5" s="29"/>
      <c r="ADG5" s="29"/>
      <c r="ADH5" s="29"/>
      <c r="ADI5" s="29"/>
      <c r="ADJ5" s="29"/>
      <c r="ADK5" s="29"/>
      <c r="ADL5" s="29"/>
      <c r="ADM5" s="29"/>
      <c r="ADN5" s="29"/>
      <c r="ADO5" s="29"/>
      <c r="ADP5" s="29"/>
      <c r="ADQ5" s="29"/>
      <c r="ADR5" s="29"/>
      <c r="ADS5" s="29"/>
      <c r="ADT5" s="29"/>
      <c r="ADU5" s="29"/>
      <c r="ADV5" s="29"/>
      <c r="ADW5" s="29"/>
      <c r="ADX5" s="29"/>
      <c r="ADY5" s="29"/>
      <c r="ADZ5" s="29"/>
      <c r="AEA5" s="29"/>
      <c r="AEB5" s="29"/>
      <c r="AEC5" s="29"/>
      <c r="AED5" s="29"/>
      <c r="AEE5" s="29"/>
      <c r="AEF5" s="29"/>
      <c r="AEG5" s="29"/>
      <c r="AEH5" s="29"/>
      <c r="AEI5" s="29"/>
      <c r="AEJ5" s="29"/>
      <c r="AEK5" s="29"/>
      <c r="AEL5" s="29"/>
      <c r="AEM5" s="29"/>
      <c r="AEN5" s="29"/>
      <c r="AEO5" s="29"/>
      <c r="AEP5" s="29"/>
      <c r="AEQ5" s="29"/>
      <c r="AER5" s="29"/>
      <c r="AES5" s="29"/>
      <c r="AET5" s="29"/>
      <c r="AEU5" s="29"/>
      <c r="AEV5" s="29"/>
      <c r="AEW5" s="29"/>
      <c r="AEX5" s="29"/>
      <c r="AEY5" s="29"/>
      <c r="AEZ5" s="29"/>
      <c r="AFA5" s="29"/>
      <c r="AFB5" s="29"/>
      <c r="AFC5" s="29"/>
      <c r="AFD5" s="29"/>
      <c r="AFE5" s="29"/>
      <c r="AFF5" s="29"/>
      <c r="AFG5" s="29"/>
      <c r="AFH5" s="29"/>
      <c r="AFI5" s="29"/>
      <c r="AFJ5" s="29"/>
      <c r="AFK5" s="29"/>
      <c r="AFL5" s="29"/>
      <c r="AFM5" s="29"/>
      <c r="AFN5" s="29"/>
      <c r="AFO5" s="29"/>
      <c r="AFP5" s="29"/>
      <c r="AFQ5" s="29"/>
      <c r="AFR5" s="29"/>
      <c r="AFS5" s="29"/>
      <c r="AFT5" s="29"/>
      <c r="AFU5" s="29"/>
      <c r="AFV5" s="29"/>
      <c r="AFW5" s="29"/>
      <c r="AFX5" s="29"/>
      <c r="AFY5" s="29"/>
      <c r="AFZ5" s="29"/>
      <c r="AGA5" s="29"/>
      <c r="AGB5" s="29"/>
      <c r="AGC5" s="29"/>
      <c r="AGD5" s="29"/>
      <c r="AGE5" s="29"/>
      <c r="AGF5" s="29"/>
      <c r="AGG5" s="29"/>
      <c r="AGH5" s="29"/>
      <c r="AGI5" s="29"/>
      <c r="AGJ5" s="29"/>
      <c r="AGK5" s="29"/>
      <c r="AGL5" s="29"/>
      <c r="AGM5" s="29"/>
      <c r="AGN5" s="29"/>
      <c r="AGO5" s="29"/>
      <c r="AGP5" s="29"/>
      <c r="AGQ5" s="29"/>
      <c r="AGR5" s="29"/>
      <c r="AGS5" s="29"/>
      <c r="AGT5" s="29"/>
      <c r="AGU5" s="29"/>
      <c r="AGV5" s="29"/>
      <c r="AGW5" s="29"/>
      <c r="AGX5" s="29"/>
      <c r="AGY5" s="29"/>
      <c r="AGZ5" s="29"/>
      <c r="AHA5" s="29"/>
      <c r="AHB5" s="29"/>
      <c r="AHC5" s="29"/>
      <c r="AHD5" s="29"/>
      <c r="AHE5" s="29"/>
      <c r="AHF5" s="29"/>
      <c r="AHG5" s="29"/>
      <c r="AHH5" s="29"/>
      <c r="AHI5" s="29"/>
      <c r="AHJ5" s="29"/>
      <c r="AHK5" s="29"/>
      <c r="AHL5" s="29"/>
      <c r="AHM5" s="29"/>
      <c r="AHN5" s="29"/>
      <c r="AHO5" s="29"/>
      <c r="AHP5" s="29"/>
      <c r="AHQ5" s="29"/>
      <c r="AHR5" s="29"/>
      <c r="AHS5" s="29"/>
      <c r="AHT5" s="29"/>
      <c r="AHU5" s="29"/>
      <c r="AHV5" s="29"/>
      <c r="AHW5" s="29"/>
      <c r="AHX5" s="29"/>
      <c r="AHY5" s="29"/>
      <c r="AHZ5" s="29"/>
      <c r="AIA5" s="29"/>
      <c r="AIB5" s="29"/>
      <c r="AIC5" s="29"/>
      <c r="AID5" s="29"/>
      <c r="AIE5" s="29"/>
      <c r="AIF5" s="29"/>
      <c r="AIG5" s="29"/>
      <c r="AIH5" s="29"/>
      <c r="AII5" s="29"/>
      <c r="AIJ5" s="29"/>
      <c r="AIK5" s="29"/>
      <c r="AIL5" s="29"/>
      <c r="AIM5" s="29"/>
      <c r="AIN5" s="29"/>
      <c r="AIO5" s="29"/>
      <c r="AIP5" s="29"/>
      <c r="AIQ5" s="29"/>
      <c r="AIR5" s="29"/>
      <c r="AIS5" s="29"/>
      <c r="AIT5" s="29"/>
      <c r="AIU5" s="29"/>
      <c r="AIV5" s="29"/>
      <c r="AIW5" s="29"/>
      <c r="AIX5" s="29"/>
      <c r="AIY5" s="29"/>
      <c r="AIZ5" s="29"/>
      <c r="AJA5" s="29"/>
      <c r="AJB5" s="29"/>
      <c r="AJC5" s="29"/>
      <c r="AJD5" s="29"/>
      <c r="AJE5" s="29"/>
      <c r="AJF5" s="29"/>
      <c r="AJG5" s="29"/>
      <c r="AJH5" s="29"/>
      <c r="AJI5" s="29"/>
      <c r="AJJ5" s="29"/>
      <c r="AJK5" s="29"/>
      <c r="AJL5" s="29"/>
      <c r="AJM5" s="29"/>
      <c r="AJN5" s="29"/>
      <c r="AJO5" s="29"/>
      <c r="AJP5" s="29"/>
      <c r="AJQ5" s="29"/>
      <c r="AJR5" s="29"/>
      <c r="AJS5" s="29"/>
      <c r="AJT5" s="29"/>
      <c r="AJU5" s="29"/>
      <c r="AJV5" s="29"/>
      <c r="AJW5" s="29"/>
      <c r="AJX5" s="29"/>
      <c r="AJY5" s="29"/>
      <c r="AJZ5" s="29"/>
      <c r="AKA5" s="29"/>
      <c r="AKB5" s="29"/>
      <c r="AKC5" s="29"/>
      <c r="AKD5" s="29"/>
      <c r="AKE5" s="29"/>
      <c r="AKF5" s="29"/>
      <c r="AKG5" s="29"/>
      <c r="AKH5" s="29"/>
      <c r="AKI5" s="29"/>
      <c r="AKJ5" s="29"/>
      <c r="AKK5" s="29"/>
      <c r="AKL5" s="29"/>
      <c r="AKM5" s="29"/>
      <c r="AKN5" s="29"/>
      <c r="AKO5" s="29"/>
      <c r="AKP5" s="29"/>
      <c r="AKQ5" s="29"/>
      <c r="AKR5" s="29"/>
      <c r="AKS5" s="29"/>
      <c r="AKT5" s="29"/>
      <c r="AKU5" s="29"/>
      <c r="AKV5" s="29"/>
      <c r="AKW5" s="29"/>
      <c r="AKX5" s="29"/>
      <c r="AKY5" s="29"/>
      <c r="AKZ5" s="29"/>
      <c r="ALA5" s="29"/>
      <c r="ALB5" s="29"/>
      <c r="ALC5" s="29"/>
      <c r="ALD5" s="29"/>
      <c r="ALE5" s="29"/>
      <c r="ALF5" s="29"/>
      <c r="ALG5" s="29"/>
      <c r="ALH5" s="29"/>
      <c r="ALI5" s="29"/>
      <c r="ALJ5" s="29"/>
      <c r="ALK5" s="29"/>
      <c r="ALL5" s="29"/>
      <c r="ALM5" s="29"/>
      <c r="ALN5" s="29"/>
      <c r="ALO5" s="29"/>
      <c r="ALP5" s="29"/>
      <c r="ALQ5" s="29"/>
      <c r="ALR5" s="29"/>
      <c r="ALS5" s="29"/>
      <c r="ALT5" s="29"/>
      <c r="ALU5" s="29"/>
      <c r="ALV5" s="29"/>
      <c r="ALW5" s="29"/>
      <c r="ALX5" s="29"/>
      <c r="ALY5" s="29"/>
      <c r="ALZ5" s="29"/>
      <c r="AMA5" s="29"/>
      <c r="AMB5" s="29"/>
      <c r="AMC5" s="29"/>
      <c r="AMD5" s="29"/>
      <c r="AME5" s="29"/>
      <c r="AMF5" s="29"/>
      <c r="AMG5" s="29"/>
      <c r="AMH5" s="29"/>
      <c r="AMI5" s="29"/>
      <c r="AMJ5" s="29"/>
      <c r="AMK5" s="29"/>
      <c r="AML5" s="29"/>
    </row>
    <row r="6" ht="15.75" customHeight="1">
      <c r="A6" s="40" t="s">
        <v>34</v>
      </c>
      <c r="B6" s="40" t="s">
        <v>35</v>
      </c>
      <c r="C6" s="8" t="s">
        <v>36</v>
      </c>
      <c r="D6" s="40">
        <v>0.0</v>
      </c>
      <c r="E6" s="8">
        <v>500.0</v>
      </c>
      <c r="F6" s="8" t="s">
        <v>37</v>
      </c>
      <c r="G6" s="8" t="s">
        <v>38</v>
      </c>
      <c r="H6" s="8">
        <v>54.0</v>
      </c>
      <c r="I6" s="8">
        <v>0.0</v>
      </c>
      <c r="J6" s="8">
        <v>15.0</v>
      </c>
      <c r="K6" s="8">
        <v>12.0</v>
      </c>
      <c r="L6" s="8">
        <v>12.0</v>
      </c>
      <c r="M6" s="8" t="s">
        <v>39</v>
      </c>
      <c r="N6" s="8" t="s">
        <v>40</v>
      </c>
      <c r="O6" s="8" t="s">
        <v>41</v>
      </c>
      <c r="Q6">
        <v>3.0</v>
      </c>
      <c r="R6">
        <v>0.0</v>
      </c>
      <c r="S6" t="s">
        <v>42</v>
      </c>
      <c r="T6">
        <v>0.0</v>
      </c>
      <c r="U6">
        <v>0.0</v>
      </c>
      <c r="V6" t="s">
        <v>43</v>
      </c>
      <c r="W6">
        <v>1.0</v>
      </c>
      <c r="X6">
        <v>0.0</v>
      </c>
      <c r="Y6" t="s">
        <v>34</v>
      </c>
      <c r="Z6" t="s">
        <v>44</v>
      </c>
      <c r="AA6" t="s">
        <v>45</v>
      </c>
      <c r="AB6">
        <v>1.0</v>
      </c>
      <c r="AC6" t="s">
        <v>46</v>
      </c>
      <c r="AE6">
        <v>500.0</v>
      </c>
      <c r="AF6" t="s">
        <v>34</v>
      </c>
      <c r="AH6" t="s">
        <v>47</v>
      </c>
      <c r="AI6">
        <v>1.0</v>
      </c>
      <c r="AJ6" t="s">
        <v>48</v>
      </c>
      <c r="AM6" t="s">
        <v>49</v>
      </c>
      <c r="AN6" t="b">
        <v>0</v>
      </c>
      <c r="AP6" t="b">
        <v>0</v>
      </c>
      <c r="AQ6" t="b">
        <v>0</v>
      </c>
      <c r="AR6" t="b">
        <v>1</v>
      </c>
      <c r="AS6">
        <v>0.0</v>
      </c>
      <c r="AT6">
        <v>6056.05</v>
      </c>
      <c r="AU6">
        <v>6056.05</v>
      </c>
      <c r="AW6">
        <v>0.0</v>
      </c>
      <c r="AX6">
        <v>0.0</v>
      </c>
      <c r="AY6" t="s">
        <v>50</v>
      </c>
      <c r="AZ6">
        <v>0.0</v>
      </c>
      <c r="BC6">
        <v>0.0</v>
      </c>
      <c r="BD6" t="s">
        <v>51</v>
      </c>
      <c r="BE6">
        <v>6000.0</v>
      </c>
      <c r="BF6">
        <v>6000.0</v>
      </c>
      <c r="BJ6">
        <v>1000.0</v>
      </c>
      <c r="BK6">
        <v>0.0</v>
      </c>
      <c r="BL6" t="s">
        <v>34</v>
      </c>
      <c r="BM6" t="s">
        <v>44</v>
      </c>
      <c r="BO6" t="s">
        <v>18</v>
      </c>
      <c r="BP6">
        <v>0.0</v>
      </c>
      <c r="BQ6">
        <v>0.0</v>
      </c>
      <c r="BR6">
        <v>1.05</v>
      </c>
      <c r="BS6" t="s">
        <v>52</v>
      </c>
      <c r="BT6" t="s">
        <v>16</v>
      </c>
      <c r="BU6">
        <v>1.0</v>
      </c>
      <c r="BV6">
        <v>0.0</v>
      </c>
      <c r="BW6">
        <v>56.05</v>
      </c>
      <c r="BX6">
        <v>0.0</v>
      </c>
      <c r="CF6" t="s">
        <v>53</v>
      </c>
      <c r="CG6">
        <v>0.0</v>
      </c>
      <c r="CH6" t="s">
        <v>12</v>
      </c>
      <c r="CI6" t="s">
        <v>18</v>
      </c>
      <c r="CJ6">
        <v>0.0</v>
      </c>
      <c r="CK6" t="s">
        <v>54</v>
      </c>
      <c r="CL6">
        <v>1.0</v>
      </c>
      <c r="CM6" t="s">
        <v>16</v>
      </c>
      <c r="CN6" t="s">
        <v>30</v>
      </c>
      <c r="CO6" t="s">
        <v>55</v>
      </c>
      <c r="CP6" t="s">
        <v>56</v>
      </c>
      <c r="CS6" t="s">
        <v>34</v>
      </c>
      <c r="CW6">
        <v>0.0</v>
      </c>
      <c r="CX6" t="s">
        <v>57</v>
      </c>
      <c r="CY6" t="s">
        <v>34</v>
      </c>
      <c r="CZ6" t="s">
        <v>34</v>
      </c>
      <c r="DA6" t="s">
        <v>34</v>
      </c>
      <c r="DB6" t="s">
        <v>34</v>
      </c>
      <c r="DC6" t="s">
        <v>34</v>
      </c>
      <c r="DD6" t="s">
        <v>34</v>
      </c>
      <c r="DE6" t="s">
        <v>34</v>
      </c>
      <c r="DF6" t="s">
        <v>34</v>
      </c>
      <c r="DG6" t="s">
        <v>34</v>
      </c>
      <c r="DH6" t="s">
        <v>34</v>
      </c>
      <c r="DI6" t="s">
        <v>34</v>
      </c>
      <c r="DJ6" t="s">
        <v>34</v>
      </c>
      <c r="DK6" t="s">
        <v>34</v>
      </c>
      <c r="DL6" t="s">
        <v>34</v>
      </c>
      <c r="DM6" t="s">
        <v>34</v>
      </c>
      <c r="DN6" t="s">
        <v>34</v>
      </c>
      <c r="DO6" t="s">
        <v>34</v>
      </c>
      <c r="DP6" t="s">
        <v>34</v>
      </c>
      <c r="DQ6" t="s">
        <v>34</v>
      </c>
      <c r="DR6" t="s">
        <v>34</v>
      </c>
      <c r="DS6" t="s">
        <v>34</v>
      </c>
      <c r="DT6" t="s">
        <v>34</v>
      </c>
      <c r="DU6" t="s">
        <v>34</v>
      </c>
      <c r="DV6" t="s">
        <v>34</v>
      </c>
      <c r="DW6" t="s">
        <v>34</v>
      </c>
      <c r="DX6" t="s">
        <v>34</v>
      </c>
      <c r="DY6" t="s">
        <v>34</v>
      </c>
      <c r="DZ6" t="s">
        <v>34</v>
      </c>
      <c r="EA6" t="s">
        <v>34</v>
      </c>
      <c r="EB6" t="s">
        <v>34</v>
      </c>
      <c r="EC6" t="s">
        <v>34</v>
      </c>
      <c r="ED6" t="s">
        <v>34</v>
      </c>
      <c r="EE6" t="s">
        <v>34</v>
      </c>
      <c r="EF6" t="s">
        <v>34</v>
      </c>
      <c r="EG6" t="s">
        <v>34</v>
      </c>
      <c r="EH6" t="s">
        <v>34</v>
      </c>
      <c r="EI6" t="s">
        <v>34</v>
      </c>
      <c r="EJ6" t="s">
        <v>34</v>
      </c>
      <c r="EK6" t="s">
        <v>34</v>
      </c>
      <c r="EL6" t="s">
        <v>34</v>
      </c>
      <c r="EM6" t="s">
        <v>34</v>
      </c>
      <c r="EN6" t="s">
        <v>34</v>
      </c>
      <c r="EO6" t="s">
        <v>34</v>
      </c>
      <c r="EP6" t="s">
        <v>34</v>
      </c>
      <c r="EQ6" t="s">
        <v>34</v>
      </c>
      <c r="ER6" t="s">
        <v>34</v>
      </c>
      <c r="ES6" t="s">
        <v>34</v>
      </c>
      <c r="ET6" t="s">
        <v>34</v>
      </c>
      <c r="EU6" t="s">
        <v>34</v>
      </c>
      <c r="EV6" t="s">
        <v>34</v>
      </c>
      <c r="EW6" t="s">
        <v>34</v>
      </c>
      <c r="EX6" t="s">
        <v>34</v>
      </c>
      <c r="EY6" t="s">
        <v>34</v>
      </c>
      <c r="EZ6" t="s">
        <v>34</v>
      </c>
      <c r="FA6" t="s">
        <v>34</v>
      </c>
      <c r="FB6" t="s">
        <v>34</v>
      </c>
      <c r="FC6" t="s">
        <v>34</v>
      </c>
      <c r="FD6" t="s">
        <v>34</v>
      </c>
      <c r="FE6" t="s">
        <v>34</v>
      </c>
      <c r="FF6" t="s">
        <v>34</v>
      </c>
      <c r="FG6" t="s">
        <v>34</v>
      </c>
      <c r="FH6" t="s">
        <v>34</v>
      </c>
      <c r="FI6" t="s">
        <v>34</v>
      </c>
      <c r="FJ6" t="s">
        <v>34</v>
      </c>
      <c r="FK6" t="s">
        <v>34</v>
      </c>
      <c r="FL6" t="s">
        <v>34</v>
      </c>
      <c r="FM6" t="s">
        <v>34</v>
      </c>
      <c r="FN6" t="s">
        <v>34</v>
      </c>
      <c r="FO6" t="s">
        <v>34</v>
      </c>
      <c r="FP6" t="s">
        <v>34</v>
      </c>
      <c r="FQ6" t="s">
        <v>34</v>
      </c>
      <c r="FR6" s="41"/>
      <c r="FS6" s="41"/>
      <c r="FT6" s="41"/>
      <c r="FU6" s="41"/>
      <c r="FV6" s="41"/>
      <c r="FW6" s="41"/>
      <c r="FX6" s="41"/>
      <c r="FY6" s="41"/>
      <c r="FZ6" s="41"/>
      <c r="GA6" s="41"/>
      <c r="GB6" s="41"/>
      <c r="GC6" s="41"/>
      <c r="GD6" s="41"/>
      <c r="GE6" s="41"/>
      <c r="GF6" s="41"/>
      <c r="GG6" s="41"/>
      <c r="GH6" s="41"/>
      <c r="GI6" s="41"/>
      <c r="GJ6" s="41"/>
      <c r="GK6" s="41"/>
      <c r="GL6" s="41"/>
      <c r="GM6" s="41"/>
      <c r="GN6" s="41"/>
      <c r="GO6" s="41"/>
      <c r="GP6" s="41"/>
      <c r="GQ6" s="41"/>
      <c r="GR6" s="41"/>
      <c r="GS6" s="41"/>
      <c r="GT6" s="41"/>
      <c r="GU6" s="41"/>
      <c r="GV6" s="41"/>
      <c r="GW6" s="41"/>
      <c r="GX6" s="41"/>
      <c r="GY6" s="41"/>
      <c r="GZ6" s="41"/>
      <c r="HA6" s="41"/>
      <c r="HB6" s="41"/>
      <c r="HC6" s="41"/>
      <c r="HD6" s="41"/>
      <c r="HE6" s="41"/>
      <c r="HF6" s="41"/>
      <c r="HG6" s="41"/>
      <c r="HH6" s="41"/>
      <c r="HI6" s="41"/>
      <c r="HJ6" s="41"/>
      <c r="HK6" s="41"/>
      <c r="HL6" s="41"/>
      <c r="HM6" s="41"/>
      <c r="HN6" s="41"/>
      <c r="HO6" s="41"/>
      <c r="HP6" s="41"/>
      <c r="HQ6" s="41"/>
      <c r="HR6" s="41"/>
      <c r="HS6" s="41"/>
      <c r="HT6" s="41"/>
      <c r="HU6" s="41"/>
      <c r="HV6" s="41"/>
      <c r="HW6" s="41"/>
      <c r="HX6" s="41"/>
      <c r="HY6" s="41"/>
      <c r="HZ6" s="41"/>
      <c r="IA6" s="41"/>
      <c r="IB6" s="41"/>
      <c r="IC6" s="41"/>
      <c r="ID6" s="41"/>
      <c r="IE6" s="41"/>
      <c r="IF6" s="41"/>
      <c r="IG6" s="41"/>
      <c r="IH6" s="41"/>
      <c r="II6" s="41"/>
      <c r="IJ6" s="41"/>
      <c r="IK6" s="41"/>
      <c r="IL6" s="41"/>
      <c r="IM6" s="41"/>
      <c r="IN6" s="41"/>
      <c r="IO6" s="41"/>
      <c r="IP6" s="41"/>
      <c r="IQ6" s="41"/>
      <c r="IR6" s="41"/>
      <c r="IS6" s="41"/>
      <c r="IT6" s="41"/>
      <c r="IU6" s="41"/>
      <c r="IV6" s="41"/>
      <c r="IW6" s="41"/>
      <c r="IX6" s="41"/>
      <c r="IY6" s="41"/>
      <c r="IZ6" s="41"/>
      <c r="JA6" s="41"/>
      <c r="JB6" s="41"/>
      <c r="JC6" s="41"/>
      <c r="JD6" s="41"/>
      <c r="JE6" s="41"/>
      <c r="JF6" s="41"/>
      <c r="JG6" s="41"/>
      <c r="JH6" s="41"/>
      <c r="JI6" s="41"/>
      <c r="JJ6" s="41"/>
      <c r="JK6" s="41"/>
      <c r="JL6" s="41"/>
      <c r="JM6" s="41"/>
      <c r="JN6" s="41"/>
      <c r="JO6" s="41"/>
      <c r="JP6" s="41"/>
      <c r="JQ6" s="41"/>
      <c r="JR6" s="41"/>
      <c r="JS6" s="41"/>
      <c r="JT6" s="41"/>
      <c r="JU6" s="41"/>
      <c r="JV6" s="41"/>
      <c r="JW6" s="41"/>
      <c r="JX6" s="41"/>
      <c r="JY6" s="41"/>
      <c r="JZ6" s="41"/>
      <c r="KA6" s="41"/>
      <c r="KB6" s="41"/>
      <c r="KC6" s="41"/>
      <c r="KD6" s="41"/>
      <c r="KE6" s="41"/>
      <c r="KF6" s="41"/>
      <c r="KG6" s="41"/>
      <c r="KH6" s="41"/>
      <c r="KI6" s="41"/>
      <c r="KJ6" s="41"/>
      <c r="KK6" s="41"/>
      <c r="KL6" s="41"/>
      <c r="KM6" s="41"/>
      <c r="KN6" s="41"/>
      <c r="KO6" s="41"/>
      <c r="KP6" s="41"/>
      <c r="KQ6" s="41"/>
      <c r="KR6" s="41"/>
      <c r="KS6" s="41"/>
      <c r="KT6" s="41"/>
      <c r="KU6" s="41"/>
      <c r="KV6" s="41"/>
      <c r="KW6" s="41"/>
      <c r="KX6" s="41"/>
      <c r="KY6" s="41"/>
      <c r="KZ6" s="41"/>
      <c r="LA6" s="41"/>
      <c r="LB6" s="41"/>
      <c r="LC6" s="41"/>
      <c r="LD6" s="41"/>
      <c r="LE6" s="41"/>
      <c r="LF6" s="41"/>
      <c r="LG6" s="41"/>
      <c r="LH6" s="41"/>
      <c r="LI6" s="41"/>
      <c r="LJ6" s="41"/>
      <c r="LK6" s="41"/>
      <c r="LL6" s="41"/>
      <c r="LM6" s="41"/>
      <c r="LN6" s="41"/>
      <c r="LO6" s="41"/>
      <c r="LP6" s="41"/>
      <c r="LQ6" s="41"/>
      <c r="LR6" s="41"/>
      <c r="LS6" s="41"/>
      <c r="LT6" s="41"/>
      <c r="LU6" s="41"/>
      <c r="LV6" s="41"/>
      <c r="LW6" s="41"/>
      <c r="LX6" s="41"/>
      <c r="LY6" s="41"/>
      <c r="LZ6" s="41"/>
      <c r="MA6" s="41"/>
      <c r="MB6" s="41"/>
      <c r="MC6" s="41"/>
      <c r="MD6" s="41"/>
      <c r="ME6" s="41"/>
      <c r="MF6" s="41"/>
      <c r="MG6" s="41"/>
      <c r="MH6" s="41"/>
      <c r="MI6" s="41"/>
      <c r="MJ6" s="41"/>
      <c r="MK6" s="41"/>
      <c r="ML6" s="41"/>
      <c r="MM6" s="41"/>
      <c r="MN6" s="41"/>
      <c r="MO6" s="41"/>
      <c r="MP6" s="41"/>
      <c r="MQ6" s="41"/>
      <c r="MR6" s="41"/>
      <c r="MS6" s="41"/>
      <c r="MT6" s="41"/>
      <c r="MU6" s="41"/>
      <c r="MV6" s="41"/>
      <c r="MW6" s="41"/>
      <c r="MX6" s="41"/>
      <c r="MY6" s="41"/>
      <c r="MZ6" s="41"/>
      <c r="NA6" s="41"/>
      <c r="NB6" s="41"/>
      <c r="NC6" s="41"/>
      <c r="ND6" s="41"/>
      <c r="NE6" s="41"/>
      <c r="NF6" s="41"/>
      <c r="NG6" s="41"/>
      <c r="NH6" s="41"/>
      <c r="NI6" s="41"/>
      <c r="NJ6" s="41"/>
      <c r="NK6" s="41"/>
      <c r="NL6" s="41"/>
      <c r="NM6" s="41"/>
      <c r="NN6" s="41"/>
      <c r="NO6" s="41"/>
      <c r="NP6" s="41"/>
      <c r="NQ6" s="41"/>
      <c r="NR6" s="41"/>
      <c r="NS6" s="41"/>
      <c r="NT6" s="41"/>
      <c r="NU6" s="41"/>
      <c r="NV6" s="41"/>
      <c r="NW6" s="41"/>
      <c r="NX6" s="41"/>
      <c r="NY6" s="41"/>
      <c r="NZ6" s="41"/>
      <c r="OA6" s="41"/>
      <c r="OB6" s="41"/>
      <c r="OC6" s="41"/>
      <c r="OD6" s="41"/>
      <c r="OE6" s="41"/>
      <c r="OF6" s="41"/>
      <c r="OG6" s="41"/>
      <c r="OH6" s="41"/>
      <c r="OI6" s="41"/>
      <c r="OJ6" s="41"/>
      <c r="OK6" s="41"/>
      <c r="OL6" s="41"/>
      <c r="OM6" s="41"/>
      <c r="ON6" s="41"/>
      <c r="OO6" s="41"/>
      <c r="OP6" s="41"/>
      <c r="OQ6" s="41"/>
      <c r="OR6" s="41"/>
      <c r="OS6" s="41"/>
      <c r="OT6" s="41"/>
      <c r="OU6" s="41"/>
      <c r="OV6" s="41"/>
      <c r="OW6" s="41"/>
      <c r="OX6" s="41"/>
      <c r="OY6" s="41"/>
      <c r="OZ6" s="41"/>
      <c r="PA6" s="41"/>
      <c r="PB6" s="41"/>
      <c r="PC6" s="41"/>
      <c r="PD6" s="41"/>
      <c r="PE6" s="41"/>
      <c r="PF6" s="41"/>
      <c r="PG6" s="41"/>
      <c r="PH6" s="41"/>
      <c r="PI6" s="41"/>
      <c r="PJ6" s="41"/>
      <c r="PK6" s="41"/>
      <c r="PL6" s="41"/>
      <c r="PM6" s="41"/>
      <c r="PN6" s="41"/>
      <c r="PO6" s="41"/>
      <c r="PP6" s="41"/>
      <c r="PQ6" s="41"/>
      <c r="PR6" s="41"/>
      <c r="PS6" s="41"/>
      <c r="PT6" s="41"/>
      <c r="PU6" s="41"/>
      <c r="PV6" s="41"/>
      <c r="PW6" s="41"/>
      <c r="PX6" s="41"/>
      <c r="PY6" s="41"/>
      <c r="PZ6" s="41"/>
      <c r="QA6" s="41"/>
      <c r="QB6" s="41"/>
      <c r="QC6" s="41"/>
      <c r="QD6" s="41"/>
      <c r="QE6" s="41"/>
      <c r="QF6" s="41"/>
      <c r="QG6" s="41"/>
      <c r="QH6" s="41"/>
      <c r="QI6" s="41"/>
      <c r="QJ6" s="41"/>
      <c r="QK6" s="41"/>
      <c r="QL6" s="41"/>
      <c r="QM6" s="41"/>
      <c r="QN6" s="41"/>
      <c r="QO6" s="41"/>
      <c r="QP6" s="41"/>
      <c r="QQ6" s="41"/>
      <c r="QR6" s="41"/>
      <c r="QS6" s="41"/>
      <c r="QT6" s="41"/>
      <c r="QU6" s="41"/>
      <c r="QV6" s="41"/>
      <c r="QW6" s="41"/>
      <c r="QX6" s="41"/>
      <c r="QY6" s="41"/>
      <c r="QZ6" s="41"/>
      <c r="RA6" s="41"/>
      <c r="RB6" s="41"/>
      <c r="RC6" s="41"/>
      <c r="RD6" s="41"/>
      <c r="RE6" s="41"/>
      <c r="RF6" s="41"/>
      <c r="RG6" s="41"/>
      <c r="RH6" s="41"/>
      <c r="RI6" s="41"/>
      <c r="RJ6" s="41"/>
      <c r="RK6" s="41"/>
      <c r="RL6" s="41"/>
      <c r="RM6" s="41"/>
      <c r="RN6" s="41"/>
      <c r="RO6" s="41"/>
      <c r="RP6" s="41"/>
      <c r="RQ6" s="41"/>
      <c r="RR6" s="41"/>
      <c r="RS6" s="41"/>
      <c r="RT6" s="41"/>
      <c r="RU6" s="41"/>
      <c r="RV6" s="41"/>
      <c r="RW6" s="41"/>
      <c r="RX6" s="41"/>
      <c r="RY6" s="41"/>
      <c r="RZ6" s="41"/>
      <c r="SA6" s="41"/>
      <c r="SB6" s="41"/>
      <c r="SC6" s="41"/>
      <c r="SD6" s="41"/>
      <c r="SE6" s="41"/>
      <c r="SF6" s="41"/>
      <c r="SG6" s="41"/>
      <c r="SH6" s="41"/>
      <c r="SI6" s="41"/>
      <c r="SJ6" s="41"/>
      <c r="SK6" s="41"/>
      <c r="SL6" s="41"/>
      <c r="SM6" s="41"/>
      <c r="SN6" s="41"/>
      <c r="SO6" s="41"/>
      <c r="SP6" s="41"/>
      <c r="SQ6" s="41"/>
      <c r="SR6" s="41"/>
      <c r="SS6" s="41"/>
      <c r="ST6" s="41"/>
      <c r="SU6" s="41"/>
      <c r="SV6" s="41"/>
      <c r="SW6" s="41"/>
      <c r="SX6" s="41"/>
      <c r="SY6" s="41"/>
      <c r="SZ6" s="41"/>
      <c r="TA6" s="41"/>
      <c r="TB6" s="41"/>
      <c r="TC6" s="41"/>
      <c r="TD6" s="41"/>
      <c r="TE6" s="41"/>
      <c r="TF6" s="41"/>
      <c r="TG6" s="41"/>
      <c r="TH6" s="41"/>
      <c r="TI6" s="41"/>
      <c r="TJ6" s="41"/>
      <c r="TK6" s="41"/>
      <c r="TL6" s="41"/>
      <c r="TM6" s="41"/>
      <c r="TN6" s="41"/>
      <c r="TO6" s="41"/>
      <c r="TP6" s="41"/>
      <c r="TQ6" s="41"/>
      <c r="TR6" s="41"/>
      <c r="TS6" s="41"/>
      <c r="TT6" s="41"/>
      <c r="TU6" s="41"/>
      <c r="TV6" s="41"/>
      <c r="TW6" s="41"/>
      <c r="TX6" s="41"/>
      <c r="TY6" s="41"/>
      <c r="TZ6" s="41"/>
      <c r="UA6" s="41"/>
      <c r="UB6" s="41"/>
      <c r="UC6" s="41"/>
      <c r="UD6" s="41"/>
      <c r="UE6" s="41"/>
      <c r="UF6" s="41"/>
      <c r="UG6" s="41"/>
      <c r="UH6" s="41"/>
      <c r="UI6" s="41"/>
      <c r="UJ6" s="41"/>
      <c r="UK6" s="41"/>
      <c r="UL6" s="41"/>
      <c r="UM6" s="41"/>
      <c r="UN6" s="41"/>
      <c r="UO6" s="41"/>
      <c r="UP6" s="41"/>
      <c r="UQ6" s="41"/>
      <c r="UR6" s="41"/>
      <c r="US6" s="41"/>
      <c r="UT6" s="41"/>
      <c r="UU6" s="41"/>
      <c r="UV6" s="41"/>
      <c r="UW6" s="41"/>
      <c r="UX6" s="41"/>
      <c r="UY6" s="41"/>
      <c r="UZ6" s="41"/>
      <c r="VA6" s="41"/>
      <c r="VB6" s="41"/>
      <c r="VC6" s="41"/>
      <c r="VD6" s="41"/>
      <c r="VE6" s="41"/>
      <c r="VF6" s="41"/>
      <c r="VG6" s="41"/>
      <c r="VH6" s="41"/>
      <c r="VI6" s="41"/>
      <c r="VJ6" s="41"/>
      <c r="VK6" s="41"/>
      <c r="VL6" s="41"/>
      <c r="VM6" s="41"/>
      <c r="VN6" s="41"/>
      <c r="VO6" s="41"/>
      <c r="VP6" s="41"/>
      <c r="VQ6" s="41"/>
      <c r="VR6" s="41"/>
      <c r="VS6" s="41"/>
      <c r="VT6" s="41"/>
      <c r="VU6" s="41"/>
      <c r="VV6" s="41"/>
      <c r="VW6" s="41"/>
      <c r="VX6" s="41"/>
      <c r="VY6" s="41"/>
      <c r="VZ6" s="41"/>
      <c r="WA6" s="41"/>
      <c r="WB6" s="41"/>
      <c r="WC6" s="41"/>
      <c r="WD6" s="41"/>
      <c r="WE6" s="41"/>
      <c r="WF6" s="41"/>
      <c r="WG6" s="41"/>
      <c r="WH6" s="41"/>
      <c r="WI6" s="41"/>
      <c r="WJ6" s="41"/>
      <c r="WK6" s="41"/>
      <c r="WL6" s="41"/>
      <c r="WM6" s="41"/>
      <c r="WN6" s="41"/>
      <c r="WO6" s="41"/>
      <c r="WP6" s="41"/>
      <c r="WQ6" s="41"/>
      <c r="WR6" s="41"/>
      <c r="WS6" s="41"/>
      <c r="WT6" s="41"/>
      <c r="WU6" s="41"/>
      <c r="WV6" s="41"/>
      <c r="WW6" s="41"/>
      <c r="WX6" s="41"/>
      <c r="WY6" s="41"/>
      <c r="WZ6" s="41"/>
      <c r="XA6" s="41"/>
      <c r="XB6" s="41"/>
      <c r="XC6" s="41"/>
      <c r="XD6" s="41"/>
      <c r="XE6" s="41"/>
      <c r="XF6" s="41"/>
      <c r="XG6" s="41"/>
      <c r="XH6" s="41"/>
      <c r="XI6" s="41"/>
      <c r="XJ6" s="41"/>
      <c r="XK6" s="41"/>
      <c r="XL6" s="41"/>
      <c r="XM6" s="41"/>
      <c r="XN6" s="41"/>
      <c r="XO6" s="41"/>
      <c r="XP6" s="41"/>
      <c r="XQ6" s="41"/>
      <c r="XR6" s="41"/>
      <c r="XS6" s="41"/>
      <c r="XT6" s="41"/>
      <c r="XU6" s="41"/>
      <c r="XV6" s="41"/>
      <c r="XW6" s="41"/>
      <c r="XX6" s="41"/>
      <c r="XY6" s="41"/>
      <c r="XZ6" s="41"/>
      <c r="YA6" s="41"/>
      <c r="YB6" s="41"/>
      <c r="YC6" s="41"/>
      <c r="YD6" s="41"/>
      <c r="YE6" s="41"/>
      <c r="YF6" s="41"/>
      <c r="YG6" s="41"/>
      <c r="YH6" s="41"/>
      <c r="YI6" s="41"/>
      <c r="YJ6" s="41"/>
      <c r="YK6" s="41"/>
      <c r="YL6" s="41"/>
      <c r="YM6" s="41"/>
      <c r="YN6" s="41"/>
      <c r="YO6" s="41"/>
      <c r="YP6" s="41"/>
      <c r="YQ6" s="41"/>
      <c r="YR6" s="41"/>
      <c r="YS6" s="41"/>
      <c r="YT6" s="41"/>
      <c r="YU6" s="41"/>
      <c r="YV6" s="41"/>
      <c r="YW6" s="41"/>
      <c r="YX6" s="41"/>
      <c r="YY6" s="41"/>
      <c r="YZ6" s="41"/>
      <c r="ZA6" s="41"/>
      <c r="ZB6" s="41"/>
      <c r="ZC6" s="41"/>
      <c r="ZD6" s="41"/>
      <c r="ZE6" s="41"/>
      <c r="ZF6" s="41"/>
      <c r="ZG6" s="41"/>
      <c r="ZH6" s="41"/>
      <c r="ZI6" s="41"/>
      <c r="ZJ6" s="41"/>
      <c r="ZK6" s="41"/>
      <c r="ZL6" s="41"/>
      <c r="ZM6" s="41"/>
      <c r="ZN6" s="41"/>
      <c r="ZO6" s="41"/>
      <c r="ZP6" s="41"/>
      <c r="ZQ6" s="41"/>
      <c r="ZR6" s="41"/>
      <c r="ZS6" s="41"/>
      <c r="ZT6" s="41"/>
      <c r="ZU6" s="41"/>
      <c r="ZV6" s="41"/>
      <c r="ZW6" s="41"/>
      <c r="ZX6" s="41"/>
      <c r="ZY6" s="41"/>
      <c r="ZZ6" s="41"/>
      <c r="AAA6" s="41"/>
      <c r="AAB6" s="41"/>
      <c r="AAC6" s="41"/>
      <c r="AAD6" s="41"/>
      <c r="AAE6" s="41"/>
      <c r="AAF6" s="41"/>
      <c r="AAG6" s="41"/>
      <c r="AAH6" s="41"/>
      <c r="AAI6" s="41"/>
      <c r="AAJ6" s="41"/>
      <c r="AAK6" s="41"/>
      <c r="AAL6" s="41"/>
      <c r="AAM6" s="41"/>
      <c r="AAN6" s="41"/>
      <c r="AAO6" s="41"/>
      <c r="AAP6" s="41"/>
      <c r="AAQ6" s="41"/>
      <c r="AAR6" s="41"/>
      <c r="AAS6" s="41"/>
      <c r="AAT6" s="41"/>
      <c r="AAU6" s="41"/>
      <c r="AAV6" s="41"/>
      <c r="AAW6" s="41"/>
      <c r="AAX6" s="41"/>
      <c r="AAY6" s="41"/>
      <c r="AAZ6" s="41"/>
      <c r="ABA6" s="41"/>
      <c r="ABB6" s="41"/>
      <c r="ABC6" s="41"/>
      <c r="ABD6" s="41"/>
      <c r="ABE6" s="41"/>
      <c r="ABF6" s="41"/>
      <c r="ABG6" s="41"/>
      <c r="ABH6" s="41"/>
      <c r="ABI6" s="41"/>
      <c r="ABJ6" s="41"/>
      <c r="ABK6" s="41"/>
      <c r="ABL6" s="41"/>
      <c r="ABM6" s="41"/>
      <c r="ABN6" s="41"/>
      <c r="ABO6" s="41"/>
      <c r="ABP6" s="41"/>
      <c r="ABQ6" s="41"/>
      <c r="ABR6" s="41"/>
      <c r="ABS6" s="41"/>
      <c r="ABT6" s="41"/>
      <c r="ABU6" s="41"/>
      <c r="ABV6" s="41"/>
      <c r="ABW6" s="41"/>
      <c r="ABX6" s="41"/>
      <c r="ABY6" s="41"/>
      <c r="ABZ6" s="41"/>
      <c r="ACA6" s="41"/>
      <c r="ACB6" s="41"/>
      <c r="ACC6" s="41"/>
      <c r="ACD6" s="41"/>
      <c r="ACE6" s="41"/>
      <c r="ACF6" s="41"/>
      <c r="ACG6" s="41"/>
      <c r="ACH6" s="41"/>
      <c r="ACI6" s="41"/>
      <c r="ACJ6" s="41"/>
      <c r="ACK6" s="41"/>
      <c r="ACL6" s="41"/>
      <c r="ACM6" s="41"/>
      <c r="ACN6" s="41"/>
      <c r="ACO6" s="41"/>
      <c r="ACP6" s="41"/>
      <c r="ACQ6" s="41"/>
      <c r="ACR6" s="41"/>
      <c r="ACS6" s="41"/>
      <c r="ACT6" s="41"/>
      <c r="ACU6" s="41"/>
      <c r="ACV6" s="41"/>
      <c r="ACW6" s="41"/>
      <c r="ACX6" s="41"/>
      <c r="ACY6" s="41"/>
      <c r="ACZ6" s="41"/>
      <c r="ADA6" s="41"/>
      <c r="ADB6" s="41"/>
      <c r="ADC6" s="41"/>
      <c r="ADD6" s="41"/>
      <c r="ADE6" s="41"/>
      <c r="ADF6" s="41"/>
      <c r="ADG6" s="41"/>
      <c r="ADH6" s="41"/>
      <c r="ADI6" s="41"/>
      <c r="ADJ6" s="41"/>
      <c r="ADK6" s="41"/>
      <c r="ADL6" s="41"/>
      <c r="ADM6" s="41"/>
      <c r="ADN6" s="41"/>
      <c r="ADO6" s="41"/>
      <c r="ADP6" s="41"/>
      <c r="ADQ6" s="41"/>
      <c r="ADR6" s="41"/>
      <c r="ADS6" s="41"/>
      <c r="ADT6" s="41"/>
      <c r="ADU6" s="41"/>
      <c r="ADV6" s="41"/>
      <c r="ADW6" s="41"/>
      <c r="ADX6" s="41"/>
      <c r="ADY6" s="41"/>
      <c r="ADZ6" s="41"/>
      <c r="AEA6" s="41"/>
      <c r="AEB6" s="41"/>
      <c r="AEC6" s="41"/>
      <c r="AED6" s="41"/>
      <c r="AEE6" s="41"/>
      <c r="AEF6" s="41"/>
      <c r="AEG6" s="41"/>
      <c r="AEH6" s="41"/>
      <c r="AEI6" s="41"/>
      <c r="AEJ6" s="41"/>
      <c r="AEK6" s="41"/>
      <c r="AEL6" s="41"/>
      <c r="AEM6" s="41"/>
      <c r="AEN6" s="41"/>
      <c r="AEO6" s="41"/>
      <c r="AEP6" s="41"/>
      <c r="AEQ6" s="41"/>
      <c r="AER6" s="41"/>
      <c r="AES6" s="41"/>
      <c r="AET6" s="41"/>
      <c r="AEU6" s="41"/>
      <c r="AEV6" s="41"/>
      <c r="AEW6" s="41"/>
      <c r="AEX6" s="41"/>
      <c r="AEY6" s="41"/>
      <c r="AEZ6" s="41"/>
      <c r="AFA6" s="41"/>
      <c r="AFB6" s="41"/>
      <c r="AFC6" s="41"/>
      <c r="AFD6" s="41"/>
      <c r="AFE6" s="41"/>
      <c r="AFF6" s="41"/>
      <c r="AFG6" s="41"/>
      <c r="AFH6" s="41"/>
      <c r="AFI6" s="41"/>
      <c r="AFJ6" s="41"/>
      <c r="AFK6" s="41"/>
      <c r="AFL6" s="41"/>
      <c r="AFM6" s="41"/>
      <c r="AFN6" s="41"/>
      <c r="AFO6" s="41"/>
      <c r="AFP6" s="41"/>
      <c r="AFQ6" s="41"/>
      <c r="AFR6" s="41"/>
      <c r="AFS6" s="41"/>
      <c r="AFT6" s="41"/>
      <c r="AFU6" s="41"/>
      <c r="AFV6" s="41"/>
      <c r="AFW6" s="41"/>
      <c r="AFX6" s="41"/>
      <c r="AFY6" s="41"/>
      <c r="AFZ6" s="41"/>
      <c r="AGA6" s="41"/>
      <c r="AGB6" s="41"/>
      <c r="AGC6" s="41"/>
      <c r="AGD6" s="41"/>
      <c r="AGE6" s="41"/>
      <c r="AGF6" s="41"/>
      <c r="AGG6" s="41"/>
      <c r="AGH6" s="41"/>
      <c r="AGI6" s="41"/>
      <c r="AGJ6" s="41"/>
      <c r="AGK6" s="41"/>
      <c r="AGL6" s="41"/>
      <c r="AGM6" s="41"/>
      <c r="AGN6" s="41"/>
      <c r="AGO6" s="41"/>
      <c r="AGP6" s="41"/>
      <c r="AGQ6" s="41"/>
      <c r="AGR6" s="41"/>
      <c r="AGS6" s="41"/>
      <c r="AGT6" s="41"/>
      <c r="AGU6" s="41"/>
      <c r="AGV6" s="41"/>
      <c r="AGW6" s="41"/>
      <c r="AGX6" s="41"/>
      <c r="AGY6" s="41"/>
      <c r="AGZ6" s="41"/>
      <c r="AHA6" s="41"/>
      <c r="AHB6" s="41"/>
      <c r="AHC6" s="41"/>
      <c r="AHD6" s="41"/>
      <c r="AHE6" s="41"/>
      <c r="AHF6" s="41"/>
      <c r="AHG6" s="41"/>
      <c r="AHH6" s="41"/>
      <c r="AHI6" s="41"/>
      <c r="AHJ6" s="41"/>
      <c r="AHK6" s="41"/>
      <c r="AHL6" s="41"/>
      <c r="AHM6" s="41"/>
      <c r="AHN6" s="41"/>
      <c r="AHO6" s="41"/>
      <c r="AHP6" s="41"/>
      <c r="AHQ6" s="41"/>
      <c r="AHR6" s="41"/>
      <c r="AHS6" s="41"/>
      <c r="AHT6" s="41"/>
      <c r="AHU6" s="41"/>
      <c r="AHV6" s="41"/>
      <c r="AHW6" s="41"/>
      <c r="AHX6" s="41"/>
      <c r="AHY6" s="41"/>
      <c r="AHZ6" s="41"/>
      <c r="AIA6" s="41"/>
      <c r="AIB6" s="41"/>
      <c r="AIC6" s="41"/>
      <c r="AID6" s="41"/>
      <c r="AIE6" s="41"/>
      <c r="AIF6" s="41"/>
      <c r="AIG6" s="41"/>
      <c r="AIH6" s="41"/>
      <c r="AII6" s="41"/>
      <c r="AIJ6" s="41"/>
      <c r="AIK6" s="41"/>
      <c r="AIL6" s="41"/>
      <c r="AIM6" s="41"/>
      <c r="AIN6" s="41"/>
      <c r="AIO6" s="41"/>
      <c r="AIP6" s="41"/>
      <c r="AIQ6" s="41"/>
      <c r="AIR6" s="41"/>
      <c r="AIS6" s="41"/>
      <c r="AIT6" s="41"/>
      <c r="AIU6" s="41"/>
      <c r="AIV6" s="41"/>
      <c r="AIW6" s="41"/>
      <c r="AIX6" s="41"/>
      <c r="AIY6" s="41"/>
      <c r="AIZ6" s="41"/>
      <c r="AJA6" s="41"/>
      <c r="AJB6" s="41"/>
      <c r="AJC6" s="41"/>
      <c r="AJD6" s="41"/>
      <c r="AJE6" s="41"/>
      <c r="AJF6" s="41"/>
      <c r="AJG6" s="41"/>
      <c r="AJH6" s="41"/>
      <c r="AJI6" s="41"/>
      <c r="AJJ6" s="41"/>
      <c r="AJK6" s="41"/>
      <c r="AJL6" s="41"/>
      <c r="AJM6" s="41"/>
      <c r="AJN6" s="41"/>
      <c r="AJO6" s="41"/>
      <c r="AJP6" s="41"/>
      <c r="AJQ6" s="41"/>
      <c r="AJR6" s="41"/>
      <c r="AJS6" s="41"/>
      <c r="AJT6" s="41"/>
      <c r="AJU6" s="41"/>
      <c r="AJV6" s="41"/>
      <c r="AJW6" s="41"/>
      <c r="AJX6" s="41"/>
      <c r="AJY6" s="41"/>
      <c r="AJZ6" s="41"/>
      <c r="AKA6" s="41"/>
      <c r="AKB6" s="41"/>
      <c r="AKC6" s="41"/>
      <c r="AKD6" s="41"/>
      <c r="AKE6" s="41"/>
      <c r="AKF6" s="41"/>
      <c r="AKG6" s="41"/>
      <c r="AKH6" s="41"/>
      <c r="AKI6" s="41"/>
      <c r="AKJ6" s="41"/>
      <c r="AKK6" s="41"/>
      <c r="AKL6" s="41"/>
      <c r="AKM6" s="41"/>
      <c r="AKN6" s="41"/>
      <c r="AKO6" s="41"/>
      <c r="AKP6" s="41"/>
      <c r="AKQ6" s="41"/>
      <c r="AKR6" s="41"/>
      <c r="AKS6" s="41"/>
      <c r="AKT6" s="41"/>
      <c r="AKU6" s="41"/>
      <c r="AKV6" s="41"/>
      <c r="AKW6" s="41"/>
      <c r="AKX6" s="41"/>
      <c r="AKY6" s="41"/>
      <c r="AKZ6" s="41"/>
      <c r="ALA6" s="41"/>
      <c r="ALB6" s="41"/>
      <c r="ALC6" s="41"/>
      <c r="ALD6" s="41"/>
      <c r="ALE6" s="41"/>
      <c r="ALF6" s="41"/>
      <c r="ALG6" s="41"/>
      <c r="ALH6" s="41"/>
      <c r="ALI6" s="41"/>
      <c r="ALJ6" s="41"/>
      <c r="ALK6" s="41"/>
      <c r="ALL6" s="41"/>
      <c r="ALM6" s="41"/>
      <c r="ALN6" s="41"/>
      <c r="ALO6" s="41"/>
      <c r="ALP6" s="41"/>
      <c r="ALQ6" s="41"/>
      <c r="ALR6" s="41"/>
      <c r="ALS6" s="41"/>
      <c r="ALT6" s="41"/>
      <c r="ALU6" s="41"/>
      <c r="ALV6" s="41"/>
      <c r="ALW6" s="41"/>
      <c r="ALX6" s="41"/>
      <c r="ALY6" s="41"/>
      <c r="ALZ6" s="41"/>
      <c r="AMA6" s="41"/>
      <c r="AMB6" s="41"/>
      <c r="AMC6" s="41"/>
      <c r="AMD6" s="41"/>
      <c r="AME6" s="41"/>
      <c r="AMF6" s="41"/>
      <c r="AMG6" s="41"/>
      <c r="AMH6" s="41"/>
      <c r="AMI6" s="41"/>
      <c r="AMJ6" s="41"/>
      <c r="AMK6" s="41"/>
      <c r="AML6" s="41"/>
    </row>
    <row r="7" ht="15.75" customHeight="1">
      <c r="A7" s="8" t="s">
        <v>34</v>
      </c>
      <c r="B7" s="8" t="s">
        <v>35</v>
      </c>
      <c r="C7" s="8" t="s">
        <v>36</v>
      </c>
      <c r="D7" s="8">
        <v>0.0</v>
      </c>
      <c r="E7" s="8">
        <v>500.0</v>
      </c>
      <c r="F7" s="8" t="s">
        <v>37</v>
      </c>
      <c r="G7" s="8" t="s">
        <v>38</v>
      </c>
      <c r="H7" s="8">
        <v>54.0</v>
      </c>
      <c r="I7" s="8">
        <v>0.0</v>
      </c>
      <c r="J7" s="8">
        <v>15.0</v>
      </c>
      <c r="K7" s="8">
        <v>12.0</v>
      </c>
      <c r="L7" s="8">
        <v>12.0</v>
      </c>
      <c r="M7" s="8" t="s">
        <v>39</v>
      </c>
      <c r="N7" s="8" t="s">
        <v>40</v>
      </c>
      <c r="O7" s="8" t="s">
        <v>41</v>
      </c>
      <c r="Q7">
        <v>3.0</v>
      </c>
      <c r="R7">
        <v>0.0</v>
      </c>
      <c r="S7" t="s">
        <v>42</v>
      </c>
      <c r="T7">
        <v>0.0</v>
      </c>
      <c r="U7">
        <v>0.0</v>
      </c>
      <c r="V7" t="s">
        <v>43</v>
      </c>
      <c r="W7">
        <v>1.0</v>
      </c>
      <c r="X7">
        <v>0.0</v>
      </c>
      <c r="Y7" t="s">
        <v>34</v>
      </c>
      <c r="Z7" t="s">
        <v>44</v>
      </c>
      <c r="AA7" t="s">
        <v>45</v>
      </c>
      <c r="AB7">
        <v>1.0</v>
      </c>
      <c r="AC7" t="s">
        <v>46</v>
      </c>
      <c r="AE7">
        <v>500.0</v>
      </c>
      <c r="AF7" t="s">
        <v>34</v>
      </c>
      <c r="AH7" t="s">
        <v>47</v>
      </c>
      <c r="AI7">
        <v>1.0</v>
      </c>
      <c r="AJ7" t="s">
        <v>48</v>
      </c>
      <c r="AM7" t="s">
        <v>49</v>
      </c>
      <c r="AN7" t="b">
        <v>0</v>
      </c>
      <c r="AP7" t="b">
        <v>0</v>
      </c>
      <c r="AQ7" t="b">
        <v>0</v>
      </c>
      <c r="AR7" t="b">
        <v>1</v>
      </c>
      <c r="AS7">
        <v>0.0</v>
      </c>
      <c r="AT7">
        <v>6056.05</v>
      </c>
      <c r="AU7">
        <v>6056.05</v>
      </c>
      <c r="AW7">
        <v>0.0</v>
      </c>
      <c r="AX7">
        <v>0.0</v>
      </c>
      <c r="AY7" t="s">
        <v>50</v>
      </c>
      <c r="AZ7">
        <v>0.0</v>
      </c>
      <c r="BC7">
        <v>0.0</v>
      </c>
      <c r="BD7" t="s">
        <v>51</v>
      </c>
      <c r="BE7">
        <v>6000.0</v>
      </c>
      <c r="BF7">
        <v>6000.0</v>
      </c>
      <c r="BJ7">
        <v>1001.0</v>
      </c>
      <c r="BK7">
        <v>0.0</v>
      </c>
      <c r="BL7" t="s">
        <v>34</v>
      </c>
      <c r="BM7" t="s">
        <v>44</v>
      </c>
      <c r="BO7" t="s">
        <v>18</v>
      </c>
      <c r="BP7">
        <v>0.0</v>
      </c>
      <c r="BQ7">
        <v>0.0</v>
      </c>
      <c r="BR7">
        <v>1.05</v>
      </c>
      <c r="BS7" t="s">
        <v>52</v>
      </c>
      <c r="BT7" t="s">
        <v>16</v>
      </c>
      <c r="BU7">
        <v>1.0</v>
      </c>
      <c r="BV7">
        <v>0.0</v>
      </c>
      <c r="BW7">
        <v>56.05</v>
      </c>
      <c r="BX7">
        <v>0.0</v>
      </c>
      <c r="CF7" t="s">
        <v>53</v>
      </c>
      <c r="CG7">
        <v>0.0</v>
      </c>
      <c r="CH7" t="s">
        <v>12</v>
      </c>
      <c r="CI7" t="s">
        <v>18</v>
      </c>
      <c r="CJ7">
        <v>0.0</v>
      </c>
      <c r="CK7" t="s">
        <v>54</v>
      </c>
      <c r="CL7">
        <v>1.0</v>
      </c>
      <c r="CM7" t="s">
        <v>16</v>
      </c>
      <c r="CN7" t="s">
        <v>30</v>
      </c>
      <c r="CO7" t="s">
        <v>55</v>
      </c>
      <c r="CP7" t="s">
        <v>56</v>
      </c>
      <c r="CS7" t="s">
        <v>34</v>
      </c>
      <c r="CW7">
        <v>0.0</v>
      </c>
      <c r="CX7" t="s">
        <v>57</v>
      </c>
      <c r="CY7" t="s">
        <v>34</v>
      </c>
      <c r="CZ7" t="s">
        <v>34</v>
      </c>
      <c r="DA7" t="s">
        <v>34</v>
      </c>
      <c r="DB7" t="s">
        <v>34</v>
      </c>
      <c r="DC7" t="s">
        <v>34</v>
      </c>
      <c r="DD7" t="s">
        <v>34</v>
      </c>
      <c r="DE7" t="s">
        <v>34</v>
      </c>
      <c r="DF7" t="s">
        <v>34</v>
      </c>
      <c r="DG7" t="s">
        <v>34</v>
      </c>
      <c r="DH7" t="s">
        <v>34</v>
      </c>
      <c r="DI7" t="s">
        <v>34</v>
      </c>
      <c r="DJ7" t="s">
        <v>34</v>
      </c>
      <c r="DK7" t="s">
        <v>34</v>
      </c>
      <c r="DL7" t="s">
        <v>34</v>
      </c>
      <c r="DM7" t="s">
        <v>34</v>
      </c>
      <c r="DN7" t="s">
        <v>34</v>
      </c>
      <c r="DO7" t="s">
        <v>34</v>
      </c>
      <c r="DP7" t="s">
        <v>34</v>
      </c>
      <c r="DQ7" t="s">
        <v>34</v>
      </c>
      <c r="DR7" t="s">
        <v>34</v>
      </c>
      <c r="DS7" t="s">
        <v>34</v>
      </c>
      <c r="DT7" t="s">
        <v>34</v>
      </c>
      <c r="DU7" t="s">
        <v>34</v>
      </c>
      <c r="DV7" t="s">
        <v>34</v>
      </c>
      <c r="DW7" t="s">
        <v>34</v>
      </c>
      <c r="DX7" t="s">
        <v>34</v>
      </c>
      <c r="DY7" t="s">
        <v>34</v>
      </c>
      <c r="DZ7" t="s">
        <v>34</v>
      </c>
      <c r="EA7" t="s">
        <v>34</v>
      </c>
      <c r="EB7" t="s">
        <v>34</v>
      </c>
      <c r="EC7" t="s">
        <v>34</v>
      </c>
      <c r="ED7" t="s">
        <v>34</v>
      </c>
      <c r="EE7" t="s">
        <v>34</v>
      </c>
      <c r="EF7" t="s">
        <v>34</v>
      </c>
      <c r="EG7" t="s">
        <v>34</v>
      </c>
      <c r="EH7" t="s">
        <v>34</v>
      </c>
      <c r="EI7" t="s">
        <v>34</v>
      </c>
      <c r="EJ7" t="s">
        <v>34</v>
      </c>
      <c r="EK7" t="s">
        <v>34</v>
      </c>
      <c r="EL7" t="s">
        <v>34</v>
      </c>
      <c r="EM7" t="s">
        <v>34</v>
      </c>
      <c r="EN7" t="s">
        <v>34</v>
      </c>
      <c r="EO7" t="s">
        <v>34</v>
      </c>
      <c r="EP7" t="s">
        <v>34</v>
      </c>
      <c r="EQ7" t="s">
        <v>34</v>
      </c>
      <c r="ER7" t="s">
        <v>34</v>
      </c>
      <c r="ES7" t="s">
        <v>34</v>
      </c>
      <c r="ET7" t="s">
        <v>34</v>
      </c>
      <c r="EU7" t="s">
        <v>34</v>
      </c>
      <c r="EV7" t="s">
        <v>34</v>
      </c>
      <c r="EW7" t="s">
        <v>34</v>
      </c>
      <c r="EX7" t="s">
        <v>34</v>
      </c>
      <c r="EY7" t="s">
        <v>34</v>
      </c>
      <c r="EZ7" t="s">
        <v>34</v>
      </c>
      <c r="FA7" t="s">
        <v>34</v>
      </c>
      <c r="FB7" t="s">
        <v>34</v>
      </c>
      <c r="FC7" t="s">
        <v>34</v>
      </c>
      <c r="FD7" t="s">
        <v>34</v>
      </c>
      <c r="FE7" t="s">
        <v>34</v>
      </c>
      <c r="FF7" t="s">
        <v>34</v>
      </c>
      <c r="FG7" t="s">
        <v>34</v>
      </c>
      <c r="FH7" t="s">
        <v>34</v>
      </c>
      <c r="FI7" t="s">
        <v>34</v>
      </c>
      <c r="FJ7" t="s">
        <v>34</v>
      </c>
      <c r="FK7" t="s">
        <v>34</v>
      </c>
      <c r="FL7" t="s">
        <v>34</v>
      </c>
      <c r="FM7" t="s">
        <v>34</v>
      </c>
      <c r="FN7" t="s">
        <v>34</v>
      </c>
      <c r="FO7" t="s">
        <v>34</v>
      </c>
      <c r="FP7" t="s">
        <v>34</v>
      </c>
      <c r="FQ7" t="s">
        <v>34</v>
      </c>
      <c r="FR7" s="41"/>
      <c r="FS7" s="41"/>
      <c r="FT7" s="41"/>
      <c r="FU7" s="41"/>
      <c r="FV7" s="41"/>
      <c r="FW7" s="41"/>
      <c r="FX7" s="41"/>
      <c r="FY7" s="41"/>
      <c r="FZ7" s="41"/>
      <c r="GA7" s="41"/>
      <c r="GB7" s="41"/>
      <c r="GC7" s="41"/>
      <c r="GD7" s="41"/>
      <c r="GE7" s="41"/>
      <c r="GF7" s="41"/>
      <c r="GG7" s="41"/>
      <c r="GH7" s="41"/>
      <c r="GI7" s="41"/>
      <c r="GJ7" s="41"/>
      <c r="GK7" s="41"/>
      <c r="GL7" s="41"/>
      <c r="GM7" s="41"/>
      <c r="GN7" s="41"/>
      <c r="GO7" s="41"/>
      <c r="GP7" s="41"/>
      <c r="GQ7" s="41"/>
      <c r="GR7" s="41"/>
      <c r="GS7" s="41"/>
      <c r="GT7" s="41"/>
      <c r="GU7" s="41"/>
      <c r="GV7" s="41"/>
      <c r="GW7" s="41"/>
      <c r="GX7" s="41"/>
      <c r="GY7" s="41"/>
      <c r="GZ7" s="41"/>
      <c r="HA7" s="41"/>
      <c r="HB7" s="41"/>
      <c r="HC7" s="41"/>
      <c r="HD7" s="41"/>
      <c r="HE7" s="41"/>
      <c r="HF7" s="41"/>
      <c r="HG7" s="41"/>
      <c r="HH7" s="41"/>
      <c r="HI7" s="41"/>
      <c r="HJ7" s="41"/>
      <c r="HK7" s="41"/>
      <c r="HL7" s="41"/>
      <c r="HM7" s="41"/>
      <c r="HN7" s="41"/>
      <c r="HO7" s="41"/>
      <c r="HP7" s="41"/>
      <c r="HQ7" s="41"/>
      <c r="HR7" s="41"/>
      <c r="HS7" s="41"/>
      <c r="HT7" s="41"/>
      <c r="HU7" s="41"/>
      <c r="HV7" s="41"/>
      <c r="HW7" s="41"/>
      <c r="HX7" s="41"/>
      <c r="HY7" s="41"/>
      <c r="HZ7" s="41"/>
      <c r="IA7" s="41"/>
      <c r="IB7" s="41"/>
      <c r="IC7" s="41"/>
      <c r="ID7" s="41"/>
      <c r="IE7" s="41"/>
      <c r="IF7" s="41"/>
      <c r="IG7" s="41"/>
      <c r="IH7" s="41"/>
      <c r="II7" s="41"/>
      <c r="IJ7" s="41"/>
      <c r="IK7" s="41"/>
      <c r="IL7" s="41"/>
      <c r="IM7" s="41"/>
      <c r="IN7" s="41"/>
      <c r="IO7" s="41"/>
      <c r="IP7" s="41"/>
      <c r="IQ7" s="41"/>
      <c r="IR7" s="41"/>
      <c r="IS7" s="41"/>
      <c r="IT7" s="41"/>
      <c r="IU7" s="41"/>
      <c r="IV7" s="41"/>
      <c r="IW7" s="41"/>
      <c r="IX7" s="41"/>
      <c r="IY7" s="41"/>
      <c r="IZ7" s="41"/>
      <c r="JA7" s="41"/>
      <c r="JB7" s="41"/>
      <c r="JC7" s="41"/>
      <c r="JD7" s="41"/>
      <c r="JE7" s="41"/>
      <c r="JF7" s="41"/>
      <c r="JG7" s="41"/>
      <c r="JH7" s="41"/>
      <c r="JI7" s="41"/>
      <c r="JJ7" s="41"/>
      <c r="JK7" s="41"/>
      <c r="JL7" s="41"/>
      <c r="JM7" s="41"/>
      <c r="JN7" s="41"/>
      <c r="JO7" s="41"/>
      <c r="JP7" s="41"/>
      <c r="JQ7" s="41"/>
      <c r="JR7" s="41"/>
      <c r="JS7" s="41"/>
      <c r="JT7" s="41"/>
      <c r="JU7" s="41"/>
      <c r="JV7" s="41"/>
      <c r="JW7" s="41"/>
      <c r="JX7" s="41"/>
      <c r="JY7" s="41"/>
      <c r="JZ7" s="41"/>
      <c r="KA7" s="41"/>
      <c r="KB7" s="41"/>
      <c r="KC7" s="41"/>
      <c r="KD7" s="41"/>
      <c r="KE7" s="41"/>
      <c r="KF7" s="41"/>
      <c r="KG7" s="41"/>
      <c r="KH7" s="41"/>
      <c r="KI7" s="41"/>
      <c r="KJ7" s="41"/>
      <c r="KK7" s="41"/>
      <c r="KL7" s="41"/>
      <c r="KM7" s="41"/>
      <c r="KN7" s="41"/>
      <c r="KO7" s="41"/>
      <c r="KP7" s="41"/>
      <c r="KQ7" s="41"/>
      <c r="KR7" s="41"/>
      <c r="KS7" s="41"/>
      <c r="KT7" s="41"/>
      <c r="KU7" s="41"/>
      <c r="KV7" s="41"/>
      <c r="KW7" s="41"/>
      <c r="KX7" s="41"/>
      <c r="KY7" s="41"/>
      <c r="KZ7" s="41"/>
      <c r="LA7" s="41"/>
      <c r="LB7" s="41"/>
      <c r="LC7" s="41"/>
      <c r="LD7" s="41"/>
      <c r="LE7" s="41"/>
      <c r="LF7" s="41"/>
      <c r="LG7" s="41"/>
      <c r="LH7" s="41"/>
      <c r="LI7" s="41"/>
      <c r="LJ7" s="41"/>
      <c r="LK7" s="41"/>
      <c r="LL7" s="41"/>
      <c r="LM7" s="41"/>
      <c r="LN7" s="41"/>
      <c r="LO7" s="41"/>
      <c r="LP7" s="41"/>
      <c r="LQ7" s="41"/>
      <c r="LR7" s="41"/>
      <c r="LS7" s="41"/>
      <c r="LT7" s="41"/>
      <c r="LU7" s="41"/>
      <c r="LV7" s="41"/>
      <c r="LW7" s="41"/>
      <c r="LX7" s="41"/>
      <c r="LY7" s="41"/>
      <c r="LZ7" s="41"/>
      <c r="MA7" s="41"/>
      <c r="MB7" s="41"/>
      <c r="MC7" s="41"/>
      <c r="MD7" s="41"/>
      <c r="ME7" s="41"/>
      <c r="MF7" s="41"/>
      <c r="MG7" s="41"/>
      <c r="MH7" s="41"/>
      <c r="MI7" s="41"/>
      <c r="MJ7" s="41"/>
      <c r="MK7" s="41"/>
      <c r="ML7" s="41"/>
      <c r="MM7" s="41"/>
      <c r="MN7" s="41"/>
      <c r="MO7" s="41"/>
      <c r="MP7" s="41"/>
      <c r="MQ7" s="41"/>
      <c r="MR7" s="41"/>
      <c r="MS7" s="41"/>
      <c r="MT7" s="41"/>
      <c r="MU7" s="41"/>
      <c r="MV7" s="41"/>
      <c r="MW7" s="41"/>
      <c r="MX7" s="41"/>
      <c r="MY7" s="41"/>
      <c r="MZ7" s="41"/>
      <c r="NA7" s="41"/>
      <c r="NB7" s="41"/>
      <c r="NC7" s="41"/>
      <c r="ND7" s="41"/>
      <c r="NE7" s="41"/>
      <c r="NF7" s="41"/>
      <c r="NG7" s="41"/>
      <c r="NH7" s="41"/>
      <c r="NI7" s="41"/>
      <c r="NJ7" s="41"/>
      <c r="NK7" s="41"/>
      <c r="NL7" s="41"/>
      <c r="NM7" s="41"/>
      <c r="NN7" s="41"/>
      <c r="NO7" s="41"/>
      <c r="NP7" s="41"/>
      <c r="NQ7" s="41"/>
      <c r="NR7" s="41"/>
      <c r="NS7" s="41"/>
      <c r="NT7" s="41"/>
      <c r="NU7" s="41"/>
      <c r="NV7" s="41"/>
      <c r="NW7" s="41"/>
      <c r="NX7" s="41"/>
      <c r="NY7" s="41"/>
      <c r="NZ7" s="41"/>
      <c r="OA7" s="41"/>
      <c r="OB7" s="41"/>
      <c r="OC7" s="41"/>
      <c r="OD7" s="41"/>
      <c r="OE7" s="41"/>
      <c r="OF7" s="41"/>
      <c r="OG7" s="41"/>
      <c r="OH7" s="41"/>
      <c r="OI7" s="41"/>
      <c r="OJ7" s="41"/>
      <c r="OK7" s="41"/>
      <c r="OL7" s="41"/>
      <c r="OM7" s="41"/>
      <c r="ON7" s="41"/>
      <c r="OO7" s="41"/>
      <c r="OP7" s="41"/>
      <c r="OQ7" s="41"/>
      <c r="OR7" s="41"/>
      <c r="OS7" s="41"/>
      <c r="OT7" s="41"/>
      <c r="OU7" s="41"/>
      <c r="OV7" s="41"/>
      <c r="OW7" s="41"/>
      <c r="OX7" s="41"/>
      <c r="OY7" s="41"/>
      <c r="OZ7" s="41"/>
      <c r="PA7" s="41"/>
      <c r="PB7" s="41"/>
      <c r="PC7" s="41"/>
      <c r="PD7" s="41"/>
      <c r="PE7" s="41"/>
      <c r="PF7" s="41"/>
      <c r="PG7" s="41"/>
      <c r="PH7" s="41"/>
      <c r="PI7" s="41"/>
      <c r="PJ7" s="41"/>
      <c r="PK7" s="41"/>
      <c r="PL7" s="41"/>
      <c r="PM7" s="41"/>
      <c r="PN7" s="41"/>
      <c r="PO7" s="41"/>
      <c r="PP7" s="41"/>
      <c r="PQ7" s="41"/>
      <c r="PR7" s="41"/>
      <c r="PS7" s="41"/>
      <c r="PT7" s="41"/>
      <c r="PU7" s="41"/>
      <c r="PV7" s="41"/>
      <c r="PW7" s="41"/>
      <c r="PX7" s="41"/>
      <c r="PY7" s="41"/>
      <c r="PZ7" s="41"/>
      <c r="QA7" s="41"/>
      <c r="QB7" s="41"/>
      <c r="QC7" s="41"/>
      <c r="QD7" s="41"/>
      <c r="QE7" s="41"/>
      <c r="QF7" s="41"/>
      <c r="QG7" s="41"/>
      <c r="QH7" s="41"/>
      <c r="QI7" s="41"/>
      <c r="QJ7" s="41"/>
      <c r="QK7" s="41"/>
      <c r="QL7" s="41"/>
      <c r="QM7" s="41"/>
      <c r="QN7" s="41"/>
      <c r="QO7" s="41"/>
      <c r="QP7" s="41"/>
      <c r="QQ7" s="41"/>
      <c r="QR7" s="41"/>
      <c r="QS7" s="41"/>
      <c r="QT7" s="41"/>
      <c r="QU7" s="41"/>
      <c r="QV7" s="41"/>
      <c r="QW7" s="41"/>
      <c r="QX7" s="41"/>
      <c r="QY7" s="41"/>
      <c r="QZ7" s="41"/>
      <c r="RA7" s="41"/>
      <c r="RB7" s="41"/>
      <c r="RC7" s="41"/>
      <c r="RD7" s="41"/>
      <c r="RE7" s="41"/>
      <c r="RF7" s="41"/>
      <c r="RG7" s="41"/>
      <c r="RH7" s="41"/>
      <c r="RI7" s="41"/>
      <c r="RJ7" s="41"/>
      <c r="RK7" s="41"/>
      <c r="RL7" s="41"/>
      <c r="RM7" s="41"/>
      <c r="RN7" s="41"/>
      <c r="RO7" s="41"/>
      <c r="RP7" s="41"/>
      <c r="RQ7" s="41"/>
      <c r="RR7" s="41"/>
      <c r="RS7" s="41"/>
      <c r="RT7" s="41"/>
      <c r="RU7" s="41"/>
      <c r="RV7" s="41"/>
      <c r="RW7" s="41"/>
      <c r="RX7" s="41"/>
      <c r="RY7" s="41"/>
      <c r="RZ7" s="41"/>
      <c r="SA7" s="41"/>
      <c r="SB7" s="41"/>
      <c r="SC7" s="41"/>
      <c r="SD7" s="41"/>
      <c r="SE7" s="41"/>
      <c r="SF7" s="41"/>
      <c r="SG7" s="41"/>
      <c r="SH7" s="41"/>
      <c r="SI7" s="41"/>
      <c r="SJ7" s="41"/>
      <c r="SK7" s="41"/>
      <c r="SL7" s="41"/>
      <c r="SM7" s="41"/>
      <c r="SN7" s="41"/>
      <c r="SO7" s="41"/>
      <c r="SP7" s="41"/>
      <c r="SQ7" s="41"/>
      <c r="SR7" s="41"/>
      <c r="SS7" s="41"/>
      <c r="ST7" s="41"/>
      <c r="SU7" s="41"/>
      <c r="SV7" s="41"/>
      <c r="SW7" s="41"/>
      <c r="SX7" s="41"/>
      <c r="SY7" s="41"/>
      <c r="SZ7" s="41"/>
      <c r="TA7" s="41"/>
      <c r="TB7" s="41"/>
      <c r="TC7" s="41"/>
      <c r="TD7" s="41"/>
      <c r="TE7" s="41"/>
      <c r="TF7" s="41"/>
      <c r="TG7" s="41"/>
      <c r="TH7" s="41"/>
      <c r="TI7" s="41"/>
      <c r="TJ7" s="41"/>
      <c r="TK7" s="41"/>
      <c r="TL7" s="41"/>
      <c r="TM7" s="41"/>
      <c r="TN7" s="41"/>
      <c r="TO7" s="41"/>
      <c r="TP7" s="41"/>
      <c r="TQ7" s="41"/>
      <c r="TR7" s="41"/>
      <c r="TS7" s="41"/>
      <c r="TT7" s="41"/>
      <c r="TU7" s="41"/>
      <c r="TV7" s="41"/>
      <c r="TW7" s="41"/>
      <c r="TX7" s="41"/>
      <c r="TY7" s="41"/>
      <c r="TZ7" s="41"/>
      <c r="UA7" s="41"/>
      <c r="UB7" s="41"/>
      <c r="UC7" s="41"/>
      <c r="UD7" s="41"/>
      <c r="UE7" s="41"/>
      <c r="UF7" s="41"/>
      <c r="UG7" s="41"/>
      <c r="UH7" s="41"/>
      <c r="UI7" s="41"/>
      <c r="UJ7" s="41"/>
      <c r="UK7" s="41"/>
      <c r="UL7" s="41"/>
      <c r="UM7" s="41"/>
      <c r="UN7" s="41"/>
      <c r="UO7" s="41"/>
      <c r="UP7" s="41"/>
      <c r="UQ7" s="41"/>
      <c r="UR7" s="41"/>
      <c r="US7" s="41"/>
      <c r="UT7" s="41"/>
      <c r="UU7" s="41"/>
      <c r="UV7" s="41"/>
      <c r="UW7" s="41"/>
      <c r="UX7" s="41"/>
      <c r="UY7" s="41"/>
      <c r="UZ7" s="41"/>
      <c r="VA7" s="41"/>
      <c r="VB7" s="41"/>
      <c r="VC7" s="41"/>
      <c r="VD7" s="41"/>
      <c r="VE7" s="41"/>
      <c r="VF7" s="41"/>
      <c r="VG7" s="41"/>
      <c r="VH7" s="41"/>
      <c r="VI7" s="41"/>
      <c r="VJ7" s="41"/>
      <c r="VK7" s="41"/>
      <c r="VL7" s="41"/>
      <c r="VM7" s="41"/>
      <c r="VN7" s="41"/>
      <c r="VO7" s="41"/>
      <c r="VP7" s="41"/>
      <c r="VQ7" s="41"/>
      <c r="VR7" s="41"/>
      <c r="VS7" s="41"/>
      <c r="VT7" s="41"/>
      <c r="VU7" s="41"/>
      <c r="VV7" s="41"/>
      <c r="VW7" s="41"/>
      <c r="VX7" s="41"/>
      <c r="VY7" s="41"/>
      <c r="VZ7" s="41"/>
      <c r="WA7" s="41"/>
      <c r="WB7" s="41"/>
      <c r="WC7" s="41"/>
      <c r="WD7" s="41"/>
      <c r="WE7" s="41"/>
      <c r="WF7" s="41"/>
      <c r="WG7" s="41"/>
      <c r="WH7" s="41"/>
      <c r="WI7" s="41"/>
      <c r="WJ7" s="41"/>
      <c r="WK7" s="41"/>
      <c r="WL7" s="41"/>
      <c r="WM7" s="41"/>
      <c r="WN7" s="41"/>
      <c r="WO7" s="41"/>
      <c r="WP7" s="41"/>
      <c r="WQ7" s="41"/>
      <c r="WR7" s="41"/>
      <c r="WS7" s="41"/>
      <c r="WT7" s="41"/>
      <c r="WU7" s="41"/>
      <c r="WV7" s="41"/>
      <c r="WW7" s="41"/>
      <c r="WX7" s="41"/>
      <c r="WY7" s="41"/>
      <c r="WZ7" s="41"/>
      <c r="XA7" s="41"/>
      <c r="XB7" s="41"/>
      <c r="XC7" s="41"/>
      <c r="XD7" s="41"/>
      <c r="XE7" s="41"/>
      <c r="XF7" s="41"/>
      <c r="XG7" s="41"/>
      <c r="XH7" s="41"/>
      <c r="XI7" s="41"/>
      <c r="XJ7" s="41"/>
      <c r="XK7" s="41"/>
      <c r="XL7" s="41"/>
      <c r="XM7" s="41"/>
      <c r="XN7" s="41"/>
      <c r="XO7" s="41"/>
      <c r="XP7" s="41"/>
      <c r="XQ7" s="41"/>
      <c r="XR7" s="41"/>
      <c r="XS7" s="41"/>
      <c r="XT7" s="41"/>
      <c r="XU7" s="41"/>
      <c r="XV7" s="41"/>
      <c r="XW7" s="41"/>
      <c r="XX7" s="41"/>
      <c r="XY7" s="41"/>
      <c r="XZ7" s="41"/>
      <c r="YA7" s="41"/>
      <c r="YB7" s="41"/>
      <c r="YC7" s="41"/>
      <c r="YD7" s="41"/>
      <c r="YE7" s="41"/>
      <c r="YF7" s="41"/>
      <c r="YG7" s="41"/>
      <c r="YH7" s="41"/>
      <c r="YI7" s="41"/>
      <c r="YJ7" s="41"/>
      <c r="YK7" s="41"/>
      <c r="YL7" s="41"/>
      <c r="YM7" s="41"/>
      <c r="YN7" s="41"/>
      <c r="YO7" s="41"/>
      <c r="YP7" s="41"/>
      <c r="YQ7" s="41"/>
      <c r="YR7" s="41"/>
      <c r="YS7" s="41"/>
      <c r="YT7" s="41"/>
      <c r="YU7" s="41"/>
      <c r="YV7" s="41"/>
      <c r="YW7" s="41"/>
      <c r="YX7" s="41"/>
      <c r="YY7" s="41"/>
      <c r="YZ7" s="41"/>
      <c r="ZA7" s="41"/>
      <c r="ZB7" s="41"/>
      <c r="ZC7" s="41"/>
      <c r="ZD7" s="41"/>
      <c r="ZE7" s="41"/>
      <c r="ZF7" s="41"/>
      <c r="ZG7" s="41"/>
      <c r="ZH7" s="41"/>
      <c r="ZI7" s="41"/>
      <c r="ZJ7" s="41"/>
      <c r="ZK7" s="41"/>
      <c r="ZL7" s="41"/>
      <c r="ZM7" s="41"/>
      <c r="ZN7" s="41"/>
      <c r="ZO7" s="41"/>
      <c r="ZP7" s="41"/>
      <c r="ZQ7" s="41"/>
      <c r="ZR7" s="41"/>
      <c r="ZS7" s="41"/>
      <c r="ZT7" s="41"/>
      <c r="ZU7" s="41"/>
      <c r="ZV7" s="41"/>
      <c r="ZW7" s="41"/>
      <c r="ZX7" s="41"/>
      <c r="ZY7" s="41"/>
      <c r="ZZ7" s="41"/>
      <c r="AAA7" s="41"/>
      <c r="AAB7" s="41"/>
      <c r="AAC7" s="41"/>
      <c r="AAD7" s="41"/>
      <c r="AAE7" s="41"/>
      <c r="AAF7" s="41"/>
      <c r="AAG7" s="41"/>
      <c r="AAH7" s="41"/>
      <c r="AAI7" s="41"/>
      <c r="AAJ7" s="41"/>
      <c r="AAK7" s="41"/>
      <c r="AAL7" s="41"/>
      <c r="AAM7" s="41"/>
      <c r="AAN7" s="41"/>
      <c r="AAO7" s="41"/>
      <c r="AAP7" s="41"/>
      <c r="AAQ7" s="41"/>
      <c r="AAR7" s="41"/>
      <c r="AAS7" s="41"/>
      <c r="AAT7" s="41"/>
      <c r="AAU7" s="41"/>
      <c r="AAV7" s="41"/>
      <c r="AAW7" s="41"/>
      <c r="AAX7" s="41"/>
      <c r="AAY7" s="41"/>
      <c r="AAZ7" s="41"/>
      <c r="ABA7" s="41"/>
      <c r="ABB7" s="41"/>
      <c r="ABC7" s="41"/>
      <c r="ABD7" s="41"/>
      <c r="ABE7" s="41"/>
      <c r="ABF7" s="41"/>
      <c r="ABG7" s="41"/>
      <c r="ABH7" s="41"/>
      <c r="ABI7" s="41"/>
      <c r="ABJ7" s="41"/>
      <c r="ABK7" s="41"/>
      <c r="ABL7" s="41"/>
      <c r="ABM7" s="41"/>
      <c r="ABN7" s="41"/>
      <c r="ABO7" s="41"/>
      <c r="ABP7" s="41"/>
      <c r="ABQ7" s="41"/>
      <c r="ABR7" s="41"/>
      <c r="ABS7" s="41"/>
      <c r="ABT7" s="41"/>
      <c r="ABU7" s="41"/>
      <c r="ABV7" s="41"/>
      <c r="ABW7" s="41"/>
      <c r="ABX7" s="41"/>
      <c r="ABY7" s="41"/>
      <c r="ABZ7" s="41"/>
      <c r="ACA7" s="41"/>
      <c r="ACB7" s="41"/>
      <c r="ACC7" s="41"/>
      <c r="ACD7" s="41"/>
      <c r="ACE7" s="41"/>
      <c r="ACF7" s="41"/>
      <c r="ACG7" s="41"/>
      <c r="ACH7" s="41"/>
      <c r="ACI7" s="41"/>
      <c r="ACJ7" s="41"/>
      <c r="ACK7" s="41"/>
      <c r="ACL7" s="41"/>
      <c r="ACM7" s="41"/>
      <c r="ACN7" s="41"/>
      <c r="ACO7" s="41"/>
      <c r="ACP7" s="41"/>
      <c r="ACQ7" s="41"/>
      <c r="ACR7" s="41"/>
      <c r="ACS7" s="41"/>
      <c r="ACT7" s="41"/>
      <c r="ACU7" s="41"/>
      <c r="ACV7" s="41"/>
      <c r="ACW7" s="41"/>
      <c r="ACX7" s="41"/>
      <c r="ACY7" s="41"/>
      <c r="ACZ7" s="41"/>
      <c r="ADA7" s="41"/>
      <c r="ADB7" s="41"/>
      <c r="ADC7" s="41"/>
      <c r="ADD7" s="41"/>
      <c r="ADE7" s="41"/>
      <c r="ADF7" s="41"/>
      <c r="ADG7" s="41"/>
      <c r="ADH7" s="41"/>
      <c r="ADI7" s="41"/>
      <c r="ADJ7" s="41"/>
      <c r="ADK7" s="41"/>
      <c r="ADL7" s="41"/>
      <c r="ADM7" s="41"/>
      <c r="ADN7" s="41"/>
      <c r="ADO7" s="41"/>
      <c r="ADP7" s="41"/>
      <c r="ADQ7" s="41"/>
      <c r="ADR7" s="41"/>
      <c r="ADS7" s="41"/>
      <c r="ADT7" s="41"/>
      <c r="ADU7" s="41"/>
      <c r="ADV7" s="41"/>
      <c r="ADW7" s="41"/>
      <c r="ADX7" s="41"/>
      <c r="ADY7" s="41"/>
      <c r="ADZ7" s="41"/>
      <c r="AEA7" s="41"/>
      <c r="AEB7" s="41"/>
      <c r="AEC7" s="41"/>
      <c r="AED7" s="41"/>
      <c r="AEE7" s="41"/>
      <c r="AEF7" s="41"/>
      <c r="AEG7" s="41"/>
      <c r="AEH7" s="41"/>
      <c r="AEI7" s="41"/>
      <c r="AEJ7" s="41"/>
      <c r="AEK7" s="41"/>
      <c r="AEL7" s="41"/>
      <c r="AEM7" s="41"/>
      <c r="AEN7" s="41"/>
      <c r="AEO7" s="41"/>
      <c r="AEP7" s="41"/>
      <c r="AEQ7" s="41"/>
      <c r="AER7" s="41"/>
      <c r="AES7" s="41"/>
      <c r="AET7" s="41"/>
      <c r="AEU7" s="41"/>
      <c r="AEV7" s="41"/>
      <c r="AEW7" s="41"/>
      <c r="AEX7" s="41"/>
      <c r="AEY7" s="41"/>
      <c r="AEZ7" s="41"/>
      <c r="AFA7" s="41"/>
      <c r="AFB7" s="41"/>
      <c r="AFC7" s="41"/>
      <c r="AFD7" s="41"/>
      <c r="AFE7" s="41"/>
      <c r="AFF7" s="41"/>
      <c r="AFG7" s="41"/>
      <c r="AFH7" s="41"/>
      <c r="AFI7" s="41"/>
      <c r="AFJ7" s="41"/>
      <c r="AFK7" s="41"/>
      <c r="AFL7" s="41"/>
      <c r="AFM7" s="41"/>
      <c r="AFN7" s="41"/>
      <c r="AFO7" s="41"/>
      <c r="AFP7" s="41"/>
      <c r="AFQ7" s="41"/>
      <c r="AFR7" s="41"/>
      <c r="AFS7" s="41"/>
      <c r="AFT7" s="41"/>
      <c r="AFU7" s="41"/>
      <c r="AFV7" s="41"/>
      <c r="AFW7" s="41"/>
      <c r="AFX7" s="41"/>
      <c r="AFY7" s="41"/>
      <c r="AFZ7" s="41"/>
      <c r="AGA7" s="41"/>
      <c r="AGB7" s="41"/>
      <c r="AGC7" s="41"/>
      <c r="AGD7" s="41"/>
      <c r="AGE7" s="41"/>
      <c r="AGF7" s="41"/>
      <c r="AGG7" s="41"/>
      <c r="AGH7" s="41"/>
      <c r="AGI7" s="41"/>
      <c r="AGJ7" s="41"/>
      <c r="AGK7" s="41"/>
      <c r="AGL7" s="41"/>
      <c r="AGM7" s="41"/>
      <c r="AGN7" s="41"/>
      <c r="AGO7" s="41"/>
      <c r="AGP7" s="41"/>
      <c r="AGQ7" s="41"/>
      <c r="AGR7" s="41"/>
      <c r="AGS7" s="41"/>
      <c r="AGT7" s="41"/>
      <c r="AGU7" s="41"/>
      <c r="AGV7" s="41"/>
      <c r="AGW7" s="41"/>
      <c r="AGX7" s="41"/>
      <c r="AGY7" s="41"/>
      <c r="AGZ7" s="41"/>
      <c r="AHA7" s="41"/>
      <c r="AHB7" s="41"/>
      <c r="AHC7" s="41"/>
      <c r="AHD7" s="41"/>
      <c r="AHE7" s="41"/>
      <c r="AHF7" s="41"/>
      <c r="AHG7" s="41"/>
      <c r="AHH7" s="41"/>
      <c r="AHI7" s="41"/>
      <c r="AHJ7" s="41"/>
      <c r="AHK7" s="41"/>
      <c r="AHL7" s="41"/>
      <c r="AHM7" s="41"/>
      <c r="AHN7" s="41"/>
      <c r="AHO7" s="41"/>
      <c r="AHP7" s="41"/>
      <c r="AHQ7" s="41"/>
      <c r="AHR7" s="41"/>
      <c r="AHS7" s="41"/>
      <c r="AHT7" s="41"/>
      <c r="AHU7" s="41"/>
      <c r="AHV7" s="41"/>
      <c r="AHW7" s="41"/>
      <c r="AHX7" s="41"/>
      <c r="AHY7" s="41"/>
      <c r="AHZ7" s="41"/>
      <c r="AIA7" s="41"/>
      <c r="AIB7" s="41"/>
      <c r="AIC7" s="41"/>
      <c r="AID7" s="41"/>
      <c r="AIE7" s="41"/>
      <c r="AIF7" s="41"/>
      <c r="AIG7" s="41"/>
      <c r="AIH7" s="41"/>
      <c r="AII7" s="41"/>
      <c r="AIJ7" s="41"/>
      <c r="AIK7" s="41"/>
      <c r="AIL7" s="41"/>
      <c r="AIM7" s="41"/>
      <c r="AIN7" s="41"/>
      <c r="AIO7" s="41"/>
      <c r="AIP7" s="41"/>
      <c r="AIQ7" s="41"/>
      <c r="AIR7" s="41"/>
      <c r="AIS7" s="41"/>
      <c r="AIT7" s="41"/>
      <c r="AIU7" s="41"/>
      <c r="AIV7" s="41"/>
      <c r="AIW7" s="41"/>
      <c r="AIX7" s="41"/>
      <c r="AIY7" s="41"/>
      <c r="AIZ7" s="41"/>
      <c r="AJA7" s="41"/>
      <c r="AJB7" s="41"/>
      <c r="AJC7" s="41"/>
      <c r="AJD7" s="41"/>
      <c r="AJE7" s="41"/>
      <c r="AJF7" s="41"/>
      <c r="AJG7" s="41"/>
      <c r="AJH7" s="41"/>
      <c r="AJI7" s="41"/>
      <c r="AJJ7" s="41"/>
      <c r="AJK7" s="41"/>
      <c r="AJL7" s="41"/>
      <c r="AJM7" s="41"/>
      <c r="AJN7" s="41"/>
      <c r="AJO7" s="41"/>
      <c r="AJP7" s="41"/>
      <c r="AJQ7" s="41"/>
      <c r="AJR7" s="41"/>
      <c r="AJS7" s="41"/>
      <c r="AJT7" s="41"/>
      <c r="AJU7" s="41"/>
      <c r="AJV7" s="41"/>
      <c r="AJW7" s="41"/>
      <c r="AJX7" s="41"/>
      <c r="AJY7" s="41"/>
      <c r="AJZ7" s="41"/>
      <c r="AKA7" s="41"/>
      <c r="AKB7" s="41"/>
      <c r="AKC7" s="41"/>
      <c r="AKD7" s="41"/>
      <c r="AKE7" s="41"/>
      <c r="AKF7" s="41"/>
      <c r="AKG7" s="41"/>
      <c r="AKH7" s="41"/>
      <c r="AKI7" s="41"/>
      <c r="AKJ7" s="41"/>
      <c r="AKK7" s="41"/>
      <c r="AKL7" s="41"/>
      <c r="AKM7" s="41"/>
      <c r="AKN7" s="41"/>
      <c r="AKO7" s="41"/>
      <c r="AKP7" s="41"/>
      <c r="AKQ7" s="41"/>
      <c r="AKR7" s="41"/>
      <c r="AKS7" s="41"/>
      <c r="AKT7" s="41"/>
      <c r="AKU7" s="41"/>
      <c r="AKV7" s="41"/>
      <c r="AKW7" s="41"/>
      <c r="AKX7" s="41"/>
      <c r="AKY7" s="41"/>
      <c r="AKZ7" s="41"/>
      <c r="ALA7" s="41"/>
      <c r="ALB7" s="41"/>
      <c r="ALC7" s="41"/>
      <c r="ALD7" s="41"/>
      <c r="ALE7" s="41"/>
      <c r="ALF7" s="41"/>
      <c r="ALG7" s="41"/>
      <c r="ALH7" s="41"/>
      <c r="ALI7" s="41"/>
      <c r="ALJ7" s="41"/>
      <c r="ALK7" s="41"/>
      <c r="ALL7" s="41"/>
      <c r="ALM7" s="41"/>
      <c r="ALN7" s="41"/>
      <c r="ALO7" s="41"/>
      <c r="ALP7" s="41"/>
      <c r="ALQ7" s="41"/>
      <c r="ALR7" s="41"/>
      <c r="ALS7" s="41"/>
      <c r="ALT7" s="41"/>
      <c r="ALU7" s="41"/>
      <c r="ALV7" s="41"/>
      <c r="ALW7" s="41"/>
      <c r="ALX7" s="41"/>
      <c r="ALY7" s="41"/>
      <c r="ALZ7" s="41"/>
      <c r="AMA7" s="41"/>
      <c r="AMB7" s="41"/>
      <c r="AMC7" s="41"/>
      <c r="AMD7" s="41"/>
      <c r="AME7" s="41"/>
      <c r="AMF7" s="41"/>
      <c r="AMG7" s="41"/>
      <c r="AMH7" s="41"/>
      <c r="AMI7" s="41"/>
      <c r="AMJ7" s="41"/>
      <c r="AMK7" s="41"/>
      <c r="AML7" s="41"/>
    </row>
    <row r="8" ht="15.75" customHeight="1">
      <c r="A8" s="8" t="s">
        <v>34</v>
      </c>
      <c r="B8" s="8" t="s">
        <v>35</v>
      </c>
      <c r="C8" s="8" t="s">
        <v>36</v>
      </c>
      <c r="D8" s="8">
        <v>0.0</v>
      </c>
      <c r="E8" s="8">
        <v>700.0</v>
      </c>
      <c r="F8" s="8" t="s">
        <v>37</v>
      </c>
      <c r="G8" s="8" t="s">
        <v>38</v>
      </c>
      <c r="H8" s="8">
        <v>76.0</v>
      </c>
      <c r="I8" s="8">
        <v>0.0</v>
      </c>
      <c r="J8" s="8">
        <v>15.0</v>
      </c>
      <c r="K8" s="8">
        <v>12.0</v>
      </c>
      <c r="L8" s="8">
        <v>12.0</v>
      </c>
      <c r="M8" s="8" t="s">
        <v>39</v>
      </c>
      <c r="N8" s="8" t="s">
        <v>40</v>
      </c>
      <c r="O8" s="8" t="s">
        <v>41</v>
      </c>
      <c r="Q8">
        <v>3.0</v>
      </c>
      <c r="R8">
        <v>0.0</v>
      </c>
      <c r="S8" t="s">
        <v>42</v>
      </c>
      <c r="T8">
        <v>0.0</v>
      </c>
      <c r="U8">
        <v>0.0</v>
      </c>
      <c r="V8" t="s">
        <v>43</v>
      </c>
      <c r="W8">
        <v>1.0</v>
      </c>
      <c r="X8">
        <v>0.0</v>
      </c>
      <c r="Y8" t="s">
        <v>34</v>
      </c>
      <c r="Z8" t="s">
        <v>44</v>
      </c>
      <c r="AA8" t="s">
        <v>45</v>
      </c>
      <c r="AB8">
        <v>1.0</v>
      </c>
      <c r="AD8" t="s">
        <v>58</v>
      </c>
      <c r="AE8">
        <v>700.0</v>
      </c>
      <c r="AF8" t="s">
        <v>34</v>
      </c>
      <c r="AH8" t="s">
        <v>47</v>
      </c>
      <c r="AI8">
        <v>1.0</v>
      </c>
      <c r="AJ8" t="s">
        <v>48</v>
      </c>
      <c r="AM8" t="s">
        <v>49</v>
      </c>
      <c r="AN8" t="b">
        <v>0</v>
      </c>
      <c r="AP8" t="b">
        <v>0</v>
      </c>
      <c r="AQ8" t="b">
        <v>0</v>
      </c>
      <c r="AR8" t="b">
        <v>1</v>
      </c>
      <c r="AS8">
        <v>0.0</v>
      </c>
      <c r="AT8">
        <v>8478.47</v>
      </c>
      <c r="AU8">
        <v>8478.47</v>
      </c>
      <c r="AW8">
        <v>0.0</v>
      </c>
      <c r="AX8">
        <v>0.0</v>
      </c>
      <c r="AY8" t="s">
        <v>50</v>
      </c>
      <c r="AZ8">
        <v>0.0</v>
      </c>
      <c r="BC8">
        <v>0.0</v>
      </c>
      <c r="BD8" t="s">
        <v>51</v>
      </c>
      <c r="BE8">
        <v>8400.0</v>
      </c>
      <c r="BF8">
        <v>8400.0</v>
      </c>
      <c r="BJ8">
        <v>1000.0</v>
      </c>
      <c r="BK8">
        <v>0.0</v>
      </c>
      <c r="BL8" t="s">
        <v>34</v>
      </c>
      <c r="BM8" t="s">
        <v>44</v>
      </c>
      <c r="BO8" t="s">
        <v>18</v>
      </c>
      <c r="BP8">
        <v>0.0</v>
      </c>
      <c r="BQ8">
        <v>0.0</v>
      </c>
      <c r="BR8">
        <v>1.47</v>
      </c>
      <c r="BS8" t="s">
        <v>52</v>
      </c>
      <c r="BT8" t="s">
        <v>16</v>
      </c>
      <c r="BU8">
        <v>1.0</v>
      </c>
      <c r="BV8">
        <v>0.0</v>
      </c>
      <c r="BW8">
        <v>78.47</v>
      </c>
      <c r="BX8">
        <v>0.0</v>
      </c>
      <c r="CF8" t="s">
        <v>53</v>
      </c>
      <c r="CG8">
        <v>0.0</v>
      </c>
      <c r="CH8" t="s">
        <v>12</v>
      </c>
      <c r="CI8" t="s">
        <v>18</v>
      </c>
      <c r="CJ8">
        <v>0.0</v>
      </c>
      <c r="CK8" t="s">
        <v>54</v>
      </c>
      <c r="CL8">
        <v>1.0</v>
      </c>
      <c r="CM8" t="s">
        <v>16</v>
      </c>
      <c r="CN8" t="s">
        <v>30</v>
      </c>
      <c r="CO8" t="s">
        <v>55</v>
      </c>
      <c r="CP8" t="s">
        <v>56</v>
      </c>
      <c r="CS8" t="s">
        <v>34</v>
      </c>
      <c r="CW8">
        <v>0.0</v>
      </c>
      <c r="CX8" t="s">
        <v>57</v>
      </c>
      <c r="CY8" t="s">
        <v>34</v>
      </c>
      <c r="CZ8" t="s">
        <v>34</v>
      </c>
      <c r="DA8" t="s">
        <v>34</v>
      </c>
      <c r="DB8" t="s">
        <v>34</v>
      </c>
      <c r="DC8" t="s">
        <v>34</v>
      </c>
      <c r="DD8" t="s">
        <v>34</v>
      </c>
      <c r="DE8" t="s">
        <v>34</v>
      </c>
      <c r="DF8" t="s">
        <v>34</v>
      </c>
      <c r="DG8" t="s">
        <v>34</v>
      </c>
      <c r="DH8" t="s">
        <v>34</v>
      </c>
      <c r="DI8" t="s">
        <v>34</v>
      </c>
      <c r="DJ8" t="s">
        <v>34</v>
      </c>
      <c r="DK8" t="s">
        <v>34</v>
      </c>
      <c r="DL8" t="s">
        <v>34</v>
      </c>
      <c r="DM8" t="s">
        <v>34</v>
      </c>
      <c r="DN8" t="s">
        <v>34</v>
      </c>
      <c r="DO8" t="s">
        <v>34</v>
      </c>
      <c r="DP8" t="s">
        <v>34</v>
      </c>
      <c r="DQ8" t="s">
        <v>34</v>
      </c>
      <c r="DR8" t="s">
        <v>34</v>
      </c>
      <c r="DS8" t="s">
        <v>34</v>
      </c>
      <c r="DT8" t="s">
        <v>34</v>
      </c>
      <c r="DU8" t="s">
        <v>34</v>
      </c>
      <c r="DV8" t="s">
        <v>34</v>
      </c>
      <c r="DW8" t="s">
        <v>34</v>
      </c>
      <c r="DX8" t="s">
        <v>34</v>
      </c>
      <c r="DY8" t="s">
        <v>34</v>
      </c>
      <c r="DZ8" t="s">
        <v>34</v>
      </c>
      <c r="EA8" t="s">
        <v>34</v>
      </c>
      <c r="EB8" t="s">
        <v>34</v>
      </c>
      <c r="EC8" t="s">
        <v>34</v>
      </c>
      <c r="ED8" t="s">
        <v>34</v>
      </c>
      <c r="EE8" t="s">
        <v>34</v>
      </c>
      <c r="EF8" t="s">
        <v>34</v>
      </c>
      <c r="EG8" t="s">
        <v>34</v>
      </c>
      <c r="EH8" t="s">
        <v>34</v>
      </c>
      <c r="EI8" t="s">
        <v>34</v>
      </c>
      <c r="EJ8" t="s">
        <v>34</v>
      </c>
      <c r="EK8" t="s">
        <v>34</v>
      </c>
      <c r="EL8" t="s">
        <v>34</v>
      </c>
      <c r="EM8" t="s">
        <v>34</v>
      </c>
      <c r="EN8" t="s">
        <v>34</v>
      </c>
      <c r="EO8" t="s">
        <v>34</v>
      </c>
      <c r="EP8" t="s">
        <v>34</v>
      </c>
      <c r="EQ8" t="s">
        <v>34</v>
      </c>
      <c r="ER8" t="s">
        <v>34</v>
      </c>
      <c r="ES8" t="s">
        <v>34</v>
      </c>
      <c r="ET8" t="s">
        <v>34</v>
      </c>
      <c r="EU8" t="s">
        <v>34</v>
      </c>
      <c r="EV8" t="s">
        <v>34</v>
      </c>
      <c r="EW8" t="s">
        <v>34</v>
      </c>
      <c r="EX8" t="s">
        <v>34</v>
      </c>
      <c r="EY8" t="s">
        <v>34</v>
      </c>
      <c r="EZ8" t="s">
        <v>34</v>
      </c>
      <c r="FA8" t="s">
        <v>34</v>
      </c>
      <c r="FB8" t="s">
        <v>34</v>
      </c>
      <c r="FC8" t="s">
        <v>34</v>
      </c>
      <c r="FD8" t="s">
        <v>34</v>
      </c>
      <c r="FE8" t="s">
        <v>34</v>
      </c>
      <c r="FF8" t="s">
        <v>34</v>
      </c>
      <c r="FG8" t="s">
        <v>34</v>
      </c>
      <c r="FH8" t="s">
        <v>34</v>
      </c>
      <c r="FI8" t="s">
        <v>34</v>
      </c>
      <c r="FJ8" t="s">
        <v>34</v>
      </c>
      <c r="FK8" t="s">
        <v>34</v>
      </c>
      <c r="FL8" t="s">
        <v>34</v>
      </c>
      <c r="FM8" t="s">
        <v>34</v>
      </c>
      <c r="FN8" t="s">
        <v>34</v>
      </c>
      <c r="FO8" t="s">
        <v>34</v>
      </c>
      <c r="FP8" t="s">
        <v>34</v>
      </c>
      <c r="FQ8" t="s">
        <v>34</v>
      </c>
      <c r="FR8" s="41"/>
      <c r="FS8" s="41"/>
      <c r="FT8" s="41"/>
      <c r="FU8" s="41"/>
      <c r="FV8" s="41"/>
      <c r="FW8" s="41"/>
      <c r="FX8" s="41"/>
      <c r="FY8" s="41"/>
      <c r="FZ8" s="41"/>
      <c r="GA8" s="41"/>
      <c r="GB8" s="41"/>
      <c r="GC8" s="41"/>
      <c r="GD8" s="41"/>
      <c r="GE8" s="41"/>
      <c r="GF8" s="41"/>
      <c r="GG8" s="41"/>
      <c r="GH8" s="41"/>
      <c r="GI8" s="41"/>
      <c r="GJ8" s="41"/>
      <c r="GK8" s="41"/>
      <c r="GL8" s="41"/>
      <c r="GM8" s="41"/>
      <c r="GN8" s="41"/>
      <c r="GO8" s="41"/>
      <c r="GP8" s="41"/>
      <c r="GQ8" s="41"/>
      <c r="GR8" s="41"/>
      <c r="GS8" s="41"/>
      <c r="GT8" s="41"/>
      <c r="GU8" s="41"/>
      <c r="GV8" s="41"/>
      <c r="GW8" s="41"/>
      <c r="GX8" s="41"/>
      <c r="GY8" s="41"/>
      <c r="GZ8" s="41"/>
      <c r="HA8" s="41"/>
      <c r="HB8" s="41"/>
      <c r="HC8" s="41"/>
      <c r="HD8" s="41"/>
      <c r="HE8" s="41"/>
      <c r="HF8" s="41"/>
      <c r="HG8" s="41"/>
      <c r="HH8" s="41"/>
      <c r="HI8" s="41"/>
      <c r="HJ8" s="41"/>
      <c r="HK8" s="41"/>
      <c r="HL8" s="41"/>
      <c r="HM8" s="41"/>
      <c r="HN8" s="41"/>
      <c r="HO8" s="41"/>
      <c r="HP8" s="41"/>
      <c r="HQ8" s="41"/>
      <c r="HR8" s="41"/>
      <c r="HS8" s="41"/>
      <c r="HT8" s="41"/>
      <c r="HU8" s="41"/>
      <c r="HV8" s="41"/>
      <c r="HW8" s="41"/>
      <c r="HX8" s="41"/>
      <c r="HY8" s="41"/>
      <c r="HZ8" s="41"/>
      <c r="IA8" s="41"/>
      <c r="IB8" s="41"/>
      <c r="IC8" s="41"/>
      <c r="ID8" s="41"/>
      <c r="IE8" s="41"/>
      <c r="IF8" s="41"/>
      <c r="IG8" s="41"/>
      <c r="IH8" s="41"/>
      <c r="II8" s="41"/>
      <c r="IJ8" s="41"/>
      <c r="IK8" s="41"/>
      <c r="IL8" s="41"/>
      <c r="IM8" s="41"/>
      <c r="IN8" s="41"/>
      <c r="IO8" s="41"/>
      <c r="IP8" s="41"/>
      <c r="IQ8" s="41"/>
      <c r="IR8" s="41"/>
      <c r="IS8" s="41"/>
      <c r="IT8" s="41"/>
      <c r="IU8" s="41"/>
      <c r="IV8" s="41"/>
      <c r="IW8" s="41"/>
      <c r="IX8" s="41"/>
      <c r="IY8" s="41"/>
      <c r="IZ8" s="41"/>
      <c r="JA8" s="41"/>
      <c r="JB8" s="41"/>
      <c r="JC8" s="41"/>
      <c r="JD8" s="41"/>
      <c r="JE8" s="41"/>
      <c r="JF8" s="41"/>
      <c r="JG8" s="41"/>
      <c r="JH8" s="41"/>
      <c r="JI8" s="41"/>
      <c r="JJ8" s="41"/>
      <c r="JK8" s="41"/>
      <c r="JL8" s="41"/>
      <c r="JM8" s="41"/>
      <c r="JN8" s="41"/>
      <c r="JO8" s="41"/>
      <c r="JP8" s="41"/>
      <c r="JQ8" s="41"/>
      <c r="JR8" s="41"/>
      <c r="JS8" s="41"/>
      <c r="JT8" s="41"/>
      <c r="JU8" s="41"/>
      <c r="JV8" s="41"/>
      <c r="JW8" s="41"/>
      <c r="JX8" s="41"/>
      <c r="JY8" s="41"/>
      <c r="JZ8" s="41"/>
      <c r="KA8" s="41"/>
      <c r="KB8" s="41"/>
      <c r="KC8" s="41"/>
      <c r="KD8" s="41"/>
      <c r="KE8" s="41"/>
      <c r="KF8" s="41"/>
      <c r="KG8" s="41"/>
      <c r="KH8" s="41"/>
      <c r="KI8" s="41"/>
      <c r="KJ8" s="41"/>
      <c r="KK8" s="41"/>
      <c r="KL8" s="41"/>
      <c r="KM8" s="41"/>
      <c r="KN8" s="41"/>
      <c r="KO8" s="41"/>
      <c r="KP8" s="41"/>
      <c r="KQ8" s="41"/>
      <c r="KR8" s="41"/>
      <c r="KS8" s="41"/>
      <c r="KT8" s="41"/>
      <c r="KU8" s="41"/>
      <c r="KV8" s="41"/>
      <c r="KW8" s="41"/>
      <c r="KX8" s="41"/>
      <c r="KY8" s="41"/>
      <c r="KZ8" s="41"/>
      <c r="LA8" s="41"/>
      <c r="LB8" s="41"/>
      <c r="LC8" s="41"/>
      <c r="LD8" s="41"/>
      <c r="LE8" s="41"/>
      <c r="LF8" s="41"/>
      <c r="LG8" s="41"/>
      <c r="LH8" s="41"/>
      <c r="LI8" s="41"/>
      <c r="LJ8" s="41"/>
      <c r="LK8" s="41"/>
      <c r="LL8" s="41"/>
      <c r="LM8" s="41"/>
      <c r="LN8" s="41"/>
      <c r="LO8" s="41"/>
      <c r="LP8" s="41"/>
      <c r="LQ8" s="41"/>
      <c r="LR8" s="41"/>
      <c r="LS8" s="41"/>
      <c r="LT8" s="41"/>
      <c r="LU8" s="41"/>
      <c r="LV8" s="41"/>
      <c r="LW8" s="41"/>
      <c r="LX8" s="41"/>
      <c r="LY8" s="41"/>
      <c r="LZ8" s="41"/>
      <c r="MA8" s="41"/>
      <c r="MB8" s="41"/>
      <c r="MC8" s="41"/>
      <c r="MD8" s="41"/>
      <c r="ME8" s="41"/>
      <c r="MF8" s="41"/>
      <c r="MG8" s="41"/>
      <c r="MH8" s="41"/>
      <c r="MI8" s="41"/>
      <c r="MJ8" s="41"/>
      <c r="MK8" s="41"/>
      <c r="ML8" s="41"/>
      <c r="MM8" s="41"/>
      <c r="MN8" s="41"/>
      <c r="MO8" s="41"/>
      <c r="MP8" s="41"/>
      <c r="MQ8" s="41"/>
      <c r="MR8" s="41"/>
      <c r="MS8" s="41"/>
      <c r="MT8" s="41"/>
      <c r="MU8" s="41"/>
      <c r="MV8" s="41"/>
      <c r="MW8" s="41"/>
      <c r="MX8" s="41"/>
      <c r="MY8" s="41"/>
      <c r="MZ8" s="41"/>
      <c r="NA8" s="41"/>
      <c r="NB8" s="41"/>
      <c r="NC8" s="41"/>
      <c r="ND8" s="41"/>
      <c r="NE8" s="41"/>
      <c r="NF8" s="41"/>
      <c r="NG8" s="41"/>
      <c r="NH8" s="41"/>
      <c r="NI8" s="41"/>
      <c r="NJ8" s="41"/>
      <c r="NK8" s="41"/>
      <c r="NL8" s="41"/>
      <c r="NM8" s="41"/>
      <c r="NN8" s="41"/>
      <c r="NO8" s="41"/>
      <c r="NP8" s="41"/>
      <c r="NQ8" s="41"/>
      <c r="NR8" s="41"/>
      <c r="NS8" s="41"/>
      <c r="NT8" s="41"/>
      <c r="NU8" s="41"/>
      <c r="NV8" s="41"/>
      <c r="NW8" s="41"/>
      <c r="NX8" s="41"/>
      <c r="NY8" s="41"/>
      <c r="NZ8" s="41"/>
      <c r="OA8" s="41"/>
      <c r="OB8" s="41"/>
      <c r="OC8" s="41"/>
      <c r="OD8" s="41"/>
      <c r="OE8" s="41"/>
      <c r="OF8" s="41"/>
      <c r="OG8" s="41"/>
      <c r="OH8" s="41"/>
      <c r="OI8" s="41"/>
      <c r="OJ8" s="41"/>
      <c r="OK8" s="41"/>
      <c r="OL8" s="41"/>
      <c r="OM8" s="41"/>
      <c r="ON8" s="41"/>
      <c r="OO8" s="41"/>
      <c r="OP8" s="41"/>
      <c r="OQ8" s="41"/>
      <c r="OR8" s="41"/>
      <c r="OS8" s="41"/>
      <c r="OT8" s="41"/>
      <c r="OU8" s="41"/>
      <c r="OV8" s="41"/>
      <c r="OW8" s="41"/>
      <c r="OX8" s="41"/>
      <c r="OY8" s="41"/>
      <c r="OZ8" s="41"/>
      <c r="PA8" s="41"/>
      <c r="PB8" s="41"/>
      <c r="PC8" s="41"/>
      <c r="PD8" s="41"/>
      <c r="PE8" s="41"/>
      <c r="PF8" s="41"/>
      <c r="PG8" s="41"/>
      <c r="PH8" s="41"/>
      <c r="PI8" s="41"/>
      <c r="PJ8" s="41"/>
      <c r="PK8" s="41"/>
      <c r="PL8" s="41"/>
      <c r="PM8" s="41"/>
      <c r="PN8" s="41"/>
      <c r="PO8" s="41"/>
      <c r="PP8" s="41"/>
      <c r="PQ8" s="41"/>
      <c r="PR8" s="41"/>
      <c r="PS8" s="41"/>
      <c r="PT8" s="41"/>
      <c r="PU8" s="41"/>
      <c r="PV8" s="41"/>
      <c r="PW8" s="41"/>
      <c r="PX8" s="41"/>
      <c r="PY8" s="41"/>
      <c r="PZ8" s="41"/>
      <c r="QA8" s="41"/>
      <c r="QB8" s="41"/>
      <c r="QC8" s="41"/>
      <c r="QD8" s="41"/>
      <c r="QE8" s="41"/>
      <c r="QF8" s="41"/>
      <c r="QG8" s="41"/>
      <c r="QH8" s="41"/>
      <c r="QI8" s="41"/>
      <c r="QJ8" s="41"/>
      <c r="QK8" s="41"/>
      <c r="QL8" s="41"/>
      <c r="QM8" s="41"/>
      <c r="QN8" s="41"/>
      <c r="QO8" s="41"/>
      <c r="QP8" s="41"/>
      <c r="QQ8" s="41"/>
      <c r="QR8" s="41"/>
      <c r="QS8" s="41"/>
      <c r="QT8" s="41"/>
      <c r="QU8" s="41"/>
      <c r="QV8" s="41"/>
      <c r="QW8" s="41"/>
      <c r="QX8" s="41"/>
      <c r="QY8" s="41"/>
      <c r="QZ8" s="41"/>
      <c r="RA8" s="41"/>
      <c r="RB8" s="41"/>
      <c r="RC8" s="41"/>
      <c r="RD8" s="41"/>
      <c r="RE8" s="41"/>
      <c r="RF8" s="41"/>
      <c r="RG8" s="41"/>
      <c r="RH8" s="41"/>
      <c r="RI8" s="41"/>
      <c r="RJ8" s="41"/>
      <c r="RK8" s="41"/>
      <c r="RL8" s="41"/>
      <c r="RM8" s="41"/>
      <c r="RN8" s="41"/>
      <c r="RO8" s="41"/>
      <c r="RP8" s="41"/>
      <c r="RQ8" s="41"/>
      <c r="RR8" s="41"/>
      <c r="RS8" s="41"/>
      <c r="RT8" s="41"/>
      <c r="RU8" s="41"/>
      <c r="RV8" s="41"/>
      <c r="RW8" s="41"/>
      <c r="RX8" s="41"/>
      <c r="RY8" s="41"/>
      <c r="RZ8" s="41"/>
      <c r="SA8" s="41"/>
      <c r="SB8" s="41"/>
      <c r="SC8" s="41"/>
      <c r="SD8" s="41"/>
      <c r="SE8" s="41"/>
      <c r="SF8" s="41"/>
      <c r="SG8" s="41"/>
      <c r="SH8" s="41"/>
      <c r="SI8" s="41"/>
      <c r="SJ8" s="41"/>
      <c r="SK8" s="41"/>
      <c r="SL8" s="41"/>
      <c r="SM8" s="41"/>
      <c r="SN8" s="41"/>
      <c r="SO8" s="41"/>
      <c r="SP8" s="41"/>
      <c r="SQ8" s="41"/>
      <c r="SR8" s="41"/>
      <c r="SS8" s="41"/>
      <c r="ST8" s="41"/>
      <c r="SU8" s="41"/>
      <c r="SV8" s="41"/>
      <c r="SW8" s="41"/>
      <c r="SX8" s="41"/>
      <c r="SY8" s="41"/>
      <c r="SZ8" s="41"/>
      <c r="TA8" s="41"/>
      <c r="TB8" s="41"/>
      <c r="TC8" s="41"/>
      <c r="TD8" s="41"/>
      <c r="TE8" s="41"/>
      <c r="TF8" s="41"/>
      <c r="TG8" s="41"/>
      <c r="TH8" s="41"/>
      <c r="TI8" s="41"/>
      <c r="TJ8" s="41"/>
      <c r="TK8" s="41"/>
      <c r="TL8" s="41"/>
      <c r="TM8" s="41"/>
      <c r="TN8" s="41"/>
      <c r="TO8" s="41"/>
      <c r="TP8" s="41"/>
      <c r="TQ8" s="41"/>
      <c r="TR8" s="41"/>
      <c r="TS8" s="41"/>
      <c r="TT8" s="41"/>
      <c r="TU8" s="41"/>
      <c r="TV8" s="41"/>
      <c r="TW8" s="41"/>
      <c r="TX8" s="41"/>
      <c r="TY8" s="41"/>
      <c r="TZ8" s="41"/>
      <c r="UA8" s="41"/>
      <c r="UB8" s="41"/>
      <c r="UC8" s="41"/>
      <c r="UD8" s="41"/>
      <c r="UE8" s="41"/>
      <c r="UF8" s="41"/>
      <c r="UG8" s="41"/>
      <c r="UH8" s="41"/>
      <c r="UI8" s="41"/>
      <c r="UJ8" s="41"/>
      <c r="UK8" s="41"/>
      <c r="UL8" s="41"/>
      <c r="UM8" s="41"/>
      <c r="UN8" s="41"/>
      <c r="UO8" s="41"/>
      <c r="UP8" s="41"/>
      <c r="UQ8" s="41"/>
      <c r="UR8" s="41"/>
      <c r="US8" s="41"/>
      <c r="UT8" s="41"/>
      <c r="UU8" s="41"/>
      <c r="UV8" s="41"/>
      <c r="UW8" s="41"/>
      <c r="UX8" s="41"/>
      <c r="UY8" s="41"/>
      <c r="UZ8" s="41"/>
      <c r="VA8" s="41"/>
      <c r="VB8" s="41"/>
      <c r="VC8" s="41"/>
      <c r="VD8" s="41"/>
      <c r="VE8" s="41"/>
      <c r="VF8" s="41"/>
      <c r="VG8" s="41"/>
      <c r="VH8" s="41"/>
      <c r="VI8" s="41"/>
      <c r="VJ8" s="41"/>
      <c r="VK8" s="41"/>
      <c r="VL8" s="41"/>
      <c r="VM8" s="41"/>
      <c r="VN8" s="41"/>
      <c r="VO8" s="41"/>
      <c r="VP8" s="41"/>
      <c r="VQ8" s="41"/>
      <c r="VR8" s="41"/>
      <c r="VS8" s="41"/>
      <c r="VT8" s="41"/>
      <c r="VU8" s="41"/>
      <c r="VV8" s="41"/>
      <c r="VW8" s="41"/>
      <c r="VX8" s="41"/>
      <c r="VY8" s="41"/>
      <c r="VZ8" s="41"/>
      <c r="WA8" s="41"/>
      <c r="WB8" s="41"/>
      <c r="WC8" s="41"/>
      <c r="WD8" s="41"/>
      <c r="WE8" s="41"/>
      <c r="WF8" s="41"/>
      <c r="WG8" s="41"/>
      <c r="WH8" s="41"/>
      <c r="WI8" s="41"/>
      <c r="WJ8" s="41"/>
      <c r="WK8" s="41"/>
      <c r="WL8" s="41"/>
      <c r="WM8" s="41"/>
      <c r="WN8" s="41"/>
      <c r="WO8" s="41"/>
      <c r="WP8" s="41"/>
      <c r="WQ8" s="41"/>
      <c r="WR8" s="41"/>
      <c r="WS8" s="41"/>
      <c r="WT8" s="41"/>
      <c r="WU8" s="41"/>
      <c r="WV8" s="41"/>
      <c r="WW8" s="41"/>
      <c r="WX8" s="41"/>
      <c r="WY8" s="41"/>
      <c r="WZ8" s="41"/>
      <c r="XA8" s="41"/>
      <c r="XB8" s="41"/>
      <c r="XC8" s="41"/>
      <c r="XD8" s="41"/>
      <c r="XE8" s="41"/>
      <c r="XF8" s="41"/>
      <c r="XG8" s="41"/>
      <c r="XH8" s="41"/>
      <c r="XI8" s="41"/>
      <c r="XJ8" s="41"/>
      <c r="XK8" s="41"/>
      <c r="XL8" s="41"/>
      <c r="XM8" s="41"/>
      <c r="XN8" s="41"/>
      <c r="XO8" s="41"/>
      <c r="XP8" s="41"/>
      <c r="XQ8" s="41"/>
      <c r="XR8" s="41"/>
      <c r="XS8" s="41"/>
      <c r="XT8" s="41"/>
      <c r="XU8" s="41"/>
      <c r="XV8" s="41"/>
      <c r="XW8" s="41"/>
      <c r="XX8" s="41"/>
      <c r="XY8" s="41"/>
      <c r="XZ8" s="41"/>
      <c r="YA8" s="41"/>
      <c r="YB8" s="41"/>
      <c r="YC8" s="41"/>
      <c r="YD8" s="41"/>
      <c r="YE8" s="41"/>
      <c r="YF8" s="41"/>
      <c r="YG8" s="41"/>
      <c r="YH8" s="41"/>
      <c r="YI8" s="41"/>
      <c r="YJ8" s="41"/>
      <c r="YK8" s="41"/>
      <c r="YL8" s="41"/>
      <c r="YM8" s="41"/>
      <c r="YN8" s="41"/>
      <c r="YO8" s="41"/>
      <c r="YP8" s="41"/>
      <c r="YQ8" s="41"/>
      <c r="YR8" s="41"/>
      <c r="YS8" s="41"/>
      <c r="YT8" s="41"/>
      <c r="YU8" s="41"/>
      <c r="YV8" s="41"/>
      <c r="YW8" s="41"/>
      <c r="YX8" s="41"/>
      <c r="YY8" s="41"/>
      <c r="YZ8" s="41"/>
      <c r="ZA8" s="41"/>
      <c r="ZB8" s="41"/>
      <c r="ZC8" s="41"/>
      <c r="ZD8" s="41"/>
      <c r="ZE8" s="41"/>
      <c r="ZF8" s="41"/>
      <c r="ZG8" s="41"/>
      <c r="ZH8" s="41"/>
      <c r="ZI8" s="41"/>
      <c r="ZJ8" s="41"/>
      <c r="ZK8" s="41"/>
      <c r="ZL8" s="41"/>
      <c r="ZM8" s="41"/>
      <c r="ZN8" s="41"/>
      <c r="ZO8" s="41"/>
      <c r="ZP8" s="41"/>
      <c r="ZQ8" s="41"/>
      <c r="ZR8" s="41"/>
      <c r="ZS8" s="41"/>
      <c r="ZT8" s="41"/>
      <c r="ZU8" s="41"/>
      <c r="ZV8" s="41"/>
      <c r="ZW8" s="41"/>
      <c r="ZX8" s="41"/>
      <c r="ZY8" s="41"/>
      <c r="ZZ8" s="41"/>
      <c r="AAA8" s="41"/>
      <c r="AAB8" s="41"/>
      <c r="AAC8" s="41"/>
      <c r="AAD8" s="41"/>
      <c r="AAE8" s="41"/>
      <c r="AAF8" s="41"/>
      <c r="AAG8" s="41"/>
      <c r="AAH8" s="41"/>
      <c r="AAI8" s="41"/>
      <c r="AAJ8" s="41"/>
      <c r="AAK8" s="41"/>
      <c r="AAL8" s="41"/>
      <c r="AAM8" s="41"/>
      <c r="AAN8" s="41"/>
      <c r="AAO8" s="41"/>
      <c r="AAP8" s="41"/>
      <c r="AAQ8" s="41"/>
      <c r="AAR8" s="41"/>
      <c r="AAS8" s="41"/>
      <c r="AAT8" s="41"/>
      <c r="AAU8" s="41"/>
      <c r="AAV8" s="41"/>
      <c r="AAW8" s="41"/>
      <c r="AAX8" s="41"/>
      <c r="AAY8" s="41"/>
      <c r="AAZ8" s="41"/>
      <c r="ABA8" s="41"/>
      <c r="ABB8" s="41"/>
      <c r="ABC8" s="41"/>
      <c r="ABD8" s="41"/>
      <c r="ABE8" s="41"/>
      <c r="ABF8" s="41"/>
      <c r="ABG8" s="41"/>
      <c r="ABH8" s="41"/>
      <c r="ABI8" s="41"/>
      <c r="ABJ8" s="41"/>
      <c r="ABK8" s="41"/>
      <c r="ABL8" s="41"/>
      <c r="ABM8" s="41"/>
      <c r="ABN8" s="41"/>
      <c r="ABO8" s="41"/>
      <c r="ABP8" s="41"/>
      <c r="ABQ8" s="41"/>
      <c r="ABR8" s="41"/>
      <c r="ABS8" s="41"/>
      <c r="ABT8" s="41"/>
      <c r="ABU8" s="41"/>
      <c r="ABV8" s="41"/>
      <c r="ABW8" s="41"/>
      <c r="ABX8" s="41"/>
      <c r="ABY8" s="41"/>
      <c r="ABZ8" s="41"/>
      <c r="ACA8" s="41"/>
      <c r="ACB8" s="41"/>
      <c r="ACC8" s="41"/>
      <c r="ACD8" s="41"/>
      <c r="ACE8" s="41"/>
      <c r="ACF8" s="41"/>
      <c r="ACG8" s="41"/>
      <c r="ACH8" s="41"/>
      <c r="ACI8" s="41"/>
      <c r="ACJ8" s="41"/>
      <c r="ACK8" s="41"/>
      <c r="ACL8" s="41"/>
      <c r="ACM8" s="41"/>
      <c r="ACN8" s="41"/>
      <c r="ACO8" s="41"/>
      <c r="ACP8" s="41"/>
      <c r="ACQ8" s="41"/>
      <c r="ACR8" s="41"/>
      <c r="ACS8" s="41"/>
      <c r="ACT8" s="41"/>
      <c r="ACU8" s="41"/>
      <c r="ACV8" s="41"/>
      <c r="ACW8" s="41"/>
      <c r="ACX8" s="41"/>
      <c r="ACY8" s="41"/>
      <c r="ACZ8" s="41"/>
      <c r="ADA8" s="41"/>
      <c r="ADB8" s="41"/>
      <c r="ADC8" s="41"/>
      <c r="ADD8" s="41"/>
      <c r="ADE8" s="41"/>
      <c r="ADF8" s="41"/>
      <c r="ADG8" s="41"/>
      <c r="ADH8" s="41"/>
      <c r="ADI8" s="41"/>
      <c r="ADJ8" s="41"/>
      <c r="ADK8" s="41"/>
      <c r="ADL8" s="41"/>
      <c r="ADM8" s="41"/>
      <c r="ADN8" s="41"/>
      <c r="ADO8" s="41"/>
      <c r="ADP8" s="41"/>
      <c r="ADQ8" s="41"/>
      <c r="ADR8" s="41"/>
      <c r="ADS8" s="41"/>
      <c r="ADT8" s="41"/>
      <c r="ADU8" s="41"/>
      <c r="ADV8" s="41"/>
      <c r="ADW8" s="41"/>
      <c r="ADX8" s="41"/>
      <c r="ADY8" s="41"/>
      <c r="ADZ8" s="41"/>
      <c r="AEA8" s="41"/>
      <c r="AEB8" s="41"/>
      <c r="AEC8" s="41"/>
      <c r="AED8" s="41"/>
      <c r="AEE8" s="41"/>
      <c r="AEF8" s="41"/>
      <c r="AEG8" s="41"/>
      <c r="AEH8" s="41"/>
      <c r="AEI8" s="41"/>
      <c r="AEJ8" s="41"/>
      <c r="AEK8" s="41"/>
      <c r="AEL8" s="41"/>
      <c r="AEM8" s="41"/>
      <c r="AEN8" s="41"/>
      <c r="AEO8" s="41"/>
      <c r="AEP8" s="41"/>
      <c r="AEQ8" s="41"/>
      <c r="AER8" s="41"/>
      <c r="AES8" s="41"/>
      <c r="AET8" s="41"/>
      <c r="AEU8" s="41"/>
      <c r="AEV8" s="41"/>
      <c r="AEW8" s="41"/>
      <c r="AEX8" s="41"/>
      <c r="AEY8" s="41"/>
      <c r="AEZ8" s="41"/>
      <c r="AFA8" s="41"/>
      <c r="AFB8" s="41"/>
      <c r="AFC8" s="41"/>
      <c r="AFD8" s="41"/>
      <c r="AFE8" s="41"/>
      <c r="AFF8" s="41"/>
      <c r="AFG8" s="41"/>
      <c r="AFH8" s="41"/>
      <c r="AFI8" s="41"/>
      <c r="AFJ8" s="41"/>
      <c r="AFK8" s="41"/>
      <c r="AFL8" s="41"/>
      <c r="AFM8" s="41"/>
      <c r="AFN8" s="41"/>
      <c r="AFO8" s="41"/>
      <c r="AFP8" s="41"/>
      <c r="AFQ8" s="41"/>
      <c r="AFR8" s="41"/>
      <c r="AFS8" s="41"/>
      <c r="AFT8" s="41"/>
      <c r="AFU8" s="41"/>
      <c r="AFV8" s="41"/>
      <c r="AFW8" s="41"/>
      <c r="AFX8" s="41"/>
      <c r="AFY8" s="41"/>
      <c r="AFZ8" s="41"/>
      <c r="AGA8" s="41"/>
      <c r="AGB8" s="41"/>
      <c r="AGC8" s="41"/>
      <c r="AGD8" s="41"/>
      <c r="AGE8" s="41"/>
      <c r="AGF8" s="41"/>
      <c r="AGG8" s="41"/>
      <c r="AGH8" s="41"/>
      <c r="AGI8" s="41"/>
      <c r="AGJ8" s="41"/>
      <c r="AGK8" s="41"/>
      <c r="AGL8" s="41"/>
      <c r="AGM8" s="41"/>
      <c r="AGN8" s="41"/>
      <c r="AGO8" s="41"/>
      <c r="AGP8" s="41"/>
      <c r="AGQ8" s="41"/>
      <c r="AGR8" s="41"/>
      <c r="AGS8" s="41"/>
      <c r="AGT8" s="41"/>
      <c r="AGU8" s="41"/>
      <c r="AGV8" s="41"/>
      <c r="AGW8" s="41"/>
      <c r="AGX8" s="41"/>
      <c r="AGY8" s="41"/>
      <c r="AGZ8" s="41"/>
      <c r="AHA8" s="41"/>
      <c r="AHB8" s="41"/>
      <c r="AHC8" s="41"/>
      <c r="AHD8" s="41"/>
      <c r="AHE8" s="41"/>
      <c r="AHF8" s="41"/>
      <c r="AHG8" s="41"/>
      <c r="AHH8" s="41"/>
      <c r="AHI8" s="41"/>
      <c r="AHJ8" s="41"/>
      <c r="AHK8" s="41"/>
      <c r="AHL8" s="41"/>
      <c r="AHM8" s="41"/>
      <c r="AHN8" s="41"/>
      <c r="AHO8" s="41"/>
      <c r="AHP8" s="41"/>
      <c r="AHQ8" s="41"/>
      <c r="AHR8" s="41"/>
      <c r="AHS8" s="41"/>
      <c r="AHT8" s="41"/>
      <c r="AHU8" s="41"/>
      <c r="AHV8" s="41"/>
      <c r="AHW8" s="41"/>
      <c r="AHX8" s="41"/>
      <c r="AHY8" s="41"/>
      <c r="AHZ8" s="41"/>
      <c r="AIA8" s="41"/>
      <c r="AIB8" s="41"/>
      <c r="AIC8" s="41"/>
      <c r="AID8" s="41"/>
      <c r="AIE8" s="41"/>
      <c r="AIF8" s="41"/>
      <c r="AIG8" s="41"/>
      <c r="AIH8" s="41"/>
      <c r="AII8" s="41"/>
      <c r="AIJ8" s="41"/>
      <c r="AIK8" s="41"/>
      <c r="AIL8" s="41"/>
      <c r="AIM8" s="41"/>
      <c r="AIN8" s="41"/>
      <c r="AIO8" s="41"/>
      <c r="AIP8" s="41"/>
      <c r="AIQ8" s="41"/>
      <c r="AIR8" s="41"/>
      <c r="AIS8" s="41"/>
      <c r="AIT8" s="41"/>
      <c r="AIU8" s="41"/>
      <c r="AIV8" s="41"/>
      <c r="AIW8" s="41"/>
      <c r="AIX8" s="41"/>
      <c r="AIY8" s="41"/>
      <c r="AIZ8" s="41"/>
      <c r="AJA8" s="41"/>
      <c r="AJB8" s="41"/>
      <c r="AJC8" s="41"/>
      <c r="AJD8" s="41"/>
      <c r="AJE8" s="41"/>
      <c r="AJF8" s="41"/>
      <c r="AJG8" s="41"/>
      <c r="AJH8" s="41"/>
      <c r="AJI8" s="41"/>
      <c r="AJJ8" s="41"/>
      <c r="AJK8" s="41"/>
      <c r="AJL8" s="41"/>
      <c r="AJM8" s="41"/>
      <c r="AJN8" s="41"/>
      <c r="AJO8" s="41"/>
      <c r="AJP8" s="41"/>
      <c r="AJQ8" s="41"/>
      <c r="AJR8" s="41"/>
      <c r="AJS8" s="41"/>
      <c r="AJT8" s="41"/>
      <c r="AJU8" s="41"/>
      <c r="AJV8" s="41"/>
      <c r="AJW8" s="41"/>
      <c r="AJX8" s="41"/>
      <c r="AJY8" s="41"/>
      <c r="AJZ8" s="41"/>
      <c r="AKA8" s="41"/>
      <c r="AKB8" s="41"/>
      <c r="AKC8" s="41"/>
      <c r="AKD8" s="41"/>
      <c r="AKE8" s="41"/>
      <c r="AKF8" s="41"/>
      <c r="AKG8" s="41"/>
      <c r="AKH8" s="41"/>
      <c r="AKI8" s="41"/>
      <c r="AKJ8" s="41"/>
      <c r="AKK8" s="41"/>
      <c r="AKL8" s="41"/>
      <c r="AKM8" s="41"/>
      <c r="AKN8" s="41"/>
      <c r="AKO8" s="41"/>
      <c r="AKP8" s="41"/>
      <c r="AKQ8" s="41"/>
      <c r="AKR8" s="41"/>
      <c r="AKS8" s="41"/>
      <c r="AKT8" s="41"/>
      <c r="AKU8" s="41"/>
      <c r="AKV8" s="41"/>
      <c r="AKW8" s="41"/>
      <c r="AKX8" s="41"/>
      <c r="AKY8" s="41"/>
      <c r="AKZ8" s="41"/>
      <c r="ALA8" s="41"/>
      <c r="ALB8" s="41"/>
      <c r="ALC8" s="41"/>
      <c r="ALD8" s="41"/>
      <c r="ALE8" s="41"/>
      <c r="ALF8" s="41"/>
      <c r="ALG8" s="41"/>
      <c r="ALH8" s="41"/>
      <c r="ALI8" s="41"/>
      <c r="ALJ8" s="41"/>
      <c r="ALK8" s="41"/>
      <c r="ALL8" s="41"/>
      <c r="ALM8" s="41"/>
      <c r="ALN8" s="41"/>
      <c r="ALO8" s="41"/>
      <c r="ALP8" s="41"/>
      <c r="ALQ8" s="41"/>
      <c r="ALR8" s="41"/>
      <c r="ALS8" s="41"/>
      <c r="ALT8" s="41"/>
      <c r="ALU8" s="41"/>
      <c r="ALV8" s="41"/>
      <c r="ALW8" s="41"/>
      <c r="ALX8" s="41"/>
      <c r="ALY8" s="41"/>
      <c r="ALZ8" s="41"/>
      <c r="AMA8" s="41"/>
      <c r="AMB8" s="41"/>
      <c r="AMC8" s="41"/>
      <c r="AMD8" s="41"/>
      <c r="AME8" s="41"/>
      <c r="AMF8" s="41"/>
      <c r="AMG8" s="41"/>
      <c r="AMH8" s="41"/>
      <c r="AMI8" s="41"/>
      <c r="AMJ8" s="41"/>
      <c r="AMK8" s="41"/>
      <c r="AML8" s="41"/>
    </row>
    <row r="9" ht="15.75" customHeight="1">
      <c r="A9" s="8" t="s">
        <v>34</v>
      </c>
      <c r="B9" s="8" t="s">
        <v>35</v>
      </c>
      <c r="C9" s="8" t="s">
        <v>36</v>
      </c>
      <c r="D9" s="8">
        <v>0.0</v>
      </c>
      <c r="E9" s="8">
        <v>700.0</v>
      </c>
      <c r="F9" s="8" t="s">
        <v>37</v>
      </c>
      <c r="G9" s="8" t="s">
        <v>38</v>
      </c>
      <c r="H9" s="8">
        <v>76.0</v>
      </c>
      <c r="I9" s="8">
        <v>0.0</v>
      </c>
      <c r="J9" s="8">
        <v>15.0</v>
      </c>
      <c r="K9" s="8">
        <v>12.0</v>
      </c>
      <c r="L9" s="8">
        <v>12.0</v>
      </c>
      <c r="M9" s="8" t="s">
        <v>39</v>
      </c>
      <c r="N9" s="8" t="s">
        <v>40</v>
      </c>
      <c r="O9" s="8" t="s">
        <v>41</v>
      </c>
      <c r="Q9">
        <v>3.0</v>
      </c>
      <c r="R9">
        <v>0.0</v>
      </c>
      <c r="S9" t="s">
        <v>42</v>
      </c>
      <c r="T9">
        <v>0.0</v>
      </c>
      <c r="U9">
        <v>0.0</v>
      </c>
      <c r="V9" t="s">
        <v>43</v>
      </c>
      <c r="W9">
        <v>1.0</v>
      </c>
      <c r="X9">
        <v>0.0</v>
      </c>
      <c r="Y9" t="s">
        <v>34</v>
      </c>
      <c r="Z9" t="s">
        <v>44</v>
      </c>
      <c r="AA9" t="s">
        <v>45</v>
      </c>
      <c r="AB9">
        <v>1.0</v>
      </c>
      <c r="AD9" t="s">
        <v>58</v>
      </c>
      <c r="AE9">
        <v>700.0</v>
      </c>
      <c r="AF9" t="s">
        <v>34</v>
      </c>
      <c r="AH9" t="s">
        <v>47</v>
      </c>
      <c r="AI9">
        <v>1.0</v>
      </c>
      <c r="AJ9" t="s">
        <v>48</v>
      </c>
      <c r="AM9" t="s">
        <v>49</v>
      </c>
      <c r="AN9" t="b">
        <v>0</v>
      </c>
      <c r="AP9" t="b">
        <v>0</v>
      </c>
      <c r="AQ9" t="b">
        <v>0</v>
      </c>
      <c r="AR9" t="b">
        <v>1</v>
      </c>
      <c r="AS9">
        <v>0.0</v>
      </c>
      <c r="AT9">
        <v>8478.47</v>
      </c>
      <c r="AU9">
        <v>8478.47</v>
      </c>
      <c r="AW9">
        <v>0.0</v>
      </c>
      <c r="AX9">
        <v>0.0</v>
      </c>
      <c r="AY9" t="s">
        <v>50</v>
      </c>
      <c r="AZ9">
        <v>0.0</v>
      </c>
      <c r="BC9">
        <v>0.0</v>
      </c>
      <c r="BD9" t="s">
        <v>51</v>
      </c>
      <c r="BE9">
        <v>8400.0</v>
      </c>
      <c r="BF9">
        <v>8400.0</v>
      </c>
      <c r="BJ9">
        <v>1001.0</v>
      </c>
      <c r="BK9">
        <v>0.0</v>
      </c>
      <c r="BL9" t="s">
        <v>34</v>
      </c>
      <c r="BM9" t="s">
        <v>44</v>
      </c>
      <c r="BO9" t="s">
        <v>18</v>
      </c>
      <c r="BP9">
        <v>0.0</v>
      </c>
      <c r="BQ9">
        <v>0.0</v>
      </c>
      <c r="BR9">
        <v>1.47</v>
      </c>
      <c r="BS9" t="s">
        <v>52</v>
      </c>
      <c r="BT9" t="s">
        <v>16</v>
      </c>
      <c r="BU9">
        <v>1.0</v>
      </c>
      <c r="BV9">
        <v>0.0</v>
      </c>
      <c r="BW9">
        <v>78.47</v>
      </c>
      <c r="BX9">
        <v>0.0</v>
      </c>
      <c r="CF9" t="s">
        <v>53</v>
      </c>
      <c r="CG9">
        <v>0.0</v>
      </c>
      <c r="CH9" t="s">
        <v>12</v>
      </c>
      <c r="CI9" t="s">
        <v>18</v>
      </c>
      <c r="CJ9">
        <v>0.0</v>
      </c>
      <c r="CK9" t="s">
        <v>54</v>
      </c>
      <c r="CL9">
        <v>1.0</v>
      </c>
      <c r="CM9" t="s">
        <v>16</v>
      </c>
      <c r="CN9" t="s">
        <v>30</v>
      </c>
      <c r="CO9" t="s">
        <v>55</v>
      </c>
      <c r="CP9" t="s">
        <v>56</v>
      </c>
      <c r="CS9" t="s">
        <v>34</v>
      </c>
      <c r="CW9">
        <v>0.0</v>
      </c>
      <c r="CX9" t="s">
        <v>57</v>
      </c>
      <c r="CY9" t="s">
        <v>34</v>
      </c>
      <c r="CZ9" t="s">
        <v>34</v>
      </c>
      <c r="DA9" t="s">
        <v>34</v>
      </c>
      <c r="DB9" t="s">
        <v>34</v>
      </c>
      <c r="DC9" t="s">
        <v>34</v>
      </c>
      <c r="DD9" t="s">
        <v>34</v>
      </c>
      <c r="DE9" t="s">
        <v>34</v>
      </c>
      <c r="DF9" t="s">
        <v>34</v>
      </c>
      <c r="DG9" t="s">
        <v>34</v>
      </c>
      <c r="DH9" t="s">
        <v>34</v>
      </c>
      <c r="DI9" t="s">
        <v>34</v>
      </c>
      <c r="DJ9" t="s">
        <v>34</v>
      </c>
      <c r="DK9" t="s">
        <v>34</v>
      </c>
      <c r="DL9" t="s">
        <v>34</v>
      </c>
      <c r="DM9" t="s">
        <v>34</v>
      </c>
      <c r="DN9" t="s">
        <v>34</v>
      </c>
      <c r="DO9" t="s">
        <v>34</v>
      </c>
      <c r="DP9" t="s">
        <v>34</v>
      </c>
      <c r="DQ9" t="s">
        <v>34</v>
      </c>
      <c r="DR9" t="s">
        <v>34</v>
      </c>
      <c r="DS9" t="s">
        <v>34</v>
      </c>
      <c r="DT9" t="s">
        <v>34</v>
      </c>
      <c r="DU9" t="s">
        <v>34</v>
      </c>
      <c r="DV9" t="s">
        <v>34</v>
      </c>
      <c r="DW9" t="s">
        <v>34</v>
      </c>
      <c r="DX9" t="s">
        <v>34</v>
      </c>
      <c r="DY9" t="s">
        <v>34</v>
      </c>
      <c r="DZ9" t="s">
        <v>34</v>
      </c>
      <c r="EA9" t="s">
        <v>34</v>
      </c>
      <c r="EB9" t="s">
        <v>34</v>
      </c>
      <c r="EC9" t="s">
        <v>34</v>
      </c>
      <c r="ED9" t="s">
        <v>34</v>
      </c>
      <c r="EE9" t="s">
        <v>34</v>
      </c>
      <c r="EF9" t="s">
        <v>34</v>
      </c>
      <c r="EG9" t="s">
        <v>34</v>
      </c>
      <c r="EH9" t="s">
        <v>34</v>
      </c>
      <c r="EI9" t="s">
        <v>34</v>
      </c>
      <c r="EJ9" t="s">
        <v>34</v>
      </c>
      <c r="EK9" t="s">
        <v>34</v>
      </c>
      <c r="EL9" t="s">
        <v>34</v>
      </c>
      <c r="EM9" t="s">
        <v>34</v>
      </c>
      <c r="EN9" t="s">
        <v>34</v>
      </c>
      <c r="EO9" t="s">
        <v>34</v>
      </c>
      <c r="EP9" t="s">
        <v>34</v>
      </c>
      <c r="EQ9" t="s">
        <v>34</v>
      </c>
      <c r="ER9" t="s">
        <v>34</v>
      </c>
      <c r="ES9" t="s">
        <v>34</v>
      </c>
      <c r="ET9" t="s">
        <v>34</v>
      </c>
      <c r="EU9" t="s">
        <v>34</v>
      </c>
      <c r="EV9" t="s">
        <v>34</v>
      </c>
      <c r="EW9" t="s">
        <v>34</v>
      </c>
      <c r="EX9" t="s">
        <v>34</v>
      </c>
      <c r="EY9" t="s">
        <v>34</v>
      </c>
      <c r="EZ9" t="s">
        <v>34</v>
      </c>
      <c r="FA9" t="s">
        <v>34</v>
      </c>
      <c r="FB9" t="s">
        <v>34</v>
      </c>
      <c r="FC9" t="s">
        <v>34</v>
      </c>
      <c r="FD9" t="s">
        <v>34</v>
      </c>
      <c r="FE9" t="s">
        <v>34</v>
      </c>
      <c r="FF9" t="s">
        <v>34</v>
      </c>
      <c r="FG9" t="s">
        <v>34</v>
      </c>
      <c r="FH9" t="s">
        <v>34</v>
      </c>
      <c r="FI9" t="s">
        <v>34</v>
      </c>
      <c r="FJ9" t="s">
        <v>34</v>
      </c>
      <c r="FK9" t="s">
        <v>34</v>
      </c>
      <c r="FL9" t="s">
        <v>34</v>
      </c>
      <c r="FM9" t="s">
        <v>34</v>
      </c>
      <c r="FN9" t="s">
        <v>34</v>
      </c>
      <c r="FO9" t="s">
        <v>34</v>
      </c>
      <c r="FP9" t="s">
        <v>34</v>
      </c>
      <c r="FQ9" t="s">
        <v>34</v>
      </c>
      <c r="FR9" s="41"/>
      <c r="FS9" s="41"/>
      <c r="FT9" s="41"/>
      <c r="FU9" s="41"/>
      <c r="FV9" s="41"/>
      <c r="FW9" s="41"/>
      <c r="FX9" s="41"/>
      <c r="FY9" s="41"/>
      <c r="FZ9" s="41"/>
      <c r="GA9" s="41"/>
      <c r="GB9" s="41"/>
      <c r="GC9" s="41"/>
      <c r="GD9" s="41"/>
      <c r="GE9" s="41"/>
      <c r="GF9" s="41"/>
      <c r="GG9" s="41"/>
      <c r="GH9" s="41"/>
      <c r="GI9" s="41"/>
      <c r="GJ9" s="41"/>
      <c r="GK9" s="41"/>
      <c r="GL9" s="41"/>
      <c r="GM9" s="41"/>
      <c r="GN9" s="41"/>
      <c r="GO9" s="41"/>
      <c r="GP9" s="41"/>
      <c r="GQ9" s="41"/>
      <c r="GR9" s="41"/>
      <c r="GS9" s="41"/>
      <c r="GT9" s="41"/>
      <c r="GU9" s="41"/>
      <c r="GV9" s="41"/>
      <c r="GW9" s="41"/>
      <c r="GX9" s="41"/>
      <c r="GY9" s="41"/>
      <c r="GZ9" s="41"/>
      <c r="HA9" s="41"/>
      <c r="HB9" s="41"/>
      <c r="HC9" s="41"/>
      <c r="HD9" s="41"/>
      <c r="HE9" s="41"/>
      <c r="HF9" s="41"/>
      <c r="HG9" s="41"/>
      <c r="HH9" s="41"/>
      <c r="HI9" s="41"/>
      <c r="HJ9" s="41"/>
      <c r="HK9" s="41"/>
      <c r="HL9" s="41"/>
      <c r="HM9" s="41"/>
      <c r="HN9" s="41"/>
      <c r="HO9" s="41"/>
      <c r="HP9" s="41"/>
      <c r="HQ9" s="41"/>
      <c r="HR9" s="41"/>
      <c r="HS9" s="41"/>
      <c r="HT9" s="41"/>
      <c r="HU9" s="41"/>
      <c r="HV9" s="41"/>
      <c r="HW9" s="41"/>
      <c r="HX9" s="41"/>
      <c r="HY9" s="41"/>
      <c r="HZ9" s="41"/>
      <c r="IA9" s="41"/>
      <c r="IB9" s="41"/>
      <c r="IC9" s="41"/>
      <c r="ID9" s="41"/>
      <c r="IE9" s="41"/>
      <c r="IF9" s="41"/>
      <c r="IG9" s="41"/>
      <c r="IH9" s="41"/>
      <c r="II9" s="41"/>
      <c r="IJ9" s="41"/>
      <c r="IK9" s="41"/>
      <c r="IL9" s="41"/>
      <c r="IM9" s="41"/>
      <c r="IN9" s="41"/>
      <c r="IO9" s="41"/>
      <c r="IP9" s="41"/>
      <c r="IQ9" s="41"/>
      <c r="IR9" s="41"/>
      <c r="IS9" s="41"/>
      <c r="IT9" s="41"/>
      <c r="IU9" s="41"/>
      <c r="IV9" s="41"/>
      <c r="IW9" s="41"/>
      <c r="IX9" s="41"/>
      <c r="IY9" s="41"/>
      <c r="IZ9" s="41"/>
      <c r="JA9" s="41"/>
      <c r="JB9" s="41"/>
      <c r="JC9" s="41"/>
      <c r="JD9" s="41"/>
      <c r="JE9" s="41"/>
      <c r="JF9" s="41"/>
      <c r="JG9" s="41"/>
      <c r="JH9" s="41"/>
      <c r="JI9" s="41"/>
      <c r="JJ9" s="41"/>
      <c r="JK9" s="41"/>
      <c r="JL9" s="41"/>
      <c r="JM9" s="41"/>
      <c r="JN9" s="41"/>
      <c r="JO9" s="41"/>
      <c r="JP9" s="41"/>
      <c r="JQ9" s="41"/>
      <c r="JR9" s="41"/>
      <c r="JS9" s="41"/>
      <c r="JT9" s="41"/>
      <c r="JU9" s="41"/>
      <c r="JV9" s="41"/>
      <c r="JW9" s="41"/>
      <c r="JX9" s="41"/>
      <c r="JY9" s="41"/>
      <c r="JZ9" s="41"/>
      <c r="KA9" s="41"/>
      <c r="KB9" s="41"/>
      <c r="KC9" s="41"/>
      <c r="KD9" s="41"/>
      <c r="KE9" s="41"/>
      <c r="KF9" s="41"/>
      <c r="KG9" s="41"/>
      <c r="KH9" s="41"/>
      <c r="KI9" s="41"/>
      <c r="KJ9" s="41"/>
      <c r="KK9" s="41"/>
      <c r="KL9" s="41"/>
      <c r="KM9" s="41"/>
      <c r="KN9" s="41"/>
      <c r="KO9" s="41"/>
      <c r="KP9" s="41"/>
      <c r="KQ9" s="41"/>
      <c r="KR9" s="41"/>
      <c r="KS9" s="41"/>
      <c r="KT9" s="41"/>
      <c r="KU9" s="41"/>
      <c r="KV9" s="41"/>
      <c r="KW9" s="41"/>
      <c r="KX9" s="41"/>
      <c r="KY9" s="41"/>
      <c r="KZ9" s="41"/>
      <c r="LA9" s="41"/>
      <c r="LB9" s="41"/>
      <c r="LC9" s="41"/>
      <c r="LD9" s="41"/>
      <c r="LE9" s="41"/>
      <c r="LF9" s="41"/>
      <c r="LG9" s="41"/>
      <c r="LH9" s="41"/>
      <c r="LI9" s="41"/>
      <c r="LJ9" s="41"/>
      <c r="LK9" s="41"/>
      <c r="LL9" s="41"/>
      <c r="LM9" s="41"/>
      <c r="LN9" s="41"/>
      <c r="LO9" s="41"/>
      <c r="LP9" s="41"/>
      <c r="LQ9" s="41"/>
      <c r="LR9" s="41"/>
      <c r="LS9" s="41"/>
      <c r="LT9" s="41"/>
      <c r="LU9" s="41"/>
      <c r="LV9" s="41"/>
      <c r="LW9" s="41"/>
      <c r="LX9" s="41"/>
      <c r="LY9" s="41"/>
      <c r="LZ9" s="41"/>
      <c r="MA9" s="41"/>
      <c r="MB9" s="41"/>
      <c r="MC9" s="41"/>
      <c r="MD9" s="41"/>
      <c r="ME9" s="41"/>
      <c r="MF9" s="41"/>
      <c r="MG9" s="41"/>
      <c r="MH9" s="41"/>
      <c r="MI9" s="41"/>
      <c r="MJ9" s="41"/>
      <c r="MK9" s="41"/>
      <c r="ML9" s="41"/>
      <c r="MM9" s="41"/>
      <c r="MN9" s="41"/>
      <c r="MO9" s="41"/>
      <c r="MP9" s="41"/>
      <c r="MQ9" s="41"/>
      <c r="MR9" s="41"/>
      <c r="MS9" s="41"/>
      <c r="MT9" s="41"/>
      <c r="MU9" s="41"/>
      <c r="MV9" s="41"/>
      <c r="MW9" s="41"/>
      <c r="MX9" s="41"/>
      <c r="MY9" s="41"/>
      <c r="MZ9" s="41"/>
      <c r="NA9" s="41"/>
      <c r="NB9" s="41"/>
      <c r="NC9" s="41"/>
      <c r="ND9" s="41"/>
      <c r="NE9" s="41"/>
      <c r="NF9" s="41"/>
      <c r="NG9" s="41"/>
      <c r="NH9" s="41"/>
      <c r="NI9" s="41"/>
      <c r="NJ9" s="41"/>
      <c r="NK9" s="41"/>
      <c r="NL9" s="41"/>
      <c r="NM9" s="41"/>
      <c r="NN9" s="41"/>
      <c r="NO9" s="41"/>
      <c r="NP9" s="41"/>
      <c r="NQ9" s="41"/>
      <c r="NR9" s="41"/>
      <c r="NS9" s="41"/>
      <c r="NT9" s="41"/>
      <c r="NU9" s="41"/>
      <c r="NV9" s="41"/>
      <c r="NW9" s="41"/>
      <c r="NX9" s="41"/>
      <c r="NY9" s="41"/>
      <c r="NZ9" s="41"/>
      <c r="OA9" s="41"/>
      <c r="OB9" s="41"/>
      <c r="OC9" s="41"/>
      <c r="OD9" s="41"/>
      <c r="OE9" s="41"/>
      <c r="OF9" s="41"/>
      <c r="OG9" s="41"/>
      <c r="OH9" s="41"/>
      <c r="OI9" s="41"/>
      <c r="OJ9" s="41"/>
      <c r="OK9" s="41"/>
      <c r="OL9" s="41"/>
      <c r="OM9" s="41"/>
      <c r="ON9" s="41"/>
      <c r="OO9" s="41"/>
      <c r="OP9" s="41"/>
      <c r="OQ9" s="41"/>
      <c r="OR9" s="41"/>
      <c r="OS9" s="41"/>
      <c r="OT9" s="41"/>
      <c r="OU9" s="41"/>
      <c r="OV9" s="41"/>
      <c r="OW9" s="41"/>
      <c r="OX9" s="41"/>
      <c r="OY9" s="41"/>
      <c r="OZ9" s="41"/>
      <c r="PA9" s="41"/>
      <c r="PB9" s="41"/>
      <c r="PC9" s="41"/>
      <c r="PD9" s="41"/>
      <c r="PE9" s="41"/>
      <c r="PF9" s="41"/>
      <c r="PG9" s="41"/>
      <c r="PH9" s="41"/>
      <c r="PI9" s="41"/>
      <c r="PJ9" s="41"/>
      <c r="PK9" s="41"/>
      <c r="PL9" s="41"/>
      <c r="PM9" s="41"/>
      <c r="PN9" s="41"/>
      <c r="PO9" s="41"/>
      <c r="PP9" s="41"/>
      <c r="PQ9" s="41"/>
      <c r="PR9" s="41"/>
      <c r="PS9" s="41"/>
      <c r="PT9" s="41"/>
      <c r="PU9" s="41"/>
      <c r="PV9" s="41"/>
      <c r="PW9" s="41"/>
      <c r="PX9" s="41"/>
      <c r="PY9" s="41"/>
      <c r="PZ9" s="41"/>
      <c r="QA9" s="41"/>
      <c r="QB9" s="41"/>
      <c r="QC9" s="41"/>
      <c r="QD9" s="41"/>
      <c r="QE9" s="41"/>
      <c r="QF9" s="41"/>
      <c r="QG9" s="41"/>
      <c r="QH9" s="41"/>
      <c r="QI9" s="41"/>
      <c r="QJ9" s="41"/>
      <c r="QK9" s="41"/>
      <c r="QL9" s="41"/>
      <c r="QM9" s="41"/>
      <c r="QN9" s="41"/>
      <c r="QO9" s="41"/>
      <c r="QP9" s="41"/>
      <c r="QQ9" s="41"/>
      <c r="QR9" s="41"/>
      <c r="QS9" s="41"/>
      <c r="QT9" s="41"/>
      <c r="QU9" s="41"/>
      <c r="QV9" s="41"/>
      <c r="QW9" s="41"/>
      <c r="QX9" s="41"/>
      <c r="QY9" s="41"/>
      <c r="QZ9" s="41"/>
      <c r="RA9" s="41"/>
      <c r="RB9" s="41"/>
      <c r="RC9" s="41"/>
      <c r="RD9" s="41"/>
      <c r="RE9" s="41"/>
      <c r="RF9" s="41"/>
      <c r="RG9" s="41"/>
      <c r="RH9" s="41"/>
      <c r="RI9" s="41"/>
      <c r="RJ9" s="41"/>
      <c r="RK9" s="41"/>
      <c r="RL9" s="41"/>
      <c r="RM9" s="41"/>
      <c r="RN9" s="41"/>
      <c r="RO9" s="41"/>
      <c r="RP9" s="41"/>
      <c r="RQ9" s="41"/>
      <c r="RR9" s="41"/>
      <c r="RS9" s="41"/>
      <c r="RT9" s="41"/>
      <c r="RU9" s="41"/>
      <c r="RV9" s="41"/>
      <c r="RW9" s="41"/>
      <c r="RX9" s="41"/>
      <c r="RY9" s="41"/>
      <c r="RZ9" s="41"/>
      <c r="SA9" s="41"/>
      <c r="SB9" s="41"/>
      <c r="SC9" s="41"/>
      <c r="SD9" s="41"/>
      <c r="SE9" s="41"/>
      <c r="SF9" s="41"/>
      <c r="SG9" s="41"/>
      <c r="SH9" s="41"/>
      <c r="SI9" s="41"/>
      <c r="SJ9" s="41"/>
      <c r="SK9" s="41"/>
      <c r="SL9" s="41"/>
      <c r="SM9" s="41"/>
      <c r="SN9" s="41"/>
      <c r="SO9" s="41"/>
      <c r="SP9" s="41"/>
      <c r="SQ9" s="41"/>
      <c r="SR9" s="41"/>
      <c r="SS9" s="41"/>
      <c r="ST9" s="41"/>
      <c r="SU9" s="41"/>
      <c r="SV9" s="41"/>
      <c r="SW9" s="41"/>
      <c r="SX9" s="41"/>
      <c r="SY9" s="41"/>
      <c r="SZ9" s="41"/>
      <c r="TA9" s="41"/>
      <c r="TB9" s="41"/>
      <c r="TC9" s="41"/>
      <c r="TD9" s="41"/>
      <c r="TE9" s="41"/>
      <c r="TF9" s="41"/>
      <c r="TG9" s="41"/>
      <c r="TH9" s="41"/>
      <c r="TI9" s="41"/>
      <c r="TJ9" s="41"/>
      <c r="TK9" s="41"/>
      <c r="TL9" s="41"/>
      <c r="TM9" s="41"/>
      <c r="TN9" s="41"/>
      <c r="TO9" s="41"/>
      <c r="TP9" s="41"/>
      <c r="TQ9" s="41"/>
      <c r="TR9" s="41"/>
      <c r="TS9" s="41"/>
      <c r="TT9" s="41"/>
      <c r="TU9" s="41"/>
      <c r="TV9" s="41"/>
      <c r="TW9" s="41"/>
      <c r="TX9" s="41"/>
      <c r="TY9" s="41"/>
      <c r="TZ9" s="41"/>
      <c r="UA9" s="41"/>
      <c r="UB9" s="41"/>
      <c r="UC9" s="41"/>
      <c r="UD9" s="41"/>
      <c r="UE9" s="41"/>
      <c r="UF9" s="41"/>
      <c r="UG9" s="41"/>
      <c r="UH9" s="41"/>
      <c r="UI9" s="41"/>
      <c r="UJ9" s="41"/>
      <c r="UK9" s="41"/>
      <c r="UL9" s="41"/>
      <c r="UM9" s="41"/>
      <c r="UN9" s="41"/>
      <c r="UO9" s="41"/>
      <c r="UP9" s="41"/>
      <c r="UQ9" s="41"/>
      <c r="UR9" s="41"/>
      <c r="US9" s="41"/>
      <c r="UT9" s="41"/>
      <c r="UU9" s="41"/>
      <c r="UV9" s="41"/>
      <c r="UW9" s="41"/>
      <c r="UX9" s="41"/>
      <c r="UY9" s="41"/>
      <c r="UZ9" s="41"/>
      <c r="VA9" s="41"/>
      <c r="VB9" s="41"/>
      <c r="VC9" s="41"/>
      <c r="VD9" s="41"/>
      <c r="VE9" s="41"/>
      <c r="VF9" s="41"/>
      <c r="VG9" s="41"/>
      <c r="VH9" s="41"/>
      <c r="VI9" s="41"/>
      <c r="VJ9" s="41"/>
      <c r="VK9" s="41"/>
      <c r="VL9" s="41"/>
      <c r="VM9" s="41"/>
      <c r="VN9" s="41"/>
      <c r="VO9" s="41"/>
      <c r="VP9" s="41"/>
      <c r="VQ9" s="41"/>
      <c r="VR9" s="41"/>
      <c r="VS9" s="41"/>
      <c r="VT9" s="41"/>
      <c r="VU9" s="41"/>
      <c r="VV9" s="41"/>
      <c r="VW9" s="41"/>
      <c r="VX9" s="41"/>
      <c r="VY9" s="41"/>
      <c r="VZ9" s="41"/>
      <c r="WA9" s="41"/>
      <c r="WB9" s="41"/>
      <c r="WC9" s="41"/>
      <c r="WD9" s="41"/>
      <c r="WE9" s="41"/>
      <c r="WF9" s="41"/>
      <c r="WG9" s="41"/>
      <c r="WH9" s="41"/>
      <c r="WI9" s="41"/>
      <c r="WJ9" s="41"/>
      <c r="WK9" s="41"/>
      <c r="WL9" s="41"/>
      <c r="WM9" s="41"/>
      <c r="WN9" s="41"/>
      <c r="WO9" s="41"/>
      <c r="WP9" s="41"/>
      <c r="WQ9" s="41"/>
      <c r="WR9" s="41"/>
      <c r="WS9" s="41"/>
      <c r="WT9" s="41"/>
      <c r="WU9" s="41"/>
      <c r="WV9" s="41"/>
      <c r="WW9" s="41"/>
      <c r="WX9" s="41"/>
      <c r="WY9" s="41"/>
      <c r="WZ9" s="41"/>
      <c r="XA9" s="41"/>
      <c r="XB9" s="41"/>
      <c r="XC9" s="41"/>
      <c r="XD9" s="41"/>
      <c r="XE9" s="41"/>
      <c r="XF9" s="41"/>
      <c r="XG9" s="41"/>
      <c r="XH9" s="41"/>
      <c r="XI9" s="41"/>
      <c r="XJ9" s="41"/>
      <c r="XK9" s="41"/>
      <c r="XL9" s="41"/>
      <c r="XM9" s="41"/>
      <c r="XN9" s="41"/>
      <c r="XO9" s="41"/>
      <c r="XP9" s="41"/>
      <c r="XQ9" s="41"/>
      <c r="XR9" s="41"/>
      <c r="XS9" s="41"/>
      <c r="XT9" s="41"/>
      <c r="XU9" s="41"/>
      <c r="XV9" s="41"/>
      <c r="XW9" s="41"/>
      <c r="XX9" s="41"/>
      <c r="XY9" s="41"/>
      <c r="XZ9" s="41"/>
      <c r="YA9" s="41"/>
      <c r="YB9" s="41"/>
      <c r="YC9" s="41"/>
      <c r="YD9" s="41"/>
      <c r="YE9" s="41"/>
      <c r="YF9" s="41"/>
      <c r="YG9" s="41"/>
      <c r="YH9" s="41"/>
      <c r="YI9" s="41"/>
      <c r="YJ9" s="41"/>
      <c r="YK9" s="41"/>
      <c r="YL9" s="41"/>
      <c r="YM9" s="41"/>
      <c r="YN9" s="41"/>
      <c r="YO9" s="41"/>
      <c r="YP9" s="41"/>
      <c r="YQ9" s="41"/>
      <c r="YR9" s="41"/>
      <c r="YS9" s="41"/>
      <c r="YT9" s="41"/>
      <c r="YU9" s="41"/>
      <c r="YV9" s="41"/>
      <c r="YW9" s="41"/>
      <c r="YX9" s="41"/>
      <c r="YY9" s="41"/>
      <c r="YZ9" s="41"/>
      <c r="ZA9" s="41"/>
      <c r="ZB9" s="41"/>
      <c r="ZC9" s="41"/>
      <c r="ZD9" s="41"/>
      <c r="ZE9" s="41"/>
      <c r="ZF9" s="41"/>
      <c r="ZG9" s="41"/>
      <c r="ZH9" s="41"/>
      <c r="ZI9" s="41"/>
      <c r="ZJ9" s="41"/>
      <c r="ZK9" s="41"/>
      <c r="ZL9" s="41"/>
      <c r="ZM9" s="41"/>
      <c r="ZN9" s="41"/>
      <c r="ZO9" s="41"/>
      <c r="ZP9" s="41"/>
      <c r="ZQ9" s="41"/>
      <c r="ZR9" s="41"/>
      <c r="ZS9" s="41"/>
      <c r="ZT9" s="41"/>
      <c r="ZU9" s="41"/>
      <c r="ZV9" s="41"/>
      <c r="ZW9" s="41"/>
      <c r="ZX9" s="41"/>
      <c r="ZY9" s="41"/>
      <c r="ZZ9" s="41"/>
      <c r="AAA9" s="41"/>
      <c r="AAB9" s="41"/>
      <c r="AAC9" s="41"/>
      <c r="AAD9" s="41"/>
      <c r="AAE9" s="41"/>
      <c r="AAF9" s="41"/>
      <c r="AAG9" s="41"/>
      <c r="AAH9" s="41"/>
      <c r="AAI9" s="41"/>
      <c r="AAJ9" s="41"/>
      <c r="AAK9" s="41"/>
      <c r="AAL9" s="41"/>
      <c r="AAM9" s="41"/>
      <c r="AAN9" s="41"/>
      <c r="AAO9" s="41"/>
      <c r="AAP9" s="41"/>
      <c r="AAQ9" s="41"/>
      <c r="AAR9" s="41"/>
      <c r="AAS9" s="41"/>
      <c r="AAT9" s="41"/>
      <c r="AAU9" s="41"/>
      <c r="AAV9" s="41"/>
      <c r="AAW9" s="41"/>
      <c r="AAX9" s="41"/>
      <c r="AAY9" s="41"/>
      <c r="AAZ9" s="41"/>
      <c r="ABA9" s="41"/>
      <c r="ABB9" s="41"/>
      <c r="ABC9" s="41"/>
      <c r="ABD9" s="41"/>
      <c r="ABE9" s="41"/>
      <c r="ABF9" s="41"/>
      <c r="ABG9" s="41"/>
      <c r="ABH9" s="41"/>
      <c r="ABI9" s="41"/>
      <c r="ABJ9" s="41"/>
      <c r="ABK9" s="41"/>
      <c r="ABL9" s="41"/>
      <c r="ABM9" s="41"/>
      <c r="ABN9" s="41"/>
      <c r="ABO9" s="41"/>
      <c r="ABP9" s="41"/>
      <c r="ABQ9" s="41"/>
      <c r="ABR9" s="41"/>
      <c r="ABS9" s="41"/>
      <c r="ABT9" s="41"/>
      <c r="ABU9" s="41"/>
      <c r="ABV9" s="41"/>
      <c r="ABW9" s="41"/>
      <c r="ABX9" s="41"/>
      <c r="ABY9" s="41"/>
      <c r="ABZ9" s="41"/>
      <c r="ACA9" s="41"/>
      <c r="ACB9" s="41"/>
      <c r="ACC9" s="41"/>
      <c r="ACD9" s="41"/>
      <c r="ACE9" s="41"/>
      <c r="ACF9" s="41"/>
      <c r="ACG9" s="41"/>
      <c r="ACH9" s="41"/>
      <c r="ACI9" s="41"/>
      <c r="ACJ9" s="41"/>
      <c r="ACK9" s="41"/>
      <c r="ACL9" s="41"/>
      <c r="ACM9" s="41"/>
      <c r="ACN9" s="41"/>
      <c r="ACO9" s="41"/>
      <c r="ACP9" s="41"/>
      <c r="ACQ9" s="41"/>
      <c r="ACR9" s="41"/>
      <c r="ACS9" s="41"/>
      <c r="ACT9" s="41"/>
      <c r="ACU9" s="41"/>
      <c r="ACV9" s="41"/>
      <c r="ACW9" s="41"/>
      <c r="ACX9" s="41"/>
      <c r="ACY9" s="41"/>
      <c r="ACZ9" s="41"/>
      <c r="ADA9" s="41"/>
      <c r="ADB9" s="41"/>
      <c r="ADC9" s="41"/>
      <c r="ADD9" s="41"/>
      <c r="ADE9" s="41"/>
      <c r="ADF9" s="41"/>
      <c r="ADG9" s="41"/>
      <c r="ADH9" s="41"/>
      <c r="ADI9" s="41"/>
      <c r="ADJ9" s="41"/>
      <c r="ADK9" s="41"/>
      <c r="ADL9" s="41"/>
      <c r="ADM9" s="41"/>
      <c r="ADN9" s="41"/>
      <c r="ADO9" s="41"/>
      <c r="ADP9" s="41"/>
      <c r="ADQ9" s="41"/>
      <c r="ADR9" s="41"/>
      <c r="ADS9" s="41"/>
      <c r="ADT9" s="41"/>
      <c r="ADU9" s="41"/>
      <c r="ADV9" s="41"/>
      <c r="ADW9" s="41"/>
      <c r="ADX9" s="41"/>
      <c r="ADY9" s="41"/>
      <c r="ADZ9" s="41"/>
      <c r="AEA9" s="41"/>
      <c r="AEB9" s="41"/>
      <c r="AEC9" s="41"/>
      <c r="AED9" s="41"/>
      <c r="AEE9" s="41"/>
      <c r="AEF9" s="41"/>
      <c r="AEG9" s="41"/>
      <c r="AEH9" s="41"/>
      <c r="AEI9" s="41"/>
      <c r="AEJ9" s="41"/>
      <c r="AEK9" s="41"/>
      <c r="AEL9" s="41"/>
      <c r="AEM9" s="41"/>
      <c r="AEN9" s="41"/>
      <c r="AEO9" s="41"/>
      <c r="AEP9" s="41"/>
      <c r="AEQ9" s="41"/>
      <c r="AER9" s="41"/>
      <c r="AES9" s="41"/>
      <c r="AET9" s="41"/>
      <c r="AEU9" s="41"/>
      <c r="AEV9" s="41"/>
      <c r="AEW9" s="41"/>
      <c r="AEX9" s="41"/>
      <c r="AEY9" s="41"/>
      <c r="AEZ9" s="41"/>
      <c r="AFA9" s="41"/>
      <c r="AFB9" s="41"/>
      <c r="AFC9" s="41"/>
      <c r="AFD9" s="41"/>
      <c r="AFE9" s="41"/>
      <c r="AFF9" s="41"/>
      <c r="AFG9" s="41"/>
      <c r="AFH9" s="41"/>
      <c r="AFI9" s="41"/>
      <c r="AFJ9" s="41"/>
      <c r="AFK9" s="41"/>
      <c r="AFL9" s="41"/>
      <c r="AFM9" s="41"/>
      <c r="AFN9" s="41"/>
      <c r="AFO9" s="41"/>
      <c r="AFP9" s="41"/>
      <c r="AFQ9" s="41"/>
      <c r="AFR9" s="41"/>
      <c r="AFS9" s="41"/>
      <c r="AFT9" s="41"/>
      <c r="AFU9" s="41"/>
      <c r="AFV9" s="41"/>
      <c r="AFW9" s="41"/>
      <c r="AFX9" s="41"/>
      <c r="AFY9" s="41"/>
      <c r="AFZ9" s="41"/>
      <c r="AGA9" s="41"/>
      <c r="AGB9" s="41"/>
      <c r="AGC9" s="41"/>
      <c r="AGD9" s="41"/>
      <c r="AGE9" s="41"/>
      <c r="AGF9" s="41"/>
      <c r="AGG9" s="41"/>
      <c r="AGH9" s="41"/>
      <c r="AGI9" s="41"/>
      <c r="AGJ9" s="41"/>
      <c r="AGK9" s="41"/>
      <c r="AGL9" s="41"/>
      <c r="AGM9" s="41"/>
      <c r="AGN9" s="41"/>
      <c r="AGO9" s="41"/>
      <c r="AGP9" s="41"/>
      <c r="AGQ9" s="41"/>
      <c r="AGR9" s="41"/>
      <c r="AGS9" s="41"/>
      <c r="AGT9" s="41"/>
      <c r="AGU9" s="41"/>
      <c r="AGV9" s="41"/>
      <c r="AGW9" s="41"/>
      <c r="AGX9" s="41"/>
      <c r="AGY9" s="41"/>
      <c r="AGZ9" s="41"/>
      <c r="AHA9" s="41"/>
      <c r="AHB9" s="41"/>
      <c r="AHC9" s="41"/>
      <c r="AHD9" s="41"/>
      <c r="AHE9" s="41"/>
      <c r="AHF9" s="41"/>
      <c r="AHG9" s="41"/>
      <c r="AHH9" s="41"/>
      <c r="AHI9" s="41"/>
      <c r="AHJ9" s="41"/>
      <c r="AHK9" s="41"/>
      <c r="AHL9" s="41"/>
      <c r="AHM9" s="41"/>
      <c r="AHN9" s="41"/>
      <c r="AHO9" s="41"/>
      <c r="AHP9" s="41"/>
      <c r="AHQ9" s="41"/>
      <c r="AHR9" s="41"/>
      <c r="AHS9" s="41"/>
      <c r="AHT9" s="41"/>
      <c r="AHU9" s="41"/>
      <c r="AHV9" s="41"/>
      <c r="AHW9" s="41"/>
      <c r="AHX9" s="41"/>
      <c r="AHY9" s="41"/>
      <c r="AHZ9" s="41"/>
      <c r="AIA9" s="41"/>
      <c r="AIB9" s="41"/>
      <c r="AIC9" s="41"/>
      <c r="AID9" s="41"/>
      <c r="AIE9" s="41"/>
      <c r="AIF9" s="41"/>
      <c r="AIG9" s="41"/>
      <c r="AIH9" s="41"/>
      <c r="AII9" s="41"/>
      <c r="AIJ9" s="41"/>
      <c r="AIK9" s="41"/>
      <c r="AIL9" s="41"/>
      <c r="AIM9" s="41"/>
      <c r="AIN9" s="41"/>
      <c r="AIO9" s="41"/>
      <c r="AIP9" s="41"/>
      <c r="AIQ9" s="41"/>
      <c r="AIR9" s="41"/>
      <c r="AIS9" s="41"/>
      <c r="AIT9" s="41"/>
      <c r="AIU9" s="41"/>
      <c r="AIV9" s="41"/>
      <c r="AIW9" s="41"/>
      <c r="AIX9" s="41"/>
      <c r="AIY9" s="41"/>
      <c r="AIZ9" s="41"/>
      <c r="AJA9" s="41"/>
      <c r="AJB9" s="41"/>
      <c r="AJC9" s="41"/>
      <c r="AJD9" s="41"/>
      <c r="AJE9" s="41"/>
      <c r="AJF9" s="41"/>
      <c r="AJG9" s="41"/>
      <c r="AJH9" s="41"/>
      <c r="AJI9" s="41"/>
      <c r="AJJ9" s="41"/>
      <c r="AJK9" s="41"/>
      <c r="AJL9" s="41"/>
      <c r="AJM9" s="41"/>
      <c r="AJN9" s="41"/>
      <c r="AJO9" s="41"/>
      <c r="AJP9" s="41"/>
      <c r="AJQ9" s="41"/>
      <c r="AJR9" s="41"/>
      <c r="AJS9" s="41"/>
      <c r="AJT9" s="41"/>
      <c r="AJU9" s="41"/>
      <c r="AJV9" s="41"/>
      <c r="AJW9" s="41"/>
      <c r="AJX9" s="41"/>
      <c r="AJY9" s="41"/>
      <c r="AJZ9" s="41"/>
      <c r="AKA9" s="41"/>
      <c r="AKB9" s="41"/>
      <c r="AKC9" s="41"/>
      <c r="AKD9" s="41"/>
      <c r="AKE9" s="41"/>
      <c r="AKF9" s="41"/>
      <c r="AKG9" s="41"/>
      <c r="AKH9" s="41"/>
      <c r="AKI9" s="41"/>
      <c r="AKJ9" s="41"/>
      <c r="AKK9" s="41"/>
      <c r="AKL9" s="41"/>
      <c r="AKM9" s="41"/>
      <c r="AKN9" s="41"/>
      <c r="AKO9" s="41"/>
      <c r="AKP9" s="41"/>
      <c r="AKQ9" s="41"/>
      <c r="AKR9" s="41"/>
      <c r="AKS9" s="41"/>
      <c r="AKT9" s="41"/>
      <c r="AKU9" s="41"/>
      <c r="AKV9" s="41"/>
      <c r="AKW9" s="41"/>
      <c r="AKX9" s="41"/>
      <c r="AKY9" s="41"/>
      <c r="AKZ9" s="41"/>
      <c r="ALA9" s="41"/>
      <c r="ALB9" s="41"/>
      <c r="ALC9" s="41"/>
      <c r="ALD9" s="41"/>
      <c r="ALE9" s="41"/>
      <c r="ALF9" s="41"/>
      <c r="ALG9" s="41"/>
      <c r="ALH9" s="41"/>
      <c r="ALI9" s="41"/>
      <c r="ALJ9" s="41"/>
      <c r="ALK9" s="41"/>
      <c r="ALL9" s="41"/>
      <c r="ALM9" s="41"/>
      <c r="ALN9" s="41"/>
      <c r="ALO9" s="41"/>
      <c r="ALP9" s="41"/>
      <c r="ALQ9" s="41"/>
      <c r="ALR9" s="41"/>
      <c r="ALS9" s="41"/>
      <c r="ALT9" s="41"/>
      <c r="ALU9" s="41"/>
      <c r="ALV9" s="41"/>
      <c r="ALW9" s="41"/>
      <c r="ALX9" s="41"/>
      <c r="ALY9" s="41"/>
      <c r="ALZ9" s="41"/>
      <c r="AMA9" s="41"/>
      <c r="AMB9" s="41"/>
      <c r="AMC9" s="41"/>
      <c r="AMD9" s="41"/>
      <c r="AME9" s="41"/>
      <c r="AMF9" s="41"/>
      <c r="AMG9" s="41"/>
      <c r="AMH9" s="41"/>
      <c r="AMI9" s="41"/>
      <c r="AMJ9" s="41"/>
      <c r="AMK9" s="41"/>
      <c r="AML9" s="41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FR10" s="41"/>
      <c r="FS10" s="41"/>
      <c r="FT10" s="41"/>
      <c r="FU10" s="41"/>
      <c r="FV10" s="41"/>
      <c r="FW10" s="41"/>
      <c r="FX10" s="41"/>
      <c r="FY10" s="41"/>
      <c r="FZ10" s="41"/>
      <c r="GA10" s="41"/>
      <c r="GB10" s="41"/>
      <c r="GC10" s="41"/>
      <c r="GD10" s="41"/>
      <c r="GE10" s="41"/>
      <c r="GF10" s="41"/>
      <c r="GG10" s="41"/>
      <c r="GH10" s="41"/>
      <c r="GI10" s="41"/>
      <c r="GJ10" s="41"/>
      <c r="GK10" s="41"/>
      <c r="GL10" s="41"/>
      <c r="GM10" s="41"/>
      <c r="GN10" s="41"/>
      <c r="GO10" s="41"/>
      <c r="GP10" s="41"/>
      <c r="GQ10" s="41"/>
      <c r="GR10" s="41"/>
      <c r="GS10" s="41"/>
      <c r="GT10" s="41"/>
      <c r="GU10" s="41"/>
      <c r="GV10" s="41"/>
      <c r="GW10" s="41"/>
      <c r="GX10" s="41"/>
      <c r="GY10" s="41"/>
      <c r="GZ10" s="41"/>
      <c r="HA10" s="41"/>
      <c r="HB10" s="41"/>
      <c r="HC10" s="41"/>
      <c r="HD10" s="41"/>
      <c r="HE10" s="41"/>
      <c r="HF10" s="41"/>
      <c r="HG10" s="41"/>
      <c r="HH10" s="41"/>
      <c r="HI10" s="41"/>
      <c r="HJ10" s="41"/>
      <c r="HK10" s="41"/>
      <c r="HL10" s="41"/>
      <c r="HM10" s="41"/>
      <c r="HN10" s="41"/>
      <c r="HO10" s="41"/>
      <c r="HP10" s="41"/>
      <c r="HQ10" s="41"/>
      <c r="HR10" s="41"/>
      <c r="HS10" s="41"/>
      <c r="HT10" s="41"/>
      <c r="HU10" s="41"/>
      <c r="HV10" s="41"/>
      <c r="HW10" s="41"/>
      <c r="HX10" s="41"/>
      <c r="HY10" s="41"/>
      <c r="HZ10" s="41"/>
      <c r="IA10" s="41"/>
      <c r="IB10" s="41"/>
      <c r="IC10" s="41"/>
      <c r="ID10" s="41"/>
      <c r="IE10" s="41"/>
      <c r="IF10" s="41"/>
      <c r="IG10" s="41"/>
      <c r="IH10" s="41"/>
      <c r="II10" s="41"/>
      <c r="IJ10" s="41"/>
      <c r="IK10" s="41"/>
      <c r="IL10" s="41"/>
      <c r="IM10" s="41"/>
      <c r="IN10" s="41"/>
      <c r="IO10" s="41"/>
      <c r="IP10" s="41"/>
      <c r="IQ10" s="41"/>
      <c r="IR10" s="41"/>
      <c r="IS10" s="41"/>
      <c r="IT10" s="41"/>
      <c r="IU10" s="41"/>
      <c r="IV10" s="41"/>
      <c r="IW10" s="41"/>
      <c r="IX10" s="41"/>
      <c r="IY10" s="41"/>
      <c r="IZ10" s="41"/>
      <c r="JA10" s="41"/>
      <c r="JB10" s="41"/>
      <c r="JC10" s="41"/>
      <c r="JD10" s="41"/>
      <c r="JE10" s="41"/>
      <c r="JF10" s="41"/>
      <c r="JG10" s="41"/>
      <c r="JH10" s="41"/>
      <c r="JI10" s="41"/>
      <c r="JJ10" s="41"/>
      <c r="JK10" s="41"/>
      <c r="JL10" s="41"/>
      <c r="JM10" s="41"/>
      <c r="JN10" s="41"/>
      <c r="JO10" s="41"/>
      <c r="JP10" s="41"/>
      <c r="JQ10" s="41"/>
      <c r="JR10" s="41"/>
      <c r="JS10" s="41"/>
      <c r="JT10" s="41"/>
      <c r="JU10" s="41"/>
      <c r="JV10" s="41"/>
      <c r="JW10" s="41"/>
      <c r="JX10" s="41"/>
      <c r="JY10" s="41"/>
      <c r="JZ10" s="41"/>
      <c r="KA10" s="41"/>
      <c r="KB10" s="41"/>
      <c r="KC10" s="41"/>
      <c r="KD10" s="41"/>
      <c r="KE10" s="41"/>
      <c r="KF10" s="41"/>
      <c r="KG10" s="41"/>
      <c r="KH10" s="41"/>
      <c r="KI10" s="41"/>
      <c r="KJ10" s="41"/>
      <c r="KK10" s="41"/>
      <c r="KL10" s="41"/>
      <c r="KM10" s="41"/>
      <c r="KN10" s="41"/>
      <c r="KO10" s="41"/>
      <c r="KP10" s="41"/>
      <c r="KQ10" s="41"/>
      <c r="KR10" s="41"/>
      <c r="KS10" s="41"/>
      <c r="KT10" s="41"/>
      <c r="KU10" s="41"/>
      <c r="KV10" s="41"/>
      <c r="KW10" s="41"/>
      <c r="KX10" s="41"/>
      <c r="KY10" s="41"/>
      <c r="KZ10" s="41"/>
      <c r="LA10" s="41"/>
      <c r="LB10" s="41"/>
      <c r="LC10" s="41"/>
      <c r="LD10" s="41"/>
      <c r="LE10" s="41"/>
      <c r="LF10" s="41"/>
      <c r="LG10" s="41"/>
      <c r="LH10" s="41"/>
      <c r="LI10" s="41"/>
      <c r="LJ10" s="41"/>
      <c r="LK10" s="41"/>
      <c r="LL10" s="41"/>
      <c r="LM10" s="41"/>
      <c r="LN10" s="41"/>
      <c r="LO10" s="41"/>
      <c r="LP10" s="41"/>
      <c r="LQ10" s="41"/>
      <c r="LR10" s="41"/>
      <c r="LS10" s="41"/>
      <c r="LT10" s="41"/>
      <c r="LU10" s="41"/>
      <c r="LV10" s="41"/>
      <c r="LW10" s="41"/>
      <c r="LX10" s="41"/>
      <c r="LY10" s="41"/>
      <c r="LZ10" s="41"/>
      <c r="MA10" s="41"/>
      <c r="MB10" s="41"/>
      <c r="MC10" s="41"/>
      <c r="MD10" s="41"/>
      <c r="ME10" s="41"/>
      <c r="MF10" s="41"/>
      <c r="MG10" s="41"/>
      <c r="MH10" s="41"/>
      <c r="MI10" s="41"/>
      <c r="MJ10" s="41"/>
      <c r="MK10" s="41"/>
      <c r="ML10" s="41"/>
      <c r="MM10" s="41"/>
      <c r="MN10" s="41"/>
      <c r="MO10" s="41"/>
      <c r="MP10" s="41"/>
      <c r="MQ10" s="41"/>
      <c r="MR10" s="41"/>
      <c r="MS10" s="41"/>
      <c r="MT10" s="41"/>
      <c r="MU10" s="41"/>
      <c r="MV10" s="41"/>
      <c r="MW10" s="41"/>
      <c r="MX10" s="41"/>
      <c r="MY10" s="41"/>
      <c r="MZ10" s="41"/>
      <c r="NA10" s="41"/>
      <c r="NB10" s="41"/>
      <c r="NC10" s="41"/>
      <c r="ND10" s="41"/>
      <c r="NE10" s="41"/>
      <c r="NF10" s="41"/>
      <c r="NG10" s="41"/>
      <c r="NH10" s="41"/>
      <c r="NI10" s="41"/>
      <c r="NJ10" s="41"/>
      <c r="NK10" s="41"/>
      <c r="NL10" s="41"/>
      <c r="NM10" s="41"/>
      <c r="NN10" s="41"/>
      <c r="NO10" s="41"/>
      <c r="NP10" s="41"/>
      <c r="NQ10" s="41"/>
      <c r="NR10" s="41"/>
      <c r="NS10" s="41"/>
      <c r="NT10" s="41"/>
      <c r="NU10" s="41"/>
      <c r="NV10" s="41"/>
      <c r="NW10" s="41"/>
      <c r="NX10" s="41"/>
      <c r="NY10" s="41"/>
      <c r="NZ10" s="41"/>
      <c r="OA10" s="41"/>
      <c r="OB10" s="41"/>
      <c r="OC10" s="41"/>
      <c r="OD10" s="41"/>
      <c r="OE10" s="41"/>
      <c r="OF10" s="41"/>
      <c r="OG10" s="41"/>
      <c r="OH10" s="41"/>
      <c r="OI10" s="41"/>
      <c r="OJ10" s="41"/>
      <c r="OK10" s="41"/>
      <c r="OL10" s="41"/>
      <c r="OM10" s="41"/>
      <c r="ON10" s="41"/>
      <c r="OO10" s="41"/>
      <c r="OP10" s="41"/>
      <c r="OQ10" s="41"/>
      <c r="OR10" s="41"/>
      <c r="OS10" s="41"/>
      <c r="OT10" s="41"/>
      <c r="OU10" s="41"/>
      <c r="OV10" s="41"/>
      <c r="OW10" s="41"/>
      <c r="OX10" s="41"/>
      <c r="OY10" s="41"/>
      <c r="OZ10" s="41"/>
      <c r="PA10" s="41"/>
      <c r="PB10" s="41"/>
      <c r="PC10" s="41"/>
      <c r="PD10" s="41"/>
      <c r="PE10" s="41"/>
      <c r="PF10" s="41"/>
      <c r="PG10" s="41"/>
      <c r="PH10" s="41"/>
      <c r="PI10" s="41"/>
      <c r="PJ10" s="41"/>
      <c r="PK10" s="41"/>
      <c r="PL10" s="41"/>
      <c r="PM10" s="41"/>
      <c r="PN10" s="41"/>
      <c r="PO10" s="41"/>
      <c r="PP10" s="41"/>
      <c r="PQ10" s="41"/>
      <c r="PR10" s="41"/>
      <c r="PS10" s="41"/>
      <c r="PT10" s="41"/>
      <c r="PU10" s="41"/>
      <c r="PV10" s="41"/>
      <c r="PW10" s="41"/>
      <c r="PX10" s="41"/>
      <c r="PY10" s="41"/>
      <c r="PZ10" s="41"/>
      <c r="QA10" s="41"/>
      <c r="QB10" s="41"/>
      <c r="QC10" s="41"/>
      <c r="QD10" s="41"/>
      <c r="QE10" s="41"/>
      <c r="QF10" s="41"/>
      <c r="QG10" s="41"/>
      <c r="QH10" s="41"/>
      <c r="QI10" s="41"/>
      <c r="QJ10" s="41"/>
      <c r="QK10" s="41"/>
      <c r="QL10" s="41"/>
      <c r="QM10" s="41"/>
      <c r="QN10" s="41"/>
      <c r="QO10" s="41"/>
      <c r="QP10" s="41"/>
      <c r="QQ10" s="41"/>
      <c r="QR10" s="41"/>
      <c r="QS10" s="41"/>
      <c r="QT10" s="41"/>
      <c r="QU10" s="41"/>
      <c r="QV10" s="41"/>
      <c r="QW10" s="41"/>
      <c r="QX10" s="41"/>
      <c r="QY10" s="41"/>
      <c r="QZ10" s="41"/>
      <c r="RA10" s="41"/>
      <c r="RB10" s="41"/>
      <c r="RC10" s="41"/>
      <c r="RD10" s="41"/>
      <c r="RE10" s="41"/>
      <c r="RF10" s="41"/>
      <c r="RG10" s="41"/>
      <c r="RH10" s="41"/>
      <c r="RI10" s="41"/>
      <c r="RJ10" s="41"/>
      <c r="RK10" s="41"/>
      <c r="RL10" s="41"/>
      <c r="RM10" s="41"/>
      <c r="RN10" s="41"/>
      <c r="RO10" s="41"/>
      <c r="RP10" s="41"/>
      <c r="RQ10" s="41"/>
      <c r="RR10" s="41"/>
      <c r="RS10" s="41"/>
      <c r="RT10" s="41"/>
      <c r="RU10" s="41"/>
      <c r="RV10" s="41"/>
      <c r="RW10" s="41"/>
      <c r="RX10" s="41"/>
      <c r="RY10" s="41"/>
      <c r="RZ10" s="41"/>
      <c r="SA10" s="41"/>
      <c r="SB10" s="41"/>
      <c r="SC10" s="41"/>
      <c r="SD10" s="41"/>
      <c r="SE10" s="41"/>
      <c r="SF10" s="41"/>
      <c r="SG10" s="41"/>
      <c r="SH10" s="41"/>
      <c r="SI10" s="41"/>
      <c r="SJ10" s="41"/>
      <c r="SK10" s="41"/>
      <c r="SL10" s="41"/>
      <c r="SM10" s="41"/>
      <c r="SN10" s="41"/>
      <c r="SO10" s="41"/>
      <c r="SP10" s="41"/>
      <c r="SQ10" s="41"/>
      <c r="SR10" s="41"/>
      <c r="SS10" s="41"/>
      <c r="ST10" s="41"/>
      <c r="SU10" s="41"/>
      <c r="SV10" s="41"/>
      <c r="SW10" s="41"/>
      <c r="SX10" s="41"/>
      <c r="SY10" s="41"/>
      <c r="SZ10" s="41"/>
      <c r="TA10" s="41"/>
      <c r="TB10" s="41"/>
      <c r="TC10" s="41"/>
      <c r="TD10" s="41"/>
      <c r="TE10" s="41"/>
      <c r="TF10" s="41"/>
      <c r="TG10" s="41"/>
      <c r="TH10" s="41"/>
      <c r="TI10" s="41"/>
      <c r="TJ10" s="41"/>
      <c r="TK10" s="41"/>
      <c r="TL10" s="41"/>
      <c r="TM10" s="41"/>
      <c r="TN10" s="41"/>
      <c r="TO10" s="41"/>
      <c r="TP10" s="41"/>
      <c r="TQ10" s="41"/>
      <c r="TR10" s="41"/>
      <c r="TS10" s="41"/>
      <c r="TT10" s="41"/>
      <c r="TU10" s="41"/>
      <c r="TV10" s="41"/>
      <c r="TW10" s="41"/>
      <c r="TX10" s="41"/>
      <c r="TY10" s="41"/>
      <c r="TZ10" s="41"/>
      <c r="UA10" s="41"/>
      <c r="UB10" s="41"/>
      <c r="UC10" s="41"/>
      <c r="UD10" s="41"/>
      <c r="UE10" s="41"/>
      <c r="UF10" s="41"/>
      <c r="UG10" s="41"/>
      <c r="UH10" s="41"/>
      <c r="UI10" s="41"/>
      <c r="UJ10" s="41"/>
      <c r="UK10" s="41"/>
      <c r="UL10" s="41"/>
      <c r="UM10" s="41"/>
      <c r="UN10" s="41"/>
      <c r="UO10" s="41"/>
      <c r="UP10" s="41"/>
      <c r="UQ10" s="41"/>
      <c r="UR10" s="41"/>
      <c r="US10" s="41"/>
      <c r="UT10" s="41"/>
      <c r="UU10" s="41"/>
      <c r="UV10" s="41"/>
      <c r="UW10" s="41"/>
      <c r="UX10" s="41"/>
      <c r="UY10" s="41"/>
      <c r="UZ10" s="41"/>
      <c r="VA10" s="41"/>
      <c r="VB10" s="41"/>
      <c r="VC10" s="41"/>
      <c r="VD10" s="41"/>
      <c r="VE10" s="41"/>
      <c r="VF10" s="41"/>
      <c r="VG10" s="41"/>
      <c r="VH10" s="41"/>
      <c r="VI10" s="41"/>
      <c r="VJ10" s="41"/>
      <c r="VK10" s="41"/>
      <c r="VL10" s="41"/>
      <c r="VM10" s="41"/>
      <c r="VN10" s="41"/>
      <c r="VO10" s="41"/>
      <c r="VP10" s="41"/>
      <c r="VQ10" s="41"/>
      <c r="VR10" s="41"/>
      <c r="VS10" s="41"/>
      <c r="VT10" s="41"/>
      <c r="VU10" s="41"/>
      <c r="VV10" s="41"/>
      <c r="VW10" s="41"/>
      <c r="VX10" s="41"/>
      <c r="VY10" s="41"/>
      <c r="VZ10" s="41"/>
      <c r="WA10" s="41"/>
      <c r="WB10" s="41"/>
      <c r="WC10" s="41"/>
      <c r="WD10" s="41"/>
      <c r="WE10" s="41"/>
      <c r="WF10" s="41"/>
      <c r="WG10" s="41"/>
      <c r="WH10" s="41"/>
      <c r="WI10" s="41"/>
      <c r="WJ10" s="41"/>
      <c r="WK10" s="41"/>
      <c r="WL10" s="41"/>
      <c r="WM10" s="41"/>
      <c r="WN10" s="41"/>
      <c r="WO10" s="41"/>
      <c r="WP10" s="41"/>
      <c r="WQ10" s="41"/>
      <c r="WR10" s="41"/>
      <c r="WS10" s="41"/>
      <c r="WT10" s="41"/>
      <c r="WU10" s="41"/>
      <c r="WV10" s="41"/>
      <c r="WW10" s="41"/>
      <c r="WX10" s="41"/>
      <c r="WY10" s="41"/>
      <c r="WZ10" s="41"/>
      <c r="XA10" s="41"/>
      <c r="XB10" s="41"/>
      <c r="XC10" s="41"/>
      <c r="XD10" s="41"/>
      <c r="XE10" s="41"/>
      <c r="XF10" s="41"/>
      <c r="XG10" s="41"/>
      <c r="XH10" s="41"/>
      <c r="XI10" s="41"/>
      <c r="XJ10" s="41"/>
      <c r="XK10" s="41"/>
      <c r="XL10" s="41"/>
      <c r="XM10" s="41"/>
      <c r="XN10" s="41"/>
      <c r="XO10" s="41"/>
      <c r="XP10" s="41"/>
      <c r="XQ10" s="41"/>
      <c r="XR10" s="41"/>
      <c r="XS10" s="41"/>
      <c r="XT10" s="41"/>
      <c r="XU10" s="41"/>
      <c r="XV10" s="41"/>
      <c r="XW10" s="41"/>
      <c r="XX10" s="41"/>
      <c r="XY10" s="41"/>
      <c r="XZ10" s="41"/>
      <c r="YA10" s="41"/>
      <c r="YB10" s="41"/>
      <c r="YC10" s="41"/>
      <c r="YD10" s="41"/>
      <c r="YE10" s="41"/>
      <c r="YF10" s="41"/>
      <c r="YG10" s="41"/>
      <c r="YH10" s="41"/>
      <c r="YI10" s="41"/>
      <c r="YJ10" s="41"/>
      <c r="YK10" s="41"/>
      <c r="YL10" s="41"/>
      <c r="YM10" s="41"/>
      <c r="YN10" s="41"/>
      <c r="YO10" s="41"/>
      <c r="YP10" s="41"/>
      <c r="YQ10" s="41"/>
      <c r="YR10" s="41"/>
      <c r="YS10" s="41"/>
      <c r="YT10" s="41"/>
      <c r="YU10" s="41"/>
      <c r="YV10" s="41"/>
      <c r="YW10" s="41"/>
      <c r="YX10" s="41"/>
      <c r="YY10" s="41"/>
      <c r="YZ10" s="41"/>
      <c r="ZA10" s="41"/>
      <c r="ZB10" s="41"/>
      <c r="ZC10" s="41"/>
      <c r="ZD10" s="41"/>
      <c r="ZE10" s="41"/>
      <c r="ZF10" s="41"/>
      <c r="ZG10" s="41"/>
      <c r="ZH10" s="41"/>
      <c r="ZI10" s="41"/>
      <c r="ZJ10" s="41"/>
      <c r="ZK10" s="41"/>
      <c r="ZL10" s="41"/>
      <c r="ZM10" s="41"/>
      <c r="ZN10" s="41"/>
      <c r="ZO10" s="41"/>
      <c r="ZP10" s="41"/>
      <c r="ZQ10" s="41"/>
      <c r="ZR10" s="41"/>
      <c r="ZS10" s="41"/>
      <c r="ZT10" s="41"/>
      <c r="ZU10" s="41"/>
      <c r="ZV10" s="41"/>
      <c r="ZW10" s="41"/>
      <c r="ZX10" s="41"/>
      <c r="ZY10" s="41"/>
      <c r="ZZ10" s="41"/>
      <c r="AAA10" s="41"/>
      <c r="AAB10" s="41"/>
      <c r="AAC10" s="41"/>
      <c r="AAD10" s="41"/>
      <c r="AAE10" s="41"/>
      <c r="AAF10" s="41"/>
      <c r="AAG10" s="41"/>
      <c r="AAH10" s="41"/>
      <c r="AAI10" s="41"/>
      <c r="AAJ10" s="41"/>
      <c r="AAK10" s="41"/>
      <c r="AAL10" s="41"/>
      <c r="AAM10" s="41"/>
      <c r="AAN10" s="41"/>
      <c r="AAO10" s="41"/>
      <c r="AAP10" s="41"/>
      <c r="AAQ10" s="41"/>
      <c r="AAR10" s="41"/>
      <c r="AAS10" s="41"/>
      <c r="AAT10" s="41"/>
      <c r="AAU10" s="41"/>
      <c r="AAV10" s="41"/>
      <c r="AAW10" s="41"/>
      <c r="AAX10" s="41"/>
      <c r="AAY10" s="41"/>
      <c r="AAZ10" s="41"/>
      <c r="ABA10" s="41"/>
      <c r="ABB10" s="41"/>
      <c r="ABC10" s="41"/>
      <c r="ABD10" s="41"/>
      <c r="ABE10" s="41"/>
      <c r="ABF10" s="41"/>
      <c r="ABG10" s="41"/>
      <c r="ABH10" s="41"/>
      <c r="ABI10" s="41"/>
      <c r="ABJ10" s="41"/>
      <c r="ABK10" s="41"/>
      <c r="ABL10" s="41"/>
      <c r="ABM10" s="41"/>
      <c r="ABN10" s="41"/>
      <c r="ABO10" s="41"/>
      <c r="ABP10" s="41"/>
      <c r="ABQ10" s="41"/>
      <c r="ABR10" s="41"/>
      <c r="ABS10" s="41"/>
      <c r="ABT10" s="41"/>
      <c r="ABU10" s="41"/>
      <c r="ABV10" s="41"/>
      <c r="ABW10" s="41"/>
      <c r="ABX10" s="41"/>
      <c r="ABY10" s="41"/>
      <c r="ABZ10" s="41"/>
      <c r="ACA10" s="41"/>
      <c r="ACB10" s="41"/>
      <c r="ACC10" s="41"/>
      <c r="ACD10" s="41"/>
      <c r="ACE10" s="41"/>
      <c r="ACF10" s="41"/>
      <c r="ACG10" s="41"/>
      <c r="ACH10" s="41"/>
      <c r="ACI10" s="41"/>
      <c r="ACJ10" s="41"/>
      <c r="ACK10" s="41"/>
      <c r="ACL10" s="41"/>
      <c r="ACM10" s="41"/>
      <c r="ACN10" s="41"/>
      <c r="ACO10" s="41"/>
      <c r="ACP10" s="41"/>
      <c r="ACQ10" s="41"/>
      <c r="ACR10" s="41"/>
      <c r="ACS10" s="41"/>
      <c r="ACT10" s="41"/>
      <c r="ACU10" s="41"/>
      <c r="ACV10" s="41"/>
      <c r="ACW10" s="41"/>
      <c r="ACX10" s="41"/>
      <c r="ACY10" s="41"/>
      <c r="ACZ10" s="41"/>
      <c r="ADA10" s="41"/>
      <c r="ADB10" s="41"/>
      <c r="ADC10" s="41"/>
      <c r="ADD10" s="41"/>
      <c r="ADE10" s="41"/>
      <c r="ADF10" s="41"/>
      <c r="ADG10" s="41"/>
      <c r="ADH10" s="41"/>
      <c r="ADI10" s="41"/>
      <c r="ADJ10" s="41"/>
      <c r="ADK10" s="41"/>
      <c r="ADL10" s="41"/>
      <c r="ADM10" s="41"/>
      <c r="ADN10" s="41"/>
      <c r="ADO10" s="41"/>
      <c r="ADP10" s="41"/>
      <c r="ADQ10" s="41"/>
      <c r="ADR10" s="41"/>
      <c r="ADS10" s="41"/>
      <c r="ADT10" s="41"/>
      <c r="ADU10" s="41"/>
      <c r="ADV10" s="41"/>
      <c r="ADW10" s="41"/>
      <c r="ADX10" s="41"/>
      <c r="ADY10" s="41"/>
      <c r="ADZ10" s="41"/>
      <c r="AEA10" s="41"/>
      <c r="AEB10" s="41"/>
      <c r="AEC10" s="41"/>
      <c r="AED10" s="41"/>
      <c r="AEE10" s="41"/>
      <c r="AEF10" s="41"/>
      <c r="AEG10" s="41"/>
      <c r="AEH10" s="41"/>
      <c r="AEI10" s="41"/>
      <c r="AEJ10" s="41"/>
      <c r="AEK10" s="41"/>
      <c r="AEL10" s="41"/>
      <c r="AEM10" s="41"/>
      <c r="AEN10" s="41"/>
      <c r="AEO10" s="41"/>
      <c r="AEP10" s="41"/>
      <c r="AEQ10" s="41"/>
      <c r="AER10" s="41"/>
      <c r="AES10" s="41"/>
      <c r="AET10" s="41"/>
      <c r="AEU10" s="41"/>
      <c r="AEV10" s="41"/>
      <c r="AEW10" s="41"/>
      <c r="AEX10" s="41"/>
      <c r="AEY10" s="41"/>
      <c r="AEZ10" s="41"/>
      <c r="AFA10" s="41"/>
      <c r="AFB10" s="41"/>
      <c r="AFC10" s="41"/>
      <c r="AFD10" s="41"/>
      <c r="AFE10" s="41"/>
      <c r="AFF10" s="41"/>
      <c r="AFG10" s="41"/>
      <c r="AFH10" s="41"/>
      <c r="AFI10" s="41"/>
      <c r="AFJ10" s="41"/>
      <c r="AFK10" s="41"/>
      <c r="AFL10" s="41"/>
      <c r="AFM10" s="41"/>
      <c r="AFN10" s="41"/>
      <c r="AFO10" s="41"/>
      <c r="AFP10" s="41"/>
      <c r="AFQ10" s="41"/>
      <c r="AFR10" s="41"/>
      <c r="AFS10" s="41"/>
      <c r="AFT10" s="41"/>
      <c r="AFU10" s="41"/>
      <c r="AFV10" s="41"/>
      <c r="AFW10" s="41"/>
      <c r="AFX10" s="41"/>
      <c r="AFY10" s="41"/>
      <c r="AFZ10" s="41"/>
      <c r="AGA10" s="41"/>
      <c r="AGB10" s="41"/>
      <c r="AGC10" s="41"/>
      <c r="AGD10" s="41"/>
      <c r="AGE10" s="41"/>
      <c r="AGF10" s="41"/>
      <c r="AGG10" s="41"/>
      <c r="AGH10" s="41"/>
      <c r="AGI10" s="41"/>
      <c r="AGJ10" s="41"/>
      <c r="AGK10" s="41"/>
      <c r="AGL10" s="41"/>
      <c r="AGM10" s="41"/>
      <c r="AGN10" s="41"/>
      <c r="AGO10" s="41"/>
      <c r="AGP10" s="41"/>
      <c r="AGQ10" s="41"/>
      <c r="AGR10" s="41"/>
      <c r="AGS10" s="41"/>
      <c r="AGT10" s="41"/>
      <c r="AGU10" s="41"/>
      <c r="AGV10" s="41"/>
      <c r="AGW10" s="41"/>
      <c r="AGX10" s="41"/>
      <c r="AGY10" s="41"/>
      <c r="AGZ10" s="41"/>
      <c r="AHA10" s="41"/>
      <c r="AHB10" s="41"/>
      <c r="AHC10" s="41"/>
      <c r="AHD10" s="41"/>
      <c r="AHE10" s="41"/>
      <c r="AHF10" s="41"/>
      <c r="AHG10" s="41"/>
      <c r="AHH10" s="41"/>
      <c r="AHI10" s="41"/>
      <c r="AHJ10" s="41"/>
      <c r="AHK10" s="41"/>
      <c r="AHL10" s="41"/>
      <c r="AHM10" s="41"/>
      <c r="AHN10" s="41"/>
      <c r="AHO10" s="41"/>
      <c r="AHP10" s="41"/>
      <c r="AHQ10" s="41"/>
      <c r="AHR10" s="41"/>
      <c r="AHS10" s="41"/>
      <c r="AHT10" s="41"/>
      <c r="AHU10" s="41"/>
      <c r="AHV10" s="41"/>
      <c r="AHW10" s="41"/>
      <c r="AHX10" s="41"/>
      <c r="AHY10" s="41"/>
      <c r="AHZ10" s="41"/>
      <c r="AIA10" s="41"/>
      <c r="AIB10" s="41"/>
      <c r="AIC10" s="41"/>
      <c r="AID10" s="41"/>
      <c r="AIE10" s="41"/>
      <c r="AIF10" s="41"/>
      <c r="AIG10" s="41"/>
      <c r="AIH10" s="41"/>
      <c r="AII10" s="41"/>
      <c r="AIJ10" s="41"/>
      <c r="AIK10" s="41"/>
      <c r="AIL10" s="41"/>
      <c r="AIM10" s="41"/>
      <c r="AIN10" s="41"/>
      <c r="AIO10" s="41"/>
      <c r="AIP10" s="41"/>
      <c r="AIQ10" s="41"/>
      <c r="AIR10" s="41"/>
      <c r="AIS10" s="41"/>
      <c r="AIT10" s="41"/>
      <c r="AIU10" s="41"/>
      <c r="AIV10" s="41"/>
      <c r="AIW10" s="41"/>
      <c r="AIX10" s="41"/>
      <c r="AIY10" s="41"/>
      <c r="AIZ10" s="41"/>
      <c r="AJA10" s="41"/>
      <c r="AJB10" s="41"/>
      <c r="AJC10" s="41"/>
      <c r="AJD10" s="41"/>
      <c r="AJE10" s="41"/>
      <c r="AJF10" s="41"/>
      <c r="AJG10" s="41"/>
      <c r="AJH10" s="41"/>
      <c r="AJI10" s="41"/>
      <c r="AJJ10" s="41"/>
      <c r="AJK10" s="41"/>
      <c r="AJL10" s="41"/>
      <c r="AJM10" s="41"/>
      <c r="AJN10" s="41"/>
      <c r="AJO10" s="41"/>
      <c r="AJP10" s="41"/>
      <c r="AJQ10" s="41"/>
      <c r="AJR10" s="41"/>
      <c r="AJS10" s="41"/>
      <c r="AJT10" s="41"/>
      <c r="AJU10" s="41"/>
      <c r="AJV10" s="41"/>
      <c r="AJW10" s="41"/>
      <c r="AJX10" s="41"/>
      <c r="AJY10" s="41"/>
      <c r="AJZ10" s="41"/>
      <c r="AKA10" s="41"/>
      <c r="AKB10" s="41"/>
      <c r="AKC10" s="41"/>
      <c r="AKD10" s="41"/>
      <c r="AKE10" s="41"/>
      <c r="AKF10" s="41"/>
      <c r="AKG10" s="41"/>
      <c r="AKH10" s="41"/>
      <c r="AKI10" s="41"/>
      <c r="AKJ10" s="41"/>
      <c r="AKK10" s="41"/>
      <c r="AKL10" s="41"/>
      <c r="AKM10" s="41"/>
      <c r="AKN10" s="41"/>
      <c r="AKO10" s="41"/>
      <c r="AKP10" s="41"/>
      <c r="AKQ10" s="41"/>
      <c r="AKR10" s="41"/>
      <c r="AKS10" s="41"/>
      <c r="AKT10" s="41"/>
      <c r="AKU10" s="41"/>
      <c r="AKV10" s="41"/>
      <c r="AKW10" s="41"/>
      <c r="AKX10" s="41"/>
      <c r="AKY10" s="41"/>
      <c r="AKZ10" s="41"/>
      <c r="ALA10" s="41"/>
      <c r="ALB10" s="41"/>
      <c r="ALC10" s="41"/>
      <c r="ALD10" s="41"/>
      <c r="ALE10" s="41"/>
      <c r="ALF10" s="41"/>
      <c r="ALG10" s="41"/>
      <c r="ALH10" s="41"/>
      <c r="ALI10" s="41"/>
      <c r="ALJ10" s="41"/>
      <c r="ALK10" s="41"/>
      <c r="ALL10" s="41"/>
      <c r="ALM10" s="41"/>
      <c r="ALN10" s="41"/>
      <c r="ALO10" s="41"/>
      <c r="ALP10" s="41"/>
      <c r="ALQ10" s="41"/>
      <c r="ALR10" s="41"/>
      <c r="ALS10" s="41"/>
      <c r="ALT10" s="41"/>
      <c r="ALU10" s="41"/>
      <c r="ALV10" s="41"/>
      <c r="ALW10" s="41"/>
      <c r="ALX10" s="41"/>
      <c r="ALY10" s="41"/>
      <c r="ALZ10" s="41"/>
      <c r="AMA10" s="41"/>
      <c r="AMB10" s="41"/>
      <c r="AMC10" s="41"/>
      <c r="AMD10" s="41"/>
      <c r="AME10" s="41"/>
      <c r="AMF10" s="41"/>
      <c r="AMG10" s="41"/>
      <c r="AMH10" s="41"/>
      <c r="AMI10" s="41"/>
      <c r="AMJ10" s="41"/>
      <c r="AMK10" s="41"/>
      <c r="AML10" s="41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FR11" s="41"/>
      <c r="FS11" s="41"/>
      <c r="FT11" s="41"/>
      <c r="FU11" s="41"/>
      <c r="FV11" s="41"/>
      <c r="FW11" s="41"/>
      <c r="FX11" s="41"/>
      <c r="FY11" s="41"/>
      <c r="FZ11" s="41"/>
      <c r="GA11" s="41"/>
      <c r="GB11" s="41"/>
      <c r="GC11" s="41"/>
      <c r="GD11" s="41"/>
      <c r="GE11" s="41"/>
      <c r="GF11" s="41"/>
      <c r="GG11" s="41"/>
      <c r="GH11" s="41"/>
      <c r="GI11" s="41"/>
      <c r="GJ11" s="41"/>
      <c r="GK11" s="41"/>
      <c r="GL11" s="41"/>
      <c r="GM11" s="41"/>
      <c r="GN11" s="41"/>
      <c r="GO11" s="41"/>
      <c r="GP11" s="41"/>
      <c r="GQ11" s="41"/>
      <c r="GR11" s="41"/>
      <c r="GS11" s="41"/>
      <c r="GT11" s="41"/>
      <c r="GU11" s="41"/>
      <c r="GV11" s="41"/>
      <c r="GW11" s="41"/>
      <c r="GX11" s="41"/>
      <c r="GY11" s="41"/>
      <c r="GZ11" s="41"/>
      <c r="HA11" s="41"/>
      <c r="HB11" s="41"/>
      <c r="HC11" s="41"/>
      <c r="HD11" s="41"/>
      <c r="HE11" s="41"/>
      <c r="HF11" s="41"/>
      <c r="HG11" s="41"/>
      <c r="HH11" s="41"/>
      <c r="HI11" s="41"/>
      <c r="HJ11" s="41"/>
      <c r="HK11" s="41"/>
      <c r="HL11" s="41"/>
      <c r="HM11" s="41"/>
      <c r="HN11" s="41"/>
      <c r="HO11" s="41"/>
      <c r="HP11" s="41"/>
      <c r="HQ11" s="41"/>
      <c r="HR11" s="41"/>
      <c r="HS11" s="41"/>
      <c r="HT11" s="41"/>
      <c r="HU11" s="41"/>
      <c r="HV11" s="41"/>
      <c r="HW11" s="41"/>
      <c r="HX11" s="41"/>
      <c r="HY11" s="41"/>
      <c r="HZ11" s="41"/>
      <c r="IA11" s="41"/>
      <c r="IB11" s="41"/>
      <c r="IC11" s="41"/>
      <c r="ID11" s="41"/>
      <c r="IE11" s="41"/>
      <c r="IF11" s="41"/>
      <c r="IG11" s="41"/>
      <c r="IH11" s="41"/>
      <c r="II11" s="41"/>
      <c r="IJ11" s="41"/>
      <c r="IK11" s="41"/>
      <c r="IL11" s="41"/>
      <c r="IM11" s="41"/>
      <c r="IN11" s="41"/>
      <c r="IO11" s="41"/>
      <c r="IP11" s="41"/>
      <c r="IQ11" s="41"/>
      <c r="IR11" s="41"/>
      <c r="IS11" s="41"/>
      <c r="IT11" s="41"/>
      <c r="IU11" s="41"/>
      <c r="IV11" s="41"/>
      <c r="IW11" s="41"/>
      <c r="IX11" s="41"/>
      <c r="IY11" s="41"/>
      <c r="IZ11" s="41"/>
      <c r="JA11" s="41"/>
      <c r="JB11" s="41"/>
      <c r="JC11" s="41"/>
      <c r="JD11" s="41"/>
      <c r="JE11" s="41"/>
      <c r="JF11" s="41"/>
      <c r="JG11" s="41"/>
      <c r="JH11" s="41"/>
      <c r="JI11" s="41"/>
      <c r="JJ11" s="41"/>
      <c r="JK11" s="41"/>
      <c r="JL11" s="41"/>
      <c r="JM11" s="41"/>
      <c r="JN11" s="41"/>
      <c r="JO11" s="41"/>
      <c r="JP11" s="41"/>
      <c r="JQ11" s="41"/>
      <c r="JR11" s="41"/>
      <c r="JS11" s="41"/>
      <c r="JT11" s="41"/>
      <c r="JU11" s="41"/>
      <c r="JV11" s="41"/>
      <c r="JW11" s="41"/>
      <c r="JX11" s="41"/>
      <c r="JY11" s="41"/>
      <c r="JZ11" s="41"/>
      <c r="KA11" s="41"/>
      <c r="KB11" s="41"/>
      <c r="KC11" s="41"/>
      <c r="KD11" s="41"/>
      <c r="KE11" s="41"/>
      <c r="KF11" s="41"/>
      <c r="KG11" s="41"/>
      <c r="KH11" s="41"/>
      <c r="KI11" s="41"/>
      <c r="KJ11" s="41"/>
      <c r="KK11" s="41"/>
      <c r="KL11" s="41"/>
      <c r="KM11" s="41"/>
      <c r="KN11" s="41"/>
      <c r="KO11" s="41"/>
      <c r="KP11" s="41"/>
      <c r="KQ11" s="41"/>
      <c r="KR11" s="41"/>
      <c r="KS11" s="41"/>
      <c r="KT11" s="41"/>
      <c r="KU11" s="41"/>
      <c r="KV11" s="41"/>
      <c r="KW11" s="41"/>
      <c r="KX11" s="41"/>
      <c r="KY11" s="41"/>
      <c r="KZ11" s="41"/>
      <c r="LA11" s="41"/>
      <c r="LB11" s="41"/>
      <c r="LC11" s="41"/>
      <c r="LD11" s="41"/>
      <c r="LE11" s="41"/>
      <c r="LF11" s="41"/>
      <c r="LG11" s="41"/>
      <c r="LH11" s="41"/>
      <c r="LI11" s="41"/>
      <c r="LJ11" s="41"/>
      <c r="LK11" s="41"/>
      <c r="LL11" s="41"/>
      <c r="LM11" s="41"/>
      <c r="LN11" s="41"/>
      <c r="LO11" s="41"/>
      <c r="LP11" s="41"/>
      <c r="LQ11" s="41"/>
      <c r="LR11" s="41"/>
      <c r="LS11" s="41"/>
      <c r="LT11" s="41"/>
      <c r="LU11" s="41"/>
      <c r="LV11" s="41"/>
      <c r="LW11" s="41"/>
      <c r="LX11" s="41"/>
      <c r="LY11" s="41"/>
      <c r="LZ11" s="41"/>
      <c r="MA11" s="41"/>
      <c r="MB11" s="41"/>
      <c r="MC11" s="41"/>
      <c r="MD11" s="41"/>
      <c r="ME11" s="41"/>
      <c r="MF11" s="41"/>
      <c r="MG11" s="41"/>
      <c r="MH11" s="41"/>
      <c r="MI11" s="41"/>
      <c r="MJ11" s="41"/>
      <c r="MK11" s="41"/>
      <c r="ML11" s="41"/>
      <c r="MM11" s="41"/>
      <c r="MN11" s="41"/>
      <c r="MO11" s="41"/>
      <c r="MP11" s="41"/>
      <c r="MQ11" s="41"/>
      <c r="MR11" s="41"/>
      <c r="MS11" s="41"/>
      <c r="MT11" s="41"/>
      <c r="MU11" s="41"/>
      <c r="MV11" s="41"/>
      <c r="MW11" s="41"/>
      <c r="MX11" s="41"/>
      <c r="MY11" s="41"/>
      <c r="MZ11" s="41"/>
      <c r="NA11" s="41"/>
      <c r="NB11" s="41"/>
      <c r="NC11" s="41"/>
      <c r="ND11" s="41"/>
      <c r="NE11" s="41"/>
      <c r="NF11" s="41"/>
      <c r="NG11" s="41"/>
      <c r="NH11" s="41"/>
      <c r="NI11" s="41"/>
      <c r="NJ11" s="41"/>
      <c r="NK11" s="41"/>
      <c r="NL11" s="41"/>
      <c r="NM11" s="41"/>
      <c r="NN11" s="41"/>
      <c r="NO11" s="41"/>
      <c r="NP11" s="41"/>
      <c r="NQ11" s="41"/>
      <c r="NR11" s="41"/>
      <c r="NS11" s="41"/>
      <c r="NT11" s="41"/>
      <c r="NU11" s="41"/>
      <c r="NV11" s="41"/>
      <c r="NW11" s="41"/>
      <c r="NX11" s="41"/>
      <c r="NY11" s="41"/>
      <c r="NZ11" s="41"/>
      <c r="OA11" s="41"/>
      <c r="OB11" s="41"/>
      <c r="OC11" s="41"/>
      <c r="OD11" s="41"/>
      <c r="OE11" s="41"/>
      <c r="OF11" s="41"/>
      <c r="OG11" s="41"/>
      <c r="OH11" s="41"/>
      <c r="OI11" s="41"/>
      <c r="OJ11" s="41"/>
      <c r="OK11" s="41"/>
      <c r="OL11" s="41"/>
      <c r="OM11" s="41"/>
      <c r="ON11" s="41"/>
      <c r="OO11" s="41"/>
      <c r="OP11" s="41"/>
      <c r="OQ11" s="41"/>
      <c r="OR11" s="41"/>
      <c r="OS11" s="41"/>
      <c r="OT11" s="41"/>
      <c r="OU11" s="41"/>
      <c r="OV11" s="41"/>
      <c r="OW11" s="41"/>
      <c r="OX11" s="41"/>
      <c r="OY11" s="41"/>
      <c r="OZ11" s="41"/>
      <c r="PA11" s="41"/>
      <c r="PB11" s="41"/>
      <c r="PC11" s="41"/>
      <c r="PD11" s="41"/>
      <c r="PE11" s="41"/>
      <c r="PF11" s="41"/>
      <c r="PG11" s="41"/>
      <c r="PH11" s="41"/>
      <c r="PI11" s="41"/>
      <c r="PJ11" s="41"/>
      <c r="PK11" s="41"/>
      <c r="PL11" s="41"/>
      <c r="PM11" s="41"/>
      <c r="PN11" s="41"/>
      <c r="PO11" s="41"/>
      <c r="PP11" s="41"/>
      <c r="PQ11" s="41"/>
      <c r="PR11" s="41"/>
      <c r="PS11" s="41"/>
      <c r="PT11" s="41"/>
      <c r="PU11" s="41"/>
      <c r="PV11" s="41"/>
      <c r="PW11" s="41"/>
      <c r="PX11" s="41"/>
      <c r="PY11" s="41"/>
      <c r="PZ11" s="41"/>
      <c r="QA11" s="41"/>
      <c r="QB11" s="41"/>
      <c r="QC11" s="41"/>
      <c r="QD11" s="41"/>
      <c r="QE11" s="41"/>
      <c r="QF11" s="41"/>
      <c r="QG11" s="41"/>
      <c r="QH11" s="41"/>
      <c r="QI11" s="41"/>
      <c r="QJ11" s="41"/>
      <c r="QK11" s="41"/>
      <c r="QL11" s="41"/>
      <c r="QM11" s="41"/>
      <c r="QN11" s="41"/>
      <c r="QO11" s="41"/>
      <c r="QP11" s="41"/>
      <c r="QQ11" s="41"/>
      <c r="QR11" s="41"/>
      <c r="QS11" s="41"/>
      <c r="QT11" s="41"/>
      <c r="QU11" s="41"/>
      <c r="QV11" s="41"/>
      <c r="QW11" s="41"/>
      <c r="QX11" s="41"/>
      <c r="QY11" s="41"/>
      <c r="QZ11" s="41"/>
      <c r="RA11" s="41"/>
      <c r="RB11" s="41"/>
      <c r="RC11" s="41"/>
      <c r="RD11" s="41"/>
      <c r="RE11" s="41"/>
      <c r="RF11" s="41"/>
      <c r="RG11" s="41"/>
      <c r="RH11" s="41"/>
      <c r="RI11" s="41"/>
      <c r="RJ11" s="41"/>
      <c r="RK11" s="41"/>
      <c r="RL11" s="41"/>
      <c r="RM11" s="41"/>
      <c r="RN11" s="41"/>
      <c r="RO11" s="41"/>
      <c r="RP11" s="41"/>
      <c r="RQ11" s="41"/>
      <c r="RR11" s="41"/>
      <c r="RS11" s="41"/>
      <c r="RT11" s="41"/>
      <c r="RU11" s="41"/>
      <c r="RV11" s="41"/>
      <c r="RW11" s="41"/>
      <c r="RX11" s="41"/>
      <c r="RY11" s="41"/>
      <c r="RZ11" s="41"/>
      <c r="SA11" s="41"/>
      <c r="SB11" s="41"/>
      <c r="SC11" s="41"/>
      <c r="SD11" s="41"/>
      <c r="SE11" s="41"/>
      <c r="SF11" s="41"/>
      <c r="SG11" s="41"/>
      <c r="SH11" s="41"/>
      <c r="SI11" s="41"/>
      <c r="SJ11" s="41"/>
      <c r="SK11" s="41"/>
      <c r="SL11" s="41"/>
      <c r="SM11" s="41"/>
      <c r="SN11" s="41"/>
      <c r="SO11" s="41"/>
      <c r="SP11" s="41"/>
      <c r="SQ11" s="41"/>
      <c r="SR11" s="41"/>
      <c r="SS11" s="41"/>
      <c r="ST11" s="41"/>
      <c r="SU11" s="41"/>
      <c r="SV11" s="41"/>
      <c r="SW11" s="41"/>
      <c r="SX11" s="41"/>
      <c r="SY11" s="41"/>
      <c r="SZ11" s="41"/>
      <c r="TA11" s="41"/>
      <c r="TB11" s="41"/>
      <c r="TC11" s="41"/>
      <c r="TD11" s="41"/>
      <c r="TE11" s="41"/>
      <c r="TF11" s="41"/>
      <c r="TG11" s="41"/>
      <c r="TH11" s="41"/>
      <c r="TI11" s="41"/>
      <c r="TJ11" s="41"/>
      <c r="TK11" s="41"/>
      <c r="TL11" s="41"/>
      <c r="TM11" s="41"/>
      <c r="TN11" s="41"/>
      <c r="TO11" s="41"/>
      <c r="TP11" s="41"/>
      <c r="TQ11" s="41"/>
      <c r="TR11" s="41"/>
      <c r="TS11" s="41"/>
      <c r="TT11" s="41"/>
      <c r="TU11" s="41"/>
      <c r="TV11" s="41"/>
      <c r="TW11" s="41"/>
      <c r="TX11" s="41"/>
      <c r="TY11" s="41"/>
      <c r="TZ11" s="41"/>
      <c r="UA11" s="41"/>
      <c r="UB11" s="41"/>
      <c r="UC11" s="41"/>
      <c r="UD11" s="41"/>
      <c r="UE11" s="41"/>
      <c r="UF11" s="41"/>
      <c r="UG11" s="41"/>
      <c r="UH11" s="41"/>
      <c r="UI11" s="41"/>
      <c r="UJ11" s="41"/>
      <c r="UK11" s="41"/>
      <c r="UL11" s="41"/>
      <c r="UM11" s="41"/>
      <c r="UN11" s="41"/>
      <c r="UO11" s="41"/>
      <c r="UP11" s="41"/>
      <c r="UQ11" s="41"/>
      <c r="UR11" s="41"/>
      <c r="US11" s="41"/>
      <c r="UT11" s="41"/>
      <c r="UU11" s="41"/>
      <c r="UV11" s="41"/>
      <c r="UW11" s="41"/>
      <c r="UX11" s="41"/>
      <c r="UY11" s="41"/>
      <c r="UZ11" s="41"/>
      <c r="VA11" s="41"/>
      <c r="VB11" s="41"/>
      <c r="VC11" s="41"/>
      <c r="VD11" s="41"/>
      <c r="VE11" s="41"/>
      <c r="VF11" s="41"/>
      <c r="VG11" s="41"/>
      <c r="VH11" s="41"/>
      <c r="VI11" s="41"/>
      <c r="VJ11" s="41"/>
      <c r="VK11" s="41"/>
      <c r="VL11" s="41"/>
      <c r="VM11" s="41"/>
      <c r="VN11" s="41"/>
      <c r="VO11" s="41"/>
      <c r="VP11" s="41"/>
      <c r="VQ11" s="41"/>
      <c r="VR11" s="41"/>
      <c r="VS11" s="41"/>
      <c r="VT11" s="41"/>
      <c r="VU11" s="41"/>
      <c r="VV11" s="41"/>
      <c r="VW11" s="41"/>
      <c r="VX11" s="41"/>
      <c r="VY11" s="41"/>
      <c r="VZ11" s="41"/>
      <c r="WA11" s="41"/>
      <c r="WB11" s="41"/>
      <c r="WC11" s="41"/>
      <c r="WD11" s="41"/>
      <c r="WE11" s="41"/>
      <c r="WF11" s="41"/>
      <c r="WG11" s="41"/>
      <c r="WH11" s="41"/>
      <c r="WI11" s="41"/>
      <c r="WJ11" s="41"/>
      <c r="WK11" s="41"/>
      <c r="WL11" s="41"/>
      <c r="WM11" s="41"/>
      <c r="WN11" s="41"/>
      <c r="WO11" s="41"/>
      <c r="WP11" s="41"/>
      <c r="WQ11" s="41"/>
      <c r="WR11" s="41"/>
      <c r="WS11" s="41"/>
      <c r="WT11" s="41"/>
      <c r="WU11" s="41"/>
      <c r="WV11" s="41"/>
      <c r="WW11" s="41"/>
      <c r="WX11" s="41"/>
      <c r="WY11" s="41"/>
      <c r="WZ11" s="41"/>
      <c r="XA11" s="41"/>
      <c r="XB11" s="41"/>
      <c r="XC11" s="41"/>
      <c r="XD11" s="41"/>
      <c r="XE11" s="41"/>
      <c r="XF11" s="41"/>
      <c r="XG11" s="41"/>
      <c r="XH11" s="41"/>
      <c r="XI11" s="41"/>
      <c r="XJ11" s="41"/>
      <c r="XK11" s="41"/>
      <c r="XL11" s="41"/>
      <c r="XM11" s="41"/>
      <c r="XN11" s="41"/>
      <c r="XO11" s="41"/>
      <c r="XP11" s="41"/>
      <c r="XQ11" s="41"/>
      <c r="XR11" s="41"/>
      <c r="XS11" s="41"/>
      <c r="XT11" s="41"/>
      <c r="XU11" s="41"/>
      <c r="XV11" s="41"/>
      <c r="XW11" s="41"/>
      <c r="XX11" s="41"/>
      <c r="XY11" s="41"/>
      <c r="XZ11" s="41"/>
      <c r="YA11" s="41"/>
      <c r="YB11" s="41"/>
      <c r="YC11" s="41"/>
      <c r="YD11" s="41"/>
      <c r="YE11" s="41"/>
      <c r="YF11" s="41"/>
      <c r="YG11" s="41"/>
      <c r="YH11" s="41"/>
      <c r="YI11" s="41"/>
      <c r="YJ11" s="41"/>
      <c r="YK11" s="41"/>
      <c r="YL11" s="41"/>
      <c r="YM11" s="41"/>
      <c r="YN11" s="41"/>
      <c r="YO11" s="41"/>
      <c r="YP11" s="41"/>
      <c r="YQ11" s="41"/>
      <c r="YR11" s="41"/>
      <c r="YS11" s="41"/>
      <c r="YT11" s="41"/>
      <c r="YU11" s="41"/>
      <c r="YV11" s="41"/>
      <c r="YW11" s="41"/>
      <c r="YX11" s="41"/>
      <c r="YY11" s="41"/>
      <c r="YZ11" s="41"/>
      <c r="ZA11" s="41"/>
      <c r="ZB11" s="41"/>
      <c r="ZC11" s="41"/>
      <c r="ZD11" s="41"/>
      <c r="ZE11" s="41"/>
      <c r="ZF11" s="41"/>
      <c r="ZG11" s="41"/>
      <c r="ZH11" s="41"/>
      <c r="ZI11" s="41"/>
      <c r="ZJ11" s="41"/>
      <c r="ZK11" s="41"/>
      <c r="ZL11" s="41"/>
      <c r="ZM11" s="41"/>
      <c r="ZN11" s="41"/>
      <c r="ZO11" s="41"/>
      <c r="ZP11" s="41"/>
      <c r="ZQ11" s="41"/>
      <c r="ZR11" s="41"/>
      <c r="ZS11" s="41"/>
      <c r="ZT11" s="41"/>
      <c r="ZU11" s="41"/>
      <c r="ZV11" s="41"/>
      <c r="ZW11" s="41"/>
      <c r="ZX11" s="41"/>
      <c r="ZY11" s="41"/>
      <c r="ZZ11" s="41"/>
      <c r="AAA11" s="41"/>
      <c r="AAB11" s="41"/>
      <c r="AAC11" s="41"/>
      <c r="AAD11" s="41"/>
      <c r="AAE11" s="41"/>
      <c r="AAF11" s="41"/>
      <c r="AAG11" s="41"/>
      <c r="AAH11" s="41"/>
      <c r="AAI11" s="41"/>
      <c r="AAJ11" s="41"/>
      <c r="AAK11" s="41"/>
      <c r="AAL11" s="41"/>
      <c r="AAM11" s="41"/>
      <c r="AAN11" s="41"/>
      <c r="AAO11" s="41"/>
      <c r="AAP11" s="41"/>
      <c r="AAQ11" s="41"/>
      <c r="AAR11" s="41"/>
      <c r="AAS11" s="41"/>
      <c r="AAT11" s="41"/>
      <c r="AAU11" s="41"/>
      <c r="AAV11" s="41"/>
      <c r="AAW11" s="41"/>
      <c r="AAX11" s="41"/>
      <c r="AAY11" s="41"/>
      <c r="AAZ11" s="41"/>
      <c r="ABA11" s="41"/>
      <c r="ABB11" s="41"/>
      <c r="ABC11" s="41"/>
      <c r="ABD11" s="41"/>
      <c r="ABE11" s="41"/>
      <c r="ABF11" s="41"/>
      <c r="ABG11" s="41"/>
      <c r="ABH11" s="41"/>
      <c r="ABI11" s="41"/>
      <c r="ABJ11" s="41"/>
      <c r="ABK11" s="41"/>
      <c r="ABL11" s="41"/>
      <c r="ABM11" s="41"/>
      <c r="ABN11" s="41"/>
      <c r="ABO11" s="41"/>
      <c r="ABP11" s="41"/>
      <c r="ABQ11" s="41"/>
      <c r="ABR11" s="41"/>
      <c r="ABS11" s="41"/>
      <c r="ABT11" s="41"/>
      <c r="ABU11" s="41"/>
      <c r="ABV11" s="41"/>
      <c r="ABW11" s="41"/>
      <c r="ABX11" s="41"/>
      <c r="ABY11" s="41"/>
      <c r="ABZ11" s="41"/>
      <c r="ACA11" s="41"/>
      <c r="ACB11" s="41"/>
      <c r="ACC11" s="41"/>
      <c r="ACD11" s="41"/>
      <c r="ACE11" s="41"/>
      <c r="ACF11" s="41"/>
      <c r="ACG11" s="41"/>
      <c r="ACH11" s="41"/>
      <c r="ACI11" s="41"/>
      <c r="ACJ11" s="41"/>
      <c r="ACK11" s="41"/>
      <c r="ACL11" s="41"/>
      <c r="ACM11" s="41"/>
      <c r="ACN11" s="41"/>
      <c r="ACO11" s="41"/>
      <c r="ACP11" s="41"/>
      <c r="ACQ11" s="41"/>
      <c r="ACR11" s="41"/>
      <c r="ACS11" s="41"/>
      <c r="ACT11" s="41"/>
      <c r="ACU11" s="41"/>
      <c r="ACV11" s="41"/>
      <c r="ACW11" s="41"/>
      <c r="ACX11" s="41"/>
      <c r="ACY11" s="41"/>
      <c r="ACZ11" s="41"/>
      <c r="ADA11" s="41"/>
      <c r="ADB11" s="41"/>
      <c r="ADC11" s="41"/>
      <c r="ADD11" s="41"/>
      <c r="ADE11" s="41"/>
      <c r="ADF11" s="41"/>
      <c r="ADG11" s="41"/>
      <c r="ADH11" s="41"/>
      <c r="ADI11" s="41"/>
      <c r="ADJ11" s="41"/>
      <c r="ADK11" s="41"/>
      <c r="ADL11" s="41"/>
      <c r="ADM11" s="41"/>
      <c r="ADN11" s="41"/>
      <c r="ADO11" s="41"/>
      <c r="ADP11" s="41"/>
      <c r="ADQ11" s="41"/>
      <c r="ADR11" s="41"/>
      <c r="ADS11" s="41"/>
      <c r="ADT11" s="41"/>
      <c r="ADU11" s="41"/>
      <c r="ADV11" s="41"/>
      <c r="ADW11" s="41"/>
      <c r="ADX11" s="41"/>
      <c r="ADY11" s="41"/>
      <c r="ADZ11" s="41"/>
      <c r="AEA11" s="41"/>
      <c r="AEB11" s="41"/>
      <c r="AEC11" s="41"/>
      <c r="AED11" s="41"/>
      <c r="AEE11" s="41"/>
      <c r="AEF11" s="41"/>
      <c r="AEG11" s="41"/>
      <c r="AEH11" s="41"/>
      <c r="AEI11" s="41"/>
      <c r="AEJ11" s="41"/>
      <c r="AEK11" s="41"/>
      <c r="AEL11" s="41"/>
      <c r="AEM11" s="41"/>
      <c r="AEN11" s="41"/>
      <c r="AEO11" s="41"/>
      <c r="AEP11" s="41"/>
      <c r="AEQ11" s="41"/>
      <c r="AER11" s="41"/>
      <c r="AES11" s="41"/>
      <c r="AET11" s="41"/>
      <c r="AEU11" s="41"/>
      <c r="AEV11" s="41"/>
      <c r="AEW11" s="41"/>
      <c r="AEX11" s="41"/>
      <c r="AEY11" s="41"/>
      <c r="AEZ11" s="41"/>
      <c r="AFA11" s="41"/>
      <c r="AFB11" s="41"/>
      <c r="AFC11" s="41"/>
      <c r="AFD11" s="41"/>
      <c r="AFE11" s="41"/>
      <c r="AFF11" s="41"/>
      <c r="AFG11" s="41"/>
      <c r="AFH11" s="41"/>
      <c r="AFI11" s="41"/>
      <c r="AFJ11" s="41"/>
      <c r="AFK11" s="41"/>
      <c r="AFL11" s="41"/>
      <c r="AFM11" s="41"/>
      <c r="AFN11" s="41"/>
      <c r="AFO11" s="41"/>
      <c r="AFP11" s="41"/>
      <c r="AFQ11" s="41"/>
      <c r="AFR11" s="41"/>
      <c r="AFS11" s="41"/>
      <c r="AFT11" s="41"/>
      <c r="AFU11" s="41"/>
      <c r="AFV11" s="41"/>
      <c r="AFW11" s="41"/>
      <c r="AFX11" s="41"/>
      <c r="AFY11" s="41"/>
      <c r="AFZ11" s="41"/>
      <c r="AGA11" s="41"/>
      <c r="AGB11" s="41"/>
      <c r="AGC11" s="41"/>
      <c r="AGD11" s="41"/>
      <c r="AGE11" s="41"/>
      <c r="AGF11" s="41"/>
      <c r="AGG11" s="41"/>
      <c r="AGH11" s="41"/>
      <c r="AGI11" s="41"/>
      <c r="AGJ11" s="41"/>
      <c r="AGK11" s="41"/>
      <c r="AGL11" s="41"/>
      <c r="AGM11" s="41"/>
      <c r="AGN11" s="41"/>
      <c r="AGO11" s="41"/>
      <c r="AGP11" s="41"/>
      <c r="AGQ11" s="41"/>
      <c r="AGR11" s="41"/>
      <c r="AGS11" s="41"/>
      <c r="AGT11" s="41"/>
      <c r="AGU11" s="41"/>
      <c r="AGV11" s="41"/>
      <c r="AGW11" s="41"/>
      <c r="AGX11" s="41"/>
      <c r="AGY11" s="41"/>
      <c r="AGZ11" s="41"/>
      <c r="AHA11" s="41"/>
      <c r="AHB11" s="41"/>
      <c r="AHC11" s="41"/>
      <c r="AHD11" s="41"/>
      <c r="AHE11" s="41"/>
      <c r="AHF11" s="41"/>
      <c r="AHG11" s="41"/>
      <c r="AHH11" s="41"/>
      <c r="AHI11" s="41"/>
      <c r="AHJ11" s="41"/>
      <c r="AHK11" s="41"/>
      <c r="AHL11" s="41"/>
      <c r="AHM11" s="41"/>
      <c r="AHN11" s="41"/>
      <c r="AHO11" s="41"/>
      <c r="AHP11" s="41"/>
      <c r="AHQ11" s="41"/>
      <c r="AHR11" s="41"/>
      <c r="AHS11" s="41"/>
      <c r="AHT11" s="41"/>
      <c r="AHU11" s="41"/>
      <c r="AHV11" s="41"/>
      <c r="AHW11" s="41"/>
      <c r="AHX11" s="41"/>
      <c r="AHY11" s="41"/>
      <c r="AHZ11" s="41"/>
      <c r="AIA11" s="41"/>
      <c r="AIB11" s="41"/>
      <c r="AIC11" s="41"/>
      <c r="AID11" s="41"/>
      <c r="AIE11" s="41"/>
      <c r="AIF11" s="41"/>
      <c r="AIG11" s="41"/>
      <c r="AIH11" s="41"/>
      <c r="AII11" s="41"/>
      <c r="AIJ11" s="41"/>
      <c r="AIK11" s="41"/>
      <c r="AIL11" s="41"/>
      <c r="AIM11" s="41"/>
      <c r="AIN11" s="41"/>
      <c r="AIO11" s="41"/>
      <c r="AIP11" s="41"/>
      <c r="AIQ11" s="41"/>
      <c r="AIR11" s="41"/>
      <c r="AIS11" s="41"/>
      <c r="AIT11" s="41"/>
      <c r="AIU11" s="41"/>
      <c r="AIV11" s="41"/>
      <c r="AIW11" s="41"/>
      <c r="AIX11" s="41"/>
      <c r="AIY11" s="41"/>
      <c r="AIZ11" s="41"/>
      <c r="AJA11" s="41"/>
      <c r="AJB11" s="41"/>
      <c r="AJC11" s="41"/>
      <c r="AJD11" s="41"/>
      <c r="AJE11" s="41"/>
      <c r="AJF11" s="41"/>
      <c r="AJG11" s="41"/>
      <c r="AJH11" s="41"/>
      <c r="AJI11" s="41"/>
      <c r="AJJ11" s="41"/>
      <c r="AJK11" s="41"/>
      <c r="AJL11" s="41"/>
      <c r="AJM11" s="41"/>
      <c r="AJN11" s="41"/>
      <c r="AJO11" s="41"/>
      <c r="AJP11" s="41"/>
      <c r="AJQ11" s="41"/>
      <c r="AJR11" s="41"/>
      <c r="AJS11" s="41"/>
      <c r="AJT11" s="41"/>
      <c r="AJU11" s="41"/>
      <c r="AJV11" s="41"/>
      <c r="AJW11" s="41"/>
      <c r="AJX11" s="41"/>
      <c r="AJY11" s="41"/>
      <c r="AJZ11" s="41"/>
      <c r="AKA11" s="41"/>
      <c r="AKB11" s="41"/>
      <c r="AKC11" s="41"/>
      <c r="AKD11" s="41"/>
      <c r="AKE11" s="41"/>
      <c r="AKF11" s="41"/>
      <c r="AKG11" s="41"/>
      <c r="AKH11" s="41"/>
      <c r="AKI11" s="41"/>
      <c r="AKJ11" s="41"/>
      <c r="AKK11" s="41"/>
      <c r="AKL11" s="41"/>
      <c r="AKM11" s="41"/>
      <c r="AKN11" s="41"/>
      <c r="AKO11" s="41"/>
      <c r="AKP11" s="41"/>
      <c r="AKQ11" s="41"/>
      <c r="AKR11" s="41"/>
      <c r="AKS11" s="41"/>
      <c r="AKT11" s="41"/>
      <c r="AKU11" s="41"/>
      <c r="AKV11" s="41"/>
      <c r="AKW11" s="41"/>
      <c r="AKX11" s="41"/>
      <c r="AKY11" s="41"/>
      <c r="AKZ11" s="41"/>
      <c r="ALA11" s="41"/>
      <c r="ALB11" s="41"/>
      <c r="ALC11" s="41"/>
      <c r="ALD11" s="41"/>
      <c r="ALE11" s="41"/>
      <c r="ALF11" s="41"/>
      <c r="ALG11" s="41"/>
      <c r="ALH11" s="41"/>
      <c r="ALI11" s="41"/>
      <c r="ALJ11" s="41"/>
      <c r="ALK11" s="41"/>
      <c r="ALL11" s="41"/>
      <c r="ALM11" s="41"/>
      <c r="ALN11" s="41"/>
      <c r="ALO11" s="41"/>
      <c r="ALP11" s="41"/>
      <c r="ALQ11" s="41"/>
      <c r="ALR11" s="41"/>
      <c r="ALS11" s="41"/>
      <c r="ALT11" s="41"/>
      <c r="ALU11" s="41"/>
      <c r="ALV11" s="41"/>
      <c r="ALW11" s="41"/>
      <c r="ALX11" s="41"/>
      <c r="ALY11" s="41"/>
      <c r="ALZ11" s="41"/>
      <c r="AMA11" s="41"/>
      <c r="AMB11" s="41"/>
      <c r="AMC11" s="41"/>
      <c r="AMD11" s="41"/>
      <c r="AME11" s="41"/>
      <c r="AMF11" s="41"/>
      <c r="AMG11" s="41"/>
      <c r="AMH11" s="41"/>
      <c r="AMI11" s="41"/>
      <c r="AMJ11" s="41"/>
      <c r="AMK11" s="41"/>
      <c r="AML11" s="41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FR12" s="41"/>
      <c r="FS12" s="41"/>
      <c r="FT12" s="41"/>
      <c r="FU12" s="41"/>
      <c r="FV12" s="41"/>
      <c r="FW12" s="41"/>
      <c r="FX12" s="41"/>
      <c r="FY12" s="41"/>
      <c r="FZ12" s="41"/>
      <c r="GA12" s="41"/>
      <c r="GB12" s="41"/>
      <c r="GC12" s="41"/>
      <c r="GD12" s="41"/>
      <c r="GE12" s="41"/>
      <c r="GF12" s="41"/>
      <c r="GG12" s="41"/>
      <c r="GH12" s="41"/>
      <c r="GI12" s="41"/>
      <c r="GJ12" s="41"/>
      <c r="GK12" s="41"/>
      <c r="GL12" s="41"/>
      <c r="GM12" s="41"/>
      <c r="GN12" s="41"/>
      <c r="GO12" s="41"/>
      <c r="GP12" s="41"/>
      <c r="GQ12" s="41"/>
      <c r="GR12" s="41"/>
      <c r="GS12" s="41"/>
      <c r="GT12" s="41"/>
      <c r="GU12" s="41"/>
      <c r="GV12" s="41"/>
      <c r="GW12" s="41"/>
      <c r="GX12" s="41"/>
      <c r="GY12" s="41"/>
      <c r="GZ12" s="41"/>
      <c r="HA12" s="41"/>
      <c r="HB12" s="41"/>
      <c r="HC12" s="41"/>
      <c r="HD12" s="41"/>
      <c r="HE12" s="41"/>
      <c r="HF12" s="41"/>
      <c r="HG12" s="41"/>
      <c r="HH12" s="41"/>
      <c r="HI12" s="41"/>
      <c r="HJ12" s="41"/>
      <c r="HK12" s="41"/>
      <c r="HL12" s="41"/>
      <c r="HM12" s="41"/>
      <c r="HN12" s="41"/>
      <c r="HO12" s="41"/>
      <c r="HP12" s="41"/>
      <c r="HQ12" s="41"/>
      <c r="HR12" s="41"/>
      <c r="HS12" s="41"/>
      <c r="HT12" s="41"/>
      <c r="HU12" s="41"/>
      <c r="HV12" s="41"/>
      <c r="HW12" s="41"/>
      <c r="HX12" s="41"/>
      <c r="HY12" s="41"/>
      <c r="HZ12" s="41"/>
      <c r="IA12" s="41"/>
      <c r="IB12" s="41"/>
      <c r="IC12" s="41"/>
      <c r="ID12" s="41"/>
      <c r="IE12" s="41"/>
      <c r="IF12" s="41"/>
      <c r="IG12" s="41"/>
      <c r="IH12" s="41"/>
      <c r="II12" s="41"/>
      <c r="IJ12" s="41"/>
      <c r="IK12" s="41"/>
      <c r="IL12" s="41"/>
      <c r="IM12" s="41"/>
      <c r="IN12" s="41"/>
      <c r="IO12" s="41"/>
      <c r="IP12" s="41"/>
      <c r="IQ12" s="41"/>
      <c r="IR12" s="41"/>
      <c r="IS12" s="41"/>
      <c r="IT12" s="41"/>
      <c r="IU12" s="41"/>
      <c r="IV12" s="41"/>
      <c r="IW12" s="41"/>
      <c r="IX12" s="41"/>
      <c r="IY12" s="41"/>
      <c r="IZ12" s="41"/>
      <c r="JA12" s="41"/>
      <c r="JB12" s="41"/>
      <c r="JC12" s="41"/>
      <c r="JD12" s="41"/>
      <c r="JE12" s="41"/>
      <c r="JF12" s="41"/>
      <c r="JG12" s="41"/>
      <c r="JH12" s="41"/>
      <c r="JI12" s="41"/>
      <c r="JJ12" s="41"/>
      <c r="JK12" s="41"/>
      <c r="JL12" s="41"/>
      <c r="JM12" s="41"/>
      <c r="JN12" s="41"/>
      <c r="JO12" s="41"/>
      <c r="JP12" s="41"/>
      <c r="JQ12" s="41"/>
      <c r="JR12" s="41"/>
      <c r="JS12" s="41"/>
      <c r="JT12" s="41"/>
      <c r="JU12" s="41"/>
      <c r="JV12" s="41"/>
      <c r="JW12" s="41"/>
      <c r="JX12" s="41"/>
      <c r="JY12" s="41"/>
      <c r="JZ12" s="41"/>
      <c r="KA12" s="41"/>
      <c r="KB12" s="41"/>
      <c r="KC12" s="41"/>
      <c r="KD12" s="41"/>
      <c r="KE12" s="41"/>
      <c r="KF12" s="41"/>
      <c r="KG12" s="41"/>
      <c r="KH12" s="41"/>
      <c r="KI12" s="41"/>
      <c r="KJ12" s="41"/>
      <c r="KK12" s="41"/>
      <c r="KL12" s="41"/>
      <c r="KM12" s="41"/>
      <c r="KN12" s="41"/>
      <c r="KO12" s="41"/>
      <c r="KP12" s="41"/>
      <c r="KQ12" s="41"/>
      <c r="KR12" s="41"/>
      <c r="KS12" s="41"/>
      <c r="KT12" s="41"/>
      <c r="KU12" s="41"/>
      <c r="KV12" s="41"/>
      <c r="KW12" s="41"/>
      <c r="KX12" s="41"/>
      <c r="KY12" s="41"/>
      <c r="KZ12" s="41"/>
      <c r="LA12" s="41"/>
      <c r="LB12" s="41"/>
      <c r="LC12" s="41"/>
      <c r="LD12" s="41"/>
      <c r="LE12" s="41"/>
      <c r="LF12" s="41"/>
      <c r="LG12" s="41"/>
      <c r="LH12" s="41"/>
      <c r="LI12" s="41"/>
      <c r="LJ12" s="41"/>
      <c r="LK12" s="41"/>
      <c r="LL12" s="41"/>
      <c r="LM12" s="41"/>
      <c r="LN12" s="41"/>
      <c r="LO12" s="41"/>
      <c r="LP12" s="41"/>
      <c r="LQ12" s="41"/>
      <c r="LR12" s="41"/>
      <c r="LS12" s="41"/>
      <c r="LT12" s="41"/>
      <c r="LU12" s="41"/>
      <c r="LV12" s="41"/>
      <c r="LW12" s="41"/>
      <c r="LX12" s="41"/>
      <c r="LY12" s="41"/>
      <c r="LZ12" s="41"/>
      <c r="MA12" s="41"/>
      <c r="MB12" s="41"/>
      <c r="MC12" s="41"/>
      <c r="MD12" s="41"/>
      <c r="ME12" s="41"/>
      <c r="MF12" s="41"/>
      <c r="MG12" s="41"/>
      <c r="MH12" s="41"/>
      <c r="MI12" s="41"/>
      <c r="MJ12" s="41"/>
      <c r="MK12" s="41"/>
      <c r="ML12" s="41"/>
      <c r="MM12" s="41"/>
      <c r="MN12" s="41"/>
      <c r="MO12" s="41"/>
      <c r="MP12" s="41"/>
      <c r="MQ12" s="41"/>
      <c r="MR12" s="41"/>
      <c r="MS12" s="41"/>
      <c r="MT12" s="41"/>
      <c r="MU12" s="41"/>
      <c r="MV12" s="41"/>
      <c r="MW12" s="41"/>
      <c r="MX12" s="41"/>
      <c r="MY12" s="41"/>
      <c r="MZ12" s="41"/>
      <c r="NA12" s="41"/>
      <c r="NB12" s="41"/>
      <c r="NC12" s="41"/>
      <c r="ND12" s="41"/>
      <c r="NE12" s="41"/>
      <c r="NF12" s="41"/>
      <c r="NG12" s="41"/>
      <c r="NH12" s="41"/>
      <c r="NI12" s="41"/>
      <c r="NJ12" s="41"/>
      <c r="NK12" s="41"/>
      <c r="NL12" s="41"/>
      <c r="NM12" s="41"/>
      <c r="NN12" s="41"/>
      <c r="NO12" s="41"/>
      <c r="NP12" s="41"/>
      <c r="NQ12" s="41"/>
      <c r="NR12" s="41"/>
      <c r="NS12" s="41"/>
      <c r="NT12" s="41"/>
      <c r="NU12" s="41"/>
      <c r="NV12" s="41"/>
      <c r="NW12" s="41"/>
      <c r="NX12" s="41"/>
      <c r="NY12" s="41"/>
      <c r="NZ12" s="41"/>
      <c r="OA12" s="41"/>
      <c r="OB12" s="41"/>
      <c r="OC12" s="41"/>
      <c r="OD12" s="41"/>
      <c r="OE12" s="41"/>
      <c r="OF12" s="41"/>
      <c r="OG12" s="41"/>
      <c r="OH12" s="41"/>
      <c r="OI12" s="41"/>
      <c r="OJ12" s="41"/>
      <c r="OK12" s="41"/>
      <c r="OL12" s="41"/>
      <c r="OM12" s="41"/>
      <c r="ON12" s="41"/>
      <c r="OO12" s="41"/>
      <c r="OP12" s="41"/>
      <c r="OQ12" s="41"/>
      <c r="OR12" s="41"/>
      <c r="OS12" s="41"/>
      <c r="OT12" s="41"/>
      <c r="OU12" s="41"/>
      <c r="OV12" s="41"/>
      <c r="OW12" s="41"/>
      <c r="OX12" s="41"/>
      <c r="OY12" s="41"/>
      <c r="OZ12" s="41"/>
      <c r="PA12" s="41"/>
      <c r="PB12" s="41"/>
      <c r="PC12" s="41"/>
      <c r="PD12" s="41"/>
      <c r="PE12" s="41"/>
      <c r="PF12" s="41"/>
      <c r="PG12" s="41"/>
      <c r="PH12" s="41"/>
      <c r="PI12" s="41"/>
      <c r="PJ12" s="41"/>
      <c r="PK12" s="41"/>
      <c r="PL12" s="41"/>
      <c r="PM12" s="41"/>
      <c r="PN12" s="41"/>
      <c r="PO12" s="41"/>
      <c r="PP12" s="41"/>
      <c r="PQ12" s="41"/>
      <c r="PR12" s="41"/>
      <c r="PS12" s="41"/>
      <c r="PT12" s="41"/>
      <c r="PU12" s="41"/>
      <c r="PV12" s="41"/>
      <c r="PW12" s="41"/>
      <c r="PX12" s="41"/>
      <c r="PY12" s="41"/>
      <c r="PZ12" s="41"/>
      <c r="QA12" s="41"/>
      <c r="QB12" s="41"/>
      <c r="QC12" s="41"/>
      <c r="QD12" s="41"/>
      <c r="QE12" s="41"/>
      <c r="QF12" s="41"/>
      <c r="QG12" s="41"/>
      <c r="QH12" s="41"/>
      <c r="QI12" s="41"/>
      <c r="QJ12" s="41"/>
      <c r="QK12" s="41"/>
      <c r="QL12" s="41"/>
      <c r="QM12" s="41"/>
      <c r="QN12" s="41"/>
      <c r="QO12" s="41"/>
      <c r="QP12" s="41"/>
      <c r="QQ12" s="41"/>
      <c r="QR12" s="41"/>
      <c r="QS12" s="41"/>
      <c r="QT12" s="41"/>
      <c r="QU12" s="41"/>
      <c r="QV12" s="41"/>
      <c r="QW12" s="41"/>
      <c r="QX12" s="41"/>
      <c r="QY12" s="41"/>
      <c r="QZ12" s="41"/>
      <c r="RA12" s="41"/>
      <c r="RB12" s="41"/>
      <c r="RC12" s="41"/>
      <c r="RD12" s="41"/>
      <c r="RE12" s="41"/>
      <c r="RF12" s="41"/>
      <c r="RG12" s="41"/>
      <c r="RH12" s="41"/>
      <c r="RI12" s="41"/>
      <c r="RJ12" s="41"/>
      <c r="RK12" s="41"/>
      <c r="RL12" s="41"/>
      <c r="RM12" s="41"/>
      <c r="RN12" s="41"/>
      <c r="RO12" s="41"/>
      <c r="RP12" s="41"/>
      <c r="RQ12" s="41"/>
      <c r="RR12" s="41"/>
      <c r="RS12" s="41"/>
      <c r="RT12" s="41"/>
      <c r="RU12" s="41"/>
      <c r="RV12" s="41"/>
      <c r="RW12" s="41"/>
      <c r="RX12" s="41"/>
      <c r="RY12" s="41"/>
      <c r="RZ12" s="41"/>
      <c r="SA12" s="41"/>
      <c r="SB12" s="41"/>
      <c r="SC12" s="41"/>
      <c r="SD12" s="41"/>
      <c r="SE12" s="41"/>
      <c r="SF12" s="41"/>
      <c r="SG12" s="41"/>
      <c r="SH12" s="41"/>
      <c r="SI12" s="41"/>
      <c r="SJ12" s="41"/>
      <c r="SK12" s="41"/>
      <c r="SL12" s="41"/>
      <c r="SM12" s="41"/>
      <c r="SN12" s="41"/>
      <c r="SO12" s="41"/>
      <c r="SP12" s="41"/>
      <c r="SQ12" s="41"/>
      <c r="SR12" s="41"/>
      <c r="SS12" s="41"/>
      <c r="ST12" s="41"/>
      <c r="SU12" s="41"/>
      <c r="SV12" s="41"/>
      <c r="SW12" s="41"/>
      <c r="SX12" s="41"/>
      <c r="SY12" s="41"/>
      <c r="SZ12" s="41"/>
      <c r="TA12" s="41"/>
      <c r="TB12" s="41"/>
      <c r="TC12" s="41"/>
      <c r="TD12" s="41"/>
      <c r="TE12" s="41"/>
      <c r="TF12" s="41"/>
      <c r="TG12" s="41"/>
      <c r="TH12" s="41"/>
      <c r="TI12" s="41"/>
      <c r="TJ12" s="41"/>
      <c r="TK12" s="41"/>
      <c r="TL12" s="41"/>
      <c r="TM12" s="41"/>
      <c r="TN12" s="41"/>
      <c r="TO12" s="41"/>
      <c r="TP12" s="41"/>
      <c r="TQ12" s="41"/>
      <c r="TR12" s="41"/>
      <c r="TS12" s="41"/>
      <c r="TT12" s="41"/>
      <c r="TU12" s="41"/>
      <c r="TV12" s="41"/>
      <c r="TW12" s="41"/>
      <c r="TX12" s="41"/>
      <c r="TY12" s="41"/>
      <c r="TZ12" s="41"/>
      <c r="UA12" s="41"/>
      <c r="UB12" s="41"/>
      <c r="UC12" s="41"/>
      <c r="UD12" s="41"/>
      <c r="UE12" s="41"/>
      <c r="UF12" s="41"/>
      <c r="UG12" s="41"/>
      <c r="UH12" s="41"/>
      <c r="UI12" s="41"/>
      <c r="UJ12" s="41"/>
      <c r="UK12" s="41"/>
      <c r="UL12" s="41"/>
      <c r="UM12" s="41"/>
      <c r="UN12" s="41"/>
      <c r="UO12" s="41"/>
      <c r="UP12" s="41"/>
      <c r="UQ12" s="41"/>
      <c r="UR12" s="41"/>
      <c r="US12" s="41"/>
      <c r="UT12" s="41"/>
      <c r="UU12" s="41"/>
      <c r="UV12" s="41"/>
      <c r="UW12" s="41"/>
      <c r="UX12" s="41"/>
      <c r="UY12" s="41"/>
      <c r="UZ12" s="41"/>
      <c r="VA12" s="41"/>
      <c r="VB12" s="41"/>
      <c r="VC12" s="41"/>
      <c r="VD12" s="41"/>
      <c r="VE12" s="41"/>
      <c r="VF12" s="41"/>
      <c r="VG12" s="41"/>
      <c r="VH12" s="41"/>
      <c r="VI12" s="41"/>
      <c r="VJ12" s="41"/>
      <c r="VK12" s="41"/>
      <c r="VL12" s="41"/>
      <c r="VM12" s="41"/>
      <c r="VN12" s="41"/>
      <c r="VO12" s="41"/>
      <c r="VP12" s="41"/>
      <c r="VQ12" s="41"/>
      <c r="VR12" s="41"/>
      <c r="VS12" s="41"/>
      <c r="VT12" s="41"/>
      <c r="VU12" s="41"/>
      <c r="VV12" s="41"/>
      <c r="VW12" s="41"/>
      <c r="VX12" s="41"/>
      <c r="VY12" s="41"/>
      <c r="VZ12" s="41"/>
      <c r="WA12" s="41"/>
      <c r="WB12" s="41"/>
      <c r="WC12" s="41"/>
      <c r="WD12" s="41"/>
      <c r="WE12" s="41"/>
      <c r="WF12" s="41"/>
      <c r="WG12" s="41"/>
      <c r="WH12" s="41"/>
      <c r="WI12" s="41"/>
      <c r="WJ12" s="41"/>
      <c r="WK12" s="41"/>
      <c r="WL12" s="41"/>
      <c r="WM12" s="41"/>
      <c r="WN12" s="41"/>
      <c r="WO12" s="41"/>
      <c r="WP12" s="41"/>
      <c r="WQ12" s="41"/>
      <c r="WR12" s="41"/>
      <c r="WS12" s="41"/>
      <c r="WT12" s="41"/>
      <c r="WU12" s="41"/>
      <c r="WV12" s="41"/>
      <c r="WW12" s="41"/>
      <c r="WX12" s="41"/>
      <c r="WY12" s="41"/>
      <c r="WZ12" s="41"/>
      <c r="XA12" s="41"/>
      <c r="XB12" s="41"/>
      <c r="XC12" s="41"/>
      <c r="XD12" s="41"/>
      <c r="XE12" s="41"/>
      <c r="XF12" s="41"/>
      <c r="XG12" s="41"/>
      <c r="XH12" s="41"/>
      <c r="XI12" s="41"/>
      <c r="XJ12" s="41"/>
      <c r="XK12" s="41"/>
      <c r="XL12" s="41"/>
      <c r="XM12" s="41"/>
      <c r="XN12" s="41"/>
      <c r="XO12" s="41"/>
      <c r="XP12" s="41"/>
      <c r="XQ12" s="41"/>
      <c r="XR12" s="41"/>
      <c r="XS12" s="41"/>
      <c r="XT12" s="41"/>
      <c r="XU12" s="41"/>
      <c r="XV12" s="41"/>
      <c r="XW12" s="41"/>
      <c r="XX12" s="41"/>
      <c r="XY12" s="41"/>
      <c r="XZ12" s="41"/>
      <c r="YA12" s="41"/>
      <c r="YB12" s="41"/>
      <c r="YC12" s="41"/>
      <c r="YD12" s="41"/>
      <c r="YE12" s="41"/>
      <c r="YF12" s="41"/>
      <c r="YG12" s="41"/>
      <c r="YH12" s="41"/>
      <c r="YI12" s="41"/>
      <c r="YJ12" s="41"/>
      <c r="YK12" s="41"/>
      <c r="YL12" s="41"/>
      <c r="YM12" s="41"/>
      <c r="YN12" s="41"/>
      <c r="YO12" s="41"/>
      <c r="YP12" s="41"/>
      <c r="YQ12" s="41"/>
      <c r="YR12" s="41"/>
      <c r="YS12" s="41"/>
      <c r="YT12" s="41"/>
      <c r="YU12" s="41"/>
      <c r="YV12" s="41"/>
      <c r="YW12" s="41"/>
      <c r="YX12" s="41"/>
      <c r="YY12" s="41"/>
      <c r="YZ12" s="41"/>
      <c r="ZA12" s="41"/>
      <c r="ZB12" s="41"/>
      <c r="ZC12" s="41"/>
      <c r="ZD12" s="41"/>
      <c r="ZE12" s="41"/>
      <c r="ZF12" s="41"/>
      <c r="ZG12" s="41"/>
      <c r="ZH12" s="41"/>
      <c r="ZI12" s="41"/>
      <c r="ZJ12" s="41"/>
      <c r="ZK12" s="41"/>
      <c r="ZL12" s="41"/>
      <c r="ZM12" s="41"/>
      <c r="ZN12" s="41"/>
      <c r="ZO12" s="41"/>
      <c r="ZP12" s="41"/>
      <c r="ZQ12" s="41"/>
      <c r="ZR12" s="41"/>
      <c r="ZS12" s="41"/>
      <c r="ZT12" s="41"/>
      <c r="ZU12" s="41"/>
      <c r="ZV12" s="41"/>
      <c r="ZW12" s="41"/>
      <c r="ZX12" s="41"/>
      <c r="ZY12" s="41"/>
      <c r="ZZ12" s="41"/>
      <c r="AAA12" s="41"/>
      <c r="AAB12" s="41"/>
      <c r="AAC12" s="41"/>
      <c r="AAD12" s="41"/>
      <c r="AAE12" s="41"/>
      <c r="AAF12" s="41"/>
      <c r="AAG12" s="41"/>
      <c r="AAH12" s="41"/>
      <c r="AAI12" s="41"/>
      <c r="AAJ12" s="41"/>
      <c r="AAK12" s="41"/>
      <c r="AAL12" s="41"/>
      <c r="AAM12" s="41"/>
      <c r="AAN12" s="41"/>
      <c r="AAO12" s="41"/>
      <c r="AAP12" s="41"/>
      <c r="AAQ12" s="41"/>
      <c r="AAR12" s="41"/>
      <c r="AAS12" s="41"/>
      <c r="AAT12" s="41"/>
      <c r="AAU12" s="41"/>
      <c r="AAV12" s="41"/>
      <c r="AAW12" s="41"/>
      <c r="AAX12" s="41"/>
      <c r="AAY12" s="41"/>
      <c r="AAZ12" s="41"/>
      <c r="ABA12" s="41"/>
      <c r="ABB12" s="41"/>
      <c r="ABC12" s="41"/>
      <c r="ABD12" s="41"/>
      <c r="ABE12" s="41"/>
      <c r="ABF12" s="41"/>
      <c r="ABG12" s="41"/>
      <c r="ABH12" s="41"/>
      <c r="ABI12" s="41"/>
      <c r="ABJ12" s="41"/>
      <c r="ABK12" s="41"/>
      <c r="ABL12" s="41"/>
      <c r="ABM12" s="41"/>
      <c r="ABN12" s="41"/>
      <c r="ABO12" s="41"/>
      <c r="ABP12" s="41"/>
      <c r="ABQ12" s="41"/>
      <c r="ABR12" s="41"/>
      <c r="ABS12" s="41"/>
      <c r="ABT12" s="41"/>
      <c r="ABU12" s="41"/>
      <c r="ABV12" s="41"/>
      <c r="ABW12" s="41"/>
      <c r="ABX12" s="41"/>
      <c r="ABY12" s="41"/>
      <c r="ABZ12" s="41"/>
      <c r="ACA12" s="41"/>
      <c r="ACB12" s="41"/>
      <c r="ACC12" s="41"/>
      <c r="ACD12" s="41"/>
      <c r="ACE12" s="41"/>
      <c r="ACF12" s="41"/>
      <c r="ACG12" s="41"/>
      <c r="ACH12" s="41"/>
      <c r="ACI12" s="41"/>
      <c r="ACJ12" s="41"/>
      <c r="ACK12" s="41"/>
      <c r="ACL12" s="41"/>
      <c r="ACM12" s="41"/>
      <c r="ACN12" s="41"/>
      <c r="ACO12" s="41"/>
      <c r="ACP12" s="41"/>
      <c r="ACQ12" s="41"/>
      <c r="ACR12" s="41"/>
      <c r="ACS12" s="41"/>
      <c r="ACT12" s="41"/>
      <c r="ACU12" s="41"/>
      <c r="ACV12" s="41"/>
      <c r="ACW12" s="41"/>
      <c r="ACX12" s="41"/>
      <c r="ACY12" s="41"/>
      <c r="ACZ12" s="41"/>
      <c r="ADA12" s="41"/>
      <c r="ADB12" s="41"/>
      <c r="ADC12" s="41"/>
      <c r="ADD12" s="41"/>
      <c r="ADE12" s="41"/>
      <c r="ADF12" s="41"/>
      <c r="ADG12" s="41"/>
      <c r="ADH12" s="41"/>
      <c r="ADI12" s="41"/>
      <c r="ADJ12" s="41"/>
      <c r="ADK12" s="41"/>
      <c r="ADL12" s="41"/>
      <c r="ADM12" s="41"/>
      <c r="ADN12" s="41"/>
      <c r="ADO12" s="41"/>
      <c r="ADP12" s="41"/>
      <c r="ADQ12" s="41"/>
      <c r="ADR12" s="41"/>
      <c r="ADS12" s="41"/>
      <c r="ADT12" s="41"/>
      <c r="ADU12" s="41"/>
      <c r="ADV12" s="41"/>
      <c r="ADW12" s="41"/>
      <c r="ADX12" s="41"/>
      <c r="ADY12" s="41"/>
      <c r="ADZ12" s="41"/>
      <c r="AEA12" s="41"/>
      <c r="AEB12" s="41"/>
      <c r="AEC12" s="41"/>
      <c r="AED12" s="41"/>
      <c r="AEE12" s="41"/>
      <c r="AEF12" s="41"/>
      <c r="AEG12" s="41"/>
      <c r="AEH12" s="41"/>
      <c r="AEI12" s="41"/>
      <c r="AEJ12" s="41"/>
      <c r="AEK12" s="41"/>
      <c r="AEL12" s="41"/>
      <c r="AEM12" s="41"/>
      <c r="AEN12" s="41"/>
      <c r="AEO12" s="41"/>
      <c r="AEP12" s="41"/>
      <c r="AEQ12" s="41"/>
      <c r="AER12" s="41"/>
      <c r="AES12" s="41"/>
      <c r="AET12" s="41"/>
      <c r="AEU12" s="41"/>
      <c r="AEV12" s="41"/>
      <c r="AEW12" s="41"/>
      <c r="AEX12" s="41"/>
      <c r="AEY12" s="41"/>
      <c r="AEZ12" s="41"/>
      <c r="AFA12" s="41"/>
      <c r="AFB12" s="41"/>
      <c r="AFC12" s="41"/>
      <c r="AFD12" s="41"/>
      <c r="AFE12" s="41"/>
      <c r="AFF12" s="41"/>
      <c r="AFG12" s="41"/>
      <c r="AFH12" s="41"/>
      <c r="AFI12" s="41"/>
      <c r="AFJ12" s="41"/>
      <c r="AFK12" s="41"/>
      <c r="AFL12" s="41"/>
      <c r="AFM12" s="41"/>
      <c r="AFN12" s="41"/>
      <c r="AFO12" s="41"/>
      <c r="AFP12" s="41"/>
      <c r="AFQ12" s="41"/>
      <c r="AFR12" s="41"/>
      <c r="AFS12" s="41"/>
      <c r="AFT12" s="41"/>
      <c r="AFU12" s="41"/>
      <c r="AFV12" s="41"/>
      <c r="AFW12" s="41"/>
      <c r="AFX12" s="41"/>
      <c r="AFY12" s="41"/>
      <c r="AFZ12" s="41"/>
      <c r="AGA12" s="41"/>
      <c r="AGB12" s="41"/>
      <c r="AGC12" s="41"/>
      <c r="AGD12" s="41"/>
      <c r="AGE12" s="41"/>
      <c r="AGF12" s="41"/>
      <c r="AGG12" s="41"/>
      <c r="AGH12" s="41"/>
      <c r="AGI12" s="41"/>
      <c r="AGJ12" s="41"/>
      <c r="AGK12" s="41"/>
      <c r="AGL12" s="41"/>
      <c r="AGM12" s="41"/>
      <c r="AGN12" s="41"/>
      <c r="AGO12" s="41"/>
      <c r="AGP12" s="41"/>
      <c r="AGQ12" s="41"/>
      <c r="AGR12" s="41"/>
      <c r="AGS12" s="41"/>
      <c r="AGT12" s="41"/>
      <c r="AGU12" s="41"/>
      <c r="AGV12" s="41"/>
      <c r="AGW12" s="41"/>
      <c r="AGX12" s="41"/>
      <c r="AGY12" s="41"/>
      <c r="AGZ12" s="41"/>
      <c r="AHA12" s="41"/>
      <c r="AHB12" s="41"/>
      <c r="AHC12" s="41"/>
      <c r="AHD12" s="41"/>
      <c r="AHE12" s="41"/>
      <c r="AHF12" s="41"/>
      <c r="AHG12" s="41"/>
      <c r="AHH12" s="41"/>
      <c r="AHI12" s="41"/>
      <c r="AHJ12" s="41"/>
      <c r="AHK12" s="41"/>
      <c r="AHL12" s="41"/>
      <c r="AHM12" s="41"/>
      <c r="AHN12" s="41"/>
      <c r="AHO12" s="41"/>
      <c r="AHP12" s="41"/>
      <c r="AHQ12" s="41"/>
      <c r="AHR12" s="41"/>
      <c r="AHS12" s="41"/>
      <c r="AHT12" s="41"/>
      <c r="AHU12" s="41"/>
      <c r="AHV12" s="41"/>
      <c r="AHW12" s="41"/>
      <c r="AHX12" s="41"/>
      <c r="AHY12" s="41"/>
      <c r="AHZ12" s="41"/>
      <c r="AIA12" s="41"/>
      <c r="AIB12" s="41"/>
      <c r="AIC12" s="41"/>
      <c r="AID12" s="41"/>
      <c r="AIE12" s="41"/>
      <c r="AIF12" s="41"/>
      <c r="AIG12" s="41"/>
      <c r="AIH12" s="41"/>
      <c r="AII12" s="41"/>
      <c r="AIJ12" s="41"/>
      <c r="AIK12" s="41"/>
      <c r="AIL12" s="41"/>
      <c r="AIM12" s="41"/>
      <c r="AIN12" s="41"/>
      <c r="AIO12" s="41"/>
      <c r="AIP12" s="41"/>
      <c r="AIQ12" s="41"/>
      <c r="AIR12" s="41"/>
      <c r="AIS12" s="41"/>
      <c r="AIT12" s="41"/>
      <c r="AIU12" s="41"/>
      <c r="AIV12" s="41"/>
      <c r="AIW12" s="41"/>
      <c r="AIX12" s="41"/>
      <c r="AIY12" s="41"/>
      <c r="AIZ12" s="41"/>
      <c r="AJA12" s="41"/>
      <c r="AJB12" s="41"/>
      <c r="AJC12" s="41"/>
      <c r="AJD12" s="41"/>
      <c r="AJE12" s="41"/>
      <c r="AJF12" s="41"/>
      <c r="AJG12" s="41"/>
      <c r="AJH12" s="41"/>
      <c r="AJI12" s="41"/>
      <c r="AJJ12" s="41"/>
      <c r="AJK12" s="41"/>
      <c r="AJL12" s="41"/>
      <c r="AJM12" s="41"/>
      <c r="AJN12" s="41"/>
      <c r="AJO12" s="41"/>
      <c r="AJP12" s="41"/>
      <c r="AJQ12" s="41"/>
      <c r="AJR12" s="41"/>
      <c r="AJS12" s="41"/>
      <c r="AJT12" s="41"/>
      <c r="AJU12" s="41"/>
      <c r="AJV12" s="41"/>
      <c r="AJW12" s="41"/>
      <c r="AJX12" s="41"/>
      <c r="AJY12" s="41"/>
      <c r="AJZ12" s="41"/>
      <c r="AKA12" s="41"/>
      <c r="AKB12" s="41"/>
      <c r="AKC12" s="41"/>
      <c r="AKD12" s="41"/>
      <c r="AKE12" s="41"/>
      <c r="AKF12" s="41"/>
      <c r="AKG12" s="41"/>
      <c r="AKH12" s="41"/>
      <c r="AKI12" s="41"/>
      <c r="AKJ12" s="41"/>
      <c r="AKK12" s="41"/>
      <c r="AKL12" s="41"/>
      <c r="AKM12" s="41"/>
      <c r="AKN12" s="41"/>
      <c r="AKO12" s="41"/>
      <c r="AKP12" s="41"/>
      <c r="AKQ12" s="41"/>
      <c r="AKR12" s="41"/>
      <c r="AKS12" s="41"/>
      <c r="AKT12" s="41"/>
      <c r="AKU12" s="41"/>
      <c r="AKV12" s="41"/>
      <c r="AKW12" s="41"/>
      <c r="AKX12" s="41"/>
      <c r="AKY12" s="41"/>
      <c r="AKZ12" s="41"/>
      <c r="ALA12" s="41"/>
      <c r="ALB12" s="41"/>
      <c r="ALC12" s="41"/>
      <c r="ALD12" s="41"/>
      <c r="ALE12" s="41"/>
      <c r="ALF12" s="41"/>
      <c r="ALG12" s="41"/>
      <c r="ALH12" s="41"/>
      <c r="ALI12" s="41"/>
      <c r="ALJ12" s="41"/>
      <c r="ALK12" s="41"/>
      <c r="ALL12" s="41"/>
      <c r="ALM12" s="41"/>
      <c r="ALN12" s="41"/>
      <c r="ALO12" s="41"/>
      <c r="ALP12" s="41"/>
      <c r="ALQ12" s="41"/>
      <c r="ALR12" s="41"/>
      <c r="ALS12" s="41"/>
      <c r="ALT12" s="41"/>
      <c r="ALU12" s="41"/>
      <c r="ALV12" s="41"/>
      <c r="ALW12" s="41"/>
      <c r="ALX12" s="41"/>
      <c r="ALY12" s="41"/>
      <c r="ALZ12" s="41"/>
      <c r="AMA12" s="41"/>
      <c r="AMB12" s="41"/>
      <c r="AMC12" s="41"/>
      <c r="AMD12" s="41"/>
      <c r="AME12" s="41"/>
      <c r="AMF12" s="41"/>
      <c r="AMG12" s="41"/>
      <c r="AMH12" s="41"/>
      <c r="AMI12" s="41"/>
      <c r="AMJ12" s="41"/>
      <c r="AMK12" s="41"/>
      <c r="AML12" s="41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FR13" s="41"/>
      <c r="FS13" s="41"/>
      <c r="FT13" s="41"/>
      <c r="FU13" s="41"/>
      <c r="FV13" s="41"/>
      <c r="FW13" s="41"/>
      <c r="FX13" s="41"/>
      <c r="FY13" s="41"/>
      <c r="FZ13" s="41"/>
      <c r="GA13" s="41"/>
      <c r="GB13" s="41"/>
      <c r="GC13" s="41"/>
      <c r="GD13" s="41"/>
      <c r="GE13" s="41"/>
      <c r="GF13" s="41"/>
      <c r="GG13" s="41"/>
      <c r="GH13" s="41"/>
      <c r="GI13" s="41"/>
      <c r="GJ13" s="41"/>
      <c r="GK13" s="41"/>
      <c r="GL13" s="41"/>
      <c r="GM13" s="41"/>
      <c r="GN13" s="41"/>
      <c r="GO13" s="41"/>
      <c r="GP13" s="41"/>
      <c r="GQ13" s="41"/>
      <c r="GR13" s="41"/>
      <c r="GS13" s="41"/>
      <c r="GT13" s="41"/>
      <c r="GU13" s="41"/>
      <c r="GV13" s="41"/>
      <c r="GW13" s="41"/>
      <c r="GX13" s="41"/>
      <c r="GY13" s="41"/>
      <c r="GZ13" s="41"/>
      <c r="HA13" s="41"/>
      <c r="HB13" s="41"/>
      <c r="HC13" s="41"/>
      <c r="HD13" s="41"/>
      <c r="HE13" s="41"/>
      <c r="HF13" s="41"/>
      <c r="HG13" s="41"/>
      <c r="HH13" s="41"/>
      <c r="HI13" s="41"/>
      <c r="HJ13" s="41"/>
      <c r="HK13" s="41"/>
      <c r="HL13" s="41"/>
      <c r="HM13" s="41"/>
      <c r="HN13" s="41"/>
      <c r="HO13" s="41"/>
      <c r="HP13" s="41"/>
      <c r="HQ13" s="41"/>
      <c r="HR13" s="41"/>
      <c r="HS13" s="41"/>
      <c r="HT13" s="41"/>
      <c r="HU13" s="41"/>
      <c r="HV13" s="41"/>
      <c r="HW13" s="41"/>
      <c r="HX13" s="41"/>
      <c r="HY13" s="41"/>
      <c r="HZ13" s="41"/>
      <c r="IA13" s="41"/>
      <c r="IB13" s="41"/>
      <c r="IC13" s="41"/>
      <c r="ID13" s="41"/>
      <c r="IE13" s="41"/>
      <c r="IF13" s="41"/>
      <c r="IG13" s="41"/>
      <c r="IH13" s="41"/>
      <c r="II13" s="41"/>
      <c r="IJ13" s="41"/>
      <c r="IK13" s="41"/>
      <c r="IL13" s="41"/>
      <c r="IM13" s="41"/>
      <c r="IN13" s="41"/>
      <c r="IO13" s="41"/>
      <c r="IP13" s="41"/>
      <c r="IQ13" s="41"/>
      <c r="IR13" s="41"/>
      <c r="IS13" s="41"/>
      <c r="IT13" s="41"/>
      <c r="IU13" s="41"/>
      <c r="IV13" s="41"/>
      <c r="IW13" s="41"/>
      <c r="IX13" s="41"/>
      <c r="IY13" s="41"/>
      <c r="IZ13" s="41"/>
      <c r="JA13" s="41"/>
      <c r="JB13" s="41"/>
      <c r="JC13" s="41"/>
      <c r="JD13" s="41"/>
      <c r="JE13" s="41"/>
      <c r="JF13" s="41"/>
      <c r="JG13" s="41"/>
      <c r="JH13" s="41"/>
      <c r="JI13" s="41"/>
      <c r="JJ13" s="41"/>
      <c r="JK13" s="41"/>
      <c r="JL13" s="41"/>
      <c r="JM13" s="41"/>
      <c r="JN13" s="41"/>
      <c r="JO13" s="41"/>
      <c r="JP13" s="41"/>
      <c r="JQ13" s="41"/>
      <c r="JR13" s="41"/>
      <c r="JS13" s="41"/>
      <c r="JT13" s="41"/>
      <c r="JU13" s="41"/>
      <c r="JV13" s="41"/>
      <c r="JW13" s="41"/>
      <c r="JX13" s="41"/>
      <c r="JY13" s="41"/>
      <c r="JZ13" s="41"/>
      <c r="KA13" s="41"/>
      <c r="KB13" s="41"/>
      <c r="KC13" s="41"/>
      <c r="KD13" s="41"/>
      <c r="KE13" s="41"/>
      <c r="KF13" s="41"/>
      <c r="KG13" s="41"/>
      <c r="KH13" s="41"/>
      <c r="KI13" s="41"/>
      <c r="KJ13" s="41"/>
      <c r="KK13" s="41"/>
      <c r="KL13" s="41"/>
      <c r="KM13" s="41"/>
      <c r="KN13" s="41"/>
      <c r="KO13" s="41"/>
      <c r="KP13" s="41"/>
      <c r="KQ13" s="41"/>
      <c r="KR13" s="41"/>
      <c r="KS13" s="41"/>
      <c r="KT13" s="41"/>
      <c r="KU13" s="41"/>
      <c r="KV13" s="41"/>
      <c r="KW13" s="41"/>
      <c r="KX13" s="41"/>
      <c r="KY13" s="41"/>
      <c r="KZ13" s="41"/>
      <c r="LA13" s="41"/>
      <c r="LB13" s="41"/>
      <c r="LC13" s="41"/>
      <c r="LD13" s="41"/>
      <c r="LE13" s="41"/>
      <c r="LF13" s="41"/>
      <c r="LG13" s="41"/>
      <c r="LH13" s="41"/>
      <c r="LI13" s="41"/>
      <c r="LJ13" s="41"/>
      <c r="LK13" s="41"/>
      <c r="LL13" s="41"/>
      <c r="LM13" s="41"/>
      <c r="LN13" s="41"/>
      <c r="LO13" s="41"/>
      <c r="LP13" s="41"/>
      <c r="LQ13" s="41"/>
      <c r="LR13" s="41"/>
      <c r="LS13" s="41"/>
      <c r="LT13" s="41"/>
      <c r="LU13" s="41"/>
      <c r="LV13" s="41"/>
      <c r="LW13" s="41"/>
      <c r="LX13" s="41"/>
      <c r="LY13" s="41"/>
      <c r="LZ13" s="41"/>
      <c r="MA13" s="41"/>
      <c r="MB13" s="41"/>
      <c r="MC13" s="41"/>
      <c r="MD13" s="41"/>
      <c r="ME13" s="41"/>
      <c r="MF13" s="41"/>
      <c r="MG13" s="41"/>
      <c r="MH13" s="41"/>
      <c r="MI13" s="41"/>
      <c r="MJ13" s="41"/>
      <c r="MK13" s="41"/>
      <c r="ML13" s="41"/>
      <c r="MM13" s="41"/>
      <c r="MN13" s="41"/>
      <c r="MO13" s="41"/>
      <c r="MP13" s="41"/>
      <c r="MQ13" s="41"/>
      <c r="MR13" s="41"/>
      <c r="MS13" s="41"/>
      <c r="MT13" s="41"/>
      <c r="MU13" s="41"/>
      <c r="MV13" s="41"/>
      <c r="MW13" s="41"/>
      <c r="MX13" s="41"/>
      <c r="MY13" s="41"/>
      <c r="MZ13" s="41"/>
      <c r="NA13" s="41"/>
      <c r="NB13" s="41"/>
      <c r="NC13" s="41"/>
      <c r="ND13" s="41"/>
      <c r="NE13" s="41"/>
      <c r="NF13" s="41"/>
      <c r="NG13" s="41"/>
      <c r="NH13" s="41"/>
      <c r="NI13" s="41"/>
      <c r="NJ13" s="41"/>
      <c r="NK13" s="41"/>
      <c r="NL13" s="41"/>
      <c r="NM13" s="41"/>
      <c r="NN13" s="41"/>
      <c r="NO13" s="41"/>
      <c r="NP13" s="41"/>
      <c r="NQ13" s="41"/>
      <c r="NR13" s="41"/>
      <c r="NS13" s="41"/>
      <c r="NT13" s="41"/>
      <c r="NU13" s="41"/>
      <c r="NV13" s="41"/>
      <c r="NW13" s="41"/>
      <c r="NX13" s="41"/>
      <c r="NY13" s="41"/>
      <c r="NZ13" s="41"/>
      <c r="OA13" s="41"/>
      <c r="OB13" s="41"/>
      <c r="OC13" s="41"/>
      <c r="OD13" s="41"/>
      <c r="OE13" s="41"/>
      <c r="OF13" s="41"/>
      <c r="OG13" s="41"/>
      <c r="OH13" s="41"/>
      <c r="OI13" s="41"/>
      <c r="OJ13" s="41"/>
      <c r="OK13" s="41"/>
      <c r="OL13" s="41"/>
      <c r="OM13" s="41"/>
      <c r="ON13" s="41"/>
      <c r="OO13" s="41"/>
      <c r="OP13" s="41"/>
      <c r="OQ13" s="41"/>
      <c r="OR13" s="41"/>
      <c r="OS13" s="41"/>
      <c r="OT13" s="41"/>
      <c r="OU13" s="41"/>
      <c r="OV13" s="41"/>
      <c r="OW13" s="41"/>
      <c r="OX13" s="41"/>
      <c r="OY13" s="41"/>
      <c r="OZ13" s="41"/>
      <c r="PA13" s="41"/>
      <c r="PB13" s="41"/>
      <c r="PC13" s="41"/>
      <c r="PD13" s="41"/>
      <c r="PE13" s="41"/>
      <c r="PF13" s="41"/>
      <c r="PG13" s="41"/>
      <c r="PH13" s="41"/>
      <c r="PI13" s="41"/>
      <c r="PJ13" s="41"/>
      <c r="PK13" s="41"/>
      <c r="PL13" s="41"/>
      <c r="PM13" s="41"/>
      <c r="PN13" s="41"/>
      <c r="PO13" s="41"/>
      <c r="PP13" s="41"/>
      <c r="PQ13" s="41"/>
      <c r="PR13" s="41"/>
      <c r="PS13" s="41"/>
      <c r="PT13" s="41"/>
      <c r="PU13" s="41"/>
      <c r="PV13" s="41"/>
      <c r="PW13" s="41"/>
      <c r="PX13" s="41"/>
      <c r="PY13" s="41"/>
      <c r="PZ13" s="41"/>
      <c r="QA13" s="41"/>
      <c r="QB13" s="41"/>
      <c r="QC13" s="41"/>
      <c r="QD13" s="41"/>
      <c r="QE13" s="41"/>
      <c r="QF13" s="41"/>
      <c r="QG13" s="41"/>
      <c r="QH13" s="41"/>
      <c r="QI13" s="41"/>
      <c r="QJ13" s="41"/>
      <c r="QK13" s="41"/>
      <c r="QL13" s="41"/>
      <c r="QM13" s="41"/>
      <c r="QN13" s="41"/>
      <c r="QO13" s="41"/>
      <c r="QP13" s="41"/>
      <c r="QQ13" s="41"/>
      <c r="QR13" s="41"/>
      <c r="QS13" s="41"/>
      <c r="QT13" s="41"/>
      <c r="QU13" s="41"/>
      <c r="QV13" s="41"/>
      <c r="QW13" s="41"/>
      <c r="QX13" s="41"/>
      <c r="QY13" s="41"/>
      <c r="QZ13" s="41"/>
      <c r="RA13" s="41"/>
      <c r="RB13" s="41"/>
      <c r="RC13" s="41"/>
      <c r="RD13" s="41"/>
      <c r="RE13" s="41"/>
      <c r="RF13" s="41"/>
      <c r="RG13" s="41"/>
      <c r="RH13" s="41"/>
      <c r="RI13" s="41"/>
      <c r="RJ13" s="41"/>
      <c r="RK13" s="41"/>
      <c r="RL13" s="41"/>
      <c r="RM13" s="41"/>
      <c r="RN13" s="41"/>
      <c r="RO13" s="41"/>
      <c r="RP13" s="41"/>
      <c r="RQ13" s="41"/>
      <c r="RR13" s="41"/>
      <c r="RS13" s="41"/>
      <c r="RT13" s="41"/>
      <c r="RU13" s="41"/>
      <c r="RV13" s="41"/>
      <c r="RW13" s="41"/>
      <c r="RX13" s="41"/>
      <c r="RY13" s="41"/>
      <c r="RZ13" s="41"/>
      <c r="SA13" s="41"/>
      <c r="SB13" s="41"/>
      <c r="SC13" s="41"/>
      <c r="SD13" s="41"/>
      <c r="SE13" s="41"/>
      <c r="SF13" s="41"/>
      <c r="SG13" s="41"/>
      <c r="SH13" s="41"/>
      <c r="SI13" s="41"/>
      <c r="SJ13" s="41"/>
      <c r="SK13" s="41"/>
      <c r="SL13" s="41"/>
      <c r="SM13" s="41"/>
      <c r="SN13" s="41"/>
      <c r="SO13" s="41"/>
      <c r="SP13" s="41"/>
      <c r="SQ13" s="41"/>
      <c r="SR13" s="41"/>
      <c r="SS13" s="41"/>
      <c r="ST13" s="41"/>
      <c r="SU13" s="41"/>
      <c r="SV13" s="41"/>
      <c r="SW13" s="41"/>
      <c r="SX13" s="41"/>
      <c r="SY13" s="41"/>
      <c r="SZ13" s="41"/>
      <c r="TA13" s="41"/>
      <c r="TB13" s="41"/>
      <c r="TC13" s="41"/>
      <c r="TD13" s="41"/>
      <c r="TE13" s="41"/>
      <c r="TF13" s="41"/>
      <c r="TG13" s="41"/>
      <c r="TH13" s="41"/>
      <c r="TI13" s="41"/>
      <c r="TJ13" s="41"/>
      <c r="TK13" s="41"/>
      <c r="TL13" s="41"/>
      <c r="TM13" s="41"/>
      <c r="TN13" s="41"/>
      <c r="TO13" s="41"/>
      <c r="TP13" s="41"/>
      <c r="TQ13" s="41"/>
      <c r="TR13" s="41"/>
      <c r="TS13" s="41"/>
      <c r="TT13" s="41"/>
      <c r="TU13" s="41"/>
      <c r="TV13" s="41"/>
      <c r="TW13" s="41"/>
      <c r="TX13" s="41"/>
      <c r="TY13" s="41"/>
      <c r="TZ13" s="41"/>
      <c r="UA13" s="41"/>
      <c r="UB13" s="41"/>
      <c r="UC13" s="41"/>
      <c r="UD13" s="41"/>
      <c r="UE13" s="41"/>
      <c r="UF13" s="41"/>
      <c r="UG13" s="41"/>
      <c r="UH13" s="41"/>
      <c r="UI13" s="41"/>
      <c r="UJ13" s="41"/>
      <c r="UK13" s="41"/>
      <c r="UL13" s="41"/>
      <c r="UM13" s="41"/>
      <c r="UN13" s="41"/>
      <c r="UO13" s="41"/>
      <c r="UP13" s="41"/>
      <c r="UQ13" s="41"/>
      <c r="UR13" s="41"/>
      <c r="US13" s="41"/>
      <c r="UT13" s="41"/>
      <c r="UU13" s="41"/>
      <c r="UV13" s="41"/>
      <c r="UW13" s="41"/>
      <c r="UX13" s="41"/>
      <c r="UY13" s="41"/>
      <c r="UZ13" s="41"/>
      <c r="VA13" s="41"/>
      <c r="VB13" s="41"/>
      <c r="VC13" s="41"/>
      <c r="VD13" s="41"/>
      <c r="VE13" s="41"/>
      <c r="VF13" s="41"/>
      <c r="VG13" s="41"/>
      <c r="VH13" s="41"/>
      <c r="VI13" s="41"/>
      <c r="VJ13" s="41"/>
      <c r="VK13" s="41"/>
      <c r="VL13" s="41"/>
      <c r="VM13" s="41"/>
      <c r="VN13" s="41"/>
      <c r="VO13" s="41"/>
      <c r="VP13" s="41"/>
      <c r="VQ13" s="41"/>
      <c r="VR13" s="41"/>
      <c r="VS13" s="41"/>
      <c r="VT13" s="41"/>
      <c r="VU13" s="41"/>
      <c r="VV13" s="41"/>
      <c r="VW13" s="41"/>
      <c r="VX13" s="41"/>
      <c r="VY13" s="41"/>
      <c r="VZ13" s="41"/>
      <c r="WA13" s="41"/>
      <c r="WB13" s="41"/>
      <c r="WC13" s="41"/>
      <c r="WD13" s="41"/>
      <c r="WE13" s="41"/>
      <c r="WF13" s="41"/>
      <c r="WG13" s="41"/>
      <c r="WH13" s="41"/>
      <c r="WI13" s="41"/>
      <c r="WJ13" s="41"/>
      <c r="WK13" s="41"/>
      <c r="WL13" s="41"/>
      <c r="WM13" s="41"/>
      <c r="WN13" s="41"/>
      <c r="WO13" s="41"/>
      <c r="WP13" s="41"/>
      <c r="WQ13" s="41"/>
      <c r="WR13" s="41"/>
      <c r="WS13" s="41"/>
      <c r="WT13" s="41"/>
      <c r="WU13" s="41"/>
      <c r="WV13" s="41"/>
      <c r="WW13" s="41"/>
      <c r="WX13" s="41"/>
      <c r="WY13" s="41"/>
      <c r="WZ13" s="41"/>
      <c r="XA13" s="41"/>
      <c r="XB13" s="41"/>
      <c r="XC13" s="41"/>
      <c r="XD13" s="41"/>
      <c r="XE13" s="41"/>
      <c r="XF13" s="41"/>
      <c r="XG13" s="41"/>
      <c r="XH13" s="41"/>
      <c r="XI13" s="41"/>
      <c r="XJ13" s="41"/>
      <c r="XK13" s="41"/>
      <c r="XL13" s="41"/>
      <c r="XM13" s="41"/>
      <c r="XN13" s="41"/>
      <c r="XO13" s="41"/>
      <c r="XP13" s="41"/>
      <c r="XQ13" s="41"/>
      <c r="XR13" s="41"/>
      <c r="XS13" s="41"/>
      <c r="XT13" s="41"/>
      <c r="XU13" s="41"/>
      <c r="XV13" s="41"/>
      <c r="XW13" s="41"/>
      <c r="XX13" s="41"/>
      <c r="XY13" s="41"/>
      <c r="XZ13" s="41"/>
      <c r="YA13" s="41"/>
      <c r="YB13" s="41"/>
      <c r="YC13" s="41"/>
      <c r="YD13" s="41"/>
      <c r="YE13" s="41"/>
      <c r="YF13" s="41"/>
      <c r="YG13" s="41"/>
      <c r="YH13" s="41"/>
      <c r="YI13" s="41"/>
      <c r="YJ13" s="41"/>
      <c r="YK13" s="41"/>
      <c r="YL13" s="41"/>
      <c r="YM13" s="41"/>
      <c r="YN13" s="41"/>
      <c r="YO13" s="41"/>
      <c r="YP13" s="41"/>
      <c r="YQ13" s="41"/>
      <c r="YR13" s="41"/>
      <c r="YS13" s="41"/>
      <c r="YT13" s="41"/>
      <c r="YU13" s="41"/>
      <c r="YV13" s="41"/>
      <c r="YW13" s="41"/>
      <c r="YX13" s="41"/>
      <c r="YY13" s="41"/>
      <c r="YZ13" s="41"/>
      <c r="ZA13" s="41"/>
      <c r="ZB13" s="41"/>
      <c r="ZC13" s="41"/>
      <c r="ZD13" s="41"/>
      <c r="ZE13" s="41"/>
      <c r="ZF13" s="41"/>
      <c r="ZG13" s="41"/>
      <c r="ZH13" s="41"/>
      <c r="ZI13" s="41"/>
      <c r="ZJ13" s="41"/>
      <c r="ZK13" s="41"/>
      <c r="ZL13" s="41"/>
      <c r="ZM13" s="41"/>
      <c r="ZN13" s="41"/>
      <c r="ZO13" s="41"/>
      <c r="ZP13" s="41"/>
      <c r="ZQ13" s="41"/>
      <c r="ZR13" s="41"/>
      <c r="ZS13" s="41"/>
      <c r="ZT13" s="41"/>
      <c r="ZU13" s="41"/>
      <c r="ZV13" s="41"/>
      <c r="ZW13" s="41"/>
      <c r="ZX13" s="41"/>
      <c r="ZY13" s="41"/>
      <c r="ZZ13" s="41"/>
      <c r="AAA13" s="41"/>
      <c r="AAB13" s="41"/>
      <c r="AAC13" s="41"/>
      <c r="AAD13" s="41"/>
      <c r="AAE13" s="41"/>
      <c r="AAF13" s="41"/>
      <c r="AAG13" s="41"/>
      <c r="AAH13" s="41"/>
      <c r="AAI13" s="41"/>
      <c r="AAJ13" s="41"/>
      <c r="AAK13" s="41"/>
      <c r="AAL13" s="41"/>
      <c r="AAM13" s="41"/>
      <c r="AAN13" s="41"/>
      <c r="AAO13" s="41"/>
      <c r="AAP13" s="41"/>
      <c r="AAQ13" s="41"/>
      <c r="AAR13" s="41"/>
      <c r="AAS13" s="41"/>
      <c r="AAT13" s="41"/>
      <c r="AAU13" s="41"/>
      <c r="AAV13" s="41"/>
      <c r="AAW13" s="41"/>
      <c r="AAX13" s="41"/>
      <c r="AAY13" s="41"/>
      <c r="AAZ13" s="41"/>
      <c r="ABA13" s="41"/>
      <c r="ABB13" s="41"/>
      <c r="ABC13" s="41"/>
      <c r="ABD13" s="41"/>
      <c r="ABE13" s="41"/>
      <c r="ABF13" s="41"/>
      <c r="ABG13" s="41"/>
      <c r="ABH13" s="41"/>
      <c r="ABI13" s="41"/>
      <c r="ABJ13" s="41"/>
      <c r="ABK13" s="41"/>
      <c r="ABL13" s="41"/>
      <c r="ABM13" s="41"/>
      <c r="ABN13" s="41"/>
      <c r="ABO13" s="41"/>
      <c r="ABP13" s="41"/>
      <c r="ABQ13" s="41"/>
      <c r="ABR13" s="41"/>
      <c r="ABS13" s="41"/>
      <c r="ABT13" s="41"/>
      <c r="ABU13" s="41"/>
      <c r="ABV13" s="41"/>
      <c r="ABW13" s="41"/>
      <c r="ABX13" s="41"/>
      <c r="ABY13" s="41"/>
      <c r="ABZ13" s="41"/>
      <c r="ACA13" s="41"/>
      <c r="ACB13" s="41"/>
      <c r="ACC13" s="41"/>
      <c r="ACD13" s="41"/>
      <c r="ACE13" s="41"/>
      <c r="ACF13" s="41"/>
      <c r="ACG13" s="41"/>
      <c r="ACH13" s="41"/>
      <c r="ACI13" s="41"/>
      <c r="ACJ13" s="41"/>
      <c r="ACK13" s="41"/>
      <c r="ACL13" s="41"/>
      <c r="ACM13" s="41"/>
      <c r="ACN13" s="41"/>
      <c r="ACO13" s="41"/>
      <c r="ACP13" s="41"/>
      <c r="ACQ13" s="41"/>
      <c r="ACR13" s="41"/>
      <c r="ACS13" s="41"/>
      <c r="ACT13" s="41"/>
      <c r="ACU13" s="41"/>
      <c r="ACV13" s="41"/>
      <c r="ACW13" s="41"/>
      <c r="ACX13" s="41"/>
      <c r="ACY13" s="41"/>
      <c r="ACZ13" s="41"/>
      <c r="ADA13" s="41"/>
      <c r="ADB13" s="41"/>
      <c r="ADC13" s="41"/>
      <c r="ADD13" s="41"/>
      <c r="ADE13" s="41"/>
      <c r="ADF13" s="41"/>
      <c r="ADG13" s="41"/>
      <c r="ADH13" s="41"/>
      <c r="ADI13" s="41"/>
      <c r="ADJ13" s="41"/>
      <c r="ADK13" s="41"/>
      <c r="ADL13" s="41"/>
      <c r="ADM13" s="41"/>
      <c r="ADN13" s="41"/>
      <c r="ADO13" s="41"/>
      <c r="ADP13" s="41"/>
      <c r="ADQ13" s="41"/>
      <c r="ADR13" s="41"/>
      <c r="ADS13" s="41"/>
      <c r="ADT13" s="41"/>
      <c r="ADU13" s="41"/>
      <c r="ADV13" s="41"/>
      <c r="ADW13" s="41"/>
      <c r="ADX13" s="41"/>
      <c r="ADY13" s="41"/>
      <c r="ADZ13" s="41"/>
      <c r="AEA13" s="41"/>
      <c r="AEB13" s="41"/>
      <c r="AEC13" s="41"/>
      <c r="AED13" s="41"/>
      <c r="AEE13" s="41"/>
      <c r="AEF13" s="41"/>
      <c r="AEG13" s="41"/>
      <c r="AEH13" s="41"/>
      <c r="AEI13" s="41"/>
      <c r="AEJ13" s="41"/>
      <c r="AEK13" s="41"/>
      <c r="AEL13" s="41"/>
      <c r="AEM13" s="41"/>
      <c r="AEN13" s="41"/>
      <c r="AEO13" s="41"/>
      <c r="AEP13" s="41"/>
      <c r="AEQ13" s="41"/>
      <c r="AER13" s="41"/>
      <c r="AES13" s="41"/>
      <c r="AET13" s="41"/>
      <c r="AEU13" s="41"/>
      <c r="AEV13" s="41"/>
      <c r="AEW13" s="41"/>
      <c r="AEX13" s="41"/>
      <c r="AEY13" s="41"/>
      <c r="AEZ13" s="41"/>
      <c r="AFA13" s="41"/>
      <c r="AFB13" s="41"/>
      <c r="AFC13" s="41"/>
      <c r="AFD13" s="41"/>
      <c r="AFE13" s="41"/>
      <c r="AFF13" s="41"/>
      <c r="AFG13" s="41"/>
      <c r="AFH13" s="41"/>
      <c r="AFI13" s="41"/>
      <c r="AFJ13" s="41"/>
      <c r="AFK13" s="41"/>
      <c r="AFL13" s="41"/>
      <c r="AFM13" s="41"/>
      <c r="AFN13" s="41"/>
      <c r="AFO13" s="41"/>
      <c r="AFP13" s="41"/>
      <c r="AFQ13" s="41"/>
      <c r="AFR13" s="41"/>
      <c r="AFS13" s="41"/>
      <c r="AFT13" s="41"/>
      <c r="AFU13" s="41"/>
      <c r="AFV13" s="41"/>
      <c r="AFW13" s="41"/>
      <c r="AFX13" s="41"/>
      <c r="AFY13" s="41"/>
      <c r="AFZ13" s="41"/>
      <c r="AGA13" s="41"/>
      <c r="AGB13" s="41"/>
      <c r="AGC13" s="41"/>
      <c r="AGD13" s="41"/>
      <c r="AGE13" s="41"/>
      <c r="AGF13" s="41"/>
      <c r="AGG13" s="41"/>
      <c r="AGH13" s="41"/>
      <c r="AGI13" s="41"/>
      <c r="AGJ13" s="41"/>
      <c r="AGK13" s="41"/>
      <c r="AGL13" s="41"/>
      <c r="AGM13" s="41"/>
      <c r="AGN13" s="41"/>
      <c r="AGO13" s="41"/>
      <c r="AGP13" s="41"/>
      <c r="AGQ13" s="41"/>
      <c r="AGR13" s="41"/>
      <c r="AGS13" s="41"/>
      <c r="AGT13" s="41"/>
      <c r="AGU13" s="41"/>
      <c r="AGV13" s="41"/>
      <c r="AGW13" s="41"/>
      <c r="AGX13" s="41"/>
      <c r="AGY13" s="41"/>
      <c r="AGZ13" s="41"/>
      <c r="AHA13" s="41"/>
      <c r="AHB13" s="41"/>
      <c r="AHC13" s="41"/>
      <c r="AHD13" s="41"/>
      <c r="AHE13" s="41"/>
      <c r="AHF13" s="41"/>
      <c r="AHG13" s="41"/>
      <c r="AHH13" s="41"/>
      <c r="AHI13" s="41"/>
      <c r="AHJ13" s="41"/>
      <c r="AHK13" s="41"/>
      <c r="AHL13" s="41"/>
      <c r="AHM13" s="41"/>
      <c r="AHN13" s="41"/>
      <c r="AHO13" s="41"/>
      <c r="AHP13" s="41"/>
      <c r="AHQ13" s="41"/>
      <c r="AHR13" s="41"/>
      <c r="AHS13" s="41"/>
      <c r="AHT13" s="41"/>
      <c r="AHU13" s="41"/>
      <c r="AHV13" s="41"/>
      <c r="AHW13" s="41"/>
      <c r="AHX13" s="41"/>
      <c r="AHY13" s="41"/>
      <c r="AHZ13" s="41"/>
      <c r="AIA13" s="41"/>
      <c r="AIB13" s="41"/>
      <c r="AIC13" s="41"/>
      <c r="AID13" s="41"/>
      <c r="AIE13" s="41"/>
      <c r="AIF13" s="41"/>
      <c r="AIG13" s="41"/>
      <c r="AIH13" s="41"/>
      <c r="AII13" s="41"/>
      <c r="AIJ13" s="41"/>
      <c r="AIK13" s="41"/>
      <c r="AIL13" s="41"/>
      <c r="AIM13" s="41"/>
      <c r="AIN13" s="41"/>
      <c r="AIO13" s="41"/>
      <c r="AIP13" s="41"/>
      <c r="AIQ13" s="41"/>
      <c r="AIR13" s="41"/>
      <c r="AIS13" s="41"/>
      <c r="AIT13" s="41"/>
      <c r="AIU13" s="41"/>
      <c r="AIV13" s="41"/>
      <c r="AIW13" s="41"/>
      <c r="AIX13" s="41"/>
      <c r="AIY13" s="41"/>
      <c r="AIZ13" s="41"/>
      <c r="AJA13" s="41"/>
      <c r="AJB13" s="41"/>
      <c r="AJC13" s="41"/>
      <c r="AJD13" s="41"/>
      <c r="AJE13" s="41"/>
      <c r="AJF13" s="41"/>
      <c r="AJG13" s="41"/>
      <c r="AJH13" s="41"/>
      <c r="AJI13" s="41"/>
      <c r="AJJ13" s="41"/>
      <c r="AJK13" s="41"/>
      <c r="AJL13" s="41"/>
      <c r="AJM13" s="41"/>
      <c r="AJN13" s="41"/>
      <c r="AJO13" s="41"/>
      <c r="AJP13" s="41"/>
      <c r="AJQ13" s="41"/>
      <c r="AJR13" s="41"/>
      <c r="AJS13" s="41"/>
      <c r="AJT13" s="41"/>
      <c r="AJU13" s="41"/>
      <c r="AJV13" s="41"/>
      <c r="AJW13" s="41"/>
      <c r="AJX13" s="41"/>
      <c r="AJY13" s="41"/>
      <c r="AJZ13" s="41"/>
      <c r="AKA13" s="41"/>
      <c r="AKB13" s="41"/>
      <c r="AKC13" s="41"/>
      <c r="AKD13" s="41"/>
      <c r="AKE13" s="41"/>
      <c r="AKF13" s="41"/>
      <c r="AKG13" s="41"/>
      <c r="AKH13" s="41"/>
      <c r="AKI13" s="41"/>
      <c r="AKJ13" s="41"/>
      <c r="AKK13" s="41"/>
      <c r="AKL13" s="41"/>
      <c r="AKM13" s="41"/>
      <c r="AKN13" s="41"/>
      <c r="AKO13" s="41"/>
      <c r="AKP13" s="41"/>
      <c r="AKQ13" s="41"/>
      <c r="AKR13" s="41"/>
      <c r="AKS13" s="41"/>
      <c r="AKT13" s="41"/>
      <c r="AKU13" s="41"/>
      <c r="AKV13" s="41"/>
      <c r="AKW13" s="41"/>
      <c r="AKX13" s="41"/>
      <c r="AKY13" s="41"/>
      <c r="AKZ13" s="41"/>
      <c r="ALA13" s="41"/>
      <c r="ALB13" s="41"/>
      <c r="ALC13" s="41"/>
      <c r="ALD13" s="41"/>
      <c r="ALE13" s="41"/>
      <c r="ALF13" s="41"/>
      <c r="ALG13" s="41"/>
      <c r="ALH13" s="41"/>
      <c r="ALI13" s="41"/>
      <c r="ALJ13" s="41"/>
      <c r="ALK13" s="41"/>
      <c r="ALL13" s="41"/>
      <c r="ALM13" s="41"/>
      <c r="ALN13" s="41"/>
      <c r="ALO13" s="41"/>
      <c r="ALP13" s="41"/>
      <c r="ALQ13" s="41"/>
      <c r="ALR13" s="41"/>
      <c r="ALS13" s="41"/>
      <c r="ALT13" s="41"/>
      <c r="ALU13" s="41"/>
      <c r="ALV13" s="41"/>
      <c r="ALW13" s="41"/>
      <c r="ALX13" s="41"/>
      <c r="ALY13" s="41"/>
      <c r="ALZ13" s="41"/>
      <c r="AMA13" s="41"/>
      <c r="AMB13" s="41"/>
      <c r="AMC13" s="41"/>
      <c r="AMD13" s="41"/>
      <c r="AME13" s="41"/>
      <c r="AMF13" s="41"/>
      <c r="AMG13" s="41"/>
      <c r="AMH13" s="41"/>
      <c r="AMI13" s="41"/>
      <c r="AMJ13" s="41"/>
      <c r="AMK13" s="41"/>
      <c r="AML13" s="41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CheckAllocatedGroups!$4:$4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32</v>
      </c>
      <c r="D3" s="5" t="s">
        <v>9</v>
      </c>
      <c r="E3" s="22" t="s">
        <v>59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IFERROR(__xludf.DUMMYFUNCTION("""COMPUTED_VALUE"""),"Net Amount(Local)")</f>
        <v>Net Amount(Local)</v>
      </c>
      <c r="C5" s="27" t="str">
        <f>IFERROR(__xludf.DUMMYFUNCTION("""COMPUTED_VALUE"""),"Net Amount(Base)")</f>
        <v>Net Amount(Base)</v>
      </c>
      <c r="D5" s="27" t="str">
        <f>IFERROR(__xludf.DUMMYFUNCTION("""COMPUTED_VALUE"""),"Principal Amount(Local)")</f>
        <v>Principal Amount(Local)</v>
      </c>
      <c r="E5" s="27" t="str">
        <f>IFERROR(__xludf.DUMMYFUNCTION("""COMPUTED_VALUE"""),"Principal Amount(Base)")</f>
        <v>Principal Amount(Base)</v>
      </c>
      <c r="F5" s="28" t="str">
        <f>IFERROR(__xludf.DUMMYFUNCTION("""COMPUTED_VALUE"""),"FX Conversion Operator")</f>
        <v>FX Conversion Operator</v>
      </c>
      <c r="G5" s="27" t="str">
        <f>IFERROR(__xludf.DUMMYFUNCTION("""COMPUTED_VALUE"""),"TaxLotID")</f>
        <v>TaxLotID</v>
      </c>
      <c r="H5" s="27" t="str">
        <f>IFERROR(__xludf.DUMMYFUNCTION("""COMPUTED_VALUE"""),"Settlement Currency")</f>
        <v>Settlement Currency</v>
      </c>
      <c r="I5" s="27" t="str">
        <f>IFERROR(__xludf.DUMMYFUNCTION("""COMPUTED_VALUE"""),"Trade Attribute 1")</f>
        <v>Trade Attribute 1</v>
      </c>
      <c r="J5" s="27" t="str">
        <f>IFERROR(__xludf.DUMMYFUNCTION("""COMPUTED_VALUE"""),"Trade Attribute 2")</f>
        <v>Trade Attribute 2</v>
      </c>
      <c r="K5" s="27" t="str">
        <f>IFERROR(__xludf.DUMMYFUNCTION("""COMPUTED_VALUE"""),"Trade Attribute 3")</f>
        <v>Trade Attribute 3</v>
      </c>
      <c r="L5" s="27" t="str">
        <f>IFERROR(__xludf.DUMMYFUNCTION("""COMPUTED_VALUE"""),"Trade Attribute 4")</f>
        <v>Trade Attribute 4</v>
      </c>
      <c r="M5" s="27" t="str">
        <f>IFERROR(__xludf.DUMMYFUNCTION("""COMPUTED_VALUE"""),"Trade Attribute 5")</f>
        <v>Trade Attribute 5</v>
      </c>
      <c r="N5" s="27" t="str">
        <f>IFERROR(__xludf.DUMMYFUNCTION("""COMPUTED_VALUE"""),"Trade Attribute 6")</f>
        <v>Trade Attribute 6</v>
      </c>
      <c r="O5" s="27" t="str">
        <f>IFERROR(__xludf.DUMMYFUNCTION("""COMPUTED_VALUE"""),"Account Name")</f>
        <v>Account Name</v>
      </c>
      <c r="P5" s="27" t="str">
        <f>IFERROR(__xludf.DUMMYFUNCTION("""COMPUTED_VALUE"""),"Strategy Name")</f>
        <v>Strategy Name</v>
      </c>
      <c r="Q5" s="27" t="str">
        <f>IFERROR(__xludf.DUMMYFUNCTION("""COMPUTED_VALUE"""),"Percentage")</f>
        <v>Percentage</v>
      </c>
      <c r="R5" s="27" t="str">
        <f>IFERROR(__xludf.DUMMYFUNCTION("""COMPUTED_VALUE"""),"Taxlot Qty")</f>
        <v>Taxlot Qty</v>
      </c>
      <c r="S5" s="27" t="str">
        <f>IFERROR(__xludf.DUMMYFUNCTION("""COMPUTED_VALUE"""),"Commission")</f>
        <v>Commission</v>
      </c>
      <c r="T5" s="29" t="str">
        <f>IFERROR(__xludf.DUMMYFUNCTION("""COMPUTED_VALUE"""),"Soft Commission")</f>
        <v>Soft Commission</v>
      </c>
      <c r="U5" s="29" t="str">
        <f>IFERROR(__xludf.DUMMYFUNCTION("""COMPUTED_VALUE"""),"Other Broker Fees")</f>
        <v>Other Broker Fees</v>
      </c>
      <c r="V5" s="29" t="str">
        <f>IFERROR(__xludf.DUMMYFUNCTION("""COMPUTED_VALUE"""),"Clearing Broker Fees")</f>
        <v>Clearing Broker Fees</v>
      </c>
      <c r="W5" s="29" t="str">
        <f>IFERROR(__xludf.DUMMYFUNCTION("""COMPUTED_VALUE"""),"Stamp Duty")</f>
        <v>Stamp Duty</v>
      </c>
      <c r="X5" s="29" t="str">
        <f>IFERROR(__xludf.DUMMYFUNCTION("""COMPUTED_VALUE"""),"Transaction Levy")</f>
        <v>Transaction Levy</v>
      </c>
      <c r="Y5" s="29" t="str">
        <f>IFERROR(__xludf.DUMMYFUNCTION("""COMPUTED_VALUE"""),"AUEC Fee1")</f>
        <v>AUEC Fee1</v>
      </c>
      <c r="Z5" s="29" t="str">
        <f>IFERROR(__xludf.DUMMYFUNCTION("""COMPUTED_VALUE"""),"Tax On Commissions")</f>
        <v>Tax On Commissions</v>
      </c>
      <c r="AA5" s="29" t="str">
        <f>IFERROR(__xludf.DUMMYFUNCTION("""COMPUTED_VALUE"""),"AUEC Fee2")</f>
        <v>AUEC Fee2</v>
      </c>
      <c r="AB5" s="29" t="str">
        <f>IFERROR(__xludf.DUMMYFUNCTION("""COMPUTED_VALUE"""),"SEC Fee")</f>
        <v>SEC Fee</v>
      </c>
      <c r="AC5" s="29" t="str">
        <f>IFERROR(__xludf.DUMMYFUNCTION("""COMPUTED_VALUE"""),"OCC Fee")</f>
        <v>OCC Fee</v>
      </c>
      <c r="AD5" s="29" t="str">
        <f>IFERROR(__xludf.DUMMYFUNCTION("""COMPUTED_VALUE"""),"ORF Fee")</f>
        <v>ORF Fee</v>
      </c>
      <c r="AE5" s="29" t="str">
        <f>IFERROR(__xludf.DUMMYFUNCTION("""COMPUTED_VALUE"""),"Option Premium Adjustment")</f>
        <v>Option Premium Adjustment</v>
      </c>
      <c r="AF5" s="29" t="str">
        <f>IFERROR(__xludf.DUMMYFUNCTION("""COMPUTED_VALUE"""),"Closing Status")</f>
        <v>Closing Status</v>
      </c>
      <c r="AG5" s="29" t="str">
        <f>IFERROR(__xludf.DUMMYFUNCTION("""COMPUTED_VALUE"""),"External Transaction ID")</f>
        <v>External Transaction ID</v>
      </c>
      <c r="AH5" s="29" t="str">
        <f>IFERROR(__xludf.DUMMYFUNCTION("""COMPUTED_VALUE"""),"Lot ID")</f>
        <v>Lot ID</v>
      </c>
      <c r="AI5" s="29" t="str">
        <f>IFERROR(__xludf.DUMMYFUNCTION("""COMPUTED_VALUE"""),"AvgPriceBase")</f>
        <v>AvgPriceBase</v>
      </c>
      <c r="AJ5" s="29" t="str">
        <f>IFERROR(__xludf.DUMMYFUNCTION("""COMPUTED_VALUE"""),"Accrued Interest")</f>
        <v>Accrued Interest</v>
      </c>
      <c r="AK5" s="29" t="str">
        <f>IFERROR(__xludf.DUMMYFUNCTION("""COMPUTED_VALUE"""),"FXRate")</f>
        <v>FXRate</v>
      </c>
      <c r="AL5" s="29" t="str">
        <f>IFERROR(__xludf.DUMMYFUNCTION("""COMPUTED_VALUE"""),"Change Type")</f>
        <v>Change Type</v>
      </c>
      <c r="AM5" s="29" t="str">
        <f>IFERROR(__xludf.DUMMYFUNCTION("""COMPUTED_VALUE"""),"MandatoryColumn")</f>
        <v>MandatoryColumn</v>
      </c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42">
        <v>6056.05</v>
      </c>
      <c r="C6" s="42">
        <v>6056.05</v>
      </c>
      <c r="D6" s="42">
        <v>6000.0</v>
      </c>
      <c r="E6" s="42">
        <v>6000.0</v>
      </c>
      <c r="F6" s="43" t="s">
        <v>47</v>
      </c>
      <c r="G6" s="8"/>
      <c r="H6" s="43" t="s">
        <v>44</v>
      </c>
      <c r="I6" s="8"/>
      <c r="J6" s="8"/>
      <c r="K6" s="8"/>
      <c r="L6" s="8"/>
      <c r="M6" s="8"/>
      <c r="N6" s="8"/>
      <c r="O6" s="43" t="s">
        <v>35</v>
      </c>
      <c r="P6" s="43" t="s">
        <v>52</v>
      </c>
      <c r="Q6" s="44">
        <v>100.0</v>
      </c>
      <c r="R6" s="44">
        <v>500.0</v>
      </c>
      <c r="S6" s="44">
        <v>0.0</v>
      </c>
      <c r="T6" s="44">
        <v>0.0</v>
      </c>
      <c r="U6" s="44">
        <v>0.0</v>
      </c>
      <c r="V6" s="44">
        <v>0.0</v>
      </c>
      <c r="W6" s="44">
        <v>1.05</v>
      </c>
      <c r="X6" s="44">
        <v>0.0</v>
      </c>
      <c r="Y6" s="44">
        <v>54.0</v>
      </c>
      <c r="Z6" s="44">
        <v>1.0</v>
      </c>
      <c r="AA6" s="44">
        <v>0.0</v>
      </c>
      <c r="AB6" s="44">
        <v>0.0</v>
      </c>
      <c r="AC6" s="44">
        <v>0.0</v>
      </c>
      <c r="AD6" s="44">
        <v>0.0</v>
      </c>
      <c r="AE6" s="44">
        <v>0.0</v>
      </c>
      <c r="AF6" s="43" t="s">
        <v>42</v>
      </c>
      <c r="AI6" s="44">
        <v>12.0</v>
      </c>
      <c r="AJ6" s="44">
        <v>0.0</v>
      </c>
      <c r="AK6" s="44">
        <v>1.0</v>
      </c>
      <c r="AL6" s="44">
        <v>3.0</v>
      </c>
    </row>
    <row r="7" ht="15.75" customHeight="1">
      <c r="A7" s="8"/>
      <c r="B7" s="42">
        <v>6056.05</v>
      </c>
      <c r="C7" s="42">
        <v>6056.05</v>
      </c>
      <c r="D7" s="42">
        <v>6000.0</v>
      </c>
      <c r="E7" s="42">
        <v>6000.0</v>
      </c>
      <c r="F7" s="43" t="s">
        <v>47</v>
      </c>
      <c r="G7" s="8"/>
      <c r="H7" s="43" t="s">
        <v>44</v>
      </c>
      <c r="I7" s="8"/>
      <c r="J7" s="8"/>
      <c r="K7" s="8"/>
      <c r="L7" s="8"/>
      <c r="M7" s="8"/>
      <c r="N7" s="8"/>
      <c r="O7" s="43" t="s">
        <v>35</v>
      </c>
      <c r="P7" s="43" t="s">
        <v>52</v>
      </c>
      <c r="Q7" s="44">
        <v>100.0</v>
      </c>
      <c r="R7" s="44">
        <v>500.0</v>
      </c>
      <c r="S7" s="44">
        <v>0.0</v>
      </c>
      <c r="T7" s="44">
        <v>0.0</v>
      </c>
      <c r="U7" s="44">
        <v>0.0</v>
      </c>
      <c r="V7" s="44">
        <v>0.0</v>
      </c>
      <c r="W7" s="44">
        <v>1.05</v>
      </c>
      <c r="X7" s="44">
        <v>0.0</v>
      </c>
      <c r="Y7" s="44">
        <v>54.0</v>
      </c>
      <c r="Z7" s="44">
        <v>1.0</v>
      </c>
      <c r="AA7" s="44">
        <v>0.0</v>
      </c>
      <c r="AB7" s="44">
        <v>0.0</v>
      </c>
      <c r="AC7" s="44">
        <v>0.0</v>
      </c>
      <c r="AD7" s="44">
        <v>0.0</v>
      </c>
      <c r="AE7" s="44">
        <v>0.0</v>
      </c>
      <c r="AF7" s="43" t="s">
        <v>42</v>
      </c>
      <c r="AI7" s="44">
        <v>12.0</v>
      </c>
      <c r="AJ7" s="44">
        <v>0.0</v>
      </c>
      <c r="AK7" s="44">
        <v>1.0</v>
      </c>
      <c r="AL7" s="44">
        <v>3.0</v>
      </c>
    </row>
    <row r="8" ht="15.75" customHeight="1">
      <c r="A8" s="8"/>
      <c r="B8" s="42">
        <v>8478.47</v>
      </c>
      <c r="C8" s="42">
        <v>8478.47</v>
      </c>
      <c r="D8" s="42">
        <v>8400.0</v>
      </c>
      <c r="E8" s="42">
        <v>8400.0</v>
      </c>
      <c r="F8" s="43" t="s">
        <v>47</v>
      </c>
      <c r="G8" s="8"/>
      <c r="H8" s="43" t="s">
        <v>44</v>
      </c>
      <c r="I8" s="8"/>
      <c r="J8" s="8"/>
      <c r="K8" s="8"/>
      <c r="L8" s="8"/>
      <c r="M8" s="8"/>
      <c r="N8" s="8"/>
      <c r="O8" s="43" t="s">
        <v>35</v>
      </c>
      <c r="P8" s="43" t="s">
        <v>52</v>
      </c>
      <c r="Q8" s="44">
        <v>100.0</v>
      </c>
      <c r="R8" s="44">
        <v>700.0</v>
      </c>
      <c r="S8" s="44">
        <v>0.0</v>
      </c>
      <c r="T8" s="44">
        <v>0.0</v>
      </c>
      <c r="U8" s="44">
        <v>0.0</v>
      </c>
      <c r="V8" s="44">
        <v>0.0</v>
      </c>
      <c r="W8" s="44">
        <v>1.47</v>
      </c>
      <c r="X8" s="44">
        <v>0.0</v>
      </c>
      <c r="Y8" s="44">
        <v>76.0</v>
      </c>
      <c r="Z8" s="44">
        <v>1.0</v>
      </c>
      <c r="AA8" s="44">
        <v>0.0</v>
      </c>
      <c r="AB8" s="44">
        <v>0.0</v>
      </c>
      <c r="AC8" s="44">
        <v>0.0</v>
      </c>
      <c r="AD8" s="44">
        <v>0.0</v>
      </c>
      <c r="AE8" s="44">
        <v>0.0</v>
      </c>
      <c r="AF8" s="43" t="s">
        <v>42</v>
      </c>
      <c r="AI8" s="44">
        <v>12.0</v>
      </c>
      <c r="AJ8" s="44">
        <v>0.0</v>
      </c>
      <c r="AK8" s="44">
        <v>1.0</v>
      </c>
      <c r="AL8" s="44">
        <v>3.0</v>
      </c>
    </row>
    <row r="9" ht="15.75" customHeight="1">
      <c r="A9" s="8"/>
      <c r="B9" s="42">
        <v>8478.47</v>
      </c>
      <c r="C9" s="42">
        <v>8478.47</v>
      </c>
      <c r="D9" s="42">
        <v>8400.0</v>
      </c>
      <c r="E9" s="42">
        <v>8400.0</v>
      </c>
      <c r="F9" s="43" t="s">
        <v>47</v>
      </c>
      <c r="G9" s="8"/>
      <c r="H9" s="43" t="s">
        <v>44</v>
      </c>
      <c r="I9" s="8"/>
      <c r="J9" s="8"/>
      <c r="K9" s="8"/>
      <c r="L9" s="8"/>
      <c r="M9" s="8"/>
      <c r="N9" s="8"/>
      <c r="O9" s="43" t="s">
        <v>35</v>
      </c>
      <c r="P9" s="43" t="s">
        <v>52</v>
      </c>
      <c r="Q9" s="44">
        <v>100.0</v>
      </c>
      <c r="R9" s="44">
        <v>700.0</v>
      </c>
      <c r="S9" s="44">
        <v>0.0</v>
      </c>
      <c r="T9" s="44">
        <v>0.0</v>
      </c>
      <c r="U9" s="44">
        <v>0.0</v>
      </c>
      <c r="V9" s="44">
        <v>0.0</v>
      </c>
      <c r="W9" s="44">
        <v>1.47</v>
      </c>
      <c r="X9" s="44">
        <v>0.0</v>
      </c>
      <c r="Y9" s="44">
        <v>76.0</v>
      </c>
      <c r="Z9" s="44">
        <v>1.0</v>
      </c>
      <c r="AA9" s="44">
        <v>0.0</v>
      </c>
      <c r="AB9" s="44">
        <v>0.0</v>
      </c>
      <c r="AC9" s="44">
        <v>0.0</v>
      </c>
      <c r="AD9" s="44">
        <v>0.0</v>
      </c>
      <c r="AE9" s="44">
        <v>0.0</v>
      </c>
      <c r="AF9" s="43" t="s">
        <v>42</v>
      </c>
      <c r="AI9" s="44">
        <v>12.0</v>
      </c>
      <c r="AJ9" s="44">
        <v>0.0</v>
      </c>
      <c r="AK9" s="44">
        <v>1.0</v>
      </c>
      <c r="AL9" s="44">
        <v>3.0</v>
      </c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CheckAllocatedTaxlots!$4:$4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