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SelectTradeOnOrderGrid" sheetId="6" r:id="rId8"/>
    <sheet state="visible" name="CreateNewSubOrder" sheetId="7" r:id="rId9"/>
    <sheet state="visible" name="CreateReplaceOrder" sheetId="8" r:id="rId10"/>
    <sheet state="visible" name="VerifySubOrder" sheetId="9" r:id="rId11"/>
    <sheet state="visible" name="VerifyWorkingSubs" sheetId="10" r:id="rId12"/>
    <sheet state="visible" name="SaveLayoutOrderGrid" sheetId="11" r:id="rId13"/>
    <sheet state="visible" name="EditStageOrder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<sst xmlns="http://schemas.openxmlformats.org/spreadsheetml/2006/main" count="117" uniqueCount="33">
  <si>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</si>
  <si>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</si>
  <si>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</si>
  <si>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</si>
  <si>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</si>
  <si>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</si>
  <si>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</si>
  <si>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</si>
  <si>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</si>
  <si>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</si>
  <si>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</si>
  <si>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</si>
  <si>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</si>
  <si>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</si>
  <si>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</si>
  <si>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</si>
  <si>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</si>
  <si>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</si>
  <si>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Unallocated</t>
  </si>
  <si>
    <t>Market</t>
  </si>
  <si>
    <t>Blotter</t>
  </si>
  <si>
    <t>TradeNewSubOrder</t>
  </si>
  <si>
    <t>New</t>
  </si>
  <si>
    <t>SelectTradeOnOrderGrid</t>
  </si>
  <si>
    <t>Filled</t>
  </si>
  <si>
    <t>CreateNewSubOrder</t>
  </si>
  <si>
    <t>CreateReplaceOrder</t>
  </si>
  <si>
    <t>VerifySubOrder</t>
  </si>
  <si>
    <t>VerifyWorkingSubs</t>
  </si>
  <si>
    <t>UNALLOCATED</t>
  </si>
  <si>
    <t>SaveLayoutOrderGrid</t>
  </si>
  <si>
    <t>EditStageOrder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</si>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</sst>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name val="Cambria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1001.0</v>
      </c>
      <c r="E6" s="11">
        <v>0.0</v>
      </c>
      <c r="F6" s="11" t="s">
        <v>18</v>
      </c>
      <c r="G6" s="8"/>
      <c r="H6" s="8"/>
      <c r="I6" s="11" t="s">
        <v>19</v>
      </c>
      <c r="J6" s="11">
        <v>63.0</v>
      </c>
      <c r="K6" s="8"/>
      <c r="L6" s="8"/>
      <c r="M6" s="8"/>
      <c r="N6" s="8"/>
      <c r="O6" s="8"/>
    </row>
    <row r="7" ht="15.75" customHeight="1">
      <c r="A7" s="8"/>
      <c r="B7" s="11"/>
      <c r="C7" s="11"/>
      <c r="D7" s="11"/>
      <c r="E7" s="30"/>
      <c r="F7" s="11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11"/>
      <c r="C8" s="11"/>
      <c r="D8" s="11"/>
      <c r="E8" s="30"/>
      <c r="F8" s="11"/>
      <c r="G8" s="8"/>
      <c r="H8" s="8"/>
      <c r="I8" s="8"/>
      <c r="J8" s="11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1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1001.0</v>
      </c>
      <c r="AP6" s="9">
        <v>1001.0</v>
      </c>
      <c r="AQ6" s="9">
        <v>0.0</v>
      </c>
      <c r="AR6" s="9">
        <v>0.0</v>
      </c>
      <c r="AS6" s="9"/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" width="12.63"/>
    <col customWidth="1" min="14" max="14" width="20.88"/>
    <col customWidth="1" min="1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 t="s">
        <v>16</v>
      </c>
      <c r="F6" s="9" t="s">
        <v>17</v>
      </c>
      <c r="G6" s="11" t="s">
        <v>24</v>
      </c>
      <c r="H6" s="11">
        <v>1001.0</v>
      </c>
      <c r="I6" s="11">
        <v>1001.0</v>
      </c>
      <c r="J6" s="11">
        <v>100.0</v>
      </c>
      <c r="K6" s="8"/>
      <c r="L6" s="8"/>
      <c r="M6" s="8"/>
      <c r="N6" s="11">
        <v>0.0</v>
      </c>
      <c r="O6" s="8"/>
      <c r="P6" s="9">
        <v>63.0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1001.0</v>
      </c>
      <c r="E6" s="11">
        <v>1001.0</v>
      </c>
      <c r="F6" s="11" t="s">
        <v>18</v>
      </c>
      <c r="G6" s="8"/>
      <c r="H6" s="8"/>
      <c r="I6" s="11" t="s">
        <v>19</v>
      </c>
      <c r="J6" s="11">
        <v>63.0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1001.0</v>
      </c>
      <c r="E6" s="30"/>
      <c r="F6" s="11" t="s">
        <v>18</v>
      </c>
      <c r="G6" s="8"/>
      <c r="H6" s="8"/>
      <c r="I6" s="8"/>
      <c r="J6" s="11">
        <v>63.0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0" width="12.63"/>
    <col customWidth="1" min="41" max="41" width="16.13"/>
    <col customWidth="1" min="42" max="42" width="22.63"/>
    <col customWidth="1" min="4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/>
      <c r="H6" s="8"/>
      <c r="I6" s="8"/>
      <c r="J6" s="8"/>
      <c r="K6" s="8"/>
      <c r="L6" s="8"/>
      <c r="M6" s="8"/>
      <c r="N6" s="8"/>
      <c r="O6" s="8"/>
      <c r="AB6" s="9">
        <v>1001.0</v>
      </c>
      <c r="AI6" s="9" t="s">
        <v>16</v>
      </c>
      <c r="AJ6" s="9" t="s">
        <v>17</v>
      </c>
      <c r="AK6" s="9" t="s">
        <v>24</v>
      </c>
      <c r="AL6" s="9">
        <v>1001.0</v>
      </c>
      <c r="AM6" s="9">
        <v>1001.0</v>
      </c>
      <c r="AN6" s="9"/>
      <c r="AO6" s="9">
        <v>63.0</v>
      </c>
      <c r="AP6" s="9">
        <v>63.0</v>
      </c>
      <c r="AR6" s="9"/>
      <c r="AS6" s="9" t="s">
        <v>19</v>
      </c>
      <c r="AY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1" width="12.63"/>
    <col customWidth="1" min="22" max="22" width="23.38"/>
    <col customWidth="1" min="2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1001.0</v>
      </c>
      <c r="E6" s="9">
        <v>1001.0</v>
      </c>
      <c r="F6" s="11"/>
      <c r="G6" s="11" t="s">
        <v>24</v>
      </c>
      <c r="H6" s="11">
        <v>1001.0</v>
      </c>
      <c r="I6" s="11">
        <v>63.0</v>
      </c>
      <c r="J6" s="11">
        <v>63.0</v>
      </c>
      <c r="K6" s="8"/>
      <c r="L6" s="8"/>
      <c r="M6" s="11" t="s">
        <v>19</v>
      </c>
      <c r="O6" s="8"/>
      <c r="V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IFERROR(__xludf.DUMMYFUNCTION("""COMPUTED_VALUE"""),"Target Qty")</f>
        <v>Target Qty</v>
      </c>
      <c r="AN5" s="29" t="str">
        <f>IFERROR(__xludf.DUMMYFUNCTION("""COMPUTED_VALUE"""),"Total Executed Qty")</f>
        <v>Total 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IFERROR(__xludf.DUMMYFUNCTION("""COMPUTED_VALUE"""),"Uncommitted Qty")</f>
        <v>Uncommitted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 t="str">
        <f>IFERROR(__xludf.DUMMYFUNCTION("""COMPUTED_VALUE"""),"Start of Day Qty")</f>
        <v>Start of Day Qty</v>
      </c>
      <c r="BB5" s="29" t="str">
        <f>IFERROR(__xludf.DUMMYFUNCTION("""COMPUTED_VALUE"""),"Leaves")</f>
        <v>Leaves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11" t="b">
        <v>1</v>
      </c>
      <c r="D6" s="11" t="b">
        <v>1</v>
      </c>
      <c r="E6" s="11" t="b">
        <v>1</v>
      </c>
      <c r="F6" s="11" t="b">
        <v>1</v>
      </c>
      <c r="G6" s="11" t="b">
        <v>1</v>
      </c>
      <c r="H6" s="11" t="b">
        <v>1</v>
      </c>
      <c r="I6" s="11" t="b">
        <v>1</v>
      </c>
      <c r="J6" s="11" t="b">
        <v>1</v>
      </c>
      <c r="K6" s="11" t="b">
        <v>1</v>
      </c>
      <c r="L6" s="11" t="b">
        <v>1</v>
      </c>
      <c r="M6" s="11" t="b">
        <v>1</v>
      </c>
      <c r="N6" s="11" t="b">
        <v>1</v>
      </c>
      <c r="O6" s="11" t="b">
        <v>1</v>
      </c>
      <c r="P6" s="11" t="b">
        <v>1</v>
      </c>
      <c r="Q6" s="11" t="b">
        <v>1</v>
      </c>
      <c r="R6" s="11" t="b">
        <v>1</v>
      </c>
      <c r="S6" s="11" t="b">
        <v>1</v>
      </c>
      <c r="T6" s="11" t="b">
        <v>1</v>
      </c>
      <c r="U6" s="11" t="b">
        <v>1</v>
      </c>
      <c r="V6" s="11" t="b">
        <v>1</v>
      </c>
      <c r="W6" s="11" t="b">
        <v>1</v>
      </c>
      <c r="X6" s="11" t="b">
        <v>1</v>
      </c>
      <c r="Y6" s="11" t="b">
        <v>1</v>
      </c>
      <c r="Z6" s="11" t="b">
        <v>1</v>
      </c>
      <c r="AA6" s="11" t="b">
        <v>1</v>
      </c>
      <c r="AB6" s="11" t="b">
        <v>1</v>
      </c>
      <c r="AC6" s="11" t="b">
        <v>1</v>
      </c>
      <c r="AD6" s="11" t="b">
        <v>1</v>
      </c>
      <c r="AE6" s="11" t="b">
        <v>1</v>
      </c>
      <c r="AF6" s="11" t="b">
        <v>1</v>
      </c>
      <c r="AG6" s="11" t="b">
        <v>1</v>
      </c>
      <c r="AH6" s="11" t="b">
        <v>1</v>
      </c>
      <c r="AI6" s="11" t="b">
        <v>1</v>
      </c>
      <c r="AJ6" s="11" t="b">
        <v>1</v>
      </c>
      <c r="AK6" s="11" t="b">
        <v>1</v>
      </c>
      <c r="AL6" s="11" t="b">
        <v>1</v>
      </c>
      <c r="AM6" s="11" t="b">
        <v>1</v>
      </c>
      <c r="AN6" s="11" t="b">
        <v>1</v>
      </c>
      <c r="AO6" s="11" t="b">
        <v>1</v>
      </c>
      <c r="AP6" s="11" t="b">
        <v>1</v>
      </c>
      <c r="AQ6" s="11" t="b">
        <v>1</v>
      </c>
      <c r="AR6" s="11" t="b">
        <v>1</v>
      </c>
      <c r="AS6" s="11" t="b">
        <v>1</v>
      </c>
      <c r="AT6" s="11" t="b">
        <v>1</v>
      </c>
      <c r="AU6" s="11" t="b">
        <v>1</v>
      </c>
      <c r="AV6" s="11" t="b">
        <v>1</v>
      </c>
      <c r="AW6" s="11" t="b">
        <v>1</v>
      </c>
      <c r="AX6" s="11" t="b">
        <v>1</v>
      </c>
      <c r="AY6" s="11" t="b">
        <v>1</v>
      </c>
      <c r="AZ6" s="11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SaveLayoutOrderGrid!$4:$4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1001.0</v>
      </c>
      <c r="AM6" s="9">
        <v>1001.0</v>
      </c>
      <c r="AN6" s="9">
        <v>100.0</v>
      </c>
      <c r="AQ6" s="9">
        <v>63.0</v>
      </c>
      <c r="AR6" s="9">
        <v>63.0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4"/>
      <c r="AC6" s="33"/>
      <c r="AD6" s="33"/>
      <c r="AE6" s="33"/>
      <c r="AF6" s="33"/>
      <c r="AG6" s="33"/>
      <c r="AH6" s="33"/>
      <c r="AI6" s="35" t="s">
        <v>16</v>
      </c>
      <c r="AJ6" s="35" t="s">
        <v>17</v>
      </c>
      <c r="AK6" s="35" t="s">
        <v>24</v>
      </c>
      <c r="AL6" s="34">
        <v>1001.0</v>
      </c>
      <c r="AM6" s="34">
        <v>1001.0</v>
      </c>
      <c r="AN6" s="34">
        <v>100.0</v>
      </c>
      <c r="AQ6" s="34"/>
      <c r="AR6" s="34">
        <v>63.0</v>
      </c>
      <c r="AT6" s="33"/>
      <c r="AU6" s="35" t="s">
        <v>19</v>
      </c>
      <c r="AV6" s="33"/>
      <c r="AW6" s="33"/>
      <c r="AX6" s="33"/>
      <c r="AY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