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SelectTradeOnOrderGrid3" sheetId="20" r:id="rId22"/>
    <sheet state="visible" name="VerifySubOrderAfterRollover" sheetId="21" r:id="rId23"/>
    <sheet state="visible" name="SelectTradeOnOrderGrid4" sheetId="22" r:id="rId24"/>
    <sheet state="visible" name="VerifySubOrderAfterRollover1" sheetId="23" r:id="rId25"/>
    <sheet state="visible" name="SelectTradeOnOrderGrid5" sheetId="24" r:id="rId26"/>
    <sheet state="visible" name="VerifySubOrderAfterRollover2" sheetId="25" r:id="rId27"/>
  </sheets>
  <definedNames/>
  <calcPr/>
</workbook>
</file>

<file path=xl/sharedStrings.xml><?xml version="1.0" encoding="utf-8"?>
<sst xmlns="http://schemas.openxmlformats.org/spreadsheetml/2006/main" count="340" uniqueCount="45">
  <si>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</si>
  <si>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</si>
  <si>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</si>
  <si>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</si>
  <si>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</si>
  <si>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</si>
  <si>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</si>
  <si>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</si>
  <si>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</si>
  <si>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</si>
  <si>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</si>
  <si>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</si>
  <si>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</si>
  <si>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</si>
  <si>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</si>
  <si>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</si>
  <si>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</si>
  <si>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</si>
  <si>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</si>
  <si>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CreateStageOrder</t>
  </si>
  <si>
    <t>AAPL</t>
  </si>
  <si>
    <t>Blotter</t>
  </si>
  <si>
    <t>TradeNewSubOrder</t>
  </si>
  <si>
    <t>Equity</t>
  </si>
  <si>
    <t>New</t>
  </si>
  <si>
    <t>Market</t>
  </si>
  <si>
    <t>CreateNewSubOrder</t>
  </si>
  <si>
    <t>PartiallyFilled</t>
  </si>
  <si>
    <t>SelectTradeOnOrderGrid</t>
  </si>
  <si>
    <t>MS</t>
  </si>
  <si>
    <t>CancelSubOrder</t>
  </si>
  <si>
    <t>ReplaceSubOrder</t>
  </si>
  <si>
    <t>CreateReplaceOrder</t>
  </si>
  <si>
    <t>SAP</t>
  </si>
  <si>
    <t>Admin</t>
  </si>
  <si>
    <t>SetRollover</t>
  </si>
  <si>
    <t>US</t>
  </si>
  <si>
    <t>NASDAQ</t>
  </si>
  <si>
    <t>Right Now</t>
  </si>
  <si>
    <t>VerifyRollover</t>
  </si>
  <si>
    <t>VerifyOrder</t>
  </si>
  <si>
    <t>Filled</t>
  </si>
  <si>
    <t>Replaced</t>
  </si>
  <si>
    <t>VerifySubOrderAfterRollover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</si>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</sst>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Menl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5F5F5"/>
        <bgColor rgb="FFF5F5F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ill="1" applyFont="1" applyNumberFormat="1">
      <alignment shrinkToFit="0" wrapText="1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14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IFERROR(__xludf.DUMMYFUNCTION("""COMPUTED_VALUE"""),"SelectTradeOnImport")</f>
        <v>SelectTradeOnImport</v>
      </c>
      <c r="C439" t="str">
        <f>IFERROR(__xludf.DUMMYFUNCTION("""COMPUTED_VALUE"""),"1cKcS8OVvyE5peghYHFAiIpqeF3JiqvLyzUmM_eNClUo")</f>
        <v>1cKcS8OVvyE5peghYHFAiIpqeF3JiqvLyzUmM_eNClUo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8"/>
      <c r="L6" s="8"/>
      <c r="M6" s="8"/>
      <c r="N6" s="35">
        <f>today()+1</f>
        <v>44037</v>
      </c>
      <c r="O6" s="8"/>
    </row>
    <row r="7" ht="15.75" customHeight="1">
      <c r="A7" s="36"/>
      <c r="B7" s="36" t="s">
        <v>16</v>
      </c>
      <c r="C7" s="36" t="s">
        <v>17</v>
      </c>
      <c r="D7" s="37">
        <v>200.0</v>
      </c>
      <c r="E7" s="37">
        <v>100.0</v>
      </c>
      <c r="F7" s="36" t="s">
        <v>18</v>
      </c>
      <c r="G7" s="36"/>
      <c r="H7" s="36"/>
      <c r="I7" s="36"/>
      <c r="J7" s="37">
        <v>10.0</v>
      </c>
      <c r="K7" s="8"/>
      <c r="L7" s="8"/>
      <c r="M7" s="8"/>
      <c r="N7" s="38">
        <f t="shared" ref="N7:N8" si="1">TODAY() + 1</f>
        <v>44037</v>
      </c>
      <c r="O7" s="8"/>
    </row>
    <row r="8" ht="15.75" customHeight="1">
      <c r="A8" s="36"/>
      <c r="B8" s="36" t="s">
        <v>16</v>
      </c>
      <c r="C8" s="36" t="s">
        <v>17</v>
      </c>
      <c r="D8" s="37">
        <v>300.0</v>
      </c>
      <c r="E8" s="37">
        <v>300.0</v>
      </c>
      <c r="F8" s="36" t="s">
        <v>18</v>
      </c>
      <c r="G8" s="36"/>
      <c r="H8" s="36"/>
      <c r="I8" s="36"/>
      <c r="J8" s="37">
        <v>10.0</v>
      </c>
      <c r="K8" s="8"/>
      <c r="L8" s="8"/>
      <c r="M8" s="8"/>
      <c r="N8" s="38">
        <f t="shared" si="1"/>
        <v>44037</v>
      </c>
      <c r="O8" s="8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20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8">
        <f>TODAY() + 1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23</v>
      </c>
      <c r="AI6" s="36" t="s">
        <v>20</v>
      </c>
      <c r="AJ6" s="36" t="s">
        <v>17</v>
      </c>
      <c r="AK6" s="36" t="s">
        <v>24</v>
      </c>
      <c r="AL6" s="40">
        <v>1000.0</v>
      </c>
      <c r="AM6" s="36"/>
      <c r="AN6" s="36"/>
      <c r="AO6" s="36"/>
      <c r="AP6" s="36"/>
      <c r="AQ6" s="36"/>
      <c r="AR6" s="36"/>
      <c r="AS6" s="36"/>
      <c r="AT6" s="36" t="s">
        <v>18</v>
      </c>
      <c r="AU6" s="36" t="s">
        <v>25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200.0</v>
      </c>
      <c r="E6" s="34">
        <v>100.0</v>
      </c>
      <c r="F6" s="32"/>
      <c r="G6" s="32"/>
      <c r="H6" s="32"/>
      <c r="I6" s="32"/>
      <c r="J6" s="34">
        <v>15.0</v>
      </c>
      <c r="K6" s="32"/>
      <c r="L6" s="32"/>
      <c r="M6" s="32"/>
      <c r="N6" s="41">
        <f>TODAY() 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23</v>
      </c>
      <c r="AI6" s="36" t="s">
        <v>20</v>
      </c>
      <c r="AJ6" s="36" t="s">
        <v>17</v>
      </c>
      <c r="AK6" s="36" t="s">
        <v>27</v>
      </c>
      <c r="AL6" s="40">
        <v>1000.0</v>
      </c>
      <c r="AM6" s="36"/>
      <c r="AN6" s="36"/>
      <c r="AO6" s="36"/>
      <c r="AP6" s="36"/>
      <c r="AQ6" s="36"/>
      <c r="AR6" s="36"/>
      <c r="AS6" s="36"/>
      <c r="AT6" s="36" t="s">
        <v>18</v>
      </c>
      <c r="AU6" s="36" t="s">
        <v>25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400.0</v>
      </c>
      <c r="E6" s="34">
        <v>200.0</v>
      </c>
      <c r="F6" s="32"/>
      <c r="G6" s="32"/>
      <c r="H6" s="32"/>
      <c r="I6" s="32"/>
      <c r="J6" s="34">
        <v>15.0</v>
      </c>
      <c r="K6" s="32"/>
      <c r="L6" s="32"/>
      <c r="M6" s="32"/>
      <c r="N6" s="41">
        <f>today() 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 t="s">
        <v>20</v>
      </c>
      <c r="E6" s="32"/>
      <c r="F6" s="32" t="s">
        <v>17</v>
      </c>
      <c r="G6" s="32" t="s">
        <v>27</v>
      </c>
      <c r="H6" s="42">
        <v>1000.0</v>
      </c>
      <c r="I6" s="32"/>
      <c r="J6" s="32"/>
      <c r="K6" s="32"/>
      <c r="L6" s="32"/>
      <c r="M6" s="32"/>
      <c r="N6" s="32"/>
      <c r="O6" s="32"/>
      <c r="P6" s="32"/>
      <c r="Q6" s="32" t="s">
        <v>29</v>
      </c>
      <c r="R6" s="32" t="s">
        <v>18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23</v>
      </c>
      <c r="AG6" s="36"/>
      <c r="AH6" s="36"/>
      <c r="AI6" s="36"/>
      <c r="AJ6" s="36"/>
      <c r="AK6" s="36"/>
      <c r="AL6" s="36"/>
      <c r="AM6" s="36"/>
      <c r="AN6" s="36"/>
      <c r="AO6" s="36"/>
      <c r="AP6" s="39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23</v>
      </c>
      <c r="AI6" s="36" t="s">
        <v>20</v>
      </c>
      <c r="AJ6" s="36" t="s">
        <v>17</v>
      </c>
      <c r="AK6" s="36" t="s">
        <v>27</v>
      </c>
      <c r="AL6" s="39">
        <v>200.0</v>
      </c>
      <c r="AM6" s="39">
        <v>100.0</v>
      </c>
      <c r="AN6" s="36"/>
      <c r="AO6" s="36"/>
      <c r="AP6" s="36"/>
      <c r="AQ6" s="36"/>
      <c r="AR6" s="36"/>
      <c r="AS6" s="36" t="s">
        <v>29</v>
      </c>
      <c r="AT6" s="36" t="s">
        <v>18</v>
      </c>
      <c r="AU6" s="36" t="s">
        <v>25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 t="s">
        <v>20</v>
      </c>
      <c r="E6" s="32"/>
      <c r="F6" s="32" t="s">
        <v>17</v>
      </c>
      <c r="G6" s="32" t="s">
        <v>27</v>
      </c>
      <c r="H6" s="42">
        <v>1000.0</v>
      </c>
      <c r="I6" s="32"/>
      <c r="J6" s="32"/>
      <c r="K6" s="32"/>
      <c r="L6" s="32"/>
      <c r="M6" s="32"/>
      <c r="N6" s="32"/>
      <c r="O6" s="32"/>
      <c r="P6" s="32"/>
      <c r="Q6" s="32" t="s">
        <v>29</v>
      </c>
      <c r="R6" s="32" t="s">
        <v>18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23</v>
      </c>
      <c r="AG6" s="36"/>
      <c r="AH6" s="36"/>
      <c r="AI6" s="36"/>
      <c r="AJ6" s="36"/>
      <c r="AK6" s="36"/>
      <c r="AL6" s="36"/>
      <c r="AM6" s="36"/>
      <c r="AN6" s="36"/>
      <c r="AO6" s="36"/>
      <c r="AP6" s="39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1.0</v>
      </c>
      <c r="AF6" s="36"/>
      <c r="AG6" s="36"/>
      <c r="AH6" s="36"/>
      <c r="AI6" s="36" t="s">
        <v>23</v>
      </c>
      <c r="AJ6" s="36" t="s">
        <v>20</v>
      </c>
      <c r="AK6" s="36" t="s">
        <v>17</v>
      </c>
      <c r="AL6" s="36" t="s">
        <v>27</v>
      </c>
      <c r="AM6" s="39">
        <v>400.0</v>
      </c>
      <c r="AN6" s="39">
        <v>200.0</v>
      </c>
      <c r="AO6" s="36"/>
      <c r="AP6" s="36"/>
      <c r="AQ6" s="36"/>
      <c r="AR6" s="36"/>
      <c r="AS6" s="36"/>
      <c r="AT6" s="36" t="s">
        <v>29</v>
      </c>
      <c r="AU6" s="36" t="s">
        <v>18</v>
      </c>
      <c r="AV6" s="36" t="s">
        <v>25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1200.0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33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41">
        <f>today() +1</f>
        <v>44037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3" t="str">
        <f>IFERROR(__xludf.DUMMYFUNCTION("""COMPUTED_VALUE"""),"ClearanceTime")</f>
        <v>ClearanceTime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23</v>
      </c>
      <c r="C6" s="44" t="s">
        <v>36</v>
      </c>
      <c r="D6" s="45" t="s">
        <v>37</v>
      </c>
      <c r="E6" s="32" t="s">
        <v>38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46"/>
      <c r="F6" s="11" t="s">
        <v>17</v>
      </c>
      <c r="G6" s="11" t="s">
        <v>24</v>
      </c>
      <c r="H6" s="11">
        <v>100.0</v>
      </c>
      <c r="I6" s="8"/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  <c r="AA6" s="9">
        <v>100.0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4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O6" s="9">
        <v>0.0</v>
      </c>
      <c r="AP6" s="9">
        <v>0.0</v>
      </c>
      <c r="AQ6" s="9" t="s">
        <v>29</v>
      </c>
      <c r="AR6" s="9" t="s">
        <v>18</v>
      </c>
      <c r="AS6" s="9" t="s">
        <v>25</v>
      </c>
      <c r="AT6" s="9">
        <v>0.0</v>
      </c>
      <c r="AU6" s="9">
        <v>0.0</v>
      </c>
      <c r="AW6" s="9" t="s">
        <v>24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4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Q6" s="9">
        <v>0.0</v>
      </c>
      <c r="AR6" s="9">
        <v>0.0</v>
      </c>
      <c r="AS6" s="9" t="s">
        <v>29</v>
      </c>
      <c r="AT6" s="9" t="s">
        <v>18</v>
      </c>
      <c r="AU6" s="9" t="s">
        <v>25</v>
      </c>
      <c r="AY6" s="9">
        <v>100.0</v>
      </c>
      <c r="AZ6" s="9">
        <v>100.0</v>
      </c>
    </row>
    <row r="7" ht="15.75" customHeight="1">
      <c r="A7" s="8"/>
      <c r="B7" s="8"/>
      <c r="C7" s="8"/>
      <c r="D7" s="11">
        <v>10.0</v>
      </c>
      <c r="E7" s="8"/>
      <c r="F7" s="8"/>
      <c r="G7" s="11">
        <v>100.0</v>
      </c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23</v>
      </c>
      <c r="AI7" s="9" t="s">
        <v>16</v>
      </c>
      <c r="AJ7" s="9" t="s">
        <v>17</v>
      </c>
      <c r="AK7" s="9" t="s">
        <v>27</v>
      </c>
      <c r="AL7" s="9">
        <v>200.0</v>
      </c>
      <c r="AM7" s="9">
        <v>100.0</v>
      </c>
      <c r="AO7" s="9">
        <v>100.0</v>
      </c>
      <c r="AQ7" s="9">
        <v>10.0</v>
      </c>
      <c r="AR7" s="9">
        <v>10.0</v>
      </c>
      <c r="AS7" s="9" t="s">
        <v>29</v>
      </c>
      <c r="AT7" s="9" t="s">
        <v>18</v>
      </c>
      <c r="AU7" s="9" t="s">
        <v>25</v>
      </c>
      <c r="AY7" s="9">
        <v>200.0</v>
      </c>
      <c r="AZ7" s="9">
        <v>100.0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23</v>
      </c>
      <c r="AI8" s="9" t="s">
        <v>16</v>
      </c>
      <c r="AJ8" s="9" t="s">
        <v>17</v>
      </c>
      <c r="AK8" s="9" t="s">
        <v>41</v>
      </c>
      <c r="AL8" s="9">
        <v>300.0</v>
      </c>
      <c r="AM8" s="9">
        <v>300.0</v>
      </c>
      <c r="AO8" s="9">
        <v>300.0</v>
      </c>
      <c r="AQ8" s="9">
        <v>10.0</v>
      </c>
      <c r="AR8" s="9">
        <v>10.0</v>
      </c>
      <c r="AS8" s="9" t="s">
        <v>29</v>
      </c>
      <c r="AT8" s="9" t="s">
        <v>18</v>
      </c>
      <c r="AU8" s="9" t="s">
        <v>25</v>
      </c>
      <c r="AY8" s="9">
        <v>300.0</v>
      </c>
    </row>
    <row r="9" ht="15.75" customHeight="1">
      <c r="A9" s="8"/>
      <c r="B9" s="8"/>
      <c r="C9" s="8"/>
      <c r="D9" s="11">
        <v>15.0</v>
      </c>
      <c r="E9" s="8"/>
      <c r="F9" s="8"/>
      <c r="G9" s="47">
        <v>1000.0</v>
      </c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23</v>
      </c>
      <c r="AI9" s="9" t="s">
        <v>20</v>
      </c>
      <c r="AJ9" s="9" t="s">
        <v>17</v>
      </c>
      <c r="AK9" s="9" t="s">
        <v>42</v>
      </c>
      <c r="AL9" s="48">
        <v>1300.0</v>
      </c>
      <c r="AM9" s="9">
        <v>300.0</v>
      </c>
      <c r="AO9" s="9">
        <v>300.0</v>
      </c>
      <c r="AQ9" s="9">
        <v>0.0</v>
      </c>
      <c r="AR9" s="9">
        <v>15.0</v>
      </c>
      <c r="AS9" s="9" t="s">
        <v>29</v>
      </c>
      <c r="AT9" s="9" t="s">
        <v>18</v>
      </c>
      <c r="AU9" s="9" t="s">
        <v>25</v>
      </c>
      <c r="AY9" s="48">
        <v>1300.0</v>
      </c>
      <c r="AZ9" s="9">
        <v>1000.0</v>
      </c>
    </row>
    <row r="10" ht="15.75" customHeight="1">
      <c r="A10" s="8"/>
      <c r="B10" s="8"/>
      <c r="C10" s="8"/>
      <c r="D10" s="11">
        <v>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9">
        <v>1.0</v>
      </c>
      <c r="AH10" s="9" t="s">
        <v>23</v>
      </c>
      <c r="AI10" s="9" t="s">
        <v>33</v>
      </c>
      <c r="AJ10" s="9" t="s">
        <v>17</v>
      </c>
      <c r="AK10" s="9" t="s">
        <v>24</v>
      </c>
      <c r="AL10" s="48">
        <v>1000.0</v>
      </c>
      <c r="AP10" s="48">
        <v>1000.0</v>
      </c>
      <c r="AQ10" s="9">
        <v>0.0</v>
      </c>
      <c r="AR10" s="9">
        <v>0.0</v>
      </c>
      <c r="AS10" s="9" t="s">
        <v>29</v>
      </c>
      <c r="AT10" s="9" t="s">
        <v>18</v>
      </c>
      <c r="AU10" s="9" t="s">
        <v>25</v>
      </c>
      <c r="AY10" s="48">
        <v>1000.0</v>
      </c>
      <c r="AZ10" s="9">
        <v>1000.0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46"/>
      <c r="F6" s="11" t="s">
        <v>17</v>
      </c>
      <c r="G6" s="11" t="s">
        <v>27</v>
      </c>
      <c r="H6" s="11">
        <v>200.0</v>
      </c>
      <c r="I6" s="8"/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  <c r="AA6" s="9">
        <v>100.0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4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27</v>
      </c>
      <c r="AL6" s="9">
        <v>200.0</v>
      </c>
      <c r="AM6" s="9">
        <v>100.0</v>
      </c>
      <c r="AO6" s="9">
        <v>10.0</v>
      </c>
      <c r="AP6" s="9">
        <v>10.0</v>
      </c>
      <c r="AQ6" s="9" t="s">
        <v>29</v>
      </c>
      <c r="AR6" s="9" t="s">
        <v>18</v>
      </c>
      <c r="AS6" s="9" t="s">
        <v>25</v>
      </c>
      <c r="AW6" s="9" t="s">
        <v>27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46"/>
      <c r="F6" s="11" t="s">
        <v>17</v>
      </c>
      <c r="G6" s="11" t="s">
        <v>41</v>
      </c>
      <c r="H6" s="11">
        <v>300.0</v>
      </c>
      <c r="I6" s="11">
        <v>300.0</v>
      </c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41</v>
      </c>
      <c r="AL6" s="9">
        <v>300.0</v>
      </c>
      <c r="AM6" s="9">
        <v>300.0</v>
      </c>
      <c r="AO6" s="9">
        <v>10.0</v>
      </c>
      <c r="AP6" s="9">
        <v>10.0</v>
      </c>
      <c r="AQ6" s="9" t="s">
        <v>29</v>
      </c>
      <c r="AR6" s="9" t="s">
        <v>18</v>
      </c>
      <c r="AS6" s="9" t="s">
        <v>25</v>
      </c>
      <c r="AW6" s="9" t="s">
        <v>41</v>
      </c>
      <c r="A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20</v>
      </c>
      <c r="E6" s="46"/>
      <c r="F6" s="11" t="s">
        <v>17</v>
      </c>
      <c r="G6" s="11" t="s">
        <v>42</v>
      </c>
      <c r="H6" s="47">
        <v>1300.0</v>
      </c>
      <c r="I6" s="11">
        <v>300.0</v>
      </c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15.0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20</v>
      </c>
      <c r="AJ6" s="9" t="s">
        <v>17</v>
      </c>
      <c r="AK6" s="9" t="s">
        <v>44</v>
      </c>
      <c r="AL6" s="9">
        <v>200.0</v>
      </c>
      <c r="AM6" s="9">
        <v>100.0</v>
      </c>
      <c r="AO6" s="9">
        <v>0.0</v>
      </c>
      <c r="AP6" s="9">
        <v>15.0</v>
      </c>
      <c r="AQ6" s="9" t="s">
        <v>29</v>
      </c>
      <c r="AR6" s="9" t="s">
        <v>18</v>
      </c>
      <c r="AS6" s="9" t="s">
        <v>25</v>
      </c>
      <c r="AW6" s="9" t="s">
        <v>44</v>
      </c>
      <c r="AX6" s="9">
        <v>100.0</v>
      </c>
      <c r="BF6" s="11"/>
      <c r="BG6" s="11"/>
      <c r="BH6" s="8"/>
      <c r="BI6" s="11">
        <v>15.0</v>
      </c>
      <c r="BJ6" s="46"/>
      <c r="BK6" s="8"/>
      <c r="BL6" s="8"/>
      <c r="BM6" s="8"/>
      <c r="BN6" s="8"/>
      <c r="BO6" s="8"/>
      <c r="BP6" s="8"/>
      <c r="BQ6" s="8"/>
      <c r="BR6" s="8"/>
      <c r="BS6" s="8"/>
      <c r="BT6" s="8"/>
      <c r="CI6" s="9">
        <v>1.0</v>
      </c>
      <c r="CM6" s="9" t="s">
        <v>23</v>
      </c>
      <c r="CN6" s="9" t="s">
        <v>20</v>
      </c>
      <c r="CO6" s="9" t="s">
        <v>17</v>
      </c>
      <c r="CP6" s="9" t="s">
        <v>44</v>
      </c>
      <c r="CQ6" s="9">
        <v>200.0</v>
      </c>
      <c r="CR6" s="9">
        <v>100.0</v>
      </c>
      <c r="CT6" s="9">
        <v>0.0</v>
      </c>
      <c r="CU6" s="9">
        <v>15.0</v>
      </c>
      <c r="CV6" s="9" t="s">
        <v>29</v>
      </c>
      <c r="CW6" s="9" t="s">
        <v>18</v>
      </c>
      <c r="CX6" s="9" t="s">
        <v>25</v>
      </c>
      <c r="DB6" s="9" t="s">
        <v>44</v>
      </c>
      <c r="DC6" s="9">
        <v>100.0</v>
      </c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11">
        <v>15.0</v>
      </c>
      <c r="E7" s="8"/>
      <c r="F7" s="8"/>
      <c r="G7" s="47">
        <v>1000.0</v>
      </c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23</v>
      </c>
      <c r="AI7" s="9" t="s">
        <v>20</v>
      </c>
      <c r="AJ7" s="9" t="s">
        <v>17</v>
      </c>
      <c r="AK7" s="9" t="s">
        <v>42</v>
      </c>
      <c r="AL7" s="48">
        <v>1200.0</v>
      </c>
      <c r="AM7" s="9">
        <v>200.0</v>
      </c>
      <c r="AO7" s="9">
        <v>0.0</v>
      </c>
      <c r="AP7" s="9">
        <v>15.0</v>
      </c>
      <c r="AQ7" s="9" t="s">
        <v>29</v>
      </c>
      <c r="AR7" s="9" t="s">
        <v>18</v>
      </c>
      <c r="AS7" s="9" t="s">
        <v>25</v>
      </c>
      <c r="AW7" s="9" t="s">
        <v>42</v>
      </c>
      <c r="AX7" s="9">
        <v>1000.0</v>
      </c>
      <c r="BF7" s="8"/>
      <c r="BG7" s="8"/>
      <c r="BH7" s="8"/>
      <c r="BI7" s="11">
        <v>15.0</v>
      </c>
      <c r="BJ7" s="8"/>
      <c r="BK7" s="8"/>
      <c r="BL7" s="47">
        <v>1000.0</v>
      </c>
      <c r="BM7" s="8"/>
      <c r="BN7" s="8"/>
      <c r="BO7" s="8"/>
      <c r="BP7" s="8"/>
      <c r="BQ7" s="8"/>
      <c r="BR7" s="8"/>
      <c r="BS7" s="8"/>
      <c r="BT7" s="8"/>
      <c r="CI7" s="9">
        <v>1.0</v>
      </c>
      <c r="CM7" s="9" t="s">
        <v>23</v>
      </c>
      <c r="CN7" s="9" t="s">
        <v>20</v>
      </c>
      <c r="CO7" s="9" t="s">
        <v>17</v>
      </c>
      <c r="CP7" s="9" t="s">
        <v>42</v>
      </c>
      <c r="CQ7" s="48">
        <v>1200.0</v>
      </c>
      <c r="CR7" s="9">
        <v>200.0</v>
      </c>
      <c r="CT7" s="9">
        <v>0.0</v>
      </c>
      <c r="CU7" s="9">
        <v>15.0</v>
      </c>
      <c r="CV7" s="9" t="s">
        <v>29</v>
      </c>
      <c r="CW7" s="9" t="s">
        <v>18</v>
      </c>
      <c r="CX7" s="9" t="s">
        <v>25</v>
      </c>
      <c r="DB7" s="9" t="s">
        <v>42</v>
      </c>
      <c r="DC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VerifySubOrderAfterRollover2!$4:$4</formula1>
    </dataValidation>
  </dataValidations>
  <drawing r:id="rId1"/>
</worksheet>
</file>