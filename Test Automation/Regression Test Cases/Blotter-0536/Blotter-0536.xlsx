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SelectTradeOnOrderGrid" sheetId="10" r:id="rId12"/>
    <sheet state="visible" name="AllocateFromBlotter" sheetId="11" r:id="rId13"/>
    <sheet state="visible" name="SelectTradeOnOrderGrid1" sheetId="12" r:id="rId14"/>
    <sheet state="visible" name="VerifyWorkingSubs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SetGeneralPreferences" sheetId="17" r:id="rId19"/>
    <sheet state="visible" name="RunProrata" sheetId="18" r:id="rId20"/>
    <sheet state="visible" name="AllocateFromBlotter1" sheetId="19" r:id="rId21"/>
    <sheet state="visible" name="VerifyWorkingSubs1" sheetId="20" r:id="rId22"/>
    <sheet state="visible" name="AllocateFromBlotter2" sheetId="21" r:id="rId23"/>
    <sheet state="visible" name="VerifyWorkingSubs2" sheetId="22" r:id="rId24"/>
    <sheet state="visible" name="LoginClient" sheetId="23" r:id="rId25"/>
  </sheets>
  <definedNames/>
  <calcPr/>
</workbook>
</file>

<file path=xl/sharedStrings.xml><?xml version="1.0" encoding="utf-8"?>
<sst xmlns="http://schemas.openxmlformats.org/spreadsheetml/2006/main" count="1032" uniqueCount="71">
  <si>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</si>
  <si>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</si>
  <si>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</si>
  <si>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</si>
  <si>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</si>
  <si>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</si>
  <si>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</si>
  <si>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</si>
  <si>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</si>
  <si>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</si>
  <si>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</si>
  <si>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</si>
  <si>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</si>
  <si>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</si>
  <si>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</si>
  <si>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</si>
  <si>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</si>
  <si>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</si>
  <si>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</si>
  <si>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Allocation1,Allocation3</t>
  </si>
  <si>
    <t>50,50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</si>
  <si>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</si>
  <si>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</si>
  <si>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</si>
  <si>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</si>
  <si>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</si>
  <si>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</si>
  <si>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</si>
  <si>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</si>
  <si>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</si>
  <si>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</si>
  <si>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</si>
  <si>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Allocation2</t>
  </si>
  <si>
    <t>Allocation4</t>
  </si>
  <si>
    <t>VerifyWorkingSubs</t>
  </si>
  <si>
    <t/>
  </si>
  <si>
    <t>PartiallyFilled</t>
  </si>
  <si>
    <t>MS</t>
  </si>
  <si>
    <t>Multiple</t>
  </si>
  <si>
    <t>jpearce</t>
  </si>
  <si>
    <t>MSFT US EQUITY</t>
  </si>
  <si>
    <t>ALLOCATED</t>
  </si>
  <si>
    <t>Equity</t>
  </si>
  <si>
    <t>M</t>
  </si>
  <si>
    <t>NONE</t>
  </si>
  <si>
    <t>USD</t>
  </si>
  <si>
    <t>Fix</t>
  </si>
  <si>
    <t>Strategy Unallocated</t>
  </si>
  <si>
    <t>GCCAP1</t>
  </si>
  <si>
    <t>US</t>
  </si>
  <si>
    <t>NASDAQ</t>
  </si>
  <si>
    <t>AAPL US EQUITY</t>
  </si>
  <si>
    <t>Allocation</t>
  </si>
  <si>
    <t>AddCalculatedPreferences</t>
  </si>
  <si>
    <t>TEST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</si>
  <si>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</si>
  <si>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</si>
  <si>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</si>
  <si>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</si>
  <si>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</si>
  <si>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</si>
  <si>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SetGeneralPreferences</t>
  </si>
  <si>
    <t>Nirvana</t>
  </si>
  <si>
    <t>RunProrata</t>
  </si>
  <si>
    <t>DefaultNotes</t>
  </si>
  <si>
    <t>NewMF</t>
  </si>
  <si>
    <t>PositionFile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</si>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</sst>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6" fontId="13" numFmtId="165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315.95</v>
      </c>
      <c r="E6" s="34" t="s">
        <v>17</v>
      </c>
      <c r="F6" s="35"/>
      <c r="G6" s="35"/>
      <c r="H6" s="35"/>
      <c r="I6" s="34"/>
      <c r="J6" s="34" t="s">
        <v>18</v>
      </c>
      <c r="K6" s="35"/>
      <c r="L6" s="35"/>
      <c r="M6" s="35"/>
      <c r="N6" s="35"/>
      <c r="O6" s="35"/>
      <c r="P6" s="36" t="s">
        <v>19</v>
      </c>
      <c r="Q6" s="36" t="s">
        <v>20</v>
      </c>
      <c r="R6" s="35"/>
      <c r="S6" s="35"/>
      <c r="T6" s="35"/>
      <c r="U6" s="35" t="s">
        <v>21</v>
      </c>
      <c r="V6" s="35" t="s">
        <v>22</v>
      </c>
      <c r="W6" s="35"/>
      <c r="X6" s="32">
        <v>315.95</v>
      </c>
      <c r="Y6" s="37">
        <f>TODAY()</f>
        <v>45820</v>
      </c>
      <c r="Z6" s="37">
        <f t="shared" ref="Z6:Z7" si="1">TODAY()-1</f>
        <v>45819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23</v>
      </c>
      <c r="C7" s="32">
        <v>5000.0</v>
      </c>
      <c r="D7" s="32">
        <v>315.95</v>
      </c>
      <c r="E7" s="34" t="s">
        <v>17</v>
      </c>
      <c r="F7" s="35"/>
      <c r="G7" s="35"/>
      <c r="H7" s="35"/>
      <c r="I7" s="34"/>
      <c r="J7" s="34" t="s">
        <v>18</v>
      </c>
      <c r="K7" s="35"/>
      <c r="L7" s="35"/>
      <c r="M7" s="35"/>
      <c r="N7" s="35"/>
      <c r="O7" s="35"/>
      <c r="P7" s="36" t="s">
        <v>19</v>
      </c>
      <c r="Q7" s="36" t="s">
        <v>20</v>
      </c>
      <c r="R7" s="35"/>
      <c r="S7" s="35"/>
      <c r="T7" s="35"/>
      <c r="U7" s="35" t="s">
        <v>24</v>
      </c>
      <c r="V7" s="35" t="s">
        <v>22</v>
      </c>
      <c r="W7" s="35"/>
      <c r="X7" s="32">
        <v>315.95</v>
      </c>
      <c r="Y7" s="35"/>
      <c r="Z7" s="37">
        <f t="shared" si="1"/>
        <v>45819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30.0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33</v>
      </c>
      <c r="D7" s="12">
        <v>70.0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35</v>
      </c>
      <c r="B6" s="39" t="s">
        <v>16</v>
      </c>
      <c r="C6" s="8" t="s">
        <v>18</v>
      </c>
      <c r="D6" s="39">
        <v>5000.0</v>
      </c>
      <c r="E6" s="8">
        <v>2500.0</v>
      </c>
      <c r="F6" s="8">
        <v>2500.0</v>
      </c>
      <c r="G6" s="8" t="s">
        <v>36</v>
      </c>
      <c r="H6" s="8">
        <v>2500.0</v>
      </c>
      <c r="I6" s="8"/>
      <c r="J6" s="8"/>
      <c r="K6" s="8" t="s">
        <v>37</v>
      </c>
      <c r="L6" s="8" t="s">
        <v>38</v>
      </c>
      <c r="M6" s="8" t="s">
        <v>22</v>
      </c>
      <c r="N6" s="8" t="s">
        <v>35</v>
      </c>
      <c r="O6" s="8"/>
      <c r="R6" t="s">
        <v>39</v>
      </c>
      <c r="S6" t="s">
        <v>40</v>
      </c>
      <c r="V6" t="s">
        <v>41</v>
      </c>
      <c r="W6" t="s">
        <v>42</v>
      </c>
      <c r="X6" t="s">
        <v>43</v>
      </c>
      <c r="Y6">
        <v>1.0</v>
      </c>
      <c r="AF6" t="s">
        <v>44</v>
      </c>
      <c r="AG6" t="s">
        <v>45</v>
      </c>
      <c r="AH6" t="s">
        <v>46</v>
      </c>
      <c r="AI6" t="s">
        <v>36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>
        <v>2500.0</v>
      </c>
      <c r="AX6" t="s">
        <v>35</v>
      </c>
      <c r="BB6" t="s">
        <v>39</v>
      </c>
      <c r="BC6">
        <v>50.0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23</v>
      </c>
      <c r="C7" s="8" t="s">
        <v>18</v>
      </c>
      <c r="D7" s="8">
        <v>5000.0</v>
      </c>
      <c r="E7" s="8">
        <v>2500.0</v>
      </c>
      <c r="F7" s="8">
        <v>2500.0</v>
      </c>
      <c r="G7" s="8" t="s">
        <v>36</v>
      </c>
      <c r="H7" s="8">
        <v>2500.0</v>
      </c>
      <c r="I7" s="8"/>
      <c r="J7" s="8"/>
      <c r="K7" s="8" t="s">
        <v>37</v>
      </c>
      <c r="L7" s="8" t="s">
        <v>38</v>
      </c>
      <c r="M7" s="8" t="s">
        <v>22</v>
      </c>
      <c r="N7" s="8" t="s">
        <v>35</v>
      </c>
      <c r="O7" s="8"/>
      <c r="R7" t="s">
        <v>39</v>
      </c>
      <c r="S7" t="s">
        <v>51</v>
      </c>
      <c r="V7" t="s">
        <v>41</v>
      </c>
      <c r="W7" t="s">
        <v>42</v>
      </c>
      <c r="X7" t="s">
        <v>43</v>
      </c>
      <c r="Y7">
        <v>1.0</v>
      </c>
      <c r="AF7" t="s">
        <v>44</v>
      </c>
      <c r="AG7" t="s">
        <v>45</v>
      </c>
      <c r="AH7" t="s">
        <v>46</v>
      </c>
      <c r="AI7" t="s">
        <v>36</v>
      </c>
      <c r="AJ7" t="s">
        <v>47</v>
      </c>
      <c r="AR7" t="s">
        <v>48</v>
      </c>
      <c r="AT7" t="s">
        <v>49</v>
      </c>
      <c r="AU7" t="s">
        <v>23</v>
      </c>
      <c r="AV7" t="s">
        <v>50</v>
      </c>
      <c r="AW7">
        <v>2500.0</v>
      </c>
      <c r="AX7" t="s">
        <v>35</v>
      </c>
      <c r="BB7" t="s">
        <v>39</v>
      </c>
      <c r="BC7">
        <v>50.0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 t="s">
        <v>56</v>
      </c>
      <c r="D6" s="12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54</v>
      </c>
      <c r="C7" s="12" t="s">
        <v>57</v>
      </c>
      <c r="D7" s="12">
        <v>50.0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59</v>
      </c>
      <c r="C6" s="35"/>
      <c r="D6" s="41" t="s">
        <v>60</v>
      </c>
      <c r="E6" s="35"/>
      <c r="F6" s="35"/>
      <c r="G6" s="42" t="b">
        <v>0</v>
      </c>
      <c r="H6" s="34" t="s">
        <v>54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62</v>
      </c>
      <c r="Y6" s="35"/>
      <c r="Z6" s="43" t="b">
        <v>1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>
        <f>today()-1</f>
        <v>45819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35</v>
      </c>
      <c r="B6" s="39" t="s">
        <v>16</v>
      </c>
      <c r="C6" s="8" t="s">
        <v>18</v>
      </c>
      <c r="D6" s="39">
        <v>5000.0</v>
      </c>
      <c r="E6" s="8">
        <v>2500.0</v>
      </c>
      <c r="F6" s="8">
        <v>2500.0</v>
      </c>
      <c r="G6" s="8" t="s">
        <v>36</v>
      </c>
      <c r="H6" s="8">
        <v>2500.0</v>
      </c>
      <c r="I6" s="8"/>
      <c r="J6" s="8"/>
      <c r="K6" s="8" t="s">
        <v>37</v>
      </c>
      <c r="L6" s="8" t="s">
        <v>38</v>
      </c>
      <c r="M6" s="8" t="s">
        <v>22</v>
      </c>
      <c r="N6" s="8" t="s">
        <v>35</v>
      </c>
      <c r="O6" s="8"/>
      <c r="R6" t="s">
        <v>39</v>
      </c>
      <c r="S6" t="s">
        <v>40</v>
      </c>
      <c r="V6" t="s">
        <v>41</v>
      </c>
      <c r="W6" t="s">
        <v>42</v>
      </c>
      <c r="X6" t="s">
        <v>43</v>
      </c>
      <c r="Y6">
        <v>1.0</v>
      </c>
      <c r="AA6" t="s">
        <v>64</v>
      </c>
      <c r="AF6" t="s">
        <v>44</v>
      </c>
      <c r="AG6" t="s">
        <v>45</v>
      </c>
      <c r="AH6" t="s">
        <v>46</v>
      </c>
      <c r="AI6" t="s">
        <v>36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>
        <v>2500.0</v>
      </c>
      <c r="AX6" t="s">
        <v>35</v>
      </c>
      <c r="BA6" t="s">
        <v>65</v>
      </c>
      <c r="BB6" t="s">
        <v>39</v>
      </c>
      <c r="BC6">
        <v>50.0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23</v>
      </c>
      <c r="C7" s="8" t="s">
        <v>18</v>
      </c>
      <c r="D7" s="8">
        <v>5000.0</v>
      </c>
      <c r="E7" s="8">
        <v>2500.0</v>
      </c>
      <c r="F7" s="8">
        <v>2500.0</v>
      </c>
      <c r="G7" s="8" t="s">
        <v>36</v>
      </c>
      <c r="H7" s="8">
        <v>2500.0</v>
      </c>
      <c r="I7" s="8"/>
      <c r="J7" s="8"/>
      <c r="K7" s="8" t="s">
        <v>37</v>
      </c>
      <c r="L7" s="8" t="s">
        <v>38</v>
      </c>
      <c r="M7" s="8" t="s">
        <v>22</v>
      </c>
      <c r="N7" s="8" t="s">
        <v>35</v>
      </c>
      <c r="O7" s="8"/>
      <c r="R7" t="s">
        <v>39</v>
      </c>
      <c r="S7" t="s">
        <v>51</v>
      </c>
      <c r="V7" t="s">
        <v>41</v>
      </c>
      <c r="W7" t="s">
        <v>42</v>
      </c>
      <c r="X7" t="s">
        <v>43</v>
      </c>
      <c r="Y7">
        <v>1.0</v>
      </c>
      <c r="AA7" t="s">
        <v>64</v>
      </c>
      <c r="AF7" t="s">
        <v>44</v>
      </c>
      <c r="AG7" t="s">
        <v>45</v>
      </c>
      <c r="AH7" t="s">
        <v>46</v>
      </c>
      <c r="AI7" t="s">
        <v>36</v>
      </c>
      <c r="AJ7" t="s">
        <v>47</v>
      </c>
      <c r="AR7" t="s">
        <v>48</v>
      </c>
      <c r="AT7" t="s">
        <v>49</v>
      </c>
      <c r="AU7" t="s">
        <v>23</v>
      </c>
      <c r="AV7" t="s">
        <v>50</v>
      </c>
      <c r="AW7">
        <v>2500.0</v>
      </c>
      <c r="AX7" t="s">
        <v>35</v>
      </c>
      <c r="BA7" t="s">
        <v>65</v>
      </c>
      <c r="BB7" t="s">
        <v>39</v>
      </c>
      <c r="BC7">
        <v>50.0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35</v>
      </c>
      <c r="B6" s="39" t="s">
        <v>16</v>
      </c>
      <c r="C6" s="8" t="s">
        <v>18</v>
      </c>
      <c r="D6" s="39">
        <v>5000.0</v>
      </c>
      <c r="E6" s="8">
        <v>2500.0</v>
      </c>
      <c r="F6" s="8">
        <v>2500.0</v>
      </c>
      <c r="G6" s="8" t="s">
        <v>36</v>
      </c>
      <c r="H6" s="8">
        <v>2500.0</v>
      </c>
      <c r="I6" s="8"/>
      <c r="J6" s="8"/>
      <c r="K6" s="8" t="s">
        <v>37</v>
      </c>
      <c r="L6" s="8" t="s">
        <v>56</v>
      </c>
      <c r="M6" s="8" t="s">
        <v>22</v>
      </c>
      <c r="N6" s="8" t="s">
        <v>35</v>
      </c>
      <c r="O6" s="8"/>
      <c r="R6" t="s">
        <v>39</v>
      </c>
      <c r="S6" t="s">
        <v>40</v>
      </c>
      <c r="V6" t="s">
        <v>41</v>
      </c>
      <c r="W6" t="s">
        <v>42</v>
      </c>
      <c r="X6" t="s">
        <v>43</v>
      </c>
      <c r="Y6">
        <v>1.0</v>
      </c>
      <c r="AA6" t="s">
        <v>64</v>
      </c>
      <c r="AF6" t="s">
        <v>44</v>
      </c>
      <c r="AG6" t="s">
        <v>45</v>
      </c>
      <c r="AH6" t="s">
        <v>46</v>
      </c>
      <c r="AI6" t="s">
        <v>36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>
        <v>2500.0</v>
      </c>
      <c r="AX6" t="s">
        <v>35</v>
      </c>
      <c r="BA6" t="s">
        <v>65</v>
      </c>
      <c r="BB6" t="s">
        <v>39</v>
      </c>
      <c r="BC6">
        <v>50.0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23</v>
      </c>
      <c r="C7" s="8" t="s">
        <v>18</v>
      </c>
      <c r="D7" s="8">
        <v>5000.0</v>
      </c>
      <c r="E7" s="8">
        <v>2500.0</v>
      </c>
      <c r="F7" s="8">
        <v>2500.0</v>
      </c>
      <c r="G7" s="8" t="s">
        <v>36</v>
      </c>
      <c r="H7" s="8">
        <v>2500.0</v>
      </c>
      <c r="I7" s="8"/>
      <c r="J7" s="8"/>
      <c r="K7" s="8" t="s">
        <v>37</v>
      </c>
      <c r="L7" s="8" t="s">
        <v>38</v>
      </c>
      <c r="M7" s="8" t="s">
        <v>22</v>
      </c>
      <c r="N7" s="8" t="s">
        <v>35</v>
      </c>
      <c r="O7" s="8"/>
      <c r="R7" t="s">
        <v>39</v>
      </c>
      <c r="S7" t="s">
        <v>51</v>
      </c>
      <c r="V7" t="s">
        <v>41</v>
      </c>
      <c r="W7" t="s">
        <v>42</v>
      </c>
      <c r="X7" t="s">
        <v>43</v>
      </c>
      <c r="Y7">
        <v>1.0</v>
      </c>
      <c r="AA7" t="s">
        <v>64</v>
      </c>
      <c r="AF7" t="s">
        <v>44</v>
      </c>
      <c r="AG7" t="s">
        <v>45</v>
      </c>
      <c r="AH7" t="s">
        <v>46</v>
      </c>
      <c r="AI7" t="s">
        <v>36</v>
      </c>
      <c r="AJ7" t="s">
        <v>47</v>
      </c>
      <c r="AR7" t="s">
        <v>48</v>
      </c>
      <c r="AT7" t="s">
        <v>49</v>
      </c>
      <c r="AU7" t="s">
        <v>23</v>
      </c>
      <c r="AV7" t="s">
        <v>50</v>
      </c>
      <c r="AW7">
        <v>2500.0</v>
      </c>
      <c r="AX7" t="s">
        <v>35</v>
      </c>
      <c r="BA7" t="s">
        <v>65</v>
      </c>
      <c r="BB7" t="s">
        <v>39</v>
      </c>
      <c r="BC7">
        <v>50.0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 t="s">
        <v>70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