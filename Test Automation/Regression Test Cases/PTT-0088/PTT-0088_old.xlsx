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ForexConversion" sheetId="7" r:id="rId9"/>
    <sheet state="visible" name="UpdateForexConversion" sheetId="8" r:id="rId10"/>
    <sheet state="visible" name="GetDailyCash" sheetId="9" r:id="rId11"/>
    <sheet state="visible" name="UpdateMultipleDailyCash" sheetId="10" r:id="rId12"/>
    <sheet state="visible" name="CalculatePTT" sheetId="11" r:id="rId13"/>
    <sheet state="visible" name="VerifyPTT" sheetId="12" r:id="rId14"/>
    <sheet state="visible" name="CreateOrderPTT" sheetId="13" r:id="rId15"/>
    <sheet state="visible" name="CalculatePTT1" sheetId="14" r:id="rId16"/>
    <sheet state="visible" name="VerifyPTT1" sheetId="15" r:id="rId17"/>
    <sheet state="visible" name="CreateOrderPTT1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<sst xmlns="http://schemas.openxmlformats.org/spreadsheetml/2006/main" count="206" uniqueCount="51">
  <si>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</si>
  <si>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</si>
  <si>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</si>
  <si>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</si>
  <si>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</si>
  <si>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</si>
  <si>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</si>
  <si>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</si>
  <si>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</si>
  <si>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</si>
  <si>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</si>
  <si>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</si>
  <si>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</si>
  <si>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</si>
  <si>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</si>
  <si>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</si>
  <si>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</si>
  <si>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</si>
  <si>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</si>
  <si>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</si>
  <si>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TradingTicket</t>
  </si>
  <si>
    <t>CreateDoneAwayOrder</t>
  </si>
  <si>
    <t>Buy</t>
  </si>
  <si>
    <t>Allocation1</t>
  </si>
  <si>
    <t>ND H9</t>
  </si>
  <si>
    <t>O:AAPL 13N715.00</t>
  </si>
  <si>
    <t>Allocation2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</si>
  <si>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</si>
  <si>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</si>
  <si>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</si>
  <si>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</si>
  <si>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</si>
  <si>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</si>
  <si>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</si>
  <si>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</si>
  <si>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</si>
  <si>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PTT</t>
  </si>
  <si>
    <t>CalculatePTT</t>
  </si>
  <si>
    <t>Decrease</t>
  </si>
  <si>
    <t>Percentage</t>
  </si>
  <si>
    <t>Yes</t>
  </si>
  <si>
    <t>Allocation1,Allocation2</t>
  </si>
  <si>
    <t>VerifyPTT</t>
  </si>
  <si>
    <t>Sell</t>
  </si>
  <si>
    <t>CreateOrderPTT</t>
  </si>
  <si>
    <t>Blotter</t>
  </si>
  <si>
    <t>VerifyOrder</t>
  </si>
  <si>
    <t>New</t>
  </si>
  <si>
    <t>MS</t>
  </si>
  <si>
    <t>Multiple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</si>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</sst>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4" xfId="0" applyAlignment="1" applyFont="1" applyNumberFormat="1">
      <alignment horizontal="right" readingOrder="0" vertical="bottom"/>
    </xf>
    <xf borderId="0" fillId="0" fontId="5" numFmtId="3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readingOrder="0" vertical="bottom"/>
    </xf>
    <xf borderId="0" fillId="0" fontId="13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>
      <c r="A615" t="str">
        <f>IFERROR(__xludf.DUMMYFUNCTION("""COMPUTED_VALUE"""),"SymbolLookup")</f>
        <v>SymbolLookup</v>
      </c>
      <c r="B615" t="str">
        <f>IFERROR(__xludf.DUMMYFUNCTION("""COMPUTED_VALUE"""),"SelectFromSMGridUI")</f>
        <v>SelectFromSMGridUI</v>
      </c>
      <c r="C615" t="str">
        <f>IFERROR(__xludf.DUMMYFUNCTION("""COMPUTED_VALUE"""),"1ywzFM2r--rfbRBBhj8dWR_174n0GJlN_5lVk5fP-EiQ")</f>
        <v>1ywzFM2r--rfbRBBhj8dWR_174n0GJlN_5lVk5fP-EiQ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IFERROR(__xludf.DUMMYFUNCTION("""COMPUTED_VALUE"""),"EditSMGridUi")</f>
        <v>EditSMGridUi</v>
      </c>
      <c r="C616" t="str">
        <f>IFERROR(__xludf.DUMMYFUNCTION("""COMPUTED_VALUE"""),"1l5FAkKhuW5nlw2IdKTrGdt79R2Zz2AccmJfeG28b9-U")</f>
        <v>1l5FAkKhuW5nlw2IdKTrGdt79R2Zz2AccmJfeG28b9-U</v>
      </c>
    </row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40.0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2">
        <v>50.0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22</v>
      </c>
      <c r="D6" s="32">
        <v>1000.0</v>
      </c>
      <c r="E6" s="31"/>
      <c r="F6" s="31" t="s">
        <v>23</v>
      </c>
      <c r="G6" s="31"/>
      <c r="H6" s="31"/>
      <c r="I6" s="31"/>
      <c r="J6" s="32">
        <v>2.0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17</v>
      </c>
      <c r="C7" s="31" t="s">
        <v>22</v>
      </c>
      <c r="D7" s="32">
        <v>250.0</v>
      </c>
      <c r="E7" s="31"/>
      <c r="F7" s="31" t="s">
        <v>23</v>
      </c>
      <c r="G7" s="31"/>
      <c r="H7" s="31"/>
      <c r="I7" s="31"/>
      <c r="J7" s="32">
        <v>2.0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18</v>
      </c>
      <c r="C8" s="31" t="s">
        <v>22</v>
      </c>
      <c r="D8" s="32">
        <v>1550.0</v>
      </c>
      <c r="E8" s="31"/>
      <c r="F8" s="31" t="s">
        <v>23</v>
      </c>
      <c r="G8" s="31"/>
      <c r="H8" s="31"/>
      <c r="I8" s="31"/>
      <c r="J8" s="32">
        <v>2.0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>
        <v>1.23456789E8</v>
      </c>
      <c r="C9" s="31" t="s">
        <v>22</v>
      </c>
      <c r="D9" s="32">
        <v>2750.0</v>
      </c>
      <c r="E9" s="31"/>
      <c r="F9" s="31" t="s">
        <v>23</v>
      </c>
      <c r="G9" s="31"/>
      <c r="H9" s="31"/>
      <c r="I9" s="31"/>
      <c r="J9" s="32">
        <v>2.0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 t="s">
        <v>24</v>
      </c>
      <c r="C10" s="31" t="s">
        <v>22</v>
      </c>
      <c r="D10" s="32">
        <v>465.0</v>
      </c>
      <c r="E10" s="31"/>
      <c r="F10" s="31" t="s">
        <v>23</v>
      </c>
      <c r="G10" s="31"/>
      <c r="H10" s="31"/>
      <c r="I10" s="31"/>
      <c r="J10" s="32">
        <v>2.0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 t="s">
        <v>25</v>
      </c>
      <c r="C11" s="31" t="s">
        <v>22</v>
      </c>
      <c r="D11" s="32">
        <v>80.0</v>
      </c>
      <c r="E11" s="31"/>
      <c r="F11" s="31" t="s">
        <v>23</v>
      </c>
      <c r="G11" s="31"/>
      <c r="H11" s="31"/>
      <c r="I11" s="31"/>
      <c r="J11" s="32">
        <v>2.0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 t="s">
        <v>16</v>
      </c>
      <c r="C12" s="31" t="s">
        <v>22</v>
      </c>
      <c r="D12" s="32">
        <v>1000.0</v>
      </c>
      <c r="E12" s="31"/>
      <c r="F12" s="31" t="s">
        <v>26</v>
      </c>
      <c r="G12" s="31"/>
      <c r="H12" s="31"/>
      <c r="I12" s="31"/>
      <c r="J12" s="32">
        <v>2.0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1" t="s">
        <v>17</v>
      </c>
      <c r="C13" s="31" t="s">
        <v>22</v>
      </c>
      <c r="D13" s="32">
        <v>250.0</v>
      </c>
      <c r="E13" s="31"/>
      <c r="F13" s="31" t="s">
        <v>26</v>
      </c>
      <c r="G13" s="31"/>
      <c r="H13" s="31"/>
      <c r="I13" s="31"/>
      <c r="J13" s="32">
        <v>2.0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19</v>
      </c>
      <c r="C14" s="31" t="s">
        <v>22</v>
      </c>
      <c r="D14" s="32">
        <v>1250.0</v>
      </c>
      <c r="E14" s="31"/>
      <c r="F14" s="31" t="s">
        <v>26</v>
      </c>
      <c r="G14" s="31"/>
      <c r="H14" s="31"/>
      <c r="I14" s="31"/>
      <c r="J14" s="32">
        <v>2.0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>
        <v>1.23456789E8</v>
      </c>
      <c r="C15" s="31" t="s">
        <v>22</v>
      </c>
      <c r="D15" s="32">
        <v>2750.0</v>
      </c>
      <c r="E15" s="31"/>
      <c r="F15" s="31" t="s">
        <v>26</v>
      </c>
      <c r="G15" s="31"/>
      <c r="H15" s="31"/>
      <c r="I15" s="31"/>
      <c r="J15" s="32">
        <v>2.0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31" t="s">
        <v>24</v>
      </c>
      <c r="C16" s="31" t="s">
        <v>22</v>
      </c>
      <c r="D16" s="32">
        <v>465.0</v>
      </c>
      <c r="E16" s="31"/>
      <c r="F16" s="31" t="s">
        <v>26</v>
      </c>
      <c r="G16" s="31"/>
      <c r="H16" s="31"/>
      <c r="I16" s="31"/>
      <c r="J16" s="32">
        <v>2.0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1" t="s">
        <v>25</v>
      </c>
      <c r="C17" s="31" t="s">
        <v>22</v>
      </c>
      <c r="D17" s="32">
        <v>80.0</v>
      </c>
      <c r="E17" s="31"/>
      <c r="F17" s="31" t="s">
        <v>26</v>
      </c>
      <c r="G17" s="31"/>
      <c r="H17" s="31"/>
      <c r="I17" s="31"/>
      <c r="J17" s="32">
        <v>2.0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85.0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v>67.0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2">
        <v>123.0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19</v>
      </c>
      <c r="C9" s="32">
        <v>127.0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>
        <v>1.23456789E8</v>
      </c>
      <c r="C10" s="32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1" t="s">
        <v>24</v>
      </c>
      <c r="C11" s="32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1" t="s">
        <v>25</v>
      </c>
      <c r="C12" s="32">
        <v>23.0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>
        <f t="shared" ref="B6:C6" si="1">TODAY()</f>
        <v>44886</v>
      </c>
      <c r="C6" s="33">
        <f t="shared" si="1"/>
        <v>44886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1" t="s">
        <v>32</v>
      </c>
      <c r="D6" s="31" t="s">
        <v>33</v>
      </c>
      <c r="E6" s="32">
        <v>0.8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>
        <f t="shared" ref="B6:C6" si="1">today()-1</f>
        <v>44885</v>
      </c>
      <c r="C6" s="33">
        <f t="shared" si="1"/>
        <v>44885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23</v>
      </c>
      <c r="C6" s="31" t="s">
        <v>31</v>
      </c>
      <c r="D6" s="34">
        <v>2.0786034E8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26</v>
      </c>
      <c r="C7" s="31" t="s">
        <v>31</v>
      </c>
      <c r="D7" s="35">
        <v>2.0793229E8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38</v>
      </c>
      <c r="D6" s="31" t="s">
        <v>39</v>
      </c>
      <c r="E6" s="32">
        <v>10.0</v>
      </c>
      <c r="F6" s="31"/>
      <c r="G6" s="36" t="s">
        <v>40</v>
      </c>
      <c r="H6" s="31"/>
      <c r="I6" s="37" t="s">
        <v>41</v>
      </c>
      <c r="J6" s="31"/>
      <c r="K6" s="31" t="s">
        <v>40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23</v>
      </c>
      <c r="C6" s="39">
        <v>2.088049375E8</v>
      </c>
      <c r="D6" s="39">
        <v>1000.0</v>
      </c>
      <c r="E6" s="39">
        <v>85000.0</v>
      </c>
      <c r="F6" s="31"/>
      <c r="G6" s="31"/>
      <c r="H6" s="31"/>
      <c r="I6" s="40">
        <v>1000.0</v>
      </c>
      <c r="J6" s="40"/>
      <c r="K6" s="39">
        <v>0.0</v>
      </c>
      <c r="L6" s="39">
        <v>50.0</v>
      </c>
      <c r="M6" s="39">
        <v>1.0</v>
      </c>
      <c r="N6" s="31"/>
      <c r="O6" s="31"/>
      <c r="P6" s="31"/>
      <c r="Q6" s="31"/>
      <c r="R6" s="36" t="s">
        <v>43</v>
      </c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8" t="s">
        <v>26</v>
      </c>
      <c r="C7" s="39">
        <v>2.088455875E8</v>
      </c>
      <c r="D7" s="39">
        <v>1000.0</v>
      </c>
      <c r="E7" s="39">
        <v>85000.0</v>
      </c>
      <c r="F7" s="31"/>
      <c r="G7" s="31"/>
      <c r="H7" s="31"/>
      <c r="I7" s="40">
        <v>1000.0</v>
      </c>
      <c r="J7" s="40"/>
      <c r="K7" s="39">
        <v>0.0</v>
      </c>
      <c r="L7" s="39">
        <v>50.0</v>
      </c>
      <c r="M7" s="39">
        <v>1.0</v>
      </c>
      <c r="N7" s="31"/>
      <c r="O7" s="31"/>
      <c r="P7" s="31"/>
      <c r="Q7" s="31"/>
      <c r="R7" s="36" t="s">
        <v>43</v>
      </c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38</v>
      </c>
      <c r="D6" s="31" t="s">
        <v>39</v>
      </c>
      <c r="E6" s="32">
        <v>10.0</v>
      </c>
      <c r="F6" s="31"/>
      <c r="G6" s="36" t="s">
        <v>40</v>
      </c>
      <c r="H6" s="31"/>
      <c r="I6" s="37" t="s">
        <v>41</v>
      </c>
      <c r="J6" s="31"/>
      <c r="K6" s="31"/>
      <c r="L6" s="31"/>
      <c r="M6" s="41" t="s">
        <v>40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1" t="s">
        <v>38</v>
      </c>
      <c r="D6" s="31" t="s">
        <v>39</v>
      </c>
      <c r="E6" s="32">
        <v>10.0</v>
      </c>
      <c r="F6" s="31"/>
      <c r="G6" s="36" t="s">
        <v>40</v>
      </c>
      <c r="H6" s="31"/>
      <c r="I6" s="37" t="s">
        <v>41</v>
      </c>
      <c r="J6" s="31"/>
      <c r="K6" s="31" t="s">
        <v>40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>
        <v>2.088049375E8</v>
      </c>
      <c r="D6" s="13">
        <v>250.0</v>
      </c>
      <c r="E6" s="13">
        <v>20937.5</v>
      </c>
      <c r="F6" s="8"/>
      <c r="G6" s="8"/>
      <c r="H6" s="8"/>
      <c r="I6" s="13">
        <v>240.0</v>
      </c>
      <c r="J6" s="13">
        <v>10.0</v>
      </c>
      <c r="K6" s="13">
        <v>837.5</v>
      </c>
      <c r="L6" s="13">
        <v>50.0</v>
      </c>
      <c r="M6" s="13">
        <v>1.25</v>
      </c>
      <c r="N6" s="8"/>
      <c r="O6" s="8"/>
      <c r="R6" s="9" t="s">
        <v>43</v>
      </c>
    </row>
    <row r="7" ht="15.75" customHeight="1">
      <c r="A7" s="8"/>
      <c r="B7" s="13" t="s">
        <v>26</v>
      </c>
      <c r="C7" s="13">
        <v>2.088455875E8</v>
      </c>
      <c r="D7" s="13">
        <v>250.0</v>
      </c>
      <c r="E7" s="13">
        <v>20937.5</v>
      </c>
      <c r="F7" s="8"/>
      <c r="G7" s="8"/>
      <c r="H7" s="8"/>
      <c r="I7" s="13">
        <v>240.0</v>
      </c>
      <c r="J7" s="13">
        <v>10.0</v>
      </c>
      <c r="K7" s="13">
        <v>837.5</v>
      </c>
      <c r="L7" s="13">
        <v>50.0</v>
      </c>
      <c r="M7" s="13">
        <v>1.25</v>
      </c>
      <c r="N7" s="8"/>
      <c r="O7" s="8"/>
      <c r="R7" s="9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1" t="s">
        <v>38</v>
      </c>
      <c r="D6" s="31" t="s">
        <v>39</v>
      </c>
      <c r="E6" s="32">
        <v>10.0</v>
      </c>
      <c r="F6" s="31"/>
      <c r="G6" s="36" t="s">
        <v>40</v>
      </c>
      <c r="H6" s="31"/>
      <c r="I6" s="37" t="s">
        <v>41</v>
      </c>
      <c r="J6" s="31"/>
      <c r="K6" s="31"/>
      <c r="L6" s="31"/>
      <c r="M6" s="31" t="s">
        <v>40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/>
      <c r="B6" s="8"/>
      <c r="C6" s="8"/>
      <c r="D6" s="13">
        <v>85.0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31</v>
      </c>
      <c r="AD6" s="9">
        <v>1.0</v>
      </c>
      <c r="AI6" s="13" t="s">
        <v>16</v>
      </c>
      <c r="AJ6" s="13" t="s">
        <v>43</v>
      </c>
      <c r="AK6" s="13" t="s">
        <v>47</v>
      </c>
      <c r="AL6" s="13">
        <v>2000.0</v>
      </c>
      <c r="AS6" s="9" t="s">
        <v>48</v>
      </c>
      <c r="AT6" s="9" t="s">
        <v>49</v>
      </c>
      <c r="AU6" s="9" t="s">
        <v>50</v>
      </c>
    </row>
    <row r="7" ht="15.75" customHeight="1">
      <c r="A7" s="8"/>
      <c r="B7" s="8"/>
      <c r="C7" s="8"/>
      <c r="D7" s="13">
        <v>83.75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U7" s="9" t="s">
        <v>32</v>
      </c>
      <c r="AD7" s="9">
        <v>1.25</v>
      </c>
      <c r="AI7" s="13" t="s">
        <v>17</v>
      </c>
      <c r="AJ7" s="13" t="s">
        <v>43</v>
      </c>
      <c r="AK7" s="13" t="s">
        <v>47</v>
      </c>
      <c r="AL7" s="13">
        <v>480.0</v>
      </c>
      <c r="AS7" s="9" t="s">
        <v>48</v>
      </c>
      <c r="AT7" s="9" t="s">
        <v>49</v>
      </c>
      <c r="AU7" s="9" t="s">
        <v>50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