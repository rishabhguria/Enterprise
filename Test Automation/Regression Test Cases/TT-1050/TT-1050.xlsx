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AuecVenueExchange" sheetId="5" r:id="rId7"/>
    <sheet state="visible" name="SetAuecExecutingBroker" sheetId="6" r:id="rId8"/>
    <sheet state="visible" name="SetCompliancePermission" sheetId="7" r:id="rId9"/>
    <sheet state="visible" name="GetDailyCash" sheetId="8" r:id="rId10"/>
    <sheet state="visible" name="UpdateMultipleDailyCash" sheetId="9" r:id="rId11"/>
    <sheet state="visible" name="SetGeneralPreference" sheetId="10" r:id="rId12"/>
    <sheet state="visible" name="AddCalculatedPreferences" sheetId="11" r:id="rId13"/>
    <sheet state="visible" name="SetAccountValueCalculatedPref" sheetId="12" r:id="rId14"/>
    <sheet state="visible" name="SetDefaultRuleCalculatedPref" sheetId="13" r:id="rId15"/>
    <sheet state="visible" name="CustomOrderTT1" sheetId="14" r:id="rId16"/>
    <sheet state="visible" name="CalculatePTT" sheetId="15" r:id="rId17"/>
    <sheet state="visible" name="EditAuecWindow" sheetId="16" r:id="rId18"/>
    <sheet state="visible" name="CalculatePTT1" sheetId="17" r:id="rId19"/>
    <sheet state="visible" name="CustomOrderTT2" sheetId="18" r:id="rId20"/>
    <sheet state="visible" name="LoginClient" sheetId="19" r:id="rId21"/>
    <sheet state="visible" name="ApproveorRejectpendingapproval" sheetId="20" r:id="rId22"/>
    <sheet state="visible" name="ApproveorRejectpendingapproval1" sheetId="21" r:id="rId23"/>
    <sheet state="visible" name="LoginClient1" sheetId="22" r:id="rId24"/>
    <sheet state="visible" name="VerifyOrder" sheetId="23" r:id="rId25"/>
    <sheet state="visible" name="LoginClient2" sheetId="24" r:id="rId26"/>
    <sheet state="visible" name="OpenRTPNL" sheetId="25" r:id="rId27"/>
    <sheet state="visible" name="CheckAccountLevelAggregation" sheetId="26" r:id="rId28"/>
  </sheets>
  <definedNames/>
  <calcPr/>
</workbook>
</file>

<file path=xl/sharedStrings.xml><?xml version="1.0" encoding="utf-8"?>
<sst xmlns="http://schemas.openxmlformats.org/spreadsheetml/2006/main" count="364" uniqueCount="110">
  <si>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</si>
  <si>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</si>
  <si>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</si>
  <si>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</si>
  <si>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</si>
  <si>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</si>
  <si>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</si>
  <si>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</si>
  <si>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</si>
  <si>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</si>
  <si>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</si>
  <si>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</si>
  <si>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</si>
  <si>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</si>
  <si>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</si>
  <si>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</si>
  <si>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</si>
  <si>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</si>
  <si>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</si>
  <si>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</si>
  <si>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</si>
  <si>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</si>
  <si>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</si>
  <si>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</si>
  <si>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</si>
  <si>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AuecVenueExchange</t>
  </si>
  <si>
    <t>SetAuecExecutingBroker</t>
  </si>
  <si>
    <t>Allocation1</t>
  </si>
  <si>
    <t>MS</t>
  </si>
  <si>
    <t>Allocation2</t>
  </si>
  <si>
    <t>GS</t>
  </si>
  <si>
    <t>Rule Name</t>
  </si>
  <si>
    <t>Alert Type Permission</t>
  </si>
  <si>
    <t>UserID</t>
  </si>
  <si>
    <t>TradeQuantity-123</t>
  </si>
  <si>
    <t>REQUIRES APPROVAL</t>
  </si>
  <si>
    <t>DailyValuation</t>
  </si>
  <si>
    <t>GetDailyCash</t>
  </si>
  <si>
    <t>UpdateMultipleDailyCash</t>
  </si>
  <si>
    <t>USD</t>
  </si>
  <si>
    <t>Allocation3</t>
  </si>
  <si>
    <t>Allocation4</t>
  </si>
  <si>
    <t>TradingTicket</t>
  </si>
  <si>
    <t>SetGeneralPreference</t>
  </si>
  <si>
    <t>Allocation</t>
  </si>
  <si>
    <t>AddCalculatedPreferences</t>
  </si>
  <si>
    <t>TestPref</t>
  </si>
  <si>
    <t>SetAccountValueCalculatedPref</t>
  </si>
  <si>
    <t>SetDefaultRuleCalculatedPref</t>
  </si>
  <si>
    <t>Trade Quantity</t>
  </si>
  <si>
    <t>Current Preference</t>
  </si>
  <si>
    <t>CustomOrderTT</t>
  </si>
  <si>
    <t>A</t>
  </si>
  <si>
    <t>DoneAway</t>
  </si>
  <si>
    <t>Buy</t>
  </si>
  <si>
    <t>B</t>
  </si>
  <si>
    <t>PTT</t>
  </si>
  <si>
    <t>CalculatePTT</t>
  </si>
  <si>
    <t>Set</t>
  </si>
  <si>
    <t>AMT</t>
  </si>
  <si>
    <t>Allocation Preference</t>
  </si>
  <si>
    <t>Lock/Unlock Padlock</t>
  </si>
  <si>
    <t>Account</t>
  </si>
  <si>
    <t>Broker</t>
  </si>
  <si>
    <t>NextAction</t>
  </si>
  <si>
    <t>PranaClient</t>
  </si>
  <si>
    <t>LoginClient</t>
  </si>
  <si>
    <t>Support2</t>
  </si>
  <si>
    <t>Nirvana@1</t>
  </si>
  <si>
    <t>Trade Date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</si>
  <si>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</si>
  <si>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</si>
  <si>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</si>
  <si>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</si>
  <si>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</si>
  <si>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</si>
  <si>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</si>
  <si>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</si>
  <si>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</si>
  <si>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Quantity</t>
  </si>
  <si>
    <t>Status</t>
  </si>
  <si>
    <t>Order Side</t>
  </si>
  <si>
    <t>ApproveorRejectAll</t>
  </si>
  <si>
    <t>Approve</t>
  </si>
  <si>
    <t>Reject</t>
  </si>
  <si>
    <t>Support1</t>
  </si>
  <si>
    <t>Blotter</t>
  </si>
  <si>
    <t>VerifyOrder</t>
  </si>
  <si>
    <t>A US EQUITY</t>
  </si>
  <si>
    <t>Drops</t>
  </si>
  <si>
    <t>jpearce</t>
  </si>
  <si>
    <t>US</t>
  </si>
  <si>
    <t>GCCAP1</t>
  </si>
  <si>
    <t>NONE</t>
  </si>
  <si>
    <t>Multiple</t>
  </si>
  <si>
    <t>M</t>
  </si>
  <si>
    <t>Equity</t>
  </si>
  <si>
    <t>Filled</t>
  </si>
  <si>
    <t>Market</t>
  </si>
  <si>
    <t>Day</t>
  </si>
  <si>
    <t>CSFB</t>
  </si>
  <si>
    <t>B US EQUITY</t>
  </si>
  <si>
    <t>New</t>
  </si>
  <si>
    <t>Support6</t>
  </si>
  <si>
    <t>RTPNL</t>
  </si>
  <si>
    <t>OpenRTPNL</t>
  </si>
  <si>
    <t>Nirvana,PM</t>
  </si>
  <si>
    <t>CheckAccountLevelAggregation</t>
  </si>
  <si>
    <t>NewMF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</si>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</sst>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8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/>
      <c r="C6" s="31"/>
      <c r="D6" s="13" t="b">
        <v>0</v>
      </c>
      <c r="E6" s="13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IFERROR(__xludf.DUMMYFUNCTION("""COMPUTED_VALUE"""),"FromTableVenueID")</f>
        <v>FromTableVenueID</v>
      </c>
      <c r="C5" s="29" t="str">
        <f>IFERROR(__xludf.DUMMYFUNCTION("""COMPUTED_VALUE"""),"ToTableVenueID")</f>
        <v>ToTableVenueID</v>
      </c>
      <c r="D5" s="29"/>
      <c r="E5" s="29"/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1.0</v>
      </c>
      <c r="C6" s="33">
        <v>103.0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IFERROR(__xludf.DUMMYFUNCTION("""COMPUTED_VALUE"""),"Broker")</f>
        <v>Broker</v>
      </c>
      <c r="D5" s="29"/>
      <c r="E5" s="29"/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27</v>
      </c>
      <c r="C6" s="13" t="s">
        <v>28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29</v>
      </c>
      <c r="C7" s="13" t="s">
        <v>30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31</v>
      </c>
      <c r="C5" s="28" t="s">
        <v>32</v>
      </c>
      <c r="D5" s="28" t="s">
        <v>33</v>
      </c>
      <c r="E5" s="29"/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34</v>
      </c>
      <c r="C6" s="13" t="s">
        <v>35</v>
      </c>
      <c r="D6" s="13">
        <v>17.0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/>
      <c r="E5" s="29"/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45936</v>
      </c>
      <c r="C6" s="36">
        <f>TODAY()</f>
        <v>45937</v>
      </c>
      <c r="D6" s="13"/>
      <c r="E6" s="13"/>
      <c r="F6" s="13"/>
      <c r="G6" s="8"/>
      <c r="H6" s="37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/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27</v>
      </c>
      <c r="C6" s="32" t="s">
        <v>39</v>
      </c>
      <c r="D6" s="33">
        <v>100000.0</v>
      </c>
      <c r="E6" s="13"/>
      <c r="F6" s="13"/>
      <c r="G6" s="8"/>
      <c r="H6" s="37"/>
      <c r="I6" s="13"/>
      <c r="J6" s="13"/>
      <c r="K6" s="8"/>
      <c r="L6" s="8"/>
      <c r="M6" s="8"/>
      <c r="N6" s="8"/>
      <c r="O6" s="8"/>
    </row>
    <row r="7" ht="15.75" customHeight="1">
      <c r="A7" s="13"/>
      <c r="B7" s="32" t="s">
        <v>29</v>
      </c>
      <c r="C7" s="32" t="s">
        <v>39</v>
      </c>
      <c r="D7" s="33">
        <v>100000.0</v>
      </c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32" t="s">
        <v>40</v>
      </c>
      <c r="C8" s="32" t="s">
        <v>39</v>
      </c>
      <c r="D8" s="33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41</v>
      </c>
      <c r="C9" s="32" t="s">
        <v>39</v>
      </c>
      <c r="D9" s="33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IFERROR(__xludf.DUMMYFUNCTION("""COMPUTED_VALUE"""),"DefaultSymbology")</f>
        <v>DefaultSymbology</v>
      </c>
      <c r="C5" s="29" t="str">
        <f>IFERROR(__xludf.DUMMYFUNCTION("""COMPUTED_VALUE"""),"DefaultOptionType")</f>
        <v>DefaultOptionType</v>
      </c>
      <c r="D5" s="29" t="str">
        <f>IFERROR(__xludf.DUMMYFUNCTION("""COMPUTED_VALUE"""),"DefaultNotes")</f>
        <v>DefaultNotes</v>
      </c>
      <c r="E5" s="29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9" t="str">
        <f>IFERROR(__xludf.DUMMYFUNCTION("""COMPUTED_VALUE"""),"ShowOptionDetails")</f>
        <v>ShowOptionDetails</v>
      </c>
      <c r="H5" s="29" t="str">
        <f>IFERROR(__xludf.DUMMYFUNCTION("""COMPUTED_VALUE"""),"Use Custodian Broker")</f>
        <v>Use Custodian Broker</v>
      </c>
      <c r="I5" s="29" t="str">
        <f>IFERROR(__xludf.DUMMYFUNCTION("""COMPUTED_VALUE"""),"Button_Status")</f>
        <v>Button_Status</v>
      </c>
      <c r="J5" s="29" t="str">
        <f>IFERROR(__xludf.DUMMYFUNCTION("""COMPUTED_VALUE"""),"ClearColumnValue")</f>
        <v>ClearColumnValue</v>
      </c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4"/>
      <c r="F6" s="8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37" t="s">
        <v>27</v>
      </c>
      <c r="D6" s="13">
        <v>25.0</v>
      </c>
      <c r="E6" s="34"/>
      <c r="F6" s="8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46</v>
      </c>
      <c r="C7" s="37" t="s">
        <v>29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46</v>
      </c>
      <c r="C8" s="37" t="s">
        <v>40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46</v>
      </c>
      <c r="C9" s="37" t="s">
        <v>41</v>
      </c>
      <c r="D9" s="13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2" t="s">
        <v>49</v>
      </c>
      <c r="C6" s="39"/>
      <c r="D6" s="32" t="s">
        <v>50</v>
      </c>
      <c r="E6" s="39"/>
      <c r="F6" s="39"/>
      <c r="G6" s="40" t="b">
        <v>0</v>
      </c>
      <c r="H6" s="35" t="s">
        <v>46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13"/>
      <c r="C7" s="37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IFERROR(__xludf.DUMMYFUNCTION("""COMPUTED_VALUE"""),"Quantity")</f>
        <v>Quantity</v>
      </c>
      <c r="D5" s="29" t="str">
        <f>IFERROR(__xludf.DUMMYFUNCTION("""COMPUTED_VALUE"""),"Price")</f>
        <v>Price</v>
      </c>
      <c r="E5" s="29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9" t="str">
        <f>IFERROR(__xludf.DUMMYFUNCTION("""COMPUTED_VALUE"""),"TT_Open")</f>
        <v>TT_Open</v>
      </c>
      <c r="H5" s="29" t="str">
        <f>IFERROR(__xludf.DUMMYFUNCTION("""COMPUTED_VALUE"""),"SharesOutstandingPopUpQty")</f>
        <v>SharesOutstandingPopUpQty</v>
      </c>
      <c r="I5" s="29" t="str">
        <f>IFERROR(__xludf.DUMMYFUNCTION("""COMPUTED_VALUE"""),"AllocationMethod")</f>
        <v>AllocationMethod</v>
      </c>
      <c r="J5" s="29" t="str">
        <f>IFERROR(__xludf.DUMMYFUNCTION("""COMPUTED_VALUE"""),"Order Side")</f>
        <v>Order Side</v>
      </c>
      <c r="K5" s="29" t="str">
        <f>IFERROR(__xludf.DUMMYFUNCTION("""COMPUTED_VALUE"""),"DB_Check")</f>
        <v>DB_Check</v>
      </c>
      <c r="L5" s="29" t="str">
        <f>IFERROR(__xludf.DUMMYFUNCTION("""COMPUTED_VALUE"""),"CommissionBasis")</f>
        <v>CommissionBasis</v>
      </c>
      <c r="M5" s="29" t="str">
        <f>IFERROR(__xludf.DUMMYFUNCTION("""COMPUTED_VALUE"""),"CommissionRate")</f>
        <v>CommissionRate</v>
      </c>
      <c r="N5" s="29" t="str">
        <f>IFERROR(__xludf.DUMMYFUNCTION("""COMPUTED_VALUE"""),"SoftBasis")</f>
        <v>SoftBasis</v>
      </c>
      <c r="O5" s="29" t="str">
        <f>IFERROR(__xludf.DUMMYFUNCTION("""COMPUTED_VALUE"""),"SoftRate")</f>
        <v>SoftRate</v>
      </c>
      <c r="P5" s="29" t="str">
        <f>IFERROR(__xludf.DUMMYFUNCTION("""COMPUTED_VALUE"""),"Account")</f>
        <v>Account</v>
      </c>
      <c r="Q5" s="29" t="str">
        <f>IFERROR(__xludf.DUMMYFUNCTION("""COMPUTED_VALUE"""),"Account %")</f>
        <v>Account %</v>
      </c>
      <c r="R5" s="29" t="str">
        <f>IFERROR(__xludf.DUMMYFUNCTION("""COMPUTED_VALUE"""),"VerifySuggestions")</f>
        <v>VerifySuggestions</v>
      </c>
      <c r="S5" s="29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13">
        <v>1000.0</v>
      </c>
      <c r="D6" s="13">
        <v>2.0</v>
      </c>
      <c r="E6" s="13" t="s">
        <v>53</v>
      </c>
      <c r="F6" s="8"/>
      <c r="G6" s="13" t="b">
        <v>1</v>
      </c>
      <c r="H6" s="8"/>
      <c r="I6" s="13" t="s">
        <v>46</v>
      </c>
      <c r="J6" s="13" t="s">
        <v>54</v>
      </c>
      <c r="K6" s="8"/>
      <c r="L6" s="8"/>
      <c r="M6" s="8"/>
      <c r="N6" s="8"/>
      <c r="O6" s="8"/>
    </row>
    <row r="7" ht="15.75" customHeight="1">
      <c r="A7" s="13"/>
      <c r="B7" s="13" t="s">
        <v>55</v>
      </c>
      <c r="C7" s="13">
        <v>1000.0</v>
      </c>
      <c r="D7" s="13">
        <v>2.0</v>
      </c>
      <c r="E7" s="13" t="s">
        <v>53</v>
      </c>
      <c r="F7" s="8"/>
      <c r="G7" s="13" t="b">
        <v>1</v>
      </c>
      <c r="H7" s="8"/>
      <c r="I7" s="13" t="s">
        <v>46</v>
      </c>
      <c r="J7" s="13" t="s">
        <v>54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IFERROR(__xludf.DUMMYFUNCTION("""COMPUTED_VALUE"""),"Ticker")</f>
        <v>Ticker</v>
      </c>
      <c r="C5" s="29" t="str">
        <f>IFERROR(__xludf.DUMMYFUNCTION("""COMPUTED_VALUE"""),"Add/Set")</f>
        <v>Add/Set</v>
      </c>
      <c r="D5" s="29" t="str">
        <f>IFERROR(__xludf.DUMMYFUNCTION("""COMPUTED_VALUE"""),"Type")</f>
        <v>Type</v>
      </c>
      <c r="E5" s="29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9" t="str">
        <f>IFERROR(__xludf.DUMMYFUNCTION("""COMPUTED_VALUE"""),"Combined Account Total")</f>
        <v>Combined Account Total</v>
      </c>
      <c r="H5" s="29" t="str">
        <f>IFERROR(__xludf.DUMMYFUNCTION("""COMPUTED_VALUE"""),"MasterFund/Account")</f>
        <v>MasterFund/Account</v>
      </c>
      <c r="I5" s="29" t="str">
        <f>IFERROR(__xludf.DUMMYFUNCTION("""COMPUTED_VALUE"""),"Accounts")</f>
        <v>Accounts</v>
      </c>
      <c r="J5" s="29" t="str">
        <f>IFERROR(__xludf.DUMMYFUNCTION("""COMPUTED_VALUE"""),"Master Funds")</f>
        <v>Master Funds</v>
      </c>
      <c r="K5" s="29" t="str">
        <f>IFERROR(__xludf.DUMMYFUNCTION("""COMPUTED_VALUE"""),"Round Lots")</f>
        <v>Round Lots</v>
      </c>
      <c r="L5" s="29" t="str">
        <f>IFERROR(__xludf.DUMMYFUNCTION("""COMPUTED_VALUE"""),"Use Custodian Broker")</f>
        <v>Use Custodian Broker</v>
      </c>
      <c r="M5" s="29" t="str">
        <f>IFERROR(__xludf.DUMMYFUNCTION("""COMPUTED_VALUE"""),"Broker")</f>
        <v>Broker</v>
      </c>
      <c r="N5" s="29" t="str">
        <f>IFERROR(__xludf.DUMMYFUNCTION("""COMPUTED_VALUE"""),"Venue")</f>
        <v>Venue</v>
      </c>
      <c r="O5" s="29" t="str">
        <f>IFERROR(__xludf.DUMMYFUNCTION("""COMPUTED_VALUE"""),"TIF")</f>
        <v>TIF</v>
      </c>
      <c r="P5" s="29" t="str">
        <f>IFERROR(__xludf.DUMMYFUNCTION("""COMPUTED_VALUE"""),"Order Type")</f>
        <v>Order Type</v>
      </c>
      <c r="Q5" s="29" t="str">
        <f>IFERROR(__xludf.DUMMYFUNCTION("""COMPUTED_VALUE"""),"Stop")</f>
        <v>Stop</v>
      </c>
      <c r="R5" s="29" t="str">
        <f>IFERROR(__xludf.DUMMYFUNCTION("""COMPUTED_VALUE"""),"Limit")</f>
        <v>Limit</v>
      </c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13" t="s">
        <v>58</v>
      </c>
      <c r="D6" s="35" t="s">
        <v>59</v>
      </c>
      <c r="E6" s="13">
        <v>1500.0</v>
      </c>
      <c r="F6" s="13">
        <v>2.0</v>
      </c>
      <c r="G6" s="13"/>
      <c r="H6" s="35" t="s">
        <v>60</v>
      </c>
      <c r="I6" s="13" t="s">
        <v>46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61</v>
      </c>
      <c r="C5" s="28" t="s">
        <v>62</v>
      </c>
      <c r="D5" s="28" t="s">
        <v>63</v>
      </c>
      <c r="E5" s="28" t="s">
        <v>64</v>
      </c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40</v>
      </c>
      <c r="D6" s="35" t="s">
        <v>28</v>
      </c>
      <c r="E6" s="13"/>
      <c r="F6" s="13"/>
      <c r="G6" s="13"/>
      <c r="H6" s="37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EditAuecWindow!$4:$4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IFERROR(__xludf.DUMMYFUNCTION("""COMPUTED_VALUE"""),"Ticker")</f>
        <v>Ticker</v>
      </c>
      <c r="C5" s="29" t="str">
        <f>IFERROR(__xludf.DUMMYFUNCTION("""COMPUTED_VALUE"""),"Add/Set")</f>
        <v>Add/Set</v>
      </c>
      <c r="D5" s="29" t="str">
        <f>IFERROR(__xludf.DUMMYFUNCTION("""COMPUTED_VALUE"""),"Type")</f>
        <v>Type</v>
      </c>
      <c r="E5" s="29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9" t="str">
        <f>IFERROR(__xludf.DUMMYFUNCTION("""COMPUTED_VALUE"""),"Combined Account Total")</f>
        <v>Combined Account Total</v>
      </c>
      <c r="H5" s="29" t="str">
        <f>IFERROR(__xludf.DUMMYFUNCTION("""COMPUTED_VALUE"""),"MasterFund/Account")</f>
        <v>MasterFund/Account</v>
      </c>
      <c r="I5" s="29" t="str">
        <f>IFERROR(__xludf.DUMMYFUNCTION("""COMPUTED_VALUE"""),"Accounts")</f>
        <v>Accounts</v>
      </c>
      <c r="J5" s="29" t="str">
        <f>IFERROR(__xludf.DUMMYFUNCTION("""COMPUTED_VALUE"""),"Master Funds")</f>
        <v>Master Funds</v>
      </c>
      <c r="K5" s="29" t="str">
        <f>IFERROR(__xludf.DUMMYFUNCTION("""COMPUTED_VALUE"""),"Round Lots")</f>
        <v>Round Lots</v>
      </c>
      <c r="L5" s="29" t="str">
        <f>IFERROR(__xludf.DUMMYFUNCTION("""COMPUTED_VALUE"""),"Use Custodian Broker")</f>
        <v>Use Custodian Broker</v>
      </c>
      <c r="M5" s="29" t="str">
        <f>IFERROR(__xludf.DUMMYFUNCTION("""COMPUTED_VALUE"""),"Broker")</f>
        <v>Broker</v>
      </c>
      <c r="N5" s="29" t="str">
        <f>IFERROR(__xludf.DUMMYFUNCTION("""COMPUTED_VALUE"""),"Venue")</f>
        <v>Venue</v>
      </c>
      <c r="O5" s="29" t="str">
        <f>IFERROR(__xludf.DUMMYFUNCTION("""COMPUTED_VALUE"""),"TIF")</f>
        <v>TIF</v>
      </c>
      <c r="P5" s="29" t="str">
        <f>IFERROR(__xludf.DUMMYFUNCTION("""COMPUTED_VALUE"""),"Order Type")</f>
        <v>Order Type</v>
      </c>
      <c r="Q5" s="29" t="str">
        <f>IFERROR(__xludf.DUMMYFUNCTION("""COMPUTED_VALUE"""),"Stop")</f>
        <v>Stop</v>
      </c>
      <c r="R5" s="29" t="str">
        <f>IFERROR(__xludf.DUMMYFUNCTION("""COMPUTED_VALUE"""),"Limit")</f>
        <v>Limit</v>
      </c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13" t="s">
        <v>58</v>
      </c>
      <c r="D6" s="35" t="s">
        <v>59</v>
      </c>
      <c r="E6" s="13">
        <v>1500.0</v>
      </c>
      <c r="F6" s="13">
        <v>2.0</v>
      </c>
      <c r="G6" s="13"/>
      <c r="H6" s="35" t="s">
        <v>60</v>
      </c>
      <c r="I6" s="13" t="s">
        <v>46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IFERROR(__xludf.DUMMYFUNCTION("""COMPUTED_VALUE"""),"Quantity")</f>
        <v>Quantity</v>
      </c>
      <c r="D5" s="29" t="str">
        <f>IFERROR(__xludf.DUMMYFUNCTION("""COMPUTED_VALUE"""),"Price")</f>
        <v>Price</v>
      </c>
      <c r="E5" s="29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9" t="str">
        <f>IFERROR(__xludf.DUMMYFUNCTION("""COMPUTED_VALUE"""),"TT_Open")</f>
        <v>TT_Open</v>
      </c>
      <c r="H5" s="29" t="str">
        <f>IFERROR(__xludf.DUMMYFUNCTION("""COMPUTED_VALUE"""),"SharesOutstandingPopUpQty")</f>
        <v>SharesOutstandingPopUpQty</v>
      </c>
      <c r="I5" s="29" t="str">
        <f>IFERROR(__xludf.DUMMYFUNCTION("""COMPUTED_VALUE"""),"AllocationMethod")</f>
        <v>AllocationMethod</v>
      </c>
      <c r="J5" s="29" t="str">
        <f>IFERROR(__xludf.DUMMYFUNCTION("""COMPUTED_VALUE"""),"Order Side")</f>
        <v>Order Side</v>
      </c>
      <c r="K5" s="29" t="str">
        <f>IFERROR(__xludf.DUMMYFUNCTION("""COMPUTED_VALUE"""),"DB_Check")</f>
        <v>DB_Check</v>
      </c>
      <c r="L5" s="29" t="str">
        <f>IFERROR(__xludf.DUMMYFUNCTION("""COMPUTED_VALUE"""),"CommissionBasis")</f>
        <v>CommissionBasis</v>
      </c>
      <c r="M5" s="29" t="str">
        <f>IFERROR(__xludf.DUMMYFUNCTION("""COMPUTED_VALUE"""),"CommissionRate")</f>
        <v>CommissionRate</v>
      </c>
      <c r="N5" s="29" t="str">
        <f>IFERROR(__xludf.DUMMYFUNCTION("""COMPUTED_VALUE"""),"SoftBasis")</f>
        <v>SoftBasis</v>
      </c>
      <c r="O5" s="29" t="str">
        <f>IFERROR(__xludf.DUMMYFUNCTION("""COMPUTED_VALUE"""),"SoftRate")</f>
        <v>SoftRate</v>
      </c>
      <c r="P5" s="29" t="str">
        <f>IFERROR(__xludf.DUMMYFUNCTION("""COMPUTED_VALUE"""),"Account")</f>
        <v>Account</v>
      </c>
      <c r="Q5" s="29" t="str">
        <f>IFERROR(__xludf.DUMMYFUNCTION("""COMPUTED_VALUE"""),"Account %")</f>
        <v>Account %</v>
      </c>
      <c r="R5" s="29" t="str">
        <f>IFERROR(__xludf.DUMMYFUNCTION("""COMPUTED_VALUE"""),"VerifySuggestions")</f>
        <v>VerifySuggestions</v>
      </c>
      <c r="S5" s="29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E6" s="13" t="s">
        <v>53</v>
      </c>
      <c r="F6" s="8"/>
      <c r="G6" s="13" t="b">
        <v>1</v>
      </c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IFERROR(__xludf.DUMMYFUNCTION("""COMPUTED_VALUE"""),"LoginUserName")</f>
        <v>LoginUserName</v>
      </c>
      <c r="C5" s="29" t="str">
        <f>IFERROR(__xludf.DUMMYFUNCTION("""COMPUTED_VALUE"""),"LoginPassword")</f>
        <v>LoginPassword</v>
      </c>
      <c r="D5" s="29"/>
      <c r="E5" s="29"/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67</v>
      </c>
      <c r="C6" s="13" t="s">
        <v>68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 t="s">
        <v>77</v>
      </c>
      <c r="K5" s="28" t="s">
        <v>78</v>
      </c>
      <c r="L5" s="28" t="s">
        <v>79</v>
      </c>
      <c r="M5" s="28" t="s">
        <v>63</v>
      </c>
      <c r="N5" s="28" t="s">
        <v>80</v>
      </c>
      <c r="O5" s="28" t="s">
        <v>81</v>
      </c>
      <c r="P5" s="28" t="s">
        <v>82</v>
      </c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83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 t="s">
        <v>77</v>
      </c>
      <c r="K5" s="28" t="s">
        <v>78</v>
      </c>
      <c r="L5" s="28" t="s">
        <v>79</v>
      </c>
      <c r="M5" s="28" t="s">
        <v>63</v>
      </c>
      <c r="N5" s="28" t="s">
        <v>80</v>
      </c>
      <c r="O5" s="28" t="s">
        <v>81</v>
      </c>
      <c r="P5" s="28" t="s">
        <v>82</v>
      </c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55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84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IFERROR(__xludf.DUMMYFUNCTION("""COMPUTED_VALUE"""),"LoginUserName")</f>
        <v>LoginUserName</v>
      </c>
      <c r="C5" s="29" t="str">
        <f>IFERROR(__xludf.DUMMYFUNCTION("""COMPUTED_VALUE"""),"LoginPassword")</f>
        <v>LoginPassword</v>
      </c>
      <c r="D5" s="29"/>
      <c r="E5" s="29"/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85</v>
      </c>
      <c r="C6" s="13" t="s">
        <v>68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1"/>
      <c r="B6" s="42"/>
      <c r="C6" s="39"/>
      <c r="D6" s="42"/>
      <c r="E6" s="39" t="s">
        <v>88</v>
      </c>
      <c r="F6" s="43"/>
      <c r="G6" s="43"/>
      <c r="H6" s="39" t="s">
        <v>89</v>
      </c>
      <c r="I6" s="39" t="s">
        <v>90</v>
      </c>
      <c r="J6" s="39" t="s">
        <v>52</v>
      </c>
      <c r="K6" s="39" t="s">
        <v>91</v>
      </c>
      <c r="L6" s="39" t="s">
        <v>92</v>
      </c>
      <c r="M6" s="39"/>
      <c r="N6" s="39"/>
      <c r="O6" s="39"/>
      <c r="P6" s="39"/>
      <c r="Q6" s="44"/>
      <c r="R6" s="39"/>
      <c r="S6" s="43"/>
      <c r="T6" s="43"/>
      <c r="U6" s="39" t="s">
        <v>39</v>
      </c>
      <c r="V6" s="39" t="s">
        <v>93</v>
      </c>
      <c r="W6" s="42"/>
      <c r="X6" s="43"/>
      <c r="Y6" s="39"/>
      <c r="Z6" s="39"/>
      <c r="AA6" s="39" t="s">
        <v>94</v>
      </c>
      <c r="AB6" s="43">
        <v>250.0</v>
      </c>
      <c r="AC6" s="44"/>
      <c r="AD6" s="43">
        <v>1.0</v>
      </c>
      <c r="AE6" s="44"/>
      <c r="AF6" s="39" t="s">
        <v>95</v>
      </c>
      <c r="AG6" s="43">
        <v>2.0</v>
      </c>
      <c r="AH6" s="39" t="s">
        <v>96</v>
      </c>
      <c r="AI6" s="39" t="s">
        <v>52</v>
      </c>
      <c r="AJ6" s="39" t="s">
        <v>54</v>
      </c>
      <c r="AK6" s="39" t="s">
        <v>97</v>
      </c>
      <c r="AL6" s="43">
        <v>500.0</v>
      </c>
      <c r="AM6" s="43">
        <v>500.0</v>
      </c>
      <c r="AN6" s="43">
        <v>100.0</v>
      </c>
      <c r="AO6" s="43">
        <v>500.0</v>
      </c>
      <c r="AP6" s="43"/>
      <c r="AQ6" s="43">
        <v>2.0</v>
      </c>
      <c r="AR6" s="43">
        <v>2.0</v>
      </c>
      <c r="AS6" s="39" t="s">
        <v>94</v>
      </c>
      <c r="AT6" s="39" t="s">
        <v>94</v>
      </c>
      <c r="AU6" s="39" t="s">
        <v>98</v>
      </c>
      <c r="AV6" s="43"/>
      <c r="AW6" s="43"/>
      <c r="AX6" s="39"/>
      <c r="AY6" s="39"/>
      <c r="AZ6" s="43"/>
      <c r="BA6" s="39" t="s">
        <v>90</v>
      </c>
      <c r="BB6" s="39"/>
      <c r="BC6" s="39"/>
      <c r="BD6" s="39"/>
      <c r="BE6" s="39"/>
      <c r="BF6" s="39"/>
      <c r="BG6" s="39" t="s">
        <v>42</v>
      </c>
      <c r="BH6" s="39" t="s">
        <v>99</v>
      </c>
      <c r="BI6" s="39"/>
      <c r="BJ6" s="39"/>
      <c r="BK6" s="39"/>
      <c r="BL6" s="39"/>
      <c r="BM6" s="39"/>
      <c r="BN6" s="42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44"/>
      <c r="CC6" s="39"/>
      <c r="CD6" s="44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44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44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44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41"/>
      <c r="B7" s="42"/>
      <c r="C7" s="39"/>
      <c r="D7" s="42"/>
      <c r="E7" s="39" t="s">
        <v>88</v>
      </c>
      <c r="F7" s="43"/>
      <c r="G7" s="43"/>
      <c r="H7" s="39" t="s">
        <v>89</v>
      </c>
      <c r="I7" s="39" t="s">
        <v>90</v>
      </c>
      <c r="J7" s="39" t="s">
        <v>52</v>
      </c>
      <c r="K7" s="39" t="s">
        <v>91</v>
      </c>
      <c r="L7" s="39" t="s">
        <v>92</v>
      </c>
      <c r="M7" s="39"/>
      <c r="N7" s="39"/>
      <c r="O7" s="39"/>
      <c r="P7" s="39"/>
      <c r="Q7" s="44"/>
      <c r="R7" s="39"/>
      <c r="S7" s="43"/>
      <c r="T7" s="43"/>
      <c r="U7" s="39" t="s">
        <v>39</v>
      </c>
      <c r="V7" s="39" t="s">
        <v>93</v>
      </c>
      <c r="W7" s="42"/>
      <c r="X7" s="43"/>
      <c r="Y7" s="43"/>
      <c r="Z7" s="43"/>
      <c r="AA7" s="39" t="s">
        <v>94</v>
      </c>
      <c r="AB7" s="43">
        <v>500.0</v>
      </c>
      <c r="AC7" s="44"/>
      <c r="AD7" s="43">
        <v>1.0</v>
      </c>
      <c r="AE7" s="44"/>
      <c r="AF7" s="39" t="s">
        <v>95</v>
      </c>
      <c r="AG7" s="43">
        <v>2.0</v>
      </c>
      <c r="AH7" s="39" t="s">
        <v>96</v>
      </c>
      <c r="AI7" s="39" t="s">
        <v>52</v>
      </c>
      <c r="AJ7" s="39" t="s">
        <v>54</v>
      </c>
      <c r="AK7" s="39" t="s">
        <v>97</v>
      </c>
      <c r="AL7" s="43">
        <v>500.0</v>
      </c>
      <c r="AM7" s="43">
        <v>500.0</v>
      </c>
      <c r="AN7" s="43">
        <v>100.0</v>
      </c>
      <c r="AO7" s="43">
        <v>500.0</v>
      </c>
      <c r="AP7" s="43"/>
      <c r="AQ7" s="43">
        <v>2.0</v>
      </c>
      <c r="AR7" s="43">
        <v>2.0</v>
      </c>
      <c r="AS7" s="39" t="s">
        <v>100</v>
      </c>
      <c r="AT7" s="39" t="s">
        <v>94</v>
      </c>
      <c r="AU7" s="39" t="s">
        <v>98</v>
      </c>
      <c r="AV7" s="43"/>
      <c r="AW7" s="43"/>
      <c r="AX7" s="39"/>
      <c r="AY7" s="39"/>
      <c r="AZ7" s="43"/>
      <c r="BA7" s="39" t="s">
        <v>90</v>
      </c>
      <c r="BB7" s="39"/>
      <c r="BC7" s="39"/>
      <c r="BD7" s="39"/>
      <c r="BE7" s="39"/>
      <c r="BF7" s="39"/>
      <c r="BG7" s="39" t="s">
        <v>42</v>
      </c>
      <c r="BH7" s="39" t="s">
        <v>99</v>
      </c>
      <c r="BI7" s="39"/>
      <c r="BJ7" s="39"/>
      <c r="BK7" s="39"/>
      <c r="BL7" s="39"/>
      <c r="BM7" s="39"/>
      <c r="BN7" s="42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44"/>
      <c r="CC7" s="39"/>
      <c r="CD7" s="44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44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44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41"/>
      <c r="B8" s="42"/>
      <c r="C8" s="39"/>
      <c r="D8" s="43"/>
      <c r="E8" s="39" t="s">
        <v>101</v>
      </c>
      <c r="F8" s="43"/>
      <c r="G8" s="43"/>
      <c r="H8" s="39" t="s">
        <v>89</v>
      </c>
      <c r="I8" s="39" t="s">
        <v>90</v>
      </c>
      <c r="J8" s="39" t="s">
        <v>55</v>
      </c>
      <c r="K8" s="39" t="s">
        <v>91</v>
      </c>
      <c r="L8" s="39" t="s">
        <v>92</v>
      </c>
      <c r="M8" s="39"/>
      <c r="N8" s="39"/>
      <c r="O8" s="39"/>
      <c r="P8" s="39"/>
      <c r="Q8" s="39"/>
      <c r="R8" s="39"/>
      <c r="S8" s="43"/>
      <c r="T8" s="43"/>
      <c r="U8" s="39" t="s">
        <v>39</v>
      </c>
      <c r="V8" s="39" t="s">
        <v>93</v>
      </c>
      <c r="W8" s="42"/>
      <c r="X8" s="43"/>
      <c r="Y8" s="39"/>
      <c r="Z8" s="39"/>
      <c r="AA8" s="39" t="s">
        <v>94</v>
      </c>
      <c r="AB8" s="43"/>
      <c r="AC8" s="39"/>
      <c r="AD8" s="43">
        <v>1.0</v>
      </c>
      <c r="AE8" s="44"/>
      <c r="AF8" s="39" t="s">
        <v>95</v>
      </c>
      <c r="AG8" s="43"/>
      <c r="AH8" s="39" t="s">
        <v>96</v>
      </c>
      <c r="AI8" s="39" t="s">
        <v>55</v>
      </c>
      <c r="AJ8" s="39" t="s">
        <v>54</v>
      </c>
      <c r="AK8" s="39" t="s">
        <v>102</v>
      </c>
      <c r="AL8" s="43">
        <v>500.0</v>
      </c>
      <c r="AM8" s="43"/>
      <c r="AN8" s="43"/>
      <c r="AO8" s="43"/>
      <c r="AP8" s="43">
        <v>500.0</v>
      </c>
      <c r="AQ8" s="43">
        <v>0.0</v>
      </c>
      <c r="AR8" s="43">
        <v>0.0</v>
      </c>
      <c r="AS8" s="39" t="s">
        <v>94</v>
      </c>
      <c r="AT8" s="39" t="s">
        <v>94</v>
      </c>
      <c r="AU8" s="39" t="s">
        <v>98</v>
      </c>
      <c r="AV8" s="43"/>
      <c r="AW8" s="43"/>
      <c r="AX8" s="39"/>
      <c r="AY8" s="39"/>
      <c r="AZ8" s="43"/>
      <c r="BA8" s="39" t="s">
        <v>90</v>
      </c>
      <c r="BB8" s="39"/>
      <c r="BC8" s="39"/>
      <c r="BD8" s="39"/>
      <c r="BE8" s="39"/>
      <c r="BF8" s="39"/>
      <c r="BG8" s="39" t="s">
        <v>42</v>
      </c>
      <c r="BH8" s="39" t="s">
        <v>99</v>
      </c>
      <c r="BI8" s="39"/>
      <c r="BJ8" s="39"/>
      <c r="BK8" s="39"/>
      <c r="BL8" s="39"/>
      <c r="BM8" s="39"/>
      <c r="BN8" s="42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41"/>
      <c r="B9" s="42"/>
      <c r="C9" s="39"/>
      <c r="D9" s="43"/>
      <c r="E9" s="39" t="s">
        <v>101</v>
      </c>
      <c r="F9" s="43"/>
      <c r="G9" s="43"/>
      <c r="H9" s="39" t="s">
        <v>89</v>
      </c>
      <c r="I9" s="39" t="s">
        <v>90</v>
      </c>
      <c r="J9" s="39" t="s">
        <v>55</v>
      </c>
      <c r="K9" s="39" t="s">
        <v>91</v>
      </c>
      <c r="L9" s="39" t="s">
        <v>92</v>
      </c>
      <c r="M9" s="39"/>
      <c r="N9" s="39"/>
      <c r="O9" s="39"/>
      <c r="P9" s="39"/>
      <c r="Q9" s="39"/>
      <c r="R9" s="39"/>
      <c r="S9" s="43"/>
      <c r="T9" s="43"/>
      <c r="U9" s="39" t="s">
        <v>39</v>
      </c>
      <c r="V9" s="39" t="s">
        <v>93</v>
      </c>
      <c r="W9" s="42"/>
      <c r="X9" s="43"/>
      <c r="Y9" s="39"/>
      <c r="Z9" s="39"/>
      <c r="AA9" s="39" t="s">
        <v>94</v>
      </c>
      <c r="AB9" s="43"/>
      <c r="AC9" s="39"/>
      <c r="AD9" s="43">
        <v>1.0</v>
      </c>
      <c r="AE9" s="44"/>
      <c r="AF9" s="39" t="s">
        <v>95</v>
      </c>
      <c r="AG9" s="43"/>
      <c r="AH9" s="39" t="s">
        <v>96</v>
      </c>
      <c r="AI9" s="39" t="s">
        <v>55</v>
      </c>
      <c r="AJ9" s="39" t="s">
        <v>54</v>
      </c>
      <c r="AK9" s="39" t="s">
        <v>102</v>
      </c>
      <c r="AL9" s="43">
        <v>500.0</v>
      </c>
      <c r="AM9" s="43"/>
      <c r="AN9" s="43"/>
      <c r="AO9" s="43"/>
      <c r="AP9" s="43">
        <v>500.0</v>
      </c>
      <c r="AQ9" s="43">
        <v>0.0</v>
      </c>
      <c r="AR9" s="43">
        <v>0.0</v>
      </c>
      <c r="AS9" s="39" t="s">
        <v>100</v>
      </c>
      <c r="AT9" s="39" t="s">
        <v>94</v>
      </c>
      <c r="AU9" s="39" t="s">
        <v>98</v>
      </c>
      <c r="AV9" s="43"/>
      <c r="AW9" s="43"/>
      <c r="AX9" s="39"/>
      <c r="AY9" s="39"/>
      <c r="AZ9" s="43"/>
      <c r="BA9" s="39" t="s">
        <v>90</v>
      </c>
      <c r="BB9" s="39"/>
      <c r="BC9" s="39"/>
      <c r="BD9" s="39"/>
      <c r="BE9" s="39"/>
      <c r="BF9" s="39"/>
      <c r="BG9" s="39" t="s">
        <v>42</v>
      </c>
      <c r="BH9" s="39" t="s">
        <v>99</v>
      </c>
      <c r="BI9" s="39"/>
      <c r="BJ9" s="39"/>
      <c r="BK9" s="39"/>
      <c r="BL9" s="39"/>
      <c r="BM9" s="39"/>
      <c r="BN9" s="43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39"/>
      <c r="B10" s="44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44"/>
      <c r="X10" s="39"/>
      <c r="Y10" s="39"/>
      <c r="Z10" s="39"/>
      <c r="AA10" s="39"/>
      <c r="AB10" s="39"/>
      <c r="AC10" s="39"/>
      <c r="AD10" s="39"/>
      <c r="AE10" s="44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IFERROR(__xludf.DUMMYFUNCTION("""COMPUTED_VALUE"""),"LoginUserName")</f>
        <v>LoginUserName</v>
      </c>
      <c r="C5" s="29" t="str">
        <f>IFERROR(__xludf.DUMMYFUNCTION("""COMPUTED_VALUE"""),"LoginPassword")</f>
        <v>LoginPassword</v>
      </c>
      <c r="D5" s="29"/>
      <c r="E5" s="29"/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103</v>
      </c>
      <c r="C6" s="13" t="s">
        <v>68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104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IFERROR(__xludf.DUMMYFUNCTION("""COMPUTED_VALUE"""),"OpenWindow")</f>
        <v>OpenWindow</v>
      </c>
      <c r="C5" s="29" t="str">
        <f>IFERROR(__xludf.DUMMYFUNCTION("""COMPUTED_VALUE"""),"TabName")</f>
        <v>TabName</v>
      </c>
      <c r="D5" s="29" t="str">
        <f>IFERROR(__xludf.DUMMYFUNCTION("""COMPUTED_VALUE"""),"Description")</f>
        <v>Description</v>
      </c>
      <c r="E5" s="29" t="str">
        <f>IFERROR(__xludf.DUMMYFUNCTION("""COMPUTED_VALUE"""),"Save?")</f>
        <v>Save?</v>
      </c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106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104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IFERROR(__xludf.DUMMYFUNCTION("""COMPUTED_VALUE"""),"Fund")</f>
        <v>Fund</v>
      </c>
      <c r="D5" s="29" t="str">
        <f>IFERROR(__xludf.DUMMYFUNCTION("""COMPUTED_VALUE"""),"Market Value")</f>
        <v>Market Value</v>
      </c>
      <c r="E5" s="29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9" t="str">
        <f>IFERROR(__xludf.DUMMYFUNCTION("""COMPUTED_VALUE"""),"Exposure")</f>
        <v>Exposure</v>
      </c>
      <c r="H5" s="29" t="str">
        <f>IFERROR(__xludf.DUMMYFUNCTION("""COMPUTED_VALUE"""),"% Gain/Loss Day")</f>
        <v>% Gain/Loss Day</v>
      </c>
      <c r="I5" s="29" t="str">
        <f>IFERROR(__xludf.DUMMYFUNCTION("""COMPUTED_VALUE"""),"% Gain/Loss Cost")</f>
        <v>% Gain/Loss Cost</v>
      </c>
      <c r="J5" s="29" t="str">
        <f>IFERROR(__xludf.DUMMYFUNCTION("""COMPUTED_VALUE"""),"% Market Value")</f>
        <v>% Market Value</v>
      </c>
      <c r="K5" s="29" t="str">
        <f>IFERROR(__xludf.DUMMYFUNCTION("""COMPUTED_VALUE"""),"% Exposure")</f>
        <v>% Exposure</v>
      </c>
      <c r="L5" s="29" t="str">
        <f>IFERROR(__xludf.DUMMYFUNCTION("""COMPUTED_VALUE"""),"Short Exposure")</f>
        <v>Short Exposure</v>
      </c>
      <c r="M5" s="29" t="str">
        <f>IFERROR(__xludf.DUMMYFUNCTION("""COMPUTED_VALUE"""),"% Short Exposure")</f>
        <v>% Short Exposure</v>
      </c>
      <c r="N5" s="29" t="str">
        <f>IFERROR(__xludf.DUMMYFUNCTION("""COMPUTED_VALUE"""),"Long Exposure")</f>
        <v>Long Exposure</v>
      </c>
      <c r="O5" s="29" t="str">
        <f>IFERROR(__xludf.DUMMYFUNCTION("""COMPUTED_VALUE"""),"% Long Exposure")</f>
        <v>% Long Exposure</v>
      </c>
      <c r="P5" s="29" t="str">
        <f>IFERROR(__xludf.DUMMYFUNCTION("""COMPUTED_VALUE"""),"Accruals")</f>
        <v>Accruals</v>
      </c>
      <c r="Q5" s="29" t="str">
        <f>IFERROR(__xludf.DUMMYFUNCTION("""COMPUTED_VALUE"""),"Cash")</f>
        <v>Cash</v>
      </c>
      <c r="R5" s="29" t="str">
        <f>IFERROR(__xludf.DUMMYFUNCTION("""COMPUTED_VALUE"""),"NAV")</f>
        <v>NAV</v>
      </c>
      <c r="S5" s="29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40</v>
      </c>
      <c r="C6" s="13" t="s">
        <v>108</v>
      </c>
      <c r="D6" s="13">
        <v>500.0</v>
      </c>
      <c r="E6" s="8"/>
      <c r="F6" s="8"/>
      <c r="G6" s="13">
        <v>500.0</v>
      </c>
      <c r="H6" s="8"/>
      <c r="I6" s="8"/>
      <c r="J6" s="13">
        <v>0.0</v>
      </c>
      <c r="K6" s="13">
        <v>0.0</v>
      </c>
      <c r="L6" s="8"/>
      <c r="M6" s="8"/>
      <c r="N6" s="8"/>
      <c r="O6" s="8"/>
      <c r="Q6" s="9">
        <v>-500.0</v>
      </c>
      <c r="R6" s="9">
        <v>0.0</v>
      </c>
    </row>
    <row r="7" ht="15.75" customHeight="1">
      <c r="A7" s="8"/>
      <c r="B7" s="13" t="s">
        <v>41</v>
      </c>
      <c r="C7" s="13" t="s">
        <v>109</v>
      </c>
      <c r="D7" s="13">
        <v>500.0</v>
      </c>
      <c r="E7" s="8"/>
      <c r="F7" s="8"/>
      <c r="G7" s="13">
        <v>500.0</v>
      </c>
      <c r="H7" s="8"/>
      <c r="I7" s="8"/>
      <c r="J7" s="13">
        <v>0.0</v>
      </c>
      <c r="K7" s="13">
        <v>0.0</v>
      </c>
      <c r="L7" s="8"/>
      <c r="M7" s="8"/>
      <c r="N7" s="8"/>
      <c r="O7" s="8"/>
      <c r="Q7" s="9">
        <v>-500.0</v>
      </c>
      <c r="R7" s="9">
        <v>0.0</v>
      </c>
    </row>
    <row r="8" ht="15.75" customHeight="1">
      <c r="A8" s="8"/>
      <c r="B8" s="13" t="s">
        <v>29</v>
      </c>
      <c r="C8" s="13" t="s">
        <v>109</v>
      </c>
      <c r="D8" s="13">
        <v>500.0</v>
      </c>
      <c r="E8" s="8"/>
      <c r="F8" s="8"/>
      <c r="G8" s="13">
        <v>500.0</v>
      </c>
      <c r="H8" s="8"/>
      <c r="I8" s="8"/>
      <c r="J8" s="13">
        <v>0.0</v>
      </c>
      <c r="K8" s="13">
        <v>0.0</v>
      </c>
      <c r="L8" s="8"/>
      <c r="M8" s="8"/>
      <c r="N8" s="8"/>
      <c r="O8" s="8"/>
      <c r="Q8" s="9">
        <v>-500.0</v>
      </c>
      <c r="R8" s="9">
        <v>0.0</v>
      </c>
    </row>
    <row r="9" ht="15.75" customHeight="1">
      <c r="A9" s="8"/>
      <c r="B9" s="13" t="s">
        <v>27</v>
      </c>
      <c r="C9" s="13" t="s">
        <v>108</v>
      </c>
      <c r="D9" s="13">
        <v>500.0</v>
      </c>
      <c r="E9" s="8"/>
      <c r="F9" s="8"/>
      <c r="G9" s="13">
        <v>500.0</v>
      </c>
      <c r="H9" s="8"/>
      <c r="I9" s="8"/>
      <c r="J9" s="13">
        <v>0.0</v>
      </c>
      <c r="K9" s="13">
        <v>0.0</v>
      </c>
      <c r="L9" s="8"/>
      <c r="M9" s="8"/>
      <c r="N9" s="8"/>
      <c r="O9" s="8"/>
      <c r="Q9" s="9">
        <v>-500.0</v>
      </c>
      <c r="R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