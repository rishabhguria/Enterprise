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DoneAwayOrder1" sheetId="6" r:id="rId8"/>
    <sheet state="visible" name="CreateStageOrder" sheetId="7" r:id="rId9"/>
    <sheet state="visible" name="PricingInput" sheetId="8" r:id="rId10"/>
    <sheet state="visible" name="MultiTradingTicketFromBlotter" sheetId="9" r:id="rId11"/>
    <sheet state="visible" name="SelectTradeUsingMTT" sheetId="10" r:id="rId12"/>
    <sheet state="visible" name="EditTradeUsingMTT" sheetId="11" r:id="rId13"/>
    <sheet state="visible" name="SelectTradeUsingMTT1" sheetId="12" r:id="rId14"/>
    <sheet state="visible" name="EditTradeUsingMTT1" sheetId="13" r:id="rId15"/>
    <sheet state="visible" name="SendOrderUsingMTT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  <sheet state="visible" name="SelectTrade" sheetId="19" r:id="rId21"/>
    <sheet state="visible" name="AcknowledgeTrade" sheetId="20" r:id="rId22"/>
    <sheet state="visible" name="ExecuteTrade" sheetId="21" r:id="rId23"/>
    <sheet state="visible" name="AcknowledgeTrade1" sheetId="22" r:id="rId24"/>
    <sheet state="visible" name="SelectTrade1" sheetId="23" r:id="rId25"/>
    <sheet state="visible" name="ExecuteTrade1" sheetId="24" r:id="rId26"/>
  </sheets>
  <definedNames/>
  <calcPr/>
</workbook>
</file>

<file path=xl/sharedStrings.xml><?xml version="1.0" encoding="utf-8"?>
<sst xmlns="http://schemas.openxmlformats.org/spreadsheetml/2006/main" count="346" uniqueCount="59">
  <si>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</si>
  <si>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</si>
  <si>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</si>
  <si>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</si>
  <si>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</si>
  <si>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</si>
  <si>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</si>
  <si>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</si>
  <si>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</si>
  <si>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</si>
  <si>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</si>
  <si>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</si>
  <si>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</si>
  <si>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</si>
  <si>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</si>
  <si>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</si>
  <si>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</si>
  <si>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</si>
  <si>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</si>
  <si>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</si>
  <si>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</si>
  <si>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</si>
  <si>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Yes</t>
  </si>
  <si>
    <t>IBM</t>
  </si>
  <si>
    <t>Allocation2</t>
  </si>
  <si>
    <t>CreateStageOrder</t>
  </si>
  <si>
    <t>PricingInput</t>
  </si>
  <si>
    <t>Blotter</t>
  </si>
  <si>
    <t>MultiTradingTicketFromBlotter</t>
  </si>
  <si>
    <t>M</t>
  </si>
  <si>
    <t>Equity</t>
  </si>
  <si>
    <t>New</t>
  </si>
  <si>
    <t>MultiTradingTicket</t>
  </si>
  <si>
    <t>SelectTradeUsingMTT</t>
  </si>
  <si>
    <t>EditTradeUsingMTT</t>
  </si>
  <si>
    <t>SendOrderUsingMTT</t>
  </si>
  <si>
    <t>VerifyOrder</t>
  </si>
  <si>
    <t>USD</t>
  </si>
  <si>
    <t>NewMF</t>
  </si>
  <si>
    <t>Filled</t>
  </si>
  <si>
    <t>NewMF1</t>
  </si>
  <si>
    <t>Allocation</t>
  </si>
  <si>
    <t>GetDataAllocation</t>
  </si>
  <si>
    <t>Current</t>
  </si>
  <si>
    <t>CheckAllocatedGroups</t>
  </si>
  <si>
    <t>Manual</t>
  </si>
  <si>
    <t>MS</t>
  </si>
  <si>
    <t>PortfolioManagement</t>
  </si>
  <si>
    <t>CheckPortfolioManagement</t>
  </si>
  <si>
    <t>Long</t>
  </si>
  <si>
    <t>Strategy Unallocated</t>
  </si>
  <si>
    <t>US</t>
  </si>
  <si>
    <t>NASDAQ</t>
  </si>
  <si>
    <t>jpearce</t>
  </si>
  <si>
    <t>NYSE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</si>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</sst>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6">
        <v>100.0</v>
      </c>
      <c r="AS6" s="36" t="s">
        <v>22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20</v>
      </c>
      <c r="D7" s="34">
        <v>1050.0</v>
      </c>
      <c r="E7" s="32"/>
      <c r="F7" s="32" t="s">
        <v>24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6">
        <v>100.0</v>
      </c>
      <c r="AS7" s="36" t="s">
        <v>22</v>
      </c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4">
        <v>0.0</v>
      </c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20</v>
      </c>
      <c r="D7" s="34">
        <v>1000.0</v>
      </c>
      <c r="E7" s="34">
        <v>0.0</v>
      </c>
      <c r="F7" s="32" t="s">
        <v>24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17999.0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20</v>
      </c>
      <c r="D7" s="34">
        <v>92951.0</v>
      </c>
      <c r="E7" s="32"/>
      <c r="F7" s="32" t="s">
        <v>24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7">
        <v>5000000.0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7">
        <v>1.0</v>
      </c>
      <c r="AE6" s="32"/>
      <c r="AF6" s="32" t="s">
        <v>29</v>
      </c>
      <c r="AG6" s="32"/>
      <c r="AH6" s="32" t="s">
        <v>30</v>
      </c>
      <c r="AI6" s="32" t="s">
        <v>19</v>
      </c>
      <c r="AJ6" s="32" t="s">
        <v>20</v>
      </c>
      <c r="AK6" s="32" t="s">
        <v>31</v>
      </c>
      <c r="AL6" s="37">
        <v>17999.0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23</v>
      </c>
      <c r="AJ7" s="32" t="s">
        <v>20</v>
      </c>
      <c r="AK7" s="32" t="s">
        <v>31</v>
      </c>
      <c r="AL7" s="37">
        <v>92951.0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17999.0</v>
      </c>
      <c r="E6" s="32"/>
      <c r="F6" s="32" t="s">
        <v>21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17999.0</v>
      </c>
      <c r="E6" s="32"/>
      <c r="F6" s="32" t="s">
        <v>21</v>
      </c>
      <c r="G6" s="32"/>
      <c r="H6" s="32"/>
      <c r="I6" s="32"/>
      <c r="J6" s="37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20</v>
      </c>
      <c r="D6" s="35">
        <v>92951.0</v>
      </c>
      <c r="E6" s="32"/>
      <c r="F6" s="32" t="s">
        <v>24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20</v>
      </c>
      <c r="D6" s="35">
        <v>92951.0</v>
      </c>
      <c r="E6" s="32"/>
      <c r="F6" s="32" t="s">
        <v>24</v>
      </c>
      <c r="G6" s="32"/>
      <c r="H6" s="32"/>
      <c r="I6" s="32"/>
      <c r="J6" s="37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 t="str">
        <f>IFERROR(__xludf.DUMMYFUNCTION("""COMPUTED_VALUE"""),"AllowTrade")</f>
        <v>AllowTrade</v>
      </c>
      <c r="AQ5" s="30" t="str">
        <f>IFERROR(__xludf.DUMMYFUNCTION("""COMPUTED_VALUE"""),"PendingApprovalPopup")</f>
        <v>PendingApprovalPopup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17999.0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20</v>
      </c>
      <c r="D7" s="34">
        <v>92951.0</v>
      </c>
      <c r="E7" s="32"/>
      <c r="F7" s="32" t="s">
        <v>24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U6" s="32" t="s">
        <v>37</v>
      </c>
      <c r="V6" s="32"/>
      <c r="W6" s="32"/>
      <c r="X6" s="32"/>
      <c r="Y6" s="32"/>
      <c r="Z6" s="32"/>
      <c r="AA6" s="32" t="s">
        <v>38</v>
      </c>
      <c r="AD6" s="37">
        <v>1.0</v>
      </c>
      <c r="AE6" s="32"/>
      <c r="AF6" s="32" t="s">
        <v>29</v>
      </c>
      <c r="AH6" s="32" t="s">
        <v>30</v>
      </c>
      <c r="AI6" s="32" t="s">
        <v>19</v>
      </c>
      <c r="AJ6" s="32" t="s">
        <v>20</v>
      </c>
      <c r="AK6" s="32" t="s">
        <v>39</v>
      </c>
      <c r="AL6" s="37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32" t="s">
        <v>37</v>
      </c>
      <c r="V7" s="32"/>
      <c r="W7" s="32"/>
      <c r="X7" s="32"/>
      <c r="Y7" s="32"/>
      <c r="Z7" s="32"/>
      <c r="AA7" s="32" t="s">
        <v>38</v>
      </c>
      <c r="AD7" s="37">
        <v>1.0</v>
      </c>
      <c r="AE7" s="32"/>
      <c r="AF7" s="32" t="s">
        <v>29</v>
      </c>
      <c r="AH7" s="32" t="s">
        <v>30</v>
      </c>
      <c r="AI7" s="32" t="s">
        <v>19</v>
      </c>
      <c r="AJ7" s="32" t="s">
        <v>20</v>
      </c>
      <c r="AK7" s="32" t="s">
        <v>31</v>
      </c>
      <c r="AL7" s="37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U8" s="32" t="s">
        <v>37</v>
      </c>
      <c r="V8" s="32"/>
      <c r="W8" s="32"/>
      <c r="X8" s="32"/>
      <c r="Y8" s="32"/>
      <c r="Z8" s="32"/>
      <c r="AA8" s="32" t="s">
        <v>40</v>
      </c>
      <c r="AD8" s="37">
        <v>1.0</v>
      </c>
      <c r="AE8" s="32"/>
      <c r="AF8" s="32" t="s">
        <v>29</v>
      </c>
      <c r="AH8" s="32" t="s">
        <v>30</v>
      </c>
      <c r="AI8" s="32" t="s">
        <v>23</v>
      </c>
      <c r="AJ8" s="32" t="s">
        <v>20</v>
      </c>
      <c r="AK8" s="32" t="s">
        <v>31</v>
      </c>
      <c r="AL8" s="37">
        <v>1000.0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U9" s="32" t="s">
        <v>37</v>
      </c>
      <c r="V9" s="32"/>
      <c r="W9" s="32"/>
      <c r="X9" s="32"/>
      <c r="Y9" s="32"/>
      <c r="Z9" s="32"/>
      <c r="AA9" s="32" t="s">
        <v>40</v>
      </c>
      <c r="AD9" s="37">
        <v>1.0</v>
      </c>
      <c r="AE9" s="32"/>
      <c r="AF9" s="32" t="s">
        <v>29</v>
      </c>
      <c r="AH9" s="32" t="s">
        <v>30</v>
      </c>
      <c r="AI9" s="32" t="s">
        <v>23</v>
      </c>
      <c r="AJ9" s="32" t="s">
        <v>20</v>
      </c>
      <c r="AK9" s="32" t="s">
        <v>39</v>
      </c>
      <c r="AL9" s="37">
        <v>1050.0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U10" s="32" t="s">
        <v>37</v>
      </c>
      <c r="V10" s="32"/>
      <c r="W10" s="32"/>
      <c r="X10" s="32"/>
      <c r="Y10" s="32"/>
      <c r="Z10" s="32"/>
      <c r="AA10" s="32" t="s">
        <v>38</v>
      </c>
      <c r="AD10" s="37">
        <v>1.0</v>
      </c>
      <c r="AE10" s="32"/>
      <c r="AF10" s="32" t="s">
        <v>29</v>
      </c>
      <c r="AH10" s="32" t="s">
        <v>30</v>
      </c>
      <c r="AI10" s="32" t="s">
        <v>19</v>
      </c>
      <c r="AJ10" s="32" t="s">
        <v>20</v>
      </c>
      <c r="AK10" s="32" t="s">
        <v>39</v>
      </c>
      <c r="AL10" s="37">
        <v>17999.0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U11" s="32" t="s">
        <v>37</v>
      </c>
      <c r="V11" s="32"/>
      <c r="W11" s="32"/>
      <c r="X11" s="32"/>
      <c r="Y11" s="32"/>
      <c r="Z11" s="32"/>
      <c r="AA11" s="32" t="s">
        <v>40</v>
      </c>
      <c r="AD11" s="37">
        <v>1.0</v>
      </c>
      <c r="AE11" s="32"/>
      <c r="AF11" s="32" t="s">
        <v>29</v>
      </c>
      <c r="AH11" s="32" t="s">
        <v>30</v>
      </c>
      <c r="AI11" s="32" t="s">
        <v>23</v>
      </c>
      <c r="AJ11" s="32" t="s">
        <v>20</v>
      </c>
      <c r="AK11" s="32" t="s">
        <v>39</v>
      </c>
      <c r="AL11" s="37">
        <v>92951.0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9">
        <v>1000.0</v>
      </c>
      <c r="F6" s="13" t="s">
        <v>45</v>
      </c>
      <c r="G6" s="13" t="s">
        <v>30</v>
      </c>
      <c r="H6" s="8"/>
      <c r="I6" s="8"/>
      <c r="J6" s="8"/>
      <c r="K6" s="8"/>
      <c r="L6" s="8"/>
      <c r="M6" s="8"/>
      <c r="N6" s="8"/>
      <c r="O6" s="13" t="s">
        <v>46</v>
      </c>
      <c r="AT6" s="40">
        <v>1014.0006</v>
      </c>
      <c r="AU6" s="40">
        <v>1014.0006</v>
      </c>
      <c r="BE6" s="40">
        <v>1000.0</v>
      </c>
      <c r="BF6" s="40">
        <v>1000.0</v>
      </c>
      <c r="BJ6" s="40">
        <v>1000.0</v>
      </c>
      <c r="BK6" s="9">
        <v>0.0</v>
      </c>
      <c r="BM6" s="9" t="s">
        <v>37</v>
      </c>
      <c r="BO6" s="9" t="s">
        <v>20</v>
      </c>
      <c r="BT6" s="9" t="s">
        <v>19</v>
      </c>
    </row>
    <row r="7" ht="15.75" customHeight="1">
      <c r="A7" s="8"/>
      <c r="B7" s="13" t="s">
        <v>24</v>
      </c>
      <c r="C7" s="8"/>
      <c r="D7" s="8"/>
      <c r="E7" s="39">
        <v>1050.0</v>
      </c>
      <c r="F7" s="13" t="s">
        <v>45</v>
      </c>
      <c r="G7" s="13" t="s">
        <v>30</v>
      </c>
      <c r="H7" s="8"/>
      <c r="I7" s="8"/>
      <c r="J7" s="8"/>
      <c r="K7" s="8"/>
      <c r="L7" s="8"/>
      <c r="M7" s="8"/>
      <c r="N7" s="8"/>
      <c r="O7" s="13" t="s">
        <v>46</v>
      </c>
      <c r="AT7" s="40">
        <v>1060.18375</v>
      </c>
      <c r="AU7" s="40">
        <v>1060.18375</v>
      </c>
      <c r="BE7" s="40">
        <v>1050.0</v>
      </c>
      <c r="BF7" s="40">
        <v>1050.0</v>
      </c>
      <c r="BJ7" s="40">
        <v>1050.0</v>
      </c>
      <c r="BK7" s="9">
        <v>0.0</v>
      </c>
      <c r="BM7" s="9" t="s">
        <v>37</v>
      </c>
      <c r="BO7" s="9" t="s">
        <v>20</v>
      </c>
      <c r="BT7" s="9" t="s">
        <v>23</v>
      </c>
    </row>
    <row r="8" ht="15.75" customHeight="1">
      <c r="A8" s="8"/>
      <c r="B8" s="13" t="s">
        <v>24</v>
      </c>
      <c r="C8" s="8"/>
      <c r="D8" s="8"/>
      <c r="E8" s="39">
        <v>92951.0</v>
      </c>
      <c r="F8" s="13" t="s">
        <v>45</v>
      </c>
      <c r="G8" s="13" t="s">
        <v>30</v>
      </c>
      <c r="H8" s="8"/>
      <c r="I8" s="8"/>
      <c r="J8" s="8"/>
      <c r="K8" s="8"/>
      <c r="L8" s="8"/>
      <c r="M8" s="8"/>
      <c r="N8" s="8"/>
      <c r="O8" s="13" t="s">
        <v>46</v>
      </c>
      <c r="AT8" s="40">
        <v>93805.266425</v>
      </c>
      <c r="AU8" s="40">
        <v>93805.266425</v>
      </c>
      <c r="BE8" s="40">
        <v>92951.0</v>
      </c>
      <c r="BF8" s="40">
        <v>92951.0</v>
      </c>
      <c r="BJ8" s="40">
        <v>92951.0</v>
      </c>
      <c r="BK8" s="9">
        <v>0.0</v>
      </c>
      <c r="BM8" s="9" t="s">
        <v>37</v>
      </c>
      <c r="BO8" s="9" t="s">
        <v>20</v>
      </c>
      <c r="BT8" s="9" t="s">
        <v>23</v>
      </c>
    </row>
    <row r="9" ht="15.75" customHeight="1">
      <c r="A9" s="8"/>
      <c r="B9" s="13" t="s">
        <v>21</v>
      </c>
      <c r="C9" s="8"/>
      <c r="D9" s="8"/>
      <c r="E9" s="39">
        <v>17999.0</v>
      </c>
      <c r="F9" s="13" t="s">
        <v>45</v>
      </c>
      <c r="G9" s="13" t="s">
        <v>30</v>
      </c>
      <c r="H9" s="8"/>
      <c r="I9" s="8"/>
      <c r="J9" s="8"/>
      <c r="K9" s="8"/>
      <c r="L9" s="8"/>
      <c r="M9" s="8"/>
      <c r="N9" s="8"/>
      <c r="O9" s="13" t="s">
        <v>46</v>
      </c>
      <c r="AT9" s="40">
        <v>18013.0101</v>
      </c>
      <c r="AU9" s="40">
        <v>18013.0101</v>
      </c>
      <c r="BE9" s="40">
        <v>17999.0</v>
      </c>
      <c r="BF9" s="40">
        <v>17999.0</v>
      </c>
      <c r="BJ9" s="40">
        <v>17999.0</v>
      </c>
      <c r="BK9" s="9">
        <v>0.0</v>
      </c>
      <c r="BM9" s="9" t="s">
        <v>37</v>
      </c>
      <c r="BO9" s="9" t="s">
        <v>20</v>
      </c>
      <c r="BT9" s="9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19</v>
      </c>
      <c r="D6" s="41">
        <v>1000.0</v>
      </c>
      <c r="E6" s="13" t="s">
        <v>21</v>
      </c>
      <c r="F6" s="13" t="s">
        <v>38</v>
      </c>
      <c r="H6" s="13" t="s">
        <v>49</v>
      </c>
      <c r="I6" s="13"/>
      <c r="J6" s="13"/>
      <c r="K6" s="13"/>
      <c r="L6" s="8"/>
      <c r="M6" s="8"/>
      <c r="N6" s="8"/>
      <c r="O6" s="8"/>
      <c r="S6" s="9" t="s">
        <v>50</v>
      </c>
      <c r="T6" s="9" t="s">
        <v>30</v>
      </c>
      <c r="U6" s="9" t="s">
        <v>51</v>
      </c>
      <c r="V6" s="9" t="s">
        <v>52</v>
      </c>
      <c r="W6" s="9" t="s">
        <v>37</v>
      </c>
      <c r="X6" s="9">
        <v>1.0</v>
      </c>
      <c r="Y6" s="9">
        <v>1.0</v>
      </c>
      <c r="AL6" s="9">
        <v>1.0</v>
      </c>
      <c r="AM6" s="9">
        <v>1.0</v>
      </c>
      <c r="AN6" s="9" t="s">
        <v>20</v>
      </c>
      <c r="AP6" s="9" t="s">
        <v>49</v>
      </c>
      <c r="AQ6" s="9" t="s">
        <v>19</v>
      </c>
      <c r="BQ6" s="9" t="s">
        <v>53</v>
      </c>
      <c r="BR6" s="9" t="s">
        <v>46</v>
      </c>
      <c r="CE6" s="42"/>
      <c r="ES6" s="42">
        <v>-113000.0</v>
      </c>
      <c r="EV6" s="9" t="s">
        <v>49</v>
      </c>
      <c r="EW6" s="42">
        <v>-18999.0</v>
      </c>
      <c r="FH6" s="42">
        <v>18999.0</v>
      </c>
    </row>
    <row r="7" ht="15.75" customHeight="1">
      <c r="A7" s="8"/>
      <c r="B7" s="8"/>
      <c r="C7" s="13" t="s">
        <v>19</v>
      </c>
      <c r="D7" s="41">
        <v>17999.0</v>
      </c>
      <c r="E7" s="13" t="s">
        <v>21</v>
      </c>
      <c r="F7" s="13" t="s">
        <v>38</v>
      </c>
      <c r="H7" s="13" t="s">
        <v>49</v>
      </c>
      <c r="I7" s="13"/>
      <c r="J7" s="13"/>
      <c r="K7" s="13"/>
      <c r="L7" s="8"/>
      <c r="M7" s="8"/>
      <c r="N7" s="8"/>
      <c r="O7" s="8"/>
      <c r="S7" s="9" t="s">
        <v>50</v>
      </c>
      <c r="T7" s="9" t="s">
        <v>30</v>
      </c>
      <c r="U7" s="9" t="s">
        <v>51</v>
      </c>
      <c r="V7" s="9" t="s">
        <v>52</v>
      </c>
      <c r="W7" s="9" t="s">
        <v>37</v>
      </c>
      <c r="X7" s="9">
        <v>1.0</v>
      </c>
      <c r="Y7" s="9">
        <v>1.0</v>
      </c>
      <c r="AL7" s="9">
        <v>1.0</v>
      </c>
      <c r="AM7" s="9">
        <v>1.0</v>
      </c>
      <c r="AN7" s="9" t="s">
        <v>20</v>
      </c>
      <c r="AP7" s="9" t="s">
        <v>49</v>
      </c>
      <c r="AQ7" s="9" t="s">
        <v>19</v>
      </c>
      <c r="BQ7" s="9" t="s">
        <v>53</v>
      </c>
      <c r="BR7" s="9" t="s">
        <v>46</v>
      </c>
      <c r="CE7" s="42"/>
      <c r="ES7" s="42">
        <v>-113000.0</v>
      </c>
      <c r="EV7" s="9" t="s">
        <v>49</v>
      </c>
      <c r="EW7" s="42">
        <v>-18999.0</v>
      </c>
      <c r="FH7" s="42">
        <v>18999.0</v>
      </c>
    </row>
    <row r="8" ht="15.75" customHeight="1">
      <c r="A8" s="8"/>
      <c r="B8" s="8"/>
      <c r="C8" s="13" t="s">
        <v>23</v>
      </c>
      <c r="D8" s="41">
        <v>1050.0</v>
      </c>
      <c r="E8" s="13" t="s">
        <v>24</v>
      </c>
      <c r="F8" s="13" t="s">
        <v>40</v>
      </c>
      <c r="H8" s="13" t="s">
        <v>49</v>
      </c>
      <c r="I8" s="13"/>
      <c r="J8" s="13"/>
      <c r="K8" s="13"/>
      <c r="L8" s="8"/>
      <c r="M8" s="8"/>
      <c r="N8" s="8"/>
      <c r="O8" s="8"/>
      <c r="S8" s="9" t="s">
        <v>50</v>
      </c>
      <c r="T8" s="9" t="s">
        <v>30</v>
      </c>
      <c r="U8" s="9" t="s">
        <v>51</v>
      </c>
      <c r="V8" s="9" t="s">
        <v>54</v>
      </c>
      <c r="W8" s="9" t="s">
        <v>37</v>
      </c>
      <c r="X8" s="9">
        <v>1.0</v>
      </c>
      <c r="Y8" s="9">
        <v>1.0</v>
      </c>
      <c r="AL8" s="9">
        <v>1.0</v>
      </c>
      <c r="AM8" s="9">
        <v>1.0</v>
      </c>
      <c r="AN8" s="9" t="s">
        <v>20</v>
      </c>
      <c r="AP8" s="9" t="s">
        <v>49</v>
      </c>
      <c r="AQ8" s="9" t="s">
        <v>23</v>
      </c>
      <c r="BQ8" s="9" t="s">
        <v>53</v>
      </c>
      <c r="BR8" s="9" t="s">
        <v>46</v>
      </c>
      <c r="CE8" s="42"/>
      <c r="ES8" s="42">
        <v>-113000.0</v>
      </c>
      <c r="EV8" s="9" t="s">
        <v>49</v>
      </c>
      <c r="EW8" s="42">
        <v>-94001.0</v>
      </c>
      <c r="FH8" s="42">
        <v>94001.0</v>
      </c>
    </row>
    <row r="9" ht="15.75" customHeight="1">
      <c r="A9" s="8"/>
      <c r="B9" s="8"/>
      <c r="C9" s="13" t="s">
        <v>23</v>
      </c>
      <c r="D9" s="41">
        <v>92951.0</v>
      </c>
      <c r="E9" s="13" t="s">
        <v>24</v>
      </c>
      <c r="F9" s="13" t="s">
        <v>40</v>
      </c>
      <c r="H9" s="13" t="s">
        <v>49</v>
      </c>
      <c r="I9" s="13"/>
      <c r="J9" s="13"/>
      <c r="K9" s="13"/>
      <c r="L9" s="8"/>
      <c r="M9" s="8"/>
      <c r="N9" s="8"/>
      <c r="O9" s="8"/>
      <c r="S9" s="9" t="s">
        <v>50</v>
      </c>
      <c r="T9" s="9" t="s">
        <v>30</v>
      </c>
      <c r="U9" s="9" t="s">
        <v>51</v>
      </c>
      <c r="V9" s="9" t="s">
        <v>54</v>
      </c>
      <c r="W9" s="9" t="s">
        <v>37</v>
      </c>
      <c r="X9" s="9">
        <v>1.0</v>
      </c>
      <c r="Y9" s="9">
        <v>1.0</v>
      </c>
      <c r="AL9" s="9">
        <v>1.0</v>
      </c>
      <c r="AM9" s="9">
        <v>1.0</v>
      </c>
      <c r="AN9" s="9" t="s">
        <v>20</v>
      </c>
      <c r="AP9" s="9" t="s">
        <v>49</v>
      </c>
      <c r="AQ9" s="9" t="s">
        <v>23</v>
      </c>
      <c r="BQ9" s="9" t="s">
        <v>53</v>
      </c>
      <c r="BR9" s="9" t="s">
        <v>46</v>
      </c>
      <c r="CE9" s="42"/>
      <c r="ES9" s="42">
        <v>-113000.0</v>
      </c>
      <c r="EV9" s="9" t="s">
        <v>49</v>
      </c>
      <c r="EW9" s="42">
        <v>-94001.0</v>
      </c>
      <c r="FH9" s="42">
        <v>94001.0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8"/>
      <c r="F6" s="8"/>
      <c r="G6" s="13">
        <v>17999.0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8"/>
      <c r="F6" s="8"/>
      <c r="G6" s="13">
        <v>17999.0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17999.0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8"/>
      <c r="F6" s="8"/>
      <c r="G6" s="13">
        <v>92951.0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8"/>
      <c r="F6" s="8"/>
      <c r="G6" s="13">
        <v>92951.0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92951.0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