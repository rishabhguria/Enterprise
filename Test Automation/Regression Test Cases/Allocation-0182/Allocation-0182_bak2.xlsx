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CreateDoneAwayOrder" sheetId="5" r:id="rId7"/>
    <sheet state="visible" name="GetDataAllocation" sheetId="6" r:id="rId8"/>
    <sheet state="visible" name="SelectAllocatedGroup" sheetId="7" r:id="rId9"/>
    <sheet state="visible" name="TradeAttributeBulkChangeGroups" sheetId="8" r:id="rId10"/>
    <sheet state="visible" name="VerifyOrder" sheetId="9" r:id="rId11"/>
    <sheet state="visible" name="VerifyWorkingSubs" sheetId="10" r:id="rId12"/>
    <sheet state="visible" name="CheckPortfolioManagement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<sst xmlns="http://schemas.openxmlformats.org/spreadsheetml/2006/main" count="453" uniqueCount="57">
  <si>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</si>
  <si>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</si>
  <si>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</si>
  <si>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</si>
  <si>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</si>
  <si>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</si>
  <si>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</si>
  <si>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</si>
  <si>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</si>
  <si>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</si>
  <si>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</si>
  <si>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</si>
  <si>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</si>
  <si>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</si>
  <si>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</si>
  <si>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</si>
  <si>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</si>
  <si>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TA1,TA2,TA3,TA4,TA5</t>
  </si>
  <si>
    <t>TradeAttribute2</t>
  </si>
  <si>
    <t>TradeAttribute3</t>
  </si>
  <si>
    <t>TradeAttribute4</t>
  </si>
  <si>
    <t>TradeAttribute5</t>
  </si>
  <si>
    <t>TradeAttribute6</t>
  </si>
  <si>
    <t>TradingTicket</t>
  </si>
  <si>
    <t>CreateDoneAwayOrder</t>
  </si>
  <si>
    <t>MSFT</t>
  </si>
  <si>
    <t>Buy</t>
  </si>
  <si>
    <t>Allocation1</t>
  </si>
  <si>
    <t>TA1</t>
  </si>
  <si>
    <t>AAPL</t>
  </si>
  <si>
    <t>TA2</t>
  </si>
  <si>
    <t>IBM</t>
  </si>
  <si>
    <t>TA3</t>
  </si>
  <si>
    <t>HCI</t>
  </si>
  <si>
    <t>TA4</t>
  </si>
  <si>
    <t>HFC</t>
  </si>
  <si>
    <t>TA5</t>
  </si>
  <si>
    <t>GEN</t>
  </si>
  <si>
    <t>GetDataAllocation</t>
  </si>
  <si>
    <t>Current</t>
  </si>
  <si>
    <t>SelectAllocatedGroup</t>
  </si>
  <si>
    <t>TradeAttributeBulkChangeGroups</t>
  </si>
  <si>
    <t>Blotter</t>
  </si>
  <si>
    <t>VerifyOrder</t>
  </si>
  <si>
    <t>Equity</t>
  </si>
  <si>
    <t>Filled</t>
  </si>
  <si>
    <t>MS</t>
  </si>
  <si>
    <t>Market</t>
  </si>
  <si>
    <t>VerifyWorkingSubs</t>
  </si>
  <si>
    <t>PortfolioManagement</t>
  </si>
  <si>
    <t>CheckPortfolioManagement</t>
  </si>
  <si>
    <t>Long</t>
  </si>
  <si>
    <t>US</t>
  </si>
  <si>
    <t>USD</t>
  </si>
  <si>
    <t>CheckAllocatedGroups</t>
  </si>
  <si>
    <t>Open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</si>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</sst>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IFERROR(__xludf.DUMMYFUNCTION("""COMPUTED_VALUE"""),"AttributeValue")</f>
        <v>AttributeValue</v>
      </c>
      <c r="C5" s="27" t="str">
        <f>IFERROR(__xludf.DUMMYFUNCTION("""COMPUTED_VALUE"""),"AttributeName")</f>
        <v>AttributeName</v>
      </c>
      <c r="D5" s="27" t="str">
        <f>IFERROR(__xludf.DUMMYFUNCTION("""COMPUTED_VALUE"""),"KeepRecord")</f>
        <v>KeepRecord</v>
      </c>
      <c r="E5" s="27" t="str">
        <f>IFERROR(__xludf.DUMMYFUNCTION("""COMPUTED_VALUE"""),"DefaultValues")</f>
        <v>DefaultValues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b">
        <v>1</v>
      </c>
      <c r="E6" s="11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18</v>
      </c>
      <c r="C7" s="8"/>
      <c r="D7" s="11" t="b">
        <v>1</v>
      </c>
      <c r="E7" s="11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19</v>
      </c>
      <c r="C8" s="8"/>
      <c r="D8" s="11" t="b">
        <v>1</v>
      </c>
      <c r="E8" s="11" t="s">
        <v>17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20</v>
      </c>
      <c r="C9" s="8"/>
      <c r="D9" s="11" t="b">
        <v>1</v>
      </c>
      <c r="E9" s="11" t="s">
        <v>17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21</v>
      </c>
      <c r="C10" s="8"/>
      <c r="D10" s="11" t="b">
        <v>1</v>
      </c>
      <c r="E10" s="11" t="s">
        <v>17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1" t="s">
        <v>22</v>
      </c>
      <c r="C11" s="8"/>
      <c r="D11" s="11" t="b">
        <v>1</v>
      </c>
      <c r="E11" s="11" t="s">
        <v>17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SetTradeAttributePreferences!$4:$4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>
        <v>10.0</v>
      </c>
      <c r="E6" s="11">
        <v>10.0</v>
      </c>
      <c r="F6" s="11" t="s">
        <v>27</v>
      </c>
      <c r="G6" s="8"/>
      <c r="H6" s="8"/>
      <c r="I6" s="8"/>
      <c r="J6" s="11">
        <v>100.0</v>
      </c>
      <c r="K6" s="8"/>
      <c r="L6" s="8"/>
      <c r="M6" s="8"/>
      <c r="N6" s="8"/>
      <c r="O6" s="8"/>
      <c r="V6" s="9" t="s">
        <v>28</v>
      </c>
    </row>
    <row r="7" ht="15.75" customHeight="1">
      <c r="A7" s="8"/>
      <c r="B7" s="11" t="s">
        <v>29</v>
      </c>
      <c r="C7" s="11" t="s">
        <v>26</v>
      </c>
      <c r="D7" s="11">
        <v>15.0</v>
      </c>
      <c r="E7" s="11">
        <v>15.0</v>
      </c>
      <c r="F7" s="11" t="s">
        <v>27</v>
      </c>
      <c r="G7" s="8"/>
      <c r="H7" s="8"/>
      <c r="I7" s="8"/>
      <c r="J7" s="11">
        <v>200.0</v>
      </c>
      <c r="K7" s="8"/>
      <c r="L7" s="8"/>
      <c r="M7" s="8"/>
      <c r="N7" s="8"/>
      <c r="O7" s="8"/>
      <c r="W7" s="9" t="s">
        <v>30</v>
      </c>
    </row>
    <row r="8" ht="15.75" customHeight="1">
      <c r="A8" s="8"/>
      <c r="B8" s="11" t="s">
        <v>31</v>
      </c>
      <c r="C8" s="11" t="s">
        <v>26</v>
      </c>
      <c r="D8" s="11">
        <v>20.0</v>
      </c>
      <c r="E8" s="11">
        <v>20.0</v>
      </c>
      <c r="F8" s="11" t="s">
        <v>27</v>
      </c>
      <c r="G8" s="8"/>
      <c r="H8" s="8"/>
      <c r="I8" s="8"/>
      <c r="J8" s="11">
        <v>100.0</v>
      </c>
      <c r="K8" s="8"/>
      <c r="L8" s="8"/>
      <c r="M8" s="8"/>
      <c r="N8" s="8"/>
      <c r="O8" s="8"/>
      <c r="X8" s="9" t="s">
        <v>32</v>
      </c>
    </row>
    <row r="9" ht="15.75" customHeight="1">
      <c r="A9" s="8"/>
      <c r="B9" s="11" t="s">
        <v>33</v>
      </c>
      <c r="C9" s="11" t="s">
        <v>26</v>
      </c>
      <c r="D9" s="11">
        <v>25.0</v>
      </c>
      <c r="E9" s="11">
        <v>25.0</v>
      </c>
      <c r="F9" s="11" t="s">
        <v>27</v>
      </c>
      <c r="G9" s="8"/>
      <c r="H9" s="8"/>
      <c r="I9" s="8"/>
      <c r="J9" s="11">
        <v>200.0</v>
      </c>
      <c r="K9" s="8"/>
      <c r="L9" s="8"/>
      <c r="M9" s="8"/>
      <c r="N9" s="8"/>
      <c r="O9" s="8"/>
      <c r="Y9" s="9" t="s">
        <v>34</v>
      </c>
    </row>
    <row r="10" ht="15.75" customHeight="1">
      <c r="A10" s="8"/>
      <c r="B10" s="11" t="s">
        <v>35</v>
      </c>
      <c r="C10" s="11" t="s">
        <v>26</v>
      </c>
      <c r="D10" s="11">
        <v>30.0</v>
      </c>
      <c r="E10" s="11">
        <v>30.0</v>
      </c>
      <c r="F10" s="11" t="s">
        <v>27</v>
      </c>
      <c r="G10" s="8"/>
      <c r="H10" s="8"/>
      <c r="I10" s="8"/>
      <c r="J10" s="11">
        <v>100.0</v>
      </c>
      <c r="K10" s="8"/>
      <c r="L10" s="8"/>
      <c r="M10" s="8"/>
      <c r="N10" s="8"/>
      <c r="O10" s="8"/>
      <c r="Z10" s="9" t="s">
        <v>36</v>
      </c>
    </row>
    <row r="11" ht="15.75" customHeight="1">
      <c r="A11" s="8"/>
      <c r="B11" s="11" t="s">
        <v>37</v>
      </c>
      <c r="C11" s="11" t="s">
        <v>26</v>
      </c>
      <c r="D11" s="11">
        <v>35.0</v>
      </c>
      <c r="E11" s="11">
        <v>35.0</v>
      </c>
      <c r="F11" s="11" t="s">
        <v>27</v>
      </c>
      <c r="G11" s="8"/>
      <c r="H11" s="8"/>
      <c r="I11" s="8"/>
      <c r="J11" s="11">
        <v>200.0</v>
      </c>
      <c r="K11" s="8"/>
      <c r="L11" s="8"/>
      <c r="M11" s="8"/>
      <c r="N11" s="8"/>
      <c r="O11" s="8"/>
      <c r="AA11" s="9" t="s">
        <v>28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>
        <v>10.0</v>
      </c>
      <c r="E6" s="11" t="s">
        <v>27</v>
      </c>
      <c r="F6" s="11" t="s">
        <v>26</v>
      </c>
      <c r="G6" s="8"/>
      <c r="H6" s="8"/>
      <c r="I6" s="8"/>
      <c r="J6" s="11" t="s">
        <v>28</v>
      </c>
      <c r="K6" s="8"/>
      <c r="L6" s="8"/>
      <c r="M6" s="8"/>
      <c r="N6" s="8"/>
      <c r="O6" s="8"/>
    </row>
    <row r="7" ht="15.75" customHeight="1">
      <c r="A7" s="8"/>
      <c r="B7" s="11" t="s">
        <v>29</v>
      </c>
      <c r="C7" s="11">
        <v>15.0</v>
      </c>
      <c r="E7" s="11" t="s">
        <v>27</v>
      </c>
      <c r="F7" s="11" t="s">
        <v>26</v>
      </c>
      <c r="G7" s="8"/>
      <c r="H7" s="8"/>
      <c r="I7" s="8"/>
      <c r="J7" s="8"/>
      <c r="K7" s="8"/>
      <c r="L7" s="11" t="s">
        <v>30</v>
      </c>
      <c r="M7" s="8"/>
      <c r="N7" s="8"/>
      <c r="O7" s="8"/>
    </row>
    <row r="8" ht="15.75" customHeight="1">
      <c r="A8" s="8"/>
      <c r="B8" s="11" t="s">
        <v>31</v>
      </c>
      <c r="C8" s="11">
        <v>20.0</v>
      </c>
      <c r="E8" s="11" t="s">
        <v>27</v>
      </c>
      <c r="F8" s="11" t="s">
        <v>26</v>
      </c>
      <c r="G8" s="8"/>
      <c r="H8" s="8"/>
      <c r="I8" s="8"/>
      <c r="J8" s="8"/>
      <c r="K8" s="8"/>
      <c r="L8" s="8"/>
      <c r="M8" s="8"/>
      <c r="N8" s="8"/>
      <c r="O8" s="8"/>
      <c r="AL8" s="9" t="s">
        <v>32</v>
      </c>
    </row>
    <row r="9" ht="15.75" customHeight="1">
      <c r="A9" s="8"/>
      <c r="B9" s="11" t="s">
        <v>33</v>
      </c>
      <c r="C9" s="11">
        <v>25.0</v>
      </c>
      <c r="E9" s="11" t="s">
        <v>27</v>
      </c>
      <c r="F9" s="11" t="s">
        <v>26</v>
      </c>
      <c r="G9" s="8"/>
      <c r="H9" s="8"/>
      <c r="I9" s="8"/>
      <c r="J9" s="8"/>
      <c r="K9" s="8"/>
      <c r="L9" s="8"/>
      <c r="M9" s="8"/>
      <c r="N9" s="8"/>
      <c r="O9" s="8"/>
      <c r="AM9" s="9" t="s">
        <v>34</v>
      </c>
    </row>
    <row r="10" ht="15.75" customHeight="1">
      <c r="A10" s="8"/>
      <c r="B10" s="11" t="s">
        <v>35</v>
      </c>
      <c r="C10" s="11">
        <v>30.0</v>
      </c>
      <c r="E10" s="11" t="s">
        <v>27</v>
      </c>
      <c r="F10" s="11" t="s">
        <v>26</v>
      </c>
      <c r="G10" s="8"/>
      <c r="H10" s="8"/>
      <c r="I10" s="8"/>
      <c r="J10" s="8"/>
      <c r="K10" s="8"/>
      <c r="L10" s="8"/>
      <c r="M10" s="8"/>
      <c r="N10" s="8"/>
      <c r="O10" s="8"/>
      <c r="AN10" s="9" t="s">
        <v>36</v>
      </c>
    </row>
    <row r="11" ht="15.75" customHeight="1">
      <c r="A11" s="8"/>
      <c r="B11" s="11" t="s">
        <v>37</v>
      </c>
      <c r="C11" s="11">
        <v>35.0</v>
      </c>
      <c r="E11" s="11" t="s">
        <v>27</v>
      </c>
      <c r="F11" s="11" t="s">
        <v>26</v>
      </c>
      <c r="G11" s="8"/>
      <c r="H11" s="8"/>
      <c r="I11" s="8"/>
      <c r="J11" s="8"/>
      <c r="K11" s="8"/>
      <c r="L11" s="8"/>
      <c r="M11" s="8"/>
      <c r="N11" s="8"/>
      <c r="O11" s="8"/>
      <c r="AO11" s="9" t="s">
        <v>28</v>
      </c>
    </row>
    <row r="12" ht="15.75" customHeight="1">
      <c r="A12" s="8"/>
      <c r="B12" s="8"/>
      <c r="C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IFERROR(__xludf.DUMMYFUNCTION("""COMPUTED_VALUE"""),"TradeAttribute1")</f>
        <v>TradeAttribute1</v>
      </c>
      <c r="C5" s="27" t="str">
        <f>IFERROR(__xludf.DUMMYFUNCTION("""COMPUTED_VALUE"""),"TradeAttribute2")</f>
        <v>TradeAttribute2</v>
      </c>
      <c r="D5" s="27" t="str">
        <f>IFERROR(__xludf.DUMMYFUNCTION("""COMPUTED_VALUE"""),"TradeAttribute3")</f>
        <v>TradeAttribute3</v>
      </c>
      <c r="E5" s="27" t="str">
        <f>IFERROR(__xludf.DUMMYFUNCTION("""COMPUTED_VALUE"""),"TradeAttribute4")</f>
        <v>TradeAttribute4</v>
      </c>
      <c r="F5" s="28" t="str">
        <f>IFERROR(__xludf.DUMMYFUNCTION("""COMPUTED_VALUE"""),"TradeAttribute5")</f>
        <v>TradeAttribute5</v>
      </c>
      <c r="G5" s="27" t="str">
        <f>IFERROR(__xludf.DUMMYFUNCTION("""COMPUTED_VALUE"""),"TradeAttribute6")</f>
        <v>TradeAttribute6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34</v>
      </c>
      <c r="D6" s="11" t="s">
        <v>36</v>
      </c>
      <c r="E6" s="11" t="s">
        <v>28</v>
      </c>
      <c r="F6" s="11" t="s">
        <v>30</v>
      </c>
      <c r="G6" s="11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TradeAttributeBulkChangeGroups!$4:$4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200.0</v>
      </c>
      <c r="E6" s="30"/>
      <c r="F6" s="8"/>
      <c r="G6" s="8"/>
      <c r="H6" s="8"/>
      <c r="I6" s="8"/>
      <c r="J6" s="8"/>
      <c r="K6" s="8"/>
      <c r="L6" s="8"/>
      <c r="M6" s="11" t="s">
        <v>36</v>
      </c>
      <c r="N6" s="11" t="s">
        <v>30</v>
      </c>
      <c r="O6" s="11" t="s">
        <v>28</v>
      </c>
      <c r="P6" s="9" t="s">
        <v>36</v>
      </c>
      <c r="Q6" s="9" t="s">
        <v>32</v>
      </c>
      <c r="R6" s="9" t="s">
        <v>34</v>
      </c>
      <c r="AH6" s="9" t="s">
        <v>44</v>
      </c>
      <c r="AI6" s="9" t="s">
        <v>29</v>
      </c>
      <c r="AJ6" s="9" t="s">
        <v>26</v>
      </c>
      <c r="AK6" s="9" t="s">
        <v>45</v>
      </c>
      <c r="AL6" s="9">
        <v>15.0</v>
      </c>
      <c r="AM6" s="9">
        <v>15.0</v>
      </c>
      <c r="AN6" s="9">
        <v>100.0</v>
      </c>
      <c r="AO6" s="9">
        <v>15.0</v>
      </c>
      <c r="AQ6" s="11">
        <v>200.0</v>
      </c>
      <c r="AR6" s="11">
        <v>200.0</v>
      </c>
      <c r="AS6" s="9" t="s">
        <v>46</v>
      </c>
      <c r="AT6" s="9" t="s">
        <v>27</v>
      </c>
      <c r="AU6" s="9" t="s">
        <v>47</v>
      </c>
    </row>
    <row r="7" ht="15.75" customHeight="1">
      <c r="A7" s="8"/>
      <c r="B7" s="8"/>
      <c r="C7" s="8"/>
      <c r="D7" s="11">
        <v>200.0</v>
      </c>
      <c r="E7" s="8"/>
      <c r="F7" s="8"/>
      <c r="G7" s="8"/>
      <c r="H7" s="8"/>
      <c r="I7" s="8"/>
      <c r="J7" s="8"/>
      <c r="K7" s="8"/>
      <c r="L7" s="8"/>
      <c r="M7" s="11" t="s">
        <v>36</v>
      </c>
      <c r="N7" s="11" t="s">
        <v>30</v>
      </c>
      <c r="O7" s="11" t="s">
        <v>28</v>
      </c>
      <c r="P7" s="9" t="s">
        <v>36</v>
      </c>
      <c r="Q7" s="9" t="s">
        <v>32</v>
      </c>
      <c r="R7" s="9" t="s">
        <v>34</v>
      </c>
      <c r="AH7" s="9" t="s">
        <v>44</v>
      </c>
      <c r="AI7" s="9" t="s">
        <v>37</v>
      </c>
      <c r="AJ7" s="9" t="s">
        <v>26</v>
      </c>
      <c r="AK7" s="9" t="s">
        <v>45</v>
      </c>
      <c r="AL7" s="9">
        <v>35.0</v>
      </c>
      <c r="AM7" s="9">
        <v>35.0</v>
      </c>
      <c r="AN7" s="9">
        <v>100.0</v>
      </c>
      <c r="AO7" s="9">
        <v>35.0</v>
      </c>
      <c r="AQ7" s="11">
        <v>200.0</v>
      </c>
      <c r="AR7" s="11">
        <v>200.0</v>
      </c>
      <c r="AS7" s="9" t="s">
        <v>46</v>
      </c>
      <c r="AT7" s="9" t="s">
        <v>27</v>
      </c>
      <c r="AU7" s="9" t="s">
        <v>47</v>
      </c>
    </row>
    <row r="8" ht="15.75" customHeight="1">
      <c r="A8" s="8"/>
      <c r="B8" s="8"/>
      <c r="C8" s="8"/>
      <c r="D8" s="11">
        <v>200.0</v>
      </c>
      <c r="E8" s="8"/>
      <c r="F8" s="8"/>
      <c r="G8" s="8"/>
      <c r="H8" s="8"/>
      <c r="I8" s="8"/>
      <c r="J8" s="8"/>
      <c r="K8" s="8"/>
      <c r="L8" s="8"/>
      <c r="M8" s="11" t="s">
        <v>36</v>
      </c>
      <c r="N8" s="11" t="s">
        <v>30</v>
      </c>
      <c r="O8" s="11" t="s">
        <v>28</v>
      </c>
      <c r="P8" s="9" t="s">
        <v>36</v>
      </c>
      <c r="Q8" s="9" t="s">
        <v>32</v>
      </c>
      <c r="R8" s="9" t="s">
        <v>34</v>
      </c>
      <c r="AH8" s="9" t="s">
        <v>44</v>
      </c>
      <c r="AI8" s="9" t="s">
        <v>33</v>
      </c>
      <c r="AJ8" s="9" t="s">
        <v>26</v>
      </c>
      <c r="AK8" s="9" t="s">
        <v>45</v>
      </c>
      <c r="AL8" s="9">
        <v>25.0</v>
      </c>
      <c r="AM8" s="9">
        <v>25.0</v>
      </c>
      <c r="AN8" s="9">
        <v>100.0</v>
      </c>
      <c r="AO8" s="9">
        <v>25.0</v>
      </c>
      <c r="AQ8" s="11">
        <v>200.0</v>
      </c>
      <c r="AR8" s="11">
        <v>200.0</v>
      </c>
      <c r="AS8" s="9" t="s">
        <v>46</v>
      </c>
      <c r="AT8" s="9" t="s">
        <v>27</v>
      </c>
      <c r="AU8" s="9" t="s">
        <v>47</v>
      </c>
    </row>
    <row r="9" ht="15.75" customHeight="1">
      <c r="A9" s="8"/>
      <c r="B9" s="8"/>
      <c r="C9" s="8"/>
      <c r="D9" s="11">
        <v>100.0</v>
      </c>
      <c r="E9" s="8"/>
      <c r="F9" s="8"/>
      <c r="G9" s="8"/>
      <c r="H9" s="8"/>
      <c r="I9" s="8"/>
      <c r="J9" s="8"/>
      <c r="K9" s="8"/>
      <c r="L9" s="8"/>
      <c r="M9" s="11" t="s">
        <v>36</v>
      </c>
      <c r="N9" s="11" t="s">
        <v>30</v>
      </c>
      <c r="O9" s="11" t="s">
        <v>28</v>
      </c>
      <c r="P9" s="9" t="s">
        <v>36</v>
      </c>
      <c r="Q9" s="9" t="s">
        <v>32</v>
      </c>
      <c r="R9" s="9" t="s">
        <v>34</v>
      </c>
      <c r="AH9" s="9" t="s">
        <v>44</v>
      </c>
      <c r="AI9" s="9" t="s">
        <v>35</v>
      </c>
      <c r="AJ9" s="9" t="s">
        <v>26</v>
      </c>
      <c r="AK9" s="9" t="s">
        <v>45</v>
      </c>
      <c r="AL9" s="9">
        <v>30.0</v>
      </c>
      <c r="AM9" s="9">
        <v>30.0</v>
      </c>
      <c r="AN9" s="9">
        <v>100.0</v>
      </c>
      <c r="AO9" s="9">
        <v>30.0</v>
      </c>
      <c r="AQ9" s="11">
        <v>100.0</v>
      </c>
      <c r="AR9" s="11">
        <v>100.0</v>
      </c>
      <c r="AS9" s="9" t="s">
        <v>46</v>
      </c>
      <c r="AT9" s="9" t="s">
        <v>27</v>
      </c>
      <c r="AU9" s="9" t="s">
        <v>47</v>
      </c>
    </row>
    <row r="10" ht="15.75" customHeight="1">
      <c r="A10" s="8"/>
      <c r="B10" s="8"/>
      <c r="C10" s="8"/>
      <c r="D10" s="11">
        <v>100.0</v>
      </c>
      <c r="E10" s="8"/>
      <c r="F10" s="8"/>
      <c r="G10" s="8"/>
      <c r="H10" s="8"/>
      <c r="I10" s="8"/>
      <c r="J10" s="8"/>
      <c r="K10" s="8"/>
      <c r="L10" s="8"/>
      <c r="M10" s="11" t="s">
        <v>36</v>
      </c>
      <c r="N10" s="11" t="s">
        <v>30</v>
      </c>
      <c r="O10" s="11" t="s">
        <v>28</v>
      </c>
      <c r="P10" s="9" t="s">
        <v>36</v>
      </c>
      <c r="Q10" s="9" t="s">
        <v>32</v>
      </c>
      <c r="R10" s="9" t="s">
        <v>34</v>
      </c>
      <c r="AH10" s="9" t="s">
        <v>44</v>
      </c>
      <c r="AI10" s="9" t="s">
        <v>31</v>
      </c>
      <c r="AJ10" s="9" t="s">
        <v>26</v>
      </c>
      <c r="AK10" s="9" t="s">
        <v>45</v>
      </c>
      <c r="AL10" s="9">
        <v>20.0</v>
      </c>
      <c r="AM10" s="9">
        <v>20.0</v>
      </c>
      <c r="AN10" s="9">
        <v>100.0</v>
      </c>
      <c r="AO10" s="9">
        <v>20.0</v>
      </c>
      <c r="AQ10" s="11">
        <v>100.0</v>
      </c>
      <c r="AR10" s="11">
        <v>100.0</v>
      </c>
      <c r="AS10" s="9" t="s">
        <v>46</v>
      </c>
      <c r="AT10" s="9" t="s">
        <v>27</v>
      </c>
      <c r="AU10" s="9" t="s">
        <v>47</v>
      </c>
    </row>
    <row r="11" ht="15.75" customHeight="1">
      <c r="A11" s="8"/>
      <c r="B11" s="8"/>
      <c r="C11" s="8"/>
      <c r="D11" s="11">
        <v>100.0</v>
      </c>
      <c r="E11" s="8"/>
      <c r="F11" s="8"/>
      <c r="G11" s="8"/>
      <c r="H11" s="8"/>
      <c r="I11" s="8"/>
      <c r="J11" s="8"/>
      <c r="K11" s="8"/>
      <c r="L11" s="8"/>
      <c r="M11" s="11" t="s">
        <v>36</v>
      </c>
      <c r="N11" s="11" t="s">
        <v>30</v>
      </c>
      <c r="O11" s="11" t="s">
        <v>28</v>
      </c>
      <c r="P11" s="9" t="s">
        <v>36</v>
      </c>
      <c r="Q11" s="9" t="s">
        <v>32</v>
      </c>
      <c r="R11" s="9" t="s">
        <v>34</v>
      </c>
      <c r="AH11" s="9" t="s">
        <v>44</v>
      </c>
      <c r="AI11" s="9" t="s">
        <v>25</v>
      </c>
      <c r="AJ11" s="9" t="s">
        <v>26</v>
      </c>
      <c r="AK11" s="9" t="s">
        <v>45</v>
      </c>
      <c r="AL11" s="9">
        <v>10.0</v>
      </c>
      <c r="AM11" s="9">
        <v>10.0</v>
      </c>
      <c r="AN11" s="9">
        <v>100.0</v>
      </c>
      <c r="AO11" s="9">
        <v>10.0</v>
      </c>
      <c r="AQ11" s="11">
        <v>100.0</v>
      </c>
      <c r="AR11" s="11">
        <v>100.0</v>
      </c>
      <c r="AS11" s="9" t="s">
        <v>46</v>
      </c>
      <c r="AT11" s="9" t="s">
        <v>27</v>
      </c>
      <c r="AU11" s="9" t="s">
        <v>47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>
        <v>10.0</v>
      </c>
      <c r="E6" s="30"/>
      <c r="F6" s="8"/>
      <c r="G6" s="9" t="s">
        <v>45</v>
      </c>
      <c r="H6" s="8"/>
      <c r="I6" s="11">
        <v>100.0</v>
      </c>
      <c r="J6" s="11">
        <v>100.0</v>
      </c>
      <c r="K6" s="9" t="s">
        <v>46</v>
      </c>
      <c r="L6" s="9" t="s">
        <v>27</v>
      </c>
      <c r="M6" s="9" t="s">
        <v>47</v>
      </c>
      <c r="N6" s="8"/>
      <c r="O6" s="11">
        <v>100.0</v>
      </c>
      <c r="AL6" s="9" t="s">
        <v>32</v>
      </c>
      <c r="AM6" s="9" t="s">
        <v>34</v>
      </c>
      <c r="AN6" s="9" t="s">
        <v>36</v>
      </c>
      <c r="AO6" s="11" t="s">
        <v>28</v>
      </c>
      <c r="AP6" s="11" t="s">
        <v>30</v>
      </c>
      <c r="AQ6" s="11" t="s">
        <v>36</v>
      </c>
    </row>
    <row r="7" ht="15.75" customHeight="1">
      <c r="A7" s="8"/>
      <c r="B7" s="11" t="s">
        <v>29</v>
      </c>
      <c r="C7" s="11" t="s">
        <v>26</v>
      </c>
      <c r="D7" s="11">
        <v>15.0</v>
      </c>
      <c r="E7" s="8"/>
      <c r="F7" s="8"/>
      <c r="G7" s="9" t="s">
        <v>45</v>
      </c>
      <c r="H7" s="8"/>
      <c r="I7" s="11">
        <v>200.0</v>
      </c>
      <c r="J7" s="11">
        <v>200.0</v>
      </c>
      <c r="K7" s="9" t="s">
        <v>46</v>
      </c>
      <c r="L7" s="9" t="s">
        <v>27</v>
      </c>
      <c r="M7" s="9" t="s">
        <v>47</v>
      </c>
      <c r="N7" s="8"/>
      <c r="O7" s="11">
        <v>200.0</v>
      </c>
      <c r="AL7" s="9" t="s">
        <v>32</v>
      </c>
      <c r="AM7" s="9" t="s">
        <v>34</v>
      </c>
      <c r="AN7" s="9" t="s">
        <v>36</v>
      </c>
      <c r="AO7" s="11" t="s">
        <v>28</v>
      </c>
      <c r="AP7" s="11" t="s">
        <v>30</v>
      </c>
      <c r="AQ7" s="11" t="s">
        <v>36</v>
      </c>
    </row>
    <row r="8" ht="15.75" customHeight="1">
      <c r="A8" s="8"/>
      <c r="B8" s="11" t="s">
        <v>31</v>
      </c>
      <c r="C8" s="11" t="s">
        <v>26</v>
      </c>
      <c r="D8" s="11">
        <v>20.0</v>
      </c>
      <c r="E8" s="8"/>
      <c r="F8" s="8"/>
      <c r="G8" s="9" t="s">
        <v>45</v>
      </c>
      <c r="H8" s="8"/>
      <c r="I8" s="11">
        <v>100.0</v>
      </c>
      <c r="J8" s="11">
        <v>100.0</v>
      </c>
      <c r="K8" s="9" t="s">
        <v>46</v>
      </c>
      <c r="L8" s="9" t="s">
        <v>27</v>
      </c>
      <c r="M8" s="9" t="s">
        <v>47</v>
      </c>
      <c r="N8" s="8"/>
      <c r="O8" s="11">
        <v>100.0</v>
      </c>
      <c r="AL8" s="9" t="s">
        <v>32</v>
      </c>
      <c r="AM8" s="9" t="s">
        <v>34</v>
      </c>
      <c r="AN8" s="9" t="s">
        <v>36</v>
      </c>
      <c r="AO8" s="11" t="s">
        <v>28</v>
      </c>
      <c r="AP8" s="11" t="s">
        <v>30</v>
      </c>
      <c r="AQ8" s="11" t="s">
        <v>36</v>
      </c>
    </row>
    <row r="9" ht="15.75" customHeight="1">
      <c r="A9" s="8"/>
      <c r="B9" s="11" t="s">
        <v>33</v>
      </c>
      <c r="C9" s="11" t="s">
        <v>26</v>
      </c>
      <c r="D9" s="11">
        <v>25.0</v>
      </c>
      <c r="E9" s="8"/>
      <c r="F9" s="8"/>
      <c r="G9" s="9" t="s">
        <v>45</v>
      </c>
      <c r="H9" s="8"/>
      <c r="I9" s="11">
        <v>200.0</v>
      </c>
      <c r="J9" s="11">
        <v>200.0</v>
      </c>
      <c r="K9" s="9" t="s">
        <v>46</v>
      </c>
      <c r="L9" s="9" t="s">
        <v>27</v>
      </c>
      <c r="M9" s="9" t="s">
        <v>47</v>
      </c>
      <c r="N9" s="8"/>
      <c r="O9" s="11">
        <v>200.0</v>
      </c>
      <c r="AL9" s="9" t="s">
        <v>32</v>
      </c>
      <c r="AM9" s="9" t="s">
        <v>34</v>
      </c>
      <c r="AN9" s="9" t="s">
        <v>36</v>
      </c>
      <c r="AO9" s="11" t="s">
        <v>28</v>
      </c>
      <c r="AP9" s="11" t="s">
        <v>30</v>
      </c>
      <c r="AQ9" s="11" t="s">
        <v>36</v>
      </c>
    </row>
    <row r="10" ht="15.75" customHeight="1">
      <c r="A10" s="8"/>
      <c r="B10" s="11" t="s">
        <v>35</v>
      </c>
      <c r="C10" s="11" t="s">
        <v>26</v>
      </c>
      <c r="D10" s="11">
        <v>30.0</v>
      </c>
      <c r="E10" s="8"/>
      <c r="F10" s="8"/>
      <c r="G10" s="9" t="s">
        <v>45</v>
      </c>
      <c r="H10" s="8"/>
      <c r="I10" s="11">
        <v>100.0</v>
      </c>
      <c r="J10" s="11">
        <v>100.0</v>
      </c>
      <c r="K10" s="9" t="s">
        <v>46</v>
      </c>
      <c r="L10" s="9" t="s">
        <v>27</v>
      </c>
      <c r="M10" s="9" t="s">
        <v>47</v>
      </c>
      <c r="N10" s="8"/>
      <c r="O10" s="11">
        <v>100.0</v>
      </c>
      <c r="AL10" s="9" t="s">
        <v>32</v>
      </c>
      <c r="AM10" s="9" t="s">
        <v>34</v>
      </c>
      <c r="AN10" s="9" t="s">
        <v>36</v>
      </c>
      <c r="AO10" s="11" t="s">
        <v>28</v>
      </c>
      <c r="AP10" s="11" t="s">
        <v>30</v>
      </c>
      <c r="AQ10" s="11" t="s">
        <v>36</v>
      </c>
    </row>
    <row r="11" ht="15.75" customHeight="1">
      <c r="A11" s="8"/>
      <c r="B11" s="11" t="s">
        <v>37</v>
      </c>
      <c r="C11" s="11" t="s">
        <v>26</v>
      </c>
      <c r="D11" s="11">
        <v>35.0</v>
      </c>
      <c r="E11" s="8"/>
      <c r="F11" s="8"/>
      <c r="G11" s="9" t="s">
        <v>45</v>
      </c>
      <c r="H11" s="8"/>
      <c r="I11" s="11">
        <v>200.0</v>
      </c>
      <c r="J11" s="11">
        <v>200.0</v>
      </c>
      <c r="K11" s="9" t="s">
        <v>46</v>
      </c>
      <c r="L11" s="9" t="s">
        <v>27</v>
      </c>
      <c r="M11" s="9" t="s">
        <v>47</v>
      </c>
      <c r="N11" s="8"/>
      <c r="O11" s="11">
        <v>200.0</v>
      </c>
      <c r="AL11" s="9" t="s">
        <v>32</v>
      </c>
      <c r="AM11" s="9" t="s">
        <v>34</v>
      </c>
      <c r="AN11" s="9" t="s">
        <v>36</v>
      </c>
      <c r="AO11" s="11" t="s">
        <v>28</v>
      </c>
      <c r="AP11" s="11" t="s">
        <v>30</v>
      </c>
      <c r="AQ11" s="11" t="s">
        <v>36</v>
      </c>
    </row>
    <row r="12" ht="15.75" customHeight="1">
      <c r="A12" s="8"/>
      <c r="B12" s="8"/>
      <c r="C12" s="8"/>
      <c r="D12" s="8"/>
      <c r="E12" s="8"/>
      <c r="F12" s="8"/>
      <c r="H12" s="8"/>
      <c r="I12" s="8"/>
      <c r="J12" s="8"/>
      <c r="K12" s="8"/>
      <c r="L12" s="8"/>
      <c r="M12" s="8"/>
      <c r="N12" s="8"/>
      <c r="O12" s="8"/>
      <c r="AO12" s="8"/>
      <c r="AP12" s="8"/>
      <c r="AQ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P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</row>
    <row r="6" ht="15.75" customHeight="1">
      <c r="A6" s="11"/>
      <c r="B6" s="11"/>
      <c r="C6" s="11" t="s">
        <v>25</v>
      </c>
      <c r="D6" s="11">
        <v>10.0</v>
      </c>
      <c r="E6" s="9" t="s">
        <v>27</v>
      </c>
      <c r="F6" s="8"/>
      <c r="G6" s="8"/>
      <c r="H6" s="9" t="s">
        <v>51</v>
      </c>
      <c r="I6" s="8"/>
      <c r="J6" s="8"/>
      <c r="K6" s="8"/>
      <c r="L6" s="8"/>
      <c r="M6" s="8"/>
      <c r="N6" s="31">
        <v>-1000.0</v>
      </c>
      <c r="O6" s="8"/>
      <c r="Q6" s="31">
        <v>-1000.0</v>
      </c>
      <c r="T6" s="9" t="s">
        <v>44</v>
      </c>
      <c r="U6" s="9" t="s">
        <v>52</v>
      </c>
      <c r="W6" s="9" t="s">
        <v>53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10.0</v>
      </c>
      <c r="AG6" s="9">
        <v>0.0</v>
      </c>
      <c r="AH6" s="9">
        <v>0.0</v>
      </c>
      <c r="AI6" s="9">
        <v>0.0</v>
      </c>
      <c r="AJ6" s="9">
        <v>0.0</v>
      </c>
      <c r="AK6" s="31">
        <v>-1000.0</v>
      </c>
      <c r="AN6" s="9" t="s">
        <v>26</v>
      </c>
      <c r="AP6" s="9" t="s">
        <v>51</v>
      </c>
      <c r="AW6" s="31">
        <v>-1000.0</v>
      </c>
      <c r="AX6" s="9">
        <v>0.0</v>
      </c>
      <c r="AY6" s="9">
        <v>0.0</v>
      </c>
      <c r="AZ6" s="9">
        <v>0.0</v>
      </c>
      <c r="BJ6" s="9">
        <v>0.0</v>
      </c>
      <c r="BK6" s="9">
        <v>0.0</v>
      </c>
      <c r="BL6" s="9">
        <v>0.0</v>
      </c>
      <c r="BM6" s="9">
        <v>0.0</v>
      </c>
      <c r="BO6" s="31">
        <v>-1000.0</v>
      </c>
      <c r="BP6" s="9">
        <v>0.0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D6" s="31">
        <v>-1000.0</v>
      </c>
      <c r="CE6" s="9">
        <v>0.0</v>
      </c>
      <c r="CF6" s="9">
        <v>0.0</v>
      </c>
      <c r="CG6" s="31">
        <v>-1000.0</v>
      </c>
      <c r="CT6" s="9" t="s">
        <v>36</v>
      </c>
      <c r="CU6" s="11" t="s">
        <v>28</v>
      </c>
      <c r="CV6" s="11" t="s">
        <v>30</v>
      </c>
      <c r="CW6" s="11" t="s">
        <v>36</v>
      </c>
      <c r="DE6" s="9">
        <v>0.0</v>
      </c>
      <c r="DF6" s="9">
        <v>0.0</v>
      </c>
      <c r="DG6" s="9">
        <v>0.0</v>
      </c>
      <c r="DJ6" s="9" t="s">
        <v>26</v>
      </c>
      <c r="EY6" s="9" t="s">
        <v>32</v>
      </c>
      <c r="EZ6" s="9" t="s">
        <v>34</v>
      </c>
    </row>
    <row r="7" ht="15.75" customHeight="1">
      <c r="A7" s="8"/>
      <c r="B7" s="8"/>
      <c r="C7" s="11" t="s">
        <v>29</v>
      </c>
      <c r="D7" s="11">
        <v>15.0</v>
      </c>
      <c r="E7" s="9" t="s">
        <v>27</v>
      </c>
      <c r="F7" s="8"/>
      <c r="G7" s="8"/>
      <c r="H7" s="9" t="s">
        <v>51</v>
      </c>
      <c r="I7" s="8"/>
      <c r="J7" s="8"/>
      <c r="K7" s="8"/>
      <c r="L7" s="8"/>
      <c r="M7" s="8"/>
      <c r="N7" s="31">
        <v>-3000.0</v>
      </c>
      <c r="O7" s="8"/>
      <c r="Q7" s="31">
        <v>-3000.0</v>
      </c>
      <c r="T7" s="9" t="s">
        <v>44</v>
      </c>
      <c r="U7" s="9" t="s">
        <v>52</v>
      </c>
      <c r="W7" s="9" t="s">
        <v>53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15.0</v>
      </c>
      <c r="AG7" s="9">
        <v>0.0</v>
      </c>
      <c r="AH7" s="9">
        <v>0.0</v>
      </c>
      <c r="AI7" s="9">
        <v>0.0</v>
      </c>
      <c r="AJ7" s="9">
        <v>0.0</v>
      </c>
      <c r="AK7" s="31">
        <v>-3000.0</v>
      </c>
      <c r="AN7" s="9" t="s">
        <v>26</v>
      </c>
      <c r="AP7" s="9" t="s">
        <v>51</v>
      </c>
      <c r="AW7" s="31">
        <v>-3000.0</v>
      </c>
      <c r="AX7" s="9">
        <v>0.0</v>
      </c>
      <c r="AY7" s="9">
        <v>0.0</v>
      </c>
      <c r="AZ7" s="9">
        <v>0.0</v>
      </c>
      <c r="BJ7" s="9">
        <v>0.0</v>
      </c>
      <c r="BK7" s="9">
        <v>0.0</v>
      </c>
      <c r="BL7" s="9">
        <v>0.0</v>
      </c>
      <c r="BM7" s="9">
        <v>0.0</v>
      </c>
      <c r="BO7" s="31">
        <v>-3000.0</v>
      </c>
      <c r="BP7" s="9">
        <v>0.0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D7" s="31">
        <v>-3000.0</v>
      </c>
      <c r="CE7" s="9">
        <v>0.0</v>
      </c>
      <c r="CF7" s="9">
        <v>0.0</v>
      </c>
      <c r="CG7" s="31">
        <v>-3000.0</v>
      </c>
      <c r="CT7" s="9" t="s">
        <v>36</v>
      </c>
      <c r="CU7" s="11" t="s">
        <v>28</v>
      </c>
      <c r="CV7" s="11" t="s">
        <v>30</v>
      </c>
      <c r="CW7" s="11" t="s">
        <v>36</v>
      </c>
      <c r="DE7" s="9">
        <v>0.0</v>
      </c>
      <c r="DF7" s="9">
        <v>0.0</v>
      </c>
      <c r="DG7" s="9">
        <v>0.0</v>
      </c>
      <c r="DJ7" s="9" t="s">
        <v>26</v>
      </c>
      <c r="EY7" s="9" t="s">
        <v>32</v>
      </c>
      <c r="EZ7" s="9" t="s">
        <v>34</v>
      </c>
    </row>
    <row r="8" ht="15.75" customHeight="1">
      <c r="A8" s="8"/>
      <c r="B8" s="8"/>
      <c r="C8" s="11" t="s">
        <v>31</v>
      </c>
      <c r="D8" s="11">
        <v>20.0</v>
      </c>
      <c r="E8" s="9" t="s">
        <v>27</v>
      </c>
      <c r="F8" s="8"/>
      <c r="G8" s="8"/>
      <c r="H8" s="9" t="s">
        <v>51</v>
      </c>
      <c r="I8" s="8"/>
      <c r="J8" s="8"/>
      <c r="K8" s="8"/>
      <c r="L8" s="8"/>
      <c r="M8" s="8"/>
      <c r="N8" s="31">
        <v>-2000.0</v>
      </c>
      <c r="O8" s="8"/>
      <c r="Q8" s="31">
        <v>-2000.0</v>
      </c>
      <c r="T8" s="9" t="s">
        <v>44</v>
      </c>
      <c r="U8" s="9" t="s">
        <v>52</v>
      </c>
      <c r="W8" s="9" t="s">
        <v>53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20.0</v>
      </c>
      <c r="AG8" s="9">
        <v>0.0</v>
      </c>
      <c r="AH8" s="9">
        <v>0.0</v>
      </c>
      <c r="AI8" s="9">
        <v>0.0</v>
      </c>
      <c r="AJ8" s="9">
        <v>0.0</v>
      </c>
      <c r="AK8" s="31">
        <v>-2000.0</v>
      </c>
      <c r="AN8" s="9" t="s">
        <v>26</v>
      </c>
      <c r="AP8" s="9" t="s">
        <v>51</v>
      </c>
      <c r="AW8" s="31">
        <v>-2000.0</v>
      </c>
      <c r="AX8" s="9">
        <v>0.0</v>
      </c>
      <c r="AY8" s="9">
        <v>0.0</v>
      </c>
      <c r="AZ8" s="9">
        <v>0.0</v>
      </c>
      <c r="BJ8" s="9">
        <v>0.0</v>
      </c>
      <c r="BK8" s="9">
        <v>0.0</v>
      </c>
      <c r="BL8" s="9">
        <v>0.0</v>
      </c>
      <c r="BM8" s="9">
        <v>0.0</v>
      </c>
      <c r="BO8" s="31">
        <v>-2000.0</v>
      </c>
      <c r="BP8" s="9">
        <v>0.0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D8" s="31">
        <v>-2000.0</v>
      </c>
      <c r="CE8" s="9">
        <v>0.0</v>
      </c>
      <c r="CF8" s="9">
        <v>0.0</v>
      </c>
      <c r="CG8" s="31">
        <v>-2000.0</v>
      </c>
      <c r="CT8" s="9" t="s">
        <v>36</v>
      </c>
      <c r="CU8" s="11" t="s">
        <v>28</v>
      </c>
      <c r="CV8" s="11" t="s">
        <v>30</v>
      </c>
      <c r="CW8" s="11" t="s">
        <v>36</v>
      </c>
      <c r="DE8" s="9">
        <v>0.0</v>
      </c>
      <c r="DF8" s="9">
        <v>0.0</v>
      </c>
      <c r="DG8" s="9">
        <v>0.0</v>
      </c>
      <c r="DJ8" s="9" t="s">
        <v>26</v>
      </c>
      <c r="EY8" s="9" t="s">
        <v>32</v>
      </c>
      <c r="EZ8" s="9" t="s">
        <v>34</v>
      </c>
    </row>
    <row r="9" ht="15.75" customHeight="1">
      <c r="A9" s="8"/>
      <c r="B9" s="8"/>
      <c r="C9" s="11" t="s">
        <v>33</v>
      </c>
      <c r="D9" s="11">
        <v>25.0</v>
      </c>
      <c r="E9" s="9" t="s">
        <v>27</v>
      </c>
      <c r="F9" s="8"/>
      <c r="G9" s="8"/>
      <c r="H9" s="9" t="s">
        <v>51</v>
      </c>
      <c r="I9" s="8"/>
      <c r="J9" s="8"/>
      <c r="K9" s="8"/>
      <c r="L9" s="8"/>
      <c r="M9" s="8"/>
      <c r="N9" s="31">
        <v>-5000.0</v>
      </c>
      <c r="O9" s="8"/>
      <c r="Q9" s="31">
        <v>-5000.0</v>
      </c>
      <c r="T9" s="9" t="s">
        <v>44</v>
      </c>
      <c r="U9" s="9" t="s">
        <v>52</v>
      </c>
      <c r="W9" s="9" t="s">
        <v>53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25.0</v>
      </c>
      <c r="AG9" s="9">
        <v>0.0</v>
      </c>
      <c r="AH9" s="9">
        <v>0.0</v>
      </c>
      <c r="AI9" s="9">
        <v>0.0</v>
      </c>
      <c r="AJ9" s="9">
        <v>0.0</v>
      </c>
      <c r="AK9" s="31">
        <v>-5000.0</v>
      </c>
      <c r="AN9" s="9" t="s">
        <v>26</v>
      </c>
      <c r="AP9" s="9" t="s">
        <v>51</v>
      </c>
      <c r="AW9" s="31">
        <v>-5000.0</v>
      </c>
      <c r="AX9" s="9">
        <v>0.0</v>
      </c>
      <c r="AY9" s="9">
        <v>0.0</v>
      </c>
      <c r="AZ9" s="9">
        <v>0.0</v>
      </c>
      <c r="BJ9" s="9">
        <v>0.0</v>
      </c>
      <c r="BK9" s="9">
        <v>0.0</v>
      </c>
      <c r="BL9" s="9">
        <v>0.0</v>
      </c>
      <c r="BM9" s="9">
        <v>0.0</v>
      </c>
      <c r="BO9" s="31">
        <v>-5000.0</v>
      </c>
      <c r="BP9" s="9">
        <v>0.0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D9" s="31">
        <v>-5000.0</v>
      </c>
      <c r="CE9" s="9">
        <v>0.0</v>
      </c>
      <c r="CF9" s="9">
        <v>0.0</v>
      </c>
      <c r="CG9" s="31">
        <v>-5000.0</v>
      </c>
      <c r="CT9" s="9" t="s">
        <v>36</v>
      </c>
      <c r="CU9" s="11" t="s">
        <v>28</v>
      </c>
      <c r="CV9" s="11" t="s">
        <v>30</v>
      </c>
      <c r="CW9" s="11" t="s">
        <v>36</v>
      </c>
      <c r="DE9" s="9">
        <v>0.0</v>
      </c>
      <c r="DF9" s="9">
        <v>0.0</v>
      </c>
      <c r="DG9" s="9">
        <v>0.0</v>
      </c>
      <c r="DJ9" s="9" t="s">
        <v>26</v>
      </c>
      <c r="EY9" s="9" t="s">
        <v>32</v>
      </c>
      <c r="EZ9" s="9" t="s">
        <v>34</v>
      </c>
    </row>
    <row r="10" ht="15.75" customHeight="1">
      <c r="A10" s="8"/>
      <c r="B10" s="8"/>
      <c r="C10" s="11" t="s">
        <v>35</v>
      </c>
      <c r="D10" s="11">
        <v>30.0</v>
      </c>
      <c r="E10" s="9" t="s">
        <v>27</v>
      </c>
      <c r="F10" s="8"/>
      <c r="G10" s="8"/>
      <c r="H10" s="9" t="s">
        <v>51</v>
      </c>
      <c r="I10" s="8"/>
      <c r="J10" s="8"/>
      <c r="K10" s="8"/>
      <c r="L10" s="8"/>
      <c r="M10" s="8"/>
      <c r="N10" s="31">
        <v>-3000.0</v>
      </c>
      <c r="O10" s="8"/>
      <c r="Q10" s="31">
        <v>-3000.0</v>
      </c>
      <c r="T10" s="9" t="s">
        <v>44</v>
      </c>
      <c r="U10" s="9" t="s">
        <v>52</v>
      </c>
      <c r="W10" s="9" t="s">
        <v>53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30.0</v>
      </c>
      <c r="AG10" s="9">
        <v>0.0</v>
      </c>
      <c r="AH10" s="9">
        <v>0.0</v>
      </c>
      <c r="AI10" s="9">
        <v>0.0</v>
      </c>
      <c r="AJ10" s="9">
        <v>0.0</v>
      </c>
      <c r="AK10" s="31">
        <v>-3000.0</v>
      </c>
      <c r="AN10" s="9" t="s">
        <v>26</v>
      </c>
      <c r="AP10" s="9" t="s">
        <v>51</v>
      </c>
      <c r="AW10" s="31">
        <v>-3000.0</v>
      </c>
      <c r="AX10" s="9">
        <v>0.0</v>
      </c>
      <c r="AY10" s="9">
        <v>0.0</v>
      </c>
      <c r="AZ10" s="9">
        <v>0.0</v>
      </c>
      <c r="BJ10" s="9">
        <v>0.0</v>
      </c>
      <c r="BK10" s="9">
        <v>0.0</v>
      </c>
      <c r="BL10" s="9">
        <v>0.0</v>
      </c>
      <c r="BM10" s="9">
        <v>0.0</v>
      </c>
      <c r="BO10" s="31">
        <v>-3000.0</v>
      </c>
      <c r="BP10" s="9">
        <v>0.0</v>
      </c>
      <c r="BS10" s="9">
        <v>0.0</v>
      </c>
      <c r="BT10" s="9">
        <v>0.0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D10" s="31">
        <v>-3000.0</v>
      </c>
      <c r="CE10" s="9">
        <v>0.0</v>
      </c>
      <c r="CF10" s="9">
        <v>0.0</v>
      </c>
      <c r="CG10" s="31">
        <v>-3000.0</v>
      </c>
      <c r="CT10" s="9" t="s">
        <v>36</v>
      </c>
      <c r="CU10" s="11" t="s">
        <v>28</v>
      </c>
      <c r="CV10" s="11" t="s">
        <v>30</v>
      </c>
      <c r="CW10" s="11" t="s">
        <v>36</v>
      </c>
      <c r="DE10" s="9">
        <v>0.0</v>
      </c>
      <c r="DF10" s="9">
        <v>0.0</v>
      </c>
      <c r="DG10" s="9">
        <v>0.0</v>
      </c>
      <c r="DJ10" s="9" t="s">
        <v>26</v>
      </c>
      <c r="EY10" s="9" t="s">
        <v>32</v>
      </c>
      <c r="EZ10" s="9" t="s">
        <v>34</v>
      </c>
    </row>
    <row r="11" ht="15.75" customHeight="1">
      <c r="A11" s="8"/>
      <c r="B11" s="8"/>
      <c r="C11" s="11" t="s">
        <v>37</v>
      </c>
      <c r="D11" s="11">
        <v>35.0</v>
      </c>
      <c r="E11" s="9" t="s">
        <v>27</v>
      </c>
      <c r="F11" s="8"/>
      <c r="G11" s="8"/>
      <c r="H11" s="9" t="s">
        <v>51</v>
      </c>
      <c r="I11" s="8"/>
      <c r="J11" s="8"/>
      <c r="K11" s="8"/>
      <c r="L11" s="8"/>
      <c r="M11" s="8"/>
      <c r="N11" s="31">
        <v>-7000.0</v>
      </c>
      <c r="O11" s="8"/>
      <c r="Q11" s="31">
        <v>-7000.0</v>
      </c>
      <c r="T11" s="9" t="s">
        <v>44</v>
      </c>
      <c r="U11" s="9" t="s">
        <v>52</v>
      </c>
      <c r="W11" s="9" t="s">
        <v>53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35.0</v>
      </c>
      <c r="AG11" s="9">
        <v>0.0</v>
      </c>
      <c r="AH11" s="9">
        <v>0.0</v>
      </c>
      <c r="AI11" s="9">
        <v>0.0</v>
      </c>
      <c r="AJ11" s="9">
        <v>0.0</v>
      </c>
      <c r="AK11" s="31">
        <v>-7000.0</v>
      </c>
      <c r="AN11" s="9" t="s">
        <v>26</v>
      </c>
      <c r="AP11" s="9" t="s">
        <v>51</v>
      </c>
      <c r="AW11" s="31">
        <v>-7000.0</v>
      </c>
      <c r="AX11" s="9">
        <v>0.0</v>
      </c>
      <c r="AY11" s="9">
        <v>0.0</v>
      </c>
      <c r="AZ11" s="9">
        <v>0.0</v>
      </c>
      <c r="BJ11" s="9">
        <v>0.0</v>
      </c>
      <c r="BK11" s="9">
        <v>0.0</v>
      </c>
      <c r="BL11" s="9">
        <v>0.0</v>
      </c>
      <c r="BM11" s="9">
        <v>0.0</v>
      </c>
      <c r="BO11" s="31">
        <v>-7000.0</v>
      </c>
      <c r="BP11" s="9">
        <v>0.0</v>
      </c>
      <c r="BS11" s="9">
        <v>0.0</v>
      </c>
      <c r="BT11" s="9">
        <v>0.0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D11" s="31">
        <v>-7000.0</v>
      </c>
      <c r="CE11" s="9">
        <v>0.0</v>
      </c>
      <c r="CF11" s="9">
        <v>0.0</v>
      </c>
      <c r="CG11" s="31">
        <v>-7000.0</v>
      </c>
      <c r="CT11" s="9" t="s">
        <v>36</v>
      </c>
      <c r="CU11" s="11" t="s">
        <v>28</v>
      </c>
      <c r="CV11" s="11" t="s">
        <v>30</v>
      </c>
      <c r="CW11" s="11" t="s">
        <v>36</v>
      </c>
      <c r="DE11" s="9">
        <v>0.0</v>
      </c>
      <c r="DF11" s="9">
        <v>0.0</v>
      </c>
      <c r="DG11" s="9">
        <v>0.0</v>
      </c>
      <c r="DJ11" s="9" t="s">
        <v>26</v>
      </c>
      <c r="EY11" s="9" t="s">
        <v>32</v>
      </c>
      <c r="EZ11" s="9" t="s">
        <v>34</v>
      </c>
    </row>
    <row r="12" ht="15.75" customHeight="1">
      <c r="A12" s="8"/>
      <c r="B12" s="8"/>
      <c r="C12" s="8"/>
      <c r="D12" s="8"/>
      <c r="E12" s="8"/>
      <c r="F12" s="8"/>
      <c r="G12" s="8"/>
      <c r="I12" s="8"/>
      <c r="J12" s="8"/>
      <c r="K12" s="8"/>
      <c r="L12" s="8"/>
      <c r="M12" s="8"/>
      <c r="N12" s="8"/>
      <c r="O12" s="8"/>
      <c r="Q12" s="8"/>
      <c r="CV12" s="8"/>
      <c r="CW12" s="8"/>
    </row>
    <row r="13" ht="15.75" customHeight="1">
      <c r="A13" s="8"/>
      <c r="B13" s="8"/>
      <c r="C13" s="8"/>
      <c r="D13" s="8"/>
      <c r="E13" s="8"/>
      <c r="F13" s="8"/>
      <c r="G13" s="8"/>
      <c r="I13" s="8"/>
      <c r="J13" s="8"/>
      <c r="K13" s="8"/>
      <c r="L13" s="8"/>
      <c r="M13" s="8"/>
      <c r="N13" s="8"/>
      <c r="O13" s="8"/>
      <c r="Q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27</v>
      </c>
      <c r="D6" s="33">
        <v>0.0</v>
      </c>
      <c r="E6" s="33">
        <v>10.0</v>
      </c>
      <c r="F6" s="8"/>
      <c r="G6" s="8"/>
      <c r="H6" s="33">
        <v>4.0</v>
      </c>
      <c r="I6" s="33">
        <v>5.0</v>
      </c>
      <c r="J6" s="8"/>
      <c r="K6" s="33">
        <v>100.0</v>
      </c>
      <c r="L6" s="33">
        <v>100.0</v>
      </c>
      <c r="M6" s="8"/>
      <c r="N6" s="8"/>
      <c r="O6" s="8"/>
      <c r="R6" s="33">
        <v>0.0</v>
      </c>
      <c r="S6" s="34" t="s">
        <v>55</v>
      </c>
      <c r="T6" s="33">
        <v>0.0</v>
      </c>
      <c r="U6" s="33">
        <v>0.0</v>
      </c>
      <c r="Z6" s="34" t="s">
        <v>53</v>
      </c>
      <c r="AE6" s="33">
        <v>10.0</v>
      </c>
      <c r="AH6" s="34" t="s">
        <v>56</v>
      </c>
      <c r="AI6" s="33">
        <v>1.0</v>
      </c>
      <c r="AT6" s="33">
        <v>1014.0006</v>
      </c>
      <c r="AU6" s="33">
        <v>1014.0006</v>
      </c>
      <c r="AW6" s="33">
        <v>0.0</v>
      </c>
      <c r="AX6" s="33">
        <v>0.0</v>
      </c>
      <c r="AZ6" s="33">
        <v>0.0</v>
      </c>
      <c r="BE6" s="33">
        <v>1000.0</v>
      </c>
      <c r="BF6" s="33">
        <v>1000.0</v>
      </c>
      <c r="BJ6" s="9">
        <v>10.0</v>
      </c>
      <c r="BO6" s="9" t="s">
        <v>26</v>
      </c>
      <c r="BT6" s="34" t="s">
        <v>25</v>
      </c>
      <c r="BY6" s="34" t="s">
        <v>32</v>
      </c>
      <c r="BZ6" s="34" t="s">
        <v>34</v>
      </c>
      <c r="CA6" s="34" t="s">
        <v>36</v>
      </c>
      <c r="CB6" s="34" t="s">
        <v>28</v>
      </c>
      <c r="CC6" s="34" t="s">
        <v>30</v>
      </c>
      <c r="CD6" s="34" t="s">
        <v>36</v>
      </c>
    </row>
    <row r="7" ht="15.75" customHeight="1">
      <c r="A7" s="8"/>
      <c r="B7" s="34" t="s">
        <v>27</v>
      </c>
      <c r="D7" s="33">
        <v>0.0</v>
      </c>
      <c r="E7" s="33">
        <v>15.0</v>
      </c>
      <c r="F7" s="8"/>
      <c r="G7" s="8"/>
      <c r="H7" s="33">
        <v>4.0</v>
      </c>
      <c r="I7" s="33">
        <v>5.0</v>
      </c>
      <c r="J7" s="8"/>
      <c r="K7" s="33">
        <v>200.0</v>
      </c>
      <c r="L7" s="33">
        <v>200.0</v>
      </c>
      <c r="M7" s="8"/>
      <c r="N7" s="8"/>
      <c r="O7" s="8"/>
      <c r="R7" s="33">
        <v>0.0</v>
      </c>
      <c r="S7" s="34" t="s">
        <v>55</v>
      </c>
      <c r="T7" s="33">
        <v>0.0</v>
      </c>
      <c r="U7" s="33">
        <v>0.0</v>
      </c>
      <c r="Z7" s="34" t="s">
        <v>53</v>
      </c>
      <c r="AE7" s="33">
        <v>15.0</v>
      </c>
      <c r="AH7" s="34" t="s">
        <v>56</v>
      </c>
      <c r="AI7" s="33">
        <v>1.0</v>
      </c>
      <c r="AT7" s="33">
        <v>3014.0017</v>
      </c>
      <c r="AU7" s="33">
        <v>3014.0017</v>
      </c>
      <c r="AW7" s="33">
        <v>0.0</v>
      </c>
      <c r="AX7" s="33">
        <v>0.0</v>
      </c>
      <c r="AZ7" s="33">
        <v>0.0</v>
      </c>
      <c r="BE7" s="33">
        <v>3000.0</v>
      </c>
      <c r="BF7" s="33">
        <v>3000.0</v>
      </c>
      <c r="BJ7" s="9">
        <v>15.0</v>
      </c>
      <c r="BO7" s="9" t="s">
        <v>26</v>
      </c>
      <c r="BT7" s="34" t="s">
        <v>29</v>
      </c>
      <c r="BY7" s="34" t="s">
        <v>32</v>
      </c>
      <c r="BZ7" s="34" t="s">
        <v>34</v>
      </c>
      <c r="CA7" s="34" t="s">
        <v>36</v>
      </c>
      <c r="CB7" s="34" t="s">
        <v>28</v>
      </c>
      <c r="CC7" s="34" t="s">
        <v>30</v>
      </c>
      <c r="CD7" s="34" t="s">
        <v>36</v>
      </c>
    </row>
    <row r="8" ht="15.75" customHeight="1">
      <c r="A8" s="8"/>
      <c r="B8" s="34" t="s">
        <v>27</v>
      </c>
      <c r="D8" s="33">
        <v>0.0</v>
      </c>
      <c r="E8" s="33">
        <v>20.0</v>
      </c>
      <c r="F8" s="8"/>
      <c r="G8" s="8"/>
      <c r="H8" s="33">
        <v>18.0</v>
      </c>
      <c r="I8" s="33">
        <v>0.0</v>
      </c>
      <c r="J8" s="8"/>
      <c r="K8" s="33">
        <v>100.0</v>
      </c>
      <c r="L8" s="33">
        <v>100.0</v>
      </c>
      <c r="M8" s="8"/>
      <c r="N8" s="8"/>
      <c r="O8" s="8"/>
      <c r="R8" s="33">
        <v>0.0</v>
      </c>
      <c r="S8" s="34" t="s">
        <v>55</v>
      </c>
      <c r="T8" s="33">
        <v>0.0</v>
      </c>
      <c r="U8" s="33">
        <v>0.0</v>
      </c>
      <c r="Z8" s="34" t="s">
        <v>53</v>
      </c>
      <c r="AE8" s="33">
        <v>20.0</v>
      </c>
      <c r="AH8" s="34" t="s">
        <v>56</v>
      </c>
      <c r="AI8" s="33">
        <v>1.0</v>
      </c>
      <c r="AT8" s="33">
        <v>2019.35</v>
      </c>
      <c r="AU8" s="33">
        <v>2019.35</v>
      </c>
      <c r="AW8" s="33">
        <v>0.0</v>
      </c>
      <c r="AX8" s="33">
        <v>0.0</v>
      </c>
      <c r="AZ8" s="33">
        <v>0.0</v>
      </c>
      <c r="BE8" s="33">
        <v>2000.0</v>
      </c>
      <c r="BF8" s="33">
        <v>2000.0</v>
      </c>
      <c r="BJ8" s="9">
        <v>20.0</v>
      </c>
      <c r="BO8" s="9" t="s">
        <v>26</v>
      </c>
      <c r="BT8" s="34" t="s">
        <v>31</v>
      </c>
      <c r="BY8" s="34" t="s">
        <v>32</v>
      </c>
      <c r="BZ8" s="34" t="s">
        <v>34</v>
      </c>
      <c r="CA8" s="34" t="s">
        <v>36</v>
      </c>
      <c r="CB8" s="34" t="s">
        <v>28</v>
      </c>
      <c r="CC8" s="34" t="s">
        <v>30</v>
      </c>
      <c r="CD8" s="34" t="s">
        <v>36</v>
      </c>
    </row>
    <row r="9" ht="15.75" customHeight="1">
      <c r="A9" s="8"/>
      <c r="B9" s="34" t="s">
        <v>27</v>
      </c>
      <c r="D9" s="33">
        <v>0.0</v>
      </c>
      <c r="E9" s="33">
        <v>25.0</v>
      </c>
      <c r="F9" s="8"/>
      <c r="G9" s="8"/>
      <c r="H9" s="33">
        <v>45.0</v>
      </c>
      <c r="I9" s="33">
        <v>0.0</v>
      </c>
      <c r="J9" s="8"/>
      <c r="K9" s="33">
        <v>200.0</v>
      </c>
      <c r="L9" s="33">
        <v>200.0</v>
      </c>
      <c r="M9" s="8"/>
      <c r="N9" s="8"/>
      <c r="O9" s="8"/>
      <c r="R9" s="33">
        <v>0.0</v>
      </c>
      <c r="S9" s="34" t="s">
        <v>55</v>
      </c>
      <c r="T9" s="33">
        <v>0.0</v>
      </c>
      <c r="U9" s="33">
        <v>0.0</v>
      </c>
      <c r="Z9" s="34" t="s">
        <v>53</v>
      </c>
      <c r="AE9" s="33">
        <v>25.0</v>
      </c>
      <c r="AH9" s="34" t="s">
        <v>56</v>
      </c>
      <c r="AI9" s="33">
        <v>1.0</v>
      </c>
      <c r="AT9" s="33">
        <v>5046.875</v>
      </c>
      <c r="AU9" s="33">
        <v>5046.875</v>
      </c>
      <c r="AW9" s="33">
        <v>0.0</v>
      </c>
      <c r="AX9" s="33">
        <v>0.0</v>
      </c>
      <c r="AZ9" s="33">
        <v>0.0</v>
      </c>
      <c r="BE9" s="33">
        <v>5000.0</v>
      </c>
      <c r="BF9" s="33">
        <v>5000.0</v>
      </c>
      <c r="BJ9" s="9">
        <v>25.0</v>
      </c>
      <c r="BO9" s="9" t="s">
        <v>26</v>
      </c>
      <c r="BT9" s="34" t="s">
        <v>33</v>
      </c>
      <c r="BY9" s="34" t="s">
        <v>32</v>
      </c>
      <c r="BZ9" s="34" t="s">
        <v>34</v>
      </c>
      <c r="CA9" s="34" t="s">
        <v>36</v>
      </c>
      <c r="CB9" s="34" t="s">
        <v>28</v>
      </c>
      <c r="CC9" s="34" t="s">
        <v>30</v>
      </c>
      <c r="CD9" s="34" t="s">
        <v>36</v>
      </c>
    </row>
    <row r="10" ht="15.75" customHeight="1">
      <c r="A10" s="8"/>
      <c r="B10" s="34" t="s">
        <v>27</v>
      </c>
      <c r="D10" s="33">
        <v>0.0</v>
      </c>
      <c r="E10" s="33">
        <v>30.0</v>
      </c>
      <c r="F10" s="8"/>
      <c r="G10" s="8"/>
      <c r="H10" s="33">
        <v>27.0</v>
      </c>
      <c r="I10" s="33">
        <v>0.0</v>
      </c>
      <c r="J10" s="8"/>
      <c r="K10" s="33">
        <v>100.0</v>
      </c>
      <c r="L10" s="33">
        <v>100.0</v>
      </c>
      <c r="M10" s="8"/>
      <c r="N10" s="8"/>
      <c r="O10" s="8"/>
      <c r="R10" s="33">
        <v>0.0</v>
      </c>
      <c r="S10" s="34" t="s">
        <v>55</v>
      </c>
      <c r="T10" s="33">
        <v>0.0</v>
      </c>
      <c r="U10" s="33">
        <v>0.0</v>
      </c>
      <c r="Z10" s="34" t="s">
        <v>53</v>
      </c>
      <c r="AE10" s="33">
        <v>30.0</v>
      </c>
      <c r="AH10" s="34" t="s">
        <v>56</v>
      </c>
      <c r="AI10" s="33">
        <v>1.0</v>
      </c>
      <c r="AT10" s="33">
        <v>3028.525</v>
      </c>
      <c r="AU10" s="33">
        <v>3028.525</v>
      </c>
      <c r="AW10" s="33">
        <v>0.0</v>
      </c>
      <c r="AX10" s="33">
        <v>0.0</v>
      </c>
      <c r="AZ10" s="33">
        <v>0.0</v>
      </c>
      <c r="BE10" s="33">
        <v>3000.0</v>
      </c>
      <c r="BF10" s="33">
        <v>3000.0</v>
      </c>
      <c r="BJ10" s="9">
        <v>30.0</v>
      </c>
      <c r="BO10" s="9" t="s">
        <v>26</v>
      </c>
      <c r="BT10" s="34" t="s">
        <v>35</v>
      </c>
      <c r="BY10" s="34" t="s">
        <v>32</v>
      </c>
      <c r="BZ10" s="34" t="s">
        <v>34</v>
      </c>
      <c r="CA10" s="34" t="s">
        <v>36</v>
      </c>
      <c r="CB10" s="34" t="s">
        <v>28</v>
      </c>
      <c r="CC10" s="34" t="s">
        <v>30</v>
      </c>
      <c r="CD10" s="34" t="s">
        <v>36</v>
      </c>
    </row>
    <row r="11" ht="15.75" customHeight="1">
      <c r="A11" s="8"/>
      <c r="B11" s="34" t="s">
        <v>27</v>
      </c>
      <c r="D11" s="33">
        <v>0.0</v>
      </c>
      <c r="E11" s="33">
        <v>35.0</v>
      </c>
      <c r="F11" s="8"/>
      <c r="G11" s="8"/>
      <c r="H11" s="33">
        <v>63.0</v>
      </c>
      <c r="I11" s="33">
        <v>0.0</v>
      </c>
      <c r="J11" s="8"/>
      <c r="K11" s="33">
        <v>200.0</v>
      </c>
      <c r="L11" s="33">
        <v>200.0</v>
      </c>
      <c r="M11" s="8"/>
      <c r="N11" s="8"/>
      <c r="O11" s="8"/>
      <c r="R11" s="33">
        <v>0.0</v>
      </c>
      <c r="S11" s="34" t="s">
        <v>55</v>
      </c>
      <c r="T11" s="33">
        <v>0.0</v>
      </c>
      <c r="U11" s="33">
        <v>0.0</v>
      </c>
      <c r="Z11" s="34" t="s">
        <v>53</v>
      </c>
      <c r="AE11" s="33">
        <v>35.0</v>
      </c>
      <c r="AH11" s="34" t="s">
        <v>56</v>
      </c>
      <c r="AI11" s="33">
        <v>1.0</v>
      </c>
      <c r="AT11" s="33">
        <v>7065.225</v>
      </c>
      <c r="AU11" s="33">
        <v>7065.225</v>
      </c>
      <c r="AW11" s="33">
        <v>0.0</v>
      </c>
      <c r="AX11" s="33">
        <v>0.0</v>
      </c>
      <c r="AZ11" s="33">
        <v>0.0</v>
      </c>
      <c r="BE11" s="33">
        <v>7000.0</v>
      </c>
      <c r="BF11" s="33">
        <v>7000.0</v>
      </c>
      <c r="BJ11" s="9">
        <v>35.0</v>
      </c>
      <c r="BO11" s="9" t="s">
        <v>26</v>
      </c>
      <c r="BT11" s="34" t="s">
        <v>37</v>
      </c>
      <c r="BY11" s="34" t="s">
        <v>32</v>
      </c>
      <c r="BZ11" s="34" t="s">
        <v>34</v>
      </c>
      <c r="CA11" s="34" t="s">
        <v>36</v>
      </c>
      <c r="CB11" s="34" t="s">
        <v>28</v>
      </c>
      <c r="CC11" s="34" t="s">
        <v>30</v>
      </c>
      <c r="CD11" s="34" t="s">
        <v>36</v>
      </c>
    </row>
    <row r="12" ht="15.75" customHeight="1">
      <c r="A12" s="8"/>
      <c r="B12" s="34"/>
      <c r="D12" s="34"/>
      <c r="E12" s="8"/>
      <c r="F12" s="8"/>
      <c r="G12" s="8"/>
      <c r="H12" s="8"/>
      <c r="I12" s="8"/>
      <c r="J12" s="8"/>
      <c r="K12" s="34"/>
      <c r="L12" s="34"/>
      <c r="M12" s="8"/>
      <c r="N12" s="8"/>
      <c r="O12" s="8"/>
      <c r="R12" s="34"/>
      <c r="S12" s="34"/>
      <c r="T12" s="34"/>
      <c r="U12" s="34"/>
      <c r="AI12" s="34"/>
      <c r="BE12" s="34"/>
      <c r="BF12" s="34"/>
      <c r="BT12" s="34"/>
      <c r="BY12" s="34"/>
      <c r="BZ12" s="34"/>
      <c r="CA12" s="34"/>
      <c r="CB12" s="34"/>
      <c r="CC12" s="34"/>
      <c r="CD12" s="34"/>
    </row>
    <row r="13" ht="15.75" customHeight="1">
      <c r="A13" s="8"/>
      <c r="B13" s="8"/>
      <c r="D13" s="8"/>
      <c r="E13" s="8"/>
      <c r="F13" s="8"/>
      <c r="G13" s="8"/>
      <c r="H13" s="8"/>
      <c r="I13" s="8"/>
      <c r="J13" s="8"/>
      <c r="K13" s="34"/>
      <c r="L13" s="34"/>
      <c r="M13" s="8"/>
      <c r="N13" s="8"/>
      <c r="O13" s="8"/>
      <c r="BE13" s="34"/>
      <c r="BF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E14" s="34"/>
      <c r="BF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