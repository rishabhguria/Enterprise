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OptionTradingThroughSecurity" sheetId="5" r:id="rId7"/>
    <sheet state="visible" name="CreateDoneAwayOrder" sheetId="6" r:id="rId8"/>
    <sheet state="visible" name="VerifyOrder" sheetId="7" r:id="rId9"/>
    <sheet state="visible" name="VerifyOrder1" sheetId="8" r:id="rId10"/>
  </sheets>
  <definedNames/>
  <calcPr/>
</workbook>
</file>

<file path=xl/sharedStrings.xml><?xml version="1.0" encoding="utf-8"?>
<sst xmlns="http://schemas.openxmlformats.org/spreadsheetml/2006/main" count="96" uniqueCount="40">
  <si>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</si>
  <si>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</si>
  <si>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</si>
  <si>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</si>
  <si>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</si>
  <si>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</si>
  <si>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</si>
  <si>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</si>
  <si>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</si>
  <si>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</si>
  <si>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</si>
  <si>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</si>
  <si>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</si>
  <si>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</si>
  <si>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</si>
  <si>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</si>
  <si>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TradingTicket</t>
  </si>
  <si>
    <t>OptionTradingThroughSecurity</t>
  </si>
  <si>
    <t>AAPL</t>
  </si>
  <si>
    <t>Call</t>
  </si>
  <si>
    <t>Buy to Open</t>
  </si>
  <si>
    <t>Allocation1</t>
  </si>
  <si>
    <t>MS</t>
  </si>
  <si>
    <t>DoneAway</t>
  </si>
  <si>
    <t>IBM</t>
  </si>
  <si>
    <t>Put</t>
  </si>
  <si>
    <t>CreateOrder</t>
  </si>
  <si>
    <t>GOOG</t>
  </si>
  <si>
    <t>Send</t>
  </si>
  <si>
    <t>CreateDoneAwayOrder</t>
  </si>
  <si>
    <t>MSFT</t>
  </si>
  <si>
    <t>Buy</t>
  </si>
  <si>
    <t>Blotter</t>
  </si>
  <si>
    <t>VerifyOrder</t>
  </si>
  <si>
    <t>Filled</t>
  </si>
  <si>
    <t>Negative</t>
  </si>
  <si>
    <t>Symbol</t>
  </si>
  <si>
    <t>O:AAPL 30D150.00D12</t>
  </si>
  <si>
    <t>O:IBM 30D150.00D12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</si>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</sst>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 t="str">
        <f>IFERROR(__xludf.DUMMYFUNCTION("""COMPUTED_VALUE"""),"ShowHideTargetQuantity")</f>
        <v>ShowHideTargetQuantity</v>
      </c>
      <c r="G5" s="28" t="str">
        <f>IFERROR(__xludf.DUMMYFUNCTION("""COMPUTED_VALUE"""),"SecurityValidationForEquityOption")</f>
        <v>SecurityValidationForEquityOption</v>
      </c>
      <c r="H5" s="28" t="str">
        <f>IFERROR(__xludf.DUMMYFUNCTION("""COMPUTED_VALUE"""),"Order Type")</f>
        <v>Order Type</v>
      </c>
      <c r="I5" s="28" t="str">
        <f>IFERROR(__xludf.DUMMYFUNCTION("""COMPUTED_VALUE"""),"Account")</f>
        <v>Account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IFERROR(__xludf.DUMMYFUNCTION("""COMPUTED_VALUE"""),"Underlying Symbol")</f>
        <v>Underlying Symbol</v>
      </c>
      <c r="C5" s="28" t="str">
        <f>IFERROR(__xludf.DUMMYFUNCTION("""COMPUTED_VALUE"""),"Option Type")</f>
        <v>Option Type</v>
      </c>
      <c r="D5" s="28" t="str">
        <f>IFERROR(__xludf.DUMMYFUNCTION("""COMPUTED_VALUE"""),"Expiration Date")</f>
        <v>Expiration Date</v>
      </c>
      <c r="E5" s="28" t="str">
        <f>IFERROR(__xludf.DUMMYFUNCTION("""COMPUTED_VALUE"""),"Strike Price")</f>
        <v>Strike Price</v>
      </c>
      <c r="F5" s="29" t="str">
        <f>IFERROR(__xludf.DUMMYFUNCTION("""COMPUTED_VALUE"""),"Symbol")</f>
        <v>Symbol</v>
      </c>
      <c r="G5" s="28" t="str">
        <f>IFERROR(__xludf.DUMMYFUNCTION("""COMPUTED_VALUE"""),"Order Side")</f>
        <v>Order Side</v>
      </c>
      <c r="H5" s="28" t="str">
        <f>IFERROR(__xludf.DUMMYFUNCTION("""COMPUTED_VALUE"""),"Quantity")</f>
        <v>Quantity</v>
      </c>
      <c r="I5" s="28" t="str">
        <f>IFERROR(__xludf.DUMMYFUNCTION("""COMPUTED_VALUE"""),"TargetQuantityIn")</f>
        <v>TargetQuantityIn</v>
      </c>
      <c r="J5" s="28" t="str">
        <f>IFERROR(__xludf.DUMMYFUNCTION("""COMPUTED_VALUE"""),"AllocationMethod")</f>
        <v>AllocationMethod</v>
      </c>
      <c r="K5" s="28" t="str">
        <f>IFERROR(__xludf.DUMMYFUNCTION("""COMPUTED_VALUE"""),"Broker")</f>
        <v>Broker</v>
      </c>
      <c r="L5" s="28" t="str">
        <f>IFERROR(__xludf.DUMMYFUNCTION("""COMPUTED_VALUE"""),"TIF")</f>
        <v>TIF</v>
      </c>
      <c r="M5" s="28" t="str">
        <f>IFERROR(__xludf.DUMMYFUNCTION("""COMPUTED_VALUE"""),"Order Type")</f>
        <v>Order Type</v>
      </c>
      <c r="N5" s="28" t="str">
        <f>IFERROR(__xludf.DUMMYFUNCTION("""COMPUTED_VALUE"""),"Price")</f>
        <v>Price</v>
      </c>
      <c r="O5" s="28" t="str">
        <f>IFERROR(__xludf.DUMMYFUNCTION("""COMPUTED_VALUE"""),"Button")</f>
        <v>Button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32">
        <v>47848.0</v>
      </c>
      <c r="E6" s="13">
        <v>150.0</v>
      </c>
      <c r="F6" s="13"/>
      <c r="G6" s="13" t="s">
        <v>20</v>
      </c>
      <c r="H6" s="13">
        <v>1000.0</v>
      </c>
      <c r="I6" s="8"/>
      <c r="J6" s="13" t="s">
        <v>21</v>
      </c>
      <c r="K6" s="13" t="s">
        <v>22</v>
      </c>
      <c r="L6" s="8"/>
      <c r="M6" s="8"/>
      <c r="N6" s="13">
        <v>10.0</v>
      </c>
      <c r="O6" s="13" t="s">
        <v>23</v>
      </c>
    </row>
    <row r="7" ht="15.75" customHeight="1">
      <c r="A7" s="8"/>
      <c r="B7" s="13" t="s">
        <v>24</v>
      </c>
      <c r="C7" s="13" t="s">
        <v>25</v>
      </c>
      <c r="D7" s="32">
        <v>47848.0</v>
      </c>
      <c r="E7" s="13">
        <v>150.0</v>
      </c>
      <c r="F7" s="13"/>
      <c r="G7" s="13" t="s">
        <v>20</v>
      </c>
      <c r="H7" s="13">
        <v>1000.0</v>
      </c>
      <c r="I7" s="8"/>
      <c r="J7" s="13" t="s">
        <v>21</v>
      </c>
      <c r="K7" s="13" t="s">
        <v>22</v>
      </c>
      <c r="L7" s="8"/>
      <c r="M7" s="8"/>
      <c r="N7" s="13">
        <v>10.0</v>
      </c>
      <c r="O7" s="13" t="s">
        <v>26</v>
      </c>
    </row>
    <row r="8" ht="15.75" customHeight="1">
      <c r="A8" s="8"/>
      <c r="B8" s="13" t="s">
        <v>27</v>
      </c>
      <c r="C8" s="13" t="s">
        <v>19</v>
      </c>
      <c r="D8" s="32">
        <v>47848.0</v>
      </c>
      <c r="E8" s="13">
        <v>150.0</v>
      </c>
      <c r="F8" s="13"/>
      <c r="G8" s="13" t="s">
        <v>20</v>
      </c>
      <c r="H8" s="13">
        <v>1000.0</v>
      </c>
      <c r="I8" s="8"/>
      <c r="J8" s="13" t="s">
        <v>21</v>
      </c>
      <c r="K8" s="13" t="s">
        <v>22</v>
      </c>
      <c r="L8" s="8"/>
      <c r="M8" s="8"/>
      <c r="N8" s="13">
        <v>10.0</v>
      </c>
      <c r="O8" s="13" t="s">
        <v>28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OptionTradingThroughSecurity!$4:$4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30</v>
      </c>
      <c r="AJ6" s="13" t="s">
        <v>31</v>
      </c>
      <c r="AK6" s="9" t="s">
        <v>34</v>
      </c>
      <c r="AL6" s="13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18</v>
      </c>
      <c r="AJ7" s="13" t="s">
        <v>31</v>
      </c>
      <c r="AK7" s="9" t="s">
        <v>34</v>
      </c>
      <c r="AL7" s="13">
        <v>1000.0</v>
      </c>
      <c r="BB7" s="9" t="s">
        <v>35</v>
      </c>
      <c r="BC7" s="9" t="s">
        <v>36</v>
      </c>
      <c r="BD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3" t="s">
        <v>24</v>
      </c>
      <c r="AJ8" s="13" t="s">
        <v>31</v>
      </c>
      <c r="AK8" s="9" t="s">
        <v>34</v>
      </c>
      <c r="AL8" s="13">
        <v>1000.0</v>
      </c>
      <c r="BB8" s="9" t="s">
        <v>35</v>
      </c>
      <c r="BC8" s="9" t="s">
        <v>36</v>
      </c>
      <c r="BD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27</v>
      </c>
      <c r="AJ9" s="13" t="s">
        <v>31</v>
      </c>
      <c r="AK9" s="9" t="s">
        <v>34</v>
      </c>
      <c r="AL9" s="13">
        <v>1000.0</v>
      </c>
      <c r="BB9" s="9" t="s">
        <v>35</v>
      </c>
      <c r="BC9" s="9" t="s">
        <v>36</v>
      </c>
      <c r="BD9" s="9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  <col customWidth="1" min="35" max="35" width="20.75"/>
    <col customWidth="1" min="36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30</v>
      </c>
      <c r="AJ6" s="13" t="s">
        <v>31</v>
      </c>
      <c r="AK6" s="9" t="s">
        <v>34</v>
      </c>
      <c r="AL6" s="13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37</v>
      </c>
      <c r="AJ7" s="13" t="s">
        <v>20</v>
      </c>
      <c r="AK7" s="13" t="s">
        <v>34</v>
      </c>
      <c r="AL7" s="13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3" t="s">
        <v>38</v>
      </c>
      <c r="AJ8" s="13" t="s">
        <v>20</v>
      </c>
      <c r="AK8" s="13" t="s">
        <v>39</v>
      </c>
      <c r="AL8" s="13">
        <v>1000.0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