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TabBlotter" sheetId="4" r:id="rId6"/>
    <sheet state="visible" name="CreateStageOrder" sheetId="5" r:id="rId7"/>
    <sheet state="visible" name="EnableOrVerifyHotButton" sheetId="6" r:id="rId8"/>
    <sheet state="visible" name="CreateHotButtonOnBlotter" sheetId="7" r:id="rId9"/>
    <sheet state="visible" name="CreateHotButtonOnBlotter1" sheetId="8" r:id="rId10"/>
    <sheet state="visible" name="CreateHotButtonOnBlotter2" sheetId="9" r:id="rId11"/>
    <sheet state="visible" name="CustomTabActions" sheetId="10" r:id="rId12"/>
    <sheet state="visible" name="EnableOrVerifyHotButton1" sheetId="11" r:id="rId13"/>
    <sheet state="visible" name="FillHBdetailsOnBlotter" sheetId="12" r:id="rId14"/>
    <sheet state="visible" name="EnableOrVerifyHotButton2" sheetId="13" r:id="rId15"/>
    <sheet state="visible" name="EnableOrVerifyHotButton3" sheetId="14" r:id="rId16"/>
    <sheet state="visible" name="VerifyToastMessage" sheetId="15" r:id="rId17"/>
  </sheets>
  <definedNames/>
  <calcPr/>
</workbook>
</file>

<file path=xl/sharedStrings.xml><?xml version="1.0" encoding="utf-8"?>
<sst xmlns="http://schemas.openxmlformats.org/spreadsheetml/2006/main" count="129" uniqueCount="44">
  <si>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</si>
  <si>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</si>
  <si>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</si>
  <si>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</si>
  <si>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</si>
  <si>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</si>
  <si>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</si>
  <si>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</si>
  <si>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</si>
  <si>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</si>
  <si>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</si>
  <si>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</si>
  <si>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</si>
  <si>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AddTabBlotter</t>
  </si>
  <si>
    <t>Data Format</t>
  </si>
  <si>
    <t>Input Format</t>
  </si>
  <si>
    <t>Custom</t>
  </si>
  <si>
    <t>Add Tab(Order)</t>
  </si>
  <si>
    <t>TradingTicket</t>
  </si>
  <si>
    <t>CreateStageOrder</t>
  </si>
  <si>
    <t>AAPL</t>
  </si>
  <si>
    <t>Buy</t>
  </si>
  <si>
    <t>Allocation1</t>
  </si>
  <si>
    <t>EnableOrVerifyHotButton</t>
  </si>
  <si>
    <t>CreateHotButtonOnBlotter</t>
  </si>
  <si>
    <t>HB4</t>
  </si>
  <si>
    <t>Send Order To Market</t>
  </si>
  <si>
    <t>No Confirmation</t>
  </si>
  <si>
    <t>Next</t>
  </si>
  <si>
    <t>HB5</t>
  </si>
  <si>
    <t>Show confirmation</t>
  </si>
  <si>
    <t>HB6</t>
  </si>
  <si>
    <t>Confirm on TT</t>
  </si>
  <si>
    <t>CustomTabActions</t>
  </si>
  <si>
    <t>Select</t>
  </si>
  <si>
    <t>Order</t>
  </si>
  <si>
    <t>New</t>
  </si>
  <si>
    <t>Favorite</t>
  </si>
  <si>
    <t>FillHBdetailsOnBlotter</t>
  </si>
  <si>
    <t>Quantity</t>
  </si>
  <si>
    <t>Remaining Quantity</t>
  </si>
  <si>
    <t>OpenFin</t>
  </si>
  <si>
    <t>VerifyToastMessage</t>
  </si>
  <si>
    <t>Cannot generate sub order since quantities greater than remaining.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</si>
</sst>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IFERROR(__xludf.DUMMYFUNCTION("""COMPUTED_VALUE"""),"Button Name")</f>
        <v>Button 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1" t="s">
        <v>17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50.0</v>
      </c>
      <c r="E6" s="32"/>
      <c r="F6" s="13" t="s">
        <v>22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25</v>
      </c>
      <c r="C6" s="31" t="s">
        <v>26</v>
      </c>
      <c r="D6" s="35" t="s">
        <v>27</v>
      </c>
      <c r="E6" s="36"/>
      <c r="F6" s="31" t="s">
        <v>28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29</v>
      </c>
      <c r="C6" s="31" t="s">
        <v>26</v>
      </c>
      <c r="D6" s="13" t="s">
        <v>30</v>
      </c>
      <c r="E6" s="36"/>
      <c r="F6" s="31" t="s">
        <v>28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31</v>
      </c>
      <c r="C6" s="31" t="s">
        <v>26</v>
      </c>
      <c r="D6" s="13" t="s">
        <v>32</v>
      </c>
      <c r="E6" s="36"/>
      <c r="F6" s="31" t="s">
        <v>28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CreateHotButtonOnBlotter2!$4:$4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IFERROR(__xludf.DUMMYFUNCTION("""COMPUTED_VALUE"""),"ActionOnWhichGrid")</f>
        <v>ActionOnWhichGrid</v>
      </c>
      <c r="D5" s="28" t="str">
        <f>IFERROR(__xludf.DUMMYFUNCTION("""COMPUTED_VALUE"""),"TabName")</f>
        <v>TabName</v>
      </c>
      <c r="E5" s="28" t="str">
        <f>IFERROR(__xludf.DUMMYFUNCTION("""COMPUTED_VALUE"""),"Symbol")</f>
        <v>Symbol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IFERROR(__xludf.DUMMYFUNCTION("""COMPUTED_VALUE"""),"Broker")</f>
        <v>Broker</v>
      </c>
      <c r="J5" s="28" t="str">
        <f>IFERROR(__xludf.DUMMYFUNCTION("""COMPUTED_VALUE"""),"Account")</f>
        <v>Account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35" t="s">
        <v>35</v>
      </c>
      <c r="D6" s="35" t="s">
        <v>16</v>
      </c>
      <c r="E6" s="13" t="s">
        <v>20</v>
      </c>
      <c r="F6" s="13" t="s">
        <v>21</v>
      </c>
      <c r="G6" s="13" t="s">
        <v>36</v>
      </c>
      <c r="H6" s="13">
        <v>50.0</v>
      </c>
      <c r="I6" s="8"/>
      <c r="J6" s="8"/>
      <c r="K6" s="8"/>
      <c r="L6" s="8"/>
      <c r="M6" s="8"/>
      <c r="N6" s="8"/>
      <c r="O6" s="8"/>
      <c r="BA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CustomTabActions!$4:$4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6"/>
      <c r="D6" s="34" t="s">
        <v>25</v>
      </c>
      <c r="E6" s="37" t="b">
        <v>1</v>
      </c>
      <c r="F6" s="31" t="s">
        <v>37</v>
      </c>
      <c r="G6" s="36"/>
      <c r="H6" s="37" t="b">
        <v>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6"/>
      <c r="D6" s="33"/>
      <c r="E6" s="36"/>
      <c r="F6" s="36"/>
      <c r="G6" s="36"/>
      <c r="H6" s="36"/>
      <c r="I6" s="36"/>
      <c r="J6" s="36"/>
      <c r="K6" s="37" t="b">
        <v>1</v>
      </c>
      <c r="L6" s="31" t="s">
        <v>28</v>
      </c>
      <c r="M6" s="34" t="s">
        <v>39</v>
      </c>
      <c r="N6" s="38">
        <v>99.8484</v>
      </c>
      <c r="O6" s="31" t="s">
        <v>40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6"/>
      <c r="D6" s="34" t="s">
        <v>29</v>
      </c>
      <c r="E6" s="37" t="b">
        <v>1</v>
      </c>
      <c r="F6" s="31" t="s">
        <v>37</v>
      </c>
      <c r="G6" s="36"/>
      <c r="H6" s="37" t="b">
        <v>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6"/>
      <c r="D6" s="34" t="s">
        <v>31</v>
      </c>
      <c r="E6" s="37" t="b">
        <v>1</v>
      </c>
      <c r="F6" s="31" t="s">
        <v>37</v>
      </c>
      <c r="G6" s="36"/>
      <c r="H6" s="37" t="b">
        <v>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EnableOrVerifyHotButton3!$4:$4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 t="str">
        <f>IFERROR(__xludf.DUMMYFUNCTION("""COMPUTED_VALUE"""),"LockUnlockModule")</f>
        <v>LockUnlockModule</v>
      </c>
      <c r="N4" s="25" t="str">
        <f>IFERROR(__xludf.DUMMYFUNCTION("""COMPUTED_VALUE"""),"OpenModuleFromDock")</f>
        <v>OpenModuleFromDock</v>
      </c>
      <c r="O4" s="25" t="str">
        <f>IFERROR(__xludf.DUMMYFUNCTION("""COMPUTED_VALUE"""),"SavePageRTPNL")</f>
        <v>SavePageRTPNL</v>
      </c>
      <c r="P4" s="26" t="str">
        <f>IFERROR(__xludf.DUMMYFUNCTION("""COMPUTED_VALUE"""),"VerifyToastMessage")</f>
        <v>VerifyToastMessage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IFERROR(__xludf.DUMMYFUNCTION("""COMPUTED_VALUE"""),"Message")</f>
        <v>Message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5" t="s">
        <v>43</v>
      </c>
      <c r="C6" s="36"/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VerifyToastMessage!$4:$4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