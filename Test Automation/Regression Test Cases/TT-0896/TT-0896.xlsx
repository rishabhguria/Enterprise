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GetDailyCash" sheetId="5" r:id="rId7"/>
    <sheet state="visible" name="UpdateMultipleDailyCash" sheetId="6" r:id="rId8"/>
    <sheet state="visible" name="CreateOrderPTT" sheetId="7" r:id="rId9"/>
    <sheet state="visible" name="VerifyBlotter" sheetId="8" r:id="rId10"/>
    <sheet state="visible" name="VerifyWorkingSubs" sheetId="9" r:id="rId11"/>
    <sheet state="visible" name="LoginClient" sheetId="10" r:id="rId12"/>
    <sheet state="visible" name="OpenRTPNL" sheetId="11" r:id="rId13"/>
    <sheet state="visible" name="CheckRealTimeSymAccountMonitor" sheetId="12" r:id="rId14"/>
    <sheet state="visible" name="VerifyTagInAllFixLogs" sheetId="13" r:id="rId15"/>
  </sheets>
  <definedNames/>
  <calcPr/>
</workbook>
</file>

<file path=xl/sharedStrings.xml><?xml version="1.0" encoding="utf-8"?>
<sst xmlns="http://schemas.openxmlformats.org/spreadsheetml/2006/main" count="1302" uniqueCount="154">
  <si>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</si>
  <si>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</si>
  <si>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</si>
  <si>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</si>
  <si>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</si>
  <si>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</si>
  <si>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</si>
  <si>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</si>
  <si>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</si>
  <si>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</si>
  <si>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</si>
  <si>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</si>
  <si>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</si>
  <si>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</si>
  <si>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</si>
  <si>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</si>
  <si>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</si>
  <si>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</si>
  <si>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</si>
  <si>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</si>
  <si>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</si>
  <si>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</si>
  <si>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</si>
  <si>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</si>
  <si>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</si>
  <si>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</si>
  <si>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</si>
  <si>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</si>
  <si>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</si>
  <si>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</si>
  <si>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</si>
  <si>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</si>
  <si>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</si>
  <si>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</si>
  <si>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</si>
  <si>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</si>
  <si>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</si>
  <si>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</si>
  <si>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</si>
  <si>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</si>
  <si>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</si>
  <si>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</si>
  <si>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</si>
  <si>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</si>
  <si>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</si>
  <si>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</si>
  <si>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</si>
  <si>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</si>
  <si>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</si>
  <si>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</si>
  <si>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AAPL</t>
  </si>
  <si>
    <t>DoneAway</t>
  </si>
  <si>
    <t>O:AAPL 13N715.00</t>
  </si>
  <si>
    <t>CreateOrder</t>
  </si>
  <si>
    <t>Yes</t>
  </si>
  <si>
    <t>IBM</t>
  </si>
  <si>
    <t>GOOG</t>
  </si>
  <si>
    <t>Send</t>
  </si>
  <si>
    <t>DailyValuation</t>
  </si>
  <si>
    <t>GetDailyCash</t>
  </si>
  <si>
    <t>UpdateMultipleDailyCash</t>
  </si>
  <si>
    <t>Allocation1</t>
  </si>
  <si>
    <t>USD</t>
  </si>
  <si>
    <t>PTT</t>
  </si>
  <si>
    <t>CreateOrderPTT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</si>
  <si>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</si>
  <si>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</si>
  <si>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</si>
  <si>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</si>
  <si>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</si>
  <si>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</si>
  <si>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</si>
  <si>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SoftNotesCount</t>
  </si>
  <si>
    <t>SoftNotesComment</t>
  </si>
  <si>
    <t>DoNotAllowTrade</t>
  </si>
  <si>
    <t>Round Lots</t>
  </si>
  <si>
    <t>Alert Type</t>
  </si>
  <si>
    <t>Use Custodian Broker</t>
  </si>
  <si>
    <t>MSFT</t>
  </si>
  <si>
    <t>Increase</t>
  </si>
  <si>
    <t>Blotter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</si>
  <si>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</si>
  <si>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</si>
  <si>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</si>
  <si>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</si>
  <si>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</si>
  <si>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</si>
  <si>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</si>
  <si>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</si>
  <si>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</si>
  <si>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</si>
  <si>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</si>
  <si>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</si>
  <si>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</si>
  <si>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</si>
  <si>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</si>
  <si>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</si>
  <si>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</si>
  <si>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</si>
  <si>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</si>
  <si>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</si>
  <si>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% Executed</t>
  </si>
  <si>
    <t>Day Executed Qty</t>
  </si>
  <si>
    <t>Day Average Price</t>
  </si>
  <si>
    <t>Leaves</t>
  </si>
  <si>
    <t>Side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</si>
  <si>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</si>
  <si>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</si>
  <si>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</si>
  <si>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</si>
  <si>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</si>
  <si>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</si>
  <si>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</si>
  <si>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</si>
  <si>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</si>
  <si>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</si>
  <si>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</si>
  <si>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</si>
  <si>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</si>
  <si>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</si>
  <si>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</si>
  <si>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</si>
  <si>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/>
  </si>
  <si>
    <t>N/A</t>
  </si>
  <si>
    <t>Filled</t>
  </si>
  <si>
    <t>Manual</t>
  </si>
  <si>
    <t>N.A.</t>
  </si>
  <si>
    <t>NewMF</t>
  </si>
  <si>
    <t>Buy</t>
  </si>
  <si>
    <t>Equity</t>
  </si>
  <si>
    <t>jpearce</t>
  </si>
  <si>
    <t>MS</t>
  </si>
  <si>
    <t>NASDAQ</t>
  </si>
  <si>
    <t>New</t>
  </si>
  <si>
    <t>Buy to Open</t>
  </si>
  <si>
    <t>EquityOption</t>
  </si>
  <si>
    <t>EquitySwap</t>
  </si>
  <si>
    <t>VerifyWorkingSubs</t>
  </si>
  <si>
    <t>Market</t>
  </si>
  <si>
    <t>M</t>
  </si>
  <si>
    <t>GCCAP1</t>
  </si>
  <si>
    <t>PendingNew</t>
  </si>
  <si>
    <t>PranaClient</t>
  </si>
  <si>
    <t>LoginClient</t>
  </si>
  <si>
    <t>Support6</t>
  </si>
  <si>
    <t>Nirvana@1</t>
  </si>
  <si>
    <t>RTPNL</t>
  </si>
  <si>
    <t>OpenRTPNL</t>
  </si>
  <si>
    <t>Nirvana,PM</t>
  </si>
  <si>
    <t>CheckRealTimeSymAccountMonitor</t>
  </si>
  <si>
    <t>APPLE</t>
  </si>
  <si>
    <t>Long</t>
  </si>
  <si>
    <t>Simulator</t>
  </si>
  <si>
    <t>VerifyTagInAllFixLogs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</si>
</sst>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11.0"/>
      <name val="Calibri"/>
    </font>
    <font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3" numFmtId="0" xfId="0" applyAlignment="1" applyFill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5" fontId="4" numFmtId="0" xfId="0" applyAlignment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5" fillId="6" fontId="15" numFmtId="4" xfId="0" applyAlignment="1" applyBorder="1" applyFill="1" applyFont="1" applyNumberFormat="1">
      <alignment horizontal="right" vertical="bottom"/>
    </xf>
    <xf borderId="0" fillId="0" fontId="2" numFmtId="164" xfId="0" applyFont="1" applyNumberFormat="1"/>
    <xf borderId="5" fillId="7" fontId="15" numFmtId="4" xfId="0" applyAlignment="1" applyBorder="1" applyFill="1" applyFont="1" applyNumberFormat="1">
      <alignment horizontal="right" vertical="bottom"/>
    </xf>
    <xf borderId="5" fillId="6" fontId="15" numFmtId="0" xfId="0" applyAlignment="1" applyBorder="1" applyFont="1">
      <alignment horizontal="right" vertical="bottom"/>
    </xf>
    <xf borderId="5" fillId="7" fontId="1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30"/>
      <c r="B6" s="31" t="s">
        <v>50</v>
      </c>
      <c r="C6" s="32">
        <v>100.0</v>
      </c>
      <c r="D6" s="33">
        <v>10.0</v>
      </c>
      <c r="E6" s="34" t="s">
        <v>51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52</v>
      </c>
      <c r="C7" s="32">
        <v>100.0</v>
      </c>
      <c r="D7" s="32">
        <v>10.0</v>
      </c>
      <c r="E7" s="34" t="s">
        <v>53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54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12" t="s">
        <v>55</v>
      </c>
      <c r="C8" s="32">
        <v>100.0</v>
      </c>
      <c r="D8" s="32">
        <v>10.0</v>
      </c>
      <c r="E8" s="34" t="s">
        <v>51</v>
      </c>
      <c r="F8" s="8"/>
      <c r="G8" s="8"/>
      <c r="H8" s="8"/>
      <c r="I8" s="8"/>
      <c r="J8" s="8"/>
      <c r="K8" s="8"/>
      <c r="L8" s="8"/>
      <c r="M8" s="8"/>
      <c r="N8" s="8"/>
      <c r="O8" s="8"/>
      <c r="AI8" s="35" t="s">
        <v>54</v>
      </c>
    </row>
    <row r="9" ht="15.75" customHeight="1">
      <c r="A9" s="8"/>
      <c r="B9" s="12" t="s">
        <v>56</v>
      </c>
      <c r="C9" s="32">
        <v>100.0</v>
      </c>
      <c r="D9" s="32">
        <v>10.0</v>
      </c>
      <c r="E9" s="12" t="s">
        <v>57</v>
      </c>
      <c r="F9" s="8"/>
      <c r="G9" s="8"/>
      <c r="H9" s="8"/>
      <c r="I9" s="8"/>
      <c r="J9" s="8"/>
      <c r="K9" s="8"/>
      <c r="L9" s="8"/>
      <c r="M9" s="8"/>
      <c r="N9" s="8"/>
      <c r="O9" s="8"/>
      <c r="AI9" s="35" t="s">
        <v>54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6" t="str">
        <f>IFERROR(__xludf.DUMMYFUNCTION("TRANSPOSE(IMPORTRANGE(VLOOKUP($E$3,IMPORTRANGE('_Settings'!$B$3,$C$3&amp;""!A4:B1000""),2,FALSE),$G$3&amp;""!A4:A1000""))"),"")</f>
        <v/>
      </c>
      <c r="B5" s="37" t="str">
        <f>IFERROR(__xludf.DUMMYFUNCTION("""COMPUTED_VALUE"""),"Select Date")</f>
        <v>Select Date</v>
      </c>
      <c r="C5" s="37" t="str">
        <f>IFERROR(__xludf.DUMMYFUNCTION("""COMPUTED_VALUE"""),"Copy From")</f>
        <v>Copy From</v>
      </c>
      <c r="D5" s="37"/>
      <c r="E5" s="37"/>
      <c r="F5" s="38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</row>
    <row r="6" ht="15.75" customHeight="1">
      <c r="A6" s="12"/>
      <c r="B6" s="40">
        <f>TODAY()-1</f>
        <v>45886</v>
      </c>
      <c r="C6" s="41">
        <f>TODAY()</f>
        <v>45887</v>
      </c>
      <c r="D6" s="12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6" t="str">
        <f>IFERROR(__xludf.DUMMYFUNCTION("TRANSPOSE(IMPORTRANGE(VLOOKUP($E$3,IMPORTRANGE('_Settings'!$B$3,$C$3&amp;""!A4:B1000""),2,FALSE),$G$3&amp;""!A4:A1000""))"),"")</f>
        <v/>
      </c>
      <c r="B5" s="37" t="str">
        <f>IFERROR(__xludf.DUMMYFUNCTION("""COMPUTED_VALUE"""),"Account")</f>
        <v>Account</v>
      </c>
      <c r="C5" s="37" t="str">
        <f>IFERROR(__xludf.DUMMYFUNCTION("""COMPUTED_VALUE"""),"Local Currency")</f>
        <v>Local Currency</v>
      </c>
      <c r="D5" s="37" t="str">
        <f>IFERROR(__xludf.DUMMYFUNCTION("""COMPUTED_VALUE"""),"Cash Value Local")</f>
        <v>Cash Value Local</v>
      </c>
      <c r="E5" s="37"/>
      <c r="F5" s="38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</row>
    <row r="6" ht="15.75" customHeight="1">
      <c r="A6" s="12"/>
      <c r="B6" s="12" t="s">
        <v>61</v>
      </c>
      <c r="C6" s="12" t="s">
        <v>62</v>
      </c>
      <c r="D6" s="12">
        <v>1.0E7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6"/>
      <c r="B5" s="27" t="s">
        <v>65</v>
      </c>
      <c r="C5" s="27" t="s">
        <v>66</v>
      </c>
      <c r="D5" s="27" t="s">
        <v>67</v>
      </c>
      <c r="E5" s="27" t="s">
        <v>68</v>
      </c>
      <c r="F5" s="28" t="s">
        <v>18</v>
      </c>
      <c r="G5" s="27" t="s">
        <v>69</v>
      </c>
      <c r="H5" s="27" t="s">
        <v>70</v>
      </c>
      <c r="I5" s="27" t="s">
        <v>71</v>
      </c>
      <c r="J5" s="27" t="s">
        <v>72</v>
      </c>
      <c r="K5" s="27" t="s">
        <v>73</v>
      </c>
      <c r="L5" s="27" t="s">
        <v>74</v>
      </c>
      <c r="M5" s="27" t="s">
        <v>75</v>
      </c>
      <c r="N5" s="27" t="s">
        <v>76</v>
      </c>
      <c r="O5" s="27" t="s">
        <v>77</v>
      </c>
      <c r="P5" s="27" t="s">
        <v>41</v>
      </c>
      <c r="Q5" s="27" t="s">
        <v>44</v>
      </c>
      <c r="R5" s="27" t="s">
        <v>35</v>
      </c>
      <c r="S5" s="27" t="s">
        <v>36</v>
      </c>
      <c r="T5" s="29" t="s">
        <v>37</v>
      </c>
      <c r="U5" s="29" t="s">
        <v>38</v>
      </c>
      <c r="V5" s="29" t="s">
        <v>49</v>
      </c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</row>
    <row r="6" ht="15.75" customHeight="1">
      <c r="A6" s="12"/>
      <c r="B6" s="12" t="s">
        <v>78</v>
      </c>
      <c r="C6" s="12" t="s">
        <v>79</v>
      </c>
      <c r="D6" s="12"/>
      <c r="E6" s="12">
        <v>10.0</v>
      </c>
      <c r="F6" s="12">
        <v>10.0</v>
      </c>
      <c r="G6" s="8"/>
      <c r="H6" s="8"/>
      <c r="I6" s="12" t="s">
        <v>61</v>
      </c>
      <c r="J6" s="8"/>
      <c r="K6" s="8"/>
      <c r="L6" s="8"/>
      <c r="M6" s="8"/>
      <c r="N6" s="8"/>
      <c r="O6" s="8"/>
      <c r="V6" s="9" t="s">
        <v>54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35"/>
      <c r="B5" s="43" t="s">
        <v>82</v>
      </c>
      <c r="C5" s="43" t="s">
        <v>83</v>
      </c>
      <c r="D5" s="43" t="s">
        <v>84</v>
      </c>
      <c r="E5" s="43" t="s">
        <v>85</v>
      </c>
      <c r="F5" s="44" t="s">
        <v>86</v>
      </c>
      <c r="G5" s="43" t="s">
        <v>87</v>
      </c>
      <c r="H5" s="43" t="s">
        <v>88</v>
      </c>
      <c r="I5" s="43" t="s">
        <v>89</v>
      </c>
      <c r="J5" s="43" t="s">
        <v>90</v>
      </c>
      <c r="K5" s="43" t="s">
        <v>91</v>
      </c>
      <c r="L5" s="43" t="s">
        <v>92</v>
      </c>
      <c r="M5" s="43" t="s">
        <v>93</v>
      </c>
      <c r="N5" s="43" t="s">
        <v>94</v>
      </c>
      <c r="O5" s="43" t="s">
        <v>95</v>
      </c>
      <c r="P5" s="43" t="s">
        <v>96</v>
      </c>
      <c r="Q5" s="43" t="s">
        <v>97</v>
      </c>
      <c r="R5" s="43" t="s">
        <v>98</v>
      </c>
      <c r="S5" s="43" t="s">
        <v>99</v>
      </c>
      <c r="T5" s="43" t="s">
        <v>100</v>
      </c>
      <c r="U5" s="43" t="s">
        <v>30</v>
      </c>
      <c r="V5" s="43" t="s">
        <v>101</v>
      </c>
      <c r="W5" s="43" t="s">
        <v>102</v>
      </c>
      <c r="X5" s="43" t="s">
        <v>103</v>
      </c>
      <c r="Y5" s="43" t="s">
        <v>104</v>
      </c>
      <c r="Z5" s="43" t="s">
        <v>105</v>
      </c>
      <c r="AA5" s="43" t="s">
        <v>36</v>
      </c>
      <c r="AB5" s="43" t="s">
        <v>16</v>
      </c>
      <c r="AC5" s="43" t="s">
        <v>106</v>
      </c>
      <c r="AD5" s="43" t="s">
        <v>107</v>
      </c>
      <c r="AE5" s="43" t="s">
        <v>108</v>
      </c>
      <c r="AF5" s="43" t="s">
        <v>109</v>
      </c>
      <c r="AG5" s="43" t="s">
        <v>110</v>
      </c>
      <c r="AH5" s="43" t="s">
        <v>111</v>
      </c>
      <c r="AI5" s="43" t="s">
        <v>112</v>
      </c>
      <c r="AJ5" s="43" t="s">
        <v>113</v>
      </c>
      <c r="AK5" s="43" t="s">
        <v>41</v>
      </c>
      <c r="AL5" s="43" t="s">
        <v>44</v>
      </c>
      <c r="AM5" s="43" t="s">
        <v>114</v>
      </c>
      <c r="AN5" s="43" t="s">
        <v>115</v>
      </c>
      <c r="AO5" s="43" t="s">
        <v>116</v>
      </c>
      <c r="AP5" s="43" t="s">
        <v>117</v>
      </c>
      <c r="AQ5" s="43" t="s">
        <v>118</v>
      </c>
      <c r="AR5" s="43" t="s">
        <v>119</v>
      </c>
      <c r="AS5" s="43" t="s">
        <v>120</v>
      </c>
      <c r="AT5" s="43" t="s">
        <v>121</v>
      </c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6"/>
      <c r="KR5" s="26"/>
      <c r="KS5" s="26"/>
      <c r="KT5" s="26"/>
      <c r="KU5" s="26"/>
      <c r="KV5" s="26"/>
      <c r="KW5" s="26"/>
      <c r="KX5" s="26"/>
      <c r="KY5" s="26"/>
      <c r="KZ5" s="26"/>
      <c r="LA5" s="26"/>
      <c r="LB5" s="26"/>
      <c r="LC5" s="26"/>
      <c r="LD5" s="26"/>
      <c r="LE5" s="26"/>
      <c r="LF5" s="26"/>
      <c r="LG5" s="26"/>
      <c r="LH5" s="26"/>
      <c r="LI5" s="26"/>
      <c r="LJ5" s="26"/>
      <c r="LK5" s="26"/>
      <c r="LL5" s="26"/>
      <c r="LM5" s="26"/>
      <c r="LN5" s="26"/>
      <c r="LO5" s="26"/>
      <c r="LP5" s="26"/>
      <c r="LQ5" s="26"/>
      <c r="LR5" s="26"/>
      <c r="LS5" s="26"/>
      <c r="LT5" s="26"/>
      <c r="LU5" s="26"/>
      <c r="LV5" s="26"/>
      <c r="LW5" s="26"/>
      <c r="LX5" s="26"/>
      <c r="LY5" s="26"/>
      <c r="LZ5" s="26"/>
      <c r="MA5" s="26"/>
      <c r="MB5" s="26"/>
      <c r="MC5" s="26"/>
      <c r="MD5" s="26"/>
      <c r="ME5" s="26"/>
      <c r="MF5" s="26"/>
      <c r="MG5" s="26"/>
      <c r="MH5" s="26"/>
      <c r="MI5" s="26"/>
      <c r="MJ5" s="26"/>
      <c r="MK5" s="26"/>
      <c r="ML5" s="26"/>
      <c r="MM5" s="26"/>
      <c r="MN5" s="26"/>
      <c r="MO5" s="26"/>
      <c r="MP5" s="26"/>
      <c r="MQ5" s="26"/>
      <c r="MR5" s="26"/>
      <c r="MS5" s="26"/>
      <c r="MT5" s="26"/>
      <c r="MU5" s="26"/>
      <c r="MV5" s="26"/>
      <c r="MW5" s="26"/>
      <c r="MX5" s="26"/>
      <c r="MY5" s="26"/>
      <c r="MZ5" s="26"/>
      <c r="NA5" s="26"/>
      <c r="NB5" s="26"/>
      <c r="NC5" s="26"/>
      <c r="ND5" s="26"/>
      <c r="NE5" s="26"/>
      <c r="NF5" s="26"/>
      <c r="NG5" s="26"/>
      <c r="NH5" s="26"/>
      <c r="NI5" s="26"/>
      <c r="NJ5" s="26"/>
      <c r="NK5" s="26"/>
      <c r="NL5" s="26"/>
      <c r="NM5" s="26"/>
      <c r="NN5" s="26"/>
      <c r="NO5" s="26"/>
      <c r="NP5" s="26"/>
      <c r="NQ5" s="26"/>
      <c r="NR5" s="26"/>
      <c r="NS5" s="26"/>
      <c r="NT5" s="26"/>
      <c r="NU5" s="26"/>
      <c r="NV5" s="26"/>
      <c r="NW5" s="26"/>
      <c r="NX5" s="26"/>
      <c r="NY5" s="26"/>
      <c r="NZ5" s="26"/>
      <c r="OA5" s="26"/>
      <c r="OB5" s="26"/>
      <c r="OC5" s="26"/>
      <c r="OD5" s="26"/>
      <c r="OE5" s="26"/>
      <c r="OF5" s="26"/>
      <c r="OG5" s="26"/>
      <c r="OH5" s="26"/>
      <c r="OI5" s="26"/>
      <c r="OJ5" s="26"/>
      <c r="OK5" s="26"/>
      <c r="OL5" s="26"/>
      <c r="OM5" s="26"/>
      <c r="ON5" s="26"/>
      <c r="OO5" s="26"/>
      <c r="OP5" s="26"/>
      <c r="OQ5" s="26"/>
      <c r="OR5" s="26"/>
      <c r="OS5" s="26"/>
      <c r="OT5" s="26"/>
      <c r="OU5" s="26"/>
      <c r="OV5" s="26"/>
      <c r="OW5" s="26"/>
      <c r="OX5" s="26"/>
      <c r="OY5" s="26"/>
      <c r="OZ5" s="26"/>
      <c r="PA5" s="26"/>
      <c r="PB5" s="26"/>
      <c r="PC5" s="26"/>
      <c r="PD5" s="26"/>
      <c r="PE5" s="26"/>
      <c r="PF5" s="26"/>
      <c r="PG5" s="26"/>
      <c r="PH5" s="26"/>
      <c r="PI5" s="26"/>
      <c r="PJ5" s="26"/>
      <c r="PK5" s="26"/>
      <c r="PL5" s="26"/>
      <c r="PM5" s="26"/>
      <c r="PN5" s="26"/>
      <c r="PO5" s="26"/>
      <c r="PP5" s="26"/>
      <c r="PQ5" s="26"/>
      <c r="PR5" s="26"/>
      <c r="PS5" s="26"/>
      <c r="PT5" s="26"/>
      <c r="PU5" s="26"/>
      <c r="PV5" s="26"/>
      <c r="PW5" s="26"/>
      <c r="PX5" s="26"/>
      <c r="PY5" s="26"/>
      <c r="PZ5" s="26"/>
      <c r="QA5" s="26"/>
      <c r="QB5" s="26"/>
      <c r="QC5" s="26"/>
      <c r="QD5" s="26"/>
      <c r="QE5" s="26"/>
      <c r="QF5" s="26"/>
      <c r="QG5" s="26"/>
      <c r="QH5" s="26"/>
      <c r="QI5" s="26"/>
      <c r="QJ5" s="26"/>
      <c r="QK5" s="26"/>
      <c r="QL5" s="26"/>
      <c r="QM5" s="26"/>
      <c r="QN5" s="26"/>
      <c r="QO5" s="26"/>
      <c r="QP5" s="26"/>
      <c r="QQ5" s="26"/>
      <c r="QR5" s="26"/>
      <c r="QS5" s="26"/>
      <c r="QT5" s="26"/>
      <c r="QU5" s="26"/>
      <c r="QV5" s="26"/>
      <c r="QW5" s="26"/>
      <c r="QX5" s="26"/>
      <c r="QY5" s="26"/>
      <c r="QZ5" s="26"/>
      <c r="RA5" s="26"/>
      <c r="RB5" s="26"/>
      <c r="RC5" s="26"/>
      <c r="RD5" s="26"/>
      <c r="RE5" s="26"/>
      <c r="RF5" s="26"/>
      <c r="RG5" s="26"/>
      <c r="RH5" s="26"/>
      <c r="RI5" s="26"/>
      <c r="RJ5" s="26"/>
      <c r="RK5" s="26"/>
      <c r="RL5" s="26"/>
      <c r="RM5" s="26"/>
      <c r="RN5" s="26"/>
      <c r="RO5" s="26"/>
      <c r="RP5" s="26"/>
      <c r="RQ5" s="26"/>
      <c r="RR5" s="26"/>
      <c r="RS5" s="26"/>
      <c r="RT5" s="26"/>
      <c r="RU5" s="26"/>
      <c r="RV5" s="26"/>
      <c r="RW5" s="26"/>
      <c r="RX5" s="26"/>
      <c r="RY5" s="26"/>
      <c r="RZ5" s="26"/>
      <c r="SA5" s="26"/>
      <c r="SB5" s="26"/>
      <c r="SC5" s="26"/>
      <c r="SD5" s="26"/>
      <c r="SE5" s="26"/>
      <c r="SF5" s="26"/>
      <c r="SG5" s="26"/>
      <c r="SH5" s="26"/>
      <c r="SI5" s="26"/>
      <c r="SJ5" s="26"/>
      <c r="SK5" s="26"/>
      <c r="SL5" s="26"/>
      <c r="SM5" s="26"/>
      <c r="SN5" s="26"/>
      <c r="SO5" s="26"/>
      <c r="SP5" s="26"/>
      <c r="SQ5" s="26"/>
      <c r="SR5" s="26"/>
      <c r="SS5" s="26"/>
      <c r="ST5" s="26"/>
      <c r="SU5" s="26"/>
      <c r="SV5" s="26"/>
      <c r="SW5" s="26"/>
      <c r="SX5" s="26"/>
      <c r="SY5" s="26"/>
      <c r="SZ5" s="26"/>
      <c r="TA5" s="26"/>
      <c r="TB5" s="26"/>
      <c r="TC5" s="26"/>
      <c r="TD5" s="26"/>
      <c r="TE5" s="26"/>
      <c r="TF5" s="26"/>
      <c r="TG5" s="26"/>
      <c r="TH5" s="26"/>
      <c r="TI5" s="26"/>
      <c r="TJ5" s="26"/>
      <c r="TK5" s="26"/>
      <c r="TL5" s="26"/>
      <c r="TM5" s="26"/>
      <c r="TN5" s="26"/>
      <c r="TO5" s="26"/>
      <c r="TP5" s="26"/>
      <c r="TQ5" s="26"/>
      <c r="TR5" s="26"/>
      <c r="TS5" s="26"/>
      <c r="TT5" s="26"/>
      <c r="TU5" s="26"/>
      <c r="TV5" s="26"/>
      <c r="TW5" s="26"/>
      <c r="TX5" s="26"/>
      <c r="TY5" s="26"/>
      <c r="TZ5" s="26"/>
      <c r="UA5" s="26"/>
      <c r="UB5" s="26"/>
      <c r="UC5" s="26"/>
      <c r="UD5" s="26"/>
      <c r="UE5" s="26"/>
      <c r="UF5" s="26"/>
      <c r="UG5" s="26"/>
      <c r="UH5" s="26"/>
      <c r="UI5" s="26"/>
      <c r="UJ5" s="26"/>
      <c r="UK5" s="26"/>
      <c r="UL5" s="26"/>
      <c r="UM5" s="26"/>
      <c r="UN5" s="26"/>
      <c r="UO5" s="26"/>
      <c r="UP5" s="26"/>
      <c r="UQ5" s="26"/>
      <c r="UR5" s="26"/>
      <c r="US5" s="26"/>
      <c r="UT5" s="26"/>
      <c r="UU5" s="26"/>
      <c r="UV5" s="26"/>
      <c r="UW5" s="26"/>
      <c r="UX5" s="26"/>
      <c r="UY5" s="26"/>
      <c r="UZ5" s="26"/>
      <c r="VA5" s="26"/>
      <c r="VB5" s="26"/>
      <c r="VC5" s="26"/>
      <c r="VD5" s="26"/>
      <c r="VE5" s="26"/>
      <c r="VF5" s="26"/>
      <c r="VG5" s="26"/>
      <c r="VH5" s="26"/>
      <c r="VI5" s="26"/>
      <c r="VJ5" s="26"/>
      <c r="VK5" s="26"/>
      <c r="VL5" s="26"/>
      <c r="VM5" s="26"/>
      <c r="VN5" s="26"/>
      <c r="VO5" s="26"/>
      <c r="VP5" s="26"/>
      <c r="VQ5" s="26"/>
      <c r="VR5" s="26"/>
      <c r="VS5" s="26"/>
      <c r="VT5" s="26"/>
      <c r="VU5" s="26"/>
      <c r="VV5" s="26"/>
      <c r="VW5" s="26"/>
      <c r="VX5" s="26"/>
      <c r="VY5" s="26"/>
      <c r="VZ5" s="26"/>
      <c r="WA5" s="26"/>
      <c r="WB5" s="26"/>
      <c r="WC5" s="26"/>
      <c r="WD5" s="26"/>
      <c r="WE5" s="26"/>
      <c r="WF5" s="26"/>
      <c r="WG5" s="26"/>
      <c r="WH5" s="26"/>
      <c r="WI5" s="26"/>
      <c r="WJ5" s="26"/>
      <c r="WK5" s="26"/>
      <c r="WL5" s="26"/>
      <c r="WM5" s="26"/>
      <c r="WN5" s="26"/>
      <c r="WO5" s="26"/>
      <c r="WP5" s="26"/>
      <c r="WQ5" s="26"/>
      <c r="WR5" s="26"/>
      <c r="WS5" s="26"/>
      <c r="WT5" s="26"/>
      <c r="WU5" s="26"/>
      <c r="WV5" s="26"/>
      <c r="WW5" s="26"/>
      <c r="WX5" s="26"/>
      <c r="WY5" s="26"/>
      <c r="WZ5" s="26"/>
      <c r="XA5" s="26"/>
      <c r="XB5" s="26"/>
      <c r="XC5" s="26"/>
      <c r="XD5" s="26"/>
      <c r="XE5" s="26"/>
      <c r="XF5" s="26"/>
      <c r="XG5" s="26"/>
      <c r="XH5" s="26"/>
      <c r="XI5" s="26"/>
      <c r="XJ5" s="26"/>
      <c r="XK5" s="26"/>
      <c r="XL5" s="26"/>
      <c r="XM5" s="26"/>
      <c r="XN5" s="26"/>
      <c r="XO5" s="26"/>
      <c r="XP5" s="26"/>
      <c r="XQ5" s="26"/>
      <c r="XR5" s="26"/>
      <c r="XS5" s="26"/>
      <c r="XT5" s="26"/>
      <c r="XU5" s="26"/>
      <c r="XV5" s="26"/>
      <c r="XW5" s="26"/>
      <c r="XX5" s="26"/>
      <c r="XY5" s="26"/>
      <c r="XZ5" s="26"/>
      <c r="YA5" s="26"/>
      <c r="YB5" s="26"/>
      <c r="YC5" s="26"/>
      <c r="YD5" s="26"/>
      <c r="YE5" s="26"/>
      <c r="YF5" s="26"/>
      <c r="YG5" s="26"/>
      <c r="YH5" s="26"/>
      <c r="YI5" s="26"/>
      <c r="YJ5" s="26"/>
      <c r="YK5" s="26"/>
      <c r="YL5" s="26"/>
      <c r="YM5" s="26"/>
      <c r="YN5" s="26"/>
      <c r="YO5" s="26"/>
      <c r="YP5" s="26"/>
      <c r="YQ5" s="26"/>
      <c r="YR5" s="26"/>
      <c r="YS5" s="26"/>
      <c r="YT5" s="26"/>
      <c r="YU5" s="26"/>
      <c r="YV5" s="26"/>
      <c r="YW5" s="26"/>
      <c r="YX5" s="26"/>
      <c r="YY5" s="26"/>
      <c r="YZ5" s="26"/>
      <c r="ZA5" s="26"/>
      <c r="ZB5" s="26"/>
      <c r="ZC5" s="26"/>
      <c r="ZD5" s="26"/>
      <c r="ZE5" s="26"/>
      <c r="ZF5" s="26"/>
      <c r="ZG5" s="26"/>
      <c r="ZH5" s="26"/>
      <c r="ZI5" s="26"/>
      <c r="ZJ5" s="26"/>
      <c r="ZK5" s="26"/>
      <c r="ZL5" s="26"/>
      <c r="ZM5" s="26"/>
      <c r="ZN5" s="26"/>
      <c r="ZO5" s="26"/>
      <c r="ZP5" s="26"/>
      <c r="ZQ5" s="26"/>
      <c r="ZR5" s="26"/>
      <c r="ZS5" s="26"/>
      <c r="ZT5" s="26"/>
      <c r="ZU5" s="26"/>
      <c r="ZV5" s="26"/>
      <c r="ZW5" s="26"/>
      <c r="ZX5" s="26"/>
      <c r="ZY5" s="26"/>
      <c r="ZZ5" s="26"/>
      <c r="AAA5" s="26"/>
      <c r="AAB5" s="26"/>
      <c r="AAC5" s="26"/>
      <c r="AAD5" s="26"/>
      <c r="AAE5" s="26"/>
      <c r="AAF5" s="26"/>
      <c r="AAG5" s="26"/>
      <c r="AAH5" s="26"/>
      <c r="AAI5" s="26"/>
      <c r="AAJ5" s="26"/>
      <c r="AAK5" s="26"/>
      <c r="AAL5" s="26"/>
      <c r="AAM5" s="26"/>
      <c r="AAN5" s="26"/>
      <c r="AAO5" s="26"/>
      <c r="AAP5" s="26"/>
      <c r="AAQ5" s="26"/>
      <c r="AAR5" s="26"/>
      <c r="AAS5" s="26"/>
      <c r="AAT5" s="26"/>
      <c r="AAU5" s="26"/>
      <c r="AAV5" s="26"/>
      <c r="AAW5" s="26"/>
      <c r="AAX5" s="26"/>
      <c r="AAY5" s="26"/>
      <c r="AAZ5" s="26"/>
      <c r="ABA5" s="26"/>
      <c r="ABB5" s="26"/>
      <c r="ABC5" s="26"/>
      <c r="ABD5" s="26"/>
      <c r="ABE5" s="26"/>
      <c r="ABF5" s="26"/>
      <c r="ABG5" s="26"/>
      <c r="ABH5" s="26"/>
      <c r="ABI5" s="26"/>
      <c r="ABJ5" s="26"/>
      <c r="ABK5" s="26"/>
      <c r="ABL5" s="26"/>
      <c r="ABM5" s="26"/>
      <c r="ABN5" s="26"/>
      <c r="ABO5" s="26"/>
      <c r="ABP5" s="26"/>
      <c r="ABQ5" s="26"/>
      <c r="ABR5" s="26"/>
      <c r="ABS5" s="26"/>
      <c r="ABT5" s="26"/>
      <c r="ABU5" s="26"/>
      <c r="ABV5" s="26"/>
      <c r="ABW5" s="26"/>
      <c r="ABX5" s="26"/>
      <c r="ABY5" s="26"/>
      <c r="ABZ5" s="26"/>
      <c r="ACA5" s="26"/>
      <c r="ACB5" s="26"/>
      <c r="ACC5" s="26"/>
      <c r="ACD5" s="26"/>
      <c r="ACE5" s="26"/>
      <c r="ACF5" s="26"/>
      <c r="ACG5" s="26"/>
      <c r="ACH5" s="26"/>
      <c r="ACI5" s="26"/>
      <c r="ACJ5" s="26"/>
      <c r="ACK5" s="26"/>
      <c r="ACL5" s="26"/>
      <c r="ACM5" s="26"/>
      <c r="ACN5" s="26"/>
      <c r="ACO5" s="26"/>
      <c r="ACP5" s="26"/>
      <c r="ACQ5" s="26"/>
      <c r="ACR5" s="26"/>
      <c r="ACS5" s="26"/>
      <c r="ACT5" s="26"/>
      <c r="ACU5" s="26"/>
      <c r="ACV5" s="26"/>
      <c r="ACW5" s="26"/>
      <c r="ACX5" s="26"/>
      <c r="ACY5" s="26"/>
      <c r="ACZ5" s="26"/>
      <c r="ADA5" s="26"/>
      <c r="ADB5" s="26"/>
      <c r="ADC5" s="26"/>
      <c r="ADD5" s="26"/>
      <c r="ADE5" s="26"/>
      <c r="ADF5" s="26"/>
      <c r="ADG5" s="26"/>
      <c r="ADH5" s="26"/>
      <c r="ADI5" s="26"/>
      <c r="ADJ5" s="26"/>
      <c r="ADK5" s="26"/>
      <c r="ADL5" s="26"/>
      <c r="ADM5" s="26"/>
      <c r="ADN5" s="26"/>
      <c r="ADO5" s="26"/>
      <c r="ADP5" s="26"/>
      <c r="ADQ5" s="26"/>
      <c r="ADR5" s="26"/>
      <c r="ADS5" s="26"/>
      <c r="ADT5" s="26"/>
      <c r="ADU5" s="26"/>
      <c r="ADV5" s="26"/>
      <c r="ADW5" s="26"/>
      <c r="ADX5" s="26"/>
      <c r="ADY5" s="26"/>
      <c r="ADZ5" s="26"/>
      <c r="AEA5" s="26"/>
      <c r="AEB5" s="26"/>
      <c r="AEC5" s="26"/>
      <c r="AED5" s="26"/>
      <c r="AEE5" s="26"/>
      <c r="AEF5" s="26"/>
      <c r="AEG5" s="26"/>
      <c r="AEH5" s="26"/>
      <c r="AEI5" s="26"/>
      <c r="AEJ5" s="26"/>
      <c r="AEK5" s="26"/>
      <c r="AEL5" s="26"/>
      <c r="AEM5" s="26"/>
      <c r="AEN5" s="26"/>
      <c r="AEO5" s="26"/>
      <c r="AEP5" s="26"/>
      <c r="AEQ5" s="26"/>
      <c r="AER5" s="26"/>
      <c r="AES5" s="26"/>
      <c r="AET5" s="26"/>
      <c r="AEU5" s="26"/>
      <c r="AEV5" s="26"/>
      <c r="AEW5" s="26"/>
      <c r="AEX5" s="26"/>
      <c r="AEY5" s="26"/>
      <c r="AEZ5" s="26"/>
      <c r="AFA5" s="26"/>
      <c r="AFB5" s="26"/>
      <c r="AFC5" s="26"/>
      <c r="AFD5" s="26"/>
      <c r="AFE5" s="26"/>
      <c r="AFF5" s="26"/>
      <c r="AFG5" s="26"/>
      <c r="AFH5" s="26"/>
      <c r="AFI5" s="26"/>
      <c r="AFJ5" s="26"/>
      <c r="AFK5" s="26"/>
      <c r="AFL5" s="26"/>
      <c r="AFM5" s="26"/>
      <c r="AFN5" s="26"/>
      <c r="AFO5" s="26"/>
      <c r="AFP5" s="26"/>
      <c r="AFQ5" s="26"/>
      <c r="AFR5" s="26"/>
      <c r="AFS5" s="26"/>
      <c r="AFT5" s="26"/>
      <c r="AFU5" s="26"/>
      <c r="AFV5" s="26"/>
      <c r="AFW5" s="26"/>
      <c r="AFX5" s="26"/>
      <c r="AFY5" s="26"/>
      <c r="AFZ5" s="26"/>
      <c r="AGA5" s="26"/>
      <c r="AGB5" s="26"/>
      <c r="AGC5" s="26"/>
      <c r="AGD5" s="26"/>
      <c r="AGE5" s="26"/>
      <c r="AGF5" s="26"/>
      <c r="AGG5" s="26"/>
      <c r="AGH5" s="26"/>
      <c r="AGI5" s="26"/>
      <c r="AGJ5" s="26"/>
      <c r="AGK5" s="26"/>
      <c r="AGL5" s="26"/>
      <c r="AGM5" s="26"/>
      <c r="AGN5" s="26"/>
      <c r="AGO5" s="26"/>
      <c r="AGP5" s="26"/>
      <c r="AGQ5" s="26"/>
      <c r="AGR5" s="26"/>
      <c r="AGS5" s="26"/>
      <c r="AGT5" s="26"/>
      <c r="AGU5" s="26"/>
      <c r="AGV5" s="26"/>
      <c r="AGW5" s="26"/>
      <c r="AGX5" s="26"/>
      <c r="AGY5" s="26"/>
      <c r="AGZ5" s="26"/>
      <c r="AHA5" s="26"/>
      <c r="AHB5" s="26"/>
      <c r="AHC5" s="26"/>
      <c r="AHD5" s="26"/>
      <c r="AHE5" s="26"/>
      <c r="AHF5" s="26"/>
      <c r="AHG5" s="26"/>
      <c r="AHH5" s="26"/>
      <c r="AHI5" s="26"/>
      <c r="AHJ5" s="26"/>
      <c r="AHK5" s="26"/>
      <c r="AHL5" s="26"/>
      <c r="AHM5" s="26"/>
      <c r="AHN5" s="26"/>
      <c r="AHO5" s="26"/>
      <c r="AHP5" s="26"/>
      <c r="AHQ5" s="26"/>
      <c r="AHR5" s="26"/>
      <c r="AHS5" s="26"/>
      <c r="AHT5" s="26"/>
      <c r="AHU5" s="26"/>
      <c r="AHV5" s="26"/>
      <c r="AHW5" s="26"/>
      <c r="AHX5" s="26"/>
      <c r="AHY5" s="26"/>
      <c r="AHZ5" s="26"/>
      <c r="AIA5" s="26"/>
      <c r="AIB5" s="26"/>
      <c r="AIC5" s="26"/>
      <c r="AID5" s="26"/>
      <c r="AIE5" s="26"/>
      <c r="AIF5" s="26"/>
      <c r="AIG5" s="26"/>
      <c r="AIH5" s="26"/>
      <c r="AII5" s="26"/>
      <c r="AIJ5" s="26"/>
      <c r="AIK5" s="26"/>
      <c r="AIL5" s="26"/>
      <c r="AIM5" s="26"/>
      <c r="AIN5" s="26"/>
      <c r="AIO5" s="26"/>
      <c r="AIP5" s="26"/>
      <c r="AIQ5" s="26"/>
      <c r="AIR5" s="26"/>
      <c r="AIS5" s="26"/>
      <c r="AIT5" s="26"/>
      <c r="AIU5" s="26"/>
      <c r="AIV5" s="26"/>
      <c r="AIW5" s="26"/>
      <c r="AIX5" s="26"/>
      <c r="AIY5" s="26"/>
      <c r="AIZ5" s="26"/>
      <c r="AJA5" s="26"/>
      <c r="AJB5" s="26"/>
      <c r="AJC5" s="26"/>
      <c r="AJD5" s="26"/>
      <c r="AJE5" s="26"/>
      <c r="AJF5" s="26"/>
      <c r="AJG5" s="26"/>
      <c r="AJH5" s="26"/>
      <c r="AJI5" s="26"/>
      <c r="AJJ5" s="26"/>
      <c r="AJK5" s="26"/>
      <c r="AJL5" s="26"/>
      <c r="AJM5" s="26"/>
      <c r="AJN5" s="26"/>
      <c r="AJO5" s="26"/>
      <c r="AJP5" s="26"/>
      <c r="AJQ5" s="26"/>
      <c r="AJR5" s="26"/>
      <c r="AJS5" s="26"/>
      <c r="AJT5" s="26"/>
      <c r="AJU5" s="26"/>
      <c r="AJV5" s="26"/>
      <c r="AJW5" s="26"/>
      <c r="AJX5" s="26"/>
      <c r="AJY5" s="26"/>
      <c r="AJZ5" s="26"/>
      <c r="AKA5" s="26"/>
      <c r="AKB5" s="26"/>
      <c r="AKC5" s="26"/>
      <c r="AKD5" s="26"/>
      <c r="AKE5" s="26"/>
      <c r="AKF5" s="26"/>
      <c r="AKG5" s="26"/>
      <c r="AKH5" s="26"/>
      <c r="AKI5" s="26"/>
      <c r="AKJ5" s="26"/>
      <c r="AKK5" s="26"/>
      <c r="AKL5" s="26"/>
      <c r="AKM5" s="26"/>
      <c r="AKN5" s="26"/>
      <c r="AKO5" s="26"/>
      <c r="AKP5" s="26"/>
      <c r="AKQ5" s="26"/>
      <c r="AKR5" s="26"/>
      <c r="AKS5" s="26"/>
      <c r="AKT5" s="26"/>
      <c r="AKU5" s="26"/>
      <c r="AKV5" s="26"/>
      <c r="AKW5" s="26"/>
      <c r="AKX5" s="26"/>
      <c r="AKY5" s="26"/>
      <c r="AKZ5" s="26"/>
      <c r="ALA5" s="26"/>
      <c r="ALB5" s="26"/>
      <c r="ALC5" s="26"/>
      <c r="ALD5" s="26"/>
      <c r="ALE5" s="26"/>
      <c r="ALF5" s="26"/>
      <c r="ALG5" s="26"/>
      <c r="ALH5" s="26"/>
      <c r="ALI5" s="26"/>
      <c r="ALJ5" s="26"/>
      <c r="ALK5" s="26"/>
      <c r="ALL5" s="26"/>
      <c r="ALM5" s="26"/>
      <c r="ALN5" s="26"/>
      <c r="ALO5" s="26"/>
      <c r="ALP5" s="26"/>
      <c r="ALQ5" s="26"/>
      <c r="ALR5" s="26"/>
      <c r="ALS5" s="26"/>
      <c r="ALT5" s="26"/>
      <c r="ALU5" s="26"/>
      <c r="ALV5" s="26"/>
      <c r="ALW5" s="26"/>
      <c r="ALX5" s="26"/>
      <c r="ALY5" s="26"/>
      <c r="ALZ5" s="26"/>
      <c r="AMA5" s="26"/>
      <c r="AMB5" s="26"/>
      <c r="AMC5" s="26"/>
      <c r="AMD5" s="26"/>
      <c r="AME5" s="26"/>
      <c r="AMF5" s="26"/>
      <c r="AMG5" s="26"/>
      <c r="AMH5" s="26"/>
      <c r="AMI5" s="26"/>
      <c r="AMJ5" s="26"/>
      <c r="AMK5" s="26"/>
      <c r="AML5" s="26"/>
    </row>
    <row r="6" ht="15.75" customHeight="1">
      <c r="A6" s="45" t="s">
        <v>122</v>
      </c>
      <c r="B6" s="45" t="s">
        <v>122</v>
      </c>
      <c r="C6" s="8" t="s">
        <v>122</v>
      </c>
      <c r="D6" s="45" t="s">
        <v>122</v>
      </c>
      <c r="E6" s="8" t="s">
        <v>123</v>
      </c>
      <c r="F6" s="8" t="s">
        <v>124</v>
      </c>
      <c r="G6" s="8" t="s">
        <v>122</v>
      </c>
      <c r="H6" s="8" t="s">
        <v>122</v>
      </c>
      <c r="I6" s="8"/>
      <c r="J6" s="8" t="s">
        <v>125</v>
      </c>
      <c r="K6" s="8" t="s">
        <v>122</v>
      </c>
      <c r="L6" s="8" t="s">
        <v>122</v>
      </c>
      <c r="M6" s="8" t="s">
        <v>122</v>
      </c>
      <c r="N6" s="8"/>
      <c r="O6" s="8" t="s">
        <v>122</v>
      </c>
      <c r="P6" t="s">
        <v>126</v>
      </c>
      <c r="R6" t="s">
        <v>122</v>
      </c>
      <c r="S6" t="s">
        <v>122</v>
      </c>
      <c r="T6" t="s">
        <v>127</v>
      </c>
      <c r="U6" t="s">
        <v>61</v>
      </c>
      <c r="Y6" t="s">
        <v>122</v>
      </c>
      <c r="Z6" t="s">
        <v>128</v>
      </c>
      <c r="AB6" t="s">
        <v>50</v>
      </c>
      <c r="AC6" s="46">
        <v>100.0</v>
      </c>
      <c r="AD6" t="s">
        <v>122</v>
      </c>
      <c r="AE6" t="s">
        <v>122</v>
      </c>
      <c r="AF6" t="s">
        <v>129</v>
      </c>
      <c r="AG6" t="s">
        <v>122</v>
      </c>
      <c r="AH6" t="s">
        <v>122</v>
      </c>
      <c r="AI6" t="s">
        <v>130</v>
      </c>
      <c r="AJ6" t="s">
        <v>130</v>
      </c>
      <c r="AK6" t="s">
        <v>131</v>
      </c>
      <c r="AL6" t="s">
        <v>132</v>
      </c>
      <c r="AT6" t="s">
        <v>122</v>
      </c>
      <c r="AU6" t="s">
        <v>122</v>
      </c>
      <c r="AV6" t="s">
        <v>122</v>
      </c>
      <c r="AW6" t="s">
        <v>122</v>
      </c>
      <c r="AX6" t="s">
        <v>122</v>
      </c>
      <c r="AY6" t="s">
        <v>122</v>
      </c>
      <c r="AZ6" t="s">
        <v>122</v>
      </c>
      <c r="BA6" t="s">
        <v>122</v>
      </c>
      <c r="BB6" t="s">
        <v>122</v>
      </c>
      <c r="BC6" t="s">
        <v>122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  <c r="DN6" t="s">
        <v>122</v>
      </c>
      <c r="DO6" t="s">
        <v>122</v>
      </c>
      <c r="DP6" t="s">
        <v>122</v>
      </c>
      <c r="DQ6" t="s">
        <v>122</v>
      </c>
      <c r="DR6" t="s">
        <v>122</v>
      </c>
      <c r="DS6" t="s">
        <v>122</v>
      </c>
      <c r="DT6" t="s">
        <v>122</v>
      </c>
      <c r="DU6" t="s">
        <v>122</v>
      </c>
      <c r="DV6" t="s">
        <v>122</v>
      </c>
      <c r="DW6" t="s">
        <v>122</v>
      </c>
      <c r="DX6" t="s">
        <v>122</v>
      </c>
      <c r="DY6" t="s">
        <v>122</v>
      </c>
      <c r="DZ6" t="s">
        <v>122</v>
      </c>
      <c r="EA6" t="s">
        <v>122</v>
      </c>
      <c r="EB6" t="s">
        <v>122</v>
      </c>
      <c r="EC6" t="s">
        <v>122</v>
      </c>
      <c r="ED6" t="s">
        <v>122</v>
      </c>
      <c r="EE6" t="s">
        <v>122</v>
      </c>
      <c r="EF6" t="s">
        <v>122</v>
      </c>
      <c r="EG6" t="s">
        <v>122</v>
      </c>
      <c r="EH6" t="s">
        <v>122</v>
      </c>
      <c r="EI6" t="s">
        <v>122</v>
      </c>
      <c r="EJ6" t="s">
        <v>122</v>
      </c>
      <c r="EK6" t="s">
        <v>122</v>
      </c>
      <c r="EL6" t="s">
        <v>122</v>
      </c>
      <c r="EM6" t="s">
        <v>122</v>
      </c>
      <c r="EN6" t="s">
        <v>122</v>
      </c>
      <c r="EO6" t="s">
        <v>122</v>
      </c>
      <c r="EP6" t="s">
        <v>122</v>
      </c>
      <c r="EQ6" t="s">
        <v>122</v>
      </c>
      <c r="ER6" t="s">
        <v>122</v>
      </c>
      <c r="ES6" t="s">
        <v>122</v>
      </c>
      <c r="ET6" t="s">
        <v>122</v>
      </c>
      <c r="EU6" t="s">
        <v>122</v>
      </c>
      <c r="EV6" t="s">
        <v>122</v>
      </c>
      <c r="EW6" t="s">
        <v>122</v>
      </c>
      <c r="EX6" t="s">
        <v>122</v>
      </c>
      <c r="EY6" t="s">
        <v>122</v>
      </c>
      <c r="EZ6" t="s">
        <v>122</v>
      </c>
      <c r="FA6" t="s">
        <v>122</v>
      </c>
      <c r="FB6" t="s">
        <v>122</v>
      </c>
      <c r="FC6" t="s">
        <v>122</v>
      </c>
      <c r="FD6" t="s">
        <v>122</v>
      </c>
      <c r="FE6" t="s">
        <v>122</v>
      </c>
      <c r="FF6" t="s">
        <v>122</v>
      </c>
      <c r="FG6" t="s">
        <v>122</v>
      </c>
      <c r="FH6" t="s">
        <v>122</v>
      </c>
      <c r="FI6" t="s">
        <v>122</v>
      </c>
      <c r="FJ6" t="s">
        <v>122</v>
      </c>
      <c r="FK6" t="s">
        <v>122</v>
      </c>
      <c r="FL6" t="s">
        <v>122</v>
      </c>
      <c r="FM6" t="s">
        <v>122</v>
      </c>
      <c r="FN6" t="s">
        <v>122</v>
      </c>
      <c r="FO6" t="s">
        <v>122</v>
      </c>
      <c r="FP6" t="s">
        <v>122</v>
      </c>
      <c r="FQ6" t="s">
        <v>122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8" t="s">
        <v>122</v>
      </c>
      <c r="B7" s="8" t="s">
        <v>122</v>
      </c>
      <c r="C7" s="8" t="s">
        <v>122</v>
      </c>
      <c r="D7" s="8" t="s">
        <v>122</v>
      </c>
      <c r="E7" s="8" t="s">
        <v>123</v>
      </c>
      <c r="F7" s="8" t="s">
        <v>133</v>
      </c>
      <c r="G7" s="8" t="s">
        <v>122</v>
      </c>
      <c r="H7" s="8" t="s">
        <v>122</v>
      </c>
      <c r="I7" s="8"/>
      <c r="J7" s="8" t="s">
        <v>125</v>
      </c>
      <c r="K7" s="8" t="s">
        <v>122</v>
      </c>
      <c r="L7" s="8" t="s">
        <v>122</v>
      </c>
      <c r="M7" s="8" t="s">
        <v>122</v>
      </c>
      <c r="N7" s="8"/>
      <c r="O7" s="8" t="s">
        <v>122</v>
      </c>
      <c r="P7" t="s">
        <v>126</v>
      </c>
      <c r="R7" t="s">
        <v>122</v>
      </c>
      <c r="S7" t="s">
        <v>122</v>
      </c>
      <c r="T7" t="s">
        <v>127</v>
      </c>
      <c r="U7" t="s">
        <v>61</v>
      </c>
      <c r="Y7" t="s">
        <v>122</v>
      </c>
      <c r="Z7" t="s">
        <v>134</v>
      </c>
      <c r="AB7" t="s">
        <v>52</v>
      </c>
      <c r="AC7" s="48">
        <v>100.0</v>
      </c>
      <c r="AD7" t="s">
        <v>122</v>
      </c>
      <c r="AE7" t="s">
        <v>122</v>
      </c>
      <c r="AF7" t="s">
        <v>135</v>
      </c>
      <c r="AG7" t="s">
        <v>122</v>
      </c>
      <c r="AH7" t="s">
        <v>122</v>
      </c>
      <c r="AI7" t="s">
        <v>130</v>
      </c>
      <c r="AJ7" t="s">
        <v>130</v>
      </c>
      <c r="AK7" t="s">
        <v>131</v>
      </c>
      <c r="AL7" t="s">
        <v>132</v>
      </c>
      <c r="AT7" t="s">
        <v>122</v>
      </c>
      <c r="AU7" t="s">
        <v>122</v>
      </c>
      <c r="AV7" t="s">
        <v>122</v>
      </c>
      <c r="AW7" t="s">
        <v>122</v>
      </c>
      <c r="AX7" t="s">
        <v>122</v>
      </c>
      <c r="AY7" t="s">
        <v>122</v>
      </c>
      <c r="AZ7" t="s">
        <v>122</v>
      </c>
      <c r="BA7" t="s">
        <v>122</v>
      </c>
      <c r="BB7" t="s">
        <v>122</v>
      </c>
      <c r="BC7" t="s">
        <v>122</v>
      </c>
      <c r="BD7" t="s">
        <v>122</v>
      </c>
      <c r="BE7" t="s">
        <v>122</v>
      </c>
      <c r="BF7" t="s">
        <v>122</v>
      </c>
      <c r="BG7" t="s">
        <v>122</v>
      </c>
      <c r="BH7" t="s">
        <v>122</v>
      </c>
      <c r="BI7" t="s">
        <v>122</v>
      </c>
      <c r="BJ7" t="s">
        <v>122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122</v>
      </c>
      <c r="BQ7" t="s">
        <v>122</v>
      </c>
      <c r="BR7" t="s">
        <v>122</v>
      </c>
      <c r="BS7" t="s">
        <v>122</v>
      </c>
      <c r="BT7" t="s">
        <v>122</v>
      </c>
      <c r="BU7" t="s">
        <v>122</v>
      </c>
      <c r="BV7" t="s">
        <v>122</v>
      </c>
      <c r="BW7" t="s">
        <v>122</v>
      </c>
      <c r="BX7" t="s">
        <v>122</v>
      </c>
      <c r="BY7" t="s">
        <v>122</v>
      </c>
      <c r="BZ7" t="s">
        <v>122</v>
      </c>
      <c r="CA7" t="s">
        <v>122</v>
      </c>
      <c r="CB7" t="s">
        <v>122</v>
      </c>
      <c r="CC7" t="s">
        <v>122</v>
      </c>
      <c r="CD7" t="s">
        <v>122</v>
      </c>
      <c r="CE7" t="s">
        <v>122</v>
      </c>
      <c r="CF7" t="s">
        <v>122</v>
      </c>
      <c r="CG7" t="s">
        <v>122</v>
      </c>
      <c r="CH7" t="s">
        <v>122</v>
      </c>
      <c r="CI7" t="s">
        <v>122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  <c r="DN7" t="s">
        <v>122</v>
      </c>
      <c r="DO7" t="s">
        <v>122</v>
      </c>
      <c r="DP7" t="s">
        <v>122</v>
      </c>
      <c r="DQ7" t="s">
        <v>122</v>
      </c>
      <c r="DR7" t="s">
        <v>122</v>
      </c>
      <c r="DS7" t="s">
        <v>122</v>
      </c>
      <c r="DT7" t="s">
        <v>122</v>
      </c>
      <c r="DU7" t="s">
        <v>122</v>
      </c>
      <c r="DV7" t="s">
        <v>122</v>
      </c>
      <c r="DW7" t="s">
        <v>122</v>
      </c>
      <c r="DX7" t="s">
        <v>122</v>
      </c>
      <c r="DY7" t="s">
        <v>122</v>
      </c>
      <c r="DZ7" t="s">
        <v>122</v>
      </c>
      <c r="EA7" t="s">
        <v>122</v>
      </c>
      <c r="EB7" t="s">
        <v>122</v>
      </c>
      <c r="EC7" t="s">
        <v>122</v>
      </c>
      <c r="ED7" t="s">
        <v>122</v>
      </c>
      <c r="EE7" t="s">
        <v>122</v>
      </c>
      <c r="EF7" t="s">
        <v>122</v>
      </c>
      <c r="EG7" t="s">
        <v>122</v>
      </c>
      <c r="EH7" t="s">
        <v>122</v>
      </c>
      <c r="EI7" t="s">
        <v>122</v>
      </c>
      <c r="EJ7" t="s">
        <v>122</v>
      </c>
      <c r="EK7" t="s">
        <v>122</v>
      </c>
      <c r="EL7" t="s">
        <v>122</v>
      </c>
      <c r="EM7" t="s">
        <v>122</v>
      </c>
      <c r="EN7" t="s">
        <v>122</v>
      </c>
      <c r="EO7" t="s">
        <v>122</v>
      </c>
      <c r="EP7" t="s">
        <v>122</v>
      </c>
      <c r="EQ7" t="s">
        <v>122</v>
      </c>
      <c r="ER7" t="s">
        <v>122</v>
      </c>
      <c r="ES7" t="s">
        <v>122</v>
      </c>
      <c r="ET7" t="s">
        <v>122</v>
      </c>
      <c r="EU7" t="s">
        <v>122</v>
      </c>
      <c r="EV7" t="s">
        <v>122</v>
      </c>
      <c r="EW7" t="s">
        <v>122</v>
      </c>
      <c r="EX7" t="s">
        <v>122</v>
      </c>
      <c r="EY7" t="s">
        <v>122</v>
      </c>
      <c r="EZ7" t="s">
        <v>122</v>
      </c>
      <c r="FA7" t="s">
        <v>122</v>
      </c>
      <c r="FB7" t="s">
        <v>122</v>
      </c>
      <c r="FC7" t="s">
        <v>122</v>
      </c>
      <c r="FD7" t="s">
        <v>122</v>
      </c>
      <c r="FE7" t="s">
        <v>122</v>
      </c>
      <c r="FF7" t="s">
        <v>122</v>
      </c>
      <c r="FG7" t="s">
        <v>122</v>
      </c>
      <c r="FH7" t="s">
        <v>122</v>
      </c>
      <c r="FI7" t="s">
        <v>122</v>
      </c>
      <c r="FJ7" t="s">
        <v>122</v>
      </c>
      <c r="FK7" t="s">
        <v>122</v>
      </c>
      <c r="FL7" t="s">
        <v>122</v>
      </c>
      <c r="FM7" t="s">
        <v>122</v>
      </c>
      <c r="FN7" t="s">
        <v>122</v>
      </c>
      <c r="FO7" t="s">
        <v>122</v>
      </c>
      <c r="FP7" t="s">
        <v>122</v>
      </c>
      <c r="FQ7" t="s">
        <v>122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 t="s">
        <v>122</v>
      </c>
      <c r="B8" s="8" t="s">
        <v>122</v>
      </c>
      <c r="C8" s="8" t="s">
        <v>122</v>
      </c>
      <c r="D8" s="8" t="s">
        <v>122</v>
      </c>
      <c r="E8" s="8" t="s">
        <v>123</v>
      </c>
      <c r="F8" s="8" t="s">
        <v>124</v>
      </c>
      <c r="G8" s="8" t="s">
        <v>122</v>
      </c>
      <c r="H8" s="8" t="s">
        <v>122</v>
      </c>
      <c r="I8" s="8"/>
      <c r="J8" s="8" t="s">
        <v>125</v>
      </c>
      <c r="K8" s="8" t="s">
        <v>122</v>
      </c>
      <c r="L8" s="8" t="s">
        <v>122</v>
      </c>
      <c r="M8" s="8" t="s">
        <v>122</v>
      </c>
      <c r="N8" s="8"/>
      <c r="O8" s="8" t="s">
        <v>122</v>
      </c>
      <c r="P8" t="s">
        <v>126</v>
      </c>
      <c r="R8" t="s">
        <v>122</v>
      </c>
      <c r="S8" t="s">
        <v>122</v>
      </c>
      <c r="T8" t="s">
        <v>127</v>
      </c>
      <c r="U8" t="s">
        <v>61</v>
      </c>
      <c r="Y8" t="s">
        <v>122</v>
      </c>
      <c r="Z8" t="s">
        <v>128</v>
      </c>
      <c r="AB8" t="s">
        <v>55</v>
      </c>
      <c r="AC8" s="49">
        <v>100.0</v>
      </c>
      <c r="AD8" t="s">
        <v>122</v>
      </c>
      <c r="AE8" t="s">
        <v>122</v>
      </c>
      <c r="AF8" t="s">
        <v>136</v>
      </c>
      <c r="AG8" t="s">
        <v>122</v>
      </c>
      <c r="AH8" t="s">
        <v>122</v>
      </c>
      <c r="AI8" t="s">
        <v>130</v>
      </c>
      <c r="AJ8" t="s">
        <v>130</v>
      </c>
      <c r="AK8" t="s">
        <v>131</v>
      </c>
      <c r="AL8" t="s">
        <v>132</v>
      </c>
      <c r="AT8" t="s">
        <v>122</v>
      </c>
      <c r="AU8" t="s">
        <v>122</v>
      </c>
      <c r="AV8" t="s">
        <v>122</v>
      </c>
      <c r="AW8" t="s">
        <v>122</v>
      </c>
      <c r="AX8" t="s">
        <v>122</v>
      </c>
      <c r="AY8" t="s">
        <v>122</v>
      </c>
      <c r="AZ8" t="s">
        <v>122</v>
      </c>
      <c r="BA8" t="s">
        <v>122</v>
      </c>
      <c r="BB8" t="s">
        <v>122</v>
      </c>
      <c r="BC8" t="s">
        <v>122</v>
      </c>
      <c r="BD8" t="s">
        <v>122</v>
      </c>
      <c r="BE8" t="s">
        <v>122</v>
      </c>
      <c r="BF8" t="s">
        <v>122</v>
      </c>
      <c r="BG8" t="s">
        <v>122</v>
      </c>
      <c r="BH8" t="s">
        <v>122</v>
      </c>
      <c r="BI8" t="s">
        <v>122</v>
      </c>
      <c r="BJ8" t="s">
        <v>122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122</v>
      </c>
      <c r="BQ8" t="s">
        <v>122</v>
      </c>
      <c r="BR8" t="s">
        <v>122</v>
      </c>
      <c r="BS8" t="s">
        <v>122</v>
      </c>
      <c r="BT8" t="s">
        <v>122</v>
      </c>
      <c r="BU8" t="s">
        <v>122</v>
      </c>
      <c r="BV8" t="s">
        <v>122</v>
      </c>
      <c r="BW8" t="s">
        <v>122</v>
      </c>
      <c r="BX8" t="s">
        <v>122</v>
      </c>
      <c r="BY8" t="s">
        <v>122</v>
      </c>
      <c r="BZ8" t="s">
        <v>122</v>
      </c>
      <c r="CA8" t="s">
        <v>122</v>
      </c>
      <c r="CB8" t="s">
        <v>122</v>
      </c>
      <c r="CC8" t="s">
        <v>122</v>
      </c>
      <c r="CD8" t="s">
        <v>122</v>
      </c>
      <c r="CE8" t="s">
        <v>122</v>
      </c>
      <c r="CF8" t="s">
        <v>122</v>
      </c>
      <c r="CG8" t="s">
        <v>122</v>
      </c>
      <c r="CH8" t="s">
        <v>122</v>
      </c>
      <c r="CI8" t="s">
        <v>122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  <c r="DN8" t="s">
        <v>122</v>
      </c>
      <c r="DO8" t="s">
        <v>122</v>
      </c>
      <c r="DP8" t="s">
        <v>122</v>
      </c>
      <c r="DQ8" t="s">
        <v>122</v>
      </c>
      <c r="DR8" t="s">
        <v>122</v>
      </c>
      <c r="DS8" t="s">
        <v>122</v>
      </c>
      <c r="DT8" t="s">
        <v>122</v>
      </c>
      <c r="DU8" t="s">
        <v>122</v>
      </c>
      <c r="DV8" t="s">
        <v>122</v>
      </c>
      <c r="DW8" t="s">
        <v>122</v>
      </c>
      <c r="DX8" t="s">
        <v>122</v>
      </c>
      <c r="DY8" t="s">
        <v>122</v>
      </c>
      <c r="DZ8" t="s">
        <v>122</v>
      </c>
      <c r="EA8" t="s">
        <v>122</v>
      </c>
      <c r="EB8" t="s">
        <v>122</v>
      </c>
      <c r="EC8" t="s">
        <v>122</v>
      </c>
      <c r="ED8" t="s">
        <v>122</v>
      </c>
      <c r="EE8" t="s">
        <v>122</v>
      </c>
      <c r="EF8" t="s">
        <v>122</v>
      </c>
      <c r="EG8" t="s">
        <v>122</v>
      </c>
      <c r="EH8" t="s">
        <v>122</v>
      </c>
      <c r="EI8" t="s">
        <v>122</v>
      </c>
      <c r="EJ8" t="s">
        <v>122</v>
      </c>
      <c r="EK8" t="s">
        <v>122</v>
      </c>
      <c r="EL8" t="s">
        <v>122</v>
      </c>
      <c r="EM8" t="s">
        <v>122</v>
      </c>
      <c r="EN8" t="s">
        <v>122</v>
      </c>
      <c r="EO8" t="s">
        <v>122</v>
      </c>
      <c r="EP8" t="s">
        <v>122</v>
      </c>
      <c r="EQ8" t="s">
        <v>122</v>
      </c>
      <c r="ER8" t="s">
        <v>122</v>
      </c>
      <c r="ES8" t="s">
        <v>122</v>
      </c>
      <c r="ET8" t="s">
        <v>122</v>
      </c>
      <c r="EU8" t="s">
        <v>122</v>
      </c>
      <c r="EV8" t="s">
        <v>122</v>
      </c>
      <c r="EW8" t="s">
        <v>122</v>
      </c>
      <c r="EX8" t="s">
        <v>122</v>
      </c>
      <c r="EY8" t="s">
        <v>122</v>
      </c>
      <c r="EZ8" t="s">
        <v>122</v>
      </c>
      <c r="FA8" t="s">
        <v>122</v>
      </c>
      <c r="FB8" t="s">
        <v>122</v>
      </c>
      <c r="FC8" t="s">
        <v>122</v>
      </c>
      <c r="FD8" t="s">
        <v>122</v>
      </c>
      <c r="FE8" t="s">
        <v>122</v>
      </c>
      <c r="FF8" t="s">
        <v>122</v>
      </c>
      <c r="FG8" t="s">
        <v>122</v>
      </c>
      <c r="FH8" t="s">
        <v>122</v>
      </c>
      <c r="FI8" t="s">
        <v>122</v>
      </c>
      <c r="FJ8" t="s">
        <v>122</v>
      </c>
      <c r="FK8" t="s">
        <v>122</v>
      </c>
      <c r="FL8" t="s">
        <v>122</v>
      </c>
      <c r="FM8" t="s">
        <v>122</v>
      </c>
      <c r="FN8" t="s">
        <v>122</v>
      </c>
      <c r="FO8" t="s">
        <v>122</v>
      </c>
      <c r="FP8" t="s">
        <v>122</v>
      </c>
      <c r="FQ8" t="s">
        <v>122</v>
      </c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  <c r="AML8" s="47"/>
    </row>
    <row r="9" ht="15.75" customHeight="1">
      <c r="A9" s="8" t="s">
        <v>122</v>
      </c>
      <c r="B9" s="8" t="s">
        <v>122</v>
      </c>
      <c r="C9" s="8" t="s">
        <v>122</v>
      </c>
      <c r="D9" s="8" t="s">
        <v>122</v>
      </c>
      <c r="E9" s="8" t="s">
        <v>123</v>
      </c>
      <c r="F9" s="8" t="s">
        <v>133</v>
      </c>
      <c r="G9" s="8" t="s">
        <v>122</v>
      </c>
      <c r="H9" s="8" t="s">
        <v>122</v>
      </c>
      <c r="I9" s="8"/>
      <c r="J9" s="8" t="s">
        <v>125</v>
      </c>
      <c r="K9" s="8" t="s">
        <v>122</v>
      </c>
      <c r="L9" s="8" t="s">
        <v>122</v>
      </c>
      <c r="M9" s="8" t="s">
        <v>122</v>
      </c>
      <c r="N9" s="8"/>
      <c r="O9" s="8" t="s">
        <v>122</v>
      </c>
      <c r="P9" t="s">
        <v>126</v>
      </c>
      <c r="R9" t="s">
        <v>122</v>
      </c>
      <c r="S9" t="s">
        <v>122</v>
      </c>
      <c r="T9" t="s">
        <v>127</v>
      </c>
      <c r="U9" t="s">
        <v>61</v>
      </c>
      <c r="Y9" t="s">
        <v>122</v>
      </c>
      <c r="Z9" t="s">
        <v>128</v>
      </c>
      <c r="AB9" t="s">
        <v>56</v>
      </c>
      <c r="AC9" s="50">
        <v>100.0</v>
      </c>
      <c r="AD9" t="s">
        <v>122</v>
      </c>
      <c r="AE9" t="s">
        <v>122</v>
      </c>
      <c r="AF9" t="s">
        <v>136</v>
      </c>
      <c r="AG9" t="s">
        <v>122</v>
      </c>
      <c r="AH9" t="s">
        <v>122</v>
      </c>
      <c r="AI9" t="s">
        <v>130</v>
      </c>
      <c r="AJ9" t="s">
        <v>130</v>
      </c>
      <c r="AK9" t="s">
        <v>131</v>
      </c>
      <c r="AL9" t="s">
        <v>132</v>
      </c>
      <c r="AT9" t="s">
        <v>122</v>
      </c>
      <c r="AU9" t="s">
        <v>122</v>
      </c>
      <c r="AV9" t="s">
        <v>122</v>
      </c>
      <c r="AW9" t="s">
        <v>122</v>
      </c>
      <c r="AX9" t="s">
        <v>122</v>
      </c>
      <c r="AY9" t="s">
        <v>122</v>
      </c>
      <c r="AZ9" t="s">
        <v>122</v>
      </c>
      <c r="BA9" t="s">
        <v>122</v>
      </c>
      <c r="BB9" t="s">
        <v>122</v>
      </c>
      <c r="BC9" t="s">
        <v>122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122</v>
      </c>
      <c r="BJ9" t="s">
        <v>122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122</v>
      </c>
      <c r="BQ9" t="s">
        <v>122</v>
      </c>
      <c r="BR9" t="s">
        <v>122</v>
      </c>
      <c r="BS9" t="s">
        <v>122</v>
      </c>
      <c r="BT9" t="s">
        <v>122</v>
      </c>
      <c r="BU9" t="s">
        <v>122</v>
      </c>
      <c r="BV9" t="s">
        <v>122</v>
      </c>
      <c r="BW9" t="s">
        <v>122</v>
      </c>
      <c r="BX9" t="s">
        <v>122</v>
      </c>
      <c r="BY9" t="s">
        <v>122</v>
      </c>
      <c r="BZ9" t="s">
        <v>122</v>
      </c>
      <c r="CA9" t="s">
        <v>122</v>
      </c>
      <c r="CB9" t="s">
        <v>122</v>
      </c>
      <c r="CC9" t="s">
        <v>122</v>
      </c>
      <c r="CD9" t="s">
        <v>122</v>
      </c>
      <c r="CE9" t="s">
        <v>122</v>
      </c>
      <c r="CF9" t="s">
        <v>122</v>
      </c>
      <c r="CG9" t="s">
        <v>122</v>
      </c>
      <c r="CH9" t="s">
        <v>122</v>
      </c>
      <c r="CI9" t="s">
        <v>122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  <c r="DN9" t="s">
        <v>122</v>
      </c>
      <c r="DO9" t="s">
        <v>122</v>
      </c>
      <c r="DP9" t="s">
        <v>122</v>
      </c>
      <c r="DQ9" t="s">
        <v>122</v>
      </c>
      <c r="DR9" t="s">
        <v>122</v>
      </c>
      <c r="DS9" t="s">
        <v>122</v>
      </c>
      <c r="DT9" t="s">
        <v>122</v>
      </c>
      <c r="DU9" t="s">
        <v>122</v>
      </c>
      <c r="DV9" t="s">
        <v>122</v>
      </c>
      <c r="DW9" t="s">
        <v>122</v>
      </c>
      <c r="DX9" t="s">
        <v>122</v>
      </c>
      <c r="DY9" t="s">
        <v>122</v>
      </c>
      <c r="DZ9" t="s">
        <v>122</v>
      </c>
      <c r="EA9" t="s">
        <v>122</v>
      </c>
      <c r="EB9" t="s">
        <v>122</v>
      </c>
      <c r="EC9" t="s">
        <v>122</v>
      </c>
      <c r="ED9" t="s">
        <v>122</v>
      </c>
      <c r="EE9" t="s">
        <v>122</v>
      </c>
      <c r="EF9" t="s">
        <v>122</v>
      </c>
      <c r="EG9" t="s">
        <v>122</v>
      </c>
      <c r="EH9" t="s">
        <v>122</v>
      </c>
      <c r="EI9" t="s">
        <v>122</v>
      </c>
      <c r="EJ9" t="s">
        <v>122</v>
      </c>
      <c r="EK9" t="s">
        <v>122</v>
      </c>
      <c r="EL9" t="s">
        <v>122</v>
      </c>
      <c r="EM9" t="s">
        <v>122</v>
      </c>
      <c r="EN9" t="s">
        <v>122</v>
      </c>
      <c r="EO9" t="s">
        <v>122</v>
      </c>
      <c r="EP9" t="s">
        <v>122</v>
      </c>
      <c r="EQ9" t="s">
        <v>122</v>
      </c>
      <c r="ER9" t="s">
        <v>122</v>
      </c>
      <c r="ES9" t="s">
        <v>122</v>
      </c>
      <c r="ET9" t="s">
        <v>122</v>
      </c>
      <c r="EU9" t="s">
        <v>122</v>
      </c>
      <c r="EV9" t="s">
        <v>122</v>
      </c>
      <c r="EW9" t="s">
        <v>122</v>
      </c>
      <c r="EX9" t="s">
        <v>122</v>
      </c>
      <c r="EY9" t="s">
        <v>122</v>
      </c>
      <c r="EZ9" t="s">
        <v>122</v>
      </c>
      <c r="FA9" t="s">
        <v>122</v>
      </c>
      <c r="FB9" t="s">
        <v>122</v>
      </c>
      <c r="FC9" t="s">
        <v>122</v>
      </c>
      <c r="FD9" t="s">
        <v>122</v>
      </c>
      <c r="FE9" t="s">
        <v>122</v>
      </c>
      <c r="FF9" t="s">
        <v>122</v>
      </c>
      <c r="FG9" t="s">
        <v>122</v>
      </c>
      <c r="FH9" t="s">
        <v>122</v>
      </c>
      <c r="FI9" t="s">
        <v>122</v>
      </c>
      <c r="FJ9" t="s">
        <v>122</v>
      </c>
      <c r="FK9" t="s">
        <v>122</v>
      </c>
      <c r="FL9" t="s">
        <v>122</v>
      </c>
      <c r="FM9" t="s">
        <v>122</v>
      </c>
      <c r="FN9" t="s">
        <v>122</v>
      </c>
      <c r="FO9" t="s">
        <v>122</v>
      </c>
      <c r="FP9" t="s">
        <v>122</v>
      </c>
      <c r="FQ9" t="s">
        <v>122</v>
      </c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47"/>
      <c r="AKS9" s="47"/>
      <c r="AKT9" s="47"/>
      <c r="AKU9" s="47"/>
      <c r="AKV9" s="47"/>
      <c r="AKW9" s="47"/>
      <c r="AKX9" s="47"/>
      <c r="AKY9" s="47"/>
      <c r="AKZ9" s="47"/>
      <c r="ALA9" s="47"/>
      <c r="ALB9" s="47"/>
      <c r="ALC9" s="47"/>
      <c r="ALD9" s="47"/>
      <c r="ALE9" s="47"/>
      <c r="ALF9" s="47"/>
      <c r="ALG9" s="47"/>
      <c r="ALH9" s="47"/>
      <c r="ALI9" s="47"/>
      <c r="ALJ9" s="47"/>
      <c r="ALK9" s="47"/>
      <c r="ALL9" s="47"/>
      <c r="ALM9" s="47"/>
      <c r="ALN9" s="47"/>
      <c r="ALO9" s="47"/>
      <c r="ALP9" s="47"/>
      <c r="ALQ9" s="47"/>
      <c r="ALR9" s="47"/>
      <c r="ALS9" s="47"/>
      <c r="ALT9" s="47"/>
      <c r="ALU9" s="47"/>
      <c r="ALV9" s="47"/>
      <c r="ALW9" s="47"/>
      <c r="ALX9" s="47"/>
      <c r="ALY9" s="47"/>
      <c r="ALZ9" s="47"/>
      <c r="AMA9" s="47"/>
      <c r="AMB9" s="47"/>
      <c r="AMC9" s="47"/>
      <c r="AMD9" s="47"/>
      <c r="AME9" s="47"/>
      <c r="AMF9" s="47"/>
      <c r="AMG9" s="47"/>
      <c r="AMH9" s="47"/>
      <c r="AMI9" s="47"/>
      <c r="AMJ9" s="47"/>
      <c r="AMK9" s="47"/>
      <c r="AML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137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36" t="str">
        <f>IFERROR(__xludf.DUMMYFUNCTION("TRANSPOSE(IMPORTRANGE(VLOOKUP($E$3,IMPORTRANGE('_Settings'!$B$3,$C$3&amp;""!A4:B1000""),2,FALSE),$G$3&amp;""!A4:A1000""))"),"")</f>
        <v/>
      </c>
      <c r="B5" s="37" t="str">
        <f>IFERROR(__xludf.DUMMYFUNCTION("""COMPUTED_VALUE"""),"Symbol")</f>
        <v>Symbol</v>
      </c>
      <c r="C5" s="37" t="str">
        <f>IFERROR(__xludf.DUMMYFUNCTION("""COMPUTED_VALUE"""),"Side")</f>
        <v>Side</v>
      </c>
      <c r="D5" s="37" t="str">
        <f>IFERROR(__xludf.DUMMYFUNCTION("""COMPUTED_VALUE"""),"Quantity")</f>
        <v>Quantity</v>
      </c>
      <c r="E5" s="37" t="str">
        <f>IFERROR(__xludf.DUMMYFUNCTION("""COMPUTED_VALUE"""),"Executed Qty")</f>
        <v>Executed Qty</v>
      </c>
      <c r="F5" s="38" t="str">
        <f>IFERROR(__xludf.DUMMYFUNCTION("""COMPUTED_VALUE"""),"Unexecuted Qty")</f>
        <v>Unexecuted Qty</v>
      </c>
      <c r="G5" s="37" t="str">
        <f>IFERROR(__xludf.DUMMYFUNCTION("""COMPUTED_VALUE"""),"Status")</f>
        <v>Status</v>
      </c>
      <c r="H5" s="37" t="str">
        <f>IFERROR(__xludf.DUMMYFUNCTION("""COMPUTED_VALUE"""),"Last Shares")</f>
        <v>Last Shares</v>
      </c>
      <c r="I5" s="37" t="str">
        <f>IFERROR(__xludf.DUMMYFUNCTION("""COMPUTED_VALUE"""),"Last Fill Price (Local)")</f>
        <v>Last Fill Price (Local)</v>
      </c>
      <c r="J5" s="37" t="str">
        <f>IFERROR(__xludf.DUMMYFUNCTION("""COMPUTED_VALUE"""),"Avg Fill Price (Local)")</f>
        <v>Avg Fill Price (Local)</v>
      </c>
      <c r="K5" s="37" t="str">
        <f>IFERROR(__xludf.DUMMYFUNCTION("""COMPUTED_VALUE"""),"Broker")</f>
        <v>Broker</v>
      </c>
      <c r="L5" s="37" t="str">
        <f>IFERROR(__xludf.DUMMYFUNCTION("""COMPUTED_VALUE"""),"Account")</f>
        <v>Account</v>
      </c>
      <c r="M5" s="37" t="str">
        <f>IFERROR(__xludf.DUMMYFUNCTION("""COMPUTED_VALUE"""),"Order Type")</f>
        <v>Order Type</v>
      </c>
      <c r="N5" s="37" t="str">
        <f>IFERROR(__xludf.DUMMYFUNCTION("""COMPUTED_VALUE"""),"OrderStatus")</f>
        <v>OrderStatus</v>
      </c>
      <c r="O5" s="37" t="str">
        <f>IFERROR(__xludf.DUMMYFUNCTION("""COMPUTED_VALUE"""),"Avg Fill Price (Base)")</f>
        <v>Avg Fill Price (Base)</v>
      </c>
      <c r="P5" s="37" t="str">
        <f>IFERROR(__xludf.DUMMYFUNCTION("""COMPUTED_VALUE"""),"Limit Price")</f>
        <v>Limit Price</v>
      </c>
      <c r="Q5" s="37" t="str">
        <f>IFERROR(__xludf.DUMMYFUNCTION("""COMPUTED_VALUE"""),"Stop Price")</f>
        <v>Stop Price</v>
      </c>
      <c r="R5" s="37" t="str">
        <f>IFERROR(__xludf.DUMMYFUNCTION("""COMPUTED_VALUE"""),"Actual User")</f>
        <v>Actual User</v>
      </c>
      <c r="S5" s="37" t="str">
        <f>IFERROR(__xludf.DUMMYFUNCTION("""COMPUTED_VALUE"""),"Bloomberg Symbol")</f>
        <v>Bloomberg Symbol</v>
      </c>
      <c r="T5" s="39" t="str">
        <f>IFERROR(__xludf.DUMMYFUNCTION("""COMPUTED_VALUE"""),"Algo")</f>
        <v>Algo</v>
      </c>
      <c r="U5" s="39" t="str">
        <f>IFERROR(__xludf.DUMMYFUNCTION("""COMPUTED_VALUE"""),"Allocation Scheme Name")</f>
        <v>Allocation Scheme Name</v>
      </c>
      <c r="V5" s="39" t="str">
        <f>IFERROR(__xludf.DUMMYFUNCTION("""COMPUTED_VALUE"""),"Allocation Status")</f>
        <v>Allocation Status</v>
      </c>
      <c r="W5" s="39" t="str">
        <f>IFERROR(__xludf.DUMMYFUNCTION("""COMPUTED_VALUE"""),"Asset Class")</f>
        <v>Asset Class</v>
      </c>
      <c r="X5" s="39" t="str">
        <f>IFERROR(__xludf.DUMMYFUNCTION("""COMPUTED_VALUE"""),"FX Conversion Operator")</f>
        <v>FX Conversion Operator</v>
      </c>
      <c r="Y5" s="39" t="str">
        <f>IFERROR(__xludf.DUMMYFUNCTION("""COMPUTED_VALUE"""),"FX Rate")</f>
        <v>FX Rate</v>
      </c>
      <c r="Z5" s="39" t="str">
        <f>IFERROR(__xludf.DUMMYFUNCTION("""COMPUTED_VALUE"""),"Imported File Name")</f>
        <v>Imported File Name</v>
      </c>
      <c r="AA5" s="39" t="str">
        <f>IFERROR(__xludf.DUMMYFUNCTION("""COMPUTED_VALUE"""),"Internal Comments")</f>
        <v>Internal Comments</v>
      </c>
      <c r="AB5" s="39" t="str">
        <f>IFERROR(__xludf.DUMMYFUNCTION("""COMPUTED_VALUE"""),"Peg")</f>
        <v>Peg</v>
      </c>
      <c r="AC5" s="39" t="str">
        <f>IFERROR(__xludf.DUMMYFUNCTION("""COMPUTED_VALUE"""),"Principal Amount (Base)")</f>
        <v>Principal Amount (Base)</v>
      </c>
      <c r="AD5" s="39" t="str">
        <f>IFERROR(__xludf.DUMMYFUNCTION("""COMPUTED_VALUE"""),"Principal Amount (Local)")</f>
        <v>Principal Amount (Local)</v>
      </c>
      <c r="AE5" s="39" t="str">
        <f>IFERROR(__xludf.DUMMYFUNCTION("""COMPUTED_VALUE"""),"Process Date")</f>
        <v>Process Date</v>
      </c>
      <c r="AF5" s="39" t="str">
        <f>IFERROR(__xludf.DUMMYFUNCTION("""COMPUTED_VALUE"""),"Put/Call")</f>
        <v>Put/Call</v>
      </c>
      <c r="AG5" s="39" t="str">
        <f>IFERROR(__xludf.DUMMYFUNCTION("""COMPUTED_VALUE"""),"Settlement Currency")</f>
        <v>Settlement Currency</v>
      </c>
      <c r="AH5" s="39" t="str">
        <f>IFERROR(__xludf.DUMMYFUNCTION("""COMPUTED_VALUE"""),"Source")</f>
        <v>Source</v>
      </c>
      <c r="AI5" s="39" t="str">
        <f>IFERROR(__xludf.DUMMYFUNCTION("""COMPUTED_VALUE"""),"Status (With Rollover)")</f>
        <v>Status (With Rollover)</v>
      </c>
      <c r="AJ5" s="39" t="str">
        <f>IFERROR(__xludf.DUMMYFUNCTION("""COMPUTED_VALUE"""),"Strategy")</f>
        <v>Strategy</v>
      </c>
      <c r="AK5" s="39" t="str">
        <f>IFERROR(__xludf.DUMMYFUNCTION("""COMPUTED_VALUE"""),"Strike Price")</f>
        <v>Strike Price</v>
      </c>
      <c r="AL5" s="39" t="str">
        <f>IFERROR(__xludf.DUMMYFUNCTION("""COMPUTED_VALUE"""),"Trade Attribute 1")</f>
        <v>Trade Attribute 1</v>
      </c>
      <c r="AM5" s="39" t="str">
        <f>IFERROR(__xludf.DUMMYFUNCTION("""COMPUTED_VALUE"""),"Trade Attribute 2")</f>
        <v>Trade Attribute 2</v>
      </c>
      <c r="AN5" s="39" t="str">
        <f>IFERROR(__xludf.DUMMYFUNCTION("""COMPUTED_VALUE"""),"Trade Attribute 3")</f>
        <v>Trade Attribute 3</v>
      </c>
      <c r="AO5" s="39" t="str">
        <f>IFERROR(__xludf.DUMMYFUNCTION("""COMPUTED_VALUE"""),"Trade Attribute 4")</f>
        <v>Trade Attribute 4</v>
      </c>
      <c r="AP5" s="39" t="str">
        <f>IFERROR(__xludf.DUMMYFUNCTION("""COMPUTED_VALUE"""),"Trade Attribute 5")</f>
        <v>Trade Attribute 5</v>
      </c>
      <c r="AQ5" s="39" t="str">
        <f>IFERROR(__xludf.DUMMYFUNCTION("""COMPUTED_VALUE"""),"Trade Attribute 6")</f>
        <v>Trade Attribute 6</v>
      </c>
      <c r="AR5" s="39" t="str">
        <f>IFERROR(__xludf.DUMMYFUNCTION("""COMPUTED_VALUE"""),"Trader")</f>
        <v>Trader</v>
      </c>
      <c r="AS5" s="39" t="str">
        <f>IFERROR(__xludf.DUMMYFUNCTION("""COMPUTED_VALUE"""),"Transaction Time")</f>
        <v>Transaction Time</v>
      </c>
      <c r="AT5" s="39" t="str">
        <f>IFERROR(__xludf.DUMMYFUNCTION("""COMPUTED_VALUE"""),"Underlying Country")</f>
        <v>Underlying Country</v>
      </c>
      <c r="AU5" s="39" t="str">
        <f>IFERROR(__xludf.DUMMYFUNCTION("""COMPUTED_VALUE"""),"Underlying Symbol")</f>
        <v>Underlying Symbol</v>
      </c>
      <c r="AV5" s="39" t="str">
        <f>IFERROR(__xludf.DUMMYFUNCTION("""COMPUTED_VALUE"""),"Venue")</f>
        <v>Venue</v>
      </c>
      <c r="AW5" s="39" t="str">
        <f>IFERROR(__xludf.DUMMYFUNCTION("""COMPUTED_VALUE"""),"Working Qty")</f>
        <v>Working Qty</v>
      </c>
      <c r="AX5" s="39" t="str">
        <f>IFERROR(__xludf.DUMMYFUNCTION("""COMPUTED_VALUE"""),"Client")</f>
        <v>Client</v>
      </c>
      <c r="AY5" s="39" t="str">
        <f>IFERROR(__xludf.DUMMYFUNCTION("""COMPUTED_VALUE"""),"OrderID")</f>
        <v>OrderID</v>
      </c>
      <c r="AZ5" s="39" t="str">
        <f>IFERROR(__xludf.DUMMYFUNCTION("""COMPUTED_VALUE"""),"ParentClOrderID")</f>
        <v>ParentClOrderID</v>
      </c>
      <c r="BA5" s="39" t="str">
        <f>IFERROR(__xludf.DUMMYFUNCTION("""COMPUTED_VALUE"""),"Master Fund")</f>
        <v>Master Fund</v>
      </c>
      <c r="BB5" s="39" t="str">
        <f>IFERROR(__xludf.DUMMYFUNCTION("""COMPUTED_VALUE"""),"Current User")</f>
        <v>Current User</v>
      </c>
      <c r="BC5" s="39" t="str">
        <f>IFERROR(__xludf.DUMMYFUNCTION("""COMPUTED_VALUE"""),"% Completed")</f>
        <v>% Completed</v>
      </c>
      <c r="BD5" s="39" t="str">
        <f>IFERROR(__xludf.DUMMYFUNCTION("""COMPUTED_VALUE"""),"isRowCountCheck")</f>
        <v>isRowCountCheck</v>
      </c>
      <c r="BE5" s="39" t="str">
        <f>IFERROR(__xludf.DUMMYFUNCTION("""COMPUTED_VALUE"""),"MandatoryColumn")</f>
        <v>MandatoryColumn</v>
      </c>
      <c r="BF5" s="39" t="str">
        <f>IFERROR(__xludf.DUMMYFUNCTION("""COMPUTED_VALUE"""),"Testing Type")</f>
        <v>Testing Type</v>
      </c>
      <c r="BG5" s="39" t="str">
        <f>IFERROR(__xludf.DUMMYFUNCTION("""COMPUTED_VALUE"""),"Testing Column")</f>
        <v>Testing Column</v>
      </c>
      <c r="BH5" s="39" t="str">
        <f>IFERROR(__xludf.DUMMYFUNCTION("""COMPUTED_VALUE"""),"Testing Col Value")</f>
        <v>Testing Col Value</v>
      </c>
      <c r="BI5" s="39" t="str">
        <f>IFERROR(__xludf.DUMMYFUNCTION("""COMPUTED_VALUE"""),"DuplicateRow")</f>
        <v>DuplicateRow</v>
      </c>
      <c r="BJ5" s="39" t="str">
        <f>IFERROR(__xludf.DUMMYFUNCTION("""COMPUTED_VALUE"""),"DuplicateCountOnUI")</f>
        <v>DuplicateCountOnUI</v>
      </c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9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  <c r="HN5" s="39"/>
      <c r="HO5" s="39"/>
      <c r="HP5" s="39"/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39"/>
      <c r="IB5" s="39"/>
      <c r="IC5" s="39"/>
      <c r="ID5" s="39"/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/>
      <c r="IP5" s="39"/>
      <c r="IQ5" s="39"/>
      <c r="IR5" s="39"/>
      <c r="IS5" s="39"/>
      <c r="IT5" s="39"/>
      <c r="IU5" s="39"/>
      <c r="IV5" s="39"/>
      <c r="IW5" s="39"/>
      <c r="IX5" s="39"/>
      <c r="IY5" s="39"/>
      <c r="IZ5" s="39"/>
      <c r="JA5" s="39"/>
      <c r="JB5" s="39"/>
      <c r="JC5" s="39"/>
      <c r="JD5" s="39"/>
      <c r="JE5" s="39"/>
      <c r="JF5" s="39"/>
      <c r="JG5" s="39"/>
      <c r="JH5" s="39"/>
      <c r="JI5" s="39"/>
      <c r="JJ5" s="39"/>
      <c r="JK5" s="39"/>
      <c r="JL5" s="39"/>
      <c r="JM5" s="39"/>
      <c r="JN5" s="39"/>
      <c r="JO5" s="39"/>
      <c r="JP5" s="39"/>
      <c r="JQ5" s="39"/>
      <c r="JR5" s="39"/>
      <c r="JS5" s="39"/>
      <c r="JT5" s="39"/>
      <c r="JU5" s="39"/>
      <c r="JV5" s="39"/>
      <c r="JW5" s="39"/>
      <c r="JX5" s="39"/>
      <c r="JY5" s="39"/>
      <c r="JZ5" s="39"/>
      <c r="KA5" s="39"/>
      <c r="KB5" s="39"/>
      <c r="KC5" s="39"/>
      <c r="KD5" s="39"/>
      <c r="KE5" s="39"/>
      <c r="KF5" s="39"/>
      <c r="KG5" s="39"/>
      <c r="KH5" s="39"/>
      <c r="KI5" s="39"/>
      <c r="KJ5" s="39"/>
      <c r="KK5" s="39"/>
      <c r="KL5" s="39"/>
      <c r="KM5" s="39"/>
      <c r="KN5" s="39"/>
      <c r="KO5" s="39"/>
      <c r="KP5" s="39"/>
      <c r="KQ5" s="39"/>
      <c r="KR5" s="39"/>
      <c r="KS5" s="39"/>
      <c r="KT5" s="39"/>
      <c r="KU5" s="39"/>
      <c r="KV5" s="39"/>
      <c r="KW5" s="39"/>
      <c r="KX5" s="39"/>
      <c r="KY5" s="39"/>
      <c r="KZ5" s="39"/>
      <c r="LA5" s="39"/>
      <c r="LB5" s="39"/>
      <c r="LC5" s="39"/>
      <c r="LD5" s="39"/>
      <c r="LE5" s="39"/>
      <c r="LF5" s="39"/>
      <c r="LG5" s="39"/>
      <c r="LH5" s="39"/>
      <c r="LI5" s="39"/>
      <c r="LJ5" s="39"/>
      <c r="LK5" s="39"/>
      <c r="LL5" s="39"/>
      <c r="LM5" s="39"/>
      <c r="LN5" s="39"/>
      <c r="LO5" s="39"/>
      <c r="LP5" s="39"/>
      <c r="LQ5" s="39"/>
      <c r="LR5" s="39"/>
      <c r="LS5" s="39"/>
      <c r="LT5" s="39"/>
      <c r="LU5" s="39"/>
      <c r="LV5" s="39"/>
      <c r="LW5" s="39"/>
      <c r="LX5" s="39"/>
      <c r="LY5" s="39"/>
      <c r="LZ5" s="39"/>
      <c r="MA5" s="39"/>
      <c r="MB5" s="39"/>
      <c r="MC5" s="39"/>
      <c r="MD5" s="39"/>
      <c r="ME5" s="39"/>
      <c r="MF5" s="39"/>
      <c r="MG5" s="39"/>
      <c r="MH5" s="39"/>
      <c r="MI5" s="39"/>
      <c r="MJ5" s="39"/>
      <c r="MK5" s="39"/>
      <c r="ML5" s="39"/>
      <c r="MM5" s="39"/>
      <c r="MN5" s="39"/>
      <c r="MO5" s="39"/>
      <c r="MP5" s="39"/>
      <c r="MQ5" s="39"/>
      <c r="MR5" s="39"/>
      <c r="MS5" s="39"/>
      <c r="MT5" s="39"/>
      <c r="MU5" s="39"/>
      <c r="MV5" s="39"/>
      <c r="MW5" s="39"/>
      <c r="MX5" s="39"/>
      <c r="MY5" s="39"/>
      <c r="MZ5" s="39"/>
      <c r="NA5" s="39"/>
      <c r="NB5" s="39"/>
      <c r="NC5" s="39"/>
      <c r="ND5" s="39"/>
      <c r="NE5" s="39"/>
      <c r="NF5" s="39"/>
      <c r="NG5" s="39"/>
      <c r="NH5" s="39"/>
      <c r="NI5" s="39"/>
      <c r="NJ5" s="39"/>
      <c r="NK5" s="39"/>
      <c r="NL5" s="39"/>
      <c r="NM5" s="39"/>
      <c r="NN5" s="39"/>
      <c r="NO5" s="39"/>
      <c r="NP5" s="39"/>
      <c r="NQ5" s="39"/>
      <c r="NR5" s="39"/>
      <c r="NS5" s="39"/>
      <c r="NT5" s="39"/>
      <c r="NU5" s="39"/>
      <c r="NV5" s="39"/>
      <c r="NW5" s="39"/>
      <c r="NX5" s="39"/>
      <c r="NY5" s="39"/>
      <c r="NZ5" s="39"/>
      <c r="OA5" s="39"/>
      <c r="OB5" s="39"/>
      <c r="OC5" s="39"/>
      <c r="OD5" s="39"/>
      <c r="OE5" s="39"/>
      <c r="OF5" s="39"/>
      <c r="OG5" s="39"/>
      <c r="OH5" s="39"/>
      <c r="OI5" s="39"/>
      <c r="OJ5" s="39"/>
      <c r="OK5" s="39"/>
      <c r="OL5" s="39"/>
      <c r="OM5" s="39"/>
      <c r="ON5" s="39"/>
      <c r="OO5" s="39"/>
      <c r="OP5" s="39"/>
      <c r="OQ5" s="39"/>
      <c r="OR5" s="39"/>
      <c r="OS5" s="39"/>
      <c r="OT5" s="39"/>
      <c r="OU5" s="39"/>
      <c r="OV5" s="39"/>
      <c r="OW5" s="39"/>
      <c r="OX5" s="39"/>
      <c r="OY5" s="39"/>
      <c r="OZ5" s="39"/>
      <c r="PA5" s="39"/>
      <c r="PB5" s="39"/>
      <c r="PC5" s="39"/>
      <c r="PD5" s="39"/>
      <c r="PE5" s="39"/>
      <c r="PF5" s="39"/>
      <c r="PG5" s="39"/>
      <c r="PH5" s="39"/>
      <c r="PI5" s="39"/>
      <c r="PJ5" s="39"/>
      <c r="PK5" s="39"/>
      <c r="PL5" s="39"/>
      <c r="PM5" s="39"/>
      <c r="PN5" s="39"/>
      <c r="PO5" s="39"/>
      <c r="PP5" s="39"/>
      <c r="PQ5" s="39"/>
      <c r="PR5" s="39"/>
      <c r="PS5" s="39"/>
      <c r="PT5" s="39"/>
      <c r="PU5" s="39"/>
      <c r="PV5" s="39"/>
      <c r="PW5" s="39"/>
      <c r="PX5" s="39"/>
      <c r="PY5" s="39"/>
      <c r="PZ5" s="39"/>
      <c r="QA5" s="39"/>
      <c r="QB5" s="39"/>
      <c r="QC5" s="39"/>
      <c r="QD5" s="39"/>
      <c r="QE5" s="39"/>
      <c r="QF5" s="39"/>
      <c r="QG5" s="39"/>
      <c r="QH5" s="39"/>
      <c r="QI5" s="39"/>
      <c r="QJ5" s="39"/>
      <c r="QK5" s="39"/>
      <c r="QL5" s="39"/>
      <c r="QM5" s="39"/>
      <c r="QN5" s="39"/>
      <c r="QO5" s="39"/>
      <c r="QP5" s="39"/>
      <c r="QQ5" s="39"/>
      <c r="QR5" s="39"/>
      <c r="QS5" s="39"/>
      <c r="QT5" s="39"/>
      <c r="QU5" s="39"/>
      <c r="QV5" s="39"/>
      <c r="QW5" s="39"/>
      <c r="QX5" s="39"/>
      <c r="QY5" s="39"/>
      <c r="QZ5" s="39"/>
      <c r="RA5" s="39"/>
      <c r="RB5" s="39"/>
      <c r="RC5" s="39"/>
      <c r="RD5" s="39"/>
      <c r="RE5" s="39"/>
      <c r="RF5" s="39"/>
      <c r="RG5" s="39"/>
      <c r="RH5" s="39"/>
      <c r="RI5" s="39"/>
      <c r="RJ5" s="39"/>
      <c r="RK5" s="39"/>
      <c r="RL5" s="39"/>
      <c r="RM5" s="39"/>
      <c r="RN5" s="39"/>
      <c r="RO5" s="39"/>
      <c r="RP5" s="39"/>
      <c r="RQ5" s="39"/>
      <c r="RR5" s="39"/>
      <c r="RS5" s="39"/>
      <c r="RT5" s="39"/>
      <c r="RU5" s="39"/>
      <c r="RV5" s="39"/>
      <c r="RW5" s="39"/>
      <c r="RX5" s="39"/>
      <c r="RY5" s="39"/>
      <c r="RZ5" s="39"/>
      <c r="SA5" s="39"/>
      <c r="SB5" s="39"/>
      <c r="SC5" s="39"/>
      <c r="SD5" s="39"/>
      <c r="SE5" s="39"/>
      <c r="SF5" s="39"/>
      <c r="SG5" s="39"/>
      <c r="SH5" s="39"/>
      <c r="SI5" s="39"/>
      <c r="SJ5" s="39"/>
      <c r="SK5" s="39"/>
      <c r="SL5" s="39"/>
      <c r="SM5" s="39"/>
      <c r="SN5" s="39"/>
      <c r="SO5" s="39"/>
      <c r="SP5" s="39"/>
      <c r="SQ5" s="39"/>
      <c r="SR5" s="39"/>
      <c r="SS5" s="39"/>
      <c r="ST5" s="39"/>
      <c r="SU5" s="39"/>
      <c r="SV5" s="39"/>
      <c r="SW5" s="39"/>
      <c r="SX5" s="39"/>
      <c r="SY5" s="39"/>
      <c r="SZ5" s="39"/>
      <c r="TA5" s="39"/>
      <c r="TB5" s="39"/>
      <c r="TC5" s="39"/>
      <c r="TD5" s="39"/>
      <c r="TE5" s="39"/>
      <c r="TF5" s="39"/>
      <c r="TG5" s="39"/>
      <c r="TH5" s="39"/>
      <c r="TI5" s="39"/>
      <c r="TJ5" s="39"/>
      <c r="TK5" s="39"/>
      <c r="TL5" s="39"/>
      <c r="TM5" s="39"/>
      <c r="TN5" s="39"/>
      <c r="TO5" s="39"/>
      <c r="TP5" s="39"/>
      <c r="TQ5" s="39"/>
      <c r="TR5" s="39"/>
      <c r="TS5" s="39"/>
      <c r="TT5" s="39"/>
      <c r="TU5" s="39"/>
      <c r="TV5" s="39"/>
      <c r="TW5" s="39"/>
      <c r="TX5" s="39"/>
      <c r="TY5" s="39"/>
      <c r="TZ5" s="39"/>
      <c r="UA5" s="39"/>
      <c r="UB5" s="39"/>
      <c r="UC5" s="39"/>
      <c r="UD5" s="39"/>
      <c r="UE5" s="39"/>
      <c r="UF5" s="39"/>
      <c r="UG5" s="39"/>
      <c r="UH5" s="39"/>
      <c r="UI5" s="39"/>
      <c r="UJ5" s="39"/>
      <c r="UK5" s="39"/>
      <c r="UL5" s="39"/>
      <c r="UM5" s="39"/>
      <c r="UN5" s="39"/>
      <c r="UO5" s="39"/>
      <c r="UP5" s="39"/>
      <c r="UQ5" s="39"/>
      <c r="UR5" s="39"/>
      <c r="US5" s="39"/>
      <c r="UT5" s="39"/>
      <c r="UU5" s="39"/>
      <c r="UV5" s="39"/>
      <c r="UW5" s="39"/>
      <c r="UX5" s="39"/>
      <c r="UY5" s="39"/>
      <c r="UZ5" s="39"/>
      <c r="VA5" s="39"/>
      <c r="VB5" s="39"/>
      <c r="VC5" s="39"/>
      <c r="VD5" s="39"/>
      <c r="VE5" s="39"/>
      <c r="VF5" s="39"/>
      <c r="VG5" s="39"/>
      <c r="VH5" s="39"/>
      <c r="VI5" s="39"/>
      <c r="VJ5" s="39"/>
      <c r="VK5" s="39"/>
      <c r="VL5" s="39"/>
      <c r="VM5" s="39"/>
      <c r="VN5" s="39"/>
      <c r="VO5" s="39"/>
      <c r="VP5" s="39"/>
      <c r="VQ5" s="39"/>
      <c r="VR5" s="39"/>
      <c r="VS5" s="39"/>
      <c r="VT5" s="39"/>
      <c r="VU5" s="39"/>
      <c r="VV5" s="39"/>
      <c r="VW5" s="39"/>
      <c r="VX5" s="39"/>
      <c r="VY5" s="39"/>
      <c r="VZ5" s="39"/>
      <c r="WA5" s="39"/>
      <c r="WB5" s="39"/>
      <c r="WC5" s="39"/>
      <c r="WD5" s="39"/>
      <c r="WE5" s="39"/>
      <c r="WF5" s="39"/>
      <c r="WG5" s="39"/>
      <c r="WH5" s="39"/>
      <c r="WI5" s="39"/>
      <c r="WJ5" s="39"/>
      <c r="WK5" s="39"/>
      <c r="WL5" s="39"/>
      <c r="WM5" s="39"/>
      <c r="WN5" s="39"/>
      <c r="WO5" s="39"/>
      <c r="WP5" s="39"/>
      <c r="WQ5" s="39"/>
      <c r="WR5" s="39"/>
      <c r="WS5" s="39"/>
      <c r="WT5" s="39"/>
      <c r="WU5" s="39"/>
      <c r="WV5" s="39"/>
      <c r="WW5" s="39"/>
      <c r="WX5" s="39"/>
      <c r="WY5" s="39"/>
      <c r="WZ5" s="39"/>
      <c r="XA5" s="39"/>
      <c r="XB5" s="39"/>
      <c r="XC5" s="39"/>
      <c r="XD5" s="39"/>
      <c r="XE5" s="39"/>
      <c r="XF5" s="39"/>
      <c r="XG5" s="39"/>
      <c r="XH5" s="39"/>
      <c r="XI5" s="39"/>
      <c r="XJ5" s="39"/>
      <c r="XK5" s="39"/>
      <c r="XL5" s="39"/>
      <c r="XM5" s="39"/>
      <c r="XN5" s="39"/>
      <c r="XO5" s="39"/>
      <c r="XP5" s="39"/>
      <c r="XQ5" s="39"/>
      <c r="XR5" s="39"/>
      <c r="XS5" s="39"/>
      <c r="XT5" s="39"/>
      <c r="XU5" s="39"/>
      <c r="XV5" s="39"/>
      <c r="XW5" s="39"/>
      <c r="XX5" s="39"/>
      <c r="XY5" s="39"/>
      <c r="XZ5" s="39"/>
      <c r="YA5" s="39"/>
      <c r="YB5" s="39"/>
      <c r="YC5" s="39"/>
      <c r="YD5" s="39"/>
      <c r="YE5" s="39"/>
      <c r="YF5" s="39"/>
      <c r="YG5" s="39"/>
      <c r="YH5" s="39"/>
      <c r="YI5" s="39"/>
      <c r="YJ5" s="39"/>
      <c r="YK5" s="39"/>
      <c r="YL5" s="39"/>
      <c r="YM5" s="39"/>
      <c r="YN5" s="39"/>
      <c r="YO5" s="39"/>
      <c r="YP5" s="39"/>
      <c r="YQ5" s="39"/>
      <c r="YR5" s="39"/>
      <c r="YS5" s="39"/>
      <c r="YT5" s="39"/>
      <c r="YU5" s="39"/>
      <c r="YV5" s="39"/>
      <c r="YW5" s="39"/>
      <c r="YX5" s="39"/>
      <c r="YY5" s="39"/>
      <c r="YZ5" s="39"/>
      <c r="ZA5" s="39"/>
      <c r="ZB5" s="39"/>
      <c r="ZC5" s="39"/>
      <c r="ZD5" s="39"/>
      <c r="ZE5" s="39"/>
      <c r="ZF5" s="39"/>
      <c r="ZG5" s="39"/>
      <c r="ZH5" s="39"/>
      <c r="ZI5" s="39"/>
      <c r="ZJ5" s="39"/>
      <c r="ZK5" s="39"/>
      <c r="ZL5" s="39"/>
      <c r="ZM5" s="39"/>
      <c r="ZN5" s="39"/>
      <c r="ZO5" s="39"/>
      <c r="ZP5" s="39"/>
      <c r="ZQ5" s="39"/>
      <c r="ZR5" s="39"/>
      <c r="ZS5" s="39"/>
      <c r="ZT5" s="39"/>
      <c r="ZU5" s="39"/>
      <c r="ZV5" s="39"/>
      <c r="ZW5" s="39"/>
      <c r="ZX5" s="39"/>
      <c r="ZY5" s="39"/>
      <c r="ZZ5" s="39"/>
      <c r="AAA5" s="39"/>
      <c r="AAB5" s="39"/>
      <c r="AAC5" s="39"/>
      <c r="AAD5" s="39"/>
      <c r="AAE5" s="39"/>
      <c r="AAF5" s="39"/>
      <c r="AAG5" s="39"/>
      <c r="AAH5" s="39"/>
      <c r="AAI5" s="39"/>
      <c r="AAJ5" s="39"/>
      <c r="AAK5" s="39"/>
      <c r="AAL5" s="39"/>
      <c r="AAM5" s="39"/>
      <c r="AAN5" s="39"/>
      <c r="AAO5" s="39"/>
      <c r="AAP5" s="39"/>
      <c r="AAQ5" s="39"/>
      <c r="AAR5" s="39"/>
      <c r="AAS5" s="39"/>
      <c r="AAT5" s="39"/>
      <c r="AAU5" s="39"/>
      <c r="AAV5" s="39"/>
      <c r="AAW5" s="39"/>
      <c r="AAX5" s="39"/>
      <c r="AAY5" s="39"/>
      <c r="AAZ5" s="39"/>
      <c r="ABA5" s="39"/>
      <c r="ABB5" s="39"/>
      <c r="ABC5" s="39"/>
      <c r="ABD5" s="39"/>
      <c r="ABE5" s="39"/>
      <c r="ABF5" s="39"/>
      <c r="ABG5" s="39"/>
      <c r="ABH5" s="39"/>
      <c r="ABI5" s="39"/>
      <c r="ABJ5" s="39"/>
      <c r="ABK5" s="39"/>
      <c r="ABL5" s="39"/>
      <c r="ABM5" s="39"/>
      <c r="ABN5" s="39"/>
      <c r="ABO5" s="39"/>
      <c r="ABP5" s="39"/>
      <c r="ABQ5" s="39"/>
      <c r="ABR5" s="39"/>
      <c r="ABS5" s="39"/>
      <c r="ABT5" s="39"/>
      <c r="ABU5" s="39"/>
      <c r="ABV5" s="39"/>
      <c r="ABW5" s="39"/>
      <c r="ABX5" s="39"/>
      <c r="ABY5" s="39"/>
      <c r="ABZ5" s="39"/>
      <c r="ACA5" s="39"/>
      <c r="ACB5" s="39"/>
      <c r="ACC5" s="39"/>
      <c r="ACD5" s="39"/>
      <c r="ACE5" s="39"/>
      <c r="ACF5" s="39"/>
      <c r="ACG5" s="39"/>
      <c r="ACH5" s="39"/>
      <c r="ACI5" s="39"/>
      <c r="ACJ5" s="39"/>
      <c r="ACK5" s="39"/>
      <c r="ACL5" s="39"/>
      <c r="ACM5" s="39"/>
      <c r="ACN5" s="39"/>
      <c r="ACO5" s="39"/>
      <c r="ACP5" s="39"/>
      <c r="ACQ5" s="39"/>
      <c r="ACR5" s="39"/>
      <c r="ACS5" s="39"/>
      <c r="ACT5" s="39"/>
      <c r="ACU5" s="39"/>
      <c r="ACV5" s="39"/>
      <c r="ACW5" s="39"/>
      <c r="ACX5" s="39"/>
      <c r="ACY5" s="39"/>
      <c r="ACZ5" s="39"/>
      <c r="ADA5" s="39"/>
      <c r="ADB5" s="39"/>
      <c r="ADC5" s="39"/>
      <c r="ADD5" s="39"/>
      <c r="ADE5" s="39"/>
      <c r="ADF5" s="39"/>
      <c r="ADG5" s="39"/>
      <c r="ADH5" s="39"/>
      <c r="ADI5" s="39"/>
      <c r="ADJ5" s="39"/>
      <c r="ADK5" s="39"/>
      <c r="ADL5" s="39"/>
      <c r="ADM5" s="39"/>
      <c r="ADN5" s="39"/>
      <c r="ADO5" s="39"/>
      <c r="ADP5" s="39"/>
      <c r="ADQ5" s="39"/>
      <c r="ADR5" s="39"/>
      <c r="ADS5" s="39"/>
      <c r="ADT5" s="39"/>
      <c r="ADU5" s="39"/>
      <c r="ADV5" s="39"/>
      <c r="ADW5" s="39"/>
      <c r="ADX5" s="39"/>
      <c r="ADY5" s="39"/>
      <c r="ADZ5" s="39"/>
      <c r="AEA5" s="39"/>
      <c r="AEB5" s="39"/>
      <c r="AEC5" s="39"/>
      <c r="AED5" s="39"/>
      <c r="AEE5" s="39"/>
      <c r="AEF5" s="39"/>
      <c r="AEG5" s="39"/>
      <c r="AEH5" s="39"/>
      <c r="AEI5" s="39"/>
      <c r="AEJ5" s="39"/>
      <c r="AEK5" s="39"/>
      <c r="AEL5" s="39"/>
      <c r="AEM5" s="39"/>
      <c r="AEN5" s="39"/>
      <c r="AEO5" s="39"/>
      <c r="AEP5" s="39"/>
      <c r="AEQ5" s="39"/>
      <c r="AER5" s="39"/>
      <c r="AES5" s="39"/>
      <c r="AET5" s="39"/>
      <c r="AEU5" s="39"/>
      <c r="AEV5" s="39"/>
      <c r="AEW5" s="39"/>
      <c r="AEX5" s="39"/>
      <c r="AEY5" s="39"/>
      <c r="AEZ5" s="39"/>
      <c r="AFA5" s="39"/>
      <c r="AFB5" s="39"/>
      <c r="AFC5" s="39"/>
      <c r="AFD5" s="39"/>
      <c r="AFE5" s="39"/>
      <c r="AFF5" s="39"/>
      <c r="AFG5" s="39"/>
      <c r="AFH5" s="39"/>
      <c r="AFI5" s="39"/>
      <c r="AFJ5" s="39"/>
      <c r="AFK5" s="39"/>
      <c r="AFL5" s="39"/>
      <c r="AFM5" s="39"/>
      <c r="AFN5" s="39"/>
      <c r="AFO5" s="39"/>
      <c r="AFP5" s="39"/>
      <c r="AFQ5" s="39"/>
      <c r="AFR5" s="39"/>
      <c r="AFS5" s="39"/>
      <c r="AFT5" s="39"/>
      <c r="AFU5" s="39"/>
      <c r="AFV5" s="39"/>
      <c r="AFW5" s="39"/>
      <c r="AFX5" s="39"/>
      <c r="AFY5" s="39"/>
      <c r="AFZ5" s="39"/>
      <c r="AGA5" s="39"/>
      <c r="AGB5" s="39"/>
      <c r="AGC5" s="39"/>
      <c r="AGD5" s="39"/>
      <c r="AGE5" s="39"/>
      <c r="AGF5" s="39"/>
      <c r="AGG5" s="39"/>
      <c r="AGH5" s="39"/>
      <c r="AGI5" s="39"/>
      <c r="AGJ5" s="39"/>
      <c r="AGK5" s="39"/>
      <c r="AGL5" s="39"/>
      <c r="AGM5" s="39"/>
      <c r="AGN5" s="39"/>
      <c r="AGO5" s="39"/>
      <c r="AGP5" s="39"/>
      <c r="AGQ5" s="39"/>
      <c r="AGR5" s="39"/>
      <c r="AGS5" s="39"/>
      <c r="AGT5" s="39"/>
      <c r="AGU5" s="39"/>
      <c r="AGV5" s="39"/>
      <c r="AGW5" s="39"/>
      <c r="AGX5" s="39"/>
      <c r="AGY5" s="39"/>
      <c r="AGZ5" s="39"/>
      <c r="AHA5" s="39"/>
      <c r="AHB5" s="39"/>
      <c r="AHC5" s="39"/>
      <c r="AHD5" s="39"/>
      <c r="AHE5" s="39"/>
      <c r="AHF5" s="39"/>
      <c r="AHG5" s="39"/>
      <c r="AHH5" s="39"/>
      <c r="AHI5" s="39"/>
      <c r="AHJ5" s="39"/>
      <c r="AHK5" s="39"/>
      <c r="AHL5" s="39"/>
      <c r="AHM5" s="39"/>
      <c r="AHN5" s="39"/>
      <c r="AHO5" s="39"/>
      <c r="AHP5" s="39"/>
      <c r="AHQ5" s="39"/>
      <c r="AHR5" s="39"/>
      <c r="AHS5" s="39"/>
      <c r="AHT5" s="39"/>
      <c r="AHU5" s="39"/>
      <c r="AHV5" s="39"/>
      <c r="AHW5" s="39"/>
      <c r="AHX5" s="39"/>
      <c r="AHY5" s="39"/>
      <c r="AHZ5" s="39"/>
      <c r="AIA5" s="39"/>
      <c r="AIB5" s="39"/>
      <c r="AIC5" s="39"/>
      <c r="AID5" s="39"/>
      <c r="AIE5" s="39"/>
      <c r="AIF5" s="39"/>
      <c r="AIG5" s="39"/>
      <c r="AIH5" s="39"/>
      <c r="AII5" s="39"/>
      <c r="AIJ5" s="39"/>
      <c r="AIK5" s="39"/>
      <c r="AIL5" s="39"/>
      <c r="AIM5" s="39"/>
      <c r="AIN5" s="39"/>
      <c r="AIO5" s="39"/>
      <c r="AIP5" s="39"/>
      <c r="AIQ5" s="39"/>
      <c r="AIR5" s="39"/>
      <c r="AIS5" s="39"/>
      <c r="AIT5" s="39"/>
      <c r="AIU5" s="39"/>
      <c r="AIV5" s="39"/>
      <c r="AIW5" s="39"/>
      <c r="AIX5" s="39"/>
      <c r="AIY5" s="39"/>
      <c r="AIZ5" s="39"/>
      <c r="AJA5" s="39"/>
      <c r="AJB5" s="39"/>
      <c r="AJC5" s="39"/>
      <c r="AJD5" s="39"/>
      <c r="AJE5" s="39"/>
      <c r="AJF5" s="39"/>
      <c r="AJG5" s="39"/>
      <c r="AJH5" s="39"/>
      <c r="AJI5" s="39"/>
      <c r="AJJ5" s="39"/>
      <c r="AJK5" s="39"/>
      <c r="AJL5" s="39"/>
      <c r="AJM5" s="39"/>
      <c r="AJN5" s="39"/>
      <c r="AJO5" s="39"/>
      <c r="AJP5" s="39"/>
      <c r="AJQ5" s="39"/>
      <c r="AJR5" s="39"/>
      <c r="AJS5" s="39"/>
      <c r="AJT5" s="39"/>
      <c r="AJU5" s="39"/>
      <c r="AJV5" s="39"/>
      <c r="AJW5" s="39"/>
      <c r="AJX5" s="39"/>
      <c r="AJY5" s="39"/>
      <c r="AJZ5" s="39"/>
      <c r="AKA5" s="39"/>
      <c r="AKB5" s="39"/>
      <c r="AKC5" s="39"/>
      <c r="AKD5" s="39"/>
      <c r="AKE5" s="39"/>
      <c r="AKF5" s="39"/>
      <c r="AKG5" s="39"/>
      <c r="AKH5" s="39"/>
      <c r="AKI5" s="39"/>
      <c r="AKJ5" s="39"/>
      <c r="AKK5" s="39"/>
      <c r="AKL5" s="39"/>
      <c r="AKM5" s="39"/>
      <c r="AKN5" s="39"/>
      <c r="AKO5" s="39"/>
      <c r="AKP5" s="39"/>
      <c r="AKQ5" s="39"/>
      <c r="AKR5" s="39"/>
      <c r="AKS5" s="39"/>
      <c r="AKT5" s="39"/>
      <c r="AKU5" s="39"/>
      <c r="AKV5" s="39"/>
      <c r="AKW5" s="39"/>
      <c r="AKX5" s="39"/>
      <c r="AKY5" s="39"/>
      <c r="AKZ5" s="39"/>
      <c r="ALA5" s="39"/>
      <c r="ALB5" s="39"/>
      <c r="ALC5" s="39"/>
      <c r="ALD5" s="39"/>
      <c r="ALE5" s="39"/>
      <c r="ALF5" s="39"/>
      <c r="ALG5" s="39"/>
      <c r="ALH5" s="39"/>
      <c r="ALI5" s="39"/>
      <c r="ALJ5" s="39"/>
      <c r="ALK5" s="39"/>
      <c r="ALL5" s="39"/>
      <c r="ALM5" s="39"/>
      <c r="ALN5" s="39"/>
      <c r="ALO5" s="39"/>
      <c r="ALP5" s="39"/>
      <c r="ALQ5" s="39"/>
      <c r="ALR5" s="39"/>
      <c r="ALS5" s="39"/>
      <c r="ALT5" s="39"/>
      <c r="ALU5" s="39"/>
      <c r="ALV5" s="39"/>
      <c r="ALW5" s="39"/>
      <c r="ALX5" s="39"/>
      <c r="ALY5" s="39"/>
      <c r="ALZ5" s="39"/>
      <c r="AMA5" s="39"/>
      <c r="AMB5" s="39"/>
      <c r="AMC5" s="39"/>
      <c r="AMD5" s="39"/>
      <c r="AME5" s="39"/>
      <c r="AMF5" s="39"/>
      <c r="AMG5" s="39"/>
      <c r="AMH5" s="39"/>
      <c r="AMI5" s="39"/>
      <c r="AMJ5" s="39"/>
      <c r="AMK5" s="39"/>
      <c r="AML5" s="39"/>
    </row>
    <row r="6" ht="15.75" customHeight="1">
      <c r="A6" s="45" t="s">
        <v>122</v>
      </c>
      <c r="B6" s="45" t="s">
        <v>50</v>
      </c>
      <c r="C6" s="8" t="s">
        <v>128</v>
      </c>
      <c r="D6" s="45">
        <v>100.0</v>
      </c>
      <c r="E6" s="8">
        <v>100.0</v>
      </c>
      <c r="F6" s="8" t="s">
        <v>122</v>
      </c>
      <c r="G6" s="8" t="s">
        <v>124</v>
      </c>
      <c r="H6" s="8" t="s">
        <v>122</v>
      </c>
      <c r="I6" s="8" t="s">
        <v>122</v>
      </c>
      <c r="J6" s="8" t="s">
        <v>122</v>
      </c>
      <c r="K6" s="8" t="s">
        <v>131</v>
      </c>
      <c r="L6" s="8"/>
      <c r="M6" s="8" t="s">
        <v>138</v>
      </c>
      <c r="N6" s="8" t="s">
        <v>122</v>
      </c>
      <c r="O6" s="8" t="s">
        <v>122</v>
      </c>
      <c r="P6" t="s">
        <v>122</v>
      </c>
      <c r="Q6" t="s">
        <v>122</v>
      </c>
      <c r="R6" t="s">
        <v>130</v>
      </c>
      <c r="V6" t="s">
        <v>122</v>
      </c>
      <c r="W6" t="s">
        <v>129</v>
      </c>
      <c r="X6" t="s">
        <v>139</v>
      </c>
      <c r="Z6" t="s">
        <v>122</v>
      </c>
      <c r="AB6" t="s">
        <v>122</v>
      </c>
      <c r="AC6" t="s">
        <v>122</v>
      </c>
      <c r="AD6" t="s">
        <v>122</v>
      </c>
      <c r="AF6" t="s">
        <v>122</v>
      </c>
      <c r="AG6" t="s">
        <v>62</v>
      </c>
      <c r="AH6" t="s">
        <v>122</v>
      </c>
      <c r="AJ6" t="s">
        <v>122</v>
      </c>
      <c r="AK6" t="s">
        <v>122</v>
      </c>
      <c r="AR6" t="s">
        <v>140</v>
      </c>
      <c r="AT6" t="s">
        <v>122</v>
      </c>
      <c r="AV6" t="s">
        <v>132</v>
      </c>
      <c r="AY6" t="s">
        <v>122</v>
      </c>
      <c r="AZ6" t="s">
        <v>122</v>
      </c>
      <c r="BB6" t="s">
        <v>130</v>
      </c>
      <c r="BC6" t="s">
        <v>122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  <c r="DN6" t="s">
        <v>122</v>
      </c>
      <c r="DO6" t="s">
        <v>122</v>
      </c>
      <c r="DP6" t="s">
        <v>122</v>
      </c>
      <c r="DQ6" t="s">
        <v>122</v>
      </c>
      <c r="DR6" t="s">
        <v>122</v>
      </c>
      <c r="DS6" t="s">
        <v>122</v>
      </c>
      <c r="DT6" t="s">
        <v>122</v>
      </c>
      <c r="DU6" t="s">
        <v>122</v>
      </c>
      <c r="DV6" t="s">
        <v>122</v>
      </c>
      <c r="DW6" t="s">
        <v>122</v>
      </c>
      <c r="DX6" t="s">
        <v>122</v>
      </c>
      <c r="DY6" t="s">
        <v>122</v>
      </c>
      <c r="DZ6" t="s">
        <v>122</v>
      </c>
      <c r="EA6" t="s">
        <v>122</v>
      </c>
      <c r="EB6" t="s">
        <v>122</v>
      </c>
      <c r="EC6" t="s">
        <v>122</v>
      </c>
      <c r="ED6" t="s">
        <v>122</v>
      </c>
      <c r="EE6" t="s">
        <v>122</v>
      </c>
      <c r="EF6" t="s">
        <v>122</v>
      </c>
      <c r="EG6" t="s">
        <v>122</v>
      </c>
      <c r="EH6" t="s">
        <v>122</v>
      </c>
      <c r="EI6" t="s">
        <v>122</v>
      </c>
      <c r="EJ6" t="s">
        <v>122</v>
      </c>
      <c r="EK6" t="s">
        <v>122</v>
      </c>
      <c r="EL6" t="s">
        <v>122</v>
      </c>
      <c r="EM6" t="s">
        <v>122</v>
      </c>
      <c r="EN6" t="s">
        <v>122</v>
      </c>
      <c r="EO6" t="s">
        <v>122</v>
      </c>
      <c r="EP6" t="s">
        <v>122</v>
      </c>
      <c r="EQ6" t="s">
        <v>122</v>
      </c>
      <c r="ER6" t="s">
        <v>122</v>
      </c>
      <c r="ES6" t="s">
        <v>122</v>
      </c>
      <c r="ET6" t="s">
        <v>122</v>
      </c>
      <c r="EU6" t="s">
        <v>122</v>
      </c>
      <c r="EV6" t="s">
        <v>122</v>
      </c>
      <c r="EW6" t="s">
        <v>122</v>
      </c>
      <c r="EX6" t="s">
        <v>122</v>
      </c>
      <c r="EY6" t="s">
        <v>122</v>
      </c>
      <c r="EZ6" t="s">
        <v>122</v>
      </c>
      <c r="FA6" t="s">
        <v>122</v>
      </c>
      <c r="FB6" t="s">
        <v>122</v>
      </c>
      <c r="FC6" t="s">
        <v>122</v>
      </c>
      <c r="FD6" t="s">
        <v>122</v>
      </c>
      <c r="FE6" t="s">
        <v>122</v>
      </c>
      <c r="FF6" t="s">
        <v>122</v>
      </c>
      <c r="FG6" t="s">
        <v>122</v>
      </c>
      <c r="FH6" t="s">
        <v>122</v>
      </c>
      <c r="FI6" t="s">
        <v>122</v>
      </c>
      <c r="FJ6" t="s">
        <v>122</v>
      </c>
      <c r="FK6" t="s">
        <v>122</v>
      </c>
      <c r="FL6" t="s">
        <v>122</v>
      </c>
      <c r="FM6" t="s">
        <v>122</v>
      </c>
      <c r="FN6" t="s">
        <v>122</v>
      </c>
      <c r="FO6" t="s">
        <v>122</v>
      </c>
      <c r="FP6" t="s">
        <v>122</v>
      </c>
      <c r="FQ6" t="s">
        <v>122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8" t="s">
        <v>122</v>
      </c>
      <c r="B7" s="8" t="s">
        <v>55</v>
      </c>
      <c r="C7" s="8" t="s">
        <v>128</v>
      </c>
      <c r="D7" s="8">
        <v>100.0</v>
      </c>
      <c r="E7" s="8">
        <v>100.0</v>
      </c>
      <c r="F7" s="8" t="s">
        <v>122</v>
      </c>
      <c r="G7" s="8" t="s">
        <v>124</v>
      </c>
      <c r="H7" s="8" t="s">
        <v>122</v>
      </c>
      <c r="I7" s="8" t="s">
        <v>122</v>
      </c>
      <c r="J7" s="8" t="s">
        <v>122</v>
      </c>
      <c r="K7" s="8" t="s">
        <v>131</v>
      </c>
      <c r="L7" s="8"/>
      <c r="M7" s="8" t="s">
        <v>138</v>
      </c>
      <c r="N7" s="8" t="s">
        <v>122</v>
      </c>
      <c r="O7" s="8" t="s">
        <v>122</v>
      </c>
      <c r="P7" t="s">
        <v>122</v>
      </c>
      <c r="Q7" t="s">
        <v>122</v>
      </c>
      <c r="R7" t="s">
        <v>130</v>
      </c>
      <c r="V7" t="s">
        <v>122</v>
      </c>
      <c r="W7" t="s">
        <v>136</v>
      </c>
      <c r="X7" t="s">
        <v>139</v>
      </c>
      <c r="Z7" t="s">
        <v>122</v>
      </c>
      <c r="AB7" t="s">
        <v>122</v>
      </c>
      <c r="AC7" t="s">
        <v>122</v>
      </c>
      <c r="AD7" t="s">
        <v>122</v>
      </c>
      <c r="AF7" t="s">
        <v>122</v>
      </c>
      <c r="AG7" t="s">
        <v>62</v>
      </c>
      <c r="AH7" t="s">
        <v>122</v>
      </c>
      <c r="AJ7" t="s">
        <v>122</v>
      </c>
      <c r="AK7" t="s">
        <v>122</v>
      </c>
      <c r="AR7" t="s">
        <v>140</v>
      </c>
      <c r="AT7" t="s">
        <v>122</v>
      </c>
      <c r="AV7" t="s">
        <v>132</v>
      </c>
      <c r="AY7" t="s">
        <v>122</v>
      </c>
      <c r="AZ7" t="s">
        <v>122</v>
      </c>
      <c r="BB7" t="s">
        <v>130</v>
      </c>
      <c r="BC7" t="s">
        <v>122</v>
      </c>
      <c r="BD7" t="s">
        <v>122</v>
      </c>
      <c r="BE7" t="s">
        <v>122</v>
      </c>
      <c r="BF7" t="s">
        <v>122</v>
      </c>
      <c r="BG7" t="s">
        <v>122</v>
      </c>
      <c r="BH7" t="s">
        <v>122</v>
      </c>
      <c r="BI7" t="s">
        <v>122</v>
      </c>
      <c r="BJ7" t="s">
        <v>122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122</v>
      </c>
      <c r="BQ7" t="s">
        <v>122</v>
      </c>
      <c r="BR7" t="s">
        <v>122</v>
      </c>
      <c r="BS7" t="s">
        <v>122</v>
      </c>
      <c r="BT7" t="s">
        <v>122</v>
      </c>
      <c r="BU7" t="s">
        <v>122</v>
      </c>
      <c r="BV7" t="s">
        <v>122</v>
      </c>
      <c r="BW7" t="s">
        <v>122</v>
      </c>
      <c r="BX7" t="s">
        <v>122</v>
      </c>
      <c r="BY7" t="s">
        <v>122</v>
      </c>
      <c r="BZ7" t="s">
        <v>122</v>
      </c>
      <c r="CA7" t="s">
        <v>122</v>
      </c>
      <c r="CB7" t="s">
        <v>122</v>
      </c>
      <c r="CC7" t="s">
        <v>122</v>
      </c>
      <c r="CD7" t="s">
        <v>122</v>
      </c>
      <c r="CE7" t="s">
        <v>122</v>
      </c>
      <c r="CF7" t="s">
        <v>122</v>
      </c>
      <c r="CG7" t="s">
        <v>122</v>
      </c>
      <c r="CH7" t="s">
        <v>122</v>
      </c>
      <c r="CI7" t="s">
        <v>122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  <c r="DN7" t="s">
        <v>122</v>
      </c>
      <c r="DO7" t="s">
        <v>122</v>
      </c>
      <c r="DP7" t="s">
        <v>122</v>
      </c>
      <c r="DQ7" t="s">
        <v>122</v>
      </c>
      <c r="DR7" t="s">
        <v>122</v>
      </c>
      <c r="DS7" t="s">
        <v>122</v>
      </c>
      <c r="DT7" t="s">
        <v>122</v>
      </c>
      <c r="DU7" t="s">
        <v>122</v>
      </c>
      <c r="DV7" t="s">
        <v>122</v>
      </c>
      <c r="DW7" t="s">
        <v>122</v>
      </c>
      <c r="DX7" t="s">
        <v>122</v>
      </c>
      <c r="DY7" t="s">
        <v>122</v>
      </c>
      <c r="DZ7" t="s">
        <v>122</v>
      </c>
      <c r="EA7" t="s">
        <v>122</v>
      </c>
      <c r="EB7" t="s">
        <v>122</v>
      </c>
      <c r="EC7" t="s">
        <v>122</v>
      </c>
      <c r="ED7" t="s">
        <v>122</v>
      </c>
      <c r="EE7" t="s">
        <v>122</v>
      </c>
      <c r="EF7" t="s">
        <v>122</v>
      </c>
      <c r="EG7" t="s">
        <v>122</v>
      </c>
      <c r="EH7" t="s">
        <v>122</v>
      </c>
      <c r="EI7" t="s">
        <v>122</v>
      </c>
      <c r="EJ7" t="s">
        <v>122</v>
      </c>
      <c r="EK7" t="s">
        <v>122</v>
      </c>
      <c r="EL7" t="s">
        <v>122</v>
      </c>
      <c r="EM7" t="s">
        <v>122</v>
      </c>
      <c r="EN7" t="s">
        <v>122</v>
      </c>
      <c r="EO7" t="s">
        <v>122</v>
      </c>
      <c r="EP7" t="s">
        <v>122</v>
      </c>
      <c r="EQ7" t="s">
        <v>122</v>
      </c>
      <c r="ER7" t="s">
        <v>122</v>
      </c>
      <c r="ES7" t="s">
        <v>122</v>
      </c>
      <c r="ET7" t="s">
        <v>122</v>
      </c>
      <c r="EU7" t="s">
        <v>122</v>
      </c>
      <c r="EV7" t="s">
        <v>122</v>
      </c>
      <c r="EW7" t="s">
        <v>122</v>
      </c>
      <c r="EX7" t="s">
        <v>122</v>
      </c>
      <c r="EY7" t="s">
        <v>122</v>
      </c>
      <c r="EZ7" t="s">
        <v>122</v>
      </c>
      <c r="FA7" t="s">
        <v>122</v>
      </c>
      <c r="FB7" t="s">
        <v>122</v>
      </c>
      <c r="FC7" t="s">
        <v>122</v>
      </c>
      <c r="FD7" t="s">
        <v>122</v>
      </c>
      <c r="FE7" t="s">
        <v>122</v>
      </c>
      <c r="FF7" t="s">
        <v>122</v>
      </c>
      <c r="FG7" t="s">
        <v>122</v>
      </c>
      <c r="FH7" t="s">
        <v>122</v>
      </c>
      <c r="FI7" t="s">
        <v>122</v>
      </c>
      <c r="FJ7" t="s">
        <v>122</v>
      </c>
      <c r="FK7" t="s">
        <v>122</v>
      </c>
      <c r="FL7" t="s">
        <v>122</v>
      </c>
      <c r="FM7" t="s">
        <v>122</v>
      </c>
      <c r="FN7" t="s">
        <v>122</v>
      </c>
      <c r="FO7" t="s">
        <v>122</v>
      </c>
      <c r="FP7" t="s">
        <v>122</v>
      </c>
      <c r="FQ7" t="s">
        <v>122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 t="s">
        <v>122</v>
      </c>
      <c r="B8" s="8" t="s">
        <v>56</v>
      </c>
      <c r="C8" s="8" t="s">
        <v>128</v>
      </c>
      <c r="D8" s="8">
        <v>100.0</v>
      </c>
      <c r="E8" s="8"/>
      <c r="F8" s="8" t="s">
        <v>122</v>
      </c>
      <c r="G8" s="8" t="s">
        <v>141</v>
      </c>
      <c r="H8" s="8" t="s">
        <v>122</v>
      </c>
      <c r="I8" s="8" t="s">
        <v>122</v>
      </c>
      <c r="J8" s="8" t="s">
        <v>122</v>
      </c>
      <c r="K8" s="8" t="s">
        <v>131</v>
      </c>
      <c r="L8" s="8"/>
      <c r="M8" s="8" t="s">
        <v>138</v>
      </c>
      <c r="N8" s="8" t="s">
        <v>122</v>
      </c>
      <c r="O8" s="8" t="s">
        <v>122</v>
      </c>
      <c r="P8" t="s">
        <v>122</v>
      </c>
      <c r="Q8" t="s">
        <v>122</v>
      </c>
      <c r="R8" t="s">
        <v>130</v>
      </c>
      <c r="V8" t="s">
        <v>122</v>
      </c>
      <c r="W8" t="s">
        <v>136</v>
      </c>
      <c r="X8" t="s">
        <v>139</v>
      </c>
      <c r="Z8" t="s">
        <v>122</v>
      </c>
      <c r="AB8" t="s">
        <v>122</v>
      </c>
      <c r="AC8" t="s">
        <v>122</v>
      </c>
      <c r="AD8" t="s">
        <v>122</v>
      </c>
      <c r="AF8" t="s">
        <v>122</v>
      </c>
      <c r="AG8" t="s">
        <v>62</v>
      </c>
      <c r="AH8" t="s">
        <v>122</v>
      </c>
      <c r="AJ8" t="s">
        <v>122</v>
      </c>
      <c r="AK8" t="s">
        <v>122</v>
      </c>
      <c r="AR8" t="s">
        <v>140</v>
      </c>
      <c r="AT8" t="s">
        <v>122</v>
      </c>
      <c r="AV8" t="s">
        <v>132</v>
      </c>
      <c r="AY8" t="s">
        <v>122</v>
      </c>
      <c r="AZ8" t="s">
        <v>122</v>
      </c>
      <c r="BB8" t="s">
        <v>130</v>
      </c>
      <c r="BC8" t="s">
        <v>122</v>
      </c>
      <c r="BD8" t="s">
        <v>122</v>
      </c>
      <c r="BE8" t="s">
        <v>122</v>
      </c>
      <c r="BF8" t="s">
        <v>122</v>
      </c>
      <c r="BG8" t="s">
        <v>122</v>
      </c>
      <c r="BH8" t="s">
        <v>122</v>
      </c>
      <c r="BI8" t="s">
        <v>122</v>
      </c>
      <c r="BJ8" t="s">
        <v>122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122</v>
      </c>
      <c r="BQ8" t="s">
        <v>122</v>
      </c>
      <c r="BR8" t="s">
        <v>122</v>
      </c>
      <c r="BS8" t="s">
        <v>122</v>
      </c>
      <c r="BT8" t="s">
        <v>122</v>
      </c>
      <c r="BU8" t="s">
        <v>122</v>
      </c>
      <c r="BV8" t="s">
        <v>122</v>
      </c>
      <c r="BW8" t="s">
        <v>122</v>
      </c>
      <c r="BX8" t="s">
        <v>122</v>
      </c>
      <c r="BY8" t="s">
        <v>122</v>
      </c>
      <c r="BZ8" t="s">
        <v>122</v>
      </c>
      <c r="CA8" t="s">
        <v>122</v>
      </c>
      <c r="CB8" t="s">
        <v>122</v>
      </c>
      <c r="CC8" t="s">
        <v>122</v>
      </c>
      <c r="CD8" t="s">
        <v>122</v>
      </c>
      <c r="CE8" t="s">
        <v>122</v>
      </c>
      <c r="CF8" t="s">
        <v>122</v>
      </c>
      <c r="CG8" t="s">
        <v>122</v>
      </c>
      <c r="CH8" t="s">
        <v>122</v>
      </c>
      <c r="CI8" t="s">
        <v>122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  <c r="DN8" t="s">
        <v>122</v>
      </c>
      <c r="DO8" t="s">
        <v>122</v>
      </c>
      <c r="DP8" t="s">
        <v>122</v>
      </c>
      <c r="DQ8" t="s">
        <v>122</v>
      </c>
      <c r="DR8" t="s">
        <v>122</v>
      </c>
      <c r="DS8" t="s">
        <v>122</v>
      </c>
      <c r="DT8" t="s">
        <v>122</v>
      </c>
      <c r="DU8" t="s">
        <v>122</v>
      </c>
      <c r="DV8" t="s">
        <v>122</v>
      </c>
      <c r="DW8" t="s">
        <v>122</v>
      </c>
      <c r="DX8" t="s">
        <v>122</v>
      </c>
      <c r="DY8" t="s">
        <v>122</v>
      </c>
      <c r="DZ8" t="s">
        <v>122</v>
      </c>
      <c r="EA8" t="s">
        <v>122</v>
      </c>
      <c r="EB8" t="s">
        <v>122</v>
      </c>
      <c r="EC8" t="s">
        <v>122</v>
      </c>
      <c r="ED8" t="s">
        <v>122</v>
      </c>
      <c r="EE8" t="s">
        <v>122</v>
      </c>
      <c r="EF8" t="s">
        <v>122</v>
      </c>
      <c r="EG8" t="s">
        <v>122</v>
      </c>
      <c r="EH8" t="s">
        <v>122</v>
      </c>
      <c r="EI8" t="s">
        <v>122</v>
      </c>
      <c r="EJ8" t="s">
        <v>122</v>
      </c>
      <c r="EK8" t="s">
        <v>122</v>
      </c>
      <c r="EL8" t="s">
        <v>122</v>
      </c>
      <c r="EM8" t="s">
        <v>122</v>
      </c>
      <c r="EN8" t="s">
        <v>122</v>
      </c>
      <c r="EO8" t="s">
        <v>122</v>
      </c>
      <c r="EP8" t="s">
        <v>122</v>
      </c>
      <c r="EQ8" t="s">
        <v>122</v>
      </c>
      <c r="ER8" t="s">
        <v>122</v>
      </c>
      <c r="ES8" t="s">
        <v>122</v>
      </c>
      <c r="ET8" t="s">
        <v>122</v>
      </c>
      <c r="EU8" t="s">
        <v>122</v>
      </c>
      <c r="EV8" t="s">
        <v>122</v>
      </c>
      <c r="EW8" t="s">
        <v>122</v>
      </c>
      <c r="EX8" t="s">
        <v>122</v>
      </c>
      <c r="EY8" t="s">
        <v>122</v>
      </c>
      <c r="EZ8" t="s">
        <v>122</v>
      </c>
      <c r="FA8" t="s">
        <v>122</v>
      </c>
      <c r="FB8" t="s">
        <v>122</v>
      </c>
      <c r="FC8" t="s">
        <v>122</v>
      </c>
      <c r="FD8" t="s">
        <v>122</v>
      </c>
      <c r="FE8" t="s">
        <v>122</v>
      </c>
      <c r="FF8" t="s">
        <v>122</v>
      </c>
      <c r="FG8" t="s">
        <v>122</v>
      </c>
      <c r="FH8" t="s">
        <v>122</v>
      </c>
      <c r="FI8" t="s">
        <v>122</v>
      </c>
      <c r="FJ8" t="s">
        <v>122</v>
      </c>
      <c r="FK8" t="s">
        <v>122</v>
      </c>
      <c r="FL8" t="s">
        <v>122</v>
      </c>
      <c r="FM8" t="s">
        <v>122</v>
      </c>
      <c r="FN8" t="s">
        <v>122</v>
      </c>
      <c r="FO8" t="s">
        <v>122</v>
      </c>
      <c r="FP8" t="s">
        <v>122</v>
      </c>
      <c r="FQ8" t="s">
        <v>122</v>
      </c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  <c r="AML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142</v>
      </c>
      <c r="D3" s="5" t="s">
        <v>9</v>
      </c>
      <c r="E3" s="22" t="s">
        <v>143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6" t="str">
        <f>IFERROR(__xludf.DUMMYFUNCTION("TRANSPOSE(IMPORTRANGE(VLOOKUP($E$3,IMPORTRANGE('_Settings'!$B$3,$C$3&amp;""!A4:B1000""),2,FALSE),$G$3&amp;""!A4:A1000""))"),"")</f>
        <v/>
      </c>
      <c r="B5" s="37" t="str">
        <f>IFERROR(__xludf.DUMMYFUNCTION("""COMPUTED_VALUE"""),"LoginUserName")</f>
        <v>LoginUserName</v>
      </c>
      <c r="C5" s="37" t="str">
        <f>IFERROR(__xludf.DUMMYFUNCTION("""COMPUTED_VALUE"""),"LoginPassword")</f>
        <v>LoginPassword</v>
      </c>
      <c r="D5" s="37"/>
      <c r="E5" s="37"/>
      <c r="F5" s="38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</row>
    <row r="6" ht="15.75" customHeight="1">
      <c r="A6" s="12"/>
      <c r="B6" s="12" t="s">
        <v>144</v>
      </c>
      <c r="C6" s="12" t="s">
        <v>145</v>
      </c>
      <c r="D6" s="12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146</v>
      </c>
      <c r="D3" s="5" t="s">
        <v>9</v>
      </c>
      <c r="E3" s="22" t="s">
        <v>147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6" t="str">
        <f>IFERROR(__xludf.DUMMYFUNCTION("TRANSPOSE(IMPORTRANGE(VLOOKUP($E$3,IMPORTRANGE('_Settings'!$B$3,$C$3&amp;""!A4:B1000""),2,FALSE),$G$3&amp;""!A4:A1000""))"),"")</f>
        <v/>
      </c>
      <c r="B5" s="37" t="str">
        <f>IFERROR(__xludf.DUMMYFUNCTION("""COMPUTED_VALUE"""),"OpenWindow")</f>
        <v>OpenWindow</v>
      </c>
      <c r="C5" s="37" t="str">
        <f>IFERROR(__xludf.DUMMYFUNCTION("""COMPUTED_VALUE"""),"TabName")</f>
        <v>TabName</v>
      </c>
      <c r="D5" s="37" t="str">
        <f>IFERROR(__xludf.DUMMYFUNCTION("""COMPUTED_VALUE"""),"Description")</f>
        <v>Description</v>
      </c>
      <c r="E5" s="37" t="str">
        <f>IFERROR(__xludf.DUMMYFUNCTION("""COMPUTED_VALUE"""),"Save?")</f>
        <v>Save?</v>
      </c>
      <c r="F5" s="38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</row>
    <row r="6" ht="15.75" customHeight="1">
      <c r="A6" s="12"/>
      <c r="B6" s="12" t="s">
        <v>148</v>
      </c>
      <c r="C6" s="8"/>
      <c r="D6" s="12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146</v>
      </c>
      <c r="D3" s="5" t="s">
        <v>9</v>
      </c>
      <c r="E3" s="22" t="s">
        <v>149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6" t="str">
        <f>IFERROR(__xludf.DUMMYFUNCTION("TRANSPOSE(IMPORTRANGE(VLOOKUP($E$3,IMPORTRANGE('_Settings'!$B$3,$C$3&amp;""!A4:B1000""),2,FALSE),$G$3&amp;""!A4:A1000""))"),"")</f>
        <v/>
      </c>
      <c r="B5" s="37" t="str">
        <f>IFERROR(__xludf.DUMMYFUNCTION("""COMPUTED_VALUE"""),"Symbol")</f>
        <v>Symbol</v>
      </c>
      <c r="C5" s="37" t="str">
        <f>IFERROR(__xludf.DUMMYFUNCTION("""COMPUTED_VALUE"""),"Security Name")</f>
        <v>Security Name</v>
      </c>
      <c r="D5" s="37" t="str">
        <f>IFERROR(__xludf.DUMMYFUNCTION("""COMPUTED_VALUE"""),"Fund")</f>
        <v>Fund</v>
      </c>
      <c r="E5" s="37" t="str">
        <f>IFERROR(__xludf.DUMMYFUNCTION("""COMPUTED_VALUE"""),"Account")</f>
        <v>Account</v>
      </c>
      <c r="F5" s="38" t="str">
        <f>IFERROR(__xludf.DUMMYFUNCTION("""COMPUTED_VALUE"""),"Asset Class")</f>
        <v>Asset Class</v>
      </c>
      <c r="G5" s="37" t="str">
        <f>IFERROR(__xludf.DUMMYFUNCTION("""COMPUTED_VALUE"""),"Position")</f>
        <v>Position</v>
      </c>
      <c r="H5" s="37" t="str">
        <f>IFERROR(__xludf.DUMMYFUNCTION("""COMPUTED_VALUE"""),"Position Side")</f>
        <v>Position Side</v>
      </c>
      <c r="I5" s="37" t="str">
        <f>IFERROR(__xludf.DUMMYFUNCTION("""COMPUTED_VALUE"""),"Px Selected Feed (Local)")</f>
        <v>Px Selected Feed (Local)</v>
      </c>
      <c r="J5" s="37" t="str">
        <f>IFERROR(__xludf.DUMMYFUNCTION("""COMPUTED_VALUE"""),"Px Selected Feed (Base)")</f>
        <v>Px Selected Feed (Base)</v>
      </c>
      <c r="K5" s="37" t="str">
        <f>IFERROR(__xludf.DUMMYFUNCTION("""COMPUTED_VALUE"""),"Market Value (Base)")</f>
        <v>Market Value (Base)</v>
      </c>
      <c r="L5" s="37" t="str">
        <f>IFERROR(__xludf.DUMMYFUNCTION("""COMPUTED_VALUE"""),"% Net Market Value (Base)")</f>
        <v>% Net Market Value (Base)</v>
      </c>
      <c r="M5" s="37" t="str">
        <f>IFERROR(__xludf.DUMMYFUNCTION("""COMPUTED_VALUE"""),"Cost Basis P&amp;L (Base)")</f>
        <v>Cost Basis P&amp;L (Base)</v>
      </c>
      <c r="N5" s="37" t="str">
        <f>IFERROR(__xludf.DUMMYFUNCTION("""COMPUTED_VALUE"""),"% Gain/Loss Cost")</f>
        <v>% Gain/Loss Cost</v>
      </c>
      <c r="O5" s="37" t="str">
        <f>IFERROR(__xludf.DUMMYFUNCTION("""COMPUTED_VALUE"""),"Day P&amp;L (Base)")</f>
        <v>Day P&amp;L (Base)</v>
      </c>
      <c r="P5" s="37" t="str">
        <f>IFERROR(__xludf.DUMMYFUNCTION("""COMPUTED_VALUE"""),"% Gain/Loss Day")</f>
        <v>% Gain/Loss Day</v>
      </c>
      <c r="Q5" s="37" t="str">
        <f>IFERROR(__xludf.DUMMYFUNCTION("""COMPUTED_VALUE"""),"Exposure (Base)")</f>
        <v>Exposure (Base)</v>
      </c>
      <c r="R5" s="37" t="str">
        <f>IFERROR(__xludf.DUMMYFUNCTION("""COMPUTED_VALUE"""),"% Exposure (Base)")</f>
        <v>% Exposure (Base)</v>
      </c>
      <c r="S5" s="37" t="str">
        <f>IFERROR(__xludf.DUMMYFUNCTION("""COMPUTED_VALUE"""),"Live Feed Provider Ticker")</f>
        <v>Live Feed Provider Ticker</v>
      </c>
      <c r="T5" s="39" t="str">
        <f>IFERROR(__xludf.DUMMYFUNCTION("""COMPUTED_VALUE"""),"Testing Type")</f>
        <v>Testing Type</v>
      </c>
      <c r="U5" s="39" t="str">
        <f>IFERROR(__xludf.DUMMYFUNCTION("""COMPUTED_VALUE"""),"Testing Column")</f>
        <v>Testing Column</v>
      </c>
      <c r="V5" s="39" t="str">
        <f>IFERROR(__xludf.DUMMYFUNCTION("""COMPUTED_VALUE"""),"Testing Col Value")</f>
        <v>Testing Col Value</v>
      </c>
      <c r="W5" s="39" t="str">
        <f>IFERROR(__xludf.DUMMYFUNCTION("""COMPUTED_VALUE"""),"DuplicateCountOnUI")</f>
        <v>DuplicateCountOnUI</v>
      </c>
      <c r="X5" s="39" t="str">
        <f>IFERROR(__xludf.DUMMYFUNCTION("""COMPUTED_VALUE"""),"DuplicateRow")</f>
        <v>DuplicateRow</v>
      </c>
      <c r="Y5" s="39" t="str">
        <f>IFERROR(__xludf.DUMMYFUNCTION("""COMPUTED_VALUE"""),"TabName")</f>
        <v>TabName</v>
      </c>
      <c r="Z5" s="39" t="str">
        <f>IFERROR(__xludf.DUMMYFUNCTION("""COMPUTED_VALUE"""),"GridDataWidgetName")</f>
        <v>GridDataWidgetName</v>
      </c>
      <c r="AA5" s="39" t="str">
        <f>IFERROR(__xludf.DUMMYFUNCTION("""COMPUTED_VALUE"""),"Bloomberg Symbol")</f>
        <v>Bloomberg Symbol</v>
      </c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</row>
    <row r="6" ht="15.75" customHeight="1">
      <c r="A6" s="12"/>
      <c r="B6" s="12" t="s">
        <v>50</v>
      </c>
      <c r="C6" s="12" t="s">
        <v>150</v>
      </c>
      <c r="D6" s="12" t="s">
        <v>127</v>
      </c>
      <c r="E6" s="12" t="s">
        <v>61</v>
      </c>
      <c r="F6" s="12" t="s">
        <v>129</v>
      </c>
      <c r="G6" s="12">
        <v>100.0</v>
      </c>
      <c r="H6" s="12" t="s">
        <v>151</v>
      </c>
      <c r="I6" s="12">
        <v>10.0</v>
      </c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55</v>
      </c>
      <c r="C7" s="12" t="s">
        <v>55</v>
      </c>
      <c r="D7" s="12" t="s">
        <v>127</v>
      </c>
      <c r="E7" s="12" t="s">
        <v>61</v>
      </c>
      <c r="F7" t="s">
        <v>136</v>
      </c>
      <c r="G7" s="12">
        <v>100.0</v>
      </c>
      <c r="H7" s="12" t="s">
        <v>151</v>
      </c>
      <c r="I7" s="12">
        <v>10.0</v>
      </c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152</v>
      </c>
      <c r="D3" s="5" t="s">
        <v>9</v>
      </c>
      <c r="E3" s="22" t="s">
        <v>153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6" t="str">
        <f>IFERROR(__xludf.DUMMYFUNCTION("TRANSPOSE(IMPORTRANGE(VLOOKUP($E$3,IMPORTRANGE('_Settings'!$B$3,$C$3&amp;""!A4:B1000""),2,FALSE),$G$3&amp;""!A4:A1000""))"),"")</f>
        <v/>
      </c>
      <c r="B5" s="37" t="str">
        <f>IFERROR(__xludf.DUMMYFUNCTION("""COMPUTED_VALUE"""),"TAG")</f>
        <v>TAG</v>
      </c>
      <c r="C5" s="37" t="str">
        <f>IFERROR(__xludf.DUMMYFUNCTION("""COMPUTED_VALUE"""),"TAG VALUE")</f>
        <v>TAG VALUE</v>
      </c>
      <c r="D5" s="37"/>
      <c r="E5" s="37"/>
      <c r="F5" s="38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</row>
    <row r="6" ht="15.75" customHeight="1">
      <c r="A6" s="12"/>
      <c r="B6" s="12">
        <v>55.0</v>
      </c>
      <c r="C6" s="12" t="s">
        <v>56</v>
      </c>
      <c r="D6" s="12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>
        <v>40.0</v>
      </c>
      <c r="C7" s="12">
        <v>1.0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>
        <v>38.0</v>
      </c>
      <c r="C8" s="1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VerifyTagInAllFixLogs!$4:$4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