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<sst xmlns="http://schemas.openxmlformats.org/spreadsheetml/2006/main" count="81" uniqueCount="35">
  <si>
    <t>Settings</t>
  </si>
  <si>
    <t>Modules Info</t>
  </si>
  <si>
    <t>Module Step Setting File</t>
  </si>
  <si>
    <t>Master Data Info</t>
  </si>
  <si>
    <t>1EIOAnn5_ydURa9w8aagTvOqRzTyrnNiyPEGPgiL87Y4</t>
  </si>
  <si>
    <t>Master Data Settings File</t>
  </si>
  <si>
    <t>Module</t>
  </si>
  <si>
    <t>1Nt_rf5DtgjbN9Ag4AMMlUkZYROxKZLH5m54YOl7tRT0</t>
  </si>
  <si>
    <t>Modules</t>
  </si>
  <si>
    <t>Data</t>
  </si>
  <si>
    <t>Step</t>
  </si>
  <si>
    <t>Master Data Sheet</t>
  </si>
  <si>
    <t>TradingTicket</t>
  </si>
  <si>
    <t>CreateDoneAwayOrder</t>
  </si>
  <si>
    <t>Data Format</t>
  </si>
  <si>
    <t>Input Format</t>
  </si>
  <si>
    <t>DailyValuation</t>
  </si>
  <si>
    <t>GetDailyCash</t>
  </si>
  <si>
    <t>msft</t>
  </si>
  <si>
    <t>buy</t>
  </si>
  <si>
    <t>UpdateDailyCash</t>
  </si>
  <si>
    <t>Allocation1</t>
  </si>
  <si>
    <t>USD</t>
  </si>
  <si>
    <t>Allocation2</t>
  </si>
  <si>
    <t>AAPL</t>
  </si>
  <si>
    <t>Buy</t>
  </si>
  <si>
    <t>PricingInput</t>
  </si>
  <si>
    <t>PTT</t>
  </si>
  <si>
    <t>CalculatePTT</t>
  </si>
  <si>
    <t>Decrease</t>
  </si>
  <si>
    <t>Basis Point</t>
  </si>
  <si>
    <t>No</t>
  </si>
  <si>
    <t>Account</t>
  </si>
  <si>
    <t>Allocation1,Allocation2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</si>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</sst>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5" numFmtId="0" xfId="0" applyAlignment="1" applyFont="1">
      <alignment horizontal="center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6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5" fillId="0" fontId="6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6" fillId="0" fontId="1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5" fillId="0" fontId="6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1" t="s">
        <v>1</v>
      </c>
      <c r="B1" s="2"/>
      <c r="C1" s="2"/>
      <c r="D1" s="2"/>
      <c r="E1" s="2"/>
      <c r="F1" s="3"/>
    </row>
    <row r="2" ht="15.75" customHeight="1">
      <c r="A2" s="8"/>
      <c r="B2" s="8"/>
      <c r="C2" s="8"/>
      <c r="D2" s="8"/>
      <c r="E2" s="8"/>
      <c r="F2" s="8"/>
    </row>
    <row r="3" ht="15.75" customHeight="1">
      <c r="A3" s="5" t="s">
        <v>8</v>
      </c>
      <c r="B3" s="12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2</v>
      </c>
      <c r="B3" s="7" t="s">
        <v>4</v>
      </c>
      <c r="C3" s="4"/>
    </row>
    <row r="4" ht="15.75" customHeight="1">
      <c r="A4" s="9" t="s">
        <v>5</v>
      </c>
      <c r="B4" s="7" t="s">
        <v>7</v>
      </c>
      <c r="C4" s="4"/>
    </row>
    <row r="5" ht="15.75" customHeight="1">
      <c r="A5" s="10"/>
      <c r="B5" s="4"/>
      <c r="C5" s="4"/>
    </row>
    <row r="6" ht="15.75" customHeight="1">
      <c r="A6" s="10"/>
      <c r="B6" s="4"/>
      <c r="C6" s="4"/>
    </row>
    <row r="7" ht="15.75" customHeight="1">
      <c r="A7" s="10"/>
      <c r="B7" s="4"/>
      <c r="C7" s="4"/>
    </row>
    <row r="8" ht="15.75" customHeight="1">
      <c r="A8" s="10"/>
      <c r="B8" s="4"/>
      <c r="C8" s="4"/>
    </row>
    <row r="9" ht="15.75" customHeight="1">
      <c r="A9" s="10"/>
      <c r="B9" s="4"/>
      <c r="C9" s="4"/>
    </row>
    <row r="10" ht="15.75" customHeight="1">
      <c r="A10" s="10"/>
      <c r="B10" s="4"/>
      <c r="C10" s="4"/>
    </row>
    <row r="11" ht="15.75" customHeight="1">
      <c r="A11" s="10"/>
      <c r="B11" s="4"/>
      <c r="C11" s="4"/>
    </row>
    <row r="12" ht="15.75" customHeight="1">
      <c r="A12" s="10"/>
      <c r="B12" s="4"/>
      <c r="C12" s="4"/>
    </row>
    <row r="13" ht="15.75" customHeight="1">
      <c r="A13" s="10"/>
      <c r="B13" s="4"/>
      <c r="C13" s="4"/>
    </row>
    <row r="14" ht="15.75" customHeight="1">
      <c r="A14" s="10"/>
      <c r="B14" s="4"/>
      <c r="C14" s="4"/>
    </row>
    <row r="15" ht="15.75" customHeight="1">
      <c r="A15" s="10"/>
      <c r="B15" s="4"/>
      <c r="C15" s="4"/>
    </row>
    <row r="16" ht="15.75" customHeight="1">
      <c r="A16" s="10"/>
      <c r="B16" s="4"/>
      <c r="C16" s="4"/>
    </row>
    <row r="17" ht="15.75" customHeight="1">
      <c r="A17" s="10"/>
      <c r="B17" s="4"/>
      <c r="C17" s="4"/>
    </row>
    <row r="18" ht="15.75" customHeight="1">
      <c r="A18" s="10"/>
      <c r="B18" s="4"/>
      <c r="C18" s="4"/>
    </row>
    <row r="19" ht="15.75" customHeight="1">
      <c r="A19" s="10"/>
      <c r="B19" s="4"/>
      <c r="C19" s="4"/>
    </row>
    <row r="20" ht="15.75" customHeight="1">
      <c r="A20" s="10"/>
      <c r="B20" s="4"/>
      <c r="C20" s="4"/>
    </row>
    <row r="21" ht="15.75" customHeight="1">
      <c r="A21" s="10"/>
      <c r="B21" s="4"/>
      <c r="C21" s="4"/>
    </row>
    <row r="22" ht="15.75" customHeight="1">
      <c r="A22" s="10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3</v>
      </c>
      <c r="B1" s="2"/>
      <c r="C1" s="2"/>
      <c r="D1" s="2"/>
      <c r="E1" s="2"/>
      <c r="F1" s="3"/>
    </row>
    <row r="2">
      <c r="A2" s="8"/>
      <c r="B2" s="8"/>
      <c r="C2" s="8"/>
      <c r="D2" s="8"/>
      <c r="E2" s="8"/>
      <c r="F2" s="8"/>
    </row>
    <row r="3">
      <c r="A3" s="9" t="s">
        <v>6</v>
      </c>
      <c r="B3" s="15" t="s">
        <v>10</v>
      </c>
      <c r="C3" s="15" t="s">
        <v>11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10</v>
      </c>
      <c r="E3" s="21" t="s">
        <v>13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4"/>
      <c r="D6" s="7" t="s">
        <v>19</v>
      </c>
      <c r="E6" s="30">
        <v>1000.0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16</v>
      </c>
      <c r="D3" s="5" t="s">
        <v>10</v>
      </c>
      <c r="E3" s="21" t="s">
        <v>17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>
        <f t="shared" ref="B6:C6" si="1">TODAY()-1</f>
        <v>43664</v>
      </c>
      <c r="C6" s="29">
        <f t="shared" si="1"/>
        <v>43664</v>
      </c>
      <c r="D6" s="7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16</v>
      </c>
      <c r="D3" s="5" t="s">
        <v>10</v>
      </c>
      <c r="E3" s="21" t="s">
        <v>20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21</v>
      </c>
      <c r="C6" s="34" t="s">
        <v>22</v>
      </c>
      <c r="D6" s="35">
        <v>10000.0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6" t="s">
        <v>23</v>
      </c>
      <c r="C7" s="36" t="s">
        <v>22</v>
      </c>
      <c r="D7" s="37">
        <v>20000.0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10</v>
      </c>
      <c r="E3" s="21" t="s">
        <v>13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24</v>
      </c>
      <c r="C6" s="34" t="s">
        <v>25</v>
      </c>
      <c r="D6" s="35">
        <v>100.0</v>
      </c>
      <c r="E6" s="38">
        <v>100.0</v>
      </c>
      <c r="F6" s="34" t="s">
        <v>21</v>
      </c>
      <c r="G6" s="39"/>
      <c r="H6" s="39"/>
      <c r="I6" s="39"/>
      <c r="J6" s="38">
        <v>20.0</v>
      </c>
      <c r="K6" s="39"/>
      <c r="L6" s="39"/>
      <c r="M6" s="39"/>
      <c r="N6" s="40">
        <f t="shared" ref="N6:N7" si="1">TODAY()</f>
        <v>43665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 ht="15.75" customHeight="1">
      <c r="A7" s="4"/>
      <c r="B7" s="36" t="s">
        <v>24</v>
      </c>
      <c r="C7" s="36" t="s">
        <v>25</v>
      </c>
      <c r="D7" s="37">
        <v>50.0</v>
      </c>
      <c r="E7" s="37">
        <v>50.0</v>
      </c>
      <c r="F7" s="36" t="s">
        <v>23</v>
      </c>
      <c r="G7" s="41"/>
      <c r="H7" s="41"/>
      <c r="I7" s="41"/>
      <c r="J7" s="37">
        <v>20.0</v>
      </c>
      <c r="K7" s="41"/>
      <c r="L7" s="41"/>
      <c r="M7" s="41"/>
      <c r="N7" s="42">
        <f t="shared" si="1"/>
        <v>43665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26</v>
      </c>
      <c r="D3" s="5" t="s">
        <v>10</v>
      </c>
      <c r="E3" s="21" t="s">
        <v>26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3" t="s">
        <v>24</v>
      </c>
      <c r="C6" s="38">
        <v>20.0</v>
      </c>
      <c r="D6" s="43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27</v>
      </c>
      <c r="D3" s="5" t="s">
        <v>10</v>
      </c>
      <c r="E3" s="21" t="s">
        <v>28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4" t="s">
        <v>24</v>
      </c>
      <c r="C6" s="45" t="s">
        <v>29</v>
      </c>
      <c r="D6" s="33" t="s">
        <v>30</v>
      </c>
      <c r="E6" s="46">
        <v>2500.0</v>
      </c>
      <c r="F6" s="46">
        <v>20.0</v>
      </c>
      <c r="G6" s="47" t="s">
        <v>31</v>
      </c>
      <c r="H6" s="47" t="s">
        <v>32</v>
      </c>
      <c r="I6" s="48" t="s">
        <v>33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1" t="s">
        <v>9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27</v>
      </c>
      <c r="D3" s="5" t="s">
        <v>10</v>
      </c>
      <c r="E3" s="21" t="s">
        <v>34</v>
      </c>
      <c r="F3" s="5" t="s">
        <v>14</v>
      </c>
      <c r="G3" s="10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NAV")</f>
        <v>Account NAV</v>
      </c>
      <c r="D5" s="26" t="str">
        <f>IFERROR(__xludf.DUMMYFUNCTION("""COMPUTED_VALUE"""),"Starting Position")</f>
        <v>Starting Position</v>
      </c>
      <c r="E5" s="26" t="str">
        <f>IFERROR(__xludf.DUMMYFUNCTION("""COMPUTED_VALUE"""),"Starting Value")</f>
        <v>Starting Value</v>
      </c>
      <c r="F5" s="27" t="str">
        <f>IFERROR(__xludf.DUMMYFUNCTION("""COMPUTED_VALUE"""),"Starting %")</f>
        <v>Starting %</v>
      </c>
      <c r="G5" s="26" t="str">
        <f>IFERROR(__xludf.DUMMYFUNCTION("""COMPUTED_VALUE"""),"% Change")</f>
        <v>% Change</v>
      </c>
      <c r="H5" s="26" t="str">
        <f>IFERROR(__xludf.DUMMYFUNCTION("""COMPUTED_VALUE"""),"Ending %")</f>
        <v>Ending %</v>
      </c>
      <c r="I5" s="26" t="str">
        <f>IFERROR(__xludf.DUMMYFUNCTION("""COMPUTED_VALUE"""),"Trade Quantity")</f>
        <v>Trade Quantity</v>
      </c>
      <c r="J5" s="26" t="str">
        <f>IFERROR(__xludf.DUMMYFUNCTION("""COMPUTED_VALUE"""),"Ending Position")</f>
        <v>Ending Position</v>
      </c>
      <c r="K5" s="26" t="str">
        <f>IFERROR(__xludf.DUMMYFUNCTION("""COMPUTED_VALUE"""),"Ending Value")</f>
        <v>Ending Value</v>
      </c>
      <c r="L5" s="26" t="str">
        <f>IFERROR(__xludf.DUMMYFUNCTION("""COMPUTED_VALUE"""),"% Allocation")</f>
        <v>% Allocation</v>
      </c>
      <c r="M5" s="26" t="str">
        <f>IFERROR(__xludf.DUMMYFUNCTION("""COMPUTED_VALUE"""),"Fx Rate")</f>
        <v>Fx Rate</v>
      </c>
      <c r="N5" s="26" t="str">
        <f>IFERROR(__xludf.DUMMYFUNCTION("""COMPUTED_VALUE"""),"Starting BP")</f>
        <v>Starting BP</v>
      </c>
      <c r="O5" s="26" t="str">
        <f>IFERROR(__xludf.DUMMYFUNCTION("""COMPUTED_VALUE"""),"BP Change")</f>
        <v>BP Change</v>
      </c>
      <c r="P5" s="26" t="str">
        <f>IFERROR(__xludf.DUMMYFUNCTION("""COMPUTED_VALUE"""),"Ending BP")</f>
        <v>Ending BP</v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9" t="s">
        <v>21</v>
      </c>
      <c r="C6" s="50">
        <v>10000.0</v>
      </c>
      <c r="D6" s="51">
        <v>100.0</v>
      </c>
      <c r="E6" s="50">
        <v>2000.0</v>
      </c>
      <c r="F6" s="50"/>
      <c r="G6" s="50"/>
      <c r="H6" s="50"/>
      <c r="I6" s="52">
        <v>100.0</v>
      </c>
      <c r="J6" s="52">
        <v>0.0</v>
      </c>
      <c r="K6" s="52">
        <v>0.0</v>
      </c>
      <c r="L6" s="53">
        <v>66.67</v>
      </c>
      <c r="M6" s="50">
        <v>1.0</v>
      </c>
      <c r="N6" s="54">
        <v>2000.0</v>
      </c>
      <c r="O6" s="54">
        <v>-2000.0</v>
      </c>
      <c r="P6" s="54">
        <v>0.0</v>
      </c>
    </row>
    <row r="7" ht="15.75" customHeight="1">
      <c r="A7" s="4"/>
      <c r="B7" s="55" t="s">
        <v>23</v>
      </c>
      <c r="C7" s="56">
        <v>20000.0</v>
      </c>
      <c r="D7" s="56">
        <v>50.0</v>
      </c>
      <c r="E7" s="56">
        <v>1000.0</v>
      </c>
      <c r="F7" s="56"/>
      <c r="G7" s="56"/>
      <c r="H7" s="56"/>
      <c r="I7" s="53">
        <v>50.0</v>
      </c>
      <c r="J7" s="53">
        <v>0.0</v>
      </c>
      <c r="K7" s="53">
        <v>0.0</v>
      </c>
      <c r="L7" s="52">
        <v>33.33</v>
      </c>
      <c r="M7" s="56">
        <v>1.0</v>
      </c>
      <c r="N7" s="57">
        <v>500.0</v>
      </c>
      <c r="O7" s="57">
        <v>-500.0</v>
      </c>
      <c r="P7" s="57">
        <v>0.0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1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