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3" activeTab="16"/>
  </bookViews>
  <sheets>
    <sheet name="_Modules" sheetId="1" r:id="rId1"/>
    <sheet name="_Settings" sheetId="2" r:id="rId2"/>
    <sheet name="_MasterData" sheetId="3" r:id="rId3"/>
    <sheet name="GetDailyCash" sheetId="4" r:id="rId4"/>
    <sheet name="UpdateDailyCash" sheetId="5" r:id="rId5"/>
    <sheet name="CreateDoneAwayOrder" sheetId="6" r:id="rId6"/>
    <sheet name="PricingInput" sheetId="7" r:id="rId7"/>
    <sheet name="GroupRowPM" sheetId="8" r:id="rId8"/>
    <sheet name="OpenPTTFromPM" sheetId="9" r:id="rId9"/>
    <sheet name="CalculatePTT" sheetId="10" r:id="rId10"/>
    <sheet name="VerifyPTT" sheetId="11" r:id="rId11"/>
    <sheet name="TradePTT" sheetId="12" r:id="rId12"/>
    <sheet name="CreateDoneAwayOrder1" sheetId="13" r:id="rId13"/>
    <sheet name="VerifyOrder" sheetId="14" r:id="rId14"/>
    <sheet name="GetDataAllocation" sheetId="15" r:id="rId15"/>
    <sheet name="CheckAllocatedGroups" sheetId="16" r:id="rId16"/>
    <sheet name="CheckPortfolioManagement" sheetId="17" r:id="rId17"/>
  </sheets>
  <calcPr calcId="145621"/>
</workbook>
</file>

<file path=xl/calcChain.xml><?xml version="1.0" encoding="utf-8"?>
<calcChain xmlns="http://schemas.openxmlformats.org/spreadsheetml/2006/main">
  <c r="N7" i="6" l="1"/>
  <c r="N6" i="6"/>
  <c r="C6" i="4"/>
  <c r="B6" i="4"/>
  <c r="BK5" i="17"/>
  <c r="FB5" i="17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X4" i="17"/>
  <c r="P4" i="17"/>
  <c r="H4" i="17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L5" i="15"/>
  <c r="D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AX5" i="14"/>
  <c r="AP5" i="14"/>
  <c r="AH5" i="14"/>
  <c r="Z5" i="14"/>
  <c r="R5" i="14"/>
  <c r="J5" i="14"/>
  <c r="B5" i="14"/>
  <c r="AN4" i="14"/>
  <c r="AF4" i="14"/>
  <c r="X4" i="14"/>
  <c r="P4" i="14"/>
  <c r="H4" i="14"/>
  <c r="AQ5" i="13"/>
  <c r="AI5" i="13"/>
  <c r="AA5" i="13"/>
  <c r="S5" i="13"/>
  <c r="K5" i="13"/>
  <c r="C5" i="13"/>
  <c r="O4" i="13"/>
  <c r="G4" i="13"/>
  <c r="H5" i="12"/>
  <c r="Q4" i="12"/>
  <c r="I4" i="12"/>
  <c r="K5" i="11"/>
  <c r="C5" i="11"/>
  <c r="L4" i="11"/>
  <c r="D4" i="11"/>
  <c r="F5" i="10"/>
  <c r="O4" i="10"/>
  <c r="G4" i="10"/>
  <c r="D5" i="9"/>
  <c r="V4" i="9"/>
  <c r="N4" i="9"/>
  <c r="F4" i="9"/>
  <c r="Z4" i="8"/>
  <c r="R4" i="8"/>
  <c r="J4" i="8"/>
  <c r="B4" i="8"/>
  <c r="N5" i="7"/>
  <c r="F5" i="7"/>
  <c r="C4" i="7"/>
  <c r="AN5" i="6"/>
  <c r="AF5" i="6"/>
  <c r="X5" i="6"/>
  <c r="P5" i="6"/>
  <c r="H5" i="6"/>
  <c r="T4" i="6"/>
  <c r="L4" i="6"/>
  <c r="D4" i="6"/>
  <c r="AG4" i="5"/>
  <c r="Y4" i="5"/>
  <c r="Q4" i="5"/>
  <c r="I4" i="5"/>
  <c r="AE4" i="4"/>
  <c r="W4" i="4"/>
  <c r="O4" i="4"/>
  <c r="FA5" i="17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W4" i="17"/>
  <c r="O4" i="17"/>
  <c r="G4" i="17"/>
  <c r="CR5" i="16"/>
  <c r="CJ5" i="16"/>
  <c r="CB5" i="16"/>
  <c r="BT5" i="16"/>
  <c r="BL5" i="16"/>
  <c r="BD5" i="16"/>
  <c r="AV5" i="16"/>
  <c r="AN5" i="16"/>
  <c r="AF5" i="16"/>
  <c r="X5" i="16"/>
  <c r="P5" i="16"/>
  <c r="H5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K5" i="15"/>
  <c r="C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AW5" i="14"/>
  <c r="AO5" i="14"/>
  <c r="AG5" i="14"/>
  <c r="Y5" i="14"/>
  <c r="Q5" i="14"/>
  <c r="I5" i="14"/>
  <c r="A5" i="14"/>
  <c r="AM4" i="14"/>
  <c r="AE4" i="14"/>
  <c r="W4" i="14"/>
  <c r="O4" i="14"/>
  <c r="G4" i="14"/>
  <c r="AP5" i="13"/>
  <c r="AH5" i="13"/>
  <c r="Z5" i="13"/>
  <c r="R5" i="13"/>
  <c r="J5" i="13"/>
  <c r="B5" i="13"/>
  <c r="N4" i="13"/>
  <c r="F4" i="13"/>
  <c r="G5" i="12"/>
  <c r="P4" i="12"/>
  <c r="H4" i="12"/>
  <c r="R5" i="11"/>
  <c r="J5" i="11"/>
  <c r="B5" i="11"/>
  <c r="K4" i="11"/>
  <c r="C4" i="11"/>
  <c r="E5" i="10"/>
  <c r="N4" i="10"/>
  <c r="F4" i="10"/>
  <c r="C5" i="9"/>
  <c r="U4" i="9"/>
  <c r="M4" i="9"/>
  <c r="E4" i="9"/>
  <c r="EZ5" i="17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V4" i="17"/>
  <c r="N4" i="17"/>
  <c r="F4" i="17"/>
  <c r="CQ5" i="16"/>
  <c r="CI5" i="16"/>
  <c r="CA5" i="16"/>
  <c r="BS5" i="16"/>
  <c r="BK5" i="16"/>
  <c r="BC5" i="16"/>
  <c r="AU5" i="16"/>
  <c r="AM5" i="16"/>
  <c r="AE5" i="16"/>
  <c r="W5" i="16"/>
  <c r="O5" i="16"/>
  <c r="G5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R5" i="15"/>
  <c r="J5" i="15"/>
  <c r="B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AV5" i="14"/>
  <c r="AN5" i="14"/>
  <c r="AF5" i="14"/>
  <c r="X5" i="14"/>
  <c r="P5" i="14"/>
  <c r="H5" i="14"/>
  <c r="AT4" i="14"/>
  <c r="AL4" i="14"/>
  <c r="AD4" i="14"/>
  <c r="V4" i="14"/>
  <c r="N4" i="14"/>
  <c r="F4" i="14"/>
  <c r="AO5" i="13"/>
  <c r="AG5" i="13"/>
  <c r="Y5" i="13"/>
  <c r="Q5" i="13"/>
  <c r="I5" i="13"/>
  <c r="A5" i="13"/>
  <c r="M4" i="13"/>
  <c r="E4" i="13"/>
  <c r="F5" i="12"/>
  <c r="O4" i="12"/>
  <c r="G4" i="12"/>
  <c r="Q5" i="11"/>
  <c r="I5" i="11"/>
  <c r="A5" i="11"/>
  <c r="J4" i="11"/>
  <c r="B4" i="11"/>
  <c r="D5" i="10"/>
  <c r="M4" i="10"/>
  <c r="E4" i="10"/>
  <c r="B5" i="9"/>
  <c r="T4" i="9"/>
  <c r="L4" i="9"/>
  <c r="D4" i="9"/>
  <c r="X4" i="8"/>
  <c r="P4" i="8"/>
  <c r="H4" i="8"/>
  <c r="T5" i="7"/>
  <c r="L5" i="7"/>
  <c r="D5" i="7"/>
  <c r="AL5" i="6"/>
  <c r="AD5" i="6"/>
  <c r="EY5" i="17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U4" i="17"/>
  <c r="M4" i="17"/>
  <c r="E4" i="17"/>
  <c r="CP5" i="16"/>
  <c r="CH5" i="16"/>
  <c r="BZ5" i="16"/>
  <c r="BR5" i="16"/>
  <c r="BJ5" i="16"/>
  <c r="BB5" i="16"/>
  <c r="AT5" i="16"/>
  <c r="AL5" i="16"/>
  <c r="AD5" i="16"/>
  <c r="V5" i="16"/>
  <c r="N5" i="16"/>
  <c r="F5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Q5" i="15"/>
  <c r="I5" i="15"/>
  <c r="A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AU5" i="14"/>
  <c r="AM5" i="14"/>
  <c r="AE5" i="14"/>
  <c r="W5" i="14"/>
  <c r="O5" i="14"/>
  <c r="G5" i="14"/>
  <c r="AS4" i="14"/>
  <c r="AK4" i="14"/>
  <c r="AC4" i="14"/>
  <c r="U4" i="14"/>
  <c r="M4" i="14"/>
  <c r="E4" i="14"/>
  <c r="AN5" i="13"/>
  <c r="AF5" i="13"/>
  <c r="X5" i="13"/>
  <c r="P5" i="13"/>
  <c r="H5" i="13"/>
  <c r="T4" i="13"/>
  <c r="L4" i="13"/>
  <c r="D4" i="13"/>
  <c r="E5" i="12"/>
  <c r="N4" i="12"/>
  <c r="F4" i="12"/>
  <c r="P5" i="11"/>
  <c r="H5" i="11"/>
  <c r="Q4" i="11"/>
  <c r="I4" i="11"/>
  <c r="C5" i="10"/>
  <c r="L4" i="10"/>
  <c r="D4" i="10"/>
  <c r="A5" i="9"/>
  <c r="S4" i="9"/>
  <c r="K4" i="9"/>
  <c r="C4" i="9"/>
  <c r="W4" i="8"/>
  <c r="O4" i="8"/>
  <c r="G4" i="8"/>
  <c r="S5" i="7"/>
  <c r="K5" i="7"/>
  <c r="C5" i="7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T4" i="17"/>
  <c r="L4" i="17"/>
  <c r="D4" i="17"/>
  <c r="CO5" i="16"/>
  <c r="CG5" i="16"/>
  <c r="BY5" i="16"/>
  <c r="BQ5" i="16"/>
  <c r="BI5" i="16"/>
  <c r="BA5" i="16"/>
  <c r="AS5" i="16"/>
  <c r="AK5" i="16"/>
  <c r="AC5" i="16"/>
  <c r="U5" i="16"/>
  <c r="M5" i="16"/>
  <c r="E5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P5" i="15"/>
  <c r="H5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AT5" i="14"/>
  <c r="AL5" i="14"/>
  <c r="AD5" i="14"/>
  <c r="V5" i="14"/>
  <c r="N5" i="14"/>
  <c r="F5" i="14"/>
  <c r="AR4" i="14"/>
  <c r="AJ4" i="14"/>
  <c r="AB4" i="14"/>
  <c r="T4" i="14"/>
  <c r="L4" i="14"/>
  <c r="D4" i="14"/>
  <c r="AM5" i="13"/>
  <c r="AE5" i="13"/>
  <c r="W5" i="13"/>
  <c r="O5" i="13"/>
  <c r="G5" i="13"/>
  <c r="S4" i="13"/>
  <c r="K4" i="13"/>
  <c r="C4" i="13"/>
  <c r="D5" i="12"/>
  <c r="M4" i="12"/>
  <c r="E4" i="12"/>
  <c r="O5" i="11"/>
  <c r="G5" i="11"/>
  <c r="P4" i="11"/>
  <c r="H4" i="11"/>
  <c r="J5" i="10"/>
  <c r="B5" i="10"/>
  <c r="K4" i="10"/>
  <c r="C4" i="10"/>
  <c r="Z4" i="9"/>
  <c r="R4" i="9"/>
  <c r="J4" i="9"/>
  <c r="B4" i="9"/>
  <c r="V4" i="8"/>
  <c r="N4" i="8"/>
  <c r="EW5" i="17"/>
  <c r="EO5" i="17"/>
  <c r="EG5" i="17"/>
  <c r="DY5" i="17"/>
  <c r="DQ5" i="17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Z4" i="17"/>
  <c r="R4" i="17"/>
  <c r="J4" i="17"/>
  <c r="B4" i="17"/>
  <c r="CM5" i="16"/>
  <c r="CE5" i="16"/>
  <c r="BW5" i="16"/>
  <c r="BO5" i="16"/>
  <c r="BG5" i="16"/>
  <c r="AY5" i="16"/>
  <c r="AQ5" i="16"/>
  <c r="AI5" i="16"/>
  <c r="AA5" i="16"/>
  <c r="S5" i="16"/>
  <c r="K5" i="16"/>
  <c r="C5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N5" i="15"/>
  <c r="F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AZ5" i="14"/>
  <c r="AR5" i="14"/>
  <c r="AJ5" i="14"/>
  <c r="AB5" i="14"/>
  <c r="T5" i="14"/>
  <c r="L5" i="14"/>
  <c r="D5" i="14"/>
  <c r="AP4" i="14"/>
  <c r="AH4" i="14"/>
  <c r="Z4" i="14"/>
  <c r="R4" i="14"/>
  <c r="J4" i="14"/>
  <c r="B4" i="14"/>
  <c r="AK5" i="13"/>
  <c r="AC5" i="13"/>
  <c r="U5" i="13"/>
  <c r="M5" i="13"/>
  <c r="E5" i="13"/>
  <c r="Q4" i="13"/>
  <c r="I4" i="13"/>
  <c r="B5" i="12"/>
  <c r="K4" i="12"/>
  <c r="C4" i="12"/>
  <c r="M5" i="11"/>
  <c r="E5" i="11"/>
  <c r="N4" i="11"/>
  <c r="F4" i="11"/>
  <c r="H5" i="10"/>
  <c r="Q4" i="10"/>
  <c r="I4" i="10"/>
  <c r="X4" i="9"/>
  <c r="P4" i="9"/>
  <c r="H4" i="9"/>
  <c r="B5" i="8"/>
  <c r="T4" i="8"/>
  <c r="L4" i="8"/>
  <c r="D4" i="8"/>
  <c r="P5" i="7"/>
  <c r="H5" i="7"/>
  <c r="E4" i="7"/>
  <c r="AP5" i="6"/>
  <c r="AH5" i="6"/>
  <c r="Z5" i="6"/>
  <c r="R5" i="6"/>
  <c r="J5" i="6"/>
  <c r="B5" i="6"/>
  <c r="N4" i="6"/>
  <c r="F4" i="6"/>
  <c r="B5" i="5"/>
  <c r="AA4" i="5"/>
  <c r="S4" i="5"/>
  <c r="K4" i="5"/>
  <c r="C4" i="5"/>
  <c r="AG4" i="4"/>
  <c r="Y4" i="4"/>
  <c r="Q4" i="4"/>
  <c r="EU5" i="17"/>
  <c r="EM5" i="17"/>
  <c r="EE5" i="17"/>
  <c r="DW5" i="17"/>
  <c r="DO5" i="17"/>
  <c r="DG5" i="17"/>
  <c r="CY5" i="17"/>
  <c r="CQ5" i="17"/>
  <c r="CI5" i="17"/>
  <c r="CA5" i="17"/>
  <c r="BS5" i="17"/>
  <c r="BC5" i="17"/>
  <c r="AU5" i="17"/>
  <c r="AM5" i="17"/>
  <c r="AE5" i="17"/>
  <c r="W5" i="17"/>
  <c r="O5" i="17"/>
  <c r="G5" i="17"/>
  <c r="Y4" i="17"/>
  <c r="Q4" i="17"/>
  <c r="I4" i="17"/>
  <c r="CL5" i="16"/>
  <c r="CD5" i="16"/>
  <c r="BV5" i="16"/>
  <c r="BN5" i="16"/>
  <c r="BF5" i="16"/>
  <c r="AX5" i="16"/>
  <c r="AP5" i="16"/>
  <c r="AH5" i="16"/>
  <c r="Z5" i="16"/>
  <c r="R5" i="16"/>
  <c r="J5" i="16"/>
  <c r="B5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M5" i="15"/>
  <c r="E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AY5" i="14"/>
  <c r="AQ5" i="14"/>
  <c r="AI5" i="14"/>
  <c r="AA5" i="14"/>
  <c r="S5" i="14"/>
  <c r="K5" i="14"/>
  <c r="C5" i="14"/>
  <c r="AO4" i="14"/>
  <c r="AG4" i="14"/>
  <c r="Y4" i="14"/>
  <c r="Q4" i="14"/>
  <c r="I4" i="14"/>
  <c r="DI5" i="17"/>
  <c r="AW5" i="17"/>
  <c r="K4" i="17"/>
  <c r="AR5" i="16"/>
  <c r="CW4" i="16"/>
  <c r="AK4" i="16"/>
  <c r="DH4" i="15"/>
  <c r="AV4" i="15"/>
  <c r="AK5" i="14"/>
  <c r="S4" i="14"/>
  <c r="T5" i="13"/>
  <c r="H4" i="13"/>
  <c r="B4" i="12"/>
  <c r="E4" i="11"/>
  <c r="E5" i="9"/>
  <c r="A5" i="8"/>
  <c r="F4" i="8"/>
  <c r="J5" i="7"/>
  <c r="AG5" i="6"/>
  <c r="U5" i="6"/>
  <c r="K5" i="6"/>
  <c r="S4" i="6"/>
  <c r="I4" i="6"/>
  <c r="C5" i="5"/>
  <c r="X4" i="5"/>
  <c r="N4" i="5"/>
  <c r="D4" i="5"/>
  <c r="AD4" i="4"/>
  <c r="T4" i="4"/>
  <c r="J4" i="4"/>
  <c r="B4" i="4"/>
  <c r="B19" i="3"/>
  <c r="B17" i="3"/>
  <c r="B15" i="3"/>
  <c r="B13" i="3"/>
  <c r="B11" i="3"/>
  <c r="B9" i="3"/>
  <c r="B7" i="3"/>
  <c r="B5" i="3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DA5" i="17"/>
  <c r="AO5" i="17"/>
  <c r="C4" i="17"/>
  <c r="AJ5" i="16"/>
  <c r="CO4" i="16"/>
  <c r="AC4" i="16"/>
  <c r="CZ4" i="15"/>
  <c r="AN4" i="15"/>
  <c r="AC5" i="14"/>
  <c r="K4" i="14"/>
  <c r="N5" i="13"/>
  <c r="B4" i="13"/>
  <c r="N5" i="11"/>
  <c r="I5" i="10"/>
  <c r="Y4" i="9"/>
  <c r="Y4" i="8"/>
  <c r="E4" i="8"/>
  <c r="I5" i="7"/>
  <c r="AE5" i="6"/>
  <c r="T5" i="6"/>
  <c r="I5" i="6"/>
  <c r="R4" i="6"/>
  <c r="H4" i="6"/>
  <c r="A5" i="5"/>
  <c r="W4" i="5"/>
  <c r="M4" i="5"/>
  <c r="B4" i="5"/>
  <c r="AC4" i="4"/>
  <c r="S4" i="4"/>
  <c r="I4" i="4"/>
  <c r="A19" i="3"/>
  <c r="A17" i="3"/>
  <c r="A15" i="3"/>
  <c r="A13" i="3"/>
  <c r="A11" i="3"/>
  <c r="A9" i="3"/>
  <c r="A7" i="3"/>
  <c r="A5" i="3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CS5" i="17"/>
  <c r="AG5" i="17"/>
  <c r="CN5" i="16"/>
  <c r="AB5" i="16"/>
  <c r="CG4" i="16"/>
  <c r="U4" i="16"/>
  <c r="CR4" i="15"/>
  <c r="AF4" i="15"/>
  <c r="U5" i="14"/>
  <c r="C4" i="14"/>
  <c r="L5" i="13"/>
  <c r="I5" i="12"/>
  <c r="L5" i="11"/>
  <c r="G5" i="10"/>
  <c r="W4" i="9"/>
  <c r="U4" i="8"/>
  <c r="C4" i="8"/>
  <c r="G5" i="7"/>
  <c r="AQ5" i="6"/>
  <c r="AC5" i="6"/>
  <c r="S5" i="6"/>
  <c r="G5" i="6"/>
  <c r="Q4" i="6"/>
  <c r="G4" i="6"/>
  <c r="AF4" i="5"/>
  <c r="V4" i="5"/>
  <c r="L4" i="5"/>
  <c r="AB4" i="4"/>
  <c r="R4" i="4"/>
  <c r="H4" i="4"/>
  <c r="D20" i="3"/>
  <c r="D18" i="3"/>
  <c r="D16" i="3"/>
  <c r="D14" i="3"/>
  <c r="D12" i="3"/>
  <c r="D10" i="3"/>
  <c r="D8" i="3"/>
  <c r="D6" i="3"/>
  <c r="D4" i="3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K5" i="17"/>
  <c r="Y5" i="17"/>
  <c r="CF5" i="16"/>
  <c r="T5" i="16"/>
  <c r="BY4" i="16"/>
  <c r="M4" i="16"/>
  <c r="CJ4" i="15"/>
  <c r="X4" i="15"/>
  <c r="M5" i="14"/>
  <c r="AL5" i="13"/>
  <c r="F5" i="13"/>
  <c r="C5" i="12"/>
  <c r="F5" i="11"/>
  <c r="A5" i="10"/>
  <c r="Q4" i="9"/>
  <c r="S4" i="8"/>
  <c r="E5" i="7"/>
  <c r="AO5" i="6"/>
  <c r="AB5" i="6"/>
  <c r="Q5" i="6"/>
  <c r="F5" i="6"/>
  <c r="P4" i="6"/>
  <c r="E4" i="6"/>
  <c r="AE4" i="5"/>
  <c r="U4" i="5"/>
  <c r="J4" i="5"/>
  <c r="AA4" i="4"/>
  <c r="P4" i="4"/>
  <c r="G4" i="4"/>
  <c r="C20" i="3"/>
  <c r="C18" i="3"/>
  <c r="C16" i="3"/>
  <c r="C14" i="3"/>
  <c r="C12" i="3"/>
  <c r="C10" i="3"/>
  <c r="C8" i="3"/>
  <c r="C6" i="3"/>
  <c r="C4" i="3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CC5" i="17"/>
  <c r="Q5" i="17"/>
  <c r="BX5" i="16"/>
  <c r="L5" i="16"/>
  <c r="BQ4" i="16"/>
  <c r="E4" i="16"/>
  <c r="CB4" i="15"/>
  <c r="P4" i="15"/>
  <c r="E5" i="14"/>
  <c r="AJ5" i="13"/>
  <c r="D5" i="13"/>
  <c r="A5" i="12"/>
  <c r="D5" i="11"/>
  <c r="P4" i="10"/>
  <c r="O4" i="9"/>
  <c r="Q4" i="8"/>
  <c r="R5" i="7"/>
  <c r="B5" i="7"/>
  <c r="AM5" i="6"/>
  <c r="AA5" i="6"/>
  <c r="O5" i="6"/>
  <c r="E5" i="6"/>
  <c r="O4" i="6"/>
  <c r="C4" i="6"/>
  <c r="AD4" i="5"/>
  <c r="T4" i="5"/>
  <c r="H4" i="5"/>
  <c r="C5" i="4"/>
  <c r="Z4" i="4"/>
  <c r="N4" i="4"/>
  <c r="F4" i="4"/>
  <c r="B20" i="3"/>
  <c r="B18" i="3"/>
  <c r="B16" i="3"/>
  <c r="B14" i="3"/>
  <c r="B12" i="3"/>
  <c r="B10" i="3"/>
  <c r="B8" i="3"/>
  <c r="B6" i="3"/>
  <c r="B4" i="3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BU5" i="17"/>
  <c r="I5" i="17"/>
  <c r="BP5" i="16"/>
  <c r="D5" i="16"/>
  <c r="BI4" i="16"/>
  <c r="O5" i="15"/>
  <c r="BT4" i="15"/>
  <c r="H4" i="15"/>
  <c r="AQ4" i="14"/>
  <c r="AD5" i="13"/>
  <c r="R4" i="13"/>
  <c r="L4" i="12"/>
  <c r="O4" i="11"/>
  <c r="J4" i="10"/>
  <c r="I4" i="9"/>
  <c r="M4" i="8"/>
  <c r="Q5" i="7"/>
  <c r="A5" i="7"/>
  <c r="AK5" i="6"/>
  <c r="Y5" i="6"/>
  <c r="N5" i="6"/>
  <c r="D5" i="6"/>
  <c r="M4" i="6"/>
  <c r="B4" i="6"/>
  <c r="AC4" i="5"/>
  <c r="R4" i="5"/>
  <c r="G4" i="5"/>
  <c r="B5" i="4"/>
  <c r="X4" i="4"/>
  <c r="M4" i="4"/>
  <c r="E4" i="4"/>
  <c r="A20" i="3"/>
  <c r="A18" i="3"/>
  <c r="A16" i="3"/>
  <c r="A14" i="3"/>
  <c r="A12" i="3"/>
  <c r="A10" i="3"/>
  <c r="A8" i="3"/>
  <c r="A6" i="3"/>
  <c r="A4" i="3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BM5" i="17"/>
  <c r="A5" i="17"/>
  <c r="BH5" i="16"/>
  <c r="DM4" i="16"/>
  <c r="BA4" i="16"/>
  <c r="G5" i="15"/>
  <c r="BL4" i="15"/>
  <c r="BA5" i="14"/>
  <c r="AI4" i="14"/>
  <c r="AB5" i="13"/>
  <c r="P4" i="13"/>
  <c r="J4" i="12"/>
  <c r="M4" i="11"/>
  <c r="H4" i="10"/>
  <c r="G4" i="9"/>
  <c r="K4" i="8"/>
  <c r="O5" i="7"/>
  <c r="D4" i="7"/>
  <c r="AJ5" i="6"/>
  <c r="W5" i="6"/>
  <c r="M5" i="6"/>
  <c r="C5" i="6"/>
  <c r="K4" i="6"/>
  <c r="AB4" i="5"/>
  <c r="P4" i="5"/>
  <c r="F4" i="5"/>
  <c r="A5" i="4"/>
  <c r="V4" i="4"/>
  <c r="L4" i="4"/>
  <c r="D4" i="4"/>
  <c r="D19" i="3"/>
  <c r="D17" i="3"/>
  <c r="D15" i="3"/>
  <c r="D13" i="3"/>
  <c r="D11" i="3"/>
  <c r="D9" i="3"/>
  <c r="D7" i="3"/>
  <c r="D5" i="3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BE5" i="17"/>
  <c r="AA4" i="14"/>
  <c r="M5" i="7"/>
  <c r="J4" i="6"/>
  <c r="U4" i="4"/>
  <c r="C9" i="3"/>
  <c r="A467" i="1"/>
  <c r="C445" i="1"/>
  <c r="B424" i="1"/>
  <c r="A403" i="1"/>
  <c r="C381" i="1"/>
  <c r="B360" i="1"/>
  <c r="A339" i="1"/>
  <c r="C317" i="1"/>
  <c r="B296" i="1"/>
  <c r="A275" i="1"/>
  <c r="C253" i="1"/>
  <c r="C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C11" i="3"/>
  <c r="A299" i="1"/>
  <c r="A235" i="1"/>
  <c r="A219" i="1"/>
  <c r="C205" i="1"/>
  <c r="C189" i="1"/>
  <c r="B176" i="1"/>
  <c r="B160" i="1"/>
  <c r="B144" i="1"/>
  <c r="C125" i="1"/>
  <c r="B120" i="1"/>
  <c r="B104" i="1"/>
  <c r="A91" i="1"/>
  <c r="B72" i="1"/>
  <c r="A59" i="1"/>
  <c r="B48" i="1"/>
  <c r="B32" i="1"/>
  <c r="A19" i="1"/>
  <c r="S4" i="17"/>
  <c r="V5" i="13"/>
  <c r="B4" i="7"/>
  <c r="D5" i="5"/>
  <c r="K4" i="4"/>
  <c r="C7" i="3"/>
  <c r="B464" i="1"/>
  <c r="A443" i="1"/>
  <c r="C421" i="1"/>
  <c r="B400" i="1"/>
  <c r="A379" i="1"/>
  <c r="C357" i="1"/>
  <c r="B336" i="1"/>
  <c r="A315" i="1"/>
  <c r="C293" i="1"/>
  <c r="B272" i="1"/>
  <c r="A251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I4" i="8"/>
  <c r="A246" i="1"/>
  <c r="C221" i="1"/>
  <c r="A203" i="1"/>
  <c r="C181" i="1"/>
  <c r="B168" i="1"/>
  <c r="C149" i="1"/>
  <c r="C133" i="1"/>
  <c r="A115" i="1"/>
  <c r="B96" i="1"/>
  <c r="B80" i="1"/>
  <c r="B56" i="1"/>
  <c r="C37" i="1"/>
  <c r="B16" i="1"/>
  <c r="AZ5" i="16"/>
  <c r="J4" i="13"/>
  <c r="Z4" i="5"/>
  <c r="C4" i="4"/>
  <c r="C5" i="3"/>
  <c r="C461" i="1"/>
  <c r="B440" i="1"/>
  <c r="A419" i="1"/>
  <c r="C397" i="1"/>
  <c r="B376" i="1"/>
  <c r="A355" i="1"/>
  <c r="C333" i="1"/>
  <c r="B312" i="1"/>
  <c r="A291" i="1"/>
  <c r="C269" i="1"/>
  <c r="A249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AF4" i="4"/>
  <c r="A427" i="1"/>
  <c r="B384" i="1"/>
  <c r="B320" i="1"/>
  <c r="A243" i="1"/>
  <c r="B232" i="1"/>
  <c r="C213" i="1"/>
  <c r="B200" i="1"/>
  <c r="B184" i="1"/>
  <c r="C165" i="1"/>
  <c r="A147" i="1"/>
  <c r="B128" i="1"/>
  <c r="A107" i="1"/>
  <c r="A83" i="1"/>
  <c r="C61" i="1"/>
  <c r="A43" i="1"/>
  <c r="B24" i="1"/>
  <c r="C5" i="1"/>
  <c r="DE4" i="16"/>
  <c r="D4" i="12"/>
  <c r="O4" i="5"/>
  <c r="C19" i="3"/>
  <c r="B480" i="1"/>
  <c r="A459" i="1"/>
  <c r="C437" i="1"/>
  <c r="B416" i="1"/>
  <c r="A395" i="1"/>
  <c r="C373" i="1"/>
  <c r="B352" i="1"/>
  <c r="A331" i="1"/>
  <c r="C309" i="1"/>
  <c r="B288" i="1"/>
  <c r="A267" i="1"/>
  <c r="B248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469" i="1"/>
  <c r="C341" i="1"/>
  <c r="B240" i="1"/>
  <c r="B216" i="1"/>
  <c r="B192" i="1"/>
  <c r="C173" i="1"/>
  <c r="B152" i="1"/>
  <c r="A131" i="1"/>
  <c r="C109" i="1"/>
  <c r="C93" i="1"/>
  <c r="A75" i="1"/>
  <c r="C53" i="1"/>
  <c r="C29" i="1"/>
  <c r="A11" i="1"/>
  <c r="AS4" i="16"/>
  <c r="G4" i="11"/>
  <c r="AI5" i="6"/>
  <c r="E4" i="5"/>
  <c r="C17" i="3"/>
  <c r="C477" i="1"/>
  <c r="B456" i="1"/>
  <c r="A435" i="1"/>
  <c r="C413" i="1"/>
  <c r="B392" i="1"/>
  <c r="A371" i="1"/>
  <c r="C349" i="1"/>
  <c r="B328" i="1"/>
  <c r="A307" i="1"/>
  <c r="C285" i="1"/>
  <c r="B264" i="1"/>
  <c r="A247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A5" i="6"/>
  <c r="B256" i="1"/>
  <c r="A227" i="1"/>
  <c r="B208" i="1"/>
  <c r="A187" i="1"/>
  <c r="A171" i="1"/>
  <c r="C157" i="1"/>
  <c r="C141" i="1"/>
  <c r="A123" i="1"/>
  <c r="C117" i="1"/>
  <c r="A99" i="1"/>
  <c r="B88" i="1"/>
  <c r="C77" i="1"/>
  <c r="A67" i="1"/>
  <c r="A51" i="1"/>
  <c r="A35" i="1"/>
  <c r="C21" i="1"/>
  <c r="DP4" i="15"/>
  <c r="B4" i="10"/>
  <c r="V5" i="6"/>
  <c r="C15" i="3"/>
  <c r="A475" i="1"/>
  <c r="C453" i="1"/>
  <c r="B432" i="1"/>
  <c r="A411" i="1"/>
  <c r="C389" i="1"/>
  <c r="B368" i="1"/>
  <c r="A347" i="1"/>
  <c r="C325" i="1"/>
  <c r="B304" i="1"/>
  <c r="A283" i="1"/>
  <c r="C261" i="1"/>
  <c r="C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448" i="1"/>
  <c r="C229" i="1"/>
  <c r="C197" i="1"/>
  <c r="A163" i="1"/>
  <c r="A139" i="1"/>
  <c r="C101" i="1"/>
  <c r="C69" i="1"/>
  <c r="B40" i="1"/>
  <c r="C13" i="1"/>
  <c r="BD4" i="15"/>
  <c r="L5" i="6"/>
  <c r="C13" i="3"/>
  <c r="B472" i="1"/>
  <c r="A451" i="1"/>
  <c r="C429" i="1"/>
  <c r="B408" i="1"/>
  <c r="A387" i="1"/>
  <c r="C365" i="1"/>
  <c r="B344" i="1"/>
  <c r="A323" i="1"/>
  <c r="C301" i="1"/>
  <c r="B280" i="1"/>
  <c r="A259" i="1"/>
  <c r="B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S5" i="14"/>
  <c r="C405" i="1"/>
  <c r="A363" i="1"/>
  <c r="C277" i="1"/>
  <c r="C237" i="1"/>
  <c r="B224" i="1"/>
  <c r="A211" i="1"/>
  <c r="A195" i="1"/>
  <c r="A179" i="1"/>
  <c r="A155" i="1"/>
  <c r="B136" i="1"/>
  <c r="B112" i="1"/>
  <c r="C85" i="1"/>
  <c r="B64" i="1"/>
  <c r="C45" i="1"/>
  <c r="A27" i="1"/>
  <c r="B8" i="1"/>
  <c r="J2" i="12" l="1"/>
  <c r="J2" i="5"/>
  <c r="J2" i="16"/>
  <c r="J2" i="7"/>
  <c r="J2" i="11"/>
  <c r="J2" i="15"/>
  <c r="J2" i="13"/>
  <c r="J2" i="10"/>
  <c r="J2" i="17"/>
  <c r="J2" i="14"/>
  <c r="J2" i="4"/>
  <c r="J2" i="8"/>
  <c r="J2" i="6"/>
  <c r="J2" i="9"/>
</calcChain>
</file>

<file path=xl/sharedStrings.xml><?xml version="1.0" encoding="utf-8"?>
<sst xmlns="http://schemas.openxmlformats.org/spreadsheetml/2006/main" count="238" uniqueCount="55">
  <si>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</si>
  <si>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</si>
  <si>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</si>
  <si>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</si>
  <si>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</si>
  <si>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</si>
  <si>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</si>
  <si>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</si>
  <si>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</si>
  <si>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</si>
  <si>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</si>
  <si>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</si>
  <si>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</si>
  <si>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</si>
  <si>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</si>
  <si>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</si>
  <si>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</si>
  <si>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</si>
  <si>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</si>
  <si>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Allocation2</t>
  </si>
  <si>
    <t>TradingTicket</t>
  </si>
  <si>
    <t>CreateDoneAwayOrder</t>
  </si>
  <si>
    <t>AAPL</t>
  </si>
  <si>
    <t>Buy to Open</t>
  </si>
  <si>
    <t>PricingInput</t>
  </si>
  <si>
    <t>PortfolioManagement</t>
  </si>
  <si>
    <t>GroupRowPM</t>
  </si>
  <si>
    <t>Symbol</t>
  </si>
  <si>
    <t>OpenPTTFromPM</t>
  </si>
  <si>
    <t>Decrease</t>
  </si>
  <si>
    <t>PTT</t>
  </si>
  <si>
    <t>CalculatePTT</t>
  </si>
  <si>
    <t>Percentage</t>
  </si>
  <si>
    <t>No</t>
  </si>
  <si>
    <t>Account</t>
  </si>
  <si>
    <t>Allocation1,Allocation2</t>
  </si>
  <si>
    <t>VerifyPTT</t>
  </si>
  <si>
    <t>TradePTT</t>
  </si>
  <si>
    <t>Sell</t>
  </si>
  <si>
    <t>Blotter</t>
  </si>
  <si>
    <t>VerifyOrder</t>
  </si>
  <si>
    <t>Equity</t>
  </si>
  <si>
    <t>Filled</t>
  </si>
  <si>
    <t>MS</t>
  </si>
  <si>
    <t>Market</t>
  </si>
  <si>
    <t>Multiple</t>
  </si>
  <si>
    <t>Allocation</t>
  </si>
  <si>
    <t>GetDataAllocation</t>
  </si>
  <si>
    <t>Current</t>
  </si>
  <si>
    <t>CheckAllocatedGroups</t>
  </si>
  <si>
    <t>Open</t>
  </si>
  <si>
    <t>CheckPortfolioManagement</t>
  </si>
  <si>
    <t>Long</t>
  </si>
  <si>
    <t>US</t>
  </si>
  <si>
    <t>NASDAQ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</si>
</sst>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0" xfId="0" applyFont="1" applyAlignment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right"/>
    </xf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14" fontId="5" fillId="0" borderId="5" xfId="0" applyNumberFormat="1" applyFont="1" applyBorder="1" applyAlignment="1">
      <alignment horizontal="right"/>
    </xf>
    <xf numFmtId="14" fontId="5" fillId="0" borderId="0" xfId="0" applyNumberFormat="1" applyFont="1" applyAlignment="1">
      <alignment horizontal="right"/>
    </xf>
    <xf numFmtId="0" fontId="3" fillId="0" borderId="5" xfId="0" applyFont="1" applyBorder="1" applyAlignment="1"/>
    <xf numFmtId="3" fontId="5" fillId="0" borderId="5" xfId="0" applyNumberFormat="1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3" fontId="3" fillId="0" borderId="0" xfId="0" applyNumberFormat="1" applyFont="1" applyAlignment="1">
      <alignment horizontal="right"/>
    </xf>
    <xf numFmtId="0" fontId="13" fillId="0" borderId="0" xfId="0" applyFont="1" applyAlignment="1"/>
    <xf numFmtId="164" fontId="13" fillId="0" borderId="0" xfId="0" applyNumberFormat="1" applyFont="1" applyAlignment="1">
      <alignment horizontal="right"/>
    </xf>
    <xf numFmtId="164" fontId="13" fillId="0" borderId="5" xfId="0" applyNumberFormat="1" applyFont="1" applyBorder="1" applyAlignment="1">
      <alignment horizontal="right"/>
    </xf>
    <xf numFmtId="0" fontId="13" fillId="0" borderId="5" xfId="0" applyFont="1" applyBorder="1" applyAlignment="1"/>
    <xf numFmtId="0" fontId="5" fillId="0" borderId="5" xfId="0" applyFont="1" applyBorder="1" applyAlignment="1"/>
    <xf numFmtId="0" fontId="13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3" fontId="5" fillId="0" borderId="0" xfId="0" applyNumberFormat="1" applyFont="1" applyAlignment="1"/>
    <xf numFmtId="0" fontId="3" fillId="0" borderId="5" xfId="0" applyFont="1" applyBorder="1" applyAlignment="1">
      <alignment horizontal="right"/>
    </xf>
    <xf numFmtId="3" fontId="2" fillId="0" borderId="0" xfId="0" applyNumberFormat="1" applyFont="1" applyAlignment="1"/>
    <xf numFmtId="3" fontId="3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8" t="s">
        <v>0</v>
      </c>
      <c r="B1" s="59"/>
      <c r="C1" s="59"/>
      <c r="D1" s="59"/>
      <c r="E1" s="59"/>
      <c r="F1" s="60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61" t="s">
        <v>2</v>
      </c>
      <c r="B1" s="59"/>
      <c r="C1" s="60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8" t="s">
        <v>7</v>
      </c>
      <c r="B1" s="59"/>
      <c r="C1" s="59"/>
      <c r="D1" s="59"/>
      <c r="E1" s="59"/>
      <c r="F1" s="60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5">
        <f t="shared" ref="B6:C6" ca="1" si="0">TODAY()-1</f>
        <v>44411</v>
      </c>
      <c r="C6" s="26">
        <f t="shared" ca="1" si="0"/>
        <v>44411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17</v>
      </c>
      <c r="C6" s="30" t="s">
        <v>18</v>
      </c>
      <c r="D6" s="31">
        <v>10000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 t="s">
        <v>19</v>
      </c>
      <c r="C7" s="32" t="s">
        <v>18</v>
      </c>
      <c r="D7" s="33">
        <v>10000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22</v>
      </c>
      <c r="C6" s="34" t="s">
        <v>23</v>
      </c>
      <c r="D6" s="31">
        <v>100</v>
      </c>
      <c r="E6" s="35">
        <v>100</v>
      </c>
      <c r="F6" s="30" t="s">
        <v>17</v>
      </c>
      <c r="G6" s="30"/>
      <c r="H6" s="30"/>
      <c r="I6" s="30"/>
      <c r="J6" s="35">
        <v>10</v>
      </c>
      <c r="K6" s="30"/>
      <c r="L6" s="30"/>
      <c r="M6" s="30"/>
      <c r="N6" s="36">
        <f t="shared" ref="N6:N7" ca="1" si="0">TODAY()</f>
        <v>44412</v>
      </c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 t="s">
        <v>22</v>
      </c>
      <c r="C7" s="34" t="s">
        <v>23</v>
      </c>
      <c r="D7" s="33">
        <v>100</v>
      </c>
      <c r="E7" s="33">
        <v>100</v>
      </c>
      <c r="F7" s="32" t="s">
        <v>19</v>
      </c>
      <c r="G7" s="32"/>
      <c r="H7" s="32"/>
      <c r="I7" s="32"/>
      <c r="J7" s="33">
        <v>10</v>
      </c>
      <c r="K7" s="32"/>
      <c r="L7" s="32"/>
      <c r="M7" s="32"/>
      <c r="N7" s="37">
        <f t="shared" ca="1" si="0"/>
        <v>44412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IFERROR(__xludf.DUMMYFUNCTION("IF(C3="""","""",Transpose(IMPORTRANGE('_Settings'!$B$3,C3&amp;""!A4:A1000"")))"),"PricingInput")</f>
        <v>PricingInput</v>
      </c>
      <c r="C4" s="19" t="str">
        <f ca="1">IFERROR(__xludf.DUMMYFUNCTION("""COMPUTED_VALUE"""),"UpdateSharesOutstanding")</f>
        <v>UpdateSharesOutstanding</v>
      </c>
      <c r="D4" s="19" t="str">
        <f ca="1">IFERROR(__xludf.DUMMYFUNCTION("""COMPUTED_VALUE"""),"EODTPreferences")</f>
        <v>EODTPreferences</v>
      </c>
      <c r="E4" s="19" t="str">
        <f ca="1">IFERROR(__xludf.DUMMYFUNCTION("""COMPUTED_VALUE"""),"LiveData")</f>
        <v>LiveData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IFERROR(__xludf.DUMMYFUNCTION("""COMPUTED_VALUE"""),"User Px")</f>
        <v>User Px</v>
      </c>
      <c r="D5" s="22" t="str">
        <f ca="1">IFERROR(__xludf.DUMMYFUNCTION("""COMPUTED_VALUE"""),"Asset Class")</f>
        <v>Asset Class</v>
      </c>
      <c r="E5" s="22" t="str">
        <f ca="1">IFERROR(__xludf.DUMMYFUNCTION("""COMPUTED_VALUE"""),"Volatility(%)")</f>
        <v>Volatility(%)</v>
      </c>
      <c r="F5" s="23" t="str">
        <f ca="1">IFERROR(__xludf.DUMMYFUNCTION("""COMPUTED_VALUE"""),"Historical Volatility")</f>
        <v>Historical Volatility</v>
      </c>
      <c r="G5" s="22" t="str">
        <f ca="1">IFERROR(__xludf.DUMMYFUNCTION("""COMPUTED_VALUE"""),"User Volatility")</f>
        <v>User Volatility</v>
      </c>
      <c r="H5" s="22" t="str">
        <f ca="1">IFERROR(__xludf.DUMMYFUNCTION("""COMPUTED_VALUE"""),"Interest Rate")</f>
        <v>Interest Rate</v>
      </c>
      <c r="I5" s="22" t="str">
        <f ca="1">IFERROR(__xludf.DUMMYFUNCTION("""COMPUTED_VALUE"""),"User Interest Rate")</f>
        <v>User Interest Rate</v>
      </c>
      <c r="J5" s="22" t="str">
        <f ca="1">IFERROR(__xludf.DUMMYFUNCTION("""COMPUTED_VALUE"""),"Dividend Yield")</f>
        <v>Dividend Yield</v>
      </c>
      <c r="K5" s="22" t="str">
        <f ca="1">IFERROR(__xludf.DUMMYFUNCTION("""COMPUTED_VALUE"""),"User Dividend Yield")</f>
        <v>User Dividend Yield</v>
      </c>
      <c r="L5" s="22" t="str">
        <f ca="1">IFERROR(__xludf.DUMMYFUNCTION("""COMPUTED_VALUE"""),"Actual Delta")</f>
        <v>Actual Delta</v>
      </c>
      <c r="M5" s="22" t="str">
        <f ca="1">IFERROR(__xludf.DUMMYFUNCTION("""COMPUTED_VALUE"""),"User Delta")</f>
        <v>User Delta</v>
      </c>
      <c r="N5" s="22" t="str">
        <f ca="1">IFERROR(__xludf.DUMMYFUNCTION("""COMPUTED_VALUE"""),"Selected Px")</f>
        <v>Selected Px</v>
      </c>
      <c r="O5" s="22" t="str">
        <f ca="1">IFERROR(__xludf.DUMMYFUNCTION("""COMPUTED_VALUE"""),"Forward Points")</f>
        <v>Forward Points</v>
      </c>
      <c r="P5" s="22" t="str">
        <f ca="1">IFERROR(__xludf.DUMMYFUNCTION("""COMPUTED_VALUE"""),"Shares Outstanding")</f>
        <v>Shares Outstanding</v>
      </c>
      <c r="Q5" s="22" t="str">
        <f ca="1">IFERROR(__xludf.DUMMYFUNCTION("""COMPUTED_VALUE"""),"User Shares Outstanding")</f>
        <v>User Shares Outstanding</v>
      </c>
      <c r="R5" s="22" t="str">
        <f ca="1">IFERROR(__xludf.DUMMYFUNCTION("""COMPUTED_VALUE"""),"LastPriceUsed")</f>
        <v>LastPriceUsed</v>
      </c>
      <c r="S5" s="22" t="str">
        <f ca="1">IFERROR(__xludf.DUMMYFUNCTION("""COMPUTED_VALUE"""),"VolatilityUsed")</f>
        <v>VolatilityUsed</v>
      </c>
      <c r="T5" s="24" t="str">
        <f ca="1">IFERROR(__xludf.DUMMYFUNCTION("""COMPUTED_VALUE"""),"IntRateUsed")</f>
        <v>IntRateUsed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22</v>
      </c>
      <c r="C6" s="35">
        <v>10</v>
      </c>
      <c r="D6" s="29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IFERROR(__xludf.DUMMYFUNCTION("""COMPUTED_VALUE"""),"ColumnName")</f>
        <v>ColumnName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27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IFERROR(__xludf.DUMMYFUNCTION("""COMPUTED_VALUE"""),"MasterFund")</f>
        <v>MasterFund</v>
      </c>
      <c r="D5" s="22" t="str">
        <f ca="1">IFERROR(__xludf.DUMMYFUNCTION("""COMPUTED_VALUE"""),"Symbol")</f>
        <v>Symbol</v>
      </c>
      <c r="E5" s="22" t="str">
        <f ca="1">IFERROR(__xludf.DUMMYFUNCTION("""COMPUTED_VALUE"""),"AdjustPosition")</f>
        <v>AdjustPosition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/>
      <c r="C6" s="30"/>
      <c r="D6" s="29" t="s">
        <v>22</v>
      </c>
      <c r="E6" s="30" t="s">
        <v>29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 t="str">
        <f ca="1">IFERROR(__xludf.DUMMYFUNCTION("""COMPUTED_VALUE"""),"Master Funds")</f>
        <v>Master Funds</v>
      </c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22</v>
      </c>
      <c r="C6" s="30" t="s">
        <v>29</v>
      </c>
      <c r="D6" s="29" t="s">
        <v>32</v>
      </c>
      <c r="E6" s="35">
        <v>5</v>
      </c>
      <c r="F6" s="35">
        <v>10</v>
      </c>
      <c r="G6" s="30" t="s">
        <v>33</v>
      </c>
      <c r="H6" s="30" t="s">
        <v>34</v>
      </c>
      <c r="I6" s="38" t="s">
        <v>35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NAV")</f>
        <v>Account NAV</v>
      </c>
      <c r="D5" s="22" t="str">
        <f ca="1">IFERROR(__xludf.DUMMYFUNCTION("""COMPUTED_VALUE"""),"Starting Position")</f>
        <v>Starting Position</v>
      </c>
      <c r="E5" s="22" t="str">
        <f ca="1">IFERROR(__xludf.DUMMYFUNCTION("""COMPUTED_VALUE"""),"Starting Value")</f>
        <v>Starting Value</v>
      </c>
      <c r="F5" s="23" t="str">
        <f ca="1">IFERROR(__xludf.DUMMYFUNCTION("""COMPUTED_VALUE"""),"Starting %")</f>
        <v>Starting %</v>
      </c>
      <c r="G5" s="22" t="str">
        <f ca="1">IFERROR(__xludf.DUMMYFUNCTION("""COMPUTED_VALUE"""),"% Change")</f>
        <v>% Change</v>
      </c>
      <c r="H5" s="22" t="str">
        <f ca="1">IFERROR(__xludf.DUMMYFUNCTION("""COMPUTED_VALUE"""),"Ending %")</f>
        <v>Ending %</v>
      </c>
      <c r="I5" s="22" t="str">
        <f ca="1">IFERROR(__xludf.DUMMYFUNCTION("""COMPUTED_VALUE"""),"Trade Quantity")</f>
        <v>Trade Quantity</v>
      </c>
      <c r="J5" s="22" t="str">
        <f ca="1">IFERROR(__xludf.DUMMYFUNCTION("""COMPUTED_VALUE"""),"Ending Position")</f>
        <v>Ending Position</v>
      </c>
      <c r="K5" s="22" t="str">
        <f ca="1">IFERROR(__xludf.DUMMYFUNCTION("""COMPUTED_VALUE"""),"Ending Value")</f>
        <v>Ending Value</v>
      </c>
      <c r="L5" s="22" t="str">
        <f ca="1">IFERROR(__xludf.DUMMYFUNCTION("""COMPUTED_VALUE"""),"% Allocation")</f>
        <v>% Allocation</v>
      </c>
      <c r="M5" s="22" t="str">
        <f ca="1">IFERROR(__xludf.DUMMYFUNCTION("""COMPUTED_VALUE"""),"Fx Rate")</f>
        <v>Fx Rate</v>
      </c>
      <c r="N5" s="22" t="str">
        <f ca="1">IFERROR(__xludf.DUMMYFUNCTION("""COMPUTED_VALUE"""),"Starting BP")</f>
        <v>Starting BP</v>
      </c>
      <c r="O5" s="22" t="str">
        <f ca="1">IFERROR(__xludf.DUMMYFUNCTION("""COMPUTED_VALUE"""),"BP Change")</f>
        <v>BP Change</v>
      </c>
      <c r="P5" s="22" t="str">
        <f ca="1">IFERROR(__xludf.DUMMYFUNCTION("""COMPUTED_VALUE"""),"Ending BP")</f>
        <v>Ending BP</v>
      </c>
      <c r="Q5" s="22" t="str">
        <f ca="1">IFERROR(__xludf.DUMMYFUNCTION("""COMPUTED_VALUE"""),"MasterFund Name")</f>
        <v>MasterFund Name</v>
      </c>
      <c r="R5" s="22" t="str">
        <f ca="1">IFERROR(__xludf.DUMMYFUNCTION("""COMPUTED_VALUE"""),"MasterFund NAV")</f>
        <v>MasterFund NAV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17</v>
      </c>
      <c r="C6" s="39">
        <v>10000</v>
      </c>
      <c r="D6" s="40">
        <v>100</v>
      </c>
      <c r="E6" s="39">
        <v>1000</v>
      </c>
      <c r="F6" s="35">
        <v>10</v>
      </c>
      <c r="G6" s="35">
        <v>-5</v>
      </c>
      <c r="H6" s="35">
        <v>5</v>
      </c>
      <c r="I6" s="35">
        <v>50</v>
      </c>
      <c r="J6" s="40">
        <v>50</v>
      </c>
      <c r="K6" s="39">
        <v>500</v>
      </c>
      <c r="L6" s="35">
        <v>50</v>
      </c>
      <c r="M6" s="35">
        <v>1</v>
      </c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 t="s">
        <v>19</v>
      </c>
      <c r="C7" s="41">
        <v>10000</v>
      </c>
      <c r="D7" s="40">
        <v>100</v>
      </c>
      <c r="E7" s="41">
        <v>1000</v>
      </c>
      <c r="F7" s="33">
        <v>10</v>
      </c>
      <c r="G7" s="33">
        <v>-5</v>
      </c>
      <c r="H7" s="33">
        <v>5</v>
      </c>
      <c r="I7" s="33">
        <v>50</v>
      </c>
      <c r="J7" s="42">
        <v>50</v>
      </c>
      <c r="K7" s="41">
        <v>500</v>
      </c>
      <c r="L7" s="33">
        <v>50</v>
      </c>
      <c r="M7" s="33">
        <v>1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22</v>
      </c>
      <c r="C6" s="30" t="s">
        <v>29</v>
      </c>
      <c r="D6" s="29" t="s">
        <v>32</v>
      </c>
      <c r="E6" s="35">
        <v>5</v>
      </c>
      <c r="F6" s="35">
        <v>10</v>
      </c>
      <c r="G6" s="30" t="s">
        <v>33</v>
      </c>
      <c r="H6" s="30" t="s">
        <v>34</v>
      </c>
      <c r="I6" s="38" t="s">
        <v>35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22</v>
      </c>
      <c r="C6" s="7" t="s">
        <v>38</v>
      </c>
      <c r="D6" s="7">
        <v>100</v>
      </c>
      <c r="E6" s="7">
        <v>100</v>
      </c>
      <c r="F6" s="5"/>
      <c r="G6" s="5"/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39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/>
      <c r="C6" s="30"/>
      <c r="D6" s="31">
        <v>10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43">
        <v>1</v>
      </c>
      <c r="AE6" s="32"/>
      <c r="AF6" s="32"/>
      <c r="AG6" s="32"/>
      <c r="AH6" s="32" t="s">
        <v>41</v>
      </c>
      <c r="AI6" s="32" t="s">
        <v>22</v>
      </c>
      <c r="AJ6" s="44" t="s">
        <v>23</v>
      </c>
      <c r="AK6" s="32" t="s">
        <v>42</v>
      </c>
      <c r="AL6" s="43">
        <v>100</v>
      </c>
      <c r="AM6" s="43">
        <v>100</v>
      </c>
      <c r="AN6" s="43">
        <v>100</v>
      </c>
      <c r="AO6" s="43">
        <v>100</v>
      </c>
      <c r="AP6" s="32"/>
      <c r="AQ6" s="43">
        <v>10</v>
      </c>
      <c r="AR6" s="43">
        <v>10</v>
      </c>
      <c r="AS6" s="32" t="s">
        <v>43</v>
      </c>
      <c r="AT6" s="32" t="s">
        <v>17</v>
      </c>
      <c r="AU6" s="32" t="s">
        <v>44</v>
      </c>
      <c r="AV6" s="45">
        <v>1000</v>
      </c>
      <c r="AW6" s="45">
        <v>1000</v>
      </c>
      <c r="AX6" s="32"/>
      <c r="AY6" s="43">
        <v>100</v>
      </c>
      <c r="AZ6" s="43">
        <v>0</v>
      </c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/>
      <c r="C7" s="32"/>
      <c r="D7" s="33">
        <v>10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43">
        <v>1</v>
      </c>
      <c r="AE7" s="32"/>
      <c r="AF7" s="32"/>
      <c r="AG7" s="32"/>
      <c r="AH7" s="32" t="s">
        <v>41</v>
      </c>
      <c r="AI7" s="32" t="s">
        <v>22</v>
      </c>
      <c r="AJ7" s="44" t="s">
        <v>23</v>
      </c>
      <c r="AK7" s="32" t="s">
        <v>42</v>
      </c>
      <c r="AL7" s="43">
        <v>100</v>
      </c>
      <c r="AM7" s="43">
        <v>100</v>
      </c>
      <c r="AN7" s="43">
        <v>100</v>
      </c>
      <c r="AO7" s="43">
        <v>100</v>
      </c>
      <c r="AP7" s="32"/>
      <c r="AQ7" s="43">
        <v>10</v>
      </c>
      <c r="AR7" s="43">
        <v>10</v>
      </c>
      <c r="AS7" s="32" t="s">
        <v>43</v>
      </c>
      <c r="AT7" s="32" t="s">
        <v>19</v>
      </c>
      <c r="AU7" s="32" t="s">
        <v>44</v>
      </c>
      <c r="AV7" s="45">
        <v>1000</v>
      </c>
      <c r="AW7" s="45">
        <v>1000</v>
      </c>
      <c r="AX7" s="32"/>
      <c r="AY7" s="43">
        <v>100</v>
      </c>
      <c r="AZ7" s="43">
        <v>0</v>
      </c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32"/>
      <c r="B8" s="32"/>
      <c r="C8" s="32"/>
      <c r="D8" s="33">
        <v>10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43">
        <v>1</v>
      </c>
      <c r="AE8" s="32"/>
      <c r="AF8" s="32"/>
      <c r="AG8" s="32"/>
      <c r="AH8" s="32" t="s">
        <v>41</v>
      </c>
      <c r="AI8" s="32" t="s">
        <v>22</v>
      </c>
      <c r="AJ8" s="44" t="s">
        <v>38</v>
      </c>
      <c r="AK8" s="32" t="s">
        <v>42</v>
      </c>
      <c r="AL8" s="43">
        <v>100</v>
      </c>
      <c r="AM8" s="43">
        <v>100</v>
      </c>
      <c r="AN8" s="43">
        <v>100</v>
      </c>
      <c r="AO8" s="43">
        <v>100</v>
      </c>
      <c r="AP8" s="32"/>
      <c r="AQ8" s="43">
        <v>10</v>
      </c>
      <c r="AR8" s="43">
        <v>10</v>
      </c>
      <c r="AS8" s="32" t="s">
        <v>43</v>
      </c>
      <c r="AT8" s="32" t="s">
        <v>45</v>
      </c>
      <c r="AU8" s="32" t="s">
        <v>44</v>
      </c>
      <c r="AV8" s="45">
        <v>-1000</v>
      </c>
      <c r="AW8" s="45">
        <v>-1000</v>
      </c>
      <c r="AX8" s="32"/>
      <c r="AY8" s="43">
        <v>100</v>
      </c>
      <c r="AZ8" s="43">
        <v>0</v>
      </c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46</v>
      </c>
      <c r="D3" s="2" t="s">
        <v>9</v>
      </c>
      <c r="E3" s="17" t="s">
        <v>47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48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46</v>
      </c>
      <c r="D3" s="2" t="s">
        <v>9</v>
      </c>
      <c r="E3" s="17" t="s">
        <v>49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46" t="s">
        <v>17</v>
      </c>
      <c r="C6" s="5"/>
      <c r="D6" s="47">
        <v>0</v>
      </c>
      <c r="E6" s="48">
        <v>100</v>
      </c>
      <c r="F6" s="30"/>
      <c r="G6" s="49" t="s">
        <v>41</v>
      </c>
      <c r="H6" s="48">
        <v>4</v>
      </c>
      <c r="I6" s="48">
        <v>5</v>
      </c>
      <c r="J6" s="30"/>
      <c r="K6" s="48">
        <v>10</v>
      </c>
      <c r="L6" s="48">
        <v>10</v>
      </c>
      <c r="M6" s="5"/>
      <c r="N6" s="5"/>
      <c r="O6" s="50" t="s">
        <v>43</v>
      </c>
      <c r="P6" s="30"/>
      <c r="Q6" s="48">
        <v>3</v>
      </c>
      <c r="R6" s="48">
        <v>0</v>
      </c>
      <c r="S6" s="49" t="s">
        <v>50</v>
      </c>
      <c r="T6" s="47">
        <v>0</v>
      </c>
      <c r="U6" s="47">
        <v>0</v>
      </c>
      <c r="AE6" s="47">
        <v>100</v>
      </c>
      <c r="AI6" s="43">
        <v>1</v>
      </c>
      <c r="AJ6" s="32"/>
      <c r="AK6" s="32"/>
      <c r="AL6" s="32"/>
      <c r="AM6" s="32"/>
      <c r="AN6" s="32"/>
      <c r="AO6" s="32"/>
      <c r="AP6" s="32"/>
      <c r="AT6" s="47">
        <v>1014.0006</v>
      </c>
      <c r="AU6" s="47">
        <v>1014.0006</v>
      </c>
      <c r="AW6" s="47">
        <v>0</v>
      </c>
      <c r="AX6" s="47">
        <v>0</v>
      </c>
      <c r="AY6" s="32" t="s">
        <v>44</v>
      </c>
      <c r="AZ6" s="47">
        <v>0</v>
      </c>
      <c r="BA6" s="32"/>
      <c r="BB6" s="32"/>
      <c r="BC6" s="47">
        <v>0</v>
      </c>
      <c r="BE6" s="47">
        <v>1000</v>
      </c>
      <c r="BF6" s="47">
        <v>1000</v>
      </c>
      <c r="BJ6" s="47">
        <v>100</v>
      </c>
      <c r="BK6" s="47">
        <v>0</v>
      </c>
      <c r="BL6" s="32"/>
      <c r="BO6" s="51" t="s">
        <v>23</v>
      </c>
      <c r="BT6" s="32" t="s">
        <v>22</v>
      </c>
      <c r="BU6" s="47">
        <v>3</v>
      </c>
      <c r="BV6" s="47">
        <v>0</v>
      </c>
      <c r="BW6" s="47">
        <v>14.0006</v>
      </c>
      <c r="BX6" s="47">
        <v>0</v>
      </c>
      <c r="BY6" s="32"/>
      <c r="CJ6" s="47">
        <v>0</v>
      </c>
    </row>
    <row r="7" spans="1:154" ht="15.75" customHeight="1">
      <c r="A7" s="5"/>
      <c r="B7" s="51" t="s">
        <v>19</v>
      </c>
      <c r="C7" s="5"/>
      <c r="D7" s="47">
        <v>0</v>
      </c>
      <c r="E7" s="47">
        <v>100</v>
      </c>
      <c r="F7" s="32"/>
      <c r="G7" s="51" t="s">
        <v>41</v>
      </c>
      <c r="H7" s="47">
        <v>4</v>
      </c>
      <c r="I7" s="47">
        <v>5</v>
      </c>
      <c r="J7" s="32"/>
      <c r="K7" s="47">
        <v>10</v>
      </c>
      <c r="L7" s="47">
        <v>10</v>
      </c>
      <c r="M7" s="5"/>
      <c r="N7" s="5"/>
      <c r="O7" s="52" t="s">
        <v>43</v>
      </c>
      <c r="P7" s="32"/>
      <c r="Q7" s="47">
        <v>3</v>
      </c>
      <c r="R7" s="47">
        <v>0</v>
      </c>
      <c r="S7" s="51" t="s">
        <v>50</v>
      </c>
      <c r="T7" s="47">
        <v>0</v>
      </c>
      <c r="U7" s="47">
        <v>0</v>
      </c>
      <c r="AE7" s="47">
        <v>100</v>
      </c>
      <c r="AI7" s="43">
        <v>1</v>
      </c>
      <c r="AJ7" s="32"/>
      <c r="AK7" s="32"/>
      <c r="AL7" s="32"/>
      <c r="AM7" s="32"/>
      <c r="AN7" s="32"/>
      <c r="AO7" s="32"/>
      <c r="AP7" s="32"/>
      <c r="AT7" s="47">
        <v>1014.0006</v>
      </c>
      <c r="AU7" s="47">
        <v>1014.0006</v>
      </c>
      <c r="AW7" s="47">
        <v>0</v>
      </c>
      <c r="AX7" s="47">
        <v>0</v>
      </c>
      <c r="AY7" s="32" t="s">
        <v>44</v>
      </c>
      <c r="AZ7" s="47">
        <v>0</v>
      </c>
      <c r="BA7" s="32"/>
      <c r="BB7" s="32"/>
      <c r="BC7" s="47">
        <v>0</v>
      </c>
      <c r="BE7" s="47">
        <v>1000</v>
      </c>
      <c r="BF7" s="47">
        <v>1000</v>
      </c>
      <c r="BJ7" s="47">
        <v>100</v>
      </c>
      <c r="BK7" s="47">
        <v>0</v>
      </c>
      <c r="BL7" s="32"/>
      <c r="BO7" s="51" t="s">
        <v>23</v>
      </c>
      <c r="BT7" s="32" t="s">
        <v>22</v>
      </c>
      <c r="BU7" s="47">
        <v>3</v>
      </c>
      <c r="BV7" s="47">
        <v>0</v>
      </c>
      <c r="BW7" s="47">
        <v>14.0006</v>
      </c>
      <c r="BX7" s="47">
        <v>0</v>
      </c>
      <c r="BY7" s="32"/>
      <c r="CJ7" s="47">
        <v>0</v>
      </c>
    </row>
    <row r="8" spans="1:154" ht="15.75" customHeight="1">
      <c r="A8" s="5"/>
      <c r="B8" s="51" t="s">
        <v>45</v>
      </c>
      <c r="C8" s="5"/>
      <c r="D8" s="47">
        <v>0</v>
      </c>
      <c r="E8" s="47">
        <v>100</v>
      </c>
      <c r="F8" s="32"/>
      <c r="G8" s="51" t="s">
        <v>41</v>
      </c>
      <c r="H8" s="47">
        <v>4</v>
      </c>
      <c r="I8" s="47">
        <v>5</v>
      </c>
      <c r="J8" s="32"/>
      <c r="K8" s="47">
        <v>10</v>
      </c>
      <c r="L8" s="47">
        <v>10</v>
      </c>
      <c r="M8" s="5"/>
      <c r="N8" s="5"/>
      <c r="O8" s="52" t="s">
        <v>43</v>
      </c>
      <c r="P8" s="32"/>
      <c r="Q8" s="47">
        <v>3</v>
      </c>
      <c r="R8" s="47">
        <v>0</v>
      </c>
      <c r="S8" s="51" t="s">
        <v>50</v>
      </c>
      <c r="T8" s="47">
        <v>0</v>
      </c>
      <c r="U8" s="47">
        <v>0</v>
      </c>
      <c r="AE8" s="47">
        <v>100</v>
      </c>
      <c r="AI8" s="43">
        <v>1</v>
      </c>
      <c r="AJ8" s="32"/>
      <c r="AK8" s="32"/>
      <c r="AL8" s="32"/>
      <c r="AM8" s="32"/>
      <c r="AN8" s="32"/>
      <c r="AO8" s="32"/>
      <c r="AP8" s="32"/>
      <c r="AT8" s="47">
        <v>985.99940000000004</v>
      </c>
      <c r="AU8" s="47">
        <v>985.99940000000004</v>
      </c>
      <c r="AW8" s="47">
        <v>0</v>
      </c>
      <c r="AX8" s="47">
        <v>0</v>
      </c>
      <c r="AY8" s="32" t="s">
        <v>44</v>
      </c>
      <c r="AZ8" s="47">
        <v>0</v>
      </c>
      <c r="BA8" s="32"/>
      <c r="BB8" s="32"/>
      <c r="BC8" s="47">
        <v>0</v>
      </c>
      <c r="BE8" s="47">
        <v>1000</v>
      </c>
      <c r="BF8" s="47">
        <v>1000</v>
      </c>
      <c r="BJ8" s="47">
        <v>100</v>
      </c>
      <c r="BK8" s="47">
        <v>0</v>
      </c>
      <c r="BL8" s="32"/>
      <c r="BO8" s="51" t="s">
        <v>38</v>
      </c>
      <c r="BT8" s="32" t="s">
        <v>22</v>
      </c>
      <c r="BU8" s="47">
        <v>3</v>
      </c>
      <c r="BV8" s="47">
        <v>0</v>
      </c>
      <c r="BW8" s="47">
        <v>14.0006</v>
      </c>
      <c r="BX8" s="47">
        <v>0</v>
      </c>
      <c r="BY8" s="32"/>
      <c r="CJ8" s="47">
        <v>0</v>
      </c>
    </row>
    <row r="9" spans="1:154" ht="15.75" customHeight="1">
      <c r="A9" s="5"/>
      <c r="B9" s="5"/>
      <c r="C9" s="5"/>
      <c r="D9" s="51"/>
      <c r="E9" s="32"/>
      <c r="F9" s="32"/>
      <c r="G9" s="32"/>
      <c r="H9" s="32"/>
      <c r="I9" s="32"/>
      <c r="J9" s="32"/>
      <c r="K9" s="51"/>
      <c r="L9" s="51"/>
      <c r="M9" s="5"/>
      <c r="N9" s="5"/>
      <c r="O9" s="32"/>
      <c r="P9" s="32"/>
      <c r="Q9" s="32"/>
      <c r="R9" s="32"/>
      <c r="S9" s="51"/>
      <c r="T9" s="32"/>
      <c r="U9" s="32"/>
      <c r="AE9" s="51"/>
      <c r="AI9" s="32"/>
      <c r="AJ9" s="32"/>
      <c r="AK9" s="32"/>
      <c r="AL9" s="32"/>
      <c r="AM9" s="32"/>
      <c r="AN9" s="32"/>
      <c r="AO9" s="32"/>
      <c r="AP9" s="32"/>
      <c r="AT9" s="51"/>
      <c r="AU9" s="51"/>
      <c r="AW9" s="32"/>
      <c r="AX9" s="32"/>
      <c r="AY9" s="32"/>
      <c r="AZ9" s="32"/>
      <c r="BA9" s="32"/>
      <c r="BB9" s="32"/>
      <c r="BC9" s="32"/>
      <c r="BE9" s="51"/>
      <c r="BF9" s="51"/>
      <c r="BJ9" s="32"/>
      <c r="BK9" s="32"/>
      <c r="BL9" s="32"/>
      <c r="BW9" s="32"/>
      <c r="BX9" s="32"/>
      <c r="BY9" s="32"/>
      <c r="CJ9" s="32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32"/>
      <c r="P10" s="32"/>
      <c r="Q10" s="32"/>
      <c r="R10" s="32"/>
      <c r="S10" s="32"/>
      <c r="T10" s="32"/>
      <c r="U10" s="32"/>
      <c r="AI10" s="32"/>
      <c r="AJ10" s="32"/>
      <c r="AK10" s="32"/>
      <c r="AL10" s="32"/>
      <c r="AM10" s="32"/>
      <c r="AN10" s="32"/>
      <c r="AO10" s="32"/>
      <c r="AP10" s="32"/>
      <c r="BW10" s="32"/>
      <c r="BX10" s="32"/>
      <c r="BY10" s="32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AI11" s="32"/>
      <c r="AJ11" s="32"/>
      <c r="AK11" s="32"/>
      <c r="AL11" s="32"/>
      <c r="AM11" s="32"/>
      <c r="AN11" s="32"/>
      <c r="AO11" s="32"/>
      <c r="AP11" s="32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AI12" s="32"/>
      <c r="AJ12" s="32"/>
      <c r="AK12" s="32"/>
      <c r="AL12" s="32"/>
      <c r="AM12" s="32"/>
      <c r="AN12" s="32"/>
      <c r="AO12" s="32"/>
      <c r="AP12" s="32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25</v>
      </c>
      <c r="D3" s="2" t="s">
        <v>9</v>
      </c>
      <c r="E3" s="17" t="s">
        <v>51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7"/>
      <c r="B6" s="7"/>
      <c r="C6" s="52" t="s">
        <v>22</v>
      </c>
      <c r="D6" s="7">
        <v>100</v>
      </c>
      <c r="E6" s="50" t="s">
        <v>17</v>
      </c>
      <c r="F6" s="5"/>
      <c r="G6" s="35">
        <v>10</v>
      </c>
      <c r="H6" s="53" t="s">
        <v>52</v>
      </c>
      <c r="I6" s="54">
        <v>1000</v>
      </c>
      <c r="J6" s="5"/>
      <c r="K6" s="54">
        <v>1000</v>
      </c>
      <c r="L6" s="5"/>
      <c r="M6" s="5"/>
      <c r="N6" s="41">
        <v>0</v>
      </c>
      <c r="O6" s="30"/>
      <c r="P6" s="30"/>
      <c r="Q6" s="55">
        <v>0</v>
      </c>
      <c r="R6" s="30"/>
      <c r="S6" s="30"/>
      <c r="T6" s="32" t="s">
        <v>41</v>
      </c>
      <c r="U6" s="32" t="s">
        <v>53</v>
      </c>
      <c r="V6" s="32" t="s">
        <v>54</v>
      </c>
      <c r="W6" s="32" t="s">
        <v>18</v>
      </c>
      <c r="AB6" s="55">
        <v>0</v>
      </c>
      <c r="AC6" s="55">
        <v>0</v>
      </c>
      <c r="AD6" s="54">
        <v>1000</v>
      </c>
      <c r="AE6" s="54">
        <v>1000</v>
      </c>
      <c r="AF6" s="6">
        <v>100</v>
      </c>
      <c r="AG6" s="54">
        <v>1000</v>
      </c>
      <c r="AH6" s="54">
        <v>1000</v>
      </c>
      <c r="AI6" s="54">
        <v>1000</v>
      </c>
      <c r="AJ6" s="6">
        <v>500</v>
      </c>
      <c r="AK6" s="43">
        <v>0</v>
      </c>
      <c r="AL6" s="43">
        <v>1</v>
      </c>
      <c r="AN6" s="6" t="s">
        <v>23</v>
      </c>
      <c r="AP6" s="6" t="s">
        <v>52</v>
      </c>
      <c r="AQ6" s="32" t="s">
        <v>22</v>
      </c>
      <c r="AR6" s="43">
        <v>10</v>
      </c>
      <c r="AS6" s="32"/>
      <c r="AT6" s="32"/>
      <c r="AU6" s="32"/>
      <c r="AV6" s="43">
        <v>1</v>
      </c>
      <c r="AW6" s="43">
        <v>0</v>
      </c>
      <c r="AX6" s="55">
        <v>0</v>
      </c>
      <c r="AY6" s="55">
        <v>0</v>
      </c>
      <c r="AZ6" s="56">
        <v>1000</v>
      </c>
      <c r="BA6" s="43">
        <v>0</v>
      </c>
      <c r="BB6" s="32"/>
      <c r="BC6" s="43">
        <v>1</v>
      </c>
      <c r="BD6" s="56">
        <v>-1000</v>
      </c>
      <c r="BE6" s="32" t="s">
        <v>41</v>
      </c>
      <c r="BF6" s="32"/>
      <c r="BG6" s="32"/>
      <c r="BH6" s="32"/>
      <c r="BI6" s="32"/>
      <c r="BJ6" s="43">
        <v>0</v>
      </c>
      <c r="BK6" s="43">
        <v>0</v>
      </c>
      <c r="BL6" s="43">
        <v>0</v>
      </c>
      <c r="BM6" s="43">
        <v>0</v>
      </c>
      <c r="BO6" s="56">
        <v>-1000</v>
      </c>
      <c r="BP6" s="43">
        <v>0</v>
      </c>
      <c r="BQ6" s="32"/>
      <c r="BR6" s="32" t="s">
        <v>43</v>
      </c>
      <c r="BS6" s="43">
        <v>0</v>
      </c>
      <c r="BT6" s="43">
        <v>0</v>
      </c>
      <c r="BU6" s="32"/>
      <c r="BV6" s="32"/>
      <c r="BW6" s="43">
        <v>0</v>
      </c>
      <c r="BX6" s="56">
        <v>1000</v>
      </c>
      <c r="BY6" s="56">
        <v>1000</v>
      </c>
      <c r="BZ6" s="43">
        <v>10</v>
      </c>
      <c r="CA6" s="43">
        <v>10</v>
      </c>
      <c r="CB6" s="32"/>
      <c r="CC6" s="43">
        <v>0</v>
      </c>
      <c r="CD6" s="43">
        <v>0</v>
      </c>
      <c r="CE6" s="43">
        <v>0</v>
      </c>
      <c r="CF6" s="43">
        <v>0</v>
      </c>
      <c r="CG6" s="43">
        <v>0</v>
      </c>
      <c r="CH6" s="43">
        <v>0</v>
      </c>
      <c r="CI6" s="43">
        <v>0</v>
      </c>
      <c r="CJ6" s="43">
        <v>0</v>
      </c>
      <c r="DA6" s="41">
        <v>1000</v>
      </c>
      <c r="DB6" s="43">
        <v>0</v>
      </c>
      <c r="DC6" s="32"/>
      <c r="DD6" s="32"/>
      <c r="DE6" s="43">
        <v>0</v>
      </c>
      <c r="DF6" s="43">
        <v>0</v>
      </c>
      <c r="DG6" s="43">
        <v>0</v>
      </c>
      <c r="DH6" s="32"/>
      <c r="DI6" s="43">
        <v>0</v>
      </c>
      <c r="DJ6" s="6" t="s">
        <v>23</v>
      </c>
      <c r="DK6" s="43">
        <v>0</v>
      </c>
      <c r="DL6" s="43">
        <v>0</v>
      </c>
      <c r="DM6" s="43">
        <v>1</v>
      </c>
      <c r="DN6" s="43">
        <v>10</v>
      </c>
      <c r="DO6" s="32"/>
      <c r="DP6" s="32"/>
      <c r="EG6" s="6">
        <v>5</v>
      </c>
      <c r="EH6" s="6">
        <v>5</v>
      </c>
      <c r="EI6" s="6">
        <v>5</v>
      </c>
      <c r="EJ6" s="43">
        <v>5</v>
      </c>
      <c r="EK6" s="43">
        <v>5</v>
      </c>
      <c r="EL6" s="6" t="s">
        <v>52</v>
      </c>
      <c r="EM6" s="57">
        <v>1000</v>
      </c>
      <c r="EN6" s="57">
        <v>1000</v>
      </c>
      <c r="EO6" s="43">
        <v>0</v>
      </c>
      <c r="EP6" s="32"/>
      <c r="EQ6" s="43">
        <v>5</v>
      </c>
      <c r="ER6" s="57">
        <v>1000</v>
      </c>
    </row>
    <row r="7" spans="1:168" ht="15.75" customHeight="1">
      <c r="A7" s="5"/>
      <c r="B7" s="5"/>
      <c r="C7" s="52" t="s">
        <v>22</v>
      </c>
      <c r="D7" s="7">
        <v>100</v>
      </c>
      <c r="E7" s="52" t="s">
        <v>19</v>
      </c>
      <c r="F7" s="5"/>
      <c r="G7" s="33">
        <v>10</v>
      </c>
      <c r="H7" s="53" t="s">
        <v>52</v>
      </c>
      <c r="I7" s="54">
        <v>1000</v>
      </c>
      <c r="J7" s="5"/>
      <c r="K7" s="54">
        <v>1000</v>
      </c>
      <c r="L7" s="5"/>
      <c r="M7" s="5"/>
      <c r="N7" s="41">
        <v>0</v>
      </c>
      <c r="O7" s="32"/>
      <c r="P7" s="32"/>
      <c r="Q7" s="43">
        <v>0</v>
      </c>
      <c r="R7" s="32"/>
      <c r="S7" s="32"/>
      <c r="T7" s="32" t="s">
        <v>41</v>
      </c>
      <c r="U7" s="32" t="s">
        <v>53</v>
      </c>
      <c r="V7" s="32" t="s">
        <v>54</v>
      </c>
      <c r="W7" s="32" t="s">
        <v>18</v>
      </c>
      <c r="AB7" s="43">
        <v>0</v>
      </c>
      <c r="AC7" s="43">
        <v>0</v>
      </c>
      <c r="AD7" s="54">
        <v>1000</v>
      </c>
      <c r="AE7" s="54">
        <v>1000</v>
      </c>
      <c r="AF7" s="6">
        <v>100</v>
      </c>
      <c r="AG7" s="54">
        <v>1000</v>
      </c>
      <c r="AH7" s="54">
        <v>1000</v>
      </c>
      <c r="AI7" s="54">
        <v>1000</v>
      </c>
      <c r="AJ7" s="6">
        <v>500</v>
      </c>
      <c r="AK7" s="43">
        <v>0</v>
      </c>
      <c r="AL7" s="43">
        <v>1</v>
      </c>
      <c r="AN7" s="6" t="s">
        <v>23</v>
      </c>
      <c r="AP7" s="6" t="s">
        <v>52</v>
      </c>
      <c r="AQ7" s="32" t="s">
        <v>22</v>
      </c>
      <c r="AR7" s="43">
        <v>10</v>
      </c>
      <c r="AS7" s="32"/>
      <c r="AT7" s="32"/>
      <c r="AU7" s="32"/>
      <c r="AV7" s="43">
        <v>1</v>
      </c>
      <c r="AW7" s="43">
        <v>0</v>
      </c>
      <c r="AX7" s="43">
        <v>0</v>
      </c>
      <c r="AY7" s="43">
        <v>0</v>
      </c>
      <c r="AZ7" s="56">
        <v>1000</v>
      </c>
      <c r="BA7" s="43">
        <v>0</v>
      </c>
      <c r="BB7" s="32"/>
      <c r="BC7" s="43">
        <v>1</v>
      </c>
      <c r="BD7" s="56">
        <v>-1000</v>
      </c>
      <c r="BE7" s="32" t="s">
        <v>41</v>
      </c>
      <c r="BF7" s="32"/>
      <c r="BG7" s="32"/>
      <c r="BH7" s="32"/>
      <c r="BI7" s="32"/>
      <c r="BJ7" s="43">
        <v>0</v>
      </c>
      <c r="BK7" s="43">
        <v>0</v>
      </c>
      <c r="BL7" s="43">
        <v>0</v>
      </c>
      <c r="BM7" s="43">
        <v>0</v>
      </c>
      <c r="BO7" s="56">
        <v>-1000</v>
      </c>
      <c r="BP7" s="43">
        <v>0</v>
      </c>
      <c r="BQ7" s="32"/>
      <c r="BR7" s="32" t="s">
        <v>43</v>
      </c>
      <c r="BS7" s="43">
        <v>0</v>
      </c>
      <c r="BT7" s="43">
        <v>0</v>
      </c>
      <c r="BU7" s="32"/>
      <c r="BV7" s="32"/>
      <c r="BW7" s="43">
        <v>0</v>
      </c>
      <c r="BX7" s="56">
        <v>1000</v>
      </c>
      <c r="BY7" s="56">
        <v>1000</v>
      </c>
      <c r="BZ7" s="43">
        <v>10</v>
      </c>
      <c r="CA7" s="43">
        <v>10</v>
      </c>
      <c r="CB7" s="32"/>
      <c r="CC7" s="43">
        <v>0</v>
      </c>
      <c r="CD7" s="43">
        <v>0</v>
      </c>
      <c r="CE7" s="43">
        <v>0</v>
      </c>
      <c r="CF7" s="43">
        <v>0</v>
      </c>
      <c r="CG7" s="43">
        <v>0</v>
      </c>
      <c r="CH7" s="43">
        <v>0</v>
      </c>
      <c r="CI7" s="43">
        <v>0</v>
      </c>
      <c r="CJ7" s="43">
        <v>0</v>
      </c>
      <c r="DA7" s="41">
        <v>1000</v>
      </c>
      <c r="DB7" s="43">
        <v>0</v>
      </c>
      <c r="DC7" s="32"/>
      <c r="DD7" s="32"/>
      <c r="DE7" s="43">
        <v>0</v>
      </c>
      <c r="DF7" s="43">
        <v>0</v>
      </c>
      <c r="DG7" s="43">
        <v>0</v>
      </c>
      <c r="DH7" s="32"/>
      <c r="DI7" s="43">
        <v>0</v>
      </c>
      <c r="DJ7" s="6" t="s">
        <v>23</v>
      </c>
      <c r="DK7" s="43">
        <v>0</v>
      </c>
      <c r="DL7" s="43">
        <v>0</v>
      </c>
      <c r="DM7" s="43">
        <v>1</v>
      </c>
      <c r="DN7" s="43">
        <v>10</v>
      </c>
      <c r="DO7" s="32"/>
      <c r="DP7" s="32"/>
      <c r="EG7" s="6">
        <v>5</v>
      </c>
      <c r="EH7" s="6">
        <v>5</v>
      </c>
      <c r="EI7" s="6">
        <v>5</v>
      </c>
      <c r="EJ7" s="43">
        <v>5</v>
      </c>
      <c r="EK7" s="43">
        <v>5</v>
      </c>
      <c r="EL7" s="6" t="s">
        <v>52</v>
      </c>
      <c r="EM7" s="57">
        <v>1000</v>
      </c>
      <c r="EN7" s="57">
        <v>1000</v>
      </c>
      <c r="EO7" s="43">
        <v>0</v>
      </c>
      <c r="EP7" s="32"/>
      <c r="EQ7" s="43">
        <v>5</v>
      </c>
      <c r="ER7" s="57">
        <v>1000</v>
      </c>
    </row>
    <row r="8" spans="1:168" ht="15.75" customHeight="1">
      <c r="A8" s="5"/>
      <c r="B8" s="5"/>
      <c r="C8" s="52" t="s">
        <v>22</v>
      </c>
      <c r="D8" s="7">
        <v>-50</v>
      </c>
      <c r="E8" s="52" t="s">
        <v>17</v>
      </c>
      <c r="F8" s="5"/>
      <c r="G8" s="33">
        <v>10</v>
      </c>
      <c r="H8" s="53" t="s">
        <v>52</v>
      </c>
      <c r="I8" s="7">
        <v>-500</v>
      </c>
      <c r="J8" s="5"/>
      <c r="K8" s="7">
        <v>-500</v>
      </c>
      <c r="L8" s="5"/>
      <c r="M8" s="5"/>
      <c r="N8" s="33">
        <v>0</v>
      </c>
      <c r="O8" s="32"/>
      <c r="P8" s="32"/>
      <c r="Q8" s="43">
        <v>0</v>
      </c>
      <c r="R8" s="32"/>
      <c r="S8" s="32"/>
      <c r="T8" s="32" t="s">
        <v>41</v>
      </c>
      <c r="U8" s="32" t="s">
        <v>53</v>
      </c>
      <c r="V8" s="32" t="s">
        <v>54</v>
      </c>
      <c r="W8" s="32" t="s">
        <v>18</v>
      </c>
      <c r="AB8" s="43">
        <v>0</v>
      </c>
      <c r="AC8" s="43">
        <v>0</v>
      </c>
      <c r="AD8" s="7">
        <v>-500</v>
      </c>
      <c r="AE8" s="7">
        <v>-500</v>
      </c>
      <c r="AF8" s="6">
        <v>-50</v>
      </c>
      <c r="AG8" s="7">
        <v>-500</v>
      </c>
      <c r="AH8" s="7">
        <v>-500</v>
      </c>
      <c r="AI8" s="7">
        <v>-500</v>
      </c>
      <c r="AJ8" s="6">
        <v>-250</v>
      </c>
      <c r="AK8" s="43">
        <v>0</v>
      </c>
      <c r="AL8" s="43">
        <v>1</v>
      </c>
      <c r="AN8" s="6" t="s">
        <v>38</v>
      </c>
      <c r="AP8" s="6" t="s">
        <v>52</v>
      </c>
      <c r="AQ8" s="32" t="s">
        <v>22</v>
      </c>
      <c r="AR8" s="43">
        <v>10</v>
      </c>
      <c r="AS8" s="32"/>
      <c r="AT8" s="32"/>
      <c r="AU8" s="32"/>
      <c r="AV8" s="43">
        <v>1</v>
      </c>
      <c r="AW8" s="43">
        <v>0</v>
      </c>
      <c r="AX8" s="43">
        <v>0</v>
      </c>
      <c r="AY8" s="43">
        <v>0</v>
      </c>
      <c r="AZ8" s="6">
        <v>-500</v>
      </c>
      <c r="BA8" s="43">
        <v>0</v>
      </c>
      <c r="BB8" s="32"/>
      <c r="BC8" s="43">
        <v>1</v>
      </c>
      <c r="BD8" s="6">
        <v>500</v>
      </c>
      <c r="BE8" s="32" t="s">
        <v>41</v>
      </c>
      <c r="BF8" s="32"/>
      <c r="BG8" s="32"/>
      <c r="BH8" s="32"/>
      <c r="BI8" s="32"/>
      <c r="BJ8" s="43">
        <v>0</v>
      </c>
      <c r="BK8" s="43">
        <v>0</v>
      </c>
      <c r="BL8" s="43">
        <v>0</v>
      </c>
      <c r="BM8" s="43">
        <v>0</v>
      </c>
      <c r="BO8" s="6">
        <v>500</v>
      </c>
      <c r="BP8" s="43">
        <v>0</v>
      </c>
      <c r="BQ8" s="32"/>
      <c r="BR8" s="32" t="s">
        <v>43</v>
      </c>
      <c r="BS8" s="43">
        <v>0</v>
      </c>
      <c r="BT8" s="43">
        <v>0</v>
      </c>
      <c r="BU8" s="32"/>
      <c r="BV8" s="32"/>
      <c r="BW8" s="43">
        <v>0</v>
      </c>
      <c r="BX8" s="6">
        <v>500</v>
      </c>
      <c r="BY8" s="6">
        <v>500</v>
      </c>
      <c r="BZ8" s="43">
        <v>10</v>
      </c>
      <c r="CA8" s="43">
        <v>10</v>
      </c>
      <c r="CB8" s="32"/>
      <c r="CC8" s="43">
        <v>0</v>
      </c>
      <c r="CD8" s="43">
        <v>0</v>
      </c>
      <c r="CE8" s="43">
        <v>0</v>
      </c>
      <c r="CF8" s="43">
        <v>0</v>
      </c>
      <c r="CG8" s="43">
        <v>0</v>
      </c>
      <c r="CH8" s="43">
        <v>0</v>
      </c>
      <c r="CI8" s="43">
        <v>0</v>
      </c>
      <c r="CJ8" s="43">
        <v>0</v>
      </c>
      <c r="DA8" s="33">
        <v>500</v>
      </c>
      <c r="DB8" s="43">
        <v>0</v>
      </c>
      <c r="DC8" s="32"/>
      <c r="DD8" s="32"/>
      <c r="DE8" s="43">
        <v>0</v>
      </c>
      <c r="DF8" s="43">
        <v>0</v>
      </c>
      <c r="DG8" s="43">
        <v>0</v>
      </c>
      <c r="DH8" s="32"/>
      <c r="DI8" s="43">
        <v>0</v>
      </c>
      <c r="DJ8" s="6" t="s">
        <v>38</v>
      </c>
      <c r="DK8" s="43">
        <v>0</v>
      </c>
      <c r="DL8" s="43">
        <v>0</v>
      </c>
      <c r="DM8" s="43">
        <v>1</v>
      </c>
      <c r="DN8" s="43">
        <v>10</v>
      </c>
      <c r="DO8" s="32"/>
      <c r="DP8" s="32"/>
      <c r="EG8" s="6">
        <v>-2.5</v>
      </c>
      <c r="EH8" s="6">
        <v>2.5</v>
      </c>
      <c r="EI8" s="6">
        <v>-2.5</v>
      </c>
      <c r="EJ8" s="43">
        <v>5</v>
      </c>
      <c r="EK8" s="43">
        <v>5</v>
      </c>
      <c r="EL8" s="6" t="s">
        <v>52</v>
      </c>
      <c r="EM8" s="57">
        <v>1000</v>
      </c>
      <c r="EN8" s="57">
        <v>1000</v>
      </c>
      <c r="EO8" s="43">
        <v>0</v>
      </c>
      <c r="EP8" s="32"/>
      <c r="EQ8" s="43">
        <v>2.5</v>
      </c>
      <c r="ER8" s="57">
        <v>1000</v>
      </c>
    </row>
    <row r="9" spans="1:168" ht="15.75" customHeight="1">
      <c r="A9" s="5"/>
      <c r="B9" s="5"/>
      <c r="C9" s="52" t="s">
        <v>22</v>
      </c>
      <c r="D9" s="7">
        <v>-50</v>
      </c>
      <c r="E9" s="52" t="s">
        <v>19</v>
      </c>
      <c r="F9" s="5"/>
      <c r="G9" s="33">
        <v>10</v>
      </c>
      <c r="H9" s="53" t="s">
        <v>52</v>
      </c>
      <c r="I9" s="7">
        <v>-500</v>
      </c>
      <c r="J9" s="5"/>
      <c r="K9" s="7">
        <v>-500</v>
      </c>
      <c r="L9" s="5"/>
      <c r="M9" s="5"/>
      <c r="N9" s="33">
        <v>0</v>
      </c>
      <c r="O9" s="32"/>
      <c r="P9" s="32"/>
      <c r="Q9" s="43">
        <v>0</v>
      </c>
      <c r="R9" s="32"/>
      <c r="S9" s="32"/>
      <c r="T9" s="32" t="s">
        <v>41</v>
      </c>
      <c r="U9" s="32" t="s">
        <v>53</v>
      </c>
      <c r="V9" s="32" t="s">
        <v>54</v>
      </c>
      <c r="W9" s="32" t="s">
        <v>18</v>
      </c>
      <c r="AB9" s="43">
        <v>0</v>
      </c>
      <c r="AC9" s="43">
        <v>0</v>
      </c>
      <c r="AD9" s="7">
        <v>-500</v>
      </c>
      <c r="AE9" s="7">
        <v>-500</v>
      </c>
      <c r="AF9" s="6">
        <v>-50</v>
      </c>
      <c r="AG9" s="7">
        <v>-500</v>
      </c>
      <c r="AH9" s="7">
        <v>-500</v>
      </c>
      <c r="AI9" s="7">
        <v>-500</v>
      </c>
      <c r="AJ9" s="6">
        <v>-250</v>
      </c>
      <c r="AK9" s="43">
        <v>0</v>
      </c>
      <c r="AL9" s="43">
        <v>1</v>
      </c>
      <c r="AN9" s="6" t="s">
        <v>38</v>
      </c>
      <c r="AP9" s="6" t="s">
        <v>52</v>
      </c>
      <c r="AQ9" s="32" t="s">
        <v>22</v>
      </c>
      <c r="AR9" s="43">
        <v>10</v>
      </c>
      <c r="AS9" s="32"/>
      <c r="AT9" s="32"/>
      <c r="AU9" s="32"/>
      <c r="AV9" s="43">
        <v>1</v>
      </c>
      <c r="AW9" s="43">
        <v>0</v>
      </c>
      <c r="AX9" s="43">
        <v>0</v>
      </c>
      <c r="AY9" s="43">
        <v>0</v>
      </c>
      <c r="AZ9" s="6">
        <v>-500</v>
      </c>
      <c r="BA9" s="43">
        <v>0</v>
      </c>
      <c r="BB9" s="32"/>
      <c r="BC9" s="43">
        <v>1</v>
      </c>
      <c r="BD9" s="6">
        <v>500</v>
      </c>
      <c r="BE9" s="32" t="s">
        <v>41</v>
      </c>
      <c r="BF9" s="32"/>
      <c r="BG9" s="32"/>
      <c r="BH9" s="32"/>
      <c r="BI9" s="32"/>
      <c r="BJ9" s="43">
        <v>0</v>
      </c>
      <c r="BK9" s="43">
        <v>0</v>
      </c>
      <c r="BL9" s="43">
        <v>0</v>
      </c>
      <c r="BM9" s="43">
        <v>0</v>
      </c>
      <c r="BO9" s="6">
        <v>500</v>
      </c>
      <c r="BP9" s="43">
        <v>0</v>
      </c>
      <c r="BQ9" s="32"/>
      <c r="BR9" s="32" t="s">
        <v>43</v>
      </c>
      <c r="BS9" s="43">
        <v>0</v>
      </c>
      <c r="BT9" s="43">
        <v>0</v>
      </c>
      <c r="BU9" s="32"/>
      <c r="BV9" s="32"/>
      <c r="BW9" s="43">
        <v>0</v>
      </c>
      <c r="BX9" s="6">
        <v>500</v>
      </c>
      <c r="BY9" s="6">
        <v>500</v>
      </c>
      <c r="BZ9" s="43">
        <v>10</v>
      </c>
      <c r="CA9" s="43">
        <v>10</v>
      </c>
      <c r="CB9" s="32"/>
      <c r="CC9" s="43">
        <v>0</v>
      </c>
      <c r="CD9" s="43">
        <v>0</v>
      </c>
      <c r="CE9" s="43">
        <v>0</v>
      </c>
      <c r="CF9" s="43">
        <v>0</v>
      </c>
      <c r="CG9" s="43">
        <v>0</v>
      </c>
      <c r="CH9" s="43">
        <v>0</v>
      </c>
      <c r="CI9" s="43">
        <v>0</v>
      </c>
      <c r="CJ9" s="43">
        <v>0</v>
      </c>
      <c r="DA9" s="33">
        <v>500</v>
      </c>
      <c r="DB9" s="43">
        <v>0</v>
      </c>
      <c r="DC9" s="32"/>
      <c r="DD9" s="32"/>
      <c r="DE9" s="43">
        <v>0</v>
      </c>
      <c r="DF9" s="43">
        <v>0</v>
      </c>
      <c r="DG9" s="43">
        <v>0</v>
      </c>
      <c r="DH9" s="32"/>
      <c r="DI9" s="43">
        <v>0</v>
      </c>
      <c r="DJ9" s="6" t="s">
        <v>38</v>
      </c>
      <c r="DK9" s="43">
        <v>0</v>
      </c>
      <c r="DL9" s="43">
        <v>0</v>
      </c>
      <c r="DM9" s="43">
        <v>1</v>
      </c>
      <c r="DN9" s="43">
        <v>10</v>
      </c>
      <c r="DO9" s="32"/>
      <c r="DP9" s="32"/>
      <c r="EG9" s="6">
        <v>-2.5</v>
      </c>
      <c r="EH9" s="6">
        <v>2.5</v>
      </c>
      <c r="EI9" s="6">
        <v>-2.5</v>
      </c>
      <c r="EJ9" s="43">
        <v>5</v>
      </c>
      <c r="EK9" s="43">
        <v>5</v>
      </c>
      <c r="EL9" s="6" t="s">
        <v>52</v>
      </c>
      <c r="EM9" s="57">
        <v>1000</v>
      </c>
      <c r="EN9" s="57">
        <v>1000</v>
      </c>
      <c r="EO9" s="43">
        <v>0</v>
      </c>
      <c r="EP9" s="32"/>
      <c r="EQ9" s="43">
        <v>2.5</v>
      </c>
      <c r="ER9" s="57">
        <v>1000</v>
      </c>
    </row>
    <row r="10" spans="1:168" ht="15.75" customHeight="1">
      <c r="A10" s="5"/>
      <c r="B10" s="5"/>
      <c r="C10" s="32"/>
      <c r="D10" s="5"/>
      <c r="E10" s="32"/>
      <c r="F10" s="5"/>
      <c r="G10" s="32"/>
      <c r="H10" s="5"/>
      <c r="I10" s="5"/>
      <c r="J10" s="5"/>
      <c r="K10" s="5"/>
      <c r="L10" s="5"/>
      <c r="M10" s="5"/>
      <c r="N10" s="32"/>
      <c r="O10" s="32"/>
      <c r="P10" s="32"/>
      <c r="Q10" s="32"/>
      <c r="R10" s="32"/>
      <c r="S10" s="32"/>
      <c r="T10" s="32"/>
      <c r="U10" s="32"/>
      <c r="V10" s="32"/>
      <c r="W10" s="32"/>
      <c r="AB10" s="32"/>
      <c r="AC10" s="32"/>
      <c r="AD10" s="5"/>
      <c r="AE10" s="5"/>
      <c r="AG10" s="5"/>
      <c r="AQ10" s="32"/>
      <c r="AR10" s="32"/>
      <c r="AS10" s="32"/>
      <c r="AT10" s="32"/>
      <c r="AU10" s="32"/>
      <c r="AV10" s="32"/>
      <c r="AW10" s="32"/>
      <c r="AX10" s="32"/>
      <c r="AY10" s="32"/>
      <c r="BA10" s="32"/>
      <c r="BB10" s="32"/>
      <c r="BC10" s="32"/>
      <c r="BE10" s="32"/>
      <c r="BF10" s="32"/>
      <c r="BG10" s="32"/>
      <c r="BH10" s="32"/>
      <c r="BI10" s="32"/>
      <c r="BJ10" s="32"/>
      <c r="BK10" s="32"/>
      <c r="BL10" s="32"/>
      <c r="BM10" s="32"/>
      <c r="BP10" s="32"/>
      <c r="BQ10" s="32"/>
      <c r="BR10" s="32"/>
      <c r="BS10" s="32"/>
      <c r="BT10" s="32"/>
      <c r="BU10" s="32"/>
      <c r="BV10" s="32"/>
      <c r="BW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DA10" s="32"/>
      <c r="DB10" s="32"/>
      <c r="DC10" s="32"/>
      <c r="DD10" s="32"/>
      <c r="DE10" s="32"/>
      <c r="DF10" s="32"/>
      <c r="DG10" s="32"/>
      <c r="DH10" s="32"/>
      <c r="DI10" s="32"/>
      <c r="DK10" s="32"/>
      <c r="DL10" s="32"/>
      <c r="DM10" s="32"/>
      <c r="DN10" s="32"/>
      <c r="DO10" s="32"/>
      <c r="DP10" s="32"/>
      <c r="EJ10" s="32"/>
      <c r="EK10" s="32"/>
      <c r="EM10" s="32"/>
      <c r="EN10" s="32"/>
      <c r="EO10" s="32"/>
      <c r="EP10" s="32"/>
    </row>
    <row r="11" spans="1:168" ht="15.75" customHeight="1">
      <c r="A11" s="5"/>
      <c r="B11" s="5"/>
      <c r="C11" s="32"/>
      <c r="D11" s="5"/>
      <c r="E11" s="32"/>
      <c r="F11" s="5"/>
      <c r="G11" s="5"/>
      <c r="H11" s="5"/>
      <c r="I11" s="5"/>
      <c r="J11" s="5"/>
      <c r="K11" s="5"/>
      <c r="L11" s="5"/>
      <c r="M11" s="5"/>
      <c r="N11" s="5"/>
      <c r="O11" s="5"/>
      <c r="AB11" s="32"/>
      <c r="AC11" s="32"/>
      <c r="AQ11" s="32"/>
      <c r="AR11" s="32"/>
      <c r="AS11" s="32"/>
      <c r="AT11" s="32"/>
      <c r="AU11" s="32"/>
      <c r="AV11" s="32"/>
      <c r="AW11" s="32"/>
      <c r="AX11" s="32"/>
      <c r="AY11" s="32"/>
      <c r="BE11" s="32"/>
      <c r="BF11" s="32"/>
      <c r="BG11" s="32"/>
      <c r="BH11" s="32"/>
      <c r="BI11" s="32"/>
      <c r="BJ11" s="32"/>
      <c r="BK11" s="32"/>
      <c r="BL11" s="32"/>
      <c r="BP11" s="32"/>
      <c r="BQ11" s="32"/>
      <c r="BR11" s="32"/>
      <c r="BS11" s="32"/>
      <c r="BT11" s="32"/>
      <c r="BU11" s="32"/>
      <c r="BV11" s="32"/>
      <c r="BW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DA11" s="32"/>
      <c r="DB11" s="32"/>
      <c r="DC11" s="32"/>
      <c r="DD11" s="32"/>
      <c r="DE11" s="32"/>
      <c r="DF11" s="32"/>
      <c r="DG11" s="32"/>
      <c r="DH11" s="32"/>
      <c r="DI11" s="32"/>
      <c r="DK11" s="32"/>
      <c r="DL11" s="32"/>
      <c r="DM11" s="32"/>
      <c r="DN11" s="32"/>
      <c r="DO11" s="32"/>
      <c r="DP11" s="32"/>
      <c r="EM11" s="32"/>
      <c r="EN11" s="32"/>
      <c r="EO11" s="32"/>
      <c r="EP11" s="32"/>
    </row>
    <row r="12" spans="1:168" ht="15.75" customHeight="1">
      <c r="A12" s="5"/>
      <c r="B12" s="5"/>
      <c r="C12" s="5"/>
      <c r="D12" s="5"/>
      <c r="E12" s="32"/>
      <c r="F12" s="5"/>
      <c r="G12" s="5"/>
      <c r="H12" s="5"/>
      <c r="I12" s="5"/>
      <c r="J12" s="5"/>
      <c r="K12" s="5"/>
      <c r="L12" s="5"/>
      <c r="M12" s="5"/>
      <c r="N12" s="5"/>
      <c r="O12" s="5"/>
      <c r="BP12" s="32"/>
      <c r="BQ12" s="32"/>
      <c r="BR12" s="32"/>
      <c r="BS12" s="32"/>
      <c r="BT12" s="32"/>
      <c r="BU12" s="32"/>
      <c r="BV12" s="32"/>
      <c r="BW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DA12" s="32"/>
      <c r="DB12" s="32"/>
      <c r="DC12" s="32"/>
      <c r="DD12" s="32"/>
      <c r="DE12" s="32"/>
      <c r="DF12" s="32"/>
      <c r="DG12" s="32"/>
      <c r="DH12" s="32"/>
      <c r="DI12" s="32"/>
    </row>
    <row r="13" spans="1:168" ht="15.75" customHeight="1">
      <c r="A13" s="5"/>
      <c r="B13" s="5"/>
      <c r="C13" s="5"/>
      <c r="D13" s="5"/>
      <c r="E13" s="32"/>
      <c r="F13" s="5"/>
      <c r="G13" s="5"/>
      <c r="H13" s="5"/>
      <c r="I13" s="5"/>
      <c r="J13" s="5"/>
      <c r="K13" s="5"/>
      <c r="L13" s="5"/>
      <c r="M13" s="5"/>
      <c r="N13" s="5"/>
      <c r="O13" s="5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GetDailyCash</vt:lpstr>
      <vt:lpstr>UpdateDailyCash</vt:lpstr>
      <vt:lpstr>CreateDoneAwayOrder</vt:lpstr>
      <vt:lpstr>PricingInput</vt:lpstr>
      <vt:lpstr>GroupRowPM</vt:lpstr>
      <vt:lpstr>OpenPTTFromPM</vt:lpstr>
      <vt:lpstr>CalculatePTT</vt:lpstr>
      <vt:lpstr>VerifyPTT</vt:lpstr>
      <vt:lpstr>TradePTT</vt:lpstr>
      <vt:lpstr>CreateDoneAwayOrder1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2021-08-04T13:57:59Z</dcterms:modified>
</cp:coreProperties>
</file>