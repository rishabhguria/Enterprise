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SelectUnallocatedGroup" sheetId="6" r:id="rId8"/>
    <sheet state="visible" name="RunProrata" sheetId="7" r:id="rId9"/>
    <sheet state="visible" name="EnterAllocatePreference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<sst xmlns="http://schemas.openxmlformats.org/spreadsheetml/2006/main" count="87" uniqueCount="33">
  <si>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</si>
  <si>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</si>
  <si>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</si>
  <si>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</si>
  <si>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</si>
  <si>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</si>
  <si>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</si>
  <si>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</si>
  <si>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</si>
  <si>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</si>
  <si>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</si>
  <si>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</si>
  <si>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</si>
  <si>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</si>
  <si>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</si>
  <si>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</si>
  <si>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APPL</t>
  </si>
  <si>
    <t>Buy</t>
  </si>
  <si>
    <t>MS</t>
  </si>
  <si>
    <t>Allocation1,Allocation2</t>
  </si>
  <si>
    <t>80,20</t>
  </si>
  <si>
    <t>Sell</t>
  </si>
  <si>
    <t>40,60</t>
  </si>
  <si>
    <t>Unallocated</t>
  </si>
  <si>
    <t>Allocation</t>
  </si>
  <si>
    <t>SetGeneralPreferences</t>
  </si>
  <si>
    <t>Positions_SymSide</t>
  </si>
  <si>
    <t>SymbolSide</t>
  </si>
  <si>
    <t>SelectUnallocatedGroup</t>
  </si>
  <si>
    <t>RunProrata</t>
  </si>
  <si>
    <t>EnterAllocatePreference</t>
  </si>
  <si>
    <t>Fixed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</si>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</sst>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10000.0</v>
      </c>
      <c r="E6" s="34">
        <v>10000.0</v>
      </c>
      <c r="F6" s="31"/>
      <c r="G6" s="33" t="s">
        <v>18</v>
      </c>
      <c r="H6" s="31"/>
      <c r="I6" s="31"/>
      <c r="J6" s="34">
        <v>80.0</v>
      </c>
      <c r="K6" s="31"/>
      <c r="L6" s="31"/>
      <c r="M6" s="31"/>
      <c r="N6" s="35">
        <f>today()-5</f>
        <v>45820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19</v>
      </c>
      <c r="AL6" s="31" t="s">
        <v>20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3" t="s">
        <v>16</v>
      </c>
      <c r="C7" s="33" t="s">
        <v>21</v>
      </c>
      <c r="D7" s="34">
        <v>500.0</v>
      </c>
      <c r="E7" s="34">
        <v>500.0</v>
      </c>
      <c r="F7" s="31"/>
      <c r="G7" s="33" t="s">
        <v>18</v>
      </c>
      <c r="H7" s="31"/>
      <c r="I7" s="31"/>
      <c r="J7" s="34">
        <v>90.0</v>
      </c>
      <c r="K7" s="31"/>
      <c r="L7" s="31"/>
      <c r="M7" s="31"/>
      <c r="N7" s="35">
        <f>today()-1</f>
        <v>45824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 t="s">
        <v>19</v>
      </c>
      <c r="AL7" s="31" t="s">
        <v>22</v>
      </c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 t="s">
        <v>16</v>
      </c>
      <c r="C8" s="33" t="s">
        <v>17</v>
      </c>
      <c r="D8" s="34">
        <v>1000.0</v>
      </c>
      <c r="E8" s="34">
        <v>1000.0</v>
      </c>
      <c r="F8" s="33" t="s">
        <v>23</v>
      </c>
      <c r="G8" s="33" t="s">
        <v>18</v>
      </c>
      <c r="H8" s="31"/>
      <c r="I8" s="31"/>
      <c r="J8" s="34">
        <v>20.0</v>
      </c>
      <c r="K8" s="31"/>
      <c r="L8" s="31"/>
      <c r="M8" s="31"/>
      <c r="N8" s="35">
        <f t="shared" ref="N8:N9" si="1">today()</f>
        <v>45825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3" t="s">
        <v>16</v>
      </c>
      <c r="C9" s="33" t="s">
        <v>21</v>
      </c>
      <c r="D9" s="34">
        <v>700.0</v>
      </c>
      <c r="E9" s="34">
        <v>700.0</v>
      </c>
      <c r="F9" s="33" t="s">
        <v>23</v>
      </c>
      <c r="G9" s="33" t="s">
        <v>18</v>
      </c>
      <c r="H9" s="31"/>
      <c r="I9" s="31"/>
      <c r="J9" s="34">
        <v>20.0</v>
      </c>
      <c r="K9" s="31"/>
      <c r="L9" s="31"/>
      <c r="M9" s="31"/>
      <c r="N9" s="35">
        <f t="shared" si="1"/>
        <v>45825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3" t="s">
        <v>26</v>
      </c>
      <c r="Y6" s="31" t="s">
        <v>27</v>
      </c>
      <c r="Z6" s="36" t="b">
        <v>1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16</v>
      </c>
      <c r="C6" s="38" t="s">
        <v>21</v>
      </c>
      <c r="D6" s="39">
        <v>700.0</v>
      </c>
      <c r="E6" s="39">
        <v>700.0</v>
      </c>
      <c r="F6" s="35">
        <f t="shared" ref="F6:F7" si="1">today()</f>
        <v>45825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8" t="s">
        <v>16</v>
      </c>
      <c r="C7" s="38" t="s">
        <v>17</v>
      </c>
      <c r="D7" s="39">
        <v>1000.0</v>
      </c>
      <c r="E7" s="39">
        <v>1000.0</v>
      </c>
      <c r="F7" s="35">
        <f t="shared" si="1"/>
        <v>45825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35">
        <f>today()</f>
        <v>45825</v>
      </c>
      <c r="C6" s="33" t="s">
        <v>26</v>
      </c>
      <c r="D6" s="32" t="s">
        <v>27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31</v>
      </c>
      <c r="C6" s="33" t="s">
        <v>26</v>
      </c>
      <c r="D6" s="41" t="b">
        <v>0</v>
      </c>
      <c r="E6" s="41" t="b">
        <v>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9">
        <v>700.0</v>
      </c>
      <c r="F6" s="38" t="s">
        <v>26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9">
        <v>700.0</v>
      </c>
      <c r="BK6" s="31"/>
      <c r="BL6" s="31"/>
      <c r="BM6" s="31"/>
      <c r="BN6" s="31"/>
      <c r="BO6" s="38" t="s">
        <v>21</v>
      </c>
      <c r="BP6" s="31"/>
      <c r="BQ6" s="31"/>
      <c r="BR6" s="31"/>
      <c r="BS6" s="31"/>
      <c r="BT6" s="37" t="s">
        <v>16</v>
      </c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9">
        <v>1000.0</v>
      </c>
      <c r="F7" s="38" t="s">
        <v>26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9">
        <v>1000.0</v>
      </c>
      <c r="BK7" s="31"/>
      <c r="BL7" s="31"/>
      <c r="BM7" s="31"/>
      <c r="BN7" s="31"/>
      <c r="BO7" s="38" t="s">
        <v>17</v>
      </c>
      <c r="BP7" s="31"/>
      <c r="BQ7" s="31"/>
      <c r="BR7" s="31"/>
      <c r="BS7" s="31"/>
      <c r="BT7" s="38" t="s">
        <v>16</v>
      </c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