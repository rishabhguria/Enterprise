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RTPNL" sheetId="5" r:id="rId7"/>
    <sheet state="visible" name="ApplyColumnFilter" sheetId="6" r:id="rId8"/>
    <sheet state="visible" name="CheckRealTimeSymAccountMonitor" sheetId="7" r:id="rId9"/>
    <sheet state="visible" name="ApplyColumnFilter1" sheetId="8" r:id="rId10"/>
    <sheet state="visible" name="CheckRealTimeSymAccountMonitor1" sheetId="9" r:id="rId11"/>
    <sheet state="visible" name="ApplyColumnFilter2" sheetId="10" r:id="rId12"/>
    <sheet state="visible" name="CheckRealTimeSymAccountMonitor2" sheetId="11" r:id="rId13"/>
    <sheet state="visible" name="OpenRTPNL1" sheetId="12" r:id="rId14"/>
    <sheet state="visible" name="ApplyColumnFilter3" sheetId="13" r:id="rId15"/>
    <sheet state="visible" name="CheckRealTimeSymbolFundMonitor" sheetId="14" r:id="rId16"/>
    <sheet state="visible" name="OpenRTPNL2" sheetId="15" r:id="rId17"/>
    <sheet state="visible" name="ApplyColumnFilter4" sheetId="16" r:id="rId18"/>
    <sheet state="visible" name="CheckSymbolLevelAggregation" sheetId="17" r:id="rId19"/>
    <sheet state="visible" name="OpenRTPNL3" sheetId="18" r:id="rId20"/>
    <sheet state="visible" name="ApplyColumnFilter5" sheetId="19" r:id="rId21"/>
    <sheet state="visible" name="CheckAccountLevelAggregation" sheetId="20" r:id="rId22"/>
    <sheet state="visible" name="OpenRTPNL4" sheetId="21" r:id="rId23"/>
    <sheet state="visible" name="ApplyColumnFilter6" sheetId="22" r:id="rId24"/>
    <sheet state="visible" name="CheckFundLevelAggregation" sheetId="23" r:id="rId25"/>
    <sheet state="visible" name="OpenRTPNL5" sheetId="24" r:id="rId26"/>
    <sheet state="visible" name="AddWidget" sheetId="25" r:id="rId27"/>
    <sheet state="visible" name="CreateGroupingWidget" sheetId="26" r:id="rId28"/>
    <sheet state="visible" name="ApplyColumnFilter7" sheetId="27" r:id="rId29"/>
    <sheet state="visible" name="CheckGroupingWidget" sheetId="28" r:id="rId30"/>
    <sheet state="visible" name="CloseRTPNL" sheetId="29" r:id="rId31"/>
  </sheets>
  <definedNames/>
  <calcPr/>
</workbook>
</file>

<file path=xl/sharedStrings.xml><?xml version="1.0" encoding="utf-8"?>
<sst xmlns="http://schemas.openxmlformats.org/spreadsheetml/2006/main" count="327" uniqueCount="85">
  <si>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</si>
  <si>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</si>
  <si>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</si>
  <si>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</si>
  <si>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</si>
  <si>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</si>
  <si>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</si>
  <si>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</si>
  <si>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</si>
  <si>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</si>
  <si>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</si>
  <si>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</si>
  <si>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</si>
  <si>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</si>
  <si>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</si>
  <si>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</si>
  <si>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</si>
  <si>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</si>
  <si>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</si>
  <si>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Buy</t>
  </si>
  <si>
    <t>GOOG</t>
  </si>
  <si>
    <t>Allocation2</t>
  </si>
  <si>
    <t>FRU-TC</t>
  </si>
  <si>
    <t>Allocation3</t>
  </si>
  <si>
    <t>NFLX</t>
  </si>
  <si>
    <t>Allocation11</t>
  </si>
  <si>
    <t>RTPNL</t>
  </si>
  <si>
    <t>OpenRTPNL</t>
  </si>
  <si>
    <t>Nirvana,PM</t>
  </si>
  <si>
    <t>RealTimeSymAccountMonitor</t>
  </si>
  <si>
    <t>ApplyColumnFilter</t>
  </si>
  <si>
    <t>Symbol</t>
  </si>
  <si>
    <t>Contains</t>
  </si>
  <si>
    <t>l</t>
  </si>
  <si>
    <t>AND</t>
  </si>
  <si>
    <t>Does not contain</t>
  </si>
  <si>
    <t>p</t>
  </si>
  <si>
    <t>CheckRealTimeSymAccountMonitor</t>
  </si>
  <si>
    <t>NETFLIX</t>
  </si>
  <si>
    <t>NewMF4</t>
  </si>
  <si>
    <t>o</t>
  </si>
  <si>
    <t>NewMF</t>
  </si>
  <si>
    <t>Equals</t>
  </si>
  <si>
    <t>OR</t>
  </si>
  <si>
    <t>APPLE</t>
  </si>
  <si>
    <t>RealTimeSymbolFundMonitor</t>
  </si>
  <si>
    <t>Does not equal</t>
  </si>
  <si>
    <t>CheckRealTimeSymbolFundMonitor</t>
  </si>
  <si>
    <t>GOOGLE-A</t>
  </si>
  <si>
    <t>NewMF1</t>
  </si>
  <si>
    <t>SymbolLevelAggregation</t>
  </si>
  <si>
    <t>Begins with</t>
  </si>
  <si>
    <t>a</t>
  </si>
  <si>
    <t>F</t>
  </si>
  <si>
    <t>CheckSymbolLevelAggregation</t>
  </si>
  <si>
    <t>AccountLevelAggregation</t>
  </si>
  <si>
    <t>Fund</t>
  </si>
  <si>
    <t>Ends with</t>
  </si>
  <si>
    <t>N</t>
  </si>
  <si>
    <t>CheckAccountLevelAggregation</t>
  </si>
  <si>
    <t>FundLevelAggregation</t>
  </si>
  <si>
    <t>Blank</t>
  </si>
  <si>
    <t>CheckFundLevelAggregation</t>
  </si>
  <si>
    <t>Nirvana</t>
  </si>
  <si>
    <t>GroupingWidget</t>
  </si>
  <si>
    <t>AddWidget</t>
  </si>
  <si>
    <t>Grouping</t>
  </si>
  <si>
    <t>CreateGroupingWidget</t>
  </si>
  <si>
    <t>Chip 1</t>
  </si>
  <si>
    <t>Chip 2</t>
  </si>
  <si>
    <t>Chip 3</t>
  </si>
  <si>
    <t>MakeColumFavourite</t>
  </si>
  <si>
    <t>MakeColumnUnfavourite</t>
  </si>
  <si>
    <t>ColumnsToAdd</t>
  </si>
  <si>
    <t>Verify Chip Values</t>
  </si>
  <si>
    <t>NextAction</t>
  </si>
  <si>
    <t>VerifyActionButtonVisibility</t>
  </si>
  <si>
    <t>Underlying Symbol</t>
  </si>
  <si>
    <t>Create</t>
  </si>
  <si>
    <t>Security Name</t>
  </si>
  <si>
    <t>Not blank</t>
  </si>
  <si>
    <t>G</t>
  </si>
  <si>
    <t>CheckGroupingWidget</t>
  </si>
  <si>
    <t>CloseRTPNL</t>
  </si>
  <si>
    <t>Discard 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</si>
</sst>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IFERROR(__xludf.DUMMYFUNCTION("""COMPUTED_VALUE"""),"NavLock")</f>
        <v>NavLock</v>
      </c>
      <c r="B977" t="str">
        <f>IFERROR(__xludf.DUMMYFUNCTION("""COMPUTED_VALUE"""),"DeleteRowNavLock")</f>
        <v>DeleteRowNavLock</v>
      </c>
      <c r="C977" t="str">
        <f>IFERROR(__xludf.DUMMYFUNCTION("""COMPUTED_VALUE"""),"11EX1Ln-BQAtx9NTd9zfcaia52FGNdZENDW2kwMCJ21HQ")</f>
        <v>11EX1Ln-BQAtx9NTd9zfcaia52FGNdZENDW2kwMCJ21HQ</v>
      </c>
    </row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2.0</v>
      </c>
      <c r="E6" s="12" t="s">
        <v>17</v>
      </c>
      <c r="F6" s="8"/>
      <c r="G6" s="8"/>
      <c r="H6" s="8"/>
      <c r="I6" s="12" t="s">
        <v>18</v>
      </c>
      <c r="J6" s="12" t="s">
        <v>19</v>
      </c>
      <c r="K6" s="8"/>
      <c r="L6" s="8"/>
      <c r="M6" s="8"/>
      <c r="N6" s="8"/>
      <c r="O6" s="8"/>
    </row>
    <row r="7" ht="15.75" customHeight="1">
      <c r="A7" s="8"/>
      <c r="B7" s="12" t="s">
        <v>20</v>
      </c>
      <c r="C7" s="12">
        <v>50.0</v>
      </c>
      <c r="D7" s="12">
        <v>5.0</v>
      </c>
      <c r="E7" s="12" t="s">
        <v>17</v>
      </c>
      <c r="F7" s="8"/>
      <c r="G7" s="8"/>
      <c r="H7" s="8"/>
      <c r="I7" s="12" t="s">
        <v>21</v>
      </c>
      <c r="J7" s="12" t="s">
        <v>19</v>
      </c>
      <c r="K7" s="8"/>
      <c r="L7" s="8"/>
      <c r="M7" s="8"/>
      <c r="N7" s="8"/>
      <c r="O7" s="8"/>
    </row>
    <row r="8" ht="15.75" customHeight="1">
      <c r="A8" s="8"/>
      <c r="B8" s="12" t="s">
        <v>22</v>
      </c>
      <c r="C8" s="12">
        <v>70.0</v>
      </c>
      <c r="D8" s="12">
        <v>8.0</v>
      </c>
      <c r="E8" s="12" t="s">
        <v>17</v>
      </c>
      <c r="F8" s="8"/>
      <c r="G8" s="8"/>
      <c r="H8" s="8"/>
      <c r="I8" s="12" t="s">
        <v>23</v>
      </c>
      <c r="J8" s="12" t="s">
        <v>19</v>
      </c>
      <c r="K8" s="8"/>
      <c r="L8" s="8"/>
      <c r="M8" s="8"/>
      <c r="N8" s="8"/>
      <c r="O8" s="8"/>
    </row>
    <row r="9" ht="15.75" customHeight="1">
      <c r="A9" s="8"/>
      <c r="B9" s="12" t="s">
        <v>24</v>
      </c>
      <c r="C9" s="12">
        <v>500.0</v>
      </c>
      <c r="D9" s="12">
        <v>3.0</v>
      </c>
      <c r="E9" s="12" t="s">
        <v>17</v>
      </c>
      <c r="F9" s="8"/>
      <c r="G9" s="8"/>
      <c r="H9" s="8"/>
      <c r="I9" s="12" t="s">
        <v>25</v>
      </c>
      <c r="J9" s="12" t="s">
        <v>19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IFERROR(__xludf.DUMMYFUNCTION("""COMPUTED_VALUE"""),"FilterType1")</f>
        <v>FilterType1</v>
      </c>
      <c r="D5" s="27" t="str">
        <f>IFERROR(__xludf.DUMMYFUNCTION("""COMPUTED_VALUE"""),"Input1")</f>
        <v>Input1</v>
      </c>
      <c r="E5" s="27" t="str">
        <f>IFERROR(__xludf.DUMMYFUNCTION("""COMPUTED_VALUE"""),"AND/OR")</f>
        <v>AND/OR</v>
      </c>
      <c r="F5" s="28" t="str">
        <f>IFERROR(__xludf.DUMMYFUNCTION("""COMPUTED_VALUE"""),"FilterType2")</f>
        <v>FilterType2</v>
      </c>
      <c r="G5" s="27" t="str">
        <f>IFERROR(__xludf.DUMMYFUNCTION("""COMPUTED_VALUE"""),"Input2")</f>
        <v>Input2</v>
      </c>
      <c r="H5" s="27" t="str">
        <f>IFERROR(__xludf.DUMMYFUNCTION("""COMPUTED_VALUE"""),"WindowName")</f>
        <v>WindowName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9" t="s">
        <v>32</v>
      </c>
      <c r="D6" s="12" t="s">
        <v>33</v>
      </c>
      <c r="E6" s="12" t="s">
        <v>34</v>
      </c>
      <c r="F6" s="12" t="s">
        <v>35</v>
      </c>
      <c r="G6" s="12" t="s">
        <v>36</v>
      </c>
      <c r="H6" s="12" t="s">
        <v>29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ApplyColumnFilter!$4:$4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38</v>
      </c>
      <c r="D6" s="12" t="s">
        <v>39</v>
      </c>
      <c r="E6" s="12" t="s">
        <v>25</v>
      </c>
      <c r="F6" s="8"/>
      <c r="G6" s="12">
        <v>500.0</v>
      </c>
      <c r="H6" s="8"/>
      <c r="I6" s="12">
        <v>3.0</v>
      </c>
      <c r="J6" s="12">
        <v>3.0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CheckRealTimeSymAccountMonitor!$4:$4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IFERROR(__xludf.DUMMYFUNCTION("""COMPUTED_VALUE"""),"FilterType1")</f>
        <v>FilterType1</v>
      </c>
      <c r="D5" s="27" t="str">
        <f>IFERROR(__xludf.DUMMYFUNCTION("""COMPUTED_VALUE"""),"Input1")</f>
        <v>Input1</v>
      </c>
      <c r="E5" s="27" t="str">
        <f>IFERROR(__xludf.DUMMYFUNCTION("""COMPUTED_VALUE"""),"AND/OR")</f>
        <v>AND/OR</v>
      </c>
      <c r="F5" s="28" t="str">
        <f>IFERROR(__xludf.DUMMYFUNCTION("""COMPUTED_VALUE"""),"FilterType2")</f>
        <v>FilterType2</v>
      </c>
      <c r="G5" s="27" t="str">
        <f>IFERROR(__xludf.DUMMYFUNCTION("""COMPUTED_VALUE"""),"Input2")</f>
        <v>Input2</v>
      </c>
      <c r="H5" s="27" t="str">
        <f>IFERROR(__xludf.DUMMYFUNCTION("""COMPUTED_VALUE"""),"WindowName")</f>
        <v>WindowName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35</v>
      </c>
      <c r="D6" s="12" t="s">
        <v>33</v>
      </c>
      <c r="E6" s="12" t="s">
        <v>34</v>
      </c>
      <c r="F6" s="12" t="s">
        <v>35</v>
      </c>
      <c r="G6" s="12" t="s">
        <v>40</v>
      </c>
      <c r="H6" s="12" t="s">
        <v>29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ApplyColumnFilter1!$4:$4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22</v>
      </c>
      <c r="D6" s="12" t="s">
        <v>41</v>
      </c>
      <c r="E6" s="12" t="s">
        <v>23</v>
      </c>
      <c r="F6" s="8"/>
      <c r="G6" s="12">
        <v>70.0</v>
      </c>
      <c r="H6" s="8"/>
      <c r="I6" s="12">
        <v>8.0</v>
      </c>
      <c r="J6" s="12">
        <v>8.0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CheckRealTimeSymAccountMonitor1!$4:$4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IFERROR(__xludf.DUMMYFUNCTION("""COMPUTED_VALUE"""),"FilterType1")</f>
        <v>FilterType1</v>
      </c>
      <c r="D5" s="27" t="str">
        <f>IFERROR(__xludf.DUMMYFUNCTION("""COMPUTED_VALUE"""),"Input1")</f>
        <v>Input1</v>
      </c>
      <c r="E5" s="27" t="str">
        <f>IFERROR(__xludf.DUMMYFUNCTION("""COMPUTED_VALUE"""),"AND/OR")</f>
        <v>AND/OR</v>
      </c>
      <c r="F5" s="28" t="str">
        <f>IFERROR(__xludf.DUMMYFUNCTION("""COMPUTED_VALUE"""),"FilterType2")</f>
        <v>FilterType2</v>
      </c>
      <c r="G5" s="27" t="str">
        <f>IFERROR(__xludf.DUMMYFUNCTION("""COMPUTED_VALUE"""),"Input2")</f>
        <v>Input2</v>
      </c>
      <c r="H5" s="27" t="str">
        <f>IFERROR(__xludf.DUMMYFUNCTION("""COMPUTED_VALUE"""),"WindowName")</f>
        <v>WindowName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9" t="s">
        <v>42</v>
      </c>
      <c r="D6" s="12" t="s">
        <v>16</v>
      </c>
      <c r="E6" s="12" t="s">
        <v>43</v>
      </c>
      <c r="F6" s="9" t="s">
        <v>42</v>
      </c>
      <c r="G6" s="12" t="s">
        <v>24</v>
      </c>
      <c r="H6" s="12" t="s">
        <v>29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ApplyColumnFilter2!$4:$4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38</v>
      </c>
      <c r="D6" s="12" t="s">
        <v>39</v>
      </c>
      <c r="E6" s="12" t="s">
        <v>25</v>
      </c>
      <c r="F6" s="8"/>
      <c r="G6" s="12">
        <v>500.0</v>
      </c>
      <c r="H6" s="8"/>
      <c r="I6" s="12">
        <v>3.0</v>
      </c>
      <c r="J6" s="12">
        <v>3.0</v>
      </c>
      <c r="K6" s="12"/>
      <c r="L6" s="8"/>
      <c r="M6" s="8"/>
      <c r="N6" s="8"/>
      <c r="O6" s="8"/>
    </row>
    <row r="7" ht="15.75" customHeight="1">
      <c r="A7" s="8"/>
      <c r="B7" s="12" t="s">
        <v>16</v>
      </c>
      <c r="C7" s="12" t="s">
        <v>44</v>
      </c>
      <c r="D7" s="12" t="s">
        <v>41</v>
      </c>
      <c r="E7" s="12" t="s">
        <v>18</v>
      </c>
      <c r="F7" s="8"/>
      <c r="G7" s="12">
        <v>100.0</v>
      </c>
      <c r="H7" s="8"/>
      <c r="I7" s="12">
        <v>2.0</v>
      </c>
      <c r="J7" s="12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CheckRealTimeSymAccountMonitor2!$4:$4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45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IFERROR(__xludf.DUMMYFUNCTION("""COMPUTED_VALUE"""),"FilterType1")</f>
        <v>FilterType1</v>
      </c>
      <c r="D5" s="27" t="str">
        <f>IFERROR(__xludf.DUMMYFUNCTION("""COMPUTED_VALUE"""),"Input1")</f>
        <v>Input1</v>
      </c>
      <c r="E5" s="27" t="str">
        <f>IFERROR(__xludf.DUMMYFUNCTION("""COMPUTED_VALUE"""),"AND/OR")</f>
        <v>AND/OR</v>
      </c>
      <c r="F5" s="28" t="str">
        <f>IFERROR(__xludf.DUMMYFUNCTION("""COMPUTED_VALUE"""),"FilterType2")</f>
        <v>FilterType2</v>
      </c>
      <c r="G5" s="27" t="str">
        <f>IFERROR(__xludf.DUMMYFUNCTION("""COMPUTED_VALUE"""),"Input2")</f>
        <v>Input2</v>
      </c>
      <c r="H5" s="27" t="str">
        <f>IFERROR(__xludf.DUMMYFUNCTION("""COMPUTED_VALUE"""),"WindowName")</f>
        <v>WindowName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9" t="s">
        <v>46</v>
      </c>
      <c r="D6" s="12" t="s">
        <v>16</v>
      </c>
      <c r="E6" s="12" t="s">
        <v>34</v>
      </c>
      <c r="F6" s="9" t="s">
        <v>46</v>
      </c>
      <c r="G6" s="12" t="s">
        <v>24</v>
      </c>
      <c r="H6" s="12" t="s">
        <v>45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ApplyColumnFilter3!$4:$4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IFERROR(__xludf.DUMMYFUNCTION("""COMPUTED_VALUE"""),"Asset Class")</f>
        <v>Asset Class</v>
      </c>
      <c r="F5" s="28" t="str">
        <f>IFERROR(__xludf.DUMMYFUNCTION("""COMPUTED_VALUE"""),"Position")</f>
        <v>Position</v>
      </c>
      <c r="G5" s="27" t="str">
        <f>IFERROR(__xludf.DUMMYFUNCTION("""COMPUTED_VALUE"""),"Position Side")</f>
        <v>Position Side</v>
      </c>
      <c r="H5" s="27" t="str">
        <f>IFERROR(__xludf.DUMMYFUNCTION("""COMPUTED_VALUE"""),"Px Selected Feed (Local)")</f>
        <v>Px Selected Feed (Local)</v>
      </c>
      <c r="I5" s="27" t="str">
        <f>IFERROR(__xludf.DUMMYFUNCTION("""COMPUTED_VALUE"""),"Px Selected Feed (Base)")</f>
        <v>Px Selected Feed (Base)</v>
      </c>
      <c r="J5" s="27" t="str">
        <f>IFERROR(__xludf.DUMMYFUNCTION("""COMPUTED_VALUE"""),"Market Value (Base)")</f>
        <v>Market Value (Base)</v>
      </c>
      <c r="K5" s="27" t="str">
        <f>IFERROR(__xludf.DUMMYFUNCTION("""COMPUTED_VALUE"""),"% Net Market Value (Base)")</f>
        <v>% Net Market Value (Base)</v>
      </c>
      <c r="L5" s="27" t="str">
        <f>IFERROR(__xludf.DUMMYFUNCTION("""COMPUTED_VALUE"""),"Cost Basis P&amp;L (Base)")</f>
        <v>Cost Basis P&amp;L (Base)</v>
      </c>
      <c r="M5" s="27" t="str">
        <f>IFERROR(__xludf.DUMMYFUNCTION("""COMPUTED_VALUE"""),"% Gain/Loss Cost")</f>
        <v>% Gain/Loss Cost</v>
      </c>
      <c r="N5" s="27" t="str">
        <f>IFERROR(__xludf.DUMMYFUNCTION("""COMPUTED_VALUE"""),"Day P&amp;L (Base)")</f>
        <v>Day P&amp;L (Base)</v>
      </c>
      <c r="O5" s="27" t="str">
        <f>IFERROR(__xludf.DUMMYFUNCTION("""COMPUTED_VALUE"""),"% Gain/Loss Day")</f>
        <v>% Gain/Loss Day</v>
      </c>
      <c r="P5" s="27" t="str">
        <f>IFERROR(__xludf.DUMMYFUNCTION("""COMPUTED_VALUE"""),"Exposure (Base)")</f>
        <v>Exposure (Base)</v>
      </c>
      <c r="Q5" s="27" t="str">
        <f>IFERROR(__xludf.DUMMYFUNCTION("""COMPUTED_VALUE"""),"% Exposure (Base)")</f>
        <v>% Exposure (Base)</v>
      </c>
      <c r="R5" s="27" t="str">
        <f>IFERROR(__xludf.DUMMYFUNCTION("""COMPUTED_VALUE"""),"Live Feed Provider Ticker")</f>
        <v>Live Feed Provider Ticker</v>
      </c>
      <c r="S5" s="27" t="str">
        <f>IFERROR(__xludf.DUMMYFUNCTION("""COMPUTED_VALUE"""),"Testing Type")</f>
        <v>Testing Type</v>
      </c>
      <c r="T5" s="29" t="str">
        <f>IFERROR(__xludf.DUMMYFUNCTION("""COMPUTED_VALUE"""),"Testing Column")</f>
        <v>Testing Column</v>
      </c>
      <c r="U5" s="29" t="str">
        <f>IFERROR(__xludf.DUMMYFUNCTION("""COMPUTED_VALUE"""),"Testing Col Value")</f>
        <v>Testing Col Value</v>
      </c>
      <c r="V5" s="29" t="str">
        <f>IFERROR(__xludf.DUMMYFUNCTION("""COMPUTED_VALUE"""),"DuplicateCountOnUI")</f>
        <v>DuplicateCountOnUI</v>
      </c>
      <c r="W5" s="29" t="str">
        <f>IFERROR(__xludf.DUMMYFUNCTION("""COMPUTED_VALUE"""),"DuplicateRow")</f>
        <v>DuplicateRow</v>
      </c>
      <c r="X5" s="29" t="str">
        <f>IFERROR(__xludf.DUMMYFUNCTION("""COMPUTED_VALUE"""),"TabName")</f>
        <v>TabName</v>
      </c>
      <c r="Y5" s="29" t="str">
        <f>IFERROR(__xludf.DUMMYFUNCTION("""COMPUTED_VALUE"""),"GridDataWidgetName")</f>
        <v>GridDataWidgetName</v>
      </c>
      <c r="Z5" s="29" t="str">
        <f>IFERROR(__xludf.DUMMYFUNCTION("""COMPUTED_VALUE"""),"Bloomberg Symbol")</f>
        <v>Bloomberg Symbol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22</v>
      </c>
      <c r="D6" s="12" t="s">
        <v>41</v>
      </c>
      <c r="E6" s="30"/>
      <c r="F6" s="12">
        <v>70.0</v>
      </c>
      <c r="G6" s="8"/>
      <c r="H6" s="12">
        <v>8.0</v>
      </c>
      <c r="I6" s="12">
        <v>8.0</v>
      </c>
      <c r="J6" s="8"/>
      <c r="K6" s="8"/>
      <c r="L6" s="8"/>
      <c r="M6" s="8"/>
      <c r="N6" s="8"/>
      <c r="O6" s="8"/>
    </row>
    <row r="7" ht="15.75" customHeight="1">
      <c r="A7" s="8"/>
      <c r="B7" s="12" t="s">
        <v>20</v>
      </c>
      <c r="C7" s="12" t="s">
        <v>48</v>
      </c>
      <c r="D7" s="12" t="s">
        <v>49</v>
      </c>
      <c r="E7" s="8"/>
      <c r="F7" s="12">
        <v>50.0</v>
      </c>
      <c r="G7" s="8"/>
      <c r="H7" s="12">
        <v>5.0</v>
      </c>
      <c r="I7" s="12">
        <v>5.0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CheckRealTimeSymbolFundMonitor!$4:$4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50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IFERROR(__xludf.DUMMYFUNCTION("""COMPUTED_VALUE"""),"FilterType1")</f>
        <v>FilterType1</v>
      </c>
      <c r="D5" s="27" t="str">
        <f>IFERROR(__xludf.DUMMYFUNCTION("""COMPUTED_VALUE"""),"Input1")</f>
        <v>Input1</v>
      </c>
      <c r="E5" s="27" t="str">
        <f>IFERROR(__xludf.DUMMYFUNCTION("""COMPUTED_VALUE"""),"AND/OR")</f>
        <v>AND/OR</v>
      </c>
      <c r="F5" s="28" t="str">
        <f>IFERROR(__xludf.DUMMYFUNCTION("""COMPUTED_VALUE"""),"FilterType2")</f>
        <v>FilterType2</v>
      </c>
      <c r="G5" s="27" t="str">
        <f>IFERROR(__xludf.DUMMYFUNCTION("""COMPUTED_VALUE"""),"Input2")</f>
        <v>Input2</v>
      </c>
      <c r="H5" s="27" t="str">
        <f>IFERROR(__xludf.DUMMYFUNCTION("""COMPUTED_VALUE"""),"WindowName")</f>
        <v>WindowName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9" t="s">
        <v>51</v>
      </c>
      <c r="D6" s="12" t="s">
        <v>52</v>
      </c>
      <c r="E6" s="12" t="s">
        <v>43</v>
      </c>
      <c r="F6" s="9" t="s">
        <v>51</v>
      </c>
      <c r="G6" s="12" t="s">
        <v>53</v>
      </c>
      <c r="H6" s="12" t="s">
        <v>50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ApplyColumnFilter4!$4:$4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 t="str">
        <f>IFERROR(__xludf.DUMMYFUNCTION("""COMPUTED_VALUE"""),"Testing Type")</f>
        <v>Testing Type</v>
      </c>
      <c r="R5" s="27" t="str">
        <f>IFERROR(__xludf.DUMMYFUNCTION("""COMPUTED_VALUE"""),"Testing Column")</f>
        <v>Testing Column</v>
      </c>
      <c r="S5" s="27" t="str">
        <f>IFERROR(__xludf.DUMMYFUNCTION("""COMPUTED_VALUE"""),"Testing Col Value")</f>
        <v>Testing Col Value</v>
      </c>
      <c r="T5" s="29" t="str">
        <f>IFERROR(__xludf.DUMMYFUNCTION("""COMPUTED_VALUE"""),"DuplicateCountOnUI")</f>
        <v>DuplicateCountOnUI</v>
      </c>
      <c r="U5" s="29" t="str">
        <f>IFERROR(__xludf.DUMMYFUNCTION("""COMPUTED_VALUE"""),"DuplicateRow")</f>
        <v>DuplicateRow</v>
      </c>
      <c r="V5" s="29" t="str">
        <f>IFERROR(__xludf.DUMMYFUNCTION("""COMPUTED_VALUE"""),"Bloomberg Symbol")</f>
        <v>Bloomberg Symbol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22</v>
      </c>
      <c r="D6" s="12">
        <v>70.0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44</v>
      </c>
      <c r="D7" s="12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CheckSymbolLevelAggregation!$4:$4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55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IFERROR(__xludf.DUMMYFUNCTION("""COMPUTED_VALUE"""),"FilterType1")</f>
        <v>FilterType1</v>
      </c>
      <c r="D5" s="27" t="str">
        <f>IFERROR(__xludf.DUMMYFUNCTION("""COMPUTED_VALUE"""),"Input1")</f>
        <v>Input1</v>
      </c>
      <c r="E5" s="27" t="str">
        <f>IFERROR(__xludf.DUMMYFUNCTION("""COMPUTED_VALUE"""),"AND/OR")</f>
        <v>AND/OR</v>
      </c>
      <c r="F5" s="28" t="str">
        <f>IFERROR(__xludf.DUMMYFUNCTION("""COMPUTED_VALUE"""),"FilterType2")</f>
        <v>FilterType2</v>
      </c>
      <c r="G5" s="27" t="str">
        <f>IFERROR(__xludf.DUMMYFUNCTION("""COMPUTED_VALUE"""),"Input2")</f>
        <v>Input2</v>
      </c>
      <c r="H5" s="27" t="str">
        <f>IFERROR(__xludf.DUMMYFUNCTION("""COMPUTED_VALUE"""),"WindowName")</f>
        <v>WindowName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56</v>
      </c>
      <c r="C6" s="9" t="s">
        <v>57</v>
      </c>
      <c r="D6" s="12" t="s">
        <v>53</v>
      </c>
      <c r="E6" s="12" t="s">
        <v>34</v>
      </c>
      <c r="F6" s="12" t="s">
        <v>51</v>
      </c>
      <c r="G6" s="12" t="s">
        <v>58</v>
      </c>
      <c r="H6" s="12" t="s">
        <v>55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ApplyColumnFilter5!$4:$4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IFERROR(__xludf.DUMMYFUNCTION("""COMPUTED_VALUE"""),"Fund")</f>
        <v>Fund</v>
      </c>
      <c r="D5" s="27" t="str">
        <f>IFERROR(__xludf.DUMMYFUNCTION("""COMPUTED_VALUE"""),"Market Value")</f>
        <v>Market Value</v>
      </c>
      <c r="E5" s="27" t="str">
        <f>IFERROR(__xludf.DUMMYFUNCTION("""COMPUTED_VALUE"""),"P&amp;L")</f>
        <v>P&amp;L</v>
      </c>
      <c r="F5" s="28" t="str">
        <f>IFERROR(__xludf.DUMMYFUNCTION("""COMPUTED_VALUE"""),"Day P&amp;L")</f>
        <v>Day P&amp;L</v>
      </c>
      <c r="G5" s="27" t="str">
        <f>IFERROR(__xludf.DUMMYFUNCTION("""COMPUTED_VALUE"""),"Exposure")</f>
        <v>Exposure</v>
      </c>
      <c r="H5" s="27" t="str">
        <f>IFERROR(__xludf.DUMMYFUNCTION("""COMPUTED_VALUE"""),"% Gain/Loss Day")</f>
        <v>% Gain/Loss Day</v>
      </c>
      <c r="I5" s="27" t="str">
        <f>IFERROR(__xludf.DUMMYFUNCTION("""COMPUTED_VALUE"""),"% Gain/Loss Cost")</f>
        <v>% Gain/Loss Cost</v>
      </c>
      <c r="J5" s="27" t="str">
        <f>IFERROR(__xludf.DUMMYFUNCTION("""COMPUTED_VALUE"""),"% Market Value")</f>
        <v>% Market Value</v>
      </c>
      <c r="K5" s="27" t="str">
        <f>IFERROR(__xludf.DUMMYFUNCTION("""COMPUTED_VALUE"""),"% Exposure")</f>
        <v>% Exposure</v>
      </c>
      <c r="L5" s="27" t="str">
        <f>IFERROR(__xludf.DUMMYFUNCTION("""COMPUTED_VALUE"""),"Short Exposure")</f>
        <v>Short Exposure</v>
      </c>
      <c r="M5" s="27" t="str">
        <f>IFERROR(__xludf.DUMMYFUNCTION("""COMPUTED_VALUE"""),"% Short Exposure")</f>
        <v>% Short Exposure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IFERROR(__xludf.DUMMYFUNCTION("""COMPUTED_VALUE"""),"Accruals")</f>
        <v>Accruals</v>
      </c>
      <c r="Q5" s="27" t="str">
        <f>IFERROR(__xludf.DUMMYFUNCTION("""COMPUTED_VALUE"""),"Cash")</f>
        <v>Cash</v>
      </c>
      <c r="R5" s="27" t="str">
        <f>IFERROR(__xludf.DUMMYFUNCTION("""COMPUTED_VALUE"""),"NAV")</f>
        <v>NAV</v>
      </c>
      <c r="S5" s="27" t="str">
        <f>IFERROR(__xludf.DUMMYFUNCTION("""COMPUTED_VALUE"""),"Testing Type")</f>
        <v>Testing Type</v>
      </c>
      <c r="T5" s="29" t="str">
        <f>IFERROR(__xludf.DUMMYFUNCTION("""COMPUTED_VALUE"""),"Testing Column")</f>
        <v>Testing Column</v>
      </c>
      <c r="U5" s="29" t="str">
        <f>IFERROR(__xludf.DUMMYFUNCTION("""COMPUTED_VALUE"""),"Testing Col Value")</f>
        <v>Testing Col Value</v>
      </c>
      <c r="V5" s="29" t="str">
        <f>IFERROR(__xludf.DUMMYFUNCTION("""COMPUTED_VALUE"""),"DuplicateCountOnUI")</f>
        <v>DuplicateCountOnUI</v>
      </c>
      <c r="W5" s="29" t="str">
        <f>IFERROR(__xludf.DUMMYFUNCTION("""COMPUTED_VALUE"""),"DuplicateRow")</f>
        <v>DuplicateRow</v>
      </c>
      <c r="X5" s="29" t="str">
        <f>IFERROR(__xludf.DUMMYFUNCTION("""COMPUTED_VALUE"""),"TabName")</f>
        <v>TabName</v>
      </c>
      <c r="Y5" s="29" t="str">
        <f>IFERROR(__xludf.DUMMYFUNCTION("""COMPUTED_VALUE"""),"GridDataWidgetName")</f>
        <v>GridDataWidgetName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41</v>
      </c>
      <c r="D6" s="12"/>
      <c r="E6" s="30"/>
      <c r="F6" s="8"/>
      <c r="G6" s="12">
        <v>560.0</v>
      </c>
      <c r="H6" s="8"/>
      <c r="I6" s="8"/>
      <c r="J6" s="8"/>
      <c r="K6" s="12">
        <v>0.0</v>
      </c>
      <c r="L6" s="8"/>
      <c r="M6" s="8"/>
      <c r="N6" s="8"/>
      <c r="O6" s="8"/>
      <c r="R6" s="9">
        <v>0.0</v>
      </c>
    </row>
    <row r="7" ht="15.75" customHeight="1">
      <c r="A7" s="8"/>
      <c r="B7" s="12" t="s">
        <v>18</v>
      </c>
      <c r="C7" s="12" t="s">
        <v>41</v>
      </c>
      <c r="D7" s="8"/>
      <c r="E7" s="8"/>
      <c r="F7" s="8"/>
      <c r="G7" s="12">
        <v>200.0</v>
      </c>
      <c r="H7" s="8"/>
      <c r="I7" s="8"/>
      <c r="J7" s="8"/>
      <c r="K7" s="12">
        <v>0.0</v>
      </c>
      <c r="L7" s="8"/>
      <c r="M7" s="8"/>
      <c r="N7" s="8"/>
      <c r="O7" s="8"/>
      <c r="R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CheckAccountLevelAggregation!$4:$4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60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IFERROR(__xludf.DUMMYFUNCTION("""COMPUTED_VALUE"""),"FilterType1")</f>
        <v>FilterType1</v>
      </c>
      <c r="D5" s="27" t="str">
        <f>IFERROR(__xludf.DUMMYFUNCTION("""COMPUTED_VALUE"""),"Input1")</f>
        <v>Input1</v>
      </c>
      <c r="E5" s="27" t="str">
        <f>IFERROR(__xludf.DUMMYFUNCTION("""COMPUTED_VALUE"""),"AND/OR")</f>
        <v>AND/OR</v>
      </c>
      <c r="F5" s="28" t="str">
        <f>IFERROR(__xludf.DUMMYFUNCTION("""COMPUTED_VALUE"""),"FilterType2")</f>
        <v>FilterType2</v>
      </c>
      <c r="G5" s="27" t="str">
        <f>IFERROR(__xludf.DUMMYFUNCTION("""COMPUTED_VALUE"""),"Input2")</f>
        <v>Input2</v>
      </c>
      <c r="H5" s="27" t="str">
        <f>IFERROR(__xludf.DUMMYFUNCTION("""COMPUTED_VALUE"""),"WindowName")</f>
        <v>WindowName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56</v>
      </c>
      <c r="C6" s="9" t="s">
        <v>61</v>
      </c>
      <c r="D6" s="12"/>
      <c r="E6" s="12" t="s">
        <v>43</v>
      </c>
      <c r="F6" s="12" t="s">
        <v>42</v>
      </c>
      <c r="G6" s="12" t="s">
        <v>41</v>
      </c>
      <c r="H6" s="12" t="s">
        <v>60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ApplyColumnFilter6!$4:$4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IFERROR(__xludf.DUMMYFUNCTION("""COMPUTED_VALUE"""),"Fund")</f>
        <v>Fund</v>
      </c>
      <c r="C5" s="27" t="str">
        <f>IFERROR(__xludf.DUMMYFUNCTION("""COMPUTED_VALUE"""),"Market Value")</f>
        <v>Market Value</v>
      </c>
      <c r="D5" s="27" t="str">
        <f>IFERROR(__xludf.DUMMYFUNCTION("""COMPUTED_VALUE"""),"P&amp;L")</f>
        <v>P&amp;L</v>
      </c>
      <c r="E5" s="27" t="str">
        <f>IFERROR(__xludf.DUMMYFUNCTION("""COMPUTED_VALUE"""),"Day P&amp;L")</f>
        <v>Day P&amp;L</v>
      </c>
      <c r="F5" s="28" t="str">
        <f>IFERROR(__xludf.DUMMYFUNCTION("""COMPUTED_VALUE"""),"Exposure")</f>
        <v>Exposure</v>
      </c>
      <c r="G5" s="27" t="str">
        <f>IFERROR(__xludf.DUMMYFUNCTION("""COMPUTED_VALUE"""),"% Gain/Loss Day")</f>
        <v>% Gain/Loss Day</v>
      </c>
      <c r="H5" s="27" t="str">
        <f>IFERROR(__xludf.DUMMYFUNCTION("""COMPUTED_VALUE"""),"% Gain/Loss Cost")</f>
        <v>% Gain/Loss Cost</v>
      </c>
      <c r="I5" s="27" t="str">
        <f>IFERROR(__xludf.DUMMYFUNCTION("""COMPUTED_VALUE"""),"% Market Value")</f>
        <v>% Market Value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IFERROR(__xludf.DUMMYFUNCTION("""COMPUTED_VALUE"""),"Long Exposure")</f>
        <v>Long Exposure</v>
      </c>
      <c r="N5" s="27" t="str">
        <f>IFERROR(__xludf.DUMMYFUNCTION("""COMPUTED_VALUE"""),"% Long Exposure")</f>
        <v>% Long Exposure</v>
      </c>
      <c r="O5" s="27" t="str">
        <f>IFERROR(__xludf.DUMMYFUNCTION("""COMPUTED_VALUE"""),"Accruals")</f>
        <v>Accruals</v>
      </c>
      <c r="P5" s="27" t="str">
        <f>IFERROR(__xludf.DUMMYFUNCTION("""COMPUTED_VALUE"""),"Cash")</f>
        <v>Cash</v>
      </c>
      <c r="Q5" s="27" t="str">
        <f>IFERROR(__xludf.DUMMYFUNCTION("""COMPUTED_VALUE"""),"NAV")</f>
        <v>NAV</v>
      </c>
      <c r="R5" s="27" t="str">
        <f>IFERROR(__xludf.DUMMYFUNCTION("""COMPUTED_VALUE"""),"Testing Type")</f>
        <v>Testing Type</v>
      </c>
      <c r="S5" s="27" t="str">
        <f>IFERROR(__xludf.DUMMYFUNCTION("""COMPUTED_VALUE"""),"Testing Column")</f>
        <v>Testing Column</v>
      </c>
      <c r="T5" s="29" t="str">
        <f>IFERROR(__xludf.DUMMYFUNCTION("""COMPUTED_VALUE"""),"Testing Col Value")</f>
        <v>Testing Col Value</v>
      </c>
      <c r="U5" s="29" t="str">
        <f>IFERROR(__xludf.DUMMYFUNCTION("""COMPUTED_VALUE"""),"DuplicateCountOnUI")</f>
        <v>DuplicateCountOnUI</v>
      </c>
      <c r="V5" s="29" t="str">
        <f>IFERROR(__xludf.DUMMYFUNCTION("""COMPUTED_VALUE"""),"DuplicateRow")</f>
        <v>DuplicateRow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41</v>
      </c>
      <c r="C6" s="8"/>
      <c r="D6" s="12"/>
      <c r="E6" s="30"/>
      <c r="F6" s="12">
        <v>760.0</v>
      </c>
      <c r="G6" s="8"/>
      <c r="H6" s="8"/>
      <c r="I6" s="8"/>
      <c r="J6" s="12">
        <v>0.0</v>
      </c>
      <c r="K6" s="8"/>
      <c r="L6" s="8"/>
      <c r="M6" s="8"/>
      <c r="N6" s="8"/>
      <c r="O6" s="8"/>
      <c r="Q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CheckFundLevelAggregation!$4:$4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63</v>
      </c>
      <c r="C6" s="33" t="s">
        <v>64</v>
      </c>
      <c r="D6" s="31"/>
      <c r="E6" s="34" t="b">
        <v>1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 t="s">
        <v>64</v>
      </c>
      <c r="C6" s="33" t="s">
        <v>64</v>
      </c>
      <c r="D6" s="31"/>
      <c r="E6" s="36" t="s">
        <v>66</v>
      </c>
      <c r="F6" s="36" t="s">
        <v>31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68</v>
      </c>
      <c r="C5" s="28" t="s">
        <v>69</v>
      </c>
      <c r="D5" s="28" t="s">
        <v>70</v>
      </c>
      <c r="E5" s="28" t="s">
        <v>71</v>
      </c>
      <c r="F5" s="28" t="s">
        <v>72</v>
      </c>
      <c r="G5" s="28" t="s">
        <v>73</v>
      </c>
      <c r="H5" s="28" t="s">
        <v>74</v>
      </c>
      <c r="I5" s="28" t="s">
        <v>75</v>
      </c>
      <c r="J5" s="28" t="s">
        <v>76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77</v>
      </c>
      <c r="C6" s="12"/>
      <c r="D6" s="12"/>
      <c r="E6" s="30"/>
      <c r="F6" s="8"/>
      <c r="G6" s="8"/>
      <c r="H6" s="8"/>
      <c r="I6" s="12" t="s">
        <v>78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IFERROR(__xludf.DUMMYFUNCTION("""COMPUTED_VALUE"""),"FilterType1")</f>
        <v>FilterType1</v>
      </c>
      <c r="D5" s="27" t="str">
        <f>IFERROR(__xludf.DUMMYFUNCTION("""COMPUTED_VALUE"""),"Input1")</f>
        <v>Input1</v>
      </c>
      <c r="E5" s="27" t="str">
        <f>IFERROR(__xludf.DUMMYFUNCTION("""COMPUTED_VALUE"""),"AND/OR")</f>
        <v>AND/OR</v>
      </c>
      <c r="F5" s="28" t="str">
        <f>IFERROR(__xludf.DUMMYFUNCTION("""COMPUTED_VALUE"""),"FilterType2")</f>
        <v>FilterType2</v>
      </c>
      <c r="G5" s="27" t="str">
        <f>IFERROR(__xludf.DUMMYFUNCTION("""COMPUTED_VALUE"""),"Input2")</f>
        <v>Input2</v>
      </c>
      <c r="H5" s="27" t="str">
        <f>IFERROR(__xludf.DUMMYFUNCTION("""COMPUTED_VALUE"""),"WindowName")</f>
        <v>WindowName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79</v>
      </c>
      <c r="C6" s="9" t="s">
        <v>80</v>
      </c>
      <c r="D6" s="12"/>
      <c r="E6" s="12" t="s">
        <v>34</v>
      </c>
      <c r="F6" s="12" t="s">
        <v>32</v>
      </c>
      <c r="G6" s="12" t="s">
        <v>81</v>
      </c>
      <c r="H6" s="33" t="s">
        <v>64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ApplyColumnFilter7!$4:$4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IFERROR(__xludf.DUMMYFUNCTION("""COMPUTED_VALUE"""),"Bloomberg Symbol")</f>
        <v>Bloomberg Symbol</v>
      </c>
      <c r="E5" s="27" t="str">
        <f>IFERROR(__xludf.DUMMYFUNCTION("""COMPUTED_VALUE"""),"Fund")</f>
        <v>Fund</v>
      </c>
      <c r="F5" s="28" t="str">
        <f>IFERROR(__xludf.DUMMYFUNCTION("""COMPUTED_VALUE"""),"Account")</f>
        <v>Account</v>
      </c>
      <c r="G5" s="27" t="str">
        <f>IFERROR(__xludf.DUMMYFUNCTION("""COMPUTED_VALUE"""),"Asset Class")</f>
        <v>Asset Class</v>
      </c>
      <c r="H5" s="27" t="str">
        <f>IFERROR(__xludf.DUMMYFUNCTION("""COMPUTED_VALUE"""),"Position")</f>
        <v>Position</v>
      </c>
      <c r="I5" s="27" t="str">
        <f>IFERROR(__xludf.DUMMYFUNCTION("""COMPUTED_VALUE"""),"Position Side")</f>
        <v>Position Side</v>
      </c>
      <c r="J5" s="27" t="str">
        <f>IFERROR(__xludf.DUMMYFUNCTION("""COMPUTED_VALUE"""),"Px Selected Feed (Local)")</f>
        <v>Px Selected Feed (Local)</v>
      </c>
      <c r="K5" s="27" t="str">
        <f>IFERROR(__xludf.DUMMYFUNCTION("""COMPUTED_VALUE"""),"Px Selected Feed (Base)")</f>
        <v>Px Selected Feed (Base)</v>
      </c>
      <c r="L5" s="27" t="str">
        <f>IFERROR(__xludf.DUMMYFUNCTION("""COMPUTED_VALUE"""),"Market Value (Base)")</f>
        <v>Market Value (Base)</v>
      </c>
      <c r="M5" s="27" t="str">
        <f>IFERROR(__xludf.DUMMYFUNCTION("""COMPUTED_VALUE"""),"% Net Market Value (Base)")</f>
        <v>% Net Market Value (Base)</v>
      </c>
      <c r="N5" s="27" t="str">
        <f>IFERROR(__xludf.DUMMYFUNCTION("""COMPUTED_VALUE"""),"Cost Basis P&amp;L (Base)")</f>
        <v>Cost Basis P&amp;L (Base)</v>
      </c>
      <c r="O5" s="27" t="str">
        <f>IFERROR(__xludf.DUMMYFUNCTION("""COMPUTED_VALUE"""),"% Gain/Loss Cost")</f>
        <v>% Gain/Loss Cost</v>
      </c>
      <c r="P5" s="27" t="str">
        <f>IFERROR(__xludf.DUMMYFUNCTION("""COMPUTED_VALUE"""),"Day P&amp;L (Base)")</f>
        <v>Day P&amp;L (Base)</v>
      </c>
      <c r="Q5" s="27" t="str">
        <f>IFERROR(__xludf.DUMMYFUNCTION("""COMPUTED_VALUE"""),"% Gain/Loss Day")</f>
        <v>% Gain/Loss Day</v>
      </c>
      <c r="R5" s="27" t="str">
        <f>IFERROR(__xludf.DUMMYFUNCTION("""COMPUTED_VALUE"""),"TabName")</f>
        <v>TabName</v>
      </c>
      <c r="S5" s="27" t="str">
        <f>IFERROR(__xludf.DUMMYFUNCTION("""COMPUTED_VALUE"""),"GridDataWidgetName")</f>
        <v>GridDataWidgetName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48</v>
      </c>
      <c r="D6" s="12"/>
      <c r="E6" s="12" t="s">
        <v>49</v>
      </c>
      <c r="F6" s="12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CheckGroupingWidget!$4:$4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 t="s">
        <v>84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