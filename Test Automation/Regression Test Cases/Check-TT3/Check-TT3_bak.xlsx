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howMasterFundOnTT" sheetId="4" r:id="rId6"/>
    <sheet state="visible" name="UpdateMasterFundOnTT" sheetId="5" r:id="rId7"/>
    <sheet state="visible" name="CreateDoneAwayOrder" sheetId="6" r:id="rId8"/>
    <sheet state="visible" name="GetDataAllocation" sheetId="7" r:id="rId9"/>
    <sheet state="visible" name="SelectUnallocatedGroup" sheetId="8" r:id="rId10"/>
    <sheet state="visible" name="EnterAccountValuesToAllocate" sheetId="9" r:id="rId11"/>
    <sheet state="visible" name="CheckAllocatedGroups" sheetId="10" r:id="rId12"/>
    <sheet state="visible" name="CheckPortfolioManagement" sheetId="11" r:id="rId13"/>
    <sheet state="visible" name="VerifyWorkingSubs" sheetId="12" r:id="rId14"/>
  </sheets>
  <definedNames/>
  <calcPr/>
</workbook>
</file>

<file path=xl/sharedStrings.xml><?xml version="1.0" encoding="utf-8"?>
<sst xmlns="http://schemas.openxmlformats.org/spreadsheetml/2006/main" count="123" uniqueCount="44">
  <si>
    <t>Master Data Info</t>
  </si>
  <si>
    <t>Settings</t>
  </si>
  <si>
    <t>Modules Info</t>
  </si>
  <si>
    <t>Module</t>
  </si>
  <si>
    <t>Module Step Setting File</t>
  </si>
  <si>
    <t>Modules</t>
  </si>
  <si>
    <t>Step</t>
  </si>
  <si>
    <t>1BICZ_GcMhh_S937ZinFvSYqvvKYtOYB2Bc4woEPpgPg</t>
  </si>
  <si>
    <t>Master Data Settings File</t>
  </si>
  <si>
    <t>1Nt_rf5DtgjbN9Ag4AMMlUkZYROxKZLH5m54YOl7tRT0</t>
  </si>
  <si>
    <t>Master Data Sheet</t>
  </si>
  <si>
    <t>Data</t>
  </si>
  <si>
    <t>Allocation</t>
  </si>
  <si>
    <t>ShowMasterFundOnTT</t>
  </si>
  <si>
    <t>Data Format</t>
  </si>
  <si>
    <t>Input Format</t>
  </si>
  <si>
    <t>TradingTicket</t>
  </si>
  <si>
    <t>UpdateMasterFundOnTT</t>
  </si>
  <si>
    <t>NewMF</t>
  </si>
  <si>
    <t>CreateDoneAwayOrder</t>
  </si>
  <si>
    <t>AAPL</t>
  </si>
  <si>
    <t>Buy</t>
  </si>
  <si>
    <t>MS</t>
  </si>
  <si>
    <t>Unallocated</t>
  </si>
  <si>
    <t>GetDataAllocation</t>
  </si>
  <si>
    <t>Current</t>
  </si>
  <si>
    <t>SelectUnallocatedGroup</t>
  </si>
  <si>
    <t>Market</t>
  </si>
  <si>
    <t>EnterAccountValuesToAllocate</t>
  </si>
  <si>
    <t>Allocation2</t>
  </si>
  <si>
    <t>CheckAllocatedGroups</t>
  </si>
  <si>
    <t>Open</t>
  </si>
  <si>
    <t>APPLE</t>
  </si>
  <si>
    <t>USD</t>
  </si>
  <si>
    <t>NewMF1</t>
  </si>
  <si>
    <t>PortfolioManagement</t>
  </si>
  <si>
    <t>CheckPortfolioManagement</t>
  </si>
  <si>
    <t>Long</t>
  </si>
  <si>
    <t>Equity</t>
  </si>
  <si>
    <t>US</t>
  </si>
  <si>
    <t>Blotter</t>
  </si>
  <si>
    <t>VerifyWorkingSubs</t>
  </si>
  <si>
    <t>Filled</t>
  </si>
  <si>
    <t>Allocated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</si>
</sst>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3">
    <font>
      <sz val="10.0"/>
      <color rgb="FF000000"/>
      <name val="Arial"/>
    </font>
    <font>
      <b/>
      <sz val="14.0"/>
      <color rgb="FFFFFFFF"/>
      <name val="Calibri"/>
    </font>
    <font>
      <sz val="14.0"/>
      <color rgb="FFFFFFFF"/>
      <name val="Calibri"/>
    </font>
    <font/>
    <font>
      <name val="Arial"/>
    </font>
    <font>
      <name val="Calibri"/>
    </font>
    <font>
      <b/>
      <color rgb="FFFFFFFF"/>
      <name val="Calibri"/>
    </font>
    <font>
      <b/>
      <color rgb="FFFFFFFF"/>
      <name val="Arial"/>
    </font>
    <font>
      <color rgb="FFFFFFFF"/>
      <name val="Calibri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1" fillId="2" fontId="2" numFmtId="0" xfId="0" applyAlignment="1" applyBorder="1" applyFont="1">
      <alignment horizontal="center" shrinkToFit="0" wrapText="0"/>
    </xf>
    <xf borderId="1" fillId="2" fontId="1" numFmtId="0" xfId="0" applyAlignment="1" applyBorder="1" applyFont="1">
      <alignment horizontal="center" shrinkToFit="0" wrapText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readingOrder="0" shrinkToFit="0" wrapText="0"/>
    </xf>
    <xf borderId="4" fillId="3" fontId="6" numFmtId="0" xfId="0" applyAlignment="1" applyBorder="1" applyFont="1">
      <alignment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4" fillId="3" fontId="7" numFmtId="0" xfId="0" applyAlignment="1" applyBorder="1" applyFont="1">
      <alignment shrinkToFit="0" wrapText="0"/>
    </xf>
    <xf borderId="4" fillId="3" fontId="4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3" numFmtId="0" xfId="0" applyFont="1"/>
    <xf borderId="0" fillId="0" fontId="8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0" fontId="3" numFmtId="0" xfId="0" applyAlignment="1" applyFont="1">
      <alignment readingOrder="0"/>
    </xf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164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3" t="s">
        <v>2</v>
      </c>
      <c r="B1" s="4"/>
      <c r="C1" s="4"/>
      <c r="D1" s="4"/>
      <c r="E1" s="4"/>
      <c r="F1" s="5"/>
    </row>
    <row r="2" ht="15.75" customHeight="1">
      <c r="A2" s="6"/>
      <c r="B2" s="6"/>
      <c r="C2" s="6"/>
      <c r="D2" s="6"/>
      <c r="E2" s="6"/>
      <c r="F2" s="6"/>
    </row>
    <row r="3" ht="15.75" customHeight="1">
      <c r="A3" s="9" t="s">
        <v>5</v>
      </c>
      <c r="B3" s="11"/>
      <c r="C3" s="15"/>
      <c r="D3" s="15"/>
      <c r="E3" s="15"/>
      <c r="F3" s="15"/>
    </row>
    <row r="4" ht="15.75" customHeight="1">
      <c r="A4" s="7" t="str">
        <f>IFERROR(__xludf.DUMMYFUNCTION("IMPORTRANGE('_Settings'!B3,""Modules!A4:L1000"")"),"Allocation")</f>
        <v>Allocation</v>
      </c>
      <c r="B4" s="6" t="str">
        <f>IFERROR(__xludf.DUMMYFUNCTION("""COMPUTED_VALUE"""),"Allocate")</f>
        <v>Allocate</v>
      </c>
      <c r="C4" s="6" t="str">
        <f>IFERROR(__xludf.DUMMYFUNCTION("""COMPUTED_VALUE"""),"1g8wLprruaWRC_5pQcovqkv8ZCiMt5fspCOACibdkz7g")</f>
        <v>1g8wLprruaWRC_5pQcovqkv8ZCiMt5fspCOACibdkz7g</v>
      </c>
      <c r="D4" s="6" t="str">
        <f>IFERROR(__xludf.DUMMYFUNCTION("""COMPUTED_VALUE"""),"")</f>
        <v/>
      </c>
      <c r="E4" s="6" t="str">
        <f>IFERROR(__xludf.DUMMYFUNCTION("""COMPUTED_VALUE"""),"")</f>
        <v/>
      </c>
      <c r="F4" s="6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7" t="str">
        <f>IFERROR(__xludf.DUMMYFUNCTION("""COMPUTED_VALUE"""),"Allocation")</f>
        <v>Allocation</v>
      </c>
      <c r="B5" s="6" t="str">
        <f>IFERROR(__xludf.DUMMYFUNCTION("""COMPUTED_VALUE"""),"CheckAllocatedGroups")</f>
        <v>CheckAllocatedGroups</v>
      </c>
      <c r="C5" s="6" t="str">
        <f>IFERROR(__xludf.DUMMYFUNCTION("""COMPUTED_VALUE"""),"1aecq-HMDoDkIInONjPC11z5TBFHyJhv4ro66e2ZOphg")</f>
        <v>1aecq-HMDoDkIInONjPC11z5TBFHyJhv4ro66e2ZOphg</v>
      </c>
      <c r="D5" s="6" t="str">
        <f>IFERROR(__xludf.DUMMYFUNCTION("""COMPUTED_VALUE"""),"")</f>
        <v/>
      </c>
      <c r="E5" s="6" t="str">
        <f>IFERROR(__xludf.DUMMYFUNCTION("""COMPUTED_VALUE"""),"")</f>
        <v/>
      </c>
      <c r="F5" s="6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6" t="str">
        <f>IFERROR(__xludf.DUMMYFUNCTION("""COMPUTED_VALUE"""),"Allocation")</f>
        <v>Allocation</v>
      </c>
      <c r="B6" s="6" t="str">
        <f>IFERROR(__xludf.DUMMYFUNCTION("""COMPUTED_VALUE"""),"Unallocate")</f>
        <v>Unallocate</v>
      </c>
      <c r="C6" s="6" t="str">
        <f>IFERROR(__xludf.DUMMYFUNCTION("""COMPUTED_VALUE"""),"1eDZq-_vllq4jwvwpk9qGnwQUhlb-sFvyFKPBriT2dA0")</f>
        <v>1eDZq-_vllq4jwvwpk9qGnwQUhlb-sFvyFKPBriT2dA0</v>
      </c>
      <c r="D6" s="6" t="str">
        <f>IFERROR(__xludf.DUMMYFUNCTION("""COMPUTED_VALUE"""),"")</f>
        <v/>
      </c>
      <c r="E6" s="6" t="str">
        <f>IFERROR(__xludf.DUMMYFUNCTION("""COMPUTED_VALUE"""),"")</f>
        <v/>
      </c>
      <c r="F6" s="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6" t="str">
        <f>IFERROR(__xludf.DUMMYFUNCTION("""COMPUTED_VALUE"""),"Allocation")</f>
        <v>Allocation</v>
      </c>
      <c r="B7" s="6" t="str">
        <f>IFERROR(__xludf.DUMMYFUNCTION("""COMPUTED_VALUE"""),"GetDataAllocation")</f>
        <v>GetDataAllocation</v>
      </c>
      <c r="C7" s="6" t="str">
        <f>IFERROR(__xludf.DUMMYFUNCTION("""COMPUTED_VALUE"""),"1FBTO3wCB7odq-jpQMbYHgSrAL5-rFO2_kp9Kr2iXqXE")</f>
        <v>1FBTO3wCB7odq-jpQMbYHgSrAL5-rFO2_kp9Kr2iXqXE</v>
      </c>
      <c r="D7" s="6" t="str">
        <f>IFERROR(__xludf.DUMMYFUNCTION("""COMPUTED_VALUE"""),"")</f>
        <v/>
      </c>
      <c r="E7" s="6" t="str">
        <f>IFERROR(__xludf.DUMMYFUNCTION("""COMPUTED_VALUE"""),"")</f>
        <v/>
      </c>
      <c r="F7" s="6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6" t="str">
        <f>IFERROR(__xludf.DUMMYFUNCTION("""COMPUTED_VALUE"""),"Allocation")</f>
        <v>Allocation</v>
      </c>
      <c r="B8" s="6" t="str">
        <f>IFERROR(__xludf.DUMMYFUNCTION("""COMPUTED_VALUE"""),"SelectAllocatedGroup")</f>
        <v>SelectAllocatedGroup</v>
      </c>
      <c r="C8" s="6" t="str">
        <f>IFERROR(__xludf.DUMMYFUNCTION("""COMPUTED_VALUE"""),"1G0ZkXDrIDX_loGmAyLs_Shy8hExtTELtFXERbX-HdPo")</f>
        <v>1G0ZkXDrIDX_loGmAyLs_Shy8hExtTELtFXERbX-HdPo</v>
      </c>
      <c r="D8" s="6" t="str">
        <f>IFERROR(__xludf.DUMMYFUNCTION("""COMPUTED_VALUE"""),"")</f>
        <v/>
      </c>
      <c r="E8" s="6" t="str">
        <f>IFERROR(__xludf.DUMMYFUNCTION("""COMPUTED_VALUE"""),"")</f>
        <v/>
      </c>
      <c r="F8" s="6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6" t="str">
        <f>IFERROR(__xludf.DUMMYFUNCTION("""COMPUTED_VALUE"""),"Allocation")</f>
        <v>Allocation</v>
      </c>
      <c r="B9" s="6" t="str">
        <f>IFERROR(__xludf.DUMMYFUNCTION("""COMPUTED_VALUE"""),"EditTradesAllocated")</f>
        <v>EditTradesAllocated</v>
      </c>
      <c r="C9" s="6" t="str">
        <f>IFERROR(__xludf.DUMMYFUNCTION("""COMPUTED_VALUE"""),"1YgVZ1jEVgjUF1Dp8FAj_W_zLEZCyqvNMlWJIg0Tmkq4")</f>
        <v>1YgVZ1jEVgjUF1Dp8FAj_W_zLEZCyqvNMlWJIg0Tmkq4</v>
      </c>
      <c r="D9" s="6" t="str">
        <f>IFERROR(__xludf.DUMMYFUNCTION("""COMPUTED_VALUE"""),"")</f>
        <v/>
      </c>
      <c r="E9" s="6" t="str">
        <f>IFERROR(__xludf.DUMMYFUNCTION("""COMPUTED_VALUE"""),"")</f>
        <v/>
      </c>
      <c r="F9" s="6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6" t="str">
        <f>IFERROR(__xludf.DUMMYFUNCTION("""COMPUTED_VALUE"""),"Allocation")</f>
        <v>Allocation</v>
      </c>
      <c r="B10" s="6" t="str">
        <f>IFERROR(__xludf.DUMMYFUNCTION("""COMPUTED_VALUE"""),"EditTradesUnallocated")</f>
        <v>EditTradesUnallocated</v>
      </c>
      <c r="C10" s="6" t="str">
        <f>IFERROR(__xludf.DUMMYFUNCTION("""COMPUTED_VALUE"""),"1MyB61T39MDAUyQqCUJLATzUT2f5UlE8nFq4ltWy_DJ4")</f>
        <v>1MyB61T39MDAUyQqCUJLATzUT2f5UlE8nFq4ltWy_DJ4</v>
      </c>
      <c r="D10" s="6" t="str">
        <f>IFERROR(__xludf.DUMMYFUNCTION("""COMPUTED_VALUE"""),"")</f>
        <v/>
      </c>
      <c r="E10" s="6" t="str">
        <f>IFERROR(__xludf.DUMMYFUNCTION("""COMPUTED_VALUE"""),"")</f>
        <v/>
      </c>
      <c r="F10" s="6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6" t="str">
        <f>IFERROR(__xludf.DUMMYFUNCTION("""COMPUTED_VALUE"""),"Allocation")</f>
        <v>Allocation</v>
      </c>
      <c r="B11" s="6" t="str">
        <f>IFERROR(__xludf.DUMMYFUNCTION("""COMPUTED_VALUE"""),"Reallocate")</f>
        <v>Reallocate</v>
      </c>
      <c r="C11" s="6" t="str">
        <f>IFERROR(__xludf.DUMMYFUNCTION("""COMPUTED_VALUE"""),"undefined")</f>
        <v>undefined</v>
      </c>
      <c r="D11" s="6" t="str">
        <f>IFERROR(__xludf.DUMMYFUNCTION("""COMPUTED_VALUE"""),"")</f>
        <v/>
      </c>
      <c r="E11" s="6" t="str">
        <f>IFERROR(__xludf.DUMMYFUNCTION("""COMPUTED_VALUE"""),"")</f>
        <v/>
      </c>
      <c r="F11" s="6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6" t="str">
        <f>IFERROR(__xludf.DUMMYFUNCTION("""COMPUTED_VALUE"""),"Blotter")</f>
        <v>Blotter</v>
      </c>
      <c r="B12" s="6" t="str">
        <f>IFERROR(__xludf.DUMMYFUNCTION("""COMPUTED_VALUE"""),"ReplaceFillsOnBlotter")</f>
        <v>ReplaceFillsOnBlotter</v>
      </c>
      <c r="C12" s="6" t="str">
        <f>IFERROR(__xludf.DUMMYFUNCTION("""COMPUTED_VALUE"""),"undefined")</f>
        <v>undefined</v>
      </c>
      <c r="D12" s="6" t="str">
        <f>IFERROR(__xludf.DUMMYFUNCTION("""COMPUTED_VALUE"""),"")</f>
        <v/>
      </c>
      <c r="E12" s="6" t="str">
        <f>IFERROR(__xludf.DUMMYFUNCTION("""COMPUTED_VALUE"""),"")</f>
        <v/>
      </c>
      <c r="F12" s="6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6" t="str">
        <f>IFERROR(__xludf.DUMMYFUNCTION("""COMPUTED_VALUE"""),"Blotter")</f>
        <v>Blotter</v>
      </c>
      <c r="B13" s="6" t="str">
        <f>IFERROR(__xludf.DUMMYFUNCTION("""COMPUTED_VALUE"""),"CheckBlotter")</f>
        <v>CheckBlotter</v>
      </c>
      <c r="C13" s="6" t="str">
        <f>IFERROR(__xludf.DUMMYFUNCTION("""COMPUTED_VALUE"""),"16qheLbvgC92hKxalWDlpWfHBMyDDVqHERUCc7bQiO2A")</f>
        <v>16qheLbvgC92hKxalWDlpWfHBMyDDVqHERUCc7bQiO2A</v>
      </c>
      <c r="D13" s="6" t="str">
        <f>IFERROR(__xludf.DUMMYFUNCTION("""COMPUTED_VALUE"""),"")</f>
        <v/>
      </c>
      <c r="E13" s="6" t="str">
        <f>IFERROR(__xludf.DUMMYFUNCTION("""COMPUTED_VALUE"""),"")</f>
        <v/>
      </c>
      <c r="F13" s="6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6" t="str">
        <f>IFERROR(__xludf.DUMMYFUNCTION("""COMPUTED_VALUE"""),"GeneralLedger")</f>
        <v>GeneralLedger</v>
      </c>
      <c r="B14" s="6" t="str">
        <f>IFERROR(__xludf.DUMMYFUNCTION("""COMPUTED_VALUE"""),"GetDataCash")</f>
        <v>GetDataCash</v>
      </c>
      <c r="C14" s="6" t="str">
        <f>IFERROR(__xludf.DUMMYFUNCTION("""COMPUTED_VALUE"""),"1zLd3ju-mV8f6PZiQUYLU-cAgAUwLwyoIAKuu0WgG2zI")</f>
        <v>1zLd3ju-mV8f6PZiQUYLU-cAgAUwLwyoIAKuu0WgG2zI</v>
      </c>
      <c r="D14" s="6" t="str">
        <f>IFERROR(__xludf.DUMMYFUNCTION("""COMPUTED_VALUE"""),"")</f>
        <v/>
      </c>
      <c r="E14" s="6" t="str">
        <f>IFERROR(__xludf.DUMMYFUNCTION("""COMPUTED_VALUE"""),"")</f>
        <v/>
      </c>
      <c r="F14" s="6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6" t="str">
        <f>IFERROR(__xludf.DUMMYFUNCTION("""COMPUTED_VALUE"""),"GeneralLedger")</f>
        <v>GeneralLedger</v>
      </c>
      <c r="B15" s="6" t="str">
        <f>IFERROR(__xludf.DUMMYFUNCTION("""COMPUTED_VALUE"""),"EnterCashDividends")</f>
        <v>EnterCashDividends</v>
      </c>
      <c r="C15" s="6" t="str">
        <f>IFERROR(__xludf.DUMMYFUNCTION("""COMPUTED_VALUE"""),"1sjDsI5FIL_l_G6osMJQ7e8auBgYd3R3JDaKWKV_8Og0")</f>
        <v>1sjDsI5FIL_l_G6osMJQ7e8auBgYd3R3JDaKWKV_8Og0</v>
      </c>
      <c r="D15" s="6" t="str">
        <f>IFERROR(__xludf.DUMMYFUNCTION("""COMPUTED_VALUE"""),"")</f>
        <v/>
      </c>
      <c r="E15" s="6" t="str">
        <f>IFERROR(__xludf.DUMMYFUNCTION("""COMPUTED_VALUE"""),"")</f>
        <v/>
      </c>
      <c r="F15" s="6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6" t="str">
        <f>IFERROR(__xludf.DUMMYFUNCTION("""COMPUTED_VALUE"""),"GeneralLedger")</f>
        <v>GeneralLedger</v>
      </c>
      <c r="B16" s="6" t="str">
        <f>IFERROR(__xludf.DUMMYFUNCTION("""COMPUTED_VALUE"""),"EnterNonTradingTransaction")</f>
        <v>EnterNonTradingTransaction</v>
      </c>
      <c r="C16" s="6" t="str">
        <f>IFERROR(__xludf.DUMMYFUNCTION("""COMPUTED_VALUE"""),"1xn1P_Z-3N4d2BC1SUPly2HiVZazly5ZQcS18BfaTyho")</f>
        <v>1xn1P_Z-3N4d2BC1SUPly2HiVZazly5ZQcS18BfaTyho</v>
      </c>
      <c r="D16" s="6" t="str">
        <f>IFERROR(__xludf.DUMMYFUNCTION("""COMPUTED_VALUE"""),"")</f>
        <v/>
      </c>
      <c r="E16" s="6" t="str">
        <f>IFERROR(__xludf.DUMMYFUNCTION("""COMPUTED_VALUE"""),"")</f>
        <v/>
      </c>
      <c r="F16" s="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6" t="str">
        <f>IFERROR(__xludf.DUMMYFUNCTION("""COMPUTED_VALUE"""),"GeneralLedger")</f>
        <v>GeneralLedger</v>
      </c>
      <c r="B17" s="6" t="str">
        <f>IFERROR(__xludf.DUMMYFUNCTION("""COMPUTED_VALUE"""),"VerifyCash")</f>
        <v>VerifyCash</v>
      </c>
      <c r="C17" s="6" t="str">
        <f>IFERROR(__xludf.DUMMYFUNCTION("""COMPUTED_VALUE"""),"1vlvYPsiFAWjsnFrbkGn_fAvkwF00V3e7htalalU6QN4")</f>
        <v>1vlvYPsiFAWjsnFrbkGn_fAvkwF00V3e7htalalU6QN4</v>
      </c>
      <c r="D17" s="6" t="str">
        <f>IFERROR(__xludf.DUMMYFUNCTION("""COMPUTED_VALUE"""),"")</f>
        <v/>
      </c>
      <c r="E17" s="6" t="str">
        <f>IFERROR(__xludf.DUMMYFUNCTION("""COMPUTED_VALUE"""),"")</f>
        <v/>
      </c>
      <c r="F17" s="6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6" t="str">
        <f>IFERROR(__xludf.DUMMYFUNCTION("""COMPUTED_VALUE"""),"GeneralLedger")</f>
        <v>GeneralLedger</v>
      </c>
      <c r="B18" s="6" t="str">
        <f>IFERROR(__xludf.DUMMYFUNCTION("""COMPUTED_VALUE"""),"VerifyActivity")</f>
        <v>VerifyActivity</v>
      </c>
      <c r="C18" s="6" t="str">
        <f>IFERROR(__xludf.DUMMYFUNCTION("""COMPUTED_VALUE"""),"1o2rCg2FuoAOT5Pl8i4iFP_TwpPm0UB1dd49GbpkytfM")</f>
        <v>1o2rCg2FuoAOT5Pl8i4iFP_TwpPm0UB1dd49GbpkytfM</v>
      </c>
      <c r="D18" s="6" t="str">
        <f>IFERROR(__xludf.DUMMYFUNCTION("""COMPUTED_VALUE"""),"")</f>
        <v/>
      </c>
      <c r="E18" s="6" t="str">
        <f>IFERROR(__xludf.DUMMYFUNCTION("""COMPUTED_VALUE"""),"")</f>
        <v/>
      </c>
      <c r="F18" s="6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6" t="str">
        <f>IFERROR(__xludf.DUMMYFUNCTION("""COMPUTED_VALUE"""),"GeneralLedger")</f>
        <v>GeneralLedger</v>
      </c>
      <c r="B19" s="6" t="str">
        <f>IFERROR(__xludf.DUMMYFUNCTION("""COMPUTED_VALUE"""),"VerifyTradingTransaction")</f>
        <v>VerifyTradingTransaction</v>
      </c>
      <c r="C19" s="6" t="str">
        <f>IFERROR(__xludf.DUMMYFUNCTION("""COMPUTED_VALUE"""),"1_v2niCJ9VGNvgEBpvz030BFqEISSUhYRHyWcAJAn_Eg")</f>
        <v>1_v2niCJ9VGNvgEBpvz030BFqEISSUhYRHyWcAJAn_Eg</v>
      </c>
      <c r="D19" s="6" t="str">
        <f>IFERROR(__xludf.DUMMYFUNCTION("""COMPUTED_VALUE"""),"")</f>
        <v/>
      </c>
      <c r="E19" s="6" t="str">
        <f>IFERROR(__xludf.DUMMYFUNCTION("""COMPUTED_VALUE"""),"")</f>
        <v/>
      </c>
      <c r="F19" s="6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6" t="str">
        <f>IFERROR(__xludf.DUMMYFUNCTION("""COMPUTED_VALUE"""),"GeneralLedger")</f>
        <v>GeneralLedger</v>
      </c>
      <c r="B20" s="6" t="str">
        <f>IFERROR(__xludf.DUMMYFUNCTION("""COMPUTED_VALUE"""),"VerifyRevaluationData")</f>
        <v>VerifyRevaluationData</v>
      </c>
      <c r="C20" s="6" t="str">
        <f>IFERROR(__xludf.DUMMYFUNCTION("""COMPUTED_VALUE"""),"1hsRs1-LY0akTrMe91ArnbLtk6GUy_bKxVwMYCaiMs-8")</f>
        <v>1hsRs1-LY0akTrMe91ArnbLtk6GUy_bKxVwMYCaiMs-8</v>
      </c>
      <c r="D20" s="6" t="str">
        <f>IFERROR(__xludf.DUMMYFUNCTION("""COMPUTED_VALUE"""),"")</f>
        <v/>
      </c>
      <c r="E20" s="6" t="str">
        <f>IFERROR(__xludf.DUMMYFUNCTION("""COMPUTED_VALUE"""),"")</f>
        <v/>
      </c>
      <c r="F20" s="6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6" t="str">
        <f>IFERROR(__xludf.DUMMYFUNCTION("""COMPUTED_VALUE"""),"CorporateAction")</f>
        <v>CorporateAction</v>
      </c>
      <c r="B21" s="6" t="str">
        <f>IFERROR(__xludf.DUMMYFUNCTION("""COMPUTED_VALUE"""),"CorporateAction")</f>
        <v>CorporateAction</v>
      </c>
      <c r="C21" s="6" t="str">
        <f>IFERROR(__xludf.DUMMYFUNCTION("""COMPUTED_VALUE"""),"14rwUHTx4auE_hf60WN-tNOx3atNg7QGvErWNwVQIRqE")</f>
        <v>14rwUHTx4auE_hf60WN-tNOx3atNg7QGvErWNwVQIRqE</v>
      </c>
      <c r="D21" s="6" t="str">
        <f>IFERROR(__xludf.DUMMYFUNCTION("""COMPUTED_VALUE"""),"")</f>
        <v/>
      </c>
      <c r="E21" s="6" t="str">
        <f>IFERROR(__xludf.DUMMYFUNCTION("""COMPUTED_VALUE"""),"")</f>
        <v/>
      </c>
      <c r="F21" s="6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6" t="str">
        <f>IFERROR(__xludf.DUMMYFUNCTION("""COMPUTED_VALUE"""),"CreateTransaction")</f>
        <v>CreateTransaction</v>
      </c>
      <c r="B22" s="6" t="str">
        <f>IFERROR(__xludf.DUMMYFUNCTION("""COMPUTED_VALUE"""),"CreateTransaction")</f>
        <v>CreateTransaction</v>
      </c>
      <c r="C22" s="6" t="str">
        <f>IFERROR(__xludf.DUMMYFUNCTION("""COMPUTED_VALUE"""),"1amshi8Ns36lsDpccBK0y_9bL_pQ2rHdGNYypcgzceUg")</f>
        <v>1amshi8Ns36lsDpccBK0y_9bL_pQ2rHdGNYypcgzceUg</v>
      </c>
      <c r="D22" s="6" t="str">
        <f>IFERROR(__xludf.DUMMYFUNCTION("""COMPUTED_VALUE"""),"")</f>
        <v/>
      </c>
      <c r="E22" s="6" t="str">
        <f>IFERROR(__xludf.DUMMYFUNCTION("""COMPUTED_VALUE"""),"")</f>
        <v/>
      </c>
      <c r="F22" s="6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6" t="str">
        <f>IFERROR(__xludf.DUMMYFUNCTION("""COMPUTED_VALUE"""),"DailyValuation")</f>
        <v>DailyValuation</v>
      </c>
      <c r="B23" s="6" t="str">
        <f>IFERROR(__xludf.DUMMYFUNCTION("""COMPUTED_VALUE"""),"UpdateBeta")</f>
        <v>UpdateBeta</v>
      </c>
      <c r="C23" s="6" t="str">
        <f>IFERROR(__xludf.DUMMYFUNCTION("""COMPUTED_VALUE"""),"1YKttwHsdIskNDoo0Sl7HF2DWikROW-KA05qfT3GLIyI")</f>
        <v>1YKttwHsdIskNDoo0Sl7HF2DWikROW-KA05qfT3GLIyI</v>
      </c>
      <c r="D23" s="6" t="str">
        <f>IFERROR(__xludf.DUMMYFUNCTION("""COMPUTED_VALUE"""),"")</f>
        <v/>
      </c>
      <c r="E23" s="6" t="str">
        <f>IFERROR(__xludf.DUMMYFUNCTION("""COMPUTED_VALUE"""),"")</f>
        <v/>
      </c>
      <c r="F23" s="6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6" t="str">
        <f>IFERROR(__xludf.DUMMYFUNCTION("""COMPUTED_VALUE"""),"DailyValuation")</f>
        <v>DailyValuation</v>
      </c>
      <c r="B24" s="6" t="str">
        <f>IFERROR(__xludf.DUMMYFUNCTION("""COMPUTED_VALUE"""),"UpdateDailyCash")</f>
        <v>UpdateDailyCash</v>
      </c>
      <c r="C24" s="6" t="str">
        <f>IFERROR(__xludf.DUMMYFUNCTION("""COMPUTED_VALUE"""),"1YJ2rTp-OqQTGjubvs_cBC6fl0l94pyHI2eaLJzbddS4")</f>
        <v>1YJ2rTp-OqQTGjubvs_cBC6fl0l94pyHI2eaLJzbddS4</v>
      </c>
      <c r="D24" s="6" t="str">
        <f>IFERROR(__xludf.DUMMYFUNCTION("""COMPUTED_VALUE"""),"")</f>
        <v/>
      </c>
      <c r="E24" s="6" t="str">
        <f>IFERROR(__xludf.DUMMYFUNCTION("""COMPUTED_VALUE"""),"")</f>
        <v/>
      </c>
      <c r="F24" s="6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6" t="str">
        <f>IFERROR(__xludf.DUMMYFUNCTION("""COMPUTED_VALUE"""),"DailyValuation")</f>
        <v>DailyValuation</v>
      </c>
      <c r="B25" s="6" t="str">
        <f>IFERROR(__xludf.DUMMYFUNCTION("""COMPUTED_VALUE"""),"UpdateForexConversion")</f>
        <v>UpdateForexConversion</v>
      </c>
      <c r="C25" s="6" t="str">
        <f>IFERROR(__xludf.DUMMYFUNCTION("""COMPUTED_VALUE"""),"1mLyEfNTVFd65cnE6GfgCRD6TdpKg1BgqNIDjHCFzyO4")</f>
        <v>1mLyEfNTVFd65cnE6GfgCRD6TdpKg1BgqNIDjHCFzyO4</v>
      </c>
      <c r="D25" s="6" t="str">
        <f>IFERROR(__xludf.DUMMYFUNCTION("""COMPUTED_VALUE"""),"")</f>
        <v/>
      </c>
      <c r="E25" s="6" t="str">
        <f>IFERROR(__xludf.DUMMYFUNCTION("""COMPUTED_VALUE"""),"")</f>
        <v/>
      </c>
      <c r="F25" s="6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6" t="str">
        <f>IFERROR(__xludf.DUMMYFUNCTION("""COMPUTED_VALUE"""),"DailyValuation")</f>
        <v>DailyValuation</v>
      </c>
      <c r="B26" s="6" t="str">
        <f>IFERROR(__xludf.DUMMYFUNCTION("""COMPUTED_VALUE"""),"UpdateMarkPrice")</f>
        <v>UpdateMarkPrice</v>
      </c>
      <c r="C26" s="6" t="str">
        <f>IFERROR(__xludf.DUMMYFUNCTION("""COMPUTED_VALUE"""),"1M8d9TyOhMnA65NSIYvS6dR68SH5RL6oKahd6uz7yp6c")</f>
        <v>1M8d9TyOhMnA65NSIYvS6dR68SH5RL6oKahd6uz7yp6c</v>
      </c>
      <c r="D26" s="6" t="str">
        <f>IFERROR(__xludf.DUMMYFUNCTION("""COMPUTED_VALUE"""),"")</f>
        <v/>
      </c>
      <c r="E26" s="6" t="str">
        <f>IFERROR(__xludf.DUMMYFUNCTION("""COMPUTED_VALUE"""),"")</f>
        <v/>
      </c>
      <c r="F26" s="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6" t="str">
        <f>IFERROR(__xludf.DUMMYFUNCTION("""COMPUTED_VALUE"""),"Import")</f>
        <v>Import</v>
      </c>
      <c r="B27" s="6" t="str">
        <f>IFERROR(__xludf.DUMMYFUNCTION("""COMPUTED_VALUE"""),"Import")</f>
        <v>Import</v>
      </c>
      <c r="C27" s="6" t="str">
        <f>IFERROR(__xludf.DUMMYFUNCTION("""COMPUTED_VALUE"""),"1Q5uOVYo1NMRks6hQRJuV8XWMPb6VFEAbSzpgP1dot1I")</f>
        <v>1Q5uOVYo1NMRks6hQRJuV8XWMPb6VFEAbSzpgP1dot1I</v>
      </c>
      <c r="D27" s="6" t="str">
        <f>IFERROR(__xludf.DUMMYFUNCTION("""COMPUTED_VALUE"""),"")</f>
        <v/>
      </c>
      <c r="E27" s="6" t="str">
        <f>IFERROR(__xludf.DUMMYFUNCTION("""COMPUTED_VALUE"""),"")</f>
        <v/>
      </c>
      <c r="F27" s="6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6" t="str">
        <f>IFERROR(__xludf.DUMMYFUNCTION("""COMPUTED_VALUE"""),"PortfolioManagement")</f>
        <v>PortfolioManagement</v>
      </c>
      <c r="B28" s="6" t="str">
        <f>IFERROR(__xludf.DUMMYFUNCTION("""COMPUTED_VALUE"""),"CheckDashboardPM")</f>
        <v>CheckDashboardPM</v>
      </c>
      <c r="C28" s="6" t="str">
        <f>IFERROR(__xludf.DUMMYFUNCTION("""COMPUTED_VALUE"""),"1iqfUyYqyebXIeNBGljH7-T8whBcywTlkBBU3dBZV06s")</f>
        <v>1iqfUyYqyebXIeNBGljH7-T8whBcywTlkBBU3dBZV06s</v>
      </c>
      <c r="D28" s="6" t="str">
        <f>IFERROR(__xludf.DUMMYFUNCTION("""COMPUTED_VALUE"""),"")</f>
        <v/>
      </c>
      <c r="E28" s="6" t="str">
        <f>IFERROR(__xludf.DUMMYFUNCTION("""COMPUTED_VALUE"""),"")</f>
        <v/>
      </c>
      <c r="F28" s="6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6" t="str">
        <f>IFERROR(__xludf.DUMMYFUNCTION("""COMPUTED_VALUE"""),"PortfolioManagement")</f>
        <v>PortfolioManagement</v>
      </c>
      <c r="B29" s="6" t="str">
        <f>IFERROR(__xludf.DUMMYFUNCTION("""COMPUTED_VALUE"""),"CheckPortfolioManagement")</f>
        <v>CheckPortfolioManagement</v>
      </c>
      <c r="C29" s="6" t="str">
        <f>IFERROR(__xludf.DUMMYFUNCTION("""COMPUTED_VALUE"""),"1u0XMlZJy_Slp7uXMwirinW7StOOdTcWD-D8V07sO0VA")</f>
        <v>1u0XMlZJy_Slp7uXMwirinW7StOOdTcWD-D8V07sO0VA</v>
      </c>
      <c r="D29" s="6" t="str">
        <f>IFERROR(__xludf.DUMMYFUNCTION("""COMPUTED_VALUE"""),"")</f>
        <v/>
      </c>
      <c r="E29" s="6" t="str">
        <f>IFERROR(__xludf.DUMMYFUNCTION("""COMPUTED_VALUE"""),"")</f>
        <v/>
      </c>
      <c r="F29" s="6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6" t="str">
        <f>IFERROR(__xludf.DUMMYFUNCTION("""COMPUTED_VALUE"""),"PricingInput")</f>
        <v>PricingInput</v>
      </c>
      <c r="B30" s="6" t="str">
        <f>IFERROR(__xludf.DUMMYFUNCTION("""COMPUTED_VALUE"""),"PricingInput")</f>
        <v>PricingInput</v>
      </c>
      <c r="C30" s="6" t="str">
        <f>IFERROR(__xludf.DUMMYFUNCTION("""COMPUTED_VALUE"""),"1mh3Z5PifhJ3yzX8TPeoc3H3nteNiA0V2tWFse0rVChE")</f>
        <v>1mh3Z5PifhJ3yzX8TPeoc3H3nteNiA0V2tWFse0rVChE</v>
      </c>
      <c r="D30" s="6" t="str">
        <f>IFERROR(__xludf.DUMMYFUNCTION("""COMPUTED_VALUE"""),"")</f>
        <v/>
      </c>
      <c r="E30" s="6" t="str">
        <f>IFERROR(__xludf.DUMMYFUNCTION("""COMPUTED_VALUE"""),"")</f>
        <v/>
      </c>
      <c r="F30" s="6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6" t="str">
        <f>IFERROR(__xludf.DUMMYFUNCTION("""COMPUTED_VALUE"""),"PricingInput")</f>
        <v>PricingInput</v>
      </c>
      <c r="B31" s="6" t="str">
        <f>IFERROR(__xludf.DUMMYFUNCTION("""COMPUTED_VALUE"""),"UpdateSharesOutstanding")</f>
        <v>UpdateSharesOutstanding</v>
      </c>
      <c r="C31" s="6" t="str">
        <f>IFERROR(__xludf.DUMMYFUNCTION("""COMPUTED_VALUE"""),"1vmZ6v1OyZ8SSi8bqqjK3ap3KtM_yPA_SEcIQgYiRInY")</f>
        <v>1vmZ6v1OyZ8SSi8bqqjK3ap3KtM_yPA_SEcIQgYiRInY</v>
      </c>
      <c r="D31" s="6" t="str">
        <f>IFERROR(__xludf.DUMMYFUNCTION("""COMPUTED_VALUE"""),"")</f>
        <v/>
      </c>
      <c r="E31" s="6" t="str">
        <f>IFERROR(__xludf.DUMMYFUNCTION("""COMPUTED_VALUE"""),"")</f>
        <v/>
      </c>
      <c r="F31" s="6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6" t="str">
        <f>IFERROR(__xludf.DUMMYFUNCTION("""COMPUTED_VALUE"""),"SymbolLookup")</f>
        <v>SymbolLookup</v>
      </c>
      <c r="B32" s="6" t="str">
        <f>IFERROR(__xludf.DUMMYFUNCTION("""COMPUTED_VALUE"""),"VerifySymbolLookUp")</f>
        <v>VerifySymbolLookUp</v>
      </c>
      <c r="C32" s="6" t="str">
        <f>IFERROR(__xludf.DUMMYFUNCTION("""COMPUTED_VALUE"""),"1OiI1Pi_JAFOFi8ByMaD3_qqEXSv6yQMo_u6aGTozbl8")</f>
        <v>1OiI1Pi_JAFOFi8ByMaD3_qqEXSv6yQMo_u6aGTozbl8</v>
      </c>
      <c r="D32" s="6" t="str">
        <f>IFERROR(__xludf.DUMMYFUNCTION("""COMPUTED_VALUE"""),"")</f>
        <v/>
      </c>
      <c r="E32" s="6" t="str">
        <f>IFERROR(__xludf.DUMMYFUNCTION("""COMPUTED_VALUE"""),"")</f>
        <v/>
      </c>
      <c r="F32" s="6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6" t="str">
        <f>IFERROR(__xludf.DUMMYFUNCTION("""COMPUTED_VALUE"""),"SymbolLookup")</f>
        <v>SymbolLookup</v>
      </c>
      <c r="B33" s="6" t="str">
        <f>IFERROR(__xludf.DUMMYFUNCTION("""COMPUTED_VALUE"""),"SymbolLookupFromTT")</f>
        <v>SymbolLookupFromTT</v>
      </c>
      <c r="C33" s="6" t="str">
        <f>IFERROR(__xludf.DUMMYFUNCTION("""COMPUTED_VALUE"""),"1ubfvE9sHq5KpJ9NazeH96CrVMJqAuol5Ya9GPjxWrgI")</f>
        <v>1ubfvE9sHq5KpJ9NazeH96CrVMJqAuol5Ya9GPjxWrgI</v>
      </c>
      <c r="D33" s="6" t="str">
        <f>IFERROR(__xludf.DUMMYFUNCTION("""COMPUTED_VALUE"""),"")</f>
        <v/>
      </c>
      <c r="E33" s="6" t="str">
        <f>IFERROR(__xludf.DUMMYFUNCTION("""COMPUTED_VALUE"""),"")</f>
        <v/>
      </c>
      <c r="F33" s="6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25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2" t="s">
        <v>1</v>
      </c>
      <c r="B1" s="4"/>
      <c r="C1" s="5"/>
    </row>
    <row r="2" ht="15.75" customHeight="1">
      <c r="A2" s="7"/>
      <c r="B2" s="7"/>
      <c r="C2" s="7"/>
    </row>
    <row r="3" ht="15.75" customHeight="1">
      <c r="A3" s="9" t="s">
        <v>4</v>
      </c>
      <c r="B3" s="10" t="s">
        <v>7</v>
      </c>
      <c r="C3" s="7"/>
    </row>
    <row r="4" ht="15.75" customHeight="1">
      <c r="A4" s="8" t="s">
        <v>8</v>
      </c>
      <c r="B4" s="10" t="s">
        <v>9</v>
      </c>
      <c r="C4" s="7"/>
    </row>
    <row r="5" ht="15.75" customHeight="1">
      <c r="A5" s="13"/>
      <c r="B5" s="7"/>
      <c r="C5" s="7"/>
    </row>
    <row r="6" ht="15.75" customHeight="1">
      <c r="A6" s="13"/>
      <c r="B6" s="7"/>
      <c r="C6" s="7"/>
    </row>
    <row r="7" ht="15.75" customHeight="1">
      <c r="A7" s="13"/>
      <c r="B7" s="7"/>
      <c r="C7" s="7"/>
    </row>
    <row r="8" ht="15.75" customHeight="1">
      <c r="A8" s="13"/>
      <c r="B8" s="7"/>
      <c r="C8" s="7"/>
    </row>
    <row r="9" ht="15.75" customHeight="1">
      <c r="A9" s="13"/>
      <c r="B9" s="7"/>
      <c r="C9" s="7"/>
    </row>
    <row r="10" ht="15.75" customHeight="1">
      <c r="A10" s="13"/>
      <c r="B10" s="7"/>
      <c r="C10" s="7"/>
    </row>
    <row r="11" ht="15.75" customHeight="1">
      <c r="A11" s="13"/>
      <c r="B11" s="7"/>
      <c r="C11" s="7"/>
    </row>
    <row r="12" ht="15.75" customHeight="1">
      <c r="A12" s="13"/>
      <c r="B12" s="7"/>
      <c r="C12" s="7"/>
    </row>
    <row r="13" ht="15.75" customHeight="1">
      <c r="A13" s="13"/>
      <c r="B13" s="7"/>
      <c r="C13" s="7"/>
    </row>
    <row r="14" ht="15.75" customHeight="1">
      <c r="A14" s="13"/>
      <c r="B14" s="7"/>
      <c r="C14" s="7"/>
    </row>
    <row r="15" ht="15.75" customHeight="1">
      <c r="A15" s="13"/>
      <c r="B15" s="7"/>
      <c r="C15" s="7"/>
    </row>
    <row r="16" ht="15.75" customHeight="1">
      <c r="A16" s="13"/>
      <c r="B16" s="7"/>
      <c r="C16" s="7"/>
    </row>
    <row r="17" ht="15.75" customHeight="1">
      <c r="A17" s="13"/>
      <c r="B17" s="7"/>
      <c r="C17" s="7"/>
    </row>
    <row r="18" ht="15.75" customHeight="1">
      <c r="A18" s="13"/>
      <c r="B18" s="7"/>
      <c r="C18" s="7"/>
    </row>
    <row r="19" ht="15.75" customHeight="1">
      <c r="A19" s="13"/>
      <c r="B19" s="7"/>
      <c r="C19" s="7"/>
    </row>
    <row r="20" ht="15.75" customHeight="1">
      <c r="A20" s="13"/>
      <c r="B20" s="7"/>
      <c r="C20" s="7"/>
    </row>
    <row r="21" ht="15.75" customHeight="1">
      <c r="A21" s="13"/>
      <c r="B21" s="7"/>
      <c r="C21" s="7"/>
    </row>
    <row r="22" ht="15.75" customHeight="1">
      <c r="A22" s="13"/>
      <c r="B22" s="7"/>
      <c r="C22" s="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" t="s">
        <v>0</v>
      </c>
      <c r="B1" s="4"/>
      <c r="C1" s="4"/>
      <c r="D1" s="4"/>
      <c r="E1" s="4"/>
      <c r="F1" s="5"/>
    </row>
    <row r="2">
      <c r="A2" s="6"/>
      <c r="B2" s="6"/>
      <c r="C2" s="6"/>
      <c r="D2" s="6"/>
      <c r="E2" s="6"/>
      <c r="F2" s="6"/>
    </row>
    <row r="3">
      <c r="A3" s="8" t="s">
        <v>3</v>
      </c>
      <c r="B3" s="12" t="s">
        <v>6</v>
      </c>
      <c r="C3" s="12" t="s">
        <v>10</v>
      </c>
      <c r="D3" s="14"/>
      <c r="E3" s="14"/>
      <c r="F3" s="14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12</v>
      </c>
      <c r="D3" s="9" t="s">
        <v>6</v>
      </c>
      <c r="E3" s="21" t="s">
        <v>13</v>
      </c>
      <c r="F3" s="9" t="s">
        <v>14</v>
      </c>
      <c r="G3" s="13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IFERROR(__xludf.DUMMYFUNCTION("""COMPUTED_VALUE"""),"DisableChecksideForAsset")</f>
        <v>DisableChecksideForAsset</v>
      </c>
      <c r="CZ4" s="24" t="str">
        <f>IFERROR(__xludf.DUMMYFUNCTION("""COMPUTED_VALUE"""),"DisableChecksideForAccount")</f>
        <v>DisableChecksideForAccount</v>
      </c>
      <c r="DA4" s="24" t="str">
        <f>IFERROR(__xludf.DUMMYFUNCTION("""COMPUTED_VALUE"""),"DisableChecksideForCounterParty")</f>
        <v>DisableChecksideForCounterParty</v>
      </c>
      <c r="DB4" s="24" t="str">
        <f>IFERROR(__xludf.DUMMYFUNCTION("""COMPUTED_VALUE"""),"DisableCheckside")</f>
        <v>DisableCheckside</v>
      </c>
      <c r="DC4" s="24" t="str">
        <f>IFERROR(__xludf.DUMMYFUNCTION("""COMPUTED_VALUE"""),"ApplyMasterFundFilter")</f>
        <v>ApplyMasterFundFilter</v>
      </c>
      <c r="DD4" s="24" t="str">
        <f>IFERROR(__xludf.DUMMYFUNCTION("""COMPUTED_VALUE"""),"ShowMasterFundOnTT")</f>
        <v>ShowMasterFundOnTT</v>
      </c>
      <c r="DE4" s="24" t="str">
        <f>IFERROR(__xludf.DUMMYFUNCTION("""COMPUTED_VALUE"""),"ShowMasterFundAsClient")</f>
        <v>ShowMasterFundAsClient</v>
      </c>
      <c r="DF4" s="24" t="str">
        <f>IFERROR(__xludf.DUMMYFUNCTION("""COMPUTED_VALUE"""),"SetBrokerAccountMapping")</f>
        <v>SetBrokerAccountMapping</v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IFERROR(__xludf.DUMMYFUNCTION("""COMPUTED_VALUE"""),"ShowMasterFundOnTT")</f>
        <v>ShowMasterFundOnTT</v>
      </c>
      <c r="C5" s="27" t="str">
        <f>IFERROR(__xludf.DUMMYFUNCTION("""COMPUTED_VALUE"""),"")</f>
        <v/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0"/>
      <c r="B6" s="10" t="b">
        <v>1</v>
      </c>
      <c r="C6" s="7"/>
      <c r="D6" s="10"/>
      <c r="E6" s="30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ShowMasterFundOnTT!$4:$4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16</v>
      </c>
      <c r="D3" s="9" t="s">
        <v>6</v>
      </c>
      <c r="E3" s="21" t="s">
        <v>17</v>
      </c>
      <c r="F3" s="9" t="s">
        <v>14</v>
      </c>
      <c r="G3" s="13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IFERROR(__xludf.DUMMYFUNCTION("""COMPUTED_VALUE"""),"ShowMasterFundOnTT")</f>
        <v>ShowMasterFundOnTT</v>
      </c>
      <c r="S4" s="24" t="str">
        <f>IFERROR(__xludf.DUMMYFUNCTION("""COMPUTED_VALUE"""),"UpdateMasterFundOnTT")</f>
        <v>UpdateMasterFundOnTT</v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IFERROR(__xludf.DUMMYFUNCTION("""COMPUTED_VALUE"""),"")</f>
        <v/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0"/>
      <c r="B6" s="10" t="s">
        <v>18</v>
      </c>
      <c r="C6" s="7"/>
      <c r="D6" s="10"/>
      <c r="E6" s="30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UpdateMasterFundOnTT!$4:$4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1b5S4Xpp4fgZ1ez6cK92QFnVBylqz8jhwxdAyEvwDqUI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16</v>
      </c>
      <c r="D3" s="9" t="s">
        <v>6</v>
      </c>
      <c r="E3" s="21" t="s">
        <v>19</v>
      </c>
      <c r="F3" s="9" t="s">
        <v>14</v>
      </c>
      <c r="G3" s="13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IFERROR(__xludf.DUMMYFUNCTION("""COMPUTED_VALUE"""),"ShowMasterFundOnTT")</f>
        <v>ShowMasterFundOnTT</v>
      </c>
      <c r="S4" s="24" t="str">
        <f>IFERROR(__xludf.DUMMYFUNCTION("""COMPUTED_VALUE"""),"UpdateMasterFundOnTT")</f>
        <v>UpdateMasterFundOnTT</v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0"/>
      <c r="B6" s="10" t="s">
        <v>20</v>
      </c>
      <c r="C6" s="10" t="s">
        <v>21</v>
      </c>
      <c r="D6" s="10">
        <v>1000.0</v>
      </c>
      <c r="E6" s="10">
        <v>1000.0</v>
      </c>
      <c r="F6" s="10"/>
      <c r="G6" s="10" t="s">
        <v>22</v>
      </c>
      <c r="H6" s="7"/>
      <c r="I6" s="7"/>
      <c r="J6" s="10">
        <v>500.0</v>
      </c>
      <c r="K6" s="7"/>
      <c r="L6" s="7"/>
      <c r="M6" s="7"/>
      <c r="N6" s="7"/>
      <c r="O6" s="7"/>
      <c r="AK6" s="25" t="s">
        <v>23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12</v>
      </c>
      <c r="D3" s="9" t="s">
        <v>6</v>
      </c>
      <c r="E3" s="21" t="s">
        <v>24</v>
      </c>
      <c r="F3" s="9" t="s">
        <v>14</v>
      </c>
      <c r="G3" s="13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IFERROR(__xludf.DUMMYFUNCTION("""COMPUTED_VALUE"""),"DisableChecksideForAsset")</f>
        <v>DisableChecksideForAsset</v>
      </c>
      <c r="CZ4" s="24" t="str">
        <f>IFERROR(__xludf.DUMMYFUNCTION("""COMPUTED_VALUE"""),"DisableChecksideForAccount")</f>
        <v>DisableChecksideForAccount</v>
      </c>
      <c r="DA4" s="24" t="str">
        <f>IFERROR(__xludf.DUMMYFUNCTION("""COMPUTED_VALUE"""),"DisableChecksideForCounterParty")</f>
        <v>DisableChecksideForCounterParty</v>
      </c>
      <c r="DB4" s="24" t="str">
        <f>IFERROR(__xludf.DUMMYFUNCTION("""COMPUTED_VALUE"""),"DisableCheckside")</f>
        <v>DisableCheckside</v>
      </c>
      <c r="DC4" s="24" t="str">
        <f>IFERROR(__xludf.DUMMYFUNCTION("""COMPUTED_VALUE"""),"ApplyMasterFundFilter")</f>
        <v>ApplyMasterFundFilter</v>
      </c>
      <c r="DD4" s="24" t="str">
        <f>IFERROR(__xludf.DUMMYFUNCTION("""COMPUTED_VALUE"""),"ShowMasterFundOnTT")</f>
        <v>ShowMasterFundOnTT</v>
      </c>
      <c r="DE4" s="24" t="str">
        <f>IFERROR(__xludf.DUMMYFUNCTION("""COMPUTED_VALUE"""),"ShowMasterFundAsClient")</f>
        <v>ShowMasterFundAsClient</v>
      </c>
      <c r="DF4" s="24" t="str">
        <f>IFERROR(__xludf.DUMMYFUNCTION("""COMPUTED_VALUE"""),"SetBrokerAccountMapping")</f>
        <v>SetBrokerAccountMapping</v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0"/>
      <c r="B6" s="10" t="s">
        <v>25</v>
      </c>
      <c r="C6" s="31"/>
      <c r="D6" s="31"/>
      <c r="E6" s="30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1-RJhOo2E5PhyqaiMEjsPi8RpfYBuiSqE9fj_-bRpkKw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12</v>
      </c>
      <c r="D3" s="9" t="s">
        <v>6</v>
      </c>
      <c r="E3" s="21" t="s">
        <v>26</v>
      </c>
      <c r="F3" s="9" t="s">
        <v>14</v>
      </c>
      <c r="G3" s="13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IFERROR(__xludf.DUMMYFUNCTION("""COMPUTED_VALUE"""),"DisableChecksideForAsset")</f>
        <v>DisableChecksideForAsset</v>
      </c>
      <c r="CZ4" s="24" t="str">
        <f>IFERROR(__xludf.DUMMYFUNCTION("""COMPUTED_VALUE"""),"DisableChecksideForAccount")</f>
        <v>DisableChecksideForAccount</v>
      </c>
      <c r="DA4" s="24" t="str">
        <f>IFERROR(__xludf.DUMMYFUNCTION("""COMPUTED_VALUE"""),"DisableChecksideForCounterParty")</f>
        <v>DisableChecksideForCounterParty</v>
      </c>
      <c r="DB4" s="24" t="str">
        <f>IFERROR(__xludf.DUMMYFUNCTION("""COMPUTED_VALUE"""),"DisableCheckside")</f>
        <v>DisableCheckside</v>
      </c>
      <c r="DC4" s="24" t="str">
        <f>IFERROR(__xludf.DUMMYFUNCTION("""COMPUTED_VALUE"""),"ApplyMasterFundFilter")</f>
        <v>ApplyMasterFundFilter</v>
      </c>
      <c r="DD4" s="24" t="str">
        <f>IFERROR(__xludf.DUMMYFUNCTION("""COMPUTED_VALUE"""),"ShowMasterFundOnTT")</f>
        <v>ShowMasterFundOnTT</v>
      </c>
      <c r="DE4" s="24" t="str">
        <f>IFERROR(__xludf.DUMMYFUNCTION("""COMPUTED_VALUE"""),"ShowMasterFundAsClient")</f>
        <v>ShowMasterFundAsClient</v>
      </c>
      <c r="DF4" s="24" t="str">
        <f>IFERROR(__xludf.DUMMYFUNCTION("""COMPUTED_VALUE"""),"SetBrokerAccountMapping")</f>
        <v>SetBrokerAccountMapping</v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IFERROR(__xludf.DUMMYFUNCTION("""COMPUTED_VALUE"""),"Trade Date")</f>
        <v>Trade Date</v>
      </c>
      <c r="G5" s="27" t="str">
        <f>IFERROR(__xludf.DUMMYFUNCTION("""COMPUTED_VALUE"""),"Net Amount( Local)")</f>
        <v>Net Amount( Local)</v>
      </c>
      <c r="H5" s="27" t="str">
        <f>IFERROR(__xludf.DUMMYFUNCTION("""COMPUTED_VALUE"""),"Net Amount( Base)")</f>
        <v>Net Amount( Base)</v>
      </c>
      <c r="I5" s="27" t="str">
        <f>IFERROR(__xludf.DUMMYFUNCTION("""COMPUTED_VALUE"""),"Principal Amount( Local)")</f>
        <v>Principal Amount( Local)</v>
      </c>
      <c r="J5" s="27" t="str">
        <f>IFERROR(__xludf.DUMMYFUNCTION("""COMPUTED_VALUE"""),"Transaction Type")</f>
        <v>Transaction Type</v>
      </c>
      <c r="K5" s="27" t="str">
        <f>IFERROR(__xludf.DUMMYFUNCTION("""COMPUTED_VALUE"""),"Principal Amount( Base)")</f>
        <v>Principal Amount( Base)</v>
      </c>
      <c r="L5" s="27" t="str">
        <f>IFERROR(__xludf.DUMMYFUNCTION("""COMPUTED_VALUE"""),"Execution Time")</f>
        <v>Execution Time</v>
      </c>
      <c r="M5" s="27" t="str">
        <f>IFERROR(__xludf.DUMMYFUNCTION("""COMPUTED_VALUE"""),"Trading Account")</f>
        <v>Trading Account</v>
      </c>
      <c r="N5" s="27" t="str">
        <f>IFERROR(__xludf.DUMMYFUNCTION("""COMPUTED_VALUE"""),"Avg Price(Local)")</f>
        <v>Avg Price(Local)</v>
      </c>
      <c r="O5" s="27" t="str">
        <f>IFERROR(__xludf.DUMMYFUNCTION("""COMPUTED_VALUE"""),"Avg Price(Base)")</f>
        <v>Avg Price(Base)</v>
      </c>
      <c r="P5" s="27" t="str">
        <f>IFERROR(__xludf.DUMMYFUNCTION("""COMPUTED_VALUE"""),"Broker")</f>
        <v>Broker</v>
      </c>
      <c r="Q5" s="27" t="str">
        <f>IFERROR(__xludf.DUMMYFUNCTION("""COMPUTED_VALUE"""),"FX Rate")</f>
        <v>FX Rate</v>
      </c>
      <c r="R5" s="27" t="str">
        <f>IFERROR(__xludf.DUMMYFUNCTION("""COMPUTED_VALUE"""),"Venue")</f>
        <v>Venue</v>
      </c>
      <c r="S5" s="27" t="str">
        <f>IFERROR(__xludf.DUMMYFUNCTION("""COMPUTED_VALUE"""),"FX Conversion Operator")</f>
        <v>FX Conversion Operator</v>
      </c>
      <c r="T5" s="29" t="str">
        <f>IFERROR(__xludf.DUMMYFUNCTION("""COMPUTED_VALUE"""),"User")</f>
        <v>User</v>
      </c>
      <c r="U5" s="29" t="str">
        <f>IFERROR(__xludf.DUMMYFUNCTION("""COMPUTED_VALUE"""),"Asset Category")</f>
        <v>Asset Category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IFERROR(__xludf.DUMMYFUNCTION("""COMPUTED_VALUE"""),"Commission Per Share")</f>
        <v>Commission Per Share</v>
      </c>
      <c r="X5" s="29" t="str">
        <f>IFERROR(__xludf.DUMMYFUNCTION("""COMPUTED_VALUE"""),"Soft Commission Per Share")</f>
        <v>Soft Commission Per Share</v>
      </c>
      <c r="Y5" s="29" t="str">
        <f>IFERROR(__xludf.DUMMYFUNCTION("""COMPUTED_VALUE"""),"Total Commission Per Share")</f>
        <v>Total Commission Per Share</v>
      </c>
      <c r="Z5" s="29" t="str">
        <f>IFERROR(__xludf.DUMMYFUNCTION("""COMPUTED_VALUE"""),"Change Type")</f>
        <v>Change Type</v>
      </c>
      <c r="AA5" s="29" t="str">
        <f>IFERROR(__xludf.DUMMYFUNCTION("""COMPUTED_VALUE"""),"Trade Attribute 1")</f>
        <v>Trade Attribute 1</v>
      </c>
      <c r="AB5" s="29" t="str">
        <f>IFERROR(__xludf.DUMMYFUNCTION("""COMPUTED_VALUE"""),"Trade Attribute 2")</f>
        <v>Trade Attribute 2</v>
      </c>
      <c r="AC5" s="29" t="str">
        <f>IFERROR(__xludf.DUMMYFUNCTION("""COMPUTED_VALUE"""),"Trade Attribute 3")</f>
        <v>Trade Attribute 3</v>
      </c>
      <c r="AD5" s="29" t="str">
        <f>IFERROR(__xludf.DUMMYFUNCTION("""COMPUTED_VALUE"""),"Trade Attribute 4")</f>
        <v>Trade Attribute 4</v>
      </c>
      <c r="AE5" s="29" t="str">
        <f>IFERROR(__xludf.DUMMYFUNCTION("""COMPUTED_VALUE"""),"Trade Attribute 5")</f>
        <v>Trade Attribute 5</v>
      </c>
      <c r="AF5" s="29" t="str">
        <f>IFERROR(__xludf.DUMMYFUNCTION("""COMPUTED_VALUE"""),"Trade Attribute 6")</f>
        <v>Trade Attribute 6</v>
      </c>
      <c r="AG5" s="29" t="str">
        <f>IFERROR(__xludf.DUMMYFUNCTION("""COMPUTED_VALUE"""),"IsPreAllocated")</f>
        <v>IsPreAllocated</v>
      </c>
      <c r="AH5" s="29" t="str">
        <f>IFERROR(__xludf.DUMMYFUNCTION("""COMPUTED_VALUE"""),"IsManual Group")</f>
        <v>IsManual Group</v>
      </c>
      <c r="AI5" s="29" t="str">
        <f>IFERROR(__xludf.DUMMYFUNCTION("""COMPUTED_VALUE"""),"IsAnotherTaxlotAttributesUpdated")</f>
        <v>IsAnotherTaxlotAttributesUpdated</v>
      </c>
      <c r="AJ5" s="29" t="str">
        <f>IFERROR(__xludf.DUMMYFUNCTION("""COMPUTED_VALUE"""),"ISNDF")</f>
        <v>ISNDF</v>
      </c>
      <c r="AK5" s="29" t="str">
        <f>IFERROR(__xludf.DUMMYFUNCTION("""COMPUTED_VALUE"""),"M2MProfitLoss")</f>
        <v>M2MProfitLoss</v>
      </c>
      <c r="AL5" s="29" t="str">
        <f>IFERROR(__xludf.DUMMYFUNCTION("""COMPUTED_VALUE"""),"Put Or Call")</f>
        <v>Put Or Call</v>
      </c>
      <c r="AM5" s="29" t="str">
        <f>IFERROR(__xludf.DUMMYFUNCTION("""COMPUTED_VALUE"""),"GroupID")</f>
        <v>GroupID</v>
      </c>
      <c r="AN5" s="29" t="str">
        <f>IFERROR(__xludf.DUMMYFUNCTION("""COMPUTED_VALUE"""),"UnAllocatedQty")</f>
        <v>UnAllocatedQty</v>
      </c>
      <c r="AO5" s="29" t="str">
        <f>IFERROR(__xludf.DUMMYFUNCTION("""COMPUTED_VALUE"""),"Allocated Qty")</f>
        <v>Allocated Qty</v>
      </c>
      <c r="AP5" s="29" t="str">
        <f>IFERROR(__xludf.DUMMYFUNCTION("""COMPUTED_VALUE"""),"Commission")</f>
        <v>Commission</v>
      </c>
      <c r="AQ5" s="29" t="str">
        <f>IFERROR(__xludf.DUMMYFUNCTION("""COMPUTED_VALUE"""),"Soft Commission")</f>
        <v>Soft Commission</v>
      </c>
      <c r="AR5" s="29" t="str">
        <f>IFERROR(__xludf.DUMMYFUNCTION("""COMPUTED_VALUE"""),"Other Broker Fees")</f>
        <v>Other Broker Fees</v>
      </c>
      <c r="AS5" s="29" t="str">
        <f>IFERROR(__xludf.DUMMYFUNCTION("""COMPUTED_VALUE"""),"Clearing Broker Fee")</f>
        <v>Clearing Broker Fee</v>
      </c>
      <c r="AT5" s="29" t="str">
        <f>IFERROR(__xludf.DUMMYFUNCTION("""COMPUTED_VALUE"""),"Total Commission And Fee")</f>
        <v>Total Commission And Fee</v>
      </c>
      <c r="AU5" s="29" t="str">
        <f>IFERROR(__xludf.DUMMYFUNCTION("""COMPUTED_VALUE"""),"Transaction Levy")</f>
        <v>Transaction Levy</v>
      </c>
      <c r="AV5" s="29" t="str">
        <f>IFERROR(__xludf.DUMMYFUNCTION("""COMPUTED_VALUE"""),"Stamp Duty")</f>
        <v>Stamp Duty</v>
      </c>
      <c r="AW5" s="29" t="str">
        <f>IFERROR(__xludf.DUMMYFUNCTION("""COMPUTED_VALUE"""),"AUEC Fee1")</f>
        <v>AUEC Fee1</v>
      </c>
      <c r="AX5" s="29" t="str">
        <f>IFERROR(__xludf.DUMMYFUNCTION("""COMPUTED_VALUE"""),"Tax On Commissions")</f>
        <v>Tax On Commissions</v>
      </c>
      <c r="AY5" s="29" t="str">
        <f>IFERROR(__xludf.DUMMYFUNCTION("""COMPUTED_VALUE"""),"AUEC Fee2")</f>
        <v>AUEC Fee2</v>
      </c>
      <c r="AZ5" s="29" t="str">
        <f>IFERROR(__xludf.DUMMYFUNCTION("""COMPUTED_VALUE"""),"SEC Fee")</f>
        <v>SEC Fee</v>
      </c>
      <c r="BA5" s="29" t="str">
        <f>IFERROR(__xludf.DUMMYFUNCTION("""COMPUTED_VALUE"""),"OCC Fee")</f>
        <v>OCC Fee</v>
      </c>
      <c r="BB5" s="29" t="str">
        <f>IFERROR(__xludf.DUMMYFUNCTION("""COMPUTED_VALUE"""),"ORF Fee")</f>
        <v>ORF Fee</v>
      </c>
      <c r="BC5" s="29" t="str">
        <f>IFERROR(__xludf.DUMMYFUNCTION("""COMPUTED_VALUE"""),"Option Premium Adjustment")</f>
        <v>Option Premium Adjustment</v>
      </c>
      <c r="BD5" s="29" t="str">
        <f>IFERROR(__xludf.DUMMYFUNCTION("""COMPUTED_VALUE"""),"Prana Msg Type")</f>
        <v>Prana Msg Type</v>
      </c>
      <c r="BE5" s="29" t="str">
        <f>IFERROR(__xludf.DUMMYFUNCTION("""COMPUTED_VALUE"""),"Total Commission")</f>
        <v>Total Commission</v>
      </c>
      <c r="BF5" s="29" t="str">
        <f>IFERROR(__xludf.DUMMYFUNCTION("""COMPUTED_VALUE"""),"Closing Status")</f>
        <v>Closing Status</v>
      </c>
      <c r="BG5" s="29" t="str">
        <f>IFERROR(__xludf.DUMMYFUNCTION("""COMPUTED_VALUE"""),"Closing Method")</f>
        <v>Closing Method</v>
      </c>
      <c r="BH5" s="29" t="str">
        <f>IFERROR(__xludf.DUMMYFUNCTION("""COMPUTED_VALUE"""),"Group Status")</f>
        <v>Group Status</v>
      </c>
      <c r="BI5" s="29" t="str">
        <f>IFERROR(__xludf.DUMMYFUNCTION("""COMPUTED_VALUE"""),"Allocation Scheme Name")</f>
        <v>Allocation Scheme Name</v>
      </c>
      <c r="BJ5" s="29" t="str">
        <f>IFERROR(__xludf.DUMMYFUNCTION("""COMPUTED_VALUE"""),"Change Comment")</f>
        <v>Change Comment</v>
      </c>
      <c r="BK5" s="29" t="str">
        <f>IFERROR(__xludf.DUMMYFUNCTION("""COMPUTED_VALUE"""),"Order Type")</f>
        <v>Order Type</v>
      </c>
      <c r="BL5" s="29" t="str">
        <f>IFERROR(__xludf.DUMMYFUNCTION("""COMPUTED_VALUE"""),"Underlying")</f>
        <v>Underlying</v>
      </c>
      <c r="BM5" s="29" t="str">
        <f>IFERROR(__xludf.DUMMYFUNCTION("""COMPUTED_VALUE"""),"Exchange")</f>
        <v>Exchange</v>
      </c>
      <c r="BN5" s="29" t="str">
        <f>IFERROR(__xludf.DUMMYFUNCTION("""COMPUTED_VALUE"""),"Currency")</f>
        <v>Currency</v>
      </c>
      <c r="BO5" s="29" t="str">
        <f>IFERROR(__xludf.DUMMYFUNCTION("""COMPUTED_VALUE"""),"AUECID")</f>
        <v>AUECID</v>
      </c>
      <c r="BP5" s="29" t="str">
        <f>IFERROR(__xludf.DUMMYFUNCTION("""COMPUTED_VALUE"""),"Cum Qty For Sub Order")</f>
        <v>Cum Qty For Sub Order</v>
      </c>
      <c r="BQ5" s="29" t="str">
        <f>IFERROR(__xludf.DUMMYFUNCTION("""COMPUTED_VALUE"""),"Contract Multiplier")</f>
        <v>Contract Multiplier</v>
      </c>
      <c r="BR5" s="29" t="str">
        <f>IFERROR(__xludf.DUMMYFUNCTION("""COMPUTED_VALUE"""),"Company")</f>
        <v>Company</v>
      </c>
      <c r="BS5" s="29" t="str">
        <f>IFERROR(__xludf.DUMMYFUNCTION("""COMPUTED_VALUE"""),"Nirvana Process Date")</f>
        <v>Nirvana Process Date</v>
      </c>
      <c r="BT5" s="29" t="str">
        <f>IFERROR(__xludf.DUMMYFUNCTION("""COMPUTED_VALUE"""),"Process Date")</f>
        <v>Process Date</v>
      </c>
      <c r="BU5" s="29" t="str">
        <f>IFERROR(__xludf.DUMMYFUNCTION("""COMPUTED_VALUE"""),"Original Purchase Date")</f>
        <v>Original Purchase Date</v>
      </c>
      <c r="BV5" s="29" t="str">
        <f>IFERROR(__xludf.DUMMYFUNCTION("""COMPUTED_VALUE"""),"Closing Date")</f>
        <v>Closing Date</v>
      </c>
      <c r="BW5" s="29" t="str">
        <f>IFERROR(__xludf.DUMMYFUNCTION("""COMPUTED_VALUE"""),"Settlement Date")</f>
        <v>Settlement Date</v>
      </c>
      <c r="BX5" s="29" t="str">
        <f>IFERROR(__xludf.DUMMYFUNCTION("""COMPUTED_VALUE"""),"Expiration Date")</f>
        <v>Expiration Date</v>
      </c>
      <c r="BY5" s="29" t="str">
        <f>IFERROR(__xludf.DUMMYFUNCTION("""COMPUTED_VALUE"""),"Description")</f>
        <v>Description</v>
      </c>
      <c r="BZ5" s="29" t="str">
        <f>IFERROR(__xludf.DUMMYFUNCTION("""COMPUTED_VALUE"""),"Underlying Symbol")</f>
        <v>Underlying Symbol</v>
      </c>
      <c r="CA5" s="29" t="str">
        <f>IFERROR(__xludf.DUMMYFUNCTION("""COMPUTED_VALUE"""),"Accrued Interest")</f>
        <v>Accrued Interest</v>
      </c>
      <c r="CB5" s="29" t="str">
        <f>IFERROR(__xludf.DUMMYFUNCTION("""COMPUTED_VALUE"""),"Accrual Basis")</f>
        <v>Accrual Basis</v>
      </c>
      <c r="CC5" s="29" t="str">
        <f>IFERROR(__xludf.DUMMYFUNCTION("""COMPUTED_VALUE"""),"Bond Type")</f>
        <v>Bond Type</v>
      </c>
      <c r="CD5" s="29" t="str">
        <f>IFERROR(__xludf.DUMMYFUNCTION("""COMPUTED_VALUE"""),"Coupon Rate")</f>
        <v>Coupon Rate</v>
      </c>
      <c r="CE5" s="29" t="str">
        <f>IFERROR(__xludf.DUMMYFUNCTION("""COMPUTED_VALUE"""),"Delta")</f>
        <v>Delta</v>
      </c>
      <c r="CF5" s="29" t="str">
        <f>IFERROR(__xludf.DUMMYFUNCTION("""COMPUTED_VALUE"""),"Bloomberg")</f>
        <v>Bloomberg</v>
      </c>
      <c r="CG5" s="29" t="str">
        <f>IFERROR(__xludf.DUMMYFUNCTION("""COMPUTED_VALUE"""),"Sedol Symbol")</f>
        <v>Sedol Symbol</v>
      </c>
      <c r="CH5" s="29" t="str">
        <f>IFERROR(__xludf.DUMMYFUNCTION("""COMPUTED_VALUE"""),"Cusip Symbol")</f>
        <v>Cusip Symbol</v>
      </c>
      <c r="CI5" s="29" t="str">
        <f>IFERROR(__xludf.DUMMYFUNCTION("""COMPUTED_VALUE"""),"ISIN")</f>
        <v>ISIN</v>
      </c>
      <c r="CJ5" s="29" t="str">
        <f>IFERROR(__xludf.DUMMYFUNCTION("""COMPUTED_VALUE"""),"OSISSymbol")</f>
        <v>OSISSymbol</v>
      </c>
      <c r="CK5" s="29" t="str">
        <f>IFERROR(__xludf.DUMMYFUNCTION("""COMPUTED_VALUE"""),"IDCOSymbol")</f>
        <v>IDCOSymbol</v>
      </c>
      <c r="CL5" s="29" t="str">
        <f>IFERROR(__xludf.DUMMYFUNCTION("""COMPUTED_VALUE"""),"Underlying Delta")</f>
        <v>Underlying Delta</v>
      </c>
      <c r="CM5" s="29" t="str">
        <f>IFERROR(__xludf.DUMMYFUNCTION("""COMPUTED_VALUE"""),"Internal Comments")</f>
        <v>Internal Comments</v>
      </c>
      <c r="CN5" s="29" t="str">
        <f>IFERROR(__xludf.DUMMYFUNCTION("""COMPUTED_VALUE"""),"Proxy Symbol")</f>
        <v>Proxy Symbol</v>
      </c>
      <c r="CO5" s="29" t="str">
        <f>IFERROR(__xludf.DUMMYFUNCTION("""COMPUTED_VALUE"""),"Transaction Source")</f>
        <v>Transaction Source</v>
      </c>
      <c r="CP5" s="29" t="str">
        <f>IFERROR(__xludf.DUMMYFUNCTION("""COMPUTED_VALUE"""),"Import File Name")</f>
        <v>Import File Name</v>
      </c>
      <c r="CQ5" s="29" t="str">
        <f>IFERROR(__xludf.DUMMYFUNCTION("""COMPUTED_VALUE"""),"Master Fund")</f>
        <v>Master Fund</v>
      </c>
      <c r="CR5" s="29" t="str">
        <f>IFERROR(__xludf.DUMMYFUNCTION("""COMPUTED_VALUE"""),"Client")</f>
        <v>Client</v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0"/>
      <c r="B6" s="10" t="s">
        <v>20</v>
      </c>
      <c r="C6" s="10" t="s">
        <v>21</v>
      </c>
      <c r="D6" s="10">
        <v>1000.0</v>
      </c>
      <c r="E6" s="10"/>
      <c r="F6" s="7"/>
      <c r="G6" s="10">
        <v>500014.28</v>
      </c>
      <c r="H6" s="10">
        <v>500014.28</v>
      </c>
      <c r="I6" s="10">
        <v>500000.0</v>
      </c>
      <c r="J6" s="10" t="s">
        <v>21</v>
      </c>
      <c r="K6" s="10">
        <v>500000.0</v>
      </c>
      <c r="L6" s="7"/>
      <c r="M6" s="7"/>
      <c r="N6" s="10">
        <v>500.0</v>
      </c>
      <c r="O6" s="10">
        <v>500.0</v>
      </c>
      <c r="P6" s="25" t="s">
        <v>22</v>
      </c>
      <c r="Q6" s="25">
        <v>1.0</v>
      </c>
      <c r="AF6" s="25" t="s">
        <v>18</v>
      </c>
      <c r="AN6" s="25">
        <v>1000.0</v>
      </c>
      <c r="AO6" s="25">
        <v>0.0</v>
      </c>
      <c r="AP6" s="25">
        <v>0.0</v>
      </c>
      <c r="AQ6" s="25">
        <v>0.0</v>
      </c>
      <c r="AR6" s="25">
        <v>0.0</v>
      </c>
      <c r="AS6" s="25">
        <v>0.0</v>
      </c>
      <c r="AT6" s="25">
        <v>14.28</v>
      </c>
      <c r="AW6" s="25">
        <v>4.0</v>
      </c>
      <c r="AY6" s="25">
        <v>5.0</v>
      </c>
      <c r="AZ6" s="25">
        <v>0.0</v>
      </c>
      <c r="BA6" s="25">
        <v>0.0</v>
      </c>
      <c r="BB6" s="25">
        <v>0.0</v>
      </c>
      <c r="BC6" s="25">
        <v>0.0</v>
      </c>
      <c r="BK6" s="25" t="s">
        <v>27</v>
      </c>
      <c r="CQ6" s="25" t="s">
        <v>18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1mOtszotVOdqHquQTLi-4CBnAUrtAF2MEABuvYJh_hzw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12</v>
      </c>
      <c r="D3" s="9" t="s">
        <v>6</v>
      </c>
      <c r="E3" s="21" t="s">
        <v>28</v>
      </c>
      <c r="F3" s="9" t="s">
        <v>14</v>
      </c>
      <c r="G3" s="13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IFERROR(__xludf.DUMMYFUNCTION("""COMPUTED_VALUE"""),"DisableChecksideForAsset")</f>
        <v>DisableChecksideForAsset</v>
      </c>
      <c r="CZ4" s="24" t="str">
        <f>IFERROR(__xludf.DUMMYFUNCTION("""COMPUTED_VALUE"""),"DisableChecksideForAccount")</f>
        <v>DisableChecksideForAccount</v>
      </c>
      <c r="DA4" s="24" t="str">
        <f>IFERROR(__xludf.DUMMYFUNCTION("""COMPUTED_VALUE"""),"DisableChecksideForCounterParty")</f>
        <v>DisableChecksideForCounterParty</v>
      </c>
      <c r="DB4" s="24" t="str">
        <f>IFERROR(__xludf.DUMMYFUNCTION("""COMPUTED_VALUE"""),"DisableCheckside")</f>
        <v>DisableCheckside</v>
      </c>
      <c r="DC4" s="24" t="str">
        <f>IFERROR(__xludf.DUMMYFUNCTION("""COMPUTED_VALUE"""),"ApplyMasterFundFilter")</f>
        <v>ApplyMasterFundFilter</v>
      </c>
      <c r="DD4" s="24" t="str">
        <f>IFERROR(__xludf.DUMMYFUNCTION("""COMPUTED_VALUE"""),"ShowMasterFundOnTT")</f>
        <v>ShowMasterFundOnTT</v>
      </c>
      <c r="DE4" s="24" t="str">
        <f>IFERROR(__xludf.DUMMYFUNCTION("""COMPUTED_VALUE"""),"ShowMasterFundAsClient")</f>
        <v>ShowMasterFundAsClient</v>
      </c>
      <c r="DF4" s="24" t="str">
        <f>IFERROR(__xludf.DUMMYFUNCTION("""COMPUTED_VALUE"""),"SetBrokerAccountMapping")</f>
        <v>SetBrokerAccountMapping</v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Percentage")</f>
        <v>Account Percentage</v>
      </c>
      <c r="D5" s="27" t="str">
        <f>IFERROR(__xludf.DUMMYFUNCTION("""COMPUTED_VALUE"""),"Account Quantity")</f>
        <v>Account Quantity</v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0"/>
      <c r="B6" s="10" t="s">
        <v>29</v>
      </c>
      <c r="C6" s="10">
        <v>100.0</v>
      </c>
      <c r="D6" s="10"/>
      <c r="E6" s="30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12</v>
      </c>
      <c r="D3" s="9" t="s">
        <v>6</v>
      </c>
      <c r="E3" s="21" t="s">
        <v>30</v>
      </c>
      <c r="F3" s="9" t="s">
        <v>14</v>
      </c>
      <c r="G3" s="13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IFERROR(__xludf.DUMMYFUNCTION("""COMPUTED_VALUE"""),"DisableChecksideForAsset")</f>
        <v>DisableChecksideForAsset</v>
      </c>
      <c r="CZ4" s="24" t="str">
        <f>IFERROR(__xludf.DUMMYFUNCTION("""COMPUTED_VALUE"""),"DisableChecksideForAccount")</f>
        <v>DisableChecksideForAccount</v>
      </c>
      <c r="DA4" s="24" t="str">
        <f>IFERROR(__xludf.DUMMYFUNCTION("""COMPUTED_VALUE"""),"DisableChecksideForCounterParty")</f>
        <v>DisableChecksideForCounterParty</v>
      </c>
      <c r="DB4" s="24" t="str">
        <f>IFERROR(__xludf.DUMMYFUNCTION("""COMPUTED_VALUE"""),"DisableCheckside")</f>
        <v>DisableCheckside</v>
      </c>
      <c r="DC4" s="24" t="str">
        <f>IFERROR(__xludf.DUMMYFUNCTION("""COMPUTED_VALUE"""),"ApplyMasterFundFilter")</f>
        <v>ApplyMasterFundFilter</v>
      </c>
      <c r="DD4" s="24" t="str">
        <f>IFERROR(__xludf.DUMMYFUNCTION("""COMPUTED_VALUE"""),"ShowMasterFundOnTT")</f>
        <v>ShowMasterFundOnTT</v>
      </c>
      <c r="DE4" s="24" t="str">
        <f>IFERROR(__xludf.DUMMYFUNCTION("""COMPUTED_VALUE"""),"ShowMasterFundAsClient")</f>
        <v>ShowMasterFundAsClient</v>
      </c>
      <c r="DF4" s="24" t="str">
        <f>IFERROR(__xludf.DUMMYFUNCTION("""COMPUTED_VALUE"""),"SetBrokerAccountMapping")</f>
        <v>SetBrokerAccountMapping</v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0"/>
      <c r="B6" s="10" t="s">
        <v>29</v>
      </c>
      <c r="C6" s="7"/>
      <c r="D6" s="10">
        <v>0.0</v>
      </c>
      <c r="E6" s="10">
        <v>1000.0</v>
      </c>
      <c r="F6" s="7"/>
      <c r="G6" s="7"/>
      <c r="H6" s="10">
        <v>4.0</v>
      </c>
      <c r="I6" s="10">
        <v>5.0</v>
      </c>
      <c r="J6" s="7"/>
      <c r="K6" s="10">
        <v>500.0</v>
      </c>
      <c r="L6" s="10">
        <v>500.0</v>
      </c>
      <c r="M6" s="7"/>
      <c r="N6" s="7"/>
      <c r="O6" s="10" t="s">
        <v>22</v>
      </c>
      <c r="R6" s="25">
        <v>0.0</v>
      </c>
      <c r="S6" s="25" t="s">
        <v>31</v>
      </c>
      <c r="T6" s="25">
        <v>0.0</v>
      </c>
      <c r="U6" s="25">
        <v>0.0</v>
      </c>
      <c r="V6" s="25" t="s">
        <v>32</v>
      </c>
      <c r="Z6" s="25" t="s">
        <v>33</v>
      </c>
      <c r="AE6" s="25">
        <v>1000.0</v>
      </c>
      <c r="AI6" s="25">
        <v>1.0</v>
      </c>
      <c r="AT6" s="25">
        <v>500014.28</v>
      </c>
      <c r="AU6" s="25">
        <v>500014.28</v>
      </c>
      <c r="AW6" s="25">
        <v>0.0</v>
      </c>
      <c r="AX6" s="25">
        <v>0.0</v>
      </c>
      <c r="AY6" s="25" t="s">
        <v>27</v>
      </c>
      <c r="AZ6" s="25">
        <v>0.0</v>
      </c>
      <c r="BC6" s="25">
        <v>0.0</v>
      </c>
      <c r="BE6" s="25">
        <v>500000.0</v>
      </c>
      <c r="BF6" s="25">
        <v>500000.0</v>
      </c>
      <c r="BJ6" s="25">
        <v>1000.0</v>
      </c>
      <c r="BO6" s="25" t="s">
        <v>21</v>
      </c>
      <c r="BT6" s="25" t="s">
        <v>20</v>
      </c>
      <c r="BU6" s="25">
        <v>0.0</v>
      </c>
      <c r="CD6" s="25" t="s">
        <v>34</v>
      </c>
      <c r="CI6" s="25" t="s">
        <v>21</v>
      </c>
      <c r="CJ6" s="25">
        <v>0.0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6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35</v>
      </c>
      <c r="D3" s="9" t="s">
        <v>6</v>
      </c>
      <c r="E3" s="21" t="s">
        <v>36</v>
      </c>
      <c r="F3" s="9" t="s">
        <v>14</v>
      </c>
      <c r="G3" s="13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</row>
    <row r="4" ht="15.75" customHeight="1">
      <c r="A4" s="23"/>
      <c r="B4" s="23" t="str">
        <f>IFERROR(__xludf.DUMMYFUNCTION("IF(C3="""","""",Transpose(IMPORTRANGE('_Settings'!$B$3,C3&amp;""!A4:A1000"")))"),"CheckDashboardPM")</f>
        <v>CheckDashboardPM</v>
      </c>
      <c r="C4" s="23" t="str">
        <f>IFERROR(__xludf.DUMMYFUNCTION("""COMPUTED_VALUE"""),"CheckPortfolioManagement")</f>
        <v>CheckPortfolioManagement</v>
      </c>
      <c r="D4" s="23" t="str">
        <f>IFERROR(__xludf.DUMMYFUNCTION("""COMPUTED_VALUE"""),"OpenPSTFromPM")</f>
        <v>OpenPSTFromPM</v>
      </c>
      <c r="E4" s="23" t="str">
        <f>IFERROR(__xludf.DUMMYFUNCTION("""COMPUTED_VALUE"""),"ClosePM")</f>
        <v>ClosePM</v>
      </c>
      <c r="F4" s="23" t="str">
        <f>IFERROR(__xludf.DUMMYFUNCTION("""COMPUTED_VALUE"""),"FilterPM")</f>
        <v>FilterPM</v>
      </c>
      <c r="G4" s="23" t="str">
        <f>IFERROR(__xludf.DUMMYFUNCTION("""COMPUTED_VALUE"""),"GroupRowPM")</f>
        <v>GroupRowPM</v>
      </c>
      <c r="H4" s="23" t="str">
        <f>IFERROR(__xludf.DUMMYFUNCTION("""COMPUTED_VALUE"""),"CheckDashboardWithPM")</f>
        <v>CheckDashboardWithPM</v>
      </c>
      <c r="I4" s="23" t="str">
        <f>IFERROR(__xludf.DUMMYFUNCTION("""COMPUTED_VALUE"""),"RemoveFilterPM")</f>
        <v>RemoveFilterPM</v>
      </c>
      <c r="J4" s="23" t="str">
        <f>IFERROR(__xludf.DUMMYFUNCTION("""COMPUTED_VALUE"""),"CheckSummaryRowsPM")</f>
        <v>CheckSummaryRowsPM</v>
      </c>
      <c r="K4" s="23" t="str">
        <f>IFERROR(__xludf.DUMMYFUNCTION("""COMPUTED_VALUE"""),"OpenPTTFromPM")</f>
        <v>OpenPTTFromPM</v>
      </c>
      <c r="L4" s="23" t="str">
        <f>IFERROR(__xludf.DUMMYFUNCTION("""COMPUTED_VALUE"""),"OpenCreateTransactionFromPM")</f>
        <v>OpenCreateTransactionFromPM</v>
      </c>
      <c r="M4" s="23" t="str">
        <f>IFERROR(__xludf.DUMMYFUNCTION("""COMPUTED_VALUE"""),"OpenClosingFromPM")</f>
        <v>OpenClosingFromPM</v>
      </c>
      <c r="N4" s="23" t="str">
        <f>IFERROR(__xludf.DUMMYFUNCTION("""COMPUTED_VALUE"""),"OpenCorporateActionFromPM")</f>
        <v>OpenCorporateActionFromPM</v>
      </c>
      <c r="O4" s="23" t="str">
        <f>IFERROR(__xludf.DUMMYFUNCTION("""COMPUTED_VALUE"""),"OpenDailyValuationFromPM")</f>
        <v>OpenDailyValuationFromPM</v>
      </c>
      <c r="P4" s="24" t="str">
        <f>IFERROR(__xludf.DUMMYFUNCTION("""COMPUTED_VALUE"""),"ClosePositionFromPM")</f>
        <v>ClosePositionFromPM</v>
      </c>
      <c r="Q4" s="24" t="str">
        <f>IFERROR(__xludf.DUMMYFUNCTION("""COMPUTED_VALUE"""),"ShowSummaryToolFromPM")</f>
        <v>ShowSummaryToolFromPM</v>
      </c>
      <c r="R4" s="24" t="str">
        <f>IFERROR(__xludf.DUMMYFUNCTION("""COMPUTED_VALUE"""),"HideSummaryToolFromPM")</f>
        <v>HideSummaryToolFromPM</v>
      </c>
      <c r="S4" s="24" t="str">
        <f>IFERROR(__xludf.DUMMYFUNCTION("""COMPUTED_VALUE"""),"CloseAccountPositionFromPM")</f>
        <v>CloseAccountPositionFromPM</v>
      </c>
      <c r="T4" s="24" t="str">
        <f>IFERROR(__xludf.DUMMYFUNCTION("""COMPUTED_VALUE"""),"CloseSelectedTaxlotsFromPM")</f>
        <v>CloseSelectedTaxlotsFromPM</v>
      </c>
      <c r="U4" s="24" t="str">
        <f>IFERROR(__xludf.DUMMYFUNCTION("""COMPUTED_VALUE"""),"ExpandCollapsePM")</f>
        <v>ExpandCollapsePM</v>
      </c>
      <c r="V4" s="24" t="str">
        <f>IFERROR(__xludf.DUMMYFUNCTION("""COMPUTED_VALUE"""),"AddCustomViewPM")</f>
        <v>AddCustomViewPM</v>
      </c>
      <c r="W4" s="24" t="str">
        <f>IFERROR(__xludf.DUMMYFUNCTION("""COMPUTED_VALUE"""),"AddCustomViewRightClickPM")</f>
        <v>AddCustomViewRightClickPM</v>
      </c>
      <c r="X4" s="24" t="str">
        <f>IFERROR(__xludf.DUMMYFUNCTION("""COMPUTED_VALUE"""),"RenameCustomViewPM")</f>
        <v>RenameCustomViewPM</v>
      </c>
      <c r="Y4" s="24" t="str">
        <f>IFERROR(__xludf.DUMMYFUNCTION("""COMPUTED_VALUE"""),"DeleteCustomViewPM")</f>
        <v>DeleteCustomViewPM</v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  <c r="EY4" s="24" t="str">
        <f>IFERROR(__xludf.DUMMYFUNCTION("""COMPUTED_VALUE"""),"")</f>
        <v/>
      </c>
      <c r="EZ4" s="24" t="str">
        <f>IFERROR(__xludf.DUMMYFUNCTION("""COMPUTED_VALUE"""),"")</f>
        <v/>
      </c>
      <c r="FA4" s="24" t="str">
        <f>IFERROR(__xludf.DUMMYFUNCTION("""COMPUTED_VALUE"""),"")</f>
        <v/>
      </c>
      <c r="FB4" s="24" t="str">
        <f>IFERROR(__xludf.DUMMYFUNCTION("""COMPUTED_VALUE"""),"")</f>
        <v/>
      </c>
      <c r="FC4" s="24" t="str">
        <f>IFERROR(__xludf.DUMMYFUNCTION("""COMPUTED_VALUE"""),"")</f>
        <v/>
      </c>
      <c r="FD4" s="24" t="str">
        <f>IFERROR(__xludf.DUMMYFUNCTION("""COMPUTED_VALUE"""),"")</f>
        <v/>
      </c>
      <c r="FE4" s="24" t="str">
        <f>IFERROR(__xludf.DUMMYFUNCTION("""COMPUTED_VALUE"""),"")</f>
        <v/>
      </c>
      <c r="FF4" s="24" t="str">
        <f>IFERROR(__xludf.DUMMYFUNCTION("""COMPUTED_VALUE"""),"")</f>
        <v/>
      </c>
      <c r="FG4" s="24" t="str">
        <f>IFERROR(__xludf.DUMMYFUNCTION("""COMPUTED_VALUE"""),"")</f>
        <v/>
      </c>
      <c r="FH4" s="24" t="str">
        <f>IFERROR(__xludf.DUMMYFUNCTION("""COMPUTED_VALUE"""),"")</f>
        <v/>
      </c>
      <c r="FI4" s="24" t="str">
        <f>IFERROR(__xludf.DUMMYFUNCTION("""COMPUTED_VALUE"""),"")</f>
        <v/>
      </c>
      <c r="FJ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Outstanding")</f>
        <v>Shares Outstanding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IFERROR(__xludf.DUMMYFUNCTION("""COMPUTED_VALUE"""),"")</f>
        <v/>
      </c>
      <c r="FC5" s="29" t="str">
        <f>IFERROR(__xludf.DUMMYFUNCTION("""COMPUTED_VALUE"""),"")</f>
        <v/>
      </c>
      <c r="FD5" s="29" t="str">
        <f>IFERROR(__xludf.DUMMYFUNCTION("""COMPUTED_VALUE"""),"")</f>
        <v/>
      </c>
      <c r="FE5" s="29" t="str">
        <f>IFERROR(__xludf.DUMMYFUNCTION("""COMPUTED_VALUE"""),"")</f>
        <v/>
      </c>
      <c r="FF5" s="29" t="str">
        <f>IFERROR(__xludf.DUMMYFUNCTION("""COMPUTED_VALUE"""),"")</f>
        <v/>
      </c>
      <c r="FG5" s="29" t="str">
        <f>IFERROR(__xludf.DUMMYFUNCTION("""COMPUTED_VALUE"""),"")</f>
        <v/>
      </c>
      <c r="FH5" s="29" t="str">
        <f>IFERROR(__xludf.DUMMYFUNCTION("""COMPUTED_VALUE"""),"")</f>
        <v/>
      </c>
      <c r="FI5" s="29" t="str">
        <f>IFERROR(__xludf.DUMMYFUNCTION("""COMPUTED_VALUE"""),"")</f>
        <v/>
      </c>
      <c r="FJ5" s="29" t="str">
        <f>IFERROR(__xludf.DUMMYFUNCTION("""COMPUTED_VALUE"""),"")</f>
        <v/>
      </c>
    </row>
    <row r="6" ht="15.75" customHeight="1">
      <c r="A6" s="10"/>
      <c r="B6" s="10"/>
      <c r="C6" s="10" t="s">
        <v>20</v>
      </c>
      <c r="D6" s="10">
        <v>1000.0</v>
      </c>
      <c r="E6" s="10" t="s">
        <v>29</v>
      </c>
      <c r="F6" s="10" t="s">
        <v>34</v>
      </c>
      <c r="G6" s="7"/>
      <c r="H6" s="10" t="s">
        <v>37</v>
      </c>
      <c r="I6" s="10">
        <v>0.0</v>
      </c>
      <c r="J6" s="10">
        <v>0.0</v>
      </c>
      <c r="K6" s="10">
        <v>0.0</v>
      </c>
      <c r="L6" s="10">
        <v>0.0</v>
      </c>
      <c r="M6" s="10">
        <v>0.0</v>
      </c>
      <c r="N6" s="10">
        <v>-500000.0</v>
      </c>
      <c r="O6" s="10" t="s">
        <v>32</v>
      </c>
      <c r="Q6" s="25">
        <v>-500000.0</v>
      </c>
      <c r="R6" s="25" t="s">
        <v>22</v>
      </c>
      <c r="T6" s="25" t="s">
        <v>38</v>
      </c>
      <c r="U6" s="25" t="s">
        <v>39</v>
      </c>
      <c r="Y6" s="25">
        <v>1.0</v>
      </c>
      <c r="AB6" s="25">
        <v>0.0</v>
      </c>
      <c r="AC6" s="25">
        <v>0.0</v>
      </c>
      <c r="AD6" s="25">
        <v>0.0</v>
      </c>
      <c r="AE6" s="25">
        <v>0.0</v>
      </c>
      <c r="AF6" s="25">
        <v>1000.0</v>
      </c>
      <c r="AG6" s="25">
        <v>0.0</v>
      </c>
      <c r="AH6" s="25">
        <v>0.0</v>
      </c>
      <c r="AI6" s="25">
        <v>0.0</v>
      </c>
      <c r="AJ6" s="25">
        <v>0.0</v>
      </c>
      <c r="AK6" s="25">
        <v>-500000.0</v>
      </c>
      <c r="AN6" s="25" t="s">
        <v>21</v>
      </c>
      <c r="AP6" s="25" t="s">
        <v>37</v>
      </c>
      <c r="AQ6" s="25" t="s">
        <v>20</v>
      </c>
      <c r="AS6" s="25">
        <v>1.0</v>
      </c>
      <c r="AV6" s="25">
        <v>1.0</v>
      </c>
      <c r="AW6" s="25">
        <v>-500000.0</v>
      </c>
      <c r="AX6" s="25">
        <v>0.0</v>
      </c>
      <c r="AY6" s="25">
        <v>0.0</v>
      </c>
      <c r="AZ6" s="25">
        <v>0.0</v>
      </c>
      <c r="BA6" s="25">
        <v>-100.0</v>
      </c>
      <c r="BD6" s="25">
        <v>-500000.0</v>
      </c>
      <c r="BJ6" s="25">
        <v>0.0</v>
      </c>
      <c r="BK6" s="25">
        <v>0.0</v>
      </c>
      <c r="BL6" s="25">
        <v>0.0</v>
      </c>
      <c r="BM6" s="25">
        <v>0.0</v>
      </c>
      <c r="BO6" s="25">
        <v>-500000.0</v>
      </c>
      <c r="BP6" s="25">
        <v>0.0</v>
      </c>
      <c r="BR6" s="25" t="s">
        <v>22</v>
      </c>
      <c r="BW6" s="25">
        <v>0.0</v>
      </c>
      <c r="BX6" s="25">
        <v>0.0</v>
      </c>
      <c r="BY6" s="25">
        <v>0.0</v>
      </c>
      <c r="BZ6" s="25">
        <v>0.0</v>
      </c>
      <c r="CA6" s="25">
        <v>0.0</v>
      </c>
      <c r="CD6" s="25">
        <v>-500000.0</v>
      </c>
      <c r="CE6" s="25">
        <v>0.0</v>
      </c>
      <c r="CF6" s="25">
        <v>0.0</v>
      </c>
      <c r="CG6" s="25">
        <v>-500000.0</v>
      </c>
      <c r="CH6" s="25">
        <v>-100.0</v>
      </c>
      <c r="CI6" s="25">
        <v>0.0</v>
      </c>
      <c r="CJ6" s="25">
        <v>0.0</v>
      </c>
      <c r="CW6" s="25" t="s">
        <v>34</v>
      </c>
      <c r="DA6" s="25">
        <v>0.0</v>
      </c>
      <c r="DB6" s="25">
        <v>0.0</v>
      </c>
      <c r="DD6" s="25">
        <v>1000.0</v>
      </c>
      <c r="DE6" s="25">
        <v>0.0</v>
      </c>
      <c r="DF6" s="25">
        <v>0.0</v>
      </c>
      <c r="DI6" s="25">
        <v>0.0</v>
      </c>
      <c r="DJ6" s="25" t="s">
        <v>21</v>
      </c>
      <c r="DK6" s="25">
        <v>0.0</v>
      </c>
      <c r="DN6" s="25">
        <v>0.0</v>
      </c>
      <c r="DP6" s="25" t="s">
        <v>37</v>
      </c>
      <c r="EG6" s="25">
        <v>0.0</v>
      </c>
      <c r="EH6" s="25">
        <v>0.0</v>
      </c>
      <c r="EI6" s="25">
        <v>0.0</v>
      </c>
      <c r="EJ6" s="25">
        <v>0.0</v>
      </c>
      <c r="EK6" s="25">
        <v>0.0</v>
      </c>
      <c r="EQ6" s="25">
        <v>0.0</v>
      </c>
      <c r="ER6" s="25">
        <v>0.0</v>
      </c>
      <c r="ES6" s="25">
        <v>-500000.0</v>
      </c>
      <c r="ET6" s="25">
        <v>0.0</v>
      </c>
      <c r="EU6" s="25">
        <v>0.0</v>
      </c>
      <c r="EW6" s="25">
        <v>-500000.0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40</v>
      </c>
      <c r="D3" s="9" t="s">
        <v>6</v>
      </c>
      <c r="E3" s="21" t="s">
        <v>41</v>
      </c>
      <c r="F3" s="9" t="s">
        <v>14</v>
      </c>
      <c r="G3" s="13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IFERROR(__xludf.DUMMYFUNCTION("IF(C3="""","""",Transpose(IMPORTRANGE('_Settings'!$B$3,C3&amp;""!A4:A1000"")))"),"ReplaceFillsOnBlotter")</f>
        <v>ReplaceFillsOnBlotter</v>
      </c>
      <c r="C4" s="23" t="str">
        <f>IFERROR(__xludf.DUMMYFUNCTION("""COMPUTED_VALUE"""),"CheckBlotter")</f>
        <v>CheckBlotter</v>
      </c>
      <c r="D4" s="23" t="str">
        <f>IFERROR(__xludf.DUMMYFUNCTION("""COMPUTED_VALUE"""),"BlotterFunctionalities")</f>
        <v>BlotterFunctionalities</v>
      </c>
      <c r="E4" s="23" t="str">
        <f>IFERROR(__xludf.DUMMYFUNCTION("""COMPUTED_VALUE"""),"TransferToUserWorkingSubs")</f>
        <v>TransferToUserWorkingSubs</v>
      </c>
      <c r="F4" s="23" t="str">
        <f>IFERROR(__xludf.DUMMYFUNCTION("""COMPUTED_VALUE"""),"CancelWorkingSubs")</f>
        <v>CancelWorkingSubs</v>
      </c>
      <c r="G4" s="23" t="str">
        <f>IFERROR(__xludf.DUMMYFUNCTION("""COMPUTED_VALUE"""),"ReplaceWorkingSubs")</f>
        <v>ReplaceWorkingSubs</v>
      </c>
      <c r="H4" s="23" t="str">
        <f>IFERROR(__xludf.DUMMYFUNCTION("""COMPUTED_VALUE"""),"ViewAllocationDetailsWorkingSub")</f>
        <v>ViewAllocationDetailsWorkingSub</v>
      </c>
      <c r="I4" s="23" t="str">
        <f>IFERROR(__xludf.DUMMYFUNCTION("""COMPUTED_VALUE"""),"SelectTradeOnOrderGrid")</f>
        <v>SelectTradeOnOrderGrid</v>
      </c>
      <c r="J4" s="23" t="str">
        <f>IFERROR(__xludf.DUMMYFUNCTION("""COMPUTED_VALUE"""),"ShowDetailsForAlgoTradeSubOrder")</f>
        <v>ShowDetailsForAlgoTradeSubOrder</v>
      </c>
      <c r="K4" s="23" t="str">
        <f>IFERROR(__xludf.DUMMYFUNCTION("""COMPUTED_VALUE"""),"SelectTradeOrderBlotter")</f>
        <v>SelectTradeOrderBlotter</v>
      </c>
      <c r="L4" s="23" t="str">
        <f>IFERROR(__xludf.DUMMYFUNCTION("""COMPUTED_VALUE"""),"AddFillsWorkingSubs")</f>
        <v>AddFillsWorkingSubs</v>
      </c>
      <c r="M4" s="23" t="str">
        <f>IFERROR(__xludf.DUMMYFUNCTION("""COMPUTED_VALUE"""),"EditAddFillsDetails")</f>
        <v>EditAddFillsDetails</v>
      </c>
      <c r="N4" s="23" t="str">
        <f>IFERROR(__xludf.DUMMYFUNCTION("""COMPUTED_VALUE"""),"ShowDetailsForAlgoTradeWorkingSubs")</f>
        <v>ShowDetailsForAlgoTradeWorkingSubs</v>
      </c>
      <c r="O4" s="23" t="str">
        <f>IFERROR(__xludf.DUMMYFUNCTION("""COMPUTED_VALUE"""),"VerifyWorkingSubs")</f>
        <v>VerifyWorkingSubs</v>
      </c>
      <c r="P4" s="24" t="str">
        <f>IFERROR(__xludf.DUMMYFUNCTION("""COMPUTED_VALUE"""),"TransferToUserOrder")</f>
        <v>TransferToUserOrder</v>
      </c>
      <c r="Q4" s="24" t="str">
        <f>IFERROR(__xludf.DUMMYFUNCTION("""COMPUTED_VALUE"""),"EditOrder")</f>
        <v>EditOrder</v>
      </c>
      <c r="R4" s="24" t="str">
        <f>IFERROR(__xludf.DUMMYFUNCTION("""COMPUTED_VALUE"""),"SelectTradeSubOrderBlotter")</f>
        <v>SelectTradeSubOrderBlotter</v>
      </c>
      <c r="S4" s="24" t="str">
        <f>IFERROR(__xludf.DUMMYFUNCTION("""COMPUTED_VALUE"""),"VerifyOrder")</f>
        <v>VerifyOrder</v>
      </c>
      <c r="T4" s="24" t="str">
        <f>IFERROR(__xludf.DUMMYFUNCTION("""COMPUTED_VALUE"""),"VerifySubOrder")</f>
        <v>VerifySubOrder</v>
      </c>
      <c r="U4" s="24" t="str">
        <f>IFERROR(__xludf.DUMMYFUNCTION("""COMPUTED_VALUE"""),"RemoveSelectedOrders")</f>
        <v>RemoveSelectedOrders</v>
      </c>
      <c r="V4" s="24" t="str">
        <f>IFERROR(__xludf.DUMMYFUNCTION("""COMPUTED_VALUE"""),"CancelAllSelectedSubs")</f>
        <v>CancelAllSelectedSubs</v>
      </c>
      <c r="W4" s="24" t="str">
        <f>IFERROR(__xludf.DUMMYFUNCTION("""COMPUTED_VALUE"""),"MultiTradingTicket")</f>
        <v>MultiTradingTicket</v>
      </c>
      <c r="X4" s="24" t="str">
        <f>IFERROR(__xludf.DUMMYFUNCTION("""COMPUTED_VALUE"""),"AuditTrailOrderBlotter")</f>
        <v>AuditTrailOrderBlotter</v>
      </c>
      <c r="Y4" s="24" t="str">
        <f>IFERROR(__xludf.DUMMYFUNCTION("""COMPUTED_VALUE"""),"TradeNewSubOrder")</f>
        <v>TradeNewSubOrder</v>
      </c>
      <c r="Z4" s="24" t="str">
        <f>IFERROR(__xludf.DUMMYFUNCTION("""COMPUTED_VALUE"""),"RemoveStageOrder")</f>
        <v>RemoveStageOrder</v>
      </c>
      <c r="AA4" s="24" t="str">
        <f>IFERROR(__xludf.DUMMYFUNCTION("""COMPUTED_VALUE"""),"TransferToUserSubOrder")</f>
        <v>TransferToUserSubOrder</v>
      </c>
      <c r="AB4" s="24" t="str">
        <f>IFERROR(__xludf.DUMMYFUNCTION("""COMPUTED_VALUE"""),"DetailsForAlgoTradeOrder")</f>
        <v>DetailsForAlgoTradeOrder</v>
      </c>
      <c r="AC4" s="24" t="str">
        <f>IFERROR(__xludf.DUMMYFUNCTION("""COMPUTED_VALUE"""),"AddFillsSubOrder")</f>
        <v>AddFillsSubOrder</v>
      </c>
      <c r="AD4" s="24" t="str">
        <f>IFERROR(__xludf.DUMMYFUNCTION("""COMPUTED_VALUE"""),"ViewAllocationDetailsSubOrder")</f>
        <v>ViewAllocationDetailsSubOrder</v>
      </c>
      <c r="AE4" s="24" t="str">
        <f>IFERROR(__xludf.DUMMYFUNCTION("""COMPUTED_VALUE"""),"CancelAllSubs")</f>
        <v>CancelAllSubs</v>
      </c>
      <c r="AF4" s="24" t="str">
        <f>IFERROR(__xludf.DUMMYFUNCTION("""COMPUTED_VALUE"""),"CancelSubOrder")</f>
        <v>CancelSubOrder</v>
      </c>
      <c r="AG4" s="24" t="str">
        <f>IFERROR(__xludf.DUMMYFUNCTION("""COMPUTED_VALUE"""),"EditStageOrder")</f>
        <v>EditStageOrder</v>
      </c>
      <c r="AH4" s="24" t="str">
        <f>IFERROR(__xludf.DUMMYFUNCTION("""COMPUTED_VALUE"""),"ReplaceSubOrder")</f>
        <v>ReplaceSubOrder</v>
      </c>
      <c r="AI4" s="24" t="str">
        <f>IFERROR(__xludf.DUMMYFUNCTION("""COMPUTED_VALUE"""),"SelectTradeWorkingSubsBlotter")</f>
        <v>SelectTradeWorkingSubsBlotter</v>
      </c>
      <c r="AJ4" s="24" t="str">
        <f>IFERROR(__xludf.DUMMYFUNCTION("""COMPUTED_VALUE"""),"VerifyAlgoDetails")</f>
        <v>VerifyAlgoDetails</v>
      </c>
      <c r="AK4" s="24" t="str">
        <f>IFERROR(__xludf.DUMMYFUNCTION("""COMPUTED_VALUE"""),"VerifyTransferToUserOrder")</f>
        <v>VerifyTransferToUserOrder</v>
      </c>
      <c r="AL4" s="24" t="str">
        <f>IFERROR(__xludf.DUMMYFUNCTION("""COMPUTED_VALUE"""),"VerifyTransferToUserSubOdr")</f>
        <v>VerifyTransferToUserSubOdr</v>
      </c>
      <c r="AM4" s="24" t="str">
        <f>IFERROR(__xludf.DUMMYFUNCTION("""COMPUTED_VALUE"""),"VerifyTransferToUserWorkSub")</f>
        <v>VerifyTransferToUserWorkSub</v>
      </c>
      <c r="AN4" s="24" t="str">
        <f>IFERROR(__xludf.DUMMYFUNCTION("""COMPUTED_VALUE"""),"SaveLayoutOrderGrid")</f>
        <v>SaveLayoutOrderGrid</v>
      </c>
      <c r="AO4" s="24" t="str">
        <f>IFERROR(__xludf.DUMMYFUNCTION("""COMPUTED_VALUE"""),"ReplaceStageOrder")</f>
        <v>ReplaceStageOrder</v>
      </c>
      <c r="AP4" s="24" t="str">
        <f>IFERROR(__xludf.DUMMYFUNCTION("""COMPUTED_VALUE"""),"MultiTradingTicketFromBlotter")</f>
        <v>MultiTradingTicketFromBlotter</v>
      </c>
      <c r="AQ4" s="24" t="str">
        <f>IFERROR(__xludf.DUMMYFUNCTION("""COMPUTED_VALUE"""),"VerifyViewAllocationDetails")</f>
        <v>VerifyViewAllocationDetails</v>
      </c>
      <c r="AR4" s="24" t="str">
        <f>IFERROR(__xludf.DUMMYFUNCTION("""COMPUTED_VALUE"""),"GoToAllocation")</f>
        <v>GoToAllocation</v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IFERROR(__xludf.DUMMYFUNCTION("""COMPUTED_VALUE"""),"Unexecuted Qty")</f>
        <v>Unexecuted Qty</v>
      </c>
      <c r="G5" s="27" t="str">
        <f>IFERROR(__xludf.DUMMYFUNCTION("""COMPUTED_VALUE"""),"Status")</f>
        <v>Status</v>
      </c>
      <c r="H5" s="27" t="str">
        <f>IFERROR(__xludf.DUMMYFUNCTION("""COMPUTED_VALUE"""),"Last Shares")</f>
        <v>Last Shares</v>
      </c>
      <c r="I5" s="27" t="str">
        <f>IFERROR(__xludf.DUMMYFUNCTION("""COMPUTED_VALUE"""),"Last Fill Price (Local)")</f>
        <v>Last Fill Price (Local)</v>
      </c>
      <c r="J5" s="27" t="str">
        <f>IFERROR(__xludf.DUMMYFUNCTION("""COMPUTED_VALUE"""),"Avg Fill Price (Local)")</f>
        <v>Avg Fill Price (Local)</v>
      </c>
      <c r="K5" s="27" t="str">
        <f>IFERROR(__xludf.DUMMYFUNCTION("""COMPUTED_VALUE"""),"Broker")</f>
        <v>Broker</v>
      </c>
      <c r="L5" s="27" t="str">
        <f>IFERROR(__xludf.DUMMYFUNCTION("""COMPUTED_VALUE"""),"Account")</f>
        <v>Account</v>
      </c>
      <c r="M5" s="27" t="str">
        <f>IFERROR(__xludf.DUMMYFUNCTION("""COMPUTED_VALUE"""),"Order Type")</f>
        <v>Order Type</v>
      </c>
      <c r="N5" s="27" t="str">
        <f>IFERROR(__xludf.DUMMYFUNCTION("""COMPUTED_VALUE"""),"OrderStatus")</f>
        <v>OrderStatus</v>
      </c>
      <c r="O5" s="27" t="str">
        <f>IFERROR(__xludf.DUMMYFUNCTION("""COMPUTED_VALUE"""),"Avg Fill Price (Base)")</f>
        <v>Avg Fill Price (Base)</v>
      </c>
      <c r="P5" s="27" t="str">
        <f>IFERROR(__xludf.DUMMYFUNCTION("""COMPUTED_VALUE"""),"Limit Price")</f>
        <v>Limit Price</v>
      </c>
      <c r="Q5" s="27" t="str">
        <f>IFERROR(__xludf.DUMMYFUNCTION("""COMPUTED_VALUE"""),"Stop Price")</f>
        <v>Stop Price</v>
      </c>
      <c r="R5" s="27" t="str">
        <f>IFERROR(__xludf.DUMMYFUNCTION("""COMPUTED_VALUE"""),"User")</f>
        <v>User</v>
      </c>
      <c r="S5" s="27" t="str">
        <f>IFERROR(__xludf.DUMMYFUNCTION("""COMPUTED_VALUE"""),"Bloomberg Symbol")</f>
        <v>Bloomberg Symbol</v>
      </c>
      <c r="T5" s="29" t="str">
        <f>IFERROR(__xludf.DUMMYFUNCTION("""COMPUTED_VALUE"""),"Algo")</f>
        <v>Algo</v>
      </c>
      <c r="U5" s="29" t="str">
        <f>IFERROR(__xludf.DUMMYFUNCTION("""COMPUTED_VALUE"""),"Allocation Scheme Name")</f>
        <v>Allocation Scheme Name</v>
      </c>
      <c r="V5" s="29" t="str">
        <f>IFERROR(__xludf.DUMMYFUNCTION("""COMPUTED_VALUE"""),"Allocation Status")</f>
        <v>Allocation Status</v>
      </c>
      <c r="W5" s="29" t="str">
        <f>IFERROR(__xludf.DUMMYFUNCTION("""COMPUTED_VALUE"""),"Asset Class")</f>
        <v>Asset Class</v>
      </c>
      <c r="X5" s="29" t="str">
        <f>IFERROR(__xludf.DUMMYFUNCTION("""COMPUTED_VALUE"""),"FX Conversion Operator")</f>
        <v>FX Conversion Operator</v>
      </c>
      <c r="Y5" s="29" t="str">
        <f>IFERROR(__xludf.DUMMYFUNCTION("""COMPUTED_VALUE"""),"FX Rate")</f>
        <v>FX Rate</v>
      </c>
      <c r="Z5" s="29" t="str">
        <f>IFERROR(__xludf.DUMMYFUNCTION("""COMPUTED_VALUE"""),"Imported File Name")</f>
        <v>Imported File Name</v>
      </c>
      <c r="AA5" s="29" t="str">
        <f>IFERROR(__xludf.DUMMYFUNCTION("""COMPUTED_VALUE"""),"Internal Comments")</f>
        <v>Internal Comments</v>
      </c>
      <c r="AB5" s="29" t="str">
        <f>IFERROR(__xludf.DUMMYFUNCTION("""COMPUTED_VALUE"""),"Peg")</f>
        <v>Peg</v>
      </c>
      <c r="AC5" s="29" t="str">
        <f>IFERROR(__xludf.DUMMYFUNCTION("""COMPUTED_VALUE"""),"Principal Amount (Base)")</f>
        <v>Principal Amount (Base)</v>
      </c>
      <c r="AD5" s="29" t="str">
        <f>IFERROR(__xludf.DUMMYFUNCTION("""COMPUTED_VALUE"""),"Principal Amount (Local)")</f>
        <v>Principal Amount (Local)</v>
      </c>
      <c r="AE5" s="29" t="str">
        <f>IFERROR(__xludf.DUMMYFUNCTION("""COMPUTED_VALUE"""),"Process Date")</f>
        <v>Process Date</v>
      </c>
      <c r="AF5" s="29" t="str">
        <f>IFERROR(__xludf.DUMMYFUNCTION("""COMPUTED_VALUE"""),"Put/Call")</f>
        <v>Put/Call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IFERROR(__xludf.DUMMYFUNCTION("""COMPUTED_VALUE"""),"Source")</f>
        <v>Source</v>
      </c>
      <c r="AI5" s="29" t="str">
        <f>IFERROR(__xludf.DUMMYFUNCTION("""COMPUTED_VALUE"""),"Status (With Rollover)")</f>
        <v>Status (With Rollover)</v>
      </c>
      <c r="AJ5" s="29" t="str">
        <f>IFERROR(__xludf.DUMMYFUNCTION("""COMPUTED_VALUE"""),"Strategy")</f>
        <v>Strategy</v>
      </c>
      <c r="AK5" s="29" t="str">
        <f>IFERROR(__xludf.DUMMYFUNCTION("""COMPUTED_VALUE"""),"Strike Price")</f>
        <v>Strike Price</v>
      </c>
      <c r="AL5" s="29" t="str">
        <f>IFERROR(__xludf.DUMMYFUNCTION("""COMPUTED_VALUE"""),"Trade Attribute 1")</f>
        <v>Trade Attribute 1</v>
      </c>
      <c r="AM5" s="29" t="str">
        <f>IFERROR(__xludf.DUMMYFUNCTION("""COMPUTED_VALUE"""),"Trade Attribute 2")</f>
        <v>Trade Attribute 2</v>
      </c>
      <c r="AN5" s="29" t="str">
        <f>IFERROR(__xludf.DUMMYFUNCTION("""COMPUTED_VALUE"""),"Trade Attribute 3")</f>
        <v>Trade Attribute 3</v>
      </c>
      <c r="AO5" s="29" t="str">
        <f>IFERROR(__xludf.DUMMYFUNCTION("""COMPUTED_VALUE"""),"Trade Attribute 4")</f>
        <v>Trade Attribute 4</v>
      </c>
      <c r="AP5" s="29" t="str">
        <f>IFERROR(__xludf.DUMMYFUNCTION("""COMPUTED_VALUE"""),"Trade Attribute 5")</f>
        <v>Trade Attribute 5</v>
      </c>
      <c r="AQ5" s="29" t="str">
        <f>IFERROR(__xludf.DUMMYFUNCTION("""COMPUTED_VALUE"""),"Trade Attribute 6")</f>
        <v>Trade Attribute 6</v>
      </c>
      <c r="AR5" s="29" t="str">
        <f>IFERROR(__xludf.DUMMYFUNCTION("""COMPUTED_VALUE"""),"Trader")</f>
        <v>Trader</v>
      </c>
      <c r="AS5" s="29" t="str">
        <f>IFERROR(__xludf.DUMMYFUNCTION("""COMPUTED_VALUE"""),"Transaction Time")</f>
        <v>Transaction Time</v>
      </c>
      <c r="AT5" s="29" t="str">
        <f>IFERROR(__xludf.DUMMYFUNCTION("""COMPUTED_VALUE"""),"Underlying Country")</f>
        <v>Underlying Country</v>
      </c>
      <c r="AU5" s="29" t="str">
        <f>IFERROR(__xludf.DUMMYFUNCTION("""COMPUTED_VALUE"""),"Underlying Symbol")</f>
        <v>Underlying Symbol</v>
      </c>
      <c r="AV5" s="29" t="str">
        <f>IFERROR(__xludf.DUMMYFUNCTION("""COMPUTED_VALUE"""),"Venue")</f>
        <v>Venue</v>
      </c>
      <c r="AW5" s="29" t="str">
        <f>IFERROR(__xludf.DUMMYFUNCTION("""COMPUTED_VALUE"""),"Working Qty")</f>
        <v>Working Qty</v>
      </c>
      <c r="AX5" s="29" t="str">
        <f>IFERROR(__xludf.DUMMYFUNCTION("""COMPUTED_VALUE"""),"Client")</f>
        <v>Client</v>
      </c>
      <c r="AY5" s="29" t="str">
        <f>IFERROR(__xludf.DUMMYFUNCTION("""COMPUTED_VALUE"""),"OrderID")</f>
        <v>OrderID</v>
      </c>
      <c r="AZ5" s="29" t="str">
        <f>IFERROR(__xludf.DUMMYFUNCTION("""COMPUTED_VALUE"""),"ParentClOrderID")</f>
        <v>ParentClOrderID</v>
      </c>
      <c r="BA5" s="29" t="str">
        <f>IFERROR(__xludf.DUMMYFUNCTION("""COMPUTED_VALUE"""),"Master Fund")</f>
        <v>Master Fund</v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0"/>
      <c r="B6" s="10" t="s">
        <v>20</v>
      </c>
      <c r="C6" s="10" t="s">
        <v>21</v>
      </c>
      <c r="D6" s="10">
        <v>1000.0</v>
      </c>
      <c r="E6" s="10">
        <v>1000.0</v>
      </c>
      <c r="F6" s="7"/>
      <c r="G6" s="10" t="s">
        <v>42</v>
      </c>
      <c r="H6" s="7"/>
      <c r="I6" s="7"/>
      <c r="J6" s="10">
        <v>500.0</v>
      </c>
      <c r="K6" s="10" t="s">
        <v>22</v>
      </c>
      <c r="L6" s="10" t="s">
        <v>29</v>
      </c>
      <c r="M6" s="10" t="s">
        <v>27</v>
      </c>
      <c r="N6" s="7"/>
      <c r="O6" s="10">
        <v>500.0</v>
      </c>
      <c r="V6" s="25" t="s">
        <v>43</v>
      </c>
      <c r="Y6" s="25">
        <v>1.0</v>
      </c>
      <c r="AC6" s="25">
        <v>500000.0</v>
      </c>
      <c r="AD6" s="25">
        <v>500000.0</v>
      </c>
      <c r="AI6" s="25" t="s">
        <v>42</v>
      </c>
      <c r="AQ6" s="25" t="s">
        <v>34</v>
      </c>
      <c r="BA6" s="25" t="s">
        <v>34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