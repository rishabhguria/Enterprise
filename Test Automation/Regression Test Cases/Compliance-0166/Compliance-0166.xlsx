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1" sheetId="4" r:id="rId6"/>
    <sheet state="visible" name="AddCalculatedPreferences" sheetId="5" r:id="rId7"/>
    <sheet state="visible" name="SetAccountValueCalculatedPref" sheetId="6" r:id="rId8"/>
    <sheet state="visible" name="SetDefaultRuleCalculatedPref" sheetId="7" r:id="rId9"/>
    <sheet state="visible" name="CreateLiveOrder" sheetId="8" r:id="rId10"/>
    <sheet state="visible" name="SelectTrade" sheetId="9" r:id="rId11"/>
    <sheet state="visible" name="AcknowledgeTrade" sheetId="10" r:id="rId12"/>
    <sheet state="visible" name="CreateComplianceOrder" sheetId="11" r:id="rId13"/>
    <sheet state="visible" name="VerifyComplianceOrder" sheetId="12" r:id="rId14"/>
    <sheet state="visible" name="SelectTradeOnOrderGrid" sheetId="13" r:id="rId15"/>
    <sheet state="visible" name="ReplaceSubOrder" sheetId="14" r:id="rId16"/>
    <sheet state="visible" name="CreateReplaceOrder" sheetId="15" r:id="rId17"/>
    <sheet state="visible" name="SetRollover" sheetId="16" r:id="rId18"/>
    <sheet state="visible" name="VerifyComplianceOrder1" sheetId="17" r:id="rId19"/>
    <sheet state="visible" name="VerifyRollover" sheetId="18" r:id="rId20"/>
    <sheet state="visible" name="RestartReleasesAndServices" sheetId="19" r:id="rId21"/>
    <sheet state="visible" name="RejectTrade" sheetId="20" r:id="rId22"/>
    <sheet state="visible" name="CancelSubOrder" sheetId="21" r:id="rId23"/>
    <sheet state="visible" name="VerifyRollover2" sheetId="22" r:id="rId24"/>
    <sheet state="visible" name="VerifyRollover1" sheetId="23" r:id="rId25"/>
  </sheets>
  <definedNames/>
  <calcPr/>
</workbook>
</file>

<file path=xl/sharedStrings.xml><?xml version="1.0" encoding="utf-8"?>
<sst xmlns="http://schemas.openxmlformats.org/spreadsheetml/2006/main" count="263" uniqueCount="70">
  <si>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</si>
  <si>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</si>
  <si>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</si>
  <si>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</si>
  <si>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</si>
  <si>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</si>
  <si>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</si>
  <si>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</si>
  <si>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</si>
  <si>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</si>
  <si>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</si>
  <si>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</si>
  <si>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</si>
  <si>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</si>
  <si>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</si>
  <si>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</si>
  <si>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GOOG</t>
  </si>
  <si>
    <t>Buy</t>
  </si>
  <si>
    <t>PendingReplace</t>
  </si>
  <si>
    <t>RollOver</t>
  </si>
  <si>
    <t>Allocation</t>
  </si>
  <si>
    <t>AddCalculatedPreferences</t>
  </si>
  <si>
    <t>PrefSt</t>
  </si>
  <si>
    <t>SetAccountValueCalculatedPref</t>
  </si>
  <si>
    <t>Allocation2</t>
  </si>
  <si>
    <t>Allocation3</t>
  </si>
  <si>
    <t>SetDefaultRuleCalculatedPref</t>
  </si>
  <si>
    <t>Trade Quantity</t>
  </si>
  <si>
    <t>Current Preference</t>
  </si>
  <si>
    <t>TradingTicket</t>
  </si>
  <si>
    <t>CreateLiveOrder</t>
  </si>
  <si>
    <t>Yes</t>
  </si>
  <si>
    <t>Simulator</t>
  </si>
  <si>
    <t>SelectTrade</t>
  </si>
  <si>
    <t>AcknowledgeTrade</t>
  </si>
  <si>
    <t>CreateComplianceOrder</t>
  </si>
  <si>
    <t>Send</t>
  </si>
  <si>
    <t>VerifyComplianceOrder</t>
  </si>
  <si>
    <t>Soft</t>
  </si>
  <si>
    <t>Account_Symbol</t>
  </si>
  <si>
    <t>If Quantity not equals to -1234, Symbol equals to "GOOG", Then block the trade.</t>
  </si>
  <si>
    <t>Allocation3-GOOG</t>
  </si>
  <si>
    <t>quantity: 505.00, symbol: GOOG, AccountShortName: Allocation3</t>
  </si>
  <si>
    <t>No</t>
  </si>
  <si>
    <t>Allocation2-GOOG</t>
  </si>
  <si>
    <t>quantity: 505.00, symbol: GOOG, AccountShortName: Allocation2</t>
  </si>
  <si>
    <t>Symbol</t>
  </si>
  <si>
    <t>If Quantity not equals to -123466, Symbol equals to "GOOG", Then block the trade.</t>
  </si>
  <si>
    <t>quantity: 1,010.00, symbol: GOOG</t>
  </si>
  <si>
    <t>Trade</t>
  </si>
  <si>
    <t>quantity: 5.00, symbol: GOOG</t>
  </si>
  <si>
    <t>Blotter</t>
  </si>
  <si>
    <t>SelectTradeOnOrderGrid</t>
  </si>
  <si>
    <t>New</t>
  </si>
  <si>
    <t>ReplaceSubOrder</t>
  </si>
  <si>
    <t>CreateReplaceOrder</t>
  </si>
  <si>
    <t>SetRollover</t>
  </si>
  <si>
    <t>Equity</t>
  </si>
  <si>
    <t>US</t>
  </si>
  <si>
    <t>NASDAQ</t>
  </si>
  <si>
    <t>Right Now</t>
  </si>
  <si>
    <t>quantity: 5.00, symbol: GOOG, AccountShortName: Allocation3</t>
  </si>
  <si>
    <t>quantity: 5.00, symbol: GOOG, AccountShortName: Allocation2</t>
  </si>
  <si>
    <t>quantity: 10.00, symbol: GOOG</t>
  </si>
  <si>
    <t>VerifyRollover</t>
  </si>
  <si>
    <t>Compliance</t>
  </si>
  <si>
    <t>RestartReleasesAndServices</t>
  </si>
  <si>
    <t>RejectTrade</t>
  </si>
  <si>
    <t>CancelSubOrder</t>
  </si>
  <si>
    <t>PendingCancel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</si>
</sst>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9.0"/>
      <color rgb="FFFFFFFF"/>
      <name val="&quot;Segoe UI&quot;"/>
    </font>
    <font>
      <sz val="9.0"/>
      <color rgb="FF000000"/>
      <name val="&quot;Segoe UI&quot;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shrinkToFit="0" vertical="bottom" wrapText="0"/>
    </xf>
    <xf borderId="6" fillId="0" fontId="3" numFmtId="0" xfId="0" applyAlignment="1" applyBorder="1" applyFont="1">
      <alignment horizontal="center" vertical="bottom"/>
    </xf>
    <xf borderId="6" fillId="6" fontId="13" numFmtId="0" xfId="0" applyAlignment="1" applyBorder="1" applyFill="1" applyFont="1">
      <alignment vertical="bottom"/>
    </xf>
    <xf borderId="8" fillId="7" fontId="14" numFmtId="0" xfId="0" applyAlignment="1" applyBorder="1" applyFill="1" applyFont="1">
      <alignment horizontal="left" readingOrder="0" shrinkToFit="0" vertical="top" wrapText="0"/>
    </xf>
    <xf borderId="8" fillId="8" fontId="15" numFmtId="0" xfId="0" applyAlignment="1" applyBorder="1" applyFill="1" applyFont="1">
      <alignment horizontal="left" readingOrder="0" shrinkToFit="0" vertical="top" wrapText="0"/>
    </xf>
    <xf borderId="8" fillId="9" fontId="15" numFmtId="0" xfId="0" applyAlignment="1" applyBorder="1" applyFill="1" applyFont="1">
      <alignment horizontal="left" readingOrder="0" shrinkToFit="0" vertical="top" wrapText="0"/>
    </xf>
    <xf borderId="4" fillId="5" fontId="4" numFmtId="49" xfId="0" applyAlignment="1" applyBorder="1" applyFont="1" applyNumberFormat="1">
      <alignment shrinkToFit="0" wrapText="0"/>
    </xf>
    <xf borderId="9" fillId="0" fontId="3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8" fillId="8" fontId="15" numFmtId="0" xfId="0" applyAlignment="1" applyBorder="1" applyFont="1">
      <alignment horizontal="left" shrinkToFit="0" vertical="top" wrapText="0"/>
    </xf>
    <xf borderId="8" fillId="9" fontId="15" numFmtId="0" xfId="0" applyAlignment="1" applyBorder="1" applyFont="1">
      <alignment horizontal="lef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D6" s="12" t="b">
        <v>1</v>
      </c>
      <c r="E6" s="12" t="b">
        <v>0</v>
      </c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18</v>
      </c>
      <c r="AL6" s="9">
        <v>1000.0</v>
      </c>
      <c r="AW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SetComplianceAlert1!$4:$4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22</v>
      </c>
      <c r="C6" s="33" t="s">
        <v>24</v>
      </c>
      <c r="D6" s="34">
        <v>50.0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6" t="s">
        <v>22</v>
      </c>
      <c r="C7" s="35" t="s">
        <v>25</v>
      </c>
      <c r="D7" s="37">
        <v>50.0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8" t="s">
        <v>27</v>
      </c>
      <c r="C6" s="33"/>
      <c r="D6" s="39" t="s">
        <v>28</v>
      </c>
      <c r="E6" s="33"/>
      <c r="F6" s="33"/>
      <c r="G6" s="40" t="b">
        <v>0</v>
      </c>
      <c r="H6" s="41" t="s">
        <v>22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1000.0</v>
      </c>
      <c r="E6" s="30"/>
      <c r="F6" s="12" t="s">
        <v>22</v>
      </c>
      <c r="G6" s="8"/>
      <c r="H6" s="8"/>
      <c r="I6" s="8"/>
      <c r="J6" s="12">
        <v>2.0</v>
      </c>
      <c r="K6" s="8"/>
      <c r="L6" s="8"/>
      <c r="M6" s="8"/>
      <c r="N6" s="8"/>
      <c r="O6" s="8"/>
      <c r="AO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D6" s="12"/>
      <c r="E6" s="30"/>
      <c r="F6" s="8"/>
      <c r="G6" s="12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D6" s="12"/>
      <c r="E6" s="30"/>
      <c r="F6" s="8"/>
      <c r="G6" s="12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10.0</v>
      </c>
      <c r="E6" s="30"/>
      <c r="F6" s="12" t="s">
        <v>22</v>
      </c>
      <c r="G6" s="8"/>
      <c r="H6" s="8"/>
      <c r="I6" s="8"/>
      <c r="J6" s="12">
        <v>2.0</v>
      </c>
      <c r="K6" s="8"/>
      <c r="L6" s="8"/>
      <c r="M6" s="8"/>
      <c r="N6" s="8"/>
      <c r="O6" s="8"/>
      <c r="AX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38</v>
      </c>
      <c r="C6" s="43" t="s">
        <v>39</v>
      </c>
      <c r="D6" s="43" t="s">
        <v>40</v>
      </c>
      <c r="E6" s="43" t="s">
        <v>41</v>
      </c>
      <c r="F6" s="43">
        <v>-1234.0</v>
      </c>
      <c r="G6" s="43">
        <v>505.0</v>
      </c>
      <c r="H6" s="43" t="s">
        <v>42</v>
      </c>
      <c r="I6" s="8"/>
      <c r="J6" s="8"/>
      <c r="K6" s="12" t="s">
        <v>43</v>
      </c>
      <c r="L6" s="8"/>
      <c r="M6" s="12" t="s">
        <v>36</v>
      </c>
      <c r="N6" s="8"/>
      <c r="O6" s="8"/>
    </row>
    <row r="7" ht="15.75" customHeight="1">
      <c r="A7" s="8"/>
      <c r="B7" s="42" t="s">
        <v>38</v>
      </c>
      <c r="C7" s="44" t="s">
        <v>39</v>
      </c>
      <c r="D7" s="44" t="s">
        <v>40</v>
      </c>
      <c r="E7" s="44" t="s">
        <v>44</v>
      </c>
      <c r="F7" s="44">
        <v>-1234.0</v>
      </c>
      <c r="G7" s="44">
        <v>505.0</v>
      </c>
      <c r="H7" s="44" t="s">
        <v>45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42" t="s">
        <v>38</v>
      </c>
      <c r="C8" s="43" t="s">
        <v>46</v>
      </c>
      <c r="D8" s="43" t="s">
        <v>47</v>
      </c>
      <c r="E8" s="43" t="s">
        <v>16</v>
      </c>
      <c r="F8" s="43">
        <v>-123466.0</v>
      </c>
      <c r="G8" s="43">
        <v>1010.0</v>
      </c>
      <c r="H8" s="43" t="s">
        <v>48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42" t="s">
        <v>38</v>
      </c>
      <c r="C9" s="44" t="s">
        <v>49</v>
      </c>
      <c r="D9" s="44" t="s">
        <v>40</v>
      </c>
      <c r="E9" s="44" t="s">
        <v>16</v>
      </c>
      <c r="F9" s="44">
        <v>-1234.0</v>
      </c>
      <c r="G9" s="44">
        <v>5.0</v>
      </c>
      <c r="H9" s="44" t="s">
        <v>50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42" t="s">
        <v>38</v>
      </c>
      <c r="C10" s="43" t="s">
        <v>49</v>
      </c>
      <c r="D10" s="43" t="s">
        <v>40</v>
      </c>
      <c r="E10" s="43" t="s">
        <v>16</v>
      </c>
      <c r="F10" s="43">
        <v>-1234.0</v>
      </c>
      <c r="G10" s="43">
        <v>5.0</v>
      </c>
      <c r="H10" s="43" t="s">
        <v>50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17</v>
      </c>
      <c r="G6" s="12" t="s">
        <v>53</v>
      </c>
      <c r="H6" s="12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L6" s="9" t="s">
        <v>53</v>
      </c>
      <c r="AM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800.0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O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IFERROR(__xludf.DUMMYFUNCTION("""COMPUTED_VALUE"""),"AssetName")</f>
        <v>AssetName</v>
      </c>
      <c r="C5" s="27" t="str">
        <f>IFERROR(__xludf.DUMMYFUNCTION("""COMPUTED_VALUE"""),"UnderLyingName")</f>
        <v>UnderLyingName</v>
      </c>
      <c r="D5" s="27" t="str">
        <f>IFERROR(__xludf.DUMMYFUNCTION("""COMPUTED_VALUE"""),"DisplayName")</f>
        <v>DisplayName</v>
      </c>
      <c r="E5" s="45" t="str">
        <f>IFERROR(__xludf.DUMMYFUNCTION("""COMPUTED_VALUE"""),"ClearanceTime")</f>
        <v>ClearanceTime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38" t="s">
        <v>57</v>
      </c>
      <c r="C6" s="47" t="s">
        <v>58</v>
      </c>
      <c r="D6" s="32" t="s">
        <v>59</v>
      </c>
      <c r="E6" s="33" t="s">
        <v>60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SetRollover!$4:$4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38</v>
      </c>
      <c r="C6" s="43" t="s">
        <v>39</v>
      </c>
      <c r="D6" s="43" t="s">
        <v>40</v>
      </c>
      <c r="E6" s="43" t="s">
        <v>41</v>
      </c>
      <c r="F6" s="43">
        <v>-1234.0</v>
      </c>
      <c r="G6" s="43">
        <v>5.0</v>
      </c>
      <c r="H6" s="43" t="s">
        <v>61</v>
      </c>
      <c r="I6" s="48"/>
      <c r="J6" s="8"/>
      <c r="K6" s="12" t="s">
        <v>43</v>
      </c>
      <c r="L6" s="8"/>
      <c r="M6" s="12" t="s">
        <v>36</v>
      </c>
      <c r="N6" s="8"/>
      <c r="O6" s="8"/>
    </row>
    <row r="7" ht="15.75" customHeight="1">
      <c r="A7" s="8"/>
      <c r="B7" s="42" t="s">
        <v>38</v>
      </c>
      <c r="C7" s="44" t="s">
        <v>39</v>
      </c>
      <c r="D7" s="44" t="s">
        <v>40</v>
      </c>
      <c r="E7" s="44" t="s">
        <v>44</v>
      </c>
      <c r="F7" s="44">
        <v>-1234.0</v>
      </c>
      <c r="G7" s="44">
        <v>5.0</v>
      </c>
      <c r="H7" s="44" t="s">
        <v>62</v>
      </c>
      <c r="I7" s="49"/>
      <c r="J7" s="8"/>
      <c r="K7" s="8"/>
      <c r="L7" s="8"/>
      <c r="M7" s="8"/>
      <c r="N7" s="8"/>
      <c r="O7" s="8"/>
    </row>
    <row r="8" ht="15.75" customHeight="1">
      <c r="A8" s="8"/>
      <c r="B8" s="42" t="s">
        <v>38</v>
      </c>
      <c r="C8" s="43" t="s">
        <v>46</v>
      </c>
      <c r="D8" s="43" t="s">
        <v>47</v>
      </c>
      <c r="E8" s="43" t="s">
        <v>16</v>
      </c>
      <c r="F8" s="43">
        <v>-123466.0</v>
      </c>
      <c r="G8" s="43">
        <v>10.0</v>
      </c>
      <c r="H8" s="43" t="s">
        <v>63</v>
      </c>
      <c r="I8" s="48"/>
      <c r="J8" s="8"/>
      <c r="K8" s="8"/>
      <c r="L8" s="8"/>
      <c r="M8" s="8"/>
      <c r="N8" s="8"/>
      <c r="O8" s="8"/>
    </row>
    <row r="9" ht="15.75" customHeight="1">
      <c r="A9" s="8"/>
      <c r="B9" s="42" t="s">
        <v>38</v>
      </c>
      <c r="C9" s="44" t="s">
        <v>49</v>
      </c>
      <c r="D9" s="44" t="s">
        <v>40</v>
      </c>
      <c r="E9" s="44" t="s">
        <v>16</v>
      </c>
      <c r="F9" s="44">
        <v>-1234.0</v>
      </c>
      <c r="G9" s="44">
        <v>5.0</v>
      </c>
      <c r="H9" s="44" t="s">
        <v>50</v>
      </c>
      <c r="I9" s="49"/>
      <c r="J9" s="8"/>
      <c r="K9" s="8"/>
      <c r="L9" s="8"/>
      <c r="M9" s="8"/>
      <c r="N9" s="8"/>
      <c r="O9" s="8"/>
    </row>
    <row r="10" ht="15.75" customHeight="1">
      <c r="A10" s="8"/>
      <c r="B10" s="42" t="s">
        <v>38</v>
      </c>
      <c r="C10" s="43" t="s">
        <v>49</v>
      </c>
      <c r="D10" s="43" t="s">
        <v>40</v>
      </c>
      <c r="E10" s="43" t="s">
        <v>16</v>
      </c>
      <c r="F10" s="43">
        <v>-1234.0</v>
      </c>
      <c r="G10" s="43">
        <v>5.0</v>
      </c>
      <c r="H10" s="43" t="s">
        <v>50</v>
      </c>
      <c r="I10" s="4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18</v>
      </c>
      <c r="AL6" s="9">
        <v>800.0</v>
      </c>
      <c r="AW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VerifyRollover!$4:$4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65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18</v>
      </c>
      <c r="AL6" s="9">
        <v>1000.0</v>
      </c>
      <c r="AW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53</v>
      </c>
      <c r="AL6" s="9">
        <v>1000.0</v>
      </c>
      <c r="AY6" s="9" t="s">
        <v>53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53</v>
      </c>
      <c r="AL6" s="9">
        <v>1000.0</v>
      </c>
      <c r="AW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VerifyRollover2!$4:$4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69</v>
      </c>
      <c r="AL6" s="9">
        <v>1000.0</v>
      </c>
      <c r="AW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VerifyRollover1!$4:$4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