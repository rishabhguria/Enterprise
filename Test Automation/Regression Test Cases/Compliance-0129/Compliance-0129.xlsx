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GetDailyCash" sheetId="14" r:id="rId16"/>
    <sheet state="visible" name="UpdateDailyCash" sheetId="15" r:id="rId17"/>
    <sheet state="visible" name="PricingInput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CalculatePTT" sheetId="20" r:id="rId22"/>
    <sheet state="visible" name="VerifyPTTCompliance" sheetId="21" r:id="rId23"/>
    <sheet state="visible" name="CreateOrderPTT" sheetId="22" r:id="rId24"/>
    <sheet state="visible" name="EditOrder" sheetId="23" r:id="rId25"/>
    <sheet state="visible" name="CreateReplaceOrder" sheetId="24" r:id="rId26"/>
  </sheets>
  <definedNames/>
  <calcPr/>
</workbook>
</file>

<file path=xl/sharedStrings.xml><?xml version="1.0" encoding="utf-8"?>
<sst xmlns="http://schemas.openxmlformats.org/spreadsheetml/2006/main" count="318" uniqueCount="83">
  <si>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</si>
  <si>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</si>
  <si>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</si>
  <si>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</si>
  <si>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</si>
  <si>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</si>
  <si>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</si>
  <si>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</si>
  <si>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</si>
  <si>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</si>
  <si>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</si>
  <si>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</si>
  <si>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</si>
  <si>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</si>
  <si>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</si>
  <si>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</si>
  <si>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</si>
  <si>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</si>
  <si>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</si>
  <si>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</si>
  <si>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</si>
  <si>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</si>
  <si>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</si>
  <si>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</si>
  <si>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</si>
  <si>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</si>
  <si>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</si>
  <si>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</si>
  <si>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</si>
  <si>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</si>
  <si>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</si>
  <si>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</si>
  <si>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</si>
  <si>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</si>
  <si>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</si>
  <si>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</si>
  <si>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</si>
  <si>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</si>
  <si>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</si>
  <si>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</si>
  <si>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</si>
  <si>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</si>
  <si>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</si>
  <si>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</si>
  <si>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</si>
  <si>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</si>
  <si>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PricingInput</t>
  </si>
  <si>
    <t>COP</t>
  </si>
  <si>
    <t>GeneralLedger</t>
  </si>
  <si>
    <t>GetCashTransaction</t>
  </si>
  <si>
    <t>AddCashTransaction</t>
  </si>
  <si>
    <t>DividendIncome</t>
  </si>
  <si>
    <t>GetAccountBalance</t>
  </si>
  <si>
    <t>PTT</t>
  </si>
  <si>
    <t>CalculatePTT</t>
  </si>
  <si>
    <t>Set</t>
  </si>
  <si>
    <t>Percentage</t>
  </si>
  <si>
    <t>No</t>
  </si>
  <si>
    <t>Account</t>
  </si>
  <si>
    <t>VerifyPTTCompliance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</si>
  <si>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</si>
  <si>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</si>
  <si>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</si>
  <si>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</si>
  <si>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3,481.00, avgPrice: 20.00, selectedFeedPrice: 20.00, netMarketValueBase: 58,016.6667, netExposureLocal: 69,620.00,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</si>
  <si>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</si>
  <si>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</si>
  <si>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Allocation1-FRU-TC</t>
  </si>
  <si>
    <t>quantity: 3,781.00, dayPnLBase: 833.3333, dayPnLLocal: 1,000.00, netMarketValueBase: 63,016.6667, netMarketValueLocal: 75,620.00, selectedFeedPrice: 20.00, accountNav: 705,173.2785,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</si>
  <si>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</si>
  <si>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</si>
  <si>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</si>
  <si>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3,781.00, dayPnLBase: 833.3333, dayPnLLocal: 1,000.00, netMarketValueBase: 63,016.6667, netMarketValueLocal: 75,620.00, selectedFeedPrice: 20.00, masterFundNav: 806,973.2785,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</si>
  <si>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</si>
  <si>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</si>
  <si>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3,781.00, selectedFeedPrice: 20.00, netMarketValueBase: 63,016.6667, netMarketValueLocal: 75,620.00, Symbol: FRU-TC</t>
  </si>
  <si>
    <t>CreateOrderPTT</t>
  </si>
  <si>
    <t>Blotter</t>
  </si>
  <si>
    <t>EditOrder</t>
  </si>
  <si>
    <t>Equity</t>
  </si>
  <si>
    <t>New</t>
  </si>
  <si>
    <t>Market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</si>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</sst>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11.0"/>
      <color rgb="FF000000"/>
      <name val="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FF8000"/>
      <name val="&quot;Segoe UI&quot;"/>
    </font>
    <font>
      <sz val="9.0"/>
      <color rgb="FFFF8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ill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6" fillId="6" fontId="3" numFmtId="14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5" fillId="6" fontId="3" numFmtId="14" xfId="0" applyAlignment="1" applyBorder="1" applyFont="1" applyNumberFormat="1">
      <alignment vertical="bottom"/>
    </xf>
    <xf borderId="0" fillId="4" fontId="14" numFmtId="0" xfId="0" applyFont="1"/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10" fillId="7" fontId="16" numFmtId="0" xfId="0" applyAlignment="1" applyBorder="1" applyFill="1" applyFont="1">
      <alignment horizontal="left" readingOrder="0" shrinkToFit="0" vertical="top" wrapText="0"/>
    </xf>
    <xf borderId="10" fillId="8" fontId="17" numFmtId="0" xfId="0" applyAlignment="1" applyBorder="1" applyFill="1" applyFont="1">
      <alignment horizontal="left" readingOrder="0" shrinkToFit="0" vertical="top" wrapText="0"/>
    </xf>
    <xf borderId="10" fillId="8" fontId="17" numFmtId="0" xfId="0" applyAlignment="1" applyBorder="1" applyFont="1">
      <alignment horizontal="left" shrinkToFit="0" vertical="top" wrapText="0"/>
    </xf>
    <xf borderId="10" fillId="9" fontId="17" numFmtId="0" xfId="0" applyAlignment="1" applyBorder="1" applyFill="1" applyFont="1">
      <alignment horizontal="left" readingOrder="0" shrinkToFit="0" vertical="top" wrapText="0"/>
    </xf>
    <xf borderId="10" fillId="9" fontId="17" numFmtId="0" xfId="0" applyAlignment="1" applyBorder="1" applyFont="1">
      <alignment horizontal="left" shrinkToFit="0" vertical="top" wrapText="0"/>
    </xf>
    <xf borderId="0" fillId="8" fontId="18" numFmtId="0" xfId="0" applyAlignment="1" applyFont="1">
      <alignment horizontal="right" vertical="top"/>
    </xf>
    <xf borderId="0" fillId="8" fontId="18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0" fillId="8" fontId="19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 t="b">
        <v>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9">
        <v>100.0</v>
      </c>
      <c r="E6" s="38"/>
      <c r="F6" s="38" t="s">
        <v>22</v>
      </c>
      <c r="G6" s="38"/>
      <c r="H6" s="38"/>
      <c r="I6" s="38"/>
      <c r="J6" s="40">
        <v>2.0</v>
      </c>
      <c r="K6" s="38"/>
      <c r="L6" s="38"/>
      <c r="M6" s="38"/>
      <c r="N6" s="41">
        <f t="shared" ref="N6:N19" si="1">TODAY()-1</f>
        <v>44837</v>
      </c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23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2"/>
      <c r="B7" s="43" t="s">
        <v>24</v>
      </c>
      <c r="C7" s="43" t="s">
        <v>21</v>
      </c>
      <c r="D7" s="44">
        <v>100.0</v>
      </c>
      <c r="E7" s="43"/>
      <c r="F7" s="43" t="s">
        <v>22</v>
      </c>
      <c r="G7" s="43"/>
      <c r="H7" s="43"/>
      <c r="I7" s="43"/>
      <c r="J7" s="44">
        <v>2.0</v>
      </c>
      <c r="K7" s="43"/>
      <c r="L7" s="43"/>
      <c r="M7" s="43"/>
      <c r="N7" s="45">
        <f t="shared" si="1"/>
        <v>44837</v>
      </c>
      <c r="O7" s="43"/>
      <c r="P7" s="43"/>
      <c r="Q7" s="43"/>
      <c r="R7" s="43"/>
      <c r="S7" s="4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23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2"/>
      <c r="B8" s="43" t="s">
        <v>25</v>
      </c>
      <c r="C8" s="43" t="s">
        <v>21</v>
      </c>
      <c r="D8" s="44">
        <v>100.0</v>
      </c>
      <c r="E8" s="43"/>
      <c r="F8" s="43" t="s">
        <v>22</v>
      </c>
      <c r="G8" s="43"/>
      <c r="H8" s="43"/>
      <c r="I8" s="43"/>
      <c r="J8" s="44">
        <v>2.0</v>
      </c>
      <c r="K8" s="43"/>
      <c r="L8" s="43"/>
      <c r="M8" s="43"/>
      <c r="N8" s="45">
        <f t="shared" si="1"/>
        <v>44837</v>
      </c>
      <c r="O8" s="43"/>
      <c r="P8" s="43"/>
      <c r="Q8" s="43"/>
      <c r="R8" s="43"/>
      <c r="S8" s="4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23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2"/>
      <c r="B9" s="43" t="s">
        <v>26</v>
      </c>
      <c r="C9" s="43" t="s">
        <v>21</v>
      </c>
      <c r="D9" s="44">
        <v>100.0</v>
      </c>
      <c r="E9" s="43"/>
      <c r="F9" s="43" t="s">
        <v>22</v>
      </c>
      <c r="G9" s="43"/>
      <c r="H9" s="43"/>
      <c r="I9" s="43"/>
      <c r="J9" s="44">
        <v>2.0</v>
      </c>
      <c r="K9" s="43"/>
      <c r="L9" s="43"/>
      <c r="M9" s="43"/>
      <c r="N9" s="45">
        <f t="shared" si="1"/>
        <v>44837</v>
      </c>
      <c r="O9" s="43"/>
      <c r="P9" s="43"/>
      <c r="Q9" s="43"/>
      <c r="R9" s="43"/>
      <c r="S9" s="43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23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2"/>
      <c r="B10" s="43" t="s">
        <v>27</v>
      </c>
      <c r="C10" s="43" t="s">
        <v>21</v>
      </c>
      <c r="D10" s="44">
        <v>100.0</v>
      </c>
      <c r="E10" s="43"/>
      <c r="F10" s="43" t="s">
        <v>22</v>
      </c>
      <c r="G10" s="43"/>
      <c r="H10" s="43"/>
      <c r="I10" s="43"/>
      <c r="J10" s="44">
        <v>2.0</v>
      </c>
      <c r="K10" s="43"/>
      <c r="L10" s="43"/>
      <c r="M10" s="43"/>
      <c r="N10" s="45">
        <f t="shared" si="1"/>
        <v>44837</v>
      </c>
      <c r="O10" s="43"/>
      <c r="P10" s="43"/>
      <c r="Q10" s="43"/>
      <c r="R10" s="43"/>
      <c r="S10" s="43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23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2"/>
      <c r="B11" s="43" t="s">
        <v>28</v>
      </c>
      <c r="C11" s="43" t="s">
        <v>21</v>
      </c>
      <c r="D11" s="44">
        <v>100.0</v>
      </c>
      <c r="E11" s="43"/>
      <c r="F11" s="43" t="s">
        <v>22</v>
      </c>
      <c r="G11" s="43"/>
      <c r="H11" s="43"/>
      <c r="I11" s="43"/>
      <c r="J11" s="44">
        <v>2.0</v>
      </c>
      <c r="K11" s="43"/>
      <c r="L11" s="43"/>
      <c r="M11" s="43"/>
      <c r="N11" s="45">
        <f t="shared" si="1"/>
        <v>44837</v>
      </c>
      <c r="O11" s="43"/>
      <c r="P11" s="43"/>
      <c r="Q11" s="43"/>
      <c r="R11" s="43"/>
      <c r="S11" s="4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23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2"/>
      <c r="B12" s="46">
        <v>1.23456789E8</v>
      </c>
      <c r="C12" s="43" t="s">
        <v>21</v>
      </c>
      <c r="D12" s="44">
        <v>100.0</v>
      </c>
      <c r="E12" s="43"/>
      <c r="F12" s="43" t="s">
        <v>22</v>
      </c>
      <c r="G12" s="43"/>
      <c r="H12" s="43"/>
      <c r="I12" s="43"/>
      <c r="J12" s="44">
        <v>2.0</v>
      </c>
      <c r="K12" s="43"/>
      <c r="L12" s="43"/>
      <c r="M12" s="43"/>
      <c r="N12" s="45">
        <f t="shared" si="1"/>
        <v>44837</v>
      </c>
      <c r="O12" s="43"/>
      <c r="P12" s="43"/>
      <c r="Q12" s="43"/>
      <c r="R12" s="43"/>
      <c r="S12" s="4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23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2"/>
      <c r="B13" s="43" t="s">
        <v>20</v>
      </c>
      <c r="C13" s="43" t="s">
        <v>21</v>
      </c>
      <c r="D13" s="44">
        <v>100.0</v>
      </c>
      <c r="E13" s="46">
        <v>0.0</v>
      </c>
      <c r="F13" s="43" t="s">
        <v>22</v>
      </c>
      <c r="G13" s="43"/>
      <c r="H13" s="43"/>
      <c r="I13" s="43"/>
      <c r="J13" s="44">
        <v>2.0</v>
      </c>
      <c r="K13" s="43"/>
      <c r="L13" s="43"/>
      <c r="M13" s="43"/>
      <c r="N13" s="45">
        <f t="shared" si="1"/>
        <v>44837</v>
      </c>
      <c r="O13" s="43"/>
      <c r="P13" s="43"/>
      <c r="Q13" s="43"/>
      <c r="R13" s="43"/>
      <c r="S13" s="43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23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2"/>
      <c r="B14" s="43" t="s">
        <v>24</v>
      </c>
      <c r="C14" s="43" t="s">
        <v>21</v>
      </c>
      <c r="D14" s="44">
        <v>100.0</v>
      </c>
      <c r="E14" s="46">
        <v>0.0</v>
      </c>
      <c r="F14" s="43" t="s">
        <v>22</v>
      </c>
      <c r="G14" s="43"/>
      <c r="H14" s="43"/>
      <c r="I14" s="43"/>
      <c r="J14" s="44">
        <v>2.0</v>
      </c>
      <c r="K14" s="43"/>
      <c r="L14" s="43"/>
      <c r="M14" s="43"/>
      <c r="N14" s="45">
        <f t="shared" si="1"/>
        <v>44837</v>
      </c>
      <c r="O14" s="43"/>
      <c r="P14" s="43"/>
      <c r="Q14" s="43"/>
      <c r="R14" s="43"/>
      <c r="S14" s="4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23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2"/>
      <c r="B15" s="43" t="s">
        <v>25</v>
      </c>
      <c r="C15" s="43" t="s">
        <v>21</v>
      </c>
      <c r="D15" s="44">
        <v>100.0</v>
      </c>
      <c r="E15" s="46">
        <v>0.0</v>
      </c>
      <c r="F15" s="43" t="s">
        <v>22</v>
      </c>
      <c r="G15" s="43"/>
      <c r="H15" s="43"/>
      <c r="I15" s="43"/>
      <c r="J15" s="44">
        <v>2.0</v>
      </c>
      <c r="K15" s="43"/>
      <c r="L15" s="43"/>
      <c r="M15" s="43"/>
      <c r="N15" s="45">
        <f t="shared" si="1"/>
        <v>44837</v>
      </c>
      <c r="O15" s="43"/>
      <c r="P15" s="43"/>
      <c r="Q15" s="43"/>
      <c r="R15" s="43"/>
      <c r="S15" s="43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23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2"/>
      <c r="B16" s="43" t="s">
        <v>26</v>
      </c>
      <c r="C16" s="43" t="s">
        <v>21</v>
      </c>
      <c r="D16" s="44">
        <v>100.0</v>
      </c>
      <c r="E16" s="46">
        <v>0.0</v>
      </c>
      <c r="F16" s="43" t="s">
        <v>22</v>
      </c>
      <c r="G16" s="43"/>
      <c r="H16" s="43"/>
      <c r="I16" s="43"/>
      <c r="J16" s="44">
        <v>2.0</v>
      </c>
      <c r="K16" s="43"/>
      <c r="L16" s="43"/>
      <c r="M16" s="43"/>
      <c r="N16" s="45">
        <f t="shared" si="1"/>
        <v>44837</v>
      </c>
      <c r="O16" s="43"/>
      <c r="P16" s="43"/>
      <c r="Q16" s="43"/>
      <c r="R16" s="43"/>
      <c r="S16" s="43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23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42"/>
      <c r="B17" s="43" t="s">
        <v>27</v>
      </c>
      <c r="C17" s="43" t="s">
        <v>21</v>
      </c>
      <c r="D17" s="44">
        <v>100.0</v>
      </c>
      <c r="E17" s="46">
        <v>0.0</v>
      </c>
      <c r="F17" s="43" t="s">
        <v>22</v>
      </c>
      <c r="G17" s="43"/>
      <c r="H17" s="43"/>
      <c r="I17" s="43"/>
      <c r="J17" s="44">
        <v>2.0</v>
      </c>
      <c r="K17" s="43"/>
      <c r="L17" s="43"/>
      <c r="M17" s="43"/>
      <c r="N17" s="45">
        <f t="shared" si="1"/>
        <v>44837</v>
      </c>
      <c r="O17" s="43"/>
      <c r="P17" s="43"/>
      <c r="Q17" s="43"/>
      <c r="R17" s="43"/>
      <c r="S17" s="43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23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42"/>
      <c r="B18" s="43" t="s">
        <v>28</v>
      </c>
      <c r="C18" s="43" t="s">
        <v>21</v>
      </c>
      <c r="D18" s="44">
        <v>100.0</v>
      </c>
      <c r="E18" s="46">
        <v>0.0</v>
      </c>
      <c r="F18" s="43" t="s">
        <v>22</v>
      </c>
      <c r="G18" s="43"/>
      <c r="H18" s="43"/>
      <c r="I18" s="43"/>
      <c r="J18" s="44">
        <v>2.0</v>
      </c>
      <c r="K18" s="43"/>
      <c r="L18" s="43"/>
      <c r="M18" s="43"/>
      <c r="N18" s="45">
        <f t="shared" si="1"/>
        <v>44837</v>
      </c>
      <c r="O18" s="43"/>
      <c r="P18" s="43"/>
      <c r="Q18" s="43"/>
      <c r="R18" s="43"/>
      <c r="S18" s="43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23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42"/>
      <c r="B19" s="46">
        <v>1.23456789E8</v>
      </c>
      <c r="C19" s="43" t="s">
        <v>21</v>
      </c>
      <c r="D19" s="44">
        <v>100.0</v>
      </c>
      <c r="E19" s="46">
        <v>0.0</v>
      </c>
      <c r="F19" s="43" t="s">
        <v>22</v>
      </c>
      <c r="G19" s="43"/>
      <c r="H19" s="43"/>
      <c r="I19" s="43"/>
      <c r="J19" s="44">
        <v>2.0</v>
      </c>
      <c r="K19" s="43"/>
      <c r="L19" s="43"/>
      <c r="M19" s="43"/>
      <c r="N19" s="45">
        <f t="shared" si="1"/>
        <v>44837</v>
      </c>
      <c r="O19" s="43"/>
      <c r="P19" s="43"/>
      <c r="Q19" s="43"/>
      <c r="R19" s="43"/>
      <c r="S19" s="43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23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42"/>
      <c r="B20" s="47" t="s">
        <v>20</v>
      </c>
      <c r="C20" s="47" t="s">
        <v>21</v>
      </c>
      <c r="D20" s="44">
        <v>100.0</v>
      </c>
      <c r="E20" s="43"/>
      <c r="F20" s="47" t="s">
        <v>29</v>
      </c>
      <c r="G20" s="43"/>
      <c r="H20" s="43"/>
      <c r="I20" s="43"/>
      <c r="J20" s="44">
        <v>2.0</v>
      </c>
      <c r="K20" s="43"/>
      <c r="L20" s="43"/>
      <c r="M20" s="43"/>
      <c r="N20" s="43"/>
      <c r="O20" s="43"/>
      <c r="P20" s="43"/>
      <c r="Q20" s="43"/>
      <c r="R20" s="43"/>
      <c r="S20" s="4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23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8" t="s">
        <v>21</v>
      </c>
      <c r="D6" s="39">
        <v>100.0</v>
      </c>
      <c r="E6" s="38"/>
      <c r="F6" s="38" t="s">
        <v>22</v>
      </c>
      <c r="G6" s="38"/>
      <c r="H6" s="38"/>
      <c r="I6" s="38"/>
      <c r="J6" s="40">
        <v>2.0</v>
      </c>
      <c r="K6" s="38"/>
      <c r="L6" s="38"/>
      <c r="M6" s="38"/>
      <c r="N6" s="4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9"/>
      <c r="B7" s="43" t="s">
        <v>24</v>
      </c>
      <c r="C7" s="43" t="s">
        <v>21</v>
      </c>
      <c r="D7" s="44">
        <v>100.0</v>
      </c>
      <c r="E7" s="43"/>
      <c r="F7" s="43" t="s">
        <v>22</v>
      </c>
      <c r="G7" s="43"/>
      <c r="H7" s="43"/>
      <c r="I7" s="43"/>
      <c r="J7" s="44">
        <v>2.0</v>
      </c>
      <c r="K7" s="43"/>
      <c r="L7" s="43"/>
      <c r="M7" s="43"/>
      <c r="N7" s="50"/>
      <c r="O7" s="43"/>
      <c r="P7" s="43"/>
      <c r="Q7" s="43"/>
      <c r="R7" s="43"/>
      <c r="S7" s="4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9"/>
      <c r="B8" s="43" t="s">
        <v>25</v>
      </c>
      <c r="C8" s="43" t="s">
        <v>21</v>
      </c>
      <c r="D8" s="44">
        <v>100.0</v>
      </c>
      <c r="E8" s="43"/>
      <c r="F8" s="43" t="s">
        <v>22</v>
      </c>
      <c r="G8" s="43"/>
      <c r="H8" s="43"/>
      <c r="I8" s="43"/>
      <c r="J8" s="44">
        <v>2.0</v>
      </c>
      <c r="K8" s="43"/>
      <c r="L8" s="43"/>
      <c r="M8" s="43"/>
      <c r="N8" s="50"/>
      <c r="O8" s="43"/>
      <c r="P8" s="43"/>
      <c r="Q8" s="43"/>
      <c r="R8" s="43"/>
      <c r="S8" s="4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9"/>
      <c r="B9" s="43" t="s">
        <v>26</v>
      </c>
      <c r="C9" s="43" t="s">
        <v>21</v>
      </c>
      <c r="D9" s="44">
        <v>100.0</v>
      </c>
      <c r="E9" s="43"/>
      <c r="F9" s="43" t="s">
        <v>22</v>
      </c>
      <c r="G9" s="43"/>
      <c r="H9" s="43"/>
      <c r="I9" s="43"/>
      <c r="J9" s="44">
        <v>2.0</v>
      </c>
      <c r="K9" s="43"/>
      <c r="L9" s="43"/>
      <c r="M9" s="43"/>
      <c r="N9" s="50"/>
      <c r="O9" s="43"/>
      <c r="P9" s="43"/>
      <c r="Q9" s="43"/>
      <c r="R9" s="43"/>
      <c r="S9" s="43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9"/>
      <c r="B10" s="43" t="s">
        <v>27</v>
      </c>
      <c r="C10" s="43" t="s">
        <v>21</v>
      </c>
      <c r="D10" s="44">
        <v>100.0</v>
      </c>
      <c r="E10" s="43"/>
      <c r="F10" s="43" t="s">
        <v>22</v>
      </c>
      <c r="G10" s="43"/>
      <c r="H10" s="43"/>
      <c r="I10" s="43"/>
      <c r="J10" s="44">
        <v>2.0</v>
      </c>
      <c r="K10" s="43"/>
      <c r="L10" s="43"/>
      <c r="M10" s="43"/>
      <c r="N10" s="50"/>
      <c r="O10" s="43"/>
      <c r="P10" s="43"/>
      <c r="Q10" s="43"/>
      <c r="R10" s="43"/>
      <c r="S10" s="43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9"/>
      <c r="B11" s="43" t="s">
        <v>28</v>
      </c>
      <c r="C11" s="43" t="s">
        <v>21</v>
      </c>
      <c r="D11" s="44">
        <v>100.0</v>
      </c>
      <c r="E11" s="43"/>
      <c r="F11" s="43" t="s">
        <v>22</v>
      </c>
      <c r="G11" s="43"/>
      <c r="H11" s="43"/>
      <c r="I11" s="43"/>
      <c r="J11" s="44">
        <v>2.0</v>
      </c>
      <c r="K11" s="43"/>
      <c r="L11" s="43"/>
      <c r="M11" s="43"/>
      <c r="N11" s="50"/>
      <c r="O11" s="43"/>
      <c r="P11" s="43"/>
      <c r="Q11" s="43"/>
      <c r="R11" s="43"/>
      <c r="S11" s="4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9"/>
      <c r="B12" s="46">
        <v>1.23456789E8</v>
      </c>
      <c r="C12" s="43" t="s">
        <v>21</v>
      </c>
      <c r="D12" s="44">
        <v>100.0</v>
      </c>
      <c r="E12" s="43"/>
      <c r="F12" s="43" t="s">
        <v>22</v>
      </c>
      <c r="G12" s="43"/>
      <c r="H12" s="43"/>
      <c r="I12" s="43"/>
      <c r="J12" s="44">
        <v>2.0</v>
      </c>
      <c r="K12" s="43"/>
      <c r="L12" s="43"/>
      <c r="M12" s="43"/>
      <c r="N12" s="50"/>
      <c r="O12" s="43"/>
      <c r="P12" s="43"/>
      <c r="Q12" s="43"/>
      <c r="R12" s="43"/>
      <c r="S12" s="4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3" t="s">
        <v>33</v>
      </c>
      <c r="C6" s="54">
        <f>today()-1</f>
        <v>44837</v>
      </c>
      <c r="D6" s="54">
        <f>today()</f>
        <v>44838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3" t="s">
        <v>25</v>
      </c>
      <c r="C6" s="40">
        <v>100.0</v>
      </c>
      <c r="D6" s="37"/>
      <c r="E6" s="38" t="s">
        <v>22</v>
      </c>
      <c r="F6" s="38" t="s">
        <v>21</v>
      </c>
      <c r="G6" s="38"/>
      <c r="H6" s="40">
        <v>2.0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37"/>
      <c r="C6" s="40">
        <v>5.0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>
        <f t="shared" ref="B6:C6" si="1">TODAY()-1</f>
        <v>44837</v>
      </c>
      <c r="C6" s="54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7" t="s">
        <v>20</v>
      </c>
      <c r="C6" s="40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9"/>
      <c r="B7" s="43" t="s">
        <v>24</v>
      </c>
      <c r="C7" s="57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9"/>
      <c r="B8" s="43" t="s">
        <v>25</v>
      </c>
      <c r="C8" s="57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9"/>
      <c r="B9" s="43" t="s">
        <v>26</v>
      </c>
      <c r="C9" s="57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9"/>
      <c r="B10" s="43" t="s">
        <v>27</v>
      </c>
      <c r="C10" s="57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9"/>
      <c r="B11" s="43" t="s">
        <v>28</v>
      </c>
      <c r="C11" s="57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9"/>
      <c r="B12" s="46">
        <v>1.23456789E8</v>
      </c>
      <c r="C12" s="57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>
        <f t="shared" ref="B6:C6" si="1">TODAY()-1</f>
        <v>44837</v>
      </c>
      <c r="C6" s="54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41</v>
      </c>
      <c r="C6" s="59" t="s">
        <v>42</v>
      </c>
      <c r="D6" s="37" t="s">
        <v>43</v>
      </c>
      <c r="E6" s="40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>
        <f t="shared" ref="B6:C6" si="1">TODAY()-1</f>
        <v>44837</v>
      </c>
      <c r="C6" s="54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22</v>
      </c>
      <c r="C6" s="59" t="s">
        <v>41</v>
      </c>
      <c r="D6" s="39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9"/>
      <c r="B7" s="47" t="s">
        <v>29</v>
      </c>
      <c r="C7" s="47" t="s">
        <v>41</v>
      </c>
      <c r="D7" s="44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40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9"/>
      <c r="B7" s="43" t="s">
        <v>24</v>
      </c>
      <c r="C7" s="57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9"/>
      <c r="B8" s="43" t="s">
        <v>25</v>
      </c>
      <c r="C8" s="57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9"/>
      <c r="B9" s="43" t="s">
        <v>26</v>
      </c>
      <c r="C9" s="57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9"/>
      <c r="B10" s="43" t="s">
        <v>27</v>
      </c>
      <c r="C10" s="57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9"/>
      <c r="B11" s="43" t="s">
        <v>28</v>
      </c>
      <c r="C11" s="57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9"/>
      <c r="B12" s="46">
        <v>1.23456789E8</v>
      </c>
      <c r="C12" s="57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47</v>
      </c>
      <c r="C13" s="57">
        <v>20.0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7" t="s">
        <v>22</v>
      </c>
      <c r="C6" s="38"/>
      <c r="D6" s="54">
        <f>today()-3</f>
        <v>44835</v>
      </c>
      <c r="E6" s="54">
        <f>today()</f>
        <v>44838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/>
      <c r="C6" s="38" t="s">
        <v>51</v>
      </c>
      <c r="D6" s="37" t="s">
        <v>20</v>
      </c>
      <c r="E6" s="38"/>
      <c r="F6" s="38" t="s">
        <v>22</v>
      </c>
      <c r="G6" s="38" t="s">
        <v>41</v>
      </c>
      <c r="H6" s="61">
        <v>100000.0</v>
      </c>
      <c r="I6" s="62">
        <f>today()-2</f>
        <v>44836</v>
      </c>
      <c r="J6" s="62">
        <f>today()+8</f>
        <v>44846</v>
      </c>
      <c r="K6" s="62"/>
      <c r="L6" s="62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37"/>
      <c r="C6" s="38" t="s">
        <v>22</v>
      </c>
      <c r="D6" s="54">
        <f>today()</f>
        <v>44838</v>
      </c>
      <c r="E6" s="63" t="b">
        <v>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55</v>
      </c>
      <c r="D6" s="64" t="s">
        <v>56</v>
      </c>
      <c r="E6" s="13">
        <v>12.0</v>
      </c>
      <c r="F6" s="8"/>
      <c r="G6" s="13" t="s">
        <v>57</v>
      </c>
      <c r="H6" s="13" t="s">
        <v>58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 t="s">
        <v>60</v>
      </c>
      <c r="C6" s="66" t="s">
        <v>61</v>
      </c>
      <c r="D6" s="66" t="s">
        <v>62</v>
      </c>
      <c r="E6" s="66" t="s">
        <v>24</v>
      </c>
      <c r="F6" s="66" t="s">
        <v>63</v>
      </c>
      <c r="G6" s="66" t="s">
        <v>63</v>
      </c>
      <c r="H6" s="66" t="s">
        <v>64</v>
      </c>
      <c r="I6" s="67"/>
      <c r="J6" s="8"/>
      <c r="K6" s="8"/>
      <c r="L6" s="8"/>
      <c r="M6" s="8"/>
      <c r="N6" s="8"/>
      <c r="O6" s="8"/>
    </row>
    <row r="7" ht="15.75" customHeight="1">
      <c r="A7" s="8"/>
      <c r="B7" s="65" t="s">
        <v>60</v>
      </c>
      <c r="C7" s="68" t="s">
        <v>65</v>
      </c>
      <c r="D7" s="68" t="s">
        <v>66</v>
      </c>
      <c r="E7" s="68" t="s">
        <v>67</v>
      </c>
      <c r="F7" s="68" t="s">
        <v>63</v>
      </c>
      <c r="G7" s="68" t="s">
        <v>63</v>
      </c>
      <c r="H7" s="68" t="s">
        <v>68</v>
      </c>
      <c r="I7" s="69"/>
      <c r="J7" s="8"/>
      <c r="K7" s="8"/>
      <c r="L7" s="8"/>
      <c r="M7" s="8"/>
      <c r="N7" s="8"/>
      <c r="O7" s="8"/>
    </row>
    <row r="8" ht="15.75" customHeight="1">
      <c r="A8" s="8"/>
      <c r="B8" s="65" t="s">
        <v>60</v>
      </c>
      <c r="C8" s="66" t="s">
        <v>69</v>
      </c>
      <c r="D8" s="66" t="s">
        <v>70</v>
      </c>
      <c r="E8" s="66" t="s">
        <v>71</v>
      </c>
      <c r="F8" s="66" t="s">
        <v>63</v>
      </c>
      <c r="G8" s="66" t="s">
        <v>63</v>
      </c>
      <c r="H8" s="66" t="s">
        <v>72</v>
      </c>
      <c r="I8" s="67"/>
      <c r="J8" s="8"/>
      <c r="K8" s="8"/>
      <c r="L8" s="8"/>
      <c r="M8" s="8"/>
      <c r="N8" s="8"/>
      <c r="O8" s="8"/>
    </row>
    <row r="9" ht="15.75" customHeight="1">
      <c r="A9" s="8"/>
      <c r="B9" s="65" t="s">
        <v>60</v>
      </c>
      <c r="C9" s="68" t="s">
        <v>73</v>
      </c>
      <c r="D9" s="68" t="s">
        <v>74</v>
      </c>
      <c r="E9" s="68" t="s">
        <v>24</v>
      </c>
      <c r="F9" s="68" t="s">
        <v>63</v>
      </c>
      <c r="G9" s="68" t="s">
        <v>63</v>
      </c>
      <c r="H9" s="68" t="s">
        <v>75</v>
      </c>
      <c r="I9" s="69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55</v>
      </c>
      <c r="D6" s="64" t="s">
        <v>56</v>
      </c>
      <c r="E6" s="13">
        <v>12.0</v>
      </c>
      <c r="F6" s="8"/>
      <c r="G6" s="13" t="s">
        <v>57</v>
      </c>
      <c r="H6" s="13" t="s">
        <v>58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70"/>
      <c r="E6" s="34"/>
      <c r="F6" s="34"/>
      <c r="G6" s="57"/>
      <c r="H6" s="71"/>
      <c r="I6" s="34"/>
      <c r="J6" s="72" t="s">
        <v>24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71" t="s">
        <v>79</v>
      </c>
      <c r="AI6" s="72" t="s">
        <v>24</v>
      </c>
      <c r="AJ6" s="34" t="s">
        <v>21</v>
      </c>
      <c r="AK6" s="71" t="s">
        <v>80</v>
      </c>
      <c r="AL6" s="73">
        <v>3481.0</v>
      </c>
      <c r="AM6" s="74"/>
      <c r="AN6" s="74"/>
      <c r="AO6" s="74"/>
      <c r="AP6" s="34"/>
      <c r="AQ6" s="34"/>
      <c r="AR6" s="72">
        <v>20.0</v>
      </c>
      <c r="AS6" s="34"/>
      <c r="AT6" s="34" t="s">
        <v>22</v>
      </c>
      <c r="AU6" s="34" t="s">
        <v>81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4000.0</v>
      </c>
      <c r="E6" s="75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