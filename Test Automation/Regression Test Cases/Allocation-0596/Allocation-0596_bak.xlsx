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missionR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GetDataAllocation" sheetId="9" r:id="rId11"/>
    <sheet state="visible" name="CheckUnallocatedGroups" sheetId="10" r:id="rId12"/>
    <sheet state="visible" name="SelectTradeOnOrderGrid" sheetId="11" r:id="rId13"/>
    <sheet state="visible" name="SelectTradeSubOrderBlotter" sheetId="12" r:id="rId14"/>
    <sheet state="visible" name="ReplaceSubOrder" sheetId="13" r:id="rId15"/>
    <sheet state="visible" name="CreateReplaceOrder" sheetId="14" r:id="rId16"/>
    <sheet state="visible" name="CheckUnallocatedGroups1" sheetId="15" r:id="rId17"/>
    <sheet state="visible" name="CustomOrderTT" sheetId="16" r:id="rId18"/>
  </sheets>
  <definedNames/>
  <calcPr/>
</workbook>
</file>

<file path=xl/sharedStrings.xml><?xml version="1.0" encoding="utf-8"?>
<sst xmlns="http://schemas.openxmlformats.org/spreadsheetml/2006/main" count="348" uniqueCount="57">
  <si>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</si>
  <si>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</si>
  <si>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</si>
  <si>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</si>
  <si>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</si>
  <si>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</si>
  <si>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</si>
  <si>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</si>
  <si>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</si>
  <si>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</si>
  <si>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</si>
  <si>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</si>
  <si>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</si>
  <si>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SetCommissionRule</t>
  </si>
  <si>
    <t>Data Format</t>
  </si>
  <si>
    <t>Input Format</t>
  </si>
  <si>
    <t>PREALLOCATION</t>
  </si>
  <si>
    <t>TradingTicket</t>
  </si>
  <si>
    <t>CreateLiveOrder</t>
  </si>
  <si>
    <t>AAPL</t>
  </si>
  <si>
    <t>Buy</t>
  </si>
  <si>
    <t>Unallocated</t>
  </si>
  <si>
    <t>MS</t>
  </si>
  <si>
    <t>Day</t>
  </si>
  <si>
    <t>Market</t>
  </si>
  <si>
    <t>Flat Amount ProRata</t>
  </si>
  <si>
    <t>Simulator</t>
  </si>
  <si>
    <t>SelectTrade</t>
  </si>
  <si>
    <t>AcknowledgeTrade</t>
  </si>
  <si>
    <t>ExecuteTrade</t>
  </si>
  <si>
    <t>Allocation</t>
  </si>
  <si>
    <t>GetDataAllocation</t>
  </si>
  <si>
    <t>Historical</t>
  </si>
  <si>
    <t>CheckUnallocatedGroups</t>
  </si>
  <si>
    <t/>
  </si>
  <si>
    <t>Equity</t>
  </si>
  <si>
    <t>AAPL US EQUITY</t>
  </si>
  <si>
    <t>NONE</t>
  </si>
  <si>
    <t>Open</t>
  </si>
  <si>
    <t>APPLE</t>
  </si>
  <si>
    <t>USD</t>
  </si>
  <si>
    <t>NASDAQ</t>
  </si>
  <si>
    <t>M</t>
  </si>
  <si>
    <t>None</t>
  </si>
  <si>
    <t>InternalOrder</t>
  </si>
  <si>
    <t>GCCAP1</t>
  </si>
  <si>
    <t>FIX</t>
  </si>
  <si>
    <t>US</t>
  </si>
  <si>
    <t>jpearce</t>
  </si>
  <si>
    <t>Blotter</t>
  </si>
  <si>
    <t>SelectTradeOnOrderGrid</t>
  </si>
  <si>
    <t>PartiallyFilled</t>
  </si>
  <si>
    <t>SelectTradeSubOrderBlotter</t>
  </si>
  <si>
    <t>ReplaceSubOrder</t>
  </si>
  <si>
    <t>CreateReplaceOrder</t>
  </si>
  <si>
    <t>CustomOrderTT</t>
  </si>
  <si>
    <t>REPLACE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</si>
</sst>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IFERROR(__xludf.DUMMYFUNCTION("""COMPUTED_VALUE"""),"CommissionCalculation")</f>
        <v>CommissionCalculation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SetCommissionRule!$4:$4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20</v>
      </c>
      <c r="D6" s="12">
        <v>100.0</v>
      </c>
      <c r="E6" s="12">
        <v>100.0</v>
      </c>
      <c r="F6" s="12" t="s">
        <v>21</v>
      </c>
      <c r="G6" s="12" t="s">
        <v>22</v>
      </c>
      <c r="H6" s="12" t="s">
        <v>23</v>
      </c>
      <c r="I6" s="12" t="s">
        <v>24</v>
      </c>
      <c r="J6" s="12">
        <v>10.0</v>
      </c>
      <c r="K6" s="8"/>
      <c r="L6" s="8"/>
      <c r="M6" s="8"/>
      <c r="N6" s="31">
        <f>today()</f>
        <v>45258</v>
      </c>
      <c r="O6" s="8"/>
      <c r="R6" s="32" t="s">
        <v>25</v>
      </c>
      <c r="S6" s="33">
        <v>20.0</v>
      </c>
      <c r="T6" s="32" t="s">
        <v>25</v>
      </c>
      <c r="U6" s="33">
        <v>20.0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19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19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31">
        <f>today()-1</f>
        <v>45257</v>
      </c>
      <c r="D6" s="34">
        <f>today()</f>
        <v>45258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IFERROR(__xludf.DUMMYFUNCTION("""COMPUTED_VALUE"""),"Accrual Basis")</f>
        <v>Accrual Basis</v>
      </c>
      <c r="C5" s="27" t="str">
        <f>IFERROR(__xludf.DUMMYFUNCTION("""COMPUTED_VALUE"""),"Accrued Interest")</f>
        <v>Accrued Interest</v>
      </c>
      <c r="D5" s="27" t="str">
        <f>IFERROR(__xludf.DUMMYFUNCTION("""COMPUTED_VALUE"""),"Allocated Qty")</f>
        <v>Allocated Qty</v>
      </c>
      <c r="E5" s="27" t="str">
        <f>IFERROR(__xludf.DUMMYFUNCTION("""COMPUTED_VALUE"""),"Allocation Scheme Name")</f>
        <v>Allocation Scheme Name</v>
      </c>
      <c r="F5" s="28" t="str">
        <f>IFERROR(__xludf.DUMMYFUNCTION("""COMPUTED_VALUE"""),"Asset Category")</f>
        <v>Asset Category</v>
      </c>
      <c r="G5" s="27" t="str">
        <f>IFERROR(__xludf.DUMMYFUNCTION("""COMPUTED_VALUE"""),"AUEC Fee1")</f>
        <v>AUEC Fee1</v>
      </c>
      <c r="H5" s="27" t="str">
        <f>IFERROR(__xludf.DUMMYFUNCTION("""COMPUTED_VALUE"""),"AUEC Fee2")</f>
        <v>AUEC Fee2</v>
      </c>
      <c r="I5" s="27" t="str">
        <f>IFERROR(__xludf.DUMMYFUNCTION("""COMPUTED_VALUE"""),"AUECID")</f>
        <v>AUECID</v>
      </c>
      <c r="J5" s="27" t="str">
        <f>IFERROR(__xludf.DUMMYFUNCTION("""COMPUTED_VALUE"""),"Avg Price(Base)")</f>
        <v>Avg Price(Base)</v>
      </c>
      <c r="K5" s="27" t="str">
        <f>IFERROR(__xludf.DUMMYFUNCTION("""COMPUTED_VALUE"""),"Avg Price(Local)")</f>
        <v>Avg Price(Local)</v>
      </c>
      <c r="L5" s="27" t="str">
        <f>IFERROR(__xludf.DUMMYFUNCTION("""COMPUTED_VALUE"""),"Bloomberg")</f>
        <v>Bloomberg</v>
      </c>
      <c r="M5" s="27" t="str">
        <f>IFERROR(__xludf.DUMMYFUNCTION("""COMPUTED_VALUE"""),"Bond Type")</f>
        <v>Bond Type</v>
      </c>
      <c r="N5" s="27" t="str">
        <f>IFERROR(__xludf.DUMMYFUNCTION("""COMPUTED_VALUE"""),"Broker")</f>
        <v>Broker</v>
      </c>
      <c r="O5" s="27" t="str">
        <f>IFERROR(__xludf.DUMMYFUNCTION("""COMPUTED_VALUE"""),"Change Comment")</f>
        <v>Change Comment</v>
      </c>
      <c r="P5" s="27" t="str">
        <f>IFERROR(__xludf.DUMMYFUNCTION("""COMPUTED_VALUE"""),"Change Type")</f>
        <v>Change Type</v>
      </c>
      <c r="Q5" s="27" t="str">
        <f>IFERROR(__xludf.DUMMYFUNCTION("""COMPUTED_VALUE"""),"Clearing Broker Fee")</f>
        <v>Clearing Broker Fee</v>
      </c>
      <c r="R5" s="27" t="str">
        <f>IFERROR(__xludf.DUMMYFUNCTION("""COMPUTED_VALUE"""),"Closing Method")</f>
        <v>Closing Method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IFERROR(__xludf.DUMMYFUNCTION("""COMPUTED_VALUE"""),"Execution Time")</f>
        <v>Execution Time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IFERROR(__xludf.DUMMYFUNCTION("""COMPUTED_VALUE"""),"FX Rate")</f>
        <v>FX Rate</v>
      </c>
      <c r="AI5" s="29" t="str">
        <f>IFERROR(__xludf.DUMMYFUNCTION("""COMPUTED_VALUE"""),"Group Status")</f>
        <v>Group Status</v>
      </c>
      <c r="AJ5" s="29" t="str">
        <f>IFERROR(__xludf.DUMMYFUNCTION("""COMPUTED_VALUE"""),"GroupID")</f>
        <v>GroupID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IFERROR(__xludf.DUMMYFUNCTION("""COMPUTED_VALUE"""),"Symbol")</f>
        <v>Symbol</v>
      </c>
      <c r="BT5" s="29" t="str">
        <f>IFERROR(__xludf.DUMMYFUNCTION("""COMPUTED_VALUE"""),"Tax On Commissions")</f>
        <v>Tax On Commissions</v>
      </c>
      <c r="BU5" s="29" t="str">
        <f>IFERROR(__xludf.DUMMYFUNCTION("""COMPUTED_VALUE"""),"Total Commission")</f>
        <v>Total Commission</v>
      </c>
      <c r="BV5" s="29" t="str">
        <f>IFERROR(__xludf.DUMMYFUNCTION("""COMPUTED_VALUE"""),"Total Commission And Fee")</f>
        <v>Total Commission And Fee</v>
      </c>
      <c r="BW5" s="29" t="str">
        <f>IFERROR(__xludf.DUMMYFUNCTION("""COMPUTED_VALUE"""),"Total Commission Per Share")</f>
        <v>Total Commission Per Share</v>
      </c>
      <c r="BX5" s="29" t="str">
        <f>IFERROR(__xludf.DUMMYFUNCTION("""COMPUTED_VALUE"""),"Trade Attribute 1")</f>
        <v>Trade Attribute 1</v>
      </c>
      <c r="BY5" s="29" t="str">
        <f>IFERROR(__xludf.DUMMYFUNCTION("""COMPUTED_VALUE"""),"Trade Attribute 2")</f>
        <v>Trade Attribute 2</v>
      </c>
      <c r="BZ5" s="29" t="str">
        <f>IFERROR(__xludf.DUMMYFUNCTION("""COMPUTED_VALUE"""),"Trade Attribute 3")</f>
        <v>Trade Attribute 3</v>
      </c>
      <c r="CA5" s="29" t="str">
        <f>IFERROR(__xludf.DUMMYFUNCTION("""COMPUTED_VALUE"""),"Trade Attribute 4")</f>
        <v>Trade Attribute 4</v>
      </c>
      <c r="CB5" s="29" t="str">
        <f>IFERROR(__xludf.DUMMYFUNCTION("""COMPUTED_VALUE"""),"Trade Attribute 5")</f>
        <v>Trade Attribute 5</v>
      </c>
      <c r="CC5" s="29" t="str">
        <f>IFERROR(__xludf.DUMMYFUNCTION("""COMPUTED_VALUE"""),"Trade Attribute 6")</f>
        <v>Trade Attribute 6</v>
      </c>
      <c r="CD5" s="29" t="str">
        <f>IFERROR(__xludf.DUMMYFUNCTION("""COMPUTED_VALUE"""),"Trade Date")</f>
        <v>Trade Date</v>
      </c>
      <c r="CE5" s="29" t="str">
        <f>IFERROR(__xludf.DUMMYFUNCTION("""COMPUTED_VALUE"""),"Trading Account")</f>
        <v>Trading Account</v>
      </c>
      <c r="CF5" s="29" t="str">
        <f>IFERROR(__xludf.DUMMYFUNCTION("""COMPUTED_VALUE"""),"Transaction Levy")</f>
        <v>Transaction Levy</v>
      </c>
      <c r="CG5" s="29" t="str">
        <f>IFERROR(__xludf.DUMMYFUNCTION("""COMPUTED_VALUE"""),"Transaction Source")</f>
        <v>Transaction Source</v>
      </c>
      <c r="CH5" s="29" t="str">
        <f>IFERROR(__xludf.DUMMYFUNCTION("""COMPUTED_VALUE"""),"Transaction Type")</f>
        <v>Transaction Type</v>
      </c>
      <c r="CI5" s="29" t="str">
        <f>IFERROR(__xludf.DUMMYFUNCTION("""COMPUTED_VALUE"""),"UnAllocatedQty")</f>
        <v>UnAllocatedQty</v>
      </c>
      <c r="CJ5" s="29" t="str">
        <f>IFERROR(__xludf.DUMMYFUNCTION("""COMPUTED_VALUE"""),"Underlying")</f>
        <v>Underlying</v>
      </c>
      <c r="CK5" s="29" t="str">
        <f>IFERROR(__xludf.DUMMYFUNCTION("""COMPUTED_VALUE"""),"Underlying Delta")</f>
        <v>Underlying Delta</v>
      </c>
      <c r="CL5" s="29" t="str">
        <f>IFERROR(__xludf.DUMMYFUNCTION("""COMPUTED_VALUE"""),"Underlying Symbol")</f>
        <v>Underlying Symbol</v>
      </c>
      <c r="CM5" s="29" t="str">
        <f>IFERROR(__xludf.DUMMYFUNCTION("""COMPUTED_VALUE"""),"User")</f>
        <v>User</v>
      </c>
      <c r="CN5" s="29" t="str">
        <f>IFERROR(__xludf.DUMMYFUNCTION("""COMPUTED_VALUE"""),"Venue")</f>
        <v>Venue</v>
      </c>
      <c r="CO5" s="29" t="str">
        <f>IFERROR(__xludf.DUMMYFUNCTION("""COMPUTED_VALUE"""),"Closing Date")</f>
        <v>Closing Date</v>
      </c>
      <c r="CP5" s="29" t="str">
        <f>IFERROR(__xludf.DUMMYFUNCTION("""COMPUTED_VALUE"""),"Expiration Date")</f>
        <v>Expiration Date</v>
      </c>
      <c r="CQ5" s="29" t="str">
        <f>IFERROR(__xludf.DUMMYFUNCTION("""COMPUTED_VALUE"""),"Master Fund")</f>
        <v>Master Fund</v>
      </c>
      <c r="CR5" s="29" t="str">
        <f>IFERROR(__xludf.DUMMYFUNCTION("""COMPUTED_VALUE"""),"Borrow Broker")</f>
        <v>Borrow Broker</v>
      </c>
      <c r="CS5" s="29" t="str">
        <f>IFERROR(__xludf.DUMMYFUNCTION("""COMPUTED_VALUE"""),"MandatoryColumn")</f>
        <v>MandatoryColumn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5" t="s">
        <v>34</v>
      </c>
      <c r="B6" s="35" t="s">
        <v>34</v>
      </c>
      <c r="C6" s="8">
        <v>0.0</v>
      </c>
      <c r="D6" s="35">
        <v>0.0</v>
      </c>
      <c r="E6" s="8"/>
      <c r="F6" s="8" t="s">
        <v>35</v>
      </c>
      <c r="G6" s="8">
        <v>4.0</v>
      </c>
      <c r="H6" s="8">
        <v>5.0</v>
      </c>
      <c r="I6" s="8">
        <v>1.0</v>
      </c>
      <c r="J6" s="8">
        <v>10.0</v>
      </c>
      <c r="K6" s="8">
        <v>10.0</v>
      </c>
      <c r="L6" s="8" t="s">
        <v>36</v>
      </c>
      <c r="M6" s="8" t="s">
        <v>34</v>
      </c>
      <c r="N6" s="8" t="s">
        <v>22</v>
      </c>
      <c r="O6" s="8"/>
      <c r="P6">
        <v>3.0</v>
      </c>
      <c r="R6" t="s">
        <v>37</v>
      </c>
      <c r="S6" t="s">
        <v>38</v>
      </c>
      <c r="T6">
        <v>2.0</v>
      </c>
      <c r="U6">
        <v>0.2</v>
      </c>
      <c r="V6" t="s">
        <v>39</v>
      </c>
      <c r="W6">
        <v>1.0</v>
      </c>
      <c r="X6" t="s">
        <v>34</v>
      </c>
      <c r="Y6" t="s">
        <v>34</v>
      </c>
      <c r="Z6" t="s">
        <v>40</v>
      </c>
      <c r="AA6" t="s">
        <v>19</v>
      </c>
      <c r="AB6">
        <v>1.0</v>
      </c>
      <c r="AD6" t="s">
        <v>41</v>
      </c>
      <c r="AE6">
        <v>10.0</v>
      </c>
      <c r="AG6" t="s">
        <v>42</v>
      </c>
      <c r="AH6">
        <v>1.0</v>
      </c>
      <c r="AI6" t="s">
        <v>43</v>
      </c>
      <c r="AN6" t="b">
        <v>0</v>
      </c>
      <c r="AP6" t="b">
        <v>0</v>
      </c>
      <c r="AQ6" t="b">
        <v>0</v>
      </c>
      <c r="AR6" t="b">
        <v>0</v>
      </c>
      <c r="AS6">
        <v>0.0</v>
      </c>
      <c r="AW6">
        <v>0.0</v>
      </c>
      <c r="AX6">
        <v>0.0</v>
      </c>
      <c r="AY6" t="s">
        <v>24</v>
      </c>
      <c r="AZ6">
        <v>0.0</v>
      </c>
      <c r="BD6" t="s">
        <v>44</v>
      </c>
      <c r="BE6">
        <v>100.0</v>
      </c>
      <c r="BF6">
        <v>100.0</v>
      </c>
      <c r="BJ6">
        <v>100.0</v>
      </c>
      <c r="BK6">
        <v>0.0</v>
      </c>
      <c r="BL6" t="s">
        <v>34</v>
      </c>
      <c r="BM6" t="s">
        <v>40</v>
      </c>
      <c r="BO6" t="s">
        <v>20</v>
      </c>
      <c r="BP6">
        <v>2.0</v>
      </c>
      <c r="BQ6">
        <v>0.2</v>
      </c>
      <c r="BR6">
        <v>1.0E-4</v>
      </c>
      <c r="BS6" t="s">
        <v>19</v>
      </c>
      <c r="BT6">
        <v>3.0</v>
      </c>
      <c r="BU6">
        <v>4.0</v>
      </c>
      <c r="BW6">
        <v>0.4</v>
      </c>
      <c r="CE6" t="s">
        <v>45</v>
      </c>
      <c r="CF6">
        <v>2.0</v>
      </c>
      <c r="CG6" t="s">
        <v>46</v>
      </c>
      <c r="CH6" t="s">
        <v>20</v>
      </c>
      <c r="CI6">
        <v>10.0</v>
      </c>
      <c r="CJ6" t="s">
        <v>47</v>
      </c>
      <c r="CK6">
        <v>1.0</v>
      </c>
      <c r="CL6" t="s">
        <v>19</v>
      </c>
      <c r="CM6" t="s">
        <v>48</v>
      </c>
      <c r="CN6" t="s">
        <v>41</v>
      </c>
      <c r="CS6" t="s">
        <v>34</v>
      </c>
      <c r="CT6" t="s">
        <v>34</v>
      </c>
      <c r="CU6" t="s">
        <v>34</v>
      </c>
      <c r="CV6" t="s">
        <v>34</v>
      </c>
      <c r="CW6" t="s">
        <v>34</v>
      </c>
      <c r="CX6" t="s">
        <v>34</v>
      </c>
      <c r="CY6" t="s">
        <v>34</v>
      </c>
      <c r="CZ6" t="s">
        <v>34</v>
      </c>
      <c r="DA6" t="s">
        <v>34</v>
      </c>
      <c r="DB6" t="s">
        <v>34</v>
      </c>
      <c r="DC6" t="s">
        <v>34</v>
      </c>
      <c r="DD6" t="s">
        <v>34</v>
      </c>
      <c r="DE6" t="s">
        <v>34</v>
      </c>
      <c r="DF6" t="s">
        <v>34</v>
      </c>
      <c r="DG6" t="s">
        <v>34</v>
      </c>
      <c r="DH6" t="s">
        <v>34</v>
      </c>
      <c r="DI6" t="s">
        <v>34</v>
      </c>
      <c r="DJ6" t="s">
        <v>34</v>
      </c>
      <c r="DK6" t="s">
        <v>34</v>
      </c>
      <c r="DL6" t="s">
        <v>34</v>
      </c>
      <c r="DM6" t="s">
        <v>34</v>
      </c>
      <c r="DN6" t="s">
        <v>34</v>
      </c>
      <c r="DO6" t="s">
        <v>34</v>
      </c>
      <c r="DP6" t="s">
        <v>34</v>
      </c>
      <c r="DQ6" t="s">
        <v>34</v>
      </c>
      <c r="DR6" t="s">
        <v>34</v>
      </c>
      <c r="DS6" t="s">
        <v>34</v>
      </c>
      <c r="DT6" t="s">
        <v>34</v>
      </c>
      <c r="DU6" t="s">
        <v>34</v>
      </c>
      <c r="DV6" t="s">
        <v>34</v>
      </c>
      <c r="DW6" t="s">
        <v>34</v>
      </c>
      <c r="DX6" t="s">
        <v>34</v>
      </c>
      <c r="DY6" t="s">
        <v>34</v>
      </c>
      <c r="DZ6" t="s">
        <v>34</v>
      </c>
      <c r="EA6" t="s">
        <v>34</v>
      </c>
      <c r="EB6" t="s">
        <v>34</v>
      </c>
      <c r="EC6" t="s">
        <v>34</v>
      </c>
      <c r="ED6" t="s">
        <v>34</v>
      </c>
      <c r="EE6" t="s">
        <v>34</v>
      </c>
      <c r="EF6" t="s">
        <v>34</v>
      </c>
      <c r="EG6" t="s">
        <v>34</v>
      </c>
      <c r="EH6" t="s">
        <v>34</v>
      </c>
      <c r="EI6" t="s">
        <v>34</v>
      </c>
      <c r="EJ6" t="s">
        <v>34</v>
      </c>
      <c r="EK6" t="s">
        <v>34</v>
      </c>
      <c r="EL6" t="s">
        <v>34</v>
      </c>
      <c r="EM6" t="s">
        <v>34</v>
      </c>
      <c r="EN6" t="s">
        <v>34</v>
      </c>
      <c r="EO6" t="s">
        <v>34</v>
      </c>
      <c r="EP6" t="s">
        <v>34</v>
      </c>
      <c r="EQ6" t="s">
        <v>34</v>
      </c>
      <c r="ER6" t="s">
        <v>34</v>
      </c>
      <c r="ES6" t="s">
        <v>34</v>
      </c>
      <c r="ET6" t="s">
        <v>34</v>
      </c>
      <c r="EU6" t="s">
        <v>34</v>
      </c>
      <c r="EV6" t="s">
        <v>34</v>
      </c>
      <c r="EW6" t="s">
        <v>34</v>
      </c>
      <c r="EX6" t="s">
        <v>34</v>
      </c>
      <c r="EY6" t="s">
        <v>34</v>
      </c>
      <c r="EZ6" t="s">
        <v>34</v>
      </c>
      <c r="FA6" t="s">
        <v>34</v>
      </c>
      <c r="FB6" t="s">
        <v>34</v>
      </c>
      <c r="FC6" t="s">
        <v>34</v>
      </c>
      <c r="FD6" t="s">
        <v>34</v>
      </c>
      <c r="FE6" t="s">
        <v>34</v>
      </c>
      <c r="FF6" t="s">
        <v>34</v>
      </c>
      <c r="FG6" t="s">
        <v>34</v>
      </c>
      <c r="FH6" t="s">
        <v>34</v>
      </c>
      <c r="FI6" t="s">
        <v>34</v>
      </c>
      <c r="FJ6" t="s">
        <v>34</v>
      </c>
      <c r="FK6" t="s">
        <v>34</v>
      </c>
      <c r="FL6" t="s">
        <v>34</v>
      </c>
      <c r="FM6" t="s">
        <v>34</v>
      </c>
      <c r="FN6" t="s">
        <v>34</v>
      </c>
      <c r="FO6" t="s">
        <v>34</v>
      </c>
      <c r="FP6" t="s">
        <v>34</v>
      </c>
      <c r="FQ6" t="s">
        <v>34</v>
      </c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  <c r="AMJ6" s="36"/>
      <c r="AMK6" s="36"/>
      <c r="AML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19</v>
      </c>
      <c r="E6" s="30"/>
      <c r="F6" s="12" t="s">
        <v>20</v>
      </c>
      <c r="G6" s="12" t="s">
        <v>51</v>
      </c>
      <c r="H6" s="12">
        <v>100.0</v>
      </c>
      <c r="I6" s="8"/>
      <c r="J6" s="8"/>
      <c r="K6" s="8"/>
      <c r="L6" s="8"/>
      <c r="M6" s="8"/>
      <c r="N6" s="8"/>
      <c r="O6" s="8"/>
      <c r="Q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20</v>
      </c>
      <c r="AK6" s="9" t="s">
        <v>51</v>
      </c>
      <c r="AL6" s="9">
        <v>100.0</v>
      </c>
      <c r="AS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SelectTradeSubOrderBlotter!$4:$4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19</v>
      </c>
      <c r="AK6" s="9" t="s">
        <v>20</v>
      </c>
      <c r="AL6" s="9" t="s">
        <v>51</v>
      </c>
      <c r="AM6" s="9">
        <v>100.0</v>
      </c>
      <c r="AT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20</v>
      </c>
      <c r="D6" s="12"/>
      <c r="E6" s="30"/>
      <c r="F6" s="8"/>
      <c r="G6" s="8"/>
      <c r="H6" s="12" t="s">
        <v>23</v>
      </c>
      <c r="I6" s="12" t="s">
        <v>24</v>
      </c>
      <c r="J6" s="8"/>
      <c r="K6" s="8"/>
      <c r="L6" s="8"/>
      <c r="M6" s="8"/>
      <c r="N6" s="8"/>
      <c r="O6" s="8"/>
      <c r="R6" s="32" t="s">
        <v>25</v>
      </c>
      <c r="S6" s="37">
        <v>30.0</v>
      </c>
      <c r="T6" s="32" t="s">
        <v>25</v>
      </c>
      <c r="U6" s="37">
        <v>30.0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IFERROR(__xludf.DUMMYFUNCTION("""COMPUTED_VALUE"""),"Accrual Basis")</f>
        <v>Accrual Basis</v>
      </c>
      <c r="C5" s="27" t="str">
        <f>IFERROR(__xludf.DUMMYFUNCTION("""COMPUTED_VALUE"""),"Accrued Interest")</f>
        <v>Accrued Interest</v>
      </c>
      <c r="D5" s="27" t="str">
        <f>IFERROR(__xludf.DUMMYFUNCTION("""COMPUTED_VALUE"""),"Allocated Qty")</f>
        <v>Allocated Qty</v>
      </c>
      <c r="E5" s="27" t="str">
        <f>IFERROR(__xludf.DUMMYFUNCTION("""COMPUTED_VALUE"""),"Allocation Scheme Name")</f>
        <v>Allocation Scheme Name</v>
      </c>
      <c r="F5" s="28" t="str">
        <f>IFERROR(__xludf.DUMMYFUNCTION("""COMPUTED_VALUE"""),"Asset Category")</f>
        <v>Asset Category</v>
      </c>
      <c r="G5" s="27" t="str">
        <f>IFERROR(__xludf.DUMMYFUNCTION("""COMPUTED_VALUE"""),"AUEC Fee1")</f>
        <v>AUEC Fee1</v>
      </c>
      <c r="H5" s="27" t="str">
        <f>IFERROR(__xludf.DUMMYFUNCTION("""COMPUTED_VALUE"""),"AUEC Fee2")</f>
        <v>AUEC Fee2</v>
      </c>
      <c r="I5" s="27" t="str">
        <f>IFERROR(__xludf.DUMMYFUNCTION("""COMPUTED_VALUE"""),"AUECID")</f>
        <v>AUECID</v>
      </c>
      <c r="J5" s="27" t="str">
        <f>IFERROR(__xludf.DUMMYFUNCTION("""COMPUTED_VALUE"""),"Avg Price(Base)")</f>
        <v>Avg Price(Base)</v>
      </c>
      <c r="K5" s="27" t="str">
        <f>IFERROR(__xludf.DUMMYFUNCTION("""COMPUTED_VALUE"""),"Avg Price(Local)")</f>
        <v>Avg Price(Local)</v>
      </c>
      <c r="L5" s="27" t="str">
        <f>IFERROR(__xludf.DUMMYFUNCTION("""COMPUTED_VALUE"""),"Bloomberg")</f>
        <v>Bloomberg</v>
      </c>
      <c r="M5" s="27" t="str">
        <f>IFERROR(__xludf.DUMMYFUNCTION("""COMPUTED_VALUE"""),"Bond Type")</f>
        <v>Bond Type</v>
      </c>
      <c r="N5" s="27" t="str">
        <f>IFERROR(__xludf.DUMMYFUNCTION("""COMPUTED_VALUE"""),"Broker")</f>
        <v>Broker</v>
      </c>
      <c r="O5" s="27" t="str">
        <f>IFERROR(__xludf.DUMMYFUNCTION("""COMPUTED_VALUE"""),"Change Comment")</f>
        <v>Change Comment</v>
      </c>
      <c r="P5" s="27" t="str">
        <f>IFERROR(__xludf.DUMMYFUNCTION("""COMPUTED_VALUE"""),"Change Type")</f>
        <v>Change Type</v>
      </c>
      <c r="Q5" s="27" t="str">
        <f>IFERROR(__xludf.DUMMYFUNCTION("""COMPUTED_VALUE"""),"Clearing Broker Fee")</f>
        <v>Clearing Broker Fee</v>
      </c>
      <c r="R5" s="27" t="str">
        <f>IFERROR(__xludf.DUMMYFUNCTION("""COMPUTED_VALUE"""),"Closing Method")</f>
        <v>Closing Method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IFERROR(__xludf.DUMMYFUNCTION("""COMPUTED_VALUE"""),"Execution Time")</f>
        <v>Execution Time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IFERROR(__xludf.DUMMYFUNCTION("""COMPUTED_VALUE"""),"FX Rate")</f>
        <v>FX Rate</v>
      </c>
      <c r="AI5" s="29" t="str">
        <f>IFERROR(__xludf.DUMMYFUNCTION("""COMPUTED_VALUE"""),"Group Status")</f>
        <v>Group Status</v>
      </c>
      <c r="AJ5" s="29" t="str">
        <f>IFERROR(__xludf.DUMMYFUNCTION("""COMPUTED_VALUE"""),"GroupID")</f>
        <v>GroupID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IFERROR(__xludf.DUMMYFUNCTION("""COMPUTED_VALUE"""),"Symbol")</f>
        <v>Symbol</v>
      </c>
      <c r="BT5" s="29" t="str">
        <f>IFERROR(__xludf.DUMMYFUNCTION("""COMPUTED_VALUE"""),"Tax On Commissions")</f>
        <v>Tax On Commissions</v>
      </c>
      <c r="BU5" s="29" t="str">
        <f>IFERROR(__xludf.DUMMYFUNCTION("""COMPUTED_VALUE"""),"Total Commission")</f>
        <v>Total Commission</v>
      </c>
      <c r="BV5" s="29" t="str">
        <f>IFERROR(__xludf.DUMMYFUNCTION("""COMPUTED_VALUE"""),"Total Commission And Fee")</f>
        <v>Total Commission And Fee</v>
      </c>
      <c r="BW5" s="29" t="str">
        <f>IFERROR(__xludf.DUMMYFUNCTION("""COMPUTED_VALUE"""),"Total Commission Per Share")</f>
        <v>Total Commission Per Share</v>
      </c>
      <c r="BX5" s="29" t="str">
        <f>IFERROR(__xludf.DUMMYFUNCTION("""COMPUTED_VALUE"""),"Trade Attribute 1")</f>
        <v>Trade Attribute 1</v>
      </c>
      <c r="BY5" s="29" t="str">
        <f>IFERROR(__xludf.DUMMYFUNCTION("""COMPUTED_VALUE"""),"Trade Attribute 2")</f>
        <v>Trade Attribute 2</v>
      </c>
      <c r="BZ5" s="29" t="str">
        <f>IFERROR(__xludf.DUMMYFUNCTION("""COMPUTED_VALUE"""),"Trade Attribute 3")</f>
        <v>Trade Attribute 3</v>
      </c>
      <c r="CA5" s="29" t="str">
        <f>IFERROR(__xludf.DUMMYFUNCTION("""COMPUTED_VALUE"""),"Trade Attribute 4")</f>
        <v>Trade Attribute 4</v>
      </c>
      <c r="CB5" s="29" t="str">
        <f>IFERROR(__xludf.DUMMYFUNCTION("""COMPUTED_VALUE"""),"Trade Attribute 5")</f>
        <v>Trade Attribute 5</v>
      </c>
      <c r="CC5" s="29" t="str">
        <f>IFERROR(__xludf.DUMMYFUNCTION("""COMPUTED_VALUE"""),"Trade Attribute 6")</f>
        <v>Trade Attribute 6</v>
      </c>
      <c r="CD5" s="29" t="str">
        <f>IFERROR(__xludf.DUMMYFUNCTION("""COMPUTED_VALUE"""),"Trade Date")</f>
        <v>Trade Date</v>
      </c>
      <c r="CE5" s="29" t="str">
        <f>IFERROR(__xludf.DUMMYFUNCTION("""COMPUTED_VALUE"""),"Trading Account")</f>
        <v>Trading Account</v>
      </c>
      <c r="CF5" s="29" t="str">
        <f>IFERROR(__xludf.DUMMYFUNCTION("""COMPUTED_VALUE"""),"Transaction Levy")</f>
        <v>Transaction Levy</v>
      </c>
      <c r="CG5" s="29" t="str">
        <f>IFERROR(__xludf.DUMMYFUNCTION("""COMPUTED_VALUE"""),"Transaction Source")</f>
        <v>Transaction Source</v>
      </c>
      <c r="CH5" s="29" t="str">
        <f>IFERROR(__xludf.DUMMYFUNCTION("""COMPUTED_VALUE"""),"Transaction Type")</f>
        <v>Transaction Type</v>
      </c>
      <c r="CI5" s="29" t="str">
        <f>IFERROR(__xludf.DUMMYFUNCTION("""COMPUTED_VALUE"""),"UnAllocatedQty")</f>
        <v>UnAllocatedQty</v>
      </c>
      <c r="CJ5" s="29" t="str">
        <f>IFERROR(__xludf.DUMMYFUNCTION("""COMPUTED_VALUE"""),"Underlying")</f>
        <v>Underlying</v>
      </c>
      <c r="CK5" s="29" t="str">
        <f>IFERROR(__xludf.DUMMYFUNCTION("""COMPUTED_VALUE"""),"Underlying Delta")</f>
        <v>Underlying Delta</v>
      </c>
      <c r="CL5" s="29" t="str">
        <f>IFERROR(__xludf.DUMMYFUNCTION("""COMPUTED_VALUE"""),"Underlying Symbol")</f>
        <v>Underlying Symbol</v>
      </c>
      <c r="CM5" s="29" t="str">
        <f>IFERROR(__xludf.DUMMYFUNCTION("""COMPUTED_VALUE"""),"User")</f>
        <v>User</v>
      </c>
      <c r="CN5" s="29" t="str">
        <f>IFERROR(__xludf.DUMMYFUNCTION("""COMPUTED_VALUE"""),"Venue")</f>
        <v>Venue</v>
      </c>
      <c r="CO5" s="29" t="str">
        <f>IFERROR(__xludf.DUMMYFUNCTION("""COMPUTED_VALUE"""),"Closing Date")</f>
        <v>Closing Date</v>
      </c>
      <c r="CP5" s="29" t="str">
        <f>IFERROR(__xludf.DUMMYFUNCTION("""COMPUTED_VALUE"""),"Expiration Date")</f>
        <v>Expiration Date</v>
      </c>
      <c r="CQ5" s="29" t="str">
        <f>IFERROR(__xludf.DUMMYFUNCTION("""COMPUTED_VALUE"""),"Master Fund")</f>
        <v>Master Fund</v>
      </c>
      <c r="CR5" s="29" t="str">
        <f>IFERROR(__xludf.DUMMYFUNCTION("""COMPUTED_VALUE"""),"Borrow Broker")</f>
        <v>Borrow Broker</v>
      </c>
      <c r="CS5" s="29" t="str">
        <f>IFERROR(__xludf.DUMMYFUNCTION("""COMPUTED_VALUE"""),"MandatoryColumn")</f>
        <v>MandatoryColumn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5" t="s">
        <v>34</v>
      </c>
      <c r="B6" s="35" t="s">
        <v>34</v>
      </c>
      <c r="C6" s="8">
        <v>0.0</v>
      </c>
      <c r="D6" s="35">
        <v>0.0</v>
      </c>
      <c r="E6" s="8"/>
      <c r="F6" s="8" t="s">
        <v>35</v>
      </c>
      <c r="G6" s="8">
        <v>4.0</v>
      </c>
      <c r="H6" s="8">
        <v>5.0</v>
      </c>
      <c r="I6" s="8">
        <v>1.0</v>
      </c>
      <c r="J6" s="8">
        <v>10.0</v>
      </c>
      <c r="K6" s="8">
        <v>10.0</v>
      </c>
      <c r="L6" s="8" t="s">
        <v>36</v>
      </c>
      <c r="M6" s="8" t="s">
        <v>34</v>
      </c>
      <c r="N6" s="8" t="s">
        <v>22</v>
      </c>
      <c r="O6" s="8"/>
      <c r="P6">
        <v>3.0</v>
      </c>
      <c r="R6" t="s">
        <v>37</v>
      </c>
      <c r="S6" t="s">
        <v>38</v>
      </c>
      <c r="T6">
        <v>6.0</v>
      </c>
      <c r="U6">
        <v>0.3</v>
      </c>
      <c r="V6" t="s">
        <v>39</v>
      </c>
      <c r="W6">
        <v>1.0</v>
      </c>
      <c r="X6" t="s">
        <v>34</v>
      </c>
      <c r="Y6" t="s">
        <v>34</v>
      </c>
      <c r="Z6" t="s">
        <v>40</v>
      </c>
      <c r="AA6" t="s">
        <v>19</v>
      </c>
      <c r="AB6">
        <v>1.0</v>
      </c>
      <c r="AD6" t="s">
        <v>41</v>
      </c>
      <c r="AE6">
        <v>20.0</v>
      </c>
      <c r="AG6" t="s">
        <v>42</v>
      </c>
      <c r="AH6">
        <v>1.0</v>
      </c>
      <c r="AI6" t="s">
        <v>43</v>
      </c>
      <c r="AN6" t="b">
        <v>0</v>
      </c>
      <c r="AP6" t="b">
        <v>0</v>
      </c>
      <c r="AQ6" t="b">
        <v>0</v>
      </c>
      <c r="AR6" t="b">
        <v>0</v>
      </c>
      <c r="AS6">
        <v>0.0</v>
      </c>
      <c r="AW6">
        <v>0.0</v>
      </c>
      <c r="AX6">
        <v>0.0</v>
      </c>
      <c r="AY6" t="s">
        <v>24</v>
      </c>
      <c r="AZ6">
        <v>0.0</v>
      </c>
      <c r="BD6" t="s">
        <v>44</v>
      </c>
      <c r="BE6">
        <v>200.0</v>
      </c>
      <c r="BF6">
        <v>200.0</v>
      </c>
      <c r="BJ6">
        <v>100.0</v>
      </c>
      <c r="BK6">
        <v>0.0</v>
      </c>
      <c r="BL6" t="s">
        <v>34</v>
      </c>
      <c r="BM6" t="s">
        <v>40</v>
      </c>
      <c r="BO6" t="s">
        <v>20</v>
      </c>
      <c r="BP6">
        <v>6.0</v>
      </c>
      <c r="BQ6">
        <v>0.3</v>
      </c>
      <c r="BR6">
        <v>1.0E-4</v>
      </c>
      <c r="BS6" t="s">
        <v>19</v>
      </c>
      <c r="BT6">
        <v>3.0</v>
      </c>
      <c r="BU6">
        <v>12.0</v>
      </c>
      <c r="BW6">
        <v>0.6</v>
      </c>
      <c r="CE6" t="s">
        <v>45</v>
      </c>
      <c r="CF6">
        <v>2.0</v>
      </c>
      <c r="CG6" t="s">
        <v>46</v>
      </c>
      <c r="CH6" t="s">
        <v>20</v>
      </c>
      <c r="CI6">
        <v>20.0</v>
      </c>
      <c r="CJ6" t="s">
        <v>47</v>
      </c>
      <c r="CK6">
        <v>1.0</v>
      </c>
      <c r="CL6" t="s">
        <v>19</v>
      </c>
      <c r="CM6" t="s">
        <v>48</v>
      </c>
      <c r="CN6" t="s">
        <v>41</v>
      </c>
      <c r="CS6" t="s">
        <v>34</v>
      </c>
      <c r="CT6" t="s">
        <v>34</v>
      </c>
      <c r="CU6" t="s">
        <v>34</v>
      </c>
      <c r="CV6" t="s">
        <v>34</v>
      </c>
      <c r="CW6" t="s">
        <v>34</v>
      </c>
      <c r="CX6" t="s">
        <v>34</v>
      </c>
      <c r="CY6" t="s">
        <v>34</v>
      </c>
      <c r="CZ6" t="s">
        <v>34</v>
      </c>
      <c r="DA6" t="s">
        <v>34</v>
      </c>
      <c r="DB6" t="s">
        <v>34</v>
      </c>
      <c r="DC6" t="s">
        <v>34</v>
      </c>
      <c r="DD6" t="s">
        <v>34</v>
      </c>
      <c r="DE6" t="s">
        <v>34</v>
      </c>
      <c r="DF6" t="s">
        <v>34</v>
      </c>
      <c r="DG6" t="s">
        <v>34</v>
      </c>
      <c r="DH6" t="s">
        <v>34</v>
      </c>
      <c r="DI6" t="s">
        <v>34</v>
      </c>
      <c r="DJ6" t="s">
        <v>34</v>
      </c>
      <c r="DK6" t="s">
        <v>34</v>
      </c>
      <c r="DL6" t="s">
        <v>34</v>
      </c>
      <c r="DM6" t="s">
        <v>34</v>
      </c>
      <c r="DN6" t="s">
        <v>34</v>
      </c>
      <c r="DO6" t="s">
        <v>34</v>
      </c>
      <c r="DP6" t="s">
        <v>34</v>
      </c>
      <c r="DQ6" t="s">
        <v>34</v>
      </c>
      <c r="DR6" t="s">
        <v>34</v>
      </c>
      <c r="DS6" t="s">
        <v>34</v>
      </c>
      <c r="DT6" t="s">
        <v>34</v>
      </c>
      <c r="DU6" t="s">
        <v>34</v>
      </c>
      <c r="DV6" t="s">
        <v>34</v>
      </c>
      <c r="DW6" t="s">
        <v>34</v>
      </c>
      <c r="DX6" t="s">
        <v>34</v>
      </c>
      <c r="DY6" t="s">
        <v>34</v>
      </c>
      <c r="DZ6" t="s">
        <v>34</v>
      </c>
      <c r="EA6" t="s">
        <v>34</v>
      </c>
      <c r="EB6" t="s">
        <v>34</v>
      </c>
      <c r="EC6" t="s">
        <v>34</v>
      </c>
      <c r="ED6" t="s">
        <v>34</v>
      </c>
      <c r="EE6" t="s">
        <v>34</v>
      </c>
      <c r="EF6" t="s">
        <v>34</v>
      </c>
      <c r="EG6" t="s">
        <v>34</v>
      </c>
      <c r="EH6" t="s">
        <v>34</v>
      </c>
      <c r="EI6" t="s">
        <v>34</v>
      </c>
      <c r="EJ6" t="s">
        <v>34</v>
      </c>
      <c r="EK6" t="s">
        <v>34</v>
      </c>
      <c r="EL6" t="s">
        <v>34</v>
      </c>
      <c r="EM6" t="s">
        <v>34</v>
      </c>
      <c r="EN6" t="s">
        <v>34</v>
      </c>
      <c r="EO6" t="s">
        <v>34</v>
      </c>
      <c r="EP6" t="s">
        <v>34</v>
      </c>
      <c r="EQ6" t="s">
        <v>34</v>
      </c>
      <c r="ER6" t="s">
        <v>34</v>
      </c>
      <c r="ES6" t="s">
        <v>34</v>
      </c>
      <c r="ET6" t="s">
        <v>34</v>
      </c>
      <c r="EU6" t="s">
        <v>34</v>
      </c>
      <c r="EV6" t="s">
        <v>34</v>
      </c>
      <c r="EW6" t="s">
        <v>34</v>
      </c>
      <c r="EX6" t="s">
        <v>34</v>
      </c>
      <c r="EY6" t="s">
        <v>34</v>
      </c>
      <c r="EZ6" t="s">
        <v>34</v>
      </c>
      <c r="FA6" t="s">
        <v>34</v>
      </c>
      <c r="FB6" t="s">
        <v>34</v>
      </c>
      <c r="FC6" t="s">
        <v>34</v>
      </c>
      <c r="FD6" t="s">
        <v>34</v>
      </c>
      <c r="FE6" t="s">
        <v>34</v>
      </c>
      <c r="FF6" t="s">
        <v>34</v>
      </c>
      <c r="FG6" t="s">
        <v>34</v>
      </c>
      <c r="FH6" t="s">
        <v>34</v>
      </c>
      <c r="FI6" t="s">
        <v>34</v>
      </c>
      <c r="FJ6" t="s">
        <v>34</v>
      </c>
      <c r="FK6" t="s">
        <v>34</v>
      </c>
      <c r="FL6" t="s">
        <v>34</v>
      </c>
      <c r="FM6" t="s">
        <v>34</v>
      </c>
      <c r="FN6" t="s">
        <v>34</v>
      </c>
      <c r="FO6" t="s">
        <v>34</v>
      </c>
      <c r="FP6" t="s">
        <v>34</v>
      </c>
      <c r="FQ6" t="s">
        <v>34</v>
      </c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  <c r="AMJ6" s="36"/>
      <c r="AMK6" s="36"/>
      <c r="AML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IFERROR(__xludf.DUMMYFUNCTION("""COMPUTED_VALUE"""),"SymbolAvailableOnSuggestion")</f>
        <v>SymbolAvailableOnSuggestion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12" t="s">
        <v>56</v>
      </c>
      <c r="F6" s="8"/>
      <c r="G6" s="8"/>
      <c r="H6" s="8"/>
      <c r="I6" s="8"/>
      <c r="J6" s="8"/>
      <c r="K6" s="8"/>
      <c r="L6" s="32" t="s">
        <v>25</v>
      </c>
      <c r="M6" s="37">
        <v>30.0</v>
      </c>
      <c r="N6" s="32" t="s">
        <v>25</v>
      </c>
      <c r="O6" s="37">
        <v>30.0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