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3" activeTab="1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Filter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ManualClosing" sheetId="12" r:id="rId12"/>
    <sheet name="VerifyClosedTrades" sheetId="13" r:id="rId13"/>
    <sheet name="VerifyWorkingSubs" sheetId="14" r:id="rId14"/>
    <sheet name="GetDataAllocation" sheetId="15" r:id="rId15"/>
    <sheet name="CheckAllocatedGroups" sheetId="16" r:id="rId16"/>
    <sheet name="CheckPortfolioManagement1" sheetId="17" r:id="rId17"/>
  </sheets>
  <calcPr calcId="145621"/>
</workbook>
</file>

<file path=xl/calcChain.xml><?xml version="1.0" encoding="utf-8"?>
<calcChain xmlns="http://schemas.openxmlformats.org/spreadsheetml/2006/main">
  <c r="BK5" i="17" l="1"/>
  <c r="BK5" i="5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F5" i="13"/>
  <c r="X5" i="13"/>
  <c r="P5" i="13"/>
  <c r="H5" i="13"/>
  <c r="AC4" i="13"/>
  <c r="U4" i="13"/>
  <c r="M4" i="13"/>
  <c r="E4" i="13"/>
  <c r="BB5" i="12"/>
  <c r="AT5" i="12"/>
  <c r="AL5" i="12"/>
  <c r="AD5" i="12"/>
  <c r="V5" i="12"/>
  <c r="N5" i="12"/>
  <c r="F5" i="12"/>
  <c r="AA4" i="12"/>
  <c r="S4" i="12"/>
  <c r="K4" i="12"/>
  <c r="C4" i="12"/>
  <c r="U5" i="11"/>
  <c r="M5" i="11"/>
  <c r="E5" i="11"/>
  <c r="Z4" i="11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C5" i="13"/>
  <c r="U5" i="13"/>
  <c r="M5" i="13"/>
  <c r="E5" i="13"/>
  <c r="Z4" i="13"/>
  <c r="R4" i="13"/>
  <c r="J4" i="13"/>
  <c r="B4" i="13"/>
  <c r="AY5" i="12"/>
  <c r="AQ5" i="12"/>
  <c r="AI5" i="12"/>
  <c r="AA5" i="12"/>
  <c r="S5" i="12"/>
  <c r="K5" i="12"/>
  <c r="C5" i="12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B5" i="13"/>
  <c r="T5" i="13"/>
  <c r="L5" i="13"/>
  <c r="D5" i="13"/>
  <c r="Y4" i="13"/>
  <c r="Q4" i="13"/>
  <c r="I4" i="13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A5" i="13"/>
  <c r="S5" i="13"/>
  <c r="K5" i="13"/>
  <c r="C5" i="13"/>
  <c r="X4" i="13"/>
  <c r="P4" i="13"/>
  <c r="H4" i="13"/>
  <c r="BE5" i="12"/>
  <c r="AW5" i="12"/>
  <c r="AO5" i="12"/>
  <c r="AG5" i="12"/>
  <c r="Y5" i="12"/>
  <c r="Q5" i="12"/>
  <c r="I5" i="12"/>
  <c r="A5" i="12"/>
  <c r="V4" i="12"/>
  <c r="N4" i="12"/>
  <c r="F4" i="12"/>
  <c r="X5" i="11"/>
  <c r="P5" i="11"/>
  <c r="H5" i="11"/>
  <c r="AC4" i="11"/>
  <c r="U4" i="11"/>
  <c r="M4" i="11"/>
  <c r="E4" i="11"/>
  <c r="W5" i="10"/>
  <c r="O5" i="10"/>
  <c r="G5" i="10"/>
  <c r="AB4" i="10"/>
  <c r="T4" i="10"/>
  <c r="L4" i="10"/>
  <c r="D4" i="10"/>
  <c r="A5" i="9"/>
  <c r="V4" i="9"/>
  <c r="N4" i="9"/>
  <c r="F4" i="9"/>
  <c r="AO5" i="8"/>
  <c r="AG5" i="8"/>
  <c r="Y5" i="8"/>
  <c r="Q5" i="8"/>
  <c r="I5" i="8"/>
  <c r="A5" i="8"/>
  <c r="M4" i="8"/>
  <c r="E4" i="8"/>
  <c r="Z4" i="7"/>
  <c r="R4" i="7"/>
  <c r="J4" i="7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EZ5" i="17"/>
  <c r="CN5" i="17"/>
  <c r="AB5" i="17"/>
  <c r="CI5" i="16"/>
  <c r="W5" i="16"/>
  <c r="CB4" i="16"/>
  <c r="AE4" i="16"/>
  <c r="Q5" i="15"/>
  <c r="DJ4" i="15"/>
  <c r="CM4" i="15"/>
  <c r="BQ4" i="15"/>
  <c r="AX4" i="15"/>
  <c r="AA4" i="15"/>
  <c r="E4" i="15"/>
  <c r="AM5" i="14"/>
  <c r="P5" i="14"/>
  <c r="AN4" i="14"/>
  <c r="U4" i="14"/>
  <c r="AE5" i="13"/>
  <c r="O5" i="13"/>
  <c r="AB4" i="13"/>
  <c r="L4" i="13"/>
  <c r="BA5" i="12"/>
  <c r="AN5" i="12"/>
  <c r="AB5" i="12"/>
  <c r="O5" i="12"/>
  <c r="B5" i="12"/>
  <c r="T4" i="12"/>
  <c r="I4" i="12"/>
  <c r="Y5" i="11"/>
  <c r="N5" i="11"/>
  <c r="C5" i="11"/>
  <c r="V4" i="11"/>
  <c r="L4" i="11"/>
  <c r="C4" i="11"/>
  <c r="T5" i="10"/>
  <c r="K5" i="10"/>
  <c r="B5" i="10"/>
  <c r="V4" i="10"/>
  <c r="M4" i="10"/>
  <c r="C4" i="10"/>
  <c r="AB4" i="9"/>
  <c r="S4" i="9"/>
  <c r="J4" i="9"/>
  <c r="AI5" i="8"/>
  <c r="Z5" i="8"/>
  <c r="P5" i="8"/>
  <c r="G5" i="8"/>
  <c r="R4" i="8"/>
  <c r="I4" i="8"/>
  <c r="C5" i="7"/>
  <c r="T4" i="7"/>
  <c r="K4" i="7"/>
  <c r="B4" i="7"/>
  <c r="X4" i="6"/>
  <c r="P4" i="6"/>
  <c r="H4" i="6"/>
  <c r="FB5" i="5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ER5" i="17"/>
  <c r="CF5" i="17"/>
  <c r="T5" i="17"/>
  <c r="CA5" i="16"/>
  <c r="O5" i="16"/>
  <c r="BT4" i="16"/>
  <c r="X4" i="16"/>
  <c r="J5" i="15"/>
  <c r="DE4" i="15"/>
  <c r="CL4" i="15"/>
  <c r="BO4" i="15"/>
  <c r="AS4" i="15"/>
  <c r="Z4" i="15"/>
  <c r="C4" i="15"/>
  <c r="AH5" i="14"/>
  <c r="O5" i="14"/>
  <c r="AL4" i="14"/>
  <c r="P4" i="14"/>
  <c r="AD5" i="13"/>
  <c r="N5" i="13"/>
  <c r="AA4" i="13"/>
  <c r="K4" i="13"/>
  <c r="AZ5" i="12"/>
  <c r="AM5" i="12"/>
  <c r="Z5" i="12"/>
  <c r="M5" i="12"/>
  <c r="AC4" i="12"/>
  <c r="R4" i="12"/>
  <c r="H4" i="12"/>
  <c r="W5" i="11"/>
  <c r="L5" i="11"/>
  <c r="B5" i="11"/>
  <c r="T4" i="11"/>
  <c r="K4" i="11"/>
  <c r="B4" i="11"/>
  <c r="S5" i="10"/>
  <c r="J5" i="10"/>
  <c r="A5" i="10"/>
  <c r="U4" i="10"/>
  <c r="K4" i="10"/>
  <c r="B4" i="10"/>
  <c r="AA4" i="9"/>
  <c r="R4" i="9"/>
  <c r="I4" i="9"/>
  <c r="AQ5" i="8"/>
  <c r="AH5" i="8"/>
  <c r="X5" i="8"/>
  <c r="O5" i="8"/>
  <c r="F5" i="8"/>
  <c r="Q4" i="8"/>
  <c r="H4" i="8"/>
  <c r="B5" i="7"/>
  <c r="S4" i="7"/>
  <c r="I4" i="7"/>
  <c r="W4" i="6"/>
  <c r="O4" i="6"/>
  <c r="G4" i="6"/>
  <c r="FA5" i="5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W4" i="5"/>
  <c r="O4" i="5"/>
  <c r="G4" i="5"/>
  <c r="AP5" i="4"/>
  <c r="AH5" i="4"/>
  <c r="Z5" i="4"/>
  <c r="R5" i="4"/>
  <c r="J5" i="4"/>
  <c r="B5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EJ5" i="17"/>
  <c r="BX5" i="17"/>
  <c r="L5" i="17"/>
  <c r="BS5" i="16"/>
  <c r="G5" i="16"/>
  <c r="BL4" i="16"/>
  <c r="W4" i="16"/>
  <c r="I5" i="15"/>
  <c r="DC4" i="15"/>
  <c r="CG4" i="15"/>
  <c r="BN4" i="15"/>
  <c r="AQ4" i="15"/>
  <c r="U4" i="15"/>
  <c r="B4" i="15"/>
  <c r="AF5" i="14"/>
  <c r="J5" i="14"/>
  <c r="AK4" i="14"/>
  <c r="N4" i="14"/>
  <c r="Z5" i="13"/>
  <c r="J5" i="13"/>
  <c r="W4" i="13"/>
  <c r="G4" i="13"/>
  <c r="AX5" i="12"/>
  <c r="AK5" i="12"/>
  <c r="X5" i="12"/>
  <c r="L5" i="12"/>
  <c r="AB4" i="12"/>
  <c r="Q4" i="12"/>
  <c r="G4" i="12"/>
  <c r="V5" i="11"/>
  <c r="K5" i="11"/>
  <c r="A5" i="11"/>
  <c r="S4" i="11"/>
  <c r="J4" i="11"/>
  <c r="R5" i="10"/>
  <c r="I5" i="10"/>
  <c r="AC4" i="10"/>
  <c r="S4" i="10"/>
  <c r="J4" i="10"/>
  <c r="Z4" i="9"/>
  <c r="Q4" i="9"/>
  <c r="H4" i="9"/>
  <c r="AP5" i="8"/>
  <c r="AF5" i="8"/>
  <c r="W5" i="8"/>
  <c r="N5" i="8"/>
  <c r="E5" i="8"/>
  <c r="P4" i="8"/>
  <c r="G4" i="8"/>
  <c r="A5" i="7"/>
  <c r="Q4" i="7"/>
  <c r="H4" i="7"/>
  <c r="D5" i="6"/>
  <c r="V4" i="6"/>
  <c r="N4" i="6"/>
  <c r="F4" i="6"/>
  <c r="EZ5" i="5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EB5" i="17"/>
  <c r="BP5" i="17"/>
  <c r="D5" i="17"/>
  <c r="BK5" i="16"/>
  <c r="DP4" i="16"/>
  <c r="BD4" i="16"/>
  <c r="P4" i="16"/>
  <c r="D5" i="15"/>
  <c r="DB4" i="15"/>
  <c r="CE4" i="15"/>
  <c r="BI4" i="15"/>
  <c r="AP4" i="15"/>
  <c r="S4" i="15"/>
  <c r="AX5" i="14"/>
  <c r="AE5" i="14"/>
  <c r="H5" i="14"/>
  <c r="AF4" i="14"/>
  <c r="M4" i="14"/>
  <c r="Y5" i="13"/>
  <c r="I5" i="13"/>
  <c r="V4" i="13"/>
  <c r="F4" i="13"/>
  <c r="AV5" i="12"/>
  <c r="AJ5" i="12"/>
  <c r="W5" i="12"/>
  <c r="J5" i="12"/>
  <c r="Z4" i="12"/>
  <c r="P4" i="12"/>
  <c r="E4" i="12"/>
  <c r="T5" i="11"/>
  <c r="J5" i="11"/>
  <c r="AB4" i="11"/>
  <c r="R4" i="11"/>
  <c r="I4" i="11"/>
  <c r="Z5" i="10"/>
  <c r="Q5" i="10"/>
  <c r="H5" i="10"/>
  <c r="AA4" i="10"/>
  <c r="R4" i="10"/>
  <c r="I4" i="10"/>
  <c r="E5" i="9"/>
  <c r="Y4" i="9"/>
  <c r="P4" i="9"/>
  <c r="G4" i="9"/>
  <c r="AN5" i="8"/>
  <c r="AE5" i="8"/>
  <c r="V5" i="8"/>
  <c r="M5" i="8"/>
  <c r="D5" i="8"/>
  <c r="O4" i="8"/>
  <c r="F4" i="8"/>
  <c r="Y4" i="7"/>
  <c r="P4" i="7"/>
  <c r="G4" i="7"/>
  <c r="C5" i="6"/>
  <c r="U4" i="6"/>
  <c r="M4" i="6"/>
  <c r="E4" i="6"/>
  <c r="EY5" i="5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DT5" i="17"/>
  <c r="BH5" i="17"/>
  <c r="V4" i="17"/>
  <c r="BC5" i="16"/>
  <c r="DH4" i="16"/>
  <c r="AV4" i="16"/>
  <c r="O4" i="16"/>
  <c r="B5" i="15"/>
  <c r="CW4" i="15"/>
  <c r="CD4" i="15"/>
  <c r="BG4" i="15"/>
  <c r="AK4" i="15"/>
  <c r="R4" i="15"/>
  <c r="AV5" i="14"/>
  <c r="Z5" i="14"/>
  <c r="G5" i="14"/>
  <c r="AD4" i="14"/>
  <c r="H4" i="14"/>
  <c r="W5" i="13"/>
  <c r="G5" i="13"/>
  <c r="T4" i="13"/>
  <c r="D4" i="13"/>
  <c r="AU5" i="12"/>
  <c r="AH5" i="12"/>
  <c r="U5" i="12"/>
  <c r="H5" i="12"/>
  <c r="Y4" i="12"/>
  <c r="O4" i="12"/>
  <c r="D4" i="12"/>
  <c r="S5" i="11"/>
  <c r="I5" i="11"/>
  <c r="AA4" i="11"/>
  <c r="Q4" i="11"/>
  <c r="H4" i="11"/>
  <c r="Y5" i="10"/>
  <c r="P5" i="10"/>
  <c r="F5" i="10"/>
  <c r="Z4" i="10"/>
  <c r="Q4" i="10"/>
  <c r="H4" i="10"/>
  <c r="D5" i="9"/>
  <c r="X4" i="9"/>
  <c r="O4" i="9"/>
  <c r="E4" i="9"/>
  <c r="AM5" i="8"/>
  <c r="AD5" i="8"/>
  <c r="U5" i="8"/>
  <c r="L5" i="8"/>
  <c r="C5" i="8"/>
  <c r="N4" i="8"/>
  <c r="D4" i="8"/>
  <c r="X4" i="7"/>
  <c r="O4" i="7"/>
  <c r="F4" i="7"/>
  <c r="B5" i="6"/>
  <c r="T4" i="6"/>
  <c r="L4" i="6"/>
  <c r="D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DL5" i="17"/>
  <c r="AZ5" i="17"/>
  <c r="N4" i="17"/>
  <c r="AU5" i="16"/>
  <c r="CZ4" i="16"/>
  <c r="AN4" i="16"/>
  <c r="H4" i="16"/>
  <c r="A5" i="15"/>
  <c r="CU4" i="15"/>
  <c r="BY4" i="15"/>
  <c r="BF4" i="15"/>
  <c r="AI4" i="15"/>
  <c r="M4" i="15"/>
  <c r="AU5" i="14"/>
  <c r="X5" i="14"/>
  <c r="B5" i="14"/>
  <c r="AC4" i="14"/>
  <c r="F4" i="14"/>
  <c r="V5" i="13"/>
  <c r="F5" i="13"/>
  <c r="S4" i="13"/>
  <c r="C4" i="13"/>
  <c r="AS5" i="12"/>
  <c r="AF5" i="12"/>
  <c r="T5" i="12"/>
  <c r="G5" i="12"/>
  <c r="X4" i="12"/>
  <c r="M4" i="12"/>
  <c r="B4" i="12"/>
  <c r="R5" i="11"/>
  <c r="G5" i="11"/>
  <c r="Y4" i="11"/>
  <c r="P4" i="11"/>
  <c r="G4" i="11"/>
  <c r="X5" i="10"/>
  <c r="N5" i="10"/>
  <c r="E5" i="10"/>
  <c r="Y4" i="10"/>
  <c r="P4" i="10"/>
  <c r="G4" i="10"/>
  <c r="C5" i="9"/>
  <c r="W4" i="9"/>
  <c r="M4" i="9"/>
  <c r="D4" i="9"/>
  <c r="AL5" i="8"/>
  <c r="AC5" i="8"/>
  <c r="T5" i="8"/>
  <c r="K5" i="8"/>
  <c r="B5" i="8"/>
  <c r="L4" i="8"/>
  <c r="C4" i="8"/>
  <c r="W4" i="7"/>
  <c r="N4" i="7"/>
  <c r="E4" i="7"/>
  <c r="A5" i="6"/>
  <c r="S4" i="6"/>
  <c r="K4" i="6"/>
  <c r="C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DD5" i="17"/>
  <c r="AR5" i="17"/>
  <c r="F4" i="17"/>
  <c r="AM5" i="16"/>
  <c r="CR4" i="16"/>
  <c r="AM4" i="16"/>
  <c r="G4" i="16"/>
  <c r="DM4" i="15"/>
  <c r="CT4" i="15"/>
  <c r="BW4" i="15"/>
  <c r="BA4" i="15"/>
  <c r="AH4" i="15"/>
  <c r="K4" i="15"/>
  <c r="AP5" i="14"/>
  <c r="W5" i="14"/>
  <c r="AT4" i="14"/>
  <c r="X4" i="14"/>
  <c r="E4" i="14"/>
  <c r="R5" i="13"/>
  <c r="B5" i="13"/>
  <c r="O4" i="13"/>
  <c r="BD5" i="12"/>
  <c r="AR5" i="12"/>
  <c r="AE5" i="12"/>
  <c r="R5" i="12"/>
  <c r="E5" i="12"/>
  <c r="W4" i="12"/>
  <c r="L4" i="12"/>
  <c r="Q5" i="11"/>
  <c r="F5" i="11"/>
  <c r="X4" i="11"/>
  <c r="O4" i="11"/>
  <c r="F4" i="11"/>
  <c r="V5" i="10"/>
  <c r="M5" i="10"/>
  <c r="D5" i="10"/>
  <c r="X4" i="10"/>
  <c r="O4" i="10"/>
  <c r="F4" i="10"/>
  <c r="B5" i="9"/>
  <c r="U4" i="9"/>
  <c r="L4" i="9"/>
  <c r="C4" i="9"/>
  <c r="AK5" i="8"/>
  <c r="AB5" i="8"/>
  <c r="S5" i="8"/>
  <c r="J5" i="8"/>
  <c r="T4" i="8"/>
  <c r="K4" i="8"/>
  <c r="B4" i="8"/>
  <c r="V4" i="7"/>
  <c r="M4" i="7"/>
  <c r="D4" i="7"/>
  <c r="Z4" i="6"/>
  <c r="R4" i="6"/>
  <c r="J4" i="6"/>
  <c r="B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CV5" i="17"/>
  <c r="AJ5" i="17"/>
  <c r="CQ5" i="16"/>
  <c r="AE5" i="16"/>
  <c r="CJ4" i="16"/>
  <c r="AF4" i="16"/>
  <c r="R5" i="15"/>
  <c r="DK4" i="15"/>
  <c r="CO4" i="15"/>
  <c r="BV4" i="15"/>
  <c r="AY4" i="15"/>
  <c r="AC4" i="15"/>
  <c r="J4" i="15"/>
  <c r="AN5" i="14"/>
  <c r="R5" i="14"/>
  <c r="AS4" i="14"/>
  <c r="V4" i="14"/>
  <c r="AG5" i="13"/>
  <c r="Q5" i="13"/>
  <c r="A5" i="13"/>
  <c r="N4" i="13"/>
  <c r="BC5" i="12"/>
  <c r="AP5" i="12"/>
  <c r="AC5" i="12"/>
  <c r="P5" i="12"/>
  <c r="D5" i="12"/>
  <c r="U4" i="12"/>
  <c r="J4" i="12"/>
  <c r="Z5" i="11"/>
  <c r="O5" i="11"/>
  <c r="D5" i="11"/>
  <c r="W4" i="11"/>
  <c r="N4" i="11"/>
  <c r="D4" i="11"/>
  <c r="U5" i="10"/>
  <c r="L5" i="10"/>
  <c r="C5" i="10"/>
  <c r="W4" i="10"/>
  <c r="N4" i="10"/>
  <c r="E4" i="10"/>
  <c r="AC4" i="9"/>
  <c r="T4" i="9"/>
  <c r="K4" i="9"/>
  <c r="B4" i="9"/>
  <c r="AJ5" i="8"/>
  <c r="AA5" i="8"/>
  <c r="R5" i="8"/>
  <c r="H5" i="8"/>
  <c r="S4" i="8"/>
  <c r="J4" i="8"/>
  <c r="U4" i="7"/>
  <c r="L4" i="7"/>
  <c r="C4" i="7"/>
  <c r="Y4" i="6"/>
  <c r="Q4" i="6"/>
  <c r="I4" i="6"/>
  <c r="EU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C452" i="1"/>
  <c r="B434" i="1"/>
  <c r="C423" i="1"/>
  <c r="A413" i="1"/>
  <c r="A404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B471" i="1"/>
  <c r="A450" i="1"/>
  <c r="A434" i="1"/>
  <c r="B423" i="1"/>
  <c r="C412" i="1"/>
  <c r="C403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C468" i="1"/>
  <c r="B447" i="1"/>
  <c r="C431" i="1"/>
  <c r="A421" i="1"/>
  <c r="B410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466" i="1"/>
  <c r="C444" i="1"/>
  <c r="B431" i="1"/>
  <c r="C420" i="1"/>
  <c r="A410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B463" i="1"/>
  <c r="A442" i="1"/>
  <c r="A429" i="1"/>
  <c r="B418" i="1"/>
  <c r="C407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C460" i="1"/>
  <c r="B439" i="1"/>
  <c r="C428" i="1"/>
  <c r="A418" i="1"/>
  <c r="B407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458" i="1"/>
  <c r="A437" i="1"/>
  <c r="B426" i="1"/>
  <c r="C415" i="1"/>
  <c r="A405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B455" i="1"/>
  <c r="C436" i="1"/>
  <c r="A426" i="1"/>
  <c r="B415" i="1"/>
  <c r="C404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81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79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4" i="1"/>
  <c r="B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78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J2" i="16" l="1"/>
  <c r="J2" i="15"/>
  <c r="J2" i="13"/>
  <c r="J2" i="17"/>
  <c r="J2" i="14"/>
  <c r="J2" i="9"/>
  <c r="J2" i="7"/>
  <c r="J2" i="11"/>
  <c r="J2" i="10"/>
  <c r="J2" i="12"/>
  <c r="J2" i="4"/>
  <c r="J2" i="8"/>
  <c r="J2" i="6"/>
  <c r="J2" i="5"/>
</calcChain>
</file>

<file path=xl/sharedStrings.xml><?xml version="1.0" encoding="utf-8"?>
<sst xmlns="http://schemas.openxmlformats.org/spreadsheetml/2006/main" count="230" uniqueCount="47">
  <si>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</si>
  <si>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</si>
  <si>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</si>
  <si>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</si>
  <si>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</si>
  <si>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</si>
  <si>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</si>
  <si>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</si>
  <si>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</si>
  <si>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</si>
  <si>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</si>
  <si>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</si>
  <si>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</si>
  <si>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</si>
  <si>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</si>
  <si>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</si>
  <si>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</si>
  <si>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</si>
  <si>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</si>
  <si>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</si>
  <si>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</si>
  <si>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</si>
  <si>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</si>
  <si>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</si>
  <si>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</si>
  <si>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</si>
  <si>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FilterPM</t>
  </si>
  <si>
    <t>Account</t>
  </si>
  <si>
    <t>ClosePositionFromPM</t>
  </si>
  <si>
    <t>Sell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</si>
  <si>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</si>
  <si>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</si>
  <si>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</si>
  <si>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</si>
  <si>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</si>
  <si>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</si>
  <si>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</si>
  <si>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</si>
  <si>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</si>
  <si>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</si>
  <si>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</si>
  <si>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Allocation</t>
  </si>
  <si>
    <t>GetDataAllocation</t>
  </si>
  <si>
    <t>CheckAllocatedGroups</t>
  </si>
  <si>
    <t>Closed</t>
  </si>
  <si>
    <t>Market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</si>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</sst>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1" t="s">
        <v>0</v>
      </c>
      <c r="B1" s="32"/>
      <c r="C1" s="32"/>
      <c r="D1" s="32"/>
      <c r="E1" s="32"/>
      <c r="F1" s="3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4" t="s">
        <v>2</v>
      </c>
      <c r="B1" s="32"/>
      <c r="C1" s="3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1" t="s">
        <v>7</v>
      </c>
      <c r="B1" s="32"/>
      <c r="C1" s="32"/>
      <c r="D1" s="32"/>
      <c r="E1" s="32"/>
      <c r="F1" s="3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25"/>
      <c r="B6" s="25" t="s">
        <v>16</v>
      </c>
      <c r="C6" s="5" t="s">
        <v>17</v>
      </c>
      <c r="D6" s="25">
        <v>50000</v>
      </c>
      <c r="E6" s="5">
        <v>50000</v>
      </c>
      <c r="F6" s="5" t="s">
        <v>18</v>
      </c>
      <c r="G6" s="5" t="s">
        <v>19</v>
      </c>
      <c r="H6" s="5"/>
      <c r="I6" s="5"/>
      <c r="J6" s="5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17</v>
      </c>
      <c r="D7" s="7">
        <v>50000</v>
      </c>
      <c r="E7" s="7">
        <v>50000</v>
      </c>
      <c r="F7" s="5" t="s">
        <v>20</v>
      </c>
      <c r="G7" s="7" t="s">
        <v>19</v>
      </c>
      <c r="H7" s="5"/>
      <c r="I7" s="5"/>
      <c r="J7" s="7">
        <v>11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D1" workbookViewId="0">
      <selection activeCell="BL12" sqref="BL12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4" customWidth="1"/>
    <col min="64" max="168" width="14.42578125" customWidth="1"/>
  </cols>
  <sheetData>
    <row r="1" spans="1:168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8.75" customHeight="1" x14ac:dyDescent="0.2">
      <c r="A6" s="7"/>
      <c r="B6" s="7"/>
      <c r="C6" s="7" t="s">
        <v>16</v>
      </c>
      <c r="D6" s="26">
        <v>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7">
        <v>50000</v>
      </c>
      <c r="AG6" s="6">
        <v>0</v>
      </c>
      <c r="AH6" s="6">
        <v>0</v>
      </c>
      <c r="AI6" s="6">
        <v>0</v>
      </c>
      <c r="AJ6" s="6">
        <v>0</v>
      </c>
      <c r="AK6" s="27">
        <v>-500000</v>
      </c>
      <c r="AL6" s="6">
        <v>1</v>
      </c>
      <c r="AN6" s="6" t="s">
        <v>17</v>
      </c>
      <c r="AP6" s="6" t="s">
        <v>25</v>
      </c>
      <c r="AQ6" s="6" t="s">
        <v>16</v>
      </c>
      <c r="AX6" s="6">
        <v>0</v>
      </c>
      <c r="AY6" s="6">
        <v>0</v>
      </c>
      <c r="AZ6" s="6">
        <v>0</v>
      </c>
      <c r="BD6" s="27">
        <v>-500000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6">
        <v>50000</v>
      </c>
      <c r="E7" s="7" t="s">
        <v>20</v>
      </c>
      <c r="F7" s="5"/>
      <c r="G7" s="7">
        <v>11</v>
      </c>
      <c r="H7" s="5"/>
      <c r="I7" s="5"/>
      <c r="J7" s="5"/>
      <c r="K7" s="5"/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7">
        <v>50000</v>
      </c>
      <c r="AG7" s="6">
        <v>0</v>
      </c>
      <c r="AH7" s="6">
        <v>0</v>
      </c>
      <c r="AI7" s="6">
        <v>0</v>
      </c>
      <c r="AJ7" s="6">
        <v>0</v>
      </c>
      <c r="AK7" s="27">
        <v>-550000</v>
      </c>
      <c r="AL7" s="6">
        <v>1</v>
      </c>
      <c r="AN7" s="6" t="s">
        <v>17</v>
      </c>
      <c r="AP7" s="6" t="s">
        <v>25</v>
      </c>
      <c r="AQ7" s="6" t="s">
        <v>16</v>
      </c>
      <c r="AX7" s="6">
        <v>0</v>
      </c>
      <c r="AY7" s="6">
        <v>0</v>
      </c>
      <c r="AZ7" s="6">
        <v>0</v>
      </c>
      <c r="BD7" s="27">
        <v>-550000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 t="str">
        <f ca="1">IFERROR(__xludf.DUMMYFUNCTION("""COMPUTED_VALUE"""),"FilterList")</f>
        <v>FilterList</v>
      </c>
      <c r="D5" s="22" t="str">
        <f ca="1">IFERROR(__xludf.DUMMYFUNCTION("""COMPUTED_VALUE"""),"IsCustomViewTab")</f>
        <v>IsCustomViewTab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27</v>
      </c>
      <c r="C6" s="7" t="s">
        <v>18</v>
      </c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29</v>
      </c>
      <c r="D6" s="7">
        <v>50000</v>
      </c>
      <c r="E6" s="28"/>
      <c r="F6" s="7" t="s">
        <v>18</v>
      </c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8"/>
      <c r="F6" s="5"/>
      <c r="G6" s="5"/>
      <c r="H6" s="29">
        <v>500000</v>
      </c>
      <c r="I6" s="7">
        <v>10</v>
      </c>
      <c r="J6" s="5"/>
      <c r="K6" s="5"/>
      <c r="L6" s="5"/>
      <c r="M6" s="29">
        <v>50000</v>
      </c>
      <c r="N6" s="5"/>
      <c r="O6" s="5"/>
      <c r="P6" s="6" t="s">
        <v>17</v>
      </c>
      <c r="R6" s="6" t="s">
        <v>16</v>
      </c>
      <c r="X6" s="6">
        <v>10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6">
        <v>550000</v>
      </c>
      <c r="I7" s="7">
        <v>11</v>
      </c>
      <c r="J7" s="5"/>
      <c r="K7" s="5"/>
      <c r="L7" s="5"/>
      <c r="M7" s="29">
        <v>50000</v>
      </c>
      <c r="N7" s="5"/>
      <c r="O7" s="5"/>
      <c r="P7" s="6" t="s">
        <v>17</v>
      </c>
      <c r="R7" s="6" t="s">
        <v>16</v>
      </c>
      <c r="X7" s="6">
        <v>11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8"/>
      <c r="F6" s="5"/>
      <c r="G6" s="5"/>
      <c r="H6" s="26">
        <v>1000000</v>
      </c>
      <c r="I6" s="7">
        <v>20</v>
      </c>
      <c r="J6" s="5"/>
      <c r="K6" s="5"/>
      <c r="L6" s="5"/>
      <c r="M6" s="26">
        <v>50000</v>
      </c>
      <c r="N6" s="5"/>
      <c r="O6" s="5"/>
      <c r="P6" s="6" t="s">
        <v>29</v>
      </c>
      <c r="R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23</v>
      </c>
      <c r="F6" s="5"/>
      <c r="G6" s="5"/>
      <c r="H6" s="5"/>
      <c r="I6" s="5"/>
      <c r="J6" s="5"/>
      <c r="K6" s="7">
        <v>10</v>
      </c>
      <c r="L6" s="5"/>
      <c r="M6" s="5"/>
      <c r="N6" s="5"/>
      <c r="O6" s="7">
        <v>50000</v>
      </c>
      <c r="V6" s="6" t="s">
        <v>17</v>
      </c>
      <c r="X6" s="6" t="s">
        <v>16</v>
      </c>
      <c r="AE6" s="6" t="s">
        <v>18</v>
      </c>
      <c r="AF6" s="6" t="s">
        <v>23</v>
      </c>
      <c r="AL6" s="6">
        <v>20</v>
      </c>
      <c r="AP6" s="27">
        <v>50000</v>
      </c>
      <c r="AW6" s="6" t="s">
        <v>29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8"/>
      <c r="F6" s="7" t="s">
        <v>25</v>
      </c>
      <c r="G6" s="5"/>
      <c r="H6" s="7" t="s">
        <v>16</v>
      </c>
      <c r="I6" s="26">
        <v>50000</v>
      </c>
      <c r="J6" s="7">
        <v>10</v>
      </c>
      <c r="K6" s="7">
        <v>20</v>
      </c>
      <c r="L6" s="7">
        <v>0</v>
      </c>
      <c r="M6" s="5"/>
      <c r="N6" s="5"/>
      <c r="O6" s="5"/>
      <c r="P6" s="6">
        <v>0</v>
      </c>
      <c r="R6" s="6" t="s">
        <v>37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6">
        <v>50000</v>
      </c>
      <c r="E6" s="26">
        <v>50000</v>
      </c>
      <c r="F6" s="5"/>
      <c r="G6" s="7" t="s">
        <v>40</v>
      </c>
      <c r="H6" s="26">
        <v>50000</v>
      </c>
      <c r="I6" s="7">
        <v>10</v>
      </c>
      <c r="J6" s="7">
        <v>10</v>
      </c>
      <c r="K6" s="7" t="s">
        <v>19</v>
      </c>
      <c r="L6" s="7" t="s">
        <v>18</v>
      </c>
      <c r="M6" s="5"/>
      <c r="N6" s="5"/>
      <c r="O6" s="7">
        <v>0</v>
      </c>
      <c r="AC6" s="6">
        <v>0</v>
      </c>
      <c r="AD6" s="27">
        <v>500000</v>
      </c>
    </row>
    <row r="7" spans="1:154" ht="15.75" customHeight="1" x14ac:dyDescent="0.2">
      <c r="A7" s="5"/>
      <c r="B7" s="7" t="s">
        <v>16</v>
      </c>
      <c r="C7" s="7" t="s">
        <v>17</v>
      </c>
      <c r="D7" s="26">
        <v>50000</v>
      </c>
      <c r="E7" s="26">
        <v>50000</v>
      </c>
      <c r="F7" s="5"/>
      <c r="G7" s="7" t="s">
        <v>40</v>
      </c>
      <c r="H7" s="26">
        <v>50000</v>
      </c>
      <c r="I7" s="7">
        <v>11</v>
      </c>
      <c r="J7" s="7">
        <v>11</v>
      </c>
      <c r="K7" s="7" t="s">
        <v>19</v>
      </c>
      <c r="L7" s="7" t="s">
        <v>20</v>
      </c>
      <c r="M7" s="5"/>
      <c r="N7" s="5"/>
      <c r="O7" s="7">
        <v>0</v>
      </c>
      <c r="AC7" s="6">
        <v>0</v>
      </c>
      <c r="AD7" s="27">
        <v>550000</v>
      </c>
    </row>
    <row r="8" spans="1:154" ht="15.75" customHeight="1" x14ac:dyDescent="0.2">
      <c r="A8" s="5"/>
      <c r="B8" s="7" t="s">
        <v>16</v>
      </c>
      <c r="C8" s="7" t="s">
        <v>29</v>
      </c>
      <c r="D8" s="26">
        <v>50000</v>
      </c>
      <c r="E8" s="26">
        <v>50000</v>
      </c>
      <c r="F8" s="5"/>
      <c r="G8" s="7" t="s">
        <v>40</v>
      </c>
      <c r="H8" s="26">
        <v>50000</v>
      </c>
      <c r="I8" s="7">
        <v>20</v>
      </c>
      <c r="J8" s="7">
        <v>20</v>
      </c>
      <c r="K8" s="7" t="s">
        <v>19</v>
      </c>
      <c r="L8" s="7" t="s">
        <v>18</v>
      </c>
      <c r="M8" s="5"/>
      <c r="N8" s="5"/>
      <c r="O8" s="7">
        <v>0</v>
      </c>
      <c r="AC8" s="6">
        <v>0</v>
      </c>
      <c r="AD8" s="27">
        <v>-1000000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6">
        <v>50000</v>
      </c>
      <c r="F6" s="5"/>
      <c r="G6" s="7" t="s">
        <v>23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44</v>
      </c>
      <c r="T6" s="6">
        <v>0</v>
      </c>
      <c r="AE6" s="27">
        <v>50000</v>
      </c>
      <c r="AT6" s="6">
        <v>0</v>
      </c>
      <c r="AU6" s="27">
        <v>500000</v>
      </c>
      <c r="AW6" s="6">
        <v>0</v>
      </c>
      <c r="AY6" s="6" t="s">
        <v>45</v>
      </c>
      <c r="AZ6" s="6">
        <v>0</v>
      </c>
      <c r="BC6" s="6">
        <v>0</v>
      </c>
      <c r="BE6" s="6">
        <v>0</v>
      </c>
      <c r="BF6" s="27">
        <v>500000</v>
      </c>
      <c r="BJ6" s="27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17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5"/>
      <c r="E7" s="26">
        <v>50000</v>
      </c>
      <c r="F7" s="5"/>
      <c r="G7" s="7" t="s">
        <v>23</v>
      </c>
      <c r="H7" s="7">
        <v>0</v>
      </c>
      <c r="I7" s="7">
        <v>0</v>
      </c>
      <c r="J7" s="5"/>
      <c r="K7" s="7">
        <v>0</v>
      </c>
      <c r="L7" s="7">
        <v>11</v>
      </c>
      <c r="M7" s="5"/>
      <c r="N7" s="5"/>
      <c r="O7" s="7" t="s">
        <v>19</v>
      </c>
      <c r="R7" s="6">
        <v>0</v>
      </c>
      <c r="S7" s="6" t="s">
        <v>46</v>
      </c>
      <c r="T7" s="6">
        <v>0</v>
      </c>
      <c r="AE7" s="27">
        <v>50000</v>
      </c>
      <c r="AT7" s="6">
        <v>0</v>
      </c>
      <c r="AU7" s="27">
        <v>550000</v>
      </c>
      <c r="AW7" s="6">
        <v>0</v>
      </c>
      <c r="AY7" s="6" t="s">
        <v>45</v>
      </c>
      <c r="AZ7" s="6">
        <v>0</v>
      </c>
      <c r="BC7" s="6">
        <v>0</v>
      </c>
      <c r="BE7" s="6">
        <v>0</v>
      </c>
      <c r="BF7" s="27">
        <v>550000</v>
      </c>
      <c r="BJ7" s="27">
        <v>50000</v>
      </c>
      <c r="BK7" s="6">
        <v>0</v>
      </c>
      <c r="BO7" s="6" t="s">
        <v>17</v>
      </c>
      <c r="BT7" s="6" t="s">
        <v>16</v>
      </c>
      <c r="BW7" s="6">
        <v>0</v>
      </c>
      <c r="CG7" s="6">
        <v>0</v>
      </c>
      <c r="CI7" s="6" t="s">
        <v>17</v>
      </c>
      <c r="CJ7" s="6">
        <v>0</v>
      </c>
    </row>
    <row r="8" spans="1:154" ht="15.75" customHeight="1" x14ac:dyDescent="0.2">
      <c r="A8" s="5"/>
      <c r="B8" s="7" t="s">
        <v>18</v>
      </c>
      <c r="C8" s="5"/>
      <c r="D8" s="5"/>
      <c r="E8" s="26">
        <v>50000</v>
      </c>
      <c r="F8" s="5"/>
      <c r="G8" s="7" t="s">
        <v>23</v>
      </c>
      <c r="H8" s="7">
        <v>0</v>
      </c>
      <c r="I8" s="7">
        <v>0</v>
      </c>
      <c r="J8" s="5"/>
      <c r="K8" s="7">
        <v>0</v>
      </c>
      <c r="L8" s="7">
        <v>20</v>
      </c>
      <c r="M8" s="5"/>
      <c r="N8" s="5"/>
      <c r="O8" s="7" t="s">
        <v>19</v>
      </c>
      <c r="R8" s="6">
        <v>0</v>
      </c>
      <c r="S8" s="6" t="s">
        <v>44</v>
      </c>
      <c r="T8" s="6">
        <v>0</v>
      </c>
      <c r="AE8" s="27">
        <v>50000</v>
      </c>
      <c r="AT8" s="6">
        <v>0</v>
      </c>
      <c r="AU8" s="27">
        <v>1000000</v>
      </c>
      <c r="AW8" s="6">
        <v>0</v>
      </c>
      <c r="AY8" s="6" t="s">
        <v>45</v>
      </c>
      <c r="AZ8" s="6">
        <v>0</v>
      </c>
      <c r="BC8" s="6">
        <v>0</v>
      </c>
      <c r="BE8" s="6">
        <v>0</v>
      </c>
      <c r="BF8" s="27">
        <v>1000000</v>
      </c>
      <c r="BJ8" s="27">
        <v>50000</v>
      </c>
      <c r="BK8" s="6">
        <v>0</v>
      </c>
      <c r="BO8" s="6" t="s">
        <v>29</v>
      </c>
      <c r="BT8" s="6" t="s">
        <v>16</v>
      </c>
      <c r="BW8" s="6">
        <v>0</v>
      </c>
      <c r="CG8" s="6">
        <v>0</v>
      </c>
      <c r="CI8" s="6" t="s">
        <v>29</v>
      </c>
      <c r="CJ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D1" workbookViewId="0">
      <selection activeCell="BM11" sqref="BM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2.140625" customWidth="1"/>
    <col min="64" max="168" width="14.42578125" customWidth="1"/>
  </cols>
  <sheetData>
    <row r="1" spans="1:168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28" t="s">
        <v>16</v>
      </c>
      <c r="D6" s="26">
        <v>50000</v>
      </c>
      <c r="E6" s="28" t="s">
        <v>18</v>
      </c>
      <c r="F6" s="5"/>
      <c r="G6" s="28">
        <v>10</v>
      </c>
      <c r="H6" s="5"/>
      <c r="I6" s="5"/>
      <c r="J6" s="5"/>
      <c r="K6" s="7">
        <v>0</v>
      </c>
      <c r="L6" s="5"/>
      <c r="M6" s="5"/>
      <c r="N6" s="28">
        <v>0</v>
      </c>
      <c r="O6" s="5"/>
      <c r="Q6" s="30">
        <v>0</v>
      </c>
      <c r="T6" s="30" t="s">
        <v>23</v>
      </c>
      <c r="U6" s="30" t="s">
        <v>24</v>
      </c>
      <c r="AB6" s="30">
        <v>0</v>
      </c>
      <c r="AD6" s="30">
        <v>0</v>
      </c>
      <c r="AE6" s="30">
        <v>0</v>
      </c>
      <c r="AF6" s="27">
        <v>50000</v>
      </c>
      <c r="AG6" s="30">
        <v>0</v>
      </c>
      <c r="AH6" s="30">
        <v>0</v>
      </c>
      <c r="AI6" s="30">
        <v>0</v>
      </c>
      <c r="AJ6" s="30">
        <v>0</v>
      </c>
      <c r="AK6" s="27">
        <v>-500000</v>
      </c>
      <c r="AL6" s="30">
        <v>1</v>
      </c>
      <c r="AN6" s="30" t="s">
        <v>17</v>
      </c>
      <c r="AP6" s="30" t="s">
        <v>25</v>
      </c>
      <c r="AQ6" s="30" t="s">
        <v>16</v>
      </c>
      <c r="AX6" s="30">
        <v>0</v>
      </c>
      <c r="AY6" s="30">
        <v>0</v>
      </c>
      <c r="AZ6" s="30">
        <v>0</v>
      </c>
      <c r="BD6" s="27">
        <v>-500000</v>
      </c>
      <c r="BJ6" s="30">
        <v>0</v>
      </c>
      <c r="BK6" s="30">
        <v>0</v>
      </c>
      <c r="BL6" s="30">
        <v>0</v>
      </c>
      <c r="BM6" s="30">
        <v>0</v>
      </c>
      <c r="BO6" s="30">
        <v>0</v>
      </c>
      <c r="BP6" s="30">
        <v>0</v>
      </c>
      <c r="BR6" s="30" t="s">
        <v>19</v>
      </c>
      <c r="BS6" s="30">
        <v>0</v>
      </c>
      <c r="BT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0</v>
      </c>
      <c r="DE6" s="30">
        <v>0</v>
      </c>
      <c r="DF6" s="30">
        <v>0</v>
      </c>
      <c r="DG6" s="30">
        <v>0</v>
      </c>
      <c r="EG6" s="30">
        <v>0</v>
      </c>
      <c r="EH6" s="30">
        <v>0</v>
      </c>
      <c r="EI6" s="30">
        <v>0</v>
      </c>
      <c r="EJ6" s="30">
        <v>0</v>
      </c>
      <c r="EK6" s="30">
        <v>0</v>
      </c>
      <c r="EM6" s="30">
        <v>0</v>
      </c>
      <c r="EN6" s="30">
        <v>0</v>
      </c>
      <c r="EO6" s="30">
        <v>0</v>
      </c>
    </row>
    <row r="7" spans="1:168" ht="15.75" customHeight="1" x14ac:dyDescent="0.2">
      <c r="A7" s="5"/>
      <c r="B7" s="5"/>
      <c r="C7" s="28" t="s">
        <v>16</v>
      </c>
      <c r="D7" s="26">
        <v>50000</v>
      </c>
      <c r="E7" s="28" t="s">
        <v>20</v>
      </c>
      <c r="F7" s="5"/>
      <c r="G7" s="28">
        <v>11</v>
      </c>
      <c r="H7" s="5"/>
      <c r="I7" s="5"/>
      <c r="J7" s="5"/>
      <c r="K7" s="7">
        <v>0</v>
      </c>
      <c r="L7" s="5"/>
      <c r="M7" s="5"/>
      <c r="N7" s="28">
        <v>0</v>
      </c>
      <c r="O7" s="5"/>
      <c r="Q7" s="30">
        <v>0</v>
      </c>
      <c r="T7" s="30" t="s">
        <v>23</v>
      </c>
      <c r="U7" s="30" t="s">
        <v>24</v>
      </c>
      <c r="AB7" s="30">
        <v>0</v>
      </c>
      <c r="AD7" s="30">
        <v>0</v>
      </c>
      <c r="AE7" s="30">
        <v>0</v>
      </c>
      <c r="AF7" s="27">
        <v>50000</v>
      </c>
      <c r="AG7" s="30">
        <v>0</v>
      </c>
      <c r="AH7" s="30">
        <v>0</v>
      </c>
      <c r="AI7" s="30">
        <v>0</v>
      </c>
      <c r="AJ7" s="30">
        <v>0</v>
      </c>
      <c r="AK7" s="27">
        <v>-550000</v>
      </c>
      <c r="AL7" s="30">
        <v>1</v>
      </c>
      <c r="AN7" s="30" t="s">
        <v>17</v>
      </c>
      <c r="AP7" s="30" t="s">
        <v>25</v>
      </c>
      <c r="AQ7" s="30" t="s">
        <v>16</v>
      </c>
      <c r="AX7" s="30">
        <v>0</v>
      </c>
      <c r="AY7" s="30">
        <v>0</v>
      </c>
      <c r="AZ7" s="30">
        <v>0</v>
      </c>
      <c r="BD7" s="27">
        <v>-550000</v>
      </c>
      <c r="BJ7" s="30">
        <v>0</v>
      </c>
      <c r="BK7" s="30">
        <v>0</v>
      </c>
      <c r="BL7" s="30">
        <v>0</v>
      </c>
      <c r="BM7" s="30">
        <v>0</v>
      </c>
      <c r="BO7" s="30">
        <v>0</v>
      </c>
      <c r="BP7" s="30">
        <v>0</v>
      </c>
      <c r="BR7" s="30" t="s">
        <v>19</v>
      </c>
      <c r="BS7" s="30">
        <v>0</v>
      </c>
      <c r="BT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C7" s="30">
        <v>0</v>
      </c>
      <c r="CD7" s="30">
        <v>0</v>
      </c>
      <c r="CE7" s="30">
        <v>0</v>
      </c>
      <c r="CF7" s="30">
        <v>0</v>
      </c>
      <c r="CG7" s="30">
        <v>0</v>
      </c>
      <c r="CH7" s="30">
        <v>0</v>
      </c>
      <c r="DE7" s="30">
        <v>0</v>
      </c>
      <c r="DF7" s="30">
        <v>0</v>
      </c>
      <c r="DG7" s="30">
        <v>0</v>
      </c>
      <c r="EG7" s="30">
        <v>0</v>
      </c>
      <c r="EH7" s="30">
        <v>0</v>
      </c>
      <c r="EI7" s="30">
        <v>0</v>
      </c>
      <c r="EJ7" s="30">
        <v>0</v>
      </c>
      <c r="EK7" s="30">
        <v>0</v>
      </c>
      <c r="EM7" s="30">
        <v>0</v>
      </c>
      <c r="EN7" s="30">
        <v>0</v>
      </c>
      <c r="EO7" s="30">
        <v>0</v>
      </c>
    </row>
    <row r="8" spans="1:168" ht="15.75" customHeight="1" x14ac:dyDescent="0.2">
      <c r="A8" s="5"/>
      <c r="B8" s="5"/>
      <c r="C8" s="7" t="s">
        <v>16</v>
      </c>
      <c r="D8" s="26">
        <v>-50000</v>
      </c>
      <c r="E8" s="7" t="s">
        <v>18</v>
      </c>
      <c r="F8" s="5"/>
      <c r="G8" s="7">
        <v>20</v>
      </c>
      <c r="H8" s="5"/>
      <c r="I8" s="5"/>
      <c r="J8" s="5"/>
      <c r="K8" s="7">
        <v>0</v>
      </c>
      <c r="L8" s="5"/>
      <c r="M8" s="5"/>
      <c r="N8" s="7">
        <v>0</v>
      </c>
      <c r="O8" s="5"/>
      <c r="Q8" s="6">
        <v>0</v>
      </c>
      <c r="T8" s="6" t="s">
        <v>23</v>
      </c>
      <c r="U8" s="6" t="s">
        <v>24</v>
      </c>
      <c r="AB8" s="6">
        <v>0</v>
      </c>
      <c r="AD8" s="6">
        <v>0</v>
      </c>
      <c r="AE8" s="6">
        <v>0</v>
      </c>
      <c r="AF8" s="27">
        <v>-50000</v>
      </c>
      <c r="AG8" s="6">
        <v>0</v>
      </c>
      <c r="AH8" s="6">
        <v>0</v>
      </c>
      <c r="AI8" s="6">
        <v>0</v>
      </c>
      <c r="AJ8" s="6">
        <v>0</v>
      </c>
      <c r="AK8" s="27">
        <v>1000000</v>
      </c>
      <c r="AL8" s="6">
        <v>1</v>
      </c>
      <c r="AN8" s="6" t="s">
        <v>29</v>
      </c>
      <c r="AP8" s="6" t="s">
        <v>25</v>
      </c>
      <c r="AQ8" s="6" t="s">
        <v>16</v>
      </c>
      <c r="AX8" s="6">
        <v>0</v>
      </c>
      <c r="AY8" s="6">
        <v>0</v>
      </c>
      <c r="AZ8" s="6">
        <v>0</v>
      </c>
      <c r="BD8" s="27">
        <v>1000000</v>
      </c>
      <c r="BJ8" s="6">
        <v>0</v>
      </c>
      <c r="BK8" s="6">
        <v>0</v>
      </c>
      <c r="BL8" s="6">
        <v>0</v>
      </c>
      <c r="BM8" s="6">
        <v>0</v>
      </c>
      <c r="BO8" s="6">
        <v>0</v>
      </c>
      <c r="BP8" s="6">
        <v>0</v>
      </c>
      <c r="BR8" s="6" t="s">
        <v>19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DE8" s="6">
        <v>0</v>
      </c>
      <c r="DF8" s="6">
        <v>0</v>
      </c>
      <c r="DG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FilterPM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2021-08-04T11:11:35Z</dcterms:modified>
</cp:coreProperties>
</file>