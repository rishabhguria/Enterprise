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ChangeDate" sheetId="12" r:id="rId14"/>
    <sheet state="visible" name="RestartReleasesAndServices" sheetId="13" r:id="rId15"/>
    <sheet state="visible" name="SelectUnallocatedGroup" sheetId="14" r:id="rId16"/>
    <sheet state="visible" name="EnterAllocatePreference" sheetId="15" r:id="rId17"/>
    <sheet state="visible" name="GetDataAllocation" sheetId="16" r:id="rId18"/>
    <sheet state="visible" name="CheckAllocatedGroups" sheetId="17" r:id="rId19"/>
    <sheet state="visible" name="VerifySubOrder" sheetId="18" r:id="rId20"/>
    <sheet state="visible" name="ExecuteTrade1" sheetId="19" r:id="rId21"/>
    <sheet state="visible" name="CheckAllocatedGroups1" sheetId="20" r:id="rId22"/>
    <sheet state="visible" name="ChangeDate1" sheetId="21" r:id="rId23"/>
  </sheets>
  <definedNames/>
  <calcPr/>
</workbook>
</file>

<file path=xl/sharedStrings.xml><?xml version="1.0" encoding="utf-8"?>
<sst xmlns="http://schemas.openxmlformats.org/spreadsheetml/2006/main" count="224" uniqueCount="72">
  <si>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</si>
  <si>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</si>
  <si>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</si>
  <si>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</si>
  <si>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</si>
  <si>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</si>
  <si>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</si>
  <si>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</si>
  <si>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</si>
  <si>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</si>
  <si>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</si>
  <si>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</si>
  <si>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</si>
  <si>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</si>
  <si>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</si>
  <si>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</si>
  <si>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</si>
  <si>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</si>
  <si>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CreateDoneAwayOrder</t>
  </si>
  <si>
    <t>AAPL</t>
  </si>
  <si>
    <t>Buy</t>
  </si>
  <si>
    <t>Allocation1,Allocation2</t>
  </si>
  <si>
    <t>50,50</t>
  </si>
  <si>
    <t>Allocation</t>
  </si>
  <si>
    <t>SetGeneralPreferences</t>
  </si>
  <si>
    <t>Test_fixed</t>
  </si>
  <si>
    <t>RunProrata</t>
  </si>
  <si>
    <t>CustomOrderTT</t>
  </si>
  <si>
    <t>Send</t>
  </si>
  <si>
    <t>Unallocated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</si>
  <si>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</si>
  <si>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</si>
  <si>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</si>
  <si>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</si>
  <si>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</si>
  <si>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</si>
  <si>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</si>
  <si>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</si>
  <si>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</si>
  <si>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</si>
  <si>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</si>
  <si>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SelectUnallocatedGroup</t>
  </si>
  <si>
    <t>EnterAllocatePreference</t>
  </si>
  <si>
    <t>Fixed</t>
  </si>
  <si>
    <t>GetDataAllocation</t>
  </si>
  <si>
    <t>Historical</t>
  </si>
  <si>
    <t>CheckAllocatedGroups</t>
  </si>
  <si>
    <t>Multiple</t>
  </si>
  <si>
    <t>Actual_365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</si>
  <si>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</si>
  <si>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</si>
  <si>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</si>
  <si>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</si>
  <si>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</si>
  <si>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</si>
  <si>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</si>
  <si>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</si>
  <si>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</si>
  <si>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</si>
  <si>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</si>
  <si>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</si>
  <si>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</si>
  <si>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</si>
  <si>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</si>
  <si>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</si>
  <si>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</si>
  <si>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Blotter</t>
  </si>
  <si>
    <t>VerifySubOrder</t>
  </si>
  <si>
    <t>PartiallyFilled</t>
  </si>
  <si>
    <t>Manual</t>
  </si>
  <si>
    <t>FIX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</si>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</sst>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s">
        <v>20</v>
      </c>
      <c r="D6" s="36">
        <v>100.0</v>
      </c>
      <c r="E6" s="33"/>
      <c r="F6" s="33"/>
      <c r="G6" s="33"/>
      <c r="H6" s="33"/>
      <c r="I6" s="33"/>
      <c r="J6" s="37">
        <v>2.0</v>
      </c>
      <c r="K6" s="33"/>
      <c r="L6" s="33"/>
      <c r="M6" s="33"/>
      <c r="N6" s="38">
        <f>today()-1</f>
        <v>45817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21</v>
      </c>
      <c r="AL6" s="33" t="s">
        <v>22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 t="s">
        <v>25</v>
      </c>
      <c r="Y6" s="33"/>
      <c r="Z6" s="39" t="b">
        <v>1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45817</v>
      </c>
      <c r="C6" s="35" t="s">
        <v>25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7">
        <v>10000.0</v>
      </c>
      <c r="D6" s="36">
        <v>2.0</v>
      </c>
      <c r="E6" s="35" t="s">
        <v>28</v>
      </c>
      <c r="F6" s="33"/>
      <c r="G6" s="33"/>
      <c r="H6" s="33"/>
      <c r="I6" s="35" t="s">
        <v>29</v>
      </c>
      <c r="J6" s="35" t="s">
        <v>20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30</v>
      </c>
      <c r="V6" s="33" t="s">
        <v>31</v>
      </c>
      <c r="W6" s="33"/>
      <c r="X6" s="37">
        <v>10.0</v>
      </c>
      <c r="Y6" s="40">
        <f>TODAY()+1</f>
        <v>45819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2.0</v>
      </c>
      <c r="C6" s="37">
        <v>5000.0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12" t="s">
        <v>25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45</v>
      </c>
      <c r="C6" s="38">
        <f>today()-1</f>
        <v>45817</v>
      </c>
      <c r="D6" s="38">
        <f>today()+1</f>
        <v>45819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47</v>
      </c>
      <c r="C6" s="33" t="s">
        <v>48</v>
      </c>
      <c r="D6" s="42">
        <v>0.0</v>
      </c>
      <c r="E6" s="43">
        <v>5000.0</v>
      </c>
      <c r="F6" s="33" t="s">
        <v>25</v>
      </c>
      <c r="G6" s="33" t="s">
        <v>49</v>
      </c>
      <c r="H6" s="43">
        <v>4.0</v>
      </c>
      <c r="I6" s="43">
        <v>5.0</v>
      </c>
      <c r="J6" s="43">
        <v>1.0</v>
      </c>
      <c r="K6" s="43">
        <v>2.0</v>
      </c>
      <c r="L6" s="43">
        <v>2.0</v>
      </c>
      <c r="M6" s="33" t="s">
        <v>50</v>
      </c>
      <c r="N6" s="33" t="s">
        <v>51</v>
      </c>
      <c r="O6" s="33" t="s">
        <v>52</v>
      </c>
      <c r="P6" s="33"/>
      <c r="Q6" s="43">
        <v>3.0</v>
      </c>
      <c r="R6" s="43">
        <v>0.0</v>
      </c>
      <c r="S6" s="33" t="s">
        <v>53</v>
      </c>
      <c r="T6" s="43">
        <v>0.0</v>
      </c>
      <c r="U6" s="43">
        <v>0.0</v>
      </c>
      <c r="V6" s="33" t="s">
        <v>54</v>
      </c>
      <c r="W6" s="44"/>
      <c r="X6" s="43">
        <v>0.0</v>
      </c>
      <c r="Y6" s="33"/>
      <c r="Z6" s="33" t="s">
        <v>55</v>
      </c>
      <c r="AA6" s="33" t="s">
        <v>19</v>
      </c>
      <c r="AB6" s="43">
        <v>1.0</v>
      </c>
      <c r="AC6" s="33"/>
      <c r="AD6" s="33" t="s">
        <v>56</v>
      </c>
      <c r="AE6" s="43">
        <v>5000.0</v>
      </c>
      <c r="AF6" s="33"/>
      <c r="AG6" s="44"/>
      <c r="AH6" s="33" t="s">
        <v>57</v>
      </c>
      <c r="AI6" s="43">
        <v>1.0</v>
      </c>
      <c r="AJ6" s="33" t="s">
        <v>58</v>
      </c>
      <c r="AK6" s="33"/>
      <c r="AL6" s="33"/>
      <c r="AM6" s="33" t="s">
        <v>59</v>
      </c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3">
        <v>0.0</v>
      </c>
      <c r="AT6" s="33"/>
      <c r="AU6" s="33"/>
      <c r="AV6" s="44"/>
      <c r="AW6" s="43">
        <v>0.0</v>
      </c>
      <c r="AX6" s="43">
        <v>0.0</v>
      </c>
      <c r="AY6" s="33" t="s">
        <v>31</v>
      </c>
      <c r="AZ6" s="43">
        <v>0.0</v>
      </c>
      <c r="BA6" s="44"/>
      <c r="BB6" s="33"/>
      <c r="BC6" s="44"/>
      <c r="BD6" s="33" t="s">
        <v>60</v>
      </c>
      <c r="BE6" s="43">
        <v>10000.0</v>
      </c>
      <c r="BF6" s="43">
        <v>10000.0</v>
      </c>
      <c r="BG6" s="44"/>
      <c r="BH6" s="33"/>
      <c r="BI6" s="33"/>
      <c r="BJ6" s="43">
        <v>10000.0</v>
      </c>
      <c r="BK6" s="43">
        <v>0.0</v>
      </c>
      <c r="BL6" s="33"/>
      <c r="BM6" s="33" t="s">
        <v>55</v>
      </c>
      <c r="BN6" s="44"/>
      <c r="BO6" s="33" t="s">
        <v>20</v>
      </c>
      <c r="BP6" s="43">
        <v>0.0</v>
      </c>
      <c r="BQ6" s="43">
        <v>0.0</v>
      </c>
      <c r="BR6" s="43">
        <v>0.0056</v>
      </c>
      <c r="BS6" s="33" t="s">
        <v>61</v>
      </c>
      <c r="BT6" s="33" t="s">
        <v>19</v>
      </c>
      <c r="BU6" s="43">
        <v>3.0</v>
      </c>
      <c r="BV6" s="44"/>
      <c r="BW6" s="43">
        <v>14.0056</v>
      </c>
      <c r="BX6" s="43">
        <v>0.0</v>
      </c>
      <c r="BY6" s="33"/>
      <c r="BZ6" s="33"/>
      <c r="CA6" s="33"/>
      <c r="CB6" s="44"/>
      <c r="CC6" s="33"/>
      <c r="CD6" s="33"/>
      <c r="CE6" s="44"/>
      <c r="CF6" s="33" t="s">
        <v>62</v>
      </c>
      <c r="CG6" s="43">
        <v>2.0</v>
      </c>
      <c r="CH6" s="33" t="s">
        <v>17</v>
      </c>
      <c r="CI6" s="33" t="s">
        <v>20</v>
      </c>
      <c r="CJ6" s="43">
        <v>0.0</v>
      </c>
      <c r="CK6" s="33" t="s">
        <v>63</v>
      </c>
      <c r="CL6" s="43">
        <v>1.0</v>
      </c>
      <c r="CM6" s="33" t="s">
        <v>19</v>
      </c>
      <c r="CN6" s="33" t="s">
        <v>64</v>
      </c>
      <c r="CO6" s="33" t="s">
        <v>56</v>
      </c>
      <c r="CP6" s="33" t="s">
        <v>65</v>
      </c>
      <c r="CQ6" s="44"/>
      <c r="CR6" s="44"/>
      <c r="CS6" s="33"/>
      <c r="CT6" s="33"/>
      <c r="CU6" s="33"/>
      <c r="CV6" s="33"/>
      <c r="CW6" s="43">
        <v>0.0</v>
      </c>
      <c r="CX6" s="33" t="s">
        <v>47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49</v>
      </c>
      <c r="AI6" s="33" t="s">
        <v>19</v>
      </c>
      <c r="AJ6" s="33" t="s">
        <v>20</v>
      </c>
      <c r="AK6" s="33" t="s">
        <v>68</v>
      </c>
      <c r="AL6" s="43">
        <v>10000.0</v>
      </c>
      <c r="AM6" s="45">
        <v>5000.0</v>
      </c>
      <c r="AN6" s="33"/>
      <c r="AO6" s="33"/>
      <c r="AP6" s="33"/>
      <c r="AQ6" s="33" t="s">
        <v>52</v>
      </c>
      <c r="AR6" s="33" t="s">
        <v>47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47</v>
      </c>
      <c r="C6" s="33" t="s">
        <v>48</v>
      </c>
      <c r="D6" s="42">
        <v>0.0</v>
      </c>
      <c r="E6" s="43">
        <v>100.0</v>
      </c>
      <c r="F6" s="33" t="s">
        <v>69</v>
      </c>
      <c r="G6" s="33" t="s">
        <v>49</v>
      </c>
      <c r="H6" s="43">
        <v>4.0</v>
      </c>
      <c r="I6" s="43">
        <v>5.0</v>
      </c>
      <c r="J6" s="43">
        <v>1.0</v>
      </c>
      <c r="K6" s="43">
        <v>2.0</v>
      </c>
      <c r="L6" s="43">
        <v>2.0</v>
      </c>
      <c r="M6" s="33" t="s">
        <v>50</v>
      </c>
      <c r="N6" s="33" t="s">
        <v>51</v>
      </c>
      <c r="O6" s="33" t="s">
        <v>52</v>
      </c>
      <c r="P6" s="33"/>
      <c r="Q6" s="43">
        <v>3.0</v>
      </c>
      <c r="R6" s="43">
        <v>0.0</v>
      </c>
      <c r="S6" s="33" t="s">
        <v>53</v>
      </c>
      <c r="T6" s="43">
        <v>0.0</v>
      </c>
      <c r="U6" s="43">
        <v>0.0</v>
      </c>
      <c r="V6" s="33" t="s">
        <v>54</v>
      </c>
      <c r="W6" s="44"/>
      <c r="X6" s="43">
        <v>0.0</v>
      </c>
      <c r="Y6" s="33"/>
      <c r="Z6" s="33" t="s">
        <v>55</v>
      </c>
      <c r="AA6" s="33" t="s">
        <v>19</v>
      </c>
      <c r="AB6" s="43">
        <v>1.0</v>
      </c>
      <c r="AC6" s="33"/>
      <c r="AD6" s="33" t="s">
        <v>56</v>
      </c>
      <c r="AE6" s="43">
        <v>100.0</v>
      </c>
      <c r="AF6" s="33"/>
      <c r="AG6" s="44"/>
      <c r="AH6" s="33" t="s">
        <v>57</v>
      </c>
      <c r="AI6" s="43">
        <v>1.0</v>
      </c>
      <c r="AJ6" s="33" t="s">
        <v>58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1</v>
      </c>
      <c r="AS6" s="43">
        <v>0.0</v>
      </c>
      <c r="AT6" s="33"/>
      <c r="AU6" s="33"/>
      <c r="AV6" s="44"/>
      <c r="AW6" s="43">
        <v>0.0</v>
      </c>
      <c r="AX6" s="43">
        <v>0.0</v>
      </c>
      <c r="AY6" s="33" t="s">
        <v>31</v>
      </c>
      <c r="AZ6" s="43">
        <v>0.0</v>
      </c>
      <c r="BA6" s="44"/>
      <c r="BB6" s="33"/>
      <c r="BC6" s="44"/>
      <c r="BD6" s="33" t="s">
        <v>60</v>
      </c>
      <c r="BE6" s="43">
        <v>200.0</v>
      </c>
      <c r="BF6" s="43">
        <v>200.0</v>
      </c>
      <c r="BG6" s="44"/>
      <c r="BH6" s="33"/>
      <c r="BI6" s="33"/>
      <c r="BJ6" s="43">
        <v>10000.0</v>
      </c>
      <c r="BK6" s="43">
        <v>0.0</v>
      </c>
      <c r="BL6" s="33"/>
      <c r="BM6" s="33" t="s">
        <v>55</v>
      </c>
      <c r="BN6" s="44"/>
      <c r="BO6" s="33" t="s">
        <v>20</v>
      </c>
      <c r="BP6" s="43">
        <v>0.0</v>
      </c>
      <c r="BQ6" s="43">
        <v>0.0</v>
      </c>
      <c r="BR6" s="43">
        <v>1.0E-4</v>
      </c>
      <c r="BS6" s="33" t="s">
        <v>61</v>
      </c>
      <c r="BT6" s="33" t="s">
        <v>19</v>
      </c>
      <c r="BU6" s="43">
        <v>3.0</v>
      </c>
      <c r="BV6" s="44"/>
      <c r="BW6" s="43">
        <v>14.0001</v>
      </c>
      <c r="BX6" s="43">
        <v>0.0</v>
      </c>
      <c r="BY6" s="33"/>
      <c r="BZ6" s="33"/>
      <c r="CA6" s="33"/>
      <c r="CB6" s="44"/>
      <c r="CC6" s="33"/>
      <c r="CD6" s="33"/>
      <c r="CE6" s="44"/>
      <c r="CF6" s="33" t="s">
        <v>62</v>
      </c>
      <c r="CG6" s="43">
        <v>2.0</v>
      </c>
      <c r="CH6" s="33" t="s">
        <v>70</v>
      </c>
      <c r="CI6" s="33" t="s">
        <v>20</v>
      </c>
      <c r="CJ6" s="43">
        <v>0.0</v>
      </c>
      <c r="CK6" s="33" t="s">
        <v>63</v>
      </c>
      <c r="CL6" s="43">
        <v>1.0</v>
      </c>
      <c r="CM6" s="33" t="s">
        <v>19</v>
      </c>
      <c r="CN6" s="33" t="s">
        <v>64</v>
      </c>
      <c r="CO6" s="33" t="s">
        <v>56</v>
      </c>
      <c r="CP6" s="33" t="s">
        <v>65</v>
      </c>
      <c r="CQ6" s="44"/>
      <c r="CR6" s="44"/>
      <c r="CS6" s="33"/>
      <c r="CT6" s="33"/>
      <c r="CU6" s="33"/>
      <c r="CV6" s="33"/>
      <c r="CW6" s="43">
        <v>0.0</v>
      </c>
      <c r="CX6" s="33" t="s">
        <v>47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71</v>
      </c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