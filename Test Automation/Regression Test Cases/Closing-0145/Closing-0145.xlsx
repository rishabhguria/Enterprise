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VerifyShortPositionsGrid" sheetId="7" r:id="rId9"/>
    <sheet state="visible" name="AutomaticClosing" sheetId="8" r:id="rId10"/>
    <sheet state="visible" name="VerifyClosedTrades" sheetId="9" r:id="rId11"/>
    <sheet state="visible" name="GetDataAllocation" sheetId="10" r:id="rId12"/>
    <sheet state="visible" name="CheckAllocatedGroups" sheetId="11" r:id="rId13"/>
  </sheets>
  <definedNames/>
  <calcPr/>
</workbook>
</file>

<file path=xl/sharedStrings.xml><?xml version="1.0" encoding="utf-8"?>
<sst xmlns="http://schemas.openxmlformats.org/spreadsheetml/2006/main" count="491" uniqueCount="50">
  <si>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</si>
  <si>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</si>
  <si>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</si>
  <si>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</si>
  <si>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</si>
  <si>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</si>
  <si>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</si>
  <si>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</si>
  <si>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</si>
  <si>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</si>
  <si>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</si>
  <si>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</si>
  <si>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</si>
  <si>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</si>
  <si>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</si>
  <si>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</si>
  <si>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</si>
  <si>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Sell short</t>
  </si>
  <si>
    <t>Allocation1</t>
  </si>
  <si>
    <t>Buy to Close</t>
  </si>
  <si>
    <t>Closing</t>
  </si>
  <si>
    <t>GetDataClosing</t>
  </si>
  <si>
    <t>Historical</t>
  </si>
  <si>
    <t>VerifyLongPositionsGrid</t>
  </si>
  <si>
    <t>VerifyShortPositionsGrid</t>
  </si>
  <si>
    <t>AutomaticClosing</t>
  </si>
  <si>
    <t>HCST</t>
  </si>
  <si>
    <t>None</t>
  </si>
  <si>
    <t>Default</t>
  </si>
  <si>
    <t>VerifyClosedTrades</t>
  </si>
  <si>
    <t>Short</t>
  </si>
  <si>
    <t>USD</t>
  </si>
  <si>
    <t>Offset</t>
  </si>
  <si>
    <t>Allocation</t>
  </si>
  <si>
    <t>GetDataAllocation</t>
  </si>
  <si>
    <t>CheckAllocatedGroups</t>
  </si>
  <si>
    <t/>
  </si>
  <si>
    <t>Manual</t>
  </si>
  <si>
    <t>Equity</t>
  </si>
  <si>
    <t>AAPL US EQUITY</t>
  </si>
  <si>
    <t>MS</t>
  </si>
  <si>
    <t>Closed</t>
  </si>
  <si>
    <t>APPLE</t>
  </si>
  <si>
    <t>NASDAQ</t>
  </si>
  <si>
    <t>M</t>
  </si>
  <si>
    <t>Market</t>
  </si>
  <si>
    <t>Strategy Unallocated</t>
  </si>
  <si>
    <t>SellShort</t>
  </si>
  <si>
    <t>US</t>
  </si>
  <si>
    <t>BuytoClose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</si>
</sst>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14" xfId="0" applyAlignment="1" applyFont="1" applyNumberFormat="1">
      <alignment horizontal="center"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14" numFmtId="0" xfId="0" applyAlignment="1" applyFont="1">
      <alignment horizontal="right" readingOrder="0" shrinkToFit="0" wrapText="0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3" numFmtId="165" xfId="0" applyAlignment="1" applyFont="1" applyNumberFormat="1">
      <alignment horizontal="right" readingOrder="0"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IFERROR(__xludf.DUMMYFUNCTION("""COMPUTED_VALUE"""),"ReAllocateFromBlotterUsingAllocate")</f>
        <v>ReAllocateFromBlotterUsingAllocate</v>
      </c>
      <c r="C635" t="str">
        <f>IFERROR(__xludf.DUMMYFUNCTION("""COMPUTED_VALUE"""),"1VZeebWR9AbMy0sPPy623pR0d3wh74y6HwG-LEMdhUA8")</f>
        <v>1VZeebWR9AbMy0sPPy623pR0d3wh74y6HwG-LEMdhUA8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2" t="s">
        <v>16</v>
      </c>
      <c r="C6" s="33" t="s">
        <v>17</v>
      </c>
      <c r="D6" s="32">
        <v>100.0</v>
      </c>
      <c r="E6" s="34">
        <v>100.0</v>
      </c>
      <c r="F6" s="33" t="s">
        <v>18</v>
      </c>
      <c r="G6" s="33"/>
      <c r="H6" s="33"/>
      <c r="I6" s="33"/>
      <c r="J6" s="34">
        <v>20.0</v>
      </c>
      <c r="K6" s="33"/>
      <c r="L6" s="33"/>
      <c r="M6" s="33"/>
      <c r="N6" s="35">
        <v>40920.0</v>
      </c>
      <c r="O6" s="36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</row>
    <row r="7" ht="15.75" customHeight="1">
      <c r="A7" s="33"/>
      <c r="B7" s="34" t="s">
        <v>16</v>
      </c>
      <c r="C7" s="33" t="s">
        <v>17</v>
      </c>
      <c r="D7" s="34">
        <v>100.0</v>
      </c>
      <c r="E7" s="34">
        <v>100.0</v>
      </c>
      <c r="F7" s="33" t="s">
        <v>18</v>
      </c>
      <c r="G7" s="33"/>
      <c r="H7" s="33"/>
      <c r="I7" s="33"/>
      <c r="J7" s="34">
        <v>35.0</v>
      </c>
      <c r="K7" s="33"/>
      <c r="L7" s="33"/>
      <c r="M7" s="33"/>
      <c r="N7" s="35">
        <v>40921.0</v>
      </c>
      <c r="O7" s="36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</row>
    <row r="8" ht="15.75" customHeight="1">
      <c r="A8" s="33"/>
      <c r="B8" s="34" t="s">
        <v>16</v>
      </c>
      <c r="C8" s="33" t="s">
        <v>17</v>
      </c>
      <c r="D8" s="34">
        <v>100.0</v>
      </c>
      <c r="E8" s="34">
        <v>100.0</v>
      </c>
      <c r="F8" s="33" t="s">
        <v>18</v>
      </c>
      <c r="G8" s="33"/>
      <c r="H8" s="33"/>
      <c r="I8" s="33"/>
      <c r="J8" s="34">
        <v>41.0</v>
      </c>
      <c r="K8" s="33"/>
      <c r="L8" s="33"/>
      <c r="M8" s="33"/>
      <c r="N8" s="35">
        <v>40922.0</v>
      </c>
      <c r="O8" s="36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</row>
    <row r="9" ht="15.75" customHeight="1">
      <c r="A9" s="33"/>
      <c r="B9" s="34" t="s">
        <v>16</v>
      </c>
      <c r="C9" s="33" t="s">
        <v>17</v>
      </c>
      <c r="D9" s="34">
        <v>100.0</v>
      </c>
      <c r="E9" s="34">
        <v>100.0</v>
      </c>
      <c r="F9" s="33" t="s">
        <v>18</v>
      </c>
      <c r="G9" s="33"/>
      <c r="H9" s="33"/>
      <c r="I9" s="33"/>
      <c r="J9" s="34">
        <v>40.0</v>
      </c>
      <c r="K9" s="33"/>
      <c r="L9" s="33"/>
      <c r="M9" s="33"/>
      <c r="N9" s="35">
        <v>40929.0</v>
      </c>
      <c r="O9" s="36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</row>
    <row r="10" ht="15.75" customHeight="1">
      <c r="A10" s="33"/>
      <c r="B10" s="34" t="s">
        <v>16</v>
      </c>
      <c r="C10" s="33" t="s">
        <v>17</v>
      </c>
      <c r="D10" s="34">
        <v>100.0</v>
      </c>
      <c r="E10" s="34">
        <v>100.0</v>
      </c>
      <c r="F10" s="33" t="s">
        <v>18</v>
      </c>
      <c r="G10" s="33"/>
      <c r="H10" s="33"/>
      <c r="I10" s="33"/>
      <c r="J10" s="34">
        <v>25.0</v>
      </c>
      <c r="K10" s="33"/>
      <c r="L10" s="33"/>
      <c r="M10" s="33"/>
      <c r="N10" s="35">
        <v>41289.0</v>
      </c>
      <c r="O10" s="36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</row>
    <row r="11" ht="15.75" customHeight="1">
      <c r="A11" s="33"/>
      <c r="B11" s="34" t="s">
        <v>16</v>
      </c>
      <c r="C11" s="33" t="s">
        <v>17</v>
      </c>
      <c r="D11" s="34">
        <v>100.0</v>
      </c>
      <c r="E11" s="34">
        <v>100.0</v>
      </c>
      <c r="F11" s="33" t="s">
        <v>18</v>
      </c>
      <c r="G11" s="33"/>
      <c r="H11" s="33"/>
      <c r="I11" s="33"/>
      <c r="J11" s="34">
        <v>40.0</v>
      </c>
      <c r="K11" s="33"/>
      <c r="L11" s="33"/>
      <c r="M11" s="33"/>
      <c r="N11" s="35">
        <v>41289.0</v>
      </c>
      <c r="O11" s="36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</row>
    <row r="12" ht="15.75" customHeight="1">
      <c r="A12" s="33"/>
      <c r="B12" s="34" t="s">
        <v>16</v>
      </c>
      <c r="C12" s="33" t="s">
        <v>17</v>
      </c>
      <c r="D12" s="34">
        <v>100.0</v>
      </c>
      <c r="E12" s="34">
        <v>100.0</v>
      </c>
      <c r="F12" s="33" t="s">
        <v>18</v>
      </c>
      <c r="G12" s="33"/>
      <c r="H12" s="33"/>
      <c r="I12" s="33"/>
      <c r="J12" s="34">
        <v>50.0</v>
      </c>
      <c r="K12" s="33"/>
      <c r="L12" s="33"/>
      <c r="M12" s="33"/>
      <c r="N12" s="35">
        <v>41290.0</v>
      </c>
      <c r="O12" s="36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</row>
    <row r="13" ht="15.75" customHeight="1">
      <c r="A13" s="33"/>
      <c r="B13" s="34" t="s">
        <v>16</v>
      </c>
      <c r="C13" s="33" t="s">
        <v>17</v>
      </c>
      <c r="D13" s="34">
        <v>100.0</v>
      </c>
      <c r="E13" s="34">
        <v>100.0</v>
      </c>
      <c r="F13" s="33" t="s">
        <v>18</v>
      </c>
      <c r="G13" s="33"/>
      <c r="H13" s="33"/>
      <c r="I13" s="33"/>
      <c r="J13" s="34">
        <v>40.0</v>
      </c>
      <c r="K13" s="33"/>
      <c r="L13" s="33"/>
      <c r="M13" s="33"/>
      <c r="N13" s="35">
        <v>41295.0</v>
      </c>
      <c r="O13" s="36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</row>
    <row r="14" ht="15.75" customHeight="1">
      <c r="A14" s="33"/>
      <c r="B14" s="34" t="s">
        <v>16</v>
      </c>
      <c r="C14" s="37" t="s">
        <v>19</v>
      </c>
      <c r="D14" s="34">
        <v>200.0</v>
      </c>
      <c r="E14" s="34">
        <v>200.0</v>
      </c>
      <c r="F14" s="33" t="s">
        <v>18</v>
      </c>
      <c r="G14" s="33"/>
      <c r="H14" s="33"/>
      <c r="I14" s="33"/>
      <c r="J14" s="34">
        <v>40.0</v>
      </c>
      <c r="K14" s="33"/>
      <c r="L14" s="33"/>
      <c r="M14" s="33"/>
      <c r="N14" s="35">
        <v>41354.0</v>
      </c>
      <c r="O14" s="36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  <c r="EY14" s="33"/>
    </row>
    <row r="15" ht="15.75" customHeight="1">
      <c r="A15" s="33"/>
      <c r="B15" s="34" t="s">
        <v>16</v>
      </c>
      <c r="C15" s="37" t="s">
        <v>19</v>
      </c>
      <c r="D15" s="34">
        <v>200.0</v>
      </c>
      <c r="E15" s="34">
        <v>200.0</v>
      </c>
      <c r="F15" s="33" t="s">
        <v>18</v>
      </c>
      <c r="G15" s="33"/>
      <c r="H15" s="33"/>
      <c r="I15" s="33"/>
      <c r="J15" s="34">
        <v>30.0</v>
      </c>
      <c r="K15" s="33"/>
      <c r="L15" s="33"/>
      <c r="M15" s="33"/>
      <c r="N15" s="35">
        <v>41424.0</v>
      </c>
      <c r="O15" s="36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</row>
    <row r="16" ht="15.75" customHeight="1">
      <c r="A16" s="33"/>
      <c r="B16" s="34" t="s">
        <v>16</v>
      </c>
      <c r="C16" s="37" t="s">
        <v>19</v>
      </c>
      <c r="D16" s="34">
        <v>400.0</v>
      </c>
      <c r="E16" s="34">
        <v>400.0</v>
      </c>
      <c r="F16" s="33" t="s">
        <v>18</v>
      </c>
      <c r="G16" s="33"/>
      <c r="H16" s="33"/>
      <c r="I16" s="33"/>
      <c r="J16" s="34">
        <v>40.0</v>
      </c>
      <c r="K16" s="33"/>
      <c r="L16" s="33"/>
      <c r="M16" s="33"/>
      <c r="N16" s="35">
        <v>41425.0</v>
      </c>
      <c r="O16" s="36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22</v>
      </c>
      <c r="C6" s="39">
        <v>40909.0</v>
      </c>
      <c r="D6" s="39">
        <v>41640.0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3"/>
      <c r="D6" s="31"/>
      <c r="E6" s="33"/>
      <c r="F6" s="33"/>
      <c r="G6" s="33"/>
      <c r="H6" s="40">
        <v>8014.0045</v>
      </c>
      <c r="I6" s="41">
        <v>40.0</v>
      </c>
      <c r="J6" s="42">
        <v>41354.0</v>
      </c>
      <c r="K6" s="33"/>
      <c r="L6" s="33"/>
      <c r="M6" s="34">
        <v>200.0</v>
      </c>
      <c r="N6" s="33"/>
      <c r="O6" s="33"/>
      <c r="P6" s="37" t="s">
        <v>19</v>
      </c>
      <c r="Q6" s="33"/>
      <c r="R6" s="33" t="s">
        <v>16</v>
      </c>
      <c r="S6" s="33"/>
      <c r="T6" s="41">
        <v>14.0045</v>
      </c>
      <c r="U6" s="42">
        <v>41354.0</v>
      </c>
      <c r="V6" s="33"/>
      <c r="W6" s="33"/>
      <c r="X6" s="40">
        <v>40.0700225</v>
      </c>
      <c r="Y6" s="40"/>
      <c r="Z6" s="41">
        <v>40.0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18</v>
      </c>
      <c r="C7" s="33"/>
      <c r="D7" s="33"/>
      <c r="E7" s="33"/>
      <c r="F7" s="33"/>
      <c r="G7" s="33"/>
      <c r="H7" s="40">
        <v>6014.0034</v>
      </c>
      <c r="I7" s="41">
        <v>30.0</v>
      </c>
      <c r="J7" s="42">
        <v>41424.0</v>
      </c>
      <c r="K7" s="33"/>
      <c r="L7" s="33"/>
      <c r="M7" s="34">
        <v>200.0</v>
      </c>
      <c r="N7" s="33"/>
      <c r="O7" s="33"/>
      <c r="P7" s="37" t="s">
        <v>19</v>
      </c>
      <c r="Q7" s="33"/>
      <c r="R7" s="33" t="s">
        <v>16</v>
      </c>
      <c r="S7" s="33"/>
      <c r="T7" s="41">
        <v>14.0034</v>
      </c>
      <c r="U7" s="42">
        <v>41424.0</v>
      </c>
      <c r="V7" s="33"/>
      <c r="W7" s="33"/>
      <c r="X7" s="40">
        <v>30.070017</v>
      </c>
      <c r="Y7" s="40"/>
      <c r="Z7" s="41">
        <v>30.0</v>
      </c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/>
      <c r="D8" s="33"/>
      <c r="E8" s="33"/>
      <c r="F8" s="33"/>
      <c r="G8" s="33"/>
      <c r="H8" s="40">
        <v>16014.009</v>
      </c>
      <c r="I8" s="41">
        <v>40.0</v>
      </c>
      <c r="J8" s="42">
        <v>41425.0</v>
      </c>
      <c r="K8" s="33"/>
      <c r="L8" s="33"/>
      <c r="M8" s="34">
        <v>400.0</v>
      </c>
      <c r="N8" s="33"/>
      <c r="O8" s="33"/>
      <c r="P8" s="37" t="s">
        <v>19</v>
      </c>
      <c r="Q8" s="33"/>
      <c r="R8" s="33" t="s">
        <v>16</v>
      </c>
      <c r="S8" s="33"/>
      <c r="T8" s="41">
        <v>14.009</v>
      </c>
      <c r="U8" s="42">
        <v>41425.0</v>
      </c>
      <c r="V8" s="33"/>
      <c r="W8" s="33"/>
      <c r="X8" s="40">
        <v>40.0350225</v>
      </c>
      <c r="Y8" s="40"/>
      <c r="Z8" s="41">
        <v>40.0</v>
      </c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3"/>
      <c r="D6" s="31"/>
      <c r="E6" s="33"/>
      <c r="F6" s="33"/>
      <c r="G6" s="33"/>
      <c r="H6" s="40">
        <v>1985.9989</v>
      </c>
      <c r="I6" s="41">
        <v>20.0</v>
      </c>
      <c r="J6" s="43">
        <v>40920.0</v>
      </c>
      <c r="K6" s="33"/>
      <c r="L6" s="33"/>
      <c r="M6" s="34">
        <v>100.0</v>
      </c>
      <c r="N6" s="33"/>
      <c r="O6" s="33"/>
      <c r="P6" s="37" t="s">
        <v>17</v>
      </c>
      <c r="Q6" s="33"/>
      <c r="R6" s="34" t="s">
        <v>16</v>
      </c>
      <c r="S6" s="33"/>
      <c r="T6" s="41">
        <v>14.0011</v>
      </c>
      <c r="U6" s="42">
        <v>40920.0</v>
      </c>
      <c r="V6" s="33"/>
      <c r="W6" s="33"/>
      <c r="X6" s="40">
        <v>19.859989</v>
      </c>
      <c r="Y6" s="41"/>
      <c r="Z6" s="41">
        <v>20.0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18</v>
      </c>
      <c r="C7" s="33"/>
      <c r="D7" s="33"/>
      <c r="E7" s="33"/>
      <c r="F7" s="33"/>
      <c r="G7" s="33"/>
      <c r="H7" s="40">
        <v>3485.998</v>
      </c>
      <c r="I7" s="41">
        <v>35.0</v>
      </c>
      <c r="J7" s="43">
        <v>40921.0</v>
      </c>
      <c r="K7" s="33"/>
      <c r="L7" s="33"/>
      <c r="M7" s="34">
        <v>100.0</v>
      </c>
      <c r="N7" s="33"/>
      <c r="O7" s="33"/>
      <c r="P7" s="37" t="s">
        <v>17</v>
      </c>
      <c r="Q7" s="33"/>
      <c r="R7" s="34" t="s">
        <v>16</v>
      </c>
      <c r="S7" s="33"/>
      <c r="T7" s="41">
        <v>14.002</v>
      </c>
      <c r="U7" s="42">
        <v>40921.0</v>
      </c>
      <c r="V7" s="33"/>
      <c r="W7" s="33"/>
      <c r="X7" s="40">
        <v>34.85998</v>
      </c>
      <c r="Y7" s="41"/>
      <c r="Z7" s="41">
        <v>35.0</v>
      </c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/>
      <c r="D8" s="33"/>
      <c r="E8" s="33"/>
      <c r="F8" s="33"/>
      <c r="G8" s="33"/>
      <c r="H8" s="40">
        <v>4085.9977</v>
      </c>
      <c r="I8" s="41">
        <v>41.0</v>
      </c>
      <c r="J8" s="43">
        <v>40922.0</v>
      </c>
      <c r="K8" s="33"/>
      <c r="L8" s="33"/>
      <c r="M8" s="34">
        <v>100.0</v>
      </c>
      <c r="N8" s="33"/>
      <c r="O8" s="33"/>
      <c r="P8" s="37" t="s">
        <v>17</v>
      </c>
      <c r="Q8" s="33"/>
      <c r="R8" s="34" t="s">
        <v>16</v>
      </c>
      <c r="S8" s="33"/>
      <c r="T8" s="41">
        <v>14.0023</v>
      </c>
      <c r="U8" s="42">
        <v>40922.0</v>
      </c>
      <c r="V8" s="33"/>
      <c r="W8" s="33"/>
      <c r="X8" s="40">
        <v>40.859977</v>
      </c>
      <c r="Y8" s="41"/>
      <c r="Z8" s="41">
        <v>41.0</v>
      </c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18</v>
      </c>
      <c r="C9" s="33"/>
      <c r="D9" s="33"/>
      <c r="E9" s="33"/>
      <c r="F9" s="33"/>
      <c r="G9" s="33"/>
      <c r="H9" s="40">
        <v>3985.9978</v>
      </c>
      <c r="I9" s="41">
        <v>40.0</v>
      </c>
      <c r="J9" s="43">
        <v>40929.0</v>
      </c>
      <c r="K9" s="33"/>
      <c r="L9" s="33"/>
      <c r="M9" s="34">
        <v>100.0</v>
      </c>
      <c r="N9" s="33"/>
      <c r="O9" s="33"/>
      <c r="P9" s="37" t="s">
        <v>17</v>
      </c>
      <c r="Q9" s="33"/>
      <c r="R9" s="34" t="s">
        <v>16</v>
      </c>
      <c r="S9" s="33"/>
      <c r="T9" s="41">
        <v>14.0022</v>
      </c>
      <c r="U9" s="42">
        <v>40929.0</v>
      </c>
      <c r="V9" s="33"/>
      <c r="W9" s="33"/>
      <c r="X9" s="40">
        <v>39.859978</v>
      </c>
      <c r="Y9" s="41"/>
      <c r="Z9" s="41">
        <v>40.0</v>
      </c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18</v>
      </c>
      <c r="C10" s="33"/>
      <c r="D10" s="33"/>
      <c r="E10" s="33"/>
      <c r="F10" s="33"/>
      <c r="G10" s="33"/>
      <c r="H10" s="40">
        <v>2485.9986</v>
      </c>
      <c r="I10" s="41">
        <v>25.0</v>
      </c>
      <c r="J10" s="43">
        <v>41289.0</v>
      </c>
      <c r="K10" s="33"/>
      <c r="L10" s="33"/>
      <c r="M10" s="34">
        <v>100.0</v>
      </c>
      <c r="N10" s="33"/>
      <c r="O10" s="33"/>
      <c r="P10" s="37" t="s">
        <v>17</v>
      </c>
      <c r="Q10" s="33"/>
      <c r="R10" s="34" t="s">
        <v>16</v>
      </c>
      <c r="S10" s="33"/>
      <c r="T10" s="41">
        <v>14.0014</v>
      </c>
      <c r="U10" s="42">
        <v>41289.0</v>
      </c>
      <c r="V10" s="33"/>
      <c r="W10" s="33"/>
      <c r="X10" s="40">
        <v>24.859986</v>
      </c>
      <c r="Y10" s="41"/>
      <c r="Z10" s="41">
        <v>25.0</v>
      </c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 t="s">
        <v>18</v>
      </c>
      <c r="C11" s="33"/>
      <c r="D11" s="33"/>
      <c r="E11" s="33"/>
      <c r="F11" s="33"/>
      <c r="G11" s="33"/>
      <c r="H11" s="40">
        <v>3985.9978</v>
      </c>
      <c r="I11" s="41">
        <v>40.0</v>
      </c>
      <c r="J11" s="43">
        <v>41289.0</v>
      </c>
      <c r="K11" s="33"/>
      <c r="L11" s="33"/>
      <c r="M11" s="34">
        <v>100.0</v>
      </c>
      <c r="N11" s="33"/>
      <c r="O11" s="33"/>
      <c r="P11" s="37" t="s">
        <v>17</v>
      </c>
      <c r="Q11" s="33"/>
      <c r="R11" s="34" t="s">
        <v>16</v>
      </c>
      <c r="S11" s="33"/>
      <c r="T11" s="41">
        <v>14.0022</v>
      </c>
      <c r="U11" s="42">
        <v>41289.0</v>
      </c>
      <c r="V11" s="33"/>
      <c r="W11" s="33"/>
      <c r="X11" s="40">
        <v>39.859978</v>
      </c>
      <c r="Y11" s="41"/>
      <c r="Z11" s="41">
        <v>40.0</v>
      </c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 t="s">
        <v>18</v>
      </c>
      <c r="C12" s="33"/>
      <c r="D12" s="33"/>
      <c r="E12" s="33"/>
      <c r="F12" s="33"/>
      <c r="G12" s="33"/>
      <c r="H12" s="40">
        <v>4985.9972</v>
      </c>
      <c r="I12" s="41">
        <v>50.0</v>
      </c>
      <c r="J12" s="43">
        <v>41290.0</v>
      </c>
      <c r="K12" s="33"/>
      <c r="L12" s="33"/>
      <c r="M12" s="34">
        <v>100.0</v>
      </c>
      <c r="N12" s="33"/>
      <c r="O12" s="33"/>
      <c r="P12" s="37" t="s">
        <v>17</v>
      </c>
      <c r="Q12" s="33"/>
      <c r="R12" s="34" t="s">
        <v>16</v>
      </c>
      <c r="S12" s="33"/>
      <c r="T12" s="41">
        <v>14.0028</v>
      </c>
      <c r="U12" s="42">
        <v>41290.0</v>
      </c>
      <c r="V12" s="33"/>
      <c r="W12" s="33"/>
      <c r="X12" s="40">
        <v>49.859972</v>
      </c>
      <c r="Y12" s="41"/>
      <c r="Z12" s="41">
        <v>50.0</v>
      </c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3" t="s">
        <v>18</v>
      </c>
      <c r="C13" s="33"/>
      <c r="D13" s="33"/>
      <c r="E13" s="33"/>
      <c r="F13" s="33"/>
      <c r="G13" s="33"/>
      <c r="H13" s="40">
        <v>3985.9978</v>
      </c>
      <c r="I13" s="41">
        <v>40.0</v>
      </c>
      <c r="J13" s="43">
        <v>41295.0</v>
      </c>
      <c r="K13" s="33"/>
      <c r="L13" s="33"/>
      <c r="M13" s="34">
        <v>100.0</v>
      </c>
      <c r="N13" s="33"/>
      <c r="O13" s="33"/>
      <c r="P13" s="37" t="s">
        <v>17</v>
      </c>
      <c r="Q13" s="33"/>
      <c r="R13" s="34" t="s">
        <v>16</v>
      </c>
      <c r="S13" s="33"/>
      <c r="T13" s="41">
        <v>14.0022</v>
      </c>
      <c r="U13" s="42">
        <v>41295.0</v>
      </c>
      <c r="V13" s="33"/>
      <c r="W13" s="33"/>
      <c r="X13" s="40">
        <v>39.859978</v>
      </c>
      <c r="Y13" s="41"/>
      <c r="Z13" s="41">
        <v>40.0</v>
      </c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1zwv-aZp-DRCpq8bqLR0XRiyt0av-GAm0ORqbhnV-FKI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 ")</f>
        <v>CloseSSw/BuyBTO </v>
      </c>
      <c r="C5" s="28" t="str">
        <f>IFERROR(__xludf.DUMMYFUNCTION("""COMPUTED_VALUE"""),"AutoCloseStrategy")</f>
        <v>AutoCloseStrategy</v>
      </c>
      <c r="D5" s="28" t="str">
        <f>IFERROR(__xludf.DUMMYFUNCTION("""COMPUTED_VALUE"""),"Algorithm")</f>
        <v>Algorithm</v>
      </c>
      <c r="E5" s="28" t="str">
        <f>IFERROR(__xludf.DUMMYFUNCTION("""COMPUTED_VALUE"""),"SecondarySortCriteria")</f>
        <v>SecondarySortCriteria</v>
      </c>
      <c r="F5" s="29" t="str">
        <f>IFERROR(__xludf.DUMMYFUNCTION("""COMPUTED_VALUE"""),"ClosingField")</f>
        <v>ClosingField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b">
        <v>0</v>
      </c>
      <c r="C6" s="45" t="b">
        <v>0</v>
      </c>
      <c r="D6" s="38" t="s">
        <v>26</v>
      </c>
      <c r="E6" s="46" t="s">
        <v>27</v>
      </c>
      <c r="F6" s="46" t="s">
        <v>28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IFERROR(__xludf.DUMMYFUNCTION("""COMPUTED_VALUE"""),"isRowCountCheck")</f>
        <v>isRowCountCheck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3">
        <v>41425.0</v>
      </c>
      <c r="D6" s="31" t="s">
        <v>18</v>
      </c>
      <c r="E6" s="33"/>
      <c r="F6" s="33"/>
      <c r="G6" s="33"/>
      <c r="H6" s="33" t="s">
        <v>16</v>
      </c>
      <c r="I6" s="34">
        <v>100.0</v>
      </c>
      <c r="J6" s="40">
        <v>20.0</v>
      </c>
      <c r="K6" s="40">
        <v>40.0</v>
      </c>
      <c r="L6" s="33"/>
      <c r="M6" s="41"/>
      <c r="N6" s="33"/>
      <c r="O6" s="37" t="s">
        <v>30</v>
      </c>
      <c r="P6" s="40">
        <v>14.0011</v>
      </c>
      <c r="Q6" s="37" t="s">
        <v>19</v>
      </c>
      <c r="R6" s="33" t="s">
        <v>26</v>
      </c>
      <c r="T6" s="43">
        <v>40920.0</v>
      </c>
      <c r="U6" s="33"/>
      <c r="V6" s="33"/>
      <c r="W6" s="33"/>
      <c r="X6" s="33"/>
      <c r="Y6" s="33"/>
      <c r="Z6" s="33" t="s">
        <v>31</v>
      </c>
      <c r="AA6" s="33"/>
      <c r="AB6" s="41">
        <v>0.0</v>
      </c>
      <c r="AC6" s="33"/>
      <c r="AD6" s="33"/>
      <c r="AE6" s="33"/>
      <c r="AF6" s="33" t="s">
        <v>32</v>
      </c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43">
        <v>41425.0</v>
      </c>
      <c r="D7" s="33" t="s">
        <v>18</v>
      </c>
      <c r="E7" s="33"/>
      <c r="F7" s="33"/>
      <c r="G7" s="33"/>
      <c r="H7" s="33" t="s">
        <v>16</v>
      </c>
      <c r="I7" s="34">
        <v>100.0</v>
      </c>
      <c r="J7" s="40">
        <v>35.0</v>
      </c>
      <c r="K7" s="40">
        <v>40.0</v>
      </c>
      <c r="L7" s="33"/>
      <c r="M7" s="41"/>
      <c r="N7" s="33"/>
      <c r="O7" s="37" t="s">
        <v>30</v>
      </c>
      <c r="P7" s="40">
        <v>14.002</v>
      </c>
      <c r="Q7" s="37" t="s">
        <v>19</v>
      </c>
      <c r="R7" s="33" t="s">
        <v>26</v>
      </c>
      <c r="T7" s="43">
        <v>40921.0</v>
      </c>
      <c r="U7" s="33"/>
      <c r="V7" s="33"/>
      <c r="W7" s="33"/>
      <c r="X7" s="33"/>
      <c r="Y7" s="33"/>
      <c r="Z7" s="33" t="s">
        <v>31</v>
      </c>
      <c r="AA7" s="33"/>
      <c r="AB7" s="41">
        <v>0.0</v>
      </c>
      <c r="AC7" s="33"/>
      <c r="AD7" s="33"/>
      <c r="AE7" s="33"/>
      <c r="AF7" s="33" t="s">
        <v>32</v>
      </c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43">
        <v>41425.0</v>
      </c>
      <c r="D8" s="33" t="s">
        <v>18</v>
      </c>
      <c r="E8" s="33"/>
      <c r="F8" s="33"/>
      <c r="G8" s="33"/>
      <c r="H8" s="33" t="s">
        <v>16</v>
      </c>
      <c r="I8" s="34">
        <v>100.0</v>
      </c>
      <c r="J8" s="40">
        <v>41.0</v>
      </c>
      <c r="K8" s="40">
        <v>40.0</v>
      </c>
      <c r="L8" s="33"/>
      <c r="M8" s="41"/>
      <c r="N8" s="33"/>
      <c r="O8" s="37" t="s">
        <v>30</v>
      </c>
      <c r="P8" s="40">
        <v>14.0023</v>
      </c>
      <c r="Q8" s="37" t="s">
        <v>19</v>
      </c>
      <c r="R8" s="33" t="s">
        <v>26</v>
      </c>
      <c r="T8" s="43">
        <v>40922.0</v>
      </c>
      <c r="U8" s="33"/>
      <c r="V8" s="33"/>
      <c r="W8" s="33"/>
      <c r="X8" s="33"/>
      <c r="Y8" s="33"/>
      <c r="Z8" s="33" t="s">
        <v>31</v>
      </c>
      <c r="AA8" s="33"/>
      <c r="AB8" s="41">
        <v>0.0</v>
      </c>
      <c r="AC8" s="33"/>
      <c r="AD8" s="33"/>
      <c r="AE8" s="33"/>
      <c r="AF8" s="33" t="s">
        <v>32</v>
      </c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43">
        <v>41425.0</v>
      </c>
      <c r="D9" s="33" t="s">
        <v>18</v>
      </c>
      <c r="E9" s="33"/>
      <c r="F9" s="33"/>
      <c r="G9" s="33"/>
      <c r="H9" s="33" t="s">
        <v>16</v>
      </c>
      <c r="I9" s="34">
        <v>100.0</v>
      </c>
      <c r="J9" s="40">
        <v>40.0</v>
      </c>
      <c r="K9" s="40">
        <v>40.0</v>
      </c>
      <c r="L9" s="33"/>
      <c r="M9" s="41"/>
      <c r="N9" s="33"/>
      <c r="O9" s="37" t="s">
        <v>30</v>
      </c>
      <c r="P9" s="40">
        <v>14.0022</v>
      </c>
      <c r="Q9" s="37" t="s">
        <v>19</v>
      </c>
      <c r="R9" s="33" t="s">
        <v>26</v>
      </c>
      <c r="T9" s="43">
        <v>40929.0</v>
      </c>
      <c r="U9" s="33"/>
      <c r="V9" s="33"/>
      <c r="W9" s="33"/>
      <c r="X9" s="33"/>
      <c r="Y9" s="33"/>
      <c r="Z9" s="33" t="s">
        <v>31</v>
      </c>
      <c r="AA9" s="33"/>
      <c r="AB9" s="41">
        <v>0.0</v>
      </c>
      <c r="AC9" s="33"/>
      <c r="AD9" s="33"/>
      <c r="AE9" s="33"/>
      <c r="AF9" s="33" t="s">
        <v>32</v>
      </c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47">
        <v>41354.0</v>
      </c>
      <c r="D10" s="33" t="s">
        <v>18</v>
      </c>
      <c r="E10" s="33"/>
      <c r="F10" s="33"/>
      <c r="G10" s="33"/>
      <c r="H10" s="33" t="s">
        <v>16</v>
      </c>
      <c r="I10" s="34">
        <v>100.0</v>
      </c>
      <c r="J10" s="40">
        <v>25.0</v>
      </c>
      <c r="K10" s="40">
        <v>40.0</v>
      </c>
      <c r="L10" s="33"/>
      <c r="M10" s="41"/>
      <c r="N10" s="33"/>
      <c r="O10" s="37" t="s">
        <v>30</v>
      </c>
      <c r="P10" s="40">
        <v>14.0014</v>
      </c>
      <c r="Q10" s="37" t="s">
        <v>19</v>
      </c>
      <c r="R10" s="33" t="s">
        <v>26</v>
      </c>
      <c r="T10" s="43">
        <v>41289.0</v>
      </c>
      <c r="U10" s="33"/>
      <c r="V10" s="33"/>
      <c r="W10" s="33"/>
      <c r="X10" s="33"/>
      <c r="Y10" s="33"/>
      <c r="Z10" s="33" t="s">
        <v>31</v>
      </c>
      <c r="AA10" s="33"/>
      <c r="AB10" s="41">
        <v>0.0</v>
      </c>
      <c r="AC10" s="33"/>
      <c r="AD10" s="33"/>
      <c r="AE10" s="33"/>
      <c r="AF10" s="33" t="s">
        <v>32</v>
      </c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/>
      <c r="C11" s="47">
        <v>41354.0</v>
      </c>
      <c r="D11" s="33" t="s">
        <v>18</v>
      </c>
      <c r="E11" s="33"/>
      <c r="F11" s="33"/>
      <c r="G11" s="33"/>
      <c r="H11" s="33" t="s">
        <v>16</v>
      </c>
      <c r="I11" s="34">
        <v>100.0</v>
      </c>
      <c r="J11" s="40">
        <v>40.0</v>
      </c>
      <c r="K11" s="40">
        <v>40.0</v>
      </c>
      <c r="L11" s="33"/>
      <c r="M11" s="41"/>
      <c r="N11" s="33"/>
      <c r="O11" s="37" t="s">
        <v>30</v>
      </c>
      <c r="P11" s="40">
        <v>14.0022</v>
      </c>
      <c r="Q11" s="37" t="s">
        <v>19</v>
      </c>
      <c r="R11" s="33" t="s">
        <v>26</v>
      </c>
      <c r="T11" s="43">
        <v>41289.0</v>
      </c>
      <c r="U11" s="33"/>
      <c r="V11" s="33"/>
      <c r="W11" s="33"/>
      <c r="X11" s="33"/>
      <c r="Y11" s="33"/>
      <c r="Z11" s="33" t="s">
        <v>31</v>
      </c>
      <c r="AA11" s="33"/>
      <c r="AB11" s="41">
        <v>0.0</v>
      </c>
      <c r="AC11" s="33"/>
      <c r="AD11" s="33"/>
      <c r="AE11" s="33"/>
      <c r="AF11" s="33" t="s">
        <v>32</v>
      </c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/>
      <c r="C12" s="43">
        <v>41424.0</v>
      </c>
      <c r="D12" s="33" t="s">
        <v>18</v>
      </c>
      <c r="E12" s="33"/>
      <c r="F12" s="33"/>
      <c r="G12" s="33"/>
      <c r="H12" s="33" t="s">
        <v>16</v>
      </c>
      <c r="I12" s="34">
        <v>100.0</v>
      </c>
      <c r="J12" s="40">
        <v>50.0</v>
      </c>
      <c r="K12" s="40">
        <v>30.0</v>
      </c>
      <c r="L12" s="33"/>
      <c r="M12" s="41"/>
      <c r="N12" s="33"/>
      <c r="O12" s="37" t="s">
        <v>30</v>
      </c>
      <c r="P12" s="40">
        <v>14.0028</v>
      </c>
      <c r="Q12" s="37" t="s">
        <v>19</v>
      </c>
      <c r="R12" s="33" t="s">
        <v>26</v>
      </c>
      <c r="T12" s="43">
        <v>41290.0</v>
      </c>
      <c r="U12" s="33"/>
      <c r="V12" s="33"/>
      <c r="W12" s="33"/>
      <c r="X12" s="33"/>
      <c r="Y12" s="33"/>
      <c r="Z12" s="33" t="s">
        <v>31</v>
      </c>
      <c r="AA12" s="33"/>
      <c r="AB12" s="41">
        <v>0.0</v>
      </c>
      <c r="AC12" s="33"/>
      <c r="AD12" s="33"/>
      <c r="AE12" s="33"/>
      <c r="AF12" s="33" t="s">
        <v>32</v>
      </c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3"/>
      <c r="C13" s="43">
        <v>41424.0</v>
      </c>
      <c r="D13" s="33" t="s">
        <v>18</v>
      </c>
      <c r="E13" s="33"/>
      <c r="F13" s="33"/>
      <c r="G13" s="33"/>
      <c r="H13" s="33" t="s">
        <v>16</v>
      </c>
      <c r="I13" s="34">
        <v>100.0</v>
      </c>
      <c r="J13" s="40">
        <v>40.0</v>
      </c>
      <c r="K13" s="40">
        <v>30.0</v>
      </c>
      <c r="L13" s="33"/>
      <c r="M13" s="41"/>
      <c r="N13" s="33"/>
      <c r="O13" s="37" t="s">
        <v>30</v>
      </c>
      <c r="P13" s="40">
        <v>14.0022</v>
      </c>
      <c r="Q13" s="37" t="s">
        <v>19</v>
      </c>
      <c r="R13" s="33" t="s">
        <v>26</v>
      </c>
      <c r="T13" s="43">
        <v>41295.0</v>
      </c>
      <c r="U13" s="33"/>
      <c r="V13" s="33"/>
      <c r="W13" s="33"/>
      <c r="X13" s="33"/>
      <c r="Y13" s="33"/>
      <c r="Z13" s="33" t="s">
        <v>31</v>
      </c>
      <c r="AA13" s="33"/>
      <c r="AB13" s="41">
        <v>0.0</v>
      </c>
      <c r="AC13" s="33"/>
      <c r="AD13" s="33"/>
      <c r="AE13" s="33"/>
      <c r="AF13" s="33" t="s">
        <v>32</v>
      </c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22</v>
      </c>
      <c r="C6" s="39">
        <v>40909.0</v>
      </c>
      <c r="D6" s="39">
        <v>41640.0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 t="s">
        <v>18</v>
      </c>
      <c r="C6" s="8" t="s">
        <v>36</v>
      </c>
      <c r="D6" s="48"/>
      <c r="E6" s="8">
        <v>100.0</v>
      </c>
      <c r="F6" s="8" t="s">
        <v>37</v>
      </c>
      <c r="G6" s="8" t="s">
        <v>38</v>
      </c>
      <c r="H6" s="8">
        <v>4.0</v>
      </c>
      <c r="I6" s="8">
        <v>5.0</v>
      </c>
      <c r="J6" s="8">
        <v>1.0</v>
      </c>
      <c r="K6" s="8">
        <v>41.0</v>
      </c>
      <c r="L6" s="8">
        <v>41.0</v>
      </c>
      <c r="M6" s="8" t="s">
        <v>39</v>
      </c>
      <c r="N6" s="8" t="s">
        <v>36</v>
      </c>
      <c r="O6" s="8" t="s">
        <v>40</v>
      </c>
      <c r="Q6">
        <v>3.0</v>
      </c>
      <c r="R6">
        <v>0.0</v>
      </c>
      <c r="S6" t="s">
        <v>41</v>
      </c>
      <c r="T6">
        <v>0.0</v>
      </c>
      <c r="U6">
        <v>0.0</v>
      </c>
      <c r="V6" t="s">
        <v>42</v>
      </c>
      <c r="W6">
        <v>1.0</v>
      </c>
      <c r="X6" t="s">
        <v>36</v>
      </c>
      <c r="Y6" t="s">
        <v>36</v>
      </c>
      <c r="Z6" t="s">
        <v>31</v>
      </c>
      <c r="AA6" t="s">
        <v>16</v>
      </c>
      <c r="AB6">
        <v>1.0</v>
      </c>
      <c r="AD6" t="s">
        <v>43</v>
      </c>
      <c r="AE6">
        <v>100.0</v>
      </c>
      <c r="AF6" t="s">
        <v>36</v>
      </c>
      <c r="AH6" t="s">
        <v>44</v>
      </c>
      <c r="AI6">
        <v>1.0</v>
      </c>
      <c r="AS6">
        <v>0.0</v>
      </c>
      <c r="AT6">
        <v>4085.9977</v>
      </c>
      <c r="AU6">
        <v>4085.9977</v>
      </c>
      <c r="AW6">
        <v>0.0</v>
      </c>
      <c r="AX6">
        <v>0.0</v>
      </c>
      <c r="AY6" t="s">
        <v>45</v>
      </c>
      <c r="AZ6">
        <v>0.0</v>
      </c>
      <c r="BE6">
        <v>4100.0</v>
      </c>
      <c r="BF6">
        <v>4100.0</v>
      </c>
      <c r="BJ6">
        <v>100.0</v>
      </c>
      <c r="BK6">
        <v>0.0</v>
      </c>
      <c r="BL6" t="s">
        <v>36</v>
      </c>
      <c r="BM6" t="s">
        <v>31</v>
      </c>
      <c r="BO6" t="s">
        <v>17</v>
      </c>
      <c r="BP6">
        <v>0.0</v>
      </c>
      <c r="BQ6">
        <v>0.0</v>
      </c>
      <c r="BR6">
        <v>0.0023</v>
      </c>
      <c r="BS6" t="s">
        <v>46</v>
      </c>
      <c r="BT6" t="s">
        <v>16</v>
      </c>
      <c r="BU6">
        <v>3.0</v>
      </c>
      <c r="BV6">
        <v>0.0</v>
      </c>
      <c r="BW6">
        <v>14.0023</v>
      </c>
      <c r="BX6">
        <v>0.0</v>
      </c>
      <c r="CI6" t="s">
        <v>47</v>
      </c>
      <c r="CJ6">
        <v>0.0</v>
      </c>
      <c r="CK6" t="s">
        <v>48</v>
      </c>
      <c r="CL6">
        <v>1.0</v>
      </c>
      <c r="CM6" t="s">
        <v>16</v>
      </c>
      <c r="CO6" t="s">
        <v>43</v>
      </c>
      <c r="CP6" t="s">
        <v>26</v>
      </c>
    </row>
    <row r="7" ht="15.75" customHeight="1">
      <c r="A7" s="8"/>
      <c r="B7" s="8" t="s">
        <v>18</v>
      </c>
      <c r="C7" s="8" t="s">
        <v>36</v>
      </c>
      <c r="D7" s="8"/>
      <c r="E7" s="8">
        <v>100.0</v>
      </c>
      <c r="F7" s="8" t="s">
        <v>37</v>
      </c>
      <c r="G7" s="8" t="s">
        <v>38</v>
      </c>
      <c r="H7" s="8">
        <v>4.0</v>
      </c>
      <c r="I7" s="8">
        <v>5.0</v>
      </c>
      <c r="J7" s="8">
        <v>1.0</v>
      </c>
      <c r="K7" s="8">
        <v>20.0</v>
      </c>
      <c r="L7" s="8">
        <v>20.0</v>
      </c>
      <c r="M7" s="8" t="s">
        <v>39</v>
      </c>
      <c r="N7" s="8" t="s">
        <v>36</v>
      </c>
      <c r="O7" s="8" t="s">
        <v>40</v>
      </c>
      <c r="Q7">
        <v>3.0</v>
      </c>
      <c r="R7">
        <v>0.0</v>
      </c>
      <c r="S7" t="s">
        <v>41</v>
      </c>
      <c r="T7">
        <v>0.0</v>
      </c>
      <c r="U7">
        <v>0.0</v>
      </c>
      <c r="V7" t="s">
        <v>42</v>
      </c>
      <c r="W7">
        <v>1.0</v>
      </c>
      <c r="X7" t="s">
        <v>36</v>
      </c>
      <c r="Y7" t="s">
        <v>36</v>
      </c>
      <c r="Z7" t="s">
        <v>31</v>
      </c>
      <c r="AA7" t="s">
        <v>16</v>
      </c>
      <c r="AB7">
        <v>1.0</v>
      </c>
      <c r="AD7" t="s">
        <v>43</v>
      </c>
      <c r="AE7">
        <v>100.0</v>
      </c>
      <c r="AF7" t="s">
        <v>36</v>
      </c>
      <c r="AH7" t="s">
        <v>44</v>
      </c>
      <c r="AI7">
        <v>1.0</v>
      </c>
      <c r="AS7">
        <v>0.0</v>
      </c>
      <c r="AT7">
        <v>1985.9989</v>
      </c>
      <c r="AU7">
        <v>1985.9989</v>
      </c>
      <c r="AW7">
        <v>0.0</v>
      </c>
      <c r="AX7">
        <v>0.0</v>
      </c>
      <c r="AY7" t="s">
        <v>45</v>
      </c>
      <c r="AZ7">
        <v>0.0</v>
      </c>
      <c r="BE7">
        <v>2000.0</v>
      </c>
      <c r="BF7">
        <v>2000.0</v>
      </c>
      <c r="BJ7">
        <v>100.0</v>
      </c>
      <c r="BK7">
        <v>0.0</v>
      </c>
      <c r="BL7" t="s">
        <v>36</v>
      </c>
      <c r="BM7" t="s">
        <v>31</v>
      </c>
      <c r="BO7" t="s">
        <v>17</v>
      </c>
      <c r="BP7">
        <v>0.0</v>
      </c>
      <c r="BQ7">
        <v>0.0</v>
      </c>
      <c r="BR7">
        <v>0.0011</v>
      </c>
      <c r="BS7" t="s">
        <v>46</v>
      </c>
      <c r="BT7" t="s">
        <v>16</v>
      </c>
      <c r="BU7">
        <v>3.0</v>
      </c>
      <c r="BV7">
        <v>0.0</v>
      </c>
      <c r="BW7">
        <v>14.0011</v>
      </c>
      <c r="BX7">
        <v>0.0</v>
      </c>
      <c r="CI7" t="s">
        <v>47</v>
      </c>
      <c r="CJ7">
        <v>0.0</v>
      </c>
      <c r="CK7" t="s">
        <v>48</v>
      </c>
      <c r="CL7">
        <v>1.0</v>
      </c>
      <c r="CM7" t="s">
        <v>16</v>
      </c>
      <c r="CO7" t="s">
        <v>43</v>
      </c>
      <c r="CP7" t="s">
        <v>26</v>
      </c>
    </row>
    <row r="8" ht="15.75" customHeight="1">
      <c r="A8" s="8"/>
      <c r="B8" s="8" t="s">
        <v>18</v>
      </c>
      <c r="C8" s="8" t="s">
        <v>36</v>
      </c>
      <c r="D8" s="8"/>
      <c r="E8" s="8">
        <v>100.0</v>
      </c>
      <c r="F8" s="8" t="s">
        <v>37</v>
      </c>
      <c r="G8" s="8" t="s">
        <v>38</v>
      </c>
      <c r="H8" s="8">
        <v>4.0</v>
      </c>
      <c r="I8" s="8">
        <v>5.0</v>
      </c>
      <c r="J8" s="8">
        <v>1.0</v>
      </c>
      <c r="K8" s="8">
        <v>40.0</v>
      </c>
      <c r="L8" s="8">
        <v>40.0</v>
      </c>
      <c r="M8" s="8" t="s">
        <v>39</v>
      </c>
      <c r="N8" s="8" t="s">
        <v>36</v>
      </c>
      <c r="O8" s="8" t="s">
        <v>40</v>
      </c>
      <c r="Q8">
        <v>3.0</v>
      </c>
      <c r="R8">
        <v>0.0</v>
      </c>
      <c r="S8" t="s">
        <v>41</v>
      </c>
      <c r="T8">
        <v>0.0</v>
      </c>
      <c r="U8">
        <v>0.0</v>
      </c>
      <c r="V8" t="s">
        <v>42</v>
      </c>
      <c r="W8">
        <v>1.0</v>
      </c>
      <c r="X8" t="s">
        <v>36</v>
      </c>
      <c r="Y8" t="s">
        <v>36</v>
      </c>
      <c r="Z8" t="s">
        <v>31</v>
      </c>
      <c r="AA8" t="s">
        <v>16</v>
      </c>
      <c r="AB8">
        <v>1.0</v>
      </c>
      <c r="AD8" t="s">
        <v>43</v>
      </c>
      <c r="AE8">
        <v>100.0</v>
      </c>
      <c r="AF8" t="s">
        <v>36</v>
      </c>
      <c r="AH8" t="s">
        <v>44</v>
      </c>
      <c r="AI8">
        <v>1.0</v>
      </c>
      <c r="AS8">
        <v>0.0</v>
      </c>
      <c r="AT8">
        <v>3985.9978</v>
      </c>
      <c r="AU8">
        <v>3985.9978</v>
      </c>
      <c r="AW8">
        <v>0.0</v>
      </c>
      <c r="AX8">
        <v>0.0</v>
      </c>
      <c r="AY8" t="s">
        <v>45</v>
      </c>
      <c r="AZ8">
        <v>0.0</v>
      </c>
      <c r="BE8">
        <v>4000.0</v>
      </c>
      <c r="BF8">
        <v>4000.0</v>
      </c>
      <c r="BJ8">
        <v>100.0</v>
      </c>
      <c r="BK8">
        <v>0.0</v>
      </c>
      <c r="BL8" t="s">
        <v>36</v>
      </c>
      <c r="BM8" t="s">
        <v>31</v>
      </c>
      <c r="BO8" t="s">
        <v>17</v>
      </c>
      <c r="BP8">
        <v>0.0</v>
      </c>
      <c r="BQ8">
        <v>0.0</v>
      </c>
      <c r="BR8">
        <v>0.0022</v>
      </c>
      <c r="BS8" t="s">
        <v>46</v>
      </c>
      <c r="BT8" t="s">
        <v>16</v>
      </c>
      <c r="BU8">
        <v>3.0</v>
      </c>
      <c r="BV8">
        <v>0.0</v>
      </c>
      <c r="BW8">
        <v>14.0022</v>
      </c>
      <c r="BX8">
        <v>0.0</v>
      </c>
      <c r="CI8" t="s">
        <v>47</v>
      </c>
      <c r="CJ8">
        <v>0.0</v>
      </c>
      <c r="CK8" t="s">
        <v>48</v>
      </c>
      <c r="CL8">
        <v>1.0</v>
      </c>
      <c r="CM8" t="s">
        <v>16</v>
      </c>
      <c r="CO8" t="s">
        <v>43</v>
      </c>
      <c r="CP8" t="s">
        <v>26</v>
      </c>
    </row>
    <row r="9" ht="15.75" customHeight="1">
      <c r="A9" s="8"/>
      <c r="B9" s="8" t="s">
        <v>18</v>
      </c>
      <c r="C9" s="8" t="s">
        <v>36</v>
      </c>
      <c r="D9" s="8"/>
      <c r="E9" s="8">
        <v>100.0</v>
      </c>
      <c r="F9" s="8" t="s">
        <v>37</v>
      </c>
      <c r="G9" s="8" t="s">
        <v>38</v>
      </c>
      <c r="H9" s="8">
        <v>4.0</v>
      </c>
      <c r="I9" s="8">
        <v>5.0</v>
      </c>
      <c r="J9" s="8">
        <v>1.0</v>
      </c>
      <c r="K9" s="8">
        <v>35.0</v>
      </c>
      <c r="L9" s="8">
        <v>35.0</v>
      </c>
      <c r="M9" s="8" t="s">
        <v>39</v>
      </c>
      <c r="N9" s="8" t="s">
        <v>36</v>
      </c>
      <c r="O9" s="8" t="s">
        <v>40</v>
      </c>
      <c r="Q9">
        <v>3.0</v>
      </c>
      <c r="R9">
        <v>0.0</v>
      </c>
      <c r="S9" t="s">
        <v>41</v>
      </c>
      <c r="T9">
        <v>0.0</v>
      </c>
      <c r="U9">
        <v>0.0</v>
      </c>
      <c r="V9" t="s">
        <v>42</v>
      </c>
      <c r="W9">
        <v>1.0</v>
      </c>
      <c r="X9" t="s">
        <v>36</v>
      </c>
      <c r="Y9" t="s">
        <v>36</v>
      </c>
      <c r="Z9" t="s">
        <v>31</v>
      </c>
      <c r="AA9" t="s">
        <v>16</v>
      </c>
      <c r="AB9">
        <v>1.0</v>
      </c>
      <c r="AD9" t="s">
        <v>43</v>
      </c>
      <c r="AE9">
        <v>100.0</v>
      </c>
      <c r="AF9" t="s">
        <v>36</v>
      </c>
      <c r="AH9" t="s">
        <v>44</v>
      </c>
      <c r="AI9">
        <v>1.0</v>
      </c>
      <c r="AS9">
        <v>0.0</v>
      </c>
      <c r="AT9">
        <v>3485.998</v>
      </c>
      <c r="AU9">
        <v>3485.998</v>
      </c>
      <c r="AW9">
        <v>0.0</v>
      </c>
      <c r="AX9">
        <v>0.0</v>
      </c>
      <c r="AY9" t="s">
        <v>45</v>
      </c>
      <c r="AZ9">
        <v>0.0</v>
      </c>
      <c r="BE9">
        <v>3500.0</v>
      </c>
      <c r="BF9">
        <v>3500.0</v>
      </c>
      <c r="BJ9">
        <v>100.0</v>
      </c>
      <c r="BK9">
        <v>0.0</v>
      </c>
      <c r="BL9" t="s">
        <v>36</v>
      </c>
      <c r="BM9" t="s">
        <v>31</v>
      </c>
      <c r="BO9" t="s">
        <v>17</v>
      </c>
      <c r="BP9">
        <v>0.0</v>
      </c>
      <c r="BQ9">
        <v>0.0</v>
      </c>
      <c r="BR9">
        <v>0.002</v>
      </c>
      <c r="BS9" t="s">
        <v>46</v>
      </c>
      <c r="BT9" t="s">
        <v>16</v>
      </c>
      <c r="BU9">
        <v>3.0</v>
      </c>
      <c r="BV9">
        <v>0.0</v>
      </c>
      <c r="BW9">
        <v>14.002</v>
      </c>
      <c r="BX9">
        <v>0.0</v>
      </c>
      <c r="CI9" t="s">
        <v>47</v>
      </c>
      <c r="CJ9">
        <v>0.0</v>
      </c>
      <c r="CK9" t="s">
        <v>48</v>
      </c>
      <c r="CL9">
        <v>1.0</v>
      </c>
      <c r="CM9" t="s">
        <v>16</v>
      </c>
      <c r="CO9" t="s">
        <v>43</v>
      </c>
      <c r="CP9" t="s">
        <v>26</v>
      </c>
    </row>
    <row r="10" ht="15.75" customHeight="1">
      <c r="A10" s="8"/>
      <c r="B10" s="8" t="s">
        <v>18</v>
      </c>
      <c r="C10" s="8" t="s">
        <v>36</v>
      </c>
      <c r="D10" s="8"/>
      <c r="E10" s="8">
        <v>100.0</v>
      </c>
      <c r="F10" s="8" t="s">
        <v>37</v>
      </c>
      <c r="G10" s="8" t="s">
        <v>38</v>
      </c>
      <c r="H10" s="8">
        <v>4.0</v>
      </c>
      <c r="I10" s="8">
        <v>5.0</v>
      </c>
      <c r="J10" s="8">
        <v>1.0</v>
      </c>
      <c r="K10" s="8">
        <v>40.0</v>
      </c>
      <c r="L10" s="8">
        <v>40.0</v>
      </c>
      <c r="M10" s="8" t="s">
        <v>39</v>
      </c>
      <c r="N10" s="8" t="s">
        <v>36</v>
      </c>
      <c r="O10" s="8" t="s">
        <v>40</v>
      </c>
      <c r="Q10">
        <v>3.0</v>
      </c>
      <c r="R10">
        <v>0.0</v>
      </c>
      <c r="S10" t="s">
        <v>41</v>
      </c>
      <c r="T10">
        <v>0.0</v>
      </c>
      <c r="U10">
        <v>0.0</v>
      </c>
      <c r="V10" t="s">
        <v>42</v>
      </c>
      <c r="W10">
        <v>1.0</v>
      </c>
      <c r="X10" t="s">
        <v>36</v>
      </c>
      <c r="Y10" t="s">
        <v>36</v>
      </c>
      <c r="Z10" t="s">
        <v>31</v>
      </c>
      <c r="AA10" t="s">
        <v>16</v>
      </c>
      <c r="AB10">
        <v>1.0</v>
      </c>
      <c r="AD10" t="s">
        <v>43</v>
      </c>
      <c r="AE10">
        <v>100.0</v>
      </c>
      <c r="AF10" t="s">
        <v>36</v>
      </c>
      <c r="AH10" t="s">
        <v>44</v>
      </c>
      <c r="AI10">
        <v>1.0</v>
      </c>
      <c r="AS10">
        <v>0.0</v>
      </c>
      <c r="AT10">
        <v>3985.9978</v>
      </c>
      <c r="AU10">
        <v>3985.9978</v>
      </c>
      <c r="AW10">
        <v>0.0</v>
      </c>
      <c r="AX10">
        <v>0.0</v>
      </c>
      <c r="AY10" t="s">
        <v>45</v>
      </c>
      <c r="AZ10">
        <v>0.0</v>
      </c>
      <c r="BE10">
        <v>4000.0</v>
      </c>
      <c r="BF10">
        <v>4000.0</v>
      </c>
      <c r="BJ10">
        <v>100.0</v>
      </c>
      <c r="BK10">
        <v>0.0</v>
      </c>
      <c r="BL10" t="s">
        <v>36</v>
      </c>
      <c r="BM10" t="s">
        <v>31</v>
      </c>
      <c r="BO10" t="s">
        <v>17</v>
      </c>
      <c r="BP10">
        <v>0.0</v>
      </c>
      <c r="BQ10">
        <v>0.0</v>
      </c>
      <c r="BR10">
        <v>0.0022</v>
      </c>
      <c r="BS10" t="s">
        <v>46</v>
      </c>
      <c r="BT10" t="s">
        <v>16</v>
      </c>
      <c r="BU10">
        <v>3.0</v>
      </c>
      <c r="BV10">
        <v>0.0</v>
      </c>
      <c r="BW10">
        <v>14.0022</v>
      </c>
      <c r="BX10">
        <v>0.0</v>
      </c>
      <c r="CI10" t="s">
        <v>47</v>
      </c>
      <c r="CJ10">
        <v>0.0</v>
      </c>
      <c r="CK10" t="s">
        <v>48</v>
      </c>
      <c r="CL10">
        <v>1.0</v>
      </c>
      <c r="CM10" t="s">
        <v>16</v>
      </c>
      <c r="CO10" t="s">
        <v>43</v>
      </c>
      <c r="CP10" t="s">
        <v>26</v>
      </c>
    </row>
    <row r="11" ht="15.75" customHeight="1">
      <c r="A11" s="8"/>
      <c r="B11" s="8" t="s">
        <v>18</v>
      </c>
      <c r="C11" s="8" t="s">
        <v>36</v>
      </c>
      <c r="D11" s="8"/>
      <c r="E11" s="8">
        <v>100.0</v>
      </c>
      <c r="F11" s="8" t="s">
        <v>37</v>
      </c>
      <c r="G11" s="8" t="s">
        <v>38</v>
      </c>
      <c r="H11" s="8">
        <v>4.0</v>
      </c>
      <c r="I11" s="8">
        <v>5.0</v>
      </c>
      <c r="J11" s="8">
        <v>1.0</v>
      </c>
      <c r="K11" s="8">
        <v>40.0</v>
      </c>
      <c r="L11" s="8">
        <v>40.0</v>
      </c>
      <c r="M11" s="8" t="s">
        <v>39</v>
      </c>
      <c r="N11" s="8" t="s">
        <v>36</v>
      </c>
      <c r="O11" s="8" t="s">
        <v>40</v>
      </c>
      <c r="Q11">
        <v>3.0</v>
      </c>
      <c r="R11">
        <v>0.0</v>
      </c>
      <c r="S11" t="s">
        <v>41</v>
      </c>
      <c r="T11">
        <v>0.0</v>
      </c>
      <c r="U11">
        <v>0.0</v>
      </c>
      <c r="V11" t="s">
        <v>42</v>
      </c>
      <c r="W11">
        <v>1.0</v>
      </c>
      <c r="X11" t="s">
        <v>36</v>
      </c>
      <c r="Y11" t="s">
        <v>36</v>
      </c>
      <c r="Z11" t="s">
        <v>31</v>
      </c>
      <c r="AA11" t="s">
        <v>16</v>
      </c>
      <c r="AB11">
        <v>1.0</v>
      </c>
      <c r="AD11" t="s">
        <v>43</v>
      </c>
      <c r="AE11">
        <v>100.0</v>
      </c>
      <c r="AF11" t="s">
        <v>36</v>
      </c>
      <c r="AH11" t="s">
        <v>44</v>
      </c>
      <c r="AI11">
        <v>1.0</v>
      </c>
      <c r="AS11">
        <v>0.0</v>
      </c>
      <c r="AT11">
        <v>3985.9978</v>
      </c>
      <c r="AU11">
        <v>3985.9978</v>
      </c>
      <c r="AW11">
        <v>0.0</v>
      </c>
      <c r="AX11">
        <v>0.0</v>
      </c>
      <c r="AY11" t="s">
        <v>45</v>
      </c>
      <c r="AZ11">
        <v>0.0</v>
      </c>
      <c r="BE11">
        <v>4000.0</v>
      </c>
      <c r="BF11">
        <v>4000.0</v>
      </c>
      <c r="BJ11">
        <v>100.0</v>
      </c>
      <c r="BK11">
        <v>0.0</v>
      </c>
      <c r="BL11" t="s">
        <v>36</v>
      </c>
      <c r="BM11" t="s">
        <v>31</v>
      </c>
      <c r="BO11" t="s">
        <v>17</v>
      </c>
      <c r="BP11">
        <v>0.0</v>
      </c>
      <c r="BQ11">
        <v>0.0</v>
      </c>
      <c r="BR11">
        <v>0.0022</v>
      </c>
      <c r="BS11" t="s">
        <v>46</v>
      </c>
      <c r="BT11" t="s">
        <v>16</v>
      </c>
      <c r="BU11">
        <v>3.0</v>
      </c>
      <c r="BV11">
        <v>0.0</v>
      </c>
      <c r="BW11">
        <v>14.0022</v>
      </c>
      <c r="BX11">
        <v>0.0</v>
      </c>
      <c r="CI11" t="s">
        <v>47</v>
      </c>
      <c r="CJ11">
        <v>0.0</v>
      </c>
      <c r="CK11" t="s">
        <v>48</v>
      </c>
      <c r="CL11">
        <v>1.0</v>
      </c>
      <c r="CM11" t="s">
        <v>16</v>
      </c>
      <c r="CO11" t="s">
        <v>43</v>
      </c>
      <c r="CP11" t="s">
        <v>26</v>
      </c>
    </row>
    <row r="12" ht="15.75" customHeight="1">
      <c r="A12" s="8"/>
      <c r="B12" s="8" t="s">
        <v>18</v>
      </c>
      <c r="C12" s="8" t="s">
        <v>36</v>
      </c>
      <c r="D12" s="8"/>
      <c r="E12" s="8">
        <v>200.0</v>
      </c>
      <c r="F12" s="8" t="s">
        <v>37</v>
      </c>
      <c r="G12" s="8" t="s">
        <v>38</v>
      </c>
      <c r="H12" s="8">
        <v>4.0</v>
      </c>
      <c r="I12" s="8">
        <v>5.0</v>
      </c>
      <c r="J12" s="8">
        <v>1.0</v>
      </c>
      <c r="K12" s="8">
        <v>30.0</v>
      </c>
      <c r="L12" s="8">
        <v>30.0</v>
      </c>
      <c r="M12" s="8" t="s">
        <v>39</v>
      </c>
      <c r="N12" s="8" t="s">
        <v>36</v>
      </c>
      <c r="O12" s="8" t="s">
        <v>40</v>
      </c>
      <c r="Q12">
        <v>3.0</v>
      </c>
      <c r="R12">
        <v>0.0</v>
      </c>
      <c r="S12" t="s">
        <v>41</v>
      </c>
      <c r="T12">
        <v>0.0</v>
      </c>
      <c r="U12">
        <v>0.0</v>
      </c>
      <c r="V12" t="s">
        <v>42</v>
      </c>
      <c r="W12">
        <v>1.0</v>
      </c>
      <c r="X12" t="s">
        <v>36</v>
      </c>
      <c r="Y12" t="s">
        <v>36</v>
      </c>
      <c r="Z12" t="s">
        <v>31</v>
      </c>
      <c r="AA12" t="s">
        <v>16</v>
      </c>
      <c r="AB12">
        <v>1.0</v>
      </c>
      <c r="AD12" t="s">
        <v>43</v>
      </c>
      <c r="AE12">
        <v>200.0</v>
      </c>
      <c r="AF12" t="s">
        <v>36</v>
      </c>
      <c r="AH12" t="s">
        <v>44</v>
      </c>
      <c r="AI12">
        <v>1.0</v>
      </c>
      <c r="AS12">
        <v>0.0</v>
      </c>
      <c r="AT12">
        <v>6014.0034</v>
      </c>
      <c r="AU12">
        <v>6014.0034</v>
      </c>
      <c r="AW12">
        <v>0.0</v>
      </c>
      <c r="AX12">
        <v>0.0</v>
      </c>
      <c r="AY12" t="s">
        <v>45</v>
      </c>
      <c r="AZ12">
        <v>0.0</v>
      </c>
      <c r="BE12">
        <v>6000.0</v>
      </c>
      <c r="BF12">
        <v>6000.0</v>
      </c>
      <c r="BJ12">
        <v>200.0</v>
      </c>
      <c r="BK12">
        <v>0.0</v>
      </c>
      <c r="BL12" t="s">
        <v>36</v>
      </c>
      <c r="BM12" t="s">
        <v>31</v>
      </c>
      <c r="BO12" t="s">
        <v>19</v>
      </c>
      <c r="BP12">
        <v>0.0</v>
      </c>
      <c r="BQ12">
        <v>0.0</v>
      </c>
      <c r="BR12">
        <v>0.0034</v>
      </c>
      <c r="BS12" t="s">
        <v>46</v>
      </c>
      <c r="BT12" t="s">
        <v>16</v>
      </c>
      <c r="BU12">
        <v>3.0</v>
      </c>
      <c r="BV12">
        <v>0.0</v>
      </c>
      <c r="BW12">
        <v>14.0034</v>
      </c>
      <c r="BX12">
        <v>0.0</v>
      </c>
      <c r="CI12" t="s">
        <v>49</v>
      </c>
      <c r="CJ12">
        <v>0.0</v>
      </c>
      <c r="CK12" t="s">
        <v>48</v>
      </c>
      <c r="CL12">
        <v>1.0</v>
      </c>
      <c r="CM12" t="s">
        <v>16</v>
      </c>
      <c r="CO12" t="s">
        <v>43</v>
      </c>
      <c r="CP12" t="s">
        <v>26</v>
      </c>
    </row>
    <row r="13" ht="15.75" customHeight="1">
      <c r="A13" s="8"/>
      <c r="B13" s="8" t="s">
        <v>18</v>
      </c>
      <c r="C13" s="8" t="s">
        <v>36</v>
      </c>
      <c r="D13" s="8"/>
      <c r="E13" s="8">
        <v>400.0</v>
      </c>
      <c r="F13" s="8" t="s">
        <v>37</v>
      </c>
      <c r="G13" s="8" t="s">
        <v>38</v>
      </c>
      <c r="H13" s="8">
        <v>4.0</v>
      </c>
      <c r="I13" s="8">
        <v>5.0</v>
      </c>
      <c r="J13" s="8">
        <v>1.0</v>
      </c>
      <c r="K13" s="8">
        <v>40.0</v>
      </c>
      <c r="L13" s="8">
        <v>40.0</v>
      </c>
      <c r="M13" s="8" t="s">
        <v>39</v>
      </c>
      <c r="N13" s="8" t="s">
        <v>36</v>
      </c>
      <c r="O13" s="8" t="s">
        <v>40</v>
      </c>
      <c r="Q13">
        <v>3.0</v>
      </c>
      <c r="R13">
        <v>0.0</v>
      </c>
      <c r="S13" t="s">
        <v>41</v>
      </c>
      <c r="T13">
        <v>0.0</v>
      </c>
      <c r="U13">
        <v>0.0</v>
      </c>
      <c r="V13" t="s">
        <v>42</v>
      </c>
      <c r="W13">
        <v>1.0</v>
      </c>
      <c r="X13" t="s">
        <v>36</v>
      </c>
      <c r="Y13" t="s">
        <v>36</v>
      </c>
      <c r="Z13" t="s">
        <v>31</v>
      </c>
      <c r="AA13" t="s">
        <v>16</v>
      </c>
      <c r="AB13">
        <v>1.0</v>
      </c>
      <c r="AD13" t="s">
        <v>43</v>
      </c>
      <c r="AE13">
        <v>400.0</v>
      </c>
      <c r="AF13" t="s">
        <v>36</v>
      </c>
      <c r="AH13" t="s">
        <v>44</v>
      </c>
      <c r="AI13">
        <v>1.0</v>
      </c>
      <c r="AS13">
        <v>0.0</v>
      </c>
      <c r="AT13">
        <v>16014.009</v>
      </c>
      <c r="AU13">
        <v>16014.009</v>
      </c>
      <c r="AW13">
        <v>0.0</v>
      </c>
      <c r="AX13">
        <v>0.0</v>
      </c>
      <c r="AY13" t="s">
        <v>45</v>
      </c>
      <c r="AZ13">
        <v>0.0</v>
      </c>
      <c r="BE13">
        <v>16000.0</v>
      </c>
      <c r="BF13">
        <v>16000.0</v>
      </c>
      <c r="BJ13">
        <v>400.0</v>
      </c>
      <c r="BK13">
        <v>0.0</v>
      </c>
      <c r="BL13" t="s">
        <v>36</v>
      </c>
      <c r="BM13" t="s">
        <v>31</v>
      </c>
      <c r="BO13" t="s">
        <v>19</v>
      </c>
      <c r="BP13">
        <v>0.0</v>
      </c>
      <c r="BQ13">
        <v>0.0</v>
      </c>
      <c r="BR13">
        <v>0.009</v>
      </c>
      <c r="BS13" t="s">
        <v>46</v>
      </c>
      <c r="BT13" t="s">
        <v>16</v>
      </c>
      <c r="BU13">
        <v>3.0</v>
      </c>
      <c r="BV13">
        <v>0.0</v>
      </c>
      <c r="BW13">
        <v>14.009</v>
      </c>
      <c r="BX13">
        <v>0.0</v>
      </c>
      <c r="CI13" t="s">
        <v>49</v>
      </c>
      <c r="CJ13">
        <v>0.0</v>
      </c>
      <c r="CK13" t="s">
        <v>48</v>
      </c>
      <c r="CL13">
        <v>1.0</v>
      </c>
      <c r="CM13" t="s">
        <v>16</v>
      </c>
      <c r="CO13" t="s">
        <v>43</v>
      </c>
      <c r="CP13" t="s">
        <v>26</v>
      </c>
    </row>
    <row r="14" ht="15.75" customHeight="1">
      <c r="A14" s="8"/>
      <c r="B14" s="8" t="s">
        <v>18</v>
      </c>
      <c r="C14" s="8" t="s">
        <v>36</v>
      </c>
      <c r="D14" s="8"/>
      <c r="E14" s="8">
        <v>200.0</v>
      </c>
      <c r="F14" s="8" t="s">
        <v>37</v>
      </c>
      <c r="G14" s="8" t="s">
        <v>38</v>
      </c>
      <c r="H14" s="8">
        <v>4.0</v>
      </c>
      <c r="I14" s="8">
        <v>5.0</v>
      </c>
      <c r="J14" s="8">
        <v>1.0</v>
      </c>
      <c r="K14" s="8">
        <v>40.0</v>
      </c>
      <c r="L14" s="8">
        <v>40.0</v>
      </c>
      <c r="M14" s="8" t="s">
        <v>39</v>
      </c>
      <c r="N14" s="8" t="s">
        <v>36</v>
      </c>
      <c r="O14" s="8" t="s">
        <v>40</v>
      </c>
      <c r="Q14">
        <v>3.0</v>
      </c>
      <c r="R14">
        <v>0.0</v>
      </c>
      <c r="S14" t="s">
        <v>41</v>
      </c>
      <c r="T14">
        <v>0.0</v>
      </c>
      <c r="U14">
        <v>0.0</v>
      </c>
      <c r="V14" t="s">
        <v>42</v>
      </c>
      <c r="W14">
        <v>1.0</v>
      </c>
      <c r="X14" t="s">
        <v>36</v>
      </c>
      <c r="Y14" t="s">
        <v>36</v>
      </c>
      <c r="Z14" t="s">
        <v>31</v>
      </c>
      <c r="AA14" t="s">
        <v>16</v>
      </c>
      <c r="AB14">
        <v>1.0</v>
      </c>
      <c r="AD14" t="s">
        <v>43</v>
      </c>
      <c r="AE14">
        <v>200.0</v>
      </c>
      <c r="AF14" t="s">
        <v>36</v>
      </c>
      <c r="AH14" t="s">
        <v>44</v>
      </c>
      <c r="AI14">
        <v>1.0</v>
      </c>
      <c r="AS14">
        <v>0.0</v>
      </c>
      <c r="AT14">
        <v>8014.0045</v>
      </c>
      <c r="AU14">
        <v>8014.0045</v>
      </c>
      <c r="AW14">
        <v>0.0</v>
      </c>
      <c r="AX14">
        <v>0.0</v>
      </c>
      <c r="AY14" t="s">
        <v>45</v>
      </c>
      <c r="AZ14">
        <v>0.0</v>
      </c>
      <c r="BE14">
        <v>8000.0</v>
      </c>
      <c r="BF14">
        <v>8000.0</v>
      </c>
      <c r="BJ14">
        <v>200.0</v>
      </c>
      <c r="BK14">
        <v>0.0</v>
      </c>
      <c r="BL14" t="s">
        <v>36</v>
      </c>
      <c r="BM14" t="s">
        <v>31</v>
      </c>
      <c r="BO14" t="s">
        <v>19</v>
      </c>
      <c r="BP14">
        <v>0.0</v>
      </c>
      <c r="BQ14">
        <v>0.0</v>
      </c>
      <c r="BR14">
        <v>0.0045</v>
      </c>
      <c r="BS14" t="s">
        <v>46</v>
      </c>
      <c r="BT14" t="s">
        <v>16</v>
      </c>
      <c r="BU14">
        <v>3.0</v>
      </c>
      <c r="BV14">
        <v>0.0</v>
      </c>
      <c r="BW14">
        <v>14.0045</v>
      </c>
      <c r="BX14">
        <v>0.0</v>
      </c>
      <c r="CI14" t="s">
        <v>49</v>
      </c>
      <c r="CJ14">
        <v>0.0</v>
      </c>
      <c r="CK14" t="s">
        <v>48</v>
      </c>
      <c r="CL14">
        <v>1.0</v>
      </c>
      <c r="CM14" t="s">
        <v>16</v>
      </c>
      <c r="CO14" t="s">
        <v>43</v>
      </c>
      <c r="CP14" t="s">
        <v>26</v>
      </c>
    </row>
    <row r="15" ht="15.75" customHeight="1">
      <c r="A15" s="8"/>
      <c r="B15" s="8" t="s">
        <v>18</v>
      </c>
      <c r="C15" s="8" t="s">
        <v>36</v>
      </c>
      <c r="D15" s="8"/>
      <c r="E15" s="8">
        <v>100.0</v>
      </c>
      <c r="F15" s="8" t="s">
        <v>37</v>
      </c>
      <c r="G15" s="8" t="s">
        <v>38</v>
      </c>
      <c r="H15" s="8">
        <v>4.0</v>
      </c>
      <c r="I15" s="8">
        <v>5.0</v>
      </c>
      <c r="J15" s="8">
        <v>1.0</v>
      </c>
      <c r="K15" s="8">
        <v>50.0</v>
      </c>
      <c r="L15" s="8">
        <v>50.0</v>
      </c>
      <c r="M15" s="8" t="s">
        <v>39</v>
      </c>
      <c r="N15" s="8" t="s">
        <v>36</v>
      </c>
      <c r="O15" s="8" t="s">
        <v>40</v>
      </c>
      <c r="Q15">
        <v>3.0</v>
      </c>
      <c r="R15">
        <v>0.0</v>
      </c>
      <c r="S15" t="s">
        <v>41</v>
      </c>
      <c r="T15">
        <v>0.0</v>
      </c>
      <c r="U15">
        <v>0.0</v>
      </c>
      <c r="V15" t="s">
        <v>42</v>
      </c>
      <c r="W15">
        <v>1.0</v>
      </c>
      <c r="X15" t="s">
        <v>36</v>
      </c>
      <c r="Y15" t="s">
        <v>36</v>
      </c>
      <c r="Z15" t="s">
        <v>31</v>
      </c>
      <c r="AA15" t="s">
        <v>16</v>
      </c>
      <c r="AB15">
        <v>1.0</v>
      </c>
      <c r="AD15" t="s">
        <v>43</v>
      </c>
      <c r="AE15">
        <v>100.0</v>
      </c>
      <c r="AF15" t="s">
        <v>36</v>
      </c>
      <c r="AH15" t="s">
        <v>44</v>
      </c>
      <c r="AI15">
        <v>1.0</v>
      </c>
      <c r="AS15">
        <v>0.0</v>
      </c>
      <c r="AT15">
        <v>4985.9972</v>
      </c>
      <c r="AU15">
        <v>4985.9972</v>
      </c>
      <c r="AW15">
        <v>0.0</v>
      </c>
      <c r="AX15">
        <v>0.0</v>
      </c>
      <c r="AY15" t="s">
        <v>45</v>
      </c>
      <c r="AZ15">
        <v>0.0</v>
      </c>
      <c r="BE15">
        <v>5000.0</v>
      </c>
      <c r="BF15">
        <v>5000.0</v>
      </c>
      <c r="BJ15">
        <v>100.0</v>
      </c>
      <c r="BK15">
        <v>0.0</v>
      </c>
      <c r="BL15" t="s">
        <v>36</v>
      </c>
      <c r="BM15" t="s">
        <v>31</v>
      </c>
      <c r="BO15" t="s">
        <v>17</v>
      </c>
      <c r="BP15">
        <v>0.0</v>
      </c>
      <c r="BQ15">
        <v>0.0</v>
      </c>
      <c r="BR15">
        <v>0.0028</v>
      </c>
      <c r="BS15" t="s">
        <v>46</v>
      </c>
      <c r="BT15" t="s">
        <v>16</v>
      </c>
      <c r="BU15">
        <v>3.0</v>
      </c>
      <c r="BV15">
        <v>0.0</v>
      </c>
      <c r="BW15">
        <v>14.0028</v>
      </c>
      <c r="BX15">
        <v>0.0</v>
      </c>
      <c r="CI15" t="s">
        <v>47</v>
      </c>
      <c r="CJ15">
        <v>0.0</v>
      </c>
      <c r="CK15" t="s">
        <v>48</v>
      </c>
      <c r="CL15">
        <v>1.0</v>
      </c>
      <c r="CM15" t="s">
        <v>16</v>
      </c>
      <c r="CO15" t="s">
        <v>43</v>
      </c>
      <c r="CP15" t="s">
        <v>26</v>
      </c>
    </row>
    <row r="16" ht="15.75" customHeight="1">
      <c r="A16" s="8"/>
      <c r="B16" s="8" t="s">
        <v>18</v>
      </c>
      <c r="C16" s="8" t="s">
        <v>36</v>
      </c>
      <c r="D16" s="8"/>
      <c r="E16" s="8">
        <v>100.0</v>
      </c>
      <c r="F16" s="8" t="s">
        <v>37</v>
      </c>
      <c r="G16" s="8" t="s">
        <v>38</v>
      </c>
      <c r="H16" s="8">
        <v>4.0</v>
      </c>
      <c r="I16" s="8">
        <v>5.0</v>
      </c>
      <c r="J16" s="8">
        <v>1.0</v>
      </c>
      <c r="K16" s="8">
        <v>25.0</v>
      </c>
      <c r="L16" s="8">
        <v>25.0</v>
      </c>
      <c r="M16" s="8" t="s">
        <v>39</v>
      </c>
      <c r="N16" s="8" t="s">
        <v>36</v>
      </c>
      <c r="O16" s="8" t="s">
        <v>40</v>
      </c>
      <c r="Q16">
        <v>3.0</v>
      </c>
      <c r="R16">
        <v>0.0</v>
      </c>
      <c r="S16" t="s">
        <v>41</v>
      </c>
      <c r="T16">
        <v>0.0</v>
      </c>
      <c r="U16">
        <v>0.0</v>
      </c>
      <c r="V16" t="s">
        <v>42</v>
      </c>
      <c r="W16">
        <v>1.0</v>
      </c>
      <c r="X16" t="s">
        <v>36</v>
      </c>
      <c r="Y16" t="s">
        <v>36</v>
      </c>
      <c r="Z16" t="s">
        <v>31</v>
      </c>
      <c r="AA16" t="s">
        <v>16</v>
      </c>
      <c r="AB16">
        <v>1.0</v>
      </c>
      <c r="AD16" t="s">
        <v>43</v>
      </c>
      <c r="AE16">
        <v>100.0</v>
      </c>
      <c r="AF16" t="s">
        <v>36</v>
      </c>
      <c r="AH16" t="s">
        <v>44</v>
      </c>
      <c r="AI16">
        <v>1.0</v>
      </c>
      <c r="AS16">
        <v>0.0</v>
      </c>
      <c r="AT16">
        <v>2485.9986</v>
      </c>
      <c r="AU16">
        <v>2485.9986</v>
      </c>
      <c r="AW16">
        <v>0.0</v>
      </c>
      <c r="AX16">
        <v>0.0</v>
      </c>
      <c r="AY16" t="s">
        <v>45</v>
      </c>
      <c r="AZ16">
        <v>0.0</v>
      </c>
      <c r="BE16">
        <v>2500.0</v>
      </c>
      <c r="BF16">
        <v>2500.0</v>
      </c>
      <c r="BJ16">
        <v>100.0</v>
      </c>
      <c r="BK16">
        <v>0.0</v>
      </c>
      <c r="BL16" t="s">
        <v>36</v>
      </c>
      <c r="BM16" t="s">
        <v>31</v>
      </c>
      <c r="BO16" t="s">
        <v>17</v>
      </c>
      <c r="BP16">
        <v>0.0</v>
      </c>
      <c r="BQ16">
        <v>0.0</v>
      </c>
      <c r="BR16">
        <v>0.0014</v>
      </c>
      <c r="BS16" t="s">
        <v>46</v>
      </c>
      <c r="BT16" t="s">
        <v>16</v>
      </c>
      <c r="BU16">
        <v>3.0</v>
      </c>
      <c r="BV16">
        <v>0.0</v>
      </c>
      <c r="BW16">
        <v>14.0014</v>
      </c>
      <c r="BX16">
        <v>0.0</v>
      </c>
      <c r="CI16" t="s">
        <v>47</v>
      </c>
      <c r="CJ16">
        <v>0.0</v>
      </c>
      <c r="CK16" t="s">
        <v>48</v>
      </c>
      <c r="CL16">
        <v>1.0</v>
      </c>
      <c r="CM16" t="s">
        <v>16</v>
      </c>
      <c r="CO16" t="s">
        <v>43</v>
      </c>
      <c r="CP16" t="s">
        <v>26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