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AddCalculatedPreferences" sheetId="6" r:id="rId8"/>
    <sheet state="visible" name="SetAccountValueCalculatedPref" sheetId="7" r:id="rId9"/>
    <sheet state="visible" name="SetDefaultRuleCalculatedPref" sheetId="8" r:id="rId10"/>
    <sheet state="visible" name="GetDailyCash" sheetId="9" r:id="rId11"/>
    <sheet state="visible" name="UpdateMultipleDailyCash" sheetId="10" r:id="rId12"/>
    <sheet state="visible" name="CreateDoneAwayOrder1" sheetId="11" r:id="rId13"/>
    <sheet state="visible" name="GetDataAllocation" sheetId="12" r:id="rId14"/>
    <sheet state="visible" name="CheckAllocatedGroups" sheetId="13" r:id="rId15"/>
    <sheet state="visible" name="CheckAllocatedTaxlots" sheetId="14" r:id="rId16"/>
  </sheets>
  <definedNames/>
  <calcPr/>
</workbook>
</file>

<file path=xl/sharedStrings.xml><?xml version="1.0" encoding="utf-8"?>
<sst xmlns="http://schemas.openxmlformats.org/spreadsheetml/2006/main" count="159" uniqueCount="45">
  <si>
    <t>Modules Info</t>
  </si>
  <si>
    <t>Modules</t>
  </si>
  <si>
    <t>Settings</t>
  </si>
  <si>
    <t>Module Step Setting File</t>
  </si>
  <si>
    <t>1FGxALDJcb5ehnsyvPsvvK2RmR5w5NvwxselvS8Rk8g0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</si>
  <si>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</si>
  <si>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</si>
  <si>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</si>
  <si>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</si>
  <si>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</si>
  <si>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</si>
  <si>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</si>
  <si>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</si>
  <si>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</si>
  <si>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</si>
  <si>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</si>
  <si>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</si>
  <si>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</si>
  <si>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</si>
  <si>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</si>
  <si>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Allocation2</t>
  </si>
  <si>
    <t>Allocation3</t>
  </si>
  <si>
    <t>Allocation1</t>
  </si>
  <si>
    <t>Allocation4</t>
  </si>
  <si>
    <t>Allocation</t>
  </si>
  <si>
    <t>AddCalculatedPreferences</t>
  </si>
  <si>
    <t>prf</t>
  </si>
  <si>
    <t>SetAccountValueCalculatedPref</t>
  </si>
  <si>
    <t>SetDefaultRuleCalculatedPref</t>
  </si>
  <si>
    <t>Prorata</t>
  </si>
  <si>
    <t>Allocation1,Allocation4</t>
  </si>
  <si>
    <t>DailyValuation</t>
  </si>
  <si>
    <t>GetDailyCash</t>
  </si>
  <si>
    <t>UpdateMultipleDailyCash</t>
  </si>
  <si>
    <t>USD</t>
  </si>
  <si>
    <t>GetDataAllocation</t>
  </si>
  <si>
    <t>Current</t>
  </si>
  <si>
    <t>CheckAllocatedGroups</t>
  </si>
  <si>
    <t>APPLE</t>
  </si>
  <si>
    <t>NASDAQ</t>
  </si>
  <si>
    <t>M</t>
  </si>
  <si>
    <t>Market</t>
  </si>
  <si>
    <t>CheckAllocatedTaxlots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</si>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</sst>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vertical="bottom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4" fontId="13" numFmtId="0" xfId="0" applyFont="1"/>
    <xf borderId="0" fillId="0" fontId="5" numFmtId="14" xfId="0" applyAlignment="1" applyFont="1" applyNumberFormat="1">
      <alignment readingOrder="0" shrinkToFit="0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IFERROR(__xludf.DUMMYFUNCTION("""COMPUTED_VALUE"""),"FilterClosing")</f>
        <v>FilterClosing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 ")</f>
        <v>FilterClosing 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</row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IFERROR(__xludf.DUMMYFUNCTION("""COMPUTED_VALUE"""),"EnableDisableModule")</f>
        <v>EnableDisableModule</v>
      </c>
      <c r="M4" s="24" t="str">
        <f>IFERROR(__xludf.DUMMYFUNCTION("""COMPUTED_VALUE"""),"IsImportOverrideOnShortLocate")</f>
        <v>IsImportOverrideOnShortLocate</v>
      </c>
      <c r="N4" s="24" t="str">
        <f>IFERROR(__xludf.DUMMYFUNCTION("""COMPUTED_VALUE"""),"SetShortLocateStructures")</f>
        <v>SetShortLocateStructures</v>
      </c>
      <c r="O4" s="24" t="str">
        <f>IFERROR(__xludf.DUMMYFUNCTION("""COMPUTED_VALUE"""),"SetComplianceAlert")</f>
        <v>SetComplianceAlert</v>
      </c>
      <c r="P4" s="25" t="str">
        <f>IFERROR(__xludf.DUMMYFUNCTION("""COMPUTED_VALUE"""),"UpdateExpirationDate")</f>
        <v>UpdateExpirationDate</v>
      </c>
      <c r="Q4" s="25" t="str">
        <f>IFERROR(__xludf.DUMMYFUNCTION("""COMPUTED_VALUE"""),"RenameMasterStrategy")</f>
        <v>RenameMasterStrategy</v>
      </c>
      <c r="R4" s="25" t="str">
        <f>IFERROR(__xludf.DUMMYFUNCTION("""COMPUTED_VALUE"""),"SetTTUIAdminPreferences")</f>
        <v>SetTTUIAdminPreferences</v>
      </c>
      <c r="S4" s="25" t="str">
        <f>IFERROR(__xludf.DUMMYFUNCTION("""COMPUTED_VALUE"""),"UpdateSecFee")</f>
        <v>UpdateSecFee</v>
      </c>
      <c r="T4" s="25" t="str">
        <f>IFERROR(__xludf.DUMMYFUNCTION("""COMPUTED_VALUE"""),"UpdateFee")</f>
        <v>UpdateFee</v>
      </c>
      <c r="U4" s="25" t="str">
        <f>IFERROR(__xludf.DUMMYFUNCTION("""COMPUTED_VALUE"""),"RevertingSMSharesOutValue")</f>
        <v>RevertingSMSharesOutValue</v>
      </c>
      <c r="V4" s="25" t="str">
        <f>IFERROR(__xludf.DUMMYFUNCTION("""COMPUTED_VALUE"""),"SetTTUIAdminPreferences")</f>
        <v>SetTTUIAdminPreferences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IFERROR(__xludf.DUMMYFUNCTION("""COMPUTED_VALUE"""),"UpdateRoundLot")</f>
        <v>UpdateRoundLot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8"/>
      <c r="D6" s="30" t="b">
        <v>1</v>
      </c>
      <c r="E6" s="31"/>
      <c r="F6" s="8"/>
      <c r="G6" s="8"/>
      <c r="H6" s="30">
        <v>2.0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18</v>
      </c>
      <c r="C6" s="30" t="s">
        <v>19</v>
      </c>
      <c r="D6" s="30">
        <v>100.0</v>
      </c>
      <c r="E6" s="31"/>
      <c r="F6" s="30" t="s">
        <v>20</v>
      </c>
      <c r="G6" s="8"/>
      <c r="H6" s="8"/>
      <c r="I6" s="8"/>
      <c r="J6" s="30">
        <v>10.0</v>
      </c>
      <c r="K6" s="8"/>
      <c r="L6" s="8"/>
      <c r="M6" s="8"/>
      <c r="N6" s="8"/>
      <c r="O6" s="8"/>
    </row>
    <row r="7" ht="15.75" customHeight="1">
      <c r="A7" s="30"/>
      <c r="B7" s="30" t="s">
        <v>18</v>
      </c>
      <c r="C7" s="30" t="s">
        <v>19</v>
      </c>
      <c r="D7" s="30">
        <v>200.0</v>
      </c>
      <c r="E7" s="31"/>
      <c r="F7" s="30" t="s">
        <v>21</v>
      </c>
      <c r="G7" s="8"/>
      <c r="H7" s="8"/>
      <c r="I7" s="8"/>
      <c r="J7" s="30">
        <v>10.0</v>
      </c>
      <c r="K7" s="8"/>
      <c r="L7" s="8"/>
      <c r="M7" s="8"/>
      <c r="N7" s="8"/>
      <c r="O7" s="8"/>
    </row>
    <row r="8" ht="15.75" customHeight="1">
      <c r="A8" s="30"/>
      <c r="B8" s="30" t="s">
        <v>18</v>
      </c>
      <c r="C8" s="30" t="s">
        <v>19</v>
      </c>
      <c r="D8" s="30">
        <v>300.0</v>
      </c>
      <c r="E8" s="31"/>
      <c r="F8" s="30" t="s">
        <v>22</v>
      </c>
      <c r="G8" s="8"/>
      <c r="H8" s="8"/>
      <c r="I8" s="8"/>
      <c r="J8" s="30">
        <v>10.0</v>
      </c>
      <c r="K8" s="8"/>
      <c r="L8" s="8"/>
      <c r="M8" s="8"/>
      <c r="N8" s="8"/>
      <c r="O8" s="8"/>
    </row>
    <row r="9" ht="15.75" customHeight="1">
      <c r="A9" s="30"/>
      <c r="B9" s="30" t="s">
        <v>18</v>
      </c>
      <c r="C9" s="30" t="s">
        <v>19</v>
      </c>
      <c r="D9" s="30">
        <v>400.0</v>
      </c>
      <c r="E9" s="31"/>
      <c r="F9" s="30" t="s">
        <v>23</v>
      </c>
      <c r="G9" s="8"/>
      <c r="H9" s="8"/>
      <c r="I9" s="8"/>
      <c r="J9" s="30">
        <v>10.0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26</v>
      </c>
      <c r="C6" s="8"/>
      <c r="D6" s="30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1svq-61dzaRHeNDz1TSSUPXQbbN3Mi4bhNQabvGVoz2c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26</v>
      </c>
      <c r="C6" s="30" t="s">
        <v>20</v>
      </c>
      <c r="D6" s="30">
        <v>80.0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30"/>
      <c r="B7" s="30" t="s">
        <v>26</v>
      </c>
      <c r="C7" s="30" t="s">
        <v>21</v>
      </c>
      <c r="D7" s="30">
        <v>20.0</v>
      </c>
      <c r="E7" s="31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1j6MD8nFEuJNo52Mp8uXbXRmrJs802rnEIiTOEuZFdWA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8"/>
      <c r="D6" s="30" t="s">
        <v>29</v>
      </c>
      <c r="E6" s="30" t="s">
        <v>30</v>
      </c>
      <c r="F6" s="8"/>
      <c r="G6" s="30" t="b">
        <v>0</v>
      </c>
      <c r="H6" s="30" t="s">
        <v>26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IFERROR(__xludf.DUMMYFUNCTION("""COMPUTED_VALUE"""),"UpdateMultipleDailyCash")</f>
        <v>UpdateMultipleDailyCash</v>
      </c>
      <c r="AI4" s="25" t="str">
        <f>IFERROR(__xludf.DUMMYFUNCTION("""COMPUTED_VALUE"""),"IsDefaultFilterToShowAccountWiseDataOnDailyValuation")</f>
        <v>IsDefaultFilterToShowAccountWiseDataOnDailyValuation</v>
      </c>
      <c r="AJ4" s="25" t="str">
        <f>IFERROR(__xludf.DUMMYFUNCTION("""COMPUTED_VALUE"""),"EnableBlankMarkPrices")</f>
        <v>EnableBlankMarkPrices</v>
      </c>
      <c r="AK4" s="25" t="str">
        <f>IFERROR(__xludf.DUMMYFUNCTION("""COMPUTED_VALUE"""),"EnableBlankMarkPrices")</f>
        <v>EnableBlankMarkPrices</v>
      </c>
      <c r="AL4" s="25" t="str">
        <f>IFERROR(__xludf.DUMMYFUNCTION("""COMPUTED_VALUE"""),"UpateSymbolAndMarkPrice")</f>
        <v>UpateSymbolAndMarkPrice</v>
      </c>
      <c r="AM4" s="25" t="str">
        <f>IFERROR(__xludf.DUMMYFUNCTION("""COMPUTED_VALUE"""),"UpateSymbolBlankMP")</f>
        <v>UpateSymbolBlankMP</v>
      </c>
      <c r="AN4" s="25" t="str">
        <f>IFERROR(__xludf.DUMMYFUNCTION("""COMPUTED_VALUE"""),"UpdateBlankMP")</f>
        <v>UpdateBlankMP</v>
      </c>
      <c r="AO4" s="25" t="str">
        <f>IFERROR(__xludf.DUMMYFUNCTION("""COMPUTED_VALUE"""),"FilterBlankMP")</f>
        <v>FilterBlankMP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f t="shared" ref="B6:C6" si="1">today()-1</f>
        <v>44948</v>
      </c>
      <c r="C6" s="33">
        <f t="shared" si="1"/>
        <v>44948</v>
      </c>
      <c r="D6" s="30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IFERROR(__xludf.DUMMYFUNCTION("""COMPUTED_VALUE"""),"UpdateMultipleDailyCash")</f>
        <v>UpdateMultipleDailyCash</v>
      </c>
      <c r="AI4" s="25" t="str">
        <f>IFERROR(__xludf.DUMMYFUNCTION("""COMPUTED_VALUE"""),"IsDefaultFilterToShowAccountWiseDataOnDailyValuation")</f>
        <v>IsDefaultFilterToShowAccountWiseDataOnDailyValuation</v>
      </c>
      <c r="AJ4" s="25" t="str">
        <f>IFERROR(__xludf.DUMMYFUNCTION("""COMPUTED_VALUE"""),"EnableBlankMarkPrices")</f>
        <v>EnableBlankMarkPrices</v>
      </c>
      <c r="AK4" s="25" t="str">
        <f>IFERROR(__xludf.DUMMYFUNCTION("""COMPUTED_VALUE"""),"EnableBlankMarkPrices")</f>
        <v>EnableBlankMarkPrices</v>
      </c>
      <c r="AL4" s="25" t="str">
        <f>IFERROR(__xludf.DUMMYFUNCTION("""COMPUTED_VALUE"""),"UpateSymbolAndMarkPrice")</f>
        <v>UpateSymbolAndMarkPrice</v>
      </c>
      <c r="AM4" s="25" t="str">
        <f>IFERROR(__xludf.DUMMYFUNCTION("""COMPUTED_VALUE"""),"UpateSymbolBlankMP")</f>
        <v>UpateSymbolBlankMP</v>
      </c>
      <c r="AN4" s="25" t="str">
        <f>IFERROR(__xludf.DUMMYFUNCTION("""COMPUTED_VALUE"""),"UpdateBlankMP")</f>
        <v>UpdateBlankMP</v>
      </c>
      <c r="AO4" s="25" t="str">
        <f>IFERROR(__xludf.DUMMYFUNCTION("""COMPUTED_VALUE"""),"FilterBlankMP")</f>
        <v>FilterBlankMP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22</v>
      </c>
      <c r="C6" s="30" t="s">
        <v>34</v>
      </c>
      <c r="D6" s="30">
        <v>973000.0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30"/>
      <c r="B7" s="30" t="s">
        <v>23</v>
      </c>
      <c r="C7" s="30" t="s">
        <v>34</v>
      </c>
      <c r="D7" s="30">
        <v>1964000.0</v>
      </c>
      <c r="E7" s="31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18</v>
      </c>
      <c r="C6" s="30" t="s">
        <v>19</v>
      </c>
      <c r="D6" s="30">
        <v>1000.0</v>
      </c>
      <c r="E6" s="31"/>
      <c r="F6" s="30" t="s">
        <v>26</v>
      </c>
      <c r="G6" s="8"/>
      <c r="H6" s="8"/>
      <c r="I6" s="8"/>
      <c r="J6" s="30">
        <v>100.0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36</v>
      </c>
      <c r="C6" s="8"/>
      <c r="D6" s="30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8"/>
      <c r="D6" s="30"/>
      <c r="E6" s="34">
        <v>100.0</v>
      </c>
      <c r="F6" s="8"/>
      <c r="G6" s="8"/>
      <c r="H6" s="34">
        <v>4.0</v>
      </c>
      <c r="I6" s="34">
        <v>5.0</v>
      </c>
      <c r="J6" s="8"/>
      <c r="K6" s="34">
        <v>10.0</v>
      </c>
      <c r="L6" s="34">
        <v>10.0</v>
      </c>
      <c r="M6" s="8"/>
      <c r="N6" s="8"/>
      <c r="O6" s="8"/>
      <c r="V6" s="35" t="s">
        <v>38</v>
      </c>
      <c r="Z6" s="35" t="s">
        <v>34</v>
      </c>
      <c r="AD6" s="35" t="s">
        <v>39</v>
      </c>
      <c r="AE6" s="34">
        <v>100.0</v>
      </c>
      <c r="AH6" s="35" t="s">
        <v>40</v>
      </c>
      <c r="AI6" s="34">
        <v>1.0</v>
      </c>
      <c r="AT6" s="36">
        <v>1014.0006</v>
      </c>
      <c r="AU6" s="36">
        <v>1014.0006</v>
      </c>
      <c r="AY6" s="35" t="s">
        <v>41</v>
      </c>
      <c r="BE6" s="36">
        <v>1000.0</v>
      </c>
      <c r="BF6" s="36">
        <v>1000.0</v>
      </c>
      <c r="BJ6" s="34">
        <v>100.0</v>
      </c>
      <c r="BO6" s="9" t="s">
        <v>19</v>
      </c>
      <c r="BT6" s="35" t="s">
        <v>18</v>
      </c>
    </row>
    <row r="7" ht="15.75" customHeight="1">
      <c r="A7" s="8"/>
      <c r="B7" s="8"/>
      <c r="C7" s="8"/>
      <c r="D7" s="8"/>
      <c r="E7" s="34">
        <v>200.0</v>
      </c>
      <c r="F7" s="8"/>
      <c r="G7" s="8"/>
      <c r="H7" s="34">
        <v>4.0</v>
      </c>
      <c r="I7" s="34">
        <v>5.0</v>
      </c>
      <c r="J7" s="8"/>
      <c r="K7" s="34">
        <v>10.0</v>
      </c>
      <c r="L7" s="34">
        <v>10.0</v>
      </c>
      <c r="M7" s="8"/>
      <c r="N7" s="8"/>
      <c r="O7" s="8"/>
      <c r="V7" s="35" t="s">
        <v>38</v>
      </c>
      <c r="Z7" s="35" t="s">
        <v>34</v>
      </c>
      <c r="AD7" s="35" t="s">
        <v>39</v>
      </c>
      <c r="AE7" s="34">
        <v>200.0</v>
      </c>
      <c r="AH7" s="35" t="s">
        <v>40</v>
      </c>
      <c r="AI7" s="34">
        <v>1.0</v>
      </c>
      <c r="AT7" s="36">
        <v>2014.0011</v>
      </c>
      <c r="AU7" s="36">
        <v>2014.0011</v>
      </c>
      <c r="AY7" s="35" t="s">
        <v>41</v>
      </c>
      <c r="BE7" s="36">
        <v>2000.0</v>
      </c>
      <c r="BF7" s="36">
        <v>2000.0</v>
      </c>
      <c r="BJ7" s="34">
        <v>200.0</v>
      </c>
      <c r="BO7" s="9" t="s">
        <v>19</v>
      </c>
      <c r="BT7" s="35" t="s">
        <v>18</v>
      </c>
    </row>
    <row r="8" ht="15.75" customHeight="1">
      <c r="A8" s="8"/>
      <c r="B8" s="8"/>
      <c r="C8" s="8"/>
      <c r="D8" s="8"/>
      <c r="E8" s="34">
        <v>300.0</v>
      </c>
      <c r="F8" s="8"/>
      <c r="G8" s="8"/>
      <c r="H8" s="34">
        <v>4.0</v>
      </c>
      <c r="I8" s="34">
        <v>5.0</v>
      </c>
      <c r="J8" s="8"/>
      <c r="K8" s="34">
        <v>10.0</v>
      </c>
      <c r="L8" s="34">
        <v>10.0</v>
      </c>
      <c r="M8" s="8"/>
      <c r="N8" s="8"/>
      <c r="O8" s="8"/>
      <c r="V8" s="35" t="s">
        <v>38</v>
      </c>
      <c r="Z8" s="35" t="s">
        <v>34</v>
      </c>
      <c r="AD8" s="35" t="s">
        <v>39</v>
      </c>
      <c r="AE8" s="34">
        <v>300.0</v>
      </c>
      <c r="AH8" s="35" t="s">
        <v>40</v>
      </c>
      <c r="AI8" s="34">
        <v>1.0</v>
      </c>
      <c r="AT8" s="36">
        <v>3014.0017</v>
      </c>
      <c r="AU8" s="36">
        <v>3014.0017</v>
      </c>
      <c r="AY8" s="35" t="s">
        <v>41</v>
      </c>
      <c r="BE8" s="36">
        <v>3000.0</v>
      </c>
      <c r="BF8" s="36">
        <v>3000.0</v>
      </c>
      <c r="BJ8" s="34">
        <v>300.0</v>
      </c>
      <c r="BO8" s="9" t="s">
        <v>19</v>
      </c>
      <c r="BT8" s="35" t="s">
        <v>18</v>
      </c>
    </row>
    <row r="9" ht="15.75" customHeight="1">
      <c r="A9" s="8"/>
      <c r="B9" s="8"/>
      <c r="C9" s="8"/>
      <c r="D9" s="8"/>
      <c r="E9" s="34">
        <v>400.0</v>
      </c>
      <c r="F9" s="8"/>
      <c r="G9" s="8"/>
      <c r="H9" s="34">
        <v>4.0</v>
      </c>
      <c r="I9" s="34">
        <v>5.0</v>
      </c>
      <c r="J9" s="8"/>
      <c r="K9" s="34">
        <v>10.0</v>
      </c>
      <c r="L9" s="34">
        <v>10.0</v>
      </c>
      <c r="M9" s="8"/>
      <c r="N9" s="8"/>
      <c r="O9" s="8"/>
      <c r="V9" s="35" t="s">
        <v>38</v>
      </c>
      <c r="Z9" s="35" t="s">
        <v>34</v>
      </c>
      <c r="AD9" s="35" t="s">
        <v>39</v>
      </c>
      <c r="AE9" s="34">
        <v>400.0</v>
      </c>
      <c r="AH9" s="35" t="s">
        <v>40</v>
      </c>
      <c r="AI9" s="34">
        <v>1.0</v>
      </c>
      <c r="AT9" s="36">
        <v>4014.0022</v>
      </c>
      <c r="AU9" s="36">
        <v>4014.0022</v>
      </c>
      <c r="AY9" s="35" t="s">
        <v>41</v>
      </c>
      <c r="BE9" s="36">
        <v>4000.0</v>
      </c>
      <c r="BF9" s="36">
        <v>4000.0</v>
      </c>
      <c r="BJ9" s="34">
        <v>400.0</v>
      </c>
      <c r="BO9" s="9" t="s">
        <v>19</v>
      </c>
      <c r="BT9" s="35" t="s">
        <v>18</v>
      </c>
    </row>
    <row r="10" ht="15.75" customHeight="1">
      <c r="A10" s="8"/>
      <c r="B10" s="8"/>
      <c r="C10" s="8"/>
      <c r="D10" s="8"/>
      <c r="E10" s="30">
        <v>1000.0</v>
      </c>
      <c r="F10" s="8"/>
      <c r="G10" s="8"/>
      <c r="H10" s="34">
        <v>4.0</v>
      </c>
      <c r="I10" s="34">
        <v>5.0</v>
      </c>
      <c r="J10" s="8"/>
      <c r="K10" s="34">
        <v>100.0</v>
      </c>
      <c r="L10" s="34">
        <v>100.0</v>
      </c>
      <c r="M10" s="8"/>
      <c r="N10" s="8"/>
      <c r="O10" s="8"/>
      <c r="V10" s="35" t="s">
        <v>38</v>
      </c>
      <c r="Z10" s="35" t="s">
        <v>34</v>
      </c>
      <c r="AD10" s="35" t="s">
        <v>39</v>
      </c>
      <c r="AE10" s="9">
        <v>1000.0</v>
      </c>
      <c r="AH10" s="35" t="s">
        <v>40</v>
      </c>
      <c r="AI10" s="34">
        <v>1.0</v>
      </c>
      <c r="AT10" s="36">
        <v>100014.056</v>
      </c>
      <c r="AU10" s="36">
        <v>100014.056</v>
      </c>
      <c r="AY10" s="35" t="s">
        <v>41</v>
      </c>
      <c r="BE10" s="36">
        <v>100000.0</v>
      </c>
      <c r="BF10" s="36">
        <v>100000.0</v>
      </c>
      <c r="BJ10" s="9">
        <v>1000.0</v>
      </c>
      <c r="BO10" s="9" t="s">
        <v>19</v>
      </c>
      <c r="BT10" s="35" t="s">
        <v>18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57108.025976</v>
      </c>
      <c r="C6" s="36">
        <v>57108.025976</v>
      </c>
      <c r="D6" s="36">
        <v>57100.0</v>
      </c>
      <c r="E6" s="36">
        <v>57100.0</v>
      </c>
      <c r="F6" s="35" t="s">
        <v>40</v>
      </c>
      <c r="G6" s="8"/>
      <c r="H6" s="8"/>
      <c r="I6" s="8"/>
      <c r="J6" s="8"/>
      <c r="K6" s="8"/>
      <c r="L6" s="8"/>
      <c r="M6" s="8"/>
      <c r="N6" s="8"/>
      <c r="O6" s="35" t="s">
        <v>23</v>
      </c>
      <c r="P6" s="35" t="s">
        <v>43</v>
      </c>
      <c r="Q6" s="34">
        <v>57.09999847</v>
      </c>
      <c r="R6" s="34">
        <v>571.0</v>
      </c>
      <c r="S6" s="34">
        <v>0.0</v>
      </c>
      <c r="T6" s="34">
        <v>0.0</v>
      </c>
      <c r="U6" s="34">
        <v>0.0</v>
      </c>
      <c r="V6" s="34">
        <v>0.0</v>
      </c>
      <c r="W6" s="34">
        <v>0.031976</v>
      </c>
      <c r="Y6" s="34">
        <v>2.284</v>
      </c>
      <c r="Z6" s="34">
        <v>1.713</v>
      </c>
      <c r="AA6" s="34">
        <v>2.855</v>
      </c>
      <c r="AB6" s="34">
        <v>0.0</v>
      </c>
      <c r="AC6" s="34">
        <v>0.0</v>
      </c>
      <c r="AD6" s="34">
        <v>0.0</v>
      </c>
      <c r="AE6" s="34">
        <v>0.0</v>
      </c>
      <c r="AF6" s="35" t="s">
        <v>44</v>
      </c>
      <c r="AG6" s="37"/>
    </row>
    <row r="7" ht="15.75" customHeight="1">
      <c r="A7" s="8"/>
      <c r="B7" s="36">
        <v>42906.030024</v>
      </c>
      <c r="C7" s="36">
        <v>42906.030024</v>
      </c>
      <c r="D7" s="36">
        <v>42900.0</v>
      </c>
      <c r="E7" s="36">
        <v>42900.0</v>
      </c>
      <c r="F7" s="35" t="s">
        <v>40</v>
      </c>
      <c r="G7" s="8"/>
      <c r="H7" s="8"/>
      <c r="I7" s="8"/>
      <c r="J7" s="8"/>
      <c r="K7" s="8"/>
      <c r="L7" s="8"/>
      <c r="M7" s="8"/>
      <c r="N7" s="8"/>
      <c r="O7" s="35" t="s">
        <v>22</v>
      </c>
      <c r="P7" s="35" t="s">
        <v>43</v>
      </c>
      <c r="Q7" s="34">
        <v>42.90000153</v>
      </c>
      <c r="R7" s="34">
        <v>429.0</v>
      </c>
      <c r="S7" s="34">
        <v>0.0</v>
      </c>
      <c r="T7" s="34">
        <v>0.0</v>
      </c>
      <c r="U7" s="34">
        <v>0.0</v>
      </c>
      <c r="V7" s="34">
        <v>0.0</v>
      </c>
      <c r="W7" s="34">
        <v>0.024024</v>
      </c>
      <c r="Y7" s="34">
        <v>1.716</v>
      </c>
      <c r="Z7" s="34">
        <v>1.287</v>
      </c>
      <c r="AA7" s="34">
        <v>2.145</v>
      </c>
      <c r="AB7" s="34">
        <v>0.0</v>
      </c>
      <c r="AC7" s="34">
        <v>0.0</v>
      </c>
      <c r="AD7" s="34">
        <v>0.0</v>
      </c>
      <c r="AE7" s="34">
        <v>0.0</v>
      </c>
      <c r="AF7" s="35" t="s">
        <v>44</v>
      </c>
      <c r="AG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