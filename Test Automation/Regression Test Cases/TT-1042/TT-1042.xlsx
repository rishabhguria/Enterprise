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SetGeneralPreference" sheetId="6" r:id="rId8"/>
    <sheet state="visible" name="GetDailyCash" sheetId="7" r:id="rId9"/>
    <sheet state="visible" name="UpdateMultipleDailyCash" sheetId="8" r:id="rId10"/>
    <sheet state="visible" name="CalculatePTT" sheetId="9" r:id="rId11"/>
    <sheet state="visible" name="CustomOrderTT" sheetId="10" r:id="rId12"/>
    <sheet state="visible" name="LoginClient" sheetId="11" r:id="rId13"/>
    <sheet state="visible" name="OpenRTPNL" sheetId="12" r:id="rId14"/>
    <sheet state="visible" name="VerifyOrder" sheetId="13" r:id="rId15"/>
    <sheet state="visible" name="CheckAccountLevelAggregation" sheetId="14" r:id="rId16"/>
  </sheets>
  <definedNames/>
  <calcPr/>
</workbook>
</file>

<file path=xl/sharedStrings.xml><?xml version="1.0" encoding="utf-8"?>
<sst xmlns="http://schemas.openxmlformats.org/spreadsheetml/2006/main" count="121" uniqueCount="56">
  <si>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</si>
  <si>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</si>
  <si>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</si>
  <si>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</si>
  <si>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</si>
  <si>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</si>
  <si>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</si>
  <si>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</si>
  <si>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</si>
  <si>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</si>
  <si>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</si>
  <si>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</si>
  <si>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</si>
  <si>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AuecVenueExchange</t>
  </si>
  <si>
    <t>Data Format</t>
  </si>
  <si>
    <t>Input Format</t>
  </si>
  <si>
    <t>SetAuecExecutingBroker</t>
  </si>
  <si>
    <t>Allocation1</t>
  </si>
  <si>
    <t>MS</t>
  </si>
  <si>
    <t>Allocation2</t>
  </si>
  <si>
    <t>TradingTicket</t>
  </si>
  <si>
    <t>SetGeneralPreference</t>
  </si>
  <si>
    <t>DailyValuation</t>
  </si>
  <si>
    <t>GetDailyCash</t>
  </si>
  <si>
    <t>UpdateMultipleDailyCash</t>
  </si>
  <si>
    <t>USD</t>
  </si>
  <si>
    <t>PTT</t>
  </si>
  <si>
    <t>CalculatePTT</t>
  </si>
  <si>
    <t>AAPL</t>
  </si>
  <si>
    <t>Increase</t>
  </si>
  <si>
    <t>Percentage</t>
  </si>
  <si>
    <t>Account</t>
  </si>
  <si>
    <t>Allocation1,Allocation2</t>
  </si>
  <si>
    <t>50,50</t>
  </si>
  <si>
    <t>CustomOrderTT</t>
  </si>
  <si>
    <t>Send</t>
  </si>
  <si>
    <t>PranaClient</t>
  </si>
  <si>
    <t>LoginClient</t>
  </si>
  <si>
    <t>Support6</t>
  </si>
  <si>
    <t>Nirvana@1</t>
  </si>
  <si>
    <t>RTPNL</t>
  </si>
  <si>
    <t>OpenRTPNL</t>
  </si>
  <si>
    <t>Nirvana,PM</t>
  </si>
  <si>
    <t>Blotter</t>
  </si>
  <si>
    <t>VerifyOrder</t>
  </si>
  <si>
    <t>Drops</t>
  </si>
  <si>
    <t>Equity</t>
  </si>
  <si>
    <t>Buy</t>
  </si>
  <si>
    <t>New</t>
  </si>
  <si>
    <t>Multiple</t>
  </si>
  <si>
    <t>jpearce</t>
  </si>
  <si>
    <t>PST</t>
  </si>
  <si>
    <t>Day</t>
  </si>
  <si>
    <t>CheckAccountLevelAggregation</t>
  </si>
  <si>
    <t>NewMF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</si>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</sst>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IFERROR(__xludf.DUMMYFUNCTION("""COMPUTED_VALUE"""),"FromTableVenueID")</f>
        <v>FromTableVenueID</v>
      </c>
      <c r="C5" s="28" t="str">
        <f>IFERROR(__xludf.DUMMYFUNCTION("""COMPUTED_VALUE"""),"ToTableVenueID")</f>
        <v>ToTableVenueID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v>1.0</v>
      </c>
      <c r="C6" s="31">
        <v>103.0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13" t="s">
        <v>18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13" t="s">
        <v>18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>TODAY()-1</f>
        <v>45911</v>
      </c>
      <c r="C6" s="34">
        <f>TODAY()</f>
        <v>45912</v>
      </c>
      <c r="D6" s="13"/>
      <c r="E6" s="13"/>
      <c r="F6" s="13"/>
      <c r="G6" s="8"/>
      <c r="H6" s="35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3" t="s">
        <v>25</v>
      </c>
      <c r="D6" s="31">
        <v>100000.0</v>
      </c>
      <c r="E6" s="13"/>
      <c r="F6" s="13"/>
      <c r="G6" s="8"/>
      <c r="H6" s="35"/>
      <c r="I6" s="13"/>
      <c r="J6" s="13"/>
      <c r="K6" s="8"/>
      <c r="L6" s="8"/>
      <c r="M6" s="8"/>
      <c r="N6" s="8"/>
      <c r="O6" s="8"/>
    </row>
    <row r="7" ht="15.75" customHeight="1">
      <c r="A7" s="13"/>
      <c r="B7" s="33" t="s">
        <v>19</v>
      </c>
      <c r="C7" s="33" t="s">
        <v>25</v>
      </c>
      <c r="D7" s="31">
        <v>100000.0</v>
      </c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35"/>
      <c r="C8" s="35"/>
      <c r="D8" s="36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33" t="s">
        <v>30</v>
      </c>
      <c r="E6" s="13">
        <v>15.0</v>
      </c>
      <c r="F6" s="13">
        <v>2.0</v>
      </c>
      <c r="G6" s="13"/>
      <c r="H6" s="35" t="s">
        <v>31</v>
      </c>
      <c r="I6" s="13" t="s">
        <v>32</v>
      </c>
      <c r="J6" s="13"/>
      <c r="K6" s="8"/>
      <c r="L6" s="8"/>
      <c r="M6" s="8"/>
      <c r="N6" s="8"/>
      <c r="O6" s="8"/>
      <c r="P6" s="9" t="s">
        <v>32</v>
      </c>
      <c r="Q6" s="9" t="s">
        <v>33</v>
      </c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2.0</v>
      </c>
      <c r="E6" s="13" t="s">
        <v>35</v>
      </c>
      <c r="F6" s="8"/>
      <c r="G6" s="13" t="b">
        <v>1</v>
      </c>
      <c r="H6" s="8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39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13"/>
      <c r="H6" s="13" t="s">
        <v>45</v>
      </c>
      <c r="I6" s="8"/>
      <c r="J6" s="8"/>
      <c r="K6" s="8"/>
      <c r="L6" s="8"/>
      <c r="M6" s="8"/>
      <c r="N6" s="8"/>
      <c r="O6" s="8"/>
      <c r="AH6" s="9" t="s">
        <v>46</v>
      </c>
      <c r="AI6" s="9" t="s">
        <v>28</v>
      </c>
      <c r="AJ6" s="9" t="s">
        <v>47</v>
      </c>
      <c r="AK6" s="9" t="s">
        <v>48</v>
      </c>
      <c r="AS6" s="9" t="s">
        <v>18</v>
      </c>
      <c r="AT6" s="9" t="s">
        <v>49</v>
      </c>
      <c r="BA6" s="9" t="s">
        <v>50</v>
      </c>
      <c r="BG6" s="9" t="s">
        <v>51</v>
      </c>
      <c r="BH6" s="9" t="s">
        <v>52</v>
      </c>
    </row>
    <row r="7" ht="15.75" customHeight="1">
      <c r="A7" s="13"/>
      <c r="B7" s="13"/>
      <c r="C7" s="8"/>
      <c r="D7" s="13"/>
      <c r="E7" s="32"/>
      <c r="F7" s="8"/>
      <c r="G7" s="13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IFERROR(__xludf.DUMMYFUNCTION("""COMPUTED_VALUE"""),"Fund")</f>
        <v>Fund</v>
      </c>
      <c r="D5" s="28" t="str">
        <f>IFERROR(__xludf.DUMMYFUNCTION("""COMPUTED_VALUE"""),"Market Value")</f>
        <v>Market Value</v>
      </c>
      <c r="E5" s="28" t="str">
        <f>IFERROR(__xludf.DUMMYFUNCTION("""COMPUTED_VALUE"""),"P&amp;L")</f>
        <v>P&amp;L</v>
      </c>
      <c r="F5" s="29" t="str">
        <f>IFERROR(__xludf.DUMMYFUNCTION("""COMPUTED_VALUE"""),"Day P&amp;L")</f>
        <v>Day P&amp;L</v>
      </c>
      <c r="G5" s="28" t="str">
        <f>IFERROR(__xludf.DUMMYFUNCTION("""COMPUTED_VALUE"""),"Exposure")</f>
        <v>Exposure</v>
      </c>
      <c r="H5" s="28" t="str">
        <f>IFERROR(__xludf.DUMMYFUNCTION("""COMPUTED_VALUE"""),"% Gain/Loss Day")</f>
        <v>% Gain/Loss Day</v>
      </c>
      <c r="I5" s="28" t="str">
        <f>IFERROR(__xludf.DUMMYFUNCTION("""COMPUTED_VALUE"""),"% Gain/Loss Cost")</f>
        <v>% Gain/Loss Cost</v>
      </c>
      <c r="J5" s="28" t="str">
        <f>IFERROR(__xludf.DUMMYFUNCTION("""COMPUTED_VALUE"""),"% Market Value")</f>
        <v>% Market Value</v>
      </c>
      <c r="K5" s="28" t="str">
        <f>IFERROR(__xludf.DUMMYFUNCTION("""COMPUTED_VALUE"""),"% Exposure")</f>
        <v>% Exposure</v>
      </c>
      <c r="L5" s="28" t="str">
        <f>IFERROR(__xludf.DUMMYFUNCTION("""COMPUTED_VALUE"""),"Short Exposure")</f>
        <v>Short Exposure</v>
      </c>
      <c r="M5" s="28" t="str">
        <f>IFERROR(__xludf.DUMMYFUNCTION("""COMPUTED_VALUE"""),"% Short Exposure")</f>
        <v>% Short Exposure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IFERROR(__xludf.DUMMYFUNCTION("""COMPUTED_VALUE"""),"Accruals")</f>
        <v>Accruals</v>
      </c>
      <c r="Q5" s="28" t="str">
        <f>IFERROR(__xludf.DUMMYFUNCTION("""COMPUTED_VALUE"""),"Cash")</f>
        <v>Cash</v>
      </c>
      <c r="R5" s="28" t="str">
        <f>IFERROR(__xludf.DUMMYFUNCTION("""COMPUTED_VALUE"""),"NAV")</f>
        <v>NAV</v>
      </c>
      <c r="S5" s="28" t="str">
        <f>IFERROR(__xludf.DUMMYFUNCTION("""COMPUTED_VALUE"""),"Testing Type")</f>
        <v>Testing Type</v>
      </c>
      <c r="T5" s="30" t="str">
        <f>IFERROR(__xludf.DUMMYFUNCTION("""COMPUTED_VALUE"""),"Testing Column")</f>
        <v>Testing Column</v>
      </c>
      <c r="U5" s="30" t="str">
        <f>IFERROR(__xludf.DUMMYFUNCTION("""COMPUTED_VALUE"""),"Testing Col Value")</f>
        <v>Testing Col Value</v>
      </c>
      <c r="V5" s="30" t="str">
        <f>IFERROR(__xludf.DUMMYFUNCTION("""COMPUTED_VALUE"""),"DuplicateCountOnUI")</f>
        <v>DuplicateCountOnUI</v>
      </c>
      <c r="W5" s="30" t="str">
        <f>IFERROR(__xludf.DUMMYFUNCTION("""COMPUTED_VALUE"""),"DuplicateRow")</f>
        <v>DuplicateRow</v>
      </c>
      <c r="X5" s="30" t="str">
        <f>IFERROR(__xludf.DUMMYFUNCTION("""COMPUTED_VALUE"""),"TabName")</f>
        <v>TabName</v>
      </c>
      <c r="Y5" s="30" t="str">
        <f>IFERROR(__xludf.DUMMYFUNCTION("""COMPUTED_VALUE"""),"GridDataWidgetName")</f>
        <v>GridDataWidgetName</v>
      </c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54</v>
      </c>
      <c r="D6" s="13"/>
      <c r="E6" s="32"/>
      <c r="F6" s="8"/>
      <c r="G6" s="13">
        <v>0.0</v>
      </c>
      <c r="H6" s="8"/>
      <c r="I6" s="8"/>
      <c r="J6" s="8"/>
      <c r="K6" s="13">
        <v>0.0</v>
      </c>
      <c r="L6" s="8"/>
      <c r="M6" s="8"/>
      <c r="N6" s="8"/>
      <c r="O6" s="8"/>
      <c r="Q6" s="9">
        <v>100000.0</v>
      </c>
      <c r="R6" s="9">
        <v>100000.0</v>
      </c>
    </row>
    <row r="7" ht="15.75" customHeight="1">
      <c r="A7" s="8"/>
      <c r="B7" s="13" t="s">
        <v>19</v>
      </c>
      <c r="C7" s="13" t="s">
        <v>55</v>
      </c>
      <c r="D7" s="8"/>
      <c r="E7" s="8"/>
      <c r="F7" s="8"/>
      <c r="G7" s="13">
        <v>0.0</v>
      </c>
      <c r="H7" s="8"/>
      <c r="I7" s="8"/>
      <c r="J7" s="8"/>
      <c r="K7" s="13">
        <v>0.0</v>
      </c>
      <c r="L7" s="8"/>
      <c r="M7" s="8"/>
      <c r="N7" s="8"/>
      <c r="O7" s="8"/>
      <c r="Q7" s="9">
        <v>100000.0</v>
      </c>
      <c r="R7" s="9">
        <v>100000.0</v>
      </c>
    </row>
    <row r="8" ht="15.75" customHeight="1">
      <c r="A8" s="8"/>
      <c r="B8" s="8"/>
      <c r="C8" s="8"/>
      <c r="D8" s="8"/>
      <c r="E8" s="8"/>
      <c r="F8" s="8"/>
      <c r="G8" s="13"/>
      <c r="H8" s="8"/>
      <c r="I8" s="8"/>
      <c r="J8" s="8"/>
      <c r="K8" s="13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