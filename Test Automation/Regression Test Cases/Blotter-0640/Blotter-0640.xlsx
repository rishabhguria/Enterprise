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roupTrades" sheetId="5" r:id="rId7"/>
    <sheet state="visible" name="SelectTradeOnOrderGrid" sheetId="6" r:id="rId8"/>
    <sheet state="visible" name="AllocateFromBlotter" sheetId="7" r:id="rId9"/>
    <sheet state="visible" name="GetDataFromAuditTrail" sheetId="8" r:id="rId10"/>
    <sheet state="visible" name="VerifyAuditTrail" sheetId="9" r:id="rId11"/>
  </sheets>
  <definedNames/>
  <calcPr/>
</workbook>
</file>

<file path=xl/sharedStrings.xml><?xml version="1.0" encoding="utf-8"?>
<sst xmlns="http://schemas.openxmlformats.org/spreadsheetml/2006/main" count="98" uniqueCount="37">
  <si>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</si>
  <si>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</si>
  <si>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</si>
  <si>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</si>
  <si>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</si>
  <si>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</si>
  <si>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</si>
  <si>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</si>
  <si>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</si>
  <si>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</si>
  <si>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</si>
  <si>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</si>
  <si>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</si>
  <si>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</si>
  <si>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</si>
  <si>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</si>
  <si>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</si>
  <si>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</si>
  <si>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</si>
  <si>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Allocation</t>
  </si>
  <si>
    <t>GroupTrades</t>
  </si>
  <si>
    <t>Blotter</t>
  </si>
  <si>
    <t>SelectTradeOnOrderGrid</t>
  </si>
  <si>
    <t>Filled</t>
  </si>
  <si>
    <t>AllocateFromBlotter</t>
  </si>
  <si>
    <t>Allocation1</t>
  </si>
  <si>
    <t>Allocation2</t>
  </si>
  <si>
    <t>AuditTrail</t>
  </si>
  <si>
    <t>GetDataFromAuditTrail</t>
  </si>
  <si>
    <t>VerifyAuditTrail</t>
  </si>
  <si>
    <t>Trades Grouped</t>
  </si>
  <si>
    <t>Trades Grouped(Deleted)</t>
  </si>
  <si>
    <t>jpearce</t>
  </si>
  <si>
    <t>Trades Grouped(Created)</t>
  </si>
  <si>
    <t>Trades Allocated/Reallocated</t>
  </si>
  <si>
    <t>Grouped order allocated from Blotter</t>
  </si>
  <si>
    <t>Samsara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</si>
</sst>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6" fontId="14" numFmtId="14" xfId="0" applyAlignment="1" applyFill="1" applyFont="1" applyNumberFormat="1">
      <alignment horizontal="left"/>
    </xf>
    <xf borderId="5" fillId="5" fontId="4" numFmtId="0" xfId="0" applyAlignment="1" applyBorder="1" applyFont="1">
      <alignment shrinkToFit="0" wrapText="0"/>
    </xf>
    <xf borderId="5" fillId="5" fontId="4" numFmtId="0" xfId="0" applyAlignment="1" applyBorder="1" applyFont="1">
      <alignment readingOrder="0" shrinkToFit="0" wrapText="0"/>
    </xf>
    <xf borderId="6" fillId="7" fontId="15" numFmtId="0" xfId="0" applyAlignment="1" applyBorder="1" applyFill="1" applyFont="1">
      <alignment horizontal="right" readingOrder="0" shrinkToFit="0" vertical="top" wrapText="0"/>
    </xf>
    <xf borderId="6" fillId="7" fontId="15" numFmtId="0" xfId="0" applyAlignment="1" applyBorder="1" applyFont="1">
      <alignment horizontal="right" shrinkToFit="0" vertical="top" wrapText="0"/>
    </xf>
    <xf borderId="0" fillId="6" fontId="15" numFmtId="0" xfId="0" applyAlignment="1" applyFont="1">
      <alignment horizontal="right" readingOrder="0" shrinkToFit="0" vertical="bottom" wrapText="0"/>
    </xf>
    <xf borderId="6" fillId="8" fontId="15" numFmtId="0" xfId="0" applyAlignment="1" applyBorder="1" applyFill="1" applyFont="1">
      <alignment horizontal="right" readingOrder="0" shrinkToFit="0" vertical="top" wrapText="0"/>
    </xf>
    <xf borderId="6" fillId="8" fontId="15" numFmtId="0" xfId="0" applyAlignment="1" applyBorder="1" applyFon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100.0</v>
      </c>
      <c r="E7" s="31"/>
      <c r="F7" s="13" t="s">
        <v>18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GroupTrades!$4:$4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25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3" t="s">
        <v>26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</f>
        <v>45750</v>
      </c>
      <c r="C6" s="33">
        <f t="shared" si="1"/>
        <v>45750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9.38"/>
    <col customWidth="1" min="7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34" t="str">
        <f>IFERROR(__xludf.DUMMYFUNCTION("""COMPUTED_VALUE"""),"Symbol")</f>
        <v>Symbol</v>
      </c>
      <c r="D5" s="34" t="str">
        <f>IFERROR(__xludf.DUMMYFUNCTION("""COMPUTED_VALUE"""),"Order Side")</f>
        <v>Order Side</v>
      </c>
      <c r="E5" s="34" t="str">
        <f>IFERROR(__xludf.DUMMYFUNCTION("""COMPUTED_VALUE"""),"Account Name")</f>
        <v>Account Name</v>
      </c>
      <c r="F5" s="35" t="str">
        <f>IFERROR(__xludf.DUMMYFUNCTION("""COMPUTED_VALUE"""),"Action")</f>
        <v>Action</v>
      </c>
      <c r="G5" s="34" t="str">
        <f>IFERROR(__xludf.DUMMYFUNCTION("""COMPUTED_VALUE"""),"Original Value")</f>
        <v>Original Value</v>
      </c>
      <c r="H5" s="34" t="str">
        <f>IFERROR(__xludf.DUMMYFUNCTION("""COMPUTED_VALUE"""),"New Value")</f>
        <v>New Value</v>
      </c>
      <c r="I5" s="34" t="str">
        <f>IFERROR(__xludf.DUMMYFUNCTION("""COMPUTED_VALUE"""),"Comment")</f>
        <v>Comment</v>
      </c>
      <c r="J5" s="34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34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6" t="s">
        <v>16</v>
      </c>
      <c r="D6" s="36" t="s">
        <v>17</v>
      </c>
      <c r="E6" s="37"/>
      <c r="F6" s="36" t="s">
        <v>30</v>
      </c>
      <c r="G6" s="36">
        <v>100.0</v>
      </c>
      <c r="H6" s="36">
        <v>0.0</v>
      </c>
      <c r="I6" s="36" t="s">
        <v>31</v>
      </c>
      <c r="J6" s="36" t="s">
        <v>32</v>
      </c>
      <c r="K6" s="8"/>
      <c r="L6" s="8"/>
      <c r="M6" s="8"/>
      <c r="N6" s="8"/>
      <c r="O6" s="8"/>
      <c r="P6" s="38" t="s">
        <v>19</v>
      </c>
    </row>
    <row r="7" ht="15.75" customHeight="1">
      <c r="A7" s="8"/>
      <c r="B7" s="8"/>
      <c r="C7" s="39" t="s">
        <v>16</v>
      </c>
      <c r="D7" s="39" t="s">
        <v>17</v>
      </c>
      <c r="E7" s="40"/>
      <c r="F7" s="39" t="s">
        <v>30</v>
      </c>
      <c r="G7" s="39">
        <v>100.0</v>
      </c>
      <c r="H7" s="39">
        <v>0.0</v>
      </c>
      <c r="I7" s="39" t="s">
        <v>31</v>
      </c>
      <c r="J7" s="39" t="s">
        <v>32</v>
      </c>
      <c r="K7" s="8"/>
      <c r="L7" s="8"/>
      <c r="M7" s="8"/>
      <c r="N7" s="8"/>
      <c r="O7" s="8"/>
      <c r="P7" s="38" t="s">
        <v>19</v>
      </c>
    </row>
    <row r="8" ht="15.75" customHeight="1">
      <c r="A8" s="8"/>
      <c r="B8" s="8"/>
      <c r="C8" s="36" t="s">
        <v>16</v>
      </c>
      <c r="D8" s="36" t="s">
        <v>17</v>
      </c>
      <c r="E8" s="37"/>
      <c r="F8" s="36" t="s">
        <v>30</v>
      </c>
      <c r="G8" s="36">
        <v>0.0</v>
      </c>
      <c r="H8" s="36">
        <v>200.0</v>
      </c>
      <c r="I8" s="36" t="s">
        <v>33</v>
      </c>
      <c r="J8" s="36" t="s">
        <v>32</v>
      </c>
      <c r="K8" s="8"/>
      <c r="L8" s="8"/>
      <c r="M8" s="8"/>
      <c r="N8" s="8"/>
      <c r="O8" s="8"/>
      <c r="P8" s="38" t="s">
        <v>19</v>
      </c>
    </row>
    <row r="9" ht="15.75" customHeight="1">
      <c r="A9" s="8"/>
      <c r="B9" s="8"/>
      <c r="C9" s="39" t="s">
        <v>16</v>
      </c>
      <c r="D9" s="39" t="s">
        <v>17</v>
      </c>
      <c r="E9" s="39" t="s">
        <v>26</v>
      </c>
      <c r="F9" s="39" t="s">
        <v>34</v>
      </c>
      <c r="G9" s="39">
        <v>0.0</v>
      </c>
      <c r="H9" s="39">
        <v>100.0</v>
      </c>
      <c r="I9" s="39" t="s">
        <v>35</v>
      </c>
      <c r="J9" s="39" t="s">
        <v>36</v>
      </c>
      <c r="K9" s="8"/>
      <c r="L9" s="8"/>
      <c r="M9" s="8"/>
      <c r="N9" s="8"/>
      <c r="O9" s="8"/>
      <c r="P9" s="9" t="s">
        <v>21</v>
      </c>
    </row>
    <row r="10" ht="15.75" customHeight="1">
      <c r="A10" s="8"/>
      <c r="B10" s="8"/>
      <c r="C10" s="36" t="s">
        <v>16</v>
      </c>
      <c r="D10" s="36" t="s">
        <v>17</v>
      </c>
      <c r="E10" s="36" t="s">
        <v>25</v>
      </c>
      <c r="F10" s="36" t="s">
        <v>34</v>
      </c>
      <c r="G10" s="36">
        <v>0.0</v>
      </c>
      <c r="H10" s="36">
        <v>100.0</v>
      </c>
      <c r="I10" s="36" t="s">
        <v>35</v>
      </c>
      <c r="J10" s="36" t="s">
        <v>36</v>
      </c>
      <c r="K10" s="8"/>
      <c r="L10" s="8"/>
      <c r="M10" s="8"/>
      <c r="N10" s="8"/>
      <c r="O10" s="8"/>
      <c r="P10" s="9" t="s">
        <v>21</v>
      </c>
    </row>
    <row r="11" ht="15.75" customHeight="1">
      <c r="A11" s="8"/>
      <c r="B11" s="8"/>
      <c r="K11" s="8"/>
      <c r="L11" s="8"/>
      <c r="M11" s="8"/>
      <c r="N11" s="8"/>
      <c r="O11" s="8"/>
    </row>
    <row r="12" ht="15.75" customHeight="1">
      <c r="A12" s="8"/>
      <c r="B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