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SendtoStaging" sheetId="11" r:id="rId13"/>
    <sheet state="visible" name="MultiTradingTicketFromBlotter" sheetId="12" r:id="rId14"/>
    <sheet state="visible" name="BulkUpdateUsingMTT" sheetId="13" r:id="rId15"/>
    <sheet state="visible" name="VerifyMTT" sheetId="14" r:id="rId16"/>
  </sheets>
  <definedNames/>
  <calcPr/>
</workbook>
</file>

<file path=xl/sharedStrings.xml><?xml version="1.0" encoding="utf-8"?>
<sst xmlns="http://schemas.openxmlformats.org/spreadsheetml/2006/main" count="118" uniqueCount="39">
  <si>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</si>
  <si>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</si>
  <si>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</si>
  <si>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</si>
  <si>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</si>
  <si>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</si>
  <si>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</si>
  <si>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</si>
  <si>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</si>
  <si>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</si>
  <si>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</si>
  <si>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</si>
  <si>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</si>
  <si>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</si>
  <si>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</si>
  <si>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</si>
  <si>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TSLA</t>
  </si>
  <si>
    <t>Buy</t>
  </si>
  <si>
    <t>INFY</t>
  </si>
  <si>
    <t>PricingInput</t>
  </si>
  <si>
    <t>DailyValuation</t>
  </si>
  <si>
    <t>GetDailyCash</t>
  </si>
  <si>
    <t>UpdateMultipleDailyCash</t>
  </si>
  <si>
    <t>Allocation1</t>
  </si>
  <si>
    <t>USD</t>
  </si>
  <si>
    <t>Rebalancer</t>
  </si>
  <si>
    <t>FetchAccountPositions</t>
  </si>
  <si>
    <t>AddCash</t>
  </si>
  <si>
    <t>RunRebalance</t>
  </si>
  <si>
    <t>Nearest Round Off</t>
  </si>
  <si>
    <t>SendtoStaging</t>
  </si>
  <si>
    <t>Blotter</t>
  </si>
  <si>
    <t>MultiTradingTicketFromBlotter</t>
  </si>
  <si>
    <t>Equity</t>
  </si>
  <si>
    <t>New</t>
  </si>
  <si>
    <t>MultiTradingTicket</t>
  </si>
  <si>
    <t>BulkUpdateUsingMTT</t>
  </si>
  <si>
    <t>MS</t>
  </si>
  <si>
    <t>VerifyMTT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</si>
</sst>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14" numFmtId="14" xfId="0" applyAlignment="1" applyFont="1" applyNumberFormat="1">
      <alignment horizontal="right" vertical="bottom"/>
    </xf>
    <xf borderId="0" fillId="0" fontId="14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/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18</v>
      </c>
      <c r="C7" s="32" t="s">
        <v>17</v>
      </c>
      <c r="D7" s="34">
        <v>100.0</v>
      </c>
      <c r="E7" s="32"/>
      <c r="F7" s="32"/>
      <c r="G7" s="32"/>
      <c r="H7" s="32"/>
      <c r="I7" s="32"/>
      <c r="J7" s="34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6">
        <f>TODAY()-1</f>
        <v>45071</v>
      </c>
      <c r="C6" s="36">
        <f>TODAY()</f>
        <v>45072</v>
      </c>
      <c r="D6" s="35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>
        <f>TODAY()-1</f>
        <v>45071</v>
      </c>
      <c r="C6" s="38">
        <f>TODAY()</f>
        <v>45072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4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2" t="s">
        <v>24</v>
      </c>
      <c r="D6" s="33">
        <v>10000.0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v>10000.0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29</v>
      </c>
      <c r="C6" s="39" t="b">
        <v>1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2" t="s">
        <v>17</v>
      </c>
      <c r="D6" s="31" t="s">
        <v>16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23</v>
      </c>
      <c r="C7" s="32" t="s">
        <v>17</v>
      </c>
      <c r="D7" s="32" t="s">
        <v>18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7"/>
      <c r="D6" s="35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 t="s">
        <v>33</v>
      </c>
      <c r="AI6" s="37" t="s">
        <v>16</v>
      </c>
      <c r="AJ6" s="37" t="s">
        <v>17</v>
      </c>
      <c r="AK6" s="37" t="s">
        <v>34</v>
      </c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 t="s">
        <v>33</v>
      </c>
      <c r="AI7" s="37" t="s">
        <v>18</v>
      </c>
      <c r="AJ7" s="37" t="s">
        <v>17</v>
      </c>
      <c r="AK7" s="37" t="s">
        <v>34</v>
      </c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IFERROR(__xludf.DUMMYFUNCTION("""COMPUTED_VALUE"""),"ClearOldCA")</f>
        <v>ClearOldCA</v>
      </c>
      <c r="AL5" s="30" t="str">
        <f>IFERROR(__xludf.DUMMYFUNCTION("""COMPUTED_VALUE"""),"Custom Account")</f>
        <v>Custom Account</v>
      </c>
      <c r="AM5" s="30" t="str">
        <f>IFERROR(__xludf.DUMMYFUNCTION("""COMPUTED_VALUE"""),"Custom Account %")</f>
        <v>Custom Account %</v>
      </c>
      <c r="AN5" s="30" t="str">
        <f>IFERROR(__xludf.DUMMYFUNCTION("""COMPUTED_VALUE"""),"ClickOnCommit")</f>
        <v>ClickOnCommit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 t="s">
        <v>37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 t="s">
        <v>37</v>
      </c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BulkUpdateUsingMTT!$4:$4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IFERROR(__xludf.DUMMYFUNCTION("""COMPUTED_VALUE"""),"ImportFileName")</f>
        <v>ImportFileName</v>
      </c>
      <c r="AH5" s="30" t="str">
        <f>IFERROR(__xludf.DUMMYFUNCTION("""COMPUTED_VALUE"""),"FX Operator")</f>
        <v>FX Operator</v>
      </c>
      <c r="AI5" s="30" t="str">
        <f>IFERROR(__xludf.DUMMYFUNCTION("""COMPUTED_VALUE"""),"Algo Type")</f>
        <v>Algo Type</v>
      </c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1"/>
      <c r="E6" s="32"/>
      <c r="F6" s="32"/>
      <c r="G6" s="32" t="s">
        <v>37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18</v>
      </c>
      <c r="C7" s="32" t="s">
        <v>17</v>
      </c>
      <c r="D7" s="32"/>
      <c r="E7" s="32"/>
      <c r="F7" s="32"/>
      <c r="G7" s="32" t="s">
        <v>37</v>
      </c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