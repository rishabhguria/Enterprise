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AddCalculatedPreferences" sheetId="5" r:id="rId7"/>
    <sheet state="visible" name="SetAccountValueCalculatedPref" sheetId="6" r:id="rId8"/>
    <sheet state="visible" name="CalculatePTT" sheetId="7" r:id="rId9"/>
    <sheet state="visible" name="SetDefaultRuleCalculatedPref" sheetId="8" r:id="rId10"/>
    <sheet state="visible" name="VerifyPTT" sheetId="9" r:id="rId11"/>
    <sheet state="visible" name="GetDailyCash" sheetId="10" r:id="rId12"/>
    <sheet state="visible" name="UpdateMultipleDailyCash" sheetId="11" r:id="rId13"/>
  </sheets>
  <definedNames/>
  <calcPr/>
</workbook>
</file>

<file path=xl/sharedStrings.xml><?xml version="1.0" encoding="utf-8"?>
<sst xmlns="http://schemas.openxmlformats.org/spreadsheetml/2006/main" count="89" uniqueCount="38">
  <si>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</si>
  <si>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</si>
  <si>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</si>
  <si>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</si>
  <si>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</si>
  <si>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</si>
  <si>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</si>
  <si>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</si>
  <si>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</si>
  <si>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</si>
  <si>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</si>
  <si>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</si>
  <si>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</si>
  <si>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</si>
  <si>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</si>
  <si>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</si>
  <si>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Allocation</t>
  </si>
  <si>
    <t>AddCalculatedPreferences</t>
  </si>
  <si>
    <t>P1</t>
  </si>
  <si>
    <t>SetAccountValueCalculatedPref</t>
  </si>
  <si>
    <t>Allocation1</t>
  </si>
  <si>
    <t>Allocation2</t>
  </si>
  <si>
    <t>PTT</t>
  </si>
  <si>
    <t>CalculatePTT</t>
  </si>
  <si>
    <t>AAPL</t>
  </si>
  <si>
    <t>Decrease</t>
  </si>
  <si>
    <t>Amt</t>
  </si>
  <si>
    <t>No</t>
  </si>
  <si>
    <t>Allocation Preference</t>
  </si>
  <si>
    <t>SetDefaultRuleCalculatedPref</t>
  </si>
  <si>
    <t>Trade Quantity</t>
  </si>
  <si>
    <t>Current Preference</t>
  </si>
  <si>
    <t>VerifyPTT</t>
  </si>
  <si>
    <t>Sell short</t>
  </si>
  <si>
    <t>DailyValuation</t>
  </si>
  <si>
    <t>GetDailyCash</t>
  </si>
  <si>
    <t>UpdateMultipleDailyCash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</si>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</sst>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IFERROR(__xludf.DUMMYFUNCTION("""COMPUTED_VALUE"""),"NavLock")</f>
        <v>NavLock</v>
      </c>
      <c r="B991" t="str">
        <f>IFERROR(__xludf.DUMMYFUNCTION("""COMPUTED_VALUE"""),"ActiononNavLock")</f>
        <v>ActiononNavLock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IFERROR(__xludf.DUMMYFUNCTION("""COMPUTED_VALUE"""),"Allocation")</f>
        <v>Allocation</v>
      </c>
      <c r="B992" t="str">
        <f>IFERROR(__xludf.DUMMYFUNCTION("""COMPUTED_VALUE"""),"ActiononFixPref")</f>
        <v>ActiononFixPref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IFERROR(__xludf.DUMMYFUNCTION("""COMPUTED_VALUE"""),"Blotter")</f>
        <v>Blotter</v>
      </c>
      <c r="B993" t="str">
        <f>IFERROR(__xludf.DUMMYFUNCTION("""COMPUTED_VALUE"""),"SelectWorkSubsOnBlotter")</f>
        <v>SelectWorkSubsOnBlotter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IFERROR(__xludf.DUMMYFUNCTION("""COMPUTED_VALUE"""),"Closing")</f>
        <v>Closing</v>
      </c>
      <c r="B994" t="str">
        <f>IFERROR(__xludf.DUMMYFUNCTION("""COMPUTED_VALUE"""),"VerifyAccountUnexpired")</f>
        <v>VerifyAccountUnexpired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IFERROR(__xludf.DUMMYFUNCTION("""COMPUTED_VALUE"""),"PM")</f>
        <v>PM</v>
      </c>
      <c r="B995" t="str">
        <f>IFERROR(__xludf.DUMMYFUNCTION("""COMPUTED_VALUE"""),"ToolBarActiononPM")</f>
        <v>ToolBarActiononPM</v>
      </c>
      <c r="C995" t="str">
        <f>IFERROR(__xludf.DUMMYFUNCTION("""COMPUTED_VALUE"""),"11EX1Ln-BQAtx9NTd9zfcaia52FGNdZENDW2kwMCJ20HQ")</f>
        <v>11EX1Ln-BQAtx9NTd9zfcaia52FGNdZENDW2kwMCJ20HQ</v>
      </c>
    </row>
    <row r="996" ht="15.75" customHeight="1">
      <c r="A996" t="str">
        <f>IFERROR(__xludf.DUMMYFUNCTION("""COMPUTED_VALUE"""),"Allocation")</f>
        <v>Allocation</v>
      </c>
      <c r="B996" t="str">
        <f>IFERROR(__xludf.DUMMYFUNCTION("""COMPUTED_VALUE"""),"EditAttRenaming")</f>
        <v>EditAttRenaming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IFERROR(__xludf.DUMMYFUNCTION("""COMPUTED_VALUE"""),"ActiononColumnChooser")</f>
        <v>ActiononColumnChooser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IFERROR(__xludf.DUMMYFUNCTION("""COMPUTED_VALUE"""),"VerifyColumnChooser")</f>
        <v>VerifyColumnChooser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IFERROR(__xludf.DUMMYFUNCTION("""COMPUTED_VALUE"""),"EditColumnChooser")</f>
        <v>EditColumnChooser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IFERROR(__xludf.DUMMYFUNCTION("""COMPUTED_VALUE"""),"Unknown")</f>
        <v>Unknown</v>
      </c>
      <c r="B1000" t="str">
        <f>IFERROR(__xludf.DUMMYFUNCTION("""COMPUTED_VALUE"""),"OpenColumnChooser")</f>
        <v>OpenColumnChooser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18</v>
      </c>
      <c r="C6" s="32" t="s">
        <v>20</v>
      </c>
      <c r="D6" s="33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18</v>
      </c>
      <c r="C7" s="32" t="s">
        <v>21</v>
      </c>
      <c r="D7" s="34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 t="s">
        <v>26</v>
      </c>
      <c r="E6" s="12">
        <v>100000.0</v>
      </c>
      <c r="F6" s="12">
        <v>2.0</v>
      </c>
      <c r="G6" s="12" t="s">
        <v>27</v>
      </c>
      <c r="H6" s="31" t="s">
        <v>28</v>
      </c>
      <c r="I6" s="32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30</v>
      </c>
      <c r="C6" s="35"/>
      <c r="D6" s="31" t="s">
        <v>31</v>
      </c>
      <c r="E6" s="35"/>
      <c r="F6" s="35"/>
      <c r="G6" s="36" t="b">
        <v>1</v>
      </c>
      <c r="H6" s="12" t="s">
        <v>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5"/>
      <c r="D7" s="35"/>
      <c r="E7" s="35"/>
      <c r="F7" s="35"/>
      <c r="G7" s="35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/>
      <c r="D6" s="12"/>
      <c r="E6" s="30"/>
      <c r="F6" s="8"/>
      <c r="G6" s="8"/>
      <c r="H6" s="8"/>
      <c r="I6" s="12">
        <v>25000.0</v>
      </c>
      <c r="J6" s="12">
        <v>-25000.0</v>
      </c>
      <c r="K6" s="12">
        <v>-50000.0</v>
      </c>
      <c r="L6" s="12">
        <v>50.0</v>
      </c>
      <c r="M6" s="8"/>
      <c r="N6" s="8"/>
      <c r="O6" s="8"/>
      <c r="R6" s="9" t="s">
        <v>33</v>
      </c>
    </row>
    <row r="7" ht="15.75" customHeight="1">
      <c r="A7" s="8"/>
      <c r="B7" s="12" t="s">
        <v>21</v>
      </c>
      <c r="C7" s="12"/>
      <c r="D7" s="12"/>
      <c r="E7" s="8"/>
      <c r="F7" s="8"/>
      <c r="G7" s="8"/>
      <c r="H7" s="8"/>
      <c r="I7" s="12">
        <v>25000.0</v>
      </c>
      <c r="J7" s="12">
        <v>-25000.0</v>
      </c>
      <c r="K7" s="12">
        <v>-50000.0</v>
      </c>
      <c r="L7" s="12">
        <v>50.0</v>
      </c>
      <c r="M7" s="8"/>
      <c r="N7" s="8"/>
      <c r="O7" s="8"/>
      <c r="R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>TODAY()-1</f>
        <v>45851</v>
      </c>
      <c r="C6" s="38">
        <f>TODAY()</f>
        <v>45852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37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 t="s">
        <v>37</v>
      </c>
      <c r="D7" s="12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