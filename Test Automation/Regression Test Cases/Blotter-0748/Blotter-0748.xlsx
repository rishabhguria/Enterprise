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BasketPermission" sheetId="4" r:id="rId6"/>
    <sheet state="visible" name="GetDailyCash" sheetId="5" r:id="rId7"/>
    <sheet state="visible" name="UpdateMultipleDailyCash" sheetId="6" r:id="rId8"/>
    <sheet state="visible" name="CreateOrderPTT" sheetId="7" r:id="rId9"/>
    <sheet state="visible" name="CreateOrderPTT1" sheetId="8" r:id="rId10"/>
    <sheet state="visible" name="CreateOrderPTT2" sheetId="9" r:id="rId11"/>
    <sheet state="visible" name="TradeNewSubOrder" sheetId="10" r:id="rId12"/>
    <sheet state="visible" name="CreateNewSubOrder" sheetId="11" r:id="rId13"/>
    <sheet state="visible" name="SelectTradeOnOrderGrid" sheetId="12" r:id="rId14"/>
    <sheet state="visible" name="RightClickAndClickOperations" sheetId="13" r:id="rId15"/>
    <sheet state="visible" name="CustomOrderTT" sheetId="14" r:id="rId16"/>
    <sheet state="visible" name="AcknowledgeTrade" sheetId="15" r:id="rId17"/>
    <sheet state="visible" name="ExecuteTrade" sheetId="16" r:id="rId18"/>
    <sheet state="visible" name="TradeNewSubOrder1" sheetId="17" r:id="rId19"/>
    <sheet state="visible" name="CreateNewSubOrder1" sheetId="18" r:id="rId20"/>
    <sheet state="visible" name="SetTTCompliancePreference" sheetId="19" r:id="rId21"/>
    <sheet state="visible" name="VerifyOrder" sheetId="20" r:id="rId22"/>
  </sheets>
  <definedNames/>
  <calcPr/>
</workbook>
</file>

<file path=xl/sharedStrings.xml><?xml version="1.0" encoding="utf-8"?>
<sst xmlns="http://schemas.openxmlformats.org/spreadsheetml/2006/main" count="189" uniqueCount="59">
  <si>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</si>
  <si>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</si>
  <si>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</si>
  <si>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</si>
  <si>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</si>
  <si>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</si>
  <si>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</si>
  <si>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</si>
  <si>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</si>
  <si>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</si>
  <si>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</si>
  <si>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</si>
  <si>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</si>
  <si>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BasketPermission</t>
  </si>
  <si>
    <t>Data Format</t>
  </si>
  <si>
    <t>Input Format</t>
  </si>
  <si>
    <t>17,35</t>
  </si>
  <si>
    <t>DailyValuation</t>
  </si>
  <si>
    <t>GetDailyCash</t>
  </si>
  <si>
    <t>UpdateMultipleDailyCash</t>
  </si>
  <si>
    <t>Allocation1</t>
  </si>
  <si>
    <t>USD</t>
  </si>
  <si>
    <t>Allocation2</t>
  </si>
  <si>
    <t>PTT</t>
  </si>
  <si>
    <t>CreateOrderPTT</t>
  </si>
  <si>
    <t>SAP</t>
  </si>
  <si>
    <t>Decrease</t>
  </si>
  <si>
    <t>BPS</t>
  </si>
  <si>
    <t>Yes</t>
  </si>
  <si>
    <t>MSFT</t>
  </si>
  <si>
    <t>Increase</t>
  </si>
  <si>
    <t>AAPL</t>
  </si>
  <si>
    <t>Set</t>
  </si>
  <si>
    <t>Allocation1,Allocation2</t>
  </si>
  <si>
    <t>Blotter</t>
  </si>
  <si>
    <t>TradeNewSubOrder</t>
  </si>
  <si>
    <t>TradingTicket</t>
  </si>
  <si>
    <t>CreateNewSubOrder</t>
  </si>
  <si>
    <t>SelectTradeOnOrderGrid</t>
  </si>
  <si>
    <t>Unknown</t>
  </si>
  <si>
    <t>RightClickAndClickOperations</t>
  </si>
  <si>
    <t>Trade (New Sub)</t>
  </si>
  <si>
    <t>Order</t>
  </si>
  <si>
    <t>CustomOrderTT</t>
  </si>
  <si>
    <t>Send</t>
  </si>
  <si>
    <t>Simulator</t>
  </si>
  <si>
    <t>AcknowledgeTrade</t>
  </si>
  <si>
    <t>ExecuteTrade</t>
  </si>
  <si>
    <t>SetTTCompliancePreference</t>
  </si>
  <si>
    <t>VerifyOrder</t>
  </si>
  <si>
    <t>jpearce</t>
  </si>
  <si>
    <t>Equity</t>
  </si>
  <si>
    <t>Sell short</t>
  </si>
  <si>
    <t>Filled</t>
  </si>
  <si>
    <t>MS</t>
  </si>
  <si>
    <t>PST</t>
  </si>
  <si>
    <t>Buy</t>
  </si>
  <si>
    <t>PartiallyFilled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</si>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</sst>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FE9F4D"/>
      <name val="Calibri"/>
    </font>
    <font>
      <sz val="11.0"/>
      <color rgb="FF9DC8ED"/>
      <name val="Calibri"/>
    </font>
    <font>
      <sz val="11.0"/>
      <color rgb="FF35C759"/>
      <name val="Calibri"/>
    </font>
    <font>
      <sz val="11.0"/>
      <color rgb="FFEBDAFE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6" fontId="3" numFmtId="0" xfId="0" applyAlignment="1" applyBorder="1" applyFill="1" applyFont="1">
      <alignment vertical="bottom"/>
    </xf>
    <xf borderId="5" fillId="7" fontId="14" numFmtId="0" xfId="0" applyAlignment="1" applyBorder="1" applyFill="1" applyFont="1">
      <alignment vertical="bottom"/>
    </xf>
    <xf borderId="5" fillId="7" fontId="14" numFmtId="0" xfId="0" applyAlignment="1" applyBorder="1" applyFont="1">
      <alignment readingOrder="0" shrinkToFit="0" vertical="bottom" wrapText="0"/>
    </xf>
    <xf borderId="5" fillId="7" fontId="15" numFmtId="0" xfId="0" applyAlignment="1" applyBorder="1" applyFont="1">
      <alignment readingOrder="0" shrinkToFit="0" vertical="bottom" wrapText="0"/>
    </xf>
    <xf borderId="5" fillId="7" fontId="16" numFmtId="0" xfId="0" applyAlignment="1" applyBorder="1" applyFont="1">
      <alignment readingOrder="0" shrinkToFit="0" vertical="bottom" wrapText="0"/>
    </xf>
    <xf borderId="5" fillId="7" fontId="14" numFmtId="0" xfId="0" applyAlignment="1" applyBorder="1" applyFont="1">
      <alignment horizontal="right" readingOrder="0" shrinkToFit="0" vertical="bottom" wrapText="0"/>
    </xf>
    <xf borderId="5" fillId="8" fontId="14" numFmtId="0" xfId="0" applyAlignment="1" applyBorder="1" applyFill="1" applyFont="1">
      <alignment vertical="bottom"/>
    </xf>
    <xf borderId="5" fillId="8" fontId="14" numFmtId="0" xfId="0" applyAlignment="1" applyBorder="1" applyFont="1">
      <alignment readingOrder="0" shrinkToFit="0" vertical="bottom" wrapText="0"/>
    </xf>
    <xf borderId="5" fillId="8" fontId="17" numFmtId="0" xfId="0" applyAlignment="1" applyBorder="1" applyFont="1">
      <alignment readingOrder="0" shrinkToFit="0" vertical="bottom" wrapText="0"/>
    </xf>
    <xf borderId="5" fillId="8" fontId="16" numFmtId="0" xfId="0" applyAlignment="1" applyBorder="1" applyFont="1">
      <alignment readingOrder="0" shrinkToFit="0" vertical="bottom" wrapText="0"/>
    </xf>
    <xf borderId="5" fillId="8" fontId="14" numFmtId="0" xfId="0" applyAlignment="1" applyBorder="1" applyFont="1">
      <alignment horizontal="right" readingOrder="0" shrinkToFit="0" vertical="bottom" wrapText="0"/>
    </xf>
    <xf borderId="5" fillId="6" fontId="14" numFmtId="0" xfId="0" applyAlignment="1" applyBorder="1" applyFont="1">
      <alignment horizontal="right" readingOrder="0" shrinkToFit="0" vertical="bottom" wrapText="0"/>
    </xf>
    <xf borderId="5" fillId="7" fontId="17" numFmtId="0" xfId="0" applyAlignment="1" applyBorder="1" applyFont="1">
      <alignment readingOrder="0" shrinkToFit="0" vertical="bottom" wrapText="0"/>
    </xf>
    <xf borderId="5" fillId="7" fontId="18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IFERROR(__xludf.DUMMYFUNCTION("""COMPUTED_VALUE"""),"CompanyWise")</f>
        <v>CompanyWise</v>
      </c>
      <c r="C5" s="28" t="str">
        <f>IFERROR(__xludf.DUMMYFUNCTION("""COMPUTED_VALUE"""),"UserID")</f>
        <v>UserID</v>
      </c>
      <c r="D5" s="28" t="str">
        <f>IFERROR(__xludf.DUMMYFUNCTION("""COMPUTED_VALUE"""),"Disable")</f>
        <v>Disable</v>
      </c>
      <c r="E5" s="28" t="str">
        <f>IFERROR(__xludf.DUMMYFUNCTION("""COMPUTED_VALUE"""),"Enable")</f>
        <v>Enable</v>
      </c>
      <c r="F5" s="29" t="str">
        <f>IFERROR(__xludf.DUMMYFUNCTION("""COMPUTED_VALUE"""),"isBasketComplianceEnabledCompany")</f>
        <v>isBasketComplianceEnabledCompany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 t="b">
        <v>1</v>
      </c>
      <c r="E6" s="31"/>
      <c r="F6" s="13">
        <v>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BasketPermission!$4:$4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45834</v>
      </c>
      <c r="C6" s="33">
        <f>TODAY()</f>
        <v>45835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20</v>
      </c>
      <c r="C6" s="35" t="s">
        <v>21</v>
      </c>
      <c r="D6" s="36">
        <v>1000000.0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22</v>
      </c>
      <c r="C7" s="35" t="s">
        <v>21</v>
      </c>
      <c r="D7" s="36">
        <v>1000000.0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 t="s">
        <v>25</v>
      </c>
      <c r="C6" s="37" t="s">
        <v>26</v>
      </c>
      <c r="D6" s="34" t="s">
        <v>27</v>
      </c>
      <c r="E6" s="39">
        <v>10.0</v>
      </c>
      <c r="F6" s="39">
        <v>10.0</v>
      </c>
      <c r="G6" s="35" t="s">
        <v>28</v>
      </c>
      <c r="H6" s="40"/>
      <c r="I6" s="35" t="s">
        <v>20</v>
      </c>
      <c r="J6" s="40"/>
      <c r="K6" s="40"/>
      <c r="L6" s="40"/>
      <c r="M6" s="35" t="s">
        <v>28</v>
      </c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 t="s">
        <v>29</v>
      </c>
      <c r="C6" s="37" t="s">
        <v>30</v>
      </c>
      <c r="D6" s="34" t="s">
        <v>27</v>
      </c>
      <c r="E6" s="39">
        <v>10.0</v>
      </c>
      <c r="F6" s="39">
        <v>10.0</v>
      </c>
      <c r="G6" s="35" t="s">
        <v>28</v>
      </c>
      <c r="H6" s="40"/>
      <c r="I6" s="35" t="s">
        <v>20</v>
      </c>
      <c r="J6" s="40"/>
      <c r="K6" s="40"/>
      <c r="L6" s="40"/>
      <c r="M6" s="35" t="s">
        <v>28</v>
      </c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 t="s">
        <v>31</v>
      </c>
      <c r="C6" s="37" t="s">
        <v>32</v>
      </c>
      <c r="D6" s="34" t="s">
        <v>27</v>
      </c>
      <c r="E6" s="41">
        <v>100.0</v>
      </c>
      <c r="F6" s="39">
        <v>10.0</v>
      </c>
      <c r="G6" s="35" t="s">
        <v>28</v>
      </c>
      <c r="H6" s="40"/>
      <c r="I6" s="37" t="s">
        <v>33</v>
      </c>
      <c r="J6" s="40"/>
      <c r="K6" s="40"/>
      <c r="L6" s="40"/>
      <c r="M6" s="35" t="s">
        <v>28</v>
      </c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4" t="s">
        <v>29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IFERROR(__xludf.DUMMYFUNCTION("IF(C3="""","""",Transpose(IMPORTRANGE('_Settings'!$B$3,C3&amp;""!A4:A1000"")))"),"RightClickAndClickOperations")</f>
        <v>RightClickAndClickOperations</v>
      </c>
      <c r="C4" s="25" t="str">
        <f>IFERROR(__xludf.DUMMYFUNCTION("""COMPUTED_VALUE"""),"CheckModStatus")</f>
        <v>CheckModStatus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IFERROR(__xludf.DUMMYFUNCTION("""COMPUTED_VALUE"""),"GridName")</f>
        <v>GridName</v>
      </c>
      <c r="D5" s="28" t="str">
        <f>IFERROR(__xludf.DUMMYFUNCTION("""COMPUTED_VALUE"""),"PopUpsParentNames")</f>
        <v>PopUpsParentNames</v>
      </c>
      <c r="E5" s="28" t="str">
        <f>IFERROR(__xludf.DUMMYFUNCTION("""COMPUTED_VALUE"""),"SecondaryActions")</f>
        <v>SecondaryActions</v>
      </c>
      <c r="F5" s="29" t="str">
        <f>IFERROR(__xludf.DUMMYFUNCTION("""COMPUTED_VALUE"""),"Popups Text(empty AutomationID)")</f>
        <v>Popups Text(empty AutomationID)</v>
      </c>
      <c r="G5" s="28" t="str">
        <f>IFERROR(__xludf.DUMMYFUNCTION("""COMPUTED_VALUE"""),"Expected Popups(AutomationID)")</f>
        <v>Expected Popups(AutomationID)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41</v>
      </c>
      <c r="C6" s="35" t="s">
        <v>42</v>
      </c>
      <c r="D6" s="38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RightClickAndClickOperations!$4:$4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>
        <v>10.0</v>
      </c>
      <c r="E6" s="13" t="s">
        <v>44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>
        <v>100.0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SetTTCompliancePreference!$4:$4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/>
      <c r="C6" s="40"/>
      <c r="D6" s="38"/>
      <c r="E6" s="40"/>
      <c r="F6" s="40"/>
      <c r="G6" s="42"/>
      <c r="H6" s="40"/>
      <c r="I6" s="43" t="s">
        <v>50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3" t="s">
        <v>51</v>
      </c>
      <c r="AI6" s="44" t="s">
        <v>25</v>
      </c>
      <c r="AJ6" s="45" t="s">
        <v>52</v>
      </c>
      <c r="AK6" s="46" t="s">
        <v>53</v>
      </c>
      <c r="AL6" s="47">
        <v>100.0</v>
      </c>
      <c r="AM6" s="40"/>
      <c r="AN6" s="40"/>
      <c r="AO6" s="40"/>
      <c r="AP6" s="40"/>
      <c r="AQ6" s="40"/>
      <c r="AR6" s="40"/>
      <c r="AS6" s="43" t="s">
        <v>54</v>
      </c>
      <c r="AT6" s="43" t="s">
        <v>20</v>
      </c>
      <c r="AU6" s="40"/>
      <c r="AV6" s="40"/>
      <c r="AW6" s="40"/>
      <c r="AX6" s="40"/>
      <c r="AY6" s="40"/>
      <c r="AZ6" s="40"/>
      <c r="BA6" s="43" t="s">
        <v>50</v>
      </c>
      <c r="BB6" s="40"/>
      <c r="BC6" s="40"/>
      <c r="BD6" s="40"/>
      <c r="BE6" s="40"/>
      <c r="BF6" s="40"/>
      <c r="BG6" s="43" t="s">
        <v>55</v>
      </c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40"/>
      <c r="E7" s="40"/>
      <c r="F7" s="40"/>
      <c r="G7" s="42"/>
      <c r="H7" s="40"/>
      <c r="I7" s="43" t="s">
        <v>50</v>
      </c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8" t="s">
        <v>51</v>
      </c>
      <c r="AI7" s="49" t="s">
        <v>29</v>
      </c>
      <c r="AJ7" s="50" t="s">
        <v>56</v>
      </c>
      <c r="AK7" s="51" t="s">
        <v>53</v>
      </c>
      <c r="AL7" s="52">
        <v>100.0</v>
      </c>
      <c r="AM7" s="40"/>
      <c r="AN7" s="40"/>
      <c r="AO7" s="40"/>
      <c r="AP7" s="40"/>
      <c r="AQ7" s="40"/>
      <c r="AR7" s="40"/>
      <c r="AS7" s="48" t="s">
        <v>54</v>
      </c>
      <c r="AT7" s="48" t="s">
        <v>20</v>
      </c>
      <c r="AU7" s="40"/>
      <c r="AV7" s="40"/>
      <c r="AW7" s="40"/>
      <c r="AX7" s="40"/>
      <c r="AY7" s="40"/>
      <c r="AZ7" s="40"/>
      <c r="BA7" s="43" t="s">
        <v>50</v>
      </c>
      <c r="BB7" s="40"/>
      <c r="BC7" s="40"/>
      <c r="BD7" s="40"/>
      <c r="BE7" s="40"/>
      <c r="BF7" s="40"/>
      <c r="BG7" s="48" t="s">
        <v>55</v>
      </c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/>
      <c r="C8" s="40"/>
      <c r="D8" s="40"/>
      <c r="E8" s="40"/>
      <c r="F8" s="40"/>
      <c r="G8" s="53"/>
      <c r="H8" s="40"/>
      <c r="I8" s="43" t="s">
        <v>50</v>
      </c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8" t="s">
        <v>51</v>
      </c>
      <c r="AI8" s="44" t="s">
        <v>31</v>
      </c>
      <c r="AJ8" s="54" t="s">
        <v>56</v>
      </c>
      <c r="AK8" s="55" t="s">
        <v>57</v>
      </c>
      <c r="AL8" s="47">
        <v>2000.0</v>
      </c>
      <c r="AM8" s="40"/>
      <c r="AN8" s="40"/>
      <c r="AO8" s="40"/>
      <c r="AP8" s="40"/>
      <c r="AQ8" s="40"/>
      <c r="AR8" s="40"/>
      <c r="AS8" s="48" t="s">
        <v>54</v>
      </c>
      <c r="AT8" s="44" t="s">
        <v>58</v>
      </c>
      <c r="AU8" s="40"/>
      <c r="AV8" s="40"/>
      <c r="AW8" s="40"/>
      <c r="AX8" s="40"/>
      <c r="AY8" s="40"/>
      <c r="AZ8" s="40"/>
      <c r="BA8" s="43" t="s">
        <v>50</v>
      </c>
      <c r="BB8" s="40"/>
      <c r="BC8" s="40"/>
      <c r="BD8" s="40"/>
      <c r="BE8" s="40"/>
      <c r="BF8" s="40"/>
      <c r="BG8" s="48" t="s">
        <v>55</v>
      </c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