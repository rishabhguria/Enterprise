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SetGeneralRuleCalculatedPref" sheetId="8" r:id="rId10"/>
    <sheet state="visible" name="UpdateGRDefaultRule" sheetId="9" r:id="rId11"/>
    <sheet state="visible" name="UpdateGRAccountValue" sheetId="10" r:id="rId12"/>
    <sheet state="visible" name="CustomOrderTT1" sheetId="11" r:id="rId13"/>
    <sheet state="visible" name="CheckAllocatedTaxlots" sheetId="12" r:id="rId14"/>
  </sheets>
  <definedNames/>
  <calcPr/>
</workbook>
</file>

<file path=xl/sharedStrings.xml><?xml version="1.0" encoding="utf-8"?>
<sst xmlns="http://schemas.openxmlformats.org/spreadsheetml/2006/main" count="115" uniqueCount="40">
  <si>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</si>
  <si>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</si>
  <si>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</si>
  <si>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</si>
  <si>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</si>
  <si>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</si>
  <si>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</si>
  <si>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</si>
  <si>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</si>
  <si>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</si>
  <si>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</si>
  <si>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</si>
  <si>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</si>
  <si>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</si>
  <si>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</si>
  <si>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</si>
  <si>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</si>
  <si>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</si>
  <si>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</si>
  <si>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Allocation1,Allocation2,Allocation3</t>
  </si>
  <si>
    <t>45,35,20</t>
  </si>
  <si>
    <t>Allocation</t>
  </si>
  <si>
    <t>AddCalculatedPreferences</t>
  </si>
  <si>
    <t>Test</t>
  </si>
  <si>
    <t>SetAccountValueCalculatedPref</t>
  </si>
  <si>
    <t>Allocation1</t>
  </si>
  <si>
    <t>Allocation2</t>
  </si>
  <si>
    <t>Allocation3</t>
  </si>
  <si>
    <t>SetDefaultRuleCalculatedPref</t>
  </si>
  <si>
    <t>Prorata</t>
  </si>
  <si>
    <t>SetGeneralRuleCalculatedPref</t>
  </si>
  <si>
    <t>Exclude</t>
  </si>
  <si>
    <t>Buy,Buy to Open</t>
  </si>
  <si>
    <t>UpdateGRDefaultRule</t>
  </si>
  <si>
    <t>Current Preference</t>
  </si>
  <si>
    <t>UpdateGRAccountValue</t>
  </si>
  <si>
    <t>CheckAllocatedTaxlots</t>
  </si>
  <si>
    <t>M</t>
  </si>
  <si>
    <t>USD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</si>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</sst>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2" numFmtId="14" xfId="0" applyFont="1" applyNumberFormat="1"/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12.0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  <c r="P6" s="9" t="s">
        <v>19</v>
      </c>
      <c r="Q6" s="9" t="s">
        <v>20</v>
      </c>
      <c r="Z6" s="31">
        <f>today()-1</f>
        <v>45824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23</v>
      </c>
      <c r="C6" s="13" t="s">
        <v>25</v>
      </c>
      <c r="D6" s="13">
        <v>45.0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23</v>
      </c>
      <c r="C7" s="13" t="s">
        <v>26</v>
      </c>
      <c r="D7" s="13">
        <v>35.0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23</v>
      </c>
      <c r="C8" s="13" t="s">
        <v>27</v>
      </c>
      <c r="D8" s="13">
        <v>20.0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 t="s">
        <v>29</v>
      </c>
      <c r="E6" s="9" t="s">
        <v>19</v>
      </c>
      <c r="F6" s="8"/>
      <c r="G6" s="8"/>
      <c r="H6" s="13" t="s">
        <v>23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IFERROR(__xludf.DUMMYFUNCTION("""COMPUTED_VALUE"""),"Exchange Selector")</f>
        <v>Exchange Selector</v>
      </c>
      <c r="C5" s="28" t="str">
        <f>IFERROR(__xludf.DUMMYFUNCTION("""COMPUTED_VALUE"""),"Exchange List")</f>
        <v>Exchange List</v>
      </c>
      <c r="D5" s="28" t="str">
        <f>IFERROR(__xludf.DUMMYFUNCTION("""COMPUTED_VALUE"""),"Asset Selector")</f>
        <v>Asset Selector</v>
      </c>
      <c r="E5" s="28" t="str">
        <f>IFERROR(__xludf.DUMMYFUNCTION("""COMPUTED_VALUE"""),"Asset List")</f>
        <v>Asset List</v>
      </c>
      <c r="F5" s="29" t="str">
        <f>IFERROR(__xludf.DUMMYFUNCTION("""COMPUTED_VALUE"""),"PR Selector")</f>
        <v>PR Selector</v>
      </c>
      <c r="G5" s="28" t="str">
        <f>IFERROR(__xludf.DUMMYFUNCTION("""COMPUTED_VALUE"""),"PR List")</f>
        <v>PR List</v>
      </c>
      <c r="H5" s="28" t="str">
        <f>IFERROR(__xludf.DUMMYFUNCTION("""COMPUTED_VALUE"""),"Order Side Selector")</f>
        <v>Order Side Selector</v>
      </c>
      <c r="I5" s="28" t="str">
        <f>IFERROR(__xludf.DUMMYFUNCTION("""COMPUTED_VALUE"""),"Order Side List")</f>
        <v>Order Side List</v>
      </c>
      <c r="J5" s="28" t="str">
        <f>IFERROR(__xludf.DUMMYFUNCTION("""COMPUTED_VALUE"""),"PreferenceName")</f>
        <v>PreferenceName</v>
      </c>
      <c r="K5" s="28" t="str">
        <f>IFERROR(__xludf.DUMMYFUNCTION("""COMPUTED_VALUE"""),"Update Preference")</f>
        <v>Update Preference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13" t="s">
        <v>31</v>
      </c>
      <c r="I6" s="13" t="s">
        <v>32</v>
      </c>
      <c r="J6" s="13" t="s">
        <v>23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 t="s">
        <v>34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23</v>
      </c>
      <c r="C6" s="13" t="s">
        <v>25</v>
      </c>
      <c r="D6" s="13">
        <v>70.0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23</v>
      </c>
      <c r="C7" s="13" t="s">
        <v>26</v>
      </c>
      <c r="D7" s="13">
        <v>30.0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23</v>
      </c>
      <c r="C8" s="13" t="s">
        <v>27</v>
      </c>
      <c r="D8" s="13">
        <v>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250.0</v>
      </c>
      <c r="D6" s="13">
        <v>12.0</v>
      </c>
      <c r="E6" s="13" t="s">
        <v>17</v>
      </c>
      <c r="F6" s="8"/>
      <c r="G6" s="8"/>
      <c r="H6" s="8"/>
      <c r="I6" s="13" t="s">
        <v>23</v>
      </c>
      <c r="J6" s="13" t="s">
        <v>18</v>
      </c>
      <c r="K6" s="8"/>
      <c r="L6" s="8"/>
      <c r="M6" s="8"/>
      <c r="N6" s="8"/>
      <c r="O6" s="8"/>
      <c r="Z6" s="31">
        <f>today()</f>
        <v>45825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2">
        <v>1344.0</v>
      </c>
      <c r="E6" s="32">
        <v>1344.0</v>
      </c>
      <c r="F6" s="33" t="s">
        <v>37</v>
      </c>
      <c r="G6" s="34"/>
      <c r="H6" s="33" t="s">
        <v>38</v>
      </c>
      <c r="I6" s="35"/>
      <c r="J6" s="35"/>
      <c r="K6" s="35"/>
      <c r="L6" s="35"/>
      <c r="M6" s="35"/>
      <c r="N6" s="35"/>
      <c r="O6" s="33" t="s">
        <v>25</v>
      </c>
      <c r="P6" s="33" t="s">
        <v>39</v>
      </c>
      <c r="Q6" s="34"/>
      <c r="R6" s="34">
        <v>112.0</v>
      </c>
    </row>
    <row r="7" ht="15.75" customHeight="1">
      <c r="A7" s="8"/>
      <c r="B7" s="8"/>
      <c r="C7" s="8"/>
      <c r="D7" s="34">
        <v>600.0</v>
      </c>
      <c r="E7" s="34">
        <v>600.0</v>
      </c>
      <c r="F7" s="33" t="s">
        <v>37</v>
      </c>
      <c r="G7" s="34"/>
      <c r="H7" s="33" t="s">
        <v>38</v>
      </c>
      <c r="I7" s="35"/>
      <c r="J7" s="35"/>
      <c r="K7" s="35"/>
      <c r="L7" s="35"/>
      <c r="M7" s="35"/>
      <c r="N7" s="35"/>
      <c r="O7" s="33" t="s">
        <v>27</v>
      </c>
      <c r="P7" s="33" t="s">
        <v>39</v>
      </c>
      <c r="Q7" s="34"/>
      <c r="R7" s="34">
        <v>50.0</v>
      </c>
    </row>
    <row r="8" ht="15.75" customHeight="1">
      <c r="A8" s="8"/>
      <c r="B8" s="8"/>
      <c r="C8" s="8"/>
      <c r="D8" s="32">
        <v>1056.0</v>
      </c>
      <c r="E8" s="32">
        <v>1056.0</v>
      </c>
      <c r="F8" s="33" t="s">
        <v>37</v>
      </c>
      <c r="G8" s="34"/>
      <c r="H8" s="33" t="s">
        <v>38</v>
      </c>
      <c r="I8" s="35"/>
      <c r="J8" s="35"/>
      <c r="K8" s="35"/>
      <c r="L8" s="35"/>
      <c r="M8" s="35"/>
      <c r="N8" s="35"/>
      <c r="O8" s="33" t="s">
        <v>26</v>
      </c>
      <c r="P8" s="33" t="s">
        <v>39</v>
      </c>
      <c r="Q8" s="34"/>
      <c r="R8" s="34">
        <v>88.0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