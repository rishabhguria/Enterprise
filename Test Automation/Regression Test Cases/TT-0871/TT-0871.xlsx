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ules" sheetId="1" r:id="rId3"/>
    <sheet state="visible" name="Settings" sheetId="2" r:id="rId4"/>
    <sheet state="visible" name="MasterData" sheetId="3" r:id="rId5"/>
    <sheet state="visible" name="SetTTCompliancePreference" sheetId="4" r:id="rId6"/>
    <sheet state="visible" name="CustomOrderTT" sheetId="5" r:id="rId7"/>
    <sheet state="visible" name="ActionOnPrompt" sheetId="6" r:id="rId8"/>
    <sheet state="visible" name="CustomOrderTT1" sheetId="7" r:id="rId9"/>
    <sheet state="visible" name="TradeNewSubOrder" sheetId="8" r:id="rId10"/>
    <sheet state="visible" name="CheckAllocatedGroups" sheetId="9" r:id="rId11"/>
    <sheet state="visible" name="CheckPortfolioManagement" sheetId="10" r:id="rId12"/>
    <sheet state="visible" name="SelectTrade" sheetId="11" r:id="rId13"/>
    <sheet state="visible" name="AcknowledgeTrade" sheetId="12" r:id="rId14"/>
    <sheet state="visible" name="ExecuteTrade" sheetId="13" r:id="rId15"/>
    <sheet state="visible" name="VerifyComplianceOrder" sheetId="14" r:id="rId16"/>
    <sheet state="visible" name="VerifyComplianceOrder1" sheetId="15" r:id="rId17"/>
  </sheets>
  <definedNames/>
  <calcPr/>
</workbook>
</file>

<file path=xl/sharedStrings.xml><?xml version="1.0" encoding="utf-8"?>
<sst xmlns="http://schemas.openxmlformats.org/spreadsheetml/2006/main" count="135" uniqueCount="48">
  <si>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</si>
  <si>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</si>
  <si>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</si>
  <si>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</si>
  <si>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</si>
  <si>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</si>
  <si>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</si>
  <si>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</si>
  <si>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</si>
  <si>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</si>
  <si>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</si>
  <si>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</si>
  <si>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</si>
  <si>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SetTTCompliancePreference</t>
  </si>
  <si>
    <t>Data Format</t>
  </si>
  <si>
    <t>Input Format</t>
  </si>
  <si>
    <t>CustomOrderTT</t>
  </si>
  <si>
    <t>IBM</t>
  </si>
  <si>
    <t>CreateOrder</t>
  </si>
  <si>
    <t>Buy</t>
  </si>
  <si>
    <t>Allocation1</t>
  </si>
  <si>
    <t>GTC</t>
  </si>
  <si>
    <t>Limit</t>
  </si>
  <si>
    <t>VerifyContainslblMsg</t>
  </si>
  <si>
    <t>TargetQuantity</t>
  </si>
  <si>
    <t>Continue</t>
  </si>
  <si>
    <t>Edit Order</t>
  </si>
  <si>
    <t>VerifyStatusCompulsory</t>
  </si>
  <si>
    <t/>
  </si>
  <si>
    <t>Send</t>
  </si>
  <si>
    <t>Blotter</t>
  </si>
  <si>
    <t>TradeNewSubOrder</t>
  </si>
  <si>
    <t>New</t>
  </si>
  <si>
    <t>Allocation</t>
  </si>
  <si>
    <t>CheckAllocatedGroups</t>
  </si>
  <si>
    <t>PortfolioManagement</t>
  </si>
  <si>
    <t>CheckPortfolioManagement</t>
  </si>
  <si>
    <t>NewMF</t>
  </si>
  <si>
    <t>Simulator</t>
  </si>
  <si>
    <t>SelectTrade</t>
  </si>
  <si>
    <t>AcknowledgeTrade</t>
  </si>
  <si>
    <t>ExecuteTrade</t>
  </si>
  <si>
    <t>VerifyComplianceOrder</t>
  </si>
  <si>
    <t>Soft</t>
  </si>
  <si>
    <t>TradeQuantity-123</t>
  </si>
  <si>
    <t>Enter Summary</t>
  </si>
  <si>
    <t>quantity: 100.00, Symbol: IBM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</si>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</sst>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9.0"/>
      <color rgb="FFFFFFFF"/>
      <name val="&quot;Segoe UI&quot;"/>
    </font>
    <font>
      <sz val="9.0"/>
      <color rgb="FF000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vertical="bottom"/>
    </xf>
    <xf borderId="5" fillId="6" fontId="14" numFmtId="0" xfId="0" applyAlignment="1" applyBorder="1" applyFill="1" applyFont="1">
      <alignment horizontal="left" readingOrder="0" shrinkToFit="0" vertical="top" wrapText="0"/>
    </xf>
    <xf borderId="5" fillId="7" fontId="15" numFmtId="0" xfId="0" applyAlignment="1" applyBorder="1" applyFill="1" applyFont="1">
      <alignment horizontal="left" readingOrder="0" shrinkToFit="0" vertical="top" wrapText="0"/>
    </xf>
    <xf borderId="5" fillId="7" fontId="15" numFmtId="0" xfId="0" applyAlignment="1" applyBorder="1" applyFont="1">
      <alignment horizontal="lef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IFERROR(__xludf.DUMMYFUNCTION("IMPORTRANGE(Settings!B3,""Modules!A4:L1000"")"),"Allocation")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IFERROR(__xludf.DUMMYFUNCTION("IMPORTRANGE(Settings!B4,""Master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VLOOKUP($E$3,MasterData!B4:D1000,3,FALSE)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IFERROR(__xludf.DUMMYFUNCTION("IF(C3="""","""",Transpose(IMPORTRANGE(Settings!$B$3,C3&amp;""!A4:A1000"")))"),"OpenTTFromPST")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IFERROR(__xludf.DUMMYFUNCTION("TRANSPOSE(IMPORTRANGE(VLOOKUP($E$3,IMPORTRANGE(Settings!$B$3,$C$3&amp;""!A4:B1000""),2,FALSE),$G$3&amp;""!A4:A1000""))"),"")</f>
        <v/>
      </c>
      <c r="B5" s="27" t="str">
        <f>IFERROR(__xludf.DUMMYFUNCTION("""COMPUTED_VALUE"""),"PopUpTargetQty")</f>
        <v>PopUpTargetQty</v>
      </c>
      <c r="C5" s="27" t="str">
        <f>IFERROR(__xludf.DUMMYFUNCTION("""COMPUTED_VALUE"""),"PopUpNewOrder")</f>
        <v>PopUpNewOrder</v>
      </c>
      <c r="D5" s="27" t="str">
        <f>IFERROR(__xludf.DUMMYFUNCTION("""COMPUTED_VALUE"""),"PopUpCXL")</f>
        <v>PopUpCXL</v>
      </c>
      <c r="E5" s="27" t="str">
        <f>IFERROR(__xludf.DUMMYFUNCTION("""COMPUTED_VALUE"""),"PopUpReplace")</f>
        <v>PopUpReplace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Modules!$A$4:$A$1000</formula1>
    </dataValidation>
    <dataValidation type="list" allowBlank="1" showInputMessage="1" showErrorMessage="1" prompt="Choose available step for selected module" sqref="E3">
      <formula1>SetTTCompliancePreference!$4:$4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VLOOKUP($E$3,MasterData!B4:D1000,3,FALSE)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IFERROR(__xludf.DUMMYFUNCTION("IF(C3="""","""",Transpose(IMPORTRANGE(Settings!$B$3,C3&amp;""!A4:A1000"")))"),"OpenTTFromPST")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IFERROR(__xludf.DUMMYFUNCTION("TRANSPOSE(IMPORTRANGE(VLOOKUP($E$3,IMPORTRANGE(Settings!$B$3,$C$3&amp;""!A4:B1000""),2,FALSE),$G$3&amp;""!A4:A1000""))"),"")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>
        <v>100.0</v>
      </c>
      <c r="D6" s="12">
        <v>2.0</v>
      </c>
      <c r="E6" s="12" t="s">
        <v>18</v>
      </c>
      <c r="F6" s="8"/>
      <c r="G6" s="12" t="b">
        <v>1</v>
      </c>
      <c r="H6" s="8"/>
      <c r="I6" s="8"/>
      <c r="J6" s="12" t="s">
        <v>19</v>
      </c>
      <c r="K6" s="8"/>
      <c r="L6" s="8"/>
      <c r="M6" s="8"/>
      <c r="N6" s="8"/>
      <c r="O6" s="8"/>
      <c r="P6" s="9" t="s">
        <v>20</v>
      </c>
      <c r="U6" s="9" t="s">
        <v>21</v>
      </c>
      <c r="V6" s="9" t="s">
        <v>22</v>
      </c>
      <c r="X6" s="9">
        <v>2.0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Modules!$A$4:$A$1000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A5" s="31"/>
      <c r="B5" s="31" t="s">
        <v>23</v>
      </c>
      <c r="C5" s="31" t="s">
        <v>24</v>
      </c>
      <c r="D5" s="31" t="s">
        <v>25</v>
      </c>
      <c r="E5" s="31" t="s">
        <v>26</v>
      </c>
      <c r="F5" s="31" t="s">
        <v>27</v>
      </c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>
      <c r="A6" s="31"/>
      <c r="B6" s="31" t="s">
        <v>28</v>
      </c>
      <c r="C6" s="31" t="s">
        <v>28</v>
      </c>
      <c r="D6" s="31" t="s">
        <v>25</v>
      </c>
      <c r="E6" s="31" t="s">
        <v>28</v>
      </c>
      <c r="F6" s="31" t="s">
        <v>28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VLOOKUP($E$3,MasterData!B4:D1000,3,FALSE)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IFERROR(__xludf.DUMMYFUNCTION("IF(C3="""","""",Transpose(IMPORTRANGE(Settings!$B$3,C3&amp;""!A4:A1000"")))"),"OpenTTFromPST")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IFERROR(__xludf.DUMMYFUNCTION("TRANSPOSE(IMPORTRANGE(VLOOKUP($E$3,IMPORTRANGE(Settings!$B$3,$C$3&amp;""!A4:B1000""),2,FALSE),$G$3&amp;""!A4:A1000""))"),"")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100.0</v>
      </c>
      <c r="D6" s="12">
        <v>2.0</v>
      </c>
      <c r="E6" s="12" t="s">
        <v>29</v>
      </c>
      <c r="F6" s="8"/>
      <c r="G6" s="12" t="b">
        <v>1</v>
      </c>
      <c r="H6" s="8"/>
      <c r="I6" s="8"/>
      <c r="J6" s="12" t="s">
        <v>19</v>
      </c>
      <c r="K6" s="8"/>
      <c r="L6" s="8"/>
      <c r="M6" s="8"/>
      <c r="N6" s="8"/>
      <c r="O6" s="8"/>
      <c r="P6" s="9" t="s">
        <v>20</v>
      </c>
      <c r="U6" s="9" t="s">
        <v>21</v>
      </c>
      <c r="V6" s="9" t="s">
        <v>22</v>
      </c>
      <c r="X6" s="9">
        <v>2.0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Modules!$A$4:$A$1000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VLOOKUP($E$3,MasterData!B4:D1000,3,FALSE)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IFERROR(__xludf.DUMMYFUNCTION("IF(C3="""","""",Transpose(IMPORTRANGE(Settings!$B$3,C3&amp;""!A4:A1000"")))"),"ReplaceFillsOnBlotter")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IFERROR(__xludf.DUMMYFUNCTION("TRANSPOSE(IMPORTRANGE(VLOOKUP($E$3,IMPORTRANGE(Settings!$B$3,$C$3&amp;""!A4:B1000""),2,FALSE),$G$3&amp;""!A4:A1000""))"),"")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17</v>
      </c>
      <c r="AJ6" s="9" t="s">
        <v>19</v>
      </c>
      <c r="AK6" s="9" t="s">
        <v>32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Modules!$A$4:$A$1000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VLOOKUP($E$3,MasterData!B4:D1000,3,FALSE)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IFERROR(__xludf.DUMMYFUNCTION("IF(C3="""","""",Transpose(IMPORTRANGE(Settings!$B$3,C3&amp;""!A4:A1000"")))"),"Allocate")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IFERROR(__xludf.DUMMYFUNCTION("TRANSPOSE(IMPORTRANGE(VLOOKUP($E$3,IMPORTRANGE(Settings!$B$3,$C$3&amp;""!A4:B1000""),2,FALSE),$G$3&amp;""!A4:A1000""))"),"")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8"/>
      <c r="D6" s="12"/>
      <c r="E6" s="12">
        <v>100.0</v>
      </c>
      <c r="F6" s="8"/>
      <c r="G6" s="8"/>
      <c r="H6" s="8"/>
      <c r="I6" s="8"/>
      <c r="J6" s="8"/>
      <c r="K6" s="12">
        <v>2.0</v>
      </c>
      <c r="L6" s="12">
        <v>2.0</v>
      </c>
      <c r="M6" s="8"/>
      <c r="N6" s="8"/>
      <c r="O6" s="8"/>
      <c r="AE6" s="9">
        <v>100.0</v>
      </c>
      <c r="BJ6" s="9">
        <v>100.0</v>
      </c>
      <c r="BO6" s="9" t="s">
        <v>19</v>
      </c>
      <c r="BT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Modules!$A$4:$A$1000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VLOOKUP($E$3,MasterData!B4:D1000,3,FALSE)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IFERROR(__xludf.DUMMYFUNCTION("IF(C3="""","""",Transpose(IMPORTRANGE(Settings!$B$3,C3&amp;""!A4:A1000"")))"),"CheckDashboardPM")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IFERROR(__xludf.DUMMYFUNCTION("TRANSPOSE(IMPORTRANGE(VLOOKUP($E$3,IMPORTRANGE(Settings!$B$3,$C$3&amp;""!A4:B1000""),2,FALSE),$G$3&amp;""!A4:A1000""))"),"")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12"/>
      <c r="B6" s="12"/>
      <c r="C6" s="12" t="s">
        <v>17</v>
      </c>
      <c r="D6" s="12">
        <v>100.0</v>
      </c>
      <c r="E6" s="12" t="s">
        <v>20</v>
      </c>
      <c r="F6" s="12" t="s">
        <v>37</v>
      </c>
      <c r="G6" s="12">
        <v>2.0</v>
      </c>
      <c r="H6" s="8"/>
      <c r="I6" s="8"/>
      <c r="J6" s="8"/>
      <c r="K6" s="8"/>
      <c r="L6" s="8"/>
      <c r="M6" s="8"/>
      <c r="N6" s="8"/>
      <c r="O6" s="8"/>
      <c r="AN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Modules!$A$4:$A$1000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VLOOKUP($E$3,MasterData!B4:D1000,3,FALSE)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IFERROR(__xludf.DUMMYFUNCTION("IF(C3="""","""",Transpose(IMPORTRANGE(Settings!$B$3,C3&amp;""!A4:A1000"")))"),"SelectTrade")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IFERROR(__xludf.DUMMYFUNCTION("TRANSPOSE(IMPORTRANGE(VLOOKUP($E$3,IMPORTRANGE(Settings!$B$3,$C$3&amp;""!A4:B1000""),2,FALSE),$G$3&amp;""!A4:A1000""))"),"")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/>
      <c r="D6" s="12" t="s">
        <v>22</v>
      </c>
      <c r="E6" s="12">
        <v>2.0</v>
      </c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Modules!$A$4:$A$1000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VLOOKUP($E$3,MasterData!B4:D1000,3,FALSE)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IFERROR(__xludf.DUMMYFUNCTION("IF(C3="""","""",Transpose(IMPORTRANGE(Settings!$B$3,C3&amp;""!A4:A1000"")))"),"SelectTrade")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IFERROR(__xludf.DUMMYFUNCTION("TRANSPOSE(IMPORTRANGE(VLOOKUP($E$3,IMPORTRANGE(Settings!$B$3,$C$3&amp;""!A4:B1000""),2,FALSE),$G$3&amp;""!A4:A1000""))"),"")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/>
      <c r="D6" s="12" t="s">
        <v>22</v>
      </c>
      <c r="E6" s="12">
        <v>2.0</v>
      </c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Modules!$A$4:$A$1000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VLOOKUP($E$3,MasterData!B4:D1000,3,FALSE)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IFERROR(__xludf.DUMMYFUNCTION("IF(C3="""","""",Transpose(IMPORTRANGE(Settings!$B$3,C3&amp;""!A4:A1000"")))"),"SelectTrade")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IFERROR(__xludf.DUMMYFUNCTION("TRANSPOSE(IMPORTRANGE(VLOOKUP($E$3,IMPORTRANGE(Settings!$B$3,$C$3&amp;""!A4:B1000""),2,FALSE),$G$3&amp;""!A4:A1000""))"),"")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Modules!$A$4:$A$1000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7" width="12.63"/>
    <col customWidth="1" min="8" max="8" width="29.25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VLOOKUP($E$3,MasterData!B4:D1000,3,FALSE)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IFERROR(__xludf.DUMMYFUNCTION("IF(C3="""","""",Transpose(IMPORTRANGE(Settings!$B$3,C3&amp;""!A4:A1000"")))"),"OpenTTFromPST")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IFERROR(__xludf.DUMMYFUNCTION("TRANSPOSE(IMPORTRANGE(VLOOKUP($E$3,IMPORTRANGE(Settings!$B$3,$C$3&amp;""!A4:B1000""),2,FALSE),$G$3&amp;""!A4:A1000""))"),"")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43</v>
      </c>
      <c r="C6" s="33" t="s">
        <v>44</v>
      </c>
      <c r="D6" s="33" t="s">
        <v>45</v>
      </c>
      <c r="E6" s="33" t="s">
        <v>17</v>
      </c>
      <c r="F6" s="33">
        <v>-123.0</v>
      </c>
      <c r="G6" s="33">
        <v>100.0</v>
      </c>
      <c r="H6" s="33" t="s">
        <v>46</v>
      </c>
      <c r="I6" s="34"/>
      <c r="J6" s="8"/>
      <c r="K6" s="12" t="s">
        <v>47</v>
      </c>
      <c r="L6" s="8"/>
      <c r="M6" s="12" t="s">
        <v>18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Modules!$A$4:$A$1000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7" width="12.63"/>
    <col customWidth="1" min="8" max="8" width="29.25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VLOOKUP($E$3,MasterData!B4:D1000,3,FALSE)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IFERROR(__xludf.DUMMYFUNCTION("IF(C3="""","""",Transpose(IMPORTRANGE(Settings!$B$3,C3&amp;""!A4:A1000"")))"),"OpenTTFromPST")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IFERROR(__xludf.DUMMYFUNCTION("TRANSPOSE(IMPORTRANGE(VLOOKUP($E$3,IMPORTRANGE(Settings!$B$3,$C$3&amp;""!A4:B1000""),2,FALSE),$G$3&amp;""!A4:A1000""))"),"")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43</v>
      </c>
      <c r="C6" s="33" t="s">
        <v>44</v>
      </c>
      <c r="D6" s="33" t="s">
        <v>45</v>
      </c>
      <c r="E6" s="33" t="s">
        <v>17</v>
      </c>
      <c r="F6" s="33">
        <v>-123.0</v>
      </c>
      <c r="G6" s="33">
        <v>100.0</v>
      </c>
      <c r="H6" s="33" t="s">
        <v>46</v>
      </c>
      <c r="I6" s="34"/>
      <c r="J6" s="8"/>
      <c r="K6" s="12" t="s">
        <v>47</v>
      </c>
      <c r="L6" s="8"/>
      <c r="M6" s="12" t="s">
        <v>29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n available module" sqref="C3">
      <formula1>Modules!$A$4:$A$1000</formula1>
    </dataValidation>
  </dataValidations>
  <drawing r:id="rId1"/>
</worksheet>
</file>