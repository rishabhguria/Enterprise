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DisableCheckside" sheetId="4" r:id="rId6"/>
    <sheet state="visible" name="CreateDoneAwayOrder" sheetId="5" r:id="rId7"/>
    <sheet state="visible" name="GetDataAllocation" sheetId="6" r:id="rId8"/>
    <sheet state="visible" name="CheckAllocatedGroups" sheetId="7" r:id="rId9"/>
    <sheet state="visible" name="Copy of Data" sheetId="8" r:id="rId10"/>
  </sheets>
  <definedNames/>
  <calcPr/>
</workbook>
</file>

<file path=xl/sharedStrings.xml><?xml version="1.0" encoding="utf-8"?>
<sst xmlns="http://schemas.openxmlformats.org/spreadsheetml/2006/main" count="69" uniqueCount="31">
  <si>
    <t>Settings</t>
  </si>
  <si>
    <t>Modules Info</t>
  </si>
  <si>
    <t>Master Data Info</t>
  </si>
  <si>
    <t>Module Step Setting File</t>
  </si>
  <si>
    <t>Modules</t>
  </si>
  <si>
    <t>Module</t>
  </si>
  <si>
    <t>1BICZ_GcMhh_S937ZinFvSYqvvKYtOYB2Bc4woEPpgPg</t>
  </si>
  <si>
    <t>Step</t>
  </si>
  <si>
    <t>Master Data Settings File</t>
  </si>
  <si>
    <t>Master Data Sheet</t>
  </si>
  <si>
    <t>1Nt_rf5DtgjbN9Ag4AMMlUkZYROxKZLH5m54YOl7tRT0</t>
  </si>
  <si>
    <t>Data</t>
  </si>
  <si>
    <t>Allocation</t>
  </si>
  <si>
    <t>DisableCheckside</t>
  </si>
  <si>
    <t>Data Format</t>
  </si>
  <si>
    <t>Input Format</t>
  </si>
  <si>
    <t>MS</t>
  </si>
  <si>
    <t>TradingTicket</t>
  </si>
  <si>
    <t>CreateDoneAwayOrder</t>
  </si>
  <si>
    <t>MSFT</t>
  </si>
  <si>
    <t>Buy</t>
  </si>
  <si>
    <t>Allocation1</t>
  </si>
  <si>
    <t>Market</t>
  </si>
  <si>
    <t>Sell</t>
  </si>
  <si>
    <t>GetDataAllocation</t>
  </si>
  <si>
    <t>Historical</t>
  </si>
  <si>
    <t>01/01/1800</t>
  </si>
  <si>
    <t>CheckAllocatedGroups</t>
  </si>
  <si>
    <t>Equity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</si>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</sst>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3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1" fillId="2" fontId="3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0" xfId="0" applyAlignment="1" applyFont="1">
      <alignment readingOrder="0"/>
    </xf>
    <xf borderId="0" fillId="0" fontId="4" numFmtId="164" xfId="0" applyAlignment="1" applyFont="1" applyNumberFormat="1">
      <alignment readingOrder="0" shrinkToFit="0" wrapText="0"/>
    </xf>
    <xf borderId="0" fillId="0" fontId="4" numFmtId="165" xfId="0" applyAlignment="1" applyFont="1" applyNumberFormat="1">
      <alignment readingOrder="0" shrinkToFit="0" wrapText="0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1</v>
      </c>
      <c r="B1" s="2"/>
      <c r="C1" s="2"/>
      <c r="D1" s="2"/>
      <c r="E1" s="2"/>
      <c r="F1" s="3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1"/>
      <c r="C3" s="13"/>
      <c r="D3" s="13"/>
      <c r="E3" s="13"/>
      <c r="F3" s="13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3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6</v>
      </c>
      <c r="C3" s="6"/>
    </row>
    <row r="4" ht="15.75" customHeight="1">
      <c r="A4" s="9" t="s">
        <v>8</v>
      </c>
      <c r="B4" s="10" t="s">
        <v>10</v>
      </c>
      <c r="C4" s="6"/>
    </row>
    <row r="5" ht="15.75" customHeight="1">
      <c r="A5" s="16"/>
      <c r="B5" s="6"/>
      <c r="C5" s="6"/>
    </row>
    <row r="6" ht="15.75" customHeight="1">
      <c r="A6" s="16"/>
      <c r="B6" s="6"/>
      <c r="C6" s="6"/>
    </row>
    <row r="7" ht="15.75" customHeight="1">
      <c r="A7" s="16"/>
      <c r="B7" s="6"/>
      <c r="C7" s="6"/>
    </row>
    <row r="8" ht="15.75" customHeight="1">
      <c r="A8" s="16"/>
      <c r="B8" s="6"/>
      <c r="C8" s="6"/>
    </row>
    <row r="9" ht="15.75" customHeight="1">
      <c r="A9" s="16"/>
      <c r="B9" s="6"/>
      <c r="C9" s="6"/>
    </row>
    <row r="10" ht="15.75" customHeight="1">
      <c r="A10" s="16"/>
      <c r="B10" s="6"/>
      <c r="C10" s="6"/>
    </row>
    <row r="11" ht="15.75" customHeight="1">
      <c r="A11" s="16"/>
      <c r="B11" s="6"/>
      <c r="C11" s="6"/>
    </row>
    <row r="12" ht="15.75" customHeight="1">
      <c r="A12" s="16"/>
      <c r="B12" s="6"/>
      <c r="C12" s="6"/>
    </row>
    <row r="13" ht="15.75" customHeight="1">
      <c r="A13" s="16"/>
      <c r="B13" s="6"/>
      <c r="C13" s="6"/>
    </row>
    <row r="14" ht="15.75" customHeight="1">
      <c r="A14" s="16"/>
      <c r="B14" s="6"/>
      <c r="C14" s="6"/>
    </row>
    <row r="15" ht="15.75" customHeight="1">
      <c r="A15" s="16"/>
      <c r="B15" s="6"/>
      <c r="C15" s="6"/>
    </row>
    <row r="16" ht="15.75" customHeight="1">
      <c r="A16" s="16"/>
      <c r="B16" s="6"/>
      <c r="C16" s="6"/>
    </row>
    <row r="17" ht="15.75" customHeight="1">
      <c r="A17" s="16"/>
      <c r="B17" s="6"/>
      <c r="C17" s="6"/>
    </row>
    <row r="18" ht="15.75" customHeight="1">
      <c r="A18" s="16"/>
      <c r="B18" s="6"/>
      <c r="C18" s="6"/>
    </row>
    <row r="19" ht="15.75" customHeight="1">
      <c r="A19" s="16"/>
      <c r="B19" s="6"/>
      <c r="C19" s="6"/>
    </row>
    <row r="20" ht="15.75" customHeight="1">
      <c r="A20" s="16"/>
      <c r="B20" s="6"/>
      <c r="C20" s="6"/>
    </row>
    <row r="21" ht="15.75" customHeight="1">
      <c r="A21" s="16"/>
      <c r="B21" s="6"/>
      <c r="C21" s="6"/>
    </row>
    <row r="22" ht="15.75" customHeight="1">
      <c r="A22" s="16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5" t="s">
        <v>2</v>
      </c>
      <c r="B1" s="2"/>
      <c r="C1" s="2"/>
      <c r="D1" s="2"/>
      <c r="E1" s="2"/>
      <c r="F1" s="3"/>
    </row>
    <row r="2">
      <c r="A2" s="7"/>
      <c r="B2" s="7"/>
      <c r="C2" s="7"/>
      <c r="D2" s="7"/>
      <c r="E2" s="7"/>
      <c r="F2" s="7"/>
    </row>
    <row r="3">
      <c r="A3" s="9" t="s">
        <v>5</v>
      </c>
      <c r="B3" s="12" t="s">
        <v>7</v>
      </c>
      <c r="C3" s="12" t="s">
        <v>9</v>
      </c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13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IFERROR(__xludf.DUMMYFUNCTION("""COMPUTED_VALUE"""),"Asset")</f>
        <v>Asset</v>
      </c>
      <c r="C5" s="26" t="str">
        <f>IFERROR(__xludf.DUMMYFUNCTION("""COMPUTED_VALUE"""),"Account Name")</f>
        <v>Account Name</v>
      </c>
      <c r="D5" s="26" t="str">
        <f>IFERROR(__xludf.DUMMYFUNCTION("""COMPUTED_VALUE"""),"Broker")</f>
        <v>Broker</v>
      </c>
      <c r="E5" s="26" t="str">
        <f>IFERROR(__xludf.DUMMYFUNCTION("""COMPUTED_VALUE"""),"ValidateCheckSide")</f>
        <v>ValidateCheckSide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6"/>
      <c r="D6" s="10" t="s">
        <v>16</v>
      </c>
      <c r="E6" s="10" t="b">
        <v>1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DisableCheckside!$4:$4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17</v>
      </c>
      <c r="D3" s="8" t="s">
        <v>7</v>
      </c>
      <c r="E3" s="21" t="s">
        <v>18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0" t="s">
        <v>19</v>
      </c>
      <c r="C6" s="10" t="s">
        <v>20</v>
      </c>
      <c r="D6" s="10">
        <v>100.0</v>
      </c>
      <c r="E6" s="10">
        <v>100.0</v>
      </c>
      <c r="F6" s="10" t="s">
        <v>21</v>
      </c>
      <c r="G6" s="10" t="s">
        <v>16</v>
      </c>
      <c r="H6" s="6"/>
      <c r="I6" s="10" t="s">
        <v>22</v>
      </c>
      <c r="J6" s="10">
        <v>10.0</v>
      </c>
      <c r="K6" s="6"/>
      <c r="L6" s="6"/>
      <c r="M6" s="6"/>
      <c r="N6" s="30">
        <v>42352.0</v>
      </c>
      <c r="O6" s="6"/>
    </row>
    <row r="7" ht="15.75" customHeight="1">
      <c r="A7" s="6"/>
      <c r="B7" s="10" t="s">
        <v>19</v>
      </c>
      <c r="C7" s="10" t="s">
        <v>23</v>
      </c>
      <c r="D7" s="10">
        <v>100.0</v>
      </c>
      <c r="E7" s="10">
        <v>100.0</v>
      </c>
      <c r="F7" s="10" t="s">
        <v>21</v>
      </c>
      <c r="G7" s="10" t="s">
        <v>16</v>
      </c>
      <c r="H7" s="6"/>
      <c r="I7" s="10" t="s">
        <v>22</v>
      </c>
      <c r="J7" s="10">
        <v>20.0</v>
      </c>
      <c r="K7" s="6"/>
      <c r="L7" s="6"/>
      <c r="M7" s="6"/>
      <c r="N7" s="30">
        <v>42350.0</v>
      </c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24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0" t="s">
        <v>25</v>
      </c>
      <c r="C6" s="31" t="s">
        <v>26</v>
      </c>
      <c r="D6" s="31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27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</row>
    <row r="6" ht="15.75" customHeight="1">
      <c r="A6" s="6"/>
      <c r="B6" s="10"/>
      <c r="C6" s="6"/>
      <c r="D6" s="6"/>
      <c r="E6" s="6"/>
      <c r="F6" s="6"/>
      <c r="G6" s="10" t="s">
        <v>28</v>
      </c>
      <c r="H6" s="6"/>
      <c r="I6" s="6"/>
      <c r="J6" s="6"/>
      <c r="K6" s="10">
        <v>10.0</v>
      </c>
      <c r="L6" s="10">
        <v>10.0</v>
      </c>
      <c r="M6" s="6"/>
      <c r="N6" s="6"/>
      <c r="O6" s="10" t="s">
        <v>16</v>
      </c>
      <c r="AE6" s="29">
        <v>100.0</v>
      </c>
      <c r="AT6" s="29">
        <v>1014.001</v>
      </c>
      <c r="AU6" s="29">
        <v>1014.001</v>
      </c>
      <c r="BE6" s="29">
        <v>1000.0</v>
      </c>
      <c r="BF6" s="29">
        <v>1000.0</v>
      </c>
      <c r="BO6" s="29" t="s">
        <v>20</v>
      </c>
      <c r="BT6" s="29" t="s">
        <v>19</v>
      </c>
      <c r="CE6" s="32">
        <v>42352.0</v>
      </c>
    </row>
    <row r="7" ht="15.75" customHeight="1">
      <c r="A7" s="6"/>
      <c r="B7" s="10"/>
      <c r="C7" s="6"/>
      <c r="D7" s="6"/>
      <c r="E7" s="6"/>
      <c r="F7" s="6"/>
      <c r="G7" s="10" t="s">
        <v>28</v>
      </c>
      <c r="H7" s="6"/>
      <c r="I7" s="6"/>
      <c r="J7" s="6"/>
      <c r="K7" s="10">
        <v>20.0</v>
      </c>
      <c r="L7" s="10">
        <v>20.0</v>
      </c>
      <c r="M7" s="6"/>
      <c r="N7" s="6"/>
      <c r="O7" s="10" t="s">
        <v>16</v>
      </c>
      <c r="AE7" s="29">
        <v>100.0</v>
      </c>
      <c r="AT7" s="29">
        <v>1985.999</v>
      </c>
      <c r="AU7" s="29">
        <v>1985.999</v>
      </c>
      <c r="BE7" s="29">
        <v>2000.0</v>
      </c>
      <c r="BF7" s="29">
        <v>2000.0</v>
      </c>
      <c r="BO7" s="29" t="s">
        <v>23</v>
      </c>
      <c r="BT7" s="29" t="s">
        <v>19</v>
      </c>
      <c r="CE7" s="32">
        <v>42350.0</v>
      </c>
    </row>
    <row r="8" ht="15.75" customHeight="1">
      <c r="A8" s="6"/>
      <c r="B8" s="6"/>
      <c r="C8" s="10"/>
      <c r="D8" s="31"/>
      <c r="E8" s="31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17</v>
      </c>
      <c r="D3" s="8" t="s">
        <v>7</v>
      </c>
      <c r="E3" s="21" t="s">
        <v>18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29</v>
      </c>
      <c r="C6" s="6"/>
      <c r="D6" s="10" t="s">
        <v>30</v>
      </c>
      <c r="E6" s="33">
        <v>1000.0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