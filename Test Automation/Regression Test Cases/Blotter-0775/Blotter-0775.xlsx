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ReloadOrderFromBlotter" sheetId="5" r:id="rId7"/>
    <sheet state="visible" name="CreateNewSubOrder" sheetId="6" r:id="rId8"/>
    <sheet state="visible" name="CreateDoneAwayOrder" sheetId="7" r:id="rId9"/>
    <sheet state="visible" name="SelectTradeOnOrderGrid" sheetId="8" r:id="rId10"/>
    <sheet state="visible" name="ReloadOrderFromSubOrder" sheetId="9" r:id="rId11"/>
    <sheet state="visible" name="ReloadOrderFromBlotter1" sheetId="10" r:id="rId12"/>
    <sheet state="visible" name="CustomOrderTT1" sheetId="11" r:id="rId13"/>
    <sheet state="visible" name="GetDailyCash" sheetId="12" r:id="rId14"/>
    <sheet state="visible" name="UpdateMultipleDailyCash" sheetId="13" r:id="rId15"/>
    <sheet state="visible" name="CreateOrderPTT" sheetId="14" r:id="rId16"/>
    <sheet state="visible" name="TradeNewSubOrder" sheetId="15" r:id="rId17"/>
    <sheet state="visible" name="VerifyBlotter" sheetId="16" r:id="rId18"/>
    <sheet state="visible" name="VerifyWorkingSubs" sheetId="17" r:id="rId19"/>
    <sheet state="visible" name="CheckAllocatedGroups" sheetId="18" r:id="rId20"/>
    <sheet state="visible" name="CheckRealTimeSymAccountMonitor" sheetId="19" r:id="rId21"/>
    <sheet state="visible" name="OpenRTPNL" sheetId="20" r:id="rId22"/>
    <sheet state="visible" name="LoginClient" sheetId="21" r:id="rId23"/>
    <sheet state="visible" name="Copy of Data" sheetId="22" r:id="rId24"/>
  </sheets>
  <definedNames/>
  <calcPr/>
</workbook>
</file>

<file path=xl/sharedStrings.xml><?xml version="1.0" encoding="utf-8"?>
<sst xmlns="http://schemas.openxmlformats.org/spreadsheetml/2006/main" count="2951" uniqueCount="159">
  <si>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</si>
  <si>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</si>
  <si>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</si>
  <si>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</si>
  <si>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</si>
  <si>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</si>
  <si>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</si>
  <si>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</si>
  <si>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</si>
  <si>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</si>
  <si>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</si>
  <si>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</si>
  <si>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</si>
  <si>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</si>
  <si>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</si>
  <si>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</si>
  <si>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</si>
  <si>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</si>
  <si>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</si>
  <si>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</si>
  <si>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</si>
  <si>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</si>
  <si>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</si>
  <si>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</si>
  <si>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</si>
  <si>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</si>
  <si>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</si>
  <si>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</si>
  <si>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</si>
  <si>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</si>
  <si>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</si>
  <si>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</si>
  <si>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</si>
  <si>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</si>
  <si>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</si>
  <si>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</si>
  <si>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</si>
  <si>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</si>
  <si>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</si>
  <si>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</si>
  <si>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</si>
  <si>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</si>
  <si>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</si>
  <si>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</si>
  <si>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</si>
  <si>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</si>
  <si>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</si>
  <si>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</si>
  <si>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</si>
  <si>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</si>
  <si>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AAPL</t>
  </si>
  <si>
    <t>DoneAway</t>
  </si>
  <si>
    <t>Yes</t>
  </si>
  <si>
    <t>MSFT</t>
  </si>
  <si>
    <t>O:AAPL 13N715.00</t>
  </si>
  <si>
    <t>Blotter</t>
  </si>
  <si>
    <t>ReloadOrderFromBlotter</t>
  </si>
  <si>
    <t>CreateNewSubOrder</t>
  </si>
  <si>
    <t>CreateDoneAwayOrder</t>
  </si>
  <si>
    <t>SelectTradeOnOrderGrid</t>
  </si>
  <si>
    <t>ReloadOrderFromSubOrder</t>
  </si>
  <si>
    <t>DailyValuation</t>
  </si>
  <si>
    <t>GetDailyCash</t>
  </si>
  <si>
    <t>UpdateMultipleDailyCash</t>
  </si>
  <si>
    <t>Allocation1</t>
  </si>
  <si>
    <t>USD</t>
  </si>
  <si>
    <t>PTT</t>
  </si>
  <si>
    <t>CreateOrderPTT</t>
  </si>
  <si>
    <t>IBM</t>
  </si>
  <si>
    <t>Increase</t>
  </si>
  <si>
    <t>TradeNewSubOrder</t>
  </si>
  <si>
    <t>VerifyOrder</t>
  </si>
  <si>
    <t>Limit Price</t>
  </si>
  <si>
    <t>Stop Price</t>
  </si>
  <si>
    <t>OrderID</t>
  </si>
  <si>
    <t>Expiry Date</t>
  </si>
  <si>
    <t>Status</t>
  </si>
  <si>
    <t>Peg</t>
  </si>
  <si>
    <t>ParentClOrderID</t>
  </si>
  <si>
    <t>Transaction Time</t>
  </si>
  <si>
    <t>Allocation Scheme Name</t>
  </si>
  <si>
    <t>Strike Price</t>
  </si>
  <si>
    <t>Last Shares</t>
  </si>
  <si>
    <t>Last Fill Price (Local)</t>
  </si>
  <si>
    <t>Working Qty</t>
  </si>
  <si>
    <t>Uncommitted Qty</t>
  </si>
  <si>
    <t>Algo</t>
  </si>
  <si>
    <t>Bloomberg Symbol</t>
  </si>
  <si>
    <t>Principal Amount (Local)</t>
  </si>
  <si>
    <t>Principal Amount (Base)</t>
  </si>
  <si>
    <t>Master Fund</t>
  </si>
  <si>
    <t>% Executed</t>
  </si>
  <si>
    <t>Day Executed Qty</t>
  </si>
  <si>
    <t>Day Average Price</t>
  </si>
  <si>
    <t>Leaves</t>
  </si>
  <si>
    <t>Side</t>
  </si>
  <si>
    <t>Target Qty</t>
  </si>
  <si>
    <t>Avg Fill Price (Local)</t>
  </si>
  <si>
    <t>Avg Fill Price (Base)</t>
  </si>
  <si>
    <t>Asset Class</t>
  </si>
  <si>
    <t>Underlying Country</t>
  </si>
  <si>
    <t>Trader</t>
  </si>
  <si>
    <t>Current User</t>
  </si>
  <si>
    <t>Actual User</t>
  </si>
  <si>
    <t>Total Executed Qty</t>
  </si>
  <si>
    <t>FX Conversion Operator</t>
  </si>
  <si>
    <t>Process Date</t>
  </si>
  <si>
    <t>Underlying Symbol</t>
  </si>
  <si>
    <t>FX Rate</t>
  </si>
  <si>
    <t>Internal Comments</t>
  </si>
  <si>
    <t>Transaction Source</t>
  </si>
  <si>
    <t>Borrow Rate(%)</t>
  </si>
  <si>
    <t/>
  </si>
  <si>
    <t>Filled</t>
  </si>
  <si>
    <t>Manual</t>
  </si>
  <si>
    <t>AAPL US EQUITY</t>
  </si>
  <si>
    <t>Buy</t>
  </si>
  <si>
    <t>Market</t>
  </si>
  <si>
    <t>EquitySwap</t>
  </si>
  <si>
    <t>jpearce</t>
  </si>
  <si>
    <t>MS</t>
  </si>
  <si>
    <t>NASDAQ</t>
  </si>
  <si>
    <t>None</t>
  </si>
  <si>
    <t>MSFT US EQUITY</t>
  </si>
  <si>
    <t>FIX</t>
  </si>
  <si>
    <t>Buy to Open</t>
  </si>
  <si>
    <t>EquityOption</t>
  </si>
  <si>
    <t>PartiallyFilled</t>
  </si>
  <si>
    <t>IBM US EQUITY</t>
  </si>
  <si>
    <t>Equity</t>
  </si>
  <si>
    <t>PST</t>
  </si>
  <si>
    <t>VerifyWorkingSubs</t>
  </si>
  <si>
    <t>M</t>
  </si>
  <si>
    <t>GCCAP1</t>
  </si>
  <si>
    <t>NewMF</t>
  </si>
  <si>
    <t>Allocation</t>
  </si>
  <si>
    <t>CheckAllocatedGroups</t>
  </si>
  <si>
    <t>Actual_365</t>
  </si>
  <si>
    <t>Treasury</t>
  </si>
  <si>
    <t>Open</t>
  </si>
  <si>
    <t>InternalOrder</t>
  </si>
  <si>
    <t>Strategy Unallocated</t>
  </si>
  <si>
    <t>US</t>
  </si>
  <si>
    <t>NONE</t>
  </si>
  <si>
    <t>OPTS</t>
  </si>
  <si>
    <t>1,00,000.00</t>
  </si>
  <si>
    <t>BuytoOpen</t>
  </si>
  <si>
    <t>NYSE</t>
  </si>
  <si>
    <t>RTPNL</t>
  </si>
  <si>
    <t>CheckRealTimeSymAccountMonitor</t>
  </si>
  <si>
    <t>Long</t>
  </si>
  <si>
    <t>OpenRTPNL</t>
  </si>
  <si>
    <t>Nirvana,PM</t>
  </si>
  <si>
    <t>PranaClient</t>
  </si>
  <si>
    <t>LoginClient</t>
  </si>
  <si>
    <t>Support6</t>
  </si>
  <si>
    <t>Nirvana@1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</si>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</sst>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#,##,###0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FFFFFF"/>
      <name val="Arial"/>
    </font>
    <font>
      <sz val="11.0"/>
      <name val="Calibri"/>
    </font>
    <font>
      <sz val="11.0"/>
      <color rgb="FFFFFFFF"/>
      <name val="Calibri"/>
    </font>
    <font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24262A"/>
        <bgColor rgb="FF24262A"/>
      </patternFill>
    </fill>
    <fill>
      <patternFill patternType="solid">
        <fgColor rgb="FF1E1F23"/>
        <bgColor rgb="FF1E1F23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3" numFmtId="0" xfId="0" applyAlignment="1" applyFill="1" applyFont="1">
      <alignment vertical="bottom"/>
    </xf>
    <xf borderId="4" fillId="5" fontId="4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  <xf borderId="0" fillId="5" fontId="1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5" fontId="4" numFmtId="0" xfId="0" applyAlignment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15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5" fillId="6" fontId="16" numFmtId="4" xfId="0" applyAlignment="1" applyBorder="1" applyFill="1" applyFont="1" applyNumberFormat="1">
      <alignment horizontal="right" vertical="bottom"/>
    </xf>
    <xf borderId="0" fillId="0" fontId="2" numFmtId="164" xfId="0" applyFont="1" applyNumberFormat="1"/>
    <xf borderId="5" fillId="7" fontId="16" numFmtId="4" xfId="0" applyAlignment="1" applyBorder="1" applyFill="1" applyFont="1" applyNumberFormat="1">
      <alignment horizontal="right" vertical="bottom"/>
    </xf>
    <xf borderId="5" fillId="7" fontId="16" numFmtId="0" xfId="0" applyAlignment="1" applyBorder="1" applyFont="1">
      <alignment horizontal="right" vertical="bottom"/>
    </xf>
    <xf borderId="5" fillId="6" fontId="16" numFmtId="0" xfId="0" applyAlignment="1" applyBorder="1" applyFont="1">
      <alignment horizontal="right" vertical="bottom"/>
    </xf>
    <xf borderId="5" fillId="7" fontId="16" numFmtId="165" xfId="0" applyAlignment="1" applyBorder="1" applyFont="1" applyNumberFormat="1">
      <alignment horizontal="right" vertical="bottom"/>
    </xf>
    <xf borderId="5" fillId="6" fontId="16" numFmtId="165" xfId="0" applyAlignment="1" applyBorder="1" applyFont="1" applyNumberFormat="1">
      <alignment horizontal="right" vertical="bottom"/>
    </xf>
    <xf borderId="0" fillId="0" fontId="17" numFmtId="0" xfId="0" applyAlignment="1" applyFont="1">
      <alignment shrinkToFit="0" vertical="bottom" wrapText="0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16</v>
      </c>
      <c r="C5" s="28" t="s">
        <v>17</v>
      </c>
      <c r="D5" s="28" t="s">
        <v>18</v>
      </c>
      <c r="E5" s="28" t="s">
        <v>19</v>
      </c>
      <c r="F5" s="29" t="s">
        <v>20</v>
      </c>
      <c r="G5" s="28" t="s">
        <v>21</v>
      </c>
      <c r="H5" s="28" t="s">
        <v>22</v>
      </c>
      <c r="I5" s="28" t="s">
        <v>23</v>
      </c>
      <c r="J5" s="28" t="s">
        <v>24</v>
      </c>
      <c r="K5" s="28" t="s">
        <v>25</v>
      </c>
      <c r="L5" s="28" t="s">
        <v>26</v>
      </c>
      <c r="M5" s="28" t="s">
        <v>27</v>
      </c>
      <c r="N5" s="28" t="s">
        <v>28</v>
      </c>
      <c r="O5" s="28" t="s">
        <v>29</v>
      </c>
      <c r="P5" s="28" t="s">
        <v>30</v>
      </c>
      <c r="Q5" s="28" t="s">
        <v>31</v>
      </c>
      <c r="R5" s="28" t="s">
        <v>32</v>
      </c>
      <c r="S5" s="28" t="s">
        <v>33</v>
      </c>
      <c r="T5" s="30" t="s">
        <v>34</v>
      </c>
      <c r="U5" s="30" t="s">
        <v>35</v>
      </c>
      <c r="V5" s="30" t="s">
        <v>36</v>
      </c>
      <c r="W5" s="30" t="s">
        <v>37</v>
      </c>
      <c r="X5" s="30" t="s">
        <v>38</v>
      </c>
      <c r="Y5" s="30" t="s">
        <v>39</v>
      </c>
      <c r="Z5" s="30" t="s">
        <v>40</v>
      </c>
      <c r="AA5" s="30" t="s">
        <v>41</v>
      </c>
      <c r="AB5" s="30" t="s">
        <v>42</v>
      </c>
      <c r="AC5" s="30" t="s">
        <v>43</v>
      </c>
      <c r="AD5" s="30" t="s">
        <v>44</v>
      </c>
      <c r="AE5" s="30" t="s">
        <v>45</v>
      </c>
      <c r="AF5" s="30" t="s">
        <v>46</v>
      </c>
      <c r="AG5" s="30" t="s">
        <v>47</v>
      </c>
      <c r="AH5" s="30" t="s">
        <v>48</v>
      </c>
      <c r="AI5" s="30" t="s">
        <v>49</v>
      </c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</row>
    <row r="6" ht="15.75" customHeight="1">
      <c r="A6" s="31"/>
      <c r="B6" s="32" t="s">
        <v>50</v>
      </c>
      <c r="C6" s="33">
        <v>100.0</v>
      </c>
      <c r="D6" s="34">
        <v>10.0</v>
      </c>
      <c r="E6" s="35" t="s">
        <v>51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52</v>
      </c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5" t="s">
        <v>53</v>
      </c>
      <c r="C7" s="33">
        <v>100.0</v>
      </c>
      <c r="D7" s="33">
        <v>10.0</v>
      </c>
      <c r="E7" s="35" t="s">
        <v>51</v>
      </c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 t="s">
        <v>52</v>
      </c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35" t="s">
        <v>54</v>
      </c>
      <c r="C8" s="33">
        <v>100.0</v>
      </c>
      <c r="D8" s="33">
        <v>10.0</v>
      </c>
      <c r="E8" s="35" t="s">
        <v>51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37" t="str">
        <f>IFERROR(__xludf.DUMMYFUNCTION("TRANSPOSE(IMPORTRANGE(VLOOKUP($E$3,IMPORTRANGE('_Settings'!$B$3,$C$3&amp;""!A4:B1000""),2,FALSE),$G$3&amp;""!A4:A1000""))"),"")</f>
        <v/>
      </c>
      <c r="B5" s="38" t="str">
        <f>IFERROR(__xludf.DUMMYFUNCTION("""COMPUTED_VALUE"""),"Transaction Time")</f>
        <v>Transaction Time</v>
      </c>
      <c r="C5" s="38" t="str">
        <f>IFERROR(__xludf.DUMMYFUNCTION("""COMPUTED_VALUE"""),"Algo")</f>
        <v>Algo</v>
      </c>
      <c r="D5" s="38" t="str">
        <f>IFERROR(__xludf.DUMMYFUNCTION("""COMPUTED_VALUE"""),"Avg Fill Price (Base)")</f>
        <v>Avg Fill Price (Base)</v>
      </c>
      <c r="E5" s="38" t="str">
        <f>IFERROR(__xludf.DUMMYFUNCTION("""COMPUTED_VALUE"""),"Bloomberg Symbol")</f>
        <v>Bloomberg Symbol</v>
      </c>
      <c r="F5" s="39" t="str">
        <f>IFERROR(__xludf.DUMMYFUNCTION("""COMPUTED_VALUE"""),"Limit Price")</f>
        <v>Limit Price</v>
      </c>
      <c r="G5" s="38" t="str">
        <f>IFERROR(__xludf.DUMMYFUNCTION("""COMPUTED_VALUE"""),"Working Qty")</f>
        <v>Working Qty</v>
      </c>
      <c r="H5" s="38" t="str">
        <f>IFERROR(__xludf.DUMMYFUNCTION("""COMPUTED_VALUE"""),"Venue")</f>
        <v>Venue</v>
      </c>
      <c r="I5" s="38" t="str">
        <f>IFERROR(__xludf.DUMMYFUNCTION("""COMPUTED_VALUE"""),"User")</f>
        <v>User</v>
      </c>
      <c r="J5" s="38" t="str">
        <f>IFERROR(__xludf.DUMMYFUNCTION("""COMPUTED_VALUE"""),"Underlying Symbol")</f>
        <v>Underlying Symbol</v>
      </c>
      <c r="K5" s="38" t="str">
        <f>IFERROR(__xludf.DUMMYFUNCTION("""COMPUTED_VALUE"""),"Underlying Country")</f>
        <v>Underlying Country</v>
      </c>
      <c r="L5" s="38" t="str">
        <f>IFERROR(__xludf.DUMMYFUNCTION("""COMPUTED_VALUE"""),"Trader")</f>
        <v>Trader</v>
      </c>
      <c r="M5" s="38" t="str">
        <f>IFERROR(__xludf.DUMMYFUNCTION("""COMPUTED_VALUE"""),"Trade Attribute 6")</f>
        <v>Trade Attribute 6</v>
      </c>
      <c r="N5" s="38" t="str">
        <f>IFERROR(__xludf.DUMMYFUNCTION("""COMPUTED_VALUE"""),"Trade Attribute 5")</f>
        <v>Trade Attribute 5</v>
      </c>
      <c r="O5" s="38" t="str">
        <f>IFERROR(__xludf.DUMMYFUNCTION("""COMPUTED_VALUE"""),"Trade Attribute 4")</f>
        <v>Trade Attribute 4</v>
      </c>
      <c r="P5" s="38" t="str">
        <f>IFERROR(__xludf.DUMMYFUNCTION("""COMPUTED_VALUE"""),"Trade Attribute 3")</f>
        <v>Trade Attribute 3</v>
      </c>
      <c r="Q5" s="38" t="str">
        <f>IFERROR(__xludf.DUMMYFUNCTION("""COMPUTED_VALUE"""),"Trade Attribute 1")</f>
        <v>Trade Attribute 1</v>
      </c>
      <c r="R5" s="38" t="str">
        <f>IFERROR(__xludf.DUMMYFUNCTION("""COMPUTED_VALUE"""),"Trade Attribute 2")</f>
        <v>Trade Attribute 2</v>
      </c>
      <c r="S5" s="38" t="str">
        <f>IFERROR(__xludf.DUMMYFUNCTION("""COMPUTED_VALUE"""),"Strike Price")</f>
        <v>Strike Price</v>
      </c>
      <c r="T5" s="40" t="str">
        <f>IFERROR(__xludf.DUMMYFUNCTION("""COMPUTED_VALUE"""),"Stop Price")</f>
        <v>Stop Price</v>
      </c>
      <c r="U5" s="40" t="str">
        <f>IFERROR(__xludf.DUMMYFUNCTION("""COMPUTED_VALUE"""),"Settlement Currency")</f>
        <v>Settlement Currency</v>
      </c>
      <c r="V5" s="40" t="str">
        <f>IFERROR(__xludf.DUMMYFUNCTION("""COMPUTED_VALUE"""),"Put/Call")</f>
        <v>Put/Call</v>
      </c>
      <c r="W5" s="40" t="str">
        <f>IFERROR(__xludf.DUMMYFUNCTION("""COMPUTED_VALUE"""),"Process Date")</f>
        <v>Process Date</v>
      </c>
      <c r="X5" s="40" t="str">
        <f>IFERROR(__xludf.DUMMYFUNCTION("""COMPUTED_VALUE"""),"Peg")</f>
        <v>Peg</v>
      </c>
      <c r="Y5" s="40" t="str">
        <f>IFERROR(__xludf.DUMMYFUNCTION("""COMPUTED_VALUE"""),"ParentClOrderID")</f>
        <v>ParentClOrderID</v>
      </c>
      <c r="Z5" s="40" t="str">
        <f>IFERROR(__xludf.DUMMYFUNCTION("""COMPUTED_VALUE"""),"OrderID")</f>
        <v>OrderID</v>
      </c>
      <c r="AA5" s="40" t="str">
        <f>IFERROR(__xludf.DUMMYFUNCTION("""COMPUTED_VALUE"""),"Master Fund")</f>
        <v>Master Fund</v>
      </c>
      <c r="AB5" s="40" t="str">
        <f>IFERROR(__xludf.DUMMYFUNCTION("""COMPUTED_VALUE"""),"Last Shares")</f>
        <v>Last Shares</v>
      </c>
      <c r="AC5" s="40" t="str">
        <f>IFERROR(__xludf.DUMMYFUNCTION("""COMPUTED_VALUE"""),"Internal Comments")</f>
        <v>Internal Comments</v>
      </c>
      <c r="AD5" s="40" t="str">
        <f>IFERROR(__xludf.DUMMYFUNCTION("""COMPUTED_VALUE"""),"FX Rate")</f>
        <v>FX Rate</v>
      </c>
      <c r="AE5" s="40" t="str">
        <f>IFERROR(__xludf.DUMMYFUNCTION("""COMPUTED_VALUE"""),"Imported File Name")</f>
        <v>Imported File Name</v>
      </c>
      <c r="AF5" s="40" t="str">
        <f>IFERROR(__xludf.DUMMYFUNCTION("""COMPUTED_VALUE"""),"FX Conversion Operator")</f>
        <v>FX Conversion Operator</v>
      </c>
      <c r="AG5" s="40" t="str">
        <f>IFERROR(__xludf.DUMMYFUNCTION("""COMPUTED_VALUE"""),"Day Average Price")</f>
        <v>Day Average Price</v>
      </c>
      <c r="AH5" s="40" t="str">
        <f>IFERROR(__xludf.DUMMYFUNCTION("""COMPUTED_VALUE"""),"Asset Class")</f>
        <v>Asset Class</v>
      </c>
      <c r="AI5" s="40" t="str">
        <f>IFERROR(__xludf.DUMMYFUNCTION("""COMPUTED_VALUE"""),"Symbol")</f>
        <v>Symbol</v>
      </c>
      <c r="AJ5" s="40" t="str">
        <f>IFERROR(__xludf.DUMMYFUNCTION("""COMPUTED_VALUE"""),"Side")</f>
        <v>Side</v>
      </c>
      <c r="AK5" s="40" t="str">
        <f>IFERROR(__xludf.DUMMYFUNCTION("""COMPUTED_VALUE"""),"Status")</f>
        <v>Status</v>
      </c>
      <c r="AL5" s="40" t="str">
        <f>IFERROR(__xludf.DUMMYFUNCTION("""COMPUTED_VALUE"""),"Target Qty")</f>
        <v>Target Qty</v>
      </c>
      <c r="AM5" s="40" t="str">
        <f>IFERROR(__xludf.DUMMYFUNCTION("""COMPUTED_VALUE"""),"Total Executed Qty")</f>
        <v>Total Executed Qty</v>
      </c>
      <c r="AN5" s="40" t="str">
        <f>IFERROR(__xludf.DUMMYFUNCTION("""COMPUTED_VALUE"""),"% Executed")</f>
        <v>% Executed</v>
      </c>
      <c r="AO5" s="40" t="str">
        <f>IFERROR(__xludf.DUMMYFUNCTION("""COMPUTED_VALUE"""),"Day Executed Qty")</f>
        <v>Day Executed Qty</v>
      </c>
      <c r="AP5" s="40" t="str">
        <f>IFERROR(__xludf.DUMMYFUNCTION("""COMPUTED_VALUE"""),"Uncommitted Qty")</f>
        <v>Uncommitted Qty</v>
      </c>
      <c r="AQ5" s="40" t="str">
        <f>IFERROR(__xludf.DUMMYFUNCTION("""COMPUTED_VALUE"""),"Last Fill Price (Local)")</f>
        <v>Last Fill Price (Local)</v>
      </c>
      <c r="AR5" s="40" t="str">
        <f>IFERROR(__xludf.DUMMYFUNCTION("""COMPUTED_VALUE"""),"Avg Fill Price (Local)")</f>
        <v>Avg Fill Price (Local)</v>
      </c>
      <c r="AS5" s="40" t="str">
        <f>IFERROR(__xludf.DUMMYFUNCTION("""COMPUTED_VALUE"""),"Broker")</f>
        <v>Broker</v>
      </c>
      <c r="AT5" s="40" t="str">
        <f>IFERROR(__xludf.DUMMYFUNCTION("""COMPUTED_VALUE"""),"Account")</f>
        <v>Account</v>
      </c>
      <c r="AU5" s="40" t="str">
        <f>IFERROR(__xludf.DUMMYFUNCTION("""COMPUTED_VALUE"""),"Order Type")</f>
        <v>Order Type</v>
      </c>
      <c r="AV5" s="40" t="str">
        <f>IFERROR(__xludf.DUMMYFUNCTION("""COMPUTED_VALUE"""),"Principal Amount (Local)")</f>
        <v>Principal Amount (Local)</v>
      </c>
      <c r="AW5" s="40" t="str">
        <f>IFERROR(__xludf.DUMMYFUNCTION("""COMPUTED_VALUE"""),"Principal Amount (Base)")</f>
        <v>Principal Amount (Base)</v>
      </c>
      <c r="AX5" s="40" t="str">
        <f>IFERROR(__xludf.DUMMYFUNCTION("""COMPUTED_VALUE"""),"Allocation Scheme Name")</f>
        <v>Allocation Scheme Name</v>
      </c>
      <c r="AY5" s="40" t="str">
        <f>IFERROR(__xludf.DUMMYFUNCTION("""COMPUTED_VALUE"""),"Status (With Rollover)")</f>
        <v>Status (With Rollover)</v>
      </c>
      <c r="AZ5" s="40" t="str">
        <f>IFERROR(__xludf.DUMMYFUNCTION("""COMPUTED_VALUE"""),"Start of Day Qty")</f>
        <v>Start of Day Qty</v>
      </c>
      <c r="BA5" s="40" t="str">
        <f>IFERROR(__xludf.DUMMYFUNCTION("""COMPUTED_VALUE"""),"Leaves")</f>
        <v>Leaves</v>
      </c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40"/>
      <c r="DE5" s="40"/>
      <c r="DF5" s="40"/>
      <c r="DG5" s="40"/>
      <c r="DH5" s="40"/>
      <c r="DI5" s="40"/>
      <c r="DJ5" s="40"/>
      <c r="DK5" s="40"/>
      <c r="DL5" s="40"/>
      <c r="DM5" s="40"/>
      <c r="DN5" s="40"/>
      <c r="DO5" s="40"/>
      <c r="DP5" s="40"/>
      <c r="DQ5" s="40"/>
      <c r="DR5" s="40"/>
      <c r="DS5" s="40"/>
      <c r="DT5" s="40"/>
      <c r="DU5" s="40"/>
      <c r="DV5" s="40"/>
      <c r="DW5" s="40"/>
      <c r="DX5" s="40"/>
      <c r="DY5" s="40"/>
      <c r="DZ5" s="40"/>
      <c r="EA5" s="40"/>
      <c r="EB5" s="40"/>
      <c r="EC5" s="40"/>
      <c r="ED5" s="40"/>
      <c r="EE5" s="40"/>
      <c r="EF5" s="40"/>
      <c r="EG5" s="40"/>
      <c r="EH5" s="40"/>
      <c r="EI5" s="40"/>
      <c r="EJ5" s="40"/>
      <c r="EK5" s="40"/>
      <c r="EL5" s="40"/>
      <c r="EM5" s="40"/>
      <c r="EN5" s="40"/>
      <c r="EO5" s="40"/>
      <c r="EP5" s="40"/>
      <c r="EQ5" s="40"/>
      <c r="ER5" s="40"/>
      <c r="ES5" s="40"/>
      <c r="ET5" s="40"/>
      <c r="EU5" s="40"/>
      <c r="EV5" s="40"/>
      <c r="EW5" s="40"/>
      <c r="EX5" s="40"/>
    </row>
    <row r="6" ht="15.75" customHeight="1">
      <c r="A6" s="13"/>
      <c r="B6" s="13"/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50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ReloadOrderFromBlotter!$4:$4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37" t="str">
        <f>IFERROR(__xludf.DUMMYFUNCTION("TRANSPOSE(IMPORTRANGE(VLOOKUP($E$3,IMPORTRANGE('_Settings'!$B$3,$C$3&amp;""!A4:B1000""),2,FALSE),$G$3&amp;""!A4:A1000""))"),"")</f>
        <v/>
      </c>
      <c r="B5" s="38" t="str">
        <f>IFERROR(__xludf.DUMMYFUNCTION("""COMPUTED_VALUE"""),"Symbol")</f>
        <v>Symbol</v>
      </c>
      <c r="C5" s="38" t="str">
        <f>IFERROR(__xludf.DUMMYFUNCTION("""COMPUTED_VALUE"""),"Order Side")</f>
        <v>Order Side</v>
      </c>
      <c r="D5" s="38" t="str">
        <f>IFERROR(__xludf.DUMMYFUNCTION("""COMPUTED_VALUE"""),"Quantity")</f>
        <v>Quantity</v>
      </c>
      <c r="E5" s="38" t="str">
        <f>IFERROR(__xludf.DUMMYFUNCTION("""COMPUTED_VALUE"""),"TargetQuantityIn")</f>
        <v>TargetQuantityIn</v>
      </c>
      <c r="F5" s="39" t="str">
        <f>IFERROR(__xludf.DUMMYFUNCTION("""COMPUTED_VALUE"""),"AllocationMethod")</f>
        <v>AllocationMethod</v>
      </c>
      <c r="G5" s="38" t="str">
        <f>IFERROR(__xludf.DUMMYFUNCTION("""COMPUTED_VALUE"""),"Broker")</f>
        <v>Broker</v>
      </c>
      <c r="H5" s="38" t="str">
        <f>IFERROR(__xludf.DUMMYFUNCTION("""COMPUTED_VALUE"""),"TIF")</f>
        <v>TIF</v>
      </c>
      <c r="I5" s="38" t="str">
        <f>IFERROR(__xludf.DUMMYFUNCTION("""COMPUTED_VALUE"""),"Order Type")</f>
        <v>Order Type</v>
      </c>
      <c r="J5" s="38" t="str">
        <f>IFERROR(__xludf.DUMMYFUNCTION("""COMPUTED_VALUE"""),"Price")</f>
        <v>Price</v>
      </c>
      <c r="K5" s="38" t="str">
        <f>IFERROR(__xludf.DUMMYFUNCTION("""COMPUTED_VALUE"""),"Stop")</f>
        <v>Stop</v>
      </c>
      <c r="L5" s="38" t="str">
        <f>IFERROR(__xludf.DUMMYFUNCTION("""COMPUTED_VALUE"""),"Limit")</f>
        <v>Limit</v>
      </c>
      <c r="M5" s="38" t="str">
        <f>IFERROR(__xludf.DUMMYFUNCTION("""COMPUTED_VALUE"""),"Strategy")</f>
        <v>Strategy</v>
      </c>
      <c r="N5" s="38" t="str">
        <f>IFERROR(__xludf.DUMMYFUNCTION("""COMPUTED_VALUE"""),"Trade Date")</f>
        <v>Trade Date</v>
      </c>
      <c r="O5" s="38" t="str">
        <f>IFERROR(__xludf.DUMMYFUNCTION("""COMPUTED_VALUE"""),"FxRate")</f>
        <v>FxRate</v>
      </c>
      <c r="P5" s="38" t="str">
        <f>IFERROR(__xludf.DUMMYFUNCTION("""COMPUTED_VALUE"""),"Notes")</f>
        <v>Notes</v>
      </c>
      <c r="Q5" s="38" t="str">
        <f>IFERROR(__xludf.DUMMYFUNCTION("""COMPUTED_VALUE"""),"Broker Notes")</f>
        <v>Broker Notes</v>
      </c>
      <c r="R5" s="38" t="str">
        <f>IFERROR(__xludf.DUMMYFUNCTION("""COMPUTED_VALUE"""),"CommissionBasis")</f>
        <v>CommissionBasis</v>
      </c>
      <c r="S5" s="38" t="str">
        <f>IFERROR(__xludf.DUMMYFUNCTION("""COMPUTED_VALUE"""),"CommissionRate")</f>
        <v>CommissionRate</v>
      </c>
      <c r="T5" s="40" t="str">
        <f>IFERROR(__xludf.DUMMYFUNCTION("""COMPUTED_VALUE"""),"SoftBasis")</f>
        <v>SoftBasis</v>
      </c>
      <c r="U5" s="40" t="str">
        <f>IFERROR(__xludf.DUMMYFUNCTION("""COMPUTED_VALUE"""),"SoftRate")</f>
        <v>SoftRate</v>
      </c>
      <c r="V5" s="40" t="str">
        <f>IFERROR(__xludf.DUMMYFUNCTION("""COMPUTED_VALUE"""),"TradeAttribute1")</f>
        <v>TradeAttribute1</v>
      </c>
      <c r="W5" s="40" t="str">
        <f>IFERROR(__xludf.DUMMYFUNCTION("""COMPUTED_VALUE"""),"TradeAttribute2")</f>
        <v>TradeAttribute2</v>
      </c>
      <c r="X5" s="40" t="str">
        <f>IFERROR(__xludf.DUMMYFUNCTION("""COMPUTED_VALUE"""),"TradeAttribute3")</f>
        <v>TradeAttribute3</v>
      </c>
      <c r="Y5" s="40" t="str">
        <f>IFERROR(__xludf.DUMMYFUNCTION("""COMPUTED_VALUE"""),"TradeAttribute4")</f>
        <v>TradeAttribute4</v>
      </c>
      <c r="Z5" s="40" t="str">
        <f>IFERROR(__xludf.DUMMYFUNCTION("""COMPUTED_VALUE"""),"TradeAttribute5")</f>
        <v>TradeAttribute5</v>
      </c>
      <c r="AA5" s="40" t="str">
        <f>IFERROR(__xludf.DUMMYFUNCTION("""COMPUTED_VALUE"""),"TradeAttribute6")</f>
        <v>TradeAttribute6</v>
      </c>
      <c r="AB5" s="40" t="str">
        <f>IFERROR(__xludf.DUMMYFUNCTION("""COMPUTED_VALUE"""),"Venue")</f>
        <v>Venue</v>
      </c>
      <c r="AC5" s="40" t="str">
        <f>IFERROR(__xludf.DUMMYFUNCTION("""COMPUTED_VALUE"""),"ExecutionInstructions")</f>
        <v>ExecutionInstructions</v>
      </c>
      <c r="AD5" s="40" t="str">
        <f>IFERROR(__xludf.DUMMYFUNCTION("""COMPUTED_VALUE"""),"HandlingInstructions")</f>
        <v>HandlingInstructions</v>
      </c>
      <c r="AE5" s="40" t="str">
        <f>IFERROR(__xludf.DUMMYFUNCTION("""COMPUTED_VALUE"""),"Trader")</f>
        <v>Trader</v>
      </c>
      <c r="AF5" s="40" t="str">
        <f>IFERROR(__xludf.DUMMYFUNCTION("""COMPUTED_VALUE"""),"SettlementCurrency")</f>
        <v>SettlementCurrency</v>
      </c>
      <c r="AG5" s="40" t="str">
        <f>IFERROR(__xludf.DUMMYFUNCTION("""COMPUTED_VALUE"""),"SettlementFXRate")</f>
        <v>SettlementFXRate</v>
      </c>
      <c r="AH5" s="40" t="str">
        <f>IFERROR(__xludf.DUMMYFUNCTION("""COMPUTED_VALUE"""),"SettlementAmount")</f>
        <v>SettlementAmount</v>
      </c>
      <c r="AI5" s="40" t="str">
        <f>IFERROR(__xludf.DUMMYFUNCTION("""COMPUTED_VALUE"""),"SettlementFXOperator")</f>
        <v>SettlementFXOperator</v>
      </c>
      <c r="AJ5" s="40" t="str">
        <f>IFERROR(__xludf.DUMMYFUNCTION("""COMPUTED_VALUE"""),"SettleByBroker")</f>
        <v>SettleByBroker</v>
      </c>
      <c r="AK5" s="40" t="str">
        <f>IFERROR(__xludf.DUMMYFUNCTION("""COMPUTED_VALUE"""),"Account")</f>
        <v>Account</v>
      </c>
      <c r="AL5" s="40" t="str">
        <f>IFERROR(__xludf.DUMMYFUNCTION("""COMPUTED_VALUE"""),"Account %")</f>
        <v>Account %</v>
      </c>
      <c r="AM5" s="40" t="str">
        <f>IFERROR(__xludf.DUMMYFUNCTION("""COMPUTED_VALUE"""),"Deal In")</f>
        <v>Deal In</v>
      </c>
      <c r="AN5" s="40" t="str">
        <f>IFERROR(__xludf.DUMMYFUNCTION("""COMPUTED_VALUE"""),"PopUpQuantity")</f>
        <v>PopUpQuantity</v>
      </c>
      <c r="AO5" s="40" t="str">
        <f>IFERROR(__xludf.DUMMYFUNCTION("""COMPUTED_VALUE"""),"ShortLocate")</f>
        <v>ShortLocate</v>
      </c>
      <c r="AP5" s="40" t="str">
        <f>IFERROR(__xludf.DUMMYFUNCTION("""COMPUTED_VALUE"""),"ChkBoxBookAsSwap")</f>
        <v>ChkBoxBookAsSwap</v>
      </c>
      <c r="AQ5" s="40" t="str">
        <f>IFERROR(__xludf.DUMMYFUNCTION("""COMPUTED_VALUE"""),"Interest Rate")</f>
        <v>Interest Rate</v>
      </c>
      <c r="AR5" s="40" t="str">
        <f>IFERROR(__xludf.DUMMYFUNCTION("""COMPUTED_VALUE"""),"SharesOutstandingPopUp")</f>
        <v>SharesOutstandingPopUp</v>
      </c>
      <c r="AS5" s="40" t="str">
        <f>IFERROR(__xludf.DUMMYFUNCTION("""COMPUTED_VALUE"""),"AllowTrade")</f>
        <v>AllowTrade</v>
      </c>
      <c r="AT5" s="40" t="str">
        <f>IFERROR(__xludf.DUMMYFUNCTION("""COMPUTED_VALUE"""),"ClearOldCA")</f>
        <v>ClearOldCA</v>
      </c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40"/>
      <c r="DE5" s="40"/>
      <c r="DF5" s="40"/>
      <c r="DG5" s="40"/>
      <c r="DH5" s="40"/>
      <c r="DI5" s="40"/>
      <c r="DJ5" s="40"/>
      <c r="DK5" s="40"/>
      <c r="DL5" s="40"/>
      <c r="DM5" s="40"/>
      <c r="DN5" s="40"/>
      <c r="DO5" s="40"/>
      <c r="DP5" s="40"/>
      <c r="DQ5" s="40"/>
      <c r="DR5" s="40"/>
      <c r="DS5" s="40"/>
      <c r="DT5" s="40"/>
      <c r="DU5" s="40"/>
      <c r="DV5" s="40"/>
      <c r="DW5" s="40"/>
      <c r="DX5" s="40"/>
      <c r="DY5" s="40"/>
      <c r="DZ5" s="40"/>
      <c r="EA5" s="40"/>
      <c r="EB5" s="40"/>
      <c r="EC5" s="40"/>
      <c r="ED5" s="40"/>
      <c r="EE5" s="40"/>
      <c r="EF5" s="40"/>
      <c r="EG5" s="40"/>
      <c r="EH5" s="40"/>
      <c r="EI5" s="40"/>
      <c r="EJ5" s="40"/>
      <c r="EK5" s="40"/>
      <c r="EL5" s="40"/>
      <c r="EM5" s="40"/>
      <c r="EN5" s="40"/>
      <c r="EO5" s="40"/>
      <c r="EP5" s="40"/>
      <c r="EQ5" s="40"/>
      <c r="ER5" s="40"/>
      <c r="ES5" s="40"/>
      <c r="ET5" s="40"/>
      <c r="EU5" s="40"/>
      <c r="EV5" s="40"/>
      <c r="EW5" s="40"/>
      <c r="EX5" s="40"/>
    </row>
    <row r="6" ht="15.75" customHeight="1">
      <c r="A6" s="13"/>
      <c r="B6" s="13"/>
      <c r="C6" s="8"/>
      <c r="D6" s="13">
        <v>100.0</v>
      </c>
      <c r="E6" s="4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37" t="str">
        <f>IFERROR(__xludf.DUMMYFUNCTION("TRANSPOSE(IMPORTRANGE(VLOOKUP($E$3,IMPORTRANGE('_Settings'!$B$3,$C$3&amp;""!A4:B1000""),2,FALSE),$G$3&amp;""!A4:A1000""))"),"")</f>
        <v/>
      </c>
      <c r="B5" s="38" t="str">
        <f>IFERROR(__xludf.DUMMYFUNCTION("""COMPUTED_VALUE"""),"Symbol")</f>
        <v>Symbol</v>
      </c>
      <c r="C5" s="38" t="str">
        <f>IFERROR(__xludf.DUMMYFUNCTION("""COMPUTED_VALUE"""),"Order Side")</f>
        <v>Order Side</v>
      </c>
      <c r="D5" s="38" t="str">
        <f>IFERROR(__xludf.DUMMYFUNCTION("""COMPUTED_VALUE"""),"Quantity")</f>
        <v>Quantity</v>
      </c>
      <c r="E5" s="38" t="str">
        <f>IFERROR(__xludf.DUMMYFUNCTION("""COMPUTED_VALUE"""),"TargetQuantityIn")</f>
        <v>TargetQuantityIn</v>
      </c>
      <c r="F5" s="39" t="str">
        <f>IFERROR(__xludf.DUMMYFUNCTION("""COMPUTED_VALUE"""),"AllocationMethod")</f>
        <v>AllocationMethod</v>
      </c>
      <c r="G5" s="38" t="str">
        <f>IFERROR(__xludf.DUMMYFUNCTION("""COMPUTED_VALUE"""),"Broker")</f>
        <v>Broker</v>
      </c>
      <c r="H5" s="38" t="str">
        <f>IFERROR(__xludf.DUMMYFUNCTION("""COMPUTED_VALUE"""),"TIF")</f>
        <v>TIF</v>
      </c>
      <c r="I5" s="38" t="str">
        <f>IFERROR(__xludf.DUMMYFUNCTION("""COMPUTED_VALUE"""),"Order Type")</f>
        <v>Order Type</v>
      </c>
      <c r="J5" s="38" t="str">
        <f>IFERROR(__xludf.DUMMYFUNCTION("""COMPUTED_VALUE"""),"Price")</f>
        <v>Price</v>
      </c>
      <c r="K5" s="38" t="str">
        <f>IFERROR(__xludf.DUMMYFUNCTION("""COMPUTED_VALUE"""),"Stop")</f>
        <v>Stop</v>
      </c>
      <c r="L5" s="38" t="str">
        <f>IFERROR(__xludf.DUMMYFUNCTION("""COMPUTED_VALUE"""),"Limit")</f>
        <v>Limit</v>
      </c>
      <c r="M5" s="38" t="str">
        <f>IFERROR(__xludf.DUMMYFUNCTION("""COMPUTED_VALUE"""),"Strategy")</f>
        <v>Strategy</v>
      </c>
      <c r="N5" s="38" t="str">
        <f>IFERROR(__xludf.DUMMYFUNCTION("""COMPUTED_VALUE"""),"Trade Date")</f>
        <v>Trade Date</v>
      </c>
      <c r="O5" s="38" t="str">
        <f>IFERROR(__xludf.DUMMYFUNCTION("""COMPUTED_VALUE"""),"FxRate")</f>
        <v>FxRate</v>
      </c>
      <c r="P5" s="38" t="str">
        <f>IFERROR(__xludf.DUMMYFUNCTION("""COMPUTED_VALUE"""),"Notes")</f>
        <v>Notes</v>
      </c>
      <c r="Q5" s="38" t="str">
        <f>IFERROR(__xludf.DUMMYFUNCTION("""COMPUTED_VALUE"""),"Broker Notes")</f>
        <v>Broker Notes</v>
      </c>
      <c r="R5" s="38" t="str">
        <f>IFERROR(__xludf.DUMMYFUNCTION("""COMPUTED_VALUE"""),"CommissionBasis")</f>
        <v>CommissionBasis</v>
      </c>
      <c r="S5" s="38" t="str">
        <f>IFERROR(__xludf.DUMMYFUNCTION("""COMPUTED_VALUE"""),"CommissionRate")</f>
        <v>CommissionRate</v>
      </c>
      <c r="T5" s="40" t="str">
        <f>IFERROR(__xludf.DUMMYFUNCTION("""COMPUTED_VALUE"""),"SoftBasis")</f>
        <v>SoftBasis</v>
      </c>
      <c r="U5" s="40" t="str">
        <f>IFERROR(__xludf.DUMMYFUNCTION("""COMPUTED_VALUE"""),"SoftRate")</f>
        <v>SoftRate</v>
      </c>
      <c r="V5" s="40" t="str">
        <f>IFERROR(__xludf.DUMMYFUNCTION("""COMPUTED_VALUE"""),"TradeAttribute1")</f>
        <v>TradeAttribute1</v>
      </c>
      <c r="W5" s="40" t="str">
        <f>IFERROR(__xludf.DUMMYFUNCTION("""COMPUTED_VALUE"""),"TradeAttribute2")</f>
        <v>TradeAttribute2</v>
      </c>
      <c r="X5" s="40" t="str">
        <f>IFERROR(__xludf.DUMMYFUNCTION("""COMPUTED_VALUE"""),"TradeAttribute3")</f>
        <v>TradeAttribute3</v>
      </c>
      <c r="Y5" s="40" t="str">
        <f>IFERROR(__xludf.DUMMYFUNCTION("""COMPUTED_VALUE"""),"TradeAttribute4")</f>
        <v>TradeAttribute4</v>
      </c>
      <c r="Z5" s="40" t="str">
        <f>IFERROR(__xludf.DUMMYFUNCTION("""COMPUTED_VALUE"""),"TradeAttribute5")</f>
        <v>TradeAttribute5</v>
      </c>
      <c r="AA5" s="40" t="str">
        <f>IFERROR(__xludf.DUMMYFUNCTION("""COMPUTED_VALUE"""),"TradeAttribute6")</f>
        <v>TradeAttribute6</v>
      </c>
      <c r="AB5" s="40" t="str">
        <f>IFERROR(__xludf.DUMMYFUNCTION("""COMPUTED_VALUE"""),"Venue")</f>
        <v>Venue</v>
      </c>
      <c r="AC5" s="40" t="str">
        <f>IFERROR(__xludf.DUMMYFUNCTION("""COMPUTED_VALUE"""),"ExecutionInstructions")</f>
        <v>ExecutionInstructions</v>
      </c>
      <c r="AD5" s="40" t="str">
        <f>IFERROR(__xludf.DUMMYFUNCTION("""COMPUTED_VALUE"""),"HandlingInstructions")</f>
        <v>HandlingInstructions</v>
      </c>
      <c r="AE5" s="40" t="str">
        <f>IFERROR(__xludf.DUMMYFUNCTION("""COMPUTED_VALUE"""),"Trader")</f>
        <v>Trader</v>
      </c>
      <c r="AF5" s="40" t="str">
        <f>IFERROR(__xludf.DUMMYFUNCTION("""COMPUTED_VALUE"""),"SettlementCurrency")</f>
        <v>SettlementCurrency</v>
      </c>
      <c r="AG5" s="40" t="str">
        <f>IFERROR(__xludf.DUMMYFUNCTION("""COMPUTED_VALUE"""),"SettlementFXRate")</f>
        <v>SettlementFXRate</v>
      </c>
      <c r="AH5" s="40" t="str">
        <f>IFERROR(__xludf.DUMMYFUNCTION("""COMPUTED_VALUE"""),"SettlementAmount")</f>
        <v>SettlementAmount</v>
      </c>
      <c r="AI5" s="40" t="str">
        <f>IFERROR(__xludf.DUMMYFUNCTION("""COMPUTED_VALUE"""),"SettlementFXOperator")</f>
        <v>SettlementFXOperator</v>
      </c>
      <c r="AJ5" s="40" t="str">
        <f>IFERROR(__xludf.DUMMYFUNCTION("""COMPUTED_VALUE"""),"SettleByBroker")</f>
        <v>SettleByBroker</v>
      </c>
      <c r="AK5" s="40" t="str">
        <f>IFERROR(__xludf.DUMMYFUNCTION("""COMPUTED_VALUE"""),"Account")</f>
        <v>Account</v>
      </c>
      <c r="AL5" s="40" t="str">
        <f>IFERROR(__xludf.DUMMYFUNCTION("""COMPUTED_VALUE"""),"Account %")</f>
        <v>Account %</v>
      </c>
      <c r="AM5" s="40" t="str">
        <f>IFERROR(__xludf.DUMMYFUNCTION("""COMPUTED_VALUE"""),"Deal In")</f>
        <v>Deal In</v>
      </c>
      <c r="AN5" s="40" t="str">
        <f>IFERROR(__xludf.DUMMYFUNCTION("""COMPUTED_VALUE"""),"ChkBoxBookAsSwap")</f>
        <v>ChkBoxBookAsSwap</v>
      </c>
      <c r="AO5" s="40" t="str">
        <f>IFERROR(__xludf.DUMMYFUNCTION("""COMPUTED_VALUE"""),"PopUpQuantity")</f>
        <v>PopUpQuantity</v>
      </c>
      <c r="AP5" s="40" t="str">
        <f>IFERROR(__xludf.DUMMYFUNCTION("""COMPUTED_VALUE"""),"ShortLocate")</f>
        <v>ShortLocate</v>
      </c>
      <c r="AQ5" s="40" t="str">
        <f>IFERROR(__xludf.DUMMYFUNCTION("""COMPUTED_VALUE"""),"AllowTrade")</f>
        <v>AllowTrade</v>
      </c>
      <c r="AR5" s="40" t="str">
        <f>IFERROR(__xludf.DUMMYFUNCTION("""COMPUTED_VALUE"""),"SharesOutstandingPopUpQty")</f>
        <v>SharesOutstandingPopUpQty</v>
      </c>
      <c r="AS5" s="40" t="str">
        <f>IFERROR(__xludf.DUMMYFUNCTION("""COMPUTED_VALUE"""),"SharesOutstandingPopUp")</f>
        <v>SharesOutstandingPopUp</v>
      </c>
      <c r="AT5" s="40" t="str">
        <f>IFERROR(__xludf.DUMMYFUNCTION("""COMPUTED_VALUE"""),"ResAllowedListPopUp")</f>
        <v>ResAllowedListPopUp</v>
      </c>
      <c r="AU5" s="40" t="str">
        <f>IFERROR(__xludf.DUMMYFUNCTION("""COMPUTED_VALUE"""),"Rate(%)")</f>
        <v>Rate(%)</v>
      </c>
      <c r="AV5" s="40" t="str">
        <f>IFERROR(__xludf.DUMMYFUNCTION("""COMPUTED_VALUE"""),"Interest Rate")</f>
        <v>Interest Rate</v>
      </c>
      <c r="AW5" s="40" t="str">
        <f>IFERROR(__xludf.DUMMYFUNCTION("""COMPUTED_VALUE"""),"SelectAlgoStrategy")</f>
        <v>SelectAlgoStrategy</v>
      </c>
      <c r="AX5" s="40" t="str">
        <f>IFERROR(__xludf.DUMMYFUNCTION("""COMPUTED_VALUE"""),"Increase/Decrease Quantity")</f>
        <v>Increase/Decrease Quantity</v>
      </c>
      <c r="AY5" s="40" t="str">
        <f>IFERROR(__xludf.DUMMYFUNCTION("""COMPUTED_VALUE"""),"Master Funds")</f>
        <v>Master Funds</v>
      </c>
      <c r="AZ5" s="40" t="str">
        <f>IFERROR(__xludf.DUMMYFUNCTION("""COMPUTED_VALUE"""),"TRVAccountName")</f>
        <v>TRVAccountName</v>
      </c>
      <c r="BA5" s="40" t="str">
        <f>IFERROR(__xludf.DUMMYFUNCTION("""COMPUTED_VALUE"""),"TRVTradeQuantity")</f>
        <v>TRVTradeQuantity</v>
      </c>
      <c r="BB5" s="40" t="str">
        <f>IFERROR(__xludf.DUMMYFUNCTION("""COMPUTED_VALUE"""),"TRVCurrentPosition")</f>
        <v>TRVCurrentPosition</v>
      </c>
      <c r="BC5" s="40" t="str">
        <f>IFERROR(__xludf.DUMMYFUNCTION("""COMPUTED_VALUE"""),"TRVNav")</f>
        <v>TRVNav</v>
      </c>
      <c r="BD5" s="40" t="str">
        <f>IFERROR(__xludf.DUMMYFUNCTION("""COMPUTED_VALUE"""),"Account QTY")</f>
        <v>Account QTY</v>
      </c>
      <c r="BE5" s="40" t="str">
        <f>IFERROR(__xludf.DUMMYFUNCTION("""COMPUTED_VALUE"""),"DoneAwayClickOnNO")</f>
        <v>DoneAwayClickOnNO</v>
      </c>
      <c r="BF5" s="40" t="str">
        <f>IFERROR(__xludf.DUMMYFUNCTION("""COMPUTED_VALUE"""),"HotbuttonQty")</f>
        <v>HotbuttonQty</v>
      </c>
      <c r="BG5" s="40" t="str">
        <f>IFERROR(__xludf.DUMMYFUNCTION("""COMPUTED_VALUE"""),"HotButtonPrice")</f>
        <v>HotButtonPrice</v>
      </c>
      <c r="BH5" s="40" t="str">
        <f>IFERROR(__xludf.DUMMYFUNCTION("""COMPUTED_VALUE"""),"HotButtonLimit")</f>
        <v>HotButtonLimit</v>
      </c>
      <c r="BI5" s="40" t="str">
        <f>IFERROR(__xludf.DUMMYFUNCTION("""COMPUTED_VALUE"""),"HotButtonStop")</f>
        <v>HotButtonStop</v>
      </c>
      <c r="BJ5" s="40" t="str">
        <f>IFERROR(__xludf.DUMMYFUNCTION("""COMPUTED_VALUE"""),"Broker PadLock")</f>
        <v>Broker PadLock</v>
      </c>
      <c r="BK5" s="40" t="str">
        <f>IFERROR(__xludf.DUMMYFUNCTION("""COMPUTED_VALUE"""),"TradeBy")</f>
        <v>TradeBy</v>
      </c>
      <c r="BL5" s="40" t="str">
        <f>IFERROR(__xludf.DUMMYFUNCTION("""COMPUTED_VALUE"""),"PendingApprovalPopUp")</f>
        <v>PendingApprovalPopUp</v>
      </c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40"/>
      <c r="DE5" s="40"/>
      <c r="DF5" s="40"/>
      <c r="DG5" s="40"/>
      <c r="DH5" s="40"/>
      <c r="DI5" s="40"/>
      <c r="DJ5" s="40"/>
      <c r="DK5" s="40"/>
      <c r="DL5" s="40"/>
      <c r="DM5" s="40"/>
      <c r="DN5" s="40"/>
      <c r="DO5" s="40"/>
      <c r="DP5" s="40"/>
      <c r="DQ5" s="40"/>
      <c r="DR5" s="40"/>
      <c r="DS5" s="40"/>
      <c r="DT5" s="40"/>
      <c r="DU5" s="40"/>
      <c r="DV5" s="40"/>
      <c r="DW5" s="40"/>
      <c r="DX5" s="40"/>
      <c r="DY5" s="40"/>
      <c r="DZ5" s="40"/>
      <c r="EA5" s="40"/>
      <c r="EB5" s="40"/>
      <c r="EC5" s="40"/>
      <c r="ED5" s="40"/>
      <c r="EE5" s="40"/>
      <c r="EF5" s="40"/>
      <c r="EG5" s="40"/>
      <c r="EH5" s="40"/>
      <c r="EI5" s="40"/>
      <c r="EJ5" s="40"/>
      <c r="EK5" s="40"/>
      <c r="EL5" s="40"/>
      <c r="EM5" s="40"/>
      <c r="EN5" s="40"/>
      <c r="EO5" s="40"/>
      <c r="EP5" s="40"/>
      <c r="EQ5" s="40"/>
      <c r="ER5" s="40"/>
      <c r="ES5" s="40"/>
      <c r="ET5" s="40"/>
      <c r="EU5" s="40"/>
      <c r="EV5" s="40"/>
      <c r="EW5" s="40"/>
      <c r="EX5" s="40"/>
    </row>
    <row r="6" ht="15.75" customHeight="1">
      <c r="A6" s="13"/>
      <c r="B6" s="13"/>
      <c r="C6" s="8"/>
      <c r="D6" s="13">
        <v>100.0</v>
      </c>
      <c r="E6" s="4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37" t="str">
        <f>IFERROR(__xludf.DUMMYFUNCTION("TRANSPOSE(IMPORTRANGE(VLOOKUP($E$3,IMPORTRANGE('_Settings'!$B$3,$C$3&amp;""!A4:B1000""),2,FALSE),$G$3&amp;""!A4:A1000""))"),"")</f>
        <v/>
      </c>
      <c r="B5" s="38" t="str">
        <f>IFERROR(__xludf.DUMMYFUNCTION("""COMPUTED_VALUE"""),"Avg Fill Price (Base)")</f>
        <v>Avg Fill Price (Base)</v>
      </c>
      <c r="C5" s="38" t="str">
        <f>IFERROR(__xludf.DUMMYFUNCTION("""COMPUTED_VALUE"""),"Transaction Time")</f>
        <v>Transaction Time</v>
      </c>
      <c r="D5" s="38" t="str">
        <f>IFERROR(__xludf.DUMMYFUNCTION("""COMPUTED_VALUE"""),"Symbol")</f>
        <v>Symbol</v>
      </c>
      <c r="E5" s="38" t="str">
        <f>IFERROR(__xludf.DUMMYFUNCTION("""COMPUTED_VALUE"""),"Algo")</f>
        <v>Algo</v>
      </c>
      <c r="F5" s="39" t="str">
        <f>IFERROR(__xludf.DUMMYFUNCTION("""COMPUTED_VALUE"""),"Side")</f>
        <v>Side</v>
      </c>
      <c r="G5" s="38" t="str">
        <f>IFERROR(__xludf.DUMMYFUNCTION("""COMPUTED_VALUE"""),"Status")</f>
        <v>Status</v>
      </c>
      <c r="H5" s="38" t="str">
        <f>IFERROR(__xludf.DUMMYFUNCTION("""COMPUTED_VALUE"""),"Target Qty")</f>
        <v>Target Qty</v>
      </c>
      <c r="I5" s="38" t="str">
        <f>IFERROR(__xludf.DUMMYFUNCTION("""COMPUTED_VALUE"""),"Total Executed Qty")</f>
        <v>Total Executed Qty</v>
      </c>
      <c r="J5" s="38" t="str">
        <f>IFERROR(__xludf.DUMMYFUNCTION("""COMPUTED_VALUE"""),"% Executed")</f>
        <v>% Executed</v>
      </c>
      <c r="K5" s="38" t="str">
        <f>IFERROR(__xludf.DUMMYFUNCTION("""COMPUTED_VALUE"""),"Day Executed Qty")</f>
        <v>Day Executed Qty</v>
      </c>
      <c r="L5" s="38" t="str">
        <f>IFERROR(__xludf.DUMMYFUNCTION("""COMPUTED_VALUE"""),"Uncommitted Qty")</f>
        <v>Uncommitted Qty</v>
      </c>
      <c r="M5" s="38" t="str">
        <f>IFERROR(__xludf.DUMMYFUNCTION("""COMPUTED_VALUE"""),"Limit Price")</f>
        <v>Limit Price</v>
      </c>
      <c r="N5" s="38" t="str">
        <f>IFERROR(__xludf.DUMMYFUNCTION("""COMPUTED_VALUE"""),"Last Fill Price (Local)")</f>
        <v>Last Fill Price (Local)</v>
      </c>
      <c r="O5" s="38" t="str">
        <f>IFERROR(__xludf.DUMMYFUNCTION("""COMPUTED_VALUE"""),"Stop Price")</f>
        <v>Stop Price</v>
      </c>
      <c r="P5" s="38" t="str">
        <f>IFERROR(__xludf.DUMMYFUNCTION("""COMPUTED_VALUE"""),"Avg Fill Price (Local)")</f>
        <v>Avg Fill Price (Local)</v>
      </c>
      <c r="Q5" s="38" t="str">
        <f>IFERROR(__xludf.DUMMYFUNCTION("""COMPUTED_VALUE"""),"Broker")</f>
        <v>Broker</v>
      </c>
      <c r="R5" s="38" t="str">
        <f>IFERROR(__xludf.DUMMYFUNCTION("""COMPUTED_VALUE"""),"Account")</f>
        <v>Account</v>
      </c>
      <c r="S5" s="38" t="str">
        <f>IFERROR(__xludf.DUMMYFUNCTION("""COMPUTED_VALUE"""),"OrderID")</f>
        <v>OrderID</v>
      </c>
      <c r="T5" s="40" t="str">
        <f>IFERROR(__xludf.DUMMYFUNCTION("""COMPUTED_VALUE"""),"Order Type")</f>
        <v>Order Type</v>
      </c>
      <c r="U5" s="40" t="str">
        <f>IFERROR(__xludf.DUMMYFUNCTION("""COMPUTED_VALUE"""),"Principal Amount (Local)")</f>
        <v>Principal Amount (Local)</v>
      </c>
      <c r="V5" s="40" t="str">
        <f>IFERROR(__xludf.DUMMYFUNCTION("""COMPUTED_VALUE"""),"Principal Amount (Base)")</f>
        <v>Principal Amount (Base)</v>
      </c>
      <c r="W5" s="40" t="str">
        <f>IFERROR(__xludf.DUMMYFUNCTION("""COMPUTED_VALUE"""),"Peg")</f>
        <v>Peg</v>
      </c>
      <c r="X5" s="40" t="str">
        <f>IFERROR(__xludf.DUMMYFUNCTION("""COMPUTED_VALUE"""),"ParentClOrderID")</f>
        <v>ParentClOrderID</v>
      </c>
      <c r="Y5" s="40" t="str">
        <f>IFERROR(__xludf.DUMMYFUNCTION("""COMPUTED_VALUE"""),"Strike Price")</f>
        <v>Strike Price</v>
      </c>
      <c r="Z5" s="40" t="str">
        <f>IFERROR(__xludf.DUMMYFUNCTION("""COMPUTED_VALUE"""),"Last Shares")</f>
        <v>Last Shares</v>
      </c>
      <c r="AA5" s="40" t="str">
        <f>IFERROR(__xludf.DUMMYFUNCTION("""COMPUTED_VALUE"""),"Working Qty")</f>
        <v>Working Qty</v>
      </c>
      <c r="AB5" s="40" t="str">
        <f>IFERROR(__xludf.DUMMYFUNCTION("""COMPUTED_VALUE"""),"Bloomberg Symbol")</f>
        <v>Bloomberg Symbol</v>
      </c>
      <c r="AC5" s="40" t="str">
        <f>IFERROR(__xludf.DUMMYFUNCTION("""COMPUTED_VALUE"""),"Imported File Name")</f>
        <v>Imported File Name</v>
      </c>
      <c r="AD5" s="40" t="str">
        <f>IFERROR(__xludf.DUMMYFUNCTION("""COMPUTED_VALUE"""),"Master Fund")</f>
        <v>Master Fund</v>
      </c>
      <c r="AE5" s="40" t="str">
        <f>IFERROR(__xludf.DUMMYFUNCTION("""COMPUTED_VALUE"""),"Day Average Price")</f>
        <v>Day Average Price</v>
      </c>
      <c r="AF5" s="40" t="str">
        <f>IFERROR(__xludf.DUMMYFUNCTION("""COMPUTED_VALUE"""),"Asset Class")</f>
        <v>Asset Class</v>
      </c>
      <c r="AG5" s="40" t="str">
        <f>IFERROR(__xludf.DUMMYFUNCTION("""COMPUTED_VALUE"""),"Underlying Country")</f>
        <v>Underlying Country</v>
      </c>
      <c r="AH5" s="40" t="str">
        <f>IFERROR(__xludf.DUMMYFUNCTION("""COMPUTED_VALUE"""),"Trader")</f>
        <v>Trader</v>
      </c>
      <c r="AI5" s="40" t="str">
        <f>IFERROR(__xludf.DUMMYFUNCTION("""COMPUTED_VALUE"""),"User")</f>
        <v>User</v>
      </c>
      <c r="AJ5" s="40" t="str">
        <f>IFERROR(__xludf.DUMMYFUNCTION("""COMPUTED_VALUE"""),"Venue")</f>
        <v>Venue</v>
      </c>
      <c r="AK5" s="40" t="str">
        <f>IFERROR(__xludf.DUMMYFUNCTION("""COMPUTED_VALUE"""),"Settlement Currency")</f>
        <v>Settlement Currency</v>
      </c>
      <c r="AL5" s="40" t="str">
        <f>IFERROR(__xludf.DUMMYFUNCTION("""COMPUTED_VALUE"""),"FX Conversion Operator")</f>
        <v>FX Conversion Operator</v>
      </c>
      <c r="AM5" s="40" t="str">
        <f>IFERROR(__xludf.DUMMYFUNCTION("""COMPUTED_VALUE"""),"Process Date")</f>
        <v>Process Date</v>
      </c>
      <c r="AN5" s="40" t="str">
        <f>IFERROR(__xludf.DUMMYFUNCTION("""COMPUTED_VALUE"""),"Underlying Symbol")</f>
        <v>Underlying Symbol</v>
      </c>
      <c r="AO5" s="40" t="str">
        <f>IFERROR(__xludf.DUMMYFUNCTION("""COMPUTED_VALUE"""),"Put/Call")</f>
        <v>Put/Call</v>
      </c>
      <c r="AP5" s="40" t="str">
        <f>IFERROR(__xludf.DUMMYFUNCTION("""COMPUTED_VALUE"""),"FX Rate")</f>
        <v>FX Rate</v>
      </c>
      <c r="AQ5" s="40" t="str">
        <f>IFERROR(__xludf.DUMMYFUNCTION("""COMPUTED_VALUE"""),"Trade Attribute 1")</f>
        <v>Trade Attribute 1</v>
      </c>
      <c r="AR5" s="40" t="str">
        <f>IFERROR(__xludf.DUMMYFUNCTION("""COMPUTED_VALUE"""),"Trade Attribute 2")</f>
        <v>Trade Attribute 2</v>
      </c>
      <c r="AS5" s="40" t="str">
        <f>IFERROR(__xludf.DUMMYFUNCTION("""COMPUTED_VALUE"""),"Trade Attribute 3")</f>
        <v>Trade Attribute 3</v>
      </c>
      <c r="AT5" s="40" t="str">
        <f>IFERROR(__xludf.DUMMYFUNCTION("""COMPUTED_VALUE"""),"Trade Attribute 4")</f>
        <v>Trade Attribute 4</v>
      </c>
      <c r="AU5" s="40" t="str">
        <f>IFERROR(__xludf.DUMMYFUNCTION("""COMPUTED_VALUE"""),"Trade Attribute 5")</f>
        <v>Trade Attribute 5</v>
      </c>
      <c r="AV5" s="40" t="str">
        <f>IFERROR(__xludf.DUMMYFUNCTION("""COMPUTED_VALUE"""),"Trade Attribute 6")</f>
        <v>Trade Attribute 6</v>
      </c>
      <c r="AW5" s="40" t="str">
        <f>IFERROR(__xludf.DUMMYFUNCTION("""COMPUTED_VALUE"""),"Internal Comments")</f>
        <v>Internal Comments</v>
      </c>
      <c r="AX5" s="40" t="str">
        <f>IFERROR(__xludf.DUMMYFUNCTION("""COMPUTED_VALUE"""),"Allocation Scheme Name")</f>
        <v>Allocation Scheme Name</v>
      </c>
      <c r="AY5" s="40" t="str">
        <f>IFERROR(__xludf.DUMMYFUNCTION("""COMPUTED_VALUE"""),"Start of Day Qty")</f>
        <v>Start of Day Qty</v>
      </c>
      <c r="AZ5" s="40" t="str">
        <f>IFERROR(__xludf.DUMMYFUNCTION("""COMPUTED_VALUE"""),"Leaves")</f>
        <v>Leaves</v>
      </c>
      <c r="BA5" s="40" t="str">
        <f>IFERROR(__xludf.DUMMYFUNCTION("""COMPUTED_VALUE"""),"CheckBox")</f>
        <v>CheckBox</v>
      </c>
      <c r="BB5" s="40" t="str">
        <f>IFERROR(__xludf.DUMMYFUNCTION("""COMPUTED_VALUE"""),"Action on toolbar")</f>
        <v>Action on toolbar</v>
      </c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40"/>
      <c r="DE5" s="40"/>
      <c r="DF5" s="40"/>
      <c r="DG5" s="40"/>
      <c r="DH5" s="40"/>
      <c r="DI5" s="40"/>
      <c r="DJ5" s="40"/>
      <c r="DK5" s="40"/>
      <c r="DL5" s="40"/>
      <c r="DM5" s="40"/>
      <c r="DN5" s="40"/>
      <c r="DO5" s="40"/>
      <c r="DP5" s="40"/>
      <c r="DQ5" s="40"/>
      <c r="DR5" s="40"/>
      <c r="DS5" s="40"/>
      <c r="DT5" s="40"/>
      <c r="DU5" s="40"/>
      <c r="DV5" s="40"/>
      <c r="DW5" s="40"/>
      <c r="DX5" s="40"/>
      <c r="DY5" s="40"/>
      <c r="DZ5" s="40"/>
      <c r="EA5" s="40"/>
      <c r="EB5" s="40"/>
      <c r="EC5" s="40"/>
      <c r="ED5" s="40"/>
      <c r="EE5" s="40"/>
      <c r="EF5" s="40"/>
      <c r="EG5" s="40"/>
      <c r="EH5" s="40"/>
      <c r="EI5" s="40"/>
      <c r="EJ5" s="40"/>
      <c r="EK5" s="40"/>
      <c r="EL5" s="40"/>
      <c r="EM5" s="40"/>
      <c r="EN5" s="40"/>
      <c r="EO5" s="40"/>
      <c r="EP5" s="40"/>
      <c r="EQ5" s="40"/>
      <c r="ER5" s="40"/>
      <c r="ES5" s="40"/>
      <c r="ET5" s="40"/>
      <c r="EU5" s="40"/>
      <c r="EV5" s="40"/>
      <c r="EW5" s="40"/>
      <c r="EX5" s="40"/>
    </row>
    <row r="6" ht="15.75" customHeight="1">
      <c r="A6" s="13"/>
      <c r="B6" s="13"/>
      <c r="C6" s="8"/>
      <c r="D6" s="35" t="s">
        <v>53</v>
      </c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37" t="str">
        <f>IFERROR(__xludf.DUMMYFUNCTION("TRANSPOSE(IMPORTRANGE(VLOOKUP($E$3,IMPORTRANGE('_Settings'!$B$3,$C$3&amp;""!A4:B1000""),2,FALSE),$G$3&amp;""!A4:A1000""))"),"")</f>
        <v/>
      </c>
      <c r="B5" s="38" t="str">
        <f>IFERROR(__xludf.DUMMYFUNCTION("""COMPUTED_VALUE"""),"Avg Fill Price (Base)")</f>
        <v>Avg Fill Price (Base)</v>
      </c>
      <c r="C5" s="38" t="str">
        <f>IFERROR(__xludf.DUMMYFUNCTION("""COMPUTED_VALUE"""),"Transaction Time")</f>
        <v>Transaction Time</v>
      </c>
      <c r="D5" s="38" t="str">
        <f>IFERROR(__xludf.DUMMYFUNCTION("""COMPUTED_VALUE"""),"Symbol")</f>
        <v>Symbol</v>
      </c>
      <c r="E5" s="38" t="str">
        <f>IFERROR(__xludf.DUMMYFUNCTION("""COMPUTED_VALUE"""),"Algo")</f>
        <v>Algo</v>
      </c>
      <c r="F5" s="39" t="str">
        <f>IFERROR(__xludf.DUMMYFUNCTION("""COMPUTED_VALUE"""),"Side")</f>
        <v>Side</v>
      </c>
      <c r="G5" s="38" t="str">
        <f>IFERROR(__xludf.DUMMYFUNCTION("""COMPUTED_VALUE"""),"Status")</f>
        <v>Status</v>
      </c>
      <c r="H5" s="38" t="str">
        <f>IFERROR(__xludf.DUMMYFUNCTION("""COMPUTED_VALUE"""),"Quantity")</f>
        <v>Quantity</v>
      </c>
      <c r="I5" s="38" t="str">
        <f>IFERROR(__xludf.DUMMYFUNCTION("""COMPUTED_VALUE"""),"Executed Qty")</f>
        <v>Executed Qty</v>
      </c>
      <c r="J5" s="38" t="str">
        <f>IFERROR(__xludf.DUMMYFUNCTION("""COMPUTED_VALUE"""),"Limit Price")</f>
        <v>Limit Price</v>
      </c>
      <c r="K5" s="38" t="str">
        <f>IFERROR(__xludf.DUMMYFUNCTION("""COMPUTED_VALUE"""),"Last Fill Price (Local)")</f>
        <v>Last Fill Price (Local)</v>
      </c>
      <c r="L5" s="38" t="str">
        <f>IFERROR(__xludf.DUMMYFUNCTION("""COMPUTED_VALUE"""),"Stop Price")</f>
        <v>Stop Price</v>
      </c>
      <c r="M5" s="38" t="str">
        <f>IFERROR(__xludf.DUMMYFUNCTION("""COMPUTED_VALUE"""),"Avg Fill Price (Local)")</f>
        <v>Avg Fill Price (Local)</v>
      </c>
      <c r="N5" s="38" t="str">
        <f>IFERROR(__xludf.DUMMYFUNCTION("""COMPUTED_VALUE"""),"Broker")</f>
        <v>Broker</v>
      </c>
      <c r="O5" s="38" t="str">
        <f>IFERROR(__xludf.DUMMYFUNCTION("""COMPUTED_VALUE"""),"Account")</f>
        <v>Account</v>
      </c>
      <c r="P5" s="38" t="str">
        <f>IFERROR(__xludf.DUMMYFUNCTION("""COMPUTED_VALUE"""),"OrderID")</f>
        <v>OrderID</v>
      </c>
      <c r="Q5" s="38" t="str">
        <f>IFERROR(__xludf.DUMMYFUNCTION("""COMPUTED_VALUE"""),"Order Type")</f>
        <v>Order Type</v>
      </c>
      <c r="R5" s="38" t="str">
        <f>IFERROR(__xludf.DUMMYFUNCTION("""COMPUTED_VALUE"""),"Principal Amount (Local)")</f>
        <v>Principal Amount (Local)</v>
      </c>
      <c r="S5" s="38" t="str">
        <f>IFERROR(__xludf.DUMMYFUNCTION("""COMPUTED_VALUE"""),"Principal Amount (Base)")</f>
        <v>Principal Amount (Base)</v>
      </c>
      <c r="T5" s="40" t="str">
        <f>IFERROR(__xludf.DUMMYFUNCTION("""COMPUTED_VALUE"""),"Peg")</f>
        <v>Peg</v>
      </c>
      <c r="U5" s="40" t="str">
        <f>IFERROR(__xludf.DUMMYFUNCTION("""COMPUTED_VALUE"""),"ParentClOrderID")</f>
        <v>ParentClOrderID</v>
      </c>
      <c r="V5" s="40" t="str">
        <f>IFERROR(__xludf.DUMMYFUNCTION("""COMPUTED_VALUE"""),"Strike Price")</f>
        <v>Strike Price</v>
      </c>
      <c r="W5" s="40" t="str">
        <f>IFERROR(__xludf.DUMMYFUNCTION("""COMPUTED_VALUE"""),"Last Shares")</f>
        <v>Last Shares</v>
      </c>
      <c r="X5" s="40" t="str">
        <f>IFERROR(__xludf.DUMMYFUNCTION("""COMPUTED_VALUE"""),"Working Qty")</f>
        <v>Working Qty</v>
      </c>
      <c r="Y5" s="40" t="str">
        <f>IFERROR(__xludf.DUMMYFUNCTION("""COMPUTED_VALUE"""),"Bloomberg Symbol")</f>
        <v>Bloomberg Symbol</v>
      </c>
      <c r="Z5" s="40" t="str">
        <f>IFERROR(__xludf.DUMMYFUNCTION("""COMPUTED_VALUE"""),"Imported File Name")</f>
        <v>Imported File Name</v>
      </c>
      <c r="AA5" s="40" t="str">
        <f>IFERROR(__xludf.DUMMYFUNCTION("""COMPUTED_VALUE"""),"Master Fund")</f>
        <v>Master Fund</v>
      </c>
      <c r="AB5" s="40" t="str">
        <f>IFERROR(__xludf.DUMMYFUNCTION("""COMPUTED_VALUE"""),"Asset Class")</f>
        <v>Asset Class</v>
      </c>
      <c r="AC5" s="40" t="str">
        <f>IFERROR(__xludf.DUMMYFUNCTION("""COMPUTED_VALUE"""),"Underlying Country")</f>
        <v>Underlying Country</v>
      </c>
      <c r="AD5" s="40" t="str">
        <f>IFERROR(__xludf.DUMMYFUNCTION("""COMPUTED_VALUE"""),"Trader")</f>
        <v>Trader</v>
      </c>
      <c r="AE5" s="40" t="str">
        <f>IFERROR(__xludf.DUMMYFUNCTION("""COMPUTED_VALUE"""),"User")</f>
        <v>User</v>
      </c>
      <c r="AF5" s="40" t="str">
        <f>IFERROR(__xludf.DUMMYFUNCTION("""COMPUTED_VALUE"""),"Venue")</f>
        <v>Venue</v>
      </c>
      <c r="AG5" s="40" t="str">
        <f>IFERROR(__xludf.DUMMYFUNCTION("""COMPUTED_VALUE"""),"Settlement Currency")</f>
        <v>Settlement Currency</v>
      </c>
      <c r="AH5" s="40" t="str">
        <f>IFERROR(__xludf.DUMMYFUNCTION("""COMPUTED_VALUE"""),"FX Conversion Operator")</f>
        <v>FX Conversion Operator</v>
      </c>
      <c r="AI5" s="40" t="str">
        <f>IFERROR(__xludf.DUMMYFUNCTION("""COMPUTED_VALUE"""),"Process Date")</f>
        <v>Process Date</v>
      </c>
      <c r="AJ5" s="40" t="str">
        <f>IFERROR(__xludf.DUMMYFUNCTION("""COMPUTED_VALUE"""),"Underlying Symbol")</f>
        <v>Underlying Symbol</v>
      </c>
      <c r="AK5" s="40" t="str">
        <f>IFERROR(__xludf.DUMMYFUNCTION("""COMPUTED_VALUE"""),"Put/Call")</f>
        <v>Put/Call</v>
      </c>
      <c r="AL5" s="40" t="str">
        <f>IFERROR(__xludf.DUMMYFUNCTION("""COMPUTED_VALUE"""),"FX Rate")</f>
        <v>FX Rate</v>
      </c>
      <c r="AM5" s="40" t="str">
        <f>IFERROR(__xludf.DUMMYFUNCTION("""COMPUTED_VALUE"""),"Trade Attribute 1")</f>
        <v>Trade Attribute 1</v>
      </c>
      <c r="AN5" s="40" t="str">
        <f>IFERROR(__xludf.DUMMYFUNCTION("""COMPUTED_VALUE"""),"Trade Attribute 2")</f>
        <v>Trade Attribute 2</v>
      </c>
      <c r="AO5" s="40" t="str">
        <f>IFERROR(__xludf.DUMMYFUNCTION("""COMPUTED_VALUE"""),"Trade Attribute 3")</f>
        <v>Trade Attribute 3</v>
      </c>
      <c r="AP5" s="40" t="str">
        <f>IFERROR(__xludf.DUMMYFUNCTION("""COMPUTED_VALUE"""),"Trade Attribute 4")</f>
        <v>Trade Attribute 4</v>
      </c>
      <c r="AQ5" s="40" t="str">
        <f>IFERROR(__xludf.DUMMYFUNCTION("""COMPUTED_VALUE"""),"Trade Attribute 5")</f>
        <v>Trade Attribute 5</v>
      </c>
      <c r="AR5" s="40" t="str">
        <f>IFERROR(__xludf.DUMMYFUNCTION("""COMPUTED_VALUE"""),"Trade Attribute 6")</f>
        <v>Trade Attribute 6</v>
      </c>
      <c r="AS5" s="40" t="str">
        <f>IFERROR(__xludf.DUMMYFUNCTION("""COMPUTED_VALUE"""),"Internal Comments")</f>
        <v>Internal Comments</v>
      </c>
      <c r="AT5" s="40" t="str">
        <f>IFERROR(__xludf.DUMMYFUNCTION("""COMPUTED_VALUE"""),"Allocation Scheme Name")</f>
        <v>Allocation Scheme Name</v>
      </c>
      <c r="AU5" s="40" t="str">
        <f>IFERROR(__xludf.DUMMYFUNCTION("""COMPUTED_VALUE"""),"Status (With Rollover)")</f>
        <v>Status (With Rollover)</v>
      </c>
      <c r="AV5" s="40" t="str">
        <f>IFERROR(__xludf.DUMMYFUNCTION("""COMPUTED_VALUE"""),"Source")</f>
        <v>Source</v>
      </c>
      <c r="AW5" s="40" t="str">
        <f>IFERROR(__xludf.DUMMYFUNCTION("""COMPUTED_VALUE"""),"Strategy")</f>
        <v>Strategy</v>
      </c>
      <c r="AX5" s="40" t="str">
        <f>IFERROR(__xludf.DUMMYFUNCTION("""COMPUTED_VALUE"""),"Unexecuted Qty")</f>
        <v>Unexecuted Qty</v>
      </c>
      <c r="AY5" s="40" t="str">
        <f>IFERROR(__xludf.DUMMYFUNCTION("""COMPUTED_VALUE"""),"Allocation Status")</f>
        <v>Allocation Status</v>
      </c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40"/>
      <c r="DE5" s="40"/>
      <c r="DF5" s="40"/>
      <c r="DG5" s="40"/>
      <c r="DH5" s="40"/>
      <c r="DI5" s="40"/>
      <c r="DJ5" s="40"/>
      <c r="DK5" s="40"/>
      <c r="DL5" s="40"/>
      <c r="DM5" s="40"/>
      <c r="DN5" s="40"/>
      <c r="DO5" s="40"/>
      <c r="DP5" s="40"/>
      <c r="DQ5" s="40"/>
      <c r="DR5" s="40"/>
      <c r="DS5" s="40"/>
      <c r="DT5" s="40"/>
      <c r="DU5" s="40"/>
      <c r="DV5" s="40"/>
      <c r="DW5" s="40"/>
      <c r="DX5" s="40"/>
      <c r="DY5" s="40"/>
      <c r="DZ5" s="40"/>
      <c r="EA5" s="40"/>
      <c r="EB5" s="40"/>
      <c r="EC5" s="40"/>
      <c r="ED5" s="40"/>
      <c r="EE5" s="40"/>
      <c r="EF5" s="40"/>
      <c r="EG5" s="40"/>
      <c r="EH5" s="40"/>
      <c r="EI5" s="40"/>
      <c r="EJ5" s="40"/>
      <c r="EK5" s="40"/>
      <c r="EL5" s="40"/>
      <c r="EM5" s="40"/>
      <c r="EN5" s="40"/>
      <c r="EO5" s="40"/>
      <c r="EP5" s="40"/>
      <c r="EQ5" s="40"/>
      <c r="ER5" s="40"/>
      <c r="ES5" s="40"/>
      <c r="ET5" s="40"/>
      <c r="EU5" s="40"/>
      <c r="EV5" s="40"/>
      <c r="EW5" s="40"/>
      <c r="EX5" s="40"/>
    </row>
    <row r="6" ht="15.75" customHeight="1">
      <c r="A6" s="13"/>
      <c r="B6" s="13"/>
      <c r="C6" s="8"/>
      <c r="D6" s="35" t="s">
        <v>53</v>
      </c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37" t="str">
        <f>IFERROR(__xludf.DUMMYFUNCTION("TRANSPOSE(IMPORTRANGE(VLOOKUP($E$3,IMPORTRANGE('_Settings'!$B$3,$C$3&amp;""!A4:B1000""),2,FALSE),$G$3&amp;""!A4:A1000""))"),"")</f>
        <v/>
      </c>
      <c r="B5" s="38" t="str">
        <f>IFERROR(__xludf.DUMMYFUNCTION("""COMPUTED_VALUE"""),"Transaction Time")</f>
        <v>Transaction Time</v>
      </c>
      <c r="C5" s="38" t="str">
        <f>IFERROR(__xludf.DUMMYFUNCTION("""COMPUTED_VALUE"""),"Algo")</f>
        <v>Algo</v>
      </c>
      <c r="D5" s="38" t="str">
        <f>IFERROR(__xludf.DUMMYFUNCTION("""COMPUTED_VALUE"""),"Avg Fill Price (Base)")</f>
        <v>Avg Fill Price (Base)</v>
      </c>
      <c r="E5" s="38" t="str">
        <f>IFERROR(__xludf.DUMMYFUNCTION("""COMPUTED_VALUE"""),"Bloomberg Symbol")</f>
        <v>Bloomberg Symbol</v>
      </c>
      <c r="F5" s="39" t="str">
        <f>IFERROR(__xludf.DUMMYFUNCTION("""COMPUTED_VALUE"""),"Limit Price")</f>
        <v>Limit Price</v>
      </c>
      <c r="G5" s="38" t="str">
        <f>IFERROR(__xludf.DUMMYFUNCTION("""COMPUTED_VALUE"""),"Working Qty")</f>
        <v>Working Qty</v>
      </c>
      <c r="H5" s="38" t="str">
        <f>IFERROR(__xludf.DUMMYFUNCTION("""COMPUTED_VALUE"""),"Venue")</f>
        <v>Venue</v>
      </c>
      <c r="I5" s="38" t="str">
        <f>IFERROR(__xludf.DUMMYFUNCTION("""COMPUTED_VALUE"""),"User")</f>
        <v>User</v>
      </c>
      <c r="J5" s="38" t="str">
        <f>IFERROR(__xludf.DUMMYFUNCTION("""COMPUTED_VALUE"""),"Underlying Symbol")</f>
        <v>Underlying Symbol</v>
      </c>
      <c r="K5" s="38" t="str">
        <f>IFERROR(__xludf.DUMMYFUNCTION("""COMPUTED_VALUE"""),"Underlying Country")</f>
        <v>Underlying Country</v>
      </c>
      <c r="L5" s="38" t="str">
        <f>IFERROR(__xludf.DUMMYFUNCTION("""COMPUTED_VALUE"""),"Trader")</f>
        <v>Trader</v>
      </c>
      <c r="M5" s="38" t="str">
        <f>IFERROR(__xludf.DUMMYFUNCTION("""COMPUTED_VALUE"""),"Trade Attribute 6")</f>
        <v>Trade Attribute 6</v>
      </c>
      <c r="N5" s="38" t="str">
        <f>IFERROR(__xludf.DUMMYFUNCTION("""COMPUTED_VALUE"""),"Trade Attribute 5")</f>
        <v>Trade Attribute 5</v>
      </c>
      <c r="O5" s="38" t="str">
        <f>IFERROR(__xludf.DUMMYFUNCTION("""COMPUTED_VALUE"""),"Trade Attribute 4")</f>
        <v>Trade Attribute 4</v>
      </c>
      <c r="P5" s="38" t="str">
        <f>IFERROR(__xludf.DUMMYFUNCTION("""COMPUTED_VALUE"""),"Trade Attribute 3")</f>
        <v>Trade Attribute 3</v>
      </c>
      <c r="Q5" s="38" t="str">
        <f>IFERROR(__xludf.DUMMYFUNCTION("""COMPUTED_VALUE"""),"Trade Attribute 1")</f>
        <v>Trade Attribute 1</v>
      </c>
      <c r="R5" s="38" t="str">
        <f>IFERROR(__xludf.DUMMYFUNCTION("""COMPUTED_VALUE"""),"Trade Attribute 2")</f>
        <v>Trade Attribute 2</v>
      </c>
      <c r="S5" s="38" t="str">
        <f>IFERROR(__xludf.DUMMYFUNCTION("""COMPUTED_VALUE"""),"Strike Price")</f>
        <v>Strike Price</v>
      </c>
      <c r="T5" s="40" t="str">
        <f>IFERROR(__xludf.DUMMYFUNCTION("""COMPUTED_VALUE"""),"Stop Price")</f>
        <v>Stop Price</v>
      </c>
      <c r="U5" s="40" t="str">
        <f>IFERROR(__xludf.DUMMYFUNCTION("""COMPUTED_VALUE"""),"Settlement Currency")</f>
        <v>Settlement Currency</v>
      </c>
      <c r="V5" s="40" t="str">
        <f>IFERROR(__xludf.DUMMYFUNCTION("""COMPUTED_VALUE"""),"Put/Call")</f>
        <v>Put/Call</v>
      </c>
      <c r="W5" s="40" t="str">
        <f>IFERROR(__xludf.DUMMYFUNCTION("""COMPUTED_VALUE"""),"Process Date")</f>
        <v>Process Date</v>
      </c>
      <c r="X5" s="40" t="str">
        <f>IFERROR(__xludf.DUMMYFUNCTION("""COMPUTED_VALUE"""),"Peg")</f>
        <v>Peg</v>
      </c>
      <c r="Y5" s="40" t="str">
        <f>IFERROR(__xludf.DUMMYFUNCTION("""COMPUTED_VALUE"""),"ParentClOrderID")</f>
        <v>ParentClOrderID</v>
      </c>
      <c r="Z5" s="40" t="str">
        <f>IFERROR(__xludf.DUMMYFUNCTION("""COMPUTED_VALUE"""),"OrderID")</f>
        <v>OrderID</v>
      </c>
      <c r="AA5" s="40" t="str">
        <f>IFERROR(__xludf.DUMMYFUNCTION("""COMPUTED_VALUE"""),"Master Fund")</f>
        <v>Master Fund</v>
      </c>
      <c r="AB5" s="40" t="str">
        <f>IFERROR(__xludf.DUMMYFUNCTION("""COMPUTED_VALUE"""),"Last Shares")</f>
        <v>Last Shares</v>
      </c>
      <c r="AC5" s="40" t="str">
        <f>IFERROR(__xludf.DUMMYFUNCTION("""COMPUTED_VALUE"""),"Internal Comments")</f>
        <v>Internal Comments</v>
      </c>
      <c r="AD5" s="40" t="str">
        <f>IFERROR(__xludf.DUMMYFUNCTION("""COMPUTED_VALUE"""),"FX Rate")</f>
        <v>FX Rate</v>
      </c>
      <c r="AE5" s="40" t="str">
        <f>IFERROR(__xludf.DUMMYFUNCTION("""COMPUTED_VALUE"""),"Imported File Name")</f>
        <v>Imported File Name</v>
      </c>
      <c r="AF5" s="40" t="str">
        <f>IFERROR(__xludf.DUMMYFUNCTION("""COMPUTED_VALUE"""),"FX Conversion Operator")</f>
        <v>FX Conversion Operator</v>
      </c>
      <c r="AG5" s="40" t="str">
        <f>IFERROR(__xludf.DUMMYFUNCTION("""COMPUTED_VALUE"""),"Day Average Price")</f>
        <v>Day Average Price</v>
      </c>
      <c r="AH5" s="40" t="str">
        <f>IFERROR(__xludf.DUMMYFUNCTION("""COMPUTED_VALUE"""),"Asset Class")</f>
        <v>Asset Class</v>
      </c>
      <c r="AI5" s="40" t="str">
        <f>IFERROR(__xludf.DUMMYFUNCTION("""COMPUTED_VALUE"""),"Symbol")</f>
        <v>Symbol</v>
      </c>
      <c r="AJ5" s="40" t="str">
        <f>IFERROR(__xludf.DUMMYFUNCTION("""COMPUTED_VALUE"""),"Side")</f>
        <v>Side</v>
      </c>
      <c r="AK5" s="40" t="str">
        <f>IFERROR(__xludf.DUMMYFUNCTION("""COMPUTED_VALUE"""),"Status")</f>
        <v>Status</v>
      </c>
      <c r="AL5" s="40" t="str">
        <f>IFERROR(__xludf.DUMMYFUNCTION("""COMPUTED_VALUE"""),"Target Qty")</f>
        <v>Target Qty</v>
      </c>
      <c r="AM5" s="40" t="str">
        <f>IFERROR(__xludf.DUMMYFUNCTION("""COMPUTED_VALUE"""),"Total Executed Qty")</f>
        <v>Total Executed Qty</v>
      </c>
      <c r="AN5" s="40" t="str">
        <f>IFERROR(__xludf.DUMMYFUNCTION("""COMPUTED_VALUE"""),"% Executed")</f>
        <v>% Executed</v>
      </c>
      <c r="AO5" s="40" t="str">
        <f>IFERROR(__xludf.DUMMYFUNCTION("""COMPUTED_VALUE"""),"Day Executed Qty")</f>
        <v>Day Executed Qty</v>
      </c>
      <c r="AP5" s="40" t="str">
        <f>IFERROR(__xludf.DUMMYFUNCTION("""COMPUTED_VALUE"""),"Uncommitted Qty")</f>
        <v>Uncommitted Qty</v>
      </c>
      <c r="AQ5" s="40" t="str">
        <f>IFERROR(__xludf.DUMMYFUNCTION("""COMPUTED_VALUE"""),"Last Fill Price (Local)")</f>
        <v>Last Fill Price (Local)</v>
      </c>
      <c r="AR5" s="40" t="str">
        <f>IFERROR(__xludf.DUMMYFUNCTION("""COMPUTED_VALUE"""),"Avg Fill Price (Local)")</f>
        <v>Avg Fill Price (Local)</v>
      </c>
      <c r="AS5" s="40" t="str">
        <f>IFERROR(__xludf.DUMMYFUNCTION("""COMPUTED_VALUE"""),"Broker")</f>
        <v>Broker</v>
      </c>
      <c r="AT5" s="40" t="str">
        <f>IFERROR(__xludf.DUMMYFUNCTION("""COMPUTED_VALUE"""),"Account")</f>
        <v>Account</v>
      </c>
      <c r="AU5" s="40" t="str">
        <f>IFERROR(__xludf.DUMMYFUNCTION("""COMPUTED_VALUE"""),"Order Type")</f>
        <v>Order Type</v>
      </c>
      <c r="AV5" s="40" t="str">
        <f>IFERROR(__xludf.DUMMYFUNCTION("""COMPUTED_VALUE"""),"Principal Amount (Local)")</f>
        <v>Principal Amount (Local)</v>
      </c>
      <c r="AW5" s="40" t="str">
        <f>IFERROR(__xludf.DUMMYFUNCTION("""COMPUTED_VALUE"""),"Principal Amount (Base)")</f>
        <v>Principal Amount (Base)</v>
      </c>
      <c r="AX5" s="40" t="str">
        <f>IFERROR(__xludf.DUMMYFUNCTION("""COMPUTED_VALUE"""),"Allocation Scheme Name")</f>
        <v>Allocation Scheme Name</v>
      </c>
      <c r="AY5" s="40" t="str">
        <f>IFERROR(__xludf.DUMMYFUNCTION("""COMPUTED_VALUE"""),"Status (With Rollover)")</f>
        <v>Status (With Rollover)</v>
      </c>
      <c r="AZ5" s="40" t="str">
        <f>IFERROR(__xludf.DUMMYFUNCTION("""COMPUTED_VALUE"""),"Start of Day Qty")</f>
        <v>Start of Day Qty</v>
      </c>
      <c r="BA5" s="40" t="str">
        <f>IFERROR(__xludf.DUMMYFUNCTION("""COMPUTED_VALUE"""),"Leaves")</f>
        <v>Leaves</v>
      </c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40"/>
      <c r="DE5" s="40"/>
      <c r="DF5" s="40"/>
      <c r="DG5" s="40"/>
      <c r="DH5" s="40"/>
      <c r="DI5" s="40"/>
      <c r="DJ5" s="40"/>
      <c r="DK5" s="40"/>
      <c r="DL5" s="40"/>
      <c r="DM5" s="40"/>
      <c r="DN5" s="40"/>
      <c r="DO5" s="40"/>
      <c r="DP5" s="40"/>
      <c r="DQ5" s="40"/>
      <c r="DR5" s="40"/>
      <c r="DS5" s="40"/>
      <c r="DT5" s="40"/>
      <c r="DU5" s="40"/>
      <c r="DV5" s="40"/>
      <c r="DW5" s="40"/>
      <c r="DX5" s="40"/>
      <c r="DY5" s="40"/>
      <c r="DZ5" s="40"/>
      <c r="EA5" s="40"/>
      <c r="EB5" s="40"/>
      <c r="EC5" s="40"/>
      <c r="ED5" s="40"/>
      <c r="EE5" s="40"/>
      <c r="EF5" s="40"/>
      <c r="EG5" s="40"/>
      <c r="EH5" s="40"/>
      <c r="EI5" s="40"/>
      <c r="EJ5" s="40"/>
      <c r="EK5" s="40"/>
      <c r="EL5" s="40"/>
      <c r="EM5" s="40"/>
      <c r="EN5" s="40"/>
      <c r="EO5" s="40"/>
      <c r="EP5" s="40"/>
      <c r="EQ5" s="40"/>
      <c r="ER5" s="40"/>
      <c r="ES5" s="40"/>
      <c r="ET5" s="40"/>
      <c r="EU5" s="40"/>
      <c r="EV5" s="40"/>
      <c r="EW5" s="40"/>
      <c r="EX5" s="40"/>
    </row>
    <row r="6" ht="15.75" customHeight="1">
      <c r="A6" s="13"/>
      <c r="B6" s="13"/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  <c r="AI6" s="35" t="s">
        <v>54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ReloadOrderFromBlotter1!$4:$4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16</v>
      </c>
      <c r="C5" s="28" t="s">
        <v>17</v>
      </c>
      <c r="D5" s="28" t="s">
        <v>18</v>
      </c>
      <c r="E5" s="28" t="s">
        <v>19</v>
      </c>
      <c r="F5" s="29" t="s">
        <v>20</v>
      </c>
      <c r="G5" s="28" t="s">
        <v>21</v>
      </c>
      <c r="H5" s="28" t="s">
        <v>22</v>
      </c>
      <c r="I5" s="28" t="s">
        <v>23</v>
      </c>
      <c r="J5" s="28" t="s">
        <v>24</v>
      </c>
      <c r="K5" s="28" t="s">
        <v>25</v>
      </c>
      <c r="L5" s="28" t="s">
        <v>26</v>
      </c>
      <c r="M5" s="28" t="s">
        <v>27</v>
      </c>
      <c r="N5" s="28" t="s">
        <v>28</v>
      </c>
      <c r="O5" s="28" t="s">
        <v>29</v>
      </c>
      <c r="P5" s="28" t="s">
        <v>30</v>
      </c>
      <c r="Q5" s="28" t="s">
        <v>31</v>
      </c>
      <c r="R5" s="28" t="s">
        <v>32</v>
      </c>
      <c r="S5" s="28" t="s">
        <v>33</v>
      </c>
      <c r="T5" s="30" t="s">
        <v>34</v>
      </c>
      <c r="U5" s="30" t="s">
        <v>35</v>
      </c>
      <c r="V5" s="30" t="s">
        <v>36</v>
      </c>
      <c r="W5" s="30" t="s">
        <v>37</v>
      </c>
      <c r="X5" s="30" t="s">
        <v>38</v>
      </c>
      <c r="Y5" s="30" t="s">
        <v>39</v>
      </c>
      <c r="Z5" s="30" t="s">
        <v>40</v>
      </c>
      <c r="AA5" s="30" t="s">
        <v>41</v>
      </c>
      <c r="AB5" s="30" t="s">
        <v>42</v>
      </c>
      <c r="AC5" s="30" t="s">
        <v>43</v>
      </c>
      <c r="AD5" s="30" t="s">
        <v>44</v>
      </c>
      <c r="AE5" s="30" t="s">
        <v>45</v>
      </c>
      <c r="AF5" s="30" t="s">
        <v>46</v>
      </c>
      <c r="AG5" s="30" t="s">
        <v>47</v>
      </c>
      <c r="AH5" s="30" t="s">
        <v>48</v>
      </c>
      <c r="AI5" s="30" t="s">
        <v>49</v>
      </c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</row>
    <row r="6" ht="15.75" customHeight="1">
      <c r="A6" s="13"/>
      <c r="B6" s="13"/>
      <c r="C6" s="33">
        <v>100.0</v>
      </c>
      <c r="D6" s="34">
        <v>10.0</v>
      </c>
      <c r="E6" s="35" t="s">
        <v>51</v>
      </c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52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61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37" t="str">
        <f>IFERROR(__xludf.DUMMYFUNCTION("TRANSPOSE(IMPORTRANGE(VLOOKUP($E$3,IMPORTRANGE('_Settings'!$B$3,$C$3&amp;""!A4:B1000""),2,FALSE),$G$3&amp;""!A4:A1000""))"),"")</f>
        <v/>
      </c>
      <c r="B5" s="38" t="str">
        <f>IFERROR(__xludf.DUMMYFUNCTION("""COMPUTED_VALUE"""),"Select Date")</f>
        <v>Select Date</v>
      </c>
      <c r="C5" s="38" t="str">
        <f>IFERROR(__xludf.DUMMYFUNCTION("""COMPUTED_VALUE"""),"Copy From")</f>
        <v>Copy From</v>
      </c>
      <c r="D5" s="38"/>
      <c r="E5" s="38"/>
      <c r="F5" s="39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40"/>
      <c r="DE5" s="40"/>
      <c r="DF5" s="40"/>
      <c r="DG5" s="40"/>
      <c r="DH5" s="40"/>
      <c r="DI5" s="40"/>
      <c r="DJ5" s="40"/>
      <c r="DK5" s="40"/>
      <c r="DL5" s="40"/>
      <c r="DM5" s="40"/>
      <c r="DN5" s="40"/>
      <c r="DO5" s="40"/>
      <c r="DP5" s="40"/>
      <c r="DQ5" s="40"/>
      <c r="DR5" s="40"/>
      <c r="DS5" s="40"/>
      <c r="DT5" s="40"/>
      <c r="DU5" s="40"/>
      <c r="DV5" s="40"/>
      <c r="DW5" s="40"/>
      <c r="DX5" s="40"/>
      <c r="DY5" s="40"/>
      <c r="DZ5" s="40"/>
      <c r="EA5" s="40"/>
      <c r="EB5" s="40"/>
      <c r="EC5" s="40"/>
      <c r="ED5" s="40"/>
      <c r="EE5" s="40"/>
      <c r="EF5" s="40"/>
      <c r="EG5" s="40"/>
      <c r="EH5" s="40"/>
      <c r="EI5" s="40"/>
      <c r="EJ5" s="40"/>
      <c r="EK5" s="40"/>
      <c r="EL5" s="40"/>
      <c r="EM5" s="40"/>
      <c r="EN5" s="40"/>
      <c r="EO5" s="40"/>
      <c r="EP5" s="40"/>
      <c r="EQ5" s="40"/>
      <c r="ER5" s="40"/>
      <c r="ES5" s="40"/>
      <c r="ET5" s="40"/>
      <c r="EU5" s="40"/>
      <c r="EV5" s="40"/>
      <c r="EW5" s="40"/>
      <c r="EX5" s="40"/>
    </row>
    <row r="6" ht="15.75" customHeight="1">
      <c r="A6" s="13"/>
      <c r="B6" s="42">
        <f>TODAY()-1</f>
        <v>45756</v>
      </c>
      <c r="C6" s="43">
        <f>TODAY()</f>
        <v>45757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61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37" t="str">
        <f>IFERROR(__xludf.DUMMYFUNCTION("TRANSPOSE(IMPORTRANGE(VLOOKUP($E$3,IMPORTRANGE('_Settings'!$B$3,$C$3&amp;""!A4:B1000""),2,FALSE),$G$3&amp;""!A4:A1000""))"),"")</f>
        <v/>
      </c>
      <c r="B5" s="38" t="str">
        <f>IFERROR(__xludf.DUMMYFUNCTION("""COMPUTED_VALUE"""),"Account")</f>
        <v>Account</v>
      </c>
      <c r="C5" s="38" t="str">
        <f>IFERROR(__xludf.DUMMYFUNCTION("""COMPUTED_VALUE"""),"Local Currency")</f>
        <v>Local Currency</v>
      </c>
      <c r="D5" s="38" t="str">
        <f>IFERROR(__xludf.DUMMYFUNCTION("""COMPUTED_VALUE"""),"Cash Value Local")</f>
        <v>Cash Value Local</v>
      </c>
      <c r="E5" s="38"/>
      <c r="F5" s="39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40"/>
      <c r="DE5" s="40"/>
      <c r="DF5" s="40"/>
      <c r="DG5" s="40"/>
      <c r="DH5" s="40"/>
      <c r="DI5" s="40"/>
      <c r="DJ5" s="40"/>
      <c r="DK5" s="40"/>
      <c r="DL5" s="40"/>
      <c r="DM5" s="40"/>
      <c r="DN5" s="40"/>
      <c r="DO5" s="40"/>
      <c r="DP5" s="40"/>
      <c r="DQ5" s="40"/>
      <c r="DR5" s="40"/>
      <c r="DS5" s="40"/>
      <c r="DT5" s="40"/>
      <c r="DU5" s="40"/>
      <c r="DV5" s="40"/>
      <c r="DW5" s="40"/>
      <c r="DX5" s="40"/>
      <c r="DY5" s="40"/>
      <c r="DZ5" s="40"/>
      <c r="EA5" s="40"/>
      <c r="EB5" s="40"/>
      <c r="EC5" s="40"/>
      <c r="ED5" s="40"/>
      <c r="EE5" s="40"/>
      <c r="EF5" s="40"/>
      <c r="EG5" s="40"/>
      <c r="EH5" s="40"/>
      <c r="EI5" s="40"/>
      <c r="EJ5" s="40"/>
      <c r="EK5" s="40"/>
      <c r="EL5" s="40"/>
      <c r="EM5" s="40"/>
      <c r="EN5" s="40"/>
      <c r="EO5" s="40"/>
      <c r="EP5" s="40"/>
      <c r="EQ5" s="40"/>
      <c r="ER5" s="40"/>
      <c r="ES5" s="40"/>
      <c r="ET5" s="40"/>
      <c r="EU5" s="40"/>
      <c r="EV5" s="40"/>
      <c r="EW5" s="40"/>
      <c r="EX5" s="40"/>
    </row>
    <row r="6" ht="15.75" customHeight="1">
      <c r="A6" s="13"/>
      <c r="B6" s="13" t="s">
        <v>64</v>
      </c>
      <c r="C6" s="13" t="s">
        <v>65</v>
      </c>
      <c r="D6" s="13">
        <v>1.0E9</v>
      </c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66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37" t="str">
        <f>IFERROR(__xludf.DUMMYFUNCTION("TRANSPOSE(IMPORTRANGE(VLOOKUP($E$3,IMPORTRANGE('_Settings'!$B$3,$C$3&amp;""!A4:B1000""),2,FALSE),$G$3&amp;""!A4:A1000""))"),"")</f>
        <v/>
      </c>
      <c r="B5" s="38" t="str">
        <f>IFERROR(__xludf.DUMMYFUNCTION("""COMPUTED_VALUE"""),"Ticker")</f>
        <v>Ticker</v>
      </c>
      <c r="C5" s="38" t="str">
        <f>IFERROR(__xludf.DUMMYFUNCTION("""COMPUTED_VALUE"""),"Add/Set")</f>
        <v>Add/Set</v>
      </c>
      <c r="D5" s="38" t="str">
        <f>IFERROR(__xludf.DUMMYFUNCTION("""COMPUTED_VALUE"""),"Type")</f>
        <v>Type</v>
      </c>
      <c r="E5" s="38" t="str">
        <f>IFERROR(__xludf.DUMMYFUNCTION("""COMPUTED_VALUE"""),"Target")</f>
        <v>Target</v>
      </c>
      <c r="F5" s="39" t="str">
        <f>IFERROR(__xludf.DUMMYFUNCTION("""COMPUTED_VALUE"""),"Price")</f>
        <v>Price</v>
      </c>
      <c r="G5" s="38" t="str">
        <f>IFERROR(__xludf.DUMMYFUNCTION("""COMPUTED_VALUE"""),"Combined Account Total")</f>
        <v>Combined Account Total</v>
      </c>
      <c r="H5" s="38" t="str">
        <f>IFERROR(__xludf.DUMMYFUNCTION("""COMPUTED_VALUE"""),"MasterFund/Account")</f>
        <v>MasterFund/Account</v>
      </c>
      <c r="I5" s="38" t="str">
        <f>IFERROR(__xludf.DUMMYFUNCTION("""COMPUTED_VALUE"""),"Accounts")</f>
        <v>Accounts</v>
      </c>
      <c r="J5" s="38" t="str">
        <f>IFERROR(__xludf.DUMMYFUNCTION("""COMPUTED_VALUE"""),"SoftNotesCount")</f>
        <v>SoftNotesCount</v>
      </c>
      <c r="K5" s="38" t="str">
        <f>IFERROR(__xludf.DUMMYFUNCTION("""COMPUTED_VALUE"""),"SoftNotesComment")</f>
        <v>SoftNotesComment</v>
      </c>
      <c r="L5" s="38" t="str">
        <f>IFERROR(__xludf.DUMMYFUNCTION("""COMPUTED_VALUE"""),"DoNotAllowTrade")</f>
        <v>DoNotAllowTrade</v>
      </c>
      <c r="M5" s="38" t="str">
        <f>IFERROR(__xludf.DUMMYFUNCTION("""COMPUTED_VALUE"""),"Round Lots")</f>
        <v>Round Lots</v>
      </c>
      <c r="N5" s="38" t="str">
        <f>IFERROR(__xludf.DUMMYFUNCTION("""COMPUTED_VALUE"""),"Alert Type")</f>
        <v>Alert Type</v>
      </c>
      <c r="O5" s="38" t="str">
        <f>IFERROR(__xludf.DUMMYFUNCTION("""COMPUTED_VALUE"""),"Use Custodian Broker")</f>
        <v>Use Custodian Broker</v>
      </c>
      <c r="P5" s="38" t="str">
        <f>IFERROR(__xludf.DUMMYFUNCTION("""COMPUTED_VALUE"""),"Broker")</f>
        <v>Broker</v>
      </c>
      <c r="Q5" s="38" t="str">
        <f>IFERROR(__xludf.DUMMYFUNCTION("""COMPUTED_VALUE"""),"Venue")</f>
        <v>Venue</v>
      </c>
      <c r="R5" s="38" t="str">
        <f>IFERROR(__xludf.DUMMYFUNCTION("""COMPUTED_VALUE"""),"TIF")</f>
        <v>TIF</v>
      </c>
      <c r="S5" s="38" t="str">
        <f>IFERROR(__xludf.DUMMYFUNCTION("""COMPUTED_VALUE"""),"Order Type")</f>
        <v>Order Type</v>
      </c>
      <c r="T5" s="40" t="str">
        <f>IFERROR(__xludf.DUMMYFUNCTION("""COMPUTED_VALUE"""),"Stop")</f>
        <v>Stop</v>
      </c>
      <c r="U5" s="40" t="str">
        <f>IFERROR(__xludf.DUMMYFUNCTION("""COMPUTED_VALUE"""),"Limit")</f>
        <v>Limit</v>
      </c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40"/>
      <c r="DE5" s="40"/>
      <c r="DF5" s="40"/>
      <c r="DG5" s="40"/>
      <c r="DH5" s="40"/>
      <c r="DI5" s="40"/>
      <c r="DJ5" s="40"/>
      <c r="DK5" s="40"/>
      <c r="DL5" s="40"/>
      <c r="DM5" s="40"/>
      <c r="DN5" s="40"/>
      <c r="DO5" s="40"/>
      <c r="DP5" s="40"/>
      <c r="DQ5" s="40"/>
      <c r="DR5" s="40"/>
      <c r="DS5" s="40"/>
      <c r="DT5" s="40"/>
      <c r="DU5" s="40"/>
      <c r="DV5" s="40"/>
      <c r="DW5" s="40"/>
      <c r="DX5" s="40"/>
      <c r="DY5" s="40"/>
      <c r="DZ5" s="40"/>
      <c r="EA5" s="40"/>
      <c r="EB5" s="40"/>
      <c r="EC5" s="40"/>
      <c r="ED5" s="40"/>
      <c r="EE5" s="40"/>
      <c r="EF5" s="40"/>
      <c r="EG5" s="40"/>
      <c r="EH5" s="40"/>
      <c r="EI5" s="40"/>
      <c r="EJ5" s="40"/>
      <c r="EK5" s="40"/>
      <c r="EL5" s="40"/>
      <c r="EM5" s="40"/>
      <c r="EN5" s="40"/>
      <c r="EO5" s="40"/>
      <c r="EP5" s="40"/>
      <c r="EQ5" s="40"/>
      <c r="ER5" s="40"/>
      <c r="ES5" s="40"/>
      <c r="ET5" s="40"/>
      <c r="EU5" s="40"/>
      <c r="EV5" s="40"/>
      <c r="EW5" s="40"/>
      <c r="EX5" s="40"/>
    </row>
    <row r="6" ht="15.75" customHeight="1">
      <c r="A6" s="13"/>
      <c r="B6" s="13" t="s">
        <v>68</v>
      </c>
      <c r="C6" s="13" t="s">
        <v>69</v>
      </c>
      <c r="D6" s="13"/>
      <c r="E6" s="13">
        <v>10.0</v>
      </c>
      <c r="F6" s="13">
        <v>10.0</v>
      </c>
      <c r="G6" s="8"/>
      <c r="H6" s="8"/>
      <c r="I6" s="13" t="s">
        <v>64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70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37" t="str">
        <f>IFERROR(__xludf.DUMMYFUNCTION("TRANSPOSE(IMPORTRANGE(VLOOKUP($E$3,IMPORTRANGE('_Settings'!$B$3,$C$3&amp;""!A4:B1000""),2,FALSE),$G$3&amp;""!A4:A1000""))"),"")</f>
        <v/>
      </c>
      <c r="B5" s="38" t="str">
        <f>IFERROR(__xludf.DUMMYFUNCTION("""COMPUTED_VALUE"""),"Transaction Time")</f>
        <v>Transaction Time</v>
      </c>
      <c r="C5" s="38" t="str">
        <f>IFERROR(__xludf.DUMMYFUNCTION("""COMPUTED_VALUE"""),"Algo")</f>
        <v>Algo</v>
      </c>
      <c r="D5" s="38" t="str">
        <f>IFERROR(__xludf.DUMMYFUNCTION("""COMPUTED_VALUE"""),"Avg Fill Price (Base)")</f>
        <v>Avg Fill Price (Base)</v>
      </c>
      <c r="E5" s="38" t="str">
        <f>IFERROR(__xludf.DUMMYFUNCTION("""COMPUTED_VALUE"""),"Bloomberg Symbol")</f>
        <v>Bloomberg Symbol</v>
      </c>
      <c r="F5" s="39" t="str">
        <f>IFERROR(__xludf.DUMMYFUNCTION("""COMPUTED_VALUE"""),"Limit Price")</f>
        <v>Limit Price</v>
      </c>
      <c r="G5" s="38" t="str">
        <f>IFERROR(__xludf.DUMMYFUNCTION("""COMPUTED_VALUE"""),"Working Qty")</f>
        <v>Working Qty</v>
      </c>
      <c r="H5" s="38" t="str">
        <f>IFERROR(__xludf.DUMMYFUNCTION("""COMPUTED_VALUE"""),"Venue")</f>
        <v>Venue</v>
      </c>
      <c r="I5" s="38" t="str">
        <f>IFERROR(__xludf.DUMMYFUNCTION("""COMPUTED_VALUE"""),"User")</f>
        <v>User</v>
      </c>
      <c r="J5" s="38" t="str">
        <f>IFERROR(__xludf.DUMMYFUNCTION("""COMPUTED_VALUE"""),"Underlying Symbol")</f>
        <v>Underlying Symbol</v>
      </c>
      <c r="K5" s="38" t="str">
        <f>IFERROR(__xludf.DUMMYFUNCTION("""COMPUTED_VALUE"""),"Underlying Country")</f>
        <v>Underlying Country</v>
      </c>
      <c r="L5" s="38" t="str">
        <f>IFERROR(__xludf.DUMMYFUNCTION("""COMPUTED_VALUE"""),"Trader")</f>
        <v>Trader</v>
      </c>
      <c r="M5" s="38" t="str">
        <f>IFERROR(__xludf.DUMMYFUNCTION("""COMPUTED_VALUE"""),"Trade Attribute 6")</f>
        <v>Trade Attribute 6</v>
      </c>
      <c r="N5" s="38" t="str">
        <f>IFERROR(__xludf.DUMMYFUNCTION("""COMPUTED_VALUE"""),"Trade Attribute 5")</f>
        <v>Trade Attribute 5</v>
      </c>
      <c r="O5" s="38" t="str">
        <f>IFERROR(__xludf.DUMMYFUNCTION("""COMPUTED_VALUE"""),"Trade Attribute 4")</f>
        <v>Trade Attribute 4</v>
      </c>
      <c r="P5" s="38" t="str">
        <f>IFERROR(__xludf.DUMMYFUNCTION("""COMPUTED_VALUE"""),"Trade Attribute 3")</f>
        <v>Trade Attribute 3</v>
      </c>
      <c r="Q5" s="38" t="str">
        <f>IFERROR(__xludf.DUMMYFUNCTION("""COMPUTED_VALUE"""),"Trade Attribute 1")</f>
        <v>Trade Attribute 1</v>
      </c>
      <c r="R5" s="38" t="str">
        <f>IFERROR(__xludf.DUMMYFUNCTION("""COMPUTED_VALUE"""),"Trade Attribute 2")</f>
        <v>Trade Attribute 2</v>
      </c>
      <c r="S5" s="38" t="str">
        <f>IFERROR(__xludf.DUMMYFUNCTION("""COMPUTED_VALUE"""),"Strike Price")</f>
        <v>Strike Price</v>
      </c>
      <c r="T5" s="40" t="str">
        <f>IFERROR(__xludf.DUMMYFUNCTION("""COMPUTED_VALUE"""),"Stop Price")</f>
        <v>Stop Price</v>
      </c>
      <c r="U5" s="40" t="str">
        <f>IFERROR(__xludf.DUMMYFUNCTION("""COMPUTED_VALUE"""),"Settlement Currency")</f>
        <v>Settlement Currency</v>
      </c>
      <c r="V5" s="40" t="str">
        <f>IFERROR(__xludf.DUMMYFUNCTION("""COMPUTED_VALUE"""),"Put/Call")</f>
        <v>Put/Call</v>
      </c>
      <c r="W5" s="40" t="str">
        <f>IFERROR(__xludf.DUMMYFUNCTION("""COMPUTED_VALUE"""),"Process Date")</f>
        <v>Process Date</v>
      </c>
      <c r="X5" s="40" t="str">
        <f>IFERROR(__xludf.DUMMYFUNCTION("""COMPUTED_VALUE"""),"Peg")</f>
        <v>Peg</v>
      </c>
      <c r="Y5" s="40" t="str">
        <f>IFERROR(__xludf.DUMMYFUNCTION("""COMPUTED_VALUE"""),"ParentClOrderID")</f>
        <v>ParentClOrderID</v>
      </c>
      <c r="Z5" s="40" t="str">
        <f>IFERROR(__xludf.DUMMYFUNCTION("""COMPUTED_VALUE"""),"OrderID")</f>
        <v>OrderID</v>
      </c>
      <c r="AA5" s="40" t="str">
        <f>IFERROR(__xludf.DUMMYFUNCTION("""COMPUTED_VALUE"""),"Master Fund")</f>
        <v>Master Fund</v>
      </c>
      <c r="AB5" s="40" t="str">
        <f>IFERROR(__xludf.DUMMYFUNCTION("""COMPUTED_VALUE"""),"Last Shares")</f>
        <v>Last Shares</v>
      </c>
      <c r="AC5" s="40" t="str">
        <f>IFERROR(__xludf.DUMMYFUNCTION("""COMPUTED_VALUE"""),"Internal Comments")</f>
        <v>Internal Comments</v>
      </c>
      <c r="AD5" s="40" t="str">
        <f>IFERROR(__xludf.DUMMYFUNCTION("""COMPUTED_VALUE"""),"FX Rate")</f>
        <v>FX Rate</v>
      </c>
      <c r="AE5" s="40" t="str">
        <f>IFERROR(__xludf.DUMMYFUNCTION("""COMPUTED_VALUE"""),"Imported File Name")</f>
        <v>Imported File Name</v>
      </c>
      <c r="AF5" s="40" t="str">
        <f>IFERROR(__xludf.DUMMYFUNCTION("""COMPUTED_VALUE"""),"FX Conversion Operator")</f>
        <v>FX Conversion Operator</v>
      </c>
      <c r="AG5" s="40" t="str">
        <f>IFERROR(__xludf.DUMMYFUNCTION("""COMPUTED_VALUE"""),"Day Average Price")</f>
        <v>Day Average Price</v>
      </c>
      <c r="AH5" s="40" t="str">
        <f>IFERROR(__xludf.DUMMYFUNCTION("""COMPUTED_VALUE"""),"Asset Class")</f>
        <v>Asset Class</v>
      </c>
      <c r="AI5" s="40" t="str">
        <f>IFERROR(__xludf.DUMMYFUNCTION("""COMPUTED_VALUE"""),"Symbol")</f>
        <v>Symbol</v>
      </c>
      <c r="AJ5" s="40" t="str">
        <f>IFERROR(__xludf.DUMMYFUNCTION("""COMPUTED_VALUE"""),"Side")</f>
        <v>Side</v>
      </c>
      <c r="AK5" s="40" t="str">
        <f>IFERROR(__xludf.DUMMYFUNCTION("""COMPUTED_VALUE"""),"Status")</f>
        <v>Status</v>
      </c>
      <c r="AL5" s="40" t="str">
        <f>IFERROR(__xludf.DUMMYFUNCTION("""COMPUTED_VALUE"""),"Target Qty")</f>
        <v>Target Qty</v>
      </c>
      <c r="AM5" s="40" t="str">
        <f>IFERROR(__xludf.DUMMYFUNCTION("""COMPUTED_VALUE"""),"Total Executed Qty")</f>
        <v>Total Executed Qty</v>
      </c>
      <c r="AN5" s="40" t="str">
        <f>IFERROR(__xludf.DUMMYFUNCTION("""COMPUTED_VALUE"""),"% Executed")</f>
        <v>% Executed</v>
      </c>
      <c r="AO5" s="40" t="str">
        <f>IFERROR(__xludf.DUMMYFUNCTION("""COMPUTED_VALUE"""),"Day Executed Qty")</f>
        <v>Day Executed Qty</v>
      </c>
      <c r="AP5" s="40" t="str">
        <f>IFERROR(__xludf.DUMMYFUNCTION("""COMPUTED_VALUE"""),"Uncommitted Qty")</f>
        <v>Uncommitted Qty</v>
      </c>
      <c r="AQ5" s="40" t="str">
        <f>IFERROR(__xludf.DUMMYFUNCTION("""COMPUTED_VALUE"""),"Last Fill Price (Local)")</f>
        <v>Last Fill Price (Local)</v>
      </c>
      <c r="AR5" s="40" t="str">
        <f>IFERROR(__xludf.DUMMYFUNCTION("""COMPUTED_VALUE"""),"Avg Fill Price (Local)")</f>
        <v>Avg Fill Price (Local)</v>
      </c>
      <c r="AS5" s="40" t="str">
        <f>IFERROR(__xludf.DUMMYFUNCTION("""COMPUTED_VALUE"""),"Broker")</f>
        <v>Broker</v>
      </c>
      <c r="AT5" s="40" t="str">
        <f>IFERROR(__xludf.DUMMYFUNCTION("""COMPUTED_VALUE"""),"Account")</f>
        <v>Account</v>
      </c>
      <c r="AU5" s="40" t="str">
        <f>IFERROR(__xludf.DUMMYFUNCTION("""COMPUTED_VALUE"""),"Order Type")</f>
        <v>Order Type</v>
      </c>
      <c r="AV5" s="40" t="str">
        <f>IFERROR(__xludf.DUMMYFUNCTION("""COMPUTED_VALUE"""),"Principal Amount (Local)")</f>
        <v>Principal Amount (Local)</v>
      </c>
      <c r="AW5" s="40" t="str">
        <f>IFERROR(__xludf.DUMMYFUNCTION("""COMPUTED_VALUE"""),"Principal Amount (Base)")</f>
        <v>Principal Amount (Base)</v>
      </c>
      <c r="AX5" s="40" t="str">
        <f>IFERROR(__xludf.DUMMYFUNCTION("""COMPUTED_VALUE"""),"Allocation Scheme Name")</f>
        <v>Allocation Scheme Name</v>
      </c>
      <c r="AY5" s="40" t="str">
        <f>IFERROR(__xludf.DUMMYFUNCTION("""COMPUTED_VALUE"""),"Status (With Rollover)")</f>
        <v>Status (With Rollover)</v>
      </c>
      <c r="AZ5" s="40" t="str">
        <f>IFERROR(__xludf.DUMMYFUNCTION("""COMPUTED_VALUE"""),"Start of Day Qty")</f>
        <v>Start of Day Qty</v>
      </c>
      <c r="BA5" s="40" t="str">
        <f>IFERROR(__xludf.DUMMYFUNCTION("""COMPUTED_VALUE"""),"Leaves")</f>
        <v>Leaves</v>
      </c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40"/>
      <c r="DE5" s="40"/>
      <c r="DF5" s="40"/>
      <c r="DG5" s="40"/>
      <c r="DH5" s="40"/>
      <c r="DI5" s="40"/>
      <c r="DJ5" s="40"/>
      <c r="DK5" s="40"/>
      <c r="DL5" s="40"/>
      <c r="DM5" s="40"/>
      <c r="DN5" s="40"/>
      <c r="DO5" s="40"/>
      <c r="DP5" s="40"/>
      <c r="DQ5" s="40"/>
      <c r="DR5" s="40"/>
      <c r="DS5" s="40"/>
      <c r="DT5" s="40"/>
      <c r="DU5" s="40"/>
      <c r="DV5" s="40"/>
      <c r="DW5" s="40"/>
      <c r="DX5" s="40"/>
      <c r="DY5" s="40"/>
      <c r="DZ5" s="40"/>
      <c r="EA5" s="40"/>
      <c r="EB5" s="40"/>
      <c r="EC5" s="40"/>
      <c r="ED5" s="40"/>
      <c r="EE5" s="40"/>
      <c r="EF5" s="40"/>
      <c r="EG5" s="40"/>
      <c r="EH5" s="40"/>
      <c r="EI5" s="40"/>
      <c r="EJ5" s="40"/>
      <c r="EK5" s="40"/>
      <c r="EL5" s="40"/>
      <c r="EM5" s="40"/>
      <c r="EN5" s="40"/>
      <c r="EO5" s="40"/>
      <c r="EP5" s="40"/>
      <c r="EQ5" s="40"/>
      <c r="ER5" s="40"/>
      <c r="ES5" s="40"/>
      <c r="ET5" s="40"/>
      <c r="EU5" s="40"/>
      <c r="EV5" s="40"/>
      <c r="EW5" s="40"/>
      <c r="EX5" s="40"/>
    </row>
    <row r="6" ht="15.75" customHeight="1">
      <c r="A6" s="13"/>
      <c r="B6" s="13"/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68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71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36"/>
      <c r="B5" s="44" t="s">
        <v>72</v>
      </c>
      <c r="C5" s="44" t="s">
        <v>73</v>
      </c>
      <c r="D5" s="44" t="s">
        <v>74</v>
      </c>
      <c r="E5" s="44" t="s">
        <v>75</v>
      </c>
      <c r="F5" s="45" t="s">
        <v>76</v>
      </c>
      <c r="G5" s="44" t="s">
        <v>77</v>
      </c>
      <c r="H5" s="44" t="s">
        <v>78</v>
      </c>
      <c r="I5" s="44" t="s">
        <v>79</v>
      </c>
      <c r="J5" s="44" t="s">
        <v>80</v>
      </c>
      <c r="K5" s="44" t="s">
        <v>81</v>
      </c>
      <c r="L5" s="44" t="s">
        <v>82</v>
      </c>
      <c r="M5" s="44" t="s">
        <v>83</v>
      </c>
      <c r="N5" s="44" t="s">
        <v>84</v>
      </c>
      <c r="O5" s="44" t="s">
        <v>85</v>
      </c>
      <c r="P5" s="44" t="s">
        <v>86</v>
      </c>
      <c r="Q5" s="44" t="s">
        <v>87</v>
      </c>
      <c r="R5" s="44" t="s">
        <v>88</v>
      </c>
      <c r="S5" s="44" t="s">
        <v>89</v>
      </c>
      <c r="T5" s="44" t="s">
        <v>90</v>
      </c>
      <c r="U5" s="44" t="s">
        <v>30</v>
      </c>
      <c r="V5" s="44" t="s">
        <v>91</v>
      </c>
      <c r="W5" s="44" t="s">
        <v>92</v>
      </c>
      <c r="X5" s="44" t="s">
        <v>93</v>
      </c>
      <c r="Y5" s="44" t="s">
        <v>94</v>
      </c>
      <c r="Z5" s="44" t="s">
        <v>95</v>
      </c>
      <c r="AA5" s="44" t="s">
        <v>36</v>
      </c>
      <c r="AB5" s="44" t="s">
        <v>16</v>
      </c>
      <c r="AC5" s="44" t="s">
        <v>96</v>
      </c>
      <c r="AD5" s="44" t="s">
        <v>97</v>
      </c>
      <c r="AE5" s="44" t="s">
        <v>98</v>
      </c>
      <c r="AF5" s="44" t="s">
        <v>99</v>
      </c>
      <c r="AG5" s="44" t="s">
        <v>100</v>
      </c>
      <c r="AH5" s="44" t="s">
        <v>101</v>
      </c>
      <c r="AI5" s="44" t="s">
        <v>102</v>
      </c>
      <c r="AJ5" s="44" t="s">
        <v>103</v>
      </c>
      <c r="AK5" s="44" t="s">
        <v>41</v>
      </c>
      <c r="AL5" s="44" t="s">
        <v>44</v>
      </c>
      <c r="AM5" s="44" t="s">
        <v>104</v>
      </c>
      <c r="AN5" s="44" t="s">
        <v>105</v>
      </c>
      <c r="AO5" s="44" t="s">
        <v>106</v>
      </c>
      <c r="AP5" s="44" t="s">
        <v>107</v>
      </c>
      <c r="AQ5" s="44" t="s">
        <v>108</v>
      </c>
      <c r="AR5" s="44" t="s">
        <v>109</v>
      </c>
      <c r="AS5" s="44" t="s">
        <v>110</v>
      </c>
      <c r="AT5" s="44" t="s">
        <v>111</v>
      </c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  <c r="EY5" s="27"/>
      <c r="EZ5" s="27"/>
      <c r="FA5" s="27"/>
      <c r="FB5" s="27"/>
      <c r="FC5" s="27"/>
      <c r="FD5" s="27"/>
      <c r="FE5" s="27"/>
      <c r="FF5" s="27"/>
      <c r="FG5" s="27"/>
      <c r="FH5" s="27"/>
      <c r="FI5" s="27"/>
      <c r="FJ5" s="27"/>
      <c r="FK5" s="27"/>
      <c r="FL5" s="27"/>
      <c r="FM5" s="27"/>
      <c r="FN5" s="27"/>
      <c r="FO5" s="27"/>
      <c r="FP5" s="27"/>
      <c r="FQ5" s="27"/>
      <c r="FR5" s="27"/>
      <c r="FS5" s="27"/>
      <c r="FT5" s="27"/>
      <c r="FU5" s="27"/>
      <c r="FV5" s="27"/>
      <c r="FW5" s="27"/>
      <c r="FX5" s="27"/>
      <c r="FY5" s="27"/>
      <c r="FZ5" s="27"/>
      <c r="GA5" s="27"/>
      <c r="GB5" s="27"/>
      <c r="GC5" s="27"/>
      <c r="GD5" s="27"/>
      <c r="GE5" s="27"/>
      <c r="GF5" s="27"/>
      <c r="GG5" s="27"/>
      <c r="GH5" s="27"/>
      <c r="GI5" s="27"/>
      <c r="GJ5" s="27"/>
      <c r="GK5" s="27"/>
      <c r="GL5" s="27"/>
      <c r="GM5" s="27"/>
      <c r="GN5" s="27"/>
      <c r="GO5" s="27"/>
      <c r="GP5" s="27"/>
      <c r="GQ5" s="27"/>
      <c r="GR5" s="27"/>
      <c r="GS5" s="27"/>
      <c r="GT5" s="27"/>
      <c r="GU5" s="27"/>
      <c r="GV5" s="27"/>
      <c r="GW5" s="27"/>
      <c r="GX5" s="27"/>
      <c r="GY5" s="27"/>
      <c r="GZ5" s="27"/>
      <c r="HA5" s="27"/>
      <c r="HB5" s="27"/>
      <c r="HC5" s="27"/>
      <c r="HD5" s="27"/>
      <c r="HE5" s="27"/>
      <c r="HF5" s="27"/>
      <c r="HG5" s="27"/>
      <c r="HH5" s="27"/>
      <c r="HI5" s="27"/>
      <c r="HJ5" s="27"/>
      <c r="HK5" s="27"/>
      <c r="HL5" s="27"/>
      <c r="HM5" s="27"/>
      <c r="HN5" s="27"/>
      <c r="HO5" s="27"/>
      <c r="HP5" s="27"/>
      <c r="HQ5" s="27"/>
      <c r="HR5" s="27"/>
      <c r="HS5" s="27"/>
      <c r="HT5" s="27"/>
      <c r="HU5" s="27"/>
      <c r="HV5" s="27"/>
      <c r="HW5" s="27"/>
      <c r="HX5" s="27"/>
      <c r="HY5" s="27"/>
      <c r="HZ5" s="27"/>
      <c r="IA5" s="27"/>
      <c r="IB5" s="27"/>
      <c r="IC5" s="27"/>
      <c r="ID5" s="27"/>
      <c r="IE5" s="27"/>
      <c r="IF5" s="27"/>
      <c r="IG5" s="27"/>
      <c r="IH5" s="27"/>
      <c r="II5" s="27"/>
      <c r="IJ5" s="27"/>
      <c r="IK5" s="27"/>
      <c r="IL5" s="27"/>
      <c r="IM5" s="27"/>
      <c r="IN5" s="27"/>
      <c r="IO5" s="27"/>
      <c r="IP5" s="27"/>
      <c r="IQ5" s="27"/>
      <c r="IR5" s="27"/>
      <c r="IS5" s="27"/>
      <c r="IT5" s="27"/>
      <c r="IU5" s="27"/>
      <c r="IV5" s="27"/>
      <c r="IW5" s="27"/>
      <c r="IX5" s="27"/>
      <c r="IY5" s="27"/>
      <c r="IZ5" s="27"/>
      <c r="JA5" s="27"/>
      <c r="JB5" s="27"/>
      <c r="JC5" s="27"/>
      <c r="JD5" s="27"/>
      <c r="JE5" s="27"/>
      <c r="JF5" s="27"/>
      <c r="JG5" s="27"/>
      <c r="JH5" s="27"/>
      <c r="JI5" s="27"/>
      <c r="JJ5" s="27"/>
      <c r="JK5" s="27"/>
      <c r="JL5" s="27"/>
      <c r="JM5" s="27"/>
      <c r="JN5" s="27"/>
      <c r="JO5" s="27"/>
      <c r="JP5" s="27"/>
      <c r="JQ5" s="27"/>
      <c r="JR5" s="27"/>
      <c r="JS5" s="27"/>
      <c r="JT5" s="27"/>
      <c r="JU5" s="27"/>
      <c r="JV5" s="27"/>
      <c r="JW5" s="27"/>
      <c r="JX5" s="27"/>
      <c r="JY5" s="27"/>
      <c r="JZ5" s="27"/>
      <c r="KA5" s="27"/>
      <c r="KB5" s="27"/>
      <c r="KC5" s="27"/>
      <c r="KD5" s="27"/>
      <c r="KE5" s="27"/>
      <c r="KF5" s="27"/>
      <c r="KG5" s="27"/>
      <c r="KH5" s="27"/>
      <c r="KI5" s="27"/>
      <c r="KJ5" s="27"/>
      <c r="KK5" s="27"/>
      <c r="KL5" s="27"/>
      <c r="KM5" s="27"/>
      <c r="KN5" s="27"/>
      <c r="KO5" s="27"/>
      <c r="KP5" s="27"/>
      <c r="KQ5" s="27"/>
      <c r="KR5" s="27"/>
      <c r="KS5" s="27"/>
      <c r="KT5" s="27"/>
      <c r="KU5" s="27"/>
      <c r="KV5" s="27"/>
      <c r="KW5" s="27"/>
      <c r="KX5" s="27"/>
      <c r="KY5" s="27"/>
      <c r="KZ5" s="27"/>
      <c r="LA5" s="27"/>
      <c r="LB5" s="27"/>
      <c r="LC5" s="27"/>
      <c r="LD5" s="27"/>
      <c r="LE5" s="27"/>
      <c r="LF5" s="27"/>
      <c r="LG5" s="27"/>
      <c r="LH5" s="27"/>
      <c r="LI5" s="27"/>
      <c r="LJ5" s="27"/>
      <c r="LK5" s="27"/>
      <c r="LL5" s="27"/>
      <c r="LM5" s="27"/>
      <c r="LN5" s="27"/>
      <c r="LO5" s="27"/>
      <c r="LP5" s="27"/>
      <c r="LQ5" s="27"/>
      <c r="LR5" s="27"/>
      <c r="LS5" s="27"/>
      <c r="LT5" s="27"/>
      <c r="LU5" s="27"/>
      <c r="LV5" s="27"/>
      <c r="LW5" s="27"/>
      <c r="LX5" s="27"/>
      <c r="LY5" s="27"/>
      <c r="LZ5" s="27"/>
      <c r="MA5" s="27"/>
      <c r="MB5" s="27"/>
      <c r="MC5" s="27"/>
      <c r="MD5" s="27"/>
      <c r="ME5" s="27"/>
      <c r="MF5" s="27"/>
      <c r="MG5" s="27"/>
      <c r="MH5" s="27"/>
      <c r="MI5" s="27"/>
      <c r="MJ5" s="27"/>
      <c r="MK5" s="27"/>
      <c r="ML5" s="27"/>
      <c r="MM5" s="27"/>
      <c r="MN5" s="27"/>
      <c r="MO5" s="27"/>
      <c r="MP5" s="27"/>
      <c r="MQ5" s="27"/>
      <c r="MR5" s="27"/>
      <c r="MS5" s="27"/>
      <c r="MT5" s="27"/>
      <c r="MU5" s="27"/>
      <c r="MV5" s="27"/>
      <c r="MW5" s="27"/>
      <c r="MX5" s="27"/>
      <c r="MY5" s="27"/>
      <c r="MZ5" s="27"/>
      <c r="NA5" s="27"/>
      <c r="NB5" s="27"/>
      <c r="NC5" s="27"/>
      <c r="ND5" s="27"/>
      <c r="NE5" s="27"/>
      <c r="NF5" s="27"/>
      <c r="NG5" s="27"/>
      <c r="NH5" s="27"/>
      <c r="NI5" s="27"/>
      <c r="NJ5" s="27"/>
      <c r="NK5" s="27"/>
      <c r="NL5" s="27"/>
      <c r="NM5" s="27"/>
      <c r="NN5" s="27"/>
      <c r="NO5" s="27"/>
      <c r="NP5" s="27"/>
      <c r="NQ5" s="27"/>
      <c r="NR5" s="27"/>
      <c r="NS5" s="27"/>
      <c r="NT5" s="27"/>
      <c r="NU5" s="27"/>
      <c r="NV5" s="27"/>
      <c r="NW5" s="27"/>
      <c r="NX5" s="27"/>
      <c r="NY5" s="27"/>
      <c r="NZ5" s="27"/>
      <c r="OA5" s="27"/>
      <c r="OB5" s="27"/>
      <c r="OC5" s="27"/>
      <c r="OD5" s="27"/>
      <c r="OE5" s="27"/>
      <c r="OF5" s="27"/>
      <c r="OG5" s="27"/>
      <c r="OH5" s="27"/>
      <c r="OI5" s="27"/>
      <c r="OJ5" s="27"/>
      <c r="OK5" s="27"/>
      <c r="OL5" s="27"/>
      <c r="OM5" s="27"/>
      <c r="ON5" s="27"/>
      <c r="OO5" s="27"/>
      <c r="OP5" s="27"/>
      <c r="OQ5" s="27"/>
      <c r="OR5" s="27"/>
      <c r="OS5" s="27"/>
      <c r="OT5" s="27"/>
      <c r="OU5" s="27"/>
      <c r="OV5" s="27"/>
      <c r="OW5" s="27"/>
      <c r="OX5" s="27"/>
      <c r="OY5" s="27"/>
      <c r="OZ5" s="27"/>
      <c r="PA5" s="27"/>
      <c r="PB5" s="27"/>
      <c r="PC5" s="27"/>
      <c r="PD5" s="27"/>
      <c r="PE5" s="27"/>
      <c r="PF5" s="27"/>
      <c r="PG5" s="27"/>
      <c r="PH5" s="27"/>
      <c r="PI5" s="27"/>
      <c r="PJ5" s="27"/>
      <c r="PK5" s="27"/>
      <c r="PL5" s="27"/>
      <c r="PM5" s="27"/>
      <c r="PN5" s="27"/>
      <c r="PO5" s="27"/>
      <c r="PP5" s="27"/>
      <c r="PQ5" s="27"/>
      <c r="PR5" s="27"/>
      <c r="PS5" s="27"/>
      <c r="PT5" s="27"/>
      <c r="PU5" s="27"/>
      <c r="PV5" s="27"/>
      <c r="PW5" s="27"/>
      <c r="PX5" s="27"/>
      <c r="PY5" s="27"/>
      <c r="PZ5" s="27"/>
      <c r="QA5" s="27"/>
      <c r="QB5" s="27"/>
      <c r="QC5" s="27"/>
      <c r="QD5" s="27"/>
      <c r="QE5" s="27"/>
      <c r="QF5" s="27"/>
      <c r="QG5" s="27"/>
      <c r="QH5" s="27"/>
      <c r="QI5" s="27"/>
      <c r="QJ5" s="27"/>
      <c r="QK5" s="27"/>
      <c r="QL5" s="27"/>
      <c r="QM5" s="27"/>
      <c r="QN5" s="27"/>
      <c r="QO5" s="27"/>
      <c r="QP5" s="27"/>
      <c r="QQ5" s="27"/>
      <c r="QR5" s="27"/>
      <c r="QS5" s="27"/>
      <c r="QT5" s="27"/>
      <c r="QU5" s="27"/>
      <c r="QV5" s="27"/>
      <c r="QW5" s="27"/>
      <c r="QX5" s="27"/>
      <c r="QY5" s="27"/>
      <c r="QZ5" s="27"/>
      <c r="RA5" s="27"/>
      <c r="RB5" s="27"/>
      <c r="RC5" s="27"/>
      <c r="RD5" s="27"/>
      <c r="RE5" s="27"/>
      <c r="RF5" s="27"/>
      <c r="RG5" s="27"/>
      <c r="RH5" s="27"/>
      <c r="RI5" s="27"/>
      <c r="RJ5" s="27"/>
      <c r="RK5" s="27"/>
      <c r="RL5" s="27"/>
      <c r="RM5" s="27"/>
      <c r="RN5" s="27"/>
      <c r="RO5" s="27"/>
      <c r="RP5" s="27"/>
      <c r="RQ5" s="27"/>
      <c r="RR5" s="27"/>
      <c r="RS5" s="27"/>
      <c r="RT5" s="27"/>
      <c r="RU5" s="27"/>
      <c r="RV5" s="27"/>
      <c r="RW5" s="27"/>
      <c r="RX5" s="27"/>
      <c r="RY5" s="27"/>
      <c r="RZ5" s="27"/>
      <c r="SA5" s="27"/>
      <c r="SB5" s="27"/>
      <c r="SC5" s="27"/>
      <c r="SD5" s="27"/>
      <c r="SE5" s="27"/>
      <c r="SF5" s="27"/>
      <c r="SG5" s="27"/>
      <c r="SH5" s="27"/>
      <c r="SI5" s="27"/>
      <c r="SJ5" s="27"/>
      <c r="SK5" s="27"/>
      <c r="SL5" s="27"/>
      <c r="SM5" s="27"/>
      <c r="SN5" s="27"/>
      <c r="SO5" s="27"/>
      <c r="SP5" s="27"/>
      <c r="SQ5" s="27"/>
      <c r="SR5" s="27"/>
      <c r="SS5" s="27"/>
      <c r="ST5" s="27"/>
      <c r="SU5" s="27"/>
      <c r="SV5" s="27"/>
      <c r="SW5" s="27"/>
      <c r="SX5" s="27"/>
      <c r="SY5" s="27"/>
      <c r="SZ5" s="27"/>
      <c r="TA5" s="27"/>
      <c r="TB5" s="27"/>
      <c r="TC5" s="27"/>
      <c r="TD5" s="27"/>
      <c r="TE5" s="27"/>
      <c r="TF5" s="27"/>
      <c r="TG5" s="27"/>
      <c r="TH5" s="27"/>
      <c r="TI5" s="27"/>
      <c r="TJ5" s="27"/>
      <c r="TK5" s="27"/>
      <c r="TL5" s="27"/>
      <c r="TM5" s="27"/>
      <c r="TN5" s="27"/>
      <c r="TO5" s="27"/>
      <c r="TP5" s="27"/>
      <c r="TQ5" s="27"/>
      <c r="TR5" s="27"/>
      <c r="TS5" s="27"/>
      <c r="TT5" s="27"/>
      <c r="TU5" s="27"/>
      <c r="TV5" s="27"/>
      <c r="TW5" s="27"/>
      <c r="TX5" s="27"/>
      <c r="TY5" s="27"/>
      <c r="TZ5" s="27"/>
      <c r="UA5" s="27"/>
      <c r="UB5" s="27"/>
      <c r="UC5" s="27"/>
      <c r="UD5" s="27"/>
      <c r="UE5" s="27"/>
      <c r="UF5" s="27"/>
      <c r="UG5" s="27"/>
      <c r="UH5" s="27"/>
      <c r="UI5" s="27"/>
      <c r="UJ5" s="27"/>
      <c r="UK5" s="27"/>
      <c r="UL5" s="27"/>
      <c r="UM5" s="27"/>
      <c r="UN5" s="27"/>
      <c r="UO5" s="27"/>
      <c r="UP5" s="27"/>
      <c r="UQ5" s="27"/>
      <c r="UR5" s="27"/>
      <c r="US5" s="27"/>
      <c r="UT5" s="27"/>
      <c r="UU5" s="27"/>
      <c r="UV5" s="27"/>
      <c r="UW5" s="27"/>
      <c r="UX5" s="27"/>
      <c r="UY5" s="27"/>
      <c r="UZ5" s="27"/>
      <c r="VA5" s="27"/>
      <c r="VB5" s="27"/>
      <c r="VC5" s="27"/>
      <c r="VD5" s="27"/>
      <c r="VE5" s="27"/>
      <c r="VF5" s="27"/>
      <c r="VG5" s="27"/>
      <c r="VH5" s="27"/>
      <c r="VI5" s="27"/>
      <c r="VJ5" s="27"/>
      <c r="VK5" s="27"/>
      <c r="VL5" s="27"/>
      <c r="VM5" s="27"/>
      <c r="VN5" s="27"/>
      <c r="VO5" s="27"/>
      <c r="VP5" s="27"/>
      <c r="VQ5" s="27"/>
      <c r="VR5" s="27"/>
      <c r="VS5" s="27"/>
      <c r="VT5" s="27"/>
      <c r="VU5" s="27"/>
      <c r="VV5" s="27"/>
      <c r="VW5" s="27"/>
      <c r="VX5" s="27"/>
      <c r="VY5" s="27"/>
      <c r="VZ5" s="27"/>
      <c r="WA5" s="27"/>
      <c r="WB5" s="27"/>
      <c r="WC5" s="27"/>
      <c r="WD5" s="27"/>
      <c r="WE5" s="27"/>
      <c r="WF5" s="27"/>
      <c r="WG5" s="27"/>
      <c r="WH5" s="27"/>
      <c r="WI5" s="27"/>
      <c r="WJ5" s="27"/>
      <c r="WK5" s="27"/>
      <c r="WL5" s="27"/>
      <c r="WM5" s="27"/>
      <c r="WN5" s="27"/>
      <c r="WO5" s="27"/>
      <c r="WP5" s="27"/>
      <c r="WQ5" s="27"/>
      <c r="WR5" s="27"/>
      <c r="WS5" s="27"/>
      <c r="WT5" s="27"/>
      <c r="WU5" s="27"/>
      <c r="WV5" s="27"/>
      <c r="WW5" s="27"/>
      <c r="WX5" s="27"/>
      <c r="WY5" s="27"/>
      <c r="WZ5" s="27"/>
      <c r="XA5" s="27"/>
      <c r="XB5" s="27"/>
      <c r="XC5" s="27"/>
      <c r="XD5" s="27"/>
      <c r="XE5" s="27"/>
      <c r="XF5" s="27"/>
      <c r="XG5" s="27"/>
      <c r="XH5" s="27"/>
      <c r="XI5" s="27"/>
      <c r="XJ5" s="27"/>
      <c r="XK5" s="27"/>
      <c r="XL5" s="27"/>
      <c r="XM5" s="27"/>
      <c r="XN5" s="27"/>
      <c r="XO5" s="27"/>
      <c r="XP5" s="27"/>
      <c r="XQ5" s="27"/>
      <c r="XR5" s="27"/>
      <c r="XS5" s="27"/>
      <c r="XT5" s="27"/>
      <c r="XU5" s="27"/>
      <c r="XV5" s="27"/>
      <c r="XW5" s="27"/>
      <c r="XX5" s="27"/>
      <c r="XY5" s="27"/>
      <c r="XZ5" s="27"/>
      <c r="YA5" s="27"/>
      <c r="YB5" s="27"/>
      <c r="YC5" s="27"/>
      <c r="YD5" s="27"/>
      <c r="YE5" s="27"/>
      <c r="YF5" s="27"/>
      <c r="YG5" s="27"/>
      <c r="YH5" s="27"/>
      <c r="YI5" s="27"/>
      <c r="YJ5" s="27"/>
      <c r="YK5" s="27"/>
      <c r="YL5" s="27"/>
      <c r="YM5" s="27"/>
      <c r="YN5" s="27"/>
      <c r="YO5" s="27"/>
      <c r="YP5" s="27"/>
      <c r="YQ5" s="27"/>
      <c r="YR5" s="27"/>
      <c r="YS5" s="27"/>
      <c r="YT5" s="27"/>
      <c r="YU5" s="27"/>
      <c r="YV5" s="27"/>
      <c r="YW5" s="27"/>
      <c r="YX5" s="27"/>
      <c r="YY5" s="27"/>
      <c r="YZ5" s="27"/>
      <c r="ZA5" s="27"/>
      <c r="ZB5" s="27"/>
      <c r="ZC5" s="27"/>
      <c r="ZD5" s="27"/>
      <c r="ZE5" s="27"/>
      <c r="ZF5" s="27"/>
      <c r="ZG5" s="27"/>
      <c r="ZH5" s="27"/>
      <c r="ZI5" s="27"/>
      <c r="ZJ5" s="27"/>
      <c r="ZK5" s="27"/>
      <c r="ZL5" s="27"/>
      <c r="ZM5" s="27"/>
      <c r="ZN5" s="27"/>
      <c r="ZO5" s="27"/>
      <c r="ZP5" s="27"/>
      <c r="ZQ5" s="27"/>
      <c r="ZR5" s="27"/>
      <c r="ZS5" s="27"/>
      <c r="ZT5" s="27"/>
      <c r="ZU5" s="27"/>
      <c r="ZV5" s="27"/>
      <c r="ZW5" s="27"/>
      <c r="ZX5" s="27"/>
      <c r="ZY5" s="27"/>
      <c r="ZZ5" s="27"/>
      <c r="AAA5" s="27"/>
      <c r="AAB5" s="27"/>
      <c r="AAC5" s="27"/>
      <c r="AAD5" s="27"/>
      <c r="AAE5" s="27"/>
      <c r="AAF5" s="27"/>
      <c r="AAG5" s="27"/>
      <c r="AAH5" s="27"/>
      <c r="AAI5" s="27"/>
      <c r="AAJ5" s="27"/>
      <c r="AAK5" s="27"/>
      <c r="AAL5" s="27"/>
      <c r="AAM5" s="27"/>
      <c r="AAN5" s="27"/>
      <c r="AAO5" s="27"/>
      <c r="AAP5" s="27"/>
      <c r="AAQ5" s="27"/>
      <c r="AAR5" s="27"/>
      <c r="AAS5" s="27"/>
      <c r="AAT5" s="27"/>
      <c r="AAU5" s="27"/>
      <c r="AAV5" s="27"/>
      <c r="AAW5" s="27"/>
      <c r="AAX5" s="27"/>
      <c r="AAY5" s="27"/>
      <c r="AAZ5" s="27"/>
      <c r="ABA5" s="27"/>
      <c r="ABB5" s="27"/>
      <c r="ABC5" s="27"/>
      <c r="ABD5" s="27"/>
      <c r="ABE5" s="27"/>
      <c r="ABF5" s="27"/>
      <c r="ABG5" s="27"/>
      <c r="ABH5" s="27"/>
      <c r="ABI5" s="27"/>
      <c r="ABJ5" s="27"/>
      <c r="ABK5" s="27"/>
      <c r="ABL5" s="27"/>
      <c r="ABM5" s="27"/>
      <c r="ABN5" s="27"/>
      <c r="ABO5" s="27"/>
      <c r="ABP5" s="27"/>
      <c r="ABQ5" s="27"/>
      <c r="ABR5" s="27"/>
      <c r="ABS5" s="27"/>
      <c r="ABT5" s="27"/>
      <c r="ABU5" s="27"/>
      <c r="ABV5" s="27"/>
      <c r="ABW5" s="27"/>
      <c r="ABX5" s="27"/>
      <c r="ABY5" s="27"/>
      <c r="ABZ5" s="27"/>
      <c r="ACA5" s="27"/>
      <c r="ACB5" s="27"/>
      <c r="ACC5" s="27"/>
      <c r="ACD5" s="27"/>
      <c r="ACE5" s="27"/>
      <c r="ACF5" s="27"/>
      <c r="ACG5" s="27"/>
      <c r="ACH5" s="27"/>
      <c r="ACI5" s="27"/>
      <c r="ACJ5" s="27"/>
      <c r="ACK5" s="27"/>
      <c r="ACL5" s="27"/>
      <c r="ACM5" s="27"/>
      <c r="ACN5" s="27"/>
      <c r="ACO5" s="27"/>
      <c r="ACP5" s="27"/>
      <c r="ACQ5" s="27"/>
      <c r="ACR5" s="27"/>
      <c r="ACS5" s="27"/>
      <c r="ACT5" s="27"/>
      <c r="ACU5" s="27"/>
      <c r="ACV5" s="27"/>
      <c r="ACW5" s="27"/>
      <c r="ACX5" s="27"/>
      <c r="ACY5" s="27"/>
      <c r="ACZ5" s="27"/>
      <c r="ADA5" s="27"/>
      <c r="ADB5" s="27"/>
      <c r="ADC5" s="27"/>
      <c r="ADD5" s="27"/>
      <c r="ADE5" s="27"/>
      <c r="ADF5" s="27"/>
      <c r="ADG5" s="27"/>
      <c r="ADH5" s="27"/>
      <c r="ADI5" s="27"/>
      <c r="ADJ5" s="27"/>
      <c r="ADK5" s="27"/>
      <c r="ADL5" s="27"/>
      <c r="ADM5" s="27"/>
      <c r="ADN5" s="27"/>
      <c r="ADO5" s="27"/>
      <c r="ADP5" s="27"/>
      <c r="ADQ5" s="27"/>
      <c r="ADR5" s="27"/>
      <c r="ADS5" s="27"/>
      <c r="ADT5" s="27"/>
      <c r="ADU5" s="27"/>
      <c r="ADV5" s="27"/>
      <c r="ADW5" s="27"/>
      <c r="ADX5" s="27"/>
      <c r="ADY5" s="27"/>
      <c r="ADZ5" s="27"/>
      <c r="AEA5" s="27"/>
      <c r="AEB5" s="27"/>
      <c r="AEC5" s="27"/>
      <c r="AED5" s="27"/>
      <c r="AEE5" s="27"/>
      <c r="AEF5" s="27"/>
      <c r="AEG5" s="27"/>
      <c r="AEH5" s="27"/>
      <c r="AEI5" s="27"/>
      <c r="AEJ5" s="27"/>
      <c r="AEK5" s="27"/>
      <c r="AEL5" s="27"/>
      <c r="AEM5" s="27"/>
      <c r="AEN5" s="27"/>
      <c r="AEO5" s="27"/>
      <c r="AEP5" s="27"/>
      <c r="AEQ5" s="27"/>
      <c r="AER5" s="27"/>
      <c r="AES5" s="27"/>
      <c r="AET5" s="27"/>
      <c r="AEU5" s="27"/>
      <c r="AEV5" s="27"/>
      <c r="AEW5" s="27"/>
      <c r="AEX5" s="27"/>
      <c r="AEY5" s="27"/>
      <c r="AEZ5" s="27"/>
      <c r="AFA5" s="27"/>
      <c r="AFB5" s="27"/>
      <c r="AFC5" s="27"/>
      <c r="AFD5" s="27"/>
      <c r="AFE5" s="27"/>
      <c r="AFF5" s="27"/>
      <c r="AFG5" s="27"/>
      <c r="AFH5" s="27"/>
      <c r="AFI5" s="27"/>
      <c r="AFJ5" s="27"/>
      <c r="AFK5" s="27"/>
      <c r="AFL5" s="27"/>
      <c r="AFM5" s="27"/>
      <c r="AFN5" s="27"/>
      <c r="AFO5" s="27"/>
      <c r="AFP5" s="27"/>
      <c r="AFQ5" s="27"/>
      <c r="AFR5" s="27"/>
      <c r="AFS5" s="27"/>
      <c r="AFT5" s="27"/>
      <c r="AFU5" s="27"/>
      <c r="AFV5" s="27"/>
      <c r="AFW5" s="27"/>
      <c r="AFX5" s="27"/>
      <c r="AFY5" s="27"/>
      <c r="AFZ5" s="27"/>
      <c r="AGA5" s="27"/>
      <c r="AGB5" s="27"/>
      <c r="AGC5" s="27"/>
      <c r="AGD5" s="27"/>
      <c r="AGE5" s="27"/>
      <c r="AGF5" s="27"/>
      <c r="AGG5" s="27"/>
      <c r="AGH5" s="27"/>
      <c r="AGI5" s="27"/>
      <c r="AGJ5" s="27"/>
      <c r="AGK5" s="27"/>
      <c r="AGL5" s="27"/>
      <c r="AGM5" s="27"/>
      <c r="AGN5" s="27"/>
      <c r="AGO5" s="27"/>
      <c r="AGP5" s="27"/>
      <c r="AGQ5" s="27"/>
      <c r="AGR5" s="27"/>
      <c r="AGS5" s="27"/>
      <c r="AGT5" s="27"/>
      <c r="AGU5" s="27"/>
      <c r="AGV5" s="27"/>
      <c r="AGW5" s="27"/>
      <c r="AGX5" s="27"/>
      <c r="AGY5" s="27"/>
      <c r="AGZ5" s="27"/>
      <c r="AHA5" s="27"/>
      <c r="AHB5" s="27"/>
      <c r="AHC5" s="27"/>
      <c r="AHD5" s="27"/>
      <c r="AHE5" s="27"/>
      <c r="AHF5" s="27"/>
      <c r="AHG5" s="27"/>
      <c r="AHH5" s="27"/>
      <c r="AHI5" s="27"/>
      <c r="AHJ5" s="27"/>
      <c r="AHK5" s="27"/>
      <c r="AHL5" s="27"/>
      <c r="AHM5" s="27"/>
      <c r="AHN5" s="27"/>
      <c r="AHO5" s="27"/>
      <c r="AHP5" s="27"/>
      <c r="AHQ5" s="27"/>
      <c r="AHR5" s="27"/>
      <c r="AHS5" s="27"/>
      <c r="AHT5" s="27"/>
      <c r="AHU5" s="27"/>
      <c r="AHV5" s="27"/>
      <c r="AHW5" s="27"/>
      <c r="AHX5" s="27"/>
      <c r="AHY5" s="27"/>
      <c r="AHZ5" s="27"/>
      <c r="AIA5" s="27"/>
      <c r="AIB5" s="27"/>
      <c r="AIC5" s="27"/>
      <c r="AID5" s="27"/>
      <c r="AIE5" s="27"/>
      <c r="AIF5" s="27"/>
      <c r="AIG5" s="27"/>
      <c r="AIH5" s="27"/>
      <c r="AII5" s="27"/>
      <c r="AIJ5" s="27"/>
      <c r="AIK5" s="27"/>
      <c r="AIL5" s="27"/>
      <c r="AIM5" s="27"/>
      <c r="AIN5" s="27"/>
      <c r="AIO5" s="27"/>
      <c r="AIP5" s="27"/>
      <c r="AIQ5" s="27"/>
      <c r="AIR5" s="27"/>
      <c r="AIS5" s="27"/>
      <c r="AIT5" s="27"/>
      <c r="AIU5" s="27"/>
      <c r="AIV5" s="27"/>
      <c r="AIW5" s="27"/>
      <c r="AIX5" s="27"/>
      <c r="AIY5" s="27"/>
      <c r="AIZ5" s="27"/>
      <c r="AJA5" s="27"/>
      <c r="AJB5" s="27"/>
      <c r="AJC5" s="27"/>
      <c r="AJD5" s="27"/>
      <c r="AJE5" s="27"/>
      <c r="AJF5" s="27"/>
      <c r="AJG5" s="27"/>
      <c r="AJH5" s="27"/>
      <c r="AJI5" s="27"/>
      <c r="AJJ5" s="27"/>
      <c r="AJK5" s="27"/>
      <c r="AJL5" s="27"/>
      <c r="AJM5" s="27"/>
      <c r="AJN5" s="27"/>
      <c r="AJO5" s="27"/>
      <c r="AJP5" s="27"/>
      <c r="AJQ5" s="27"/>
      <c r="AJR5" s="27"/>
      <c r="AJS5" s="27"/>
      <c r="AJT5" s="27"/>
      <c r="AJU5" s="27"/>
      <c r="AJV5" s="27"/>
      <c r="AJW5" s="27"/>
      <c r="AJX5" s="27"/>
      <c r="AJY5" s="27"/>
      <c r="AJZ5" s="27"/>
      <c r="AKA5" s="27"/>
      <c r="AKB5" s="27"/>
      <c r="AKC5" s="27"/>
      <c r="AKD5" s="27"/>
      <c r="AKE5" s="27"/>
      <c r="AKF5" s="27"/>
      <c r="AKG5" s="27"/>
      <c r="AKH5" s="27"/>
      <c r="AKI5" s="27"/>
      <c r="AKJ5" s="27"/>
      <c r="AKK5" s="27"/>
      <c r="AKL5" s="27"/>
      <c r="AKM5" s="27"/>
      <c r="AKN5" s="27"/>
      <c r="AKO5" s="27"/>
      <c r="AKP5" s="27"/>
      <c r="AKQ5" s="27"/>
      <c r="AKR5" s="27"/>
      <c r="AKS5" s="27"/>
      <c r="AKT5" s="27"/>
      <c r="AKU5" s="27"/>
      <c r="AKV5" s="27"/>
      <c r="AKW5" s="27"/>
      <c r="AKX5" s="27"/>
      <c r="AKY5" s="27"/>
      <c r="AKZ5" s="27"/>
      <c r="ALA5" s="27"/>
      <c r="ALB5" s="27"/>
      <c r="ALC5" s="27"/>
      <c r="ALD5" s="27"/>
      <c r="ALE5" s="27"/>
      <c r="ALF5" s="27"/>
      <c r="ALG5" s="27"/>
      <c r="ALH5" s="27"/>
      <c r="ALI5" s="27"/>
      <c r="ALJ5" s="27"/>
      <c r="ALK5" s="27"/>
      <c r="ALL5" s="27"/>
      <c r="ALM5" s="27"/>
      <c r="ALN5" s="27"/>
      <c r="ALO5" s="27"/>
      <c r="ALP5" s="27"/>
      <c r="ALQ5" s="27"/>
      <c r="ALR5" s="27"/>
      <c r="ALS5" s="27"/>
      <c r="ALT5" s="27"/>
      <c r="ALU5" s="27"/>
      <c r="ALV5" s="27"/>
      <c r="ALW5" s="27"/>
      <c r="ALX5" s="27"/>
      <c r="ALY5" s="27"/>
      <c r="ALZ5" s="27"/>
      <c r="AMA5" s="27"/>
      <c r="AMB5" s="27"/>
      <c r="AMC5" s="27"/>
      <c r="AMD5" s="27"/>
      <c r="AME5" s="27"/>
      <c r="AMF5" s="27"/>
      <c r="AMG5" s="27"/>
      <c r="AMH5" s="27"/>
      <c r="AMI5" s="27"/>
      <c r="AMJ5" s="27"/>
      <c r="AMK5" s="27"/>
      <c r="AML5" s="27"/>
    </row>
    <row r="6" ht="15.75" customHeight="1">
      <c r="A6" s="46" t="s">
        <v>112</v>
      </c>
      <c r="B6" s="46" t="s">
        <v>112</v>
      </c>
      <c r="C6" s="8" t="s">
        <v>112</v>
      </c>
      <c r="D6" s="46" t="s">
        <v>112</v>
      </c>
      <c r="E6" s="8"/>
      <c r="F6" s="8" t="s">
        <v>113</v>
      </c>
      <c r="G6" s="8" t="s">
        <v>112</v>
      </c>
      <c r="H6" s="8" t="s">
        <v>112</v>
      </c>
      <c r="I6" s="8"/>
      <c r="J6" s="8" t="s">
        <v>114</v>
      </c>
      <c r="K6" s="8" t="s">
        <v>112</v>
      </c>
      <c r="L6" s="8" t="s">
        <v>112</v>
      </c>
      <c r="M6" s="8" t="s">
        <v>112</v>
      </c>
      <c r="N6" s="8"/>
      <c r="O6" s="8"/>
      <c r="Q6" t="s">
        <v>115</v>
      </c>
      <c r="R6" t="s">
        <v>112</v>
      </c>
      <c r="S6" t="s">
        <v>112</v>
      </c>
      <c r="U6" t="s">
        <v>64</v>
      </c>
      <c r="X6" t="s">
        <v>112</v>
      </c>
      <c r="Y6" t="s">
        <v>112</v>
      </c>
      <c r="Z6" t="s">
        <v>116</v>
      </c>
      <c r="AA6" t="s">
        <v>117</v>
      </c>
      <c r="AB6" t="s">
        <v>50</v>
      </c>
      <c r="AC6" s="47">
        <v>100.0</v>
      </c>
      <c r="AD6" t="s">
        <v>112</v>
      </c>
      <c r="AE6" t="s">
        <v>112</v>
      </c>
      <c r="AF6" t="s">
        <v>118</v>
      </c>
      <c r="AG6" t="s">
        <v>112</v>
      </c>
      <c r="AH6" t="s">
        <v>112</v>
      </c>
      <c r="AI6" t="s">
        <v>119</v>
      </c>
      <c r="AJ6" t="s">
        <v>119</v>
      </c>
      <c r="AK6" t="s">
        <v>120</v>
      </c>
      <c r="AL6" t="s">
        <v>121</v>
      </c>
      <c r="AM6" t="s">
        <v>112</v>
      </c>
      <c r="AS6" t="s">
        <v>122</v>
      </c>
      <c r="AT6" t="s">
        <v>112</v>
      </c>
      <c r="AU6" t="s">
        <v>112</v>
      </c>
      <c r="AV6" t="s">
        <v>112</v>
      </c>
      <c r="AW6" t="s">
        <v>112</v>
      </c>
      <c r="AX6" t="s">
        <v>112</v>
      </c>
      <c r="AY6" t="s">
        <v>112</v>
      </c>
      <c r="AZ6" t="s">
        <v>112</v>
      </c>
      <c r="BA6" t="s">
        <v>112</v>
      </c>
      <c r="BB6" t="s">
        <v>112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112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112</v>
      </c>
      <c r="BQ6" t="s">
        <v>112</v>
      </c>
      <c r="BR6" t="s">
        <v>112</v>
      </c>
      <c r="BS6" t="s">
        <v>112</v>
      </c>
      <c r="BT6" t="s">
        <v>112</v>
      </c>
      <c r="BU6" t="s">
        <v>112</v>
      </c>
      <c r="BV6" t="s">
        <v>112</v>
      </c>
      <c r="BW6" t="s">
        <v>112</v>
      </c>
      <c r="BX6" t="s">
        <v>112</v>
      </c>
      <c r="BY6" t="s">
        <v>112</v>
      </c>
      <c r="BZ6" t="s">
        <v>112</v>
      </c>
      <c r="CA6" t="s">
        <v>112</v>
      </c>
      <c r="CB6" t="s">
        <v>112</v>
      </c>
      <c r="CC6" t="s">
        <v>112</v>
      </c>
      <c r="CD6" t="s">
        <v>112</v>
      </c>
      <c r="CE6" t="s">
        <v>112</v>
      </c>
      <c r="CF6" t="s">
        <v>112</v>
      </c>
      <c r="CG6" t="s">
        <v>112</v>
      </c>
      <c r="CH6" t="s">
        <v>112</v>
      </c>
      <c r="CI6" t="s">
        <v>112</v>
      </c>
      <c r="CJ6" t="s">
        <v>112</v>
      </c>
      <c r="CK6" t="s">
        <v>112</v>
      </c>
      <c r="CL6" t="s">
        <v>112</v>
      </c>
      <c r="CM6" t="s">
        <v>112</v>
      </c>
      <c r="CN6" t="s">
        <v>112</v>
      </c>
      <c r="CO6" t="s">
        <v>112</v>
      </c>
      <c r="CP6" t="s">
        <v>112</v>
      </c>
      <c r="CQ6" t="s">
        <v>112</v>
      </c>
      <c r="CR6" t="s">
        <v>112</v>
      </c>
      <c r="CS6" t="s">
        <v>112</v>
      </c>
      <c r="CT6" t="s">
        <v>112</v>
      </c>
      <c r="CU6" t="s">
        <v>112</v>
      </c>
      <c r="CV6" t="s">
        <v>112</v>
      </c>
      <c r="CW6" t="s">
        <v>112</v>
      </c>
      <c r="CX6" t="s">
        <v>112</v>
      </c>
      <c r="CY6" t="s">
        <v>112</v>
      </c>
      <c r="CZ6" t="s">
        <v>112</v>
      </c>
      <c r="DA6" t="s">
        <v>112</v>
      </c>
      <c r="DB6" t="s">
        <v>112</v>
      </c>
      <c r="DC6" t="s">
        <v>112</v>
      </c>
      <c r="DD6" t="s">
        <v>112</v>
      </c>
      <c r="DE6" t="s">
        <v>112</v>
      </c>
      <c r="DF6" t="s">
        <v>112</v>
      </c>
      <c r="DG6" t="s">
        <v>112</v>
      </c>
      <c r="DH6" t="s">
        <v>112</v>
      </c>
      <c r="DI6" t="s">
        <v>112</v>
      </c>
      <c r="DJ6" t="s">
        <v>112</v>
      </c>
      <c r="DK6" t="s">
        <v>112</v>
      </c>
      <c r="DL6" t="s">
        <v>112</v>
      </c>
      <c r="DM6" t="s">
        <v>112</v>
      </c>
      <c r="DN6" t="s">
        <v>112</v>
      </c>
      <c r="DO6" t="s">
        <v>112</v>
      </c>
      <c r="DP6" t="s">
        <v>112</v>
      </c>
      <c r="DQ6" t="s">
        <v>112</v>
      </c>
      <c r="DR6" t="s">
        <v>112</v>
      </c>
      <c r="DS6" t="s">
        <v>112</v>
      </c>
      <c r="DT6" t="s">
        <v>112</v>
      </c>
      <c r="DU6" t="s">
        <v>112</v>
      </c>
      <c r="DV6" t="s">
        <v>112</v>
      </c>
      <c r="DW6" t="s">
        <v>112</v>
      </c>
      <c r="DX6" t="s">
        <v>112</v>
      </c>
      <c r="DY6" t="s">
        <v>112</v>
      </c>
      <c r="DZ6" t="s">
        <v>112</v>
      </c>
      <c r="EA6" t="s">
        <v>112</v>
      </c>
      <c r="EB6" t="s">
        <v>112</v>
      </c>
      <c r="EC6" t="s">
        <v>112</v>
      </c>
      <c r="ED6" t="s">
        <v>112</v>
      </c>
      <c r="EE6" t="s">
        <v>112</v>
      </c>
      <c r="EF6" t="s">
        <v>112</v>
      </c>
      <c r="EG6" t="s">
        <v>112</v>
      </c>
      <c r="EH6" t="s">
        <v>112</v>
      </c>
      <c r="EI6" t="s">
        <v>112</v>
      </c>
      <c r="EJ6" t="s">
        <v>112</v>
      </c>
      <c r="EK6" t="s">
        <v>112</v>
      </c>
      <c r="EL6" t="s">
        <v>112</v>
      </c>
      <c r="EM6" t="s">
        <v>112</v>
      </c>
      <c r="EN6" t="s">
        <v>112</v>
      </c>
      <c r="EO6" t="s">
        <v>112</v>
      </c>
      <c r="EP6" t="s">
        <v>112</v>
      </c>
      <c r="EQ6" t="s">
        <v>112</v>
      </c>
      <c r="ER6" t="s">
        <v>112</v>
      </c>
      <c r="ES6" t="s">
        <v>112</v>
      </c>
      <c r="ET6" t="s">
        <v>112</v>
      </c>
      <c r="EU6" t="s">
        <v>112</v>
      </c>
      <c r="EV6" t="s">
        <v>112</v>
      </c>
      <c r="EW6" t="s">
        <v>112</v>
      </c>
      <c r="EX6" t="s">
        <v>112</v>
      </c>
      <c r="EY6" t="s">
        <v>112</v>
      </c>
      <c r="EZ6" t="s">
        <v>112</v>
      </c>
      <c r="FA6" t="s">
        <v>112</v>
      </c>
      <c r="FB6" t="s">
        <v>112</v>
      </c>
      <c r="FC6" t="s">
        <v>112</v>
      </c>
      <c r="FD6" t="s">
        <v>112</v>
      </c>
      <c r="FE6" t="s">
        <v>112</v>
      </c>
      <c r="FF6" t="s">
        <v>112</v>
      </c>
      <c r="FG6" t="s">
        <v>112</v>
      </c>
      <c r="FH6" t="s">
        <v>112</v>
      </c>
      <c r="FI6" t="s">
        <v>112</v>
      </c>
      <c r="FJ6" t="s">
        <v>112</v>
      </c>
      <c r="FK6" t="s">
        <v>112</v>
      </c>
      <c r="FL6" t="s">
        <v>112</v>
      </c>
      <c r="FM6" t="s">
        <v>112</v>
      </c>
      <c r="FN6" t="s">
        <v>112</v>
      </c>
      <c r="FO6" t="s">
        <v>112</v>
      </c>
      <c r="FP6" t="s">
        <v>112</v>
      </c>
      <c r="FQ6" t="s">
        <v>112</v>
      </c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  <c r="II6" s="48"/>
      <c r="IJ6" s="48"/>
      <c r="IK6" s="48"/>
      <c r="IL6" s="48"/>
      <c r="IM6" s="48"/>
      <c r="IN6" s="48"/>
      <c r="IO6" s="48"/>
      <c r="IP6" s="48"/>
      <c r="IQ6" s="48"/>
      <c r="IR6" s="48"/>
      <c r="IS6" s="48"/>
      <c r="IT6" s="48"/>
      <c r="IU6" s="48"/>
      <c r="IV6" s="48"/>
      <c r="IW6" s="48"/>
      <c r="IX6" s="48"/>
      <c r="IY6" s="48"/>
      <c r="IZ6" s="48"/>
      <c r="JA6" s="48"/>
      <c r="JB6" s="48"/>
      <c r="JC6" s="48"/>
      <c r="JD6" s="48"/>
      <c r="JE6" s="48"/>
      <c r="JF6" s="48"/>
      <c r="JG6" s="48"/>
      <c r="JH6" s="48"/>
      <c r="JI6" s="48"/>
      <c r="JJ6" s="48"/>
      <c r="JK6" s="48"/>
      <c r="JL6" s="48"/>
      <c r="JM6" s="48"/>
      <c r="JN6" s="48"/>
      <c r="JO6" s="48"/>
      <c r="JP6" s="48"/>
      <c r="JQ6" s="48"/>
      <c r="JR6" s="48"/>
      <c r="JS6" s="48"/>
      <c r="JT6" s="48"/>
      <c r="JU6" s="48"/>
      <c r="JV6" s="48"/>
      <c r="JW6" s="48"/>
      <c r="JX6" s="48"/>
      <c r="JY6" s="48"/>
      <c r="JZ6" s="48"/>
      <c r="KA6" s="48"/>
      <c r="KB6" s="48"/>
      <c r="KC6" s="48"/>
      <c r="KD6" s="48"/>
      <c r="KE6" s="48"/>
      <c r="KF6" s="48"/>
      <c r="KG6" s="48"/>
      <c r="KH6" s="48"/>
      <c r="KI6" s="48"/>
      <c r="KJ6" s="48"/>
      <c r="KK6" s="48"/>
      <c r="KL6" s="48"/>
      <c r="KM6" s="48"/>
      <c r="KN6" s="48"/>
      <c r="KO6" s="48"/>
      <c r="KP6" s="48"/>
      <c r="KQ6" s="48"/>
      <c r="KR6" s="48"/>
      <c r="KS6" s="48"/>
      <c r="KT6" s="48"/>
      <c r="KU6" s="48"/>
      <c r="KV6" s="48"/>
      <c r="KW6" s="48"/>
      <c r="KX6" s="48"/>
      <c r="KY6" s="48"/>
      <c r="KZ6" s="48"/>
      <c r="LA6" s="48"/>
      <c r="LB6" s="48"/>
      <c r="LC6" s="48"/>
      <c r="LD6" s="48"/>
      <c r="LE6" s="48"/>
      <c r="LF6" s="48"/>
      <c r="LG6" s="48"/>
      <c r="LH6" s="48"/>
      <c r="LI6" s="48"/>
      <c r="LJ6" s="48"/>
      <c r="LK6" s="48"/>
      <c r="LL6" s="48"/>
      <c r="LM6" s="48"/>
      <c r="LN6" s="48"/>
      <c r="LO6" s="48"/>
      <c r="LP6" s="48"/>
      <c r="LQ6" s="48"/>
      <c r="LR6" s="48"/>
      <c r="LS6" s="48"/>
      <c r="LT6" s="48"/>
      <c r="LU6" s="48"/>
      <c r="LV6" s="48"/>
      <c r="LW6" s="48"/>
      <c r="LX6" s="48"/>
      <c r="LY6" s="48"/>
      <c r="LZ6" s="48"/>
      <c r="MA6" s="48"/>
      <c r="MB6" s="48"/>
      <c r="MC6" s="48"/>
      <c r="MD6" s="48"/>
      <c r="ME6" s="48"/>
      <c r="MF6" s="48"/>
      <c r="MG6" s="48"/>
      <c r="MH6" s="48"/>
      <c r="MI6" s="48"/>
      <c r="MJ6" s="48"/>
      <c r="MK6" s="48"/>
      <c r="ML6" s="48"/>
      <c r="MM6" s="48"/>
      <c r="MN6" s="48"/>
      <c r="MO6" s="48"/>
      <c r="MP6" s="48"/>
      <c r="MQ6" s="48"/>
      <c r="MR6" s="48"/>
      <c r="MS6" s="48"/>
      <c r="MT6" s="48"/>
      <c r="MU6" s="48"/>
      <c r="MV6" s="48"/>
      <c r="MW6" s="48"/>
      <c r="MX6" s="48"/>
      <c r="MY6" s="48"/>
      <c r="MZ6" s="48"/>
      <c r="NA6" s="48"/>
      <c r="NB6" s="48"/>
      <c r="NC6" s="48"/>
      <c r="ND6" s="48"/>
      <c r="NE6" s="48"/>
      <c r="NF6" s="48"/>
      <c r="NG6" s="48"/>
      <c r="NH6" s="48"/>
      <c r="NI6" s="48"/>
      <c r="NJ6" s="48"/>
      <c r="NK6" s="48"/>
      <c r="NL6" s="48"/>
      <c r="NM6" s="48"/>
      <c r="NN6" s="48"/>
      <c r="NO6" s="48"/>
      <c r="NP6" s="48"/>
      <c r="NQ6" s="48"/>
      <c r="NR6" s="48"/>
      <c r="NS6" s="48"/>
      <c r="NT6" s="48"/>
      <c r="NU6" s="48"/>
      <c r="NV6" s="48"/>
      <c r="NW6" s="48"/>
      <c r="NX6" s="48"/>
      <c r="NY6" s="48"/>
      <c r="NZ6" s="48"/>
      <c r="OA6" s="48"/>
      <c r="OB6" s="48"/>
      <c r="OC6" s="48"/>
      <c r="OD6" s="48"/>
      <c r="OE6" s="48"/>
      <c r="OF6" s="48"/>
      <c r="OG6" s="48"/>
      <c r="OH6" s="48"/>
      <c r="OI6" s="48"/>
      <c r="OJ6" s="48"/>
      <c r="OK6" s="48"/>
      <c r="OL6" s="48"/>
      <c r="OM6" s="48"/>
      <c r="ON6" s="48"/>
      <c r="OO6" s="48"/>
      <c r="OP6" s="48"/>
      <c r="OQ6" s="48"/>
      <c r="OR6" s="48"/>
      <c r="OS6" s="48"/>
      <c r="OT6" s="48"/>
      <c r="OU6" s="48"/>
      <c r="OV6" s="48"/>
      <c r="OW6" s="48"/>
      <c r="OX6" s="48"/>
      <c r="OY6" s="48"/>
      <c r="OZ6" s="48"/>
      <c r="PA6" s="48"/>
      <c r="PB6" s="48"/>
      <c r="PC6" s="48"/>
      <c r="PD6" s="48"/>
      <c r="PE6" s="48"/>
      <c r="PF6" s="48"/>
      <c r="PG6" s="48"/>
      <c r="PH6" s="48"/>
      <c r="PI6" s="48"/>
      <c r="PJ6" s="48"/>
      <c r="PK6" s="48"/>
      <c r="PL6" s="48"/>
      <c r="PM6" s="48"/>
      <c r="PN6" s="48"/>
      <c r="PO6" s="48"/>
      <c r="PP6" s="48"/>
      <c r="PQ6" s="48"/>
      <c r="PR6" s="48"/>
      <c r="PS6" s="48"/>
      <c r="PT6" s="48"/>
      <c r="PU6" s="48"/>
      <c r="PV6" s="48"/>
      <c r="PW6" s="48"/>
      <c r="PX6" s="48"/>
      <c r="PY6" s="48"/>
      <c r="PZ6" s="48"/>
      <c r="QA6" s="48"/>
      <c r="QB6" s="48"/>
      <c r="QC6" s="48"/>
      <c r="QD6" s="48"/>
      <c r="QE6" s="48"/>
      <c r="QF6" s="48"/>
      <c r="QG6" s="48"/>
      <c r="QH6" s="48"/>
      <c r="QI6" s="48"/>
      <c r="QJ6" s="48"/>
      <c r="QK6" s="48"/>
      <c r="QL6" s="48"/>
      <c r="QM6" s="48"/>
      <c r="QN6" s="48"/>
      <c r="QO6" s="48"/>
      <c r="QP6" s="48"/>
      <c r="QQ6" s="48"/>
      <c r="QR6" s="48"/>
      <c r="QS6" s="48"/>
      <c r="QT6" s="48"/>
      <c r="QU6" s="48"/>
      <c r="QV6" s="48"/>
      <c r="QW6" s="48"/>
      <c r="QX6" s="48"/>
      <c r="QY6" s="48"/>
      <c r="QZ6" s="48"/>
      <c r="RA6" s="48"/>
      <c r="RB6" s="48"/>
      <c r="RC6" s="48"/>
      <c r="RD6" s="48"/>
      <c r="RE6" s="48"/>
      <c r="RF6" s="48"/>
      <c r="RG6" s="48"/>
      <c r="RH6" s="48"/>
      <c r="RI6" s="48"/>
      <c r="RJ6" s="48"/>
      <c r="RK6" s="48"/>
      <c r="RL6" s="48"/>
      <c r="RM6" s="48"/>
      <c r="RN6" s="48"/>
      <c r="RO6" s="48"/>
      <c r="RP6" s="48"/>
      <c r="RQ6" s="48"/>
      <c r="RR6" s="48"/>
      <c r="RS6" s="48"/>
      <c r="RT6" s="48"/>
      <c r="RU6" s="48"/>
      <c r="RV6" s="48"/>
      <c r="RW6" s="48"/>
      <c r="RX6" s="48"/>
      <c r="RY6" s="48"/>
      <c r="RZ6" s="48"/>
      <c r="SA6" s="48"/>
      <c r="SB6" s="48"/>
      <c r="SC6" s="48"/>
      <c r="SD6" s="48"/>
      <c r="SE6" s="48"/>
      <c r="SF6" s="48"/>
      <c r="SG6" s="48"/>
      <c r="SH6" s="48"/>
      <c r="SI6" s="48"/>
      <c r="SJ6" s="48"/>
      <c r="SK6" s="48"/>
      <c r="SL6" s="48"/>
      <c r="SM6" s="48"/>
      <c r="SN6" s="48"/>
      <c r="SO6" s="48"/>
      <c r="SP6" s="48"/>
      <c r="SQ6" s="48"/>
      <c r="SR6" s="48"/>
      <c r="SS6" s="48"/>
      <c r="ST6" s="48"/>
      <c r="SU6" s="48"/>
      <c r="SV6" s="48"/>
      <c r="SW6" s="48"/>
      <c r="SX6" s="48"/>
      <c r="SY6" s="48"/>
      <c r="SZ6" s="48"/>
      <c r="TA6" s="48"/>
      <c r="TB6" s="48"/>
      <c r="TC6" s="48"/>
      <c r="TD6" s="48"/>
      <c r="TE6" s="48"/>
      <c r="TF6" s="48"/>
      <c r="TG6" s="48"/>
      <c r="TH6" s="48"/>
      <c r="TI6" s="48"/>
      <c r="TJ6" s="48"/>
      <c r="TK6" s="48"/>
      <c r="TL6" s="48"/>
      <c r="TM6" s="48"/>
      <c r="TN6" s="48"/>
      <c r="TO6" s="48"/>
      <c r="TP6" s="48"/>
      <c r="TQ6" s="48"/>
      <c r="TR6" s="48"/>
      <c r="TS6" s="48"/>
      <c r="TT6" s="48"/>
      <c r="TU6" s="48"/>
      <c r="TV6" s="48"/>
      <c r="TW6" s="48"/>
      <c r="TX6" s="48"/>
      <c r="TY6" s="48"/>
      <c r="TZ6" s="48"/>
      <c r="UA6" s="48"/>
      <c r="UB6" s="48"/>
      <c r="UC6" s="48"/>
      <c r="UD6" s="48"/>
      <c r="UE6" s="48"/>
      <c r="UF6" s="48"/>
      <c r="UG6" s="48"/>
      <c r="UH6" s="48"/>
      <c r="UI6" s="48"/>
      <c r="UJ6" s="48"/>
      <c r="UK6" s="48"/>
      <c r="UL6" s="48"/>
      <c r="UM6" s="48"/>
      <c r="UN6" s="48"/>
      <c r="UO6" s="48"/>
      <c r="UP6" s="48"/>
      <c r="UQ6" s="48"/>
      <c r="UR6" s="48"/>
      <c r="US6" s="48"/>
      <c r="UT6" s="48"/>
      <c r="UU6" s="48"/>
      <c r="UV6" s="48"/>
      <c r="UW6" s="48"/>
      <c r="UX6" s="48"/>
      <c r="UY6" s="48"/>
      <c r="UZ6" s="48"/>
      <c r="VA6" s="48"/>
      <c r="VB6" s="48"/>
      <c r="VC6" s="48"/>
      <c r="VD6" s="48"/>
      <c r="VE6" s="48"/>
      <c r="VF6" s="48"/>
      <c r="VG6" s="48"/>
      <c r="VH6" s="48"/>
      <c r="VI6" s="48"/>
      <c r="VJ6" s="48"/>
      <c r="VK6" s="48"/>
      <c r="VL6" s="48"/>
      <c r="VM6" s="48"/>
      <c r="VN6" s="48"/>
      <c r="VO6" s="48"/>
      <c r="VP6" s="48"/>
      <c r="VQ6" s="48"/>
      <c r="VR6" s="48"/>
      <c r="VS6" s="48"/>
      <c r="VT6" s="48"/>
      <c r="VU6" s="48"/>
      <c r="VV6" s="48"/>
      <c r="VW6" s="48"/>
      <c r="VX6" s="48"/>
      <c r="VY6" s="48"/>
      <c r="VZ6" s="48"/>
      <c r="WA6" s="48"/>
      <c r="WB6" s="48"/>
      <c r="WC6" s="48"/>
      <c r="WD6" s="48"/>
      <c r="WE6" s="48"/>
      <c r="WF6" s="48"/>
      <c r="WG6" s="48"/>
      <c r="WH6" s="48"/>
      <c r="WI6" s="48"/>
      <c r="WJ6" s="48"/>
      <c r="WK6" s="48"/>
      <c r="WL6" s="48"/>
      <c r="WM6" s="48"/>
      <c r="WN6" s="48"/>
      <c r="WO6" s="48"/>
      <c r="WP6" s="48"/>
      <c r="WQ6" s="48"/>
      <c r="WR6" s="48"/>
      <c r="WS6" s="48"/>
      <c r="WT6" s="48"/>
      <c r="WU6" s="48"/>
      <c r="WV6" s="48"/>
      <c r="WW6" s="48"/>
      <c r="WX6" s="48"/>
      <c r="WY6" s="48"/>
      <c r="WZ6" s="48"/>
      <c r="XA6" s="48"/>
      <c r="XB6" s="48"/>
      <c r="XC6" s="48"/>
      <c r="XD6" s="48"/>
      <c r="XE6" s="48"/>
      <c r="XF6" s="48"/>
      <c r="XG6" s="48"/>
      <c r="XH6" s="48"/>
      <c r="XI6" s="48"/>
      <c r="XJ6" s="48"/>
      <c r="XK6" s="48"/>
      <c r="XL6" s="48"/>
      <c r="XM6" s="48"/>
      <c r="XN6" s="48"/>
      <c r="XO6" s="48"/>
      <c r="XP6" s="48"/>
      <c r="XQ6" s="48"/>
      <c r="XR6" s="48"/>
      <c r="XS6" s="48"/>
      <c r="XT6" s="48"/>
      <c r="XU6" s="48"/>
      <c r="XV6" s="48"/>
      <c r="XW6" s="48"/>
      <c r="XX6" s="48"/>
      <c r="XY6" s="48"/>
      <c r="XZ6" s="48"/>
      <c r="YA6" s="48"/>
      <c r="YB6" s="48"/>
      <c r="YC6" s="48"/>
      <c r="YD6" s="48"/>
      <c r="YE6" s="48"/>
      <c r="YF6" s="48"/>
      <c r="YG6" s="48"/>
      <c r="YH6" s="48"/>
      <c r="YI6" s="48"/>
      <c r="YJ6" s="48"/>
      <c r="YK6" s="48"/>
      <c r="YL6" s="48"/>
      <c r="YM6" s="48"/>
      <c r="YN6" s="48"/>
      <c r="YO6" s="48"/>
      <c r="YP6" s="48"/>
      <c r="YQ6" s="48"/>
      <c r="YR6" s="48"/>
      <c r="YS6" s="48"/>
      <c r="YT6" s="48"/>
      <c r="YU6" s="48"/>
      <c r="YV6" s="48"/>
      <c r="YW6" s="48"/>
      <c r="YX6" s="48"/>
      <c r="YY6" s="48"/>
      <c r="YZ6" s="48"/>
      <c r="ZA6" s="48"/>
      <c r="ZB6" s="48"/>
      <c r="ZC6" s="48"/>
      <c r="ZD6" s="48"/>
      <c r="ZE6" s="48"/>
      <c r="ZF6" s="48"/>
      <c r="ZG6" s="48"/>
      <c r="ZH6" s="48"/>
      <c r="ZI6" s="48"/>
      <c r="ZJ6" s="48"/>
      <c r="ZK6" s="48"/>
      <c r="ZL6" s="48"/>
      <c r="ZM6" s="48"/>
      <c r="ZN6" s="48"/>
      <c r="ZO6" s="48"/>
      <c r="ZP6" s="48"/>
      <c r="ZQ6" s="48"/>
      <c r="ZR6" s="48"/>
      <c r="ZS6" s="48"/>
      <c r="ZT6" s="48"/>
      <c r="ZU6" s="48"/>
      <c r="ZV6" s="48"/>
      <c r="ZW6" s="48"/>
      <c r="ZX6" s="48"/>
      <c r="ZY6" s="48"/>
      <c r="ZZ6" s="48"/>
      <c r="AAA6" s="48"/>
      <c r="AAB6" s="48"/>
      <c r="AAC6" s="48"/>
      <c r="AAD6" s="48"/>
      <c r="AAE6" s="48"/>
      <c r="AAF6" s="48"/>
      <c r="AAG6" s="48"/>
      <c r="AAH6" s="48"/>
      <c r="AAI6" s="48"/>
      <c r="AAJ6" s="48"/>
      <c r="AAK6" s="48"/>
      <c r="AAL6" s="48"/>
      <c r="AAM6" s="48"/>
      <c r="AAN6" s="48"/>
      <c r="AAO6" s="48"/>
      <c r="AAP6" s="48"/>
      <c r="AAQ6" s="48"/>
      <c r="AAR6" s="48"/>
      <c r="AAS6" s="48"/>
      <c r="AAT6" s="48"/>
      <c r="AAU6" s="48"/>
      <c r="AAV6" s="48"/>
      <c r="AAW6" s="48"/>
      <c r="AAX6" s="48"/>
      <c r="AAY6" s="48"/>
      <c r="AAZ6" s="48"/>
      <c r="ABA6" s="48"/>
      <c r="ABB6" s="48"/>
      <c r="ABC6" s="48"/>
      <c r="ABD6" s="48"/>
      <c r="ABE6" s="48"/>
      <c r="ABF6" s="48"/>
      <c r="ABG6" s="48"/>
      <c r="ABH6" s="48"/>
      <c r="ABI6" s="48"/>
      <c r="ABJ6" s="48"/>
      <c r="ABK6" s="48"/>
      <c r="ABL6" s="48"/>
      <c r="ABM6" s="48"/>
      <c r="ABN6" s="48"/>
      <c r="ABO6" s="48"/>
      <c r="ABP6" s="48"/>
      <c r="ABQ6" s="48"/>
      <c r="ABR6" s="48"/>
      <c r="ABS6" s="48"/>
      <c r="ABT6" s="48"/>
      <c r="ABU6" s="48"/>
      <c r="ABV6" s="48"/>
      <c r="ABW6" s="48"/>
      <c r="ABX6" s="48"/>
      <c r="ABY6" s="48"/>
      <c r="ABZ6" s="48"/>
      <c r="ACA6" s="48"/>
      <c r="ACB6" s="48"/>
      <c r="ACC6" s="48"/>
      <c r="ACD6" s="48"/>
      <c r="ACE6" s="48"/>
      <c r="ACF6" s="48"/>
      <c r="ACG6" s="48"/>
      <c r="ACH6" s="48"/>
      <c r="ACI6" s="48"/>
      <c r="ACJ6" s="48"/>
      <c r="ACK6" s="48"/>
      <c r="ACL6" s="48"/>
      <c r="ACM6" s="48"/>
      <c r="ACN6" s="48"/>
      <c r="ACO6" s="48"/>
      <c r="ACP6" s="48"/>
      <c r="ACQ6" s="48"/>
      <c r="ACR6" s="48"/>
      <c r="ACS6" s="48"/>
      <c r="ACT6" s="48"/>
      <c r="ACU6" s="48"/>
      <c r="ACV6" s="48"/>
      <c r="ACW6" s="48"/>
      <c r="ACX6" s="48"/>
      <c r="ACY6" s="48"/>
      <c r="ACZ6" s="48"/>
      <c r="ADA6" s="48"/>
      <c r="ADB6" s="48"/>
      <c r="ADC6" s="48"/>
      <c r="ADD6" s="48"/>
      <c r="ADE6" s="48"/>
      <c r="ADF6" s="48"/>
      <c r="ADG6" s="48"/>
      <c r="ADH6" s="48"/>
      <c r="ADI6" s="48"/>
      <c r="ADJ6" s="48"/>
      <c r="ADK6" s="48"/>
      <c r="ADL6" s="48"/>
      <c r="ADM6" s="48"/>
      <c r="ADN6" s="48"/>
      <c r="ADO6" s="48"/>
      <c r="ADP6" s="48"/>
      <c r="ADQ6" s="48"/>
      <c r="ADR6" s="48"/>
      <c r="ADS6" s="48"/>
      <c r="ADT6" s="48"/>
      <c r="ADU6" s="48"/>
      <c r="ADV6" s="48"/>
      <c r="ADW6" s="48"/>
      <c r="ADX6" s="48"/>
      <c r="ADY6" s="48"/>
      <c r="ADZ6" s="48"/>
      <c r="AEA6" s="48"/>
      <c r="AEB6" s="48"/>
      <c r="AEC6" s="48"/>
      <c r="AED6" s="48"/>
      <c r="AEE6" s="48"/>
      <c r="AEF6" s="48"/>
      <c r="AEG6" s="48"/>
      <c r="AEH6" s="48"/>
      <c r="AEI6" s="48"/>
      <c r="AEJ6" s="48"/>
      <c r="AEK6" s="48"/>
      <c r="AEL6" s="48"/>
      <c r="AEM6" s="48"/>
      <c r="AEN6" s="48"/>
      <c r="AEO6" s="48"/>
      <c r="AEP6" s="48"/>
      <c r="AEQ6" s="48"/>
      <c r="AER6" s="48"/>
      <c r="AES6" s="48"/>
      <c r="AET6" s="48"/>
      <c r="AEU6" s="48"/>
      <c r="AEV6" s="48"/>
      <c r="AEW6" s="48"/>
      <c r="AEX6" s="48"/>
      <c r="AEY6" s="48"/>
      <c r="AEZ6" s="48"/>
      <c r="AFA6" s="48"/>
      <c r="AFB6" s="48"/>
      <c r="AFC6" s="48"/>
      <c r="AFD6" s="48"/>
      <c r="AFE6" s="48"/>
      <c r="AFF6" s="48"/>
      <c r="AFG6" s="48"/>
      <c r="AFH6" s="48"/>
      <c r="AFI6" s="48"/>
      <c r="AFJ6" s="48"/>
      <c r="AFK6" s="48"/>
      <c r="AFL6" s="48"/>
      <c r="AFM6" s="48"/>
      <c r="AFN6" s="48"/>
      <c r="AFO6" s="48"/>
      <c r="AFP6" s="48"/>
      <c r="AFQ6" s="48"/>
      <c r="AFR6" s="48"/>
      <c r="AFS6" s="48"/>
      <c r="AFT6" s="48"/>
      <c r="AFU6" s="48"/>
      <c r="AFV6" s="48"/>
      <c r="AFW6" s="48"/>
      <c r="AFX6" s="48"/>
      <c r="AFY6" s="48"/>
      <c r="AFZ6" s="48"/>
      <c r="AGA6" s="48"/>
      <c r="AGB6" s="48"/>
      <c r="AGC6" s="48"/>
      <c r="AGD6" s="48"/>
      <c r="AGE6" s="48"/>
      <c r="AGF6" s="48"/>
      <c r="AGG6" s="48"/>
      <c r="AGH6" s="48"/>
      <c r="AGI6" s="48"/>
      <c r="AGJ6" s="48"/>
      <c r="AGK6" s="48"/>
      <c r="AGL6" s="48"/>
      <c r="AGM6" s="48"/>
      <c r="AGN6" s="48"/>
      <c r="AGO6" s="48"/>
      <c r="AGP6" s="48"/>
      <c r="AGQ6" s="48"/>
      <c r="AGR6" s="48"/>
      <c r="AGS6" s="48"/>
      <c r="AGT6" s="48"/>
      <c r="AGU6" s="48"/>
      <c r="AGV6" s="48"/>
      <c r="AGW6" s="48"/>
      <c r="AGX6" s="48"/>
      <c r="AGY6" s="48"/>
      <c r="AGZ6" s="48"/>
      <c r="AHA6" s="48"/>
      <c r="AHB6" s="48"/>
      <c r="AHC6" s="48"/>
      <c r="AHD6" s="48"/>
      <c r="AHE6" s="48"/>
      <c r="AHF6" s="48"/>
      <c r="AHG6" s="48"/>
      <c r="AHH6" s="48"/>
      <c r="AHI6" s="48"/>
      <c r="AHJ6" s="48"/>
      <c r="AHK6" s="48"/>
      <c r="AHL6" s="48"/>
      <c r="AHM6" s="48"/>
      <c r="AHN6" s="48"/>
      <c r="AHO6" s="48"/>
      <c r="AHP6" s="48"/>
      <c r="AHQ6" s="48"/>
      <c r="AHR6" s="48"/>
      <c r="AHS6" s="48"/>
      <c r="AHT6" s="48"/>
      <c r="AHU6" s="48"/>
      <c r="AHV6" s="48"/>
      <c r="AHW6" s="48"/>
      <c r="AHX6" s="48"/>
      <c r="AHY6" s="48"/>
      <c r="AHZ6" s="48"/>
      <c r="AIA6" s="48"/>
      <c r="AIB6" s="48"/>
      <c r="AIC6" s="48"/>
      <c r="AID6" s="48"/>
      <c r="AIE6" s="48"/>
      <c r="AIF6" s="48"/>
      <c r="AIG6" s="48"/>
      <c r="AIH6" s="48"/>
      <c r="AII6" s="48"/>
      <c r="AIJ6" s="48"/>
      <c r="AIK6" s="48"/>
      <c r="AIL6" s="48"/>
      <c r="AIM6" s="48"/>
      <c r="AIN6" s="48"/>
      <c r="AIO6" s="48"/>
      <c r="AIP6" s="48"/>
      <c r="AIQ6" s="48"/>
      <c r="AIR6" s="48"/>
      <c r="AIS6" s="48"/>
      <c r="AIT6" s="48"/>
      <c r="AIU6" s="48"/>
      <c r="AIV6" s="48"/>
      <c r="AIW6" s="48"/>
      <c r="AIX6" s="48"/>
      <c r="AIY6" s="48"/>
      <c r="AIZ6" s="48"/>
      <c r="AJA6" s="48"/>
      <c r="AJB6" s="48"/>
      <c r="AJC6" s="48"/>
      <c r="AJD6" s="48"/>
      <c r="AJE6" s="48"/>
      <c r="AJF6" s="48"/>
      <c r="AJG6" s="48"/>
      <c r="AJH6" s="48"/>
      <c r="AJI6" s="48"/>
      <c r="AJJ6" s="48"/>
      <c r="AJK6" s="48"/>
      <c r="AJL6" s="48"/>
      <c r="AJM6" s="48"/>
      <c r="AJN6" s="48"/>
      <c r="AJO6" s="48"/>
      <c r="AJP6" s="48"/>
      <c r="AJQ6" s="48"/>
      <c r="AJR6" s="48"/>
      <c r="AJS6" s="48"/>
      <c r="AJT6" s="48"/>
      <c r="AJU6" s="48"/>
      <c r="AJV6" s="48"/>
      <c r="AJW6" s="48"/>
      <c r="AJX6" s="48"/>
      <c r="AJY6" s="48"/>
      <c r="AJZ6" s="48"/>
      <c r="AKA6" s="48"/>
      <c r="AKB6" s="48"/>
      <c r="AKC6" s="48"/>
      <c r="AKD6" s="48"/>
      <c r="AKE6" s="48"/>
      <c r="AKF6" s="48"/>
      <c r="AKG6" s="48"/>
      <c r="AKH6" s="48"/>
      <c r="AKI6" s="48"/>
      <c r="AKJ6" s="48"/>
      <c r="AKK6" s="48"/>
      <c r="AKL6" s="48"/>
      <c r="AKM6" s="48"/>
      <c r="AKN6" s="48"/>
      <c r="AKO6" s="48"/>
      <c r="AKP6" s="48"/>
      <c r="AKQ6" s="48"/>
      <c r="AKR6" s="48"/>
      <c r="AKS6" s="48"/>
      <c r="AKT6" s="48"/>
      <c r="AKU6" s="48"/>
      <c r="AKV6" s="48"/>
      <c r="AKW6" s="48"/>
      <c r="AKX6" s="48"/>
      <c r="AKY6" s="48"/>
      <c r="AKZ6" s="48"/>
      <c r="ALA6" s="48"/>
      <c r="ALB6" s="48"/>
      <c r="ALC6" s="48"/>
      <c r="ALD6" s="48"/>
      <c r="ALE6" s="48"/>
      <c r="ALF6" s="48"/>
      <c r="ALG6" s="48"/>
      <c r="ALH6" s="48"/>
      <c r="ALI6" s="48"/>
      <c r="ALJ6" s="48"/>
      <c r="ALK6" s="48"/>
      <c r="ALL6" s="48"/>
      <c r="ALM6" s="48"/>
      <c r="ALN6" s="48"/>
      <c r="ALO6" s="48"/>
      <c r="ALP6" s="48"/>
      <c r="ALQ6" s="48"/>
      <c r="ALR6" s="48"/>
      <c r="ALS6" s="48"/>
      <c r="ALT6" s="48"/>
      <c r="ALU6" s="48"/>
      <c r="ALV6" s="48"/>
      <c r="ALW6" s="48"/>
      <c r="ALX6" s="48"/>
      <c r="ALY6" s="48"/>
      <c r="ALZ6" s="48"/>
      <c r="AMA6" s="48"/>
      <c r="AMB6" s="48"/>
      <c r="AMC6" s="48"/>
      <c r="AMD6" s="48"/>
      <c r="AME6" s="48"/>
      <c r="AMF6" s="48"/>
      <c r="AMG6" s="48"/>
      <c r="AMH6" s="48"/>
      <c r="AMI6" s="48"/>
      <c r="AMJ6" s="48"/>
      <c r="AMK6" s="48"/>
      <c r="AML6" s="48"/>
    </row>
    <row r="7" ht="15.75" customHeight="1">
      <c r="A7" s="8" t="s">
        <v>112</v>
      </c>
      <c r="B7" s="8" t="s">
        <v>112</v>
      </c>
      <c r="C7" s="8" t="s">
        <v>112</v>
      </c>
      <c r="D7" s="8" t="s">
        <v>112</v>
      </c>
      <c r="E7" s="8"/>
      <c r="F7" s="8" t="s">
        <v>113</v>
      </c>
      <c r="G7" s="8" t="s">
        <v>112</v>
      </c>
      <c r="H7" s="8" t="s">
        <v>112</v>
      </c>
      <c r="I7" s="8"/>
      <c r="J7" s="8" t="s">
        <v>114</v>
      </c>
      <c r="K7" s="8" t="s">
        <v>112</v>
      </c>
      <c r="L7" s="8" t="s">
        <v>112</v>
      </c>
      <c r="M7" s="8" t="s">
        <v>112</v>
      </c>
      <c r="N7" s="8"/>
      <c r="O7" s="8"/>
      <c r="Q7" t="s">
        <v>123</v>
      </c>
      <c r="R7" t="s">
        <v>112</v>
      </c>
      <c r="S7" t="s">
        <v>112</v>
      </c>
      <c r="U7" t="s">
        <v>64</v>
      </c>
      <c r="X7" t="s">
        <v>112</v>
      </c>
      <c r="Y7" t="s">
        <v>112</v>
      </c>
      <c r="Z7" t="s">
        <v>116</v>
      </c>
      <c r="AA7" t="s">
        <v>117</v>
      </c>
      <c r="AB7" t="s">
        <v>53</v>
      </c>
      <c r="AC7" s="49">
        <v>100.0</v>
      </c>
      <c r="AD7" t="s">
        <v>112</v>
      </c>
      <c r="AE7" t="s">
        <v>112</v>
      </c>
      <c r="AF7" t="s">
        <v>118</v>
      </c>
      <c r="AG7" t="s">
        <v>112</v>
      </c>
      <c r="AH7" t="s">
        <v>112</v>
      </c>
      <c r="AI7" t="s">
        <v>119</v>
      </c>
      <c r="AJ7" t="s">
        <v>119</v>
      </c>
      <c r="AK7" t="s">
        <v>120</v>
      </c>
      <c r="AL7" t="s">
        <v>121</v>
      </c>
      <c r="AM7" t="s">
        <v>112</v>
      </c>
      <c r="AS7" t="s">
        <v>124</v>
      </c>
      <c r="AT7" t="s">
        <v>112</v>
      </c>
      <c r="AU7" t="s">
        <v>112</v>
      </c>
      <c r="AV7" t="s">
        <v>112</v>
      </c>
      <c r="AW7" t="s">
        <v>112</v>
      </c>
      <c r="AX7" t="s">
        <v>112</v>
      </c>
      <c r="AY7" t="s">
        <v>112</v>
      </c>
      <c r="AZ7" t="s">
        <v>112</v>
      </c>
      <c r="BA7" t="s">
        <v>112</v>
      </c>
      <c r="BB7" t="s">
        <v>112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112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112</v>
      </c>
      <c r="BQ7" t="s">
        <v>112</v>
      </c>
      <c r="BR7" t="s">
        <v>112</v>
      </c>
      <c r="BS7" t="s">
        <v>112</v>
      </c>
      <c r="BT7" t="s">
        <v>112</v>
      </c>
      <c r="BU7" t="s">
        <v>112</v>
      </c>
      <c r="BV7" t="s">
        <v>112</v>
      </c>
      <c r="BW7" t="s">
        <v>112</v>
      </c>
      <c r="BX7" t="s">
        <v>112</v>
      </c>
      <c r="BY7" t="s">
        <v>112</v>
      </c>
      <c r="BZ7" t="s">
        <v>112</v>
      </c>
      <c r="CA7" t="s">
        <v>112</v>
      </c>
      <c r="CB7" t="s">
        <v>112</v>
      </c>
      <c r="CC7" t="s">
        <v>112</v>
      </c>
      <c r="CD7" t="s">
        <v>112</v>
      </c>
      <c r="CE7" t="s">
        <v>112</v>
      </c>
      <c r="CF7" t="s">
        <v>112</v>
      </c>
      <c r="CG7" t="s">
        <v>112</v>
      </c>
      <c r="CH7" t="s">
        <v>112</v>
      </c>
      <c r="CI7" t="s">
        <v>112</v>
      </c>
      <c r="CJ7" t="s">
        <v>112</v>
      </c>
      <c r="CK7" t="s">
        <v>112</v>
      </c>
      <c r="CL7" t="s">
        <v>112</v>
      </c>
      <c r="CM7" t="s">
        <v>112</v>
      </c>
      <c r="CN7" t="s">
        <v>112</v>
      </c>
      <c r="CO7" t="s">
        <v>112</v>
      </c>
      <c r="CP7" t="s">
        <v>112</v>
      </c>
      <c r="CQ7" t="s">
        <v>112</v>
      </c>
      <c r="CR7" t="s">
        <v>112</v>
      </c>
      <c r="CS7" t="s">
        <v>112</v>
      </c>
      <c r="CT7" t="s">
        <v>112</v>
      </c>
      <c r="CU7" t="s">
        <v>112</v>
      </c>
      <c r="CV7" t="s">
        <v>112</v>
      </c>
      <c r="CW7" t="s">
        <v>112</v>
      </c>
      <c r="CX7" t="s">
        <v>112</v>
      </c>
      <c r="CY7" t="s">
        <v>112</v>
      </c>
      <c r="CZ7" t="s">
        <v>112</v>
      </c>
      <c r="DA7" t="s">
        <v>112</v>
      </c>
      <c r="DB7" t="s">
        <v>112</v>
      </c>
      <c r="DC7" t="s">
        <v>112</v>
      </c>
      <c r="DD7" t="s">
        <v>112</v>
      </c>
      <c r="DE7" t="s">
        <v>112</v>
      </c>
      <c r="DF7" t="s">
        <v>112</v>
      </c>
      <c r="DG7" t="s">
        <v>112</v>
      </c>
      <c r="DH7" t="s">
        <v>112</v>
      </c>
      <c r="DI7" t="s">
        <v>112</v>
      </c>
      <c r="DJ7" t="s">
        <v>112</v>
      </c>
      <c r="DK7" t="s">
        <v>112</v>
      </c>
      <c r="DL7" t="s">
        <v>112</v>
      </c>
      <c r="DM7" t="s">
        <v>112</v>
      </c>
      <c r="DN7" t="s">
        <v>112</v>
      </c>
      <c r="DO7" t="s">
        <v>112</v>
      </c>
      <c r="DP7" t="s">
        <v>112</v>
      </c>
      <c r="DQ7" t="s">
        <v>112</v>
      </c>
      <c r="DR7" t="s">
        <v>112</v>
      </c>
      <c r="DS7" t="s">
        <v>112</v>
      </c>
      <c r="DT7" t="s">
        <v>112</v>
      </c>
      <c r="DU7" t="s">
        <v>112</v>
      </c>
      <c r="DV7" t="s">
        <v>112</v>
      </c>
      <c r="DW7" t="s">
        <v>112</v>
      </c>
      <c r="DX7" t="s">
        <v>112</v>
      </c>
      <c r="DY7" t="s">
        <v>112</v>
      </c>
      <c r="DZ7" t="s">
        <v>112</v>
      </c>
      <c r="EA7" t="s">
        <v>112</v>
      </c>
      <c r="EB7" t="s">
        <v>112</v>
      </c>
      <c r="EC7" t="s">
        <v>112</v>
      </c>
      <c r="ED7" t="s">
        <v>112</v>
      </c>
      <c r="EE7" t="s">
        <v>112</v>
      </c>
      <c r="EF7" t="s">
        <v>112</v>
      </c>
      <c r="EG7" t="s">
        <v>112</v>
      </c>
      <c r="EH7" t="s">
        <v>112</v>
      </c>
      <c r="EI7" t="s">
        <v>112</v>
      </c>
      <c r="EJ7" t="s">
        <v>112</v>
      </c>
      <c r="EK7" t="s">
        <v>112</v>
      </c>
      <c r="EL7" t="s">
        <v>112</v>
      </c>
      <c r="EM7" t="s">
        <v>112</v>
      </c>
      <c r="EN7" t="s">
        <v>112</v>
      </c>
      <c r="EO7" t="s">
        <v>112</v>
      </c>
      <c r="EP7" t="s">
        <v>112</v>
      </c>
      <c r="EQ7" t="s">
        <v>112</v>
      </c>
      <c r="ER7" t="s">
        <v>112</v>
      </c>
      <c r="ES7" t="s">
        <v>112</v>
      </c>
      <c r="ET7" t="s">
        <v>112</v>
      </c>
      <c r="EU7" t="s">
        <v>112</v>
      </c>
      <c r="EV7" t="s">
        <v>112</v>
      </c>
      <c r="EW7" t="s">
        <v>112</v>
      </c>
      <c r="EX7" t="s">
        <v>112</v>
      </c>
      <c r="EY7" t="s">
        <v>112</v>
      </c>
      <c r="EZ7" t="s">
        <v>112</v>
      </c>
      <c r="FA7" t="s">
        <v>112</v>
      </c>
      <c r="FB7" t="s">
        <v>112</v>
      </c>
      <c r="FC7" t="s">
        <v>112</v>
      </c>
      <c r="FD7" t="s">
        <v>112</v>
      </c>
      <c r="FE7" t="s">
        <v>112</v>
      </c>
      <c r="FF7" t="s">
        <v>112</v>
      </c>
      <c r="FG7" t="s">
        <v>112</v>
      </c>
      <c r="FH7" t="s">
        <v>112</v>
      </c>
      <c r="FI7" t="s">
        <v>112</v>
      </c>
      <c r="FJ7" t="s">
        <v>112</v>
      </c>
      <c r="FK7" t="s">
        <v>112</v>
      </c>
      <c r="FL7" t="s">
        <v>112</v>
      </c>
      <c r="FM7" t="s">
        <v>112</v>
      </c>
      <c r="FN7" t="s">
        <v>112</v>
      </c>
      <c r="FO7" t="s">
        <v>112</v>
      </c>
      <c r="FP7" t="s">
        <v>112</v>
      </c>
      <c r="FQ7" t="s">
        <v>112</v>
      </c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  <c r="HM7" s="48"/>
      <c r="HN7" s="48"/>
      <c r="HO7" s="48"/>
      <c r="HP7" s="48"/>
      <c r="HQ7" s="48"/>
      <c r="HR7" s="48"/>
      <c r="HS7" s="48"/>
      <c r="HT7" s="48"/>
      <c r="HU7" s="48"/>
      <c r="HV7" s="48"/>
      <c r="HW7" s="48"/>
      <c r="HX7" s="48"/>
      <c r="HY7" s="48"/>
      <c r="HZ7" s="48"/>
      <c r="IA7" s="48"/>
      <c r="IB7" s="48"/>
      <c r="IC7" s="48"/>
      <c r="ID7" s="48"/>
      <c r="IE7" s="48"/>
      <c r="IF7" s="48"/>
      <c r="IG7" s="48"/>
      <c r="IH7" s="48"/>
      <c r="II7" s="48"/>
      <c r="IJ7" s="48"/>
      <c r="IK7" s="48"/>
      <c r="IL7" s="48"/>
      <c r="IM7" s="48"/>
      <c r="IN7" s="48"/>
      <c r="IO7" s="48"/>
      <c r="IP7" s="48"/>
      <c r="IQ7" s="48"/>
      <c r="IR7" s="48"/>
      <c r="IS7" s="48"/>
      <c r="IT7" s="48"/>
      <c r="IU7" s="48"/>
      <c r="IV7" s="48"/>
      <c r="IW7" s="48"/>
      <c r="IX7" s="48"/>
      <c r="IY7" s="48"/>
      <c r="IZ7" s="48"/>
      <c r="JA7" s="48"/>
      <c r="JB7" s="48"/>
      <c r="JC7" s="48"/>
      <c r="JD7" s="48"/>
      <c r="JE7" s="48"/>
      <c r="JF7" s="48"/>
      <c r="JG7" s="48"/>
      <c r="JH7" s="48"/>
      <c r="JI7" s="48"/>
      <c r="JJ7" s="48"/>
      <c r="JK7" s="48"/>
      <c r="JL7" s="48"/>
      <c r="JM7" s="48"/>
      <c r="JN7" s="48"/>
      <c r="JO7" s="48"/>
      <c r="JP7" s="48"/>
      <c r="JQ7" s="48"/>
      <c r="JR7" s="48"/>
      <c r="JS7" s="48"/>
      <c r="JT7" s="48"/>
      <c r="JU7" s="48"/>
      <c r="JV7" s="48"/>
      <c r="JW7" s="48"/>
      <c r="JX7" s="48"/>
      <c r="JY7" s="48"/>
      <c r="JZ7" s="48"/>
      <c r="KA7" s="48"/>
      <c r="KB7" s="48"/>
      <c r="KC7" s="48"/>
      <c r="KD7" s="48"/>
      <c r="KE7" s="48"/>
      <c r="KF7" s="48"/>
      <c r="KG7" s="48"/>
      <c r="KH7" s="48"/>
      <c r="KI7" s="48"/>
      <c r="KJ7" s="48"/>
      <c r="KK7" s="48"/>
      <c r="KL7" s="48"/>
      <c r="KM7" s="48"/>
      <c r="KN7" s="48"/>
      <c r="KO7" s="48"/>
      <c r="KP7" s="48"/>
      <c r="KQ7" s="48"/>
      <c r="KR7" s="48"/>
      <c r="KS7" s="48"/>
      <c r="KT7" s="48"/>
      <c r="KU7" s="48"/>
      <c r="KV7" s="48"/>
      <c r="KW7" s="48"/>
      <c r="KX7" s="48"/>
      <c r="KY7" s="48"/>
      <c r="KZ7" s="48"/>
      <c r="LA7" s="48"/>
      <c r="LB7" s="48"/>
      <c r="LC7" s="48"/>
      <c r="LD7" s="48"/>
      <c r="LE7" s="48"/>
      <c r="LF7" s="48"/>
      <c r="LG7" s="48"/>
      <c r="LH7" s="48"/>
      <c r="LI7" s="48"/>
      <c r="LJ7" s="48"/>
      <c r="LK7" s="48"/>
      <c r="LL7" s="48"/>
      <c r="LM7" s="48"/>
      <c r="LN7" s="48"/>
      <c r="LO7" s="48"/>
      <c r="LP7" s="48"/>
      <c r="LQ7" s="48"/>
      <c r="LR7" s="48"/>
      <c r="LS7" s="48"/>
      <c r="LT7" s="48"/>
      <c r="LU7" s="48"/>
      <c r="LV7" s="48"/>
      <c r="LW7" s="48"/>
      <c r="LX7" s="48"/>
      <c r="LY7" s="48"/>
      <c r="LZ7" s="48"/>
      <c r="MA7" s="48"/>
      <c r="MB7" s="48"/>
      <c r="MC7" s="48"/>
      <c r="MD7" s="48"/>
      <c r="ME7" s="48"/>
      <c r="MF7" s="48"/>
      <c r="MG7" s="48"/>
      <c r="MH7" s="48"/>
      <c r="MI7" s="48"/>
      <c r="MJ7" s="48"/>
      <c r="MK7" s="48"/>
      <c r="ML7" s="48"/>
      <c r="MM7" s="48"/>
      <c r="MN7" s="48"/>
      <c r="MO7" s="48"/>
      <c r="MP7" s="48"/>
      <c r="MQ7" s="48"/>
      <c r="MR7" s="48"/>
      <c r="MS7" s="48"/>
      <c r="MT7" s="48"/>
      <c r="MU7" s="48"/>
      <c r="MV7" s="48"/>
      <c r="MW7" s="48"/>
      <c r="MX7" s="48"/>
      <c r="MY7" s="48"/>
      <c r="MZ7" s="48"/>
      <c r="NA7" s="48"/>
      <c r="NB7" s="48"/>
      <c r="NC7" s="48"/>
      <c r="ND7" s="48"/>
      <c r="NE7" s="48"/>
      <c r="NF7" s="48"/>
      <c r="NG7" s="48"/>
      <c r="NH7" s="48"/>
      <c r="NI7" s="48"/>
      <c r="NJ7" s="48"/>
      <c r="NK7" s="48"/>
      <c r="NL7" s="48"/>
      <c r="NM7" s="48"/>
      <c r="NN7" s="48"/>
      <c r="NO7" s="48"/>
      <c r="NP7" s="48"/>
      <c r="NQ7" s="48"/>
      <c r="NR7" s="48"/>
      <c r="NS7" s="48"/>
      <c r="NT7" s="48"/>
      <c r="NU7" s="48"/>
      <c r="NV7" s="48"/>
      <c r="NW7" s="48"/>
      <c r="NX7" s="48"/>
      <c r="NY7" s="48"/>
      <c r="NZ7" s="48"/>
      <c r="OA7" s="48"/>
      <c r="OB7" s="48"/>
      <c r="OC7" s="48"/>
      <c r="OD7" s="48"/>
      <c r="OE7" s="48"/>
      <c r="OF7" s="48"/>
      <c r="OG7" s="48"/>
      <c r="OH7" s="48"/>
      <c r="OI7" s="48"/>
      <c r="OJ7" s="48"/>
      <c r="OK7" s="48"/>
      <c r="OL7" s="48"/>
      <c r="OM7" s="48"/>
      <c r="ON7" s="48"/>
      <c r="OO7" s="48"/>
      <c r="OP7" s="48"/>
      <c r="OQ7" s="48"/>
      <c r="OR7" s="48"/>
      <c r="OS7" s="48"/>
      <c r="OT7" s="48"/>
      <c r="OU7" s="48"/>
      <c r="OV7" s="48"/>
      <c r="OW7" s="48"/>
      <c r="OX7" s="48"/>
      <c r="OY7" s="48"/>
      <c r="OZ7" s="48"/>
      <c r="PA7" s="48"/>
      <c r="PB7" s="48"/>
      <c r="PC7" s="48"/>
      <c r="PD7" s="48"/>
      <c r="PE7" s="48"/>
      <c r="PF7" s="48"/>
      <c r="PG7" s="48"/>
      <c r="PH7" s="48"/>
      <c r="PI7" s="48"/>
      <c r="PJ7" s="48"/>
      <c r="PK7" s="48"/>
      <c r="PL7" s="48"/>
      <c r="PM7" s="48"/>
      <c r="PN7" s="48"/>
      <c r="PO7" s="48"/>
      <c r="PP7" s="48"/>
      <c r="PQ7" s="48"/>
      <c r="PR7" s="48"/>
      <c r="PS7" s="48"/>
      <c r="PT7" s="48"/>
      <c r="PU7" s="48"/>
      <c r="PV7" s="48"/>
      <c r="PW7" s="48"/>
      <c r="PX7" s="48"/>
      <c r="PY7" s="48"/>
      <c r="PZ7" s="48"/>
      <c r="QA7" s="48"/>
      <c r="QB7" s="48"/>
      <c r="QC7" s="48"/>
      <c r="QD7" s="48"/>
      <c r="QE7" s="48"/>
      <c r="QF7" s="48"/>
      <c r="QG7" s="48"/>
      <c r="QH7" s="48"/>
      <c r="QI7" s="48"/>
      <c r="QJ7" s="48"/>
      <c r="QK7" s="48"/>
      <c r="QL7" s="48"/>
      <c r="QM7" s="48"/>
      <c r="QN7" s="48"/>
      <c r="QO7" s="48"/>
      <c r="QP7" s="48"/>
      <c r="QQ7" s="48"/>
      <c r="QR7" s="48"/>
      <c r="QS7" s="48"/>
      <c r="QT7" s="48"/>
      <c r="QU7" s="48"/>
      <c r="QV7" s="48"/>
      <c r="QW7" s="48"/>
      <c r="QX7" s="48"/>
      <c r="QY7" s="48"/>
      <c r="QZ7" s="48"/>
      <c r="RA7" s="48"/>
      <c r="RB7" s="48"/>
      <c r="RC7" s="48"/>
      <c r="RD7" s="48"/>
      <c r="RE7" s="48"/>
      <c r="RF7" s="48"/>
      <c r="RG7" s="48"/>
      <c r="RH7" s="48"/>
      <c r="RI7" s="48"/>
      <c r="RJ7" s="48"/>
      <c r="RK7" s="48"/>
      <c r="RL7" s="48"/>
      <c r="RM7" s="48"/>
      <c r="RN7" s="48"/>
      <c r="RO7" s="48"/>
      <c r="RP7" s="48"/>
      <c r="RQ7" s="48"/>
      <c r="RR7" s="48"/>
      <c r="RS7" s="48"/>
      <c r="RT7" s="48"/>
      <c r="RU7" s="48"/>
      <c r="RV7" s="48"/>
      <c r="RW7" s="48"/>
      <c r="RX7" s="48"/>
      <c r="RY7" s="48"/>
      <c r="RZ7" s="48"/>
      <c r="SA7" s="48"/>
      <c r="SB7" s="48"/>
      <c r="SC7" s="48"/>
      <c r="SD7" s="48"/>
      <c r="SE7" s="48"/>
      <c r="SF7" s="48"/>
      <c r="SG7" s="48"/>
      <c r="SH7" s="48"/>
      <c r="SI7" s="48"/>
      <c r="SJ7" s="48"/>
      <c r="SK7" s="48"/>
      <c r="SL7" s="48"/>
      <c r="SM7" s="48"/>
      <c r="SN7" s="48"/>
      <c r="SO7" s="48"/>
      <c r="SP7" s="48"/>
      <c r="SQ7" s="48"/>
      <c r="SR7" s="48"/>
      <c r="SS7" s="48"/>
      <c r="ST7" s="48"/>
      <c r="SU7" s="48"/>
      <c r="SV7" s="48"/>
      <c r="SW7" s="48"/>
      <c r="SX7" s="48"/>
      <c r="SY7" s="48"/>
      <c r="SZ7" s="48"/>
      <c r="TA7" s="48"/>
      <c r="TB7" s="48"/>
      <c r="TC7" s="48"/>
      <c r="TD7" s="48"/>
      <c r="TE7" s="48"/>
      <c r="TF7" s="48"/>
      <c r="TG7" s="48"/>
      <c r="TH7" s="48"/>
      <c r="TI7" s="48"/>
      <c r="TJ7" s="48"/>
      <c r="TK7" s="48"/>
      <c r="TL7" s="48"/>
      <c r="TM7" s="48"/>
      <c r="TN7" s="48"/>
      <c r="TO7" s="48"/>
      <c r="TP7" s="48"/>
      <c r="TQ7" s="48"/>
      <c r="TR7" s="48"/>
      <c r="TS7" s="48"/>
      <c r="TT7" s="48"/>
      <c r="TU7" s="48"/>
      <c r="TV7" s="48"/>
      <c r="TW7" s="48"/>
      <c r="TX7" s="48"/>
      <c r="TY7" s="48"/>
      <c r="TZ7" s="48"/>
      <c r="UA7" s="48"/>
      <c r="UB7" s="48"/>
      <c r="UC7" s="48"/>
      <c r="UD7" s="48"/>
      <c r="UE7" s="48"/>
      <c r="UF7" s="48"/>
      <c r="UG7" s="48"/>
      <c r="UH7" s="48"/>
      <c r="UI7" s="48"/>
      <c r="UJ7" s="48"/>
      <c r="UK7" s="48"/>
      <c r="UL7" s="48"/>
      <c r="UM7" s="48"/>
      <c r="UN7" s="48"/>
      <c r="UO7" s="48"/>
      <c r="UP7" s="48"/>
      <c r="UQ7" s="48"/>
      <c r="UR7" s="48"/>
      <c r="US7" s="48"/>
      <c r="UT7" s="48"/>
      <c r="UU7" s="48"/>
      <c r="UV7" s="48"/>
      <c r="UW7" s="48"/>
      <c r="UX7" s="48"/>
      <c r="UY7" s="48"/>
      <c r="UZ7" s="48"/>
      <c r="VA7" s="48"/>
      <c r="VB7" s="48"/>
      <c r="VC7" s="48"/>
      <c r="VD7" s="48"/>
      <c r="VE7" s="48"/>
      <c r="VF7" s="48"/>
      <c r="VG7" s="48"/>
      <c r="VH7" s="48"/>
      <c r="VI7" s="48"/>
      <c r="VJ7" s="48"/>
      <c r="VK7" s="48"/>
      <c r="VL7" s="48"/>
      <c r="VM7" s="48"/>
      <c r="VN7" s="48"/>
      <c r="VO7" s="48"/>
      <c r="VP7" s="48"/>
      <c r="VQ7" s="48"/>
      <c r="VR7" s="48"/>
      <c r="VS7" s="48"/>
      <c r="VT7" s="48"/>
      <c r="VU7" s="48"/>
      <c r="VV7" s="48"/>
      <c r="VW7" s="48"/>
      <c r="VX7" s="48"/>
      <c r="VY7" s="48"/>
      <c r="VZ7" s="48"/>
      <c r="WA7" s="48"/>
      <c r="WB7" s="48"/>
      <c r="WC7" s="48"/>
      <c r="WD7" s="48"/>
      <c r="WE7" s="48"/>
      <c r="WF7" s="48"/>
      <c r="WG7" s="48"/>
      <c r="WH7" s="48"/>
      <c r="WI7" s="48"/>
      <c r="WJ7" s="48"/>
      <c r="WK7" s="48"/>
      <c r="WL7" s="48"/>
      <c r="WM7" s="48"/>
      <c r="WN7" s="48"/>
      <c r="WO7" s="48"/>
      <c r="WP7" s="48"/>
      <c r="WQ7" s="48"/>
      <c r="WR7" s="48"/>
      <c r="WS7" s="48"/>
      <c r="WT7" s="48"/>
      <c r="WU7" s="48"/>
      <c r="WV7" s="48"/>
      <c r="WW7" s="48"/>
      <c r="WX7" s="48"/>
      <c r="WY7" s="48"/>
      <c r="WZ7" s="48"/>
      <c r="XA7" s="48"/>
      <c r="XB7" s="48"/>
      <c r="XC7" s="48"/>
      <c r="XD7" s="48"/>
      <c r="XE7" s="48"/>
      <c r="XF7" s="48"/>
      <c r="XG7" s="48"/>
      <c r="XH7" s="48"/>
      <c r="XI7" s="48"/>
      <c r="XJ7" s="48"/>
      <c r="XK7" s="48"/>
      <c r="XL7" s="48"/>
      <c r="XM7" s="48"/>
      <c r="XN7" s="48"/>
      <c r="XO7" s="48"/>
      <c r="XP7" s="48"/>
      <c r="XQ7" s="48"/>
      <c r="XR7" s="48"/>
      <c r="XS7" s="48"/>
      <c r="XT7" s="48"/>
      <c r="XU7" s="48"/>
      <c r="XV7" s="48"/>
      <c r="XW7" s="48"/>
      <c r="XX7" s="48"/>
      <c r="XY7" s="48"/>
      <c r="XZ7" s="48"/>
      <c r="YA7" s="48"/>
      <c r="YB7" s="48"/>
      <c r="YC7" s="48"/>
      <c r="YD7" s="48"/>
      <c r="YE7" s="48"/>
      <c r="YF7" s="48"/>
      <c r="YG7" s="48"/>
      <c r="YH7" s="48"/>
      <c r="YI7" s="48"/>
      <c r="YJ7" s="48"/>
      <c r="YK7" s="48"/>
      <c r="YL7" s="48"/>
      <c r="YM7" s="48"/>
      <c r="YN7" s="48"/>
      <c r="YO7" s="48"/>
      <c r="YP7" s="48"/>
      <c r="YQ7" s="48"/>
      <c r="YR7" s="48"/>
      <c r="YS7" s="48"/>
      <c r="YT7" s="48"/>
      <c r="YU7" s="48"/>
      <c r="YV7" s="48"/>
      <c r="YW7" s="48"/>
      <c r="YX7" s="48"/>
      <c r="YY7" s="48"/>
      <c r="YZ7" s="48"/>
      <c r="ZA7" s="48"/>
      <c r="ZB7" s="48"/>
      <c r="ZC7" s="48"/>
      <c r="ZD7" s="48"/>
      <c r="ZE7" s="48"/>
      <c r="ZF7" s="48"/>
      <c r="ZG7" s="48"/>
      <c r="ZH7" s="48"/>
      <c r="ZI7" s="48"/>
      <c r="ZJ7" s="48"/>
      <c r="ZK7" s="48"/>
      <c r="ZL7" s="48"/>
      <c r="ZM7" s="48"/>
      <c r="ZN7" s="48"/>
      <c r="ZO7" s="48"/>
      <c r="ZP7" s="48"/>
      <c r="ZQ7" s="48"/>
      <c r="ZR7" s="48"/>
      <c r="ZS7" s="48"/>
      <c r="ZT7" s="48"/>
      <c r="ZU7" s="48"/>
      <c r="ZV7" s="48"/>
      <c r="ZW7" s="48"/>
      <c r="ZX7" s="48"/>
      <c r="ZY7" s="48"/>
      <c r="ZZ7" s="48"/>
      <c r="AAA7" s="48"/>
      <c r="AAB7" s="48"/>
      <c r="AAC7" s="48"/>
      <c r="AAD7" s="48"/>
      <c r="AAE7" s="48"/>
      <c r="AAF7" s="48"/>
      <c r="AAG7" s="48"/>
      <c r="AAH7" s="48"/>
      <c r="AAI7" s="48"/>
      <c r="AAJ7" s="48"/>
      <c r="AAK7" s="48"/>
      <c r="AAL7" s="48"/>
      <c r="AAM7" s="48"/>
      <c r="AAN7" s="48"/>
      <c r="AAO7" s="48"/>
      <c r="AAP7" s="48"/>
      <c r="AAQ7" s="48"/>
      <c r="AAR7" s="48"/>
      <c r="AAS7" s="48"/>
      <c r="AAT7" s="48"/>
      <c r="AAU7" s="48"/>
      <c r="AAV7" s="48"/>
      <c r="AAW7" s="48"/>
      <c r="AAX7" s="48"/>
      <c r="AAY7" s="48"/>
      <c r="AAZ7" s="48"/>
      <c r="ABA7" s="48"/>
      <c r="ABB7" s="48"/>
      <c r="ABC7" s="48"/>
      <c r="ABD7" s="48"/>
      <c r="ABE7" s="48"/>
      <c r="ABF7" s="48"/>
      <c r="ABG7" s="48"/>
      <c r="ABH7" s="48"/>
      <c r="ABI7" s="48"/>
      <c r="ABJ7" s="48"/>
      <c r="ABK7" s="48"/>
      <c r="ABL7" s="48"/>
      <c r="ABM7" s="48"/>
      <c r="ABN7" s="48"/>
      <c r="ABO7" s="48"/>
      <c r="ABP7" s="48"/>
      <c r="ABQ7" s="48"/>
      <c r="ABR7" s="48"/>
      <c r="ABS7" s="48"/>
      <c r="ABT7" s="48"/>
      <c r="ABU7" s="48"/>
      <c r="ABV7" s="48"/>
      <c r="ABW7" s="48"/>
      <c r="ABX7" s="48"/>
      <c r="ABY7" s="48"/>
      <c r="ABZ7" s="48"/>
      <c r="ACA7" s="48"/>
      <c r="ACB7" s="48"/>
      <c r="ACC7" s="48"/>
      <c r="ACD7" s="48"/>
      <c r="ACE7" s="48"/>
      <c r="ACF7" s="48"/>
      <c r="ACG7" s="48"/>
      <c r="ACH7" s="48"/>
      <c r="ACI7" s="48"/>
      <c r="ACJ7" s="48"/>
      <c r="ACK7" s="48"/>
      <c r="ACL7" s="48"/>
      <c r="ACM7" s="48"/>
      <c r="ACN7" s="48"/>
      <c r="ACO7" s="48"/>
      <c r="ACP7" s="48"/>
      <c r="ACQ7" s="48"/>
      <c r="ACR7" s="48"/>
      <c r="ACS7" s="48"/>
      <c r="ACT7" s="48"/>
      <c r="ACU7" s="48"/>
      <c r="ACV7" s="48"/>
      <c r="ACW7" s="48"/>
      <c r="ACX7" s="48"/>
      <c r="ACY7" s="48"/>
      <c r="ACZ7" s="48"/>
      <c r="ADA7" s="48"/>
      <c r="ADB7" s="48"/>
      <c r="ADC7" s="48"/>
      <c r="ADD7" s="48"/>
      <c r="ADE7" s="48"/>
      <c r="ADF7" s="48"/>
      <c r="ADG7" s="48"/>
      <c r="ADH7" s="48"/>
      <c r="ADI7" s="48"/>
      <c r="ADJ7" s="48"/>
      <c r="ADK7" s="48"/>
      <c r="ADL7" s="48"/>
      <c r="ADM7" s="48"/>
      <c r="ADN7" s="48"/>
      <c r="ADO7" s="48"/>
      <c r="ADP7" s="48"/>
      <c r="ADQ7" s="48"/>
      <c r="ADR7" s="48"/>
      <c r="ADS7" s="48"/>
      <c r="ADT7" s="48"/>
      <c r="ADU7" s="48"/>
      <c r="ADV7" s="48"/>
      <c r="ADW7" s="48"/>
      <c r="ADX7" s="48"/>
      <c r="ADY7" s="48"/>
      <c r="ADZ7" s="48"/>
      <c r="AEA7" s="48"/>
      <c r="AEB7" s="48"/>
      <c r="AEC7" s="48"/>
      <c r="AED7" s="48"/>
      <c r="AEE7" s="48"/>
      <c r="AEF7" s="48"/>
      <c r="AEG7" s="48"/>
      <c r="AEH7" s="48"/>
      <c r="AEI7" s="48"/>
      <c r="AEJ7" s="48"/>
      <c r="AEK7" s="48"/>
      <c r="AEL7" s="48"/>
      <c r="AEM7" s="48"/>
      <c r="AEN7" s="48"/>
      <c r="AEO7" s="48"/>
      <c r="AEP7" s="48"/>
      <c r="AEQ7" s="48"/>
      <c r="AER7" s="48"/>
      <c r="AES7" s="48"/>
      <c r="AET7" s="48"/>
      <c r="AEU7" s="48"/>
      <c r="AEV7" s="48"/>
      <c r="AEW7" s="48"/>
      <c r="AEX7" s="48"/>
      <c r="AEY7" s="48"/>
      <c r="AEZ7" s="48"/>
      <c r="AFA7" s="48"/>
      <c r="AFB7" s="48"/>
      <c r="AFC7" s="48"/>
      <c r="AFD7" s="48"/>
      <c r="AFE7" s="48"/>
      <c r="AFF7" s="48"/>
      <c r="AFG7" s="48"/>
      <c r="AFH7" s="48"/>
      <c r="AFI7" s="48"/>
      <c r="AFJ7" s="48"/>
      <c r="AFK7" s="48"/>
      <c r="AFL7" s="48"/>
      <c r="AFM7" s="48"/>
      <c r="AFN7" s="48"/>
      <c r="AFO7" s="48"/>
      <c r="AFP7" s="48"/>
      <c r="AFQ7" s="48"/>
      <c r="AFR7" s="48"/>
      <c r="AFS7" s="48"/>
      <c r="AFT7" s="48"/>
      <c r="AFU7" s="48"/>
      <c r="AFV7" s="48"/>
      <c r="AFW7" s="48"/>
      <c r="AFX7" s="48"/>
      <c r="AFY7" s="48"/>
      <c r="AFZ7" s="48"/>
      <c r="AGA7" s="48"/>
      <c r="AGB7" s="48"/>
      <c r="AGC7" s="48"/>
      <c r="AGD7" s="48"/>
      <c r="AGE7" s="48"/>
      <c r="AGF7" s="48"/>
      <c r="AGG7" s="48"/>
      <c r="AGH7" s="48"/>
      <c r="AGI7" s="48"/>
      <c r="AGJ7" s="48"/>
      <c r="AGK7" s="48"/>
      <c r="AGL7" s="48"/>
      <c r="AGM7" s="48"/>
      <c r="AGN7" s="48"/>
      <c r="AGO7" s="48"/>
      <c r="AGP7" s="48"/>
      <c r="AGQ7" s="48"/>
      <c r="AGR7" s="48"/>
      <c r="AGS7" s="48"/>
      <c r="AGT7" s="48"/>
      <c r="AGU7" s="48"/>
      <c r="AGV7" s="48"/>
      <c r="AGW7" s="48"/>
      <c r="AGX7" s="48"/>
      <c r="AGY7" s="48"/>
      <c r="AGZ7" s="48"/>
      <c r="AHA7" s="48"/>
      <c r="AHB7" s="48"/>
      <c r="AHC7" s="48"/>
      <c r="AHD7" s="48"/>
      <c r="AHE7" s="48"/>
      <c r="AHF7" s="48"/>
      <c r="AHG7" s="48"/>
      <c r="AHH7" s="48"/>
      <c r="AHI7" s="48"/>
      <c r="AHJ7" s="48"/>
      <c r="AHK7" s="48"/>
      <c r="AHL7" s="48"/>
      <c r="AHM7" s="48"/>
      <c r="AHN7" s="48"/>
      <c r="AHO7" s="48"/>
      <c r="AHP7" s="48"/>
      <c r="AHQ7" s="48"/>
      <c r="AHR7" s="48"/>
      <c r="AHS7" s="48"/>
      <c r="AHT7" s="48"/>
      <c r="AHU7" s="48"/>
      <c r="AHV7" s="48"/>
      <c r="AHW7" s="48"/>
      <c r="AHX7" s="48"/>
      <c r="AHY7" s="48"/>
      <c r="AHZ7" s="48"/>
      <c r="AIA7" s="48"/>
      <c r="AIB7" s="48"/>
      <c r="AIC7" s="48"/>
      <c r="AID7" s="48"/>
      <c r="AIE7" s="48"/>
      <c r="AIF7" s="48"/>
      <c r="AIG7" s="48"/>
      <c r="AIH7" s="48"/>
      <c r="AII7" s="48"/>
      <c r="AIJ7" s="48"/>
      <c r="AIK7" s="48"/>
      <c r="AIL7" s="48"/>
      <c r="AIM7" s="48"/>
      <c r="AIN7" s="48"/>
      <c r="AIO7" s="48"/>
      <c r="AIP7" s="48"/>
      <c r="AIQ7" s="48"/>
      <c r="AIR7" s="48"/>
      <c r="AIS7" s="48"/>
      <c r="AIT7" s="48"/>
      <c r="AIU7" s="48"/>
      <c r="AIV7" s="48"/>
      <c r="AIW7" s="48"/>
      <c r="AIX7" s="48"/>
      <c r="AIY7" s="48"/>
      <c r="AIZ7" s="48"/>
      <c r="AJA7" s="48"/>
      <c r="AJB7" s="48"/>
      <c r="AJC7" s="48"/>
      <c r="AJD7" s="48"/>
      <c r="AJE7" s="48"/>
      <c r="AJF7" s="48"/>
      <c r="AJG7" s="48"/>
      <c r="AJH7" s="48"/>
      <c r="AJI7" s="48"/>
      <c r="AJJ7" s="48"/>
      <c r="AJK7" s="48"/>
      <c r="AJL7" s="48"/>
      <c r="AJM7" s="48"/>
      <c r="AJN7" s="48"/>
      <c r="AJO7" s="48"/>
      <c r="AJP7" s="48"/>
      <c r="AJQ7" s="48"/>
      <c r="AJR7" s="48"/>
      <c r="AJS7" s="48"/>
      <c r="AJT7" s="48"/>
      <c r="AJU7" s="48"/>
      <c r="AJV7" s="48"/>
      <c r="AJW7" s="48"/>
      <c r="AJX7" s="48"/>
      <c r="AJY7" s="48"/>
      <c r="AJZ7" s="48"/>
      <c r="AKA7" s="48"/>
      <c r="AKB7" s="48"/>
      <c r="AKC7" s="48"/>
      <c r="AKD7" s="48"/>
      <c r="AKE7" s="48"/>
      <c r="AKF7" s="48"/>
      <c r="AKG7" s="48"/>
      <c r="AKH7" s="48"/>
      <c r="AKI7" s="48"/>
      <c r="AKJ7" s="48"/>
      <c r="AKK7" s="48"/>
      <c r="AKL7" s="48"/>
      <c r="AKM7" s="48"/>
      <c r="AKN7" s="48"/>
      <c r="AKO7" s="48"/>
      <c r="AKP7" s="48"/>
      <c r="AKQ7" s="48"/>
      <c r="AKR7" s="48"/>
      <c r="AKS7" s="48"/>
      <c r="AKT7" s="48"/>
      <c r="AKU7" s="48"/>
      <c r="AKV7" s="48"/>
      <c r="AKW7" s="48"/>
      <c r="AKX7" s="48"/>
      <c r="AKY7" s="48"/>
      <c r="AKZ7" s="48"/>
      <c r="ALA7" s="48"/>
      <c r="ALB7" s="48"/>
      <c r="ALC7" s="48"/>
      <c r="ALD7" s="48"/>
      <c r="ALE7" s="48"/>
      <c r="ALF7" s="48"/>
      <c r="ALG7" s="48"/>
      <c r="ALH7" s="48"/>
      <c r="ALI7" s="48"/>
      <c r="ALJ7" s="48"/>
      <c r="ALK7" s="48"/>
      <c r="ALL7" s="48"/>
      <c r="ALM7" s="48"/>
      <c r="ALN7" s="48"/>
      <c r="ALO7" s="48"/>
      <c r="ALP7" s="48"/>
      <c r="ALQ7" s="48"/>
      <c r="ALR7" s="48"/>
      <c r="ALS7" s="48"/>
      <c r="ALT7" s="48"/>
      <c r="ALU7" s="48"/>
      <c r="ALV7" s="48"/>
      <c r="ALW7" s="48"/>
      <c r="ALX7" s="48"/>
      <c r="ALY7" s="48"/>
      <c r="ALZ7" s="48"/>
      <c r="AMA7" s="48"/>
      <c r="AMB7" s="48"/>
      <c r="AMC7" s="48"/>
      <c r="AMD7" s="48"/>
      <c r="AME7" s="48"/>
      <c r="AMF7" s="48"/>
      <c r="AMG7" s="48"/>
      <c r="AMH7" s="48"/>
      <c r="AMI7" s="48"/>
      <c r="AMJ7" s="48"/>
      <c r="AMK7" s="48"/>
      <c r="AML7" s="48"/>
    </row>
    <row r="8" ht="15.75" customHeight="1">
      <c r="A8" s="8" t="s">
        <v>112</v>
      </c>
      <c r="B8" s="8" t="s">
        <v>112</v>
      </c>
      <c r="C8" s="8" t="s">
        <v>112</v>
      </c>
      <c r="D8" s="8" t="s">
        <v>112</v>
      </c>
      <c r="E8" s="8"/>
      <c r="F8" s="8" t="s">
        <v>113</v>
      </c>
      <c r="G8" s="8" t="s">
        <v>112</v>
      </c>
      <c r="H8" s="8" t="s">
        <v>112</v>
      </c>
      <c r="I8" s="8"/>
      <c r="J8" s="8" t="s">
        <v>114</v>
      </c>
      <c r="K8" s="8" t="s">
        <v>112</v>
      </c>
      <c r="L8" s="8" t="s">
        <v>112</v>
      </c>
      <c r="M8" s="8" t="s">
        <v>112</v>
      </c>
      <c r="N8" s="8"/>
      <c r="O8" s="8"/>
      <c r="R8" t="s">
        <v>112</v>
      </c>
      <c r="S8" t="s">
        <v>112</v>
      </c>
      <c r="U8" t="s">
        <v>64</v>
      </c>
      <c r="X8" t="s">
        <v>112</v>
      </c>
      <c r="Y8" t="s">
        <v>112</v>
      </c>
      <c r="Z8" t="s">
        <v>125</v>
      </c>
      <c r="AA8" t="s">
        <v>117</v>
      </c>
      <c r="AB8" t="s">
        <v>54</v>
      </c>
      <c r="AC8" s="50">
        <v>100.0</v>
      </c>
      <c r="AD8" t="s">
        <v>112</v>
      </c>
      <c r="AE8" t="s">
        <v>112</v>
      </c>
      <c r="AF8" t="s">
        <v>126</v>
      </c>
      <c r="AG8" t="s">
        <v>112</v>
      </c>
      <c r="AH8" t="s">
        <v>112</v>
      </c>
      <c r="AI8" t="s">
        <v>119</v>
      </c>
      <c r="AJ8" t="s">
        <v>119</v>
      </c>
      <c r="AK8" t="s">
        <v>120</v>
      </c>
      <c r="AL8" t="s">
        <v>121</v>
      </c>
      <c r="AM8" t="s">
        <v>112</v>
      </c>
      <c r="AS8" t="s">
        <v>122</v>
      </c>
      <c r="AT8" t="s">
        <v>112</v>
      </c>
      <c r="AU8" t="s">
        <v>112</v>
      </c>
      <c r="AV8" t="s">
        <v>112</v>
      </c>
      <c r="AW8" t="s">
        <v>112</v>
      </c>
      <c r="AX8" t="s">
        <v>112</v>
      </c>
      <c r="AY8" t="s">
        <v>112</v>
      </c>
      <c r="AZ8" t="s">
        <v>112</v>
      </c>
      <c r="BA8" t="s">
        <v>112</v>
      </c>
      <c r="BB8" t="s">
        <v>112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112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112</v>
      </c>
      <c r="BQ8" t="s">
        <v>112</v>
      </c>
      <c r="BR8" t="s">
        <v>112</v>
      </c>
      <c r="BS8" t="s">
        <v>112</v>
      </c>
      <c r="BT8" t="s">
        <v>112</v>
      </c>
      <c r="BU8" t="s">
        <v>112</v>
      </c>
      <c r="BV8" t="s">
        <v>112</v>
      </c>
      <c r="BW8" t="s">
        <v>112</v>
      </c>
      <c r="BX8" t="s">
        <v>112</v>
      </c>
      <c r="BY8" t="s">
        <v>112</v>
      </c>
      <c r="BZ8" t="s">
        <v>112</v>
      </c>
      <c r="CA8" t="s">
        <v>112</v>
      </c>
      <c r="CB8" t="s">
        <v>112</v>
      </c>
      <c r="CC8" t="s">
        <v>112</v>
      </c>
      <c r="CD8" t="s">
        <v>112</v>
      </c>
      <c r="CE8" t="s">
        <v>112</v>
      </c>
      <c r="CF8" t="s">
        <v>112</v>
      </c>
      <c r="CG8" t="s">
        <v>112</v>
      </c>
      <c r="CH8" t="s">
        <v>112</v>
      </c>
      <c r="CI8" t="s">
        <v>112</v>
      </c>
      <c r="CJ8" t="s">
        <v>112</v>
      </c>
      <c r="CK8" t="s">
        <v>112</v>
      </c>
      <c r="CL8" t="s">
        <v>112</v>
      </c>
      <c r="CM8" t="s">
        <v>112</v>
      </c>
      <c r="CN8" t="s">
        <v>112</v>
      </c>
      <c r="CO8" t="s">
        <v>112</v>
      </c>
      <c r="CP8" t="s">
        <v>112</v>
      </c>
      <c r="CQ8" t="s">
        <v>112</v>
      </c>
      <c r="CR8" t="s">
        <v>112</v>
      </c>
      <c r="CS8" t="s">
        <v>112</v>
      </c>
      <c r="CT8" t="s">
        <v>112</v>
      </c>
      <c r="CU8" t="s">
        <v>112</v>
      </c>
      <c r="CV8" t="s">
        <v>112</v>
      </c>
      <c r="CW8" t="s">
        <v>112</v>
      </c>
      <c r="CX8" t="s">
        <v>112</v>
      </c>
      <c r="CY8" t="s">
        <v>112</v>
      </c>
      <c r="CZ8" t="s">
        <v>112</v>
      </c>
      <c r="DA8" t="s">
        <v>112</v>
      </c>
      <c r="DB8" t="s">
        <v>112</v>
      </c>
      <c r="DC8" t="s">
        <v>112</v>
      </c>
      <c r="DD8" t="s">
        <v>112</v>
      </c>
      <c r="DE8" t="s">
        <v>112</v>
      </c>
      <c r="DF8" t="s">
        <v>112</v>
      </c>
      <c r="DG8" t="s">
        <v>112</v>
      </c>
      <c r="DH8" t="s">
        <v>112</v>
      </c>
      <c r="DI8" t="s">
        <v>112</v>
      </c>
      <c r="DJ8" t="s">
        <v>112</v>
      </c>
      <c r="DK8" t="s">
        <v>112</v>
      </c>
      <c r="DL8" t="s">
        <v>112</v>
      </c>
      <c r="DM8" t="s">
        <v>112</v>
      </c>
      <c r="DN8" t="s">
        <v>112</v>
      </c>
      <c r="DO8" t="s">
        <v>112</v>
      </c>
      <c r="DP8" t="s">
        <v>112</v>
      </c>
      <c r="DQ8" t="s">
        <v>112</v>
      </c>
      <c r="DR8" t="s">
        <v>112</v>
      </c>
      <c r="DS8" t="s">
        <v>112</v>
      </c>
      <c r="DT8" t="s">
        <v>112</v>
      </c>
      <c r="DU8" t="s">
        <v>112</v>
      </c>
      <c r="DV8" t="s">
        <v>112</v>
      </c>
      <c r="DW8" t="s">
        <v>112</v>
      </c>
      <c r="DX8" t="s">
        <v>112</v>
      </c>
      <c r="DY8" t="s">
        <v>112</v>
      </c>
      <c r="DZ8" t="s">
        <v>112</v>
      </c>
      <c r="EA8" t="s">
        <v>112</v>
      </c>
      <c r="EB8" t="s">
        <v>112</v>
      </c>
      <c r="EC8" t="s">
        <v>112</v>
      </c>
      <c r="ED8" t="s">
        <v>112</v>
      </c>
      <c r="EE8" t="s">
        <v>112</v>
      </c>
      <c r="EF8" t="s">
        <v>112</v>
      </c>
      <c r="EG8" t="s">
        <v>112</v>
      </c>
      <c r="EH8" t="s">
        <v>112</v>
      </c>
      <c r="EI8" t="s">
        <v>112</v>
      </c>
      <c r="EJ8" t="s">
        <v>112</v>
      </c>
      <c r="EK8" t="s">
        <v>112</v>
      </c>
      <c r="EL8" t="s">
        <v>112</v>
      </c>
      <c r="EM8" t="s">
        <v>112</v>
      </c>
      <c r="EN8" t="s">
        <v>112</v>
      </c>
      <c r="EO8" t="s">
        <v>112</v>
      </c>
      <c r="EP8" t="s">
        <v>112</v>
      </c>
      <c r="EQ8" t="s">
        <v>112</v>
      </c>
      <c r="ER8" t="s">
        <v>112</v>
      </c>
      <c r="ES8" t="s">
        <v>112</v>
      </c>
      <c r="ET8" t="s">
        <v>112</v>
      </c>
      <c r="EU8" t="s">
        <v>112</v>
      </c>
      <c r="EV8" t="s">
        <v>112</v>
      </c>
      <c r="EW8" t="s">
        <v>112</v>
      </c>
      <c r="EX8" t="s">
        <v>112</v>
      </c>
      <c r="EY8" t="s">
        <v>112</v>
      </c>
      <c r="EZ8" t="s">
        <v>112</v>
      </c>
      <c r="FA8" t="s">
        <v>112</v>
      </c>
      <c r="FB8" t="s">
        <v>112</v>
      </c>
      <c r="FC8" t="s">
        <v>112</v>
      </c>
      <c r="FD8" t="s">
        <v>112</v>
      </c>
      <c r="FE8" t="s">
        <v>112</v>
      </c>
      <c r="FF8" t="s">
        <v>112</v>
      </c>
      <c r="FG8" t="s">
        <v>112</v>
      </c>
      <c r="FH8" t="s">
        <v>112</v>
      </c>
      <c r="FI8" t="s">
        <v>112</v>
      </c>
      <c r="FJ8" t="s">
        <v>112</v>
      </c>
      <c r="FK8" t="s">
        <v>112</v>
      </c>
      <c r="FL8" t="s">
        <v>112</v>
      </c>
      <c r="FM8" t="s">
        <v>112</v>
      </c>
      <c r="FN8" t="s">
        <v>112</v>
      </c>
      <c r="FO8" t="s">
        <v>112</v>
      </c>
      <c r="FP8" t="s">
        <v>112</v>
      </c>
      <c r="FQ8" t="s">
        <v>112</v>
      </c>
      <c r="FR8" s="48"/>
      <c r="FS8" s="48"/>
      <c r="FT8" s="48"/>
      <c r="FU8" s="48"/>
      <c r="FV8" s="48"/>
      <c r="FW8" s="48"/>
      <c r="FX8" s="48"/>
      <c r="FY8" s="48"/>
      <c r="FZ8" s="48"/>
      <c r="GA8" s="48"/>
      <c r="GB8" s="48"/>
      <c r="GC8" s="48"/>
      <c r="GD8" s="48"/>
      <c r="GE8" s="48"/>
      <c r="GF8" s="48"/>
      <c r="GG8" s="48"/>
      <c r="GH8" s="48"/>
      <c r="GI8" s="48"/>
      <c r="GJ8" s="48"/>
      <c r="GK8" s="48"/>
      <c r="GL8" s="48"/>
      <c r="GM8" s="48"/>
      <c r="GN8" s="48"/>
      <c r="GO8" s="48"/>
      <c r="GP8" s="48"/>
      <c r="GQ8" s="48"/>
      <c r="GR8" s="48"/>
      <c r="GS8" s="48"/>
      <c r="GT8" s="48"/>
      <c r="GU8" s="48"/>
      <c r="GV8" s="48"/>
      <c r="GW8" s="48"/>
      <c r="GX8" s="48"/>
      <c r="GY8" s="48"/>
      <c r="GZ8" s="48"/>
      <c r="HA8" s="48"/>
      <c r="HB8" s="48"/>
      <c r="HC8" s="48"/>
      <c r="HD8" s="48"/>
      <c r="HE8" s="48"/>
      <c r="HF8" s="48"/>
      <c r="HG8" s="48"/>
      <c r="HH8" s="48"/>
      <c r="HI8" s="48"/>
      <c r="HJ8" s="48"/>
      <c r="HK8" s="48"/>
      <c r="HL8" s="48"/>
      <c r="HM8" s="48"/>
      <c r="HN8" s="48"/>
      <c r="HO8" s="48"/>
      <c r="HP8" s="48"/>
      <c r="HQ8" s="48"/>
      <c r="HR8" s="48"/>
      <c r="HS8" s="48"/>
      <c r="HT8" s="48"/>
      <c r="HU8" s="48"/>
      <c r="HV8" s="48"/>
      <c r="HW8" s="48"/>
      <c r="HX8" s="48"/>
      <c r="HY8" s="48"/>
      <c r="HZ8" s="48"/>
      <c r="IA8" s="48"/>
      <c r="IB8" s="48"/>
      <c r="IC8" s="48"/>
      <c r="ID8" s="48"/>
      <c r="IE8" s="48"/>
      <c r="IF8" s="48"/>
      <c r="IG8" s="48"/>
      <c r="IH8" s="48"/>
      <c r="II8" s="48"/>
      <c r="IJ8" s="48"/>
      <c r="IK8" s="48"/>
      <c r="IL8" s="48"/>
      <c r="IM8" s="48"/>
      <c r="IN8" s="48"/>
      <c r="IO8" s="48"/>
      <c r="IP8" s="48"/>
      <c r="IQ8" s="48"/>
      <c r="IR8" s="48"/>
      <c r="IS8" s="48"/>
      <c r="IT8" s="48"/>
      <c r="IU8" s="48"/>
      <c r="IV8" s="48"/>
      <c r="IW8" s="48"/>
      <c r="IX8" s="48"/>
      <c r="IY8" s="48"/>
      <c r="IZ8" s="48"/>
      <c r="JA8" s="48"/>
      <c r="JB8" s="48"/>
      <c r="JC8" s="48"/>
      <c r="JD8" s="48"/>
      <c r="JE8" s="48"/>
      <c r="JF8" s="48"/>
      <c r="JG8" s="48"/>
      <c r="JH8" s="48"/>
      <c r="JI8" s="48"/>
      <c r="JJ8" s="48"/>
      <c r="JK8" s="48"/>
      <c r="JL8" s="48"/>
      <c r="JM8" s="48"/>
      <c r="JN8" s="48"/>
      <c r="JO8" s="48"/>
      <c r="JP8" s="48"/>
      <c r="JQ8" s="48"/>
      <c r="JR8" s="48"/>
      <c r="JS8" s="48"/>
      <c r="JT8" s="48"/>
      <c r="JU8" s="48"/>
      <c r="JV8" s="48"/>
      <c r="JW8" s="48"/>
      <c r="JX8" s="48"/>
      <c r="JY8" s="48"/>
      <c r="JZ8" s="48"/>
      <c r="KA8" s="48"/>
      <c r="KB8" s="48"/>
      <c r="KC8" s="48"/>
      <c r="KD8" s="48"/>
      <c r="KE8" s="48"/>
      <c r="KF8" s="48"/>
      <c r="KG8" s="48"/>
      <c r="KH8" s="48"/>
      <c r="KI8" s="48"/>
      <c r="KJ8" s="48"/>
      <c r="KK8" s="48"/>
      <c r="KL8" s="48"/>
      <c r="KM8" s="48"/>
      <c r="KN8" s="48"/>
      <c r="KO8" s="48"/>
      <c r="KP8" s="48"/>
      <c r="KQ8" s="48"/>
      <c r="KR8" s="48"/>
      <c r="KS8" s="48"/>
      <c r="KT8" s="48"/>
      <c r="KU8" s="48"/>
      <c r="KV8" s="48"/>
      <c r="KW8" s="48"/>
      <c r="KX8" s="48"/>
      <c r="KY8" s="48"/>
      <c r="KZ8" s="48"/>
      <c r="LA8" s="48"/>
      <c r="LB8" s="48"/>
      <c r="LC8" s="48"/>
      <c r="LD8" s="48"/>
      <c r="LE8" s="48"/>
      <c r="LF8" s="48"/>
      <c r="LG8" s="48"/>
      <c r="LH8" s="48"/>
      <c r="LI8" s="48"/>
      <c r="LJ8" s="48"/>
      <c r="LK8" s="48"/>
      <c r="LL8" s="48"/>
      <c r="LM8" s="48"/>
      <c r="LN8" s="48"/>
      <c r="LO8" s="48"/>
      <c r="LP8" s="48"/>
      <c r="LQ8" s="48"/>
      <c r="LR8" s="48"/>
      <c r="LS8" s="48"/>
      <c r="LT8" s="48"/>
      <c r="LU8" s="48"/>
      <c r="LV8" s="48"/>
      <c r="LW8" s="48"/>
      <c r="LX8" s="48"/>
      <c r="LY8" s="48"/>
      <c r="LZ8" s="48"/>
      <c r="MA8" s="48"/>
      <c r="MB8" s="48"/>
      <c r="MC8" s="48"/>
      <c r="MD8" s="48"/>
      <c r="ME8" s="48"/>
      <c r="MF8" s="48"/>
      <c r="MG8" s="48"/>
      <c r="MH8" s="48"/>
      <c r="MI8" s="48"/>
      <c r="MJ8" s="48"/>
      <c r="MK8" s="48"/>
      <c r="ML8" s="48"/>
      <c r="MM8" s="48"/>
      <c r="MN8" s="48"/>
      <c r="MO8" s="48"/>
      <c r="MP8" s="48"/>
      <c r="MQ8" s="48"/>
      <c r="MR8" s="48"/>
      <c r="MS8" s="48"/>
      <c r="MT8" s="48"/>
      <c r="MU8" s="48"/>
      <c r="MV8" s="48"/>
      <c r="MW8" s="48"/>
      <c r="MX8" s="48"/>
      <c r="MY8" s="48"/>
      <c r="MZ8" s="48"/>
      <c r="NA8" s="48"/>
      <c r="NB8" s="48"/>
      <c r="NC8" s="48"/>
      <c r="ND8" s="48"/>
      <c r="NE8" s="48"/>
      <c r="NF8" s="48"/>
      <c r="NG8" s="48"/>
      <c r="NH8" s="48"/>
      <c r="NI8" s="48"/>
      <c r="NJ8" s="48"/>
      <c r="NK8" s="48"/>
      <c r="NL8" s="48"/>
      <c r="NM8" s="48"/>
      <c r="NN8" s="48"/>
      <c r="NO8" s="48"/>
      <c r="NP8" s="48"/>
      <c r="NQ8" s="48"/>
      <c r="NR8" s="48"/>
      <c r="NS8" s="48"/>
      <c r="NT8" s="48"/>
      <c r="NU8" s="48"/>
      <c r="NV8" s="48"/>
      <c r="NW8" s="48"/>
      <c r="NX8" s="48"/>
      <c r="NY8" s="48"/>
      <c r="NZ8" s="48"/>
      <c r="OA8" s="48"/>
      <c r="OB8" s="48"/>
      <c r="OC8" s="48"/>
      <c r="OD8" s="48"/>
      <c r="OE8" s="48"/>
      <c r="OF8" s="48"/>
      <c r="OG8" s="48"/>
      <c r="OH8" s="48"/>
      <c r="OI8" s="48"/>
      <c r="OJ8" s="48"/>
      <c r="OK8" s="48"/>
      <c r="OL8" s="48"/>
      <c r="OM8" s="48"/>
      <c r="ON8" s="48"/>
      <c r="OO8" s="48"/>
      <c r="OP8" s="48"/>
      <c r="OQ8" s="48"/>
      <c r="OR8" s="48"/>
      <c r="OS8" s="48"/>
      <c r="OT8" s="48"/>
      <c r="OU8" s="48"/>
      <c r="OV8" s="48"/>
      <c r="OW8" s="48"/>
      <c r="OX8" s="48"/>
      <c r="OY8" s="48"/>
      <c r="OZ8" s="48"/>
      <c r="PA8" s="48"/>
      <c r="PB8" s="48"/>
      <c r="PC8" s="48"/>
      <c r="PD8" s="48"/>
      <c r="PE8" s="48"/>
      <c r="PF8" s="48"/>
      <c r="PG8" s="48"/>
      <c r="PH8" s="48"/>
      <c r="PI8" s="48"/>
      <c r="PJ8" s="48"/>
      <c r="PK8" s="48"/>
      <c r="PL8" s="48"/>
      <c r="PM8" s="48"/>
      <c r="PN8" s="48"/>
      <c r="PO8" s="48"/>
      <c r="PP8" s="48"/>
      <c r="PQ8" s="48"/>
      <c r="PR8" s="48"/>
      <c r="PS8" s="48"/>
      <c r="PT8" s="48"/>
      <c r="PU8" s="48"/>
      <c r="PV8" s="48"/>
      <c r="PW8" s="48"/>
      <c r="PX8" s="48"/>
      <c r="PY8" s="48"/>
      <c r="PZ8" s="48"/>
      <c r="QA8" s="48"/>
      <c r="QB8" s="48"/>
      <c r="QC8" s="48"/>
      <c r="QD8" s="48"/>
      <c r="QE8" s="48"/>
      <c r="QF8" s="48"/>
      <c r="QG8" s="48"/>
      <c r="QH8" s="48"/>
      <c r="QI8" s="48"/>
      <c r="QJ8" s="48"/>
      <c r="QK8" s="48"/>
      <c r="QL8" s="48"/>
      <c r="QM8" s="48"/>
      <c r="QN8" s="48"/>
      <c r="QO8" s="48"/>
      <c r="QP8" s="48"/>
      <c r="QQ8" s="48"/>
      <c r="QR8" s="48"/>
      <c r="QS8" s="48"/>
      <c r="QT8" s="48"/>
      <c r="QU8" s="48"/>
      <c r="QV8" s="48"/>
      <c r="QW8" s="48"/>
      <c r="QX8" s="48"/>
      <c r="QY8" s="48"/>
      <c r="QZ8" s="48"/>
      <c r="RA8" s="48"/>
      <c r="RB8" s="48"/>
      <c r="RC8" s="48"/>
      <c r="RD8" s="48"/>
      <c r="RE8" s="48"/>
      <c r="RF8" s="48"/>
      <c r="RG8" s="48"/>
      <c r="RH8" s="48"/>
      <c r="RI8" s="48"/>
      <c r="RJ8" s="48"/>
      <c r="RK8" s="48"/>
      <c r="RL8" s="48"/>
      <c r="RM8" s="48"/>
      <c r="RN8" s="48"/>
      <c r="RO8" s="48"/>
      <c r="RP8" s="48"/>
      <c r="RQ8" s="48"/>
      <c r="RR8" s="48"/>
      <c r="RS8" s="48"/>
      <c r="RT8" s="48"/>
      <c r="RU8" s="48"/>
      <c r="RV8" s="48"/>
      <c r="RW8" s="48"/>
      <c r="RX8" s="48"/>
      <c r="RY8" s="48"/>
      <c r="RZ8" s="48"/>
      <c r="SA8" s="48"/>
      <c r="SB8" s="48"/>
      <c r="SC8" s="48"/>
      <c r="SD8" s="48"/>
      <c r="SE8" s="48"/>
      <c r="SF8" s="48"/>
      <c r="SG8" s="48"/>
      <c r="SH8" s="48"/>
      <c r="SI8" s="48"/>
      <c r="SJ8" s="48"/>
      <c r="SK8" s="48"/>
      <c r="SL8" s="48"/>
      <c r="SM8" s="48"/>
      <c r="SN8" s="48"/>
      <c r="SO8" s="48"/>
      <c r="SP8" s="48"/>
      <c r="SQ8" s="48"/>
      <c r="SR8" s="48"/>
      <c r="SS8" s="48"/>
      <c r="ST8" s="48"/>
      <c r="SU8" s="48"/>
      <c r="SV8" s="48"/>
      <c r="SW8" s="48"/>
      <c r="SX8" s="48"/>
      <c r="SY8" s="48"/>
      <c r="SZ8" s="48"/>
      <c r="TA8" s="48"/>
      <c r="TB8" s="48"/>
      <c r="TC8" s="48"/>
      <c r="TD8" s="48"/>
      <c r="TE8" s="48"/>
      <c r="TF8" s="48"/>
      <c r="TG8" s="48"/>
      <c r="TH8" s="48"/>
      <c r="TI8" s="48"/>
      <c r="TJ8" s="48"/>
      <c r="TK8" s="48"/>
      <c r="TL8" s="48"/>
      <c r="TM8" s="48"/>
      <c r="TN8" s="48"/>
      <c r="TO8" s="48"/>
      <c r="TP8" s="48"/>
      <c r="TQ8" s="48"/>
      <c r="TR8" s="48"/>
      <c r="TS8" s="48"/>
      <c r="TT8" s="48"/>
      <c r="TU8" s="48"/>
      <c r="TV8" s="48"/>
      <c r="TW8" s="48"/>
      <c r="TX8" s="48"/>
      <c r="TY8" s="48"/>
      <c r="TZ8" s="48"/>
      <c r="UA8" s="48"/>
      <c r="UB8" s="48"/>
      <c r="UC8" s="48"/>
      <c r="UD8" s="48"/>
      <c r="UE8" s="48"/>
      <c r="UF8" s="48"/>
      <c r="UG8" s="48"/>
      <c r="UH8" s="48"/>
      <c r="UI8" s="48"/>
      <c r="UJ8" s="48"/>
      <c r="UK8" s="48"/>
      <c r="UL8" s="48"/>
      <c r="UM8" s="48"/>
      <c r="UN8" s="48"/>
      <c r="UO8" s="48"/>
      <c r="UP8" s="48"/>
      <c r="UQ8" s="48"/>
      <c r="UR8" s="48"/>
      <c r="US8" s="48"/>
      <c r="UT8" s="48"/>
      <c r="UU8" s="48"/>
      <c r="UV8" s="48"/>
      <c r="UW8" s="48"/>
      <c r="UX8" s="48"/>
      <c r="UY8" s="48"/>
      <c r="UZ8" s="48"/>
      <c r="VA8" s="48"/>
      <c r="VB8" s="48"/>
      <c r="VC8" s="48"/>
      <c r="VD8" s="48"/>
      <c r="VE8" s="48"/>
      <c r="VF8" s="48"/>
      <c r="VG8" s="48"/>
      <c r="VH8" s="48"/>
      <c r="VI8" s="48"/>
      <c r="VJ8" s="48"/>
      <c r="VK8" s="48"/>
      <c r="VL8" s="48"/>
      <c r="VM8" s="48"/>
      <c r="VN8" s="48"/>
      <c r="VO8" s="48"/>
      <c r="VP8" s="48"/>
      <c r="VQ8" s="48"/>
      <c r="VR8" s="48"/>
      <c r="VS8" s="48"/>
      <c r="VT8" s="48"/>
      <c r="VU8" s="48"/>
      <c r="VV8" s="48"/>
      <c r="VW8" s="48"/>
      <c r="VX8" s="48"/>
      <c r="VY8" s="48"/>
      <c r="VZ8" s="48"/>
      <c r="WA8" s="48"/>
      <c r="WB8" s="48"/>
      <c r="WC8" s="48"/>
      <c r="WD8" s="48"/>
      <c r="WE8" s="48"/>
      <c r="WF8" s="48"/>
      <c r="WG8" s="48"/>
      <c r="WH8" s="48"/>
      <c r="WI8" s="48"/>
      <c r="WJ8" s="48"/>
      <c r="WK8" s="48"/>
      <c r="WL8" s="48"/>
      <c r="WM8" s="48"/>
      <c r="WN8" s="48"/>
      <c r="WO8" s="48"/>
      <c r="WP8" s="48"/>
      <c r="WQ8" s="48"/>
      <c r="WR8" s="48"/>
      <c r="WS8" s="48"/>
      <c r="WT8" s="48"/>
      <c r="WU8" s="48"/>
      <c r="WV8" s="48"/>
      <c r="WW8" s="48"/>
      <c r="WX8" s="48"/>
      <c r="WY8" s="48"/>
      <c r="WZ8" s="48"/>
      <c r="XA8" s="48"/>
      <c r="XB8" s="48"/>
      <c r="XC8" s="48"/>
      <c r="XD8" s="48"/>
      <c r="XE8" s="48"/>
      <c r="XF8" s="48"/>
      <c r="XG8" s="48"/>
      <c r="XH8" s="48"/>
      <c r="XI8" s="48"/>
      <c r="XJ8" s="48"/>
      <c r="XK8" s="48"/>
      <c r="XL8" s="48"/>
      <c r="XM8" s="48"/>
      <c r="XN8" s="48"/>
      <c r="XO8" s="48"/>
      <c r="XP8" s="48"/>
      <c r="XQ8" s="48"/>
      <c r="XR8" s="48"/>
      <c r="XS8" s="48"/>
      <c r="XT8" s="48"/>
      <c r="XU8" s="48"/>
      <c r="XV8" s="48"/>
      <c r="XW8" s="48"/>
      <c r="XX8" s="48"/>
      <c r="XY8" s="48"/>
      <c r="XZ8" s="48"/>
      <c r="YA8" s="48"/>
      <c r="YB8" s="48"/>
      <c r="YC8" s="48"/>
      <c r="YD8" s="48"/>
      <c r="YE8" s="48"/>
      <c r="YF8" s="48"/>
      <c r="YG8" s="48"/>
      <c r="YH8" s="48"/>
      <c r="YI8" s="48"/>
      <c r="YJ8" s="48"/>
      <c r="YK8" s="48"/>
      <c r="YL8" s="48"/>
      <c r="YM8" s="48"/>
      <c r="YN8" s="48"/>
      <c r="YO8" s="48"/>
      <c r="YP8" s="48"/>
      <c r="YQ8" s="48"/>
      <c r="YR8" s="48"/>
      <c r="YS8" s="48"/>
      <c r="YT8" s="48"/>
      <c r="YU8" s="48"/>
      <c r="YV8" s="48"/>
      <c r="YW8" s="48"/>
      <c r="YX8" s="48"/>
      <c r="YY8" s="48"/>
      <c r="YZ8" s="48"/>
      <c r="ZA8" s="48"/>
      <c r="ZB8" s="48"/>
      <c r="ZC8" s="48"/>
      <c r="ZD8" s="48"/>
      <c r="ZE8" s="48"/>
      <c r="ZF8" s="48"/>
      <c r="ZG8" s="48"/>
      <c r="ZH8" s="48"/>
      <c r="ZI8" s="48"/>
      <c r="ZJ8" s="48"/>
      <c r="ZK8" s="48"/>
      <c r="ZL8" s="48"/>
      <c r="ZM8" s="48"/>
      <c r="ZN8" s="48"/>
      <c r="ZO8" s="48"/>
      <c r="ZP8" s="48"/>
      <c r="ZQ8" s="48"/>
      <c r="ZR8" s="48"/>
      <c r="ZS8" s="48"/>
      <c r="ZT8" s="48"/>
      <c r="ZU8" s="48"/>
      <c r="ZV8" s="48"/>
      <c r="ZW8" s="48"/>
      <c r="ZX8" s="48"/>
      <c r="ZY8" s="48"/>
      <c r="ZZ8" s="48"/>
      <c r="AAA8" s="48"/>
      <c r="AAB8" s="48"/>
      <c r="AAC8" s="48"/>
      <c r="AAD8" s="48"/>
      <c r="AAE8" s="48"/>
      <c r="AAF8" s="48"/>
      <c r="AAG8" s="48"/>
      <c r="AAH8" s="48"/>
      <c r="AAI8" s="48"/>
      <c r="AAJ8" s="48"/>
      <c r="AAK8" s="48"/>
      <c r="AAL8" s="48"/>
      <c r="AAM8" s="48"/>
      <c r="AAN8" s="48"/>
      <c r="AAO8" s="48"/>
      <c r="AAP8" s="48"/>
      <c r="AAQ8" s="48"/>
      <c r="AAR8" s="48"/>
      <c r="AAS8" s="48"/>
      <c r="AAT8" s="48"/>
      <c r="AAU8" s="48"/>
      <c r="AAV8" s="48"/>
      <c r="AAW8" s="48"/>
      <c r="AAX8" s="48"/>
      <c r="AAY8" s="48"/>
      <c r="AAZ8" s="48"/>
      <c r="ABA8" s="48"/>
      <c r="ABB8" s="48"/>
      <c r="ABC8" s="48"/>
      <c r="ABD8" s="48"/>
      <c r="ABE8" s="48"/>
      <c r="ABF8" s="48"/>
      <c r="ABG8" s="48"/>
      <c r="ABH8" s="48"/>
      <c r="ABI8" s="48"/>
      <c r="ABJ8" s="48"/>
      <c r="ABK8" s="48"/>
      <c r="ABL8" s="48"/>
      <c r="ABM8" s="48"/>
      <c r="ABN8" s="48"/>
      <c r="ABO8" s="48"/>
      <c r="ABP8" s="48"/>
      <c r="ABQ8" s="48"/>
      <c r="ABR8" s="48"/>
      <c r="ABS8" s="48"/>
      <c r="ABT8" s="48"/>
      <c r="ABU8" s="48"/>
      <c r="ABV8" s="48"/>
      <c r="ABW8" s="48"/>
      <c r="ABX8" s="48"/>
      <c r="ABY8" s="48"/>
      <c r="ABZ8" s="48"/>
      <c r="ACA8" s="48"/>
      <c r="ACB8" s="48"/>
      <c r="ACC8" s="48"/>
      <c r="ACD8" s="48"/>
      <c r="ACE8" s="48"/>
      <c r="ACF8" s="48"/>
      <c r="ACG8" s="48"/>
      <c r="ACH8" s="48"/>
      <c r="ACI8" s="48"/>
      <c r="ACJ8" s="48"/>
      <c r="ACK8" s="48"/>
      <c r="ACL8" s="48"/>
      <c r="ACM8" s="48"/>
      <c r="ACN8" s="48"/>
      <c r="ACO8" s="48"/>
      <c r="ACP8" s="48"/>
      <c r="ACQ8" s="48"/>
      <c r="ACR8" s="48"/>
      <c r="ACS8" s="48"/>
      <c r="ACT8" s="48"/>
      <c r="ACU8" s="48"/>
      <c r="ACV8" s="48"/>
      <c r="ACW8" s="48"/>
      <c r="ACX8" s="48"/>
      <c r="ACY8" s="48"/>
      <c r="ACZ8" s="48"/>
      <c r="ADA8" s="48"/>
      <c r="ADB8" s="48"/>
      <c r="ADC8" s="48"/>
      <c r="ADD8" s="48"/>
      <c r="ADE8" s="48"/>
      <c r="ADF8" s="48"/>
      <c r="ADG8" s="48"/>
      <c r="ADH8" s="48"/>
      <c r="ADI8" s="48"/>
      <c r="ADJ8" s="48"/>
      <c r="ADK8" s="48"/>
      <c r="ADL8" s="48"/>
      <c r="ADM8" s="48"/>
      <c r="ADN8" s="48"/>
      <c r="ADO8" s="48"/>
      <c r="ADP8" s="48"/>
      <c r="ADQ8" s="48"/>
      <c r="ADR8" s="48"/>
      <c r="ADS8" s="48"/>
      <c r="ADT8" s="48"/>
      <c r="ADU8" s="48"/>
      <c r="ADV8" s="48"/>
      <c r="ADW8" s="48"/>
      <c r="ADX8" s="48"/>
      <c r="ADY8" s="48"/>
      <c r="ADZ8" s="48"/>
      <c r="AEA8" s="48"/>
      <c r="AEB8" s="48"/>
      <c r="AEC8" s="48"/>
      <c r="AED8" s="48"/>
      <c r="AEE8" s="48"/>
      <c r="AEF8" s="48"/>
      <c r="AEG8" s="48"/>
      <c r="AEH8" s="48"/>
      <c r="AEI8" s="48"/>
      <c r="AEJ8" s="48"/>
      <c r="AEK8" s="48"/>
      <c r="AEL8" s="48"/>
      <c r="AEM8" s="48"/>
      <c r="AEN8" s="48"/>
      <c r="AEO8" s="48"/>
      <c r="AEP8" s="48"/>
      <c r="AEQ8" s="48"/>
      <c r="AER8" s="48"/>
      <c r="AES8" s="48"/>
      <c r="AET8" s="48"/>
      <c r="AEU8" s="48"/>
      <c r="AEV8" s="48"/>
      <c r="AEW8" s="48"/>
      <c r="AEX8" s="48"/>
      <c r="AEY8" s="48"/>
      <c r="AEZ8" s="48"/>
      <c r="AFA8" s="48"/>
      <c r="AFB8" s="48"/>
      <c r="AFC8" s="48"/>
      <c r="AFD8" s="48"/>
      <c r="AFE8" s="48"/>
      <c r="AFF8" s="48"/>
      <c r="AFG8" s="48"/>
      <c r="AFH8" s="48"/>
      <c r="AFI8" s="48"/>
      <c r="AFJ8" s="48"/>
      <c r="AFK8" s="48"/>
      <c r="AFL8" s="48"/>
      <c r="AFM8" s="48"/>
      <c r="AFN8" s="48"/>
      <c r="AFO8" s="48"/>
      <c r="AFP8" s="48"/>
      <c r="AFQ8" s="48"/>
      <c r="AFR8" s="48"/>
      <c r="AFS8" s="48"/>
      <c r="AFT8" s="48"/>
      <c r="AFU8" s="48"/>
      <c r="AFV8" s="48"/>
      <c r="AFW8" s="48"/>
      <c r="AFX8" s="48"/>
      <c r="AFY8" s="48"/>
      <c r="AFZ8" s="48"/>
      <c r="AGA8" s="48"/>
      <c r="AGB8" s="48"/>
      <c r="AGC8" s="48"/>
      <c r="AGD8" s="48"/>
      <c r="AGE8" s="48"/>
      <c r="AGF8" s="48"/>
      <c r="AGG8" s="48"/>
      <c r="AGH8" s="48"/>
      <c r="AGI8" s="48"/>
      <c r="AGJ8" s="48"/>
      <c r="AGK8" s="48"/>
      <c r="AGL8" s="48"/>
      <c r="AGM8" s="48"/>
      <c r="AGN8" s="48"/>
      <c r="AGO8" s="48"/>
      <c r="AGP8" s="48"/>
      <c r="AGQ8" s="48"/>
      <c r="AGR8" s="48"/>
      <c r="AGS8" s="48"/>
      <c r="AGT8" s="48"/>
      <c r="AGU8" s="48"/>
      <c r="AGV8" s="48"/>
      <c r="AGW8" s="48"/>
      <c r="AGX8" s="48"/>
      <c r="AGY8" s="48"/>
      <c r="AGZ8" s="48"/>
      <c r="AHA8" s="48"/>
      <c r="AHB8" s="48"/>
      <c r="AHC8" s="48"/>
      <c r="AHD8" s="48"/>
      <c r="AHE8" s="48"/>
      <c r="AHF8" s="48"/>
      <c r="AHG8" s="48"/>
      <c r="AHH8" s="48"/>
      <c r="AHI8" s="48"/>
      <c r="AHJ8" s="48"/>
      <c r="AHK8" s="48"/>
      <c r="AHL8" s="48"/>
      <c r="AHM8" s="48"/>
      <c r="AHN8" s="48"/>
      <c r="AHO8" s="48"/>
      <c r="AHP8" s="48"/>
      <c r="AHQ8" s="48"/>
      <c r="AHR8" s="48"/>
      <c r="AHS8" s="48"/>
      <c r="AHT8" s="48"/>
      <c r="AHU8" s="48"/>
      <c r="AHV8" s="48"/>
      <c r="AHW8" s="48"/>
      <c r="AHX8" s="48"/>
      <c r="AHY8" s="48"/>
      <c r="AHZ8" s="48"/>
      <c r="AIA8" s="48"/>
      <c r="AIB8" s="48"/>
      <c r="AIC8" s="48"/>
      <c r="AID8" s="48"/>
      <c r="AIE8" s="48"/>
      <c r="AIF8" s="48"/>
      <c r="AIG8" s="48"/>
      <c r="AIH8" s="48"/>
      <c r="AII8" s="48"/>
      <c r="AIJ8" s="48"/>
      <c r="AIK8" s="48"/>
      <c r="AIL8" s="48"/>
      <c r="AIM8" s="48"/>
      <c r="AIN8" s="48"/>
      <c r="AIO8" s="48"/>
      <c r="AIP8" s="48"/>
      <c r="AIQ8" s="48"/>
      <c r="AIR8" s="48"/>
      <c r="AIS8" s="48"/>
      <c r="AIT8" s="48"/>
      <c r="AIU8" s="48"/>
      <c r="AIV8" s="48"/>
      <c r="AIW8" s="48"/>
      <c r="AIX8" s="48"/>
      <c r="AIY8" s="48"/>
      <c r="AIZ8" s="48"/>
      <c r="AJA8" s="48"/>
      <c r="AJB8" s="48"/>
      <c r="AJC8" s="48"/>
      <c r="AJD8" s="48"/>
      <c r="AJE8" s="48"/>
      <c r="AJF8" s="48"/>
      <c r="AJG8" s="48"/>
      <c r="AJH8" s="48"/>
      <c r="AJI8" s="48"/>
      <c r="AJJ8" s="48"/>
      <c r="AJK8" s="48"/>
      <c r="AJL8" s="48"/>
      <c r="AJM8" s="48"/>
      <c r="AJN8" s="48"/>
      <c r="AJO8" s="48"/>
      <c r="AJP8" s="48"/>
      <c r="AJQ8" s="48"/>
      <c r="AJR8" s="48"/>
      <c r="AJS8" s="48"/>
      <c r="AJT8" s="48"/>
      <c r="AJU8" s="48"/>
      <c r="AJV8" s="48"/>
      <c r="AJW8" s="48"/>
      <c r="AJX8" s="48"/>
      <c r="AJY8" s="48"/>
      <c r="AJZ8" s="48"/>
      <c r="AKA8" s="48"/>
      <c r="AKB8" s="48"/>
      <c r="AKC8" s="48"/>
      <c r="AKD8" s="48"/>
      <c r="AKE8" s="48"/>
      <c r="AKF8" s="48"/>
      <c r="AKG8" s="48"/>
      <c r="AKH8" s="48"/>
      <c r="AKI8" s="48"/>
      <c r="AKJ8" s="48"/>
      <c r="AKK8" s="48"/>
      <c r="AKL8" s="48"/>
      <c r="AKM8" s="48"/>
      <c r="AKN8" s="48"/>
      <c r="AKO8" s="48"/>
      <c r="AKP8" s="48"/>
      <c r="AKQ8" s="48"/>
      <c r="AKR8" s="48"/>
      <c r="AKS8" s="48"/>
      <c r="AKT8" s="48"/>
      <c r="AKU8" s="48"/>
      <c r="AKV8" s="48"/>
      <c r="AKW8" s="48"/>
      <c r="AKX8" s="48"/>
      <c r="AKY8" s="48"/>
      <c r="AKZ8" s="48"/>
      <c r="ALA8" s="48"/>
      <c r="ALB8" s="48"/>
      <c r="ALC8" s="48"/>
      <c r="ALD8" s="48"/>
      <c r="ALE8" s="48"/>
      <c r="ALF8" s="48"/>
      <c r="ALG8" s="48"/>
      <c r="ALH8" s="48"/>
      <c r="ALI8" s="48"/>
      <c r="ALJ8" s="48"/>
      <c r="ALK8" s="48"/>
      <c r="ALL8" s="48"/>
      <c r="ALM8" s="48"/>
      <c r="ALN8" s="48"/>
      <c r="ALO8" s="48"/>
      <c r="ALP8" s="48"/>
      <c r="ALQ8" s="48"/>
      <c r="ALR8" s="48"/>
      <c r="ALS8" s="48"/>
      <c r="ALT8" s="48"/>
      <c r="ALU8" s="48"/>
      <c r="ALV8" s="48"/>
      <c r="ALW8" s="48"/>
      <c r="ALX8" s="48"/>
      <c r="ALY8" s="48"/>
      <c r="ALZ8" s="48"/>
      <c r="AMA8" s="48"/>
      <c r="AMB8" s="48"/>
      <c r="AMC8" s="48"/>
      <c r="AMD8" s="48"/>
      <c r="AME8" s="48"/>
      <c r="AMF8" s="48"/>
      <c r="AMG8" s="48"/>
      <c r="AMH8" s="48"/>
      <c r="AMI8" s="48"/>
      <c r="AMJ8" s="48"/>
      <c r="AMK8" s="48"/>
      <c r="AML8" s="48"/>
    </row>
    <row r="9" ht="15.75" customHeight="1">
      <c r="A9" s="8" t="s">
        <v>112</v>
      </c>
      <c r="B9" s="8" t="s">
        <v>112</v>
      </c>
      <c r="C9" s="8" t="s">
        <v>112</v>
      </c>
      <c r="D9" s="8" t="s">
        <v>112</v>
      </c>
      <c r="E9" s="8"/>
      <c r="F9" s="8" t="s">
        <v>113</v>
      </c>
      <c r="G9" s="8" t="s">
        <v>112</v>
      </c>
      <c r="H9" s="8" t="s">
        <v>112</v>
      </c>
      <c r="I9" s="8"/>
      <c r="J9" s="8" t="s">
        <v>114</v>
      </c>
      <c r="K9" s="8" t="s">
        <v>112</v>
      </c>
      <c r="L9" s="8" t="s">
        <v>112</v>
      </c>
      <c r="M9" s="8" t="s">
        <v>112</v>
      </c>
      <c r="N9" s="8"/>
      <c r="O9" s="8"/>
      <c r="Q9" t="s">
        <v>115</v>
      </c>
      <c r="R9" t="s">
        <v>112</v>
      </c>
      <c r="S9" t="s">
        <v>112</v>
      </c>
      <c r="U9" t="s">
        <v>64</v>
      </c>
      <c r="X9" t="s">
        <v>112</v>
      </c>
      <c r="Y9" t="s">
        <v>112</v>
      </c>
      <c r="Z9" t="s">
        <v>116</v>
      </c>
      <c r="AA9" t="s">
        <v>117</v>
      </c>
      <c r="AB9" t="s">
        <v>50</v>
      </c>
      <c r="AC9" s="50">
        <v>100.0</v>
      </c>
      <c r="AD9" t="s">
        <v>112</v>
      </c>
      <c r="AE9" t="s">
        <v>112</v>
      </c>
      <c r="AF9" t="s">
        <v>118</v>
      </c>
      <c r="AG9" t="s">
        <v>112</v>
      </c>
      <c r="AH9" t="s">
        <v>112</v>
      </c>
      <c r="AI9" t="s">
        <v>119</v>
      </c>
      <c r="AJ9" t="s">
        <v>119</v>
      </c>
      <c r="AK9" t="s">
        <v>120</v>
      </c>
      <c r="AL9" t="s">
        <v>121</v>
      </c>
      <c r="AM9" t="s">
        <v>112</v>
      </c>
      <c r="AS9" t="s">
        <v>55</v>
      </c>
      <c r="AT9" t="s">
        <v>112</v>
      </c>
      <c r="AU9" t="s">
        <v>112</v>
      </c>
      <c r="AV9" t="s">
        <v>112</v>
      </c>
      <c r="AW9" t="s">
        <v>112</v>
      </c>
      <c r="AX9" t="s">
        <v>112</v>
      </c>
      <c r="AY9" t="s">
        <v>112</v>
      </c>
      <c r="AZ9" t="s">
        <v>112</v>
      </c>
      <c r="BA9" t="s">
        <v>112</v>
      </c>
      <c r="BB9" t="s">
        <v>112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112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112</v>
      </c>
      <c r="BQ9" t="s">
        <v>112</v>
      </c>
      <c r="BR9" t="s">
        <v>112</v>
      </c>
      <c r="BS9" t="s">
        <v>112</v>
      </c>
      <c r="BT9" t="s">
        <v>112</v>
      </c>
      <c r="BU9" t="s">
        <v>112</v>
      </c>
      <c r="BV9" t="s">
        <v>112</v>
      </c>
      <c r="BW9" t="s">
        <v>112</v>
      </c>
      <c r="BX9" t="s">
        <v>112</v>
      </c>
      <c r="BY9" t="s">
        <v>112</v>
      </c>
      <c r="BZ9" t="s">
        <v>112</v>
      </c>
      <c r="CA9" t="s">
        <v>112</v>
      </c>
      <c r="CB9" t="s">
        <v>112</v>
      </c>
      <c r="CC9" t="s">
        <v>112</v>
      </c>
      <c r="CD9" t="s">
        <v>112</v>
      </c>
      <c r="CE9" t="s">
        <v>112</v>
      </c>
      <c r="CF9" t="s">
        <v>112</v>
      </c>
      <c r="CG9" t="s">
        <v>112</v>
      </c>
      <c r="CH9" t="s">
        <v>112</v>
      </c>
      <c r="CI9" t="s">
        <v>112</v>
      </c>
      <c r="CJ9" t="s">
        <v>112</v>
      </c>
      <c r="CK9" t="s">
        <v>112</v>
      </c>
      <c r="CL9" t="s">
        <v>112</v>
      </c>
      <c r="CM9" t="s">
        <v>112</v>
      </c>
      <c r="CN9" t="s">
        <v>112</v>
      </c>
      <c r="CO9" t="s">
        <v>112</v>
      </c>
      <c r="CP9" t="s">
        <v>112</v>
      </c>
      <c r="CQ9" t="s">
        <v>112</v>
      </c>
      <c r="CR9" t="s">
        <v>112</v>
      </c>
      <c r="CS9" t="s">
        <v>112</v>
      </c>
      <c r="CT9" t="s">
        <v>112</v>
      </c>
      <c r="CU9" t="s">
        <v>112</v>
      </c>
      <c r="CV9" t="s">
        <v>112</v>
      </c>
      <c r="CW9" t="s">
        <v>112</v>
      </c>
      <c r="CX9" t="s">
        <v>112</v>
      </c>
      <c r="CY9" t="s">
        <v>112</v>
      </c>
      <c r="CZ9" t="s">
        <v>112</v>
      </c>
      <c r="DA9" t="s">
        <v>112</v>
      </c>
      <c r="DB9" t="s">
        <v>112</v>
      </c>
      <c r="DC9" t="s">
        <v>112</v>
      </c>
      <c r="DD9" t="s">
        <v>112</v>
      </c>
      <c r="DE9" t="s">
        <v>112</v>
      </c>
      <c r="DF9" t="s">
        <v>112</v>
      </c>
      <c r="DG9" t="s">
        <v>112</v>
      </c>
      <c r="DH9" t="s">
        <v>112</v>
      </c>
      <c r="DI9" t="s">
        <v>112</v>
      </c>
      <c r="DJ9" t="s">
        <v>112</v>
      </c>
      <c r="DK9" t="s">
        <v>112</v>
      </c>
      <c r="DL9" t="s">
        <v>112</v>
      </c>
      <c r="DM9" t="s">
        <v>112</v>
      </c>
      <c r="DN9" t="s">
        <v>112</v>
      </c>
      <c r="DO9" t="s">
        <v>112</v>
      </c>
      <c r="DP9" t="s">
        <v>112</v>
      </c>
      <c r="DQ9" t="s">
        <v>112</v>
      </c>
      <c r="DR9" t="s">
        <v>112</v>
      </c>
      <c r="DS9" t="s">
        <v>112</v>
      </c>
      <c r="DT9" t="s">
        <v>112</v>
      </c>
      <c r="DU9" t="s">
        <v>112</v>
      </c>
      <c r="DV9" t="s">
        <v>112</v>
      </c>
      <c r="DW9" t="s">
        <v>112</v>
      </c>
      <c r="DX9" t="s">
        <v>112</v>
      </c>
      <c r="DY9" t="s">
        <v>112</v>
      </c>
      <c r="DZ9" t="s">
        <v>112</v>
      </c>
      <c r="EA9" t="s">
        <v>112</v>
      </c>
      <c r="EB9" t="s">
        <v>112</v>
      </c>
      <c r="EC9" t="s">
        <v>112</v>
      </c>
      <c r="ED9" t="s">
        <v>112</v>
      </c>
      <c r="EE9" t="s">
        <v>112</v>
      </c>
      <c r="EF9" t="s">
        <v>112</v>
      </c>
      <c r="EG9" t="s">
        <v>112</v>
      </c>
      <c r="EH9" t="s">
        <v>112</v>
      </c>
      <c r="EI9" t="s">
        <v>112</v>
      </c>
      <c r="EJ9" t="s">
        <v>112</v>
      </c>
      <c r="EK9" t="s">
        <v>112</v>
      </c>
      <c r="EL9" t="s">
        <v>112</v>
      </c>
      <c r="EM9" t="s">
        <v>112</v>
      </c>
      <c r="EN9" t="s">
        <v>112</v>
      </c>
      <c r="EO9" t="s">
        <v>112</v>
      </c>
      <c r="EP9" t="s">
        <v>112</v>
      </c>
      <c r="EQ9" t="s">
        <v>112</v>
      </c>
      <c r="ER9" t="s">
        <v>112</v>
      </c>
      <c r="ES9" t="s">
        <v>112</v>
      </c>
      <c r="ET9" t="s">
        <v>112</v>
      </c>
      <c r="EU9" t="s">
        <v>112</v>
      </c>
      <c r="EV9" t="s">
        <v>112</v>
      </c>
      <c r="EW9" t="s">
        <v>112</v>
      </c>
      <c r="EX9" t="s">
        <v>112</v>
      </c>
      <c r="EY9" t="s">
        <v>112</v>
      </c>
      <c r="EZ9" t="s">
        <v>112</v>
      </c>
      <c r="FA9" t="s">
        <v>112</v>
      </c>
      <c r="FB9" t="s">
        <v>112</v>
      </c>
      <c r="FC9" t="s">
        <v>112</v>
      </c>
      <c r="FD9" t="s">
        <v>112</v>
      </c>
      <c r="FE9" t="s">
        <v>112</v>
      </c>
      <c r="FF9" t="s">
        <v>112</v>
      </c>
      <c r="FG9" t="s">
        <v>112</v>
      </c>
      <c r="FH9" t="s">
        <v>112</v>
      </c>
      <c r="FI9" t="s">
        <v>112</v>
      </c>
      <c r="FJ9" t="s">
        <v>112</v>
      </c>
      <c r="FK9" t="s">
        <v>112</v>
      </c>
      <c r="FL9" t="s">
        <v>112</v>
      </c>
      <c r="FM9" t="s">
        <v>112</v>
      </c>
      <c r="FN9" t="s">
        <v>112</v>
      </c>
      <c r="FO9" t="s">
        <v>112</v>
      </c>
      <c r="FP9" t="s">
        <v>112</v>
      </c>
      <c r="FQ9" t="s">
        <v>112</v>
      </c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  <c r="AML9" s="48"/>
    </row>
    <row r="10" ht="15.75" customHeight="1">
      <c r="A10" s="8" t="s">
        <v>112</v>
      </c>
      <c r="B10" s="8" t="s">
        <v>112</v>
      </c>
      <c r="C10" s="8" t="s">
        <v>112</v>
      </c>
      <c r="D10" s="8" t="s">
        <v>112</v>
      </c>
      <c r="E10" s="8"/>
      <c r="F10" s="8" t="s">
        <v>113</v>
      </c>
      <c r="G10" s="8" t="s">
        <v>112</v>
      </c>
      <c r="H10" s="8" t="s">
        <v>112</v>
      </c>
      <c r="I10" s="8"/>
      <c r="J10" s="8" t="s">
        <v>114</v>
      </c>
      <c r="K10" s="8" t="s">
        <v>112</v>
      </c>
      <c r="L10" s="8" t="s">
        <v>112</v>
      </c>
      <c r="M10" s="8" t="s">
        <v>112</v>
      </c>
      <c r="N10" s="8"/>
      <c r="O10" s="8"/>
      <c r="Q10" t="s">
        <v>123</v>
      </c>
      <c r="R10" t="s">
        <v>112</v>
      </c>
      <c r="S10" t="s">
        <v>112</v>
      </c>
      <c r="U10" t="s">
        <v>64</v>
      </c>
      <c r="X10" t="s">
        <v>112</v>
      </c>
      <c r="Y10" t="s">
        <v>112</v>
      </c>
      <c r="Z10" t="s">
        <v>116</v>
      </c>
      <c r="AA10" t="s">
        <v>117</v>
      </c>
      <c r="AB10" t="s">
        <v>53</v>
      </c>
      <c r="AC10" s="51">
        <v>100.0</v>
      </c>
      <c r="AD10" t="s">
        <v>112</v>
      </c>
      <c r="AE10" t="s">
        <v>112</v>
      </c>
      <c r="AF10" t="s">
        <v>118</v>
      </c>
      <c r="AG10" t="s">
        <v>112</v>
      </c>
      <c r="AH10" t="s">
        <v>112</v>
      </c>
      <c r="AI10" t="s">
        <v>119</v>
      </c>
      <c r="AJ10" t="s">
        <v>119</v>
      </c>
      <c r="AK10" t="s">
        <v>120</v>
      </c>
      <c r="AL10" t="s">
        <v>121</v>
      </c>
      <c r="AM10" t="s">
        <v>112</v>
      </c>
      <c r="AS10" t="s">
        <v>55</v>
      </c>
      <c r="AT10" t="s">
        <v>112</v>
      </c>
      <c r="AU10" t="s">
        <v>112</v>
      </c>
      <c r="AV10" t="s">
        <v>112</v>
      </c>
      <c r="AW10" t="s">
        <v>112</v>
      </c>
      <c r="AX10" t="s">
        <v>112</v>
      </c>
      <c r="AY10" t="s">
        <v>112</v>
      </c>
      <c r="AZ10" t="s">
        <v>112</v>
      </c>
      <c r="BA10" t="s">
        <v>112</v>
      </c>
      <c r="BB10" t="s">
        <v>112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112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112</v>
      </c>
      <c r="BQ10" t="s">
        <v>112</v>
      </c>
      <c r="BR10" t="s">
        <v>112</v>
      </c>
      <c r="BS10" t="s">
        <v>112</v>
      </c>
      <c r="BT10" t="s">
        <v>112</v>
      </c>
      <c r="BU10" t="s">
        <v>112</v>
      </c>
      <c r="BV10" t="s">
        <v>112</v>
      </c>
      <c r="BW10" t="s">
        <v>112</v>
      </c>
      <c r="BX10" t="s">
        <v>112</v>
      </c>
      <c r="BY10" t="s">
        <v>112</v>
      </c>
      <c r="BZ10" t="s">
        <v>112</v>
      </c>
      <c r="CA10" t="s">
        <v>112</v>
      </c>
      <c r="CB10" t="s">
        <v>112</v>
      </c>
      <c r="CC10" t="s">
        <v>112</v>
      </c>
      <c r="CD10" t="s">
        <v>112</v>
      </c>
      <c r="CE10" t="s">
        <v>112</v>
      </c>
      <c r="CF10" t="s">
        <v>112</v>
      </c>
      <c r="CG10" t="s">
        <v>112</v>
      </c>
      <c r="CH10" t="s">
        <v>112</v>
      </c>
      <c r="CI10" t="s">
        <v>112</v>
      </c>
      <c r="CJ10" t="s">
        <v>112</v>
      </c>
      <c r="CK10" t="s">
        <v>112</v>
      </c>
      <c r="CL10" t="s">
        <v>112</v>
      </c>
      <c r="CM10" t="s">
        <v>112</v>
      </c>
      <c r="CN10" t="s">
        <v>112</v>
      </c>
      <c r="CO10" t="s">
        <v>112</v>
      </c>
      <c r="CP10" t="s">
        <v>112</v>
      </c>
      <c r="CQ10" t="s">
        <v>112</v>
      </c>
      <c r="CR10" t="s">
        <v>112</v>
      </c>
      <c r="CS10" t="s">
        <v>112</v>
      </c>
      <c r="CT10" t="s">
        <v>112</v>
      </c>
      <c r="CU10" t="s">
        <v>112</v>
      </c>
      <c r="CV10" t="s">
        <v>112</v>
      </c>
      <c r="CW10" t="s">
        <v>112</v>
      </c>
      <c r="CX10" t="s">
        <v>112</v>
      </c>
      <c r="CY10" t="s">
        <v>112</v>
      </c>
      <c r="CZ10" t="s">
        <v>112</v>
      </c>
      <c r="DA10" t="s">
        <v>112</v>
      </c>
      <c r="DB10" t="s">
        <v>112</v>
      </c>
      <c r="DC10" t="s">
        <v>112</v>
      </c>
      <c r="DD10" t="s">
        <v>112</v>
      </c>
      <c r="DE10" t="s">
        <v>112</v>
      </c>
      <c r="DF10" t="s">
        <v>112</v>
      </c>
      <c r="DG10" t="s">
        <v>112</v>
      </c>
      <c r="DH10" t="s">
        <v>112</v>
      </c>
      <c r="DI10" t="s">
        <v>112</v>
      </c>
      <c r="DJ10" t="s">
        <v>112</v>
      </c>
      <c r="DK10" t="s">
        <v>112</v>
      </c>
      <c r="DL10" t="s">
        <v>112</v>
      </c>
      <c r="DM10" t="s">
        <v>112</v>
      </c>
      <c r="DN10" t="s">
        <v>112</v>
      </c>
      <c r="DO10" t="s">
        <v>112</v>
      </c>
      <c r="DP10" t="s">
        <v>112</v>
      </c>
      <c r="DQ10" t="s">
        <v>112</v>
      </c>
      <c r="DR10" t="s">
        <v>112</v>
      </c>
      <c r="DS10" t="s">
        <v>112</v>
      </c>
      <c r="DT10" t="s">
        <v>112</v>
      </c>
      <c r="DU10" t="s">
        <v>112</v>
      </c>
      <c r="DV10" t="s">
        <v>112</v>
      </c>
      <c r="DW10" t="s">
        <v>112</v>
      </c>
      <c r="DX10" t="s">
        <v>112</v>
      </c>
      <c r="DY10" t="s">
        <v>112</v>
      </c>
      <c r="DZ10" t="s">
        <v>112</v>
      </c>
      <c r="EA10" t="s">
        <v>112</v>
      </c>
      <c r="EB10" t="s">
        <v>112</v>
      </c>
      <c r="EC10" t="s">
        <v>112</v>
      </c>
      <c r="ED10" t="s">
        <v>112</v>
      </c>
      <c r="EE10" t="s">
        <v>112</v>
      </c>
      <c r="EF10" t="s">
        <v>112</v>
      </c>
      <c r="EG10" t="s">
        <v>112</v>
      </c>
      <c r="EH10" t="s">
        <v>112</v>
      </c>
      <c r="EI10" t="s">
        <v>112</v>
      </c>
      <c r="EJ10" t="s">
        <v>112</v>
      </c>
      <c r="EK10" t="s">
        <v>112</v>
      </c>
      <c r="EL10" t="s">
        <v>112</v>
      </c>
      <c r="EM10" t="s">
        <v>112</v>
      </c>
      <c r="EN10" t="s">
        <v>112</v>
      </c>
      <c r="EO10" t="s">
        <v>112</v>
      </c>
      <c r="EP10" t="s">
        <v>112</v>
      </c>
      <c r="EQ10" t="s">
        <v>112</v>
      </c>
      <c r="ER10" t="s">
        <v>112</v>
      </c>
      <c r="ES10" t="s">
        <v>112</v>
      </c>
      <c r="ET10" t="s">
        <v>112</v>
      </c>
      <c r="EU10" t="s">
        <v>112</v>
      </c>
      <c r="EV10" t="s">
        <v>112</v>
      </c>
      <c r="EW10" t="s">
        <v>112</v>
      </c>
      <c r="EX10" t="s">
        <v>112</v>
      </c>
      <c r="EY10" t="s">
        <v>112</v>
      </c>
      <c r="EZ10" t="s">
        <v>112</v>
      </c>
      <c r="FA10" t="s">
        <v>112</v>
      </c>
      <c r="FB10" t="s">
        <v>112</v>
      </c>
      <c r="FC10" t="s">
        <v>112</v>
      </c>
      <c r="FD10" t="s">
        <v>112</v>
      </c>
      <c r="FE10" t="s">
        <v>112</v>
      </c>
      <c r="FF10" t="s">
        <v>112</v>
      </c>
      <c r="FG10" t="s">
        <v>112</v>
      </c>
      <c r="FH10" t="s">
        <v>112</v>
      </c>
      <c r="FI10" t="s">
        <v>112</v>
      </c>
      <c r="FJ10" t="s">
        <v>112</v>
      </c>
      <c r="FK10" t="s">
        <v>112</v>
      </c>
      <c r="FL10" t="s">
        <v>112</v>
      </c>
      <c r="FM10" t="s">
        <v>112</v>
      </c>
      <c r="FN10" t="s">
        <v>112</v>
      </c>
      <c r="FO10" t="s">
        <v>112</v>
      </c>
      <c r="FP10" t="s">
        <v>112</v>
      </c>
      <c r="FQ10" t="s">
        <v>112</v>
      </c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  <c r="NS10" s="48"/>
      <c r="NT10" s="48"/>
      <c r="NU10" s="48"/>
      <c r="NV10" s="48"/>
      <c r="NW10" s="48"/>
      <c r="NX10" s="48"/>
      <c r="NY10" s="48"/>
      <c r="NZ10" s="48"/>
      <c r="OA10" s="48"/>
      <c r="OB10" s="48"/>
      <c r="OC10" s="48"/>
      <c r="OD10" s="48"/>
      <c r="OE10" s="48"/>
      <c r="OF10" s="48"/>
      <c r="OG10" s="48"/>
      <c r="OH10" s="48"/>
      <c r="OI10" s="48"/>
      <c r="OJ10" s="48"/>
      <c r="OK10" s="48"/>
      <c r="OL10" s="48"/>
      <c r="OM10" s="48"/>
      <c r="ON10" s="48"/>
      <c r="OO10" s="48"/>
      <c r="OP10" s="48"/>
      <c r="OQ10" s="48"/>
      <c r="OR10" s="48"/>
      <c r="OS10" s="48"/>
      <c r="OT10" s="48"/>
      <c r="OU10" s="48"/>
      <c r="OV10" s="48"/>
      <c r="OW10" s="48"/>
      <c r="OX10" s="48"/>
      <c r="OY10" s="48"/>
      <c r="OZ10" s="48"/>
      <c r="PA10" s="48"/>
      <c r="PB10" s="48"/>
      <c r="PC10" s="48"/>
      <c r="PD10" s="48"/>
      <c r="PE10" s="48"/>
      <c r="PF10" s="48"/>
      <c r="PG10" s="48"/>
      <c r="PH10" s="48"/>
      <c r="PI10" s="48"/>
      <c r="PJ10" s="48"/>
      <c r="PK10" s="48"/>
      <c r="PL10" s="48"/>
      <c r="PM10" s="48"/>
      <c r="PN10" s="48"/>
      <c r="PO10" s="48"/>
      <c r="PP10" s="48"/>
      <c r="PQ10" s="48"/>
      <c r="PR10" s="48"/>
      <c r="PS10" s="48"/>
      <c r="PT10" s="48"/>
      <c r="PU10" s="48"/>
      <c r="PV10" s="48"/>
      <c r="PW10" s="48"/>
      <c r="PX10" s="48"/>
      <c r="PY10" s="48"/>
      <c r="PZ10" s="48"/>
      <c r="QA10" s="48"/>
      <c r="QB10" s="48"/>
      <c r="QC10" s="48"/>
      <c r="QD10" s="48"/>
      <c r="QE10" s="48"/>
      <c r="QF10" s="48"/>
      <c r="QG10" s="48"/>
      <c r="QH10" s="48"/>
      <c r="QI10" s="48"/>
      <c r="QJ10" s="48"/>
      <c r="QK10" s="48"/>
      <c r="QL10" s="48"/>
      <c r="QM10" s="48"/>
      <c r="QN10" s="48"/>
      <c r="QO10" s="48"/>
      <c r="QP10" s="48"/>
      <c r="QQ10" s="48"/>
      <c r="QR10" s="48"/>
      <c r="QS10" s="48"/>
      <c r="QT10" s="48"/>
      <c r="QU10" s="48"/>
      <c r="QV10" s="48"/>
      <c r="QW10" s="48"/>
      <c r="QX10" s="48"/>
      <c r="QY10" s="48"/>
      <c r="QZ10" s="48"/>
      <c r="RA10" s="48"/>
      <c r="RB10" s="48"/>
      <c r="RC10" s="48"/>
      <c r="RD10" s="48"/>
      <c r="RE10" s="48"/>
      <c r="RF10" s="48"/>
      <c r="RG10" s="48"/>
      <c r="RH10" s="48"/>
      <c r="RI10" s="48"/>
      <c r="RJ10" s="48"/>
      <c r="RK10" s="48"/>
      <c r="RL10" s="48"/>
      <c r="RM10" s="48"/>
      <c r="RN10" s="48"/>
      <c r="RO10" s="48"/>
      <c r="RP10" s="48"/>
      <c r="RQ10" s="48"/>
      <c r="RR10" s="48"/>
      <c r="RS10" s="48"/>
      <c r="RT10" s="48"/>
      <c r="RU10" s="48"/>
      <c r="RV10" s="48"/>
      <c r="RW10" s="48"/>
      <c r="RX10" s="48"/>
      <c r="RY10" s="48"/>
      <c r="RZ10" s="48"/>
      <c r="SA10" s="48"/>
      <c r="SB10" s="48"/>
      <c r="SC10" s="48"/>
      <c r="SD10" s="48"/>
      <c r="SE10" s="48"/>
      <c r="SF10" s="48"/>
      <c r="SG10" s="48"/>
      <c r="SH10" s="48"/>
      <c r="SI10" s="48"/>
      <c r="SJ10" s="48"/>
      <c r="SK10" s="48"/>
      <c r="SL10" s="48"/>
      <c r="SM10" s="48"/>
      <c r="SN10" s="48"/>
      <c r="SO10" s="48"/>
      <c r="SP10" s="48"/>
      <c r="SQ10" s="48"/>
      <c r="SR10" s="48"/>
      <c r="SS10" s="48"/>
      <c r="ST10" s="48"/>
      <c r="SU10" s="48"/>
      <c r="SV10" s="48"/>
      <c r="SW10" s="48"/>
      <c r="SX10" s="48"/>
      <c r="SY10" s="48"/>
      <c r="SZ10" s="48"/>
      <c r="TA10" s="48"/>
      <c r="TB10" s="48"/>
      <c r="TC10" s="48"/>
      <c r="TD10" s="48"/>
      <c r="TE10" s="48"/>
      <c r="TF10" s="48"/>
      <c r="TG10" s="48"/>
      <c r="TH10" s="48"/>
      <c r="TI10" s="48"/>
      <c r="TJ10" s="48"/>
      <c r="TK10" s="48"/>
      <c r="TL10" s="48"/>
      <c r="TM10" s="48"/>
      <c r="TN10" s="48"/>
      <c r="TO10" s="48"/>
      <c r="TP10" s="48"/>
      <c r="TQ10" s="48"/>
      <c r="TR10" s="48"/>
      <c r="TS10" s="48"/>
      <c r="TT10" s="48"/>
      <c r="TU10" s="48"/>
      <c r="TV10" s="48"/>
      <c r="TW10" s="48"/>
      <c r="TX10" s="48"/>
      <c r="TY10" s="48"/>
      <c r="TZ10" s="48"/>
      <c r="UA10" s="48"/>
      <c r="UB10" s="48"/>
      <c r="UC10" s="48"/>
      <c r="UD10" s="48"/>
      <c r="UE10" s="48"/>
      <c r="UF10" s="48"/>
      <c r="UG10" s="48"/>
      <c r="UH10" s="48"/>
      <c r="UI10" s="48"/>
      <c r="UJ10" s="48"/>
      <c r="UK10" s="48"/>
      <c r="UL10" s="48"/>
      <c r="UM10" s="48"/>
      <c r="UN10" s="48"/>
      <c r="UO10" s="48"/>
      <c r="UP10" s="48"/>
      <c r="UQ10" s="48"/>
      <c r="UR10" s="48"/>
      <c r="US10" s="48"/>
      <c r="UT10" s="48"/>
      <c r="UU10" s="48"/>
      <c r="UV10" s="48"/>
      <c r="UW10" s="48"/>
      <c r="UX10" s="48"/>
      <c r="UY10" s="48"/>
      <c r="UZ10" s="48"/>
      <c r="VA10" s="48"/>
      <c r="VB10" s="48"/>
      <c r="VC10" s="48"/>
      <c r="VD10" s="48"/>
      <c r="VE10" s="48"/>
      <c r="VF10" s="48"/>
      <c r="VG10" s="48"/>
      <c r="VH10" s="48"/>
      <c r="VI10" s="48"/>
      <c r="VJ10" s="48"/>
      <c r="VK10" s="48"/>
      <c r="VL10" s="48"/>
      <c r="VM10" s="48"/>
      <c r="VN10" s="48"/>
      <c r="VO10" s="48"/>
      <c r="VP10" s="48"/>
      <c r="VQ10" s="48"/>
      <c r="VR10" s="48"/>
      <c r="VS10" s="48"/>
      <c r="VT10" s="48"/>
      <c r="VU10" s="48"/>
      <c r="VV10" s="48"/>
      <c r="VW10" s="48"/>
      <c r="VX10" s="48"/>
      <c r="VY10" s="48"/>
      <c r="VZ10" s="48"/>
      <c r="WA10" s="48"/>
      <c r="WB10" s="48"/>
      <c r="WC10" s="48"/>
      <c r="WD10" s="48"/>
      <c r="WE10" s="48"/>
      <c r="WF10" s="48"/>
      <c r="WG10" s="48"/>
      <c r="WH10" s="48"/>
      <c r="WI10" s="48"/>
      <c r="WJ10" s="48"/>
      <c r="WK10" s="48"/>
      <c r="WL10" s="48"/>
      <c r="WM10" s="48"/>
      <c r="WN10" s="48"/>
      <c r="WO10" s="48"/>
      <c r="WP10" s="48"/>
      <c r="WQ10" s="48"/>
      <c r="WR10" s="48"/>
      <c r="WS10" s="48"/>
      <c r="WT10" s="48"/>
      <c r="WU10" s="48"/>
      <c r="WV10" s="48"/>
      <c r="WW10" s="48"/>
      <c r="WX10" s="48"/>
      <c r="WY10" s="48"/>
      <c r="WZ10" s="48"/>
      <c r="XA10" s="48"/>
      <c r="XB10" s="48"/>
      <c r="XC10" s="48"/>
      <c r="XD10" s="48"/>
      <c r="XE10" s="48"/>
      <c r="XF10" s="48"/>
      <c r="XG10" s="48"/>
      <c r="XH10" s="48"/>
      <c r="XI10" s="48"/>
      <c r="XJ10" s="48"/>
      <c r="XK10" s="48"/>
      <c r="XL10" s="48"/>
      <c r="XM10" s="48"/>
      <c r="XN10" s="48"/>
      <c r="XO10" s="48"/>
      <c r="XP10" s="48"/>
      <c r="XQ10" s="48"/>
      <c r="XR10" s="48"/>
      <c r="XS10" s="48"/>
      <c r="XT10" s="48"/>
      <c r="XU10" s="48"/>
      <c r="XV10" s="48"/>
      <c r="XW10" s="48"/>
      <c r="XX10" s="48"/>
      <c r="XY10" s="48"/>
      <c r="XZ10" s="48"/>
      <c r="YA10" s="48"/>
      <c r="YB10" s="48"/>
      <c r="YC10" s="48"/>
      <c r="YD10" s="48"/>
      <c r="YE10" s="48"/>
      <c r="YF10" s="48"/>
      <c r="YG10" s="48"/>
      <c r="YH10" s="48"/>
      <c r="YI10" s="48"/>
      <c r="YJ10" s="48"/>
      <c r="YK10" s="48"/>
      <c r="YL10" s="48"/>
      <c r="YM10" s="48"/>
      <c r="YN10" s="48"/>
      <c r="YO10" s="48"/>
      <c r="YP10" s="48"/>
      <c r="YQ10" s="48"/>
      <c r="YR10" s="48"/>
      <c r="YS10" s="48"/>
      <c r="YT10" s="48"/>
      <c r="YU10" s="48"/>
      <c r="YV10" s="48"/>
      <c r="YW10" s="48"/>
      <c r="YX10" s="48"/>
      <c r="YY10" s="48"/>
      <c r="YZ10" s="48"/>
      <c r="ZA10" s="48"/>
      <c r="ZB10" s="48"/>
      <c r="ZC10" s="48"/>
      <c r="ZD10" s="48"/>
      <c r="ZE10" s="48"/>
      <c r="ZF10" s="48"/>
      <c r="ZG10" s="48"/>
      <c r="ZH10" s="48"/>
      <c r="ZI10" s="48"/>
      <c r="ZJ10" s="48"/>
      <c r="ZK10" s="48"/>
      <c r="ZL10" s="48"/>
      <c r="ZM10" s="48"/>
      <c r="ZN10" s="48"/>
      <c r="ZO10" s="48"/>
      <c r="ZP10" s="48"/>
      <c r="ZQ10" s="48"/>
      <c r="ZR10" s="48"/>
      <c r="ZS10" s="48"/>
      <c r="ZT10" s="48"/>
      <c r="ZU10" s="48"/>
      <c r="ZV10" s="48"/>
      <c r="ZW10" s="48"/>
      <c r="ZX10" s="48"/>
      <c r="ZY10" s="48"/>
      <c r="ZZ10" s="48"/>
      <c r="AAA10" s="48"/>
      <c r="AAB10" s="48"/>
      <c r="AAC10" s="48"/>
      <c r="AAD10" s="48"/>
      <c r="AAE10" s="48"/>
      <c r="AAF10" s="48"/>
      <c r="AAG10" s="48"/>
      <c r="AAH10" s="48"/>
      <c r="AAI10" s="48"/>
      <c r="AAJ10" s="48"/>
      <c r="AAK10" s="48"/>
      <c r="AAL10" s="48"/>
      <c r="AAM10" s="48"/>
      <c r="AAN10" s="48"/>
      <c r="AAO10" s="48"/>
      <c r="AAP10" s="48"/>
      <c r="AAQ10" s="48"/>
      <c r="AAR10" s="48"/>
      <c r="AAS10" s="48"/>
      <c r="AAT10" s="48"/>
      <c r="AAU10" s="48"/>
      <c r="AAV10" s="48"/>
      <c r="AAW10" s="48"/>
      <c r="AAX10" s="48"/>
      <c r="AAY10" s="48"/>
      <c r="AAZ10" s="48"/>
      <c r="ABA10" s="48"/>
      <c r="ABB10" s="48"/>
      <c r="ABC10" s="48"/>
      <c r="ABD10" s="48"/>
      <c r="ABE10" s="48"/>
      <c r="ABF10" s="48"/>
      <c r="ABG10" s="48"/>
      <c r="ABH10" s="48"/>
      <c r="ABI10" s="48"/>
      <c r="ABJ10" s="48"/>
      <c r="ABK10" s="48"/>
      <c r="ABL10" s="48"/>
      <c r="ABM10" s="48"/>
      <c r="ABN10" s="48"/>
      <c r="ABO10" s="48"/>
      <c r="ABP10" s="48"/>
      <c r="ABQ10" s="48"/>
      <c r="ABR10" s="48"/>
      <c r="ABS10" s="48"/>
      <c r="ABT10" s="48"/>
      <c r="ABU10" s="48"/>
      <c r="ABV10" s="48"/>
      <c r="ABW10" s="48"/>
      <c r="ABX10" s="48"/>
      <c r="ABY10" s="48"/>
      <c r="ABZ10" s="48"/>
      <c r="ACA10" s="48"/>
      <c r="ACB10" s="48"/>
      <c r="ACC10" s="48"/>
      <c r="ACD10" s="48"/>
      <c r="ACE10" s="48"/>
      <c r="ACF10" s="48"/>
      <c r="ACG10" s="48"/>
      <c r="ACH10" s="48"/>
      <c r="ACI10" s="48"/>
      <c r="ACJ10" s="48"/>
      <c r="ACK10" s="48"/>
      <c r="ACL10" s="48"/>
      <c r="ACM10" s="48"/>
      <c r="ACN10" s="48"/>
      <c r="ACO10" s="48"/>
      <c r="ACP10" s="48"/>
      <c r="ACQ10" s="48"/>
      <c r="ACR10" s="48"/>
      <c r="ACS10" s="48"/>
      <c r="ACT10" s="48"/>
      <c r="ACU10" s="48"/>
      <c r="ACV10" s="48"/>
      <c r="ACW10" s="48"/>
      <c r="ACX10" s="48"/>
      <c r="ACY10" s="48"/>
      <c r="ACZ10" s="48"/>
      <c r="ADA10" s="48"/>
      <c r="ADB10" s="48"/>
      <c r="ADC10" s="48"/>
      <c r="ADD10" s="48"/>
      <c r="ADE10" s="48"/>
      <c r="ADF10" s="48"/>
      <c r="ADG10" s="48"/>
      <c r="ADH10" s="48"/>
      <c r="ADI10" s="48"/>
      <c r="ADJ10" s="48"/>
      <c r="ADK10" s="48"/>
      <c r="ADL10" s="48"/>
      <c r="ADM10" s="48"/>
      <c r="ADN10" s="48"/>
      <c r="ADO10" s="48"/>
      <c r="ADP10" s="48"/>
      <c r="ADQ10" s="48"/>
      <c r="ADR10" s="48"/>
      <c r="ADS10" s="48"/>
      <c r="ADT10" s="48"/>
      <c r="ADU10" s="48"/>
      <c r="ADV10" s="48"/>
      <c r="ADW10" s="48"/>
      <c r="ADX10" s="48"/>
      <c r="ADY10" s="48"/>
      <c r="ADZ10" s="48"/>
      <c r="AEA10" s="48"/>
      <c r="AEB10" s="48"/>
      <c r="AEC10" s="48"/>
      <c r="AED10" s="48"/>
      <c r="AEE10" s="48"/>
      <c r="AEF10" s="48"/>
      <c r="AEG10" s="48"/>
      <c r="AEH10" s="48"/>
      <c r="AEI10" s="48"/>
      <c r="AEJ10" s="48"/>
      <c r="AEK10" s="48"/>
      <c r="AEL10" s="48"/>
      <c r="AEM10" s="48"/>
      <c r="AEN10" s="48"/>
      <c r="AEO10" s="48"/>
      <c r="AEP10" s="48"/>
      <c r="AEQ10" s="48"/>
      <c r="AER10" s="48"/>
      <c r="AES10" s="48"/>
      <c r="AET10" s="48"/>
      <c r="AEU10" s="48"/>
      <c r="AEV10" s="48"/>
      <c r="AEW10" s="48"/>
      <c r="AEX10" s="48"/>
      <c r="AEY10" s="48"/>
      <c r="AEZ10" s="48"/>
      <c r="AFA10" s="48"/>
      <c r="AFB10" s="48"/>
      <c r="AFC10" s="48"/>
      <c r="AFD10" s="48"/>
      <c r="AFE10" s="48"/>
      <c r="AFF10" s="48"/>
      <c r="AFG10" s="48"/>
      <c r="AFH10" s="48"/>
      <c r="AFI10" s="48"/>
      <c r="AFJ10" s="48"/>
      <c r="AFK10" s="48"/>
      <c r="AFL10" s="48"/>
      <c r="AFM10" s="48"/>
      <c r="AFN10" s="48"/>
      <c r="AFO10" s="48"/>
      <c r="AFP10" s="48"/>
      <c r="AFQ10" s="48"/>
      <c r="AFR10" s="48"/>
      <c r="AFS10" s="48"/>
      <c r="AFT10" s="48"/>
      <c r="AFU10" s="48"/>
      <c r="AFV10" s="48"/>
      <c r="AFW10" s="48"/>
      <c r="AFX10" s="48"/>
      <c r="AFY10" s="48"/>
      <c r="AFZ10" s="48"/>
      <c r="AGA10" s="48"/>
      <c r="AGB10" s="48"/>
      <c r="AGC10" s="48"/>
      <c r="AGD10" s="48"/>
      <c r="AGE10" s="48"/>
      <c r="AGF10" s="48"/>
      <c r="AGG10" s="48"/>
      <c r="AGH10" s="48"/>
      <c r="AGI10" s="48"/>
      <c r="AGJ10" s="48"/>
      <c r="AGK10" s="48"/>
      <c r="AGL10" s="48"/>
      <c r="AGM10" s="48"/>
      <c r="AGN10" s="48"/>
      <c r="AGO10" s="48"/>
      <c r="AGP10" s="48"/>
      <c r="AGQ10" s="48"/>
      <c r="AGR10" s="48"/>
      <c r="AGS10" s="48"/>
      <c r="AGT10" s="48"/>
      <c r="AGU10" s="48"/>
      <c r="AGV10" s="48"/>
      <c r="AGW10" s="48"/>
      <c r="AGX10" s="48"/>
      <c r="AGY10" s="48"/>
      <c r="AGZ10" s="48"/>
      <c r="AHA10" s="48"/>
      <c r="AHB10" s="48"/>
      <c r="AHC10" s="48"/>
      <c r="AHD10" s="48"/>
      <c r="AHE10" s="48"/>
      <c r="AHF10" s="48"/>
      <c r="AHG10" s="48"/>
      <c r="AHH10" s="48"/>
      <c r="AHI10" s="48"/>
      <c r="AHJ10" s="48"/>
      <c r="AHK10" s="48"/>
      <c r="AHL10" s="48"/>
      <c r="AHM10" s="48"/>
      <c r="AHN10" s="48"/>
      <c r="AHO10" s="48"/>
      <c r="AHP10" s="48"/>
      <c r="AHQ10" s="48"/>
      <c r="AHR10" s="48"/>
      <c r="AHS10" s="48"/>
      <c r="AHT10" s="48"/>
      <c r="AHU10" s="48"/>
      <c r="AHV10" s="48"/>
      <c r="AHW10" s="48"/>
      <c r="AHX10" s="48"/>
      <c r="AHY10" s="48"/>
      <c r="AHZ10" s="48"/>
      <c r="AIA10" s="48"/>
      <c r="AIB10" s="48"/>
      <c r="AIC10" s="48"/>
      <c r="AID10" s="48"/>
      <c r="AIE10" s="48"/>
      <c r="AIF10" s="48"/>
      <c r="AIG10" s="48"/>
      <c r="AIH10" s="48"/>
      <c r="AII10" s="48"/>
      <c r="AIJ10" s="48"/>
      <c r="AIK10" s="48"/>
      <c r="AIL10" s="48"/>
      <c r="AIM10" s="48"/>
      <c r="AIN10" s="48"/>
      <c r="AIO10" s="48"/>
      <c r="AIP10" s="48"/>
      <c r="AIQ10" s="48"/>
      <c r="AIR10" s="48"/>
      <c r="AIS10" s="48"/>
      <c r="AIT10" s="48"/>
      <c r="AIU10" s="48"/>
      <c r="AIV10" s="48"/>
      <c r="AIW10" s="48"/>
      <c r="AIX10" s="48"/>
      <c r="AIY10" s="48"/>
      <c r="AIZ10" s="48"/>
      <c r="AJA10" s="48"/>
      <c r="AJB10" s="48"/>
      <c r="AJC10" s="48"/>
      <c r="AJD10" s="48"/>
      <c r="AJE10" s="48"/>
      <c r="AJF10" s="48"/>
      <c r="AJG10" s="48"/>
      <c r="AJH10" s="48"/>
      <c r="AJI10" s="48"/>
      <c r="AJJ10" s="48"/>
      <c r="AJK10" s="48"/>
      <c r="AJL10" s="48"/>
      <c r="AJM10" s="48"/>
      <c r="AJN10" s="48"/>
      <c r="AJO10" s="48"/>
      <c r="AJP10" s="48"/>
      <c r="AJQ10" s="48"/>
      <c r="AJR10" s="48"/>
      <c r="AJS10" s="48"/>
      <c r="AJT10" s="48"/>
      <c r="AJU10" s="48"/>
      <c r="AJV10" s="48"/>
      <c r="AJW10" s="48"/>
      <c r="AJX10" s="48"/>
      <c r="AJY10" s="48"/>
      <c r="AJZ10" s="48"/>
      <c r="AKA10" s="48"/>
      <c r="AKB10" s="48"/>
      <c r="AKC10" s="48"/>
      <c r="AKD10" s="48"/>
      <c r="AKE10" s="48"/>
      <c r="AKF10" s="48"/>
      <c r="AKG10" s="48"/>
      <c r="AKH10" s="48"/>
      <c r="AKI10" s="48"/>
      <c r="AKJ10" s="48"/>
      <c r="AKK10" s="48"/>
      <c r="AKL10" s="48"/>
      <c r="AKM10" s="48"/>
      <c r="AKN10" s="48"/>
      <c r="AKO10" s="48"/>
      <c r="AKP10" s="48"/>
      <c r="AKQ10" s="48"/>
      <c r="AKR10" s="48"/>
      <c r="AKS10" s="48"/>
      <c r="AKT10" s="48"/>
      <c r="AKU10" s="48"/>
      <c r="AKV10" s="48"/>
      <c r="AKW10" s="48"/>
      <c r="AKX10" s="48"/>
      <c r="AKY10" s="48"/>
      <c r="AKZ10" s="48"/>
      <c r="ALA10" s="48"/>
      <c r="ALB10" s="48"/>
      <c r="ALC10" s="48"/>
      <c r="ALD10" s="48"/>
      <c r="ALE10" s="48"/>
      <c r="ALF10" s="48"/>
      <c r="ALG10" s="48"/>
      <c r="ALH10" s="48"/>
      <c r="ALI10" s="48"/>
      <c r="ALJ10" s="48"/>
      <c r="ALK10" s="48"/>
      <c r="ALL10" s="48"/>
      <c r="ALM10" s="48"/>
      <c r="ALN10" s="48"/>
      <c r="ALO10" s="48"/>
      <c r="ALP10" s="48"/>
      <c r="ALQ10" s="48"/>
      <c r="ALR10" s="48"/>
      <c r="ALS10" s="48"/>
      <c r="ALT10" s="48"/>
      <c r="ALU10" s="48"/>
      <c r="ALV10" s="48"/>
      <c r="ALW10" s="48"/>
      <c r="ALX10" s="48"/>
      <c r="ALY10" s="48"/>
      <c r="ALZ10" s="48"/>
      <c r="AMA10" s="48"/>
      <c r="AMB10" s="48"/>
      <c r="AMC10" s="48"/>
      <c r="AMD10" s="48"/>
      <c r="AME10" s="48"/>
      <c r="AMF10" s="48"/>
      <c r="AMG10" s="48"/>
      <c r="AMH10" s="48"/>
      <c r="AMI10" s="48"/>
      <c r="AMJ10" s="48"/>
      <c r="AMK10" s="48"/>
      <c r="AML10" s="48"/>
    </row>
    <row r="11" ht="15.75" customHeight="1">
      <c r="A11" s="8" t="s">
        <v>112</v>
      </c>
      <c r="B11" s="8" t="s">
        <v>112</v>
      </c>
      <c r="C11" s="8" t="s">
        <v>112</v>
      </c>
      <c r="D11" s="8" t="s">
        <v>112</v>
      </c>
      <c r="E11" s="8"/>
      <c r="F11" s="8" t="s">
        <v>113</v>
      </c>
      <c r="G11" s="8" t="s">
        <v>112</v>
      </c>
      <c r="H11" s="8" t="s">
        <v>112</v>
      </c>
      <c r="I11" s="8"/>
      <c r="J11" s="8" t="s">
        <v>114</v>
      </c>
      <c r="K11" s="8" t="s">
        <v>112</v>
      </c>
      <c r="L11" s="8" t="s">
        <v>112</v>
      </c>
      <c r="M11" s="8" t="s">
        <v>112</v>
      </c>
      <c r="N11" s="8"/>
      <c r="O11" s="8"/>
      <c r="R11" t="s">
        <v>112</v>
      </c>
      <c r="S11" t="s">
        <v>112</v>
      </c>
      <c r="U11" t="s">
        <v>64</v>
      </c>
      <c r="X11" t="s">
        <v>112</v>
      </c>
      <c r="Y11" t="s">
        <v>112</v>
      </c>
      <c r="Z11" t="s">
        <v>125</v>
      </c>
      <c r="AA11" t="s">
        <v>117</v>
      </c>
      <c r="AB11" t="s">
        <v>54</v>
      </c>
      <c r="AC11" s="52">
        <v>100.0</v>
      </c>
      <c r="AD11" t="s">
        <v>112</v>
      </c>
      <c r="AE11" t="s">
        <v>112</v>
      </c>
      <c r="AF11" t="s">
        <v>126</v>
      </c>
      <c r="AG11" t="s">
        <v>112</v>
      </c>
      <c r="AH11" t="s">
        <v>112</v>
      </c>
      <c r="AI11" t="s">
        <v>119</v>
      </c>
      <c r="AJ11" t="s">
        <v>119</v>
      </c>
      <c r="AK11" t="s">
        <v>120</v>
      </c>
      <c r="AL11" t="s">
        <v>121</v>
      </c>
      <c r="AM11" t="s">
        <v>112</v>
      </c>
      <c r="AS11" t="s">
        <v>55</v>
      </c>
      <c r="AT11" t="s">
        <v>112</v>
      </c>
      <c r="AU11" t="s">
        <v>112</v>
      </c>
      <c r="AV11" t="s">
        <v>112</v>
      </c>
      <c r="AW11" t="s">
        <v>112</v>
      </c>
      <c r="AX11" t="s">
        <v>112</v>
      </c>
      <c r="AY11" t="s">
        <v>112</v>
      </c>
      <c r="AZ11" t="s">
        <v>112</v>
      </c>
      <c r="BA11" t="s">
        <v>112</v>
      </c>
      <c r="BB11" t="s">
        <v>112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112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112</v>
      </c>
      <c r="BQ11" t="s">
        <v>112</v>
      </c>
      <c r="BR11" t="s">
        <v>112</v>
      </c>
      <c r="BS11" t="s">
        <v>112</v>
      </c>
      <c r="BT11" t="s">
        <v>112</v>
      </c>
      <c r="BU11" t="s">
        <v>112</v>
      </c>
      <c r="BV11" t="s">
        <v>112</v>
      </c>
      <c r="BW11" t="s">
        <v>112</v>
      </c>
      <c r="BX11" t="s">
        <v>112</v>
      </c>
      <c r="BY11" t="s">
        <v>112</v>
      </c>
      <c r="BZ11" t="s">
        <v>112</v>
      </c>
      <c r="CA11" t="s">
        <v>112</v>
      </c>
      <c r="CB11" t="s">
        <v>112</v>
      </c>
      <c r="CC11" t="s">
        <v>112</v>
      </c>
      <c r="CD11" t="s">
        <v>112</v>
      </c>
      <c r="CE11" t="s">
        <v>112</v>
      </c>
      <c r="CF11" t="s">
        <v>112</v>
      </c>
      <c r="CG11" t="s">
        <v>112</v>
      </c>
      <c r="CH11" t="s">
        <v>112</v>
      </c>
      <c r="CI11" t="s">
        <v>112</v>
      </c>
      <c r="CJ11" t="s">
        <v>112</v>
      </c>
      <c r="CK11" t="s">
        <v>112</v>
      </c>
      <c r="CL11" t="s">
        <v>112</v>
      </c>
      <c r="CM11" t="s">
        <v>112</v>
      </c>
      <c r="CN11" t="s">
        <v>112</v>
      </c>
      <c r="CO11" t="s">
        <v>112</v>
      </c>
      <c r="CP11" t="s">
        <v>112</v>
      </c>
      <c r="CQ11" t="s">
        <v>112</v>
      </c>
      <c r="CR11" t="s">
        <v>112</v>
      </c>
      <c r="CS11" t="s">
        <v>112</v>
      </c>
      <c r="CT11" t="s">
        <v>112</v>
      </c>
      <c r="CU11" t="s">
        <v>112</v>
      </c>
      <c r="CV11" t="s">
        <v>112</v>
      </c>
      <c r="CW11" t="s">
        <v>112</v>
      </c>
      <c r="CX11" t="s">
        <v>112</v>
      </c>
      <c r="CY11" t="s">
        <v>112</v>
      </c>
      <c r="CZ11" t="s">
        <v>112</v>
      </c>
      <c r="DA11" t="s">
        <v>112</v>
      </c>
      <c r="DB11" t="s">
        <v>112</v>
      </c>
      <c r="DC11" t="s">
        <v>112</v>
      </c>
      <c r="DD11" t="s">
        <v>112</v>
      </c>
      <c r="DE11" t="s">
        <v>112</v>
      </c>
      <c r="DF11" t="s">
        <v>112</v>
      </c>
      <c r="DG11" t="s">
        <v>112</v>
      </c>
      <c r="DH11" t="s">
        <v>112</v>
      </c>
      <c r="DI11" t="s">
        <v>112</v>
      </c>
      <c r="DJ11" t="s">
        <v>112</v>
      </c>
      <c r="DK11" t="s">
        <v>112</v>
      </c>
      <c r="DL11" t="s">
        <v>112</v>
      </c>
      <c r="DM11" t="s">
        <v>112</v>
      </c>
      <c r="DN11" t="s">
        <v>112</v>
      </c>
      <c r="DO11" t="s">
        <v>112</v>
      </c>
      <c r="DP11" t="s">
        <v>112</v>
      </c>
      <c r="DQ11" t="s">
        <v>112</v>
      </c>
      <c r="DR11" t="s">
        <v>112</v>
      </c>
      <c r="DS11" t="s">
        <v>112</v>
      </c>
      <c r="DT11" t="s">
        <v>112</v>
      </c>
      <c r="DU11" t="s">
        <v>112</v>
      </c>
      <c r="DV11" t="s">
        <v>112</v>
      </c>
      <c r="DW11" t="s">
        <v>112</v>
      </c>
      <c r="DX11" t="s">
        <v>112</v>
      </c>
      <c r="DY11" t="s">
        <v>112</v>
      </c>
      <c r="DZ11" t="s">
        <v>112</v>
      </c>
      <c r="EA11" t="s">
        <v>112</v>
      </c>
      <c r="EB11" t="s">
        <v>112</v>
      </c>
      <c r="EC11" t="s">
        <v>112</v>
      </c>
      <c r="ED11" t="s">
        <v>112</v>
      </c>
      <c r="EE11" t="s">
        <v>112</v>
      </c>
      <c r="EF11" t="s">
        <v>112</v>
      </c>
      <c r="EG11" t="s">
        <v>112</v>
      </c>
      <c r="EH11" t="s">
        <v>112</v>
      </c>
      <c r="EI11" t="s">
        <v>112</v>
      </c>
      <c r="EJ11" t="s">
        <v>112</v>
      </c>
      <c r="EK11" t="s">
        <v>112</v>
      </c>
      <c r="EL11" t="s">
        <v>112</v>
      </c>
      <c r="EM11" t="s">
        <v>112</v>
      </c>
      <c r="EN11" t="s">
        <v>112</v>
      </c>
      <c r="EO11" t="s">
        <v>112</v>
      </c>
      <c r="EP11" t="s">
        <v>112</v>
      </c>
      <c r="EQ11" t="s">
        <v>112</v>
      </c>
      <c r="ER11" t="s">
        <v>112</v>
      </c>
      <c r="ES11" t="s">
        <v>112</v>
      </c>
      <c r="ET11" t="s">
        <v>112</v>
      </c>
      <c r="EU11" t="s">
        <v>112</v>
      </c>
      <c r="EV11" t="s">
        <v>112</v>
      </c>
      <c r="EW11" t="s">
        <v>112</v>
      </c>
      <c r="EX11" t="s">
        <v>112</v>
      </c>
      <c r="EY11" t="s">
        <v>112</v>
      </c>
      <c r="EZ11" t="s">
        <v>112</v>
      </c>
      <c r="FA11" t="s">
        <v>112</v>
      </c>
      <c r="FB11" t="s">
        <v>112</v>
      </c>
      <c r="FC11" t="s">
        <v>112</v>
      </c>
      <c r="FD11" t="s">
        <v>112</v>
      </c>
      <c r="FE11" t="s">
        <v>112</v>
      </c>
      <c r="FF11" t="s">
        <v>112</v>
      </c>
      <c r="FG11" t="s">
        <v>112</v>
      </c>
      <c r="FH11" t="s">
        <v>112</v>
      </c>
      <c r="FI11" t="s">
        <v>112</v>
      </c>
      <c r="FJ11" t="s">
        <v>112</v>
      </c>
      <c r="FK11" t="s">
        <v>112</v>
      </c>
      <c r="FL11" t="s">
        <v>112</v>
      </c>
      <c r="FM11" t="s">
        <v>112</v>
      </c>
      <c r="FN11" t="s">
        <v>112</v>
      </c>
      <c r="FO11" t="s">
        <v>112</v>
      </c>
      <c r="FP11" t="s">
        <v>112</v>
      </c>
      <c r="FQ11" t="s">
        <v>112</v>
      </c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48"/>
      <c r="KQ11" s="48"/>
      <c r="KR11" s="48"/>
      <c r="KS11" s="48"/>
      <c r="KT11" s="48"/>
      <c r="KU11" s="48"/>
      <c r="KV11" s="48"/>
      <c r="KW11" s="48"/>
      <c r="KX11" s="48"/>
      <c r="KY11" s="48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48"/>
      <c r="LR11" s="48"/>
      <c r="LS11" s="48"/>
      <c r="LT11" s="48"/>
      <c r="LU11" s="48"/>
      <c r="LV11" s="48"/>
      <c r="LW11" s="48"/>
      <c r="LX11" s="48"/>
      <c r="LY11" s="48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  <c r="MP11" s="48"/>
      <c r="MQ11" s="48"/>
      <c r="MR11" s="48"/>
      <c r="MS11" s="48"/>
      <c r="MT11" s="48"/>
      <c r="MU11" s="48"/>
      <c r="MV11" s="48"/>
      <c r="MW11" s="48"/>
      <c r="MX11" s="48"/>
      <c r="MY11" s="48"/>
      <c r="MZ11" s="48"/>
      <c r="NA11" s="48"/>
      <c r="NB11" s="48"/>
      <c r="NC11" s="48"/>
      <c r="ND11" s="48"/>
      <c r="NE11" s="48"/>
      <c r="NF11" s="48"/>
      <c r="NG11" s="48"/>
      <c r="NH11" s="48"/>
      <c r="NI11" s="48"/>
      <c r="NJ11" s="48"/>
      <c r="NK11" s="48"/>
      <c r="NL11" s="48"/>
      <c r="NM11" s="48"/>
      <c r="NN11" s="48"/>
      <c r="NO11" s="48"/>
      <c r="NP11" s="48"/>
      <c r="NQ11" s="48"/>
      <c r="NR11" s="48"/>
      <c r="NS11" s="48"/>
      <c r="NT11" s="48"/>
      <c r="NU11" s="48"/>
      <c r="NV11" s="48"/>
      <c r="NW11" s="48"/>
      <c r="NX11" s="48"/>
      <c r="NY11" s="48"/>
      <c r="NZ11" s="48"/>
      <c r="OA11" s="48"/>
      <c r="OB11" s="48"/>
      <c r="OC11" s="48"/>
      <c r="OD11" s="48"/>
      <c r="OE11" s="48"/>
      <c r="OF11" s="48"/>
      <c r="OG11" s="48"/>
      <c r="OH11" s="48"/>
      <c r="OI11" s="48"/>
      <c r="OJ11" s="48"/>
      <c r="OK11" s="48"/>
      <c r="OL11" s="48"/>
      <c r="OM11" s="48"/>
      <c r="ON11" s="48"/>
      <c r="OO11" s="48"/>
      <c r="OP11" s="48"/>
      <c r="OQ11" s="48"/>
      <c r="OR11" s="48"/>
      <c r="OS11" s="48"/>
      <c r="OT11" s="48"/>
      <c r="OU11" s="48"/>
      <c r="OV11" s="48"/>
      <c r="OW11" s="48"/>
      <c r="OX11" s="48"/>
      <c r="OY11" s="48"/>
      <c r="OZ11" s="48"/>
      <c r="PA11" s="48"/>
      <c r="PB11" s="48"/>
      <c r="PC11" s="48"/>
      <c r="PD11" s="48"/>
      <c r="PE11" s="48"/>
      <c r="PF11" s="48"/>
      <c r="PG11" s="48"/>
      <c r="PH11" s="48"/>
      <c r="PI11" s="48"/>
      <c r="PJ11" s="48"/>
      <c r="PK11" s="48"/>
      <c r="PL11" s="48"/>
      <c r="PM11" s="48"/>
      <c r="PN11" s="48"/>
      <c r="PO11" s="48"/>
      <c r="PP11" s="48"/>
      <c r="PQ11" s="48"/>
      <c r="PR11" s="48"/>
      <c r="PS11" s="48"/>
      <c r="PT11" s="48"/>
      <c r="PU11" s="48"/>
      <c r="PV11" s="48"/>
      <c r="PW11" s="48"/>
      <c r="PX11" s="48"/>
      <c r="PY11" s="48"/>
      <c r="PZ11" s="48"/>
      <c r="QA11" s="48"/>
      <c r="QB11" s="48"/>
      <c r="QC11" s="48"/>
      <c r="QD11" s="48"/>
      <c r="QE11" s="48"/>
      <c r="QF11" s="48"/>
      <c r="QG11" s="48"/>
      <c r="QH11" s="48"/>
      <c r="QI11" s="48"/>
      <c r="QJ11" s="48"/>
      <c r="QK11" s="48"/>
      <c r="QL11" s="48"/>
      <c r="QM11" s="48"/>
      <c r="QN11" s="48"/>
      <c r="QO11" s="48"/>
      <c r="QP11" s="48"/>
      <c r="QQ11" s="48"/>
      <c r="QR11" s="48"/>
      <c r="QS11" s="48"/>
      <c r="QT11" s="48"/>
      <c r="QU11" s="48"/>
      <c r="QV11" s="48"/>
      <c r="QW11" s="48"/>
      <c r="QX11" s="48"/>
      <c r="QY11" s="48"/>
      <c r="QZ11" s="48"/>
      <c r="RA11" s="48"/>
      <c r="RB11" s="48"/>
      <c r="RC11" s="48"/>
      <c r="RD11" s="48"/>
      <c r="RE11" s="48"/>
      <c r="RF11" s="48"/>
      <c r="RG11" s="48"/>
      <c r="RH11" s="48"/>
      <c r="RI11" s="48"/>
      <c r="RJ11" s="48"/>
      <c r="RK11" s="48"/>
      <c r="RL11" s="48"/>
      <c r="RM11" s="48"/>
      <c r="RN11" s="48"/>
      <c r="RO11" s="48"/>
      <c r="RP11" s="48"/>
      <c r="RQ11" s="48"/>
      <c r="RR11" s="48"/>
      <c r="RS11" s="48"/>
      <c r="RT11" s="48"/>
      <c r="RU11" s="48"/>
      <c r="RV11" s="48"/>
      <c r="RW11" s="48"/>
      <c r="RX11" s="48"/>
      <c r="RY11" s="48"/>
      <c r="RZ11" s="48"/>
      <c r="SA11" s="48"/>
      <c r="SB11" s="48"/>
      <c r="SC11" s="48"/>
      <c r="SD11" s="48"/>
      <c r="SE11" s="48"/>
      <c r="SF11" s="48"/>
      <c r="SG11" s="48"/>
      <c r="SH11" s="48"/>
      <c r="SI11" s="48"/>
      <c r="SJ11" s="48"/>
      <c r="SK11" s="48"/>
      <c r="SL11" s="48"/>
      <c r="SM11" s="48"/>
      <c r="SN11" s="48"/>
      <c r="SO11" s="48"/>
      <c r="SP11" s="48"/>
      <c r="SQ11" s="48"/>
      <c r="SR11" s="48"/>
      <c r="SS11" s="48"/>
      <c r="ST11" s="48"/>
      <c r="SU11" s="48"/>
      <c r="SV11" s="48"/>
      <c r="SW11" s="48"/>
      <c r="SX11" s="48"/>
      <c r="SY11" s="48"/>
      <c r="SZ11" s="48"/>
      <c r="TA11" s="48"/>
      <c r="TB11" s="48"/>
      <c r="TC11" s="48"/>
      <c r="TD11" s="48"/>
      <c r="TE11" s="48"/>
      <c r="TF11" s="48"/>
      <c r="TG11" s="48"/>
      <c r="TH11" s="48"/>
      <c r="TI11" s="48"/>
      <c r="TJ11" s="48"/>
      <c r="TK11" s="48"/>
      <c r="TL11" s="48"/>
      <c r="TM11" s="48"/>
      <c r="TN11" s="48"/>
      <c r="TO11" s="48"/>
      <c r="TP11" s="48"/>
      <c r="TQ11" s="48"/>
      <c r="TR11" s="48"/>
      <c r="TS11" s="48"/>
      <c r="TT11" s="48"/>
      <c r="TU11" s="48"/>
      <c r="TV11" s="48"/>
      <c r="TW11" s="48"/>
      <c r="TX11" s="48"/>
      <c r="TY11" s="48"/>
      <c r="TZ11" s="48"/>
      <c r="UA11" s="48"/>
      <c r="UB11" s="48"/>
      <c r="UC11" s="48"/>
      <c r="UD11" s="48"/>
      <c r="UE11" s="48"/>
      <c r="UF11" s="48"/>
      <c r="UG11" s="48"/>
      <c r="UH11" s="48"/>
      <c r="UI11" s="48"/>
      <c r="UJ11" s="48"/>
      <c r="UK11" s="48"/>
      <c r="UL11" s="48"/>
      <c r="UM11" s="48"/>
      <c r="UN11" s="48"/>
      <c r="UO11" s="48"/>
      <c r="UP11" s="48"/>
      <c r="UQ11" s="48"/>
      <c r="UR11" s="48"/>
      <c r="US11" s="48"/>
      <c r="UT11" s="48"/>
      <c r="UU11" s="48"/>
      <c r="UV11" s="48"/>
      <c r="UW11" s="48"/>
      <c r="UX11" s="48"/>
      <c r="UY11" s="48"/>
      <c r="UZ11" s="48"/>
      <c r="VA11" s="48"/>
      <c r="VB11" s="48"/>
      <c r="VC11" s="48"/>
      <c r="VD11" s="48"/>
      <c r="VE11" s="48"/>
      <c r="VF11" s="48"/>
      <c r="VG11" s="48"/>
      <c r="VH11" s="48"/>
      <c r="VI11" s="48"/>
      <c r="VJ11" s="48"/>
      <c r="VK11" s="48"/>
      <c r="VL11" s="48"/>
      <c r="VM11" s="48"/>
      <c r="VN11" s="48"/>
      <c r="VO11" s="48"/>
      <c r="VP11" s="48"/>
      <c r="VQ11" s="48"/>
      <c r="VR11" s="48"/>
      <c r="VS11" s="48"/>
      <c r="VT11" s="48"/>
      <c r="VU11" s="48"/>
      <c r="VV11" s="48"/>
      <c r="VW11" s="48"/>
      <c r="VX11" s="48"/>
      <c r="VY11" s="48"/>
      <c r="VZ11" s="48"/>
      <c r="WA11" s="48"/>
      <c r="WB11" s="48"/>
      <c r="WC11" s="48"/>
      <c r="WD11" s="48"/>
      <c r="WE11" s="48"/>
      <c r="WF11" s="48"/>
      <c r="WG11" s="48"/>
      <c r="WH11" s="48"/>
      <c r="WI11" s="48"/>
      <c r="WJ11" s="48"/>
      <c r="WK11" s="48"/>
      <c r="WL11" s="48"/>
      <c r="WM11" s="48"/>
      <c r="WN11" s="48"/>
      <c r="WO11" s="48"/>
      <c r="WP11" s="48"/>
      <c r="WQ11" s="48"/>
      <c r="WR11" s="48"/>
      <c r="WS11" s="48"/>
      <c r="WT11" s="48"/>
      <c r="WU11" s="48"/>
      <c r="WV11" s="48"/>
      <c r="WW11" s="48"/>
      <c r="WX11" s="48"/>
      <c r="WY11" s="48"/>
      <c r="WZ11" s="48"/>
      <c r="XA11" s="48"/>
      <c r="XB11" s="48"/>
      <c r="XC11" s="48"/>
      <c r="XD11" s="48"/>
      <c r="XE11" s="48"/>
      <c r="XF11" s="48"/>
      <c r="XG11" s="48"/>
      <c r="XH11" s="48"/>
      <c r="XI11" s="48"/>
      <c r="XJ11" s="48"/>
      <c r="XK11" s="48"/>
      <c r="XL11" s="48"/>
      <c r="XM11" s="48"/>
      <c r="XN11" s="48"/>
      <c r="XO11" s="48"/>
      <c r="XP11" s="48"/>
      <c r="XQ11" s="48"/>
      <c r="XR11" s="48"/>
      <c r="XS11" s="48"/>
      <c r="XT11" s="48"/>
      <c r="XU11" s="48"/>
      <c r="XV11" s="48"/>
      <c r="XW11" s="48"/>
      <c r="XX11" s="48"/>
      <c r="XY11" s="48"/>
      <c r="XZ11" s="48"/>
      <c r="YA11" s="48"/>
      <c r="YB11" s="48"/>
      <c r="YC11" s="48"/>
      <c r="YD11" s="48"/>
      <c r="YE11" s="48"/>
      <c r="YF11" s="48"/>
      <c r="YG11" s="48"/>
      <c r="YH11" s="48"/>
      <c r="YI11" s="48"/>
      <c r="YJ11" s="48"/>
      <c r="YK11" s="48"/>
      <c r="YL11" s="48"/>
      <c r="YM11" s="48"/>
      <c r="YN11" s="48"/>
      <c r="YO11" s="48"/>
      <c r="YP11" s="48"/>
      <c r="YQ11" s="48"/>
      <c r="YR11" s="48"/>
      <c r="YS11" s="48"/>
      <c r="YT11" s="48"/>
      <c r="YU11" s="48"/>
      <c r="YV11" s="48"/>
      <c r="YW11" s="48"/>
      <c r="YX11" s="48"/>
      <c r="YY11" s="48"/>
      <c r="YZ11" s="48"/>
      <c r="ZA11" s="48"/>
      <c r="ZB11" s="48"/>
      <c r="ZC11" s="48"/>
      <c r="ZD11" s="48"/>
      <c r="ZE11" s="48"/>
      <c r="ZF11" s="48"/>
      <c r="ZG11" s="48"/>
      <c r="ZH11" s="48"/>
      <c r="ZI11" s="48"/>
      <c r="ZJ11" s="48"/>
      <c r="ZK11" s="48"/>
      <c r="ZL11" s="48"/>
      <c r="ZM11" s="48"/>
      <c r="ZN11" s="48"/>
      <c r="ZO11" s="48"/>
      <c r="ZP11" s="48"/>
      <c r="ZQ11" s="48"/>
      <c r="ZR11" s="48"/>
      <c r="ZS11" s="48"/>
      <c r="ZT11" s="48"/>
      <c r="ZU11" s="48"/>
      <c r="ZV11" s="48"/>
      <c r="ZW11" s="48"/>
      <c r="ZX11" s="48"/>
      <c r="ZY11" s="48"/>
      <c r="ZZ11" s="48"/>
      <c r="AAA11" s="48"/>
      <c r="AAB11" s="48"/>
      <c r="AAC11" s="48"/>
      <c r="AAD11" s="48"/>
      <c r="AAE11" s="48"/>
      <c r="AAF11" s="48"/>
      <c r="AAG11" s="48"/>
      <c r="AAH11" s="48"/>
      <c r="AAI11" s="48"/>
      <c r="AAJ11" s="48"/>
      <c r="AAK11" s="48"/>
      <c r="AAL11" s="48"/>
      <c r="AAM11" s="48"/>
      <c r="AAN11" s="48"/>
      <c r="AAO11" s="48"/>
      <c r="AAP11" s="48"/>
      <c r="AAQ11" s="48"/>
      <c r="AAR11" s="48"/>
      <c r="AAS11" s="48"/>
      <c r="AAT11" s="48"/>
      <c r="AAU11" s="48"/>
      <c r="AAV11" s="48"/>
      <c r="AAW11" s="48"/>
      <c r="AAX11" s="48"/>
      <c r="AAY11" s="48"/>
      <c r="AAZ11" s="48"/>
      <c r="ABA11" s="48"/>
      <c r="ABB11" s="48"/>
      <c r="ABC11" s="48"/>
      <c r="ABD11" s="48"/>
      <c r="ABE11" s="48"/>
      <c r="ABF11" s="48"/>
      <c r="ABG11" s="48"/>
      <c r="ABH11" s="48"/>
      <c r="ABI11" s="48"/>
      <c r="ABJ11" s="48"/>
      <c r="ABK11" s="48"/>
      <c r="ABL11" s="48"/>
      <c r="ABM11" s="48"/>
      <c r="ABN11" s="48"/>
      <c r="ABO11" s="48"/>
      <c r="ABP11" s="48"/>
      <c r="ABQ11" s="48"/>
      <c r="ABR11" s="48"/>
      <c r="ABS11" s="48"/>
      <c r="ABT11" s="48"/>
      <c r="ABU11" s="48"/>
      <c r="ABV11" s="48"/>
      <c r="ABW11" s="48"/>
      <c r="ABX11" s="48"/>
      <c r="ABY11" s="48"/>
      <c r="ABZ11" s="48"/>
      <c r="ACA11" s="48"/>
      <c r="ACB11" s="48"/>
      <c r="ACC11" s="48"/>
      <c r="ACD11" s="48"/>
      <c r="ACE11" s="48"/>
      <c r="ACF11" s="48"/>
      <c r="ACG11" s="48"/>
      <c r="ACH11" s="48"/>
      <c r="ACI11" s="48"/>
      <c r="ACJ11" s="48"/>
      <c r="ACK11" s="48"/>
      <c r="ACL11" s="48"/>
      <c r="ACM11" s="48"/>
      <c r="ACN11" s="48"/>
      <c r="ACO11" s="48"/>
      <c r="ACP11" s="48"/>
      <c r="ACQ11" s="48"/>
      <c r="ACR11" s="48"/>
      <c r="ACS11" s="48"/>
      <c r="ACT11" s="48"/>
      <c r="ACU11" s="48"/>
      <c r="ACV11" s="48"/>
      <c r="ACW11" s="48"/>
      <c r="ACX11" s="48"/>
      <c r="ACY11" s="48"/>
      <c r="ACZ11" s="48"/>
      <c r="ADA11" s="48"/>
      <c r="ADB11" s="48"/>
      <c r="ADC11" s="48"/>
      <c r="ADD11" s="48"/>
      <c r="ADE11" s="48"/>
      <c r="ADF11" s="48"/>
      <c r="ADG11" s="48"/>
      <c r="ADH11" s="48"/>
      <c r="ADI11" s="48"/>
      <c r="ADJ11" s="48"/>
      <c r="ADK11" s="48"/>
      <c r="ADL11" s="48"/>
      <c r="ADM11" s="48"/>
      <c r="ADN11" s="48"/>
      <c r="ADO11" s="48"/>
      <c r="ADP11" s="48"/>
      <c r="ADQ11" s="48"/>
      <c r="ADR11" s="48"/>
      <c r="ADS11" s="48"/>
      <c r="ADT11" s="48"/>
      <c r="ADU11" s="48"/>
      <c r="ADV11" s="48"/>
      <c r="ADW11" s="48"/>
      <c r="ADX11" s="48"/>
      <c r="ADY11" s="48"/>
      <c r="ADZ11" s="48"/>
      <c r="AEA11" s="48"/>
      <c r="AEB11" s="48"/>
      <c r="AEC11" s="48"/>
      <c r="AED11" s="48"/>
      <c r="AEE11" s="48"/>
      <c r="AEF11" s="48"/>
      <c r="AEG11" s="48"/>
      <c r="AEH11" s="48"/>
      <c r="AEI11" s="48"/>
      <c r="AEJ11" s="48"/>
      <c r="AEK11" s="48"/>
      <c r="AEL11" s="48"/>
      <c r="AEM11" s="48"/>
      <c r="AEN11" s="48"/>
      <c r="AEO11" s="48"/>
      <c r="AEP11" s="48"/>
      <c r="AEQ11" s="48"/>
      <c r="AER11" s="48"/>
      <c r="AES11" s="48"/>
      <c r="AET11" s="48"/>
      <c r="AEU11" s="48"/>
      <c r="AEV11" s="48"/>
      <c r="AEW11" s="48"/>
      <c r="AEX11" s="48"/>
      <c r="AEY11" s="48"/>
      <c r="AEZ11" s="48"/>
      <c r="AFA11" s="48"/>
      <c r="AFB11" s="48"/>
      <c r="AFC11" s="48"/>
      <c r="AFD11" s="48"/>
      <c r="AFE11" s="48"/>
      <c r="AFF11" s="48"/>
      <c r="AFG11" s="48"/>
      <c r="AFH11" s="48"/>
      <c r="AFI11" s="48"/>
      <c r="AFJ11" s="48"/>
      <c r="AFK11" s="48"/>
      <c r="AFL11" s="48"/>
      <c r="AFM11" s="48"/>
      <c r="AFN11" s="48"/>
      <c r="AFO11" s="48"/>
      <c r="AFP11" s="48"/>
      <c r="AFQ11" s="48"/>
      <c r="AFR11" s="48"/>
      <c r="AFS11" s="48"/>
      <c r="AFT11" s="48"/>
      <c r="AFU11" s="48"/>
      <c r="AFV11" s="48"/>
      <c r="AFW11" s="48"/>
      <c r="AFX11" s="48"/>
      <c r="AFY11" s="48"/>
      <c r="AFZ11" s="48"/>
      <c r="AGA11" s="48"/>
      <c r="AGB11" s="48"/>
      <c r="AGC11" s="48"/>
      <c r="AGD11" s="48"/>
      <c r="AGE11" s="48"/>
      <c r="AGF11" s="48"/>
      <c r="AGG11" s="48"/>
      <c r="AGH11" s="48"/>
      <c r="AGI11" s="48"/>
      <c r="AGJ11" s="48"/>
      <c r="AGK11" s="48"/>
      <c r="AGL11" s="48"/>
      <c r="AGM11" s="48"/>
      <c r="AGN11" s="48"/>
      <c r="AGO11" s="48"/>
      <c r="AGP11" s="48"/>
      <c r="AGQ11" s="48"/>
      <c r="AGR11" s="48"/>
      <c r="AGS11" s="48"/>
      <c r="AGT11" s="48"/>
      <c r="AGU11" s="48"/>
      <c r="AGV11" s="48"/>
      <c r="AGW11" s="48"/>
      <c r="AGX11" s="48"/>
      <c r="AGY11" s="48"/>
      <c r="AGZ11" s="48"/>
      <c r="AHA11" s="48"/>
      <c r="AHB11" s="48"/>
      <c r="AHC11" s="48"/>
      <c r="AHD11" s="48"/>
      <c r="AHE11" s="48"/>
      <c r="AHF11" s="48"/>
      <c r="AHG11" s="48"/>
      <c r="AHH11" s="48"/>
      <c r="AHI11" s="48"/>
      <c r="AHJ11" s="48"/>
      <c r="AHK11" s="48"/>
      <c r="AHL11" s="48"/>
      <c r="AHM11" s="48"/>
      <c r="AHN11" s="48"/>
      <c r="AHO11" s="48"/>
      <c r="AHP11" s="48"/>
      <c r="AHQ11" s="48"/>
      <c r="AHR11" s="48"/>
      <c r="AHS11" s="48"/>
      <c r="AHT11" s="48"/>
      <c r="AHU11" s="48"/>
      <c r="AHV11" s="48"/>
      <c r="AHW11" s="48"/>
      <c r="AHX11" s="48"/>
      <c r="AHY11" s="48"/>
      <c r="AHZ11" s="48"/>
      <c r="AIA11" s="48"/>
      <c r="AIB11" s="48"/>
      <c r="AIC11" s="48"/>
      <c r="AID11" s="48"/>
      <c r="AIE11" s="48"/>
      <c r="AIF11" s="48"/>
      <c r="AIG11" s="48"/>
      <c r="AIH11" s="48"/>
      <c r="AII11" s="48"/>
      <c r="AIJ11" s="48"/>
      <c r="AIK11" s="48"/>
      <c r="AIL11" s="48"/>
      <c r="AIM11" s="48"/>
      <c r="AIN11" s="48"/>
      <c r="AIO11" s="48"/>
      <c r="AIP11" s="48"/>
      <c r="AIQ11" s="48"/>
      <c r="AIR11" s="48"/>
      <c r="AIS11" s="48"/>
      <c r="AIT11" s="48"/>
      <c r="AIU11" s="48"/>
      <c r="AIV11" s="48"/>
      <c r="AIW11" s="48"/>
      <c r="AIX11" s="48"/>
      <c r="AIY11" s="48"/>
      <c r="AIZ11" s="48"/>
      <c r="AJA11" s="48"/>
      <c r="AJB11" s="48"/>
      <c r="AJC11" s="48"/>
      <c r="AJD11" s="48"/>
      <c r="AJE11" s="48"/>
      <c r="AJF11" s="48"/>
      <c r="AJG11" s="48"/>
      <c r="AJH11" s="48"/>
      <c r="AJI11" s="48"/>
      <c r="AJJ11" s="48"/>
      <c r="AJK11" s="48"/>
      <c r="AJL11" s="48"/>
      <c r="AJM11" s="48"/>
      <c r="AJN11" s="48"/>
      <c r="AJO11" s="48"/>
      <c r="AJP11" s="48"/>
      <c r="AJQ11" s="48"/>
      <c r="AJR11" s="48"/>
      <c r="AJS11" s="48"/>
      <c r="AJT11" s="48"/>
      <c r="AJU11" s="48"/>
      <c r="AJV11" s="48"/>
      <c r="AJW11" s="48"/>
      <c r="AJX11" s="48"/>
      <c r="AJY11" s="48"/>
      <c r="AJZ11" s="48"/>
      <c r="AKA11" s="48"/>
      <c r="AKB11" s="48"/>
      <c r="AKC11" s="48"/>
      <c r="AKD11" s="48"/>
      <c r="AKE11" s="48"/>
      <c r="AKF11" s="48"/>
      <c r="AKG11" s="48"/>
      <c r="AKH11" s="48"/>
      <c r="AKI11" s="48"/>
      <c r="AKJ11" s="48"/>
      <c r="AKK11" s="48"/>
      <c r="AKL11" s="48"/>
      <c r="AKM11" s="48"/>
      <c r="AKN11" s="48"/>
      <c r="AKO11" s="48"/>
      <c r="AKP11" s="48"/>
      <c r="AKQ11" s="48"/>
      <c r="AKR11" s="48"/>
      <c r="AKS11" s="48"/>
      <c r="AKT11" s="48"/>
      <c r="AKU11" s="48"/>
      <c r="AKV11" s="48"/>
      <c r="AKW11" s="48"/>
      <c r="AKX11" s="48"/>
      <c r="AKY11" s="48"/>
      <c r="AKZ11" s="48"/>
      <c r="ALA11" s="48"/>
      <c r="ALB11" s="48"/>
      <c r="ALC11" s="48"/>
      <c r="ALD11" s="48"/>
      <c r="ALE11" s="48"/>
      <c r="ALF11" s="48"/>
      <c r="ALG11" s="48"/>
      <c r="ALH11" s="48"/>
      <c r="ALI11" s="48"/>
      <c r="ALJ11" s="48"/>
      <c r="ALK11" s="48"/>
      <c r="ALL11" s="48"/>
      <c r="ALM11" s="48"/>
      <c r="ALN11" s="48"/>
      <c r="ALO11" s="48"/>
      <c r="ALP11" s="48"/>
      <c r="ALQ11" s="48"/>
      <c r="ALR11" s="48"/>
      <c r="ALS11" s="48"/>
      <c r="ALT11" s="48"/>
      <c r="ALU11" s="48"/>
      <c r="ALV11" s="48"/>
      <c r="ALW11" s="48"/>
      <c r="ALX11" s="48"/>
      <c r="ALY11" s="48"/>
      <c r="ALZ11" s="48"/>
      <c r="AMA11" s="48"/>
      <c r="AMB11" s="48"/>
      <c r="AMC11" s="48"/>
      <c r="AMD11" s="48"/>
      <c r="AME11" s="48"/>
      <c r="AMF11" s="48"/>
      <c r="AMG11" s="48"/>
      <c r="AMH11" s="48"/>
      <c r="AMI11" s="48"/>
      <c r="AMJ11" s="48"/>
      <c r="AMK11" s="48"/>
      <c r="AML11" s="48"/>
    </row>
    <row r="12" ht="15.75" customHeight="1">
      <c r="A12" s="8" t="s">
        <v>112</v>
      </c>
      <c r="B12" s="8" t="s">
        <v>112</v>
      </c>
      <c r="C12" s="8" t="s">
        <v>112</v>
      </c>
      <c r="D12" s="8" t="s">
        <v>112</v>
      </c>
      <c r="E12" s="8"/>
      <c r="F12" s="8" t="s">
        <v>127</v>
      </c>
      <c r="G12" s="8" t="s">
        <v>112</v>
      </c>
      <c r="H12" s="8" t="s">
        <v>112</v>
      </c>
      <c r="I12" s="8"/>
      <c r="J12" s="8"/>
      <c r="K12" s="8" t="s">
        <v>112</v>
      </c>
      <c r="L12" s="8" t="s">
        <v>112</v>
      </c>
      <c r="M12" s="8" t="s">
        <v>112</v>
      </c>
      <c r="N12" s="8"/>
      <c r="O12" s="8"/>
      <c r="Q12" t="s">
        <v>128</v>
      </c>
      <c r="R12" t="s">
        <v>112</v>
      </c>
      <c r="S12" t="s">
        <v>112</v>
      </c>
      <c r="U12" t="s">
        <v>64</v>
      </c>
      <c r="X12" t="s">
        <v>112</v>
      </c>
      <c r="Y12" t="s">
        <v>112</v>
      </c>
      <c r="Z12" t="s">
        <v>116</v>
      </c>
      <c r="AA12" t="s">
        <v>117</v>
      </c>
      <c r="AB12" t="s">
        <v>68</v>
      </c>
      <c r="AC12" s="53"/>
      <c r="AD12" t="s">
        <v>112</v>
      </c>
      <c r="AE12" t="s">
        <v>112</v>
      </c>
      <c r="AF12" t="s">
        <v>129</v>
      </c>
      <c r="AG12" t="s">
        <v>112</v>
      </c>
      <c r="AH12" t="s">
        <v>112</v>
      </c>
      <c r="AI12" t="s">
        <v>119</v>
      </c>
      <c r="AJ12" t="s">
        <v>119</v>
      </c>
      <c r="AK12" t="s">
        <v>120</v>
      </c>
      <c r="AL12" t="s">
        <v>121</v>
      </c>
      <c r="AM12" t="s">
        <v>112</v>
      </c>
      <c r="AS12" t="s">
        <v>130</v>
      </c>
      <c r="AT12" t="s">
        <v>112</v>
      </c>
      <c r="AU12" t="s">
        <v>112</v>
      </c>
      <c r="AV12" t="s">
        <v>112</v>
      </c>
      <c r="AW12" t="s">
        <v>112</v>
      </c>
      <c r="AX12" t="s">
        <v>112</v>
      </c>
      <c r="AY12" t="s">
        <v>112</v>
      </c>
      <c r="AZ12" t="s">
        <v>112</v>
      </c>
      <c r="BA12" t="s">
        <v>112</v>
      </c>
      <c r="BB12" t="s">
        <v>112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112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112</v>
      </c>
      <c r="BQ12" t="s">
        <v>112</v>
      </c>
      <c r="BR12" t="s">
        <v>112</v>
      </c>
      <c r="BS12" t="s">
        <v>112</v>
      </c>
      <c r="BT12" t="s">
        <v>112</v>
      </c>
      <c r="BU12" t="s">
        <v>112</v>
      </c>
      <c r="BV12" t="s">
        <v>112</v>
      </c>
      <c r="BW12" t="s">
        <v>112</v>
      </c>
      <c r="BX12" t="s">
        <v>112</v>
      </c>
      <c r="BY12" t="s">
        <v>112</v>
      </c>
      <c r="BZ12" t="s">
        <v>112</v>
      </c>
      <c r="CA12" t="s">
        <v>112</v>
      </c>
      <c r="CB12" t="s">
        <v>112</v>
      </c>
      <c r="CC12" t="s">
        <v>112</v>
      </c>
      <c r="CD12" t="s">
        <v>112</v>
      </c>
      <c r="CE12" t="s">
        <v>112</v>
      </c>
      <c r="CF12" t="s">
        <v>112</v>
      </c>
      <c r="CG12" t="s">
        <v>112</v>
      </c>
      <c r="CH12" t="s">
        <v>112</v>
      </c>
      <c r="CI12" t="s">
        <v>112</v>
      </c>
      <c r="CJ12" t="s">
        <v>112</v>
      </c>
      <c r="CK12" t="s">
        <v>112</v>
      </c>
      <c r="CL12" t="s">
        <v>112</v>
      </c>
      <c r="CM12" t="s">
        <v>112</v>
      </c>
      <c r="CN12" t="s">
        <v>112</v>
      </c>
      <c r="CO12" t="s">
        <v>112</v>
      </c>
      <c r="CP12" t="s">
        <v>112</v>
      </c>
      <c r="CQ12" t="s">
        <v>112</v>
      </c>
      <c r="CR12" t="s">
        <v>112</v>
      </c>
      <c r="CS12" t="s">
        <v>112</v>
      </c>
      <c r="CT12" t="s">
        <v>112</v>
      </c>
      <c r="CU12" t="s">
        <v>112</v>
      </c>
      <c r="CV12" t="s">
        <v>112</v>
      </c>
      <c r="CW12" t="s">
        <v>112</v>
      </c>
      <c r="CX12" t="s">
        <v>112</v>
      </c>
      <c r="CY12" t="s">
        <v>112</v>
      </c>
      <c r="CZ12" t="s">
        <v>112</v>
      </c>
      <c r="DA12" t="s">
        <v>112</v>
      </c>
      <c r="DB12" t="s">
        <v>112</v>
      </c>
      <c r="DC12" t="s">
        <v>112</v>
      </c>
      <c r="DD12" t="s">
        <v>112</v>
      </c>
      <c r="DE12" t="s">
        <v>112</v>
      </c>
      <c r="DF12" t="s">
        <v>112</v>
      </c>
      <c r="DG12" t="s">
        <v>112</v>
      </c>
      <c r="DH12" t="s">
        <v>112</v>
      </c>
      <c r="DI12" t="s">
        <v>112</v>
      </c>
      <c r="DJ12" t="s">
        <v>112</v>
      </c>
      <c r="DK12" t="s">
        <v>112</v>
      </c>
      <c r="DL12" t="s">
        <v>112</v>
      </c>
      <c r="DM12" t="s">
        <v>112</v>
      </c>
      <c r="DN12" t="s">
        <v>112</v>
      </c>
      <c r="DO12" t="s">
        <v>112</v>
      </c>
      <c r="DP12" t="s">
        <v>112</v>
      </c>
      <c r="DQ12" t="s">
        <v>112</v>
      </c>
      <c r="DR12" t="s">
        <v>112</v>
      </c>
      <c r="DS12" t="s">
        <v>112</v>
      </c>
      <c r="DT12" t="s">
        <v>112</v>
      </c>
      <c r="DU12" t="s">
        <v>112</v>
      </c>
      <c r="DV12" t="s">
        <v>112</v>
      </c>
      <c r="DW12" t="s">
        <v>112</v>
      </c>
      <c r="DX12" t="s">
        <v>112</v>
      </c>
      <c r="DY12" t="s">
        <v>112</v>
      </c>
      <c r="DZ12" t="s">
        <v>112</v>
      </c>
      <c r="EA12" t="s">
        <v>112</v>
      </c>
      <c r="EB12" t="s">
        <v>112</v>
      </c>
      <c r="EC12" t="s">
        <v>112</v>
      </c>
      <c r="ED12" t="s">
        <v>112</v>
      </c>
      <c r="EE12" t="s">
        <v>112</v>
      </c>
      <c r="EF12" t="s">
        <v>112</v>
      </c>
      <c r="EG12" t="s">
        <v>112</v>
      </c>
      <c r="EH12" t="s">
        <v>112</v>
      </c>
      <c r="EI12" t="s">
        <v>112</v>
      </c>
      <c r="EJ12" t="s">
        <v>112</v>
      </c>
      <c r="EK12" t="s">
        <v>112</v>
      </c>
      <c r="EL12" t="s">
        <v>112</v>
      </c>
      <c r="EM12" t="s">
        <v>112</v>
      </c>
      <c r="EN12" t="s">
        <v>112</v>
      </c>
      <c r="EO12" t="s">
        <v>112</v>
      </c>
      <c r="EP12" t="s">
        <v>112</v>
      </c>
      <c r="EQ12" t="s">
        <v>112</v>
      </c>
      <c r="ER12" t="s">
        <v>112</v>
      </c>
      <c r="ES12" t="s">
        <v>112</v>
      </c>
      <c r="ET12" t="s">
        <v>112</v>
      </c>
      <c r="EU12" t="s">
        <v>112</v>
      </c>
      <c r="EV12" t="s">
        <v>112</v>
      </c>
      <c r="EW12" t="s">
        <v>112</v>
      </c>
      <c r="EX12" t="s">
        <v>112</v>
      </c>
      <c r="EY12" t="s">
        <v>112</v>
      </c>
      <c r="EZ12" t="s">
        <v>112</v>
      </c>
      <c r="FA12" t="s">
        <v>112</v>
      </c>
      <c r="FB12" t="s">
        <v>112</v>
      </c>
      <c r="FC12" t="s">
        <v>112</v>
      </c>
      <c r="FD12" t="s">
        <v>112</v>
      </c>
      <c r="FE12" t="s">
        <v>112</v>
      </c>
      <c r="FF12" t="s">
        <v>112</v>
      </c>
      <c r="FG12" t="s">
        <v>112</v>
      </c>
      <c r="FH12" t="s">
        <v>112</v>
      </c>
      <c r="FI12" t="s">
        <v>112</v>
      </c>
      <c r="FJ12" t="s">
        <v>112</v>
      </c>
      <c r="FK12" t="s">
        <v>112</v>
      </c>
      <c r="FL12" t="s">
        <v>112</v>
      </c>
      <c r="FM12" t="s">
        <v>112</v>
      </c>
      <c r="FN12" t="s">
        <v>112</v>
      </c>
      <c r="FO12" t="s">
        <v>112</v>
      </c>
      <c r="FP12" t="s">
        <v>112</v>
      </c>
      <c r="FQ12" t="s">
        <v>112</v>
      </c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VerifyBlotter!$4:$4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131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37" t="str">
        <f>IFERROR(__xludf.DUMMYFUNCTION("TRANSPOSE(IMPORTRANGE(VLOOKUP($E$3,IMPORTRANGE('_Settings'!$B$3,$C$3&amp;""!A4:B1000""),2,FALSE),$G$3&amp;""!A4:A1000""))"),"")</f>
        <v/>
      </c>
      <c r="B5" s="38" t="str">
        <f>IFERROR(__xludf.DUMMYFUNCTION("""COMPUTED_VALUE"""),"Symbol")</f>
        <v>Symbol</v>
      </c>
      <c r="C5" s="38" t="str">
        <f>IFERROR(__xludf.DUMMYFUNCTION("""COMPUTED_VALUE"""),"Side")</f>
        <v>Side</v>
      </c>
      <c r="D5" s="38" t="str">
        <f>IFERROR(__xludf.DUMMYFUNCTION("""COMPUTED_VALUE"""),"Quantity")</f>
        <v>Quantity</v>
      </c>
      <c r="E5" s="38" t="str">
        <f>IFERROR(__xludf.DUMMYFUNCTION("""COMPUTED_VALUE"""),"Executed Qty")</f>
        <v>Executed Qty</v>
      </c>
      <c r="F5" s="39" t="str">
        <f>IFERROR(__xludf.DUMMYFUNCTION("""COMPUTED_VALUE"""),"Unexecuted Qty")</f>
        <v>Unexecuted Qty</v>
      </c>
      <c r="G5" s="38" t="str">
        <f>IFERROR(__xludf.DUMMYFUNCTION("""COMPUTED_VALUE"""),"Status")</f>
        <v>Status</v>
      </c>
      <c r="H5" s="38" t="str">
        <f>IFERROR(__xludf.DUMMYFUNCTION("""COMPUTED_VALUE"""),"Last Shares")</f>
        <v>Last Shares</v>
      </c>
      <c r="I5" s="38" t="str">
        <f>IFERROR(__xludf.DUMMYFUNCTION("""COMPUTED_VALUE"""),"Last Fill Price (Local)")</f>
        <v>Last Fill Price (Local)</v>
      </c>
      <c r="J5" s="38" t="str">
        <f>IFERROR(__xludf.DUMMYFUNCTION("""COMPUTED_VALUE"""),"Avg Fill Price (Local)")</f>
        <v>Avg Fill Price (Local)</v>
      </c>
      <c r="K5" s="38" t="str">
        <f>IFERROR(__xludf.DUMMYFUNCTION("""COMPUTED_VALUE"""),"Broker")</f>
        <v>Broker</v>
      </c>
      <c r="L5" s="38" t="str">
        <f>IFERROR(__xludf.DUMMYFUNCTION("""COMPUTED_VALUE"""),"Account")</f>
        <v>Account</v>
      </c>
      <c r="M5" s="38" t="str">
        <f>IFERROR(__xludf.DUMMYFUNCTION("""COMPUTED_VALUE"""),"Order Type")</f>
        <v>Order Type</v>
      </c>
      <c r="N5" s="38" t="str">
        <f>IFERROR(__xludf.DUMMYFUNCTION("""COMPUTED_VALUE"""),"OrderStatus")</f>
        <v>OrderStatus</v>
      </c>
      <c r="O5" s="38" t="str">
        <f>IFERROR(__xludf.DUMMYFUNCTION("""COMPUTED_VALUE"""),"Avg Fill Price (Base)")</f>
        <v>Avg Fill Price (Base)</v>
      </c>
      <c r="P5" s="38" t="str">
        <f>IFERROR(__xludf.DUMMYFUNCTION("""COMPUTED_VALUE"""),"Limit Price")</f>
        <v>Limit Price</v>
      </c>
      <c r="Q5" s="38" t="str">
        <f>IFERROR(__xludf.DUMMYFUNCTION("""COMPUTED_VALUE"""),"Stop Price")</f>
        <v>Stop Price</v>
      </c>
      <c r="R5" s="38" t="str">
        <f>IFERROR(__xludf.DUMMYFUNCTION("""COMPUTED_VALUE"""),"Actual User")</f>
        <v>Actual User</v>
      </c>
      <c r="S5" s="38" t="str">
        <f>IFERROR(__xludf.DUMMYFUNCTION("""COMPUTED_VALUE"""),"Bloomberg Symbol")</f>
        <v>Bloomberg Symbol</v>
      </c>
      <c r="T5" s="40" t="str">
        <f>IFERROR(__xludf.DUMMYFUNCTION("""COMPUTED_VALUE"""),"Algo")</f>
        <v>Algo</v>
      </c>
      <c r="U5" s="40" t="str">
        <f>IFERROR(__xludf.DUMMYFUNCTION("""COMPUTED_VALUE"""),"Allocation Scheme Name")</f>
        <v>Allocation Scheme Name</v>
      </c>
      <c r="V5" s="40" t="str">
        <f>IFERROR(__xludf.DUMMYFUNCTION("""COMPUTED_VALUE"""),"Allocation Status")</f>
        <v>Allocation Status</v>
      </c>
      <c r="W5" s="40" t="str">
        <f>IFERROR(__xludf.DUMMYFUNCTION("""COMPUTED_VALUE"""),"Asset Class")</f>
        <v>Asset Class</v>
      </c>
      <c r="X5" s="40" t="str">
        <f>IFERROR(__xludf.DUMMYFUNCTION("""COMPUTED_VALUE"""),"FX Conversion Operator")</f>
        <v>FX Conversion Operator</v>
      </c>
      <c r="Y5" s="40" t="str">
        <f>IFERROR(__xludf.DUMMYFUNCTION("""COMPUTED_VALUE"""),"FX Rate")</f>
        <v>FX Rate</v>
      </c>
      <c r="Z5" s="40" t="str">
        <f>IFERROR(__xludf.DUMMYFUNCTION("""COMPUTED_VALUE"""),"Imported File Name")</f>
        <v>Imported File Name</v>
      </c>
      <c r="AA5" s="40" t="str">
        <f>IFERROR(__xludf.DUMMYFUNCTION("""COMPUTED_VALUE"""),"Internal Comments")</f>
        <v>Internal Comments</v>
      </c>
      <c r="AB5" s="40" t="str">
        <f>IFERROR(__xludf.DUMMYFUNCTION("""COMPUTED_VALUE"""),"Peg")</f>
        <v>Peg</v>
      </c>
      <c r="AC5" s="40" t="str">
        <f>IFERROR(__xludf.DUMMYFUNCTION("""COMPUTED_VALUE"""),"Principal Amount (Base)")</f>
        <v>Principal Amount (Base)</v>
      </c>
      <c r="AD5" s="40" t="str">
        <f>IFERROR(__xludf.DUMMYFUNCTION("""COMPUTED_VALUE"""),"Principal Amount (Local)")</f>
        <v>Principal Amount (Local)</v>
      </c>
      <c r="AE5" s="40" t="str">
        <f>IFERROR(__xludf.DUMMYFUNCTION("""COMPUTED_VALUE"""),"Process Date")</f>
        <v>Process Date</v>
      </c>
      <c r="AF5" s="40" t="str">
        <f>IFERROR(__xludf.DUMMYFUNCTION("""COMPUTED_VALUE"""),"Put/Call")</f>
        <v>Put/Call</v>
      </c>
      <c r="AG5" s="40" t="str">
        <f>IFERROR(__xludf.DUMMYFUNCTION("""COMPUTED_VALUE"""),"Settlement Currency")</f>
        <v>Settlement Currency</v>
      </c>
      <c r="AH5" s="40" t="str">
        <f>IFERROR(__xludf.DUMMYFUNCTION("""COMPUTED_VALUE"""),"Source")</f>
        <v>Source</v>
      </c>
      <c r="AI5" s="40" t="str">
        <f>IFERROR(__xludf.DUMMYFUNCTION("""COMPUTED_VALUE"""),"Status (With Rollover)")</f>
        <v>Status (With Rollover)</v>
      </c>
      <c r="AJ5" s="40" t="str">
        <f>IFERROR(__xludf.DUMMYFUNCTION("""COMPUTED_VALUE"""),"Strategy")</f>
        <v>Strategy</v>
      </c>
      <c r="AK5" s="40" t="str">
        <f>IFERROR(__xludf.DUMMYFUNCTION("""COMPUTED_VALUE"""),"Strike Price")</f>
        <v>Strike Price</v>
      </c>
      <c r="AL5" s="40" t="str">
        <f>IFERROR(__xludf.DUMMYFUNCTION("""COMPUTED_VALUE"""),"Trade Attribute 1")</f>
        <v>Trade Attribute 1</v>
      </c>
      <c r="AM5" s="40" t="str">
        <f>IFERROR(__xludf.DUMMYFUNCTION("""COMPUTED_VALUE"""),"Trade Attribute 2")</f>
        <v>Trade Attribute 2</v>
      </c>
      <c r="AN5" s="40" t="str">
        <f>IFERROR(__xludf.DUMMYFUNCTION("""COMPUTED_VALUE"""),"Trade Attribute 3")</f>
        <v>Trade Attribute 3</v>
      </c>
      <c r="AO5" s="40" t="str">
        <f>IFERROR(__xludf.DUMMYFUNCTION("""COMPUTED_VALUE"""),"Trade Attribute 4")</f>
        <v>Trade Attribute 4</v>
      </c>
      <c r="AP5" s="40" t="str">
        <f>IFERROR(__xludf.DUMMYFUNCTION("""COMPUTED_VALUE"""),"Trade Attribute 5")</f>
        <v>Trade Attribute 5</v>
      </c>
      <c r="AQ5" s="40" t="str">
        <f>IFERROR(__xludf.DUMMYFUNCTION("""COMPUTED_VALUE"""),"Trade Attribute 6")</f>
        <v>Trade Attribute 6</v>
      </c>
      <c r="AR5" s="40" t="str">
        <f>IFERROR(__xludf.DUMMYFUNCTION("""COMPUTED_VALUE"""),"Trader")</f>
        <v>Trader</v>
      </c>
      <c r="AS5" s="40" t="str">
        <f>IFERROR(__xludf.DUMMYFUNCTION("""COMPUTED_VALUE"""),"Transaction Time")</f>
        <v>Transaction Time</v>
      </c>
      <c r="AT5" s="40" t="str">
        <f>IFERROR(__xludf.DUMMYFUNCTION("""COMPUTED_VALUE"""),"Underlying Country")</f>
        <v>Underlying Country</v>
      </c>
      <c r="AU5" s="40" t="str">
        <f>IFERROR(__xludf.DUMMYFUNCTION("""COMPUTED_VALUE"""),"Underlying Symbol")</f>
        <v>Underlying Symbol</v>
      </c>
      <c r="AV5" s="40" t="str">
        <f>IFERROR(__xludf.DUMMYFUNCTION("""COMPUTED_VALUE"""),"Venue")</f>
        <v>Venue</v>
      </c>
      <c r="AW5" s="40" t="str">
        <f>IFERROR(__xludf.DUMMYFUNCTION("""COMPUTED_VALUE"""),"Working Qty")</f>
        <v>Working Qty</v>
      </c>
      <c r="AX5" s="40" t="str">
        <f>IFERROR(__xludf.DUMMYFUNCTION("""COMPUTED_VALUE"""),"Client")</f>
        <v>Client</v>
      </c>
      <c r="AY5" s="40" t="str">
        <f>IFERROR(__xludf.DUMMYFUNCTION("""COMPUTED_VALUE"""),"OrderID")</f>
        <v>OrderID</v>
      </c>
      <c r="AZ5" s="40" t="str">
        <f>IFERROR(__xludf.DUMMYFUNCTION("""COMPUTED_VALUE"""),"ParentClOrderID")</f>
        <v>ParentClOrderID</v>
      </c>
      <c r="BA5" s="40" t="str">
        <f>IFERROR(__xludf.DUMMYFUNCTION("""COMPUTED_VALUE"""),"Master Fund")</f>
        <v>Master Fund</v>
      </c>
      <c r="BB5" s="40" t="str">
        <f>IFERROR(__xludf.DUMMYFUNCTION("""COMPUTED_VALUE"""),"Current User")</f>
        <v>Current User</v>
      </c>
      <c r="BC5" s="40" t="str">
        <f>IFERROR(__xludf.DUMMYFUNCTION("""COMPUTED_VALUE"""),"% Completed")</f>
        <v>% Completed</v>
      </c>
      <c r="BD5" s="40" t="str">
        <f>IFERROR(__xludf.DUMMYFUNCTION("""COMPUTED_VALUE"""),"isRowCountCheck")</f>
        <v>isRowCountCheck</v>
      </c>
      <c r="BE5" s="40" t="str">
        <f>IFERROR(__xludf.DUMMYFUNCTION("""COMPUTED_VALUE"""),"MandatoryColumn")</f>
        <v>MandatoryColumn</v>
      </c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40"/>
      <c r="DE5" s="40"/>
      <c r="DF5" s="40"/>
      <c r="DG5" s="40"/>
      <c r="DH5" s="40"/>
      <c r="DI5" s="40"/>
      <c r="DJ5" s="40"/>
      <c r="DK5" s="40"/>
      <c r="DL5" s="40"/>
      <c r="DM5" s="40"/>
      <c r="DN5" s="40"/>
      <c r="DO5" s="40"/>
      <c r="DP5" s="40"/>
      <c r="DQ5" s="40"/>
      <c r="DR5" s="40"/>
      <c r="DS5" s="40"/>
      <c r="DT5" s="40"/>
      <c r="DU5" s="40"/>
      <c r="DV5" s="40"/>
      <c r="DW5" s="40"/>
      <c r="DX5" s="40"/>
      <c r="DY5" s="40"/>
      <c r="DZ5" s="40"/>
      <c r="EA5" s="40"/>
      <c r="EB5" s="40"/>
      <c r="EC5" s="40"/>
      <c r="ED5" s="40"/>
      <c r="EE5" s="40"/>
      <c r="EF5" s="40"/>
      <c r="EG5" s="40"/>
      <c r="EH5" s="40"/>
      <c r="EI5" s="40"/>
      <c r="EJ5" s="40"/>
      <c r="EK5" s="40"/>
      <c r="EL5" s="40"/>
      <c r="EM5" s="40"/>
      <c r="EN5" s="40"/>
      <c r="EO5" s="40"/>
      <c r="EP5" s="40"/>
      <c r="EQ5" s="40"/>
      <c r="ER5" s="40"/>
      <c r="ES5" s="40"/>
      <c r="ET5" s="40"/>
      <c r="EU5" s="40"/>
      <c r="EV5" s="40"/>
      <c r="EW5" s="40"/>
      <c r="EX5" s="40"/>
      <c r="EY5" s="40"/>
      <c r="EZ5" s="40"/>
      <c r="FA5" s="40"/>
      <c r="FB5" s="40"/>
      <c r="FC5" s="40"/>
      <c r="FD5" s="40"/>
      <c r="FE5" s="40"/>
      <c r="FF5" s="40"/>
      <c r="FG5" s="40"/>
      <c r="FH5" s="40"/>
      <c r="FI5" s="40"/>
      <c r="FJ5" s="40"/>
      <c r="FK5" s="40"/>
      <c r="FL5" s="40"/>
      <c r="FM5" s="40"/>
      <c r="FN5" s="40"/>
      <c r="FO5" s="40"/>
      <c r="FP5" s="40"/>
      <c r="FQ5" s="40"/>
      <c r="FR5" s="40"/>
      <c r="FS5" s="40"/>
      <c r="FT5" s="40"/>
      <c r="FU5" s="40"/>
      <c r="FV5" s="40"/>
      <c r="FW5" s="40"/>
      <c r="FX5" s="40"/>
      <c r="FY5" s="40"/>
      <c r="FZ5" s="40"/>
      <c r="GA5" s="40"/>
      <c r="GB5" s="40"/>
      <c r="GC5" s="40"/>
      <c r="GD5" s="40"/>
      <c r="GE5" s="40"/>
      <c r="GF5" s="40"/>
      <c r="GG5" s="40"/>
      <c r="GH5" s="40"/>
      <c r="GI5" s="40"/>
      <c r="GJ5" s="40"/>
      <c r="GK5" s="40"/>
      <c r="GL5" s="40"/>
      <c r="GM5" s="40"/>
      <c r="GN5" s="40"/>
      <c r="GO5" s="40"/>
      <c r="GP5" s="40"/>
      <c r="GQ5" s="40"/>
      <c r="GR5" s="40"/>
      <c r="GS5" s="40"/>
      <c r="GT5" s="40"/>
      <c r="GU5" s="40"/>
      <c r="GV5" s="40"/>
      <c r="GW5" s="40"/>
      <c r="GX5" s="40"/>
      <c r="GY5" s="40"/>
      <c r="GZ5" s="40"/>
      <c r="HA5" s="40"/>
      <c r="HB5" s="40"/>
      <c r="HC5" s="40"/>
      <c r="HD5" s="40"/>
      <c r="HE5" s="40"/>
      <c r="HF5" s="40"/>
      <c r="HG5" s="40"/>
      <c r="HH5" s="40"/>
      <c r="HI5" s="40"/>
      <c r="HJ5" s="40"/>
      <c r="HK5" s="40"/>
      <c r="HL5" s="40"/>
      <c r="HM5" s="40"/>
      <c r="HN5" s="40"/>
      <c r="HO5" s="40"/>
      <c r="HP5" s="40"/>
      <c r="HQ5" s="40"/>
      <c r="HR5" s="40"/>
      <c r="HS5" s="40"/>
      <c r="HT5" s="40"/>
      <c r="HU5" s="40"/>
      <c r="HV5" s="40"/>
      <c r="HW5" s="40"/>
      <c r="HX5" s="40"/>
      <c r="HY5" s="40"/>
      <c r="HZ5" s="40"/>
      <c r="IA5" s="40"/>
      <c r="IB5" s="40"/>
      <c r="IC5" s="40"/>
      <c r="ID5" s="40"/>
      <c r="IE5" s="40"/>
      <c r="IF5" s="40"/>
      <c r="IG5" s="40"/>
      <c r="IH5" s="40"/>
      <c r="II5" s="40"/>
      <c r="IJ5" s="40"/>
      <c r="IK5" s="40"/>
      <c r="IL5" s="40"/>
      <c r="IM5" s="40"/>
      <c r="IN5" s="40"/>
      <c r="IO5" s="40"/>
      <c r="IP5" s="40"/>
      <c r="IQ5" s="40"/>
      <c r="IR5" s="40"/>
      <c r="IS5" s="40"/>
      <c r="IT5" s="40"/>
      <c r="IU5" s="40"/>
      <c r="IV5" s="40"/>
      <c r="IW5" s="40"/>
      <c r="IX5" s="40"/>
      <c r="IY5" s="40"/>
      <c r="IZ5" s="40"/>
      <c r="JA5" s="40"/>
      <c r="JB5" s="40"/>
      <c r="JC5" s="40"/>
      <c r="JD5" s="40"/>
      <c r="JE5" s="40"/>
      <c r="JF5" s="40"/>
      <c r="JG5" s="40"/>
      <c r="JH5" s="40"/>
      <c r="JI5" s="40"/>
      <c r="JJ5" s="40"/>
      <c r="JK5" s="40"/>
      <c r="JL5" s="40"/>
      <c r="JM5" s="40"/>
      <c r="JN5" s="40"/>
      <c r="JO5" s="40"/>
      <c r="JP5" s="40"/>
      <c r="JQ5" s="40"/>
      <c r="JR5" s="40"/>
      <c r="JS5" s="40"/>
      <c r="JT5" s="40"/>
      <c r="JU5" s="40"/>
      <c r="JV5" s="40"/>
      <c r="JW5" s="40"/>
      <c r="JX5" s="40"/>
      <c r="JY5" s="40"/>
      <c r="JZ5" s="40"/>
      <c r="KA5" s="40"/>
      <c r="KB5" s="40"/>
      <c r="KC5" s="40"/>
      <c r="KD5" s="40"/>
      <c r="KE5" s="40"/>
      <c r="KF5" s="40"/>
      <c r="KG5" s="40"/>
      <c r="KH5" s="40"/>
      <c r="KI5" s="40"/>
      <c r="KJ5" s="40"/>
      <c r="KK5" s="40"/>
      <c r="KL5" s="40"/>
      <c r="KM5" s="40"/>
      <c r="KN5" s="40"/>
      <c r="KO5" s="40"/>
      <c r="KP5" s="40"/>
      <c r="KQ5" s="40"/>
      <c r="KR5" s="40"/>
      <c r="KS5" s="40"/>
      <c r="KT5" s="40"/>
      <c r="KU5" s="40"/>
      <c r="KV5" s="40"/>
      <c r="KW5" s="40"/>
      <c r="KX5" s="40"/>
      <c r="KY5" s="40"/>
      <c r="KZ5" s="40"/>
      <c r="LA5" s="40"/>
      <c r="LB5" s="40"/>
      <c r="LC5" s="40"/>
      <c r="LD5" s="40"/>
      <c r="LE5" s="40"/>
      <c r="LF5" s="40"/>
      <c r="LG5" s="40"/>
      <c r="LH5" s="40"/>
      <c r="LI5" s="40"/>
      <c r="LJ5" s="40"/>
      <c r="LK5" s="40"/>
      <c r="LL5" s="40"/>
      <c r="LM5" s="40"/>
      <c r="LN5" s="40"/>
      <c r="LO5" s="40"/>
      <c r="LP5" s="40"/>
      <c r="LQ5" s="40"/>
      <c r="LR5" s="40"/>
      <c r="LS5" s="40"/>
      <c r="LT5" s="40"/>
      <c r="LU5" s="40"/>
      <c r="LV5" s="40"/>
      <c r="LW5" s="40"/>
      <c r="LX5" s="40"/>
      <c r="LY5" s="40"/>
      <c r="LZ5" s="40"/>
      <c r="MA5" s="40"/>
      <c r="MB5" s="40"/>
      <c r="MC5" s="40"/>
      <c r="MD5" s="40"/>
      <c r="ME5" s="40"/>
      <c r="MF5" s="40"/>
      <c r="MG5" s="40"/>
      <c r="MH5" s="40"/>
      <c r="MI5" s="40"/>
      <c r="MJ5" s="40"/>
      <c r="MK5" s="40"/>
      <c r="ML5" s="40"/>
      <c r="MM5" s="40"/>
      <c r="MN5" s="40"/>
      <c r="MO5" s="40"/>
      <c r="MP5" s="40"/>
      <c r="MQ5" s="40"/>
      <c r="MR5" s="40"/>
      <c r="MS5" s="40"/>
      <c r="MT5" s="40"/>
      <c r="MU5" s="40"/>
      <c r="MV5" s="40"/>
      <c r="MW5" s="40"/>
      <c r="MX5" s="40"/>
      <c r="MY5" s="40"/>
      <c r="MZ5" s="40"/>
      <c r="NA5" s="40"/>
      <c r="NB5" s="40"/>
      <c r="NC5" s="40"/>
      <c r="ND5" s="40"/>
      <c r="NE5" s="40"/>
      <c r="NF5" s="40"/>
      <c r="NG5" s="40"/>
      <c r="NH5" s="40"/>
      <c r="NI5" s="40"/>
      <c r="NJ5" s="40"/>
      <c r="NK5" s="40"/>
      <c r="NL5" s="40"/>
      <c r="NM5" s="40"/>
      <c r="NN5" s="40"/>
      <c r="NO5" s="40"/>
      <c r="NP5" s="40"/>
      <c r="NQ5" s="40"/>
      <c r="NR5" s="40"/>
      <c r="NS5" s="40"/>
      <c r="NT5" s="40"/>
      <c r="NU5" s="40"/>
      <c r="NV5" s="40"/>
      <c r="NW5" s="40"/>
      <c r="NX5" s="40"/>
      <c r="NY5" s="40"/>
      <c r="NZ5" s="40"/>
      <c r="OA5" s="40"/>
      <c r="OB5" s="40"/>
      <c r="OC5" s="40"/>
      <c r="OD5" s="40"/>
      <c r="OE5" s="40"/>
      <c r="OF5" s="40"/>
      <c r="OG5" s="40"/>
      <c r="OH5" s="40"/>
      <c r="OI5" s="40"/>
      <c r="OJ5" s="40"/>
      <c r="OK5" s="40"/>
      <c r="OL5" s="40"/>
      <c r="OM5" s="40"/>
      <c r="ON5" s="40"/>
      <c r="OO5" s="40"/>
      <c r="OP5" s="40"/>
      <c r="OQ5" s="40"/>
      <c r="OR5" s="40"/>
      <c r="OS5" s="40"/>
      <c r="OT5" s="40"/>
      <c r="OU5" s="40"/>
      <c r="OV5" s="40"/>
      <c r="OW5" s="40"/>
      <c r="OX5" s="40"/>
      <c r="OY5" s="40"/>
      <c r="OZ5" s="40"/>
      <c r="PA5" s="40"/>
      <c r="PB5" s="40"/>
      <c r="PC5" s="40"/>
      <c r="PD5" s="40"/>
      <c r="PE5" s="40"/>
      <c r="PF5" s="40"/>
      <c r="PG5" s="40"/>
      <c r="PH5" s="40"/>
      <c r="PI5" s="40"/>
      <c r="PJ5" s="40"/>
      <c r="PK5" s="40"/>
      <c r="PL5" s="40"/>
      <c r="PM5" s="40"/>
      <c r="PN5" s="40"/>
      <c r="PO5" s="40"/>
      <c r="PP5" s="40"/>
      <c r="PQ5" s="40"/>
      <c r="PR5" s="40"/>
      <c r="PS5" s="40"/>
      <c r="PT5" s="40"/>
      <c r="PU5" s="40"/>
      <c r="PV5" s="40"/>
      <c r="PW5" s="40"/>
      <c r="PX5" s="40"/>
      <c r="PY5" s="40"/>
      <c r="PZ5" s="40"/>
      <c r="QA5" s="40"/>
      <c r="QB5" s="40"/>
      <c r="QC5" s="40"/>
      <c r="QD5" s="40"/>
      <c r="QE5" s="40"/>
      <c r="QF5" s="40"/>
      <c r="QG5" s="40"/>
      <c r="QH5" s="40"/>
      <c r="QI5" s="40"/>
      <c r="QJ5" s="40"/>
      <c r="QK5" s="40"/>
      <c r="QL5" s="40"/>
      <c r="QM5" s="40"/>
      <c r="QN5" s="40"/>
      <c r="QO5" s="40"/>
      <c r="QP5" s="40"/>
      <c r="QQ5" s="40"/>
      <c r="QR5" s="40"/>
      <c r="QS5" s="40"/>
      <c r="QT5" s="40"/>
      <c r="QU5" s="40"/>
      <c r="QV5" s="40"/>
      <c r="QW5" s="40"/>
      <c r="QX5" s="40"/>
      <c r="QY5" s="40"/>
      <c r="QZ5" s="40"/>
      <c r="RA5" s="40"/>
      <c r="RB5" s="40"/>
      <c r="RC5" s="40"/>
      <c r="RD5" s="40"/>
      <c r="RE5" s="40"/>
      <c r="RF5" s="40"/>
      <c r="RG5" s="40"/>
      <c r="RH5" s="40"/>
      <c r="RI5" s="40"/>
      <c r="RJ5" s="40"/>
      <c r="RK5" s="40"/>
      <c r="RL5" s="40"/>
      <c r="RM5" s="40"/>
      <c r="RN5" s="40"/>
      <c r="RO5" s="40"/>
      <c r="RP5" s="40"/>
      <c r="RQ5" s="40"/>
      <c r="RR5" s="40"/>
      <c r="RS5" s="40"/>
      <c r="RT5" s="40"/>
      <c r="RU5" s="40"/>
      <c r="RV5" s="40"/>
      <c r="RW5" s="40"/>
      <c r="RX5" s="40"/>
      <c r="RY5" s="40"/>
      <c r="RZ5" s="40"/>
      <c r="SA5" s="40"/>
      <c r="SB5" s="40"/>
      <c r="SC5" s="40"/>
      <c r="SD5" s="40"/>
      <c r="SE5" s="40"/>
      <c r="SF5" s="40"/>
      <c r="SG5" s="40"/>
      <c r="SH5" s="40"/>
      <c r="SI5" s="40"/>
      <c r="SJ5" s="40"/>
      <c r="SK5" s="40"/>
      <c r="SL5" s="40"/>
      <c r="SM5" s="40"/>
      <c r="SN5" s="40"/>
      <c r="SO5" s="40"/>
      <c r="SP5" s="40"/>
      <c r="SQ5" s="40"/>
      <c r="SR5" s="40"/>
      <c r="SS5" s="40"/>
      <c r="ST5" s="40"/>
      <c r="SU5" s="40"/>
      <c r="SV5" s="40"/>
      <c r="SW5" s="40"/>
      <c r="SX5" s="40"/>
      <c r="SY5" s="40"/>
      <c r="SZ5" s="40"/>
      <c r="TA5" s="40"/>
      <c r="TB5" s="40"/>
      <c r="TC5" s="40"/>
      <c r="TD5" s="40"/>
      <c r="TE5" s="40"/>
      <c r="TF5" s="40"/>
      <c r="TG5" s="40"/>
      <c r="TH5" s="40"/>
      <c r="TI5" s="40"/>
      <c r="TJ5" s="40"/>
      <c r="TK5" s="40"/>
      <c r="TL5" s="40"/>
      <c r="TM5" s="40"/>
      <c r="TN5" s="40"/>
      <c r="TO5" s="40"/>
      <c r="TP5" s="40"/>
      <c r="TQ5" s="40"/>
      <c r="TR5" s="40"/>
      <c r="TS5" s="40"/>
      <c r="TT5" s="40"/>
      <c r="TU5" s="40"/>
      <c r="TV5" s="40"/>
      <c r="TW5" s="40"/>
      <c r="TX5" s="40"/>
      <c r="TY5" s="40"/>
      <c r="TZ5" s="40"/>
      <c r="UA5" s="40"/>
      <c r="UB5" s="40"/>
      <c r="UC5" s="40"/>
      <c r="UD5" s="40"/>
      <c r="UE5" s="40"/>
      <c r="UF5" s="40"/>
      <c r="UG5" s="40"/>
      <c r="UH5" s="40"/>
      <c r="UI5" s="40"/>
      <c r="UJ5" s="40"/>
      <c r="UK5" s="40"/>
      <c r="UL5" s="40"/>
      <c r="UM5" s="40"/>
      <c r="UN5" s="40"/>
      <c r="UO5" s="40"/>
      <c r="UP5" s="40"/>
      <c r="UQ5" s="40"/>
      <c r="UR5" s="40"/>
      <c r="US5" s="40"/>
      <c r="UT5" s="40"/>
      <c r="UU5" s="40"/>
      <c r="UV5" s="40"/>
      <c r="UW5" s="40"/>
      <c r="UX5" s="40"/>
      <c r="UY5" s="40"/>
      <c r="UZ5" s="40"/>
      <c r="VA5" s="40"/>
      <c r="VB5" s="40"/>
      <c r="VC5" s="40"/>
      <c r="VD5" s="40"/>
      <c r="VE5" s="40"/>
      <c r="VF5" s="40"/>
      <c r="VG5" s="40"/>
      <c r="VH5" s="40"/>
      <c r="VI5" s="40"/>
      <c r="VJ5" s="40"/>
      <c r="VK5" s="40"/>
      <c r="VL5" s="40"/>
      <c r="VM5" s="40"/>
      <c r="VN5" s="40"/>
      <c r="VO5" s="40"/>
      <c r="VP5" s="40"/>
      <c r="VQ5" s="40"/>
      <c r="VR5" s="40"/>
      <c r="VS5" s="40"/>
      <c r="VT5" s="40"/>
      <c r="VU5" s="40"/>
      <c r="VV5" s="40"/>
      <c r="VW5" s="40"/>
      <c r="VX5" s="40"/>
      <c r="VY5" s="40"/>
      <c r="VZ5" s="40"/>
      <c r="WA5" s="40"/>
      <c r="WB5" s="40"/>
      <c r="WC5" s="40"/>
      <c r="WD5" s="40"/>
      <c r="WE5" s="40"/>
      <c r="WF5" s="40"/>
      <c r="WG5" s="40"/>
      <c r="WH5" s="40"/>
      <c r="WI5" s="40"/>
      <c r="WJ5" s="40"/>
      <c r="WK5" s="40"/>
      <c r="WL5" s="40"/>
      <c r="WM5" s="40"/>
      <c r="WN5" s="40"/>
      <c r="WO5" s="40"/>
      <c r="WP5" s="40"/>
      <c r="WQ5" s="40"/>
      <c r="WR5" s="40"/>
      <c r="WS5" s="40"/>
      <c r="WT5" s="40"/>
      <c r="WU5" s="40"/>
      <c r="WV5" s="40"/>
      <c r="WW5" s="40"/>
      <c r="WX5" s="40"/>
      <c r="WY5" s="40"/>
      <c r="WZ5" s="40"/>
      <c r="XA5" s="40"/>
      <c r="XB5" s="40"/>
      <c r="XC5" s="40"/>
      <c r="XD5" s="40"/>
      <c r="XE5" s="40"/>
      <c r="XF5" s="40"/>
      <c r="XG5" s="40"/>
      <c r="XH5" s="40"/>
      <c r="XI5" s="40"/>
      <c r="XJ5" s="40"/>
      <c r="XK5" s="40"/>
      <c r="XL5" s="40"/>
      <c r="XM5" s="40"/>
      <c r="XN5" s="40"/>
      <c r="XO5" s="40"/>
      <c r="XP5" s="40"/>
      <c r="XQ5" s="40"/>
      <c r="XR5" s="40"/>
      <c r="XS5" s="40"/>
      <c r="XT5" s="40"/>
      <c r="XU5" s="40"/>
      <c r="XV5" s="40"/>
      <c r="XW5" s="40"/>
      <c r="XX5" s="40"/>
      <c r="XY5" s="40"/>
      <c r="XZ5" s="40"/>
      <c r="YA5" s="40"/>
      <c r="YB5" s="40"/>
      <c r="YC5" s="40"/>
      <c r="YD5" s="40"/>
      <c r="YE5" s="40"/>
      <c r="YF5" s="40"/>
      <c r="YG5" s="40"/>
      <c r="YH5" s="40"/>
      <c r="YI5" s="40"/>
      <c r="YJ5" s="40"/>
      <c r="YK5" s="40"/>
      <c r="YL5" s="40"/>
      <c r="YM5" s="40"/>
      <c r="YN5" s="40"/>
      <c r="YO5" s="40"/>
      <c r="YP5" s="40"/>
      <c r="YQ5" s="40"/>
      <c r="YR5" s="40"/>
      <c r="YS5" s="40"/>
      <c r="YT5" s="40"/>
      <c r="YU5" s="40"/>
      <c r="YV5" s="40"/>
      <c r="YW5" s="40"/>
      <c r="YX5" s="40"/>
      <c r="YY5" s="40"/>
      <c r="YZ5" s="40"/>
      <c r="ZA5" s="40"/>
      <c r="ZB5" s="40"/>
      <c r="ZC5" s="40"/>
      <c r="ZD5" s="40"/>
      <c r="ZE5" s="40"/>
      <c r="ZF5" s="40"/>
      <c r="ZG5" s="40"/>
      <c r="ZH5" s="40"/>
      <c r="ZI5" s="40"/>
      <c r="ZJ5" s="40"/>
      <c r="ZK5" s="40"/>
      <c r="ZL5" s="40"/>
      <c r="ZM5" s="40"/>
      <c r="ZN5" s="40"/>
      <c r="ZO5" s="40"/>
      <c r="ZP5" s="40"/>
      <c r="ZQ5" s="40"/>
      <c r="ZR5" s="40"/>
      <c r="ZS5" s="40"/>
      <c r="ZT5" s="40"/>
      <c r="ZU5" s="40"/>
      <c r="ZV5" s="40"/>
      <c r="ZW5" s="40"/>
      <c r="ZX5" s="40"/>
      <c r="ZY5" s="40"/>
      <c r="ZZ5" s="40"/>
      <c r="AAA5" s="40"/>
      <c r="AAB5" s="40"/>
      <c r="AAC5" s="40"/>
      <c r="AAD5" s="40"/>
      <c r="AAE5" s="40"/>
      <c r="AAF5" s="40"/>
      <c r="AAG5" s="40"/>
      <c r="AAH5" s="40"/>
      <c r="AAI5" s="40"/>
      <c r="AAJ5" s="40"/>
      <c r="AAK5" s="40"/>
      <c r="AAL5" s="40"/>
      <c r="AAM5" s="40"/>
      <c r="AAN5" s="40"/>
      <c r="AAO5" s="40"/>
      <c r="AAP5" s="40"/>
      <c r="AAQ5" s="40"/>
      <c r="AAR5" s="40"/>
      <c r="AAS5" s="40"/>
      <c r="AAT5" s="40"/>
      <c r="AAU5" s="40"/>
      <c r="AAV5" s="40"/>
      <c r="AAW5" s="40"/>
      <c r="AAX5" s="40"/>
      <c r="AAY5" s="40"/>
      <c r="AAZ5" s="40"/>
      <c r="ABA5" s="40"/>
      <c r="ABB5" s="40"/>
      <c r="ABC5" s="40"/>
      <c r="ABD5" s="40"/>
      <c r="ABE5" s="40"/>
      <c r="ABF5" s="40"/>
      <c r="ABG5" s="40"/>
      <c r="ABH5" s="40"/>
      <c r="ABI5" s="40"/>
      <c r="ABJ5" s="40"/>
      <c r="ABK5" s="40"/>
      <c r="ABL5" s="40"/>
      <c r="ABM5" s="40"/>
      <c r="ABN5" s="40"/>
      <c r="ABO5" s="40"/>
      <c r="ABP5" s="40"/>
      <c r="ABQ5" s="40"/>
      <c r="ABR5" s="40"/>
      <c r="ABS5" s="40"/>
      <c r="ABT5" s="40"/>
      <c r="ABU5" s="40"/>
      <c r="ABV5" s="40"/>
      <c r="ABW5" s="40"/>
      <c r="ABX5" s="40"/>
      <c r="ABY5" s="40"/>
      <c r="ABZ5" s="40"/>
      <c r="ACA5" s="40"/>
      <c r="ACB5" s="40"/>
      <c r="ACC5" s="40"/>
      <c r="ACD5" s="40"/>
      <c r="ACE5" s="40"/>
      <c r="ACF5" s="40"/>
      <c r="ACG5" s="40"/>
      <c r="ACH5" s="40"/>
      <c r="ACI5" s="40"/>
      <c r="ACJ5" s="40"/>
      <c r="ACK5" s="40"/>
      <c r="ACL5" s="40"/>
      <c r="ACM5" s="40"/>
      <c r="ACN5" s="40"/>
      <c r="ACO5" s="40"/>
      <c r="ACP5" s="40"/>
      <c r="ACQ5" s="40"/>
      <c r="ACR5" s="40"/>
      <c r="ACS5" s="40"/>
      <c r="ACT5" s="40"/>
      <c r="ACU5" s="40"/>
      <c r="ACV5" s="40"/>
      <c r="ACW5" s="40"/>
      <c r="ACX5" s="40"/>
      <c r="ACY5" s="40"/>
      <c r="ACZ5" s="40"/>
      <c r="ADA5" s="40"/>
      <c r="ADB5" s="40"/>
      <c r="ADC5" s="40"/>
      <c r="ADD5" s="40"/>
      <c r="ADE5" s="40"/>
      <c r="ADF5" s="40"/>
      <c r="ADG5" s="40"/>
      <c r="ADH5" s="40"/>
      <c r="ADI5" s="40"/>
      <c r="ADJ5" s="40"/>
      <c r="ADK5" s="40"/>
      <c r="ADL5" s="40"/>
      <c r="ADM5" s="40"/>
      <c r="ADN5" s="40"/>
      <c r="ADO5" s="40"/>
      <c r="ADP5" s="40"/>
      <c r="ADQ5" s="40"/>
      <c r="ADR5" s="40"/>
      <c r="ADS5" s="40"/>
      <c r="ADT5" s="40"/>
      <c r="ADU5" s="40"/>
      <c r="ADV5" s="40"/>
      <c r="ADW5" s="40"/>
      <c r="ADX5" s="40"/>
      <c r="ADY5" s="40"/>
      <c r="ADZ5" s="40"/>
      <c r="AEA5" s="40"/>
      <c r="AEB5" s="40"/>
      <c r="AEC5" s="40"/>
      <c r="AED5" s="40"/>
      <c r="AEE5" s="40"/>
      <c r="AEF5" s="40"/>
      <c r="AEG5" s="40"/>
      <c r="AEH5" s="40"/>
      <c r="AEI5" s="40"/>
      <c r="AEJ5" s="40"/>
      <c r="AEK5" s="40"/>
      <c r="AEL5" s="40"/>
      <c r="AEM5" s="40"/>
      <c r="AEN5" s="40"/>
      <c r="AEO5" s="40"/>
      <c r="AEP5" s="40"/>
      <c r="AEQ5" s="40"/>
      <c r="AER5" s="40"/>
      <c r="AES5" s="40"/>
      <c r="AET5" s="40"/>
      <c r="AEU5" s="40"/>
      <c r="AEV5" s="40"/>
      <c r="AEW5" s="40"/>
      <c r="AEX5" s="40"/>
      <c r="AEY5" s="40"/>
      <c r="AEZ5" s="40"/>
      <c r="AFA5" s="40"/>
      <c r="AFB5" s="40"/>
      <c r="AFC5" s="40"/>
      <c r="AFD5" s="40"/>
      <c r="AFE5" s="40"/>
      <c r="AFF5" s="40"/>
      <c r="AFG5" s="40"/>
      <c r="AFH5" s="40"/>
      <c r="AFI5" s="40"/>
      <c r="AFJ5" s="40"/>
      <c r="AFK5" s="40"/>
      <c r="AFL5" s="40"/>
      <c r="AFM5" s="40"/>
      <c r="AFN5" s="40"/>
      <c r="AFO5" s="40"/>
      <c r="AFP5" s="40"/>
      <c r="AFQ5" s="40"/>
      <c r="AFR5" s="40"/>
      <c r="AFS5" s="40"/>
      <c r="AFT5" s="40"/>
      <c r="AFU5" s="40"/>
      <c r="AFV5" s="40"/>
      <c r="AFW5" s="40"/>
      <c r="AFX5" s="40"/>
      <c r="AFY5" s="40"/>
      <c r="AFZ5" s="40"/>
      <c r="AGA5" s="40"/>
      <c r="AGB5" s="40"/>
      <c r="AGC5" s="40"/>
      <c r="AGD5" s="40"/>
      <c r="AGE5" s="40"/>
      <c r="AGF5" s="40"/>
      <c r="AGG5" s="40"/>
      <c r="AGH5" s="40"/>
      <c r="AGI5" s="40"/>
      <c r="AGJ5" s="40"/>
      <c r="AGK5" s="40"/>
      <c r="AGL5" s="40"/>
      <c r="AGM5" s="40"/>
      <c r="AGN5" s="40"/>
      <c r="AGO5" s="40"/>
      <c r="AGP5" s="40"/>
      <c r="AGQ5" s="40"/>
      <c r="AGR5" s="40"/>
      <c r="AGS5" s="40"/>
      <c r="AGT5" s="40"/>
      <c r="AGU5" s="40"/>
      <c r="AGV5" s="40"/>
      <c r="AGW5" s="40"/>
      <c r="AGX5" s="40"/>
      <c r="AGY5" s="40"/>
      <c r="AGZ5" s="40"/>
      <c r="AHA5" s="40"/>
      <c r="AHB5" s="40"/>
      <c r="AHC5" s="40"/>
      <c r="AHD5" s="40"/>
      <c r="AHE5" s="40"/>
      <c r="AHF5" s="40"/>
      <c r="AHG5" s="40"/>
      <c r="AHH5" s="40"/>
      <c r="AHI5" s="40"/>
      <c r="AHJ5" s="40"/>
      <c r="AHK5" s="40"/>
      <c r="AHL5" s="40"/>
      <c r="AHM5" s="40"/>
      <c r="AHN5" s="40"/>
      <c r="AHO5" s="40"/>
      <c r="AHP5" s="40"/>
      <c r="AHQ5" s="40"/>
      <c r="AHR5" s="40"/>
      <c r="AHS5" s="40"/>
      <c r="AHT5" s="40"/>
      <c r="AHU5" s="40"/>
      <c r="AHV5" s="40"/>
      <c r="AHW5" s="40"/>
      <c r="AHX5" s="40"/>
      <c r="AHY5" s="40"/>
      <c r="AHZ5" s="40"/>
      <c r="AIA5" s="40"/>
      <c r="AIB5" s="40"/>
      <c r="AIC5" s="40"/>
      <c r="AID5" s="40"/>
      <c r="AIE5" s="40"/>
      <c r="AIF5" s="40"/>
      <c r="AIG5" s="40"/>
      <c r="AIH5" s="40"/>
      <c r="AII5" s="40"/>
      <c r="AIJ5" s="40"/>
      <c r="AIK5" s="40"/>
      <c r="AIL5" s="40"/>
      <c r="AIM5" s="40"/>
      <c r="AIN5" s="40"/>
      <c r="AIO5" s="40"/>
      <c r="AIP5" s="40"/>
      <c r="AIQ5" s="40"/>
      <c r="AIR5" s="40"/>
      <c r="AIS5" s="40"/>
      <c r="AIT5" s="40"/>
      <c r="AIU5" s="40"/>
      <c r="AIV5" s="40"/>
      <c r="AIW5" s="40"/>
      <c r="AIX5" s="40"/>
      <c r="AIY5" s="40"/>
      <c r="AIZ5" s="40"/>
      <c r="AJA5" s="40"/>
      <c r="AJB5" s="40"/>
      <c r="AJC5" s="40"/>
      <c r="AJD5" s="40"/>
      <c r="AJE5" s="40"/>
      <c r="AJF5" s="40"/>
      <c r="AJG5" s="40"/>
      <c r="AJH5" s="40"/>
      <c r="AJI5" s="40"/>
      <c r="AJJ5" s="40"/>
      <c r="AJK5" s="40"/>
      <c r="AJL5" s="40"/>
      <c r="AJM5" s="40"/>
      <c r="AJN5" s="40"/>
      <c r="AJO5" s="40"/>
      <c r="AJP5" s="40"/>
      <c r="AJQ5" s="40"/>
      <c r="AJR5" s="40"/>
      <c r="AJS5" s="40"/>
      <c r="AJT5" s="40"/>
      <c r="AJU5" s="40"/>
      <c r="AJV5" s="40"/>
      <c r="AJW5" s="40"/>
      <c r="AJX5" s="40"/>
      <c r="AJY5" s="40"/>
      <c r="AJZ5" s="40"/>
      <c r="AKA5" s="40"/>
      <c r="AKB5" s="40"/>
      <c r="AKC5" s="40"/>
      <c r="AKD5" s="40"/>
      <c r="AKE5" s="40"/>
      <c r="AKF5" s="40"/>
      <c r="AKG5" s="40"/>
      <c r="AKH5" s="40"/>
      <c r="AKI5" s="40"/>
      <c r="AKJ5" s="40"/>
      <c r="AKK5" s="40"/>
      <c r="AKL5" s="40"/>
      <c r="AKM5" s="40"/>
      <c r="AKN5" s="40"/>
      <c r="AKO5" s="40"/>
      <c r="AKP5" s="40"/>
      <c r="AKQ5" s="40"/>
      <c r="AKR5" s="40"/>
      <c r="AKS5" s="40"/>
      <c r="AKT5" s="40"/>
      <c r="AKU5" s="40"/>
      <c r="AKV5" s="40"/>
      <c r="AKW5" s="40"/>
      <c r="AKX5" s="40"/>
      <c r="AKY5" s="40"/>
      <c r="AKZ5" s="40"/>
      <c r="ALA5" s="40"/>
      <c r="ALB5" s="40"/>
      <c r="ALC5" s="40"/>
      <c r="ALD5" s="40"/>
      <c r="ALE5" s="40"/>
      <c r="ALF5" s="40"/>
      <c r="ALG5" s="40"/>
      <c r="ALH5" s="40"/>
      <c r="ALI5" s="40"/>
      <c r="ALJ5" s="40"/>
      <c r="ALK5" s="40"/>
      <c r="ALL5" s="40"/>
      <c r="ALM5" s="40"/>
      <c r="ALN5" s="40"/>
      <c r="ALO5" s="40"/>
      <c r="ALP5" s="40"/>
      <c r="ALQ5" s="40"/>
      <c r="ALR5" s="40"/>
      <c r="ALS5" s="40"/>
      <c r="ALT5" s="40"/>
      <c r="ALU5" s="40"/>
      <c r="ALV5" s="40"/>
      <c r="ALW5" s="40"/>
      <c r="ALX5" s="40"/>
      <c r="ALY5" s="40"/>
      <c r="ALZ5" s="40"/>
      <c r="AMA5" s="40"/>
      <c r="AMB5" s="40"/>
      <c r="AMC5" s="40"/>
      <c r="AMD5" s="40"/>
      <c r="AME5" s="40"/>
      <c r="AMF5" s="40"/>
      <c r="AMG5" s="40"/>
      <c r="AMH5" s="40"/>
      <c r="AMI5" s="40"/>
      <c r="AMJ5" s="40"/>
      <c r="AMK5" s="40"/>
      <c r="AML5" s="40"/>
    </row>
    <row r="6" ht="15.75" customHeight="1">
      <c r="A6" s="46" t="s">
        <v>112</v>
      </c>
      <c r="B6" s="46" t="s">
        <v>50</v>
      </c>
      <c r="C6" s="8" t="s">
        <v>116</v>
      </c>
      <c r="D6" s="46">
        <v>100.0</v>
      </c>
      <c r="E6" s="8">
        <v>100.0</v>
      </c>
      <c r="F6" s="8" t="s">
        <v>112</v>
      </c>
      <c r="G6" s="8" t="s">
        <v>113</v>
      </c>
      <c r="H6" s="8" t="s">
        <v>112</v>
      </c>
      <c r="I6" s="8" t="s">
        <v>112</v>
      </c>
      <c r="J6" s="8" t="s">
        <v>112</v>
      </c>
      <c r="K6" s="8" t="s">
        <v>120</v>
      </c>
      <c r="L6" s="8" t="s">
        <v>64</v>
      </c>
      <c r="M6" s="8" t="s">
        <v>117</v>
      </c>
      <c r="N6" s="8" t="s">
        <v>112</v>
      </c>
      <c r="O6" s="8" t="s">
        <v>112</v>
      </c>
      <c r="P6" t="s">
        <v>112</v>
      </c>
      <c r="Q6" t="s">
        <v>112</v>
      </c>
      <c r="R6" t="s">
        <v>119</v>
      </c>
      <c r="V6" t="s">
        <v>112</v>
      </c>
      <c r="W6" t="s">
        <v>118</v>
      </c>
      <c r="X6" t="s">
        <v>132</v>
      </c>
      <c r="Y6">
        <v>1.0</v>
      </c>
      <c r="Z6" t="s">
        <v>112</v>
      </c>
      <c r="AB6" t="s">
        <v>112</v>
      </c>
      <c r="AC6" t="s">
        <v>112</v>
      </c>
      <c r="AD6" t="s">
        <v>112</v>
      </c>
      <c r="AF6" t="s">
        <v>112</v>
      </c>
      <c r="AG6" t="s">
        <v>65</v>
      </c>
      <c r="AH6" t="s">
        <v>112</v>
      </c>
      <c r="AJ6" t="s">
        <v>112</v>
      </c>
      <c r="AK6" t="s">
        <v>112</v>
      </c>
      <c r="AR6" t="s">
        <v>133</v>
      </c>
      <c r="AV6" t="s">
        <v>121</v>
      </c>
      <c r="AX6" t="s">
        <v>112</v>
      </c>
      <c r="AY6" t="s">
        <v>112</v>
      </c>
      <c r="AZ6" t="s">
        <v>112</v>
      </c>
      <c r="BA6" t="s">
        <v>134</v>
      </c>
      <c r="BB6" t="s">
        <v>119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112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112</v>
      </c>
      <c r="BQ6" t="s">
        <v>112</v>
      </c>
      <c r="BR6" t="s">
        <v>112</v>
      </c>
      <c r="BS6" t="s">
        <v>112</v>
      </c>
      <c r="BT6" t="s">
        <v>112</v>
      </c>
      <c r="BU6" t="s">
        <v>112</v>
      </c>
      <c r="BV6" t="s">
        <v>112</v>
      </c>
      <c r="BW6" t="s">
        <v>112</v>
      </c>
      <c r="BX6" t="s">
        <v>112</v>
      </c>
      <c r="BY6" t="s">
        <v>112</v>
      </c>
      <c r="BZ6" t="s">
        <v>112</v>
      </c>
      <c r="CA6" t="s">
        <v>112</v>
      </c>
      <c r="CB6" t="s">
        <v>112</v>
      </c>
      <c r="CC6" t="s">
        <v>112</v>
      </c>
      <c r="CD6" t="s">
        <v>112</v>
      </c>
      <c r="CE6" t="s">
        <v>112</v>
      </c>
      <c r="CF6" t="s">
        <v>112</v>
      </c>
      <c r="CG6" t="s">
        <v>112</v>
      </c>
      <c r="CH6" t="s">
        <v>112</v>
      </c>
      <c r="CI6" t="s">
        <v>112</v>
      </c>
      <c r="CJ6" t="s">
        <v>112</v>
      </c>
      <c r="CK6" t="s">
        <v>112</v>
      </c>
      <c r="CL6" t="s">
        <v>112</v>
      </c>
      <c r="CM6" t="s">
        <v>112</v>
      </c>
      <c r="CN6" t="s">
        <v>112</v>
      </c>
      <c r="CO6" t="s">
        <v>112</v>
      </c>
      <c r="CP6" t="s">
        <v>112</v>
      </c>
      <c r="CQ6" t="s">
        <v>112</v>
      </c>
      <c r="CR6" t="s">
        <v>112</v>
      </c>
      <c r="CS6" t="s">
        <v>112</v>
      </c>
      <c r="CT6" t="s">
        <v>112</v>
      </c>
      <c r="CU6" t="s">
        <v>112</v>
      </c>
      <c r="CV6" t="s">
        <v>112</v>
      </c>
      <c r="CW6" t="s">
        <v>112</v>
      </c>
      <c r="CX6" t="s">
        <v>112</v>
      </c>
      <c r="CY6" t="s">
        <v>112</v>
      </c>
      <c r="CZ6" t="s">
        <v>112</v>
      </c>
      <c r="DA6" t="s">
        <v>112</v>
      </c>
      <c r="DB6" t="s">
        <v>112</v>
      </c>
      <c r="DC6" t="s">
        <v>112</v>
      </c>
      <c r="DD6" t="s">
        <v>112</v>
      </c>
      <c r="DE6" t="s">
        <v>112</v>
      </c>
      <c r="DF6" t="s">
        <v>112</v>
      </c>
      <c r="DG6" t="s">
        <v>112</v>
      </c>
      <c r="DH6" t="s">
        <v>112</v>
      </c>
      <c r="DI6" t="s">
        <v>112</v>
      </c>
      <c r="DJ6" t="s">
        <v>112</v>
      </c>
      <c r="DK6" t="s">
        <v>112</v>
      </c>
      <c r="DL6" t="s">
        <v>112</v>
      </c>
      <c r="DM6" t="s">
        <v>112</v>
      </c>
      <c r="DN6" t="s">
        <v>112</v>
      </c>
      <c r="DO6" t="s">
        <v>112</v>
      </c>
      <c r="DP6" t="s">
        <v>112</v>
      </c>
      <c r="DQ6" t="s">
        <v>112</v>
      </c>
      <c r="DR6" t="s">
        <v>112</v>
      </c>
      <c r="DS6" t="s">
        <v>112</v>
      </c>
      <c r="DT6" t="s">
        <v>112</v>
      </c>
      <c r="DU6" t="s">
        <v>112</v>
      </c>
      <c r="DV6" t="s">
        <v>112</v>
      </c>
      <c r="DW6" t="s">
        <v>112</v>
      </c>
      <c r="DX6" t="s">
        <v>112</v>
      </c>
      <c r="DY6" t="s">
        <v>112</v>
      </c>
      <c r="DZ6" t="s">
        <v>112</v>
      </c>
      <c r="EA6" t="s">
        <v>112</v>
      </c>
      <c r="EB6" t="s">
        <v>112</v>
      </c>
      <c r="EC6" t="s">
        <v>112</v>
      </c>
      <c r="ED6" t="s">
        <v>112</v>
      </c>
      <c r="EE6" t="s">
        <v>112</v>
      </c>
      <c r="EF6" t="s">
        <v>112</v>
      </c>
      <c r="EG6" t="s">
        <v>112</v>
      </c>
      <c r="EH6" t="s">
        <v>112</v>
      </c>
      <c r="EI6" t="s">
        <v>112</v>
      </c>
      <c r="EJ6" t="s">
        <v>112</v>
      </c>
      <c r="EK6" t="s">
        <v>112</v>
      </c>
      <c r="EL6" t="s">
        <v>112</v>
      </c>
      <c r="EM6" t="s">
        <v>112</v>
      </c>
      <c r="EN6" t="s">
        <v>112</v>
      </c>
      <c r="EO6" t="s">
        <v>112</v>
      </c>
      <c r="EP6" t="s">
        <v>112</v>
      </c>
      <c r="EQ6" t="s">
        <v>112</v>
      </c>
      <c r="ER6" t="s">
        <v>112</v>
      </c>
      <c r="ES6" t="s">
        <v>112</v>
      </c>
      <c r="ET6" t="s">
        <v>112</v>
      </c>
      <c r="EU6" t="s">
        <v>112</v>
      </c>
      <c r="EV6" t="s">
        <v>112</v>
      </c>
      <c r="EW6" t="s">
        <v>112</v>
      </c>
      <c r="EX6" t="s">
        <v>112</v>
      </c>
      <c r="EY6" t="s">
        <v>112</v>
      </c>
      <c r="EZ6" t="s">
        <v>112</v>
      </c>
      <c r="FA6" t="s">
        <v>112</v>
      </c>
      <c r="FB6" t="s">
        <v>112</v>
      </c>
      <c r="FC6" t="s">
        <v>112</v>
      </c>
      <c r="FD6" t="s">
        <v>112</v>
      </c>
      <c r="FE6" t="s">
        <v>112</v>
      </c>
      <c r="FF6" t="s">
        <v>112</v>
      </c>
      <c r="FG6" t="s">
        <v>112</v>
      </c>
      <c r="FH6" t="s">
        <v>112</v>
      </c>
      <c r="FI6" t="s">
        <v>112</v>
      </c>
      <c r="FJ6" t="s">
        <v>112</v>
      </c>
      <c r="FK6" t="s">
        <v>112</v>
      </c>
      <c r="FL6" t="s">
        <v>112</v>
      </c>
      <c r="FM6" t="s">
        <v>112</v>
      </c>
      <c r="FN6" t="s">
        <v>112</v>
      </c>
      <c r="FO6" t="s">
        <v>112</v>
      </c>
      <c r="FP6" t="s">
        <v>112</v>
      </c>
      <c r="FQ6" t="s">
        <v>112</v>
      </c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  <c r="II6" s="48"/>
      <c r="IJ6" s="48"/>
      <c r="IK6" s="48"/>
      <c r="IL6" s="48"/>
      <c r="IM6" s="48"/>
      <c r="IN6" s="48"/>
      <c r="IO6" s="48"/>
      <c r="IP6" s="48"/>
      <c r="IQ6" s="48"/>
      <c r="IR6" s="48"/>
      <c r="IS6" s="48"/>
      <c r="IT6" s="48"/>
      <c r="IU6" s="48"/>
      <c r="IV6" s="48"/>
      <c r="IW6" s="48"/>
      <c r="IX6" s="48"/>
      <c r="IY6" s="48"/>
      <c r="IZ6" s="48"/>
      <c r="JA6" s="48"/>
      <c r="JB6" s="48"/>
      <c r="JC6" s="48"/>
      <c r="JD6" s="48"/>
      <c r="JE6" s="48"/>
      <c r="JF6" s="48"/>
      <c r="JG6" s="48"/>
      <c r="JH6" s="48"/>
      <c r="JI6" s="48"/>
      <c r="JJ6" s="48"/>
      <c r="JK6" s="48"/>
      <c r="JL6" s="48"/>
      <c r="JM6" s="48"/>
      <c r="JN6" s="48"/>
      <c r="JO6" s="48"/>
      <c r="JP6" s="48"/>
      <c r="JQ6" s="48"/>
      <c r="JR6" s="48"/>
      <c r="JS6" s="48"/>
      <c r="JT6" s="48"/>
      <c r="JU6" s="48"/>
      <c r="JV6" s="48"/>
      <c r="JW6" s="48"/>
      <c r="JX6" s="48"/>
      <c r="JY6" s="48"/>
      <c r="JZ6" s="48"/>
      <c r="KA6" s="48"/>
      <c r="KB6" s="48"/>
      <c r="KC6" s="48"/>
      <c r="KD6" s="48"/>
      <c r="KE6" s="48"/>
      <c r="KF6" s="48"/>
      <c r="KG6" s="48"/>
      <c r="KH6" s="48"/>
      <c r="KI6" s="48"/>
      <c r="KJ6" s="48"/>
      <c r="KK6" s="48"/>
      <c r="KL6" s="48"/>
      <c r="KM6" s="48"/>
      <c r="KN6" s="48"/>
      <c r="KO6" s="48"/>
      <c r="KP6" s="48"/>
      <c r="KQ6" s="48"/>
      <c r="KR6" s="48"/>
      <c r="KS6" s="48"/>
      <c r="KT6" s="48"/>
      <c r="KU6" s="48"/>
      <c r="KV6" s="48"/>
      <c r="KW6" s="48"/>
      <c r="KX6" s="48"/>
      <c r="KY6" s="48"/>
      <c r="KZ6" s="48"/>
      <c r="LA6" s="48"/>
      <c r="LB6" s="48"/>
      <c r="LC6" s="48"/>
      <c r="LD6" s="48"/>
      <c r="LE6" s="48"/>
      <c r="LF6" s="48"/>
      <c r="LG6" s="48"/>
      <c r="LH6" s="48"/>
      <c r="LI6" s="48"/>
      <c r="LJ6" s="48"/>
      <c r="LK6" s="48"/>
      <c r="LL6" s="48"/>
      <c r="LM6" s="48"/>
      <c r="LN6" s="48"/>
      <c r="LO6" s="48"/>
      <c r="LP6" s="48"/>
      <c r="LQ6" s="48"/>
      <c r="LR6" s="48"/>
      <c r="LS6" s="48"/>
      <c r="LT6" s="48"/>
      <c r="LU6" s="48"/>
      <c r="LV6" s="48"/>
      <c r="LW6" s="48"/>
      <c r="LX6" s="48"/>
      <c r="LY6" s="48"/>
      <c r="LZ6" s="48"/>
      <c r="MA6" s="48"/>
      <c r="MB6" s="48"/>
      <c r="MC6" s="48"/>
      <c r="MD6" s="48"/>
      <c r="ME6" s="48"/>
      <c r="MF6" s="48"/>
      <c r="MG6" s="48"/>
      <c r="MH6" s="48"/>
      <c r="MI6" s="48"/>
      <c r="MJ6" s="48"/>
      <c r="MK6" s="48"/>
      <c r="ML6" s="48"/>
      <c r="MM6" s="48"/>
      <c r="MN6" s="48"/>
      <c r="MO6" s="48"/>
      <c r="MP6" s="48"/>
      <c r="MQ6" s="48"/>
      <c r="MR6" s="48"/>
      <c r="MS6" s="48"/>
      <c r="MT6" s="48"/>
      <c r="MU6" s="48"/>
      <c r="MV6" s="48"/>
      <c r="MW6" s="48"/>
      <c r="MX6" s="48"/>
      <c r="MY6" s="48"/>
      <c r="MZ6" s="48"/>
      <c r="NA6" s="48"/>
      <c r="NB6" s="48"/>
      <c r="NC6" s="48"/>
      <c r="ND6" s="48"/>
      <c r="NE6" s="48"/>
      <c r="NF6" s="48"/>
      <c r="NG6" s="48"/>
      <c r="NH6" s="48"/>
      <c r="NI6" s="48"/>
      <c r="NJ6" s="48"/>
      <c r="NK6" s="48"/>
      <c r="NL6" s="48"/>
      <c r="NM6" s="48"/>
      <c r="NN6" s="48"/>
      <c r="NO6" s="48"/>
      <c r="NP6" s="48"/>
      <c r="NQ6" s="48"/>
      <c r="NR6" s="48"/>
      <c r="NS6" s="48"/>
      <c r="NT6" s="48"/>
      <c r="NU6" s="48"/>
      <c r="NV6" s="48"/>
      <c r="NW6" s="48"/>
      <c r="NX6" s="48"/>
      <c r="NY6" s="48"/>
      <c r="NZ6" s="48"/>
      <c r="OA6" s="48"/>
      <c r="OB6" s="48"/>
      <c r="OC6" s="48"/>
      <c r="OD6" s="48"/>
      <c r="OE6" s="48"/>
      <c r="OF6" s="48"/>
      <c r="OG6" s="48"/>
      <c r="OH6" s="48"/>
      <c r="OI6" s="48"/>
      <c r="OJ6" s="48"/>
      <c r="OK6" s="48"/>
      <c r="OL6" s="48"/>
      <c r="OM6" s="48"/>
      <c r="ON6" s="48"/>
      <c r="OO6" s="48"/>
      <c r="OP6" s="48"/>
      <c r="OQ6" s="48"/>
      <c r="OR6" s="48"/>
      <c r="OS6" s="48"/>
      <c r="OT6" s="48"/>
      <c r="OU6" s="48"/>
      <c r="OV6" s="48"/>
      <c r="OW6" s="48"/>
      <c r="OX6" s="48"/>
      <c r="OY6" s="48"/>
      <c r="OZ6" s="48"/>
      <c r="PA6" s="48"/>
      <c r="PB6" s="48"/>
      <c r="PC6" s="48"/>
      <c r="PD6" s="48"/>
      <c r="PE6" s="48"/>
      <c r="PF6" s="48"/>
      <c r="PG6" s="48"/>
      <c r="PH6" s="48"/>
      <c r="PI6" s="48"/>
      <c r="PJ6" s="48"/>
      <c r="PK6" s="48"/>
      <c r="PL6" s="48"/>
      <c r="PM6" s="48"/>
      <c r="PN6" s="48"/>
      <c r="PO6" s="48"/>
      <c r="PP6" s="48"/>
      <c r="PQ6" s="48"/>
      <c r="PR6" s="48"/>
      <c r="PS6" s="48"/>
      <c r="PT6" s="48"/>
      <c r="PU6" s="48"/>
      <c r="PV6" s="48"/>
      <c r="PW6" s="48"/>
      <c r="PX6" s="48"/>
      <c r="PY6" s="48"/>
      <c r="PZ6" s="48"/>
      <c r="QA6" s="48"/>
      <c r="QB6" s="48"/>
      <c r="QC6" s="48"/>
      <c r="QD6" s="48"/>
      <c r="QE6" s="48"/>
      <c r="QF6" s="48"/>
      <c r="QG6" s="48"/>
      <c r="QH6" s="48"/>
      <c r="QI6" s="48"/>
      <c r="QJ6" s="48"/>
      <c r="QK6" s="48"/>
      <c r="QL6" s="48"/>
      <c r="QM6" s="48"/>
      <c r="QN6" s="48"/>
      <c r="QO6" s="48"/>
      <c r="QP6" s="48"/>
      <c r="QQ6" s="48"/>
      <c r="QR6" s="48"/>
      <c r="QS6" s="48"/>
      <c r="QT6" s="48"/>
      <c r="QU6" s="48"/>
      <c r="QV6" s="48"/>
      <c r="QW6" s="48"/>
      <c r="QX6" s="48"/>
      <c r="QY6" s="48"/>
      <c r="QZ6" s="48"/>
      <c r="RA6" s="48"/>
      <c r="RB6" s="48"/>
      <c r="RC6" s="48"/>
      <c r="RD6" s="48"/>
      <c r="RE6" s="48"/>
      <c r="RF6" s="48"/>
      <c r="RG6" s="48"/>
      <c r="RH6" s="48"/>
      <c r="RI6" s="48"/>
      <c r="RJ6" s="48"/>
      <c r="RK6" s="48"/>
      <c r="RL6" s="48"/>
      <c r="RM6" s="48"/>
      <c r="RN6" s="48"/>
      <c r="RO6" s="48"/>
      <c r="RP6" s="48"/>
      <c r="RQ6" s="48"/>
      <c r="RR6" s="48"/>
      <c r="RS6" s="48"/>
      <c r="RT6" s="48"/>
      <c r="RU6" s="48"/>
      <c r="RV6" s="48"/>
      <c r="RW6" s="48"/>
      <c r="RX6" s="48"/>
      <c r="RY6" s="48"/>
      <c r="RZ6" s="48"/>
      <c r="SA6" s="48"/>
      <c r="SB6" s="48"/>
      <c r="SC6" s="48"/>
      <c r="SD6" s="48"/>
      <c r="SE6" s="48"/>
      <c r="SF6" s="48"/>
      <c r="SG6" s="48"/>
      <c r="SH6" s="48"/>
      <c r="SI6" s="48"/>
      <c r="SJ6" s="48"/>
      <c r="SK6" s="48"/>
      <c r="SL6" s="48"/>
      <c r="SM6" s="48"/>
      <c r="SN6" s="48"/>
      <c r="SO6" s="48"/>
      <c r="SP6" s="48"/>
      <c r="SQ6" s="48"/>
      <c r="SR6" s="48"/>
      <c r="SS6" s="48"/>
      <c r="ST6" s="48"/>
      <c r="SU6" s="48"/>
      <c r="SV6" s="48"/>
      <c r="SW6" s="48"/>
      <c r="SX6" s="48"/>
      <c r="SY6" s="48"/>
      <c r="SZ6" s="48"/>
      <c r="TA6" s="48"/>
      <c r="TB6" s="48"/>
      <c r="TC6" s="48"/>
      <c r="TD6" s="48"/>
      <c r="TE6" s="48"/>
      <c r="TF6" s="48"/>
      <c r="TG6" s="48"/>
      <c r="TH6" s="48"/>
      <c r="TI6" s="48"/>
      <c r="TJ6" s="48"/>
      <c r="TK6" s="48"/>
      <c r="TL6" s="48"/>
      <c r="TM6" s="48"/>
      <c r="TN6" s="48"/>
      <c r="TO6" s="48"/>
      <c r="TP6" s="48"/>
      <c r="TQ6" s="48"/>
      <c r="TR6" s="48"/>
      <c r="TS6" s="48"/>
      <c r="TT6" s="48"/>
      <c r="TU6" s="48"/>
      <c r="TV6" s="48"/>
      <c r="TW6" s="48"/>
      <c r="TX6" s="48"/>
      <c r="TY6" s="48"/>
      <c r="TZ6" s="48"/>
      <c r="UA6" s="48"/>
      <c r="UB6" s="48"/>
      <c r="UC6" s="48"/>
      <c r="UD6" s="48"/>
      <c r="UE6" s="48"/>
      <c r="UF6" s="48"/>
      <c r="UG6" s="48"/>
      <c r="UH6" s="48"/>
      <c r="UI6" s="48"/>
      <c r="UJ6" s="48"/>
      <c r="UK6" s="48"/>
      <c r="UL6" s="48"/>
      <c r="UM6" s="48"/>
      <c r="UN6" s="48"/>
      <c r="UO6" s="48"/>
      <c r="UP6" s="48"/>
      <c r="UQ6" s="48"/>
      <c r="UR6" s="48"/>
      <c r="US6" s="48"/>
      <c r="UT6" s="48"/>
      <c r="UU6" s="48"/>
      <c r="UV6" s="48"/>
      <c r="UW6" s="48"/>
      <c r="UX6" s="48"/>
      <c r="UY6" s="48"/>
      <c r="UZ6" s="48"/>
      <c r="VA6" s="48"/>
      <c r="VB6" s="48"/>
      <c r="VC6" s="48"/>
      <c r="VD6" s="48"/>
      <c r="VE6" s="48"/>
      <c r="VF6" s="48"/>
      <c r="VG6" s="48"/>
      <c r="VH6" s="48"/>
      <c r="VI6" s="48"/>
      <c r="VJ6" s="48"/>
      <c r="VK6" s="48"/>
      <c r="VL6" s="48"/>
      <c r="VM6" s="48"/>
      <c r="VN6" s="48"/>
      <c r="VO6" s="48"/>
      <c r="VP6" s="48"/>
      <c r="VQ6" s="48"/>
      <c r="VR6" s="48"/>
      <c r="VS6" s="48"/>
      <c r="VT6" s="48"/>
      <c r="VU6" s="48"/>
      <c r="VV6" s="48"/>
      <c r="VW6" s="48"/>
      <c r="VX6" s="48"/>
      <c r="VY6" s="48"/>
      <c r="VZ6" s="48"/>
      <c r="WA6" s="48"/>
      <c r="WB6" s="48"/>
      <c r="WC6" s="48"/>
      <c r="WD6" s="48"/>
      <c r="WE6" s="48"/>
      <c r="WF6" s="48"/>
      <c r="WG6" s="48"/>
      <c r="WH6" s="48"/>
      <c r="WI6" s="48"/>
      <c r="WJ6" s="48"/>
      <c r="WK6" s="48"/>
      <c r="WL6" s="48"/>
      <c r="WM6" s="48"/>
      <c r="WN6" s="48"/>
      <c r="WO6" s="48"/>
      <c r="WP6" s="48"/>
      <c r="WQ6" s="48"/>
      <c r="WR6" s="48"/>
      <c r="WS6" s="48"/>
      <c r="WT6" s="48"/>
      <c r="WU6" s="48"/>
      <c r="WV6" s="48"/>
      <c r="WW6" s="48"/>
      <c r="WX6" s="48"/>
      <c r="WY6" s="48"/>
      <c r="WZ6" s="48"/>
      <c r="XA6" s="48"/>
      <c r="XB6" s="48"/>
      <c r="XC6" s="48"/>
      <c r="XD6" s="48"/>
      <c r="XE6" s="48"/>
      <c r="XF6" s="48"/>
      <c r="XG6" s="48"/>
      <c r="XH6" s="48"/>
      <c r="XI6" s="48"/>
      <c r="XJ6" s="48"/>
      <c r="XK6" s="48"/>
      <c r="XL6" s="48"/>
      <c r="XM6" s="48"/>
      <c r="XN6" s="48"/>
      <c r="XO6" s="48"/>
      <c r="XP6" s="48"/>
      <c r="XQ6" s="48"/>
      <c r="XR6" s="48"/>
      <c r="XS6" s="48"/>
      <c r="XT6" s="48"/>
      <c r="XU6" s="48"/>
      <c r="XV6" s="48"/>
      <c r="XW6" s="48"/>
      <c r="XX6" s="48"/>
      <c r="XY6" s="48"/>
      <c r="XZ6" s="48"/>
      <c r="YA6" s="48"/>
      <c r="YB6" s="48"/>
      <c r="YC6" s="48"/>
      <c r="YD6" s="48"/>
      <c r="YE6" s="48"/>
      <c r="YF6" s="48"/>
      <c r="YG6" s="48"/>
      <c r="YH6" s="48"/>
      <c r="YI6" s="48"/>
      <c r="YJ6" s="48"/>
      <c r="YK6" s="48"/>
      <c r="YL6" s="48"/>
      <c r="YM6" s="48"/>
      <c r="YN6" s="48"/>
      <c r="YO6" s="48"/>
      <c r="YP6" s="48"/>
      <c r="YQ6" s="48"/>
      <c r="YR6" s="48"/>
      <c r="YS6" s="48"/>
      <c r="YT6" s="48"/>
      <c r="YU6" s="48"/>
      <c r="YV6" s="48"/>
      <c r="YW6" s="48"/>
      <c r="YX6" s="48"/>
      <c r="YY6" s="48"/>
      <c r="YZ6" s="48"/>
      <c r="ZA6" s="48"/>
      <c r="ZB6" s="48"/>
      <c r="ZC6" s="48"/>
      <c r="ZD6" s="48"/>
      <c r="ZE6" s="48"/>
      <c r="ZF6" s="48"/>
      <c r="ZG6" s="48"/>
      <c r="ZH6" s="48"/>
      <c r="ZI6" s="48"/>
      <c r="ZJ6" s="48"/>
      <c r="ZK6" s="48"/>
      <c r="ZL6" s="48"/>
      <c r="ZM6" s="48"/>
      <c r="ZN6" s="48"/>
      <c r="ZO6" s="48"/>
      <c r="ZP6" s="48"/>
      <c r="ZQ6" s="48"/>
      <c r="ZR6" s="48"/>
      <c r="ZS6" s="48"/>
      <c r="ZT6" s="48"/>
      <c r="ZU6" s="48"/>
      <c r="ZV6" s="48"/>
      <c r="ZW6" s="48"/>
      <c r="ZX6" s="48"/>
      <c r="ZY6" s="48"/>
      <c r="ZZ6" s="48"/>
      <c r="AAA6" s="48"/>
      <c r="AAB6" s="48"/>
      <c r="AAC6" s="48"/>
      <c r="AAD6" s="48"/>
      <c r="AAE6" s="48"/>
      <c r="AAF6" s="48"/>
      <c r="AAG6" s="48"/>
      <c r="AAH6" s="48"/>
      <c r="AAI6" s="48"/>
      <c r="AAJ6" s="48"/>
      <c r="AAK6" s="48"/>
      <c r="AAL6" s="48"/>
      <c r="AAM6" s="48"/>
      <c r="AAN6" s="48"/>
      <c r="AAO6" s="48"/>
      <c r="AAP6" s="48"/>
      <c r="AAQ6" s="48"/>
      <c r="AAR6" s="48"/>
      <c r="AAS6" s="48"/>
      <c r="AAT6" s="48"/>
      <c r="AAU6" s="48"/>
      <c r="AAV6" s="48"/>
      <c r="AAW6" s="48"/>
      <c r="AAX6" s="48"/>
      <c r="AAY6" s="48"/>
      <c r="AAZ6" s="48"/>
      <c r="ABA6" s="48"/>
      <c r="ABB6" s="48"/>
      <c r="ABC6" s="48"/>
      <c r="ABD6" s="48"/>
      <c r="ABE6" s="48"/>
      <c r="ABF6" s="48"/>
      <c r="ABG6" s="48"/>
      <c r="ABH6" s="48"/>
      <c r="ABI6" s="48"/>
      <c r="ABJ6" s="48"/>
      <c r="ABK6" s="48"/>
      <c r="ABL6" s="48"/>
      <c r="ABM6" s="48"/>
      <c r="ABN6" s="48"/>
      <c r="ABO6" s="48"/>
      <c r="ABP6" s="48"/>
      <c r="ABQ6" s="48"/>
      <c r="ABR6" s="48"/>
      <c r="ABS6" s="48"/>
      <c r="ABT6" s="48"/>
      <c r="ABU6" s="48"/>
      <c r="ABV6" s="48"/>
      <c r="ABW6" s="48"/>
      <c r="ABX6" s="48"/>
      <c r="ABY6" s="48"/>
      <c r="ABZ6" s="48"/>
      <c r="ACA6" s="48"/>
      <c r="ACB6" s="48"/>
      <c r="ACC6" s="48"/>
      <c r="ACD6" s="48"/>
      <c r="ACE6" s="48"/>
      <c r="ACF6" s="48"/>
      <c r="ACG6" s="48"/>
      <c r="ACH6" s="48"/>
      <c r="ACI6" s="48"/>
      <c r="ACJ6" s="48"/>
      <c r="ACK6" s="48"/>
      <c r="ACL6" s="48"/>
      <c r="ACM6" s="48"/>
      <c r="ACN6" s="48"/>
      <c r="ACO6" s="48"/>
      <c r="ACP6" s="48"/>
      <c r="ACQ6" s="48"/>
      <c r="ACR6" s="48"/>
      <c r="ACS6" s="48"/>
      <c r="ACT6" s="48"/>
      <c r="ACU6" s="48"/>
      <c r="ACV6" s="48"/>
      <c r="ACW6" s="48"/>
      <c r="ACX6" s="48"/>
      <c r="ACY6" s="48"/>
      <c r="ACZ6" s="48"/>
      <c r="ADA6" s="48"/>
      <c r="ADB6" s="48"/>
      <c r="ADC6" s="48"/>
      <c r="ADD6" s="48"/>
      <c r="ADE6" s="48"/>
      <c r="ADF6" s="48"/>
      <c r="ADG6" s="48"/>
      <c r="ADH6" s="48"/>
      <c r="ADI6" s="48"/>
      <c r="ADJ6" s="48"/>
      <c r="ADK6" s="48"/>
      <c r="ADL6" s="48"/>
      <c r="ADM6" s="48"/>
      <c r="ADN6" s="48"/>
      <c r="ADO6" s="48"/>
      <c r="ADP6" s="48"/>
      <c r="ADQ6" s="48"/>
      <c r="ADR6" s="48"/>
      <c r="ADS6" s="48"/>
      <c r="ADT6" s="48"/>
      <c r="ADU6" s="48"/>
      <c r="ADV6" s="48"/>
      <c r="ADW6" s="48"/>
      <c r="ADX6" s="48"/>
      <c r="ADY6" s="48"/>
      <c r="ADZ6" s="48"/>
      <c r="AEA6" s="48"/>
      <c r="AEB6" s="48"/>
      <c r="AEC6" s="48"/>
      <c r="AED6" s="48"/>
      <c r="AEE6" s="48"/>
      <c r="AEF6" s="48"/>
      <c r="AEG6" s="48"/>
      <c r="AEH6" s="48"/>
      <c r="AEI6" s="48"/>
      <c r="AEJ6" s="48"/>
      <c r="AEK6" s="48"/>
      <c r="AEL6" s="48"/>
      <c r="AEM6" s="48"/>
      <c r="AEN6" s="48"/>
      <c r="AEO6" s="48"/>
      <c r="AEP6" s="48"/>
      <c r="AEQ6" s="48"/>
      <c r="AER6" s="48"/>
      <c r="AES6" s="48"/>
      <c r="AET6" s="48"/>
      <c r="AEU6" s="48"/>
      <c r="AEV6" s="48"/>
      <c r="AEW6" s="48"/>
      <c r="AEX6" s="48"/>
      <c r="AEY6" s="48"/>
      <c r="AEZ6" s="48"/>
      <c r="AFA6" s="48"/>
      <c r="AFB6" s="48"/>
      <c r="AFC6" s="48"/>
      <c r="AFD6" s="48"/>
      <c r="AFE6" s="48"/>
      <c r="AFF6" s="48"/>
      <c r="AFG6" s="48"/>
      <c r="AFH6" s="48"/>
      <c r="AFI6" s="48"/>
      <c r="AFJ6" s="48"/>
      <c r="AFK6" s="48"/>
      <c r="AFL6" s="48"/>
      <c r="AFM6" s="48"/>
      <c r="AFN6" s="48"/>
      <c r="AFO6" s="48"/>
      <c r="AFP6" s="48"/>
      <c r="AFQ6" s="48"/>
      <c r="AFR6" s="48"/>
      <c r="AFS6" s="48"/>
      <c r="AFT6" s="48"/>
      <c r="AFU6" s="48"/>
      <c r="AFV6" s="48"/>
      <c r="AFW6" s="48"/>
      <c r="AFX6" s="48"/>
      <c r="AFY6" s="48"/>
      <c r="AFZ6" s="48"/>
      <c r="AGA6" s="48"/>
      <c r="AGB6" s="48"/>
      <c r="AGC6" s="48"/>
      <c r="AGD6" s="48"/>
      <c r="AGE6" s="48"/>
      <c r="AGF6" s="48"/>
      <c r="AGG6" s="48"/>
      <c r="AGH6" s="48"/>
      <c r="AGI6" s="48"/>
      <c r="AGJ6" s="48"/>
      <c r="AGK6" s="48"/>
      <c r="AGL6" s="48"/>
      <c r="AGM6" s="48"/>
      <c r="AGN6" s="48"/>
      <c r="AGO6" s="48"/>
      <c r="AGP6" s="48"/>
      <c r="AGQ6" s="48"/>
      <c r="AGR6" s="48"/>
      <c r="AGS6" s="48"/>
      <c r="AGT6" s="48"/>
      <c r="AGU6" s="48"/>
      <c r="AGV6" s="48"/>
      <c r="AGW6" s="48"/>
      <c r="AGX6" s="48"/>
      <c r="AGY6" s="48"/>
      <c r="AGZ6" s="48"/>
      <c r="AHA6" s="48"/>
      <c r="AHB6" s="48"/>
      <c r="AHC6" s="48"/>
      <c r="AHD6" s="48"/>
      <c r="AHE6" s="48"/>
      <c r="AHF6" s="48"/>
      <c r="AHG6" s="48"/>
      <c r="AHH6" s="48"/>
      <c r="AHI6" s="48"/>
      <c r="AHJ6" s="48"/>
      <c r="AHK6" s="48"/>
      <c r="AHL6" s="48"/>
      <c r="AHM6" s="48"/>
      <c r="AHN6" s="48"/>
      <c r="AHO6" s="48"/>
      <c r="AHP6" s="48"/>
      <c r="AHQ6" s="48"/>
      <c r="AHR6" s="48"/>
      <c r="AHS6" s="48"/>
      <c r="AHT6" s="48"/>
      <c r="AHU6" s="48"/>
      <c r="AHV6" s="48"/>
      <c r="AHW6" s="48"/>
      <c r="AHX6" s="48"/>
      <c r="AHY6" s="48"/>
      <c r="AHZ6" s="48"/>
      <c r="AIA6" s="48"/>
      <c r="AIB6" s="48"/>
      <c r="AIC6" s="48"/>
      <c r="AID6" s="48"/>
      <c r="AIE6" s="48"/>
      <c r="AIF6" s="48"/>
      <c r="AIG6" s="48"/>
      <c r="AIH6" s="48"/>
      <c r="AII6" s="48"/>
      <c r="AIJ6" s="48"/>
      <c r="AIK6" s="48"/>
      <c r="AIL6" s="48"/>
      <c r="AIM6" s="48"/>
      <c r="AIN6" s="48"/>
      <c r="AIO6" s="48"/>
      <c r="AIP6" s="48"/>
      <c r="AIQ6" s="48"/>
      <c r="AIR6" s="48"/>
      <c r="AIS6" s="48"/>
      <c r="AIT6" s="48"/>
      <c r="AIU6" s="48"/>
      <c r="AIV6" s="48"/>
      <c r="AIW6" s="48"/>
      <c r="AIX6" s="48"/>
      <c r="AIY6" s="48"/>
      <c r="AIZ6" s="48"/>
      <c r="AJA6" s="48"/>
      <c r="AJB6" s="48"/>
      <c r="AJC6" s="48"/>
      <c r="AJD6" s="48"/>
      <c r="AJE6" s="48"/>
      <c r="AJF6" s="48"/>
      <c r="AJG6" s="48"/>
      <c r="AJH6" s="48"/>
      <c r="AJI6" s="48"/>
      <c r="AJJ6" s="48"/>
      <c r="AJK6" s="48"/>
      <c r="AJL6" s="48"/>
      <c r="AJM6" s="48"/>
      <c r="AJN6" s="48"/>
      <c r="AJO6" s="48"/>
      <c r="AJP6" s="48"/>
      <c r="AJQ6" s="48"/>
      <c r="AJR6" s="48"/>
      <c r="AJS6" s="48"/>
      <c r="AJT6" s="48"/>
      <c r="AJU6" s="48"/>
      <c r="AJV6" s="48"/>
      <c r="AJW6" s="48"/>
      <c r="AJX6" s="48"/>
      <c r="AJY6" s="48"/>
      <c r="AJZ6" s="48"/>
      <c r="AKA6" s="48"/>
      <c r="AKB6" s="48"/>
      <c r="AKC6" s="48"/>
      <c r="AKD6" s="48"/>
      <c r="AKE6" s="48"/>
      <c r="AKF6" s="48"/>
      <c r="AKG6" s="48"/>
      <c r="AKH6" s="48"/>
      <c r="AKI6" s="48"/>
      <c r="AKJ6" s="48"/>
      <c r="AKK6" s="48"/>
      <c r="AKL6" s="48"/>
      <c r="AKM6" s="48"/>
      <c r="AKN6" s="48"/>
      <c r="AKO6" s="48"/>
      <c r="AKP6" s="48"/>
      <c r="AKQ6" s="48"/>
      <c r="AKR6" s="48"/>
      <c r="AKS6" s="48"/>
      <c r="AKT6" s="48"/>
      <c r="AKU6" s="48"/>
      <c r="AKV6" s="48"/>
      <c r="AKW6" s="48"/>
      <c r="AKX6" s="48"/>
      <c r="AKY6" s="48"/>
      <c r="AKZ6" s="48"/>
      <c r="ALA6" s="48"/>
      <c r="ALB6" s="48"/>
      <c r="ALC6" s="48"/>
      <c r="ALD6" s="48"/>
      <c r="ALE6" s="48"/>
      <c r="ALF6" s="48"/>
      <c r="ALG6" s="48"/>
      <c r="ALH6" s="48"/>
      <c r="ALI6" s="48"/>
      <c r="ALJ6" s="48"/>
      <c r="ALK6" s="48"/>
      <c r="ALL6" s="48"/>
      <c r="ALM6" s="48"/>
      <c r="ALN6" s="48"/>
      <c r="ALO6" s="48"/>
      <c r="ALP6" s="48"/>
      <c r="ALQ6" s="48"/>
      <c r="ALR6" s="48"/>
      <c r="ALS6" s="48"/>
      <c r="ALT6" s="48"/>
      <c r="ALU6" s="48"/>
      <c r="ALV6" s="48"/>
      <c r="ALW6" s="48"/>
      <c r="ALX6" s="48"/>
      <c r="ALY6" s="48"/>
      <c r="ALZ6" s="48"/>
      <c r="AMA6" s="48"/>
      <c r="AMB6" s="48"/>
      <c r="AMC6" s="48"/>
      <c r="AMD6" s="48"/>
      <c r="AME6" s="48"/>
      <c r="AMF6" s="48"/>
      <c r="AMG6" s="48"/>
      <c r="AMH6" s="48"/>
      <c r="AMI6" s="48"/>
      <c r="AMJ6" s="48"/>
      <c r="AMK6" s="48"/>
      <c r="AML6" s="48"/>
    </row>
    <row r="7" ht="15.75" customHeight="1">
      <c r="A7" s="8" t="s">
        <v>112</v>
      </c>
      <c r="B7" s="8" t="s">
        <v>50</v>
      </c>
      <c r="C7" s="8" t="s">
        <v>116</v>
      </c>
      <c r="D7" s="8">
        <v>100.0</v>
      </c>
      <c r="E7" s="8">
        <v>100.0</v>
      </c>
      <c r="F7" s="8" t="s">
        <v>112</v>
      </c>
      <c r="G7" s="8" t="s">
        <v>113</v>
      </c>
      <c r="H7" s="8" t="s">
        <v>112</v>
      </c>
      <c r="I7" s="8" t="s">
        <v>112</v>
      </c>
      <c r="J7" s="8" t="s">
        <v>112</v>
      </c>
      <c r="K7" s="8" t="s">
        <v>120</v>
      </c>
      <c r="L7" s="8" t="s">
        <v>64</v>
      </c>
      <c r="M7" s="8" t="s">
        <v>117</v>
      </c>
      <c r="N7" s="8" t="s">
        <v>112</v>
      </c>
      <c r="O7" s="8" t="s">
        <v>112</v>
      </c>
      <c r="P7" t="s">
        <v>112</v>
      </c>
      <c r="Q7" t="s">
        <v>112</v>
      </c>
      <c r="R7" t="s">
        <v>119</v>
      </c>
      <c r="V7" t="s">
        <v>112</v>
      </c>
      <c r="W7" t="s">
        <v>118</v>
      </c>
      <c r="X7" t="s">
        <v>132</v>
      </c>
      <c r="Y7">
        <v>1.0</v>
      </c>
      <c r="Z7" t="s">
        <v>112</v>
      </c>
      <c r="AB7" t="s">
        <v>112</v>
      </c>
      <c r="AC7" t="s">
        <v>112</v>
      </c>
      <c r="AD7" t="s">
        <v>112</v>
      </c>
      <c r="AF7" t="s">
        <v>112</v>
      </c>
      <c r="AG7" t="s">
        <v>65</v>
      </c>
      <c r="AH7" t="s">
        <v>112</v>
      </c>
      <c r="AJ7" t="s">
        <v>112</v>
      </c>
      <c r="AK7" t="s">
        <v>112</v>
      </c>
      <c r="AR7" t="s">
        <v>133</v>
      </c>
      <c r="AV7" t="s">
        <v>121</v>
      </c>
      <c r="AX7" t="s">
        <v>112</v>
      </c>
      <c r="AY7" t="s">
        <v>112</v>
      </c>
      <c r="AZ7" t="s">
        <v>112</v>
      </c>
      <c r="BA7" t="s">
        <v>134</v>
      </c>
      <c r="BB7" t="s">
        <v>119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112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112</v>
      </c>
      <c r="BQ7" t="s">
        <v>112</v>
      </c>
      <c r="BR7" t="s">
        <v>112</v>
      </c>
      <c r="BS7" t="s">
        <v>112</v>
      </c>
      <c r="BT7" t="s">
        <v>112</v>
      </c>
      <c r="BU7" t="s">
        <v>112</v>
      </c>
      <c r="BV7" t="s">
        <v>112</v>
      </c>
      <c r="BW7" t="s">
        <v>112</v>
      </c>
      <c r="BX7" t="s">
        <v>112</v>
      </c>
      <c r="BY7" t="s">
        <v>112</v>
      </c>
      <c r="BZ7" t="s">
        <v>112</v>
      </c>
      <c r="CA7" t="s">
        <v>112</v>
      </c>
      <c r="CB7" t="s">
        <v>112</v>
      </c>
      <c r="CC7" t="s">
        <v>112</v>
      </c>
      <c r="CD7" t="s">
        <v>112</v>
      </c>
      <c r="CE7" t="s">
        <v>112</v>
      </c>
      <c r="CF7" t="s">
        <v>112</v>
      </c>
      <c r="CG7" t="s">
        <v>112</v>
      </c>
      <c r="CH7" t="s">
        <v>112</v>
      </c>
      <c r="CI7" t="s">
        <v>112</v>
      </c>
      <c r="CJ7" t="s">
        <v>112</v>
      </c>
      <c r="CK7" t="s">
        <v>112</v>
      </c>
      <c r="CL7" t="s">
        <v>112</v>
      </c>
      <c r="CM7" t="s">
        <v>112</v>
      </c>
      <c r="CN7" t="s">
        <v>112</v>
      </c>
      <c r="CO7" t="s">
        <v>112</v>
      </c>
      <c r="CP7" t="s">
        <v>112</v>
      </c>
      <c r="CQ7" t="s">
        <v>112</v>
      </c>
      <c r="CR7" t="s">
        <v>112</v>
      </c>
      <c r="CS7" t="s">
        <v>112</v>
      </c>
      <c r="CT7" t="s">
        <v>112</v>
      </c>
      <c r="CU7" t="s">
        <v>112</v>
      </c>
      <c r="CV7" t="s">
        <v>112</v>
      </c>
      <c r="CW7" t="s">
        <v>112</v>
      </c>
      <c r="CX7" t="s">
        <v>112</v>
      </c>
      <c r="CY7" t="s">
        <v>112</v>
      </c>
      <c r="CZ7" t="s">
        <v>112</v>
      </c>
      <c r="DA7" t="s">
        <v>112</v>
      </c>
      <c r="DB7" t="s">
        <v>112</v>
      </c>
      <c r="DC7" t="s">
        <v>112</v>
      </c>
      <c r="DD7" t="s">
        <v>112</v>
      </c>
      <c r="DE7" t="s">
        <v>112</v>
      </c>
      <c r="DF7" t="s">
        <v>112</v>
      </c>
      <c r="DG7" t="s">
        <v>112</v>
      </c>
      <c r="DH7" t="s">
        <v>112</v>
      </c>
      <c r="DI7" t="s">
        <v>112</v>
      </c>
      <c r="DJ7" t="s">
        <v>112</v>
      </c>
      <c r="DK7" t="s">
        <v>112</v>
      </c>
      <c r="DL7" t="s">
        <v>112</v>
      </c>
      <c r="DM7" t="s">
        <v>112</v>
      </c>
      <c r="DN7" t="s">
        <v>112</v>
      </c>
      <c r="DO7" t="s">
        <v>112</v>
      </c>
      <c r="DP7" t="s">
        <v>112</v>
      </c>
      <c r="DQ7" t="s">
        <v>112</v>
      </c>
      <c r="DR7" t="s">
        <v>112</v>
      </c>
      <c r="DS7" t="s">
        <v>112</v>
      </c>
      <c r="DT7" t="s">
        <v>112</v>
      </c>
      <c r="DU7" t="s">
        <v>112</v>
      </c>
      <c r="DV7" t="s">
        <v>112</v>
      </c>
      <c r="DW7" t="s">
        <v>112</v>
      </c>
      <c r="DX7" t="s">
        <v>112</v>
      </c>
      <c r="DY7" t="s">
        <v>112</v>
      </c>
      <c r="DZ7" t="s">
        <v>112</v>
      </c>
      <c r="EA7" t="s">
        <v>112</v>
      </c>
      <c r="EB7" t="s">
        <v>112</v>
      </c>
      <c r="EC7" t="s">
        <v>112</v>
      </c>
      <c r="ED7" t="s">
        <v>112</v>
      </c>
      <c r="EE7" t="s">
        <v>112</v>
      </c>
      <c r="EF7" t="s">
        <v>112</v>
      </c>
      <c r="EG7" t="s">
        <v>112</v>
      </c>
      <c r="EH7" t="s">
        <v>112</v>
      </c>
      <c r="EI7" t="s">
        <v>112</v>
      </c>
      <c r="EJ7" t="s">
        <v>112</v>
      </c>
      <c r="EK7" t="s">
        <v>112</v>
      </c>
      <c r="EL7" t="s">
        <v>112</v>
      </c>
      <c r="EM7" t="s">
        <v>112</v>
      </c>
      <c r="EN7" t="s">
        <v>112</v>
      </c>
      <c r="EO7" t="s">
        <v>112</v>
      </c>
      <c r="EP7" t="s">
        <v>112</v>
      </c>
      <c r="EQ7" t="s">
        <v>112</v>
      </c>
      <c r="ER7" t="s">
        <v>112</v>
      </c>
      <c r="ES7" t="s">
        <v>112</v>
      </c>
      <c r="ET7" t="s">
        <v>112</v>
      </c>
      <c r="EU7" t="s">
        <v>112</v>
      </c>
      <c r="EV7" t="s">
        <v>112</v>
      </c>
      <c r="EW7" t="s">
        <v>112</v>
      </c>
      <c r="EX7" t="s">
        <v>112</v>
      </c>
      <c r="EY7" t="s">
        <v>112</v>
      </c>
      <c r="EZ7" t="s">
        <v>112</v>
      </c>
      <c r="FA7" t="s">
        <v>112</v>
      </c>
      <c r="FB7" t="s">
        <v>112</v>
      </c>
      <c r="FC7" t="s">
        <v>112</v>
      </c>
      <c r="FD7" t="s">
        <v>112</v>
      </c>
      <c r="FE7" t="s">
        <v>112</v>
      </c>
      <c r="FF7" t="s">
        <v>112</v>
      </c>
      <c r="FG7" t="s">
        <v>112</v>
      </c>
      <c r="FH7" t="s">
        <v>112</v>
      </c>
      <c r="FI7" t="s">
        <v>112</v>
      </c>
      <c r="FJ7" t="s">
        <v>112</v>
      </c>
      <c r="FK7" t="s">
        <v>112</v>
      </c>
      <c r="FL7" t="s">
        <v>112</v>
      </c>
      <c r="FM7" t="s">
        <v>112</v>
      </c>
      <c r="FN7" t="s">
        <v>112</v>
      </c>
      <c r="FO7" t="s">
        <v>112</v>
      </c>
      <c r="FP7" t="s">
        <v>112</v>
      </c>
      <c r="FQ7" t="s">
        <v>112</v>
      </c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  <c r="HM7" s="48"/>
      <c r="HN7" s="48"/>
      <c r="HO7" s="48"/>
      <c r="HP7" s="48"/>
      <c r="HQ7" s="48"/>
      <c r="HR7" s="48"/>
      <c r="HS7" s="48"/>
      <c r="HT7" s="48"/>
      <c r="HU7" s="48"/>
      <c r="HV7" s="48"/>
      <c r="HW7" s="48"/>
      <c r="HX7" s="48"/>
      <c r="HY7" s="48"/>
      <c r="HZ7" s="48"/>
      <c r="IA7" s="48"/>
      <c r="IB7" s="48"/>
      <c r="IC7" s="48"/>
      <c r="ID7" s="48"/>
      <c r="IE7" s="48"/>
      <c r="IF7" s="48"/>
      <c r="IG7" s="48"/>
      <c r="IH7" s="48"/>
      <c r="II7" s="48"/>
      <c r="IJ7" s="48"/>
      <c r="IK7" s="48"/>
      <c r="IL7" s="48"/>
      <c r="IM7" s="48"/>
      <c r="IN7" s="48"/>
      <c r="IO7" s="48"/>
      <c r="IP7" s="48"/>
      <c r="IQ7" s="48"/>
      <c r="IR7" s="48"/>
      <c r="IS7" s="48"/>
      <c r="IT7" s="48"/>
      <c r="IU7" s="48"/>
      <c r="IV7" s="48"/>
      <c r="IW7" s="48"/>
      <c r="IX7" s="48"/>
      <c r="IY7" s="48"/>
      <c r="IZ7" s="48"/>
      <c r="JA7" s="48"/>
      <c r="JB7" s="48"/>
      <c r="JC7" s="48"/>
      <c r="JD7" s="48"/>
      <c r="JE7" s="48"/>
      <c r="JF7" s="48"/>
      <c r="JG7" s="48"/>
      <c r="JH7" s="48"/>
      <c r="JI7" s="48"/>
      <c r="JJ7" s="48"/>
      <c r="JK7" s="48"/>
      <c r="JL7" s="48"/>
      <c r="JM7" s="48"/>
      <c r="JN7" s="48"/>
      <c r="JO7" s="48"/>
      <c r="JP7" s="48"/>
      <c r="JQ7" s="48"/>
      <c r="JR7" s="48"/>
      <c r="JS7" s="48"/>
      <c r="JT7" s="48"/>
      <c r="JU7" s="48"/>
      <c r="JV7" s="48"/>
      <c r="JW7" s="48"/>
      <c r="JX7" s="48"/>
      <c r="JY7" s="48"/>
      <c r="JZ7" s="48"/>
      <c r="KA7" s="48"/>
      <c r="KB7" s="48"/>
      <c r="KC7" s="48"/>
      <c r="KD7" s="48"/>
      <c r="KE7" s="48"/>
      <c r="KF7" s="48"/>
      <c r="KG7" s="48"/>
      <c r="KH7" s="48"/>
      <c r="KI7" s="48"/>
      <c r="KJ7" s="48"/>
      <c r="KK7" s="48"/>
      <c r="KL7" s="48"/>
      <c r="KM7" s="48"/>
      <c r="KN7" s="48"/>
      <c r="KO7" s="48"/>
      <c r="KP7" s="48"/>
      <c r="KQ7" s="48"/>
      <c r="KR7" s="48"/>
      <c r="KS7" s="48"/>
      <c r="KT7" s="48"/>
      <c r="KU7" s="48"/>
      <c r="KV7" s="48"/>
      <c r="KW7" s="48"/>
      <c r="KX7" s="48"/>
      <c r="KY7" s="48"/>
      <c r="KZ7" s="48"/>
      <c r="LA7" s="48"/>
      <c r="LB7" s="48"/>
      <c r="LC7" s="48"/>
      <c r="LD7" s="48"/>
      <c r="LE7" s="48"/>
      <c r="LF7" s="48"/>
      <c r="LG7" s="48"/>
      <c r="LH7" s="48"/>
      <c r="LI7" s="48"/>
      <c r="LJ7" s="48"/>
      <c r="LK7" s="48"/>
      <c r="LL7" s="48"/>
      <c r="LM7" s="48"/>
      <c r="LN7" s="48"/>
      <c r="LO7" s="48"/>
      <c r="LP7" s="48"/>
      <c r="LQ7" s="48"/>
      <c r="LR7" s="48"/>
      <c r="LS7" s="48"/>
      <c r="LT7" s="48"/>
      <c r="LU7" s="48"/>
      <c r="LV7" s="48"/>
      <c r="LW7" s="48"/>
      <c r="LX7" s="48"/>
      <c r="LY7" s="48"/>
      <c r="LZ7" s="48"/>
      <c r="MA7" s="48"/>
      <c r="MB7" s="48"/>
      <c r="MC7" s="48"/>
      <c r="MD7" s="48"/>
      <c r="ME7" s="48"/>
      <c r="MF7" s="48"/>
      <c r="MG7" s="48"/>
      <c r="MH7" s="48"/>
      <c r="MI7" s="48"/>
      <c r="MJ7" s="48"/>
      <c r="MK7" s="48"/>
      <c r="ML7" s="48"/>
      <c r="MM7" s="48"/>
      <c r="MN7" s="48"/>
      <c r="MO7" s="48"/>
      <c r="MP7" s="48"/>
      <c r="MQ7" s="48"/>
      <c r="MR7" s="48"/>
      <c r="MS7" s="48"/>
      <c r="MT7" s="48"/>
      <c r="MU7" s="48"/>
      <c r="MV7" s="48"/>
      <c r="MW7" s="48"/>
      <c r="MX7" s="48"/>
      <c r="MY7" s="48"/>
      <c r="MZ7" s="48"/>
      <c r="NA7" s="48"/>
      <c r="NB7" s="48"/>
      <c r="NC7" s="48"/>
      <c r="ND7" s="48"/>
      <c r="NE7" s="48"/>
      <c r="NF7" s="48"/>
      <c r="NG7" s="48"/>
      <c r="NH7" s="48"/>
      <c r="NI7" s="48"/>
      <c r="NJ7" s="48"/>
      <c r="NK7" s="48"/>
      <c r="NL7" s="48"/>
      <c r="NM7" s="48"/>
      <c r="NN7" s="48"/>
      <c r="NO7" s="48"/>
      <c r="NP7" s="48"/>
      <c r="NQ7" s="48"/>
      <c r="NR7" s="48"/>
      <c r="NS7" s="48"/>
      <c r="NT7" s="48"/>
      <c r="NU7" s="48"/>
      <c r="NV7" s="48"/>
      <c r="NW7" s="48"/>
      <c r="NX7" s="48"/>
      <c r="NY7" s="48"/>
      <c r="NZ7" s="48"/>
      <c r="OA7" s="48"/>
      <c r="OB7" s="48"/>
      <c r="OC7" s="48"/>
      <c r="OD7" s="48"/>
      <c r="OE7" s="48"/>
      <c r="OF7" s="48"/>
      <c r="OG7" s="48"/>
      <c r="OH7" s="48"/>
      <c r="OI7" s="48"/>
      <c r="OJ7" s="48"/>
      <c r="OK7" s="48"/>
      <c r="OL7" s="48"/>
      <c r="OM7" s="48"/>
      <c r="ON7" s="48"/>
      <c r="OO7" s="48"/>
      <c r="OP7" s="48"/>
      <c r="OQ7" s="48"/>
      <c r="OR7" s="48"/>
      <c r="OS7" s="48"/>
      <c r="OT7" s="48"/>
      <c r="OU7" s="48"/>
      <c r="OV7" s="48"/>
      <c r="OW7" s="48"/>
      <c r="OX7" s="48"/>
      <c r="OY7" s="48"/>
      <c r="OZ7" s="48"/>
      <c r="PA7" s="48"/>
      <c r="PB7" s="48"/>
      <c r="PC7" s="48"/>
      <c r="PD7" s="48"/>
      <c r="PE7" s="48"/>
      <c r="PF7" s="48"/>
      <c r="PG7" s="48"/>
      <c r="PH7" s="48"/>
      <c r="PI7" s="48"/>
      <c r="PJ7" s="48"/>
      <c r="PK7" s="48"/>
      <c r="PL7" s="48"/>
      <c r="PM7" s="48"/>
      <c r="PN7" s="48"/>
      <c r="PO7" s="48"/>
      <c r="PP7" s="48"/>
      <c r="PQ7" s="48"/>
      <c r="PR7" s="48"/>
      <c r="PS7" s="48"/>
      <c r="PT7" s="48"/>
      <c r="PU7" s="48"/>
      <c r="PV7" s="48"/>
      <c r="PW7" s="48"/>
      <c r="PX7" s="48"/>
      <c r="PY7" s="48"/>
      <c r="PZ7" s="48"/>
      <c r="QA7" s="48"/>
      <c r="QB7" s="48"/>
      <c r="QC7" s="48"/>
      <c r="QD7" s="48"/>
      <c r="QE7" s="48"/>
      <c r="QF7" s="48"/>
      <c r="QG7" s="48"/>
      <c r="QH7" s="48"/>
      <c r="QI7" s="48"/>
      <c r="QJ7" s="48"/>
      <c r="QK7" s="48"/>
      <c r="QL7" s="48"/>
      <c r="QM7" s="48"/>
      <c r="QN7" s="48"/>
      <c r="QO7" s="48"/>
      <c r="QP7" s="48"/>
      <c r="QQ7" s="48"/>
      <c r="QR7" s="48"/>
      <c r="QS7" s="48"/>
      <c r="QT7" s="48"/>
      <c r="QU7" s="48"/>
      <c r="QV7" s="48"/>
      <c r="QW7" s="48"/>
      <c r="QX7" s="48"/>
      <c r="QY7" s="48"/>
      <c r="QZ7" s="48"/>
      <c r="RA7" s="48"/>
      <c r="RB7" s="48"/>
      <c r="RC7" s="48"/>
      <c r="RD7" s="48"/>
      <c r="RE7" s="48"/>
      <c r="RF7" s="48"/>
      <c r="RG7" s="48"/>
      <c r="RH7" s="48"/>
      <c r="RI7" s="48"/>
      <c r="RJ7" s="48"/>
      <c r="RK7" s="48"/>
      <c r="RL7" s="48"/>
      <c r="RM7" s="48"/>
      <c r="RN7" s="48"/>
      <c r="RO7" s="48"/>
      <c r="RP7" s="48"/>
      <c r="RQ7" s="48"/>
      <c r="RR7" s="48"/>
      <c r="RS7" s="48"/>
      <c r="RT7" s="48"/>
      <c r="RU7" s="48"/>
      <c r="RV7" s="48"/>
      <c r="RW7" s="48"/>
      <c r="RX7" s="48"/>
      <c r="RY7" s="48"/>
      <c r="RZ7" s="48"/>
      <c r="SA7" s="48"/>
      <c r="SB7" s="48"/>
      <c r="SC7" s="48"/>
      <c r="SD7" s="48"/>
      <c r="SE7" s="48"/>
      <c r="SF7" s="48"/>
      <c r="SG7" s="48"/>
      <c r="SH7" s="48"/>
      <c r="SI7" s="48"/>
      <c r="SJ7" s="48"/>
      <c r="SK7" s="48"/>
      <c r="SL7" s="48"/>
      <c r="SM7" s="48"/>
      <c r="SN7" s="48"/>
      <c r="SO7" s="48"/>
      <c r="SP7" s="48"/>
      <c r="SQ7" s="48"/>
      <c r="SR7" s="48"/>
      <c r="SS7" s="48"/>
      <c r="ST7" s="48"/>
      <c r="SU7" s="48"/>
      <c r="SV7" s="48"/>
      <c r="SW7" s="48"/>
      <c r="SX7" s="48"/>
      <c r="SY7" s="48"/>
      <c r="SZ7" s="48"/>
      <c r="TA7" s="48"/>
      <c r="TB7" s="48"/>
      <c r="TC7" s="48"/>
      <c r="TD7" s="48"/>
      <c r="TE7" s="48"/>
      <c r="TF7" s="48"/>
      <c r="TG7" s="48"/>
      <c r="TH7" s="48"/>
      <c r="TI7" s="48"/>
      <c r="TJ7" s="48"/>
      <c r="TK7" s="48"/>
      <c r="TL7" s="48"/>
      <c r="TM7" s="48"/>
      <c r="TN7" s="48"/>
      <c r="TO7" s="48"/>
      <c r="TP7" s="48"/>
      <c r="TQ7" s="48"/>
      <c r="TR7" s="48"/>
      <c r="TS7" s="48"/>
      <c r="TT7" s="48"/>
      <c r="TU7" s="48"/>
      <c r="TV7" s="48"/>
      <c r="TW7" s="48"/>
      <c r="TX7" s="48"/>
      <c r="TY7" s="48"/>
      <c r="TZ7" s="48"/>
      <c r="UA7" s="48"/>
      <c r="UB7" s="48"/>
      <c r="UC7" s="48"/>
      <c r="UD7" s="48"/>
      <c r="UE7" s="48"/>
      <c r="UF7" s="48"/>
      <c r="UG7" s="48"/>
      <c r="UH7" s="48"/>
      <c r="UI7" s="48"/>
      <c r="UJ7" s="48"/>
      <c r="UK7" s="48"/>
      <c r="UL7" s="48"/>
      <c r="UM7" s="48"/>
      <c r="UN7" s="48"/>
      <c r="UO7" s="48"/>
      <c r="UP7" s="48"/>
      <c r="UQ7" s="48"/>
      <c r="UR7" s="48"/>
      <c r="US7" s="48"/>
      <c r="UT7" s="48"/>
      <c r="UU7" s="48"/>
      <c r="UV7" s="48"/>
      <c r="UW7" s="48"/>
      <c r="UX7" s="48"/>
      <c r="UY7" s="48"/>
      <c r="UZ7" s="48"/>
      <c r="VA7" s="48"/>
      <c r="VB7" s="48"/>
      <c r="VC7" s="48"/>
      <c r="VD7" s="48"/>
      <c r="VE7" s="48"/>
      <c r="VF7" s="48"/>
      <c r="VG7" s="48"/>
      <c r="VH7" s="48"/>
      <c r="VI7" s="48"/>
      <c r="VJ7" s="48"/>
      <c r="VK7" s="48"/>
      <c r="VL7" s="48"/>
      <c r="VM7" s="48"/>
      <c r="VN7" s="48"/>
      <c r="VO7" s="48"/>
      <c r="VP7" s="48"/>
      <c r="VQ7" s="48"/>
      <c r="VR7" s="48"/>
      <c r="VS7" s="48"/>
      <c r="VT7" s="48"/>
      <c r="VU7" s="48"/>
      <c r="VV7" s="48"/>
      <c r="VW7" s="48"/>
      <c r="VX7" s="48"/>
      <c r="VY7" s="48"/>
      <c r="VZ7" s="48"/>
      <c r="WA7" s="48"/>
      <c r="WB7" s="48"/>
      <c r="WC7" s="48"/>
      <c r="WD7" s="48"/>
      <c r="WE7" s="48"/>
      <c r="WF7" s="48"/>
      <c r="WG7" s="48"/>
      <c r="WH7" s="48"/>
      <c r="WI7" s="48"/>
      <c r="WJ7" s="48"/>
      <c r="WK7" s="48"/>
      <c r="WL7" s="48"/>
      <c r="WM7" s="48"/>
      <c r="WN7" s="48"/>
      <c r="WO7" s="48"/>
      <c r="WP7" s="48"/>
      <c r="WQ7" s="48"/>
      <c r="WR7" s="48"/>
      <c r="WS7" s="48"/>
      <c r="WT7" s="48"/>
      <c r="WU7" s="48"/>
      <c r="WV7" s="48"/>
      <c r="WW7" s="48"/>
      <c r="WX7" s="48"/>
      <c r="WY7" s="48"/>
      <c r="WZ7" s="48"/>
      <c r="XA7" s="48"/>
      <c r="XB7" s="48"/>
      <c r="XC7" s="48"/>
      <c r="XD7" s="48"/>
      <c r="XE7" s="48"/>
      <c r="XF7" s="48"/>
      <c r="XG7" s="48"/>
      <c r="XH7" s="48"/>
      <c r="XI7" s="48"/>
      <c r="XJ7" s="48"/>
      <c r="XK7" s="48"/>
      <c r="XL7" s="48"/>
      <c r="XM7" s="48"/>
      <c r="XN7" s="48"/>
      <c r="XO7" s="48"/>
      <c r="XP7" s="48"/>
      <c r="XQ7" s="48"/>
      <c r="XR7" s="48"/>
      <c r="XS7" s="48"/>
      <c r="XT7" s="48"/>
      <c r="XU7" s="48"/>
      <c r="XV7" s="48"/>
      <c r="XW7" s="48"/>
      <c r="XX7" s="48"/>
      <c r="XY7" s="48"/>
      <c r="XZ7" s="48"/>
      <c r="YA7" s="48"/>
      <c r="YB7" s="48"/>
      <c r="YC7" s="48"/>
      <c r="YD7" s="48"/>
      <c r="YE7" s="48"/>
      <c r="YF7" s="48"/>
      <c r="YG7" s="48"/>
      <c r="YH7" s="48"/>
      <c r="YI7" s="48"/>
      <c r="YJ7" s="48"/>
      <c r="YK7" s="48"/>
      <c r="YL7" s="48"/>
      <c r="YM7" s="48"/>
      <c r="YN7" s="48"/>
      <c r="YO7" s="48"/>
      <c r="YP7" s="48"/>
      <c r="YQ7" s="48"/>
      <c r="YR7" s="48"/>
      <c r="YS7" s="48"/>
      <c r="YT7" s="48"/>
      <c r="YU7" s="48"/>
      <c r="YV7" s="48"/>
      <c r="YW7" s="48"/>
      <c r="YX7" s="48"/>
      <c r="YY7" s="48"/>
      <c r="YZ7" s="48"/>
      <c r="ZA7" s="48"/>
      <c r="ZB7" s="48"/>
      <c r="ZC7" s="48"/>
      <c r="ZD7" s="48"/>
      <c r="ZE7" s="48"/>
      <c r="ZF7" s="48"/>
      <c r="ZG7" s="48"/>
      <c r="ZH7" s="48"/>
      <c r="ZI7" s="48"/>
      <c r="ZJ7" s="48"/>
      <c r="ZK7" s="48"/>
      <c r="ZL7" s="48"/>
      <c r="ZM7" s="48"/>
      <c r="ZN7" s="48"/>
      <c r="ZO7" s="48"/>
      <c r="ZP7" s="48"/>
      <c r="ZQ7" s="48"/>
      <c r="ZR7" s="48"/>
      <c r="ZS7" s="48"/>
      <c r="ZT7" s="48"/>
      <c r="ZU7" s="48"/>
      <c r="ZV7" s="48"/>
      <c r="ZW7" s="48"/>
      <c r="ZX7" s="48"/>
      <c r="ZY7" s="48"/>
      <c r="ZZ7" s="48"/>
      <c r="AAA7" s="48"/>
      <c r="AAB7" s="48"/>
      <c r="AAC7" s="48"/>
      <c r="AAD7" s="48"/>
      <c r="AAE7" s="48"/>
      <c r="AAF7" s="48"/>
      <c r="AAG7" s="48"/>
      <c r="AAH7" s="48"/>
      <c r="AAI7" s="48"/>
      <c r="AAJ7" s="48"/>
      <c r="AAK7" s="48"/>
      <c r="AAL7" s="48"/>
      <c r="AAM7" s="48"/>
      <c r="AAN7" s="48"/>
      <c r="AAO7" s="48"/>
      <c r="AAP7" s="48"/>
      <c r="AAQ7" s="48"/>
      <c r="AAR7" s="48"/>
      <c r="AAS7" s="48"/>
      <c r="AAT7" s="48"/>
      <c r="AAU7" s="48"/>
      <c r="AAV7" s="48"/>
      <c r="AAW7" s="48"/>
      <c r="AAX7" s="48"/>
      <c r="AAY7" s="48"/>
      <c r="AAZ7" s="48"/>
      <c r="ABA7" s="48"/>
      <c r="ABB7" s="48"/>
      <c r="ABC7" s="48"/>
      <c r="ABD7" s="48"/>
      <c r="ABE7" s="48"/>
      <c r="ABF7" s="48"/>
      <c r="ABG7" s="48"/>
      <c r="ABH7" s="48"/>
      <c r="ABI7" s="48"/>
      <c r="ABJ7" s="48"/>
      <c r="ABK7" s="48"/>
      <c r="ABL7" s="48"/>
      <c r="ABM7" s="48"/>
      <c r="ABN7" s="48"/>
      <c r="ABO7" s="48"/>
      <c r="ABP7" s="48"/>
      <c r="ABQ7" s="48"/>
      <c r="ABR7" s="48"/>
      <c r="ABS7" s="48"/>
      <c r="ABT7" s="48"/>
      <c r="ABU7" s="48"/>
      <c r="ABV7" s="48"/>
      <c r="ABW7" s="48"/>
      <c r="ABX7" s="48"/>
      <c r="ABY7" s="48"/>
      <c r="ABZ7" s="48"/>
      <c r="ACA7" s="48"/>
      <c r="ACB7" s="48"/>
      <c r="ACC7" s="48"/>
      <c r="ACD7" s="48"/>
      <c r="ACE7" s="48"/>
      <c r="ACF7" s="48"/>
      <c r="ACG7" s="48"/>
      <c r="ACH7" s="48"/>
      <c r="ACI7" s="48"/>
      <c r="ACJ7" s="48"/>
      <c r="ACK7" s="48"/>
      <c r="ACL7" s="48"/>
      <c r="ACM7" s="48"/>
      <c r="ACN7" s="48"/>
      <c r="ACO7" s="48"/>
      <c r="ACP7" s="48"/>
      <c r="ACQ7" s="48"/>
      <c r="ACR7" s="48"/>
      <c r="ACS7" s="48"/>
      <c r="ACT7" s="48"/>
      <c r="ACU7" s="48"/>
      <c r="ACV7" s="48"/>
      <c r="ACW7" s="48"/>
      <c r="ACX7" s="48"/>
      <c r="ACY7" s="48"/>
      <c r="ACZ7" s="48"/>
      <c r="ADA7" s="48"/>
      <c r="ADB7" s="48"/>
      <c r="ADC7" s="48"/>
      <c r="ADD7" s="48"/>
      <c r="ADE7" s="48"/>
      <c r="ADF7" s="48"/>
      <c r="ADG7" s="48"/>
      <c r="ADH7" s="48"/>
      <c r="ADI7" s="48"/>
      <c r="ADJ7" s="48"/>
      <c r="ADK7" s="48"/>
      <c r="ADL7" s="48"/>
      <c r="ADM7" s="48"/>
      <c r="ADN7" s="48"/>
      <c r="ADO7" s="48"/>
      <c r="ADP7" s="48"/>
      <c r="ADQ7" s="48"/>
      <c r="ADR7" s="48"/>
      <c r="ADS7" s="48"/>
      <c r="ADT7" s="48"/>
      <c r="ADU7" s="48"/>
      <c r="ADV7" s="48"/>
      <c r="ADW7" s="48"/>
      <c r="ADX7" s="48"/>
      <c r="ADY7" s="48"/>
      <c r="ADZ7" s="48"/>
      <c r="AEA7" s="48"/>
      <c r="AEB7" s="48"/>
      <c r="AEC7" s="48"/>
      <c r="AED7" s="48"/>
      <c r="AEE7" s="48"/>
      <c r="AEF7" s="48"/>
      <c r="AEG7" s="48"/>
      <c r="AEH7" s="48"/>
      <c r="AEI7" s="48"/>
      <c r="AEJ7" s="48"/>
      <c r="AEK7" s="48"/>
      <c r="AEL7" s="48"/>
      <c r="AEM7" s="48"/>
      <c r="AEN7" s="48"/>
      <c r="AEO7" s="48"/>
      <c r="AEP7" s="48"/>
      <c r="AEQ7" s="48"/>
      <c r="AER7" s="48"/>
      <c r="AES7" s="48"/>
      <c r="AET7" s="48"/>
      <c r="AEU7" s="48"/>
      <c r="AEV7" s="48"/>
      <c r="AEW7" s="48"/>
      <c r="AEX7" s="48"/>
      <c r="AEY7" s="48"/>
      <c r="AEZ7" s="48"/>
      <c r="AFA7" s="48"/>
      <c r="AFB7" s="48"/>
      <c r="AFC7" s="48"/>
      <c r="AFD7" s="48"/>
      <c r="AFE7" s="48"/>
      <c r="AFF7" s="48"/>
      <c r="AFG7" s="48"/>
      <c r="AFH7" s="48"/>
      <c r="AFI7" s="48"/>
      <c r="AFJ7" s="48"/>
      <c r="AFK7" s="48"/>
      <c r="AFL7" s="48"/>
      <c r="AFM7" s="48"/>
      <c r="AFN7" s="48"/>
      <c r="AFO7" s="48"/>
      <c r="AFP7" s="48"/>
      <c r="AFQ7" s="48"/>
      <c r="AFR7" s="48"/>
      <c r="AFS7" s="48"/>
      <c r="AFT7" s="48"/>
      <c r="AFU7" s="48"/>
      <c r="AFV7" s="48"/>
      <c r="AFW7" s="48"/>
      <c r="AFX7" s="48"/>
      <c r="AFY7" s="48"/>
      <c r="AFZ7" s="48"/>
      <c r="AGA7" s="48"/>
      <c r="AGB7" s="48"/>
      <c r="AGC7" s="48"/>
      <c r="AGD7" s="48"/>
      <c r="AGE7" s="48"/>
      <c r="AGF7" s="48"/>
      <c r="AGG7" s="48"/>
      <c r="AGH7" s="48"/>
      <c r="AGI7" s="48"/>
      <c r="AGJ7" s="48"/>
      <c r="AGK7" s="48"/>
      <c r="AGL7" s="48"/>
      <c r="AGM7" s="48"/>
      <c r="AGN7" s="48"/>
      <c r="AGO7" s="48"/>
      <c r="AGP7" s="48"/>
      <c r="AGQ7" s="48"/>
      <c r="AGR7" s="48"/>
      <c r="AGS7" s="48"/>
      <c r="AGT7" s="48"/>
      <c r="AGU7" s="48"/>
      <c r="AGV7" s="48"/>
      <c r="AGW7" s="48"/>
      <c r="AGX7" s="48"/>
      <c r="AGY7" s="48"/>
      <c r="AGZ7" s="48"/>
      <c r="AHA7" s="48"/>
      <c r="AHB7" s="48"/>
      <c r="AHC7" s="48"/>
      <c r="AHD7" s="48"/>
      <c r="AHE7" s="48"/>
      <c r="AHF7" s="48"/>
      <c r="AHG7" s="48"/>
      <c r="AHH7" s="48"/>
      <c r="AHI7" s="48"/>
      <c r="AHJ7" s="48"/>
      <c r="AHK7" s="48"/>
      <c r="AHL7" s="48"/>
      <c r="AHM7" s="48"/>
      <c r="AHN7" s="48"/>
      <c r="AHO7" s="48"/>
      <c r="AHP7" s="48"/>
      <c r="AHQ7" s="48"/>
      <c r="AHR7" s="48"/>
      <c r="AHS7" s="48"/>
      <c r="AHT7" s="48"/>
      <c r="AHU7" s="48"/>
      <c r="AHV7" s="48"/>
      <c r="AHW7" s="48"/>
      <c r="AHX7" s="48"/>
      <c r="AHY7" s="48"/>
      <c r="AHZ7" s="48"/>
      <c r="AIA7" s="48"/>
      <c r="AIB7" s="48"/>
      <c r="AIC7" s="48"/>
      <c r="AID7" s="48"/>
      <c r="AIE7" s="48"/>
      <c r="AIF7" s="48"/>
      <c r="AIG7" s="48"/>
      <c r="AIH7" s="48"/>
      <c r="AII7" s="48"/>
      <c r="AIJ7" s="48"/>
      <c r="AIK7" s="48"/>
      <c r="AIL7" s="48"/>
      <c r="AIM7" s="48"/>
      <c r="AIN7" s="48"/>
      <c r="AIO7" s="48"/>
      <c r="AIP7" s="48"/>
      <c r="AIQ7" s="48"/>
      <c r="AIR7" s="48"/>
      <c r="AIS7" s="48"/>
      <c r="AIT7" s="48"/>
      <c r="AIU7" s="48"/>
      <c r="AIV7" s="48"/>
      <c r="AIW7" s="48"/>
      <c r="AIX7" s="48"/>
      <c r="AIY7" s="48"/>
      <c r="AIZ7" s="48"/>
      <c r="AJA7" s="48"/>
      <c r="AJB7" s="48"/>
      <c r="AJC7" s="48"/>
      <c r="AJD7" s="48"/>
      <c r="AJE7" s="48"/>
      <c r="AJF7" s="48"/>
      <c r="AJG7" s="48"/>
      <c r="AJH7" s="48"/>
      <c r="AJI7" s="48"/>
      <c r="AJJ7" s="48"/>
      <c r="AJK7" s="48"/>
      <c r="AJL7" s="48"/>
      <c r="AJM7" s="48"/>
      <c r="AJN7" s="48"/>
      <c r="AJO7" s="48"/>
      <c r="AJP7" s="48"/>
      <c r="AJQ7" s="48"/>
      <c r="AJR7" s="48"/>
      <c r="AJS7" s="48"/>
      <c r="AJT7" s="48"/>
      <c r="AJU7" s="48"/>
      <c r="AJV7" s="48"/>
      <c r="AJW7" s="48"/>
      <c r="AJX7" s="48"/>
      <c r="AJY7" s="48"/>
      <c r="AJZ7" s="48"/>
      <c r="AKA7" s="48"/>
      <c r="AKB7" s="48"/>
      <c r="AKC7" s="48"/>
      <c r="AKD7" s="48"/>
      <c r="AKE7" s="48"/>
      <c r="AKF7" s="48"/>
      <c r="AKG7" s="48"/>
      <c r="AKH7" s="48"/>
      <c r="AKI7" s="48"/>
      <c r="AKJ7" s="48"/>
      <c r="AKK7" s="48"/>
      <c r="AKL7" s="48"/>
      <c r="AKM7" s="48"/>
      <c r="AKN7" s="48"/>
      <c r="AKO7" s="48"/>
      <c r="AKP7" s="48"/>
      <c r="AKQ7" s="48"/>
      <c r="AKR7" s="48"/>
      <c r="AKS7" s="48"/>
      <c r="AKT7" s="48"/>
      <c r="AKU7" s="48"/>
      <c r="AKV7" s="48"/>
      <c r="AKW7" s="48"/>
      <c r="AKX7" s="48"/>
      <c r="AKY7" s="48"/>
      <c r="AKZ7" s="48"/>
      <c r="ALA7" s="48"/>
      <c r="ALB7" s="48"/>
      <c r="ALC7" s="48"/>
      <c r="ALD7" s="48"/>
      <c r="ALE7" s="48"/>
      <c r="ALF7" s="48"/>
      <c r="ALG7" s="48"/>
      <c r="ALH7" s="48"/>
      <c r="ALI7" s="48"/>
      <c r="ALJ7" s="48"/>
      <c r="ALK7" s="48"/>
      <c r="ALL7" s="48"/>
      <c r="ALM7" s="48"/>
      <c r="ALN7" s="48"/>
      <c r="ALO7" s="48"/>
      <c r="ALP7" s="48"/>
      <c r="ALQ7" s="48"/>
      <c r="ALR7" s="48"/>
      <c r="ALS7" s="48"/>
      <c r="ALT7" s="48"/>
      <c r="ALU7" s="48"/>
      <c r="ALV7" s="48"/>
      <c r="ALW7" s="48"/>
      <c r="ALX7" s="48"/>
      <c r="ALY7" s="48"/>
      <c r="ALZ7" s="48"/>
      <c r="AMA7" s="48"/>
      <c r="AMB7" s="48"/>
      <c r="AMC7" s="48"/>
      <c r="AMD7" s="48"/>
      <c r="AME7" s="48"/>
      <c r="AMF7" s="48"/>
      <c r="AMG7" s="48"/>
      <c r="AMH7" s="48"/>
      <c r="AMI7" s="48"/>
      <c r="AMJ7" s="48"/>
      <c r="AMK7" s="48"/>
      <c r="AML7" s="48"/>
    </row>
    <row r="8" ht="15.75" customHeight="1">
      <c r="A8" s="8" t="s">
        <v>112</v>
      </c>
      <c r="B8" s="8" t="s">
        <v>53</v>
      </c>
      <c r="C8" s="8" t="s">
        <v>116</v>
      </c>
      <c r="D8" s="8">
        <v>100.0</v>
      </c>
      <c r="E8" s="8">
        <v>100.0</v>
      </c>
      <c r="F8" s="8" t="s">
        <v>112</v>
      </c>
      <c r="G8" s="8" t="s">
        <v>113</v>
      </c>
      <c r="H8" s="8" t="s">
        <v>112</v>
      </c>
      <c r="I8" s="8" t="s">
        <v>112</v>
      </c>
      <c r="J8" s="8" t="s">
        <v>112</v>
      </c>
      <c r="K8" s="8" t="s">
        <v>120</v>
      </c>
      <c r="L8" s="8" t="s">
        <v>64</v>
      </c>
      <c r="M8" s="8" t="s">
        <v>117</v>
      </c>
      <c r="N8" s="8" t="s">
        <v>112</v>
      </c>
      <c r="O8" s="8" t="s">
        <v>112</v>
      </c>
      <c r="P8" t="s">
        <v>112</v>
      </c>
      <c r="Q8" t="s">
        <v>112</v>
      </c>
      <c r="R8" t="s">
        <v>119</v>
      </c>
      <c r="V8" t="s">
        <v>112</v>
      </c>
      <c r="W8" t="s">
        <v>118</v>
      </c>
      <c r="X8" t="s">
        <v>132</v>
      </c>
      <c r="Y8">
        <v>1.0</v>
      </c>
      <c r="Z8" t="s">
        <v>112</v>
      </c>
      <c r="AB8" t="s">
        <v>112</v>
      </c>
      <c r="AC8" t="s">
        <v>112</v>
      </c>
      <c r="AD8" t="s">
        <v>112</v>
      </c>
      <c r="AF8" t="s">
        <v>112</v>
      </c>
      <c r="AG8" t="s">
        <v>65</v>
      </c>
      <c r="AH8" t="s">
        <v>112</v>
      </c>
      <c r="AJ8" t="s">
        <v>112</v>
      </c>
      <c r="AK8" t="s">
        <v>112</v>
      </c>
      <c r="AR8" t="s">
        <v>133</v>
      </c>
      <c r="AV8" t="s">
        <v>121</v>
      </c>
      <c r="AX8" t="s">
        <v>112</v>
      </c>
      <c r="AY8" t="s">
        <v>112</v>
      </c>
      <c r="AZ8" t="s">
        <v>112</v>
      </c>
      <c r="BA8" t="s">
        <v>134</v>
      </c>
      <c r="BB8" t="s">
        <v>119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112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112</v>
      </c>
      <c r="BQ8" t="s">
        <v>112</v>
      </c>
      <c r="BR8" t="s">
        <v>112</v>
      </c>
      <c r="BS8" t="s">
        <v>112</v>
      </c>
      <c r="BT8" t="s">
        <v>112</v>
      </c>
      <c r="BU8" t="s">
        <v>112</v>
      </c>
      <c r="BV8" t="s">
        <v>112</v>
      </c>
      <c r="BW8" t="s">
        <v>112</v>
      </c>
      <c r="BX8" t="s">
        <v>112</v>
      </c>
      <c r="BY8" t="s">
        <v>112</v>
      </c>
      <c r="BZ8" t="s">
        <v>112</v>
      </c>
      <c r="CA8" t="s">
        <v>112</v>
      </c>
      <c r="CB8" t="s">
        <v>112</v>
      </c>
      <c r="CC8" t="s">
        <v>112</v>
      </c>
      <c r="CD8" t="s">
        <v>112</v>
      </c>
      <c r="CE8" t="s">
        <v>112</v>
      </c>
      <c r="CF8" t="s">
        <v>112</v>
      </c>
      <c r="CG8" t="s">
        <v>112</v>
      </c>
      <c r="CH8" t="s">
        <v>112</v>
      </c>
      <c r="CI8" t="s">
        <v>112</v>
      </c>
      <c r="CJ8" t="s">
        <v>112</v>
      </c>
      <c r="CK8" t="s">
        <v>112</v>
      </c>
      <c r="CL8" t="s">
        <v>112</v>
      </c>
      <c r="CM8" t="s">
        <v>112</v>
      </c>
      <c r="CN8" t="s">
        <v>112</v>
      </c>
      <c r="CO8" t="s">
        <v>112</v>
      </c>
      <c r="CP8" t="s">
        <v>112</v>
      </c>
      <c r="CQ8" t="s">
        <v>112</v>
      </c>
      <c r="CR8" t="s">
        <v>112</v>
      </c>
      <c r="CS8" t="s">
        <v>112</v>
      </c>
      <c r="CT8" t="s">
        <v>112</v>
      </c>
      <c r="CU8" t="s">
        <v>112</v>
      </c>
      <c r="CV8" t="s">
        <v>112</v>
      </c>
      <c r="CW8" t="s">
        <v>112</v>
      </c>
      <c r="CX8" t="s">
        <v>112</v>
      </c>
      <c r="CY8" t="s">
        <v>112</v>
      </c>
      <c r="CZ8" t="s">
        <v>112</v>
      </c>
      <c r="DA8" t="s">
        <v>112</v>
      </c>
      <c r="DB8" t="s">
        <v>112</v>
      </c>
      <c r="DC8" t="s">
        <v>112</v>
      </c>
      <c r="DD8" t="s">
        <v>112</v>
      </c>
      <c r="DE8" t="s">
        <v>112</v>
      </c>
      <c r="DF8" t="s">
        <v>112</v>
      </c>
      <c r="DG8" t="s">
        <v>112</v>
      </c>
      <c r="DH8" t="s">
        <v>112</v>
      </c>
      <c r="DI8" t="s">
        <v>112</v>
      </c>
      <c r="DJ8" t="s">
        <v>112</v>
      </c>
      <c r="DK8" t="s">
        <v>112</v>
      </c>
      <c r="DL8" t="s">
        <v>112</v>
      </c>
      <c r="DM8" t="s">
        <v>112</v>
      </c>
      <c r="DN8" t="s">
        <v>112</v>
      </c>
      <c r="DO8" t="s">
        <v>112</v>
      </c>
      <c r="DP8" t="s">
        <v>112</v>
      </c>
      <c r="DQ8" t="s">
        <v>112</v>
      </c>
      <c r="DR8" t="s">
        <v>112</v>
      </c>
      <c r="DS8" t="s">
        <v>112</v>
      </c>
      <c r="DT8" t="s">
        <v>112</v>
      </c>
      <c r="DU8" t="s">
        <v>112</v>
      </c>
      <c r="DV8" t="s">
        <v>112</v>
      </c>
      <c r="DW8" t="s">
        <v>112</v>
      </c>
      <c r="DX8" t="s">
        <v>112</v>
      </c>
      <c r="DY8" t="s">
        <v>112</v>
      </c>
      <c r="DZ8" t="s">
        <v>112</v>
      </c>
      <c r="EA8" t="s">
        <v>112</v>
      </c>
      <c r="EB8" t="s">
        <v>112</v>
      </c>
      <c r="EC8" t="s">
        <v>112</v>
      </c>
      <c r="ED8" t="s">
        <v>112</v>
      </c>
      <c r="EE8" t="s">
        <v>112</v>
      </c>
      <c r="EF8" t="s">
        <v>112</v>
      </c>
      <c r="EG8" t="s">
        <v>112</v>
      </c>
      <c r="EH8" t="s">
        <v>112</v>
      </c>
      <c r="EI8" t="s">
        <v>112</v>
      </c>
      <c r="EJ8" t="s">
        <v>112</v>
      </c>
      <c r="EK8" t="s">
        <v>112</v>
      </c>
      <c r="EL8" t="s">
        <v>112</v>
      </c>
      <c r="EM8" t="s">
        <v>112</v>
      </c>
      <c r="EN8" t="s">
        <v>112</v>
      </c>
      <c r="EO8" t="s">
        <v>112</v>
      </c>
      <c r="EP8" t="s">
        <v>112</v>
      </c>
      <c r="EQ8" t="s">
        <v>112</v>
      </c>
      <c r="ER8" t="s">
        <v>112</v>
      </c>
      <c r="ES8" t="s">
        <v>112</v>
      </c>
      <c r="ET8" t="s">
        <v>112</v>
      </c>
      <c r="EU8" t="s">
        <v>112</v>
      </c>
      <c r="EV8" t="s">
        <v>112</v>
      </c>
      <c r="EW8" t="s">
        <v>112</v>
      </c>
      <c r="EX8" t="s">
        <v>112</v>
      </c>
      <c r="EY8" t="s">
        <v>112</v>
      </c>
      <c r="EZ8" t="s">
        <v>112</v>
      </c>
      <c r="FA8" t="s">
        <v>112</v>
      </c>
      <c r="FB8" t="s">
        <v>112</v>
      </c>
      <c r="FC8" t="s">
        <v>112</v>
      </c>
      <c r="FD8" t="s">
        <v>112</v>
      </c>
      <c r="FE8" t="s">
        <v>112</v>
      </c>
      <c r="FF8" t="s">
        <v>112</v>
      </c>
      <c r="FG8" t="s">
        <v>112</v>
      </c>
      <c r="FH8" t="s">
        <v>112</v>
      </c>
      <c r="FI8" t="s">
        <v>112</v>
      </c>
      <c r="FJ8" t="s">
        <v>112</v>
      </c>
      <c r="FK8" t="s">
        <v>112</v>
      </c>
      <c r="FL8" t="s">
        <v>112</v>
      </c>
      <c r="FM8" t="s">
        <v>112</v>
      </c>
      <c r="FN8" t="s">
        <v>112</v>
      </c>
      <c r="FO8" t="s">
        <v>112</v>
      </c>
      <c r="FP8" t="s">
        <v>112</v>
      </c>
      <c r="FQ8" t="s">
        <v>112</v>
      </c>
      <c r="FR8" s="48"/>
      <c r="FS8" s="48"/>
      <c r="FT8" s="48"/>
      <c r="FU8" s="48"/>
      <c r="FV8" s="48"/>
      <c r="FW8" s="48"/>
      <c r="FX8" s="48"/>
      <c r="FY8" s="48"/>
      <c r="FZ8" s="48"/>
      <c r="GA8" s="48"/>
      <c r="GB8" s="48"/>
      <c r="GC8" s="48"/>
      <c r="GD8" s="48"/>
      <c r="GE8" s="48"/>
      <c r="GF8" s="48"/>
      <c r="GG8" s="48"/>
      <c r="GH8" s="48"/>
      <c r="GI8" s="48"/>
      <c r="GJ8" s="48"/>
      <c r="GK8" s="48"/>
      <c r="GL8" s="48"/>
      <c r="GM8" s="48"/>
      <c r="GN8" s="48"/>
      <c r="GO8" s="48"/>
      <c r="GP8" s="48"/>
      <c r="GQ8" s="48"/>
      <c r="GR8" s="48"/>
      <c r="GS8" s="48"/>
      <c r="GT8" s="48"/>
      <c r="GU8" s="48"/>
      <c r="GV8" s="48"/>
      <c r="GW8" s="48"/>
      <c r="GX8" s="48"/>
      <c r="GY8" s="48"/>
      <c r="GZ8" s="48"/>
      <c r="HA8" s="48"/>
      <c r="HB8" s="48"/>
      <c r="HC8" s="48"/>
      <c r="HD8" s="48"/>
      <c r="HE8" s="48"/>
      <c r="HF8" s="48"/>
      <c r="HG8" s="48"/>
      <c r="HH8" s="48"/>
      <c r="HI8" s="48"/>
      <c r="HJ8" s="48"/>
      <c r="HK8" s="48"/>
      <c r="HL8" s="48"/>
      <c r="HM8" s="48"/>
      <c r="HN8" s="48"/>
      <c r="HO8" s="48"/>
      <c r="HP8" s="48"/>
      <c r="HQ8" s="48"/>
      <c r="HR8" s="48"/>
      <c r="HS8" s="48"/>
      <c r="HT8" s="48"/>
      <c r="HU8" s="48"/>
      <c r="HV8" s="48"/>
      <c r="HW8" s="48"/>
      <c r="HX8" s="48"/>
      <c r="HY8" s="48"/>
      <c r="HZ8" s="48"/>
      <c r="IA8" s="48"/>
      <c r="IB8" s="48"/>
      <c r="IC8" s="48"/>
      <c r="ID8" s="48"/>
      <c r="IE8" s="48"/>
      <c r="IF8" s="48"/>
      <c r="IG8" s="48"/>
      <c r="IH8" s="48"/>
      <c r="II8" s="48"/>
      <c r="IJ8" s="48"/>
      <c r="IK8" s="48"/>
      <c r="IL8" s="48"/>
      <c r="IM8" s="48"/>
      <c r="IN8" s="48"/>
      <c r="IO8" s="48"/>
      <c r="IP8" s="48"/>
      <c r="IQ8" s="48"/>
      <c r="IR8" s="48"/>
      <c r="IS8" s="48"/>
      <c r="IT8" s="48"/>
      <c r="IU8" s="48"/>
      <c r="IV8" s="48"/>
      <c r="IW8" s="48"/>
      <c r="IX8" s="48"/>
      <c r="IY8" s="48"/>
      <c r="IZ8" s="48"/>
      <c r="JA8" s="48"/>
      <c r="JB8" s="48"/>
      <c r="JC8" s="48"/>
      <c r="JD8" s="48"/>
      <c r="JE8" s="48"/>
      <c r="JF8" s="48"/>
      <c r="JG8" s="48"/>
      <c r="JH8" s="48"/>
      <c r="JI8" s="48"/>
      <c r="JJ8" s="48"/>
      <c r="JK8" s="48"/>
      <c r="JL8" s="48"/>
      <c r="JM8" s="48"/>
      <c r="JN8" s="48"/>
      <c r="JO8" s="48"/>
      <c r="JP8" s="48"/>
      <c r="JQ8" s="48"/>
      <c r="JR8" s="48"/>
      <c r="JS8" s="48"/>
      <c r="JT8" s="48"/>
      <c r="JU8" s="48"/>
      <c r="JV8" s="48"/>
      <c r="JW8" s="48"/>
      <c r="JX8" s="48"/>
      <c r="JY8" s="48"/>
      <c r="JZ8" s="48"/>
      <c r="KA8" s="48"/>
      <c r="KB8" s="48"/>
      <c r="KC8" s="48"/>
      <c r="KD8" s="48"/>
      <c r="KE8" s="48"/>
      <c r="KF8" s="48"/>
      <c r="KG8" s="48"/>
      <c r="KH8" s="48"/>
      <c r="KI8" s="48"/>
      <c r="KJ8" s="48"/>
      <c r="KK8" s="48"/>
      <c r="KL8" s="48"/>
      <c r="KM8" s="48"/>
      <c r="KN8" s="48"/>
      <c r="KO8" s="48"/>
      <c r="KP8" s="48"/>
      <c r="KQ8" s="48"/>
      <c r="KR8" s="48"/>
      <c r="KS8" s="48"/>
      <c r="KT8" s="48"/>
      <c r="KU8" s="48"/>
      <c r="KV8" s="48"/>
      <c r="KW8" s="48"/>
      <c r="KX8" s="48"/>
      <c r="KY8" s="48"/>
      <c r="KZ8" s="48"/>
      <c r="LA8" s="48"/>
      <c r="LB8" s="48"/>
      <c r="LC8" s="48"/>
      <c r="LD8" s="48"/>
      <c r="LE8" s="48"/>
      <c r="LF8" s="48"/>
      <c r="LG8" s="48"/>
      <c r="LH8" s="48"/>
      <c r="LI8" s="48"/>
      <c r="LJ8" s="48"/>
      <c r="LK8" s="48"/>
      <c r="LL8" s="48"/>
      <c r="LM8" s="48"/>
      <c r="LN8" s="48"/>
      <c r="LO8" s="48"/>
      <c r="LP8" s="48"/>
      <c r="LQ8" s="48"/>
      <c r="LR8" s="48"/>
      <c r="LS8" s="48"/>
      <c r="LT8" s="48"/>
      <c r="LU8" s="48"/>
      <c r="LV8" s="48"/>
      <c r="LW8" s="48"/>
      <c r="LX8" s="48"/>
      <c r="LY8" s="48"/>
      <c r="LZ8" s="48"/>
      <c r="MA8" s="48"/>
      <c r="MB8" s="48"/>
      <c r="MC8" s="48"/>
      <c r="MD8" s="48"/>
      <c r="ME8" s="48"/>
      <c r="MF8" s="48"/>
      <c r="MG8" s="48"/>
      <c r="MH8" s="48"/>
      <c r="MI8" s="48"/>
      <c r="MJ8" s="48"/>
      <c r="MK8" s="48"/>
      <c r="ML8" s="48"/>
      <c r="MM8" s="48"/>
      <c r="MN8" s="48"/>
      <c r="MO8" s="48"/>
      <c r="MP8" s="48"/>
      <c r="MQ8" s="48"/>
      <c r="MR8" s="48"/>
      <c r="MS8" s="48"/>
      <c r="MT8" s="48"/>
      <c r="MU8" s="48"/>
      <c r="MV8" s="48"/>
      <c r="MW8" s="48"/>
      <c r="MX8" s="48"/>
      <c r="MY8" s="48"/>
      <c r="MZ8" s="48"/>
      <c r="NA8" s="48"/>
      <c r="NB8" s="48"/>
      <c r="NC8" s="48"/>
      <c r="ND8" s="48"/>
      <c r="NE8" s="48"/>
      <c r="NF8" s="48"/>
      <c r="NG8" s="48"/>
      <c r="NH8" s="48"/>
      <c r="NI8" s="48"/>
      <c r="NJ8" s="48"/>
      <c r="NK8" s="48"/>
      <c r="NL8" s="48"/>
      <c r="NM8" s="48"/>
      <c r="NN8" s="48"/>
      <c r="NO8" s="48"/>
      <c r="NP8" s="48"/>
      <c r="NQ8" s="48"/>
      <c r="NR8" s="48"/>
      <c r="NS8" s="48"/>
      <c r="NT8" s="48"/>
      <c r="NU8" s="48"/>
      <c r="NV8" s="48"/>
      <c r="NW8" s="48"/>
      <c r="NX8" s="48"/>
      <c r="NY8" s="48"/>
      <c r="NZ8" s="48"/>
      <c r="OA8" s="48"/>
      <c r="OB8" s="48"/>
      <c r="OC8" s="48"/>
      <c r="OD8" s="48"/>
      <c r="OE8" s="48"/>
      <c r="OF8" s="48"/>
      <c r="OG8" s="48"/>
      <c r="OH8" s="48"/>
      <c r="OI8" s="48"/>
      <c r="OJ8" s="48"/>
      <c r="OK8" s="48"/>
      <c r="OL8" s="48"/>
      <c r="OM8" s="48"/>
      <c r="ON8" s="48"/>
      <c r="OO8" s="48"/>
      <c r="OP8" s="48"/>
      <c r="OQ8" s="48"/>
      <c r="OR8" s="48"/>
      <c r="OS8" s="48"/>
      <c r="OT8" s="48"/>
      <c r="OU8" s="48"/>
      <c r="OV8" s="48"/>
      <c r="OW8" s="48"/>
      <c r="OX8" s="48"/>
      <c r="OY8" s="48"/>
      <c r="OZ8" s="48"/>
      <c r="PA8" s="48"/>
      <c r="PB8" s="48"/>
      <c r="PC8" s="48"/>
      <c r="PD8" s="48"/>
      <c r="PE8" s="48"/>
      <c r="PF8" s="48"/>
      <c r="PG8" s="48"/>
      <c r="PH8" s="48"/>
      <c r="PI8" s="48"/>
      <c r="PJ8" s="48"/>
      <c r="PK8" s="48"/>
      <c r="PL8" s="48"/>
      <c r="PM8" s="48"/>
      <c r="PN8" s="48"/>
      <c r="PO8" s="48"/>
      <c r="PP8" s="48"/>
      <c r="PQ8" s="48"/>
      <c r="PR8" s="48"/>
      <c r="PS8" s="48"/>
      <c r="PT8" s="48"/>
      <c r="PU8" s="48"/>
      <c r="PV8" s="48"/>
      <c r="PW8" s="48"/>
      <c r="PX8" s="48"/>
      <c r="PY8" s="48"/>
      <c r="PZ8" s="48"/>
      <c r="QA8" s="48"/>
      <c r="QB8" s="48"/>
      <c r="QC8" s="48"/>
      <c r="QD8" s="48"/>
      <c r="QE8" s="48"/>
      <c r="QF8" s="48"/>
      <c r="QG8" s="48"/>
      <c r="QH8" s="48"/>
      <c r="QI8" s="48"/>
      <c r="QJ8" s="48"/>
      <c r="QK8" s="48"/>
      <c r="QL8" s="48"/>
      <c r="QM8" s="48"/>
      <c r="QN8" s="48"/>
      <c r="QO8" s="48"/>
      <c r="QP8" s="48"/>
      <c r="QQ8" s="48"/>
      <c r="QR8" s="48"/>
      <c r="QS8" s="48"/>
      <c r="QT8" s="48"/>
      <c r="QU8" s="48"/>
      <c r="QV8" s="48"/>
      <c r="QW8" s="48"/>
      <c r="QX8" s="48"/>
      <c r="QY8" s="48"/>
      <c r="QZ8" s="48"/>
      <c r="RA8" s="48"/>
      <c r="RB8" s="48"/>
      <c r="RC8" s="48"/>
      <c r="RD8" s="48"/>
      <c r="RE8" s="48"/>
      <c r="RF8" s="48"/>
      <c r="RG8" s="48"/>
      <c r="RH8" s="48"/>
      <c r="RI8" s="48"/>
      <c r="RJ8" s="48"/>
      <c r="RK8" s="48"/>
      <c r="RL8" s="48"/>
      <c r="RM8" s="48"/>
      <c r="RN8" s="48"/>
      <c r="RO8" s="48"/>
      <c r="RP8" s="48"/>
      <c r="RQ8" s="48"/>
      <c r="RR8" s="48"/>
      <c r="RS8" s="48"/>
      <c r="RT8" s="48"/>
      <c r="RU8" s="48"/>
      <c r="RV8" s="48"/>
      <c r="RW8" s="48"/>
      <c r="RX8" s="48"/>
      <c r="RY8" s="48"/>
      <c r="RZ8" s="48"/>
      <c r="SA8" s="48"/>
      <c r="SB8" s="48"/>
      <c r="SC8" s="48"/>
      <c r="SD8" s="48"/>
      <c r="SE8" s="48"/>
      <c r="SF8" s="48"/>
      <c r="SG8" s="48"/>
      <c r="SH8" s="48"/>
      <c r="SI8" s="48"/>
      <c r="SJ8" s="48"/>
      <c r="SK8" s="48"/>
      <c r="SL8" s="48"/>
      <c r="SM8" s="48"/>
      <c r="SN8" s="48"/>
      <c r="SO8" s="48"/>
      <c r="SP8" s="48"/>
      <c r="SQ8" s="48"/>
      <c r="SR8" s="48"/>
      <c r="SS8" s="48"/>
      <c r="ST8" s="48"/>
      <c r="SU8" s="48"/>
      <c r="SV8" s="48"/>
      <c r="SW8" s="48"/>
      <c r="SX8" s="48"/>
      <c r="SY8" s="48"/>
      <c r="SZ8" s="48"/>
      <c r="TA8" s="48"/>
      <c r="TB8" s="48"/>
      <c r="TC8" s="48"/>
      <c r="TD8" s="48"/>
      <c r="TE8" s="48"/>
      <c r="TF8" s="48"/>
      <c r="TG8" s="48"/>
      <c r="TH8" s="48"/>
      <c r="TI8" s="48"/>
      <c r="TJ8" s="48"/>
      <c r="TK8" s="48"/>
      <c r="TL8" s="48"/>
      <c r="TM8" s="48"/>
      <c r="TN8" s="48"/>
      <c r="TO8" s="48"/>
      <c r="TP8" s="48"/>
      <c r="TQ8" s="48"/>
      <c r="TR8" s="48"/>
      <c r="TS8" s="48"/>
      <c r="TT8" s="48"/>
      <c r="TU8" s="48"/>
      <c r="TV8" s="48"/>
      <c r="TW8" s="48"/>
      <c r="TX8" s="48"/>
      <c r="TY8" s="48"/>
      <c r="TZ8" s="48"/>
      <c r="UA8" s="48"/>
      <c r="UB8" s="48"/>
      <c r="UC8" s="48"/>
      <c r="UD8" s="48"/>
      <c r="UE8" s="48"/>
      <c r="UF8" s="48"/>
      <c r="UG8" s="48"/>
      <c r="UH8" s="48"/>
      <c r="UI8" s="48"/>
      <c r="UJ8" s="48"/>
      <c r="UK8" s="48"/>
      <c r="UL8" s="48"/>
      <c r="UM8" s="48"/>
      <c r="UN8" s="48"/>
      <c r="UO8" s="48"/>
      <c r="UP8" s="48"/>
      <c r="UQ8" s="48"/>
      <c r="UR8" s="48"/>
      <c r="US8" s="48"/>
      <c r="UT8" s="48"/>
      <c r="UU8" s="48"/>
      <c r="UV8" s="48"/>
      <c r="UW8" s="48"/>
      <c r="UX8" s="48"/>
      <c r="UY8" s="48"/>
      <c r="UZ8" s="48"/>
      <c r="VA8" s="48"/>
      <c r="VB8" s="48"/>
      <c r="VC8" s="48"/>
      <c r="VD8" s="48"/>
      <c r="VE8" s="48"/>
      <c r="VF8" s="48"/>
      <c r="VG8" s="48"/>
      <c r="VH8" s="48"/>
      <c r="VI8" s="48"/>
      <c r="VJ8" s="48"/>
      <c r="VK8" s="48"/>
      <c r="VL8" s="48"/>
      <c r="VM8" s="48"/>
      <c r="VN8" s="48"/>
      <c r="VO8" s="48"/>
      <c r="VP8" s="48"/>
      <c r="VQ8" s="48"/>
      <c r="VR8" s="48"/>
      <c r="VS8" s="48"/>
      <c r="VT8" s="48"/>
      <c r="VU8" s="48"/>
      <c r="VV8" s="48"/>
      <c r="VW8" s="48"/>
      <c r="VX8" s="48"/>
      <c r="VY8" s="48"/>
      <c r="VZ8" s="48"/>
      <c r="WA8" s="48"/>
      <c r="WB8" s="48"/>
      <c r="WC8" s="48"/>
      <c r="WD8" s="48"/>
      <c r="WE8" s="48"/>
      <c r="WF8" s="48"/>
      <c r="WG8" s="48"/>
      <c r="WH8" s="48"/>
      <c r="WI8" s="48"/>
      <c r="WJ8" s="48"/>
      <c r="WK8" s="48"/>
      <c r="WL8" s="48"/>
      <c r="WM8" s="48"/>
      <c r="WN8" s="48"/>
      <c r="WO8" s="48"/>
      <c r="WP8" s="48"/>
      <c r="WQ8" s="48"/>
      <c r="WR8" s="48"/>
      <c r="WS8" s="48"/>
      <c r="WT8" s="48"/>
      <c r="WU8" s="48"/>
      <c r="WV8" s="48"/>
      <c r="WW8" s="48"/>
      <c r="WX8" s="48"/>
      <c r="WY8" s="48"/>
      <c r="WZ8" s="48"/>
      <c r="XA8" s="48"/>
      <c r="XB8" s="48"/>
      <c r="XC8" s="48"/>
      <c r="XD8" s="48"/>
      <c r="XE8" s="48"/>
      <c r="XF8" s="48"/>
      <c r="XG8" s="48"/>
      <c r="XH8" s="48"/>
      <c r="XI8" s="48"/>
      <c r="XJ8" s="48"/>
      <c r="XK8" s="48"/>
      <c r="XL8" s="48"/>
      <c r="XM8" s="48"/>
      <c r="XN8" s="48"/>
      <c r="XO8" s="48"/>
      <c r="XP8" s="48"/>
      <c r="XQ8" s="48"/>
      <c r="XR8" s="48"/>
      <c r="XS8" s="48"/>
      <c r="XT8" s="48"/>
      <c r="XU8" s="48"/>
      <c r="XV8" s="48"/>
      <c r="XW8" s="48"/>
      <c r="XX8" s="48"/>
      <c r="XY8" s="48"/>
      <c r="XZ8" s="48"/>
      <c r="YA8" s="48"/>
      <c r="YB8" s="48"/>
      <c r="YC8" s="48"/>
      <c r="YD8" s="48"/>
      <c r="YE8" s="48"/>
      <c r="YF8" s="48"/>
      <c r="YG8" s="48"/>
      <c r="YH8" s="48"/>
      <c r="YI8" s="48"/>
      <c r="YJ8" s="48"/>
      <c r="YK8" s="48"/>
      <c r="YL8" s="48"/>
      <c r="YM8" s="48"/>
      <c r="YN8" s="48"/>
      <c r="YO8" s="48"/>
      <c r="YP8" s="48"/>
      <c r="YQ8" s="48"/>
      <c r="YR8" s="48"/>
      <c r="YS8" s="48"/>
      <c r="YT8" s="48"/>
      <c r="YU8" s="48"/>
      <c r="YV8" s="48"/>
      <c r="YW8" s="48"/>
      <c r="YX8" s="48"/>
      <c r="YY8" s="48"/>
      <c r="YZ8" s="48"/>
      <c r="ZA8" s="48"/>
      <c r="ZB8" s="48"/>
      <c r="ZC8" s="48"/>
      <c r="ZD8" s="48"/>
      <c r="ZE8" s="48"/>
      <c r="ZF8" s="48"/>
      <c r="ZG8" s="48"/>
      <c r="ZH8" s="48"/>
      <c r="ZI8" s="48"/>
      <c r="ZJ8" s="48"/>
      <c r="ZK8" s="48"/>
      <c r="ZL8" s="48"/>
      <c r="ZM8" s="48"/>
      <c r="ZN8" s="48"/>
      <c r="ZO8" s="48"/>
      <c r="ZP8" s="48"/>
      <c r="ZQ8" s="48"/>
      <c r="ZR8" s="48"/>
      <c r="ZS8" s="48"/>
      <c r="ZT8" s="48"/>
      <c r="ZU8" s="48"/>
      <c r="ZV8" s="48"/>
      <c r="ZW8" s="48"/>
      <c r="ZX8" s="48"/>
      <c r="ZY8" s="48"/>
      <c r="ZZ8" s="48"/>
      <c r="AAA8" s="48"/>
      <c r="AAB8" s="48"/>
      <c r="AAC8" s="48"/>
      <c r="AAD8" s="48"/>
      <c r="AAE8" s="48"/>
      <c r="AAF8" s="48"/>
      <c r="AAG8" s="48"/>
      <c r="AAH8" s="48"/>
      <c r="AAI8" s="48"/>
      <c r="AAJ8" s="48"/>
      <c r="AAK8" s="48"/>
      <c r="AAL8" s="48"/>
      <c r="AAM8" s="48"/>
      <c r="AAN8" s="48"/>
      <c r="AAO8" s="48"/>
      <c r="AAP8" s="48"/>
      <c r="AAQ8" s="48"/>
      <c r="AAR8" s="48"/>
      <c r="AAS8" s="48"/>
      <c r="AAT8" s="48"/>
      <c r="AAU8" s="48"/>
      <c r="AAV8" s="48"/>
      <c r="AAW8" s="48"/>
      <c r="AAX8" s="48"/>
      <c r="AAY8" s="48"/>
      <c r="AAZ8" s="48"/>
      <c r="ABA8" s="48"/>
      <c r="ABB8" s="48"/>
      <c r="ABC8" s="48"/>
      <c r="ABD8" s="48"/>
      <c r="ABE8" s="48"/>
      <c r="ABF8" s="48"/>
      <c r="ABG8" s="48"/>
      <c r="ABH8" s="48"/>
      <c r="ABI8" s="48"/>
      <c r="ABJ8" s="48"/>
      <c r="ABK8" s="48"/>
      <c r="ABL8" s="48"/>
      <c r="ABM8" s="48"/>
      <c r="ABN8" s="48"/>
      <c r="ABO8" s="48"/>
      <c r="ABP8" s="48"/>
      <c r="ABQ8" s="48"/>
      <c r="ABR8" s="48"/>
      <c r="ABS8" s="48"/>
      <c r="ABT8" s="48"/>
      <c r="ABU8" s="48"/>
      <c r="ABV8" s="48"/>
      <c r="ABW8" s="48"/>
      <c r="ABX8" s="48"/>
      <c r="ABY8" s="48"/>
      <c r="ABZ8" s="48"/>
      <c r="ACA8" s="48"/>
      <c r="ACB8" s="48"/>
      <c r="ACC8" s="48"/>
      <c r="ACD8" s="48"/>
      <c r="ACE8" s="48"/>
      <c r="ACF8" s="48"/>
      <c r="ACG8" s="48"/>
      <c r="ACH8" s="48"/>
      <c r="ACI8" s="48"/>
      <c r="ACJ8" s="48"/>
      <c r="ACK8" s="48"/>
      <c r="ACL8" s="48"/>
      <c r="ACM8" s="48"/>
      <c r="ACN8" s="48"/>
      <c r="ACO8" s="48"/>
      <c r="ACP8" s="48"/>
      <c r="ACQ8" s="48"/>
      <c r="ACR8" s="48"/>
      <c r="ACS8" s="48"/>
      <c r="ACT8" s="48"/>
      <c r="ACU8" s="48"/>
      <c r="ACV8" s="48"/>
      <c r="ACW8" s="48"/>
      <c r="ACX8" s="48"/>
      <c r="ACY8" s="48"/>
      <c r="ACZ8" s="48"/>
      <c r="ADA8" s="48"/>
      <c r="ADB8" s="48"/>
      <c r="ADC8" s="48"/>
      <c r="ADD8" s="48"/>
      <c r="ADE8" s="48"/>
      <c r="ADF8" s="48"/>
      <c r="ADG8" s="48"/>
      <c r="ADH8" s="48"/>
      <c r="ADI8" s="48"/>
      <c r="ADJ8" s="48"/>
      <c r="ADK8" s="48"/>
      <c r="ADL8" s="48"/>
      <c r="ADM8" s="48"/>
      <c r="ADN8" s="48"/>
      <c r="ADO8" s="48"/>
      <c r="ADP8" s="48"/>
      <c r="ADQ8" s="48"/>
      <c r="ADR8" s="48"/>
      <c r="ADS8" s="48"/>
      <c r="ADT8" s="48"/>
      <c r="ADU8" s="48"/>
      <c r="ADV8" s="48"/>
      <c r="ADW8" s="48"/>
      <c r="ADX8" s="48"/>
      <c r="ADY8" s="48"/>
      <c r="ADZ8" s="48"/>
      <c r="AEA8" s="48"/>
      <c r="AEB8" s="48"/>
      <c r="AEC8" s="48"/>
      <c r="AED8" s="48"/>
      <c r="AEE8" s="48"/>
      <c r="AEF8" s="48"/>
      <c r="AEG8" s="48"/>
      <c r="AEH8" s="48"/>
      <c r="AEI8" s="48"/>
      <c r="AEJ8" s="48"/>
      <c r="AEK8" s="48"/>
      <c r="AEL8" s="48"/>
      <c r="AEM8" s="48"/>
      <c r="AEN8" s="48"/>
      <c r="AEO8" s="48"/>
      <c r="AEP8" s="48"/>
      <c r="AEQ8" s="48"/>
      <c r="AER8" s="48"/>
      <c r="AES8" s="48"/>
      <c r="AET8" s="48"/>
      <c r="AEU8" s="48"/>
      <c r="AEV8" s="48"/>
      <c r="AEW8" s="48"/>
      <c r="AEX8" s="48"/>
      <c r="AEY8" s="48"/>
      <c r="AEZ8" s="48"/>
      <c r="AFA8" s="48"/>
      <c r="AFB8" s="48"/>
      <c r="AFC8" s="48"/>
      <c r="AFD8" s="48"/>
      <c r="AFE8" s="48"/>
      <c r="AFF8" s="48"/>
      <c r="AFG8" s="48"/>
      <c r="AFH8" s="48"/>
      <c r="AFI8" s="48"/>
      <c r="AFJ8" s="48"/>
      <c r="AFK8" s="48"/>
      <c r="AFL8" s="48"/>
      <c r="AFM8" s="48"/>
      <c r="AFN8" s="48"/>
      <c r="AFO8" s="48"/>
      <c r="AFP8" s="48"/>
      <c r="AFQ8" s="48"/>
      <c r="AFR8" s="48"/>
      <c r="AFS8" s="48"/>
      <c r="AFT8" s="48"/>
      <c r="AFU8" s="48"/>
      <c r="AFV8" s="48"/>
      <c r="AFW8" s="48"/>
      <c r="AFX8" s="48"/>
      <c r="AFY8" s="48"/>
      <c r="AFZ8" s="48"/>
      <c r="AGA8" s="48"/>
      <c r="AGB8" s="48"/>
      <c r="AGC8" s="48"/>
      <c r="AGD8" s="48"/>
      <c r="AGE8" s="48"/>
      <c r="AGF8" s="48"/>
      <c r="AGG8" s="48"/>
      <c r="AGH8" s="48"/>
      <c r="AGI8" s="48"/>
      <c r="AGJ8" s="48"/>
      <c r="AGK8" s="48"/>
      <c r="AGL8" s="48"/>
      <c r="AGM8" s="48"/>
      <c r="AGN8" s="48"/>
      <c r="AGO8" s="48"/>
      <c r="AGP8" s="48"/>
      <c r="AGQ8" s="48"/>
      <c r="AGR8" s="48"/>
      <c r="AGS8" s="48"/>
      <c r="AGT8" s="48"/>
      <c r="AGU8" s="48"/>
      <c r="AGV8" s="48"/>
      <c r="AGW8" s="48"/>
      <c r="AGX8" s="48"/>
      <c r="AGY8" s="48"/>
      <c r="AGZ8" s="48"/>
      <c r="AHA8" s="48"/>
      <c r="AHB8" s="48"/>
      <c r="AHC8" s="48"/>
      <c r="AHD8" s="48"/>
      <c r="AHE8" s="48"/>
      <c r="AHF8" s="48"/>
      <c r="AHG8" s="48"/>
      <c r="AHH8" s="48"/>
      <c r="AHI8" s="48"/>
      <c r="AHJ8" s="48"/>
      <c r="AHK8" s="48"/>
      <c r="AHL8" s="48"/>
      <c r="AHM8" s="48"/>
      <c r="AHN8" s="48"/>
      <c r="AHO8" s="48"/>
      <c r="AHP8" s="48"/>
      <c r="AHQ8" s="48"/>
      <c r="AHR8" s="48"/>
      <c r="AHS8" s="48"/>
      <c r="AHT8" s="48"/>
      <c r="AHU8" s="48"/>
      <c r="AHV8" s="48"/>
      <c r="AHW8" s="48"/>
      <c r="AHX8" s="48"/>
      <c r="AHY8" s="48"/>
      <c r="AHZ8" s="48"/>
      <c r="AIA8" s="48"/>
      <c r="AIB8" s="48"/>
      <c r="AIC8" s="48"/>
      <c r="AID8" s="48"/>
      <c r="AIE8" s="48"/>
      <c r="AIF8" s="48"/>
      <c r="AIG8" s="48"/>
      <c r="AIH8" s="48"/>
      <c r="AII8" s="48"/>
      <c r="AIJ8" s="48"/>
      <c r="AIK8" s="48"/>
      <c r="AIL8" s="48"/>
      <c r="AIM8" s="48"/>
      <c r="AIN8" s="48"/>
      <c r="AIO8" s="48"/>
      <c r="AIP8" s="48"/>
      <c r="AIQ8" s="48"/>
      <c r="AIR8" s="48"/>
      <c r="AIS8" s="48"/>
      <c r="AIT8" s="48"/>
      <c r="AIU8" s="48"/>
      <c r="AIV8" s="48"/>
      <c r="AIW8" s="48"/>
      <c r="AIX8" s="48"/>
      <c r="AIY8" s="48"/>
      <c r="AIZ8" s="48"/>
      <c r="AJA8" s="48"/>
      <c r="AJB8" s="48"/>
      <c r="AJC8" s="48"/>
      <c r="AJD8" s="48"/>
      <c r="AJE8" s="48"/>
      <c r="AJF8" s="48"/>
      <c r="AJG8" s="48"/>
      <c r="AJH8" s="48"/>
      <c r="AJI8" s="48"/>
      <c r="AJJ8" s="48"/>
      <c r="AJK8" s="48"/>
      <c r="AJL8" s="48"/>
      <c r="AJM8" s="48"/>
      <c r="AJN8" s="48"/>
      <c r="AJO8" s="48"/>
      <c r="AJP8" s="48"/>
      <c r="AJQ8" s="48"/>
      <c r="AJR8" s="48"/>
      <c r="AJS8" s="48"/>
      <c r="AJT8" s="48"/>
      <c r="AJU8" s="48"/>
      <c r="AJV8" s="48"/>
      <c r="AJW8" s="48"/>
      <c r="AJX8" s="48"/>
      <c r="AJY8" s="48"/>
      <c r="AJZ8" s="48"/>
      <c r="AKA8" s="48"/>
      <c r="AKB8" s="48"/>
      <c r="AKC8" s="48"/>
      <c r="AKD8" s="48"/>
      <c r="AKE8" s="48"/>
      <c r="AKF8" s="48"/>
      <c r="AKG8" s="48"/>
      <c r="AKH8" s="48"/>
      <c r="AKI8" s="48"/>
      <c r="AKJ8" s="48"/>
      <c r="AKK8" s="48"/>
      <c r="AKL8" s="48"/>
      <c r="AKM8" s="48"/>
      <c r="AKN8" s="48"/>
      <c r="AKO8" s="48"/>
      <c r="AKP8" s="48"/>
      <c r="AKQ8" s="48"/>
      <c r="AKR8" s="48"/>
      <c r="AKS8" s="48"/>
      <c r="AKT8" s="48"/>
      <c r="AKU8" s="48"/>
      <c r="AKV8" s="48"/>
      <c r="AKW8" s="48"/>
      <c r="AKX8" s="48"/>
      <c r="AKY8" s="48"/>
      <c r="AKZ8" s="48"/>
      <c r="ALA8" s="48"/>
      <c r="ALB8" s="48"/>
      <c r="ALC8" s="48"/>
      <c r="ALD8" s="48"/>
      <c r="ALE8" s="48"/>
      <c r="ALF8" s="48"/>
      <c r="ALG8" s="48"/>
      <c r="ALH8" s="48"/>
      <c r="ALI8" s="48"/>
      <c r="ALJ8" s="48"/>
      <c r="ALK8" s="48"/>
      <c r="ALL8" s="48"/>
      <c r="ALM8" s="48"/>
      <c r="ALN8" s="48"/>
      <c r="ALO8" s="48"/>
      <c r="ALP8" s="48"/>
      <c r="ALQ8" s="48"/>
      <c r="ALR8" s="48"/>
      <c r="ALS8" s="48"/>
      <c r="ALT8" s="48"/>
      <c r="ALU8" s="48"/>
      <c r="ALV8" s="48"/>
      <c r="ALW8" s="48"/>
      <c r="ALX8" s="48"/>
      <c r="ALY8" s="48"/>
      <c r="ALZ8" s="48"/>
      <c r="AMA8" s="48"/>
      <c r="AMB8" s="48"/>
      <c r="AMC8" s="48"/>
      <c r="AMD8" s="48"/>
      <c r="AME8" s="48"/>
      <c r="AMF8" s="48"/>
      <c r="AMG8" s="48"/>
      <c r="AMH8" s="48"/>
      <c r="AMI8" s="48"/>
      <c r="AMJ8" s="48"/>
      <c r="AMK8" s="48"/>
      <c r="AML8" s="48"/>
    </row>
    <row r="9" ht="15.75" customHeight="1">
      <c r="A9" s="8" t="s">
        <v>112</v>
      </c>
      <c r="B9" s="8" t="s">
        <v>53</v>
      </c>
      <c r="C9" s="8" t="s">
        <v>116</v>
      </c>
      <c r="D9" s="8">
        <v>100.0</v>
      </c>
      <c r="E9" s="8">
        <v>100.0</v>
      </c>
      <c r="F9" s="8" t="s">
        <v>112</v>
      </c>
      <c r="G9" s="8" t="s">
        <v>113</v>
      </c>
      <c r="H9" s="8" t="s">
        <v>112</v>
      </c>
      <c r="I9" s="8" t="s">
        <v>112</v>
      </c>
      <c r="J9" s="8" t="s">
        <v>112</v>
      </c>
      <c r="K9" s="8" t="s">
        <v>120</v>
      </c>
      <c r="L9" s="8" t="s">
        <v>64</v>
      </c>
      <c r="M9" s="8" t="s">
        <v>117</v>
      </c>
      <c r="N9" s="8" t="s">
        <v>112</v>
      </c>
      <c r="O9" s="8" t="s">
        <v>112</v>
      </c>
      <c r="P9" t="s">
        <v>112</v>
      </c>
      <c r="Q9" t="s">
        <v>112</v>
      </c>
      <c r="R9" t="s">
        <v>119</v>
      </c>
      <c r="V9" t="s">
        <v>112</v>
      </c>
      <c r="W9" t="s">
        <v>118</v>
      </c>
      <c r="X9" t="s">
        <v>132</v>
      </c>
      <c r="Y9">
        <v>1.0</v>
      </c>
      <c r="Z9" t="s">
        <v>112</v>
      </c>
      <c r="AB9" t="s">
        <v>112</v>
      </c>
      <c r="AC9" t="s">
        <v>112</v>
      </c>
      <c r="AD9" t="s">
        <v>112</v>
      </c>
      <c r="AF9" t="s">
        <v>112</v>
      </c>
      <c r="AG9" t="s">
        <v>65</v>
      </c>
      <c r="AH9" t="s">
        <v>112</v>
      </c>
      <c r="AJ9" t="s">
        <v>112</v>
      </c>
      <c r="AK9" t="s">
        <v>112</v>
      </c>
      <c r="AR9" t="s">
        <v>133</v>
      </c>
      <c r="AV9" t="s">
        <v>121</v>
      </c>
      <c r="AX9" t="s">
        <v>112</v>
      </c>
      <c r="AY9" t="s">
        <v>112</v>
      </c>
      <c r="AZ9" t="s">
        <v>112</v>
      </c>
      <c r="BA9" t="s">
        <v>134</v>
      </c>
      <c r="BB9" t="s">
        <v>119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112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112</v>
      </c>
      <c r="BQ9" t="s">
        <v>112</v>
      </c>
      <c r="BR9" t="s">
        <v>112</v>
      </c>
      <c r="BS9" t="s">
        <v>112</v>
      </c>
      <c r="BT9" t="s">
        <v>112</v>
      </c>
      <c r="BU9" t="s">
        <v>112</v>
      </c>
      <c r="BV9" t="s">
        <v>112</v>
      </c>
      <c r="BW9" t="s">
        <v>112</v>
      </c>
      <c r="BX9" t="s">
        <v>112</v>
      </c>
      <c r="BY9" t="s">
        <v>112</v>
      </c>
      <c r="BZ9" t="s">
        <v>112</v>
      </c>
      <c r="CA9" t="s">
        <v>112</v>
      </c>
      <c r="CB9" t="s">
        <v>112</v>
      </c>
      <c r="CC9" t="s">
        <v>112</v>
      </c>
      <c r="CD9" t="s">
        <v>112</v>
      </c>
      <c r="CE9" t="s">
        <v>112</v>
      </c>
      <c r="CF9" t="s">
        <v>112</v>
      </c>
      <c r="CG9" t="s">
        <v>112</v>
      </c>
      <c r="CH9" t="s">
        <v>112</v>
      </c>
      <c r="CI9" t="s">
        <v>112</v>
      </c>
      <c r="CJ9" t="s">
        <v>112</v>
      </c>
      <c r="CK9" t="s">
        <v>112</v>
      </c>
      <c r="CL9" t="s">
        <v>112</v>
      </c>
      <c r="CM9" t="s">
        <v>112</v>
      </c>
      <c r="CN9" t="s">
        <v>112</v>
      </c>
      <c r="CO9" t="s">
        <v>112</v>
      </c>
      <c r="CP9" t="s">
        <v>112</v>
      </c>
      <c r="CQ9" t="s">
        <v>112</v>
      </c>
      <c r="CR9" t="s">
        <v>112</v>
      </c>
      <c r="CS9" t="s">
        <v>112</v>
      </c>
      <c r="CT9" t="s">
        <v>112</v>
      </c>
      <c r="CU9" t="s">
        <v>112</v>
      </c>
      <c r="CV9" t="s">
        <v>112</v>
      </c>
      <c r="CW9" t="s">
        <v>112</v>
      </c>
      <c r="CX9" t="s">
        <v>112</v>
      </c>
      <c r="CY9" t="s">
        <v>112</v>
      </c>
      <c r="CZ9" t="s">
        <v>112</v>
      </c>
      <c r="DA9" t="s">
        <v>112</v>
      </c>
      <c r="DB9" t="s">
        <v>112</v>
      </c>
      <c r="DC9" t="s">
        <v>112</v>
      </c>
      <c r="DD9" t="s">
        <v>112</v>
      </c>
      <c r="DE9" t="s">
        <v>112</v>
      </c>
      <c r="DF9" t="s">
        <v>112</v>
      </c>
      <c r="DG9" t="s">
        <v>112</v>
      </c>
      <c r="DH9" t="s">
        <v>112</v>
      </c>
      <c r="DI9" t="s">
        <v>112</v>
      </c>
      <c r="DJ9" t="s">
        <v>112</v>
      </c>
      <c r="DK9" t="s">
        <v>112</v>
      </c>
      <c r="DL9" t="s">
        <v>112</v>
      </c>
      <c r="DM9" t="s">
        <v>112</v>
      </c>
      <c r="DN9" t="s">
        <v>112</v>
      </c>
      <c r="DO9" t="s">
        <v>112</v>
      </c>
      <c r="DP9" t="s">
        <v>112</v>
      </c>
      <c r="DQ9" t="s">
        <v>112</v>
      </c>
      <c r="DR9" t="s">
        <v>112</v>
      </c>
      <c r="DS9" t="s">
        <v>112</v>
      </c>
      <c r="DT9" t="s">
        <v>112</v>
      </c>
      <c r="DU9" t="s">
        <v>112</v>
      </c>
      <c r="DV9" t="s">
        <v>112</v>
      </c>
      <c r="DW9" t="s">
        <v>112</v>
      </c>
      <c r="DX9" t="s">
        <v>112</v>
      </c>
      <c r="DY9" t="s">
        <v>112</v>
      </c>
      <c r="DZ9" t="s">
        <v>112</v>
      </c>
      <c r="EA9" t="s">
        <v>112</v>
      </c>
      <c r="EB9" t="s">
        <v>112</v>
      </c>
      <c r="EC9" t="s">
        <v>112</v>
      </c>
      <c r="ED9" t="s">
        <v>112</v>
      </c>
      <c r="EE9" t="s">
        <v>112</v>
      </c>
      <c r="EF9" t="s">
        <v>112</v>
      </c>
      <c r="EG9" t="s">
        <v>112</v>
      </c>
      <c r="EH9" t="s">
        <v>112</v>
      </c>
      <c r="EI9" t="s">
        <v>112</v>
      </c>
      <c r="EJ9" t="s">
        <v>112</v>
      </c>
      <c r="EK9" t="s">
        <v>112</v>
      </c>
      <c r="EL9" t="s">
        <v>112</v>
      </c>
      <c r="EM9" t="s">
        <v>112</v>
      </c>
      <c r="EN9" t="s">
        <v>112</v>
      </c>
      <c r="EO9" t="s">
        <v>112</v>
      </c>
      <c r="EP9" t="s">
        <v>112</v>
      </c>
      <c r="EQ9" t="s">
        <v>112</v>
      </c>
      <c r="ER9" t="s">
        <v>112</v>
      </c>
      <c r="ES9" t="s">
        <v>112</v>
      </c>
      <c r="ET9" t="s">
        <v>112</v>
      </c>
      <c r="EU9" t="s">
        <v>112</v>
      </c>
      <c r="EV9" t="s">
        <v>112</v>
      </c>
      <c r="EW9" t="s">
        <v>112</v>
      </c>
      <c r="EX9" t="s">
        <v>112</v>
      </c>
      <c r="EY9" t="s">
        <v>112</v>
      </c>
      <c r="EZ9" t="s">
        <v>112</v>
      </c>
      <c r="FA9" t="s">
        <v>112</v>
      </c>
      <c r="FB9" t="s">
        <v>112</v>
      </c>
      <c r="FC9" t="s">
        <v>112</v>
      </c>
      <c r="FD9" t="s">
        <v>112</v>
      </c>
      <c r="FE9" t="s">
        <v>112</v>
      </c>
      <c r="FF9" t="s">
        <v>112</v>
      </c>
      <c r="FG9" t="s">
        <v>112</v>
      </c>
      <c r="FH9" t="s">
        <v>112</v>
      </c>
      <c r="FI9" t="s">
        <v>112</v>
      </c>
      <c r="FJ9" t="s">
        <v>112</v>
      </c>
      <c r="FK9" t="s">
        <v>112</v>
      </c>
      <c r="FL9" t="s">
        <v>112</v>
      </c>
      <c r="FM9" t="s">
        <v>112</v>
      </c>
      <c r="FN9" t="s">
        <v>112</v>
      </c>
      <c r="FO9" t="s">
        <v>112</v>
      </c>
      <c r="FP9" t="s">
        <v>112</v>
      </c>
      <c r="FQ9" t="s">
        <v>112</v>
      </c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  <c r="AML9" s="48"/>
    </row>
    <row r="10" ht="15.75" customHeight="1">
      <c r="A10" s="8" t="s">
        <v>112</v>
      </c>
      <c r="B10" s="8" t="s">
        <v>54</v>
      </c>
      <c r="C10" s="8" t="s">
        <v>125</v>
      </c>
      <c r="D10" s="8">
        <v>100.0</v>
      </c>
      <c r="E10" s="8">
        <v>100.0</v>
      </c>
      <c r="F10" s="8" t="s">
        <v>112</v>
      </c>
      <c r="G10" s="8" t="s">
        <v>113</v>
      </c>
      <c r="H10" s="8" t="s">
        <v>112</v>
      </c>
      <c r="I10" s="8" t="s">
        <v>112</v>
      </c>
      <c r="J10" s="8" t="s">
        <v>112</v>
      </c>
      <c r="K10" s="8" t="s">
        <v>120</v>
      </c>
      <c r="L10" s="8" t="s">
        <v>64</v>
      </c>
      <c r="M10" s="8" t="s">
        <v>117</v>
      </c>
      <c r="N10" s="8" t="s">
        <v>112</v>
      </c>
      <c r="O10" s="8" t="s">
        <v>112</v>
      </c>
      <c r="P10" t="s">
        <v>112</v>
      </c>
      <c r="Q10" t="s">
        <v>112</v>
      </c>
      <c r="R10" t="s">
        <v>119</v>
      </c>
      <c r="V10" t="s">
        <v>112</v>
      </c>
      <c r="W10" t="s">
        <v>126</v>
      </c>
      <c r="X10" t="s">
        <v>132</v>
      </c>
      <c r="Y10">
        <v>1.0</v>
      </c>
      <c r="Z10" t="s">
        <v>112</v>
      </c>
      <c r="AB10" t="s">
        <v>112</v>
      </c>
      <c r="AC10" t="s">
        <v>112</v>
      </c>
      <c r="AD10" t="s">
        <v>112</v>
      </c>
      <c r="AF10" t="s">
        <v>112</v>
      </c>
      <c r="AG10" t="s">
        <v>65</v>
      </c>
      <c r="AH10" t="s">
        <v>112</v>
      </c>
      <c r="AJ10" t="s">
        <v>112</v>
      </c>
      <c r="AK10" t="s">
        <v>112</v>
      </c>
      <c r="AR10" t="s">
        <v>133</v>
      </c>
      <c r="AV10" t="s">
        <v>121</v>
      </c>
      <c r="AX10" t="s">
        <v>112</v>
      </c>
      <c r="AY10" t="s">
        <v>112</v>
      </c>
      <c r="AZ10" t="s">
        <v>112</v>
      </c>
      <c r="BA10" t="s">
        <v>134</v>
      </c>
      <c r="BB10" t="s">
        <v>119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112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112</v>
      </c>
      <c r="BQ10" t="s">
        <v>112</v>
      </c>
      <c r="BR10" t="s">
        <v>112</v>
      </c>
      <c r="BS10" t="s">
        <v>112</v>
      </c>
      <c r="BT10" t="s">
        <v>112</v>
      </c>
      <c r="BU10" t="s">
        <v>112</v>
      </c>
      <c r="BV10" t="s">
        <v>112</v>
      </c>
      <c r="BW10" t="s">
        <v>112</v>
      </c>
      <c r="BX10" t="s">
        <v>112</v>
      </c>
      <c r="BY10" t="s">
        <v>112</v>
      </c>
      <c r="BZ10" t="s">
        <v>112</v>
      </c>
      <c r="CA10" t="s">
        <v>112</v>
      </c>
      <c r="CB10" t="s">
        <v>112</v>
      </c>
      <c r="CC10" t="s">
        <v>112</v>
      </c>
      <c r="CD10" t="s">
        <v>112</v>
      </c>
      <c r="CE10" t="s">
        <v>112</v>
      </c>
      <c r="CF10" t="s">
        <v>112</v>
      </c>
      <c r="CG10" t="s">
        <v>112</v>
      </c>
      <c r="CH10" t="s">
        <v>112</v>
      </c>
      <c r="CI10" t="s">
        <v>112</v>
      </c>
      <c r="CJ10" t="s">
        <v>112</v>
      </c>
      <c r="CK10" t="s">
        <v>112</v>
      </c>
      <c r="CL10" t="s">
        <v>112</v>
      </c>
      <c r="CM10" t="s">
        <v>112</v>
      </c>
      <c r="CN10" t="s">
        <v>112</v>
      </c>
      <c r="CO10" t="s">
        <v>112</v>
      </c>
      <c r="CP10" t="s">
        <v>112</v>
      </c>
      <c r="CQ10" t="s">
        <v>112</v>
      </c>
      <c r="CR10" t="s">
        <v>112</v>
      </c>
      <c r="CS10" t="s">
        <v>112</v>
      </c>
      <c r="CT10" t="s">
        <v>112</v>
      </c>
      <c r="CU10" t="s">
        <v>112</v>
      </c>
      <c r="CV10" t="s">
        <v>112</v>
      </c>
      <c r="CW10" t="s">
        <v>112</v>
      </c>
      <c r="CX10" t="s">
        <v>112</v>
      </c>
      <c r="CY10" t="s">
        <v>112</v>
      </c>
      <c r="CZ10" t="s">
        <v>112</v>
      </c>
      <c r="DA10" t="s">
        <v>112</v>
      </c>
      <c r="DB10" t="s">
        <v>112</v>
      </c>
      <c r="DC10" t="s">
        <v>112</v>
      </c>
      <c r="DD10" t="s">
        <v>112</v>
      </c>
      <c r="DE10" t="s">
        <v>112</v>
      </c>
      <c r="DF10" t="s">
        <v>112</v>
      </c>
      <c r="DG10" t="s">
        <v>112</v>
      </c>
      <c r="DH10" t="s">
        <v>112</v>
      </c>
      <c r="DI10" t="s">
        <v>112</v>
      </c>
      <c r="DJ10" t="s">
        <v>112</v>
      </c>
      <c r="DK10" t="s">
        <v>112</v>
      </c>
      <c r="DL10" t="s">
        <v>112</v>
      </c>
      <c r="DM10" t="s">
        <v>112</v>
      </c>
      <c r="DN10" t="s">
        <v>112</v>
      </c>
      <c r="DO10" t="s">
        <v>112</v>
      </c>
      <c r="DP10" t="s">
        <v>112</v>
      </c>
      <c r="DQ10" t="s">
        <v>112</v>
      </c>
      <c r="DR10" t="s">
        <v>112</v>
      </c>
      <c r="DS10" t="s">
        <v>112</v>
      </c>
      <c r="DT10" t="s">
        <v>112</v>
      </c>
      <c r="DU10" t="s">
        <v>112</v>
      </c>
      <c r="DV10" t="s">
        <v>112</v>
      </c>
      <c r="DW10" t="s">
        <v>112</v>
      </c>
      <c r="DX10" t="s">
        <v>112</v>
      </c>
      <c r="DY10" t="s">
        <v>112</v>
      </c>
      <c r="DZ10" t="s">
        <v>112</v>
      </c>
      <c r="EA10" t="s">
        <v>112</v>
      </c>
      <c r="EB10" t="s">
        <v>112</v>
      </c>
      <c r="EC10" t="s">
        <v>112</v>
      </c>
      <c r="ED10" t="s">
        <v>112</v>
      </c>
      <c r="EE10" t="s">
        <v>112</v>
      </c>
      <c r="EF10" t="s">
        <v>112</v>
      </c>
      <c r="EG10" t="s">
        <v>112</v>
      </c>
      <c r="EH10" t="s">
        <v>112</v>
      </c>
      <c r="EI10" t="s">
        <v>112</v>
      </c>
      <c r="EJ10" t="s">
        <v>112</v>
      </c>
      <c r="EK10" t="s">
        <v>112</v>
      </c>
      <c r="EL10" t="s">
        <v>112</v>
      </c>
      <c r="EM10" t="s">
        <v>112</v>
      </c>
      <c r="EN10" t="s">
        <v>112</v>
      </c>
      <c r="EO10" t="s">
        <v>112</v>
      </c>
      <c r="EP10" t="s">
        <v>112</v>
      </c>
      <c r="EQ10" t="s">
        <v>112</v>
      </c>
      <c r="ER10" t="s">
        <v>112</v>
      </c>
      <c r="ES10" t="s">
        <v>112</v>
      </c>
      <c r="ET10" t="s">
        <v>112</v>
      </c>
      <c r="EU10" t="s">
        <v>112</v>
      </c>
      <c r="EV10" t="s">
        <v>112</v>
      </c>
      <c r="EW10" t="s">
        <v>112</v>
      </c>
      <c r="EX10" t="s">
        <v>112</v>
      </c>
      <c r="EY10" t="s">
        <v>112</v>
      </c>
      <c r="EZ10" t="s">
        <v>112</v>
      </c>
      <c r="FA10" t="s">
        <v>112</v>
      </c>
      <c r="FB10" t="s">
        <v>112</v>
      </c>
      <c r="FC10" t="s">
        <v>112</v>
      </c>
      <c r="FD10" t="s">
        <v>112</v>
      </c>
      <c r="FE10" t="s">
        <v>112</v>
      </c>
      <c r="FF10" t="s">
        <v>112</v>
      </c>
      <c r="FG10" t="s">
        <v>112</v>
      </c>
      <c r="FH10" t="s">
        <v>112</v>
      </c>
      <c r="FI10" t="s">
        <v>112</v>
      </c>
      <c r="FJ10" t="s">
        <v>112</v>
      </c>
      <c r="FK10" t="s">
        <v>112</v>
      </c>
      <c r="FL10" t="s">
        <v>112</v>
      </c>
      <c r="FM10" t="s">
        <v>112</v>
      </c>
      <c r="FN10" t="s">
        <v>112</v>
      </c>
      <c r="FO10" t="s">
        <v>112</v>
      </c>
      <c r="FP10" t="s">
        <v>112</v>
      </c>
      <c r="FQ10" t="s">
        <v>112</v>
      </c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  <c r="NS10" s="48"/>
      <c r="NT10" s="48"/>
      <c r="NU10" s="48"/>
      <c r="NV10" s="48"/>
      <c r="NW10" s="48"/>
      <c r="NX10" s="48"/>
      <c r="NY10" s="48"/>
      <c r="NZ10" s="48"/>
      <c r="OA10" s="48"/>
      <c r="OB10" s="48"/>
      <c r="OC10" s="48"/>
      <c r="OD10" s="48"/>
      <c r="OE10" s="48"/>
      <c r="OF10" s="48"/>
      <c r="OG10" s="48"/>
      <c r="OH10" s="48"/>
      <c r="OI10" s="48"/>
      <c r="OJ10" s="48"/>
      <c r="OK10" s="48"/>
      <c r="OL10" s="48"/>
      <c r="OM10" s="48"/>
      <c r="ON10" s="48"/>
      <c r="OO10" s="48"/>
      <c r="OP10" s="48"/>
      <c r="OQ10" s="48"/>
      <c r="OR10" s="48"/>
      <c r="OS10" s="48"/>
      <c r="OT10" s="48"/>
      <c r="OU10" s="48"/>
      <c r="OV10" s="48"/>
      <c r="OW10" s="48"/>
      <c r="OX10" s="48"/>
      <c r="OY10" s="48"/>
      <c r="OZ10" s="48"/>
      <c r="PA10" s="48"/>
      <c r="PB10" s="48"/>
      <c r="PC10" s="48"/>
      <c r="PD10" s="48"/>
      <c r="PE10" s="48"/>
      <c r="PF10" s="48"/>
      <c r="PG10" s="48"/>
      <c r="PH10" s="48"/>
      <c r="PI10" s="48"/>
      <c r="PJ10" s="48"/>
      <c r="PK10" s="48"/>
      <c r="PL10" s="48"/>
      <c r="PM10" s="48"/>
      <c r="PN10" s="48"/>
      <c r="PO10" s="48"/>
      <c r="PP10" s="48"/>
      <c r="PQ10" s="48"/>
      <c r="PR10" s="48"/>
      <c r="PS10" s="48"/>
      <c r="PT10" s="48"/>
      <c r="PU10" s="48"/>
      <c r="PV10" s="48"/>
      <c r="PW10" s="48"/>
      <c r="PX10" s="48"/>
      <c r="PY10" s="48"/>
      <c r="PZ10" s="48"/>
      <c r="QA10" s="48"/>
      <c r="QB10" s="48"/>
      <c r="QC10" s="48"/>
      <c r="QD10" s="48"/>
      <c r="QE10" s="48"/>
      <c r="QF10" s="48"/>
      <c r="QG10" s="48"/>
      <c r="QH10" s="48"/>
      <c r="QI10" s="48"/>
      <c r="QJ10" s="48"/>
      <c r="QK10" s="48"/>
      <c r="QL10" s="48"/>
      <c r="QM10" s="48"/>
      <c r="QN10" s="48"/>
      <c r="QO10" s="48"/>
      <c r="QP10" s="48"/>
      <c r="QQ10" s="48"/>
      <c r="QR10" s="48"/>
      <c r="QS10" s="48"/>
      <c r="QT10" s="48"/>
      <c r="QU10" s="48"/>
      <c r="QV10" s="48"/>
      <c r="QW10" s="48"/>
      <c r="QX10" s="48"/>
      <c r="QY10" s="48"/>
      <c r="QZ10" s="48"/>
      <c r="RA10" s="48"/>
      <c r="RB10" s="48"/>
      <c r="RC10" s="48"/>
      <c r="RD10" s="48"/>
      <c r="RE10" s="48"/>
      <c r="RF10" s="48"/>
      <c r="RG10" s="48"/>
      <c r="RH10" s="48"/>
      <c r="RI10" s="48"/>
      <c r="RJ10" s="48"/>
      <c r="RK10" s="48"/>
      <c r="RL10" s="48"/>
      <c r="RM10" s="48"/>
      <c r="RN10" s="48"/>
      <c r="RO10" s="48"/>
      <c r="RP10" s="48"/>
      <c r="RQ10" s="48"/>
      <c r="RR10" s="48"/>
      <c r="RS10" s="48"/>
      <c r="RT10" s="48"/>
      <c r="RU10" s="48"/>
      <c r="RV10" s="48"/>
      <c r="RW10" s="48"/>
      <c r="RX10" s="48"/>
      <c r="RY10" s="48"/>
      <c r="RZ10" s="48"/>
      <c r="SA10" s="48"/>
      <c r="SB10" s="48"/>
      <c r="SC10" s="48"/>
      <c r="SD10" s="48"/>
      <c r="SE10" s="48"/>
      <c r="SF10" s="48"/>
      <c r="SG10" s="48"/>
      <c r="SH10" s="48"/>
      <c r="SI10" s="48"/>
      <c r="SJ10" s="48"/>
      <c r="SK10" s="48"/>
      <c r="SL10" s="48"/>
      <c r="SM10" s="48"/>
      <c r="SN10" s="48"/>
      <c r="SO10" s="48"/>
      <c r="SP10" s="48"/>
      <c r="SQ10" s="48"/>
      <c r="SR10" s="48"/>
      <c r="SS10" s="48"/>
      <c r="ST10" s="48"/>
      <c r="SU10" s="48"/>
      <c r="SV10" s="48"/>
      <c r="SW10" s="48"/>
      <c r="SX10" s="48"/>
      <c r="SY10" s="48"/>
      <c r="SZ10" s="48"/>
      <c r="TA10" s="48"/>
      <c r="TB10" s="48"/>
      <c r="TC10" s="48"/>
      <c r="TD10" s="48"/>
      <c r="TE10" s="48"/>
      <c r="TF10" s="48"/>
      <c r="TG10" s="48"/>
      <c r="TH10" s="48"/>
      <c r="TI10" s="48"/>
      <c r="TJ10" s="48"/>
      <c r="TK10" s="48"/>
      <c r="TL10" s="48"/>
      <c r="TM10" s="48"/>
      <c r="TN10" s="48"/>
      <c r="TO10" s="48"/>
      <c r="TP10" s="48"/>
      <c r="TQ10" s="48"/>
      <c r="TR10" s="48"/>
      <c r="TS10" s="48"/>
      <c r="TT10" s="48"/>
      <c r="TU10" s="48"/>
      <c r="TV10" s="48"/>
      <c r="TW10" s="48"/>
      <c r="TX10" s="48"/>
      <c r="TY10" s="48"/>
      <c r="TZ10" s="48"/>
      <c r="UA10" s="48"/>
      <c r="UB10" s="48"/>
      <c r="UC10" s="48"/>
      <c r="UD10" s="48"/>
      <c r="UE10" s="48"/>
      <c r="UF10" s="48"/>
      <c r="UG10" s="48"/>
      <c r="UH10" s="48"/>
      <c r="UI10" s="48"/>
      <c r="UJ10" s="48"/>
      <c r="UK10" s="48"/>
      <c r="UL10" s="48"/>
      <c r="UM10" s="48"/>
      <c r="UN10" s="48"/>
      <c r="UO10" s="48"/>
      <c r="UP10" s="48"/>
      <c r="UQ10" s="48"/>
      <c r="UR10" s="48"/>
      <c r="US10" s="48"/>
      <c r="UT10" s="48"/>
      <c r="UU10" s="48"/>
      <c r="UV10" s="48"/>
      <c r="UW10" s="48"/>
      <c r="UX10" s="48"/>
      <c r="UY10" s="48"/>
      <c r="UZ10" s="48"/>
      <c r="VA10" s="48"/>
      <c r="VB10" s="48"/>
      <c r="VC10" s="48"/>
      <c r="VD10" s="48"/>
      <c r="VE10" s="48"/>
      <c r="VF10" s="48"/>
      <c r="VG10" s="48"/>
      <c r="VH10" s="48"/>
      <c r="VI10" s="48"/>
      <c r="VJ10" s="48"/>
      <c r="VK10" s="48"/>
      <c r="VL10" s="48"/>
      <c r="VM10" s="48"/>
      <c r="VN10" s="48"/>
      <c r="VO10" s="48"/>
      <c r="VP10" s="48"/>
      <c r="VQ10" s="48"/>
      <c r="VR10" s="48"/>
      <c r="VS10" s="48"/>
      <c r="VT10" s="48"/>
      <c r="VU10" s="48"/>
      <c r="VV10" s="48"/>
      <c r="VW10" s="48"/>
      <c r="VX10" s="48"/>
      <c r="VY10" s="48"/>
      <c r="VZ10" s="48"/>
      <c r="WA10" s="48"/>
      <c r="WB10" s="48"/>
      <c r="WC10" s="48"/>
      <c r="WD10" s="48"/>
      <c r="WE10" s="48"/>
      <c r="WF10" s="48"/>
      <c r="WG10" s="48"/>
      <c r="WH10" s="48"/>
      <c r="WI10" s="48"/>
      <c r="WJ10" s="48"/>
      <c r="WK10" s="48"/>
      <c r="WL10" s="48"/>
      <c r="WM10" s="48"/>
      <c r="WN10" s="48"/>
      <c r="WO10" s="48"/>
      <c r="WP10" s="48"/>
      <c r="WQ10" s="48"/>
      <c r="WR10" s="48"/>
      <c r="WS10" s="48"/>
      <c r="WT10" s="48"/>
      <c r="WU10" s="48"/>
      <c r="WV10" s="48"/>
      <c r="WW10" s="48"/>
      <c r="WX10" s="48"/>
      <c r="WY10" s="48"/>
      <c r="WZ10" s="48"/>
      <c r="XA10" s="48"/>
      <c r="XB10" s="48"/>
      <c r="XC10" s="48"/>
      <c r="XD10" s="48"/>
      <c r="XE10" s="48"/>
      <c r="XF10" s="48"/>
      <c r="XG10" s="48"/>
      <c r="XH10" s="48"/>
      <c r="XI10" s="48"/>
      <c r="XJ10" s="48"/>
      <c r="XK10" s="48"/>
      <c r="XL10" s="48"/>
      <c r="XM10" s="48"/>
      <c r="XN10" s="48"/>
      <c r="XO10" s="48"/>
      <c r="XP10" s="48"/>
      <c r="XQ10" s="48"/>
      <c r="XR10" s="48"/>
      <c r="XS10" s="48"/>
      <c r="XT10" s="48"/>
      <c r="XU10" s="48"/>
      <c r="XV10" s="48"/>
      <c r="XW10" s="48"/>
      <c r="XX10" s="48"/>
      <c r="XY10" s="48"/>
      <c r="XZ10" s="48"/>
      <c r="YA10" s="48"/>
      <c r="YB10" s="48"/>
      <c r="YC10" s="48"/>
      <c r="YD10" s="48"/>
      <c r="YE10" s="48"/>
      <c r="YF10" s="48"/>
      <c r="YG10" s="48"/>
      <c r="YH10" s="48"/>
      <c r="YI10" s="48"/>
      <c r="YJ10" s="48"/>
      <c r="YK10" s="48"/>
      <c r="YL10" s="48"/>
      <c r="YM10" s="48"/>
      <c r="YN10" s="48"/>
      <c r="YO10" s="48"/>
      <c r="YP10" s="48"/>
      <c r="YQ10" s="48"/>
      <c r="YR10" s="48"/>
      <c r="YS10" s="48"/>
      <c r="YT10" s="48"/>
      <c r="YU10" s="48"/>
      <c r="YV10" s="48"/>
      <c r="YW10" s="48"/>
      <c r="YX10" s="48"/>
      <c r="YY10" s="48"/>
      <c r="YZ10" s="48"/>
      <c r="ZA10" s="48"/>
      <c r="ZB10" s="48"/>
      <c r="ZC10" s="48"/>
      <c r="ZD10" s="48"/>
      <c r="ZE10" s="48"/>
      <c r="ZF10" s="48"/>
      <c r="ZG10" s="48"/>
      <c r="ZH10" s="48"/>
      <c r="ZI10" s="48"/>
      <c r="ZJ10" s="48"/>
      <c r="ZK10" s="48"/>
      <c r="ZL10" s="48"/>
      <c r="ZM10" s="48"/>
      <c r="ZN10" s="48"/>
      <c r="ZO10" s="48"/>
      <c r="ZP10" s="48"/>
      <c r="ZQ10" s="48"/>
      <c r="ZR10" s="48"/>
      <c r="ZS10" s="48"/>
      <c r="ZT10" s="48"/>
      <c r="ZU10" s="48"/>
      <c r="ZV10" s="48"/>
      <c r="ZW10" s="48"/>
      <c r="ZX10" s="48"/>
      <c r="ZY10" s="48"/>
      <c r="ZZ10" s="48"/>
      <c r="AAA10" s="48"/>
      <c r="AAB10" s="48"/>
      <c r="AAC10" s="48"/>
      <c r="AAD10" s="48"/>
      <c r="AAE10" s="48"/>
      <c r="AAF10" s="48"/>
      <c r="AAG10" s="48"/>
      <c r="AAH10" s="48"/>
      <c r="AAI10" s="48"/>
      <c r="AAJ10" s="48"/>
      <c r="AAK10" s="48"/>
      <c r="AAL10" s="48"/>
      <c r="AAM10" s="48"/>
      <c r="AAN10" s="48"/>
      <c r="AAO10" s="48"/>
      <c r="AAP10" s="48"/>
      <c r="AAQ10" s="48"/>
      <c r="AAR10" s="48"/>
      <c r="AAS10" s="48"/>
      <c r="AAT10" s="48"/>
      <c r="AAU10" s="48"/>
      <c r="AAV10" s="48"/>
      <c r="AAW10" s="48"/>
      <c r="AAX10" s="48"/>
      <c r="AAY10" s="48"/>
      <c r="AAZ10" s="48"/>
      <c r="ABA10" s="48"/>
      <c r="ABB10" s="48"/>
      <c r="ABC10" s="48"/>
      <c r="ABD10" s="48"/>
      <c r="ABE10" s="48"/>
      <c r="ABF10" s="48"/>
      <c r="ABG10" s="48"/>
      <c r="ABH10" s="48"/>
      <c r="ABI10" s="48"/>
      <c r="ABJ10" s="48"/>
      <c r="ABK10" s="48"/>
      <c r="ABL10" s="48"/>
      <c r="ABM10" s="48"/>
      <c r="ABN10" s="48"/>
      <c r="ABO10" s="48"/>
      <c r="ABP10" s="48"/>
      <c r="ABQ10" s="48"/>
      <c r="ABR10" s="48"/>
      <c r="ABS10" s="48"/>
      <c r="ABT10" s="48"/>
      <c r="ABU10" s="48"/>
      <c r="ABV10" s="48"/>
      <c r="ABW10" s="48"/>
      <c r="ABX10" s="48"/>
      <c r="ABY10" s="48"/>
      <c r="ABZ10" s="48"/>
      <c r="ACA10" s="48"/>
      <c r="ACB10" s="48"/>
      <c r="ACC10" s="48"/>
      <c r="ACD10" s="48"/>
      <c r="ACE10" s="48"/>
      <c r="ACF10" s="48"/>
      <c r="ACG10" s="48"/>
      <c r="ACH10" s="48"/>
      <c r="ACI10" s="48"/>
      <c r="ACJ10" s="48"/>
      <c r="ACK10" s="48"/>
      <c r="ACL10" s="48"/>
      <c r="ACM10" s="48"/>
      <c r="ACN10" s="48"/>
      <c r="ACO10" s="48"/>
      <c r="ACP10" s="48"/>
      <c r="ACQ10" s="48"/>
      <c r="ACR10" s="48"/>
      <c r="ACS10" s="48"/>
      <c r="ACT10" s="48"/>
      <c r="ACU10" s="48"/>
      <c r="ACV10" s="48"/>
      <c r="ACW10" s="48"/>
      <c r="ACX10" s="48"/>
      <c r="ACY10" s="48"/>
      <c r="ACZ10" s="48"/>
      <c r="ADA10" s="48"/>
      <c r="ADB10" s="48"/>
      <c r="ADC10" s="48"/>
      <c r="ADD10" s="48"/>
      <c r="ADE10" s="48"/>
      <c r="ADF10" s="48"/>
      <c r="ADG10" s="48"/>
      <c r="ADH10" s="48"/>
      <c r="ADI10" s="48"/>
      <c r="ADJ10" s="48"/>
      <c r="ADK10" s="48"/>
      <c r="ADL10" s="48"/>
      <c r="ADM10" s="48"/>
      <c r="ADN10" s="48"/>
      <c r="ADO10" s="48"/>
      <c r="ADP10" s="48"/>
      <c r="ADQ10" s="48"/>
      <c r="ADR10" s="48"/>
      <c r="ADS10" s="48"/>
      <c r="ADT10" s="48"/>
      <c r="ADU10" s="48"/>
      <c r="ADV10" s="48"/>
      <c r="ADW10" s="48"/>
      <c r="ADX10" s="48"/>
      <c r="ADY10" s="48"/>
      <c r="ADZ10" s="48"/>
      <c r="AEA10" s="48"/>
      <c r="AEB10" s="48"/>
      <c r="AEC10" s="48"/>
      <c r="AED10" s="48"/>
      <c r="AEE10" s="48"/>
      <c r="AEF10" s="48"/>
      <c r="AEG10" s="48"/>
      <c r="AEH10" s="48"/>
      <c r="AEI10" s="48"/>
      <c r="AEJ10" s="48"/>
      <c r="AEK10" s="48"/>
      <c r="AEL10" s="48"/>
      <c r="AEM10" s="48"/>
      <c r="AEN10" s="48"/>
      <c r="AEO10" s="48"/>
      <c r="AEP10" s="48"/>
      <c r="AEQ10" s="48"/>
      <c r="AER10" s="48"/>
      <c r="AES10" s="48"/>
      <c r="AET10" s="48"/>
      <c r="AEU10" s="48"/>
      <c r="AEV10" s="48"/>
      <c r="AEW10" s="48"/>
      <c r="AEX10" s="48"/>
      <c r="AEY10" s="48"/>
      <c r="AEZ10" s="48"/>
      <c r="AFA10" s="48"/>
      <c r="AFB10" s="48"/>
      <c r="AFC10" s="48"/>
      <c r="AFD10" s="48"/>
      <c r="AFE10" s="48"/>
      <c r="AFF10" s="48"/>
      <c r="AFG10" s="48"/>
      <c r="AFH10" s="48"/>
      <c r="AFI10" s="48"/>
      <c r="AFJ10" s="48"/>
      <c r="AFK10" s="48"/>
      <c r="AFL10" s="48"/>
      <c r="AFM10" s="48"/>
      <c r="AFN10" s="48"/>
      <c r="AFO10" s="48"/>
      <c r="AFP10" s="48"/>
      <c r="AFQ10" s="48"/>
      <c r="AFR10" s="48"/>
      <c r="AFS10" s="48"/>
      <c r="AFT10" s="48"/>
      <c r="AFU10" s="48"/>
      <c r="AFV10" s="48"/>
      <c r="AFW10" s="48"/>
      <c r="AFX10" s="48"/>
      <c r="AFY10" s="48"/>
      <c r="AFZ10" s="48"/>
      <c r="AGA10" s="48"/>
      <c r="AGB10" s="48"/>
      <c r="AGC10" s="48"/>
      <c r="AGD10" s="48"/>
      <c r="AGE10" s="48"/>
      <c r="AGF10" s="48"/>
      <c r="AGG10" s="48"/>
      <c r="AGH10" s="48"/>
      <c r="AGI10" s="48"/>
      <c r="AGJ10" s="48"/>
      <c r="AGK10" s="48"/>
      <c r="AGL10" s="48"/>
      <c r="AGM10" s="48"/>
      <c r="AGN10" s="48"/>
      <c r="AGO10" s="48"/>
      <c r="AGP10" s="48"/>
      <c r="AGQ10" s="48"/>
      <c r="AGR10" s="48"/>
      <c r="AGS10" s="48"/>
      <c r="AGT10" s="48"/>
      <c r="AGU10" s="48"/>
      <c r="AGV10" s="48"/>
      <c r="AGW10" s="48"/>
      <c r="AGX10" s="48"/>
      <c r="AGY10" s="48"/>
      <c r="AGZ10" s="48"/>
      <c r="AHA10" s="48"/>
      <c r="AHB10" s="48"/>
      <c r="AHC10" s="48"/>
      <c r="AHD10" s="48"/>
      <c r="AHE10" s="48"/>
      <c r="AHF10" s="48"/>
      <c r="AHG10" s="48"/>
      <c r="AHH10" s="48"/>
      <c r="AHI10" s="48"/>
      <c r="AHJ10" s="48"/>
      <c r="AHK10" s="48"/>
      <c r="AHL10" s="48"/>
      <c r="AHM10" s="48"/>
      <c r="AHN10" s="48"/>
      <c r="AHO10" s="48"/>
      <c r="AHP10" s="48"/>
      <c r="AHQ10" s="48"/>
      <c r="AHR10" s="48"/>
      <c r="AHS10" s="48"/>
      <c r="AHT10" s="48"/>
      <c r="AHU10" s="48"/>
      <c r="AHV10" s="48"/>
      <c r="AHW10" s="48"/>
      <c r="AHX10" s="48"/>
      <c r="AHY10" s="48"/>
      <c r="AHZ10" s="48"/>
      <c r="AIA10" s="48"/>
      <c r="AIB10" s="48"/>
      <c r="AIC10" s="48"/>
      <c r="AID10" s="48"/>
      <c r="AIE10" s="48"/>
      <c r="AIF10" s="48"/>
      <c r="AIG10" s="48"/>
      <c r="AIH10" s="48"/>
      <c r="AII10" s="48"/>
      <c r="AIJ10" s="48"/>
      <c r="AIK10" s="48"/>
      <c r="AIL10" s="48"/>
      <c r="AIM10" s="48"/>
      <c r="AIN10" s="48"/>
      <c r="AIO10" s="48"/>
      <c r="AIP10" s="48"/>
      <c r="AIQ10" s="48"/>
      <c r="AIR10" s="48"/>
      <c r="AIS10" s="48"/>
      <c r="AIT10" s="48"/>
      <c r="AIU10" s="48"/>
      <c r="AIV10" s="48"/>
      <c r="AIW10" s="48"/>
      <c r="AIX10" s="48"/>
      <c r="AIY10" s="48"/>
      <c r="AIZ10" s="48"/>
      <c r="AJA10" s="48"/>
      <c r="AJB10" s="48"/>
      <c r="AJC10" s="48"/>
      <c r="AJD10" s="48"/>
      <c r="AJE10" s="48"/>
      <c r="AJF10" s="48"/>
      <c r="AJG10" s="48"/>
      <c r="AJH10" s="48"/>
      <c r="AJI10" s="48"/>
      <c r="AJJ10" s="48"/>
      <c r="AJK10" s="48"/>
      <c r="AJL10" s="48"/>
      <c r="AJM10" s="48"/>
      <c r="AJN10" s="48"/>
      <c r="AJO10" s="48"/>
      <c r="AJP10" s="48"/>
      <c r="AJQ10" s="48"/>
      <c r="AJR10" s="48"/>
      <c r="AJS10" s="48"/>
      <c r="AJT10" s="48"/>
      <c r="AJU10" s="48"/>
      <c r="AJV10" s="48"/>
      <c r="AJW10" s="48"/>
      <c r="AJX10" s="48"/>
      <c r="AJY10" s="48"/>
      <c r="AJZ10" s="48"/>
      <c r="AKA10" s="48"/>
      <c r="AKB10" s="48"/>
      <c r="AKC10" s="48"/>
      <c r="AKD10" s="48"/>
      <c r="AKE10" s="48"/>
      <c r="AKF10" s="48"/>
      <c r="AKG10" s="48"/>
      <c r="AKH10" s="48"/>
      <c r="AKI10" s="48"/>
      <c r="AKJ10" s="48"/>
      <c r="AKK10" s="48"/>
      <c r="AKL10" s="48"/>
      <c r="AKM10" s="48"/>
      <c r="AKN10" s="48"/>
      <c r="AKO10" s="48"/>
      <c r="AKP10" s="48"/>
      <c r="AKQ10" s="48"/>
      <c r="AKR10" s="48"/>
      <c r="AKS10" s="48"/>
      <c r="AKT10" s="48"/>
      <c r="AKU10" s="48"/>
      <c r="AKV10" s="48"/>
      <c r="AKW10" s="48"/>
      <c r="AKX10" s="48"/>
      <c r="AKY10" s="48"/>
      <c r="AKZ10" s="48"/>
      <c r="ALA10" s="48"/>
      <c r="ALB10" s="48"/>
      <c r="ALC10" s="48"/>
      <c r="ALD10" s="48"/>
      <c r="ALE10" s="48"/>
      <c r="ALF10" s="48"/>
      <c r="ALG10" s="48"/>
      <c r="ALH10" s="48"/>
      <c r="ALI10" s="48"/>
      <c r="ALJ10" s="48"/>
      <c r="ALK10" s="48"/>
      <c r="ALL10" s="48"/>
      <c r="ALM10" s="48"/>
      <c r="ALN10" s="48"/>
      <c r="ALO10" s="48"/>
      <c r="ALP10" s="48"/>
      <c r="ALQ10" s="48"/>
      <c r="ALR10" s="48"/>
      <c r="ALS10" s="48"/>
      <c r="ALT10" s="48"/>
      <c r="ALU10" s="48"/>
      <c r="ALV10" s="48"/>
      <c r="ALW10" s="48"/>
      <c r="ALX10" s="48"/>
      <c r="ALY10" s="48"/>
      <c r="ALZ10" s="48"/>
      <c r="AMA10" s="48"/>
      <c r="AMB10" s="48"/>
      <c r="AMC10" s="48"/>
      <c r="AMD10" s="48"/>
      <c r="AME10" s="48"/>
      <c r="AMF10" s="48"/>
      <c r="AMG10" s="48"/>
      <c r="AMH10" s="48"/>
      <c r="AMI10" s="48"/>
      <c r="AMJ10" s="48"/>
      <c r="AMK10" s="48"/>
      <c r="AML10" s="48"/>
    </row>
    <row r="11" ht="15.75" customHeight="1">
      <c r="A11" s="8" t="s">
        <v>112</v>
      </c>
      <c r="B11" s="8" t="s">
        <v>68</v>
      </c>
      <c r="C11" s="8" t="s">
        <v>116</v>
      </c>
      <c r="D11" s="8">
        <v>100.0</v>
      </c>
      <c r="E11" s="8">
        <v>100.0</v>
      </c>
      <c r="F11" s="8" t="s">
        <v>112</v>
      </c>
      <c r="G11" s="8" t="s">
        <v>113</v>
      </c>
      <c r="H11" s="8" t="s">
        <v>112</v>
      </c>
      <c r="I11" s="8" t="s">
        <v>112</v>
      </c>
      <c r="J11" s="8" t="s">
        <v>112</v>
      </c>
      <c r="K11" s="8" t="s">
        <v>120</v>
      </c>
      <c r="L11" s="8" t="s">
        <v>64</v>
      </c>
      <c r="M11" s="8" t="s">
        <v>117</v>
      </c>
      <c r="N11" s="8" t="s">
        <v>112</v>
      </c>
      <c r="O11" s="8" t="s">
        <v>112</v>
      </c>
      <c r="P11" t="s">
        <v>112</v>
      </c>
      <c r="Q11" t="s">
        <v>112</v>
      </c>
      <c r="R11" t="s">
        <v>119</v>
      </c>
      <c r="V11" t="s">
        <v>112</v>
      </c>
      <c r="W11" t="s">
        <v>129</v>
      </c>
      <c r="X11" t="s">
        <v>132</v>
      </c>
      <c r="Y11">
        <v>1.0</v>
      </c>
      <c r="Z11" t="s">
        <v>112</v>
      </c>
      <c r="AB11" t="s">
        <v>112</v>
      </c>
      <c r="AC11" t="s">
        <v>112</v>
      </c>
      <c r="AD11" t="s">
        <v>112</v>
      </c>
      <c r="AF11" t="s">
        <v>112</v>
      </c>
      <c r="AG11" t="s">
        <v>65</v>
      </c>
      <c r="AH11" t="s">
        <v>112</v>
      </c>
      <c r="AJ11" t="s">
        <v>112</v>
      </c>
      <c r="AK11" t="s">
        <v>112</v>
      </c>
      <c r="AR11" t="s">
        <v>133</v>
      </c>
      <c r="AV11" t="s">
        <v>121</v>
      </c>
      <c r="AX11" t="s">
        <v>112</v>
      </c>
      <c r="AY11" t="s">
        <v>112</v>
      </c>
      <c r="AZ11" t="s">
        <v>112</v>
      </c>
      <c r="BA11" t="s">
        <v>134</v>
      </c>
      <c r="BB11" t="s">
        <v>119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112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112</v>
      </c>
      <c r="BQ11" t="s">
        <v>112</v>
      </c>
      <c r="BR11" t="s">
        <v>112</v>
      </c>
      <c r="BS11" t="s">
        <v>112</v>
      </c>
      <c r="BT11" t="s">
        <v>112</v>
      </c>
      <c r="BU11" t="s">
        <v>112</v>
      </c>
      <c r="BV11" t="s">
        <v>112</v>
      </c>
      <c r="BW11" t="s">
        <v>112</v>
      </c>
      <c r="BX11" t="s">
        <v>112</v>
      </c>
      <c r="BY11" t="s">
        <v>112</v>
      </c>
      <c r="BZ11" t="s">
        <v>112</v>
      </c>
      <c r="CA11" t="s">
        <v>112</v>
      </c>
      <c r="CB11" t="s">
        <v>112</v>
      </c>
      <c r="CC11" t="s">
        <v>112</v>
      </c>
      <c r="CD11" t="s">
        <v>112</v>
      </c>
      <c r="CE11" t="s">
        <v>112</v>
      </c>
      <c r="CF11" t="s">
        <v>112</v>
      </c>
      <c r="CG11" t="s">
        <v>112</v>
      </c>
      <c r="CH11" t="s">
        <v>112</v>
      </c>
      <c r="CI11" t="s">
        <v>112</v>
      </c>
      <c r="CJ11" t="s">
        <v>112</v>
      </c>
      <c r="CK11" t="s">
        <v>112</v>
      </c>
      <c r="CL11" t="s">
        <v>112</v>
      </c>
      <c r="CM11" t="s">
        <v>112</v>
      </c>
      <c r="CN11" t="s">
        <v>112</v>
      </c>
      <c r="CO11" t="s">
        <v>112</v>
      </c>
      <c r="CP11" t="s">
        <v>112</v>
      </c>
      <c r="CQ11" t="s">
        <v>112</v>
      </c>
      <c r="CR11" t="s">
        <v>112</v>
      </c>
      <c r="CS11" t="s">
        <v>112</v>
      </c>
      <c r="CT11" t="s">
        <v>112</v>
      </c>
      <c r="CU11" t="s">
        <v>112</v>
      </c>
      <c r="CV11" t="s">
        <v>112</v>
      </c>
      <c r="CW11" t="s">
        <v>112</v>
      </c>
      <c r="CX11" t="s">
        <v>112</v>
      </c>
      <c r="CY11" t="s">
        <v>112</v>
      </c>
      <c r="CZ11" t="s">
        <v>112</v>
      </c>
      <c r="DA11" t="s">
        <v>112</v>
      </c>
      <c r="DB11" t="s">
        <v>112</v>
      </c>
      <c r="DC11" t="s">
        <v>112</v>
      </c>
      <c r="DD11" t="s">
        <v>112</v>
      </c>
      <c r="DE11" t="s">
        <v>112</v>
      </c>
      <c r="DF11" t="s">
        <v>112</v>
      </c>
      <c r="DG11" t="s">
        <v>112</v>
      </c>
      <c r="DH11" t="s">
        <v>112</v>
      </c>
      <c r="DI11" t="s">
        <v>112</v>
      </c>
      <c r="DJ11" t="s">
        <v>112</v>
      </c>
      <c r="DK11" t="s">
        <v>112</v>
      </c>
      <c r="DL11" t="s">
        <v>112</v>
      </c>
      <c r="DM11" t="s">
        <v>112</v>
      </c>
      <c r="DN11" t="s">
        <v>112</v>
      </c>
      <c r="DO11" t="s">
        <v>112</v>
      </c>
      <c r="DP11" t="s">
        <v>112</v>
      </c>
      <c r="DQ11" t="s">
        <v>112</v>
      </c>
      <c r="DR11" t="s">
        <v>112</v>
      </c>
      <c r="DS11" t="s">
        <v>112</v>
      </c>
      <c r="DT11" t="s">
        <v>112</v>
      </c>
      <c r="DU11" t="s">
        <v>112</v>
      </c>
      <c r="DV11" t="s">
        <v>112</v>
      </c>
      <c r="DW11" t="s">
        <v>112</v>
      </c>
      <c r="DX11" t="s">
        <v>112</v>
      </c>
      <c r="DY11" t="s">
        <v>112</v>
      </c>
      <c r="DZ11" t="s">
        <v>112</v>
      </c>
      <c r="EA11" t="s">
        <v>112</v>
      </c>
      <c r="EB11" t="s">
        <v>112</v>
      </c>
      <c r="EC11" t="s">
        <v>112</v>
      </c>
      <c r="ED11" t="s">
        <v>112</v>
      </c>
      <c r="EE11" t="s">
        <v>112</v>
      </c>
      <c r="EF11" t="s">
        <v>112</v>
      </c>
      <c r="EG11" t="s">
        <v>112</v>
      </c>
      <c r="EH11" t="s">
        <v>112</v>
      </c>
      <c r="EI11" t="s">
        <v>112</v>
      </c>
      <c r="EJ11" t="s">
        <v>112</v>
      </c>
      <c r="EK11" t="s">
        <v>112</v>
      </c>
      <c r="EL11" t="s">
        <v>112</v>
      </c>
      <c r="EM11" t="s">
        <v>112</v>
      </c>
      <c r="EN11" t="s">
        <v>112</v>
      </c>
      <c r="EO11" t="s">
        <v>112</v>
      </c>
      <c r="EP11" t="s">
        <v>112</v>
      </c>
      <c r="EQ11" t="s">
        <v>112</v>
      </c>
      <c r="ER11" t="s">
        <v>112</v>
      </c>
      <c r="ES11" t="s">
        <v>112</v>
      </c>
      <c r="ET11" t="s">
        <v>112</v>
      </c>
      <c r="EU11" t="s">
        <v>112</v>
      </c>
      <c r="EV11" t="s">
        <v>112</v>
      </c>
      <c r="EW11" t="s">
        <v>112</v>
      </c>
      <c r="EX11" t="s">
        <v>112</v>
      </c>
      <c r="EY11" t="s">
        <v>112</v>
      </c>
      <c r="EZ11" t="s">
        <v>112</v>
      </c>
      <c r="FA11" t="s">
        <v>112</v>
      </c>
      <c r="FB11" t="s">
        <v>112</v>
      </c>
      <c r="FC11" t="s">
        <v>112</v>
      </c>
      <c r="FD11" t="s">
        <v>112</v>
      </c>
      <c r="FE11" t="s">
        <v>112</v>
      </c>
      <c r="FF11" t="s">
        <v>112</v>
      </c>
      <c r="FG11" t="s">
        <v>112</v>
      </c>
      <c r="FH11" t="s">
        <v>112</v>
      </c>
      <c r="FI11" t="s">
        <v>112</v>
      </c>
      <c r="FJ11" t="s">
        <v>112</v>
      </c>
      <c r="FK11" t="s">
        <v>112</v>
      </c>
      <c r="FL11" t="s">
        <v>112</v>
      </c>
      <c r="FM11" t="s">
        <v>112</v>
      </c>
      <c r="FN11" t="s">
        <v>112</v>
      </c>
      <c r="FO11" t="s">
        <v>112</v>
      </c>
      <c r="FP11" t="s">
        <v>112</v>
      </c>
      <c r="FQ11" t="s">
        <v>112</v>
      </c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48"/>
      <c r="KQ11" s="48"/>
      <c r="KR11" s="48"/>
      <c r="KS11" s="48"/>
      <c r="KT11" s="48"/>
      <c r="KU11" s="48"/>
      <c r="KV11" s="48"/>
      <c r="KW11" s="48"/>
      <c r="KX11" s="48"/>
      <c r="KY11" s="48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48"/>
      <c r="LR11" s="48"/>
      <c r="LS11" s="48"/>
      <c r="LT11" s="48"/>
      <c r="LU11" s="48"/>
      <c r="LV11" s="48"/>
      <c r="LW11" s="48"/>
      <c r="LX11" s="48"/>
      <c r="LY11" s="48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  <c r="MP11" s="48"/>
      <c r="MQ11" s="48"/>
      <c r="MR11" s="48"/>
      <c r="MS11" s="48"/>
      <c r="MT11" s="48"/>
      <c r="MU11" s="48"/>
      <c r="MV11" s="48"/>
      <c r="MW11" s="48"/>
      <c r="MX11" s="48"/>
      <c r="MY11" s="48"/>
      <c r="MZ11" s="48"/>
      <c r="NA11" s="48"/>
      <c r="NB11" s="48"/>
      <c r="NC11" s="48"/>
      <c r="ND11" s="48"/>
      <c r="NE11" s="48"/>
      <c r="NF11" s="48"/>
      <c r="NG11" s="48"/>
      <c r="NH11" s="48"/>
      <c r="NI11" s="48"/>
      <c r="NJ11" s="48"/>
      <c r="NK11" s="48"/>
      <c r="NL11" s="48"/>
      <c r="NM11" s="48"/>
      <c r="NN11" s="48"/>
      <c r="NO11" s="48"/>
      <c r="NP11" s="48"/>
      <c r="NQ11" s="48"/>
      <c r="NR11" s="48"/>
      <c r="NS11" s="48"/>
      <c r="NT11" s="48"/>
      <c r="NU11" s="48"/>
      <c r="NV11" s="48"/>
      <c r="NW11" s="48"/>
      <c r="NX11" s="48"/>
      <c r="NY11" s="48"/>
      <c r="NZ11" s="48"/>
      <c r="OA11" s="48"/>
      <c r="OB11" s="48"/>
      <c r="OC11" s="48"/>
      <c r="OD11" s="48"/>
      <c r="OE11" s="48"/>
      <c r="OF11" s="48"/>
      <c r="OG11" s="48"/>
      <c r="OH11" s="48"/>
      <c r="OI11" s="48"/>
      <c r="OJ11" s="48"/>
      <c r="OK11" s="48"/>
      <c r="OL11" s="48"/>
      <c r="OM11" s="48"/>
      <c r="ON11" s="48"/>
      <c r="OO11" s="48"/>
      <c r="OP11" s="48"/>
      <c r="OQ11" s="48"/>
      <c r="OR11" s="48"/>
      <c r="OS11" s="48"/>
      <c r="OT11" s="48"/>
      <c r="OU11" s="48"/>
      <c r="OV11" s="48"/>
      <c r="OW11" s="48"/>
      <c r="OX11" s="48"/>
      <c r="OY11" s="48"/>
      <c r="OZ11" s="48"/>
      <c r="PA11" s="48"/>
      <c r="PB11" s="48"/>
      <c r="PC11" s="48"/>
      <c r="PD11" s="48"/>
      <c r="PE11" s="48"/>
      <c r="PF11" s="48"/>
      <c r="PG11" s="48"/>
      <c r="PH11" s="48"/>
      <c r="PI11" s="48"/>
      <c r="PJ11" s="48"/>
      <c r="PK11" s="48"/>
      <c r="PL11" s="48"/>
      <c r="PM11" s="48"/>
      <c r="PN11" s="48"/>
      <c r="PO11" s="48"/>
      <c r="PP11" s="48"/>
      <c r="PQ11" s="48"/>
      <c r="PR11" s="48"/>
      <c r="PS11" s="48"/>
      <c r="PT11" s="48"/>
      <c r="PU11" s="48"/>
      <c r="PV11" s="48"/>
      <c r="PW11" s="48"/>
      <c r="PX11" s="48"/>
      <c r="PY11" s="48"/>
      <c r="PZ11" s="48"/>
      <c r="QA11" s="48"/>
      <c r="QB11" s="48"/>
      <c r="QC11" s="48"/>
      <c r="QD11" s="48"/>
      <c r="QE11" s="48"/>
      <c r="QF11" s="48"/>
      <c r="QG11" s="48"/>
      <c r="QH11" s="48"/>
      <c r="QI11" s="48"/>
      <c r="QJ11" s="48"/>
      <c r="QK11" s="48"/>
      <c r="QL11" s="48"/>
      <c r="QM11" s="48"/>
      <c r="QN11" s="48"/>
      <c r="QO11" s="48"/>
      <c r="QP11" s="48"/>
      <c r="QQ11" s="48"/>
      <c r="QR11" s="48"/>
      <c r="QS11" s="48"/>
      <c r="QT11" s="48"/>
      <c r="QU11" s="48"/>
      <c r="QV11" s="48"/>
      <c r="QW11" s="48"/>
      <c r="QX11" s="48"/>
      <c r="QY11" s="48"/>
      <c r="QZ11" s="48"/>
      <c r="RA11" s="48"/>
      <c r="RB11" s="48"/>
      <c r="RC11" s="48"/>
      <c r="RD11" s="48"/>
      <c r="RE11" s="48"/>
      <c r="RF11" s="48"/>
      <c r="RG11" s="48"/>
      <c r="RH11" s="48"/>
      <c r="RI11" s="48"/>
      <c r="RJ11" s="48"/>
      <c r="RK11" s="48"/>
      <c r="RL11" s="48"/>
      <c r="RM11" s="48"/>
      <c r="RN11" s="48"/>
      <c r="RO11" s="48"/>
      <c r="RP11" s="48"/>
      <c r="RQ11" s="48"/>
      <c r="RR11" s="48"/>
      <c r="RS11" s="48"/>
      <c r="RT11" s="48"/>
      <c r="RU11" s="48"/>
      <c r="RV11" s="48"/>
      <c r="RW11" s="48"/>
      <c r="RX11" s="48"/>
      <c r="RY11" s="48"/>
      <c r="RZ11" s="48"/>
      <c r="SA11" s="48"/>
      <c r="SB11" s="48"/>
      <c r="SC11" s="48"/>
      <c r="SD11" s="48"/>
      <c r="SE11" s="48"/>
      <c r="SF11" s="48"/>
      <c r="SG11" s="48"/>
      <c r="SH11" s="48"/>
      <c r="SI11" s="48"/>
      <c r="SJ11" s="48"/>
      <c r="SK11" s="48"/>
      <c r="SL11" s="48"/>
      <c r="SM11" s="48"/>
      <c r="SN11" s="48"/>
      <c r="SO11" s="48"/>
      <c r="SP11" s="48"/>
      <c r="SQ11" s="48"/>
      <c r="SR11" s="48"/>
      <c r="SS11" s="48"/>
      <c r="ST11" s="48"/>
      <c r="SU11" s="48"/>
      <c r="SV11" s="48"/>
      <c r="SW11" s="48"/>
      <c r="SX11" s="48"/>
      <c r="SY11" s="48"/>
      <c r="SZ11" s="48"/>
      <c r="TA11" s="48"/>
      <c r="TB11" s="48"/>
      <c r="TC11" s="48"/>
      <c r="TD11" s="48"/>
      <c r="TE11" s="48"/>
      <c r="TF11" s="48"/>
      <c r="TG11" s="48"/>
      <c r="TH11" s="48"/>
      <c r="TI11" s="48"/>
      <c r="TJ11" s="48"/>
      <c r="TK11" s="48"/>
      <c r="TL11" s="48"/>
      <c r="TM11" s="48"/>
      <c r="TN11" s="48"/>
      <c r="TO11" s="48"/>
      <c r="TP11" s="48"/>
      <c r="TQ11" s="48"/>
      <c r="TR11" s="48"/>
      <c r="TS11" s="48"/>
      <c r="TT11" s="48"/>
      <c r="TU11" s="48"/>
      <c r="TV11" s="48"/>
      <c r="TW11" s="48"/>
      <c r="TX11" s="48"/>
      <c r="TY11" s="48"/>
      <c r="TZ11" s="48"/>
      <c r="UA11" s="48"/>
      <c r="UB11" s="48"/>
      <c r="UC11" s="48"/>
      <c r="UD11" s="48"/>
      <c r="UE11" s="48"/>
      <c r="UF11" s="48"/>
      <c r="UG11" s="48"/>
      <c r="UH11" s="48"/>
      <c r="UI11" s="48"/>
      <c r="UJ11" s="48"/>
      <c r="UK11" s="48"/>
      <c r="UL11" s="48"/>
      <c r="UM11" s="48"/>
      <c r="UN11" s="48"/>
      <c r="UO11" s="48"/>
      <c r="UP11" s="48"/>
      <c r="UQ11" s="48"/>
      <c r="UR11" s="48"/>
      <c r="US11" s="48"/>
      <c r="UT11" s="48"/>
      <c r="UU11" s="48"/>
      <c r="UV11" s="48"/>
      <c r="UW11" s="48"/>
      <c r="UX11" s="48"/>
      <c r="UY11" s="48"/>
      <c r="UZ11" s="48"/>
      <c r="VA11" s="48"/>
      <c r="VB11" s="48"/>
      <c r="VC11" s="48"/>
      <c r="VD11" s="48"/>
      <c r="VE11" s="48"/>
      <c r="VF11" s="48"/>
      <c r="VG11" s="48"/>
      <c r="VH11" s="48"/>
      <c r="VI11" s="48"/>
      <c r="VJ11" s="48"/>
      <c r="VK11" s="48"/>
      <c r="VL11" s="48"/>
      <c r="VM11" s="48"/>
      <c r="VN11" s="48"/>
      <c r="VO11" s="48"/>
      <c r="VP11" s="48"/>
      <c r="VQ11" s="48"/>
      <c r="VR11" s="48"/>
      <c r="VS11" s="48"/>
      <c r="VT11" s="48"/>
      <c r="VU11" s="48"/>
      <c r="VV11" s="48"/>
      <c r="VW11" s="48"/>
      <c r="VX11" s="48"/>
      <c r="VY11" s="48"/>
      <c r="VZ11" s="48"/>
      <c r="WA11" s="48"/>
      <c r="WB11" s="48"/>
      <c r="WC11" s="48"/>
      <c r="WD11" s="48"/>
      <c r="WE11" s="48"/>
      <c r="WF11" s="48"/>
      <c r="WG11" s="48"/>
      <c r="WH11" s="48"/>
      <c r="WI11" s="48"/>
      <c r="WJ11" s="48"/>
      <c r="WK11" s="48"/>
      <c r="WL11" s="48"/>
      <c r="WM11" s="48"/>
      <c r="WN11" s="48"/>
      <c r="WO11" s="48"/>
      <c r="WP11" s="48"/>
      <c r="WQ11" s="48"/>
      <c r="WR11" s="48"/>
      <c r="WS11" s="48"/>
      <c r="WT11" s="48"/>
      <c r="WU11" s="48"/>
      <c r="WV11" s="48"/>
      <c r="WW11" s="48"/>
      <c r="WX11" s="48"/>
      <c r="WY11" s="48"/>
      <c r="WZ11" s="48"/>
      <c r="XA11" s="48"/>
      <c r="XB11" s="48"/>
      <c r="XC11" s="48"/>
      <c r="XD11" s="48"/>
      <c r="XE11" s="48"/>
      <c r="XF11" s="48"/>
      <c r="XG11" s="48"/>
      <c r="XH11" s="48"/>
      <c r="XI11" s="48"/>
      <c r="XJ11" s="48"/>
      <c r="XK11" s="48"/>
      <c r="XL11" s="48"/>
      <c r="XM11" s="48"/>
      <c r="XN11" s="48"/>
      <c r="XO11" s="48"/>
      <c r="XP11" s="48"/>
      <c r="XQ11" s="48"/>
      <c r="XR11" s="48"/>
      <c r="XS11" s="48"/>
      <c r="XT11" s="48"/>
      <c r="XU11" s="48"/>
      <c r="XV11" s="48"/>
      <c r="XW11" s="48"/>
      <c r="XX11" s="48"/>
      <c r="XY11" s="48"/>
      <c r="XZ11" s="48"/>
      <c r="YA11" s="48"/>
      <c r="YB11" s="48"/>
      <c r="YC11" s="48"/>
      <c r="YD11" s="48"/>
      <c r="YE11" s="48"/>
      <c r="YF11" s="48"/>
      <c r="YG11" s="48"/>
      <c r="YH11" s="48"/>
      <c r="YI11" s="48"/>
      <c r="YJ11" s="48"/>
      <c r="YK11" s="48"/>
      <c r="YL11" s="48"/>
      <c r="YM11" s="48"/>
      <c r="YN11" s="48"/>
      <c r="YO11" s="48"/>
      <c r="YP11" s="48"/>
      <c r="YQ11" s="48"/>
      <c r="YR11" s="48"/>
      <c r="YS11" s="48"/>
      <c r="YT11" s="48"/>
      <c r="YU11" s="48"/>
      <c r="YV11" s="48"/>
      <c r="YW11" s="48"/>
      <c r="YX11" s="48"/>
      <c r="YY11" s="48"/>
      <c r="YZ11" s="48"/>
      <c r="ZA11" s="48"/>
      <c r="ZB11" s="48"/>
      <c r="ZC11" s="48"/>
      <c r="ZD11" s="48"/>
      <c r="ZE11" s="48"/>
      <c r="ZF11" s="48"/>
      <c r="ZG11" s="48"/>
      <c r="ZH11" s="48"/>
      <c r="ZI11" s="48"/>
      <c r="ZJ11" s="48"/>
      <c r="ZK11" s="48"/>
      <c r="ZL11" s="48"/>
      <c r="ZM11" s="48"/>
      <c r="ZN11" s="48"/>
      <c r="ZO11" s="48"/>
      <c r="ZP11" s="48"/>
      <c r="ZQ11" s="48"/>
      <c r="ZR11" s="48"/>
      <c r="ZS11" s="48"/>
      <c r="ZT11" s="48"/>
      <c r="ZU11" s="48"/>
      <c r="ZV11" s="48"/>
      <c r="ZW11" s="48"/>
      <c r="ZX11" s="48"/>
      <c r="ZY11" s="48"/>
      <c r="ZZ11" s="48"/>
      <c r="AAA11" s="48"/>
      <c r="AAB11" s="48"/>
      <c r="AAC11" s="48"/>
      <c r="AAD11" s="48"/>
      <c r="AAE11" s="48"/>
      <c r="AAF11" s="48"/>
      <c r="AAG11" s="48"/>
      <c r="AAH11" s="48"/>
      <c r="AAI11" s="48"/>
      <c r="AAJ11" s="48"/>
      <c r="AAK11" s="48"/>
      <c r="AAL11" s="48"/>
      <c r="AAM11" s="48"/>
      <c r="AAN11" s="48"/>
      <c r="AAO11" s="48"/>
      <c r="AAP11" s="48"/>
      <c r="AAQ11" s="48"/>
      <c r="AAR11" s="48"/>
      <c r="AAS11" s="48"/>
      <c r="AAT11" s="48"/>
      <c r="AAU11" s="48"/>
      <c r="AAV11" s="48"/>
      <c r="AAW11" s="48"/>
      <c r="AAX11" s="48"/>
      <c r="AAY11" s="48"/>
      <c r="AAZ11" s="48"/>
      <c r="ABA11" s="48"/>
      <c r="ABB11" s="48"/>
      <c r="ABC11" s="48"/>
      <c r="ABD11" s="48"/>
      <c r="ABE11" s="48"/>
      <c r="ABF11" s="48"/>
      <c r="ABG11" s="48"/>
      <c r="ABH11" s="48"/>
      <c r="ABI11" s="48"/>
      <c r="ABJ11" s="48"/>
      <c r="ABK11" s="48"/>
      <c r="ABL11" s="48"/>
      <c r="ABM11" s="48"/>
      <c r="ABN11" s="48"/>
      <c r="ABO11" s="48"/>
      <c r="ABP11" s="48"/>
      <c r="ABQ11" s="48"/>
      <c r="ABR11" s="48"/>
      <c r="ABS11" s="48"/>
      <c r="ABT11" s="48"/>
      <c r="ABU11" s="48"/>
      <c r="ABV11" s="48"/>
      <c r="ABW11" s="48"/>
      <c r="ABX11" s="48"/>
      <c r="ABY11" s="48"/>
      <c r="ABZ11" s="48"/>
      <c r="ACA11" s="48"/>
      <c r="ACB11" s="48"/>
      <c r="ACC11" s="48"/>
      <c r="ACD11" s="48"/>
      <c r="ACE11" s="48"/>
      <c r="ACF11" s="48"/>
      <c r="ACG11" s="48"/>
      <c r="ACH11" s="48"/>
      <c r="ACI11" s="48"/>
      <c r="ACJ11" s="48"/>
      <c r="ACK11" s="48"/>
      <c r="ACL11" s="48"/>
      <c r="ACM11" s="48"/>
      <c r="ACN11" s="48"/>
      <c r="ACO11" s="48"/>
      <c r="ACP11" s="48"/>
      <c r="ACQ11" s="48"/>
      <c r="ACR11" s="48"/>
      <c r="ACS11" s="48"/>
      <c r="ACT11" s="48"/>
      <c r="ACU11" s="48"/>
      <c r="ACV11" s="48"/>
      <c r="ACW11" s="48"/>
      <c r="ACX11" s="48"/>
      <c r="ACY11" s="48"/>
      <c r="ACZ11" s="48"/>
      <c r="ADA11" s="48"/>
      <c r="ADB11" s="48"/>
      <c r="ADC11" s="48"/>
      <c r="ADD11" s="48"/>
      <c r="ADE11" s="48"/>
      <c r="ADF11" s="48"/>
      <c r="ADG11" s="48"/>
      <c r="ADH11" s="48"/>
      <c r="ADI11" s="48"/>
      <c r="ADJ11" s="48"/>
      <c r="ADK11" s="48"/>
      <c r="ADL11" s="48"/>
      <c r="ADM11" s="48"/>
      <c r="ADN11" s="48"/>
      <c r="ADO11" s="48"/>
      <c r="ADP11" s="48"/>
      <c r="ADQ11" s="48"/>
      <c r="ADR11" s="48"/>
      <c r="ADS11" s="48"/>
      <c r="ADT11" s="48"/>
      <c r="ADU11" s="48"/>
      <c r="ADV11" s="48"/>
      <c r="ADW11" s="48"/>
      <c r="ADX11" s="48"/>
      <c r="ADY11" s="48"/>
      <c r="ADZ11" s="48"/>
      <c r="AEA11" s="48"/>
      <c r="AEB11" s="48"/>
      <c r="AEC11" s="48"/>
      <c r="AED11" s="48"/>
      <c r="AEE11" s="48"/>
      <c r="AEF11" s="48"/>
      <c r="AEG11" s="48"/>
      <c r="AEH11" s="48"/>
      <c r="AEI11" s="48"/>
      <c r="AEJ11" s="48"/>
      <c r="AEK11" s="48"/>
      <c r="AEL11" s="48"/>
      <c r="AEM11" s="48"/>
      <c r="AEN11" s="48"/>
      <c r="AEO11" s="48"/>
      <c r="AEP11" s="48"/>
      <c r="AEQ11" s="48"/>
      <c r="AER11" s="48"/>
      <c r="AES11" s="48"/>
      <c r="AET11" s="48"/>
      <c r="AEU11" s="48"/>
      <c r="AEV11" s="48"/>
      <c r="AEW11" s="48"/>
      <c r="AEX11" s="48"/>
      <c r="AEY11" s="48"/>
      <c r="AEZ11" s="48"/>
      <c r="AFA11" s="48"/>
      <c r="AFB11" s="48"/>
      <c r="AFC11" s="48"/>
      <c r="AFD11" s="48"/>
      <c r="AFE11" s="48"/>
      <c r="AFF11" s="48"/>
      <c r="AFG11" s="48"/>
      <c r="AFH11" s="48"/>
      <c r="AFI11" s="48"/>
      <c r="AFJ11" s="48"/>
      <c r="AFK11" s="48"/>
      <c r="AFL11" s="48"/>
      <c r="AFM11" s="48"/>
      <c r="AFN11" s="48"/>
      <c r="AFO11" s="48"/>
      <c r="AFP11" s="48"/>
      <c r="AFQ11" s="48"/>
      <c r="AFR11" s="48"/>
      <c r="AFS11" s="48"/>
      <c r="AFT11" s="48"/>
      <c r="AFU11" s="48"/>
      <c r="AFV11" s="48"/>
      <c r="AFW11" s="48"/>
      <c r="AFX11" s="48"/>
      <c r="AFY11" s="48"/>
      <c r="AFZ11" s="48"/>
      <c r="AGA11" s="48"/>
      <c r="AGB11" s="48"/>
      <c r="AGC11" s="48"/>
      <c r="AGD11" s="48"/>
      <c r="AGE11" s="48"/>
      <c r="AGF11" s="48"/>
      <c r="AGG11" s="48"/>
      <c r="AGH11" s="48"/>
      <c r="AGI11" s="48"/>
      <c r="AGJ11" s="48"/>
      <c r="AGK11" s="48"/>
      <c r="AGL11" s="48"/>
      <c r="AGM11" s="48"/>
      <c r="AGN11" s="48"/>
      <c r="AGO11" s="48"/>
      <c r="AGP11" s="48"/>
      <c r="AGQ11" s="48"/>
      <c r="AGR11" s="48"/>
      <c r="AGS11" s="48"/>
      <c r="AGT11" s="48"/>
      <c r="AGU11" s="48"/>
      <c r="AGV11" s="48"/>
      <c r="AGW11" s="48"/>
      <c r="AGX11" s="48"/>
      <c r="AGY11" s="48"/>
      <c r="AGZ11" s="48"/>
      <c r="AHA11" s="48"/>
      <c r="AHB11" s="48"/>
      <c r="AHC11" s="48"/>
      <c r="AHD11" s="48"/>
      <c r="AHE11" s="48"/>
      <c r="AHF11" s="48"/>
      <c r="AHG11" s="48"/>
      <c r="AHH11" s="48"/>
      <c r="AHI11" s="48"/>
      <c r="AHJ11" s="48"/>
      <c r="AHK11" s="48"/>
      <c r="AHL11" s="48"/>
      <c r="AHM11" s="48"/>
      <c r="AHN11" s="48"/>
      <c r="AHO11" s="48"/>
      <c r="AHP11" s="48"/>
      <c r="AHQ11" s="48"/>
      <c r="AHR11" s="48"/>
      <c r="AHS11" s="48"/>
      <c r="AHT11" s="48"/>
      <c r="AHU11" s="48"/>
      <c r="AHV11" s="48"/>
      <c r="AHW11" s="48"/>
      <c r="AHX11" s="48"/>
      <c r="AHY11" s="48"/>
      <c r="AHZ11" s="48"/>
      <c r="AIA11" s="48"/>
      <c r="AIB11" s="48"/>
      <c r="AIC11" s="48"/>
      <c r="AID11" s="48"/>
      <c r="AIE11" s="48"/>
      <c r="AIF11" s="48"/>
      <c r="AIG11" s="48"/>
      <c r="AIH11" s="48"/>
      <c r="AII11" s="48"/>
      <c r="AIJ11" s="48"/>
      <c r="AIK11" s="48"/>
      <c r="AIL11" s="48"/>
      <c r="AIM11" s="48"/>
      <c r="AIN11" s="48"/>
      <c r="AIO11" s="48"/>
      <c r="AIP11" s="48"/>
      <c r="AIQ11" s="48"/>
      <c r="AIR11" s="48"/>
      <c r="AIS11" s="48"/>
      <c r="AIT11" s="48"/>
      <c r="AIU11" s="48"/>
      <c r="AIV11" s="48"/>
      <c r="AIW11" s="48"/>
      <c r="AIX11" s="48"/>
      <c r="AIY11" s="48"/>
      <c r="AIZ11" s="48"/>
      <c r="AJA11" s="48"/>
      <c r="AJB11" s="48"/>
      <c r="AJC11" s="48"/>
      <c r="AJD11" s="48"/>
      <c r="AJE11" s="48"/>
      <c r="AJF11" s="48"/>
      <c r="AJG11" s="48"/>
      <c r="AJH11" s="48"/>
      <c r="AJI11" s="48"/>
      <c r="AJJ11" s="48"/>
      <c r="AJK11" s="48"/>
      <c r="AJL11" s="48"/>
      <c r="AJM11" s="48"/>
      <c r="AJN11" s="48"/>
      <c r="AJO11" s="48"/>
      <c r="AJP11" s="48"/>
      <c r="AJQ11" s="48"/>
      <c r="AJR11" s="48"/>
      <c r="AJS11" s="48"/>
      <c r="AJT11" s="48"/>
      <c r="AJU11" s="48"/>
      <c r="AJV11" s="48"/>
      <c r="AJW11" s="48"/>
      <c r="AJX11" s="48"/>
      <c r="AJY11" s="48"/>
      <c r="AJZ11" s="48"/>
      <c r="AKA11" s="48"/>
      <c r="AKB11" s="48"/>
      <c r="AKC11" s="48"/>
      <c r="AKD11" s="48"/>
      <c r="AKE11" s="48"/>
      <c r="AKF11" s="48"/>
      <c r="AKG11" s="48"/>
      <c r="AKH11" s="48"/>
      <c r="AKI11" s="48"/>
      <c r="AKJ11" s="48"/>
      <c r="AKK11" s="48"/>
      <c r="AKL11" s="48"/>
      <c r="AKM11" s="48"/>
      <c r="AKN11" s="48"/>
      <c r="AKO11" s="48"/>
      <c r="AKP11" s="48"/>
      <c r="AKQ11" s="48"/>
      <c r="AKR11" s="48"/>
      <c r="AKS11" s="48"/>
      <c r="AKT11" s="48"/>
      <c r="AKU11" s="48"/>
      <c r="AKV11" s="48"/>
      <c r="AKW11" s="48"/>
      <c r="AKX11" s="48"/>
      <c r="AKY11" s="48"/>
      <c r="AKZ11" s="48"/>
      <c r="ALA11" s="48"/>
      <c r="ALB11" s="48"/>
      <c r="ALC11" s="48"/>
      <c r="ALD11" s="48"/>
      <c r="ALE11" s="48"/>
      <c r="ALF11" s="48"/>
      <c r="ALG11" s="48"/>
      <c r="ALH11" s="48"/>
      <c r="ALI11" s="48"/>
      <c r="ALJ11" s="48"/>
      <c r="ALK11" s="48"/>
      <c r="ALL11" s="48"/>
      <c r="ALM11" s="48"/>
      <c r="ALN11" s="48"/>
      <c r="ALO11" s="48"/>
      <c r="ALP11" s="48"/>
      <c r="ALQ11" s="48"/>
      <c r="ALR11" s="48"/>
      <c r="ALS11" s="48"/>
      <c r="ALT11" s="48"/>
      <c r="ALU11" s="48"/>
      <c r="ALV11" s="48"/>
      <c r="ALW11" s="48"/>
      <c r="ALX11" s="48"/>
      <c r="ALY11" s="48"/>
      <c r="ALZ11" s="48"/>
      <c r="AMA11" s="48"/>
      <c r="AMB11" s="48"/>
      <c r="AMC11" s="48"/>
      <c r="AMD11" s="48"/>
      <c r="AME11" s="48"/>
      <c r="AMF11" s="48"/>
      <c r="AMG11" s="48"/>
      <c r="AMH11" s="48"/>
      <c r="AMI11" s="48"/>
      <c r="AMJ11" s="48"/>
      <c r="AMK11" s="48"/>
      <c r="AML11" s="4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135</v>
      </c>
      <c r="D3" s="5" t="s">
        <v>9</v>
      </c>
      <c r="E3" s="23" t="s">
        <v>136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37" t="str">
        <f>IFERROR(__xludf.DUMMYFUNCTION("TRANSPOSE(IMPORTRANGE(VLOOKUP($E$3,IMPORTRANGE('_Settings'!$B$3,$C$3&amp;""!A4:B1000""),2,FALSE),$G$3&amp;""!A4:A1000""))"),"")</f>
        <v/>
      </c>
      <c r="B5" s="38" t="str">
        <f>IFERROR(__xludf.DUMMYFUNCTION("""COMPUTED_VALUE"""),"Account Name")</f>
        <v>Account Name</v>
      </c>
      <c r="C5" s="38" t="str">
        <f>IFERROR(__xludf.DUMMYFUNCTION("""COMPUTED_VALUE"""),"Accrual Basis")</f>
        <v>Accrual Basis</v>
      </c>
      <c r="D5" s="38" t="str">
        <f>IFERROR(__xludf.DUMMYFUNCTION("""COMPUTED_VALUE"""),"Accrued Interest")</f>
        <v>Accrued Interest</v>
      </c>
      <c r="E5" s="38" t="str">
        <f>IFERROR(__xludf.DUMMYFUNCTION("""COMPUTED_VALUE"""),"Allocated Qty")</f>
        <v>Allocated Qty</v>
      </c>
      <c r="F5" s="39" t="str">
        <f>IFERROR(__xludf.DUMMYFUNCTION("""COMPUTED_VALUE"""),"Allocation Scheme Name")</f>
        <v>Allocation Scheme Name</v>
      </c>
      <c r="G5" s="38" t="str">
        <f>IFERROR(__xludf.DUMMYFUNCTION("""COMPUTED_VALUE"""),"Asset Category")</f>
        <v>Asset Category</v>
      </c>
      <c r="H5" s="38" t="str">
        <f>IFERROR(__xludf.DUMMYFUNCTION("""COMPUTED_VALUE"""),"AUEC Fee1")</f>
        <v>AUEC Fee1</v>
      </c>
      <c r="I5" s="38" t="str">
        <f>IFERROR(__xludf.DUMMYFUNCTION("""COMPUTED_VALUE"""),"AUEC Fee2")</f>
        <v>AUEC Fee2</v>
      </c>
      <c r="J5" s="38" t="str">
        <f>IFERROR(__xludf.DUMMYFUNCTION("""COMPUTED_VALUE"""),"AUECID")</f>
        <v>AUECID</v>
      </c>
      <c r="K5" s="38" t="str">
        <f>IFERROR(__xludf.DUMMYFUNCTION("""COMPUTED_VALUE"""),"Avg Price(Base)")</f>
        <v>Avg Price(Base)</v>
      </c>
      <c r="L5" s="38" t="str">
        <f>IFERROR(__xludf.DUMMYFUNCTION("""COMPUTED_VALUE"""),"Avg Price(Local)")</f>
        <v>Avg Price(Local)</v>
      </c>
      <c r="M5" s="38" t="str">
        <f>IFERROR(__xludf.DUMMYFUNCTION("""COMPUTED_VALUE"""),"Bloomberg")</f>
        <v>Bloomberg</v>
      </c>
      <c r="N5" s="38" t="str">
        <f>IFERROR(__xludf.DUMMYFUNCTION("""COMPUTED_VALUE"""),"Bond Type")</f>
        <v>Bond Type</v>
      </c>
      <c r="O5" s="38" t="str">
        <f>IFERROR(__xludf.DUMMYFUNCTION("""COMPUTED_VALUE"""),"Broker")</f>
        <v>Broker</v>
      </c>
      <c r="P5" s="38" t="str">
        <f>IFERROR(__xludf.DUMMYFUNCTION("""COMPUTED_VALUE"""),"Change Comment")</f>
        <v>Change Comment</v>
      </c>
      <c r="Q5" s="38" t="str">
        <f>IFERROR(__xludf.DUMMYFUNCTION("""COMPUTED_VALUE"""),"Change Type")</f>
        <v>Change Type</v>
      </c>
      <c r="R5" s="38" t="str">
        <f>IFERROR(__xludf.DUMMYFUNCTION("""COMPUTED_VALUE"""),"Clearing Broker Fee")</f>
        <v>Clearing Broker Fee</v>
      </c>
      <c r="S5" s="38" t="str">
        <f>IFERROR(__xludf.DUMMYFUNCTION("""COMPUTED_VALUE"""),"Closing Status")</f>
        <v>Closing Status</v>
      </c>
      <c r="T5" s="40" t="str">
        <f>IFERROR(__xludf.DUMMYFUNCTION("""COMPUTED_VALUE"""),"Commission")</f>
        <v>Commission</v>
      </c>
      <c r="U5" s="40" t="str">
        <f>IFERROR(__xludf.DUMMYFUNCTION("""COMPUTED_VALUE"""),"Commission Per Share")</f>
        <v>Commission Per Share</v>
      </c>
      <c r="V5" s="40" t="str">
        <f>IFERROR(__xludf.DUMMYFUNCTION("""COMPUTED_VALUE"""),"Company")</f>
        <v>Company</v>
      </c>
      <c r="W5" s="40" t="str">
        <f>IFERROR(__xludf.DUMMYFUNCTION("""COMPUTED_VALUE"""),"Contract Multiplier")</f>
        <v>Contract Multiplier</v>
      </c>
      <c r="X5" s="40" t="str">
        <f>IFERROR(__xludf.DUMMYFUNCTION("""COMPUTED_VALUE"""),"Coupon Rate")</f>
        <v>Coupon Rate</v>
      </c>
      <c r="Y5" s="40" t="str">
        <f>IFERROR(__xludf.DUMMYFUNCTION("""COMPUTED_VALUE"""),"Cum Qty For Sub Order")</f>
        <v>Cum Qty For Sub Order</v>
      </c>
      <c r="Z5" s="40" t="str">
        <f>IFERROR(__xludf.DUMMYFUNCTION("""COMPUTED_VALUE"""),"Currency")</f>
        <v>Currency</v>
      </c>
      <c r="AA5" s="40" t="str">
        <f>IFERROR(__xludf.DUMMYFUNCTION("""COMPUTED_VALUE"""),"Cusip Symbol")</f>
        <v>Cusip Symbol</v>
      </c>
      <c r="AB5" s="40" t="str">
        <f>IFERROR(__xludf.DUMMYFUNCTION("""COMPUTED_VALUE"""),"Delta")</f>
        <v>Delta</v>
      </c>
      <c r="AC5" s="40" t="str">
        <f>IFERROR(__xludf.DUMMYFUNCTION("""COMPUTED_VALUE"""),"Description")</f>
        <v>Description</v>
      </c>
      <c r="AD5" s="40" t="str">
        <f>IFERROR(__xludf.DUMMYFUNCTION("""COMPUTED_VALUE"""),"Exchange")</f>
        <v>Exchange</v>
      </c>
      <c r="AE5" s="40" t="str">
        <f>IFERROR(__xludf.DUMMYFUNCTION("""COMPUTED_VALUE"""),"Executed Qty")</f>
        <v>Executed Qty</v>
      </c>
      <c r="AF5" s="40" t="str">
        <f>IFERROR(__xludf.DUMMYFUNCTION("""COMPUTED_VALUE"""),"Exceution Time")</f>
        <v>Exceution Time</v>
      </c>
      <c r="AG5" s="40" t="str">
        <f>IFERROR(__xludf.DUMMYFUNCTION("""COMPUTED_VALUE"""),"Expiration Date")</f>
        <v>Expiration Date</v>
      </c>
      <c r="AH5" s="40" t="str">
        <f>IFERROR(__xludf.DUMMYFUNCTION("""COMPUTED_VALUE"""),"FX Conversion Operator")</f>
        <v>FX Conversion Operator</v>
      </c>
      <c r="AI5" s="40" t="str">
        <f>IFERROR(__xludf.DUMMYFUNCTION("""COMPUTED_VALUE"""),"FX Rate")</f>
        <v>FX Rate</v>
      </c>
      <c r="AJ5" s="40" t="str">
        <f>IFERROR(__xludf.DUMMYFUNCTION("""COMPUTED_VALUE"""),"Group Status")</f>
        <v>Group Status</v>
      </c>
      <c r="AK5" s="40" t="str">
        <f>IFERROR(__xludf.DUMMYFUNCTION("""COMPUTED_VALUE"""),"IDCOSymbol")</f>
        <v>IDCOSymbol</v>
      </c>
      <c r="AL5" s="40" t="str">
        <f>IFERROR(__xludf.DUMMYFUNCTION("""COMPUTED_VALUE"""),"Import File Name")</f>
        <v>Import File Name</v>
      </c>
      <c r="AM5" s="40" t="str">
        <f>IFERROR(__xludf.DUMMYFUNCTION("""COMPUTED_VALUE"""),"Internal Comments")</f>
        <v>Internal Comments</v>
      </c>
      <c r="AN5" s="40" t="str">
        <f>IFERROR(__xludf.DUMMYFUNCTION("""COMPUTED_VALUE"""),"IsAnotherTaxlotAttributesUpdated")</f>
        <v>IsAnotherTaxlotAttributesUpdated</v>
      </c>
      <c r="AO5" s="40" t="str">
        <f>IFERROR(__xludf.DUMMYFUNCTION("""COMPUTED_VALUE"""),"ISIN")</f>
        <v>ISIN</v>
      </c>
      <c r="AP5" s="40" t="str">
        <f>IFERROR(__xludf.DUMMYFUNCTION("""COMPUTED_VALUE"""),"IsManual Group")</f>
        <v>IsManual Group</v>
      </c>
      <c r="AQ5" s="40" t="str">
        <f>IFERROR(__xludf.DUMMYFUNCTION("""COMPUTED_VALUE"""),"ISNDF")</f>
        <v>ISNDF</v>
      </c>
      <c r="AR5" s="40" t="str">
        <f>IFERROR(__xludf.DUMMYFUNCTION("""COMPUTED_VALUE"""),"IsPreAllocated")</f>
        <v>IsPreAllocated</v>
      </c>
      <c r="AS5" s="40" t="str">
        <f>IFERROR(__xludf.DUMMYFUNCTION("""COMPUTED_VALUE"""),"M2MProfitLoss")</f>
        <v>M2MProfitLoss</v>
      </c>
      <c r="AT5" s="40" t="str">
        <f>IFERROR(__xludf.DUMMYFUNCTION("""COMPUTED_VALUE"""),"Net Amount( Base)")</f>
        <v>Net Amount( Base)</v>
      </c>
      <c r="AU5" s="40" t="str">
        <f>IFERROR(__xludf.DUMMYFUNCTION("""COMPUTED_VALUE"""),"Net Amount( Local)")</f>
        <v>Net Amount( Local)</v>
      </c>
      <c r="AV5" s="40" t="str">
        <f>IFERROR(__xludf.DUMMYFUNCTION("""COMPUTED_VALUE"""),"Nirvana Process Date")</f>
        <v>Nirvana Process Date</v>
      </c>
      <c r="AW5" s="40" t="str">
        <f>IFERROR(__xludf.DUMMYFUNCTION("""COMPUTED_VALUE"""),"OCC Fee")</f>
        <v>OCC Fee</v>
      </c>
      <c r="AX5" s="40" t="str">
        <f>IFERROR(__xludf.DUMMYFUNCTION("""COMPUTED_VALUE"""),"Option Premium Adjustment")</f>
        <v>Option Premium Adjustment</v>
      </c>
      <c r="AY5" s="40" t="str">
        <f>IFERROR(__xludf.DUMMYFUNCTION("""COMPUTED_VALUE"""),"Order Type")</f>
        <v>Order Type</v>
      </c>
      <c r="AZ5" s="40" t="str">
        <f>IFERROR(__xludf.DUMMYFUNCTION("""COMPUTED_VALUE"""),"ORF Fee")</f>
        <v>ORF Fee</v>
      </c>
      <c r="BA5" s="40" t="str">
        <f>IFERROR(__xludf.DUMMYFUNCTION("""COMPUTED_VALUE"""),"Original Purchase Date")</f>
        <v>Original Purchase Date</v>
      </c>
      <c r="BB5" s="40" t="str">
        <f>IFERROR(__xludf.DUMMYFUNCTION("""COMPUTED_VALUE"""),"OSISSymbol")</f>
        <v>OSISSymbol</v>
      </c>
      <c r="BC5" s="40" t="str">
        <f>IFERROR(__xludf.DUMMYFUNCTION("""COMPUTED_VALUE"""),"Other Broker Fees")</f>
        <v>Other Broker Fees</v>
      </c>
      <c r="BD5" s="40" t="str">
        <f>IFERROR(__xludf.DUMMYFUNCTION("""COMPUTED_VALUE"""),"Prana Msg Type")</f>
        <v>Prana Msg Type</v>
      </c>
      <c r="BE5" s="40" t="str">
        <f>IFERROR(__xludf.DUMMYFUNCTION("""COMPUTED_VALUE"""),"Principal Amount( Base)")</f>
        <v>Principal Amount( Base)</v>
      </c>
      <c r="BF5" s="40" t="str">
        <f>IFERROR(__xludf.DUMMYFUNCTION("""COMPUTED_VALUE"""),"Principal Amount( Local)")</f>
        <v>Principal Amount( Local)</v>
      </c>
      <c r="BG5" s="40" t="str">
        <f>IFERROR(__xludf.DUMMYFUNCTION("""COMPUTED_VALUE"""),"Process Date")</f>
        <v>Process Date</v>
      </c>
      <c r="BH5" s="40" t="str">
        <f>IFERROR(__xludf.DUMMYFUNCTION("""COMPUTED_VALUE"""),"Proxy Symbol")</f>
        <v>Proxy Symbol</v>
      </c>
      <c r="BI5" s="40" t="str">
        <f>IFERROR(__xludf.DUMMYFUNCTION("""COMPUTED_VALUE"""),"Put Or Call")</f>
        <v>Put Or Call</v>
      </c>
      <c r="BJ5" s="40" t="str">
        <f>IFERROR(__xludf.DUMMYFUNCTION("""COMPUTED_VALUE"""),"Quantity")</f>
        <v>Quantity</v>
      </c>
      <c r="BK5" s="40" t="str">
        <f>IFERROR(__xludf.DUMMYFUNCTION("""COMPUTED_VALUE"""),"SEC Fee")</f>
        <v>SEC Fee</v>
      </c>
      <c r="BL5" s="40" t="str">
        <f>IFERROR(__xludf.DUMMYFUNCTION("""COMPUTED_VALUE"""),"Sedol Symbol")</f>
        <v>Sedol Symbol</v>
      </c>
      <c r="BM5" s="40" t="str">
        <f>IFERROR(__xludf.DUMMYFUNCTION("""COMPUTED_VALUE"""),"Settlement Currency")</f>
        <v>Settlement Currency</v>
      </c>
      <c r="BN5" s="40" t="str">
        <f>IFERROR(__xludf.DUMMYFUNCTION("""COMPUTED_VALUE"""),"Settlement Date")</f>
        <v>Settlement Date</v>
      </c>
      <c r="BO5" s="40" t="str">
        <f>IFERROR(__xludf.DUMMYFUNCTION("""COMPUTED_VALUE"""),"Side")</f>
        <v>Side</v>
      </c>
      <c r="BP5" s="40" t="str">
        <f>IFERROR(__xludf.DUMMYFUNCTION("""COMPUTED_VALUE"""),"Soft Commission")</f>
        <v>Soft Commission</v>
      </c>
      <c r="BQ5" s="40" t="str">
        <f>IFERROR(__xludf.DUMMYFUNCTION("""COMPUTED_VALUE"""),"Soft Commission Per Share")</f>
        <v>Soft Commission Per Share</v>
      </c>
      <c r="BR5" s="40" t="str">
        <f>IFERROR(__xludf.DUMMYFUNCTION("""COMPUTED_VALUE"""),"Stamp Duty")</f>
        <v>Stamp Duty</v>
      </c>
      <c r="BS5" s="40" t="str">
        <f>IFERROR(__xludf.DUMMYFUNCTION("""COMPUTED_VALUE"""),"Strategy Name")</f>
        <v>Strategy Name</v>
      </c>
      <c r="BT5" s="40" t="str">
        <f>IFERROR(__xludf.DUMMYFUNCTION("""COMPUTED_VALUE"""),"Symbol")</f>
        <v>Symbol</v>
      </c>
      <c r="BU5" s="40" t="str">
        <f>IFERROR(__xludf.DUMMYFUNCTION("""COMPUTED_VALUE"""),"Tax On Commissions")</f>
        <v>Tax On Commissions</v>
      </c>
      <c r="BV5" s="40" t="str">
        <f>IFERROR(__xludf.DUMMYFUNCTION("""COMPUTED_VALUE"""),"Total Commission")</f>
        <v>Total Commission</v>
      </c>
      <c r="BW5" s="40" t="str">
        <f>IFERROR(__xludf.DUMMYFUNCTION("""COMPUTED_VALUE"""),"Total Commission And Fee")</f>
        <v>Total Commission And Fee</v>
      </c>
      <c r="BX5" s="40" t="str">
        <f>IFERROR(__xludf.DUMMYFUNCTION("""COMPUTED_VALUE"""),"Total Commission Per Share")</f>
        <v>Total Commission Per Share</v>
      </c>
      <c r="BY5" s="40" t="str">
        <f>IFERROR(__xludf.DUMMYFUNCTION("""COMPUTED_VALUE"""),"Trade Attribute 1")</f>
        <v>Trade Attribute 1</v>
      </c>
      <c r="BZ5" s="40" t="str">
        <f>IFERROR(__xludf.DUMMYFUNCTION("""COMPUTED_VALUE"""),"Trade Attribute 2")</f>
        <v>Trade Attribute 2</v>
      </c>
      <c r="CA5" s="40" t="str">
        <f>IFERROR(__xludf.DUMMYFUNCTION("""COMPUTED_VALUE"""),"Trade Attribute 3")</f>
        <v>Trade Attribute 3</v>
      </c>
      <c r="CB5" s="40" t="str">
        <f>IFERROR(__xludf.DUMMYFUNCTION("""COMPUTED_VALUE"""),"Trade Attribute 4")</f>
        <v>Trade Attribute 4</v>
      </c>
      <c r="CC5" s="40" t="str">
        <f>IFERROR(__xludf.DUMMYFUNCTION("""COMPUTED_VALUE"""),"Trade Attribute 5")</f>
        <v>Trade Attribute 5</v>
      </c>
      <c r="CD5" s="40" t="str">
        <f>IFERROR(__xludf.DUMMYFUNCTION("""COMPUTED_VALUE"""),"Trade Attribute 6")</f>
        <v>Trade Attribute 6</v>
      </c>
      <c r="CE5" s="40" t="str">
        <f>IFERROR(__xludf.DUMMYFUNCTION("""COMPUTED_VALUE"""),"Trade Date")</f>
        <v>Trade Date</v>
      </c>
      <c r="CF5" s="40" t="str">
        <f>IFERROR(__xludf.DUMMYFUNCTION("""COMPUTED_VALUE"""),"Trading Account")</f>
        <v>Trading Account</v>
      </c>
      <c r="CG5" s="40" t="str">
        <f>IFERROR(__xludf.DUMMYFUNCTION("""COMPUTED_VALUE"""),"Transaction Levy")</f>
        <v>Transaction Levy</v>
      </c>
      <c r="CH5" s="40" t="str">
        <f>IFERROR(__xludf.DUMMYFUNCTION("""COMPUTED_VALUE"""),"Transaction Source")</f>
        <v>Transaction Source</v>
      </c>
      <c r="CI5" s="40" t="str">
        <f>IFERROR(__xludf.DUMMYFUNCTION("""COMPUTED_VALUE"""),"Transaction Type")</f>
        <v>Transaction Type</v>
      </c>
      <c r="CJ5" s="40" t="str">
        <f>IFERROR(__xludf.DUMMYFUNCTION("""COMPUTED_VALUE"""),"UnAllocatedQty")</f>
        <v>UnAllocatedQty</v>
      </c>
      <c r="CK5" s="40" t="str">
        <f>IFERROR(__xludf.DUMMYFUNCTION("""COMPUTED_VALUE"""),"Underlying")</f>
        <v>Underlying</v>
      </c>
      <c r="CL5" s="40" t="str">
        <f>IFERROR(__xludf.DUMMYFUNCTION("""COMPUTED_VALUE"""),"Underlying Delta")</f>
        <v>Underlying Delta</v>
      </c>
      <c r="CM5" s="40" t="str">
        <f>IFERROR(__xludf.DUMMYFUNCTION("""COMPUTED_VALUE"""),"Underlying Symbol")</f>
        <v>Underlying Symbol</v>
      </c>
      <c r="CN5" s="40" t="str">
        <f>IFERROR(__xludf.DUMMYFUNCTION("""COMPUTED_VALUE"""),"User")</f>
        <v>User</v>
      </c>
      <c r="CO5" s="40" t="str">
        <f>IFERROR(__xludf.DUMMYFUNCTION("""COMPUTED_VALUE"""),"Venue")</f>
        <v>Venue</v>
      </c>
      <c r="CP5" s="40" t="str">
        <f>IFERROR(__xludf.DUMMYFUNCTION("""COMPUTED_VALUE"""),"Closing Method")</f>
        <v>Closing Method</v>
      </c>
      <c r="CQ5" s="40" t="str">
        <f>IFERROR(__xludf.DUMMYFUNCTION("""COMPUTED_VALUE"""),"Closing Date")</f>
        <v>Closing Date</v>
      </c>
      <c r="CR5" s="40" t="str">
        <f>IFERROR(__xludf.DUMMYFUNCTION("""COMPUTED_VALUE"""),"GroupID")</f>
        <v>GroupID</v>
      </c>
      <c r="CS5" s="40" t="str">
        <f>IFERROR(__xludf.DUMMYFUNCTION("""COMPUTED_VALUE"""),"Client")</f>
        <v>Client</v>
      </c>
      <c r="CT5" s="40" t="str">
        <f>IFERROR(__xludf.DUMMYFUNCTION("""COMPUTED_VALUE"""),"Borrow Broker")</f>
        <v>Borrow Broker</v>
      </c>
      <c r="CU5" s="40" t="str">
        <f>IFERROR(__xludf.DUMMYFUNCTION("""COMPUTED_VALUE"""),"ACTIV Symbol")</f>
        <v>ACTIV Symbol</v>
      </c>
      <c r="CV5" s="40" t="str">
        <f>IFERROR(__xludf.DUMMYFUNCTION("""COMPUTED_VALUE"""),"Borrower Id")</f>
        <v>Borrower Id</v>
      </c>
      <c r="CW5" s="40" t="str">
        <f>IFERROR(__xludf.DUMMYFUNCTION("""COMPUTED_VALUE"""),"Borrow Rate(%)")</f>
        <v>Borrow Rate(%)</v>
      </c>
      <c r="CX5" s="40" t="str">
        <f>IFERROR(__xludf.DUMMYFUNCTION("""COMPUTED_VALUE"""),"Master Fund")</f>
        <v>Master Fund</v>
      </c>
      <c r="CY5" s="40" t="str">
        <f>IFERROR(__xludf.DUMMYFUNCTION("""COMPUTED_VALUE"""),"MandatoryColumn")</f>
        <v>MandatoryColumn</v>
      </c>
      <c r="CZ5" s="40" t="str">
        <f>IFERROR(__xludf.DUMMYFUNCTION("""COMPUTED_VALUE"""),"Testing Type")</f>
        <v>Testing Type</v>
      </c>
      <c r="DA5" s="40" t="str">
        <f>IFERROR(__xludf.DUMMYFUNCTION("""COMPUTED_VALUE"""),"Testing Column")</f>
        <v>Testing Column</v>
      </c>
      <c r="DB5" s="40" t="str">
        <f>IFERROR(__xludf.DUMMYFUNCTION("""COMPUTED_VALUE"""),"Testing Col Value")</f>
        <v>Testing Col Value</v>
      </c>
      <c r="DC5" s="40" t="str">
        <f>IFERROR(__xludf.DUMMYFUNCTION("""COMPUTED_VALUE"""),"DuplicateRow")</f>
        <v>DuplicateRow</v>
      </c>
      <c r="DD5" s="40" t="str">
        <f>IFERROR(__xludf.DUMMYFUNCTION("""COMPUTED_VALUE"""),"DuplicateCountOnUI")</f>
        <v>DuplicateCountOnUI</v>
      </c>
      <c r="DE5" s="40"/>
      <c r="DF5" s="40"/>
      <c r="DG5" s="40"/>
      <c r="DH5" s="40"/>
      <c r="DI5" s="40"/>
      <c r="DJ5" s="40"/>
      <c r="DK5" s="40"/>
      <c r="DL5" s="40"/>
      <c r="DM5" s="40"/>
      <c r="DN5" s="40"/>
      <c r="DO5" s="40"/>
      <c r="DP5" s="40"/>
      <c r="DQ5" s="40"/>
      <c r="DR5" s="40"/>
      <c r="DS5" s="40"/>
      <c r="DT5" s="40"/>
      <c r="DU5" s="40"/>
      <c r="DV5" s="40"/>
      <c r="DW5" s="40"/>
      <c r="DX5" s="40"/>
      <c r="DY5" s="40"/>
      <c r="DZ5" s="40"/>
      <c r="EA5" s="40"/>
      <c r="EB5" s="40"/>
      <c r="EC5" s="40"/>
      <c r="ED5" s="40"/>
      <c r="EE5" s="40"/>
      <c r="EF5" s="40"/>
      <c r="EG5" s="40"/>
      <c r="EH5" s="40"/>
      <c r="EI5" s="40"/>
      <c r="EJ5" s="40"/>
      <c r="EK5" s="40"/>
      <c r="EL5" s="40"/>
      <c r="EM5" s="40"/>
      <c r="EN5" s="40"/>
      <c r="EO5" s="40"/>
      <c r="EP5" s="40"/>
      <c r="EQ5" s="40"/>
      <c r="ER5" s="40"/>
      <c r="ES5" s="40"/>
      <c r="ET5" s="40"/>
      <c r="EU5" s="40"/>
      <c r="EV5" s="40"/>
      <c r="EW5" s="40"/>
      <c r="EX5" s="40"/>
      <c r="EY5" s="40"/>
      <c r="EZ5" s="40"/>
      <c r="FA5" s="40"/>
      <c r="FB5" s="40"/>
      <c r="FC5" s="40"/>
      <c r="FD5" s="40"/>
      <c r="FE5" s="40"/>
      <c r="FF5" s="40"/>
      <c r="FG5" s="40"/>
      <c r="FH5" s="40"/>
      <c r="FI5" s="40"/>
      <c r="FJ5" s="40"/>
      <c r="FK5" s="40"/>
      <c r="FL5" s="40"/>
      <c r="FM5" s="40"/>
      <c r="FN5" s="40"/>
      <c r="FO5" s="40"/>
      <c r="FP5" s="40"/>
      <c r="FQ5" s="40"/>
      <c r="FR5" s="40"/>
      <c r="FS5" s="40"/>
      <c r="FT5" s="40"/>
      <c r="FU5" s="40"/>
      <c r="FV5" s="40"/>
      <c r="FW5" s="40"/>
      <c r="FX5" s="40"/>
      <c r="FY5" s="40"/>
      <c r="FZ5" s="40"/>
      <c r="GA5" s="40"/>
      <c r="GB5" s="40"/>
      <c r="GC5" s="40"/>
      <c r="GD5" s="40"/>
      <c r="GE5" s="40"/>
      <c r="GF5" s="40"/>
      <c r="GG5" s="40"/>
      <c r="GH5" s="40"/>
      <c r="GI5" s="40"/>
      <c r="GJ5" s="40"/>
      <c r="GK5" s="40"/>
      <c r="GL5" s="40"/>
      <c r="GM5" s="40"/>
      <c r="GN5" s="40"/>
      <c r="GO5" s="40"/>
      <c r="GP5" s="40"/>
      <c r="GQ5" s="40"/>
      <c r="GR5" s="40"/>
      <c r="GS5" s="40"/>
      <c r="GT5" s="40"/>
      <c r="GU5" s="40"/>
      <c r="GV5" s="40"/>
      <c r="GW5" s="40"/>
      <c r="GX5" s="40"/>
      <c r="GY5" s="40"/>
      <c r="GZ5" s="40"/>
      <c r="HA5" s="40"/>
      <c r="HB5" s="40"/>
      <c r="HC5" s="40"/>
      <c r="HD5" s="40"/>
      <c r="HE5" s="40"/>
      <c r="HF5" s="40"/>
      <c r="HG5" s="40"/>
      <c r="HH5" s="40"/>
      <c r="HI5" s="40"/>
      <c r="HJ5" s="40"/>
      <c r="HK5" s="40"/>
      <c r="HL5" s="40"/>
      <c r="HM5" s="40"/>
      <c r="HN5" s="40"/>
      <c r="HO5" s="40"/>
      <c r="HP5" s="40"/>
      <c r="HQ5" s="40"/>
      <c r="HR5" s="40"/>
      <c r="HS5" s="40"/>
      <c r="HT5" s="40"/>
      <c r="HU5" s="40"/>
      <c r="HV5" s="40"/>
      <c r="HW5" s="40"/>
      <c r="HX5" s="40"/>
      <c r="HY5" s="40"/>
      <c r="HZ5" s="40"/>
      <c r="IA5" s="40"/>
      <c r="IB5" s="40"/>
      <c r="IC5" s="40"/>
      <c r="ID5" s="40"/>
      <c r="IE5" s="40"/>
      <c r="IF5" s="40"/>
      <c r="IG5" s="40"/>
      <c r="IH5" s="40"/>
      <c r="II5" s="40"/>
      <c r="IJ5" s="40"/>
      <c r="IK5" s="40"/>
      <c r="IL5" s="40"/>
      <c r="IM5" s="40"/>
      <c r="IN5" s="40"/>
      <c r="IO5" s="40"/>
      <c r="IP5" s="40"/>
      <c r="IQ5" s="40"/>
      <c r="IR5" s="40"/>
      <c r="IS5" s="40"/>
      <c r="IT5" s="40"/>
      <c r="IU5" s="40"/>
      <c r="IV5" s="40"/>
      <c r="IW5" s="40"/>
      <c r="IX5" s="40"/>
      <c r="IY5" s="40"/>
      <c r="IZ5" s="40"/>
      <c r="JA5" s="40"/>
      <c r="JB5" s="40"/>
      <c r="JC5" s="40"/>
      <c r="JD5" s="40"/>
      <c r="JE5" s="40"/>
      <c r="JF5" s="40"/>
      <c r="JG5" s="40"/>
      <c r="JH5" s="40"/>
      <c r="JI5" s="40"/>
      <c r="JJ5" s="40"/>
      <c r="JK5" s="40"/>
      <c r="JL5" s="40"/>
      <c r="JM5" s="40"/>
      <c r="JN5" s="40"/>
      <c r="JO5" s="40"/>
      <c r="JP5" s="40"/>
      <c r="JQ5" s="40"/>
      <c r="JR5" s="40"/>
      <c r="JS5" s="40"/>
      <c r="JT5" s="40"/>
      <c r="JU5" s="40"/>
      <c r="JV5" s="40"/>
      <c r="JW5" s="40"/>
      <c r="JX5" s="40"/>
      <c r="JY5" s="40"/>
      <c r="JZ5" s="40"/>
      <c r="KA5" s="40"/>
      <c r="KB5" s="40"/>
      <c r="KC5" s="40"/>
      <c r="KD5" s="40"/>
      <c r="KE5" s="40"/>
      <c r="KF5" s="40"/>
      <c r="KG5" s="40"/>
      <c r="KH5" s="40"/>
      <c r="KI5" s="40"/>
      <c r="KJ5" s="40"/>
      <c r="KK5" s="40"/>
      <c r="KL5" s="40"/>
      <c r="KM5" s="40"/>
      <c r="KN5" s="40"/>
      <c r="KO5" s="40"/>
      <c r="KP5" s="40"/>
      <c r="KQ5" s="40"/>
      <c r="KR5" s="40"/>
      <c r="KS5" s="40"/>
      <c r="KT5" s="40"/>
      <c r="KU5" s="40"/>
      <c r="KV5" s="40"/>
      <c r="KW5" s="40"/>
      <c r="KX5" s="40"/>
      <c r="KY5" s="40"/>
      <c r="KZ5" s="40"/>
      <c r="LA5" s="40"/>
      <c r="LB5" s="40"/>
      <c r="LC5" s="40"/>
      <c r="LD5" s="40"/>
      <c r="LE5" s="40"/>
      <c r="LF5" s="40"/>
      <c r="LG5" s="40"/>
      <c r="LH5" s="40"/>
      <c r="LI5" s="40"/>
      <c r="LJ5" s="40"/>
      <c r="LK5" s="40"/>
      <c r="LL5" s="40"/>
      <c r="LM5" s="40"/>
      <c r="LN5" s="40"/>
      <c r="LO5" s="40"/>
      <c r="LP5" s="40"/>
      <c r="LQ5" s="40"/>
      <c r="LR5" s="40"/>
      <c r="LS5" s="40"/>
      <c r="LT5" s="40"/>
      <c r="LU5" s="40"/>
      <c r="LV5" s="40"/>
      <c r="LW5" s="40"/>
      <c r="LX5" s="40"/>
      <c r="LY5" s="40"/>
      <c r="LZ5" s="40"/>
      <c r="MA5" s="40"/>
      <c r="MB5" s="40"/>
      <c r="MC5" s="40"/>
      <c r="MD5" s="40"/>
      <c r="ME5" s="40"/>
      <c r="MF5" s="40"/>
      <c r="MG5" s="40"/>
      <c r="MH5" s="40"/>
      <c r="MI5" s="40"/>
      <c r="MJ5" s="40"/>
      <c r="MK5" s="40"/>
      <c r="ML5" s="40"/>
      <c r="MM5" s="40"/>
      <c r="MN5" s="40"/>
      <c r="MO5" s="40"/>
      <c r="MP5" s="40"/>
      <c r="MQ5" s="40"/>
      <c r="MR5" s="40"/>
      <c r="MS5" s="40"/>
      <c r="MT5" s="40"/>
      <c r="MU5" s="40"/>
      <c r="MV5" s="40"/>
      <c r="MW5" s="40"/>
      <c r="MX5" s="40"/>
      <c r="MY5" s="40"/>
      <c r="MZ5" s="40"/>
      <c r="NA5" s="40"/>
      <c r="NB5" s="40"/>
      <c r="NC5" s="40"/>
      <c r="ND5" s="40"/>
      <c r="NE5" s="40"/>
      <c r="NF5" s="40"/>
      <c r="NG5" s="40"/>
      <c r="NH5" s="40"/>
      <c r="NI5" s="40"/>
      <c r="NJ5" s="40"/>
      <c r="NK5" s="40"/>
      <c r="NL5" s="40"/>
      <c r="NM5" s="40"/>
      <c r="NN5" s="40"/>
      <c r="NO5" s="40"/>
      <c r="NP5" s="40"/>
      <c r="NQ5" s="40"/>
      <c r="NR5" s="40"/>
      <c r="NS5" s="40"/>
      <c r="NT5" s="40"/>
      <c r="NU5" s="40"/>
      <c r="NV5" s="40"/>
      <c r="NW5" s="40"/>
      <c r="NX5" s="40"/>
      <c r="NY5" s="40"/>
      <c r="NZ5" s="40"/>
      <c r="OA5" s="40"/>
      <c r="OB5" s="40"/>
      <c r="OC5" s="40"/>
      <c r="OD5" s="40"/>
      <c r="OE5" s="40"/>
      <c r="OF5" s="40"/>
      <c r="OG5" s="40"/>
      <c r="OH5" s="40"/>
      <c r="OI5" s="40"/>
      <c r="OJ5" s="40"/>
      <c r="OK5" s="40"/>
      <c r="OL5" s="40"/>
      <c r="OM5" s="40"/>
      <c r="ON5" s="40"/>
      <c r="OO5" s="40"/>
      <c r="OP5" s="40"/>
      <c r="OQ5" s="40"/>
      <c r="OR5" s="40"/>
      <c r="OS5" s="40"/>
      <c r="OT5" s="40"/>
      <c r="OU5" s="40"/>
      <c r="OV5" s="40"/>
      <c r="OW5" s="40"/>
      <c r="OX5" s="40"/>
      <c r="OY5" s="40"/>
      <c r="OZ5" s="40"/>
      <c r="PA5" s="40"/>
      <c r="PB5" s="40"/>
      <c r="PC5" s="40"/>
      <c r="PD5" s="40"/>
      <c r="PE5" s="40"/>
      <c r="PF5" s="40"/>
      <c r="PG5" s="40"/>
      <c r="PH5" s="40"/>
      <c r="PI5" s="40"/>
      <c r="PJ5" s="40"/>
      <c r="PK5" s="40"/>
      <c r="PL5" s="40"/>
      <c r="PM5" s="40"/>
      <c r="PN5" s="40"/>
      <c r="PO5" s="40"/>
      <c r="PP5" s="40"/>
      <c r="PQ5" s="40"/>
      <c r="PR5" s="40"/>
      <c r="PS5" s="40"/>
      <c r="PT5" s="40"/>
      <c r="PU5" s="40"/>
      <c r="PV5" s="40"/>
      <c r="PW5" s="40"/>
      <c r="PX5" s="40"/>
      <c r="PY5" s="40"/>
      <c r="PZ5" s="40"/>
      <c r="QA5" s="40"/>
      <c r="QB5" s="40"/>
      <c r="QC5" s="40"/>
      <c r="QD5" s="40"/>
      <c r="QE5" s="40"/>
      <c r="QF5" s="40"/>
      <c r="QG5" s="40"/>
      <c r="QH5" s="40"/>
      <c r="QI5" s="40"/>
      <c r="QJ5" s="40"/>
      <c r="QK5" s="40"/>
      <c r="QL5" s="40"/>
      <c r="QM5" s="40"/>
      <c r="QN5" s="40"/>
      <c r="QO5" s="40"/>
      <c r="QP5" s="40"/>
      <c r="QQ5" s="40"/>
      <c r="QR5" s="40"/>
      <c r="QS5" s="40"/>
      <c r="QT5" s="40"/>
      <c r="QU5" s="40"/>
      <c r="QV5" s="40"/>
      <c r="QW5" s="40"/>
      <c r="QX5" s="40"/>
      <c r="QY5" s="40"/>
      <c r="QZ5" s="40"/>
      <c r="RA5" s="40"/>
      <c r="RB5" s="40"/>
      <c r="RC5" s="40"/>
      <c r="RD5" s="40"/>
      <c r="RE5" s="40"/>
      <c r="RF5" s="40"/>
      <c r="RG5" s="40"/>
      <c r="RH5" s="40"/>
      <c r="RI5" s="40"/>
      <c r="RJ5" s="40"/>
      <c r="RK5" s="40"/>
      <c r="RL5" s="40"/>
      <c r="RM5" s="40"/>
      <c r="RN5" s="40"/>
      <c r="RO5" s="40"/>
      <c r="RP5" s="40"/>
      <c r="RQ5" s="40"/>
      <c r="RR5" s="40"/>
      <c r="RS5" s="40"/>
      <c r="RT5" s="40"/>
      <c r="RU5" s="40"/>
      <c r="RV5" s="40"/>
      <c r="RW5" s="40"/>
      <c r="RX5" s="40"/>
      <c r="RY5" s="40"/>
      <c r="RZ5" s="40"/>
      <c r="SA5" s="40"/>
      <c r="SB5" s="40"/>
      <c r="SC5" s="40"/>
      <c r="SD5" s="40"/>
      <c r="SE5" s="40"/>
      <c r="SF5" s="40"/>
      <c r="SG5" s="40"/>
      <c r="SH5" s="40"/>
      <c r="SI5" s="40"/>
      <c r="SJ5" s="40"/>
      <c r="SK5" s="40"/>
      <c r="SL5" s="40"/>
      <c r="SM5" s="40"/>
      <c r="SN5" s="40"/>
      <c r="SO5" s="40"/>
      <c r="SP5" s="40"/>
      <c r="SQ5" s="40"/>
      <c r="SR5" s="40"/>
      <c r="SS5" s="40"/>
      <c r="ST5" s="40"/>
      <c r="SU5" s="40"/>
      <c r="SV5" s="40"/>
      <c r="SW5" s="40"/>
      <c r="SX5" s="40"/>
      <c r="SY5" s="40"/>
      <c r="SZ5" s="40"/>
      <c r="TA5" s="40"/>
      <c r="TB5" s="40"/>
      <c r="TC5" s="40"/>
      <c r="TD5" s="40"/>
      <c r="TE5" s="40"/>
      <c r="TF5" s="40"/>
      <c r="TG5" s="40"/>
      <c r="TH5" s="40"/>
      <c r="TI5" s="40"/>
      <c r="TJ5" s="40"/>
      <c r="TK5" s="40"/>
      <c r="TL5" s="40"/>
      <c r="TM5" s="40"/>
      <c r="TN5" s="40"/>
      <c r="TO5" s="40"/>
      <c r="TP5" s="40"/>
      <c r="TQ5" s="40"/>
      <c r="TR5" s="40"/>
      <c r="TS5" s="40"/>
      <c r="TT5" s="40"/>
      <c r="TU5" s="40"/>
      <c r="TV5" s="40"/>
      <c r="TW5" s="40"/>
      <c r="TX5" s="40"/>
      <c r="TY5" s="40"/>
      <c r="TZ5" s="40"/>
      <c r="UA5" s="40"/>
      <c r="UB5" s="40"/>
      <c r="UC5" s="40"/>
      <c r="UD5" s="40"/>
      <c r="UE5" s="40"/>
      <c r="UF5" s="40"/>
      <c r="UG5" s="40"/>
      <c r="UH5" s="40"/>
      <c r="UI5" s="40"/>
      <c r="UJ5" s="40"/>
      <c r="UK5" s="40"/>
      <c r="UL5" s="40"/>
      <c r="UM5" s="40"/>
      <c r="UN5" s="40"/>
      <c r="UO5" s="40"/>
      <c r="UP5" s="40"/>
      <c r="UQ5" s="40"/>
      <c r="UR5" s="40"/>
      <c r="US5" s="40"/>
      <c r="UT5" s="40"/>
      <c r="UU5" s="40"/>
      <c r="UV5" s="40"/>
      <c r="UW5" s="40"/>
      <c r="UX5" s="40"/>
      <c r="UY5" s="40"/>
      <c r="UZ5" s="40"/>
      <c r="VA5" s="40"/>
      <c r="VB5" s="40"/>
      <c r="VC5" s="40"/>
      <c r="VD5" s="40"/>
      <c r="VE5" s="40"/>
      <c r="VF5" s="40"/>
      <c r="VG5" s="40"/>
      <c r="VH5" s="40"/>
      <c r="VI5" s="40"/>
      <c r="VJ5" s="40"/>
      <c r="VK5" s="40"/>
      <c r="VL5" s="40"/>
      <c r="VM5" s="40"/>
      <c r="VN5" s="40"/>
      <c r="VO5" s="40"/>
      <c r="VP5" s="40"/>
      <c r="VQ5" s="40"/>
      <c r="VR5" s="40"/>
      <c r="VS5" s="40"/>
      <c r="VT5" s="40"/>
      <c r="VU5" s="40"/>
      <c r="VV5" s="40"/>
      <c r="VW5" s="40"/>
      <c r="VX5" s="40"/>
      <c r="VY5" s="40"/>
      <c r="VZ5" s="40"/>
      <c r="WA5" s="40"/>
      <c r="WB5" s="40"/>
      <c r="WC5" s="40"/>
      <c r="WD5" s="40"/>
      <c r="WE5" s="40"/>
      <c r="WF5" s="40"/>
      <c r="WG5" s="40"/>
      <c r="WH5" s="40"/>
      <c r="WI5" s="40"/>
      <c r="WJ5" s="40"/>
      <c r="WK5" s="40"/>
      <c r="WL5" s="40"/>
      <c r="WM5" s="40"/>
      <c r="WN5" s="40"/>
      <c r="WO5" s="40"/>
      <c r="WP5" s="40"/>
      <c r="WQ5" s="40"/>
      <c r="WR5" s="40"/>
      <c r="WS5" s="40"/>
      <c r="WT5" s="40"/>
      <c r="WU5" s="40"/>
      <c r="WV5" s="40"/>
      <c r="WW5" s="40"/>
      <c r="WX5" s="40"/>
      <c r="WY5" s="40"/>
      <c r="WZ5" s="40"/>
      <c r="XA5" s="40"/>
      <c r="XB5" s="40"/>
      <c r="XC5" s="40"/>
      <c r="XD5" s="40"/>
      <c r="XE5" s="40"/>
      <c r="XF5" s="40"/>
      <c r="XG5" s="40"/>
      <c r="XH5" s="40"/>
      <c r="XI5" s="40"/>
      <c r="XJ5" s="40"/>
      <c r="XK5" s="40"/>
      <c r="XL5" s="40"/>
      <c r="XM5" s="40"/>
      <c r="XN5" s="40"/>
      <c r="XO5" s="40"/>
      <c r="XP5" s="40"/>
      <c r="XQ5" s="40"/>
      <c r="XR5" s="40"/>
      <c r="XS5" s="40"/>
      <c r="XT5" s="40"/>
      <c r="XU5" s="40"/>
      <c r="XV5" s="40"/>
      <c r="XW5" s="40"/>
      <c r="XX5" s="40"/>
      <c r="XY5" s="40"/>
      <c r="XZ5" s="40"/>
      <c r="YA5" s="40"/>
      <c r="YB5" s="40"/>
      <c r="YC5" s="40"/>
      <c r="YD5" s="40"/>
      <c r="YE5" s="40"/>
      <c r="YF5" s="40"/>
      <c r="YG5" s="40"/>
      <c r="YH5" s="40"/>
      <c r="YI5" s="40"/>
      <c r="YJ5" s="40"/>
      <c r="YK5" s="40"/>
      <c r="YL5" s="40"/>
      <c r="YM5" s="40"/>
      <c r="YN5" s="40"/>
      <c r="YO5" s="40"/>
      <c r="YP5" s="40"/>
      <c r="YQ5" s="40"/>
      <c r="YR5" s="40"/>
      <c r="YS5" s="40"/>
      <c r="YT5" s="40"/>
      <c r="YU5" s="40"/>
      <c r="YV5" s="40"/>
      <c r="YW5" s="40"/>
      <c r="YX5" s="40"/>
      <c r="YY5" s="40"/>
      <c r="YZ5" s="40"/>
      <c r="ZA5" s="40"/>
      <c r="ZB5" s="40"/>
      <c r="ZC5" s="40"/>
      <c r="ZD5" s="40"/>
      <c r="ZE5" s="40"/>
      <c r="ZF5" s="40"/>
      <c r="ZG5" s="40"/>
      <c r="ZH5" s="40"/>
      <c r="ZI5" s="40"/>
      <c r="ZJ5" s="40"/>
      <c r="ZK5" s="40"/>
      <c r="ZL5" s="40"/>
      <c r="ZM5" s="40"/>
      <c r="ZN5" s="40"/>
      <c r="ZO5" s="40"/>
      <c r="ZP5" s="40"/>
      <c r="ZQ5" s="40"/>
      <c r="ZR5" s="40"/>
      <c r="ZS5" s="40"/>
      <c r="ZT5" s="40"/>
      <c r="ZU5" s="40"/>
      <c r="ZV5" s="40"/>
      <c r="ZW5" s="40"/>
      <c r="ZX5" s="40"/>
      <c r="ZY5" s="40"/>
      <c r="ZZ5" s="40"/>
      <c r="AAA5" s="40"/>
      <c r="AAB5" s="40"/>
      <c r="AAC5" s="40"/>
      <c r="AAD5" s="40"/>
      <c r="AAE5" s="40"/>
      <c r="AAF5" s="40"/>
      <c r="AAG5" s="40"/>
      <c r="AAH5" s="40"/>
      <c r="AAI5" s="40"/>
      <c r="AAJ5" s="40"/>
      <c r="AAK5" s="40"/>
      <c r="AAL5" s="40"/>
      <c r="AAM5" s="40"/>
      <c r="AAN5" s="40"/>
      <c r="AAO5" s="40"/>
      <c r="AAP5" s="40"/>
      <c r="AAQ5" s="40"/>
      <c r="AAR5" s="40"/>
      <c r="AAS5" s="40"/>
      <c r="AAT5" s="40"/>
      <c r="AAU5" s="40"/>
      <c r="AAV5" s="40"/>
      <c r="AAW5" s="40"/>
      <c r="AAX5" s="40"/>
      <c r="AAY5" s="40"/>
      <c r="AAZ5" s="40"/>
      <c r="ABA5" s="40"/>
      <c r="ABB5" s="40"/>
      <c r="ABC5" s="40"/>
      <c r="ABD5" s="40"/>
      <c r="ABE5" s="40"/>
      <c r="ABF5" s="40"/>
      <c r="ABG5" s="40"/>
      <c r="ABH5" s="40"/>
      <c r="ABI5" s="40"/>
      <c r="ABJ5" s="40"/>
      <c r="ABK5" s="40"/>
      <c r="ABL5" s="40"/>
      <c r="ABM5" s="40"/>
      <c r="ABN5" s="40"/>
      <c r="ABO5" s="40"/>
      <c r="ABP5" s="40"/>
      <c r="ABQ5" s="40"/>
      <c r="ABR5" s="40"/>
      <c r="ABS5" s="40"/>
      <c r="ABT5" s="40"/>
      <c r="ABU5" s="40"/>
      <c r="ABV5" s="40"/>
      <c r="ABW5" s="40"/>
      <c r="ABX5" s="40"/>
      <c r="ABY5" s="40"/>
      <c r="ABZ5" s="40"/>
      <c r="ACA5" s="40"/>
      <c r="ACB5" s="40"/>
      <c r="ACC5" s="40"/>
      <c r="ACD5" s="40"/>
      <c r="ACE5" s="40"/>
      <c r="ACF5" s="40"/>
      <c r="ACG5" s="40"/>
      <c r="ACH5" s="40"/>
      <c r="ACI5" s="40"/>
      <c r="ACJ5" s="40"/>
      <c r="ACK5" s="40"/>
      <c r="ACL5" s="40"/>
      <c r="ACM5" s="40"/>
      <c r="ACN5" s="40"/>
      <c r="ACO5" s="40"/>
      <c r="ACP5" s="40"/>
      <c r="ACQ5" s="40"/>
      <c r="ACR5" s="40"/>
      <c r="ACS5" s="40"/>
      <c r="ACT5" s="40"/>
      <c r="ACU5" s="40"/>
      <c r="ACV5" s="40"/>
      <c r="ACW5" s="40"/>
      <c r="ACX5" s="40"/>
      <c r="ACY5" s="40"/>
      <c r="ACZ5" s="40"/>
      <c r="ADA5" s="40"/>
      <c r="ADB5" s="40"/>
      <c r="ADC5" s="40"/>
      <c r="ADD5" s="40"/>
      <c r="ADE5" s="40"/>
      <c r="ADF5" s="40"/>
      <c r="ADG5" s="40"/>
      <c r="ADH5" s="40"/>
      <c r="ADI5" s="40"/>
      <c r="ADJ5" s="40"/>
      <c r="ADK5" s="40"/>
      <c r="ADL5" s="40"/>
      <c r="ADM5" s="40"/>
      <c r="ADN5" s="40"/>
      <c r="ADO5" s="40"/>
      <c r="ADP5" s="40"/>
      <c r="ADQ5" s="40"/>
      <c r="ADR5" s="40"/>
      <c r="ADS5" s="40"/>
      <c r="ADT5" s="40"/>
      <c r="ADU5" s="40"/>
      <c r="ADV5" s="40"/>
      <c r="ADW5" s="40"/>
      <c r="ADX5" s="40"/>
      <c r="ADY5" s="40"/>
      <c r="ADZ5" s="40"/>
      <c r="AEA5" s="40"/>
      <c r="AEB5" s="40"/>
      <c r="AEC5" s="40"/>
      <c r="AED5" s="40"/>
      <c r="AEE5" s="40"/>
      <c r="AEF5" s="40"/>
      <c r="AEG5" s="40"/>
      <c r="AEH5" s="40"/>
      <c r="AEI5" s="40"/>
      <c r="AEJ5" s="40"/>
      <c r="AEK5" s="40"/>
      <c r="AEL5" s="40"/>
      <c r="AEM5" s="40"/>
      <c r="AEN5" s="40"/>
      <c r="AEO5" s="40"/>
      <c r="AEP5" s="40"/>
      <c r="AEQ5" s="40"/>
      <c r="AER5" s="40"/>
      <c r="AES5" s="40"/>
      <c r="AET5" s="40"/>
      <c r="AEU5" s="40"/>
      <c r="AEV5" s="40"/>
      <c r="AEW5" s="40"/>
      <c r="AEX5" s="40"/>
      <c r="AEY5" s="40"/>
      <c r="AEZ5" s="40"/>
      <c r="AFA5" s="40"/>
      <c r="AFB5" s="40"/>
      <c r="AFC5" s="40"/>
      <c r="AFD5" s="40"/>
      <c r="AFE5" s="40"/>
      <c r="AFF5" s="40"/>
      <c r="AFG5" s="40"/>
      <c r="AFH5" s="40"/>
      <c r="AFI5" s="40"/>
      <c r="AFJ5" s="40"/>
      <c r="AFK5" s="40"/>
      <c r="AFL5" s="40"/>
      <c r="AFM5" s="40"/>
      <c r="AFN5" s="40"/>
      <c r="AFO5" s="40"/>
      <c r="AFP5" s="40"/>
      <c r="AFQ5" s="40"/>
      <c r="AFR5" s="40"/>
      <c r="AFS5" s="40"/>
      <c r="AFT5" s="40"/>
      <c r="AFU5" s="40"/>
      <c r="AFV5" s="40"/>
      <c r="AFW5" s="40"/>
      <c r="AFX5" s="40"/>
      <c r="AFY5" s="40"/>
      <c r="AFZ5" s="40"/>
      <c r="AGA5" s="40"/>
      <c r="AGB5" s="40"/>
      <c r="AGC5" s="40"/>
      <c r="AGD5" s="40"/>
      <c r="AGE5" s="40"/>
      <c r="AGF5" s="40"/>
      <c r="AGG5" s="40"/>
      <c r="AGH5" s="40"/>
      <c r="AGI5" s="40"/>
      <c r="AGJ5" s="40"/>
      <c r="AGK5" s="40"/>
      <c r="AGL5" s="40"/>
      <c r="AGM5" s="40"/>
      <c r="AGN5" s="40"/>
      <c r="AGO5" s="40"/>
      <c r="AGP5" s="40"/>
      <c r="AGQ5" s="40"/>
      <c r="AGR5" s="40"/>
      <c r="AGS5" s="40"/>
      <c r="AGT5" s="40"/>
      <c r="AGU5" s="40"/>
      <c r="AGV5" s="40"/>
      <c r="AGW5" s="40"/>
      <c r="AGX5" s="40"/>
      <c r="AGY5" s="40"/>
      <c r="AGZ5" s="40"/>
      <c r="AHA5" s="40"/>
      <c r="AHB5" s="40"/>
      <c r="AHC5" s="40"/>
      <c r="AHD5" s="40"/>
      <c r="AHE5" s="40"/>
      <c r="AHF5" s="40"/>
      <c r="AHG5" s="40"/>
      <c r="AHH5" s="40"/>
      <c r="AHI5" s="40"/>
      <c r="AHJ5" s="40"/>
      <c r="AHK5" s="40"/>
      <c r="AHL5" s="40"/>
      <c r="AHM5" s="40"/>
      <c r="AHN5" s="40"/>
      <c r="AHO5" s="40"/>
      <c r="AHP5" s="40"/>
      <c r="AHQ5" s="40"/>
      <c r="AHR5" s="40"/>
      <c r="AHS5" s="40"/>
      <c r="AHT5" s="40"/>
      <c r="AHU5" s="40"/>
      <c r="AHV5" s="40"/>
      <c r="AHW5" s="40"/>
      <c r="AHX5" s="40"/>
      <c r="AHY5" s="40"/>
      <c r="AHZ5" s="40"/>
      <c r="AIA5" s="40"/>
      <c r="AIB5" s="40"/>
      <c r="AIC5" s="40"/>
      <c r="AID5" s="40"/>
      <c r="AIE5" s="40"/>
      <c r="AIF5" s="40"/>
      <c r="AIG5" s="40"/>
      <c r="AIH5" s="40"/>
      <c r="AII5" s="40"/>
      <c r="AIJ5" s="40"/>
      <c r="AIK5" s="40"/>
      <c r="AIL5" s="40"/>
      <c r="AIM5" s="40"/>
      <c r="AIN5" s="40"/>
      <c r="AIO5" s="40"/>
      <c r="AIP5" s="40"/>
      <c r="AIQ5" s="40"/>
      <c r="AIR5" s="40"/>
      <c r="AIS5" s="40"/>
      <c r="AIT5" s="40"/>
      <c r="AIU5" s="40"/>
      <c r="AIV5" s="40"/>
      <c r="AIW5" s="40"/>
      <c r="AIX5" s="40"/>
      <c r="AIY5" s="40"/>
      <c r="AIZ5" s="40"/>
      <c r="AJA5" s="40"/>
      <c r="AJB5" s="40"/>
      <c r="AJC5" s="40"/>
      <c r="AJD5" s="40"/>
      <c r="AJE5" s="40"/>
      <c r="AJF5" s="40"/>
      <c r="AJG5" s="40"/>
      <c r="AJH5" s="40"/>
      <c r="AJI5" s="40"/>
      <c r="AJJ5" s="40"/>
      <c r="AJK5" s="40"/>
      <c r="AJL5" s="40"/>
      <c r="AJM5" s="40"/>
      <c r="AJN5" s="40"/>
      <c r="AJO5" s="40"/>
      <c r="AJP5" s="40"/>
      <c r="AJQ5" s="40"/>
      <c r="AJR5" s="40"/>
      <c r="AJS5" s="40"/>
      <c r="AJT5" s="40"/>
      <c r="AJU5" s="40"/>
      <c r="AJV5" s="40"/>
      <c r="AJW5" s="40"/>
      <c r="AJX5" s="40"/>
      <c r="AJY5" s="40"/>
      <c r="AJZ5" s="40"/>
      <c r="AKA5" s="40"/>
      <c r="AKB5" s="40"/>
      <c r="AKC5" s="40"/>
      <c r="AKD5" s="40"/>
      <c r="AKE5" s="40"/>
      <c r="AKF5" s="40"/>
      <c r="AKG5" s="40"/>
      <c r="AKH5" s="40"/>
      <c r="AKI5" s="40"/>
      <c r="AKJ5" s="40"/>
      <c r="AKK5" s="40"/>
      <c r="AKL5" s="40"/>
      <c r="AKM5" s="40"/>
      <c r="AKN5" s="40"/>
      <c r="AKO5" s="40"/>
      <c r="AKP5" s="40"/>
      <c r="AKQ5" s="40"/>
      <c r="AKR5" s="40"/>
      <c r="AKS5" s="40"/>
      <c r="AKT5" s="40"/>
      <c r="AKU5" s="40"/>
      <c r="AKV5" s="40"/>
      <c r="AKW5" s="40"/>
      <c r="AKX5" s="40"/>
      <c r="AKY5" s="40"/>
      <c r="AKZ5" s="40"/>
      <c r="ALA5" s="40"/>
      <c r="ALB5" s="40"/>
      <c r="ALC5" s="40"/>
      <c r="ALD5" s="40"/>
      <c r="ALE5" s="40"/>
      <c r="ALF5" s="40"/>
      <c r="ALG5" s="40"/>
      <c r="ALH5" s="40"/>
      <c r="ALI5" s="40"/>
      <c r="ALJ5" s="40"/>
      <c r="ALK5" s="40"/>
      <c r="ALL5" s="40"/>
      <c r="ALM5" s="40"/>
      <c r="ALN5" s="40"/>
      <c r="ALO5" s="40"/>
      <c r="ALP5" s="40"/>
      <c r="ALQ5" s="40"/>
      <c r="ALR5" s="40"/>
      <c r="ALS5" s="40"/>
      <c r="ALT5" s="40"/>
      <c r="ALU5" s="40"/>
      <c r="ALV5" s="40"/>
      <c r="ALW5" s="40"/>
      <c r="ALX5" s="40"/>
      <c r="ALY5" s="40"/>
      <c r="ALZ5" s="40"/>
      <c r="AMA5" s="40"/>
      <c r="AMB5" s="40"/>
      <c r="AMC5" s="40"/>
      <c r="AMD5" s="40"/>
      <c r="AME5" s="40"/>
      <c r="AMF5" s="40"/>
      <c r="AMG5" s="40"/>
      <c r="AMH5" s="40"/>
      <c r="AMI5" s="40"/>
      <c r="AMJ5" s="40"/>
      <c r="AMK5" s="40"/>
      <c r="AML5" s="40"/>
    </row>
    <row r="6" ht="15.75" customHeight="1">
      <c r="A6" s="46" t="s">
        <v>112</v>
      </c>
      <c r="B6" s="46" t="s">
        <v>64</v>
      </c>
      <c r="C6" s="8" t="s">
        <v>137</v>
      </c>
      <c r="D6" s="46">
        <v>0.0</v>
      </c>
      <c r="E6" s="8">
        <v>100.0</v>
      </c>
      <c r="F6" s="8"/>
      <c r="G6" s="8" t="s">
        <v>118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115</v>
      </c>
      <c r="N6" s="8" t="s">
        <v>138</v>
      </c>
      <c r="O6" s="8" t="s">
        <v>120</v>
      </c>
      <c r="Q6">
        <v>3.0</v>
      </c>
      <c r="R6">
        <v>0.0</v>
      </c>
      <c r="S6" t="s">
        <v>139</v>
      </c>
      <c r="T6">
        <v>0.0</v>
      </c>
      <c r="U6">
        <v>0.0</v>
      </c>
      <c r="W6">
        <v>1.0</v>
      </c>
      <c r="X6">
        <v>0.0</v>
      </c>
      <c r="Y6" t="s">
        <v>112</v>
      </c>
      <c r="Z6" t="s">
        <v>65</v>
      </c>
      <c r="AB6">
        <v>1.0</v>
      </c>
      <c r="AD6" t="s">
        <v>121</v>
      </c>
      <c r="AE6">
        <v>100.0</v>
      </c>
      <c r="AF6" t="s">
        <v>112</v>
      </c>
      <c r="AH6" t="s">
        <v>132</v>
      </c>
      <c r="AI6">
        <v>1.0</v>
      </c>
      <c r="AJ6" t="s">
        <v>122</v>
      </c>
      <c r="AN6" t="b">
        <v>0</v>
      </c>
      <c r="AP6" t="b">
        <v>1</v>
      </c>
      <c r="AQ6" t="b">
        <v>0</v>
      </c>
      <c r="AR6" t="b">
        <v>1</v>
      </c>
      <c r="AS6">
        <v>0.0</v>
      </c>
      <c r="AT6">
        <v>1014.0006</v>
      </c>
      <c r="AU6">
        <v>1014.0006</v>
      </c>
      <c r="AW6">
        <v>0.0</v>
      </c>
      <c r="AX6">
        <v>0.0</v>
      </c>
      <c r="AY6" t="s">
        <v>117</v>
      </c>
      <c r="AZ6">
        <v>0.0</v>
      </c>
      <c r="BC6">
        <v>0.0</v>
      </c>
      <c r="BD6" t="s">
        <v>140</v>
      </c>
      <c r="BE6">
        <v>1000.0</v>
      </c>
      <c r="BF6">
        <v>1000.0</v>
      </c>
      <c r="BJ6">
        <v>100.0</v>
      </c>
      <c r="BK6">
        <v>0.0</v>
      </c>
      <c r="BL6" t="s">
        <v>112</v>
      </c>
      <c r="BM6" t="s">
        <v>65</v>
      </c>
      <c r="BO6" t="s">
        <v>116</v>
      </c>
      <c r="BP6">
        <v>0.0</v>
      </c>
      <c r="BQ6">
        <v>0.0</v>
      </c>
      <c r="BR6">
        <v>6.0E-4</v>
      </c>
      <c r="BS6" t="s">
        <v>141</v>
      </c>
      <c r="BT6" t="s">
        <v>50</v>
      </c>
      <c r="BU6">
        <v>3.0</v>
      </c>
      <c r="BV6">
        <v>0.0</v>
      </c>
      <c r="BW6">
        <v>14.0006</v>
      </c>
      <c r="BX6">
        <v>0.0</v>
      </c>
      <c r="CF6" t="s">
        <v>133</v>
      </c>
      <c r="CG6">
        <v>2.0</v>
      </c>
      <c r="CH6" t="s">
        <v>12</v>
      </c>
      <c r="CI6" t="s">
        <v>116</v>
      </c>
      <c r="CJ6">
        <v>0.0</v>
      </c>
      <c r="CK6" t="s">
        <v>142</v>
      </c>
      <c r="CL6">
        <v>1.0</v>
      </c>
      <c r="CM6" t="s">
        <v>50</v>
      </c>
      <c r="CN6" t="s">
        <v>119</v>
      </c>
      <c r="CO6" t="s">
        <v>121</v>
      </c>
      <c r="CP6" t="s">
        <v>143</v>
      </c>
      <c r="CS6" t="s">
        <v>112</v>
      </c>
      <c r="CW6">
        <v>0.0</v>
      </c>
      <c r="CX6" t="s">
        <v>134</v>
      </c>
      <c r="CY6" t="s">
        <v>112</v>
      </c>
      <c r="CZ6" t="s">
        <v>112</v>
      </c>
      <c r="DA6" t="s">
        <v>112</v>
      </c>
      <c r="DB6" t="s">
        <v>112</v>
      </c>
      <c r="DC6" t="s">
        <v>112</v>
      </c>
      <c r="DD6" t="s">
        <v>112</v>
      </c>
      <c r="DE6" t="s">
        <v>112</v>
      </c>
      <c r="DF6" t="s">
        <v>112</v>
      </c>
      <c r="DG6" t="s">
        <v>112</v>
      </c>
      <c r="DH6" t="s">
        <v>112</v>
      </c>
      <c r="DI6" t="s">
        <v>112</v>
      </c>
      <c r="DJ6" t="s">
        <v>112</v>
      </c>
      <c r="DK6" t="s">
        <v>112</v>
      </c>
      <c r="DL6" t="s">
        <v>112</v>
      </c>
      <c r="DM6" t="s">
        <v>112</v>
      </c>
      <c r="DN6" t="s">
        <v>112</v>
      </c>
      <c r="DO6" t="s">
        <v>112</v>
      </c>
      <c r="DP6" t="s">
        <v>112</v>
      </c>
      <c r="DQ6" t="s">
        <v>112</v>
      </c>
      <c r="DR6" t="s">
        <v>112</v>
      </c>
      <c r="DS6" t="s">
        <v>112</v>
      </c>
      <c r="DT6" t="s">
        <v>112</v>
      </c>
      <c r="DU6" t="s">
        <v>112</v>
      </c>
      <c r="DV6" t="s">
        <v>112</v>
      </c>
      <c r="DW6" t="s">
        <v>112</v>
      </c>
      <c r="DX6" t="s">
        <v>112</v>
      </c>
      <c r="DY6" t="s">
        <v>112</v>
      </c>
      <c r="DZ6" t="s">
        <v>112</v>
      </c>
      <c r="EA6" t="s">
        <v>112</v>
      </c>
      <c r="EB6" t="s">
        <v>112</v>
      </c>
      <c r="EC6" t="s">
        <v>112</v>
      </c>
      <c r="ED6" t="s">
        <v>112</v>
      </c>
      <c r="EE6" t="s">
        <v>112</v>
      </c>
      <c r="EF6" t="s">
        <v>112</v>
      </c>
      <c r="EG6" t="s">
        <v>112</v>
      </c>
      <c r="EH6" t="s">
        <v>112</v>
      </c>
      <c r="EI6" t="s">
        <v>112</v>
      </c>
      <c r="EJ6" t="s">
        <v>112</v>
      </c>
      <c r="EK6" t="s">
        <v>112</v>
      </c>
      <c r="EL6" t="s">
        <v>112</v>
      </c>
      <c r="EM6" t="s">
        <v>112</v>
      </c>
      <c r="EN6" t="s">
        <v>112</v>
      </c>
      <c r="EO6" t="s">
        <v>112</v>
      </c>
      <c r="EP6" t="s">
        <v>112</v>
      </c>
      <c r="EQ6" t="s">
        <v>112</v>
      </c>
      <c r="ER6" t="s">
        <v>112</v>
      </c>
      <c r="ES6" t="s">
        <v>112</v>
      </c>
      <c r="ET6" t="s">
        <v>112</v>
      </c>
      <c r="EU6" t="s">
        <v>112</v>
      </c>
      <c r="EV6" t="s">
        <v>112</v>
      </c>
      <c r="EW6" t="s">
        <v>112</v>
      </c>
      <c r="EX6" t="s">
        <v>112</v>
      </c>
      <c r="EY6" t="s">
        <v>112</v>
      </c>
      <c r="EZ6" t="s">
        <v>112</v>
      </c>
      <c r="FA6" t="s">
        <v>112</v>
      </c>
      <c r="FB6" t="s">
        <v>112</v>
      </c>
      <c r="FC6" t="s">
        <v>112</v>
      </c>
      <c r="FD6" t="s">
        <v>112</v>
      </c>
      <c r="FE6" t="s">
        <v>112</v>
      </c>
      <c r="FF6" t="s">
        <v>112</v>
      </c>
      <c r="FG6" t="s">
        <v>112</v>
      </c>
      <c r="FH6" t="s">
        <v>112</v>
      </c>
      <c r="FI6" t="s">
        <v>112</v>
      </c>
      <c r="FJ6" t="s">
        <v>112</v>
      </c>
      <c r="FK6" t="s">
        <v>112</v>
      </c>
      <c r="FL6" t="s">
        <v>112</v>
      </c>
      <c r="FM6" t="s">
        <v>112</v>
      </c>
      <c r="FN6" t="s">
        <v>112</v>
      </c>
      <c r="FO6" t="s">
        <v>112</v>
      </c>
      <c r="FP6" t="s">
        <v>112</v>
      </c>
      <c r="FQ6" t="s">
        <v>112</v>
      </c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  <c r="II6" s="48"/>
      <c r="IJ6" s="48"/>
      <c r="IK6" s="48"/>
      <c r="IL6" s="48"/>
      <c r="IM6" s="48"/>
      <c r="IN6" s="48"/>
      <c r="IO6" s="48"/>
      <c r="IP6" s="48"/>
      <c r="IQ6" s="48"/>
      <c r="IR6" s="48"/>
      <c r="IS6" s="48"/>
      <c r="IT6" s="48"/>
      <c r="IU6" s="48"/>
      <c r="IV6" s="48"/>
      <c r="IW6" s="48"/>
      <c r="IX6" s="48"/>
      <c r="IY6" s="48"/>
      <c r="IZ6" s="48"/>
      <c r="JA6" s="48"/>
      <c r="JB6" s="48"/>
      <c r="JC6" s="48"/>
      <c r="JD6" s="48"/>
      <c r="JE6" s="48"/>
      <c r="JF6" s="48"/>
      <c r="JG6" s="48"/>
      <c r="JH6" s="48"/>
      <c r="JI6" s="48"/>
      <c r="JJ6" s="48"/>
      <c r="JK6" s="48"/>
      <c r="JL6" s="48"/>
      <c r="JM6" s="48"/>
      <c r="JN6" s="48"/>
      <c r="JO6" s="48"/>
      <c r="JP6" s="48"/>
      <c r="JQ6" s="48"/>
      <c r="JR6" s="48"/>
      <c r="JS6" s="48"/>
      <c r="JT6" s="48"/>
      <c r="JU6" s="48"/>
      <c r="JV6" s="48"/>
      <c r="JW6" s="48"/>
      <c r="JX6" s="48"/>
      <c r="JY6" s="48"/>
      <c r="JZ6" s="48"/>
      <c r="KA6" s="48"/>
      <c r="KB6" s="48"/>
      <c r="KC6" s="48"/>
      <c r="KD6" s="48"/>
      <c r="KE6" s="48"/>
      <c r="KF6" s="48"/>
      <c r="KG6" s="48"/>
      <c r="KH6" s="48"/>
      <c r="KI6" s="48"/>
      <c r="KJ6" s="48"/>
      <c r="KK6" s="48"/>
      <c r="KL6" s="48"/>
      <c r="KM6" s="48"/>
      <c r="KN6" s="48"/>
      <c r="KO6" s="48"/>
      <c r="KP6" s="48"/>
      <c r="KQ6" s="48"/>
      <c r="KR6" s="48"/>
      <c r="KS6" s="48"/>
      <c r="KT6" s="48"/>
      <c r="KU6" s="48"/>
      <c r="KV6" s="48"/>
      <c r="KW6" s="48"/>
      <c r="KX6" s="48"/>
      <c r="KY6" s="48"/>
      <c r="KZ6" s="48"/>
      <c r="LA6" s="48"/>
      <c r="LB6" s="48"/>
      <c r="LC6" s="48"/>
      <c r="LD6" s="48"/>
      <c r="LE6" s="48"/>
      <c r="LF6" s="48"/>
      <c r="LG6" s="48"/>
      <c r="LH6" s="48"/>
      <c r="LI6" s="48"/>
      <c r="LJ6" s="48"/>
      <c r="LK6" s="48"/>
      <c r="LL6" s="48"/>
      <c r="LM6" s="48"/>
      <c r="LN6" s="48"/>
      <c r="LO6" s="48"/>
      <c r="LP6" s="48"/>
      <c r="LQ6" s="48"/>
      <c r="LR6" s="48"/>
      <c r="LS6" s="48"/>
      <c r="LT6" s="48"/>
      <c r="LU6" s="48"/>
      <c r="LV6" s="48"/>
      <c r="LW6" s="48"/>
      <c r="LX6" s="48"/>
      <c r="LY6" s="48"/>
      <c r="LZ6" s="48"/>
      <c r="MA6" s="48"/>
      <c r="MB6" s="48"/>
      <c r="MC6" s="48"/>
      <c r="MD6" s="48"/>
      <c r="ME6" s="48"/>
      <c r="MF6" s="48"/>
      <c r="MG6" s="48"/>
      <c r="MH6" s="48"/>
      <c r="MI6" s="48"/>
      <c r="MJ6" s="48"/>
      <c r="MK6" s="48"/>
      <c r="ML6" s="48"/>
      <c r="MM6" s="48"/>
      <c r="MN6" s="48"/>
      <c r="MO6" s="48"/>
      <c r="MP6" s="48"/>
      <c r="MQ6" s="48"/>
      <c r="MR6" s="48"/>
      <c r="MS6" s="48"/>
      <c r="MT6" s="48"/>
      <c r="MU6" s="48"/>
      <c r="MV6" s="48"/>
      <c r="MW6" s="48"/>
      <c r="MX6" s="48"/>
      <c r="MY6" s="48"/>
      <c r="MZ6" s="48"/>
      <c r="NA6" s="48"/>
      <c r="NB6" s="48"/>
      <c r="NC6" s="48"/>
      <c r="ND6" s="48"/>
      <c r="NE6" s="48"/>
      <c r="NF6" s="48"/>
      <c r="NG6" s="48"/>
      <c r="NH6" s="48"/>
      <c r="NI6" s="48"/>
      <c r="NJ6" s="48"/>
      <c r="NK6" s="48"/>
      <c r="NL6" s="48"/>
      <c r="NM6" s="48"/>
      <c r="NN6" s="48"/>
      <c r="NO6" s="48"/>
      <c r="NP6" s="48"/>
      <c r="NQ6" s="48"/>
      <c r="NR6" s="48"/>
      <c r="NS6" s="48"/>
      <c r="NT6" s="48"/>
      <c r="NU6" s="48"/>
      <c r="NV6" s="48"/>
      <c r="NW6" s="48"/>
      <c r="NX6" s="48"/>
      <c r="NY6" s="48"/>
      <c r="NZ6" s="48"/>
      <c r="OA6" s="48"/>
      <c r="OB6" s="48"/>
      <c r="OC6" s="48"/>
      <c r="OD6" s="48"/>
      <c r="OE6" s="48"/>
      <c r="OF6" s="48"/>
      <c r="OG6" s="48"/>
      <c r="OH6" s="48"/>
      <c r="OI6" s="48"/>
      <c r="OJ6" s="48"/>
      <c r="OK6" s="48"/>
      <c r="OL6" s="48"/>
      <c r="OM6" s="48"/>
      <c r="ON6" s="48"/>
      <c r="OO6" s="48"/>
      <c r="OP6" s="48"/>
      <c r="OQ6" s="48"/>
      <c r="OR6" s="48"/>
      <c r="OS6" s="48"/>
      <c r="OT6" s="48"/>
      <c r="OU6" s="48"/>
      <c r="OV6" s="48"/>
      <c r="OW6" s="48"/>
      <c r="OX6" s="48"/>
      <c r="OY6" s="48"/>
      <c r="OZ6" s="48"/>
      <c r="PA6" s="48"/>
      <c r="PB6" s="48"/>
      <c r="PC6" s="48"/>
      <c r="PD6" s="48"/>
      <c r="PE6" s="48"/>
      <c r="PF6" s="48"/>
      <c r="PG6" s="48"/>
      <c r="PH6" s="48"/>
      <c r="PI6" s="48"/>
      <c r="PJ6" s="48"/>
      <c r="PK6" s="48"/>
      <c r="PL6" s="48"/>
      <c r="PM6" s="48"/>
      <c r="PN6" s="48"/>
      <c r="PO6" s="48"/>
      <c r="PP6" s="48"/>
      <c r="PQ6" s="48"/>
      <c r="PR6" s="48"/>
      <c r="PS6" s="48"/>
      <c r="PT6" s="48"/>
      <c r="PU6" s="48"/>
      <c r="PV6" s="48"/>
      <c r="PW6" s="48"/>
      <c r="PX6" s="48"/>
      <c r="PY6" s="48"/>
      <c r="PZ6" s="48"/>
      <c r="QA6" s="48"/>
      <c r="QB6" s="48"/>
      <c r="QC6" s="48"/>
      <c r="QD6" s="48"/>
      <c r="QE6" s="48"/>
      <c r="QF6" s="48"/>
      <c r="QG6" s="48"/>
      <c r="QH6" s="48"/>
      <c r="QI6" s="48"/>
      <c r="QJ6" s="48"/>
      <c r="QK6" s="48"/>
      <c r="QL6" s="48"/>
      <c r="QM6" s="48"/>
      <c r="QN6" s="48"/>
      <c r="QO6" s="48"/>
      <c r="QP6" s="48"/>
      <c r="QQ6" s="48"/>
      <c r="QR6" s="48"/>
      <c r="QS6" s="48"/>
      <c r="QT6" s="48"/>
      <c r="QU6" s="48"/>
      <c r="QV6" s="48"/>
      <c r="QW6" s="48"/>
      <c r="QX6" s="48"/>
      <c r="QY6" s="48"/>
      <c r="QZ6" s="48"/>
      <c r="RA6" s="48"/>
      <c r="RB6" s="48"/>
      <c r="RC6" s="48"/>
      <c r="RD6" s="48"/>
      <c r="RE6" s="48"/>
      <c r="RF6" s="48"/>
      <c r="RG6" s="48"/>
      <c r="RH6" s="48"/>
      <c r="RI6" s="48"/>
      <c r="RJ6" s="48"/>
      <c r="RK6" s="48"/>
      <c r="RL6" s="48"/>
      <c r="RM6" s="48"/>
      <c r="RN6" s="48"/>
      <c r="RO6" s="48"/>
      <c r="RP6" s="48"/>
      <c r="RQ6" s="48"/>
      <c r="RR6" s="48"/>
      <c r="RS6" s="48"/>
      <c r="RT6" s="48"/>
      <c r="RU6" s="48"/>
      <c r="RV6" s="48"/>
      <c r="RW6" s="48"/>
      <c r="RX6" s="48"/>
      <c r="RY6" s="48"/>
      <c r="RZ6" s="48"/>
      <c r="SA6" s="48"/>
      <c r="SB6" s="48"/>
      <c r="SC6" s="48"/>
      <c r="SD6" s="48"/>
      <c r="SE6" s="48"/>
      <c r="SF6" s="48"/>
      <c r="SG6" s="48"/>
      <c r="SH6" s="48"/>
      <c r="SI6" s="48"/>
      <c r="SJ6" s="48"/>
      <c r="SK6" s="48"/>
      <c r="SL6" s="48"/>
      <c r="SM6" s="48"/>
      <c r="SN6" s="48"/>
      <c r="SO6" s="48"/>
      <c r="SP6" s="48"/>
      <c r="SQ6" s="48"/>
      <c r="SR6" s="48"/>
      <c r="SS6" s="48"/>
      <c r="ST6" s="48"/>
      <c r="SU6" s="48"/>
      <c r="SV6" s="48"/>
      <c r="SW6" s="48"/>
      <c r="SX6" s="48"/>
      <c r="SY6" s="48"/>
      <c r="SZ6" s="48"/>
      <c r="TA6" s="48"/>
      <c r="TB6" s="48"/>
      <c r="TC6" s="48"/>
      <c r="TD6" s="48"/>
      <c r="TE6" s="48"/>
      <c r="TF6" s="48"/>
      <c r="TG6" s="48"/>
      <c r="TH6" s="48"/>
      <c r="TI6" s="48"/>
      <c r="TJ6" s="48"/>
      <c r="TK6" s="48"/>
      <c r="TL6" s="48"/>
      <c r="TM6" s="48"/>
      <c r="TN6" s="48"/>
      <c r="TO6" s="48"/>
      <c r="TP6" s="48"/>
      <c r="TQ6" s="48"/>
      <c r="TR6" s="48"/>
      <c r="TS6" s="48"/>
      <c r="TT6" s="48"/>
      <c r="TU6" s="48"/>
      <c r="TV6" s="48"/>
      <c r="TW6" s="48"/>
      <c r="TX6" s="48"/>
      <c r="TY6" s="48"/>
      <c r="TZ6" s="48"/>
      <c r="UA6" s="48"/>
      <c r="UB6" s="48"/>
      <c r="UC6" s="48"/>
      <c r="UD6" s="48"/>
      <c r="UE6" s="48"/>
      <c r="UF6" s="48"/>
      <c r="UG6" s="48"/>
      <c r="UH6" s="48"/>
      <c r="UI6" s="48"/>
      <c r="UJ6" s="48"/>
      <c r="UK6" s="48"/>
      <c r="UL6" s="48"/>
      <c r="UM6" s="48"/>
      <c r="UN6" s="48"/>
      <c r="UO6" s="48"/>
      <c r="UP6" s="48"/>
      <c r="UQ6" s="48"/>
      <c r="UR6" s="48"/>
      <c r="US6" s="48"/>
      <c r="UT6" s="48"/>
      <c r="UU6" s="48"/>
      <c r="UV6" s="48"/>
      <c r="UW6" s="48"/>
      <c r="UX6" s="48"/>
      <c r="UY6" s="48"/>
      <c r="UZ6" s="48"/>
      <c r="VA6" s="48"/>
      <c r="VB6" s="48"/>
      <c r="VC6" s="48"/>
      <c r="VD6" s="48"/>
      <c r="VE6" s="48"/>
      <c r="VF6" s="48"/>
      <c r="VG6" s="48"/>
      <c r="VH6" s="48"/>
      <c r="VI6" s="48"/>
      <c r="VJ6" s="48"/>
      <c r="VK6" s="48"/>
      <c r="VL6" s="48"/>
      <c r="VM6" s="48"/>
      <c r="VN6" s="48"/>
      <c r="VO6" s="48"/>
      <c r="VP6" s="48"/>
      <c r="VQ6" s="48"/>
      <c r="VR6" s="48"/>
      <c r="VS6" s="48"/>
      <c r="VT6" s="48"/>
      <c r="VU6" s="48"/>
      <c r="VV6" s="48"/>
      <c r="VW6" s="48"/>
      <c r="VX6" s="48"/>
      <c r="VY6" s="48"/>
      <c r="VZ6" s="48"/>
      <c r="WA6" s="48"/>
      <c r="WB6" s="48"/>
      <c r="WC6" s="48"/>
      <c r="WD6" s="48"/>
      <c r="WE6" s="48"/>
      <c r="WF6" s="48"/>
      <c r="WG6" s="48"/>
      <c r="WH6" s="48"/>
      <c r="WI6" s="48"/>
      <c r="WJ6" s="48"/>
      <c r="WK6" s="48"/>
      <c r="WL6" s="48"/>
      <c r="WM6" s="48"/>
      <c r="WN6" s="48"/>
      <c r="WO6" s="48"/>
      <c r="WP6" s="48"/>
      <c r="WQ6" s="48"/>
      <c r="WR6" s="48"/>
      <c r="WS6" s="48"/>
      <c r="WT6" s="48"/>
      <c r="WU6" s="48"/>
      <c r="WV6" s="48"/>
      <c r="WW6" s="48"/>
      <c r="WX6" s="48"/>
      <c r="WY6" s="48"/>
      <c r="WZ6" s="48"/>
      <c r="XA6" s="48"/>
      <c r="XB6" s="48"/>
      <c r="XC6" s="48"/>
      <c r="XD6" s="48"/>
      <c r="XE6" s="48"/>
      <c r="XF6" s="48"/>
      <c r="XG6" s="48"/>
      <c r="XH6" s="48"/>
      <c r="XI6" s="48"/>
      <c r="XJ6" s="48"/>
      <c r="XK6" s="48"/>
      <c r="XL6" s="48"/>
      <c r="XM6" s="48"/>
      <c r="XN6" s="48"/>
      <c r="XO6" s="48"/>
      <c r="XP6" s="48"/>
      <c r="XQ6" s="48"/>
      <c r="XR6" s="48"/>
      <c r="XS6" s="48"/>
      <c r="XT6" s="48"/>
      <c r="XU6" s="48"/>
      <c r="XV6" s="48"/>
      <c r="XW6" s="48"/>
      <c r="XX6" s="48"/>
      <c r="XY6" s="48"/>
      <c r="XZ6" s="48"/>
      <c r="YA6" s="48"/>
      <c r="YB6" s="48"/>
      <c r="YC6" s="48"/>
      <c r="YD6" s="48"/>
      <c r="YE6" s="48"/>
      <c r="YF6" s="48"/>
      <c r="YG6" s="48"/>
      <c r="YH6" s="48"/>
      <c r="YI6" s="48"/>
      <c r="YJ6" s="48"/>
      <c r="YK6" s="48"/>
      <c r="YL6" s="48"/>
      <c r="YM6" s="48"/>
      <c r="YN6" s="48"/>
      <c r="YO6" s="48"/>
      <c r="YP6" s="48"/>
      <c r="YQ6" s="48"/>
      <c r="YR6" s="48"/>
      <c r="YS6" s="48"/>
      <c r="YT6" s="48"/>
      <c r="YU6" s="48"/>
      <c r="YV6" s="48"/>
      <c r="YW6" s="48"/>
      <c r="YX6" s="48"/>
      <c r="YY6" s="48"/>
      <c r="YZ6" s="48"/>
      <c r="ZA6" s="48"/>
      <c r="ZB6" s="48"/>
      <c r="ZC6" s="48"/>
      <c r="ZD6" s="48"/>
      <c r="ZE6" s="48"/>
      <c r="ZF6" s="48"/>
      <c r="ZG6" s="48"/>
      <c r="ZH6" s="48"/>
      <c r="ZI6" s="48"/>
      <c r="ZJ6" s="48"/>
      <c r="ZK6" s="48"/>
      <c r="ZL6" s="48"/>
      <c r="ZM6" s="48"/>
      <c r="ZN6" s="48"/>
      <c r="ZO6" s="48"/>
      <c r="ZP6" s="48"/>
      <c r="ZQ6" s="48"/>
      <c r="ZR6" s="48"/>
      <c r="ZS6" s="48"/>
      <c r="ZT6" s="48"/>
      <c r="ZU6" s="48"/>
      <c r="ZV6" s="48"/>
      <c r="ZW6" s="48"/>
      <c r="ZX6" s="48"/>
      <c r="ZY6" s="48"/>
      <c r="ZZ6" s="48"/>
      <c r="AAA6" s="48"/>
      <c r="AAB6" s="48"/>
      <c r="AAC6" s="48"/>
      <c r="AAD6" s="48"/>
      <c r="AAE6" s="48"/>
      <c r="AAF6" s="48"/>
      <c r="AAG6" s="48"/>
      <c r="AAH6" s="48"/>
      <c r="AAI6" s="48"/>
      <c r="AAJ6" s="48"/>
      <c r="AAK6" s="48"/>
      <c r="AAL6" s="48"/>
      <c r="AAM6" s="48"/>
      <c r="AAN6" s="48"/>
      <c r="AAO6" s="48"/>
      <c r="AAP6" s="48"/>
      <c r="AAQ6" s="48"/>
      <c r="AAR6" s="48"/>
      <c r="AAS6" s="48"/>
      <c r="AAT6" s="48"/>
      <c r="AAU6" s="48"/>
      <c r="AAV6" s="48"/>
      <c r="AAW6" s="48"/>
      <c r="AAX6" s="48"/>
      <c r="AAY6" s="48"/>
      <c r="AAZ6" s="48"/>
      <c r="ABA6" s="48"/>
      <c r="ABB6" s="48"/>
      <c r="ABC6" s="48"/>
      <c r="ABD6" s="48"/>
      <c r="ABE6" s="48"/>
      <c r="ABF6" s="48"/>
      <c r="ABG6" s="48"/>
      <c r="ABH6" s="48"/>
      <c r="ABI6" s="48"/>
      <c r="ABJ6" s="48"/>
      <c r="ABK6" s="48"/>
      <c r="ABL6" s="48"/>
      <c r="ABM6" s="48"/>
      <c r="ABN6" s="48"/>
      <c r="ABO6" s="48"/>
      <c r="ABP6" s="48"/>
      <c r="ABQ6" s="48"/>
      <c r="ABR6" s="48"/>
      <c r="ABS6" s="48"/>
      <c r="ABT6" s="48"/>
      <c r="ABU6" s="48"/>
      <c r="ABV6" s="48"/>
      <c r="ABW6" s="48"/>
      <c r="ABX6" s="48"/>
      <c r="ABY6" s="48"/>
      <c r="ABZ6" s="48"/>
      <c r="ACA6" s="48"/>
      <c r="ACB6" s="48"/>
      <c r="ACC6" s="48"/>
      <c r="ACD6" s="48"/>
      <c r="ACE6" s="48"/>
      <c r="ACF6" s="48"/>
      <c r="ACG6" s="48"/>
      <c r="ACH6" s="48"/>
      <c r="ACI6" s="48"/>
      <c r="ACJ6" s="48"/>
      <c r="ACK6" s="48"/>
      <c r="ACL6" s="48"/>
      <c r="ACM6" s="48"/>
      <c r="ACN6" s="48"/>
      <c r="ACO6" s="48"/>
      <c r="ACP6" s="48"/>
      <c r="ACQ6" s="48"/>
      <c r="ACR6" s="48"/>
      <c r="ACS6" s="48"/>
      <c r="ACT6" s="48"/>
      <c r="ACU6" s="48"/>
      <c r="ACV6" s="48"/>
      <c r="ACW6" s="48"/>
      <c r="ACX6" s="48"/>
      <c r="ACY6" s="48"/>
      <c r="ACZ6" s="48"/>
      <c r="ADA6" s="48"/>
      <c r="ADB6" s="48"/>
      <c r="ADC6" s="48"/>
      <c r="ADD6" s="48"/>
      <c r="ADE6" s="48"/>
      <c r="ADF6" s="48"/>
      <c r="ADG6" s="48"/>
      <c r="ADH6" s="48"/>
      <c r="ADI6" s="48"/>
      <c r="ADJ6" s="48"/>
      <c r="ADK6" s="48"/>
      <c r="ADL6" s="48"/>
      <c r="ADM6" s="48"/>
      <c r="ADN6" s="48"/>
      <c r="ADO6" s="48"/>
      <c r="ADP6" s="48"/>
      <c r="ADQ6" s="48"/>
      <c r="ADR6" s="48"/>
      <c r="ADS6" s="48"/>
      <c r="ADT6" s="48"/>
      <c r="ADU6" s="48"/>
      <c r="ADV6" s="48"/>
      <c r="ADW6" s="48"/>
      <c r="ADX6" s="48"/>
      <c r="ADY6" s="48"/>
      <c r="ADZ6" s="48"/>
      <c r="AEA6" s="48"/>
      <c r="AEB6" s="48"/>
      <c r="AEC6" s="48"/>
      <c r="AED6" s="48"/>
      <c r="AEE6" s="48"/>
      <c r="AEF6" s="48"/>
      <c r="AEG6" s="48"/>
      <c r="AEH6" s="48"/>
      <c r="AEI6" s="48"/>
      <c r="AEJ6" s="48"/>
      <c r="AEK6" s="48"/>
      <c r="AEL6" s="48"/>
      <c r="AEM6" s="48"/>
      <c r="AEN6" s="48"/>
      <c r="AEO6" s="48"/>
      <c r="AEP6" s="48"/>
      <c r="AEQ6" s="48"/>
      <c r="AER6" s="48"/>
      <c r="AES6" s="48"/>
      <c r="AET6" s="48"/>
      <c r="AEU6" s="48"/>
      <c r="AEV6" s="48"/>
      <c r="AEW6" s="48"/>
      <c r="AEX6" s="48"/>
      <c r="AEY6" s="48"/>
      <c r="AEZ6" s="48"/>
      <c r="AFA6" s="48"/>
      <c r="AFB6" s="48"/>
      <c r="AFC6" s="48"/>
      <c r="AFD6" s="48"/>
      <c r="AFE6" s="48"/>
      <c r="AFF6" s="48"/>
      <c r="AFG6" s="48"/>
      <c r="AFH6" s="48"/>
      <c r="AFI6" s="48"/>
      <c r="AFJ6" s="48"/>
      <c r="AFK6" s="48"/>
      <c r="AFL6" s="48"/>
      <c r="AFM6" s="48"/>
      <c r="AFN6" s="48"/>
      <c r="AFO6" s="48"/>
      <c r="AFP6" s="48"/>
      <c r="AFQ6" s="48"/>
      <c r="AFR6" s="48"/>
      <c r="AFS6" s="48"/>
      <c r="AFT6" s="48"/>
      <c r="AFU6" s="48"/>
      <c r="AFV6" s="48"/>
      <c r="AFW6" s="48"/>
      <c r="AFX6" s="48"/>
      <c r="AFY6" s="48"/>
      <c r="AFZ6" s="48"/>
      <c r="AGA6" s="48"/>
      <c r="AGB6" s="48"/>
      <c r="AGC6" s="48"/>
      <c r="AGD6" s="48"/>
      <c r="AGE6" s="48"/>
      <c r="AGF6" s="48"/>
      <c r="AGG6" s="48"/>
      <c r="AGH6" s="48"/>
      <c r="AGI6" s="48"/>
      <c r="AGJ6" s="48"/>
      <c r="AGK6" s="48"/>
      <c r="AGL6" s="48"/>
      <c r="AGM6" s="48"/>
      <c r="AGN6" s="48"/>
      <c r="AGO6" s="48"/>
      <c r="AGP6" s="48"/>
      <c r="AGQ6" s="48"/>
      <c r="AGR6" s="48"/>
      <c r="AGS6" s="48"/>
      <c r="AGT6" s="48"/>
      <c r="AGU6" s="48"/>
      <c r="AGV6" s="48"/>
      <c r="AGW6" s="48"/>
      <c r="AGX6" s="48"/>
      <c r="AGY6" s="48"/>
      <c r="AGZ6" s="48"/>
      <c r="AHA6" s="48"/>
      <c r="AHB6" s="48"/>
      <c r="AHC6" s="48"/>
      <c r="AHD6" s="48"/>
      <c r="AHE6" s="48"/>
      <c r="AHF6" s="48"/>
      <c r="AHG6" s="48"/>
      <c r="AHH6" s="48"/>
      <c r="AHI6" s="48"/>
      <c r="AHJ6" s="48"/>
      <c r="AHK6" s="48"/>
      <c r="AHL6" s="48"/>
      <c r="AHM6" s="48"/>
      <c r="AHN6" s="48"/>
      <c r="AHO6" s="48"/>
      <c r="AHP6" s="48"/>
      <c r="AHQ6" s="48"/>
      <c r="AHR6" s="48"/>
      <c r="AHS6" s="48"/>
      <c r="AHT6" s="48"/>
      <c r="AHU6" s="48"/>
      <c r="AHV6" s="48"/>
      <c r="AHW6" s="48"/>
      <c r="AHX6" s="48"/>
      <c r="AHY6" s="48"/>
      <c r="AHZ6" s="48"/>
      <c r="AIA6" s="48"/>
      <c r="AIB6" s="48"/>
      <c r="AIC6" s="48"/>
      <c r="AID6" s="48"/>
      <c r="AIE6" s="48"/>
      <c r="AIF6" s="48"/>
      <c r="AIG6" s="48"/>
      <c r="AIH6" s="48"/>
      <c r="AII6" s="48"/>
      <c r="AIJ6" s="48"/>
      <c r="AIK6" s="48"/>
      <c r="AIL6" s="48"/>
      <c r="AIM6" s="48"/>
      <c r="AIN6" s="48"/>
      <c r="AIO6" s="48"/>
      <c r="AIP6" s="48"/>
      <c r="AIQ6" s="48"/>
      <c r="AIR6" s="48"/>
      <c r="AIS6" s="48"/>
      <c r="AIT6" s="48"/>
      <c r="AIU6" s="48"/>
      <c r="AIV6" s="48"/>
      <c r="AIW6" s="48"/>
      <c r="AIX6" s="48"/>
      <c r="AIY6" s="48"/>
      <c r="AIZ6" s="48"/>
      <c r="AJA6" s="48"/>
      <c r="AJB6" s="48"/>
      <c r="AJC6" s="48"/>
      <c r="AJD6" s="48"/>
      <c r="AJE6" s="48"/>
      <c r="AJF6" s="48"/>
      <c r="AJG6" s="48"/>
      <c r="AJH6" s="48"/>
      <c r="AJI6" s="48"/>
      <c r="AJJ6" s="48"/>
      <c r="AJK6" s="48"/>
      <c r="AJL6" s="48"/>
      <c r="AJM6" s="48"/>
      <c r="AJN6" s="48"/>
      <c r="AJO6" s="48"/>
      <c r="AJP6" s="48"/>
      <c r="AJQ6" s="48"/>
      <c r="AJR6" s="48"/>
      <c r="AJS6" s="48"/>
      <c r="AJT6" s="48"/>
      <c r="AJU6" s="48"/>
      <c r="AJV6" s="48"/>
      <c r="AJW6" s="48"/>
      <c r="AJX6" s="48"/>
      <c r="AJY6" s="48"/>
      <c r="AJZ6" s="48"/>
      <c r="AKA6" s="48"/>
      <c r="AKB6" s="48"/>
      <c r="AKC6" s="48"/>
      <c r="AKD6" s="48"/>
      <c r="AKE6" s="48"/>
      <c r="AKF6" s="48"/>
      <c r="AKG6" s="48"/>
      <c r="AKH6" s="48"/>
      <c r="AKI6" s="48"/>
      <c r="AKJ6" s="48"/>
      <c r="AKK6" s="48"/>
      <c r="AKL6" s="48"/>
      <c r="AKM6" s="48"/>
      <c r="AKN6" s="48"/>
      <c r="AKO6" s="48"/>
      <c r="AKP6" s="48"/>
      <c r="AKQ6" s="48"/>
      <c r="AKR6" s="48"/>
      <c r="AKS6" s="48"/>
      <c r="AKT6" s="48"/>
      <c r="AKU6" s="48"/>
      <c r="AKV6" s="48"/>
      <c r="AKW6" s="48"/>
      <c r="AKX6" s="48"/>
      <c r="AKY6" s="48"/>
      <c r="AKZ6" s="48"/>
      <c r="ALA6" s="48"/>
      <c r="ALB6" s="48"/>
      <c r="ALC6" s="48"/>
      <c r="ALD6" s="48"/>
      <c r="ALE6" s="48"/>
      <c r="ALF6" s="48"/>
      <c r="ALG6" s="48"/>
      <c r="ALH6" s="48"/>
      <c r="ALI6" s="48"/>
      <c r="ALJ6" s="48"/>
      <c r="ALK6" s="48"/>
      <c r="ALL6" s="48"/>
      <c r="ALM6" s="48"/>
      <c r="ALN6" s="48"/>
      <c r="ALO6" s="48"/>
      <c r="ALP6" s="48"/>
      <c r="ALQ6" s="48"/>
      <c r="ALR6" s="48"/>
      <c r="ALS6" s="48"/>
      <c r="ALT6" s="48"/>
      <c r="ALU6" s="48"/>
      <c r="ALV6" s="48"/>
      <c r="ALW6" s="48"/>
      <c r="ALX6" s="48"/>
      <c r="ALY6" s="48"/>
      <c r="ALZ6" s="48"/>
      <c r="AMA6" s="48"/>
      <c r="AMB6" s="48"/>
      <c r="AMC6" s="48"/>
      <c r="AMD6" s="48"/>
      <c r="AME6" s="48"/>
      <c r="AMF6" s="48"/>
      <c r="AMG6" s="48"/>
      <c r="AMH6" s="48"/>
      <c r="AMI6" s="48"/>
      <c r="AMJ6" s="48"/>
      <c r="AMK6" s="48"/>
      <c r="AML6" s="48"/>
    </row>
    <row r="7" ht="15.75" customHeight="1">
      <c r="A7" s="8" t="s">
        <v>112</v>
      </c>
      <c r="B7" s="8" t="s">
        <v>64</v>
      </c>
      <c r="C7" s="8" t="s">
        <v>137</v>
      </c>
      <c r="D7" s="8">
        <v>0.0</v>
      </c>
      <c r="E7" s="8">
        <v>100.0</v>
      </c>
      <c r="F7" s="8"/>
      <c r="G7" s="8" t="s">
        <v>126</v>
      </c>
      <c r="H7" s="8">
        <v>0.0</v>
      </c>
      <c r="I7" s="8">
        <v>0.0</v>
      </c>
      <c r="J7" s="8">
        <v>12.0</v>
      </c>
      <c r="K7" s="8">
        <v>10.0</v>
      </c>
      <c r="L7" s="8">
        <v>10.0</v>
      </c>
      <c r="M7" s="8"/>
      <c r="N7" s="8" t="s">
        <v>138</v>
      </c>
      <c r="O7" s="8" t="s">
        <v>120</v>
      </c>
      <c r="Q7">
        <v>3.0</v>
      </c>
      <c r="R7">
        <v>0.0</v>
      </c>
      <c r="S7" t="s">
        <v>139</v>
      </c>
      <c r="T7">
        <v>0.0</v>
      </c>
      <c r="U7">
        <v>0.0</v>
      </c>
      <c r="W7">
        <v>100.0</v>
      </c>
      <c r="X7">
        <v>0.0</v>
      </c>
      <c r="Y7" t="s">
        <v>112</v>
      </c>
      <c r="Z7" t="s">
        <v>65</v>
      </c>
      <c r="AB7">
        <v>1.0</v>
      </c>
      <c r="AD7" t="s">
        <v>144</v>
      </c>
      <c r="AE7">
        <v>100.0</v>
      </c>
      <c r="AF7" t="s">
        <v>112</v>
      </c>
      <c r="AH7" t="s">
        <v>132</v>
      </c>
      <c r="AI7">
        <v>1.0</v>
      </c>
      <c r="AJ7" t="s">
        <v>122</v>
      </c>
      <c r="AN7" t="b">
        <v>0</v>
      </c>
      <c r="AP7" t="b">
        <v>1</v>
      </c>
      <c r="AQ7" t="b">
        <v>0</v>
      </c>
      <c r="AR7" t="b">
        <v>1</v>
      </c>
      <c r="AS7">
        <v>0.0</v>
      </c>
      <c r="AT7" t="s">
        <v>145</v>
      </c>
      <c r="AU7" t="s">
        <v>145</v>
      </c>
      <c r="AW7">
        <v>0.0</v>
      </c>
      <c r="AX7">
        <v>0.0</v>
      </c>
      <c r="AY7" t="s">
        <v>117</v>
      </c>
      <c r="AZ7">
        <v>0.0</v>
      </c>
      <c r="BC7">
        <v>0.0</v>
      </c>
      <c r="BD7" t="s">
        <v>140</v>
      </c>
      <c r="BE7" t="s">
        <v>145</v>
      </c>
      <c r="BF7" t="s">
        <v>145</v>
      </c>
      <c r="BJ7">
        <v>100.0</v>
      </c>
      <c r="BK7">
        <v>0.0</v>
      </c>
      <c r="BL7" t="s">
        <v>112</v>
      </c>
      <c r="BM7" t="s">
        <v>65</v>
      </c>
      <c r="BO7" t="s">
        <v>125</v>
      </c>
      <c r="BP7">
        <v>0.0</v>
      </c>
      <c r="BQ7">
        <v>0.0</v>
      </c>
      <c r="BR7">
        <v>0.0</v>
      </c>
      <c r="BS7" t="s">
        <v>141</v>
      </c>
      <c r="BT7" t="s">
        <v>54</v>
      </c>
      <c r="BU7">
        <v>0.0</v>
      </c>
      <c r="BV7">
        <v>0.0</v>
      </c>
      <c r="BW7">
        <v>0.0</v>
      </c>
      <c r="BX7">
        <v>0.0</v>
      </c>
      <c r="CF7" t="s">
        <v>133</v>
      </c>
      <c r="CG7">
        <v>0.0</v>
      </c>
      <c r="CH7" t="s">
        <v>12</v>
      </c>
      <c r="CI7" t="s">
        <v>146</v>
      </c>
      <c r="CJ7">
        <v>0.0</v>
      </c>
      <c r="CK7" t="s">
        <v>142</v>
      </c>
      <c r="CL7">
        <v>1.0</v>
      </c>
      <c r="CM7" t="s">
        <v>50</v>
      </c>
      <c r="CN7" t="s">
        <v>119</v>
      </c>
      <c r="CO7" t="s">
        <v>121</v>
      </c>
      <c r="CP7" t="s">
        <v>143</v>
      </c>
      <c r="CS7" t="s">
        <v>112</v>
      </c>
      <c r="CW7">
        <v>0.0</v>
      </c>
      <c r="CX7" t="s">
        <v>134</v>
      </c>
      <c r="CY7" t="s">
        <v>112</v>
      </c>
      <c r="CZ7" t="s">
        <v>112</v>
      </c>
      <c r="DA7" t="s">
        <v>112</v>
      </c>
      <c r="DB7" t="s">
        <v>112</v>
      </c>
      <c r="DC7" t="s">
        <v>112</v>
      </c>
      <c r="DD7" t="s">
        <v>112</v>
      </c>
      <c r="DE7" t="s">
        <v>112</v>
      </c>
      <c r="DF7" t="s">
        <v>112</v>
      </c>
      <c r="DG7" t="s">
        <v>112</v>
      </c>
      <c r="DH7" t="s">
        <v>112</v>
      </c>
      <c r="DI7" t="s">
        <v>112</v>
      </c>
      <c r="DJ7" t="s">
        <v>112</v>
      </c>
      <c r="DK7" t="s">
        <v>112</v>
      </c>
      <c r="DL7" t="s">
        <v>112</v>
      </c>
      <c r="DM7" t="s">
        <v>112</v>
      </c>
      <c r="DN7" t="s">
        <v>112</v>
      </c>
      <c r="DO7" t="s">
        <v>112</v>
      </c>
      <c r="DP7" t="s">
        <v>112</v>
      </c>
      <c r="DQ7" t="s">
        <v>112</v>
      </c>
      <c r="DR7" t="s">
        <v>112</v>
      </c>
      <c r="DS7" t="s">
        <v>112</v>
      </c>
      <c r="DT7" t="s">
        <v>112</v>
      </c>
      <c r="DU7" t="s">
        <v>112</v>
      </c>
      <c r="DV7" t="s">
        <v>112</v>
      </c>
      <c r="DW7" t="s">
        <v>112</v>
      </c>
      <c r="DX7" t="s">
        <v>112</v>
      </c>
      <c r="DY7" t="s">
        <v>112</v>
      </c>
      <c r="DZ7" t="s">
        <v>112</v>
      </c>
      <c r="EA7" t="s">
        <v>112</v>
      </c>
      <c r="EB7" t="s">
        <v>112</v>
      </c>
      <c r="EC7" t="s">
        <v>112</v>
      </c>
      <c r="ED7" t="s">
        <v>112</v>
      </c>
      <c r="EE7" t="s">
        <v>112</v>
      </c>
      <c r="EF7" t="s">
        <v>112</v>
      </c>
      <c r="EG7" t="s">
        <v>112</v>
      </c>
      <c r="EH7" t="s">
        <v>112</v>
      </c>
      <c r="EI7" t="s">
        <v>112</v>
      </c>
      <c r="EJ7" t="s">
        <v>112</v>
      </c>
      <c r="EK7" t="s">
        <v>112</v>
      </c>
      <c r="EL7" t="s">
        <v>112</v>
      </c>
      <c r="EM7" t="s">
        <v>112</v>
      </c>
      <c r="EN7" t="s">
        <v>112</v>
      </c>
      <c r="EO7" t="s">
        <v>112</v>
      </c>
      <c r="EP7" t="s">
        <v>112</v>
      </c>
      <c r="EQ7" t="s">
        <v>112</v>
      </c>
      <c r="ER7" t="s">
        <v>112</v>
      </c>
      <c r="ES7" t="s">
        <v>112</v>
      </c>
      <c r="ET7" t="s">
        <v>112</v>
      </c>
      <c r="EU7" t="s">
        <v>112</v>
      </c>
      <c r="EV7" t="s">
        <v>112</v>
      </c>
      <c r="EW7" t="s">
        <v>112</v>
      </c>
      <c r="EX7" t="s">
        <v>112</v>
      </c>
      <c r="EY7" t="s">
        <v>112</v>
      </c>
      <c r="EZ7" t="s">
        <v>112</v>
      </c>
      <c r="FA7" t="s">
        <v>112</v>
      </c>
      <c r="FB7" t="s">
        <v>112</v>
      </c>
      <c r="FC7" t="s">
        <v>112</v>
      </c>
      <c r="FD7" t="s">
        <v>112</v>
      </c>
      <c r="FE7" t="s">
        <v>112</v>
      </c>
      <c r="FF7" t="s">
        <v>112</v>
      </c>
      <c r="FG7" t="s">
        <v>112</v>
      </c>
      <c r="FH7" t="s">
        <v>112</v>
      </c>
      <c r="FI7" t="s">
        <v>112</v>
      </c>
      <c r="FJ7" t="s">
        <v>112</v>
      </c>
      <c r="FK7" t="s">
        <v>112</v>
      </c>
      <c r="FL7" t="s">
        <v>112</v>
      </c>
      <c r="FM7" t="s">
        <v>112</v>
      </c>
      <c r="FN7" t="s">
        <v>112</v>
      </c>
      <c r="FO7" t="s">
        <v>112</v>
      </c>
      <c r="FP7" t="s">
        <v>112</v>
      </c>
      <c r="FQ7" t="s">
        <v>112</v>
      </c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  <c r="HM7" s="48"/>
      <c r="HN7" s="48"/>
      <c r="HO7" s="48"/>
      <c r="HP7" s="48"/>
      <c r="HQ7" s="48"/>
      <c r="HR7" s="48"/>
      <c r="HS7" s="48"/>
      <c r="HT7" s="48"/>
      <c r="HU7" s="48"/>
      <c r="HV7" s="48"/>
      <c r="HW7" s="48"/>
      <c r="HX7" s="48"/>
      <c r="HY7" s="48"/>
      <c r="HZ7" s="48"/>
      <c r="IA7" s="48"/>
      <c r="IB7" s="48"/>
      <c r="IC7" s="48"/>
      <c r="ID7" s="48"/>
      <c r="IE7" s="48"/>
      <c r="IF7" s="48"/>
      <c r="IG7" s="48"/>
      <c r="IH7" s="48"/>
      <c r="II7" s="48"/>
      <c r="IJ7" s="48"/>
      <c r="IK7" s="48"/>
      <c r="IL7" s="48"/>
      <c r="IM7" s="48"/>
      <c r="IN7" s="48"/>
      <c r="IO7" s="48"/>
      <c r="IP7" s="48"/>
      <c r="IQ7" s="48"/>
      <c r="IR7" s="48"/>
      <c r="IS7" s="48"/>
      <c r="IT7" s="48"/>
      <c r="IU7" s="48"/>
      <c r="IV7" s="48"/>
      <c r="IW7" s="48"/>
      <c r="IX7" s="48"/>
      <c r="IY7" s="48"/>
      <c r="IZ7" s="48"/>
      <c r="JA7" s="48"/>
      <c r="JB7" s="48"/>
      <c r="JC7" s="48"/>
      <c r="JD7" s="48"/>
      <c r="JE7" s="48"/>
      <c r="JF7" s="48"/>
      <c r="JG7" s="48"/>
      <c r="JH7" s="48"/>
      <c r="JI7" s="48"/>
      <c r="JJ7" s="48"/>
      <c r="JK7" s="48"/>
      <c r="JL7" s="48"/>
      <c r="JM7" s="48"/>
      <c r="JN7" s="48"/>
      <c r="JO7" s="48"/>
      <c r="JP7" s="48"/>
      <c r="JQ7" s="48"/>
      <c r="JR7" s="48"/>
      <c r="JS7" s="48"/>
      <c r="JT7" s="48"/>
      <c r="JU7" s="48"/>
      <c r="JV7" s="48"/>
      <c r="JW7" s="48"/>
      <c r="JX7" s="48"/>
      <c r="JY7" s="48"/>
      <c r="JZ7" s="48"/>
      <c r="KA7" s="48"/>
      <c r="KB7" s="48"/>
      <c r="KC7" s="48"/>
      <c r="KD7" s="48"/>
      <c r="KE7" s="48"/>
      <c r="KF7" s="48"/>
      <c r="KG7" s="48"/>
      <c r="KH7" s="48"/>
      <c r="KI7" s="48"/>
      <c r="KJ7" s="48"/>
      <c r="KK7" s="48"/>
      <c r="KL7" s="48"/>
      <c r="KM7" s="48"/>
      <c r="KN7" s="48"/>
      <c r="KO7" s="48"/>
      <c r="KP7" s="48"/>
      <c r="KQ7" s="48"/>
      <c r="KR7" s="48"/>
      <c r="KS7" s="48"/>
      <c r="KT7" s="48"/>
      <c r="KU7" s="48"/>
      <c r="KV7" s="48"/>
      <c r="KW7" s="48"/>
      <c r="KX7" s="48"/>
      <c r="KY7" s="48"/>
      <c r="KZ7" s="48"/>
      <c r="LA7" s="48"/>
      <c r="LB7" s="48"/>
      <c r="LC7" s="48"/>
      <c r="LD7" s="48"/>
      <c r="LE7" s="48"/>
      <c r="LF7" s="48"/>
      <c r="LG7" s="48"/>
      <c r="LH7" s="48"/>
      <c r="LI7" s="48"/>
      <c r="LJ7" s="48"/>
      <c r="LK7" s="48"/>
      <c r="LL7" s="48"/>
      <c r="LM7" s="48"/>
      <c r="LN7" s="48"/>
      <c r="LO7" s="48"/>
      <c r="LP7" s="48"/>
      <c r="LQ7" s="48"/>
      <c r="LR7" s="48"/>
      <c r="LS7" s="48"/>
      <c r="LT7" s="48"/>
      <c r="LU7" s="48"/>
      <c r="LV7" s="48"/>
      <c r="LW7" s="48"/>
      <c r="LX7" s="48"/>
      <c r="LY7" s="48"/>
      <c r="LZ7" s="48"/>
      <c r="MA7" s="48"/>
      <c r="MB7" s="48"/>
      <c r="MC7" s="48"/>
      <c r="MD7" s="48"/>
      <c r="ME7" s="48"/>
      <c r="MF7" s="48"/>
      <c r="MG7" s="48"/>
      <c r="MH7" s="48"/>
      <c r="MI7" s="48"/>
      <c r="MJ7" s="48"/>
      <c r="MK7" s="48"/>
      <c r="ML7" s="48"/>
      <c r="MM7" s="48"/>
      <c r="MN7" s="48"/>
      <c r="MO7" s="48"/>
      <c r="MP7" s="48"/>
      <c r="MQ7" s="48"/>
      <c r="MR7" s="48"/>
      <c r="MS7" s="48"/>
      <c r="MT7" s="48"/>
      <c r="MU7" s="48"/>
      <c r="MV7" s="48"/>
      <c r="MW7" s="48"/>
      <c r="MX7" s="48"/>
      <c r="MY7" s="48"/>
      <c r="MZ7" s="48"/>
      <c r="NA7" s="48"/>
      <c r="NB7" s="48"/>
      <c r="NC7" s="48"/>
      <c r="ND7" s="48"/>
      <c r="NE7" s="48"/>
      <c r="NF7" s="48"/>
      <c r="NG7" s="48"/>
      <c r="NH7" s="48"/>
      <c r="NI7" s="48"/>
      <c r="NJ7" s="48"/>
      <c r="NK7" s="48"/>
      <c r="NL7" s="48"/>
      <c r="NM7" s="48"/>
      <c r="NN7" s="48"/>
      <c r="NO7" s="48"/>
      <c r="NP7" s="48"/>
      <c r="NQ7" s="48"/>
      <c r="NR7" s="48"/>
      <c r="NS7" s="48"/>
      <c r="NT7" s="48"/>
      <c r="NU7" s="48"/>
      <c r="NV7" s="48"/>
      <c r="NW7" s="48"/>
      <c r="NX7" s="48"/>
      <c r="NY7" s="48"/>
      <c r="NZ7" s="48"/>
      <c r="OA7" s="48"/>
      <c r="OB7" s="48"/>
      <c r="OC7" s="48"/>
      <c r="OD7" s="48"/>
      <c r="OE7" s="48"/>
      <c r="OF7" s="48"/>
      <c r="OG7" s="48"/>
      <c r="OH7" s="48"/>
      <c r="OI7" s="48"/>
      <c r="OJ7" s="48"/>
      <c r="OK7" s="48"/>
      <c r="OL7" s="48"/>
      <c r="OM7" s="48"/>
      <c r="ON7" s="48"/>
      <c r="OO7" s="48"/>
      <c r="OP7" s="48"/>
      <c r="OQ7" s="48"/>
      <c r="OR7" s="48"/>
      <c r="OS7" s="48"/>
      <c r="OT7" s="48"/>
      <c r="OU7" s="48"/>
      <c r="OV7" s="48"/>
      <c r="OW7" s="48"/>
      <c r="OX7" s="48"/>
      <c r="OY7" s="48"/>
      <c r="OZ7" s="48"/>
      <c r="PA7" s="48"/>
      <c r="PB7" s="48"/>
      <c r="PC7" s="48"/>
      <c r="PD7" s="48"/>
      <c r="PE7" s="48"/>
      <c r="PF7" s="48"/>
      <c r="PG7" s="48"/>
      <c r="PH7" s="48"/>
      <c r="PI7" s="48"/>
      <c r="PJ7" s="48"/>
      <c r="PK7" s="48"/>
      <c r="PL7" s="48"/>
      <c r="PM7" s="48"/>
      <c r="PN7" s="48"/>
      <c r="PO7" s="48"/>
      <c r="PP7" s="48"/>
      <c r="PQ7" s="48"/>
      <c r="PR7" s="48"/>
      <c r="PS7" s="48"/>
      <c r="PT7" s="48"/>
      <c r="PU7" s="48"/>
      <c r="PV7" s="48"/>
      <c r="PW7" s="48"/>
      <c r="PX7" s="48"/>
      <c r="PY7" s="48"/>
      <c r="PZ7" s="48"/>
      <c r="QA7" s="48"/>
      <c r="QB7" s="48"/>
      <c r="QC7" s="48"/>
      <c r="QD7" s="48"/>
      <c r="QE7" s="48"/>
      <c r="QF7" s="48"/>
      <c r="QG7" s="48"/>
      <c r="QH7" s="48"/>
      <c r="QI7" s="48"/>
      <c r="QJ7" s="48"/>
      <c r="QK7" s="48"/>
      <c r="QL7" s="48"/>
      <c r="QM7" s="48"/>
      <c r="QN7" s="48"/>
      <c r="QO7" s="48"/>
      <c r="QP7" s="48"/>
      <c r="QQ7" s="48"/>
      <c r="QR7" s="48"/>
      <c r="QS7" s="48"/>
      <c r="QT7" s="48"/>
      <c r="QU7" s="48"/>
      <c r="QV7" s="48"/>
      <c r="QW7" s="48"/>
      <c r="QX7" s="48"/>
      <c r="QY7" s="48"/>
      <c r="QZ7" s="48"/>
      <c r="RA7" s="48"/>
      <c r="RB7" s="48"/>
      <c r="RC7" s="48"/>
      <c r="RD7" s="48"/>
      <c r="RE7" s="48"/>
      <c r="RF7" s="48"/>
      <c r="RG7" s="48"/>
      <c r="RH7" s="48"/>
      <c r="RI7" s="48"/>
      <c r="RJ7" s="48"/>
      <c r="RK7" s="48"/>
      <c r="RL7" s="48"/>
      <c r="RM7" s="48"/>
      <c r="RN7" s="48"/>
      <c r="RO7" s="48"/>
      <c r="RP7" s="48"/>
      <c r="RQ7" s="48"/>
      <c r="RR7" s="48"/>
      <c r="RS7" s="48"/>
      <c r="RT7" s="48"/>
      <c r="RU7" s="48"/>
      <c r="RV7" s="48"/>
      <c r="RW7" s="48"/>
      <c r="RX7" s="48"/>
      <c r="RY7" s="48"/>
      <c r="RZ7" s="48"/>
      <c r="SA7" s="48"/>
      <c r="SB7" s="48"/>
      <c r="SC7" s="48"/>
      <c r="SD7" s="48"/>
      <c r="SE7" s="48"/>
      <c r="SF7" s="48"/>
      <c r="SG7" s="48"/>
      <c r="SH7" s="48"/>
      <c r="SI7" s="48"/>
      <c r="SJ7" s="48"/>
      <c r="SK7" s="48"/>
      <c r="SL7" s="48"/>
      <c r="SM7" s="48"/>
      <c r="SN7" s="48"/>
      <c r="SO7" s="48"/>
      <c r="SP7" s="48"/>
      <c r="SQ7" s="48"/>
      <c r="SR7" s="48"/>
      <c r="SS7" s="48"/>
      <c r="ST7" s="48"/>
      <c r="SU7" s="48"/>
      <c r="SV7" s="48"/>
      <c r="SW7" s="48"/>
      <c r="SX7" s="48"/>
      <c r="SY7" s="48"/>
      <c r="SZ7" s="48"/>
      <c r="TA7" s="48"/>
      <c r="TB7" s="48"/>
      <c r="TC7" s="48"/>
      <c r="TD7" s="48"/>
      <c r="TE7" s="48"/>
      <c r="TF7" s="48"/>
      <c r="TG7" s="48"/>
      <c r="TH7" s="48"/>
      <c r="TI7" s="48"/>
      <c r="TJ7" s="48"/>
      <c r="TK7" s="48"/>
      <c r="TL7" s="48"/>
      <c r="TM7" s="48"/>
      <c r="TN7" s="48"/>
      <c r="TO7" s="48"/>
      <c r="TP7" s="48"/>
      <c r="TQ7" s="48"/>
      <c r="TR7" s="48"/>
      <c r="TS7" s="48"/>
      <c r="TT7" s="48"/>
      <c r="TU7" s="48"/>
      <c r="TV7" s="48"/>
      <c r="TW7" s="48"/>
      <c r="TX7" s="48"/>
      <c r="TY7" s="48"/>
      <c r="TZ7" s="48"/>
      <c r="UA7" s="48"/>
      <c r="UB7" s="48"/>
      <c r="UC7" s="48"/>
      <c r="UD7" s="48"/>
      <c r="UE7" s="48"/>
      <c r="UF7" s="48"/>
      <c r="UG7" s="48"/>
      <c r="UH7" s="48"/>
      <c r="UI7" s="48"/>
      <c r="UJ7" s="48"/>
      <c r="UK7" s="48"/>
      <c r="UL7" s="48"/>
      <c r="UM7" s="48"/>
      <c r="UN7" s="48"/>
      <c r="UO7" s="48"/>
      <c r="UP7" s="48"/>
      <c r="UQ7" s="48"/>
      <c r="UR7" s="48"/>
      <c r="US7" s="48"/>
      <c r="UT7" s="48"/>
      <c r="UU7" s="48"/>
      <c r="UV7" s="48"/>
      <c r="UW7" s="48"/>
      <c r="UX7" s="48"/>
      <c r="UY7" s="48"/>
      <c r="UZ7" s="48"/>
      <c r="VA7" s="48"/>
      <c r="VB7" s="48"/>
      <c r="VC7" s="48"/>
      <c r="VD7" s="48"/>
      <c r="VE7" s="48"/>
      <c r="VF7" s="48"/>
      <c r="VG7" s="48"/>
      <c r="VH7" s="48"/>
      <c r="VI7" s="48"/>
      <c r="VJ7" s="48"/>
      <c r="VK7" s="48"/>
      <c r="VL7" s="48"/>
      <c r="VM7" s="48"/>
      <c r="VN7" s="48"/>
      <c r="VO7" s="48"/>
      <c r="VP7" s="48"/>
      <c r="VQ7" s="48"/>
      <c r="VR7" s="48"/>
      <c r="VS7" s="48"/>
      <c r="VT7" s="48"/>
      <c r="VU7" s="48"/>
      <c r="VV7" s="48"/>
      <c r="VW7" s="48"/>
      <c r="VX7" s="48"/>
      <c r="VY7" s="48"/>
      <c r="VZ7" s="48"/>
      <c r="WA7" s="48"/>
      <c r="WB7" s="48"/>
      <c r="WC7" s="48"/>
      <c r="WD7" s="48"/>
      <c r="WE7" s="48"/>
      <c r="WF7" s="48"/>
      <c r="WG7" s="48"/>
      <c r="WH7" s="48"/>
      <c r="WI7" s="48"/>
      <c r="WJ7" s="48"/>
      <c r="WK7" s="48"/>
      <c r="WL7" s="48"/>
      <c r="WM7" s="48"/>
      <c r="WN7" s="48"/>
      <c r="WO7" s="48"/>
      <c r="WP7" s="48"/>
      <c r="WQ7" s="48"/>
      <c r="WR7" s="48"/>
      <c r="WS7" s="48"/>
      <c r="WT7" s="48"/>
      <c r="WU7" s="48"/>
      <c r="WV7" s="48"/>
      <c r="WW7" s="48"/>
      <c r="WX7" s="48"/>
      <c r="WY7" s="48"/>
      <c r="WZ7" s="48"/>
      <c r="XA7" s="48"/>
      <c r="XB7" s="48"/>
      <c r="XC7" s="48"/>
      <c r="XD7" s="48"/>
      <c r="XE7" s="48"/>
      <c r="XF7" s="48"/>
      <c r="XG7" s="48"/>
      <c r="XH7" s="48"/>
      <c r="XI7" s="48"/>
      <c r="XJ7" s="48"/>
      <c r="XK7" s="48"/>
      <c r="XL7" s="48"/>
      <c r="XM7" s="48"/>
      <c r="XN7" s="48"/>
      <c r="XO7" s="48"/>
      <c r="XP7" s="48"/>
      <c r="XQ7" s="48"/>
      <c r="XR7" s="48"/>
      <c r="XS7" s="48"/>
      <c r="XT7" s="48"/>
      <c r="XU7" s="48"/>
      <c r="XV7" s="48"/>
      <c r="XW7" s="48"/>
      <c r="XX7" s="48"/>
      <c r="XY7" s="48"/>
      <c r="XZ7" s="48"/>
      <c r="YA7" s="48"/>
      <c r="YB7" s="48"/>
      <c r="YC7" s="48"/>
      <c r="YD7" s="48"/>
      <c r="YE7" s="48"/>
      <c r="YF7" s="48"/>
      <c r="YG7" s="48"/>
      <c r="YH7" s="48"/>
      <c r="YI7" s="48"/>
      <c r="YJ7" s="48"/>
      <c r="YK7" s="48"/>
      <c r="YL7" s="48"/>
      <c r="YM7" s="48"/>
      <c r="YN7" s="48"/>
      <c r="YO7" s="48"/>
      <c r="YP7" s="48"/>
      <c r="YQ7" s="48"/>
      <c r="YR7" s="48"/>
      <c r="YS7" s="48"/>
      <c r="YT7" s="48"/>
      <c r="YU7" s="48"/>
      <c r="YV7" s="48"/>
      <c r="YW7" s="48"/>
      <c r="YX7" s="48"/>
      <c r="YY7" s="48"/>
      <c r="YZ7" s="48"/>
      <c r="ZA7" s="48"/>
      <c r="ZB7" s="48"/>
      <c r="ZC7" s="48"/>
      <c r="ZD7" s="48"/>
      <c r="ZE7" s="48"/>
      <c r="ZF7" s="48"/>
      <c r="ZG7" s="48"/>
      <c r="ZH7" s="48"/>
      <c r="ZI7" s="48"/>
      <c r="ZJ7" s="48"/>
      <c r="ZK7" s="48"/>
      <c r="ZL7" s="48"/>
      <c r="ZM7" s="48"/>
      <c r="ZN7" s="48"/>
      <c r="ZO7" s="48"/>
      <c r="ZP7" s="48"/>
      <c r="ZQ7" s="48"/>
      <c r="ZR7" s="48"/>
      <c r="ZS7" s="48"/>
      <c r="ZT7" s="48"/>
      <c r="ZU7" s="48"/>
      <c r="ZV7" s="48"/>
      <c r="ZW7" s="48"/>
      <c r="ZX7" s="48"/>
      <c r="ZY7" s="48"/>
      <c r="ZZ7" s="48"/>
      <c r="AAA7" s="48"/>
      <c r="AAB7" s="48"/>
      <c r="AAC7" s="48"/>
      <c r="AAD7" s="48"/>
      <c r="AAE7" s="48"/>
      <c r="AAF7" s="48"/>
      <c r="AAG7" s="48"/>
      <c r="AAH7" s="48"/>
      <c r="AAI7" s="48"/>
      <c r="AAJ7" s="48"/>
      <c r="AAK7" s="48"/>
      <c r="AAL7" s="48"/>
      <c r="AAM7" s="48"/>
      <c r="AAN7" s="48"/>
      <c r="AAO7" s="48"/>
      <c r="AAP7" s="48"/>
      <c r="AAQ7" s="48"/>
      <c r="AAR7" s="48"/>
      <c r="AAS7" s="48"/>
      <c r="AAT7" s="48"/>
      <c r="AAU7" s="48"/>
      <c r="AAV7" s="48"/>
      <c r="AAW7" s="48"/>
      <c r="AAX7" s="48"/>
      <c r="AAY7" s="48"/>
      <c r="AAZ7" s="48"/>
      <c r="ABA7" s="48"/>
      <c r="ABB7" s="48"/>
      <c r="ABC7" s="48"/>
      <c r="ABD7" s="48"/>
      <c r="ABE7" s="48"/>
      <c r="ABF7" s="48"/>
      <c r="ABG7" s="48"/>
      <c r="ABH7" s="48"/>
      <c r="ABI7" s="48"/>
      <c r="ABJ7" s="48"/>
      <c r="ABK7" s="48"/>
      <c r="ABL7" s="48"/>
      <c r="ABM7" s="48"/>
      <c r="ABN7" s="48"/>
      <c r="ABO7" s="48"/>
      <c r="ABP7" s="48"/>
      <c r="ABQ7" s="48"/>
      <c r="ABR7" s="48"/>
      <c r="ABS7" s="48"/>
      <c r="ABT7" s="48"/>
      <c r="ABU7" s="48"/>
      <c r="ABV7" s="48"/>
      <c r="ABW7" s="48"/>
      <c r="ABX7" s="48"/>
      <c r="ABY7" s="48"/>
      <c r="ABZ7" s="48"/>
      <c r="ACA7" s="48"/>
      <c r="ACB7" s="48"/>
      <c r="ACC7" s="48"/>
      <c r="ACD7" s="48"/>
      <c r="ACE7" s="48"/>
      <c r="ACF7" s="48"/>
      <c r="ACG7" s="48"/>
      <c r="ACH7" s="48"/>
      <c r="ACI7" s="48"/>
      <c r="ACJ7" s="48"/>
      <c r="ACK7" s="48"/>
      <c r="ACL7" s="48"/>
      <c r="ACM7" s="48"/>
      <c r="ACN7" s="48"/>
      <c r="ACO7" s="48"/>
      <c r="ACP7" s="48"/>
      <c r="ACQ7" s="48"/>
      <c r="ACR7" s="48"/>
      <c r="ACS7" s="48"/>
      <c r="ACT7" s="48"/>
      <c r="ACU7" s="48"/>
      <c r="ACV7" s="48"/>
      <c r="ACW7" s="48"/>
      <c r="ACX7" s="48"/>
      <c r="ACY7" s="48"/>
      <c r="ACZ7" s="48"/>
      <c r="ADA7" s="48"/>
      <c r="ADB7" s="48"/>
      <c r="ADC7" s="48"/>
      <c r="ADD7" s="48"/>
      <c r="ADE7" s="48"/>
      <c r="ADF7" s="48"/>
      <c r="ADG7" s="48"/>
      <c r="ADH7" s="48"/>
      <c r="ADI7" s="48"/>
      <c r="ADJ7" s="48"/>
      <c r="ADK7" s="48"/>
      <c r="ADL7" s="48"/>
      <c r="ADM7" s="48"/>
      <c r="ADN7" s="48"/>
      <c r="ADO7" s="48"/>
      <c r="ADP7" s="48"/>
      <c r="ADQ7" s="48"/>
      <c r="ADR7" s="48"/>
      <c r="ADS7" s="48"/>
      <c r="ADT7" s="48"/>
      <c r="ADU7" s="48"/>
      <c r="ADV7" s="48"/>
      <c r="ADW7" s="48"/>
      <c r="ADX7" s="48"/>
      <c r="ADY7" s="48"/>
      <c r="ADZ7" s="48"/>
      <c r="AEA7" s="48"/>
      <c r="AEB7" s="48"/>
      <c r="AEC7" s="48"/>
      <c r="AED7" s="48"/>
      <c r="AEE7" s="48"/>
      <c r="AEF7" s="48"/>
      <c r="AEG7" s="48"/>
      <c r="AEH7" s="48"/>
      <c r="AEI7" s="48"/>
      <c r="AEJ7" s="48"/>
      <c r="AEK7" s="48"/>
      <c r="AEL7" s="48"/>
      <c r="AEM7" s="48"/>
      <c r="AEN7" s="48"/>
      <c r="AEO7" s="48"/>
      <c r="AEP7" s="48"/>
      <c r="AEQ7" s="48"/>
      <c r="AER7" s="48"/>
      <c r="AES7" s="48"/>
      <c r="AET7" s="48"/>
      <c r="AEU7" s="48"/>
      <c r="AEV7" s="48"/>
      <c r="AEW7" s="48"/>
      <c r="AEX7" s="48"/>
      <c r="AEY7" s="48"/>
      <c r="AEZ7" s="48"/>
      <c r="AFA7" s="48"/>
      <c r="AFB7" s="48"/>
      <c r="AFC7" s="48"/>
      <c r="AFD7" s="48"/>
      <c r="AFE7" s="48"/>
      <c r="AFF7" s="48"/>
      <c r="AFG7" s="48"/>
      <c r="AFH7" s="48"/>
      <c r="AFI7" s="48"/>
      <c r="AFJ7" s="48"/>
      <c r="AFK7" s="48"/>
      <c r="AFL7" s="48"/>
      <c r="AFM7" s="48"/>
      <c r="AFN7" s="48"/>
      <c r="AFO7" s="48"/>
      <c r="AFP7" s="48"/>
      <c r="AFQ7" s="48"/>
      <c r="AFR7" s="48"/>
      <c r="AFS7" s="48"/>
      <c r="AFT7" s="48"/>
      <c r="AFU7" s="48"/>
      <c r="AFV7" s="48"/>
      <c r="AFW7" s="48"/>
      <c r="AFX7" s="48"/>
      <c r="AFY7" s="48"/>
      <c r="AFZ7" s="48"/>
      <c r="AGA7" s="48"/>
      <c r="AGB7" s="48"/>
      <c r="AGC7" s="48"/>
      <c r="AGD7" s="48"/>
      <c r="AGE7" s="48"/>
      <c r="AGF7" s="48"/>
      <c r="AGG7" s="48"/>
      <c r="AGH7" s="48"/>
      <c r="AGI7" s="48"/>
      <c r="AGJ7" s="48"/>
      <c r="AGK7" s="48"/>
      <c r="AGL7" s="48"/>
      <c r="AGM7" s="48"/>
      <c r="AGN7" s="48"/>
      <c r="AGO7" s="48"/>
      <c r="AGP7" s="48"/>
      <c r="AGQ7" s="48"/>
      <c r="AGR7" s="48"/>
      <c r="AGS7" s="48"/>
      <c r="AGT7" s="48"/>
      <c r="AGU7" s="48"/>
      <c r="AGV7" s="48"/>
      <c r="AGW7" s="48"/>
      <c r="AGX7" s="48"/>
      <c r="AGY7" s="48"/>
      <c r="AGZ7" s="48"/>
      <c r="AHA7" s="48"/>
      <c r="AHB7" s="48"/>
      <c r="AHC7" s="48"/>
      <c r="AHD7" s="48"/>
      <c r="AHE7" s="48"/>
      <c r="AHF7" s="48"/>
      <c r="AHG7" s="48"/>
      <c r="AHH7" s="48"/>
      <c r="AHI7" s="48"/>
      <c r="AHJ7" s="48"/>
      <c r="AHK7" s="48"/>
      <c r="AHL7" s="48"/>
      <c r="AHM7" s="48"/>
      <c r="AHN7" s="48"/>
      <c r="AHO7" s="48"/>
      <c r="AHP7" s="48"/>
      <c r="AHQ7" s="48"/>
      <c r="AHR7" s="48"/>
      <c r="AHS7" s="48"/>
      <c r="AHT7" s="48"/>
      <c r="AHU7" s="48"/>
      <c r="AHV7" s="48"/>
      <c r="AHW7" s="48"/>
      <c r="AHX7" s="48"/>
      <c r="AHY7" s="48"/>
      <c r="AHZ7" s="48"/>
      <c r="AIA7" s="48"/>
      <c r="AIB7" s="48"/>
      <c r="AIC7" s="48"/>
      <c r="AID7" s="48"/>
      <c r="AIE7" s="48"/>
      <c r="AIF7" s="48"/>
      <c r="AIG7" s="48"/>
      <c r="AIH7" s="48"/>
      <c r="AII7" s="48"/>
      <c r="AIJ7" s="48"/>
      <c r="AIK7" s="48"/>
      <c r="AIL7" s="48"/>
      <c r="AIM7" s="48"/>
      <c r="AIN7" s="48"/>
      <c r="AIO7" s="48"/>
      <c r="AIP7" s="48"/>
      <c r="AIQ7" s="48"/>
      <c r="AIR7" s="48"/>
      <c r="AIS7" s="48"/>
      <c r="AIT7" s="48"/>
      <c r="AIU7" s="48"/>
      <c r="AIV7" s="48"/>
      <c r="AIW7" s="48"/>
      <c r="AIX7" s="48"/>
      <c r="AIY7" s="48"/>
      <c r="AIZ7" s="48"/>
      <c r="AJA7" s="48"/>
      <c r="AJB7" s="48"/>
      <c r="AJC7" s="48"/>
      <c r="AJD7" s="48"/>
      <c r="AJE7" s="48"/>
      <c r="AJF7" s="48"/>
      <c r="AJG7" s="48"/>
      <c r="AJH7" s="48"/>
      <c r="AJI7" s="48"/>
      <c r="AJJ7" s="48"/>
      <c r="AJK7" s="48"/>
      <c r="AJL7" s="48"/>
      <c r="AJM7" s="48"/>
      <c r="AJN7" s="48"/>
      <c r="AJO7" s="48"/>
      <c r="AJP7" s="48"/>
      <c r="AJQ7" s="48"/>
      <c r="AJR7" s="48"/>
      <c r="AJS7" s="48"/>
      <c r="AJT7" s="48"/>
      <c r="AJU7" s="48"/>
      <c r="AJV7" s="48"/>
      <c r="AJW7" s="48"/>
      <c r="AJX7" s="48"/>
      <c r="AJY7" s="48"/>
      <c r="AJZ7" s="48"/>
      <c r="AKA7" s="48"/>
      <c r="AKB7" s="48"/>
      <c r="AKC7" s="48"/>
      <c r="AKD7" s="48"/>
      <c r="AKE7" s="48"/>
      <c r="AKF7" s="48"/>
      <c r="AKG7" s="48"/>
      <c r="AKH7" s="48"/>
      <c r="AKI7" s="48"/>
      <c r="AKJ7" s="48"/>
      <c r="AKK7" s="48"/>
      <c r="AKL7" s="48"/>
      <c r="AKM7" s="48"/>
      <c r="AKN7" s="48"/>
      <c r="AKO7" s="48"/>
      <c r="AKP7" s="48"/>
      <c r="AKQ7" s="48"/>
      <c r="AKR7" s="48"/>
      <c r="AKS7" s="48"/>
      <c r="AKT7" s="48"/>
      <c r="AKU7" s="48"/>
      <c r="AKV7" s="48"/>
      <c r="AKW7" s="48"/>
      <c r="AKX7" s="48"/>
      <c r="AKY7" s="48"/>
      <c r="AKZ7" s="48"/>
      <c r="ALA7" s="48"/>
      <c r="ALB7" s="48"/>
      <c r="ALC7" s="48"/>
      <c r="ALD7" s="48"/>
      <c r="ALE7" s="48"/>
      <c r="ALF7" s="48"/>
      <c r="ALG7" s="48"/>
      <c r="ALH7" s="48"/>
      <c r="ALI7" s="48"/>
      <c r="ALJ7" s="48"/>
      <c r="ALK7" s="48"/>
      <c r="ALL7" s="48"/>
      <c r="ALM7" s="48"/>
      <c r="ALN7" s="48"/>
      <c r="ALO7" s="48"/>
      <c r="ALP7" s="48"/>
      <c r="ALQ7" s="48"/>
      <c r="ALR7" s="48"/>
      <c r="ALS7" s="48"/>
      <c r="ALT7" s="48"/>
      <c r="ALU7" s="48"/>
      <c r="ALV7" s="48"/>
      <c r="ALW7" s="48"/>
      <c r="ALX7" s="48"/>
      <c r="ALY7" s="48"/>
      <c r="ALZ7" s="48"/>
      <c r="AMA7" s="48"/>
      <c r="AMB7" s="48"/>
      <c r="AMC7" s="48"/>
      <c r="AMD7" s="48"/>
      <c r="AME7" s="48"/>
      <c r="AMF7" s="48"/>
      <c r="AMG7" s="48"/>
      <c r="AMH7" s="48"/>
      <c r="AMI7" s="48"/>
      <c r="AMJ7" s="48"/>
      <c r="AMK7" s="48"/>
      <c r="AML7" s="48"/>
    </row>
    <row r="8" ht="15.75" customHeight="1">
      <c r="A8" s="8" t="s">
        <v>112</v>
      </c>
      <c r="B8" s="8" t="s">
        <v>64</v>
      </c>
      <c r="C8" s="8" t="s">
        <v>137</v>
      </c>
      <c r="D8" s="8">
        <v>0.0</v>
      </c>
      <c r="E8" s="8">
        <v>100.0</v>
      </c>
      <c r="F8" s="8"/>
      <c r="G8" s="8" t="s">
        <v>118</v>
      </c>
      <c r="H8" s="8">
        <v>4.0</v>
      </c>
      <c r="I8" s="8">
        <v>5.0</v>
      </c>
      <c r="J8" s="8">
        <v>1.0</v>
      </c>
      <c r="K8" s="8">
        <v>10.0</v>
      </c>
      <c r="L8" s="8">
        <v>10.0</v>
      </c>
      <c r="M8" s="8" t="s">
        <v>123</v>
      </c>
      <c r="N8" s="8" t="s">
        <v>138</v>
      </c>
      <c r="O8" s="8" t="s">
        <v>120</v>
      </c>
      <c r="Q8">
        <v>3.0</v>
      </c>
      <c r="R8">
        <v>0.0</v>
      </c>
      <c r="S8" t="s">
        <v>139</v>
      </c>
      <c r="T8">
        <v>0.0</v>
      </c>
      <c r="U8">
        <v>0.0</v>
      </c>
      <c r="W8">
        <v>1.0</v>
      </c>
      <c r="X8">
        <v>0.0</v>
      </c>
      <c r="Y8" t="s">
        <v>112</v>
      </c>
      <c r="Z8" t="s">
        <v>65</v>
      </c>
      <c r="AB8">
        <v>1.0</v>
      </c>
      <c r="AD8" t="s">
        <v>121</v>
      </c>
      <c r="AE8">
        <v>100.0</v>
      </c>
      <c r="AF8" t="s">
        <v>112</v>
      </c>
      <c r="AH8" t="s">
        <v>132</v>
      </c>
      <c r="AI8">
        <v>1.0</v>
      </c>
      <c r="AJ8" t="s">
        <v>122</v>
      </c>
      <c r="AN8" t="b">
        <v>0</v>
      </c>
      <c r="AP8" t="b">
        <v>1</v>
      </c>
      <c r="AQ8" t="b">
        <v>0</v>
      </c>
      <c r="AR8" t="b">
        <v>1</v>
      </c>
      <c r="AS8">
        <v>0.0</v>
      </c>
      <c r="AT8">
        <v>1014.0006</v>
      </c>
      <c r="AU8">
        <v>1014.0006</v>
      </c>
      <c r="AW8">
        <v>0.0</v>
      </c>
      <c r="AX8">
        <v>0.0</v>
      </c>
      <c r="AY8" t="s">
        <v>117</v>
      </c>
      <c r="AZ8">
        <v>0.0</v>
      </c>
      <c r="BC8">
        <v>0.0</v>
      </c>
      <c r="BD8" t="s">
        <v>140</v>
      </c>
      <c r="BE8">
        <v>1000.0</v>
      </c>
      <c r="BF8">
        <v>1000.0</v>
      </c>
      <c r="BJ8">
        <v>100.0</v>
      </c>
      <c r="BK8">
        <v>0.0</v>
      </c>
      <c r="BL8" t="s">
        <v>112</v>
      </c>
      <c r="BM8" t="s">
        <v>65</v>
      </c>
      <c r="BO8" t="s">
        <v>116</v>
      </c>
      <c r="BP8">
        <v>0.0</v>
      </c>
      <c r="BQ8">
        <v>0.0</v>
      </c>
      <c r="BR8">
        <v>6.0E-4</v>
      </c>
      <c r="BS8" t="s">
        <v>141</v>
      </c>
      <c r="BT8" t="s">
        <v>53</v>
      </c>
      <c r="BU8">
        <v>3.0</v>
      </c>
      <c r="BV8">
        <v>0.0</v>
      </c>
      <c r="BW8">
        <v>14.0006</v>
      </c>
      <c r="BX8">
        <v>0.0</v>
      </c>
      <c r="CF8" t="s">
        <v>133</v>
      </c>
      <c r="CG8">
        <v>2.0</v>
      </c>
      <c r="CH8" t="s">
        <v>12</v>
      </c>
      <c r="CI8" t="s">
        <v>116</v>
      </c>
      <c r="CJ8">
        <v>0.0</v>
      </c>
      <c r="CK8" t="s">
        <v>142</v>
      </c>
      <c r="CL8">
        <v>1.0</v>
      </c>
      <c r="CM8" t="s">
        <v>53</v>
      </c>
      <c r="CN8" t="s">
        <v>119</v>
      </c>
      <c r="CO8" t="s">
        <v>121</v>
      </c>
      <c r="CP8" t="s">
        <v>143</v>
      </c>
      <c r="CS8" t="s">
        <v>112</v>
      </c>
      <c r="CW8">
        <v>0.0</v>
      </c>
      <c r="CX8" t="s">
        <v>134</v>
      </c>
      <c r="CY8" t="s">
        <v>112</v>
      </c>
      <c r="CZ8" t="s">
        <v>112</v>
      </c>
      <c r="DA8" t="s">
        <v>112</v>
      </c>
      <c r="DB8" t="s">
        <v>112</v>
      </c>
      <c r="DC8" t="s">
        <v>112</v>
      </c>
      <c r="DD8" t="s">
        <v>112</v>
      </c>
      <c r="DE8" t="s">
        <v>112</v>
      </c>
      <c r="DF8" t="s">
        <v>112</v>
      </c>
      <c r="DG8" t="s">
        <v>112</v>
      </c>
      <c r="DH8" t="s">
        <v>112</v>
      </c>
      <c r="DI8" t="s">
        <v>112</v>
      </c>
      <c r="DJ8" t="s">
        <v>112</v>
      </c>
      <c r="DK8" t="s">
        <v>112</v>
      </c>
      <c r="DL8" t="s">
        <v>112</v>
      </c>
      <c r="DM8" t="s">
        <v>112</v>
      </c>
      <c r="DN8" t="s">
        <v>112</v>
      </c>
      <c r="DO8" t="s">
        <v>112</v>
      </c>
      <c r="DP8" t="s">
        <v>112</v>
      </c>
      <c r="DQ8" t="s">
        <v>112</v>
      </c>
      <c r="DR8" t="s">
        <v>112</v>
      </c>
      <c r="DS8" t="s">
        <v>112</v>
      </c>
      <c r="DT8" t="s">
        <v>112</v>
      </c>
      <c r="DU8" t="s">
        <v>112</v>
      </c>
      <c r="DV8" t="s">
        <v>112</v>
      </c>
      <c r="DW8" t="s">
        <v>112</v>
      </c>
      <c r="DX8" t="s">
        <v>112</v>
      </c>
      <c r="DY8" t="s">
        <v>112</v>
      </c>
      <c r="DZ8" t="s">
        <v>112</v>
      </c>
      <c r="EA8" t="s">
        <v>112</v>
      </c>
      <c r="EB8" t="s">
        <v>112</v>
      </c>
      <c r="EC8" t="s">
        <v>112</v>
      </c>
      <c r="ED8" t="s">
        <v>112</v>
      </c>
      <c r="EE8" t="s">
        <v>112</v>
      </c>
      <c r="EF8" t="s">
        <v>112</v>
      </c>
      <c r="EG8" t="s">
        <v>112</v>
      </c>
      <c r="EH8" t="s">
        <v>112</v>
      </c>
      <c r="EI8" t="s">
        <v>112</v>
      </c>
      <c r="EJ8" t="s">
        <v>112</v>
      </c>
      <c r="EK8" t="s">
        <v>112</v>
      </c>
      <c r="EL8" t="s">
        <v>112</v>
      </c>
      <c r="EM8" t="s">
        <v>112</v>
      </c>
      <c r="EN8" t="s">
        <v>112</v>
      </c>
      <c r="EO8" t="s">
        <v>112</v>
      </c>
      <c r="EP8" t="s">
        <v>112</v>
      </c>
      <c r="EQ8" t="s">
        <v>112</v>
      </c>
      <c r="ER8" t="s">
        <v>112</v>
      </c>
      <c r="ES8" t="s">
        <v>112</v>
      </c>
      <c r="ET8" t="s">
        <v>112</v>
      </c>
      <c r="EU8" t="s">
        <v>112</v>
      </c>
      <c r="EV8" t="s">
        <v>112</v>
      </c>
      <c r="EW8" t="s">
        <v>112</v>
      </c>
      <c r="EX8" t="s">
        <v>112</v>
      </c>
      <c r="EY8" t="s">
        <v>112</v>
      </c>
      <c r="EZ8" t="s">
        <v>112</v>
      </c>
      <c r="FA8" t="s">
        <v>112</v>
      </c>
      <c r="FB8" t="s">
        <v>112</v>
      </c>
      <c r="FC8" t="s">
        <v>112</v>
      </c>
      <c r="FD8" t="s">
        <v>112</v>
      </c>
      <c r="FE8" t="s">
        <v>112</v>
      </c>
      <c r="FF8" t="s">
        <v>112</v>
      </c>
      <c r="FG8" t="s">
        <v>112</v>
      </c>
      <c r="FH8" t="s">
        <v>112</v>
      </c>
      <c r="FI8" t="s">
        <v>112</v>
      </c>
      <c r="FJ8" t="s">
        <v>112</v>
      </c>
      <c r="FK8" t="s">
        <v>112</v>
      </c>
      <c r="FL8" t="s">
        <v>112</v>
      </c>
      <c r="FM8" t="s">
        <v>112</v>
      </c>
      <c r="FN8" t="s">
        <v>112</v>
      </c>
      <c r="FO8" t="s">
        <v>112</v>
      </c>
      <c r="FP8" t="s">
        <v>112</v>
      </c>
      <c r="FQ8" t="s">
        <v>112</v>
      </c>
      <c r="FR8" s="48"/>
      <c r="FS8" s="48"/>
      <c r="FT8" s="48"/>
      <c r="FU8" s="48"/>
      <c r="FV8" s="48"/>
      <c r="FW8" s="48"/>
      <c r="FX8" s="48"/>
      <c r="FY8" s="48"/>
      <c r="FZ8" s="48"/>
      <c r="GA8" s="48"/>
      <c r="GB8" s="48"/>
      <c r="GC8" s="48"/>
      <c r="GD8" s="48"/>
      <c r="GE8" s="48"/>
      <c r="GF8" s="48"/>
      <c r="GG8" s="48"/>
      <c r="GH8" s="48"/>
      <c r="GI8" s="48"/>
      <c r="GJ8" s="48"/>
      <c r="GK8" s="48"/>
      <c r="GL8" s="48"/>
      <c r="GM8" s="48"/>
      <c r="GN8" s="48"/>
      <c r="GO8" s="48"/>
      <c r="GP8" s="48"/>
      <c r="GQ8" s="48"/>
      <c r="GR8" s="48"/>
      <c r="GS8" s="48"/>
      <c r="GT8" s="48"/>
      <c r="GU8" s="48"/>
      <c r="GV8" s="48"/>
      <c r="GW8" s="48"/>
      <c r="GX8" s="48"/>
      <c r="GY8" s="48"/>
      <c r="GZ8" s="48"/>
      <c r="HA8" s="48"/>
      <c r="HB8" s="48"/>
      <c r="HC8" s="48"/>
      <c r="HD8" s="48"/>
      <c r="HE8" s="48"/>
      <c r="HF8" s="48"/>
      <c r="HG8" s="48"/>
      <c r="HH8" s="48"/>
      <c r="HI8" s="48"/>
      <c r="HJ8" s="48"/>
      <c r="HK8" s="48"/>
      <c r="HL8" s="48"/>
      <c r="HM8" s="48"/>
      <c r="HN8" s="48"/>
      <c r="HO8" s="48"/>
      <c r="HP8" s="48"/>
      <c r="HQ8" s="48"/>
      <c r="HR8" s="48"/>
      <c r="HS8" s="48"/>
      <c r="HT8" s="48"/>
      <c r="HU8" s="48"/>
      <c r="HV8" s="48"/>
      <c r="HW8" s="48"/>
      <c r="HX8" s="48"/>
      <c r="HY8" s="48"/>
      <c r="HZ8" s="48"/>
      <c r="IA8" s="48"/>
      <c r="IB8" s="48"/>
      <c r="IC8" s="48"/>
      <c r="ID8" s="48"/>
      <c r="IE8" s="48"/>
      <c r="IF8" s="48"/>
      <c r="IG8" s="48"/>
      <c r="IH8" s="48"/>
      <c r="II8" s="48"/>
      <c r="IJ8" s="48"/>
      <c r="IK8" s="48"/>
      <c r="IL8" s="48"/>
      <c r="IM8" s="48"/>
      <c r="IN8" s="48"/>
      <c r="IO8" s="48"/>
      <c r="IP8" s="48"/>
      <c r="IQ8" s="48"/>
      <c r="IR8" s="48"/>
      <c r="IS8" s="48"/>
      <c r="IT8" s="48"/>
      <c r="IU8" s="48"/>
      <c r="IV8" s="48"/>
      <c r="IW8" s="48"/>
      <c r="IX8" s="48"/>
      <c r="IY8" s="48"/>
      <c r="IZ8" s="48"/>
      <c r="JA8" s="48"/>
      <c r="JB8" s="48"/>
      <c r="JC8" s="48"/>
      <c r="JD8" s="48"/>
      <c r="JE8" s="48"/>
      <c r="JF8" s="48"/>
      <c r="JG8" s="48"/>
      <c r="JH8" s="48"/>
      <c r="JI8" s="48"/>
      <c r="JJ8" s="48"/>
      <c r="JK8" s="48"/>
      <c r="JL8" s="48"/>
      <c r="JM8" s="48"/>
      <c r="JN8" s="48"/>
      <c r="JO8" s="48"/>
      <c r="JP8" s="48"/>
      <c r="JQ8" s="48"/>
      <c r="JR8" s="48"/>
      <c r="JS8" s="48"/>
      <c r="JT8" s="48"/>
      <c r="JU8" s="48"/>
      <c r="JV8" s="48"/>
      <c r="JW8" s="48"/>
      <c r="JX8" s="48"/>
      <c r="JY8" s="48"/>
      <c r="JZ8" s="48"/>
      <c r="KA8" s="48"/>
      <c r="KB8" s="48"/>
      <c r="KC8" s="48"/>
      <c r="KD8" s="48"/>
      <c r="KE8" s="48"/>
      <c r="KF8" s="48"/>
      <c r="KG8" s="48"/>
      <c r="KH8" s="48"/>
      <c r="KI8" s="48"/>
      <c r="KJ8" s="48"/>
      <c r="KK8" s="48"/>
      <c r="KL8" s="48"/>
      <c r="KM8" s="48"/>
      <c r="KN8" s="48"/>
      <c r="KO8" s="48"/>
      <c r="KP8" s="48"/>
      <c r="KQ8" s="48"/>
      <c r="KR8" s="48"/>
      <c r="KS8" s="48"/>
      <c r="KT8" s="48"/>
      <c r="KU8" s="48"/>
      <c r="KV8" s="48"/>
      <c r="KW8" s="48"/>
      <c r="KX8" s="48"/>
      <c r="KY8" s="48"/>
      <c r="KZ8" s="48"/>
      <c r="LA8" s="48"/>
      <c r="LB8" s="48"/>
      <c r="LC8" s="48"/>
      <c r="LD8" s="48"/>
      <c r="LE8" s="48"/>
      <c r="LF8" s="48"/>
      <c r="LG8" s="48"/>
      <c r="LH8" s="48"/>
      <c r="LI8" s="48"/>
      <c r="LJ8" s="48"/>
      <c r="LK8" s="48"/>
      <c r="LL8" s="48"/>
      <c r="LM8" s="48"/>
      <c r="LN8" s="48"/>
      <c r="LO8" s="48"/>
      <c r="LP8" s="48"/>
      <c r="LQ8" s="48"/>
      <c r="LR8" s="48"/>
      <c r="LS8" s="48"/>
      <c r="LT8" s="48"/>
      <c r="LU8" s="48"/>
      <c r="LV8" s="48"/>
      <c r="LW8" s="48"/>
      <c r="LX8" s="48"/>
      <c r="LY8" s="48"/>
      <c r="LZ8" s="48"/>
      <c r="MA8" s="48"/>
      <c r="MB8" s="48"/>
      <c r="MC8" s="48"/>
      <c r="MD8" s="48"/>
      <c r="ME8" s="48"/>
      <c r="MF8" s="48"/>
      <c r="MG8" s="48"/>
      <c r="MH8" s="48"/>
      <c r="MI8" s="48"/>
      <c r="MJ8" s="48"/>
      <c r="MK8" s="48"/>
      <c r="ML8" s="48"/>
      <c r="MM8" s="48"/>
      <c r="MN8" s="48"/>
      <c r="MO8" s="48"/>
      <c r="MP8" s="48"/>
      <c r="MQ8" s="48"/>
      <c r="MR8" s="48"/>
      <c r="MS8" s="48"/>
      <c r="MT8" s="48"/>
      <c r="MU8" s="48"/>
      <c r="MV8" s="48"/>
      <c r="MW8" s="48"/>
      <c r="MX8" s="48"/>
      <c r="MY8" s="48"/>
      <c r="MZ8" s="48"/>
      <c r="NA8" s="48"/>
      <c r="NB8" s="48"/>
      <c r="NC8" s="48"/>
      <c r="ND8" s="48"/>
      <c r="NE8" s="48"/>
      <c r="NF8" s="48"/>
      <c r="NG8" s="48"/>
      <c r="NH8" s="48"/>
      <c r="NI8" s="48"/>
      <c r="NJ8" s="48"/>
      <c r="NK8" s="48"/>
      <c r="NL8" s="48"/>
      <c r="NM8" s="48"/>
      <c r="NN8" s="48"/>
      <c r="NO8" s="48"/>
      <c r="NP8" s="48"/>
      <c r="NQ8" s="48"/>
      <c r="NR8" s="48"/>
      <c r="NS8" s="48"/>
      <c r="NT8" s="48"/>
      <c r="NU8" s="48"/>
      <c r="NV8" s="48"/>
      <c r="NW8" s="48"/>
      <c r="NX8" s="48"/>
      <c r="NY8" s="48"/>
      <c r="NZ8" s="48"/>
      <c r="OA8" s="48"/>
      <c r="OB8" s="48"/>
      <c r="OC8" s="48"/>
      <c r="OD8" s="48"/>
      <c r="OE8" s="48"/>
      <c r="OF8" s="48"/>
      <c r="OG8" s="48"/>
      <c r="OH8" s="48"/>
      <c r="OI8" s="48"/>
      <c r="OJ8" s="48"/>
      <c r="OK8" s="48"/>
      <c r="OL8" s="48"/>
      <c r="OM8" s="48"/>
      <c r="ON8" s="48"/>
      <c r="OO8" s="48"/>
      <c r="OP8" s="48"/>
      <c r="OQ8" s="48"/>
      <c r="OR8" s="48"/>
      <c r="OS8" s="48"/>
      <c r="OT8" s="48"/>
      <c r="OU8" s="48"/>
      <c r="OV8" s="48"/>
      <c r="OW8" s="48"/>
      <c r="OX8" s="48"/>
      <c r="OY8" s="48"/>
      <c r="OZ8" s="48"/>
      <c r="PA8" s="48"/>
      <c r="PB8" s="48"/>
      <c r="PC8" s="48"/>
      <c r="PD8" s="48"/>
      <c r="PE8" s="48"/>
      <c r="PF8" s="48"/>
      <c r="PG8" s="48"/>
      <c r="PH8" s="48"/>
      <c r="PI8" s="48"/>
      <c r="PJ8" s="48"/>
      <c r="PK8" s="48"/>
      <c r="PL8" s="48"/>
      <c r="PM8" s="48"/>
      <c r="PN8" s="48"/>
      <c r="PO8" s="48"/>
      <c r="PP8" s="48"/>
      <c r="PQ8" s="48"/>
      <c r="PR8" s="48"/>
      <c r="PS8" s="48"/>
      <c r="PT8" s="48"/>
      <c r="PU8" s="48"/>
      <c r="PV8" s="48"/>
      <c r="PW8" s="48"/>
      <c r="PX8" s="48"/>
      <c r="PY8" s="48"/>
      <c r="PZ8" s="48"/>
      <c r="QA8" s="48"/>
      <c r="QB8" s="48"/>
      <c r="QC8" s="48"/>
      <c r="QD8" s="48"/>
      <c r="QE8" s="48"/>
      <c r="QF8" s="48"/>
      <c r="QG8" s="48"/>
      <c r="QH8" s="48"/>
      <c r="QI8" s="48"/>
      <c r="QJ8" s="48"/>
      <c r="QK8" s="48"/>
      <c r="QL8" s="48"/>
      <c r="QM8" s="48"/>
      <c r="QN8" s="48"/>
      <c r="QO8" s="48"/>
      <c r="QP8" s="48"/>
      <c r="QQ8" s="48"/>
      <c r="QR8" s="48"/>
      <c r="QS8" s="48"/>
      <c r="QT8" s="48"/>
      <c r="QU8" s="48"/>
      <c r="QV8" s="48"/>
      <c r="QW8" s="48"/>
      <c r="QX8" s="48"/>
      <c r="QY8" s="48"/>
      <c r="QZ8" s="48"/>
      <c r="RA8" s="48"/>
      <c r="RB8" s="48"/>
      <c r="RC8" s="48"/>
      <c r="RD8" s="48"/>
      <c r="RE8" s="48"/>
      <c r="RF8" s="48"/>
      <c r="RG8" s="48"/>
      <c r="RH8" s="48"/>
      <c r="RI8" s="48"/>
      <c r="RJ8" s="48"/>
      <c r="RK8" s="48"/>
      <c r="RL8" s="48"/>
      <c r="RM8" s="48"/>
      <c r="RN8" s="48"/>
      <c r="RO8" s="48"/>
      <c r="RP8" s="48"/>
      <c r="RQ8" s="48"/>
      <c r="RR8" s="48"/>
      <c r="RS8" s="48"/>
      <c r="RT8" s="48"/>
      <c r="RU8" s="48"/>
      <c r="RV8" s="48"/>
      <c r="RW8" s="48"/>
      <c r="RX8" s="48"/>
      <c r="RY8" s="48"/>
      <c r="RZ8" s="48"/>
      <c r="SA8" s="48"/>
      <c r="SB8" s="48"/>
      <c r="SC8" s="48"/>
      <c r="SD8" s="48"/>
      <c r="SE8" s="48"/>
      <c r="SF8" s="48"/>
      <c r="SG8" s="48"/>
      <c r="SH8" s="48"/>
      <c r="SI8" s="48"/>
      <c r="SJ8" s="48"/>
      <c r="SK8" s="48"/>
      <c r="SL8" s="48"/>
      <c r="SM8" s="48"/>
      <c r="SN8" s="48"/>
      <c r="SO8" s="48"/>
      <c r="SP8" s="48"/>
      <c r="SQ8" s="48"/>
      <c r="SR8" s="48"/>
      <c r="SS8" s="48"/>
      <c r="ST8" s="48"/>
      <c r="SU8" s="48"/>
      <c r="SV8" s="48"/>
      <c r="SW8" s="48"/>
      <c r="SX8" s="48"/>
      <c r="SY8" s="48"/>
      <c r="SZ8" s="48"/>
      <c r="TA8" s="48"/>
      <c r="TB8" s="48"/>
      <c r="TC8" s="48"/>
      <c r="TD8" s="48"/>
      <c r="TE8" s="48"/>
      <c r="TF8" s="48"/>
      <c r="TG8" s="48"/>
      <c r="TH8" s="48"/>
      <c r="TI8" s="48"/>
      <c r="TJ8" s="48"/>
      <c r="TK8" s="48"/>
      <c r="TL8" s="48"/>
      <c r="TM8" s="48"/>
      <c r="TN8" s="48"/>
      <c r="TO8" s="48"/>
      <c r="TP8" s="48"/>
      <c r="TQ8" s="48"/>
      <c r="TR8" s="48"/>
      <c r="TS8" s="48"/>
      <c r="TT8" s="48"/>
      <c r="TU8" s="48"/>
      <c r="TV8" s="48"/>
      <c r="TW8" s="48"/>
      <c r="TX8" s="48"/>
      <c r="TY8" s="48"/>
      <c r="TZ8" s="48"/>
      <c r="UA8" s="48"/>
      <c r="UB8" s="48"/>
      <c r="UC8" s="48"/>
      <c r="UD8" s="48"/>
      <c r="UE8" s="48"/>
      <c r="UF8" s="48"/>
      <c r="UG8" s="48"/>
      <c r="UH8" s="48"/>
      <c r="UI8" s="48"/>
      <c r="UJ8" s="48"/>
      <c r="UK8" s="48"/>
      <c r="UL8" s="48"/>
      <c r="UM8" s="48"/>
      <c r="UN8" s="48"/>
      <c r="UO8" s="48"/>
      <c r="UP8" s="48"/>
      <c r="UQ8" s="48"/>
      <c r="UR8" s="48"/>
      <c r="US8" s="48"/>
      <c r="UT8" s="48"/>
      <c r="UU8" s="48"/>
      <c r="UV8" s="48"/>
      <c r="UW8" s="48"/>
      <c r="UX8" s="48"/>
      <c r="UY8" s="48"/>
      <c r="UZ8" s="48"/>
      <c r="VA8" s="48"/>
      <c r="VB8" s="48"/>
      <c r="VC8" s="48"/>
      <c r="VD8" s="48"/>
      <c r="VE8" s="48"/>
      <c r="VF8" s="48"/>
      <c r="VG8" s="48"/>
      <c r="VH8" s="48"/>
      <c r="VI8" s="48"/>
      <c r="VJ8" s="48"/>
      <c r="VK8" s="48"/>
      <c r="VL8" s="48"/>
      <c r="VM8" s="48"/>
      <c r="VN8" s="48"/>
      <c r="VO8" s="48"/>
      <c r="VP8" s="48"/>
      <c r="VQ8" s="48"/>
      <c r="VR8" s="48"/>
      <c r="VS8" s="48"/>
      <c r="VT8" s="48"/>
      <c r="VU8" s="48"/>
      <c r="VV8" s="48"/>
      <c r="VW8" s="48"/>
      <c r="VX8" s="48"/>
      <c r="VY8" s="48"/>
      <c r="VZ8" s="48"/>
      <c r="WA8" s="48"/>
      <c r="WB8" s="48"/>
      <c r="WC8" s="48"/>
      <c r="WD8" s="48"/>
      <c r="WE8" s="48"/>
      <c r="WF8" s="48"/>
      <c r="WG8" s="48"/>
      <c r="WH8" s="48"/>
      <c r="WI8" s="48"/>
      <c r="WJ8" s="48"/>
      <c r="WK8" s="48"/>
      <c r="WL8" s="48"/>
      <c r="WM8" s="48"/>
      <c r="WN8" s="48"/>
      <c r="WO8" s="48"/>
      <c r="WP8" s="48"/>
      <c r="WQ8" s="48"/>
      <c r="WR8" s="48"/>
      <c r="WS8" s="48"/>
      <c r="WT8" s="48"/>
      <c r="WU8" s="48"/>
      <c r="WV8" s="48"/>
      <c r="WW8" s="48"/>
      <c r="WX8" s="48"/>
      <c r="WY8" s="48"/>
      <c r="WZ8" s="48"/>
      <c r="XA8" s="48"/>
      <c r="XB8" s="48"/>
      <c r="XC8" s="48"/>
      <c r="XD8" s="48"/>
      <c r="XE8" s="48"/>
      <c r="XF8" s="48"/>
      <c r="XG8" s="48"/>
      <c r="XH8" s="48"/>
      <c r="XI8" s="48"/>
      <c r="XJ8" s="48"/>
      <c r="XK8" s="48"/>
      <c r="XL8" s="48"/>
      <c r="XM8" s="48"/>
      <c r="XN8" s="48"/>
      <c r="XO8" s="48"/>
      <c r="XP8" s="48"/>
      <c r="XQ8" s="48"/>
      <c r="XR8" s="48"/>
      <c r="XS8" s="48"/>
      <c r="XT8" s="48"/>
      <c r="XU8" s="48"/>
      <c r="XV8" s="48"/>
      <c r="XW8" s="48"/>
      <c r="XX8" s="48"/>
      <c r="XY8" s="48"/>
      <c r="XZ8" s="48"/>
      <c r="YA8" s="48"/>
      <c r="YB8" s="48"/>
      <c r="YC8" s="48"/>
      <c r="YD8" s="48"/>
      <c r="YE8" s="48"/>
      <c r="YF8" s="48"/>
      <c r="YG8" s="48"/>
      <c r="YH8" s="48"/>
      <c r="YI8" s="48"/>
      <c r="YJ8" s="48"/>
      <c r="YK8" s="48"/>
      <c r="YL8" s="48"/>
      <c r="YM8" s="48"/>
      <c r="YN8" s="48"/>
      <c r="YO8" s="48"/>
      <c r="YP8" s="48"/>
      <c r="YQ8" s="48"/>
      <c r="YR8" s="48"/>
      <c r="YS8" s="48"/>
      <c r="YT8" s="48"/>
      <c r="YU8" s="48"/>
      <c r="YV8" s="48"/>
      <c r="YW8" s="48"/>
      <c r="YX8" s="48"/>
      <c r="YY8" s="48"/>
      <c r="YZ8" s="48"/>
      <c r="ZA8" s="48"/>
      <c r="ZB8" s="48"/>
      <c r="ZC8" s="48"/>
      <c r="ZD8" s="48"/>
      <c r="ZE8" s="48"/>
      <c r="ZF8" s="48"/>
      <c r="ZG8" s="48"/>
      <c r="ZH8" s="48"/>
      <c r="ZI8" s="48"/>
      <c r="ZJ8" s="48"/>
      <c r="ZK8" s="48"/>
      <c r="ZL8" s="48"/>
      <c r="ZM8" s="48"/>
      <c r="ZN8" s="48"/>
      <c r="ZO8" s="48"/>
      <c r="ZP8" s="48"/>
      <c r="ZQ8" s="48"/>
      <c r="ZR8" s="48"/>
      <c r="ZS8" s="48"/>
      <c r="ZT8" s="48"/>
      <c r="ZU8" s="48"/>
      <c r="ZV8" s="48"/>
      <c r="ZW8" s="48"/>
      <c r="ZX8" s="48"/>
      <c r="ZY8" s="48"/>
      <c r="ZZ8" s="48"/>
      <c r="AAA8" s="48"/>
      <c r="AAB8" s="48"/>
      <c r="AAC8" s="48"/>
      <c r="AAD8" s="48"/>
      <c r="AAE8" s="48"/>
      <c r="AAF8" s="48"/>
      <c r="AAG8" s="48"/>
      <c r="AAH8" s="48"/>
      <c r="AAI8" s="48"/>
      <c r="AAJ8" s="48"/>
      <c r="AAK8" s="48"/>
      <c r="AAL8" s="48"/>
      <c r="AAM8" s="48"/>
      <c r="AAN8" s="48"/>
      <c r="AAO8" s="48"/>
      <c r="AAP8" s="48"/>
      <c r="AAQ8" s="48"/>
      <c r="AAR8" s="48"/>
      <c r="AAS8" s="48"/>
      <c r="AAT8" s="48"/>
      <c r="AAU8" s="48"/>
      <c r="AAV8" s="48"/>
      <c r="AAW8" s="48"/>
      <c r="AAX8" s="48"/>
      <c r="AAY8" s="48"/>
      <c r="AAZ8" s="48"/>
      <c r="ABA8" s="48"/>
      <c r="ABB8" s="48"/>
      <c r="ABC8" s="48"/>
      <c r="ABD8" s="48"/>
      <c r="ABE8" s="48"/>
      <c r="ABF8" s="48"/>
      <c r="ABG8" s="48"/>
      <c r="ABH8" s="48"/>
      <c r="ABI8" s="48"/>
      <c r="ABJ8" s="48"/>
      <c r="ABK8" s="48"/>
      <c r="ABL8" s="48"/>
      <c r="ABM8" s="48"/>
      <c r="ABN8" s="48"/>
      <c r="ABO8" s="48"/>
      <c r="ABP8" s="48"/>
      <c r="ABQ8" s="48"/>
      <c r="ABR8" s="48"/>
      <c r="ABS8" s="48"/>
      <c r="ABT8" s="48"/>
      <c r="ABU8" s="48"/>
      <c r="ABV8" s="48"/>
      <c r="ABW8" s="48"/>
      <c r="ABX8" s="48"/>
      <c r="ABY8" s="48"/>
      <c r="ABZ8" s="48"/>
      <c r="ACA8" s="48"/>
      <c r="ACB8" s="48"/>
      <c r="ACC8" s="48"/>
      <c r="ACD8" s="48"/>
      <c r="ACE8" s="48"/>
      <c r="ACF8" s="48"/>
      <c r="ACG8" s="48"/>
      <c r="ACH8" s="48"/>
      <c r="ACI8" s="48"/>
      <c r="ACJ8" s="48"/>
      <c r="ACK8" s="48"/>
      <c r="ACL8" s="48"/>
      <c r="ACM8" s="48"/>
      <c r="ACN8" s="48"/>
      <c r="ACO8" s="48"/>
      <c r="ACP8" s="48"/>
      <c r="ACQ8" s="48"/>
      <c r="ACR8" s="48"/>
      <c r="ACS8" s="48"/>
      <c r="ACT8" s="48"/>
      <c r="ACU8" s="48"/>
      <c r="ACV8" s="48"/>
      <c r="ACW8" s="48"/>
      <c r="ACX8" s="48"/>
      <c r="ACY8" s="48"/>
      <c r="ACZ8" s="48"/>
      <c r="ADA8" s="48"/>
      <c r="ADB8" s="48"/>
      <c r="ADC8" s="48"/>
      <c r="ADD8" s="48"/>
      <c r="ADE8" s="48"/>
      <c r="ADF8" s="48"/>
      <c r="ADG8" s="48"/>
      <c r="ADH8" s="48"/>
      <c r="ADI8" s="48"/>
      <c r="ADJ8" s="48"/>
      <c r="ADK8" s="48"/>
      <c r="ADL8" s="48"/>
      <c r="ADM8" s="48"/>
      <c r="ADN8" s="48"/>
      <c r="ADO8" s="48"/>
      <c r="ADP8" s="48"/>
      <c r="ADQ8" s="48"/>
      <c r="ADR8" s="48"/>
      <c r="ADS8" s="48"/>
      <c r="ADT8" s="48"/>
      <c r="ADU8" s="48"/>
      <c r="ADV8" s="48"/>
      <c r="ADW8" s="48"/>
      <c r="ADX8" s="48"/>
      <c r="ADY8" s="48"/>
      <c r="ADZ8" s="48"/>
      <c r="AEA8" s="48"/>
      <c r="AEB8" s="48"/>
      <c r="AEC8" s="48"/>
      <c r="AED8" s="48"/>
      <c r="AEE8" s="48"/>
      <c r="AEF8" s="48"/>
      <c r="AEG8" s="48"/>
      <c r="AEH8" s="48"/>
      <c r="AEI8" s="48"/>
      <c r="AEJ8" s="48"/>
      <c r="AEK8" s="48"/>
      <c r="AEL8" s="48"/>
      <c r="AEM8" s="48"/>
      <c r="AEN8" s="48"/>
      <c r="AEO8" s="48"/>
      <c r="AEP8" s="48"/>
      <c r="AEQ8" s="48"/>
      <c r="AER8" s="48"/>
      <c r="AES8" s="48"/>
      <c r="AET8" s="48"/>
      <c r="AEU8" s="48"/>
      <c r="AEV8" s="48"/>
      <c r="AEW8" s="48"/>
      <c r="AEX8" s="48"/>
      <c r="AEY8" s="48"/>
      <c r="AEZ8" s="48"/>
      <c r="AFA8" s="48"/>
      <c r="AFB8" s="48"/>
      <c r="AFC8" s="48"/>
      <c r="AFD8" s="48"/>
      <c r="AFE8" s="48"/>
      <c r="AFF8" s="48"/>
      <c r="AFG8" s="48"/>
      <c r="AFH8" s="48"/>
      <c r="AFI8" s="48"/>
      <c r="AFJ8" s="48"/>
      <c r="AFK8" s="48"/>
      <c r="AFL8" s="48"/>
      <c r="AFM8" s="48"/>
      <c r="AFN8" s="48"/>
      <c r="AFO8" s="48"/>
      <c r="AFP8" s="48"/>
      <c r="AFQ8" s="48"/>
      <c r="AFR8" s="48"/>
      <c r="AFS8" s="48"/>
      <c r="AFT8" s="48"/>
      <c r="AFU8" s="48"/>
      <c r="AFV8" s="48"/>
      <c r="AFW8" s="48"/>
      <c r="AFX8" s="48"/>
      <c r="AFY8" s="48"/>
      <c r="AFZ8" s="48"/>
      <c r="AGA8" s="48"/>
      <c r="AGB8" s="48"/>
      <c r="AGC8" s="48"/>
      <c r="AGD8" s="48"/>
      <c r="AGE8" s="48"/>
      <c r="AGF8" s="48"/>
      <c r="AGG8" s="48"/>
      <c r="AGH8" s="48"/>
      <c r="AGI8" s="48"/>
      <c r="AGJ8" s="48"/>
      <c r="AGK8" s="48"/>
      <c r="AGL8" s="48"/>
      <c r="AGM8" s="48"/>
      <c r="AGN8" s="48"/>
      <c r="AGO8" s="48"/>
      <c r="AGP8" s="48"/>
      <c r="AGQ8" s="48"/>
      <c r="AGR8" s="48"/>
      <c r="AGS8" s="48"/>
      <c r="AGT8" s="48"/>
      <c r="AGU8" s="48"/>
      <c r="AGV8" s="48"/>
      <c r="AGW8" s="48"/>
      <c r="AGX8" s="48"/>
      <c r="AGY8" s="48"/>
      <c r="AGZ8" s="48"/>
      <c r="AHA8" s="48"/>
      <c r="AHB8" s="48"/>
      <c r="AHC8" s="48"/>
      <c r="AHD8" s="48"/>
      <c r="AHE8" s="48"/>
      <c r="AHF8" s="48"/>
      <c r="AHG8" s="48"/>
      <c r="AHH8" s="48"/>
      <c r="AHI8" s="48"/>
      <c r="AHJ8" s="48"/>
      <c r="AHK8" s="48"/>
      <c r="AHL8" s="48"/>
      <c r="AHM8" s="48"/>
      <c r="AHN8" s="48"/>
      <c r="AHO8" s="48"/>
      <c r="AHP8" s="48"/>
      <c r="AHQ8" s="48"/>
      <c r="AHR8" s="48"/>
      <c r="AHS8" s="48"/>
      <c r="AHT8" s="48"/>
      <c r="AHU8" s="48"/>
      <c r="AHV8" s="48"/>
      <c r="AHW8" s="48"/>
      <c r="AHX8" s="48"/>
      <c r="AHY8" s="48"/>
      <c r="AHZ8" s="48"/>
      <c r="AIA8" s="48"/>
      <c r="AIB8" s="48"/>
      <c r="AIC8" s="48"/>
      <c r="AID8" s="48"/>
      <c r="AIE8" s="48"/>
      <c r="AIF8" s="48"/>
      <c r="AIG8" s="48"/>
      <c r="AIH8" s="48"/>
      <c r="AII8" s="48"/>
      <c r="AIJ8" s="48"/>
      <c r="AIK8" s="48"/>
      <c r="AIL8" s="48"/>
      <c r="AIM8" s="48"/>
      <c r="AIN8" s="48"/>
      <c r="AIO8" s="48"/>
      <c r="AIP8" s="48"/>
      <c r="AIQ8" s="48"/>
      <c r="AIR8" s="48"/>
      <c r="AIS8" s="48"/>
      <c r="AIT8" s="48"/>
      <c r="AIU8" s="48"/>
      <c r="AIV8" s="48"/>
      <c r="AIW8" s="48"/>
      <c r="AIX8" s="48"/>
      <c r="AIY8" s="48"/>
      <c r="AIZ8" s="48"/>
      <c r="AJA8" s="48"/>
      <c r="AJB8" s="48"/>
      <c r="AJC8" s="48"/>
      <c r="AJD8" s="48"/>
      <c r="AJE8" s="48"/>
      <c r="AJF8" s="48"/>
      <c r="AJG8" s="48"/>
      <c r="AJH8" s="48"/>
      <c r="AJI8" s="48"/>
      <c r="AJJ8" s="48"/>
      <c r="AJK8" s="48"/>
      <c r="AJL8" s="48"/>
      <c r="AJM8" s="48"/>
      <c r="AJN8" s="48"/>
      <c r="AJO8" s="48"/>
      <c r="AJP8" s="48"/>
      <c r="AJQ8" s="48"/>
      <c r="AJR8" s="48"/>
      <c r="AJS8" s="48"/>
      <c r="AJT8" s="48"/>
      <c r="AJU8" s="48"/>
      <c r="AJV8" s="48"/>
      <c r="AJW8" s="48"/>
      <c r="AJX8" s="48"/>
      <c r="AJY8" s="48"/>
      <c r="AJZ8" s="48"/>
      <c r="AKA8" s="48"/>
      <c r="AKB8" s="48"/>
      <c r="AKC8" s="48"/>
      <c r="AKD8" s="48"/>
      <c r="AKE8" s="48"/>
      <c r="AKF8" s="48"/>
      <c r="AKG8" s="48"/>
      <c r="AKH8" s="48"/>
      <c r="AKI8" s="48"/>
      <c r="AKJ8" s="48"/>
      <c r="AKK8" s="48"/>
      <c r="AKL8" s="48"/>
      <c r="AKM8" s="48"/>
      <c r="AKN8" s="48"/>
      <c r="AKO8" s="48"/>
      <c r="AKP8" s="48"/>
      <c r="AKQ8" s="48"/>
      <c r="AKR8" s="48"/>
      <c r="AKS8" s="48"/>
      <c r="AKT8" s="48"/>
      <c r="AKU8" s="48"/>
      <c r="AKV8" s="48"/>
      <c r="AKW8" s="48"/>
      <c r="AKX8" s="48"/>
      <c r="AKY8" s="48"/>
      <c r="AKZ8" s="48"/>
      <c r="ALA8" s="48"/>
      <c r="ALB8" s="48"/>
      <c r="ALC8" s="48"/>
      <c r="ALD8" s="48"/>
      <c r="ALE8" s="48"/>
      <c r="ALF8" s="48"/>
      <c r="ALG8" s="48"/>
      <c r="ALH8" s="48"/>
      <c r="ALI8" s="48"/>
      <c r="ALJ8" s="48"/>
      <c r="ALK8" s="48"/>
      <c r="ALL8" s="48"/>
      <c r="ALM8" s="48"/>
      <c r="ALN8" s="48"/>
      <c r="ALO8" s="48"/>
      <c r="ALP8" s="48"/>
      <c r="ALQ8" s="48"/>
      <c r="ALR8" s="48"/>
      <c r="ALS8" s="48"/>
      <c r="ALT8" s="48"/>
      <c r="ALU8" s="48"/>
      <c r="ALV8" s="48"/>
      <c r="ALW8" s="48"/>
      <c r="ALX8" s="48"/>
      <c r="ALY8" s="48"/>
      <c r="ALZ8" s="48"/>
      <c r="AMA8" s="48"/>
      <c r="AMB8" s="48"/>
      <c r="AMC8" s="48"/>
      <c r="AMD8" s="48"/>
      <c r="AME8" s="48"/>
      <c r="AMF8" s="48"/>
      <c r="AMG8" s="48"/>
      <c r="AMH8" s="48"/>
      <c r="AMI8" s="48"/>
      <c r="AMJ8" s="48"/>
      <c r="AMK8" s="48"/>
      <c r="AML8" s="48"/>
    </row>
    <row r="9" ht="15.75" customHeight="1">
      <c r="A9" s="8" t="s">
        <v>112</v>
      </c>
      <c r="B9" s="8" t="s">
        <v>64</v>
      </c>
      <c r="C9" s="8" t="s">
        <v>137</v>
      </c>
      <c r="D9" s="8">
        <v>0.0</v>
      </c>
      <c r="E9" s="8">
        <v>100.0</v>
      </c>
      <c r="F9" s="8"/>
      <c r="G9" s="8" t="s">
        <v>129</v>
      </c>
      <c r="H9" s="8">
        <v>9.0</v>
      </c>
      <c r="I9" s="8">
        <v>0.0</v>
      </c>
      <c r="J9" s="8">
        <v>15.0</v>
      </c>
      <c r="K9" s="8">
        <v>10.0</v>
      </c>
      <c r="L9" s="8">
        <v>10.0</v>
      </c>
      <c r="M9" s="8" t="s">
        <v>128</v>
      </c>
      <c r="N9" s="8" t="s">
        <v>138</v>
      </c>
      <c r="O9" s="8" t="s">
        <v>120</v>
      </c>
      <c r="Q9">
        <v>3.0</v>
      </c>
      <c r="R9">
        <v>0.0</v>
      </c>
      <c r="S9" t="s">
        <v>139</v>
      </c>
      <c r="T9">
        <v>0.0</v>
      </c>
      <c r="U9">
        <v>0.0</v>
      </c>
      <c r="W9">
        <v>1.0</v>
      </c>
      <c r="X9">
        <v>0.0</v>
      </c>
      <c r="Y9" t="s">
        <v>112</v>
      </c>
      <c r="Z9" t="s">
        <v>65</v>
      </c>
      <c r="AB9">
        <v>1.0</v>
      </c>
      <c r="AD9" t="s">
        <v>147</v>
      </c>
      <c r="AE9">
        <v>100.0</v>
      </c>
      <c r="AF9" t="s">
        <v>112</v>
      </c>
      <c r="AH9" t="s">
        <v>132</v>
      </c>
      <c r="AI9">
        <v>1.0</v>
      </c>
      <c r="AJ9" t="s">
        <v>122</v>
      </c>
      <c r="AN9" t="b">
        <v>0</v>
      </c>
      <c r="AP9" t="b">
        <v>1</v>
      </c>
      <c r="AQ9" t="b">
        <v>0</v>
      </c>
      <c r="AR9" t="b">
        <v>1</v>
      </c>
      <c r="AS9">
        <v>0.0</v>
      </c>
      <c r="AT9">
        <v>1010.175</v>
      </c>
      <c r="AU9">
        <v>1010.175</v>
      </c>
      <c r="AW9">
        <v>0.0</v>
      </c>
      <c r="AX9">
        <v>0.0</v>
      </c>
      <c r="AY9" t="s">
        <v>117</v>
      </c>
      <c r="AZ9">
        <v>0.0</v>
      </c>
      <c r="BC9">
        <v>0.0</v>
      </c>
      <c r="BD9" t="s">
        <v>140</v>
      </c>
      <c r="BE9">
        <v>1000.0</v>
      </c>
      <c r="BF9">
        <v>1000.0</v>
      </c>
      <c r="BJ9">
        <v>100.0</v>
      </c>
      <c r="BK9">
        <v>0.0</v>
      </c>
      <c r="BL9" t="s">
        <v>112</v>
      </c>
      <c r="BM9" t="s">
        <v>65</v>
      </c>
      <c r="BO9" t="s">
        <v>116</v>
      </c>
      <c r="BP9">
        <v>0.0</v>
      </c>
      <c r="BQ9">
        <v>0.0</v>
      </c>
      <c r="BR9">
        <v>0.175</v>
      </c>
      <c r="BS9" t="s">
        <v>141</v>
      </c>
      <c r="BT9" t="s">
        <v>68</v>
      </c>
      <c r="BU9">
        <v>1.0</v>
      </c>
      <c r="BV9">
        <v>0.0</v>
      </c>
      <c r="BW9">
        <v>10.175</v>
      </c>
      <c r="BX9">
        <v>0.0</v>
      </c>
      <c r="CF9" t="s">
        <v>133</v>
      </c>
      <c r="CG9">
        <v>0.0</v>
      </c>
      <c r="CH9" t="s">
        <v>130</v>
      </c>
      <c r="CI9" t="s">
        <v>116</v>
      </c>
      <c r="CJ9">
        <v>0.0</v>
      </c>
      <c r="CK9" t="s">
        <v>142</v>
      </c>
      <c r="CL9">
        <v>1.0</v>
      </c>
      <c r="CM9" t="s">
        <v>68</v>
      </c>
      <c r="CN9" t="s">
        <v>119</v>
      </c>
      <c r="CO9" t="s">
        <v>121</v>
      </c>
      <c r="CP9" t="s">
        <v>143</v>
      </c>
      <c r="CS9" t="s">
        <v>112</v>
      </c>
      <c r="CW9">
        <v>0.0</v>
      </c>
      <c r="CX9" t="s">
        <v>134</v>
      </c>
      <c r="CY9" t="s">
        <v>112</v>
      </c>
      <c r="CZ9" t="s">
        <v>112</v>
      </c>
      <c r="DA9" t="s">
        <v>112</v>
      </c>
      <c r="DB9" t="s">
        <v>112</v>
      </c>
      <c r="DC9" t="s">
        <v>112</v>
      </c>
      <c r="DD9" t="s">
        <v>112</v>
      </c>
      <c r="DE9" t="s">
        <v>112</v>
      </c>
      <c r="DF9" t="s">
        <v>112</v>
      </c>
      <c r="DG9" t="s">
        <v>112</v>
      </c>
      <c r="DH9" t="s">
        <v>112</v>
      </c>
      <c r="DI9" t="s">
        <v>112</v>
      </c>
      <c r="DJ9" t="s">
        <v>112</v>
      </c>
      <c r="DK9" t="s">
        <v>112</v>
      </c>
      <c r="DL9" t="s">
        <v>112</v>
      </c>
      <c r="DM9" t="s">
        <v>112</v>
      </c>
      <c r="DN9" t="s">
        <v>112</v>
      </c>
      <c r="DO9" t="s">
        <v>112</v>
      </c>
      <c r="DP9" t="s">
        <v>112</v>
      </c>
      <c r="DQ9" t="s">
        <v>112</v>
      </c>
      <c r="DR9" t="s">
        <v>112</v>
      </c>
      <c r="DS9" t="s">
        <v>112</v>
      </c>
      <c r="DT9" t="s">
        <v>112</v>
      </c>
      <c r="DU9" t="s">
        <v>112</v>
      </c>
      <c r="DV9" t="s">
        <v>112</v>
      </c>
      <c r="DW9" t="s">
        <v>112</v>
      </c>
      <c r="DX9" t="s">
        <v>112</v>
      </c>
      <c r="DY9" t="s">
        <v>112</v>
      </c>
      <c r="DZ9" t="s">
        <v>112</v>
      </c>
      <c r="EA9" t="s">
        <v>112</v>
      </c>
      <c r="EB9" t="s">
        <v>112</v>
      </c>
      <c r="EC9" t="s">
        <v>112</v>
      </c>
      <c r="ED9" t="s">
        <v>112</v>
      </c>
      <c r="EE9" t="s">
        <v>112</v>
      </c>
      <c r="EF9" t="s">
        <v>112</v>
      </c>
      <c r="EG9" t="s">
        <v>112</v>
      </c>
      <c r="EH9" t="s">
        <v>112</v>
      </c>
      <c r="EI9" t="s">
        <v>112</v>
      </c>
      <c r="EJ9" t="s">
        <v>112</v>
      </c>
      <c r="EK9" t="s">
        <v>112</v>
      </c>
      <c r="EL9" t="s">
        <v>112</v>
      </c>
      <c r="EM9" t="s">
        <v>112</v>
      </c>
      <c r="EN9" t="s">
        <v>112</v>
      </c>
      <c r="EO9" t="s">
        <v>112</v>
      </c>
      <c r="EP9" t="s">
        <v>112</v>
      </c>
      <c r="EQ9" t="s">
        <v>112</v>
      </c>
      <c r="ER9" t="s">
        <v>112</v>
      </c>
      <c r="ES9" t="s">
        <v>112</v>
      </c>
      <c r="ET9" t="s">
        <v>112</v>
      </c>
      <c r="EU9" t="s">
        <v>112</v>
      </c>
      <c r="EV9" t="s">
        <v>112</v>
      </c>
      <c r="EW9" t="s">
        <v>112</v>
      </c>
      <c r="EX9" t="s">
        <v>112</v>
      </c>
      <c r="EY9" t="s">
        <v>112</v>
      </c>
      <c r="EZ9" t="s">
        <v>112</v>
      </c>
      <c r="FA9" t="s">
        <v>112</v>
      </c>
      <c r="FB9" t="s">
        <v>112</v>
      </c>
      <c r="FC9" t="s">
        <v>112</v>
      </c>
      <c r="FD9" t="s">
        <v>112</v>
      </c>
      <c r="FE9" t="s">
        <v>112</v>
      </c>
      <c r="FF9" t="s">
        <v>112</v>
      </c>
      <c r="FG9" t="s">
        <v>112</v>
      </c>
      <c r="FH9" t="s">
        <v>112</v>
      </c>
      <c r="FI9" t="s">
        <v>112</v>
      </c>
      <c r="FJ9" t="s">
        <v>112</v>
      </c>
      <c r="FK9" t="s">
        <v>112</v>
      </c>
      <c r="FL9" t="s">
        <v>112</v>
      </c>
      <c r="FM9" t="s">
        <v>112</v>
      </c>
      <c r="FN9" t="s">
        <v>112</v>
      </c>
      <c r="FO9" t="s">
        <v>112</v>
      </c>
      <c r="FP9" t="s">
        <v>112</v>
      </c>
      <c r="FQ9" t="s">
        <v>112</v>
      </c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  <c r="AML9" s="48"/>
    </row>
    <row r="10" ht="15.75" customHeight="1">
      <c r="A10" s="8" t="s">
        <v>112</v>
      </c>
      <c r="B10" s="8" t="s">
        <v>64</v>
      </c>
      <c r="C10" s="8" t="s">
        <v>137</v>
      </c>
      <c r="D10" s="8">
        <v>0.0</v>
      </c>
      <c r="E10" s="8">
        <v>100.0</v>
      </c>
      <c r="F10" s="8"/>
      <c r="G10" s="8" t="s">
        <v>118</v>
      </c>
      <c r="H10" s="8">
        <v>4.0</v>
      </c>
      <c r="I10" s="8">
        <v>5.0</v>
      </c>
      <c r="J10" s="8">
        <v>1.0</v>
      </c>
      <c r="K10" s="8">
        <v>10.0</v>
      </c>
      <c r="L10" s="8">
        <v>10.0</v>
      </c>
      <c r="M10" s="8" t="s">
        <v>123</v>
      </c>
      <c r="N10" s="8" t="s">
        <v>138</v>
      </c>
      <c r="O10" s="8" t="s">
        <v>120</v>
      </c>
      <c r="Q10">
        <v>3.0</v>
      </c>
      <c r="R10">
        <v>0.0</v>
      </c>
      <c r="S10" t="s">
        <v>139</v>
      </c>
      <c r="T10">
        <v>0.0</v>
      </c>
      <c r="U10">
        <v>0.0</v>
      </c>
      <c r="W10">
        <v>1.0</v>
      </c>
      <c r="X10">
        <v>0.0</v>
      </c>
      <c r="Y10" t="s">
        <v>112</v>
      </c>
      <c r="Z10" t="s">
        <v>65</v>
      </c>
      <c r="AB10">
        <v>1.0</v>
      </c>
      <c r="AD10" t="s">
        <v>121</v>
      </c>
      <c r="AE10">
        <v>100.0</v>
      </c>
      <c r="AF10" t="s">
        <v>112</v>
      </c>
      <c r="AH10" t="s">
        <v>132</v>
      </c>
      <c r="AI10">
        <v>1.0</v>
      </c>
      <c r="AJ10" t="s">
        <v>122</v>
      </c>
      <c r="AN10" t="b">
        <v>0</v>
      </c>
      <c r="AP10" t="b">
        <v>1</v>
      </c>
      <c r="AQ10" t="b">
        <v>0</v>
      </c>
      <c r="AR10" t="b">
        <v>1</v>
      </c>
      <c r="AS10">
        <v>0.0</v>
      </c>
      <c r="AT10">
        <v>1014.0006</v>
      </c>
      <c r="AU10">
        <v>1014.0006</v>
      </c>
      <c r="AW10">
        <v>0.0</v>
      </c>
      <c r="AX10">
        <v>0.0</v>
      </c>
      <c r="AY10" t="s">
        <v>117</v>
      </c>
      <c r="AZ10">
        <v>0.0</v>
      </c>
      <c r="BC10">
        <v>0.0</v>
      </c>
      <c r="BD10" t="s">
        <v>140</v>
      </c>
      <c r="BE10">
        <v>1000.0</v>
      </c>
      <c r="BF10">
        <v>1000.0</v>
      </c>
      <c r="BJ10">
        <v>100.0</v>
      </c>
      <c r="BK10">
        <v>0.0</v>
      </c>
      <c r="BL10" t="s">
        <v>112</v>
      </c>
      <c r="BM10" t="s">
        <v>65</v>
      </c>
      <c r="BO10" t="s">
        <v>116</v>
      </c>
      <c r="BP10">
        <v>0.0</v>
      </c>
      <c r="BQ10">
        <v>0.0</v>
      </c>
      <c r="BR10">
        <v>6.0E-4</v>
      </c>
      <c r="BS10" t="s">
        <v>141</v>
      </c>
      <c r="BT10" t="s">
        <v>53</v>
      </c>
      <c r="BU10">
        <v>3.0</v>
      </c>
      <c r="BV10">
        <v>0.0</v>
      </c>
      <c r="BW10">
        <v>14.0006</v>
      </c>
      <c r="BX10">
        <v>0.0</v>
      </c>
      <c r="CF10" t="s">
        <v>133</v>
      </c>
      <c r="CG10">
        <v>2.0</v>
      </c>
      <c r="CH10" t="s">
        <v>12</v>
      </c>
      <c r="CI10" t="s">
        <v>116</v>
      </c>
      <c r="CJ10">
        <v>0.0</v>
      </c>
      <c r="CK10" t="s">
        <v>142</v>
      </c>
      <c r="CL10">
        <v>1.0</v>
      </c>
      <c r="CM10" t="s">
        <v>53</v>
      </c>
      <c r="CN10" t="s">
        <v>119</v>
      </c>
      <c r="CO10" t="s">
        <v>121</v>
      </c>
      <c r="CP10" t="s">
        <v>143</v>
      </c>
      <c r="CS10" t="s">
        <v>112</v>
      </c>
      <c r="CW10">
        <v>0.0</v>
      </c>
      <c r="CX10" t="s">
        <v>134</v>
      </c>
      <c r="CY10" t="s">
        <v>112</v>
      </c>
      <c r="CZ10" t="s">
        <v>112</v>
      </c>
      <c r="DA10" t="s">
        <v>112</v>
      </c>
      <c r="DB10" t="s">
        <v>112</v>
      </c>
      <c r="DC10" t="s">
        <v>112</v>
      </c>
      <c r="DD10" t="s">
        <v>112</v>
      </c>
      <c r="DE10" t="s">
        <v>112</v>
      </c>
      <c r="DF10" t="s">
        <v>112</v>
      </c>
      <c r="DG10" t="s">
        <v>112</v>
      </c>
      <c r="DH10" t="s">
        <v>112</v>
      </c>
      <c r="DI10" t="s">
        <v>112</v>
      </c>
      <c r="DJ10" t="s">
        <v>112</v>
      </c>
      <c r="DK10" t="s">
        <v>112</v>
      </c>
      <c r="DL10" t="s">
        <v>112</v>
      </c>
      <c r="DM10" t="s">
        <v>112</v>
      </c>
      <c r="DN10" t="s">
        <v>112</v>
      </c>
      <c r="DO10" t="s">
        <v>112</v>
      </c>
      <c r="DP10" t="s">
        <v>112</v>
      </c>
      <c r="DQ10" t="s">
        <v>112</v>
      </c>
      <c r="DR10" t="s">
        <v>112</v>
      </c>
      <c r="DS10" t="s">
        <v>112</v>
      </c>
      <c r="DT10" t="s">
        <v>112</v>
      </c>
      <c r="DU10" t="s">
        <v>112</v>
      </c>
      <c r="DV10" t="s">
        <v>112</v>
      </c>
      <c r="DW10" t="s">
        <v>112</v>
      </c>
      <c r="DX10" t="s">
        <v>112</v>
      </c>
      <c r="DY10" t="s">
        <v>112</v>
      </c>
      <c r="DZ10" t="s">
        <v>112</v>
      </c>
      <c r="EA10" t="s">
        <v>112</v>
      </c>
      <c r="EB10" t="s">
        <v>112</v>
      </c>
      <c r="EC10" t="s">
        <v>112</v>
      </c>
      <c r="ED10" t="s">
        <v>112</v>
      </c>
      <c r="EE10" t="s">
        <v>112</v>
      </c>
      <c r="EF10" t="s">
        <v>112</v>
      </c>
      <c r="EG10" t="s">
        <v>112</v>
      </c>
      <c r="EH10" t="s">
        <v>112</v>
      </c>
      <c r="EI10" t="s">
        <v>112</v>
      </c>
      <c r="EJ10" t="s">
        <v>112</v>
      </c>
      <c r="EK10" t="s">
        <v>112</v>
      </c>
      <c r="EL10" t="s">
        <v>112</v>
      </c>
      <c r="EM10" t="s">
        <v>112</v>
      </c>
      <c r="EN10" t="s">
        <v>112</v>
      </c>
      <c r="EO10" t="s">
        <v>112</v>
      </c>
      <c r="EP10" t="s">
        <v>112</v>
      </c>
      <c r="EQ10" t="s">
        <v>112</v>
      </c>
      <c r="ER10" t="s">
        <v>112</v>
      </c>
      <c r="ES10" t="s">
        <v>112</v>
      </c>
      <c r="ET10" t="s">
        <v>112</v>
      </c>
      <c r="EU10" t="s">
        <v>112</v>
      </c>
      <c r="EV10" t="s">
        <v>112</v>
      </c>
      <c r="EW10" t="s">
        <v>112</v>
      </c>
      <c r="EX10" t="s">
        <v>112</v>
      </c>
      <c r="EY10" t="s">
        <v>112</v>
      </c>
      <c r="EZ10" t="s">
        <v>112</v>
      </c>
      <c r="FA10" t="s">
        <v>112</v>
      </c>
      <c r="FB10" t="s">
        <v>112</v>
      </c>
      <c r="FC10" t="s">
        <v>112</v>
      </c>
      <c r="FD10" t="s">
        <v>112</v>
      </c>
      <c r="FE10" t="s">
        <v>112</v>
      </c>
      <c r="FF10" t="s">
        <v>112</v>
      </c>
      <c r="FG10" t="s">
        <v>112</v>
      </c>
      <c r="FH10" t="s">
        <v>112</v>
      </c>
      <c r="FI10" t="s">
        <v>112</v>
      </c>
      <c r="FJ10" t="s">
        <v>112</v>
      </c>
      <c r="FK10" t="s">
        <v>112</v>
      </c>
      <c r="FL10" t="s">
        <v>112</v>
      </c>
      <c r="FM10" t="s">
        <v>112</v>
      </c>
      <c r="FN10" t="s">
        <v>112</v>
      </c>
      <c r="FO10" t="s">
        <v>112</v>
      </c>
      <c r="FP10" t="s">
        <v>112</v>
      </c>
      <c r="FQ10" t="s">
        <v>112</v>
      </c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  <c r="NS10" s="48"/>
      <c r="NT10" s="48"/>
      <c r="NU10" s="48"/>
      <c r="NV10" s="48"/>
      <c r="NW10" s="48"/>
      <c r="NX10" s="48"/>
      <c r="NY10" s="48"/>
      <c r="NZ10" s="48"/>
      <c r="OA10" s="48"/>
      <c r="OB10" s="48"/>
      <c r="OC10" s="48"/>
      <c r="OD10" s="48"/>
      <c r="OE10" s="48"/>
      <c r="OF10" s="48"/>
      <c r="OG10" s="48"/>
      <c r="OH10" s="48"/>
      <c r="OI10" s="48"/>
      <c r="OJ10" s="48"/>
      <c r="OK10" s="48"/>
      <c r="OL10" s="48"/>
      <c r="OM10" s="48"/>
      <c r="ON10" s="48"/>
      <c r="OO10" s="48"/>
      <c r="OP10" s="48"/>
      <c r="OQ10" s="48"/>
      <c r="OR10" s="48"/>
      <c r="OS10" s="48"/>
      <c r="OT10" s="48"/>
      <c r="OU10" s="48"/>
      <c r="OV10" s="48"/>
      <c r="OW10" s="48"/>
      <c r="OX10" s="48"/>
      <c r="OY10" s="48"/>
      <c r="OZ10" s="48"/>
      <c r="PA10" s="48"/>
      <c r="PB10" s="48"/>
      <c r="PC10" s="48"/>
      <c r="PD10" s="48"/>
      <c r="PE10" s="48"/>
      <c r="PF10" s="48"/>
      <c r="PG10" s="48"/>
      <c r="PH10" s="48"/>
      <c r="PI10" s="48"/>
      <c r="PJ10" s="48"/>
      <c r="PK10" s="48"/>
      <c r="PL10" s="48"/>
      <c r="PM10" s="48"/>
      <c r="PN10" s="48"/>
      <c r="PO10" s="48"/>
      <c r="PP10" s="48"/>
      <c r="PQ10" s="48"/>
      <c r="PR10" s="48"/>
      <c r="PS10" s="48"/>
      <c r="PT10" s="48"/>
      <c r="PU10" s="48"/>
      <c r="PV10" s="48"/>
      <c r="PW10" s="48"/>
      <c r="PX10" s="48"/>
      <c r="PY10" s="48"/>
      <c r="PZ10" s="48"/>
      <c r="QA10" s="48"/>
      <c r="QB10" s="48"/>
      <c r="QC10" s="48"/>
      <c r="QD10" s="48"/>
      <c r="QE10" s="48"/>
      <c r="QF10" s="48"/>
      <c r="QG10" s="48"/>
      <c r="QH10" s="48"/>
      <c r="QI10" s="48"/>
      <c r="QJ10" s="48"/>
      <c r="QK10" s="48"/>
      <c r="QL10" s="48"/>
      <c r="QM10" s="48"/>
      <c r="QN10" s="48"/>
      <c r="QO10" s="48"/>
      <c r="QP10" s="48"/>
      <c r="QQ10" s="48"/>
      <c r="QR10" s="48"/>
      <c r="QS10" s="48"/>
      <c r="QT10" s="48"/>
      <c r="QU10" s="48"/>
      <c r="QV10" s="48"/>
      <c r="QW10" s="48"/>
      <c r="QX10" s="48"/>
      <c r="QY10" s="48"/>
      <c r="QZ10" s="48"/>
      <c r="RA10" s="48"/>
      <c r="RB10" s="48"/>
      <c r="RC10" s="48"/>
      <c r="RD10" s="48"/>
      <c r="RE10" s="48"/>
      <c r="RF10" s="48"/>
      <c r="RG10" s="48"/>
      <c r="RH10" s="48"/>
      <c r="RI10" s="48"/>
      <c r="RJ10" s="48"/>
      <c r="RK10" s="48"/>
      <c r="RL10" s="48"/>
      <c r="RM10" s="48"/>
      <c r="RN10" s="48"/>
      <c r="RO10" s="48"/>
      <c r="RP10" s="48"/>
      <c r="RQ10" s="48"/>
      <c r="RR10" s="48"/>
      <c r="RS10" s="48"/>
      <c r="RT10" s="48"/>
      <c r="RU10" s="48"/>
      <c r="RV10" s="48"/>
      <c r="RW10" s="48"/>
      <c r="RX10" s="48"/>
      <c r="RY10" s="48"/>
      <c r="RZ10" s="48"/>
      <c r="SA10" s="48"/>
      <c r="SB10" s="48"/>
      <c r="SC10" s="48"/>
      <c r="SD10" s="48"/>
      <c r="SE10" s="48"/>
      <c r="SF10" s="48"/>
      <c r="SG10" s="48"/>
      <c r="SH10" s="48"/>
      <c r="SI10" s="48"/>
      <c r="SJ10" s="48"/>
      <c r="SK10" s="48"/>
      <c r="SL10" s="48"/>
      <c r="SM10" s="48"/>
      <c r="SN10" s="48"/>
      <c r="SO10" s="48"/>
      <c r="SP10" s="48"/>
      <c r="SQ10" s="48"/>
      <c r="SR10" s="48"/>
      <c r="SS10" s="48"/>
      <c r="ST10" s="48"/>
      <c r="SU10" s="48"/>
      <c r="SV10" s="48"/>
      <c r="SW10" s="48"/>
      <c r="SX10" s="48"/>
      <c r="SY10" s="48"/>
      <c r="SZ10" s="48"/>
      <c r="TA10" s="48"/>
      <c r="TB10" s="48"/>
      <c r="TC10" s="48"/>
      <c r="TD10" s="48"/>
      <c r="TE10" s="48"/>
      <c r="TF10" s="48"/>
      <c r="TG10" s="48"/>
      <c r="TH10" s="48"/>
      <c r="TI10" s="48"/>
      <c r="TJ10" s="48"/>
      <c r="TK10" s="48"/>
      <c r="TL10" s="48"/>
      <c r="TM10" s="48"/>
      <c r="TN10" s="48"/>
      <c r="TO10" s="48"/>
      <c r="TP10" s="48"/>
      <c r="TQ10" s="48"/>
      <c r="TR10" s="48"/>
      <c r="TS10" s="48"/>
      <c r="TT10" s="48"/>
      <c r="TU10" s="48"/>
      <c r="TV10" s="48"/>
      <c r="TW10" s="48"/>
      <c r="TX10" s="48"/>
      <c r="TY10" s="48"/>
      <c r="TZ10" s="48"/>
      <c r="UA10" s="48"/>
      <c r="UB10" s="48"/>
      <c r="UC10" s="48"/>
      <c r="UD10" s="48"/>
      <c r="UE10" s="48"/>
      <c r="UF10" s="48"/>
      <c r="UG10" s="48"/>
      <c r="UH10" s="48"/>
      <c r="UI10" s="48"/>
      <c r="UJ10" s="48"/>
      <c r="UK10" s="48"/>
      <c r="UL10" s="48"/>
      <c r="UM10" s="48"/>
      <c r="UN10" s="48"/>
      <c r="UO10" s="48"/>
      <c r="UP10" s="48"/>
      <c r="UQ10" s="48"/>
      <c r="UR10" s="48"/>
      <c r="US10" s="48"/>
      <c r="UT10" s="48"/>
      <c r="UU10" s="48"/>
      <c r="UV10" s="48"/>
      <c r="UW10" s="48"/>
      <c r="UX10" s="48"/>
      <c r="UY10" s="48"/>
      <c r="UZ10" s="48"/>
      <c r="VA10" s="48"/>
      <c r="VB10" s="48"/>
      <c r="VC10" s="48"/>
      <c r="VD10" s="48"/>
      <c r="VE10" s="48"/>
      <c r="VF10" s="48"/>
      <c r="VG10" s="48"/>
      <c r="VH10" s="48"/>
      <c r="VI10" s="48"/>
      <c r="VJ10" s="48"/>
      <c r="VK10" s="48"/>
      <c r="VL10" s="48"/>
      <c r="VM10" s="48"/>
      <c r="VN10" s="48"/>
      <c r="VO10" s="48"/>
      <c r="VP10" s="48"/>
      <c r="VQ10" s="48"/>
      <c r="VR10" s="48"/>
      <c r="VS10" s="48"/>
      <c r="VT10" s="48"/>
      <c r="VU10" s="48"/>
      <c r="VV10" s="48"/>
      <c r="VW10" s="48"/>
      <c r="VX10" s="48"/>
      <c r="VY10" s="48"/>
      <c r="VZ10" s="48"/>
      <c r="WA10" s="48"/>
      <c r="WB10" s="48"/>
      <c r="WC10" s="48"/>
      <c r="WD10" s="48"/>
      <c r="WE10" s="48"/>
      <c r="WF10" s="48"/>
      <c r="WG10" s="48"/>
      <c r="WH10" s="48"/>
      <c r="WI10" s="48"/>
      <c r="WJ10" s="48"/>
      <c r="WK10" s="48"/>
      <c r="WL10" s="48"/>
      <c r="WM10" s="48"/>
      <c r="WN10" s="48"/>
      <c r="WO10" s="48"/>
      <c r="WP10" s="48"/>
      <c r="WQ10" s="48"/>
      <c r="WR10" s="48"/>
      <c r="WS10" s="48"/>
      <c r="WT10" s="48"/>
      <c r="WU10" s="48"/>
      <c r="WV10" s="48"/>
      <c r="WW10" s="48"/>
      <c r="WX10" s="48"/>
      <c r="WY10" s="48"/>
      <c r="WZ10" s="48"/>
      <c r="XA10" s="48"/>
      <c r="XB10" s="48"/>
      <c r="XC10" s="48"/>
      <c r="XD10" s="48"/>
      <c r="XE10" s="48"/>
      <c r="XF10" s="48"/>
      <c r="XG10" s="48"/>
      <c r="XH10" s="48"/>
      <c r="XI10" s="48"/>
      <c r="XJ10" s="48"/>
      <c r="XK10" s="48"/>
      <c r="XL10" s="48"/>
      <c r="XM10" s="48"/>
      <c r="XN10" s="48"/>
      <c r="XO10" s="48"/>
      <c r="XP10" s="48"/>
      <c r="XQ10" s="48"/>
      <c r="XR10" s="48"/>
      <c r="XS10" s="48"/>
      <c r="XT10" s="48"/>
      <c r="XU10" s="48"/>
      <c r="XV10" s="48"/>
      <c r="XW10" s="48"/>
      <c r="XX10" s="48"/>
      <c r="XY10" s="48"/>
      <c r="XZ10" s="48"/>
      <c r="YA10" s="48"/>
      <c r="YB10" s="48"/>
      <c r="YC10" s="48"/>
      <c r="YD10" s="48"/>
      <c r="YE10" s="48"/>
      <c r="YF10" s="48"/>
      <c r="YG10" s="48"/>
      <c r="YH10" s="48"/>
      <c r="YI10" s="48"/>
      <c r="YJ10" s="48"/>
      <c r="YK10" s="48"/>
      <c r="YL10" s="48"/>
      <c r="YM10" s="48"/>
      <c r="YN10" s="48"/>
      <c r="YO10" s="48"/>
      <c r="YP10" s="48"/>
      <c r="YQ10" s="48"/>
      <c r="YR10" s="48"/>
      <c r="YS10" s="48"/>
      <c r="YT10" s="48"/>
      <c r="YU10" s="48"/>
      <c r="YV10" s="48"/>
      <c r="YW10" s="48"/>
      <c r="YX10" s="48"/>
      <c r="YY10" s="48"/>
      <c r="YZ10" s="48"/>
      <c r="ZA10" s="48"/>
      <c r="ZB10" s="48"/>
      <c r="ZC10" s="48"/>
      <c r="ZD10" s="48"/>
      <c r="ZE10" s="48"/>
      <c r="ZF10" s="48"/>
      <c r="ZG10" s="48"/>
      <c r="ZH10" s="48"/>
      <c r="ZI10" s="48"/>
      <c r="ZJ10" s="48"/>
      <c r="ZK10" s="48"/>
      <c r="ZL10" s="48"/>
      <c r="ZM10" s="48"/>
      <c r="ZN10" s="48"/>
      <c r="ZO10" s="48"/>
      <c r="ZP10" s="48"/>
      <c r="ZQ10" s="48"/>
      <c r="ZR10" s="48"/>
      <c r="ZS10" s="48"/>
      <c r="ZT10" s="48"/>
      <c r="ZU10" s="48"/>
      <c r="ZV10" s="48"/>
      <c r="ZW10" s="48"/>
      <c r="ZX10" s="48"/>
      <c r="ZY10" s="48"/>
      <c r="ZZ10" s="48"/>
      <c r="AAA10" s="48"/>
      <c r="AAB10" s="48"/>
      <c r="AAC10" s="48"/>
      <c r="AAD10" s="48"/>
      <c r="AAE10" s="48"/>
      <c r="AAF10" s="48"/>
      <c r="AAG10" s="48"/>
      <c r="AAH10" s="48"/>
      <c r="AAI10" s="48"/>
      <c r="AAJ10" s="48"/>
      <c r="AAK10" s="48"/>
      <c r="AAL10" s="48"/>
      <c r="AAM10" s="48"/>
      <c r="AAN10" s="48"/>
      <c r="AAO10" s="48"/>
      <c r="AAP10" s="48"/>
      <c r="AAQ10" s="48"/>
      <c r="AAR10" s="48"/>
      <c r="AAS10" s="48"/>
      <c r="AAT10" s="48"/>
      <c r="AAU10" s="48"/>
      <c r="AAV10" s="48"/>
      <c r="AAW10" s="48"/>
      <c r="AAX10" s="48"/>
      <c r="AAY10" s="48"/>
      <c r="AAZ10" s="48"/>
      <c r="ABA10" s="48"/>
      <c r="ABB10" s="48"/>
      <c r="ABC10" s="48"/>
      <c r="ABD10" s="48"/>
      <c r="ABE10" s="48"/>
      <c r="ABF10" s="48"/>
      <c r="ABG10" s="48"/>
      <c r="ABH10" s="48"/>
      <c r="ABI10" s="48"/>
      <c r="ABJ10" s="48"/>
      <c r="ABK10" s="48"/>
      <c r="ABL10" s="48"/>
      <c r="ABM10" s="48"/>
      <c r="ABN10" s="48"/>
      <c r="ABO10" s="48"/>
      <c r="ABP10" s="48"/>
      <c r="ABQ10" s="48"/>
      <c r="ABR10" s="48"/>
      <c r="ABS10" s="48"/>
      <c r="ABT10" s="48"/>
      <c r="ABU10" s="48"/>
      <c r="ABV10" s="48"/>
      <c r="ABW10" s="48"/>
      <c r="ABX10" s="48"/>
      <c r="ABY10" s="48"/>
      <c r="ABZ10" s="48"/>
      <c r="ACA10" s="48"/>
      <c r="ACB10" s="48"/>
      <c r="ACC10" s="48"/>
      <c r="ACD10" s="48"/>
      <c r="ACE10" s="48"/>
      <c r="ACF10" s="48"/>
      <c r="ACG10" s="48"/>
      <c r="ACH10" s="48"/>
      <c r="ACI10" s="48"/>
      <c r="ACJ10" s="48"/>
      <c r="ACK10" s="48"/>
      <c r="ACL10" s="48"/>
      <c r="ACM10" s="48"/>
      <c r="ACN10" s="48"/>
      <c r="ACO10" s="48"/>
      <c r="ACP10" s="48"/>
      <c r="ACQ10" s="48"/>
      <c r="ACR10" s="48"/>
      <c r="ACS10" s="48"/>
      <c r="ACT10" s="48"/>
      <c r="ACU10" s="48"/>
      <c r="ACV10" s="48"/>
      <c r="ACW10" s="48"/>
      <c r="ACX10" s="48"/>
      <c r="ACY10" s="48"/>
      <c r="ACZ10" s="48"/>
      <c r="ADA10" s="48"/>
      <c r="ADB10" s="48"/>
      <c r="ADC10" s="48"/>
      <c r="ADD10" s="48"/>
      <c r="ADE10" s="48"/>
      <c r="ADF10" s="48"/>
      <c r="ADG10" s="48"/>
      <c r="ADH10" s="48"/>
      <c r="ADI10" s="48"/>
      <c r="ADJ10" s="48"/>
      <c r="ADK10" s="48"/>
      <c r="ADL10" s="48"/>
      <c r="ADM10" s="48"/>
      <c r="ADN10" s="48"/>
      <c r="ADO10" s="48"/>
      <c r="ADP10" s="48"/>
      <c r="ADQ10" s="48"/>
      <c r="ADR10" s="48"/>
      <c r="ADS10" s="48"/>
      <c r="ADT10" s="48"/>
      <c r="ADU10" s="48"/>
      <c r="ADV10" s="48"/>
      <c r="ADW10" s="48"/>
      <c r="ADX10" s="48"/>
      <c r="ADY10" s="48"/>
      <c r="ADZ10" s="48"/>
      <c r="AEA10" s="48"/>
      <c r="AEB10" s="48"/>
      <c r="AEC10" s="48"/>
      <c r="AED10" s="48"/>
      <c r="AEE10" s="48"/>
      <c r="AEF10" s="48"/>
      <c r="AEG10" s="48"/>
      <c r="AEH10" s="48"/>
      <c r="AEI10" s="48"/>
      <c r="AEJ10" s="48"/>
      <c r="AEK10" s="48"/>
      <c r="AEL10" s="48"/>
      <c r="AEM10" s="48"/>
      <c r="AEN10" s="48"/>
      <c r="AEO10" s="48"/>
      <c r="AEP10" s="48"/>
      <c r="AEQ10" s="48"/>
      <c r="AER10" s="48"/>
      <c r="AES10" s="48"/>
      <c r="AET10" s="48"/>
      <c r="AEU10" s="48"/>
      <c r="AEV10" s="48"/>
      <c r="AEW10" s="48"/>
      <c r="AEX10" s="48"/>
      <c r="AEY10" s="48"/>
      <c r="AEZ10" s="48"/>
      <c r="AFA10" s="48"/>
      <c r="AFB10" s="48"/>
      <c r="AFC10" s="48"/>
      <c r="AFD10" s="48"/>
      <c r="AFE10" s="48"/>
      <c r="AFF10" s="48"/>
      <c r="AFG10" s="48"/>
      <c r="AFH10" s="48"/>
      <c r="AFI10" s="48"/>
      <c r="AFJ10" s="48"/>
      <c r="AFK10" s="48"/>
      <c r="AFL10" s="48"/>
      <c r="AFM10" s="48"/>
      <c r="AFN10" s="48"/>
      <c r="AFO10" s="48"/>
      <c r="AFP10" s="48"/>
      <c r="AFQ10" s="48"/>
      <c r="AFR10" s="48"/>
      <c r="AFS10" s="48"/>
      <c r="AFT10" s="48"/>
      <c r="AFU10" s="48"/>
      <c r="AFV10" s="48"/>
      <c r="AFW10" s="48"/>
      <c r="AFX10" s="48"/>
      <c r="AFY10" s="48"/>
      <c r="AFZ10" s="48"/>
      <c r="AGA10" s="48"/>
      <c r="AGB10" s="48"/>
      <c r="AGC10" s="48"/>
      <c r="AGD10" s="48"/>
      <c r="AGE10" s="48"/>
      <c r="AGF10" s="48"/>
      <c r="AGG10" s="48"/>
      <c r="AGH10" s="48"/>
      <c r="AGI10" s="48"/>
      <c r="AGJ10" s="48"/>
      <c r="AGK10" s="48"/>
      <c r="AGL10" s="48"/>
      <c r="AGM10" s="48"/>
      <c r="AGN10" s="48"/>
      <c r="AGO10" s="48"/>
      <c r="AGP10" s="48"/>
      <c r="AGQ10" s="48"/>
      <c r="AGR10" s="48"/>
      <c r="AGS10" s="48"/>
      <c r="AGT10" s="48"/>
      <c r="AGU10" s="48"/>
      <c r="AGV10" s="48"/>
      <c r="AGW10" s="48"/>
      <c r="AGX10" s="48"/>
      <c r="AGY10" s="48"/>
      <c r="AGZ10" s="48"/>
      <c r="AHA10" s="48"/>
      <c r="AHB10" s="48"/>
      <c r="AHC10" s="48"/>
      <c r="AHD10" s="48"/>
      <c r="AHE10" s="48"/>
      <c r="AHF10" s="48"/>
      <c r="AHG10" s="48"/>
      <c r="AHH10" s="48"/>
      <c r="AHI10" s="48"/>
      <c r="AHJ10" s="48"/>
      <c r="AHK10" s="48"/>
      <c r="AHL10" s="48"/>
      <c r="AHM10" s="48"/>
      <c r="AHN10" s="48"/>
      <c r="AHO10" s="48"/>
      <c r="AHP10" s="48"/>
      <c r="AHQ10" s="48"/>
      <c r="AHR10" s="48"/>
      <c r="AHS10" s="48"/>
      <c r="AHT10" s="48"/>
      <c r="AHU10" s="48"/>
      <c r="AHV10" s="48"/>
      <c r="AHW10" s="48"/>
      <c r="AHX10" s="48"/>
      <c r="AHY10" s="48"/>
      <c r="AHZ10" s="48"/>
      <c r="AIA10" s="48"/>
      <c r="AIB10" s="48"/>
      <c r="AIC10" s="48"/>
      <c r="AID10" s="48"/>
      <c r="AIE10" s="48"/>
      <c r="AIF10" s="48"/>
      <c r="AIG10" s="48"/>
      <c r="AIH10" s="48"/>
      <c r="AII10" s="48"/>
      <c r="AIJ10" s="48"/>
      <c r="AIK10" s="48"/>
      <c r="AIL10" s="48"/>
      <c r="AIM10" s="48"/>
      <c r="AIN10" s="48"/>
      <c r="AIO10" s="48"/>
      <c r="AIP10" s="48"/>
      <c r="AIQ10" s="48"/>
      <c r="AIR10" s="48"/>
      <c r="AIS10" s="48"/>
      <c r="AIT10" s="48"/>
      <c r="AIU10" s="48"/>
      <c r="AIV10" s="48"/>
      <c r="AIW10" s="48"/>
      <c r="AIX10" s="48"/>
      <c r="AIY10" s="48"/>
      <c r="AIZ10" s="48"/>
      <c r="AJA10" s="48"/>
      <c r="AJB10" s="48"/>
      <c r="AJC10" s="48"/>
      <c r="AJD10" s="48"/>
      <c r="AJE10" s="48"/>
      <c r="AJF10" s="48"/>
      <c r="AJG10" s="48"/>
      <c r="AJH10" s="48"/>
      <c r="AJI10" s="48"/>
      <c r="AJJ10" s="48"/>
      <c r="AJK10" s="48"/>
      <c r="AJL10" s="48"/>
      <c r="AJM10" s="48"/>
      <c r="AJN10" s="48"/>
      <c r="AJO10" s="48"/>
      <c r="AJP10" s="48"/>
      <c r="AJQ10" s="48"/>
      <c r="AJR10" s="48"/>
      <c r="AJS10" s="48"/>
      <c r="AJT10" s="48"/>
      <c r="AJU10" s="48"/>
      <c r="AJV10" s="48"/>
      <c r="AJW10" s="48"/>
      <c r="AJX10" s="48"/>
      <c r="AJY10" s="48"/>
      <c r="AJZ10" s="48"/>
      <c r="AKA10" s="48"/>
      <c r="AKB10" s="48"/>
      <c r="AKC10" s="48"/>
      <c r="AKD10" s="48"/>
      <c r="AKE10" s="48"/>
      <c r="AKF10" s="48"/>
      <c r="AKG10" s="48"/>
      <c r="AKH10" s="48"/>
      <c r="AKI10" s="48"/>
      <c r="AKJ10" s="48"/>
      <c r="AKK10" s="48"/>
      <c r="AKL10" s="48"/>
      <c r="AKM10" s="48"/>
      <c r="AKN10" s="48"/>
      <c r="AKO10" s="48"/>
      <c r="AKP10" s="48"/>
      <c r="AKQ10" s="48"/>
      <c r="AKR10" s="48"/>
      <c r="AKS10" s="48"/>
      <c r="AKT10" s="48"/>
      <c r="AKU10" s="48"/>
      <c r="AKV10" s="48"/>
      <c r="AKW10" s="48"/>
      <c r="AKX10" s="48"/>
      <c r="AKY10" s="48"/>
      <c r="AKZ10" s="48"/>
      <c r="ALA10" s="48"/>
      <c r="ALB10" s="48"/>
      <c r="ALC10" s="48"/>
      <c r="ALD10" s="48"/>
      <c r="ALE10" s="48"/>
      <c r="ALF10" s="48"/>
      <c r="ALG10" s="48"/>
      <c r="ALH10" s="48"/>
      <c r="ALI10" s="48"/>
      <c r="ALJ10" s="48"/>
      <c r="ALK10" s="48"/>
      <c r="ALL10" s="48"/>
      <c r="ALM10" s="48"/>
      <c r="ALN10" s="48"/>
      <c r="ALO10" s="48"/>
      <c r="ALP10" s="48"/>
      <c r="ALQ10" s="48"/>
      <c r="ALR10" s="48"/>
      <c r="ALS10" s="48"/>
      <c r="ALT10" s="48"/>
      <c r="ALU10" s="48"/>
      <c r="ALV10" s="48"/>
      <c r="ALW10" s="48"/>
      <c r="ALX10" s="48"/>
      <c r="ALY10" s="48"/>
      <c r="ALZ10" s="48"/>
      <c r="AMA10" s="48"/>
      <c r="AMB10" s="48"/>
      <c r="AMC10" s="48"/>
      <c r="AMD10" s="48"/>
      <c r="AME10" s="48"/>
      <c r="AMF10" s="48"/>
      <c r="AMG10" s="48"/>
      <c r="AMH10" s="48"/>
      <c r="AMI10" s="48"/>
      <c r="AMJ10" s="48"/>
      <c r="AMK10" s="48"/>
      <c r="AML10" s="48"/>
    </row>
    <row r="11" ht="15.75" customHeight="1">
      <c r="A11" s="8" t="s">
        <v>112</v>
      </c>
      <c r="B11" s="8" t="s">
        <v>64</v>
      </c>
      <c r="C11" s="8" t="s">
        <v>137</v>
      </c>
      <c r="D11" s="8">
        <v>0.0</v>
      </c>
      <c r="E11" s="8">
        <v>100.0</v>
      </c>
      <c r="F11" s="8"/>
      <c r="G11" s="8" t="s">
        <v>118</v>
      </c>
      <c r="H11" s="8">
        <v>4.0</v>
      </c>
      <c r="I11" s="8">
        <v>5.0</v>
      </c>
      <c r="J11" s="8">
        <v>1.0</v>
      </c>
      <c r="K11" s="8">
        <v>10.0</v>
      </c>
      <c r="L11" s="8">
        <v>10.0</v>
      </c>
      <c r="M11" s="8" t="s">
        <v>115</v>
      </c>
      <c r="N11" s="8" t="s">
        <v>138</v>
      </c>
      <c r="O11" s="8" t="s">
        <v>120</v>
      </c>
      <c r="Q11">
        <v>3.0</v>
      </c>
      <c r="R11">
        <v>0.0</v>
      </c>
      <c r="S11" t="s">
        <v>139</v>
      </c>
      <c r="T11">
        <v>0.0</v>
      </c>
      <c r="U11">
        <v>0.0</v>
      </c>
      <c r="W11">
        <v>1.0</v>
      </c>
      <c r="X11">
        <v>0.0</v>
      </c>
      <c r="Y11" t="s">
        <v>112</v>
      </c>
      <c r="Z11" t="s">
        <v>65</v>
      </c>
      <c r="AB11">
        <v>1.0</v>
      </c>
      <c r="AD11" t="s">
        <v>121</v>
      </c>
      <c r="AE11">
        <v>100.0</v>
      </c>
      <c r="AF11" t="s">
        <v>112</v>
      </c>
      <c r="AH11" t="s">
        <v>132</v>
      </c>
      <c r="AI11">
        <v>1.0</v>
      </c>
      <c r="AJ11" t="s">
        <v>122</v>
      </c>
      <c r="AN11" t="b">
        <v>0</v>
      </c>
      <c r="AP11" t="b">
        <v>1</v>
      </c>
      <c r="AQ11" t="b">
        <v>0</v>
      </c>
      <c r="AR11" t="b">
        <v>1</v>
      </c>
      <c r="AS11">
        <v>0.0</v>
      </c>
      <c r="AT11">
        <v>1014.0006</v>
      </c>
      <c r="AU11">
        <v>1014.0006</v>
      </c>
      <c r="AW11">
        <v>0.0</v>
      </c>
      <c r="AX11">
        <v>0.0</v>
      </c>
      <c r="AY11" t="s">
        <v>117</v>
      </c>
      <c r="AZ11">
        <v>0.0</v>
      </c>
      <c r="BC11">
        <v>0.0</v>
      </c>
      <c r="BD11" t="s">
        <v>140</v>
      </c>
      <c r="BE11">
        <v>1000.0</v>
      </c>
      <c r="BF11">
        <v>1000.0</v>
      </c>
      <c r="BJ11">
        <v>100.0</v>
      </c>
      <c r="BK11">
        <v>0.0</v>
      </c>
      <c r="BL11" t="s">
        <v>112</v>
      </c>
      <c r="BM11" t="s">
        <v>65</v>
      </c>
      <c r="BO11" t="s">
        <v>116</v>
      </c>
      <c r="BP11">
        <v>0.0</v>
      </c>
      <c r="BQ11">
        <v>0.0</v>
      </c>
      <c r="BR11">
        <v>6.0E-4</v>
      </c>
      <c r="BS11" t="s">
        <v>141</v>
      </c>
      <c r="BT11" t="s">
        <v>50</v>
      </c>
      <c r="BU11">
        <v>3.0</v>
      </c>
      <c r="BV11">
        <v>0.0</v>
      </c>
      <c r="BW11">
        <v>14.0006</v>
      </c>
      <c r="BX11">
        <v>0.0</v>
      </c>
      <c r="CF11" t="s">
        <v>133</v>
      </c>
      <c r="CG11">
        <v>2.0</v>
      </c>
      <c r="CH11" t="s">
        <v>12</v>
      </c>
      <c r="CI11" t="s">
        <v>116</v>
      </c>
      <c r="CJ11">
        <v>0.0</v>
      </c>
      <c r="CK11" t="s">
        <v>142</v>
      </c>
      <c r="CL11">
        <v>1.0</v>
      </c>
      <c r="CM11" t="s">
        <v>50</v>
      </c>
      <c r="CN11" t="s">
        <v>119</v>
      </c>
      <c r="CO11" t="s">
        <v>121</v>
      </c>
      <c r="CP11" t="s">
        <v>143</v>
      </c>
      <c r="CS11" t="s">
        <v>112</v>
      </c>
      <c r="CW11">
        <v>0.0</v>
      </c>
      <c r="CX11" t="s">
        <v>134</v>
      </c>
      <c r="CY11" t="s">
        <v>112</v>
      </c>
      <c r="CZ11" t="s">
        <v>112</v>
      </c>
      <c r="DA11" t="s">
        <v>112</v>
      </c>
      <c r="DB11" t="s">
        <v>112</v>
      </c>
      <c r="DC11" t="s">
        <v>112</v>
      </c>
      <c r="DD11" t="s">
        <v>112</v>
      </c>
      <c r="DE11" t="s">
        <v>112</v>
      </c>
      <c r="DF11" t="s">
        <v>112</v>
      </c>
      <c r="DG11" t="s">
        <v>112</v>
      </c>
      <c r="DH11" t="s">
        <v>112</v>
      </c>
      <c r="DI11" t="s">
        <v>112</v>
      </c>
      <c r="DJ11" t="s">
        <v>112</v>
      </c>
      <c r="DK11" t="s">
        <v>112</v>
      </c>
      <c r="DL11" t="s">
        <v>112</v>
      </c>
      <c r="DM11" t="s">
        <v>112</v>
      </c>
      <c r="DN11" t="s">
        <v>112</v>
      </c>
      <c r="DO11" t="s">
        <v>112</v>
      </c>
      <c r="DP11" t="s">
        <v>112</v>
      </c>
      <c r="DQ11" t="s">
        <v>112</v>
      </c>
      <c r="DR11" t="s">
        <v>112</v>
      </c>
      <c r="DS11" t="s">
        <v>112</v>
      </c>
      <c r="DT11" t="s">
        <v>112</v>
      </c>
      <c r="DU11" t="s">
        <v>112</v>
      </c>
      <c r="DV11" t="s">
        <v>112</v>
      </c>
      <c r="DW11" t="s">
        <v>112</v>
      </c>
      <c r="DX11" t="s">
        <v>112</v>
      </c>
      <c r="DY11" t="s">
        <v>112</v>
      </c>
      <c r="DZ11" t="s">
        <v>112</v>
      </c>
      <c r="EA11" t="s">
        <v>112</v>
      </c>
      <c r="EB11" t="s">
        <v>112</v>
      </c>
      <c r="EC11" t="s">
        <v>112</v>
      </c>
      <c r="ED11" t="s">
        <v>112</v>
      </c>
      <c r="EE11" t="s">
        <v>112</v>
      </c>
      <c r="EF11" t="s">
        <v>112</v>
      </c>
      <c r="EG11" t="s">
        <v>112</v>
      </c>
      <c r="EH11" t="s">
        <v>112</v>
      </c>
      <c r="EI11" t="s">
        <v>112</v>
      </c>
      <c r="EJ11" t="s">
        <v>112</v>
      </c>
      <c r="EK11" t="s">
        <v>112</v>
      </c>
      <c r="EL11" t="s">
        <v>112</v>
      </c>
      <c r="EM11" t="s">
        <v>112</v>
      </c>
      <c r="EN11" t="s">
        <v>112</v>
      </c>
      <c r="EO11" t="s">
        <v>112</v>
      </c>
      <c r="EP11" t="s">
        <v>112</v>
      </c>
      <c r="EQ11" t="s">
        <v>112</v>
      </c>
      <c r="ER11" t="s">
        <v>112</v>
      </c>
      <c r="ES11" t="s">
        <v>112</v>
      </c>
      <c r="ET11" t="s">
        <v>112</v>
      </c>
      <c r="EU11" t="s">
        <v>112</v>
      </c>
      <c r="EV11" t="s">
        <v>112</v>
      </c>
      <c r="EW11" t="s">
        <v>112</v>
      </c>
      <c r="EX11" t="s">
        <v>112</v>
      </c>
      <c r="EY11" t="s">
        <v>112</v>
      </c>
      <c r="EZ11" t="s">
        <v>112</v>
      </c>
      <c r="FA11" t="s">
        <v>112</v>
      </c>
      <c r="FB11" t="s">
        <v>112</v>
      </c>
      <c r="FC11" t="s">
        <v>112</v>
      </c>
      <c r="FD11" t="s">
        <v>112</v>
      </c>
      <c r="FE11" t="s">
        <v>112</v>
      </c>
      <c r="FF11" t="s">
        <v>112</v>
      </c>
      <c r="FG11" t="s">
        <v>112</v>
      </c>
      <c r="FH11" t="s">
        <v>112</v>
      </c>
      <c r="FI11" t="s">
        <v>112</v>
      </c>
      <c r="FJ11" t="s">
        <v>112</v>
      </c>
      <c r="FK11" t="s">
        <v>112</v>
      </c>
      <c r="FL11" t="s">
        <v>112</v>
      </c>
      <c r="FM11" t="s">
        <v>112</v>
      </c>
      <c r="FN11" t="s">
        <v>112</v>
      </c>
      <c r="FO11" t="s">
        <v>112</v>
      </c>
      <c r="FP11" t="s">
        <v>112</v>
      </c>
      <c r="FQ11" t="s">
        <v>112</v>
      </c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48"/>
      <c r="KQ11" s="48"/>
      <c r="KR11" s="48"/>
      <c r="KS11" s="48"/>
      <c r="KT11" s="48"/>
      <c r="KU11" s="48"/>
      <c r="KV11" s="48"/>
      <c r="KW11" s="48"/>
      <c r="KX11" s="48"/>
      <c r="KY11" s="48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48"/>
      <c r="LR11" s="48"/>
      <c r="LS11" s="48"/>
      <c r="LT11" s="48"/>
      <c r="LU11" s="48"/>
      <c r="LV11" s="48"/>
      <c r="LW11" s="48"/>
      <c r="LX11" s="48"/>
      <c r="LY11" s="48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  <c r="MP11" s="48"/>
      <c r="MQ11" s="48"/>
      <c r="MR11" s="48"/>
      <c r="MS11" s="48"/>
      <c r="MT11" s="48"/>
      <c r="MU11" s="48"/>
      <c r="MV11" s="48"/>
      <c r="MW11" s="48"/>
      <c r="MX11" s="48"/>
      <c r="MY11" s="48"/>
      <c r="MZ11" s="48"/>
      <c r="NA11" s="48"/>
      <c r="NB11" s="48"/>
      <c r="NC11" s="48"/>
      <c r="ND11" s="48"/>
      <c r="NE11" s="48"/>
      <c r="NF11" s="48"/>
      <c r="NG11" s="48"/>
      <c r="NH11" s="48"/>
      <c r="NI11" s="48"/>
      <c r="NJ11" s="48"/>
      <c r="NK11" s="48"/>
      <c r="NL11" s="48"/>
      <c r="NM11" s="48"/>
      <c r="NN11" s="48"/>
      <c r="NO11" s="48"/>
      <c r="NP11" s="48"/>
      <c r="NQ11" s="48"/>
      <c r="NR11" s="48"/>
      <c r="NS11" s="48"/>
      <c r="NT11" s="48"/>
      <c r="NU11" s="48"/>
      <c r="NV11" s="48"/>
      <c r="NW11" s="48"/>
      <c r="NX11" s="48"/>
      <c r="NY11" s="48"/>
      <c r="NZ11" s="48"/>
      <c r="OA11" s="48"/>
      <c r="OB11" s="48"/>
      <c r="OC11" s="48"/>
      <c r="OD11" s="48"/>
      <c r="OE11" s="48"/>
      <c r="OF11" s="48"/>
      <c r="OG11" s="48"/>
      <c r="OH11" s="48"/>
      <c r="OI11" s="48"/>
      <c r="OJ11" s="48"/>
      <c r="OK11" s="48"/>
      <c r="OL11" s="48"/>
      <c r="OM11" s="48"/>
      <c r="ON11" s="48"/>
      <c r="OO11" s="48"/>
      <c r="OP11" s="48"/>
      <c r="OQ11" s="48"/>
      <c r="OR11" s="48"/>
      <c r="OS11" s="48"/>
      <c r="OT11" s="48"/>
      <c r="OU11" s="48"/>
      <c r="OV11" s="48"/>
      <c r="OW11" s="48"/>
      <c r="OX11" s="48"/>
      <c r="OY11" s="48"/>
      <c r="OZ11" s="48"/>
      <c r="PA11" s="48"/>
      <c r="PB11" s="48"/>
      <c r="PC11" s="48"/>
      <c r="PD11" s="48"/>
      <c r="PE11" s="48"/>
      <c r="PF11" s="48"/>
      <c r="PG11" s="48"/>
      <c r="PH11" s="48"/>
      <c r="PI11" s="48"/>
      <c r="PJ11" s="48"/>
      <c r="PK11" s="48"/>
      <c r="PL11" s="48"/>
      <c r="PM11" s="48"/>
      <c r="PN11" s="48"/>
      <c r="PO11" s="48"/>
      <c r="PP11" s="48"/>
      <c r="PQ11" s="48"/>
      <c r="PR11" s="48"/>
      <c r="PS11" s="48"/>
      <c r="PT11" s="48"/>
      <c r="PU11" s="48"/>
      <c r="PV11" s="48"/>
      <c r="PW11" s="48"/>
      <c r="PX11" s="48"/>
      <c r="PY11" s="48"/>
      <c r="PZ11" s="48"/>
      <c r="QA11" s="48"/>
      <c r="QB11" s="48"/>
      <c r="QC11" s="48"/>
      <c r="QD11" s="48"/>
      <c r="QE11" s="48"/>
      <c r="QF11" s="48"/>
      <c r="QG11" s="48"/>
      <c r="QH11" s="48"/>
      <c r="QI11" s="48"/>
      <c r="QJ11" s="48"/>
      <c r="QK11" s="48"/>
      <c r="QL11" s="48"/>
      <c r="QM11" s="48"/>
      <c r="QN11" s="48"/>
      <c r="QO11" s="48"/>
      <c r="QP11" s="48"/>
      <c r="QQ11" s="48"/>
      <c r="QR11" s="48"/>
      <c r="QS11" s="48"/>
      <c r="QT11" s="48"/>
      <c r="QU11" s="48"/>
      <c r="QV11" s="48"/>
      <c r="QW11" s="48"/>
      <c r="QX11" s="48"/>
      <c r="QY11" s="48"/>
      <c r="QZ11" s="48"/>
      <c r="RA11" s="48"/>
      <c r="RB11" s="48"/>
      <c r="RC11" s="48"/>
      <c r="RD11" s="48"/>
      <c r="RE11" s="48"/>
      <c r="RF11" s="48"/>
      <c r="RG11" s="48"/>
      <c r="RH11" s="48"/>
      <c r="RI11" s="48"/>
      <c r="RJ11" s="48"/>
      <c r="RK11" s="48"/>
      <c r="RL11" s="48"/>
      <c r="RM11" s="48"/>
      <c r="RN11" s="48"/>
      <c r="RO11" s="48"/>
      <c r="RP11" s="48"/>
      <c r="RQ11" s="48"/>
      <c r="RR11" s="48"/>
      <c r="RS11" s="48"/>
      <c r="RT11" s="48"/>
      <c r="RU11" s="48"/>
      <c r="RV11" s="48"/>
      <c r="RW11" s="48"/>
      <c r="RX11" s="48"/>
      <c r="RY11" s="48"/>
      <c r="RZ11" s="48"/>
      <c r="SA11" s="48"/>
      <c r="SB11" s="48"/>
      <c r="SC11" s="48"/>
      <c r="SD11" s="48"/>
      <c r="SE11" s="48"/>
      <c r="SF11" s="48"/>
      <c r="SG11" s="48"/>
      <c r="SH11" s="48"/>
      <c r="SI11" s="48"/>
      <c r="SJ11" s="48"/>
      <c r="SK11" s="48"/>
      <c r="SL11" s="48"/>
      <c r="SM11" s="48"/>
      <c r="SN11" s="48"/>
      <c r="SO11" s="48"/>
      <c r="SP11" s="48"/>
      <c r="SQ11" s="48"/>
      <c r="SR11" s="48"/>
      <c r="SS11" s="48"/>
      <c r="ST11" s="48"/>
      <c r="SU11" s="48"/>
      <c r="SV11" s="48"/>
      <c r="SW11" s="48"/>
      <c r="SX11" s="48"/>
      <c r="SY11" s="48"/>
      <c r="SZ11" s="48"/>
      <c r="TA11" s="48"/>
      <c r="TB11" s="48"/>
      <c r="TC11" s="48"/>
      <c r="TD11" s="48"/>
      <c r="TE11" s="48"/>
      <c r="TF11" s="48"/>
      <c r="TG11" s="48"/>
      <c r="TH11" s="48"/>
      <c r="TI11" s="48"/>
      <c r="TJ11" s="48"/>
      <c r="TK11" s="48"/>
      <c r="TL11" s="48"/>
      <c r="TM11" s="48"/>
      <c r="TN11" s="48"/>
      <c r="TO11" s="48"/>
      <c r="TP11" s="48"/>
      <c r="TQ11" s="48"/>
      <c r="TR11" s="48"/>
      <c r="TS11" s="48"/>
      <c r="TT11" s="48"/>
      <c r="TU11" s="48"/>
      <c r="TV11" s="48"/>
      <c r="TW11" s="48"/>
      <c r="TX11" s="48"/>
      <c r="TY11" s="48"/>
      <c r="TZ11" s="48"/>
      <c r="UA11" s="48"/>
      <c r="UB11" s="48"/>
      <c r="UC11" s="48"/>
      <c r="UD11" s="48"/>
      <c r="UE11" s="48"/>
      <c r="UF11" s="48"/>
      <c r="UG11" s="48"/>
      <c r="UH11" s="48"/>
      <c r="UI11" s="48"/>
      <c r="UJ11" s="48"/>
      <c r="UK11" s="48"/>
      <c r="UL11" s="48"/>
      <c r="UM11" s="48"/>
      <c r="UN11" s="48"/>
      <c r="UO11" s="48"/>
      <c r="UP11" s="48"/>
      <c r="UQ11" s="48"/>
      <c r="UR11" s="48"/>
      <c r="US11" s="48"/>
      <c r="UT11" s="48"/>
      <c r="UU11" s="48"/>
      <c r="UV11" s="48"/>
      <c r="UW11" s="48"/>
      <c r="UX11" s="48"/>
      <c r="UY11" s="48"/>
      <c r="UZ11" s="48"/>
      <c r="VA11" s="48"/>
      <c r="VB11" s="48"/>
      <c r="VC11" s="48"/>
      <c r="VD11" s="48"/>
      <c r="VE11" s="48"/>
      <c r="VF11" s="48"/>
      <c r="VG11" s="48"/>
      <c r="VH11" s="48"/>
      <c r="VI11" s="48"/>
      <c r="VJ11" s="48"/>
      <c r="VK11" s="48"/>
      <c r="VL11" s="48"/>
      <c r="VM11" s="48"/>
      <c r="VN11" s="48"/>
      <c r="VO11" s="48"/>
      <c r="VP11" s="48"/>
      <c r="VQ11" s="48"/>
      <c r="VR11" s="48"/>
      <c r="VS11" s="48"/>
      <c r="VT11" s="48"/>
      <c r="VU11" s="48"/>
      <c r="VV11" s="48"/>
      <c r="VW11" s="48"/>
      <c r="VX11" s="48"/>
      <c r="VY11" s="48"/>
      <c r="VZ11" s="48"/>
      <c r="WA11" s="48"/>
      <c r="WB11" s="48"/>
      <c r="WC11" s="48"/>
      <c r="WD11" s="48"/>
      <c r="WE11" s="48"/>
      <c r="WF11" s="48"/>
      <c r="WG11" s="48"/>
      <c r="WH11" s="48"/>
      <c r="WI11" s="48"/>
      <c r="WJ11" s="48"/>
      <c r="WK11" s="48"/>
      <c r="WL11" s="48"/>
      <c r="WM11" s="48"/>
      <c r="WN11" s="48"/>
      <c r="WO11" s="48"/>
      <c r="WP11" s="48"/>
      <c r="WQ11" s="48"/>
      <c r="WR11" s="48"/>
      <c r="WS11" s="48"/>
      <c r="WT11" s="48"/>
      <c r="WU11" s="48"/>
      <c r="WV11" s="48"/>
      <c r="WW11" s="48"/>
      <c r="WX11" s="48"/>
      <c r="WY11" s="48"/>
      <c r="WZ11" s="48"/>
      <c r="XA11" s="48"/>
      <c r="XB11" s="48"/>
      <c r="XC11" s="48"/>
      <c r="XD11" s="48"/>
      <c r="XE11" s="48"/>
      <c r="XF11" s="48"/>
      <c r="XG11" s="48"/>
      <c r="XH11" s="48"/>
      <c r="XI11" s="48"/>
      <c r="XJ11" s="48"/>
      <c r="XK11" s="48"/>
      <c r="XL11" s="48"/>
      <c r="XM11" s="48"/>
      <c r="XN11" s="48"/>
      <c r="XO11" s="48"/>
      <c r="XP11" s="48"/>
      <c r="XQ11" s="48"/>
      <c r="XR11" s="48"/>
      <c r="XS11" s="48"/>
      <c r="XT11" s="48"/>
      <c r="XU11" s="48"/>
      <c r="XV11" s="48"/>
      <c r="XW11" s="48"/>
      <c r="XX11" s="48"/>
      <c r="XY11" s="48"/>
      <c r="XZ11" s="48"/>
      <c r="YA11" s="48"/>
      <c r="YB11" s="48"/>
      <c r="YC11" s="48"/>
      <c r="YD11" s="48"/>
      <c r="YE11" s="48"/>
      <c r="YF11" s="48"/>
      <c r="YG11" s="48"/>
      <c r="YH11" s="48"/>
      <c r="YI11" s="48"/>
      <c r="YJ11" s="48"/>
      <c r="YK11" s="48"/>
      <c r="YL11" s="48"/>
      <c r="YM11" s="48"/>
      <c r="YN11" s="48"/>
      <c r="YO11" s="48"/>
      <c r="YP11" s="48"/>
      <c r="YQ11" s="48"/>
      <c r="YR11" s="48"/>
      <c r="YS11" s="48"/>
      <c r="YT11" s="48"/>
      <c r="YU11" s="48"/>
      <c r="YV11" s="48"/>
      <c r="YW11" s="48"/>
      <c r="YX11" s="48"/>
      <c r="YY11" s="48"/>
      <c r="YZ11" s="48"/>
      <c r="ZA11" s="48"/>
      <c r="ZB11" s="48"/>
      <c r="ZC11" s="48"/>
      <c r="ZD11" s="48"/>
      <c r="ZE11" s="48"/>
      <c r="ZF11" s="48"/>
      <c r="ZG11" s="48"/>
      <c r="ZH11" s="48"/>
      <c r="ZI11" s="48"/>
      <c r="ZJ11" s="48"/>
      <c r="ZK11" s="48"/>
      <c r="ZL11" s="48"/>
      <c r="ZM11" s="48"/>
      <c r="ZN11" s="48"/>
      <c r="ZO11" s="48"/>
      <c r="ZP11" s="48"/>
      <c r="ZQ11" s="48"/>
      <c r="ZR11" s="48"/>
      <c r="ZS11" s="48"/>
      <c r="ZT11" s="48"/>
      <c r="ZU11" s="48"/>
      <c r="ZV11" s="48"/>
      <c r="ZW11" s="48"/>
      <c r="ZX11" s="48"/>
      <c r="ZY11" s="48"/>
      <c r="ZZ11" s="48"/>
      <c r="AAA11" s="48"/>
      <c r="AAB11" s="48"/>
      <c r="AAC11" s="48"/>
      <c r="AAD11" s="48"/>
      <c r="AAE11" s="48"/>
      <c r="AAF11" s="48"/>
      <c r="AAG11" s="48"/>
      <c r="AAH11" s="48"/>
      <c r="AAI11" s="48"/>
      <c r="AAJ11" s="48"/>
      <c r="AAK11" s="48"/>
      <c r="AAL11" s="48"/>
      <c r="AAM11" s="48"/>
      <c r="AAN11" s="48"/>
      <c r="AAO11" s="48"/>
      <c r="AAP11" s="48"/>
      <c r="AAQ11" s="48"/>
      <c r="AAR11" s="48"/>
      <c r="AAS11" s="48"/>
      <c r="AAT11" s="48"/>
      <c r="AAU11" s="48"/>
      <c r="AAV11" s="48"/>
      <c r="AAW11" s="48"/>
      <c r="AAX11" s="48"/>
      <c r="AAY11" s="48"/>
      <c r="AAZ11" s="48"/>
      <c r="ABA11" s="48"/>
      <c r="ABB11" s="48"/>
      <c r="ABC11" s="48"/>
      <c r="ABD11" s="48"/>
      <c r="ABE11" s="48"/>
      <c r="ABF11" s="48"/>
      <c r="ABG11" s="48"/>
      <c r="ABH11" s="48"/>
      <c r="ABI11" s="48"/>
      <c r="ABJ11" s="48"/>
      <c r="ABK11" s="48"/>
      <c r="ABL11" s="48"/>
      <c r="ABM11" s="48"/>
      <c r="ABN11" s="48"/>
      <c r="ABO11" s="48"/>
      <c r="ABP11" s="48"/>
      <c r="ABQ11" s="48"/>
      <c r="ABR11" s="48"/>
      <c r="ABS11" s="48"/>
      <c r="ABT11" s="48"/>
      <c r="ABU11" s="48"/>
      <c r="ABV11" s="48"/>
      <c r="ABW11" s="48"/>
      <c r="ABX11" s="48"/>
      <c r="ABY11" s="48"/>
      <c r="ABZ11" s="48"/>
      <c r="ACA11" s="48"/>
      <c r="ACB11" s="48"/>
      <c r="ACC11" s="48"/>
      <c r="ACD11" s="48"/>
      <c r="ACE11" s="48"/>
      <c r="ACF11" s="48"/>
      <c r="ACG11" s="48"/>
      <c r="ACH11" s="48"/>
      <c r="ACI11" s="48"/>
      <c r="ACJ11" s="48"/>
      <c r="ACK11" s="48"/>
      <c r="ACL11" s="48"/>
      <c r="ACM11" s="48"/>
      <c r="ACN11" s="48"/>
      <c r="ACO11" s="48"/>
      <c r="ACP11" s="48"/>
      <c r="ACQ11" s="48"/>
      <c r="ACR11" s="48"/>
      <c r="ACS11" s="48"/>
      <c r="ACT11" s="48"/>
      <c r="ACU11" s="48"/>
      <c r="ACV11" s="48"/>
      <c r="ACW11" s="48"/>
      <c r="ACX11" s="48"/>
      <c r="ACY11" s="48"/>
      <c r="ACZ11" s="48"/>
      <c r="ADA11" s="48"/>
      <c r="ADB11" s="48"/>
      <c r="ADC11" s="48"/>
      <c r="ADD11" s="48"/>
      <c r="ADE11" s="48"/>
      <c r="ADF11" s="48"/>
      <c r="ADG11" s="48"/>
      <c r="ADH11" s="48"/>
      <c r="ADI11" s="48"/>
      <c r="ADJ11" s="48"/>
      <c r="ADK11" s="48"/>
      <c r="ADL11" s="48"/>
      <c r="ADM11" s="48"/>
      <c r="ADN11" s="48"/>
      <c r="ADO11" s="48"/>
      <c r="ADP11" s="48"/>
      <c r="ADQ11" s="48"/>
      <c r="ADR11" s="48"/>
      <c r="ADS11" s="48"/>
      <c r="ADT11" s="48"/>
      <c r="ADU11" s="48"/>
      <c r="ADV11" s="48"/>
      <c r="ADW11" s="48"/>
      <c r="ADX11" s="48"/>
      <c r="ADY11" s="48"/>
      <c r="ADZ11" s="48"/>
      <c r="AEA11" s="48"/>
      <c r="AEB11" s="48"/>
      <c r="AEC11" s="48"/>
      <c r="AED11" s="48"/>
      <c r="AEE11" s="48"/>
      <c r="AEF11" s="48"/>
      <c r="AEG11" s="48"/>
      <c r="AEH11" s="48"/>
      <c r="AEI11" s="48"/>
      <c r="AEJ11" s="48"/>
      <c r="AEK11" s="48"/>
      <c r="AEL11" s="48"/>
      <c r="AEM11" s="48"/>
      <c r="AEN11" s="48"/>
      <c r="AEO11" s="48"/>
      <c r="AEP11" s="48"/>
      <c r="AEQ11" s="48"/>
      <c r="AER11" s="48"/>
      <c r="AES11" s="48"/>
      <c r="AET11" s="48"/>
      <c r="AEU11" s="48"/>
      <c r="AEV11" s="48"/>
      <c r="AEW11" s="48"/>
      <c r="AEX11" s="48"/>
      <c r="AEY11" s="48"/>
      <c r="AEZ11" s="48"/>
      <c r="AFA11" s="48"/>
      <c r="AFB11" s="48"/>
      <c r="AFC11" s="48"/>
      <c r="AFD11" s="48"/>
      <c r="AFE11" s="48"/>
      <c r="AFF11" s="48"/>
      <c r="AFG11" s="48"/>
      <c r="AFH11" s="48"/>
      <c r="AFI11" s="48"/>
      <c r="AFJ11" s="48"/>
      <c r="AFK11" s="48"/>
      <c r="AFL11" s="48"/>
      <c r="AFM11" s="48"/>
      <c r="AFN11" s="48"/>
      <c r="AFO11" s="48"/>
      <c r="AFP11" s="48"/>
      <c r="AFQ11" s="48"/>
      <c r="AFR11" s="48"/>
      <c r="AFS11" s="48"/>
      <c r="AFT11" s="48"/>
      <c r="AFU11" s="48"/>
      <c r="AFV11" s="48"/>
      <c r="AFW11" s="48"/>
      <c r="AFX11" s="48"/>
      <c r="AFY11" s="48"/>
      <c r="AFZ11" s="48"/>
      <c r="AGA11" s="48"/>
      <c r="AGB11" s="48"/>
      <c r="AGC11" s="48"/>
      <c r="AGD11" s="48"/>
      <c r="AGE11" s="48"/>
      <c r="AGF11" s="48"/>
      <c r="AGG11" s="48"/>
      <c r="AGH11" s="48"/>
      <c r="AGI11" s="48"/>
      <c r="AGJ11" s="48"/>
      <c r="AGK11" s="48"/>
      <c r="AGL11" s="48"/>
      <c r="AGM11" s="48"/>
      <c r="AGN11" s="48"/>
      <c r="AGO11" s="48"/>
      <c r="AGP11" s="48"/>
      <c r="AGQ11" s="48"/>
      <c r="AGR11" s="48"/>
      <c r="AGS11" s="48"/>
      <c r="AGT11" s="48"/>
      <c r="AGU11" s="48"/>
      <c r="AGV11" s="48"/>
      <c r="AGW11" s="48"/>
      <c r="AGX11" s="48"/>
      <c r="AGY11" s="48"/>
      <c r="AGZ11" s="48"/>
      <c r="AHA11" s="48"/>
      <c r="AHB11" s="48"/>
      <c r="AHC11" s="48"/>
      <c r="AHD11" s="48"/>
      <c r="AHE11" s="48"/>
      <c r="AHF11" s="48"/>
      <c r="AHG11" s="48"/>
      <c r="AHH11" s="48"/>
      <c r="AHI11" s="48"/>
      <c r="AHJ11" s="48"/>
      <c r="AHK11" s="48"/>
      <c r="AHL11" s="48"/>
      <c r="AHM11" s="48"/>
      <c r="AHN11" s="48"/>
      <c r="AHO11" s="48"/>
      <c r="AHP11" s="48"/>
      <c r="AHQ11" s="48"/>
      <c r="AHR11" s="48"/>
      <c r="AHS11" s="48"/>
      <c r="AHT11" s="48"/>
      <c r="AHU11" s="48"/>
      <c r="AHV11" s="48"/>
      <c r="AHW11" s="48"/>
      <c r="AHX11" s="48"/>
      <c r="AHY11" s="48"/>
      <c r="AHZ11" s="48"/>
      <c r="AIA11" s="48"/>
      <c r="AIB11" s="48"/>
      <c r="AIC11" s="48"/>
      <c r="AID11" s="48"/>
      <c r="AIE11" s="48"/>
      <c r="AIF11" s="48"/>
      <c r="AIG11" s="48"/>
      <c r="AIH11" s="48"/>
      <c r="AII11" s="48"/>
      <c r="AIJ11" s="48"/>
      <c r="AIK11" s="48"/>
      <c r="AIL11" s="48"/>
      <c r="AIM11" s="48"/>
      <c r="AIN11" s="48"/>
      <c r="AIO11" s="48"/>
      <c r="AIP11" s="48"/>
      <c r="AIQ11" s="48"/>
      <c r="AIR11" s="48"/>
      <c r="AIS11" s="48"/>
      <c r="AIT11" s="48"/>
      <c r="AIU11" s="48"/>
      <c r="AIV11" s="48"/>
      <c r="AIW11" s="48"/>
      <c r="AIX11" s="48"/>
      <c r="AIY11" s="48"/>
      <c r="AIZ11" s="48"/>
      <c r="AJA11" s="48"/>
      <c r="AJB11" s="48"/>
      <c r="AJC11" s="48"/>
      <c r="AJD11" s="48"/>
      <c r="AJE11" s="48"/>
      <c r="AJF11" s="48"/>
      <c r="AJG11" s="48"/>
      <c r="AJH11" s="48"/>
      <c r="AJI11" s="48"/>
      <c r="AJJ11" s="48"/>
      <c r="AJK11" s="48"/>
      <c r="AJL11" s="48"/>
      <c r="AJM11" s="48"/>
      <c r="AJN11" s="48"/>
      <c r="AJO11" s="48"/>
      <c r="AJP11" s="48"/>
      <c r="AJQ11" s="48"/>
      <c r="AJR11" s="48"/>
      <c r="AJS11" s="48"/>
      <c r="AJT11" s="48"/>
      <c r="AJU11" s="48"/>
      <c r="AJV11" s="48"/>
      <c r="AJW11" s="48"/>
      <c r="AJX11" s="48"/>
      <c r="AJY11" s="48"/>
      <c r="AJZ11" s="48"/>
      <c r="AKA11" s="48"/>
      <c r="AKB11" s="48"/>
      <c r="AKC11" s="48"/>
      <c r="AKD11" s="48"/>
      <c r="AKE11" s="48"/>
      <c r="AKF11" s="48"/>
      <c r="AKG11" s="48"/>
      <c r="AKH11" s="48"/>
      <c r="AKI11" s="48"/>
      <c r="AKJ11" s="48"/>
      <c r="AKK11" s="48"/>
      <c r="AKL11" s="48"/>
      <c r="AKM11" s="48"/>
      <c r="AKN11" s="48"/>
      <c r="AKO11" s="48"/>
      <c r="AKP11" s="48"/>
      <c r="AKQ11" s="48"/>
      <c r="AKR11" s="48"/>
      <c r="AKS11" s="48"/>
      <c r="AKT11" s="48"/>
      <c r="AKU11" s="48"/>
      <c r="AKV11" s="48"/>
      <c r="AKW11" s="48"/>
      <c r="AKX11" s="48"/>
      <c r="AKY11" s="48"/>
      <c r="AKZ11" s="48"/>
      <c r="ALA11" s="48"/>
      <c r="ALB11" s="48"/>
      <c r="ALC11" s="48"/>
      <c r="ALD11" s="48"/>
      <c r="ALE11" s="48"/>
      <c r="ALF11" s="48"/>
      <c r="ALG11" s="48"/>
      <c r="ALH11" s="48"/>
      <c r="ALI11" s="48"/>
      <c r="ALJ11" s="48"/>
      <c r="ALK11" s="48"/>
      <c r="ALL11" s="48"/>
      <c r="ALM11" s="48"/>
      <c r="ALN11" s="48"/>
      <c r="ALO11" s="48"/>
      <c r="ALP11" s="48"/>
      <c r="ALQ11" s="48"/>
      <c r="ALR11" s="48"/>
      <c r="ALS11" s="48"/>
      <c r="ALT11" s="48"/>
      <c r="ALU11" s="48"/>
      <c r="ALV11" s="48"/>
      <c r="ALW11" s="48"/>
      <c r="ALX11" s="48"/>
      <c r="ALY11" s="48"/>
      <c r="ALZ11" s="48"/>
      <c r="AMA11" s="48"/>
      <c r="AMB11" s="48"/>
      <c r="AMC11" s="48"/>
      <c r="AMD11" s="48"/>
      <c r="AME11" s="48"/>
      <c r="AMF11" s="48"/>
      <c r="AMG11" s="48"/>
      <c r="AMH11" s="48"/>
      <c r="AMI11" s="48"/>
      <c r="AMJ11" s="48"/>
      <c r="AMK11" s="48"/>
      <c r="AML11" s="4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148</v>
      </c>
      <c r="D3" s="5" t="s">
        <v>9</v>
      </c>
      <c r="E3" s="23" t="s">
        <v>149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37" t="str">
        <f>IFERROR(__xludf.DUMMYFUNCTION("TRANSPOSE(IMPORTRANGE(VLOOKUP($E$3,IMPORTRANGE('_Settings'!$B$3,$C$3&amp;""!A4:B1000""),2,FALSE),$G$3&amp;""!A4:A1000""))"),"")</f>
        <v/>
      </c>
      <c r="B5" s="38" t="str">
        <f>IFERROR(__xludf.DUMMYFUNCTION("""COMPUTED_VALUE"""),"Symbol")</f>
        <v>Symbol</v>
      </c>
      <c r="C5" s="38" t="str">
        <f>IFERROR(__xludf.DUMMYFUNCTION("""COMPUTED_VALUE"""),"Security Name")</f>
        <v>Security Name</v>
      </c>
      <c r="D5" s="38" t="str">
        <f>IFERROR(__xludf.DUMMYFUNCTION("""COMPUTED_VALUE"""),"Fund")</f>
        <v>Fund</v>
      </c>
      <c r="E5" s="38" t="str">
        <f>IFERROR(__xludf.DUMMYFUNCTION("""COMPUTED_VALUE"""),"Account")</f>
        <v>Account</v>
      </c>
      <c r="F5" s="39" t="str">
        <f>IFERROR(__xludf.DUMMYFUNCTION("""COMPUTED_VALUE"""),"Asset Class")</f>
        <v>Asset Class</v>
      </c>
      <c r="G5" s="38" t="str">
        <f>IFERROR(__xludf.DUMMYFUNCTION("""COMPUTED_VALUE"""),"Position")</f>
        <v>Position</v>
      </c>
      <c r="H5" s="38" t="str">
        <f>IFERROR(__xludf.DUMMYFUNCTION("""COMPUTED_VALUE"""),"Position Side")</f>
        <v>Position Side</v>
      </c>
      <c r="I5" s="38" t="str">
        <f>IFERROR(__xludf.DUMMYFUNCTION("""COMPUTED_VALUE"""),"Px Selected Feed (Local)")</f>
        <v>Px Selected Feed (Local)</v>
      </c>
      <c r="J5" s="38" t="str">
        <f>IFERROR(__xludf.DUMMYFUNCTION("""COMPUTED_VALUE"""),"Px Selected Feed (Base)")</f>
        <v>Px Selected Feed (Base)</v>
      </c>
      <c r="K5" s="38" t="str">
        <f>IFERROR(__xludf.DUMMYFUNCTION("""COMPUTED_VALUE"""),"Market Value (Base)")</f>
        <v>Market Value (Base)</v>
      </c>
      <c r="L5" s="38" t="str">
        <f>IFERROR(__xludf.DUMMYFUNCTION("""COMPUTED_VALUE"""),"% Net Market Value (Base)")</f>
        <v>% Net Market Value (Base)</v>
      </c>
      <c r="M5" s="38" t="str">
        <f>IFERROR(__xludf.DUMMYFUNCTION("""COMPUTED_VALUE"""),"Cost Basis P&amp;L (Base)")</f>
        <v>Cost Basis P&amp;L (Base)</v>
      </c>
      <c r="N5" s="38" t="str">
        <f>IFERROR(__xludf.DUMMYFUNCTION("""COMPUTED_VALUE"""),"% Gain/Loss Cost")</f>
        <v>% Gain/Loss Cost</v>
      </c>
      <c r="O5" s="38" t="str">
        <f>IFERROR(__xludf.DUMMYFUNCTION("""COMPUTED_VALUE"""),"Day P&amp;L (Base)")</f>
        <v>Day P&amp;L (Base)</v>
      </c>
      <c r="P5" s="38" t="str">
        <f>IFERROR(__xludf.DUMMYFUNCTION("""COMPUTED_VALUE"""),"% Gain/Loss Day")</f>
        <v>% Gain/Loss Day</v>
      </c>
      <c r="Q5" s="38" t="str">
        <f>IFERROR(__xludf.DUMMYFUNCTION("""COMPUTED_VALUE"""),"Exposure (Base)")</f>
        <v>Exposure (Base)</v>
      </c>
      <c r="R5" s="38" t="str">
        <f>IFERROR(__xludf.DUMMYFUNCTION("""COMPUTED_VALUE"""),"% Exposure (Base)")</f>
        <v>% Exposure (Base)</v>
      </c>
      <c r="S5" s="38" t="str">
        <f>IFERROR(__xludf.DUMMYFUNCTION("""COMPUTED_VALUE"""),"Live Feed Provider Ticker")</f>
        <v>Live Feed Provider Ticker</v>
      </c>
      <c r="T5" s="40" t="str">
        <f>IFERROR(__xludf.DUMMYFUNCTION("""COMPUTED_VALUE"""),"Testing Type")</f>
        <v>Testing Type</v>
      </c>
      <c r="U5" s="40" t="str">
        <f>IFERROR(__xludf.DUMMYFUNCTION("""COMPUTED_VALUE"""),"Testing Column")</f>
        <v>Testing Column</v>
      </c>
      <c r="V5" s="40" t="str">
        <f>IFERROR(__xludf.DUMMYFUNCTION("""COMPUTED_VALUE"""),"Testing Col Value")</f>
        <v>Testing Col Value</v>
      </c>
      <c r="W5" s="40" t="str">
        <f>IFERROR(__xludf.DUMMYFUNCTION("""COMPUTED_VALUE"""),"DuplicateCountOnUI")</f>
        <v>DuplicateCountOnUI</v>
      </c>
      <c r="X5" s="40" t="str">
        <f>IFERROR(__xludf.DUMMYFUNCTION("""COMPUTED_VALUE"""),"DuplicateRow")</f>
        <v>DuplicateRow</v>
      </c>
      <c r="Y5" s="40" t="str">
        <f>IFERROR(__xludf.DUMMYFUNCTION("""COMPUTED_VALUE"""),"TabName")</f>
        <v>TabName</v>
      </c>
      <c r="Z5" s="40" t="str">
        <f>IFERROR(__xludf.DUMMYFUNCTION("""COMPUTED_VALUE"""),"GridDataWidgetName")</f>
        <v>GridDataWidgetName</v>
      </c>
      <c r="AA5" s="40" t="str">
        <f>IFERROR(__xludf.DUMMYFUNCTION("""COMPUTED_VALUE"""),"Bloomberg Symbol")</f>
        <v>Bloomberg Symbol</v>
      </c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40"/>
      <c r="DE5" s="40"/>
      <c r="DF5" s="40"/>
      <c r="DG5" s="40"/>
      <c r="DH5" s="40"/>
      <c r="DI5" s="40"/>
      <c r="DJ5" s="40"/>
      <c r="DK5" s="40"/>
      <c r="DL5" s="40"/>
      <c r="DM5" s="40"/>
      <c r="DN5" s="40"/>
      <c r="DO5" s="40"/>
      <c r="DP5" s="40"/>
      <c r="DQ5" s="40"/>
      <c r="DR5" s="40"/>
      <c r="DS5" s="40"/>
      <c r="DT5" s="40"/>
      <c r="DU5" s="40"/>
      <c r="DV5" s="40"/>
      <c r="DW5" s="40"/>
      <c r="DX5" s="40"/>
      <c r="DY5" s="40"/>
      <c r="DZ5" s="40"/>
      <c r="EA5" s="40"/>
      <c r="EB5" s="40"/>
      <c r="EC5" s="40"/>
      <c r="ED5" s="40"/>
      <c r="EE5" s="40"/>
      <c r="EF5" s="40"/>
      <c r="EG5" s="40"/>
      <c r="EH5" s="40"/>
      <c r="EI5" s="40"/>
      <c r="EJ5" s="40"/>
      <c r="EK5" s="40"/>
      <c r="EL5" s="40"/>
      <c r="EM5" s="40"/>
      <c r="EN5" s="40"/>
      <c r="EO5" s="40"/>
      <c r="EP5" s="40"/>
      <c r="EQ5" s="40"/>
      <c r="ER5" s="40"/>
      <c r="ES5" s="40"/>
      <c r="ET5" s="40"/>
      <c r="EU5" s="40"/>
      <c r="EV5" s="40"/>
      <c r="EW5" s="40"/>
      <c r="EX5" s="40"/>
    </row>
    <row r="6" ht="15.75" customHeight="1">
      <c r="A6" s="13"/>
      <c r="B6" s="13" t="s">
        <v>50</v>
      </c>
      <c r="C6" s="8"/>
      <c r="D6" s="32" t="s">
        <v>134</v>
      </c>
      <c r="E6" s="35" t="s">
        <v>64</v>
      </c>
      <c r="F6" s="35" t="s">
        <v>118</v>
      </c>
      <c r="G6" s="13">
        <v>200.0</v>
      </c>
      <c r="H6" s="13" t="s">
        <v>150</v>
      </c>
      <c r="I6" s="13">
        <v>10.0</v>
      </c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68</v>
      </c>
      <c r="C7" s="8"/>
      <c r="D7" s="35" t="s">
        <v>134</v>
      </c>
      <c r="E7" s="35" t="s">
        <v>64</v>
      </c>
      <c r="F7" s="35" t="s">
        <v>129</v>
      </c>
      <c r="G7" s="13">
        <v>100.0</v>
      </c>
      <c r="H7" s="13" t="s">
        <v>150</v>
      </c>
      <c r="I7" s="13">
        <v>10.0</v>
      </c>
      <c r="J7" s="13">
        <v>10.0</v>
      </c>
      <c r="K7" s="8"/>
      <c r="L7" s="8"/>
      <c r="M7" s="8"/>
      <c r="N7" s="8"/>
      <c r="O7" s="8"/>
    </row>
    <row r="8" ht="15.75" customHeight="1">
      <c r="A8" s="8"/>
      <c r="B8" s="13" t="s">
        <v>53</v>
      </c>
      <c r="C8" s="8"/>
      <c r="D8" s="35" t="s">
        <v>134</v>
      </c>
      <c r="E8" s="35" t="s">
        <v>64</v>
      </c>
      <c r="F8" s="35" t="s">
        <v>118</v>
      </c>
      <c r="G8" s="13">
        <v>200.0</v>
      </c>
      <c r="H8" s="13" t="s">
        <v>150</v>
      </c>
      <c r="I8" s="13">
        <v>10.0</v>
      </c>
      <c r="J8" s="13">
        <v>10.0</v>
      </c>
      <c r="K8" s="8"/>
      <c r="L8" s="8"/>
      <c r="M8" s="8"/>
      <c r="N8" s="8"/>
      <c r="O8" s="8"/>
    </row>
    <row r="9" ht="15.75" customHeight="1">
      <c r="A9" s="8"/>
      <c r="B9" t="s">
        <v>54</v>
      </c>
      <c r="C9" s="8"/>
      <c r="D9" s="35" t="s">
        <v>134</v>
      </c>
      <c r="E9" s="35" t="s">
        <v>64</v>
      </c>
      <c r="F9" t="s">
        <v>126</v>
      </c>
      <c r="G9" s="13">
        <v>200.0</v>
      </c>
      <c r="H9" s="13" t="s">
        <v>150</v>
      </c>
      <c r="I9" s="13">
        <v>10.0</v>
      </c>
      <c r="J9" s="13">
        <v>10.0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35"/>
      <c r="E10" s="35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35"/>
      <c r="E11" s="35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CheckRealTimeSymAccountMonitor!$4:$4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148</v>
      </c>
      <c r="D3" s="5" t="s">
        <v>9</v>
      </c>
      <c r="E3" s="23" t="s">
        <v>151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37" t="str">
        <f>IFERROR(__xludf.DUMMYFUNCTION("TRANSPOSE(IMPORTRANGE(VLOOKUP($E$3,IMPORTRANGE('_Settings'!$B$3,$C$3&amp;""!A4:B1000""),2,FALSE),$G$3&amp;""!A4:A1000""))"),"")</f>
        <v/>
      </c>
      <c r="B5" s="38" t="str">
        <f>IFERROR(__xludf.DUMMYFUNCTION("""COMPUTED_VALUE"""),"OpenWindow")</f>
        <v>OpenWindow</v>
      </c>
      <c r="C5" s="38" t="str">
        <f>IFERROR(__xludf.DUMMYFUNCTION("""COMPUTED_VALUE"""),"TabName")</f>
        <v>TabName</v>
      </c>
      <c r="D5" s="38" t="str">
        <f>IFERROR(__xludf.DUMMYFUNCTION("""COMPUTED_VALUE"""),"Description")</f>
        <v>Description</v>
      </c>
      <c r="E5" s="38" t="str">
        <f>IFERROR(__xludf.DUMMYFUNCTION("""COMPUTED_VALUE"""),"Save?")</f>
        <v>Save?</v>
      </c>
      <c r="F5" s="39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40"/>
      <c r="DE5" s="40"/>
      <c r="DF5" s="40"/>
      <c r="DG5" s="40"/>
      <c r="DH5" s="40"/>
      <c r="DI5" s="40"/>
      <c r="DJ5" s="40"/>
      <c r="DK5" s="40"/>
      <c r="DL5" s="40"/>
      <c r="DM5" s="40"/>
      <c r="DN5" s="40"/>
      <c r="DO5" s="40"/>
      <c r="DP5" s="40"/>
      <c r="DQ5" s="40"/>
      <c r="DR5" s="40"/>
      <c r="DS5" s="40"/>
      <c r="DT5" s="40"/>
      <c r="DU5" s="40"/>
      <c r="DV5" s="40"/>
      <c r="DW5" s="40"/>
      <c r="DX5" s="40"/>
      <c r="DY5" s="40"/>
      <c r="DZ5" s="40"/>
      <c r="EA5" s="40"/>
      <c r="EB5" s="40"/>
      <c r="EC5" s="40"/>
      <c r="ED5" s="40"/>
      <c r="EE5" s="40"/>
      <c r="EF5" s="40"/>
      <c r="EG5" s="40"/>
      <c r="EH5" s="40"/>
      <c r="EI5" s="40"/>
      <c r="EJ5" s="40"/>
      <c r="EK5" s="40"/>
      <c r="EL5" s="40"/>
      <c r="EM5" s="40"/>
      <c r="EN5" s="40"/>
      <c r="EO5" s="40"/>
      <c r="EP5" s="40"/>
      <c r="EQ5" s="40"/>
      <c r="ER5" s="40"/>
      <c r="ES5" s="40"/>
      <c r="ET5" s="40"/>
      <c r="EU5" s="40"/>
      <c r="EV5" s="40"/>
      <c r="EW5" s="40"/>
      <c r="EX5" s="40"/>
    </row>
    <row r="6" ht="15.75" customHeight="1">
      <c r="A6" s="54"/>
      <c r="B6" s="55" t="s">
        <v>152</v>
      </c>
      <c r="C6" s="56"/>
      <c r="D6" s="54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153</v>
      </c>
      <c r="D3" s="5" t="s">
        <v>9</v>
      </c>
      <c r="E3" s="23" t="s">
        <v>154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37" t="str">
        <f>IFERROR(__xludf.DUMMYFUNCTION("TRANSPOSE(IMPORTRANGE(VLOOKUP($E$3,IMPORTRANGE('_Settings'!$B$3,$C$3&amp;""!A4:B1000""),2,FALSE),$G$3&amp;""!A4:A1000""))"),"")</f>
        <v/>
      </c>
      <c r="B5" s="38" t="str">
        <f>IFERROR(__xludf.DUMMYFUNCTION("""COMPUTED_VALUE"""),"LoginUserName")</f>
        <v>LoginUserName</v>
      </c>
      <c r="C5" s="38" t="str">
        <f>IFERROR(__xludf.DUMMYFUNCTION("""COMPUTED_VALUE"""),"LoginPassword")</f>
        <v>LoginPassword</v>
      </c>
      <c r="D5" s="38"/>
      <c r="E5" s="38"/>
      <c r="F5" s="39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40"/>
      <c r="DE5" s="40"/>
      <c r="DF5" s="40"/>
      <c r="DG5" s="40"/>
      <c r="DH5" s="40"/>
      <c r="DI5" s="40"/>
      <c r="DJ5" s="40"/>
      <c r="DK5" s="40"/>
      <c r="DL5" s="40"/>
      <c r="DM5" s="40"/>
      <c r="DN5" s="40"/>
      <c r="DO5" s="40"/>
      <c r="DP5" s="40"/>
      <c r="DQ5" s="40"/>
      <c r="DR5" s="40"/>
      <c r="DS5" s="40"/>
      <c r="DT5" s="40"/>
      <c r="DU5" s="40"/>
      <c r="DV5" s="40"/>
      <c r="DW5" s="40"/>
      <c r="DX5" s="40"/>
      <c r="DY5" s="40"/>
      <c r="DZ5" s="40"/>
      <c r="EA5" s="40"/>
      <c r="EB5" s="40"/>
      <c r="EC5" s="40"/>
      <c r="ED5" s="40"/>
      <c r="EE5" s="40"/>
      <c r="EF5" s="40"/>
      <c r="EG5" s="40"/>
      <c r="EH5" s="40"/>
      <c r="EI5" s="40"/>
      <c r="EJ5" s="40"/>
      <c r="EK5" s="40"/>
      <c r="EL5" s="40"/>
      <c r="EM5" s="40"/>
      <c r="EN5" s="40"/>
      <c r="EO5" s="40"/>
      <c r="EP5" s="40"/>
      <c r="EQ5" s="40"/>
      <c r="ER5" s="40"/>
      <c r="ES5" s="40"/>
      <c r="ET5" s="40"/>
      <c r="EU5" s="40"/>
      <c r="EV5" s="40"/>
      <c r="EW5" s="40"/>
      <c r="EX5" s="40"/>
    </row>
    <row r="6" ht="15.75" customHeight="1">
      <c r="A6" s="13"/>
      <c r="B6" s="13" t="s">
        <v>155</v>
      </c>
      <c r="C6" s="13" t="s">
        <v>156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37" t="str">
        <f>IFERROR(__xludf.DUMMYFUNCTION("TRANSPOSE(IMPORTRANGE(VLOOKUP($E$3,IMPORTRANGE('_Settings'!$B$3,$C$3&amp;""!A4:B1000""),2,FALSE),$G$3&amp;""!A4:A1000""))"),"")</f>
        <v/>
      </c>
      <c r="B5" s="38" t="str">
        <f>IFERROR(__xludf.DUMMYFUNCTION("""COMPUTED_VALUE"""),"Symbol")</f>
        <v>Symbol</v>
      </c>
      <c r="C5" s="38" t="str">
        <f>IFERROR(__xludf.DUMMYFUNCTION("""COMPUTED_VALUE"""),"Order Side")</f>
        <v>Order Side</v>
      </c>
      <c r="D5" s="38" t="str">
        <f>IFERROR(__xludf.DUMMYFUNCTION("""COMPUTED_VALUE"""),"Quantity")</f>
        <v>Quantity</v>
      </c>
      <c r="E5" s="38" t="str">
        <f>IFERROR(__xludf.DUMMYFUNCTION("""COMPUTED_VALUE"""),"TargetQuantityIn")</f>
        <v>TargetQuantityIn</v>
      </c>
      <c r="F5" s="39" t="str">
        <f>IFERROR(__xludf.DUMMYFUNCTION("""COMPUTED_VALUE"""),"AllocationMethod")</f>
        <v>AllocationMethod</v>
      </c>
      <c r="G5" s="38" t="str">
        <f>IFERROR(__xludf.DUMMYFUNCTION("""COMPUTED_VALUE"""),"Broker")</f>
        <v>Broker</v>
      </c>
      <c r="H5" s="38" t="str">
        <f>IFERROR(__xludf.DUMMYFUNCTION("""COMPUTED_VALUE"""),"TIF")</f>
        <v>TIF</v>
      </c>
      <c r="I5" s="38" t="str">
        <f>IFERROR(__xludf.DUMMYFUNCTION("""COMPUTED_VALUE"""),"Order Type")</f>
        <v>Order Type</v>
      </c>
      <c r="J5" s="38" t="str">
        <f>IFERROR(__xludf.DUMMYFUNCTION("""COMPUTED_VALUE"""),"Price")</f>
        <v>Price</v>
      </c>
      <c r="K5" s="38" t="str">
        <f>IFERROR(__xludf.DUMMYFUNCTION("""COMPUTED_VALUE"""),"Stop")</f>
        <v>Stop</v>
      </c>
      <c r="L5" s="38" t="str">
        <f>IFERROR(__xludf.DUMMYFUNCTION("""COMPUTED_VALUE"""),"Limit")</f>
        <v>Limit</v>
      </c>
      <c r="M5" s="38" t="str">
        <f>IFERROR(__xludf.DUMMYFUNCTION("""COMPUTED_VALUE"""),"Strategy")</f>
        <v>Strategy</v>
      </c>
      <c r="N5" s="38" t="str">
        <f>IFERROR(__xludf.DUMMYFUNCTION("""COMPUTED_VALUE"""),"Trade Date")</f>
        <v>Trade Date</v>
      </c>
      <c r="O5" s="38" t="str">
        <f>IFERROR(__xludf.DUMMYFUNCTION("""COMPUTED_VALUE"""),"FxRate")</f>
        <v>FxRate</v>
      </c>
      <c r="P5" s="38" t="str">
        <f>IFERROR(__xludf.DUMMYFUNCTION("""COMPUTED_VALUE"""),"Notes")</f>
        <v>Notes</v>
      </c>
      <c r="Q5" s="38" t="str">
        <f>IFERROR(__xludf.DUMMYFUNCTION("""COMPUTED_VALUE"""),"Broker Notes")</f>
        <v>Broker Notes</v>
      </c>
      <c r="R5" s="38" t="str">
        <f>IFERROR(__xludf.DUMMYFUNCTION("""COMPUTED_VALUE"""),"CommissionBasis")</f>
        <v>CommissionBasis</v>
      </c>
      <c r="S5" s="38" t="str">
        <f>IFERROR(__xludf.DUMMYFUNCTION("""COMPUTED_VALUE"""),"CommissionRate")</f>
        <v>CommissionRate</v>
      </c>
      <c r="T5" s="40" t="str">
        <f>IFERROR(__xludf.DUMMYFUNCTION("""COMPUTED_VALUE"""),"SoftBasis")</f>
        <v>SoftBasis</v>
      </c>
      <c r="U5" s="40" t="str">
        <f>IFERROR(__xludf.DUMMYFUNCTION("""COMPUTED_VALUE"""),"SoftRate")</f>
        <v>SoftRate</v>
      </c>
      <c r="V5" s="40" t="str">
        <f>IFERROR(__xludf.DUMMYFUNCTION("""COMPUTED_VALUE"""),"TradeAttribute1")</f>
        <v>TradeAttribute1</v>
      </c>
      <c r="W5" s="40" t="str">
        <f>IFERROR(__xludf.DUMMYFUNCTION("""COMPUTED_VALUE"""),"TradeAttribute2")</f>
        <v>TradeAttribute2</v>
      </c>
      <c r="X5" s="40" t="str">
        <f>IFERROR(__xludf.DUMMYFUNCTION("""COMPUTED_VALUE"""),"TradeAttribute3")</f>
        <v>TradeAttribute3</v>
      </c>
      <c r="Y5" s="40" t="str">
        <f>IFERROR(__xludf.DUMMYFUNCTION("""COMPUTED_VALUE"""),"TradeAttribute4")</f>
        <v>TradeAttribute4</v>
      </c>
      <c r="Z5" s="40" t="str">
        <f>IFERROR(__xludf.DUMMYFUNCTION("""COMPUTED_VALUE"""),"TradeAttribute5")</f>
        <v>TradeAttribute5</v>
      </c>
      <c r="AA5" s="40" t="str">
        <f>IFERROR(__xludf.DUMMYFUNCTION("""COMPUTED_VALUE"""),"TradeAttribute6")</f>
        <v>TradeAttribute6</v>
      </c>
      <c r="AB5" s="40" t="str">
        <f>IFERROR(__xludf.DUMMYFUNCTION("""COMPUTED_VALUE"""),"Venue")</f>
        <v>Venue</v>
      </c>
      <c r="AC5" s="40" t="str">
        <f>IFERROR(__xludf.DUMMYFUNCTION("""COMPUTED_VALUE"""),"ExecutionInstructions")</f>
        <v>ExecutionInstructions</v>
      </c>
      <c r="AD5" s="40" t="str">
        <f>IFERROR(__xludf.DUMMYFUNCTION("""COMPUTED_VALUE"""),"HandlingInstructions")</f>
        <v>HandlingInstructions</v>
      </c>
      <c r="AE5" s="40" t="str">
        <f>IFERROR(__xludf.DUMMYFUNCTION("""COMPUTED_VALUE"""),"Trader")</f>
        <v>Trader</v>
      </c>
      <c r="AF5" s="40" t="str">
        <f>IFERROR(__xludf.DUMMYFUNCTION("""COMPUTED_VALUE"""),"SettlementCurrency")</f>
        <v>SettlementCurrency</v>
      </c>
      <c r="AG5" s="40" t="str">
        <f>IFERROR(__xludf.DUMMYFUNCTION("""COMPUTED_VALUE"""),"SettlementFXRate")</f>
        <v>SettlementFXRate</v>
      </c>
      <c r="AH5" s="40" t="str">
        <f>IFERROR(__xludf.DUMMYFUNCTION("""COMPUTED_VALUE"""),"SettlementAmount")</f>
        <v>SettlementAmount</v>
      </c>
      <c r="AI5" s="40" t="str">
        <f>IFERROR(__xludf.DUMMYFUNCTION("""COMPUTED_VALUE"""),"SettlementFXOperator")</f>
        <v>SettlementFXOperator</v>
      </c>
      <c r="AJ5" s="40" t="str">
        <f>IFERROR(__xludf.DUMMYFUNCTION("""COMPUTED_VALUE"""),"SettleByBroker")</f>
        <v>SettleByBroker</v>
      </c>
      <c r="AK5" s="40" t="str">
        <f>IFERROR(__xludf.DUMMYFUNCTION("""COMPUTED_VALUE"""),"Account")</f>
        <v>Account</v>
      </c>
      <c r="AL5" s="40" t="str">
        <f>IFERROR(__xludf.DUMMYFUNCTION("""COMPUTED_VALUE"""),"Account %")</f>
        <v>Account %</v>
      </c>
      <c r="AM5" s="40" t="str">
        <f>IFERROR(__xludf.DUMMYFUNCTION("""COMPUTED_VALUE"""),"Deal In")</f>
        <v>Deal In</v>
      </c>
      <c r="AN5" s="40" t="str">
        <f>IFERROR(__xludf.DUMMYFUNCTION("""COMPUTED_VALUE"""),"ChkBoxBookAsSwap")</f>
        <v>ChkBoxBookAsSwap</v>
      </c>
      <c r="AO5" s="40" t="str">
        <f>IFERROR(__xludf.DUMMYFUNCTION("""COMPUTED_VALUE"""),"PopUpQuantity")</f>
        <v>PopUpQuantity</v>
      </c>
      <c r="AP5" s="40" t="str">
        <f>IFERROR(__xludf.DUMMYFUNCTION("""COMPUTED_VALUE"""),"ShortLocate")</f>
        <v>ShortLocate</v>
      </c>
      <c r="AQ5" s="40" t="str">
        <f>IFERROR(__xludf.DUMMYFUNCTION("""COMPUTED_VALUE"""),"AllowTrade")</f>
        <v>AllowTrade</v>
      </c>
      <c r="AR5" s="40" t="str">
        <f>IFERROR(__xludf.DUMMYFUNCTION("""COMPUTED_VALUE"""),"SharesOutstandingPopUpQty")</f>
        <v>SharesOutstandingPopUpQty</v>
      </c>
      <c r="AS5" s="40" t="str">
        <f>IFERROR(__xludf.DUMMYFUNCTION("""COMPUTED_VALUE"""),"SharesOutstandingPopUp")</f>
        <v>SharesOutstandingPopUp</v>
      </c>
      <c r="AT5" s="40" t="str">
        <f>IFERROR(__xludf.DUMMYFUNCTION("""COMPUTED_VALUE"""),"ResAllowedListPopUp")</f>
        <v>ResAllowedListPopUp</v>
      </c>
      <c r="AU5" s="40" t="str">
        <f>IFERROR(__xludf.DUMMYFUNCTION("""COMPUTED_VALUE"""),"Rate(%)")</f>
        <v>Rate(%)</v>
      </c>
      <c r="AV5" s="40" t="str">
        <f>IFERROR(__xludf.DUMMYFUNCTION("""COMPUTED_VALUE"""),"Interest Rate")</f>
        <v>Interest Rate</v>
      </c>
      <c r="AW5" s="40" t="str">
        <f>IFERROR(__xludf.DUMMYFUNCTION("""COMPUTED_VALUE"""),"SelectAlgoStrategy")</f>
        <v>SelectAlgoStrategy</v>
      </c>
      <c r="AX5" s="40" t="str">
        <f>IFERROR(__xludf.DUMMYFUNCTION("""COMPUTED_VALUE"""),"Increase/Decrease Quantity")</f>
        <v>Increase/Decrease Quantity</v>
      </c>
      <c r="AY5" s="40" t="str">
        <f>IFERROR(__xludf.DUMMYFUNCTION("""COMPUTED_VALUE"""),"Master Funds")</f>
        <v>Master Funds</v>
      </c>
      <c r="AZ5" s="40" t="str">
        <f>IFERROR(__xludf.DUMMYFUNCTION("""COMPUTED_VALUE"""),"TRVAccountName")</f>
        <v>TRVAccountName</v>
      </c>
      <c r="BA5" s="40" t="str">
        <f>IFERROR(__xludf.DUMMYFUNCTION("""COMPUTED_VALUE"""),"TRVTradeQuantity")</f>
        <v>TRVTradeQuantity</v>
      </c>
      <c r="BB5" s="40" t="str">
        <f>IFERROR(__xludf.DUMMYFUNCTION("""COMPUTED_VALUE"""),"TRVCurrentPosition")</f>
        <v>TRVCurrentPosition</v>
      </c>
      <c r="BC5" s="40" t="str">
        <f>IFERROR(__xludf.DUMMYFUNCTION("""COMPUTED_VALUE"""),"TRVNav")</f>
        <v>TRVNav</v>
      </c>
      <c r="BD5" s="40" t="str">
        <f>IFERROR(__xludf.DUMMYFUNCTION("""COMPUTED_VALUE"""),"Account QTY")</f>
        <v>Account QTY</v>
      </c>
      <c r="BE5" s="40" t="str">
        <f>IFERROR(__xludf.DUMMYFUNCTION("""COMPUTED_VALUE"""),"DoneAwayClickOnNO")</f>
        <v>DoneAwayClickOnNO</v>
      </c>
      <c r="BF5" s="40" t="str">
        <f>IFERROR(__xludf.DUMMYFUNCTION("""COMPUTED_VALUE"""),"HotbuttonQty")</f>
        <v>HotbuttonQty</v>
      </c>
      <c r="BG5" s="40" t="str">
        <f>IFERROR(__xludf.DUMMYFUNCTION("""COMPUTED_VALUE"""),"HotButtonPrice")</f>
        <v>HotButtonPrice</v>
      </c>
      <c r="BH5" s="40" t="str">
        <f>IFERROR(__xludf.DUMMYFUNCTION("""COMPUTED_VALUE"""),"HotButtonLimit")</f>
        <v>HotButtonLimit</v>
      </c>
      <c r="BI5" s="40" t="str">
        <f>IFERROR(__xludf.DUMMYFUNCTION("""COMPUTED_VALUE"""),"HotButtonStop")</f>
        <v>HotButtonStop</v>
      </c>
      <c r="BJ5" s="40" t="str">
        <f>IFERROR(__xludf.DUMMYFUNCTION("""COMPUTED_VALUE"""),"Broker PadLock")</f>
        <v>Broker PadLock</v>
      </c>
      <c r="BK5" s="40" t="str">
        <f>IFERROR(__xludf.DUMMYFUNCTION("""COMPUTED_VALUE"""),"TradeBy")</f>
        <v>TradeBy</v>
      </c>
      <c r="BL5" s="40" t="str">
        <f>IFERROR(__xludf.DUMMYFUNCTION("""COMPUTED_VALUE"""),"PendingApprovalPopUp")</f>
        <v>PendingApprovalPopUp</v>
      </c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40"/>
      <c r="DE5" s="40"/>
      <c r="DF5" s="40"/>
      <c r="DG5" s="40"/>
      <c r="DH5" s="40"/>
      <c r="DI5" s="40"/>
      <c r="DJ5" s="40"/>
      <c r="DK5" s="40"/>
      <c r="DL5" s="40"/>
      <c r="DM5" s="40"/>
      <c r="DN5" s="40"/>
      <c r="DO5" s="40"/>
      <c r="DP5" s="40"/>
      <c r="DQ5" s="40"/>
      <c r="DR5" s="40"/>
      <c r="DS5" s="40"/>
      <c r="DT5" s="40"/>
      <c r="DU5" s="40"/>
      <c r="DV5" s="40"/>
      <c r="DW5" s="40"/>
      <c r="DX5" s="40"/>
      <c r="DY5" s="40"/>
      <c r="DZ5" s="40"/>
      <c r="EA5" s="40"/>
      <c r="EB5" s="40"/>
      <c r="EC5" s="40"/>
      <c r="ED5" s="40"/>
      <c r="EE5" s="40"/>
      <c r="EF5" s="40"/>
      <c r="EG5" s="40"/>
      <c r="EH5" s="40"/>
      <c r="EI5" s="40"/>
      <c r="EJ5" s="40"/>
      <c r="EK5" s="40"/>
      <c r="EL5" s="40"/>
      <c r="EM5" s="40"/>
      <c r="EN5" s="40"/>
      <c r="EO5" s="40"/>
      <c r="EP5" s="40"/>
      <c r="EQ5" s="40"/>
      <c r="ER5" s="40"/>
      <c r="ES5" s="40"/>
      <c r="ET5" s="40"/>
      <c r="EU5" s="40"/>
      <c r="EV5" s="40"/>
      <c r="EW5" s="40"/>
      <c r="EX5" s="40"/>
    </row>
    <row r="6" ht="15.75" customHeight="1">
      <c r="A6" s="13"/>
      <c r="B6" s="13" t="s">
        <v>157</v>
      </c>
      <c r="C6" s="8"/>
      <c r="D6" s="13" t="s">
        <v>158</v>
      </c>
      <c r="E6" s="4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