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  <sheet state="visible" name="CheckAllocatedTaxlots" sheetId="13" r:id="rId15"/>
    <sheet state="visible" name="CleanUp" sheetId="14" r:id="rId16"/>
    <sheet state="visible" name="Copy of Data" sheetId="15" r:id="rId17"/>
  </sheets>
  <definedNames/>
  <calcPr/>
</workbook>
</file>

<file path=xl/sharedStrings.xml><?xml version="1.0" encoding="utf-8"?>
<sst xmlns="http://schemas.openxmlformats.org/spreadsheetml/2006/main" count="318" uniqueCount="57">
  <si>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</si>
  <si>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</si>
  <si>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</si>
  <si>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</si>
  <si>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</si>
  <si>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</si>
  <si>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</si>
  <si>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</si>
  <si>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</si>
  <si>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</si>
  <si>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</si>
  <si>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</si>
  <si>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</si>
  <si>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</si>
  <si>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</si>
  <si>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</si>
  <si>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</si>
  <si>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</si>
  <si>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</si>
  <si>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</si>
  <si>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</si>
  <si>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</si>
  <si>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</si>
  <si>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</si>
  <si>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</si>
  <si>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</si>
  <si>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</si>
  <si>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</si>
  <si>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</si>
  <si>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</si>
  <si>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</si>
  <si>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</si>
  <si>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</si>
  <si>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</si>
  <si>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</si>
  <si>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</si>
  <si>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</si>
  <si>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</si>
  <si>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</si>
  <si>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</si>
  <si>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</si>
  <si>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</si>
  <si>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</si>
  <si>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</si>
  <si>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</si>
  <si>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</si>
  <si>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M</t>
  </si>
  <si>
    <t>Market</t>
  </si>
  <si>
    <t>GCCAP1</t>
  </si>
  <si>
    <t>US</t>
  </si>
  <si>
    <t>jpearce</t>
  </si>
  <si>
    <t>NONE</t>
  </si>
  <si>
    <t>CheckAllocatedTaxlots</t>
  </si>
  <si>
    <t>InternalOrder</t>
  </si>
  <si>
    <t>CleanUp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</si>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</sst>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16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16</v>
      </c>
      <c r="C6" s="34" t="s">
        <v>18</v>
      </c>
      <c r="D6" s="13">
        <v>25.285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4" t="s">
        <v>19</v>
      </c>
      <c r="D7" s="13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IFERROR(__xludf.DUMMYFUNCTION("""COMPUTED_VALUE"""),"StrategyName")</f>
        <v>StrategyName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16</v>
      </c>
      <c r="C6" s="34" t="s">
        <v>18</v>
      </c>
      <c r="D6" s="35" t="s">
        <v>21</v>
      </c>
      <c r="E6" s="13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32" t="s">
        <v>16</v>
      </c>
      <c r="C7" s="34" t="s">
        <v>18</v>
      </c>
      <c r="D7" s="36" t="s">
        <v>22</v>
      </c>
      <c r="E7" s="13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16</v>
      </c>
      <c r="C8" s="34" t="s">
        <v>19</v>
      </c>
      <c r="D8" t="s">
        <v>23</v>
      </c>
      <c r="E8" s="13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32" t="s">
        <v>25</v>
      </c>
      <c r="C6" s="38"/>
      <c r="D6" s="39" t="s">
        <v>26</v>
      </c>
      <c r="E6" s="38"/>
      <c r="F6" s="38"/>
      <c r="G6" s="40" t="b">
        <v>0</v>
      </c>
      <c r="H6" s="41" t="s">
        <v>16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29</v>
      </c>
      <c r="C6" s="13" t="s">
        <v>30</v>
      </c>
      <c r="D6" s="13">
        <v>1000.0</v>
      </c>
      <c r="E6" s="13">
        <v>1000.0</v>
      </c>
      <c r="F6" s="13" t="s">
        <v>31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29</v>
      </c>
      <c r="C6" s="13" t="s">
        <v>30</v>
      </c>
      <c r="D6" s="13">
        <v>1000.0</v>
      </c>
      <c r="E6" s="33"/>
      <c r="F6" s="8"/>
      <c r="G6" s="8"/>
      <c r="H6" s="8"/>
      <c r="I6" s="13">
        <v>10000.0</v>
      </c>
      <c r="J6" s="13" t="s">
        <v>30</v>
      </c>
      <c r="K6" s="13">
        <v>10000.0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36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43" t="s">
        <v>38</v>
      </c>
      <c r="C6" s="8" t="s">
        <v>39</v>
      </c>
      <c r="D6" s="43">
        <v>0.0</v>
      </c>
      <c r="E6" s="8">
        <v>1000.0</v>
      </c>
      <c r="F6" s="8" t="s">
        <v>16</v>
      </c>
      <c r="G6" s="44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39</v>
      </c>
      <c r="O6" s="8" t="s">
        <v>42</v>
      </c>
      <c r="Q6">
        <v>3.0</v>
      </c>
      <c r="R6">
        <v>0.0</v>
      </c>
      <c r="S6" t="s">
        <v>43</v>
      </c>
      <c r="T6">
        <v>0.0</v>
      </c>
      <c r="U6">
        <v>0.0</v>
      </c>
      <c r="X6" t="s">
        <v>39</v>
      </c>
      <c r="Y6" t="s">
        <v>39</v>
      </c>
      <c r="Z6" t="s">
        <v>44</v>
      </c>
      <c r="AA6" t="s">
        <v>29</v>
      </c>
      <c r="AB6">
        <v>1.0</v>
      </c>
      <c r="AD6" t="s">
        <v>45</v>
      </c>
      <c r="AE6">
        <v>1000.0</v>
      </c>
      <c r="AF6" t="s">
        <v>39</v>
      </c>
      <c r="AH6" t="s">
        <v>46</v>
      </c>
      <c r="AI6">
        <v>1.0</v>
      </c>
      <c r="AN6" t="b">
        <v>0</v>
      </c>
      <c r="AQ6" t="b">
        <v>0</v>
      </c>
      <c r="AR6" t="b">
        <v>0</v>
      </c>
      <c r="AT6">
        <v>10014.0056</v>
      </c>
      <c r="AU6">
        <v>10014.0056</v>
      </c>
      <c r="AW6">
        <v>0.0</v>
      </c>
      <c r="AX6">
        <v>0.0</v>
      </c>
      <c r="AY6" t="s">
        <v>47</v>
      </c>
      <c r="AZ6">
        <v>0.0</v>
      </c>
      <c r="BC6">
        <v>0.0</v>
      </c>
      <c r="BE6">
        <v>10000.0</v>
      </c>
      <c r="BF6">
        <v>10000.0</v>
      </c>
      <c r="BJ6">
        <v>1000.0</v>
      </c>
      <c r="BK6">
        <v>0.0</v>
      </c>
      <c r="BL6" t="s">
        <v>39</v>
      </c>
      <c r="BM6" t="s">
        <v>44</v>
      </c>
      <c r="BO6" t="s">
        <v>30</v>
      </c>
      <c r="BP6">
        <v>0.0</v>
      </c>
      <c r="BQ6">
        <v>0.0</v>
      </c>
      <c r="BS6" t="s">
        <v>38</v>
      </c>
      <c r="BT6" t="s">
        <v>29</v>
      </c>
      <c r="BU6">
        <v>3.0</v>
      </c>
      <c r="BV6">
        <v>0.0</v>
      </c>
      <c r="BX6">
        <v>0.0</v>
      </c>
      <c r="CF6" t="s">
        <v>48</v>
      </c>
      <c r="CG6">
        <v>2.0</v>
      </c>
      <c r="CH6" t="s">
        <v>27</v>
      </c>
      <c r="CI6" t="s">
        <v>30</v>
      </c>
      <c r="CJ6">
        <v>0.0</v>
      </c>
      <c r="CK6" t="s">
        <v>49</v>
      </c>
      <c r="CL6">
        <v>1.0</v>
      </c>
      <c r="CM6" t="s">
        <v>29</v>
      </c>
      <c r="CN6" t="s">
        <v>50</v>
      </c>
      <c r="CO6" t="s">
        <v>45</v>
      </c>
      <c r="CP6" t="s">
        <v>51</v>
      </c>
      <c r="CS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J6" t="s">
        <v>30</v>
      </c>
      <c r="EP6" t="s">
        <v>39</v>
      </c>
      <c r="FA6" t="s">
        <v>39</v>
      </c>
      <c r="FB6" t="s">
        <v>39</v>
      </c>
      <c r="FC6" t="s">
        <v>39</v>
      </c>
      <c r="FE6" t="s">
        <v>39</v>
      </c>
      <c r="FF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IFERROR(__xludf.DUMMYFUNCTION("""COMPUTED_VALUE"""),"Net Amount(Local)")</f>
        <v>Net Amount(Local)</v>
      </c>
      <c r="C5" s="29" t="str">
        <f>IFERROR(__xludf.DUMMYFUNCTION("""COMPUTED_VALUE"""),"Net Amount(Base)")</f>
        <v>Net Amount(Base)</v>
      </c>
      <c r="D5" s="29" t="str">
        <f>IFERROR(__xludf.DUMMYFUNCTION("""COMPUTED_VALUE"""),"Principal Amount(Local)")</f>
        <v>Principal Amount(Local)</v>
      </c>
      <c r="E5" s="29" t="str">
        <f>IFERROR(__xludf.DUMMYFUNCTION("""COMPUTED_VALUE"""),"Principal Amount(Base)")</f>
        <v>Principal Amount(Base)</v>
      </c>
      <c r="F5" s="30" t="str">
        <f>IFERROR(__xludf.DUMMYFUNCTION("""COMPUTED_VALUE"""),"FX Conversion Operator")</f>
        <v>FX Conversion Operator</v>
      </c>
      <c r="G5" s="29" t="str">
        <f>IFERROR(__xludf.DUMMYFUNCTION("""COMPUTED_VALUE"""),"TaxLotID")</f>
        <v>TaxLotID</v>
      </c>
      <c r="H5" s="29" t="str">
        <f>IFERROR(__xludf.DUMMYFUNCTION("""COMPUTED_VALUE"""),"Settlement Currency")</f>
        <v>Settlement Currency</v>
      </c>
      <c r="I5" s="29" t="str">
        <f>IFERROR(__xludf.DUMMYFUNCTION("""COMPUTED_VALUE"""),"Trade Attribute 1")</f>
        <v>Trade Attribute 1</v>
      </c>
      <c r="J5" s="29" t="str">
        <f>IFERROR(__xludf.DUMMYFUNCTION("""COMPUTED_VALUE"""),"Trade Attribute 2")</f>
        <v>Trade Attribute 2</v>
      </c>
      <c r="K5" s="29" t="str">
        <f>IFERROR(__xludf.DUMMYFUNCTION("""COMPUTED_VALUE"""),"Trade Attribute 3")</f>
        <v>Trade Attribute 3</v>
      </c>
      <c r="L5" s="29" t="str">
        <f>IFERROR(__xludf.DUMMYFUNCTION("""COMPUTED_VALUE"""),"Trade Attribute 4")</f>
        <v>Trade Attribute 4</v>
      </c>
      <c r="M5" s="29" t="str">
        <f>IFERROR(__xludf.DUMMYFUNCTION("""COMPUTED_VALUE"""),"Trade Attribute 5")</f>
        <v>Trade Attribute 5</v>
      </c>
      <c r="N5" s="29" t="str">
        <f>IFERROR(__xludf.DUMMYFUNCTION("""COMPUTED_VALUE"""),"Trade Attribute 6")</f>
        <v>Trade Attribute 6</v>
      </c>
      <c r="O5" s="29" t="str">
        <f>IFERROR(__xludf.DUMMYFUNCTION("""COMPUTED_VALUE"""),"Account Name")</f>
        <v>Account Name</v>
      </c>
      <c r="P5" s="29" t="str">
        <f>IFERROR(__xludf.DUMMYFUNCTION("""COMPUTED_VALUE"""),"Strategy Name")</f>
        <v>Strategy Name</v>
      </c>
      <c r="Q5" s="29" t="str">
        <f>IFERROR(__xludf.DUMMYFUNCTION("""COMPUTED_VALUE"""),"Percentage")</f>
        <v>Percentage</v>
      </c>
      <c r="R5" s="29" t="str">
        <f>IFERROR(__xludf.DUMMYFUNCTION("""COMPUTED_VALUE"""),"Taxlot Qty")</f>
        <v>Taxlot Qty</v>
      </c>
      <c r="S5" s="29" t="str">
        <f>IFERROR(__xludf.DUMMYFUNCTION("""COMPUTED_VALUE"""),"Commission")</f>
        <v>Commission</v>
      </c>
      <c r="T5" s="31" t="str">
        <f>IFERROR(__xludf.DUMMYFUNCTION("""COMPUTED_VALUE"""),"Soft Commission")</f>
        <v>Soft Commission</v>
      </c>
      <c r="U5" s="31" t="str">
        <f>IFERROR(__xludf.DUMMYFUNCTION("""COMPUTED_VALUE"""),"Other Broker Fees")</f>
        <v>Other Broker Fees</v>
      </c>
      <c r="V5" s="31" t="str">
        <f>IFERROR(__xludf.DUMMYFUNCTION("""COMPUTED_VALUE"""),"Clearing Broker Fees")</f>
        <v>Clearing Broker Fees</v>
      </c>
      <c r="W5" s="31" t="str">
        <f>IFERROR(__xludf.DUMMYFUNCTION("""COMPUTED_VALUE"""),"Stamp Duty")</f>
        <v>Stamp Duty</v>
      </c>
      <c r="X5" s="31" t="str">
        <f>IFERROR(__xludf.DUMMYFUNCTION("""COMPUTED_VALUE"""),"Transaction Levy")</f>
        <v>Transaction Levy</v>
      </c>
      <c r="Y5" s="31" t="str">
        <f>IFERROR(__xludf.DUMMYFUNCTION("""COMPUTED_VALUE"""),"AUEC Fee1")</f>
        <v>AUEC Fee1</v>
      </c>
      <c r="Z5" s="31" t="str">
        <f>IFERROR(__xludf.DUMMYFUNCTION("""COMPUTED_VALUE"""),"Tax On Commissions")</f>
        <v>Tax On Commissions</v>
      </c>
      <c r="AA5" s="31" t="str">
        <f>IFERROR(__xludf.DUMMYFUNCTION("""COMPUTED_VALUE"""),"AUEC Fee2")</f>
        <v>AUEC Fee2</v>
      </c>
      <c r="AB5" s="31" t="str">
        <f>IFERROR(__xludf.DUMMYFUNCTION("""COMPUTED_VALUE"""),"SEC Fee")</f>
        <v>SEC Fee</v>
      </c>
      <c r="AC5" s="31" t="str">
        <f>IFERROR(__xludf.DUMMYFUNCTION("""COMPUTED_VALUE"""),"OCC Fee")</f>
        <v>OCC Fee</v>
      </c>
      <c r="AD5" s="31" t="str">
        <f>IFERROR(__xludf.DUMMYFUNCTION("""COMPUTED_VALUE"""),"ORF Fee")</f>
        <v>ORF Fee</v>
      </c>
      <c r="AE5" s="31" t="str">
        <f>IFERROR(__xludf.DUMMYFUNCTION("""COMPUTED_VALUE"""),"Option Premium Adjustment")</f>
        <v>Option Premium Adjustment</v>
      </c>
      <c r="AF5" s="31" t="str">
        <f>IFERROR(__xludf.DUMMYFUNCTION("""COMPUTED_VALUE"""),"Closing Status")</f>
        <v>Closing Status</v>
      </c>
      <c r="AG5" s="31" t="str">
        <f>IFERROR(__xludf.DUMMYFUNCTION("""COMPUTED_VALUE"""),"External Transaction ID")</f>
        <v>External Transaction ID</v>
      </c>
      <c r="AH5" s="31" t="str">
        <f>IFERROR(__xludf.DUMMYFUNCTION("""COMPUTED_VALUE"""),"Lot ID")</f>
        <v>Lot ID</v>
      </c>
      <c r="AI5" s="31" t="str">
        <f>IFERROR(__xludf.DUMMYFUNCTION("""COMPUTED_VALUE"""),"AvgPriceBase")</f>
        <v>AvgPriceBase</v>
      </c>
      <c r="AJ5" s="31" t="str">
        <f>IFERROR(__xludf.DUMMYFUNCTION("""COMPUTED_VALUE"""),"Accrued Interest")</f>
        <v>Accrued Interest</v>
      </c>
      <c r="AK5" s="31" t="str">
        <f>IFERROR(__xludf.DUMMYFUNCTION("""COMPUTED_VALUE"""),"FXRate")</f>
        <v>FXRate</v>
      </c>
      <c r="AL5" s="31" t="str">
        <f>IFERROR(__xludf.DUMMYFUNCTION("""COMPUTED_VALUE"""),"Change Type")</f>
        <v>Change Type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43">
        <v>7480.4621832</v>
      </c>
      <c r="C6" s="8">
        <v>7480.4621832</v>
      </c>
      <c r="D6" s="43">
        <v>7470.0</v>
      </c>
      <c r="E6" s="8">
        <v>7470.0</v>
      </c>
      <c r="F6" s="8" t="s">
        <v>46</v>
      </c>
      <c r="G6" s="8"/>
      <c r="H6" s="8" t="s">
        <v>44</v>
      </c>
      <c r="I6" s="8"/>
      <c r="J6" s="8"/>
      <c r="K6" s="8"/>
      <c r="L6" s="8"/>
      <c r="M6" s="8"/>
      <c r="N6" s="8"/>
      <c r="O6" s="8" t="s">
        <v>19</v>
      </c>
      <c r="P6" t="s">
        <v>23</v>
      </c>
      <c r="Q6">
        <v>74.69999695</v>
      </c>
      <c r="R6">
        <v>747.0</v>
      </c>
      <c r="S6">
        <v>0.0</v>
      </c>
      <c r="T6">
        <v>0.0</v>
      </c>
      <c r="U6">
        <v>0.0</v>
      </c>
      <c r="V6">
        <v>0.0</v>
      </c>
      <c r="Y6">
        <v>2.988</v>
      </c>
      <c r="Z6">
        <v>2.241</v>
      </c>
      <c r="AA6">
        <v>3.735</v>
      </c>
      <c r="AB6">
        <v>0.0</v>
      </c>
      <c r="AC6">
        <v>0.0</v>
      </c>
      <c r="AD6">
        <v>0.0</v>
      </c>
      <c r="AE6">
        <v>0.0</v>
      </c>
      <c r="AF6" t="s">
        <v>43</v>
      </c>
      <c r="AI6">
        <v>10.0</v>
      </c>
      <c r="AJ6">
        <v>0.0</v>
      </c>
      <c r="AK6">
        <v>1.0</v>
      </c>
      <c r="AM6" t="s">
        <v>39</v>
      </c>
      <c r="AN6" t="s">
        <v>39</v>
      </c>
      <c r="AO6" t="s">
        <v>39</v>
      </c>
      <c r="AP6" t="s">
        <v>39</v>
      </c>
      <c r="AQ6" t="s">
        <v>39</v>
      </c>
      <c r="AR6" t="s">
        <v>39</v>
      </c>
      <c r="AS6" t="s">
        <v>39</v>
      </c>
      <c r="AT6" t="s">
        <v>39</v>
      </c>
      <c r="AU6" t="s">
        <v>39</v>
      </c>
      <c r="AV6">
        <v>44658.34861111111</v>
      </c>
      <c r="AW6">
        <v>0.0</v>
      </c>
      <c r="AX6">
        <v>0.0</v>
      </c>
      <c r="AY6" t="s">
        <v>47</v>
      </c>
      <c r="AZ6">
        <v>0.0</v>
      </c>
      <c r="BA6">
        <v>44658.34861111111</v>
      </c>
      <c r="BC6">
        <v>0.0</v>
      </c>
      <c r="BD6" t="s">
        <v>53</v>
      </c>
      <c r="BE6" t="s">
        <v>39</v>
      </c>
      <c r="BF6" t="s">
        <v>39</v>
      </c>
      <c r="BG6">
        <v>44658.34861111111</v>
      </c>
      <c r="BI6" t="s">
        <v>39</v>
      </c>
      <c r="BJ6" t="s">
        <v>39</v>
      </c>
      <c r="BK6">
        <v>0.0</v>
      </c>
      <c r="BL6" t="s">
        <v>39</v>
      </c>
      <c r="BM6" t="s">
        <v>44</v>
      </c>
      <c r="BN6">
        <v>44661.34861111111</v>
      </c>
      <c r="BO6" t="s">
        <v>30</v>
      </c>
      <c r="BP6">
        <v>0.0</v>
      </c>
      <c r="BQ6">
        <v>0.0</v>
      </c>
      <c r="BR6">
        <v>0.0041832</v>
      </c>
      <c r="BS6" t="s">
        <v>23</v>
      </c>
      <c r="BT6" t="s">
        <v>29</v>
      </c>
      <c r="BU6">
        <v>2.241</v>
      </c>
      <c r="BV6">
        <v>0.0</v>
      </c>
      <c r="BW6">
        <v>14.0056</v>
      </c>
      <c r="BX6">
        <v>0.0</v>
      </c>
      <c r="CE6">
        <v>44658.34861111111</v>
      </c>
      <c r="CF6" t="s">
        <v>48</v>
      </c>
      <c r="CG6">
        <v>1.494</v>
      </c>
      <c r="CH6" t="s">
        <v>27</v>
      </c>
      <c r="CJ6" t="s">
        <v>39</v>
      </c>
      <c r="CK6" t="s">
        <v>49</v>
      </c>
      <c r="CL6">
        <v>1.0</v>
      </c>
      <c r="CM6" t="s">
        <v>29</v>
      </c>
      <c r="CN6" t="s">
        <v>50</v>
      </c>
      <c r="CO6" t="s">
        <v>45</v>
      </c>
      <c r="CP6" t="s">
        <v>51</v>
      </c>
      <c r="CQ6">
        <v>-36521.5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EP6" t="s">
        <v>39</v>
      </c>
      <c r="FA6" t="s">
        <v>39</v>
      </c>
      <c r="FB6" t="s">
        <v>39</v>
      </c>
      <c r="FC6" t="s">
        <v>39</v>
      </c>
      <c r="FE6" t="s">
        <v>39</v>
      </c>
      <c r="FF6" t="s">
        <v>39</v>
      </c>
    </row>
    <row r="7" ht="15.75" customHeight="1">
      <c r="A7" s="8"/>
      <c r="B7" s="8">
        <v>100.140056</v>
      </c>
      <c r="C7" s="8">
        <v>100.140056</v>
      </c>
      <c r="D7" s="8">
        <v>100.0</v>
      </c>
      <c r="E7" s="8">
        <v>100.0</v>
      </c>
      <c r="F7" s="8" t="s">
        <v>46</v>
      </c>
      <c r="G7" s="8"/>
      <c r="H7" s="8" t="s">
        <v>44</v>
      </c>
      <c r="I7" s="8"/>
      <c r="J7" s="8"/>
      <c r="K7" s="8"/>
      <c r="L7" s="8"/>
      <c r="M7" s="8"/>
      <c r="N7" s="8"/>
      <c r="O7" s="8" t="s">
        <v>18</v>
      </c>
      <c r="P7" t="s">
        <v>21</v>
      </c>
      <c r="Q7">
        <v>1.0</v>
      </c>
      <c r="R7">
        <v>10.0</v>
      </c>
      <c r="S7">
        <v>0.0</v>
      </c>
      <c r="T7">
        <v>0.0</v>
      </c>
      <c r="U7">
        <v>0.0</v>
      </c>
      <c r="V7">
        <v>0.0</v>
      </c>
      <c r="Y7">
        <v>0.04</v>
      </c>
      <c r="Z7">
        <v>0.03</v>
      </c>
      <c r="AA7">
        <v>0.05</v>
      </c>
      <c r="AB7">
        <v>0.0</v>
      </c>
      <c r="AC7">
        <v>0.0</v>
      </c>
      <c r="AD7">
        <v>0.0</v>
      </c>
      <c r="AE7">
        <v>0.0</v>
      </c>
      <c r="AF7" t="s">
        <v>43</v>
      </c>
      <c r="AI7">
        <v>10.0</v>
      </c>
      <c r="AJ7">
        <v>0.0</v>
      </c>
      <c r="AK7">
        <v>1.0</v>
      </c>
      <c r="AM7" t="s">
        <v>39</v>
      </c>
      <c r="AN7" t="s">
        <v>39</v>
      </c>
      <c r="AO7" t="s">
        <v>39</v>
      </c>
      <c r="AP7" t="s">
        <v>39</v>
      </c>
      <c r="AQ7" t="s">
        <v>39</v>
      </c>
      <c r="AR7" t="s">
        <v>39</v>
      </c>
      <c r="AS7" t="s">
        <v>39</v>
      </c>
      <c r="AT7" t="s">
        <v>39</v>
      </c>
      <c r="AU7" t="s">
        <v>39</v>
      </c>
      <c r="AW7">
        <v>0.0</v>
      </c>
      <c r="AX7">
        <v>0.0</v>
      </c>
      <c r="AZ7">
        <v>0.0</v>
      </c>
      <c r="BC7">
        <v>0.0</v>
      </c>
      <c r="BE7" t="s">
        <v>39</v>
      </c>
      <c r="BF7" t="s">
        <v>39</v>
      </c>
      <c r="BI7" t="s">
        <v>39</v>
      </c>
      <c r="BJ7" t="s">
        <v>39</v>
      </c>
      <c r="BK7">
        <v>0.0</v>
      </c>
      <c r="BL7" t="s">
        <v>39</v>
      </c>
      <c r="BM7" t="s">
        <v>44</v>
      </c>
      <c r="BP7">
        <v>0.0</v>
      </c>
      <c r="BR7">
        <v>5.6E-5</v>
      </c>
      <c r="BS7" t="s">
        <v>21</v>
      </c>
      <c r="BU7">
        <v>0.03</v>
      </c>
      <c r="CG7">
        <v>0.02</v>
      </c>
      <c r="CJ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EP7" t="s">
        <v>39</v>
      </c>
      <c r="FA7" t="s">
        <v>39</v>
      </c>
      <c r="FB7" t="s">
        <v>39</v>
      </c>
      <c r="FC7" t="s">
        <v>39</v>
      </c>
      <c r="FE7" t="s">
        <v>39</v>
      </c>
      <c r="FF7" t="s">
        <v>39</v>
      </c>
    </row>
    <row r="8" ht="15.75" customHeight="1">
      <c r="A8" s="8"/>
      <c r="B8" s="8">
        <v>2433.4033608</v>
      </c>
      <c r="C8" s="8">
        <v>2433.4033608</v>
      </c>
      <c r="D8" s="8">
        <v>2430.0</v>
      </c>
      <c r="E8" s="8">
        <v>2430.0</v>
      </c>
      <c r="F8" s="8" t="s">
        <v>46</v>
      </c>
      <c r="G8" s="8"/>
      <c r="H8" s="8" t="s">
        <v>44</v>
      </c>
      <c r="I8" s="8"/>
      <c r="J8" s="8"/>
      <c r="K8" s="8"/>
      <c r="L8" s="8"/>
      <c r="M8" s="8"/>
      <c r="N8" s="8"/>
      <c r="O8" s="8" t="s">
        <v>18</v>
      </c>
      <c r="P8" t="s">
        <v>22</v>
      </c>
      <c r="Q8">
        <v>24.29999924</v>
      </c>
      <c r="R8">
        <v>243.0</v>
      </c>
      <c r="S8">
        <v>0.0</v>
      </c>
      <c r="T8">
        <v>0.0</v>
      </c>
      <c r="U8">
        <v>0.0</v>
      </c>
      <c r="V8">
        <v>0.0</v>
      </c>
      <c r="Y8">
        <v>0.972</v>
      </c>
      <c r="Z8">
        <v>0.729</v>
      </c>
      <c r="AA8">
        <v>1.215</v>
      </c>
      <c r="AB8">
        <v>0.0</v>
      </c>
      <c r="AC8">
        <v>0.0</v>
      </c>
      <c r="AD8">
        <v>0.0</v>
      </c>
      <c r="AE8">
        <v>0.0</v>
      </c>
      <c r="AF8" t="s">
        <v>43</v>
      </c>
      <c r="AI8">
        <v>10.0</v>
      </c>
      <c r="AJ8">
        <v>0.0</v>
      </c>
      <c r="AK8">
        <v>1.0</v>
      </c>
      <c r="AM8" t="s">
        <v>39</v>
      </c>
      <c r="AN8" t="s">
        <v>39</v>
      </c>
      <c r="AO8" t="s">
        <v>39</v>
      </c>
      <c r="AP8" t="s">
        <v>39</v>
      </c>
      <c r="AQ8" t="s">
        <v>39</v>
      </c>
      <c r="AR8" t="s">
        <v>39</v>
      </c>
      <c r="AS8" t="s">
        <v>39</v>
      </c>
      <c r="AT8" t="s">
        <v>39</v>
      </c>
      <c r="AU8" t="s">
        <v>39</v>
      </c>
      <c r="AW8">
        <v>0.0</v>
      </c>
      <c r="AX8">
        <v>0.0</v>
      </c>
      <c r="AZ8">
        <v>0.0</v>
      </c>
      <c r="BC8">
        <v>0.0</v>
      </c>
      <c r="BE8" t="s">
        <v>39</v>
      </c>
      <c r="BF8" t="s">
        <v>39</v>
      </c>
      <c r="BI8" t="s">
        <v>39</v>
      </c>
      <c r="BJ8" t="s">
        <v>39</v>
      </c>
      <c r="BK8">
        <v>0.0</v>
      </c>
      <c r="BL8" t="s">
        <v>39</v>
      </c>
      <c r="BM8" t="s">
        <v>44</v>
      </c>
      <c r="BP8">
        <v>0.0</v>
      </c>
      <c r="BR8">
        <v>0.0013608</v>
      </c>
      <c r="BS8" t="s">
        <v>22</v>
      </c>
      <c r="BU8">
        <v>0.729</v>
      </c>
      <c r="CG8">
        <v>0.486</v>
      </c>
      <c r="CJ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EP8" t="s">
        <v>39</v>
      </c>
      <c r="FA8" t="s">
        <v>39</v>
      </c>
      <c r="FB8" t="s">
        <v>39</v>
      </c>
      <c r="FC8" t="s">
        <v>39</v>
      </c>
      <c r="FE8" t="s">
        <v>39</v>
      </c>
      <c r="FF8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IFERROR(__xludf.DUMMYFUNCTION("TRANSPOSE(IMPORTRANGE(VLOOKUP($E$3,IMPORTRANGE('_Settings'!$B$3,$C$3&amp;""!A4:B1000""),2,FALSE),$G$3&amp;""!A4:A1000""))"),"#REF!")</f>
        <v>#REF!</v>
      </c>
      <c r="B5" s="29"/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55</v>
      </c>
      <c r="C6" s="8"/>
      <c r="D6" s="13" t="s">
        <v>56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55</v>
      </c>
      <c r="C6" s="8"/>
      <c r="D6" s="13" t="s">
        <v>56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