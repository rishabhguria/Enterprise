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VerifyRowCalculationBaseWindow" sheetId="12" r:id="rId14"/>
    <sheet state="visible" name="VerifySymbolDivisorWindow" sheetId="13" r:id="rId15"/>
    <sheet state="visible" name="VerifyTaxlotWindow" sheetId="14" r:id="rId16"/>
    <sheet state="visible" name="VerifyAggAccountSymbolWithNav" sheetId="15" r:id="rId17"/>
    <sheet state="visible" name="SelectTrade2" sheetId="16" r:id="rId18"/>
    <sheet state="visible" name="RejectTrade" sheetId="17" r:id="rId19"/>
    <sheet state="visible" name="VerifySymbolDivisorWindow1" sheetId="18" r:id="rId20"/>
    <sheet state="visible" name="VerifyRowCalculationBaseWindow1" sheetId="19" r:id="rId21"/>
    <sheet state="visible" name="VerifyTaxlotWindow1" sheetId="20" r:id="rId22"/>
    <sheet state="visible" name="VerifyAggAccountSymbolWithNav1" sheetId="21" r:id="rId23"/>
    <sheet state="visible" name="SelectTradeOnOrderGrid1" sheetId="22" r:id="rId24"/>
    <sheet state="visible" name="CancelSubOrder1" sheetId="23" r:id="rId25"/>
    <sheet state="visible" name="VerifyRowCalculationBaseWindow2" sheetId="24" r:id="rId26"/>
    <sheet state="visible" name="VerifyTaxlotWindow2" sheetId="25" r:id="rId27"/>
    <sheet state="visible" name="VerifySymbolDivisorWindow2" sheetId="26" r:id="rId28"/>
    <sheet state="visible" name="VerifyAggAccountSymbolWithNav2" sheetId="27" r:id="rId29"/>
    <sheet state="visible" name="VerifyOrder" sheetId="28" r:id="rId30"/>
    <sheet state="visible" name="SelectTradeOnOrderGrid2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<sst xmlns="http://schemas.openxmlformats.org/spreadsheetml/2006/main" count="494" uniqueCount="71">
  <si>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</si>
  <si>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</si>
  <si>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</si>
  <si>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</si>
  <si>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</si>
  <si>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</si>
  <si>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</si>
  <si>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</si>
  <si>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</si>
  <si>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</si>
  <si>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</si>
  <si>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</si>
  <si>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</si>
  <si>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</si>
  <si>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</si>
  <si>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</si>
  <si>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</si>
  <si>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</si>
  <si>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</si>
  <si>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</si>
  <si>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</si>
  <si>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</si>
  <si>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</si>
  <si>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</si>
  <si>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</si>
  <si>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</si>
  <si>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</si>
  <si>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</si>
  <si>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</si>
  <si>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</si>
  <si>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</si>
  <si>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</si>
  <si>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</si>
  <si>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</si>
  <si>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</si>
  <si>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</si>
  <si>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CancelSubOrder</t>
  </si>
  <si>
    <t>Compliance</t>
  </si>
  <si>
    <t>VerifyRowCalculationBaseWindow</t>
  </si>
  <si>
    <t>InTradeMarket</t>
  </si>
  <si>
    <t>Allocation1</t>
  </si>
  <si>
    <t>Allocation2</t>
  </si>
  <si>
    <t>Post</t>
  </si>
  <si>
    <t>VerifySymbolDivisorWindow</t>
  </si>
  <si>
    <t>VerifyTaxlotWindow</t>
  </si>
  <si>
    <t>VerifyAggAccountSymbolWithNav</t>
  </si>
  <si>
    <t>Account-Symbol</t>
  </si>
  <si>
    <t>RejectTrade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</si>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</sst>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b/>
      <sz val="10.0"/>
      <color rgb="FFFFFFFF"/>
      <name val="Calibri"/>
    </font>
    <font>
      <sz val="10.0"/>
      <name val="Calibri"/>
    </font>
    <font>
      <sz val="10.0"/>
      <color rgb="FFFFFFFF"/>
      <name val="Calibri"/>
    </font>
    <font>
      <sz val="10.0"/>
      <color rgb="FFD9D9D9"/>
      <name val="Calibri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6" fontId="3" numFmtId="0" xfId="0" applyAlignment="1" applyFont="1">
      <alignment readingOrder="0"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14" numFmtId="0" xfId="0" applyAlignment="1" applyFont="1">
      <alignment horizontal="center" shrinkToFit="0" wrapText="0"/>
    </xf>
    <xf borderId="1" fillId="2" fontId="14" numFmtId="0" xfId="0" applyAlignment="1" applyBorder="1" applyFont="1">
      <alignment horizontal="center" shrinkToFit="0" wrapText="0"/>
    </xf>
    <xf borderId="0" fillId="2" fontId="15" numFmtId="0" xfId="0" applyFont="1"/>
    <xf borderId="0" fillId="0" fontId="15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0" fontId="15" numFmtId="0" xfId="0" applyFont="1"/>
    <xf borderId="0" fillId="3" fontId="14" numFmtId="0" xfId="0" applyAlignment="1" applyFont="1">
      <alignment shrinkToFit="0" wrapText="0"/>
    </xf>
    <xf borderId="4" fillId="3" fontId="14" numFmtId="0" xfId="0" applyAlignment="1" applyBorder="1" applyFont="1">
      <alignment shrinkToFit="0" wrapText="0"/>
    </xf>
    <xf borderId="4" fillId="3" fontId="16" numFmtId="0" xfId="0" applyAlignment="1" applyBorder="1" applyFont="1">
      <alignment readingOrder="0" shrinkToFit="0" wrapText="0"/>
    </xf>
    <xf borderId="4" fillId="3" fontId="16" numFmtId="0" xfId="0" applyAlignment="1" applyBorder="1" applyFont="1">
      <alignment shrinkToFit="0" wrapText="0"/>
    </xf>
    <xf borderId="0" fillId="3" fontId="16" numFmtId="0" xfId="0" applyFont="1"/>
    <xf borderId="0" fillId="4" fontId="17" numFmtId="0" xfId="0" applyAlignment="1" applyFont="1">
      <alignment shrinkToFit="0" wrapText="0"/>
    </xf>
    <xf borderId="0" fillId="4" fontId="17" numFmtId="0" xfId="0" applyFont="1"/>
    <xf borderId="0" fillId="5" fontId="14" numFmtId="0" xfId="0" applyAlignment="1" applyFont="1">
      <alignment shrinkToFit="0" wrapText="0"/>
    </xf>
    <xf borderId="4" fillId="5" fontId="14" numFmtId="0" xfId="0" applyAlignment="1" applyBorder="1" applyFont="1">
      <alignment shrinkToFit="0" wrapText="0"/>
    </xf>
    <xf borderId="4" fillId="5" fontId="14" numFmtId="0" xfId="0" applyAlignment="1" applyBorder="1" applyFont="1">
      <alignment readingOrder="0" shrinkToFit="0" wrapText="0"/>
    </xf>
    <xf borderId="0" fillId="5" fontId="16" numFmtId="0" xfId="0" applyFont="1"/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5" fillId="7" fontId="18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44792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/>
      <c r="O6" s="35"/>
      <c r="P6" s="42"/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45" t="s">
        <v>32</v>
      </c>
      <c r="AL6" s="45">
        <v>100.0</v>
      </c>
      <c r="AM6" s="46">
        <v>50.0</v>
      </c>
      <c r="AN6" s="46">
        <v>50.0</v>
      </c>
      <c r="AO6" s="47"/>
      <c r="AP6" s="47"/>
      <c r="AQ6" s="48"/>
      <c r="AR6" s="48"/>
      <c r="AS6" s="47" t="s">
        <v>33</v>
      </c>
      <c r="AT6" s="45" t="s">
        <v>34</v>
      </c>
      <c r="AU6" s="47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1">
        <v>25.0</v>
      </c>
      <c r="K6" s="51">
        <v>25.0</v>
      </c>
      <c r="L6" s="51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41">
        <v>250.0</v>
      </c>
      <c r="AC6" s="39"/>
      <c r="AD6" s="41">
        <v>250.0</v>
      </c>
      <c r="AE6" s="39"/>
      <c r="AF6" s="39"/>
      <c r="AG6" s="54">
        <v>25.0</v>
      </c>
      <c r="AH6" s="41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1">
        <v>25.0</v>
      </c>
      <c r="K7" s="51">
        <v>25.0</v>
      </c>
      <c r="L7" s="51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41">
        <v>250.0</v>
      </c>
      <c r="AC7" s="39"/>
      <c r="AD7" s="41">
        <v>250.0</v>
      </c>
      <c r="AE7" s="39"/>
      <c r="AF7" s="39"/>
      <c r="AG7" s="54">
        <v>25.0</v>
      </c>
      <c r="AH7" s="41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1">
        <v>25.0</v>
      </c>
      <c r="K8" s="51">
        <v>25.0</v>
      </c>
      <c r="L8" s="51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41">
        <v>250.0</v>
      </c>
      <c r="AC8" s="39"/>
      <c r="AD8" s="41">
        <v>250.0</v>
      </c>
      <c r="AE8" s="39"/>
      <c r="AF8" s="39"/>
      <c r="AG8" s="54">
        <v>25.0</v>
      </c>
      <c r="AH8" s="4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1">
        <v>25.0</v>
      </c>
      <c r="K9" s="51">
        <v>25.0</v>
      </c>
      <c r="L9" s="51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41">
        <v>250.0</v>
      </c>
      <c r="AC9" s="39"/>
      <c r="AD9" s="41">
        <v>250.0</v>
      </c>
      <c r="AE9" s="39"/>
      <c r="AF9" s="39"/>
      <c r="AG9" s="54">
        <v>25.0</v>
      </c>
      <c r="AH9" s="4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5" t="s">
        <v>21</v>
      </c>
      <c r="D6" s="34"/>
      <c r="E6" s="55"/>
      <c r="F6" s="55" t="s">
        <v>39</v>
      </c>
      <c r="G6" s="55"/>
      <c r="H6" s="55" t="s">
        <v>21</v>
      </c>
      <c r="I6" s="41">
        <v>25.0</v>
      </c>
      <c r="J6" s="41">
        <v>10.0</v>
      </c>
      <c r="K6" s="55"/>
      <c r="L6" s="55"/>
      <c r="M6" s="55"/>
      <c r="N6" s="55"/>
      <c r="O6" s="55"/>
      <c r="P6" s="55"/>
      <c r="Q6" s="55"/>
      <c r="R6" s="55"/>
      <c r="S6" s="5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5"/>
      <c r="B7" s="55"/>
      <c r="C7" s="55" t="s">
        <v>21</v>
      </c>
      <c r="D7" s="55"/>
      <c r="E7" s="55"/>
      <c r="F7" s="55" t="s">
        <v>39</v>
      </c>
      <c r="G7" s="55"/>
      <c r="H7" s="55" t="s">
        <v>21</v>
      </c>
      <c r="I7" s="41">
        <v>25.0</v>
      </c>
      <c r="J7" s="41">
        <v>10.0</v>
      </c>
      <c r="K7" s="55"/>
      <c r="L7" s="55"/>
      <c r="M7" s="55"/>
      <c r="N7" s="55"/>
      <c r="O7" s="55"/>
      <c r="P7" s="55"/>
      <c r="Q7" s="55"/>
      <c r="R7" s="55"/>
      <c r="S7" s="5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9"/>
      <c r="E8" s="39"/>
      <c r="F8" s="39" t="s">
        <v>42</v>
      </c>
      <c r="G8" s="39"/>
      <c r="H8" s="39" t="s">
        <v>21</v>
      </c>
      <c r="I8" s="56">
        <v>25.0</v>
      </c>
      <c r="J8" s="41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9"/>
      <c r="E9" s="39"/>
      <c r="F9" s="39" t="s">
        <v>42</v>
      </c>
      <c r="G9" s="39"/>
      <c r="H9" s="39" t="s">
        <v>21</v>
      </c>
      <c r="I9" s="56">
        <v>25.0</v>
      </c>
      <c r="J9" s="41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62"/>
      <c r="B6" s="62" t="s">
        <v>42</v>
      </c>
      <c r="C6" s="55"/>
      <c r="D6" s="62" t="s">
        <v>46</v>
      </c>
      <c r="E6" s="49" t="s">
        <v>41</v>
      </c>
      <c r="F6" s="4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55"/>
      <c r="AH6" s="55"/>
      <c r="AI6" s="55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49" t="s">
        <v>40</v>
      </c>
      <c r="F7" s="4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55"/>
      <c r="AH7" s="55"/>
      <c r="AI7" s="55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1">
        <v>25.0</v>
      </c>
      <c r="K6" s="51">
        <v>25.0</v>
      </c>
      <c r="L6" s="51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54">
        <v>250.0</v>
      </c>
      <c r="AC6" s="39"/>
      <c r="AD6" s="54">
        <v>250.0</v>
      </c>
      <c r="AE6" s="39"/>
      <c r="AF6" s="39"/>
      <c r="AG6" s="54">
        <v>25.0</v>
      </c>
      <c r="AH6" s="54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1">
        <v>25.0</v>
      </c>
      <c r="K7" s="51">
        <v>25.0</v>
      </c>
      <c r="L7" s="51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54">
        <v>250.0</v>
      </c>
      <c r="AC7" s="39"/>
      <c r="AD7" s="54">
        <v>250.0</v>
      </c>
      <c r="AE7" s="39"/>
      <c r="AF7" s="39"/>
      <c r="AG7" s="54">
        <v>25.0</v>
      </c>
      <c r="AH7" s="54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1">
        <v>25.0</v>
      </c>
      <c r="K8" s="51">
        <v>25.0</v>
      </c>
      <c r="L8" s="51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54">
        <v>250.0</v>
      </c>
      <c r="AC8" s="39"/>
      <c r="AD8" s="54">
        <v>250.0</v>
      </c>
      <c r="AE8" s="39"/>
      <c r="AF8" s="39"/>
      <c r="AG8" s="54">
        <v>25.0</v>
      </c>
      <c r="AH8" s="54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1">
        <v>25.0</v>
      </c>
      <c r="K9" s="51">
        <v>25.0</v>
      </c>
      <c r="L9" s="51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54">
        <v>250.0</v>
      </c>
      <c r="AC9" s="39"/>
      <c r="AD9" s="54">
        <v>250.0</v>
      </c>
      <c r="AE9" s="39"/>
      <c r="AF9" s="39"/>
      <c r="AG9" s="54">
        <v>25.0</v>
      </c>
      <c r="AH9" s="54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65"/>
      <c r="B1" s="66" t="s">
        <v>11</v>
      </c>
      <c r="C1" s="2"/>
      <c r="D1" s="2"/>
      <c r="E1" s="2"/>
      <c r="F1" s="2"/>
      <c r="G1" s="2"/>
      <c r="H1" s="3"/>
      <c r="I1" s="65"/>
      <c r="J1" s="65"/>
      <c r="K1" s="65"/>
      <c r="L1" s="65"/>
      <c r="M1" s="65"/>
      <c r="N1" s="65"/>
      <c r="O1" s="65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</row>
    <row r="2" ht="15.75" customHeight="1">
      <c r="A2" s="68"/>
      <c r="B2" s="68"/>
      <c r="C2" s="68"/>
      <c r="D2" s="68"/>
      <c r="E2" s="68"/>
      <c r="F2" s="68"/>
      <c r="G2" s="68"/>
      <c r="H2" s="68"/>
      <c r="I2" s="68"/>
      <c r="J2" s="69" t="str">
        <f> VLOOKUP($E$3,'_MasterData'!B4:D1000,3,FALSE)</f>
        <v>#N/A</v>
      </c>
      <c r="K2" s="69"/>
      <c r="L2" s="68"/>
      <c r="M2" s="68"/>
      <c r="N2" s="68"/>
      <c r="O2" s="68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</row>
    <row r="3" ht="15.75" customHeight="1">
      <c r="A3" s="71"/>
      <c r="B3" s="72" t="s">
        <v>8</v>
      </c>
      <c r="C3" s="73" t="s">
        <v>37</v>
      </c>
      <c r="D3" s="72" t="s">
        <v>9</v>
      </c>
      <c r="E3" s="73" t="s">
        <v>44</v>
      </c>
      <c r="F3" s="72" t="s">
        <v>14</v>
      </c>
      <c r="G3" s="74" t="s">
        <v>15</v>
      </c>
      <c r="H3" s="72"/>
      <c r="I3" s="71"/>
      <c r="J3" s="71"/>
      <c r="K3" s="71"/>
      <c r="L3" s="71"/>
      <c r="M3" s="71"/>
      <c r="N3" s="71"/>
      <c r="O3" s="71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</row>
    <row r="4" ht="15.75" customHeight="1">
      <c r="A4" s="76"/>
      <c r="B4" s="76" t="str">
        <f>IFERROR(__xludf.DUMMYFUNCTION("IF(C3="""","""",Transpose(IMPORTRANGE('_Settings'!$B$3,C3&amp;""!A4:A1000"")))"),"CheckCompliance")</f>
        <v>CheckCompliance</v>
      </c>
      <c r="C4" s="76" t="str">
        <f>IFERROR(__xludf.DUMMYFUNCTION("""COMPUTED_VALUE"""),"VerifyAccountDivisorWindow")</f>
        <v>VerifyAccountDivisorWindow</v>
      </c>
      <c r="D4" s="76" t="str">
        <f>IFERROR(__xludf.DUMMYFUNCTION("""COMPUTED_VALUE"""),"VerifyAccountSymbolDivisorWindow")</f>
        <v>VerifyAccountSymbolDivisorWindow</v>
      </c>
      <c r="E4" s="76" t="str">
        <f>IFERROR(__xludf.DUMMYFUNCTION("""COMPUTED_VALUE"""),"VerifyAggregationAccountSymbolWithNav")</f>
        <v>VerifyAggregationAccountSymbolWithNav</v>
      </c>
      <c r="F4" s="76" t="str">
        <f>IFERROR(__xludf.DUMMYFUNCTION("""COMPUTED_VALUE"""),"VerifyAggregationAccountWithNav")</f>
        <v>VerifyAggregationAccountWithNav</v>
      </c>
      <c r="G4" s="76" t="str">
        <f>IFERROR(__xludf.DUMMYFUNCTION("""COMPUTED_VALUE"""),"VerifyAggregationMasterFundSymbolWithNav")</f>
        <v>VerifyAggregationMasterFundSymbolWithNav</v>
      </c>
      <c r="H4" s="76" t="str">
        <f>IFERROR(__xludf.DUMMYFUNCTION("""COMPUTED_VALUE"""),"VerifyAggregationMasterFundUnderlyingSymbolWithNav")</f>
        <v>VerifyAggregationMasterFundUnderlyingSymbolWithNav</v>
      </c>
      <c r="I4" s="76" t="str">
        <f>IFERROR(__xludf.DUMMYFUNCTION("""COMPUTED_VALUE"""),"VerifyAggregationMasterFundWithNav")</f>
        <v>VerifyAggregationMasterFundWithNav</v>
      </c>
      <c r="J4" s="76" t="str">
        <f>IFERROR(__xludf.DUMMYFUNCTION("""COMPUTED_VALUE"""),"VerifyAggregationSectorWithNav")</f>
        <v>VerifyAggregationSectorWithNav</v>
      </c>
      <c r="K4" s="76" t="str">
        <f>IFERROR(__xludf.DUMMYFUNCTION("""COMPUTED_VALUE"""),"VerifyAggregationUnderlyingSymbolWithNav")</f>
        <v>VerifyAggregationUnderlyingSymbolWithNav</v>
      </c>
      <c r="L4" s="76" t="str">
        <f>IFERROR(__xludf.DUMMYFUNCTION("""COMPUTED_VALUE"""),"VerifyAuecWindow")</f>
        <v>VerifyAuecWindow</v>
      </c>
      <c r="M4" s="76" t="str">
        <f>IFERROR(__xludf.DUMMYFUNCTION("""COMPUTED_VALUE"""),"VerifyBetaWindow")</f>
        <v>VerifyBetaWindow</v>
      </c>
      <c r="N4" s="76" t="str">
        <f>IFERROR(__xludf.DUMMYFUNCTION("""COMPUTED_VALUE"""),"VerifyCustomSymbolDataWindow")</f>
        <v>VerifyCustomSymbolDataWindow</v>
      </c>
      <c r="O4" s="76" t="str">
        <f>IFERROR(__xludf.DUMMYFUNCTION("""COMPUTED_VALUE"""),"VerifyDayEndCashAccountWindow")</f>
        <v>VerifyDayEndCashAccountWindow</v>
      </c>
      <c r="P4" s="77" t="str">
        <f>IFERROR(__xludf.DUMMYFUNCTION("""COMPUTED_VALUE"""),"VerifyDbNavWindow")</f>
        <v>VerifyDbNavWindow</v>
      </c>
      <c r="Q4" s="77" t="str">
        <f>IFERROR(__xludf.DUMMYFUNCTION("""COMPUTED_VALUE"""),"VerifyGlobalDivisorWindow")</f>
        <v>VerifyGlobalDivisorWindow</v>
      </c>
      <c r="R4" s="77" t="str">
        <f>IFERROR(__xludf.DUMMYFUNCTION("""COMPUTED_VALUE"""),"VerifyPmCalculationPreferenceWindow")</f>
        <v>VerifyPmCalculationPreferenceWindow</v>
      </c>
      <c r="S4" s="77" t="str">
        <f>IFERROR(__xludf.DUMMYFUNCTION("""COMPUTED_VALUE"""),"VerifyRowCalculationBaseWindow")</f>
        <v>VerifyRowCalculationBaseWindow</v>
      </c>
      <c r="T4" s="77" t="str">
        <f>IFERROR(__xludf.DUMMYFUNCTION("""COMPUTED_VALUE"""),"VerifySecurityWindow")</f>
        <v>VerifySecurityWindow</v>
      </c>
      <c r="U4" s="77" t="str">
        <f>IFERROR(__xludf.DUMMYFUNCTION("""COMPUTED_VALUE"""),"VerifySymbolDataWindow")</f>
        <v>VerifySymbolDataWindow</v>
      </c>
      <c r="V4" s="77" t="str">
        <f>IFERROR(__xludf.DUMMYFUNCTION("""COMPUTED_VALUE"""),"VerifySymbolDivisorWindow")</f>
        <v>VerifySymbolDivisorWindow</v>
      </c>
      <c r="W4" s="77" t="str">
        <f>IFERROR(__xludf.DUMMYFUNCTION("""COMPUTED_VALUE"""),"VerifyTaxlotWindow")</f>
        <v>VerifyTaxlotWindow</v>
      </c>
      <c r="X4" s="77" t="str">
        <f>IFERROR(__xludf.DUMMYFUNCTION("""COMPUTED_VALUE"""),"RestartEsper")</f>
        <v>RestartEsper</v>
      </c>
      <c r="Y4" s="77" t="str">
        <f>IFERROR(__xludf.DUMMYFUNCTION("""COMPUTED_VALUE"""),"VerifyAccountNavPreferenceWindow")</f>
        <v>VerifyAccountNavPreferenceWindow</v>
      </c>
      <c r="Z4" s="77" t="str">
        <f>IFERROR(__xludf.DUMMYFUNCTION("""COMPUTED_VALUE"""),"VerifyAggregationAccountUnderlyingSymbolWithNav")</f>
        <v>VerifyAggregationAccountUnderlyingSymbolWithNav</v>
      </c>
      <c r="AA4" s="77" t="str">
        <f>IFERROR(__xludf.DUMMYFUNCTION("""COMPUTED_VALUE"""),"VerifyAggregationAssetWithNav")</f>
        <v>VerifyAggregationAssetWithNav</v>
      </c>
      <c r="AB4" s="77" t="str">
        <f>IFERROR(__xludf.DUMMYFUNCTION("""COMPUTED_VALUE"""),"VerifyAggregationSymbolWithNav")</f>
        <v>VerifyAggregationSymbolWithNav</v>
      </c>
      <c r="AC4" s="77" t="str">
        <f>IFERROR(__xludf.DUMMYFUNCTION("""COMPUTED_VALUE"""),"VerifyAggregationSubSectorWithNav")</f>
        <v>VerifyAggregationSubSectorWithNav</v>
      </c>
      <c r="AD4" s="77" t="str">
        <f>IFERROR(__xludf.DUMMYFUNCTION("""COMPUTED_VALUE"""),"VerifyAggregationGlobalWithNav")</f>
        <v>VerifyAggregationGlobalWithNav</v>
      </c>
      <c r="AE4" s="77" t="str">
        <f>IFERROR(__xludf.DUMMYFUNCTION("""COMPUTED_VALUE"""),"VerifyAggregationGlobalWithNav")</f>
        <v>VerifyAggregationGlobalWithNav</v>
      </c>
      <c r="AF4" s="77" t="str">
        <f>IFERROR(__xludf.DUMMYFUNCTION("""COMPUTED_VALUE"""),"VerifyGlobalDivisorWindow")</f>
        <v>VerifyGlobalDivisorWindow</v>
      </c>
      <c r="AG4" s="77" t="str">
        <f>IFERROR(__xludf.DUMMYFUNCTION("""COMPUTED_VALUE"""),"VerifyAccrualForAccountWindow")</f>
        <v>VerifyAccrualForAccountWindow</v>
      </c>
      <c r="AH4" s="77" t="str">
        <f>IFERROR(__xludf.DUMMYFUNCTION("""COMPUTED_VALUE"""),"VerifyGlobalDivisorWindow")</f>
        <v>VerifyGlobalDivisorWindow</v>
      </c>
      <c r="AI4" s="77" t="str">
        <f>IFERROR(__xludf.DUMMYFUNCTION("""COMPUTED_VALUE"""),"VerifyMasterFundDivisorWindow")</f>
        <v>VerifyMasterFundDivisorWindow</v>
      </c>
      <c r="AJ4" s="77" t="str">
        <f>IFERROR(__xludf.DUMMYFUNCTION("""COMPUTED_VALUE"""),"VerifyMasterFundSymbolDivisorWindow")</f>
        <v>VerifyMasterFundSymbolDivisorWindow</v>
      </c>
      <c r="AK4" s="77" t="str">
        <f>IFERROR(__xludf.DUMMYFUNCTION("""COMPUTED_VALUE"""),"VerifyAggAccountSymbolWithNav")</f>
        <v>VerifyAggAccountSymbolWithNav</v>
      </c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</row>
    <row r="5" ht="15.75" customHeight="1">
      <c r="A5" s="78" t="str">
        <f>IFERROR(__xludf.DUMMYFUNCTION("TRANSPOSE(IMPORTRANGE(VLOOKUP($E$3,IMPORTRANGE('_Settings'!$B$3,$C$3&amp;""!A4:B1000""),2,FALSE),$G$3&amp;""!A4:A1000""))"),"")</f>
        <v/>
      </c>
      <c r="B5" s="79" t="str">
        <f>IFERROR(__xludf.DUMMYFUNCTION("""COMPUTED_VALUE"""),"basketId")</f>
        <v>basketId</v>
      </c>
      <c r="C5" s="79" t="str">
        <f>IFERROR(__xludf.DUMMYFUNCTION("""COMPUTED_VALUE"""),"symbol")</f>
        <v>symbol</v>
      </c>
      <c r="D5" s="79" t="str">
        <f>IFERROR(__xludf.DUMMYFUNCTION("""COMPUTED_VALUE"""),"taxlotId")</f>
        <v>taxlotId</v>
      </c>
      <c r="E5" s="79" t="str">
        <f>IFERROR(__xludf.DUMMYFUNCTION("""COMPUTED_VALUE"""),"clOrderId")</f>
        <v>clOrderId</v>
      </c>
      <c r="F5" s="80" t="str">
        <f>IFERROR(__xludf.DUMMYFUNCTION("""COMPUTED_VALUE"""),"taxlotType")</f>
        <v>taxlotType</v>
      </c>
      <c r="G5" s="79" t="str">
        <f>IFERROR(__xludf.DUMMYFUNCTION("""COMPUTED_VALUE"""),"taxlotState")</f>
        <v>taxlotState</v>
      </c>
      <c r="H5" s="79" t="str">
        <f>IFERROR(__xludf.DUMMYFUNCTION("""COMPUTED_VALUE"""),"underlyingSymbol")</f>
        <v>underlyingSymbol</v>
      </c>
      <c r="I5" s="79" t="str">
        <f>IFERROR(__xludf.DUMMYFUNCTION("""COMPUTED_VALUE"""),"quantity")</f>
        <v>quantity</v>
      </c>
      <c r="J5" s="79" t="str">
        <f>IFERROR(__xludf.DUMMYFUNCTION("""COMPUTED_VALUE"""),"avgPrice")</f>
        <v>avgPrice</v>
      </c>
      <c r="K5" s="79" t="str">
        <f>IFERROR(__xludf.DUMMYFUNCTION("""COMPUTED_VALUE"""),"orderSideTagValue")</f>
        <v>orderSideTagValue</v>
      </c>
      <c r="L5" s="79" t="str">
        <f>IFERROR(__xludf.DUMMYFUNCTION("""COMPUTED_VALUE"""),"orderTypeTagValue")</f>
        <v>orderTypeTagValue</v>
      </c>
      <c r="M5" s="79" t="str">
        <f>IFERROR(__xludf.DUMMYFUNCTION("""COMPUTED_VALUE"""),"accountId")</f>
        <v>accountId</v>
      </c>
      <c r="N5" s="79" t="str">
        <f>IFERROR(__xludf.DUMMYFUNCTION("""COMPUTED_VALUE"""),"strategyId")</f>
        <v>strategyId</v>
      </c>
      <c r="O5" s="79" t="str">
        <f>IFERROR(__xludf.DUMMYFUNCTION("""COMPUTED_VALUE"""),"counterPartyId")</f>
        <v>counterPartyId</v>
      </c>
      <c r="P5" s="79" t="str">
        <f>IFERROR(__xludf.DUMMYFUNCTION("""COMPUTED_VALUE"""),"venueId")</f>
        <v>venueId</v>
      </c>
      <c r="Q5" s="79" t="str">
        <f>IFERROR(__xludf.DUMMYFUNCTION("""COMPUTED_VALUE"""),"auecLocalDate")</f>
        <v>auecLocalDate</v>
      </c>
      <c r="R5" s="79" t="str">
        <f>IFERROR(__xludf.DUMMYFUNCTION("""COMPUTED_VALUE"""),"settlementDate")</f>
        <v>settlementDate</v>
      </c>
      <c r="S5" s="79" t="str">
        <f>IFERROR(__xludf.DUMMYFUNCTION("""COMPUTED_VALUE"""),"userId")</f>
        <v>userId</v>
      </c>
      <c r="T5" s="81" t="str">
        <f>IFERROR(__xludf.DUMMYFUNCTION("""COMPUTED_VALUE"""),"isSwapped")</f>
        <v>isSwapped</v>
      </c>
      <c r="U5" s="81" t="str">
        <f>IFERROR(__xludf.DUMMYFUNCTION("""COMPUTED_VALUE"""),"benchMarkRate")</f>
        <v>benchMarkRate</v>
      </c>
      <c r="V5" s="81" t="str">
        <f>IFERROR(__xludf.DUMMYFUNCTION("""COMPUTED_VALUE"""),"differential")</f>
        <v>differential</v>
      </c>
      <c r="W5" s="81" t="str">
        <f>IFERROR(__xludf.DUMMYFUNCTION("""COMPUTED_VALUE"""),"swapNotional")</f>
        <v>swapNotional</v>
      </c>
      <c r="X5" s="81" t="str">
        <f>IFERROR(__xludf.DUMMYFUNCTION("""COMPUTED_VALUE"""),"dayCount")</f>
        <v>dayCount</v>
      </c>
      <c r="Y5" s="81" t="str">
        <f>IFERROR(__xludf.DUMMYFUNCTION("""COMPUTED_VALUE"""),"avgFxRateForTrade")</f>
        <v>avgFxRateForTrade</v>
      </c>
      <c r="Z5" s="81" t="str">
        <f>IFERROR(__xludf.DUMMYFUNCTION("""COMPUTED_VALUE"""),"conversionMethodOperator")</f>
        <v>conversionMethodOperator</v>
      </c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</row>
    <row r="6" ht="15.75" customHeight="1">
      <c r="A6" s="82"/>
      <c r="B6" s="83"/>
      <c r="C6" s="84" t="s">
        <v>21</v>
      </c>
      <c r="D6" s="83"/>
      <c r="E6" s="84"/>
      <c r="F6" s="84" t="s">
        <v>39</v>
      </c>
      <c r="G6" s="84"/>
      <c r="H6" s="84" t="s">
        <v>21</v>
      </c>
      <c r="I6" s="85">
        <v>25.0</v>
      </c>
      <c r="J6" s="85">
        <v>10.0</v>
      </c>
      <c r="K6" s="84"/>
      <c r="L6" s="84"/>
      <c r="M6" s="84"/>
      <c r="N6" s="84"/>
      <c r="O6" s="84"/>
      <c r="P6" s="84"/>
      <c r="Q6" s="84"/>
      <c r="R6" s="84"/>
      <c r="S6" s="84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</row>
    <row r="7" ht="15.75" customHeight="1">
      <c r="A7" s="84"/>
      <c r="B7" s="84"/>
      <c r="C7" s="84" t="s">
        <v>21</v>
      </c>
      <c r="D7" s="84"/>
      <c r="E7" s="84"/>
      <c r="F7" s="84" t="s">
        <v>39</v>
      </c>
      <c r="G7" s="84"/>
      <c r="H7" s="84" t="s">
        <v>21</v>
      </c>
      <c r="I7" s="85">
        <v>25.0</v>
      </c>
      <c r="J7" s="85">
        <v>10.0</v>
      </c>
      <c r="K7" s="84"/>
      <c r="L7" s="84"/>
      <c r="M7" s="84"/>
      <c r="N7" s="84"/>
      <c r="O7" s="84"/>
      <c r="P7" s="84"/>
      <c r="Q7" s="84"/>
      <c r="R7" s="84"/>
      <c r="S7" s="84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</row>
    <row r="8" ht="15.75" customHeight="1">
      <c r="A8" s="86"/>
      <c r="B8" s="86"/>
      <c r="C8" s="86" t="s">
        <v>21</v>
      </c>
      <c r="D8" s="86"/>
      <c r="E8" s="86"/>
      <c r="F8" s="86" t="s">
        <v>42</v>
      </c>
      <c r="G8" s="86"/>
      <c r="H8" s="86" t="s">
        <v>21</v>
      </c>
      <c r="I8" s="85">
        <v>25.0</v>
      </c>
      <c r="J8" s="87">
        <v>10.0</v>
      </c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</row>
    <row r="9" ht="15.75" customHeight="1">
      <c r="A9" s="86"/>
      <c r="B9" s="86"/>
      <c r="C9" s="86" t="s">
        <v>21</v>
      </c>
      <c r="D9" s="86"/>
      <c r="E9" s="86"/>
      <c r="F9" s="86" t="s">
        <v>42</v>
      </c>
      <c r="G9" s="86"/>
      <c r="H9" s="86" t="s">
        <v>21</v>
      </c>
      <c r="I9" s="85">
        <v>25.0</v>
      </c>
      <c r="J9" s="87">
        <v>10.0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</row>
    <row r="10" ht="15.7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</row>
    <row r="12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</row>
    <row r="14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</row>
    <row r="16" ht="15.7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</row>
    <row r="17" ht="15.7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</row>
    <row r="18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</row>
    <row r="19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88"/>
      <c r="B6" s="62" t="s">
        <v>42</v>
      </c>
      <c r="C6" s="55"/>
      <c r="D6" s="62" t="s">
        <v>46</v>
      </c>
      <c r="E6" s="89" t="s">
        <v>41</v>
      </c>
      <c r="F6" s="8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89" t="s">
        <v>40</v>
      </c>
      <c r="F7" s="8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/>
      <c r="O6" s="35"/>
      <c r="P6" s="42"/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45" t="s">
        <v>32</v>
      </c>
      <c r="AL6" s="45">
        <v>100.0</v>
      </c>
      <c r="AM6" s="46">
        <v>50.0</v>
      </c>
      <c r="AN6" s="46">
        <v>50.0</v>
      </c>
      <c r="AO6" s="47"/>
      <c r="AP6" s="47"/>
      <c r="AQ6" s="47"/>
      <c r="AR6" s="47"/>
      <c r="AS6" s="47" t="s">
        <v>33</v>
      </c>
      <c r="AT6" s="45" t="s">
        <v>34</v>
      </c>
      <c r="AU6" s="47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54">
        <v>250.0</v>
      </c>
      <c r="AC6" s="39"/>
      <c r="AD6" s="54">
        <v>250.0</v>
      </c>
      <c r="AE6" s="39"/>
      <c r="AF6" s="39"/>
      <c r="AG6" s="54">
        <v>25.0</v>
      </c>
      <c r="AH6" s="54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0">
        <v>25.0</v>
      </c>
      <c r="K7" s="50">
        <v>25.0</v>
      </c>
      <c r="L7" s="50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54">
        <v>250.0</v>
      </c>
      <c r="AC7" s="39"/>
      <c r="AD7" s="54">
        <v>250.0</v>
      </c>
      <c r="AE7" s="39"/>
      <c r="AF7" s="39"/>
      <c r="AG7" s="54">
        <v>25.0</v>
      </c>
      <c r="AH7" s="54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0">
        <v>25.0</v>
      </c>
      <c r="K8" s="50">
        <v>25.0</v>
      </c>
      <c r="L8" s="50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54">
        <v>250.0</v>
      </c>
      <c r="AC8" s="39"/>
      <c r="AD8" s="54">
        <v>250.0</v>
      </c>
      <c r="AE8" s="39"/>
      <c r="AF8" s="39"/>
      <c r="AG8" s="54">
        <v>25.0</v>
      </c>
      <c r="AH8" s="54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0">
        <v>25.0</v>
      </c>
      <c r="K9" s="50">
        <v>25.0</v>
      </c>
      <c r="L9" s="50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54">
        <v>250.0</v>
      </c>
      <c r="AC9" s="39"/>
      <c r="AD9" s="54">
        <v>250.0</v>
      </c>
      <c r="AE9" s="39"/>
      <c r="AF9" s="39"/>
      <c r="AG9" s="54">
        <v>25.0</v>
      </c>
      <c r="AH9" s="54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5" t="s">
        <v>21</v>
      </c>
      <c r="D6" s="34"/>
      <c r="E6" s="55"/>
      <c r="F6" s="55" t="s">
        <v>39</v>
      </c>
      <c r="G6" s="55"/>
      <c r="H6" s="55" t="s">
        <v>21</v>
      </c>
      <c r="I6" s="37">
        <v>25.0</v>
      </c>
      <c r="J6" s="41">
        <v>10.0</v>
      </c>
      <c r="K6" s="55"/>
      <c r="L6" s="55"/>
      <c r="M6" s="55"/>
      <c r="N6" s="55"/>
      <c r="O6" s="55"/>
      <c r="P6" s="55"/>
      <c r="Q6" s="55"/>
      <c r="R6" s="55"/>
      <c r="S6" s="5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5"/>
      <c r="B7" s="55"/>
      <c r="C7" s="55" t="s">
        <v>21</v>
      </c>
      <c r="D7" s="55"/>
      <c r="E7" s="55"/>
      <c r="F7" s="55" t="s">
        <v>39</v>
      </c>
      <c r="G7" s="55"/>
      <c r="H7" s="55" t="s">
        <v>21</v>
      </c>
      <c r="I7" s="37">
        <v>25.0</v>
      </c>
      <c r="J7" s="41">
        <v>10.0</v>
      </c>
      <c r="K7" s="55"/>
      <c r="L7" s="55"/>
      <c r="M7" s="55"/>
      <c r="N7" s="55"/>
      <c r="O7" s="55"/>
      <c r="P7" s="55"/>
      <c r="Q7" s="55"/>
      <c r="R7" s="55"/>
      <c r="S7" s="5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9"/>
      <c r="E8" s="39"/>
      <c r="F8" s="39" t="s">
        <v>42</v>
      </c>
      <c r="G8" s="39"/>
      <c r="H8" s="35" t="s">
        <v>21</v>
      </c>
      <c r="I8" s="37">
        <v>25.0</v>
      </c>
      <c r="J8" s="41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9"/>
      <c r="E9" s="39"/>
      <c r="F9" s="39" t="s">
        <v>42</v>
      </c>
      <c r="G9" s="39"/>
      <c r="H9" s="35" t="s">
        <v>21</v>
      </c>
      <c r="I9" s="37">
        <v>25.0</v>
      </c>
      <c r="J9" s="41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62"/>
      <c r="B6" s="62" t="s">
        <v>42</v>
      </c>
      <c r="C6" s="55"/>
      <c r="D6" s="62" t="s">
        <v>46</v>
      </c>
      <c r="E6" s="89" t="s">
        <v>41</v>
      </c>
      <c r="F6" s="8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55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89" t="s">
        <v>40</v>
      </c>
      <c r="F7" s="8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55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90">
        <v>100.0</v>
      </c>
      <c r="AM6" s="90"/>
      <c r="AN6" s="90"/>
      <c r="AO6" s="90"/>
      <c r="AP6" s="90"/>
      <c r="AQ6" s="90">
        <v>10.0</v>
      </c>
      <c r="AR6" s="90">
        <v>10.0</v>
      </c>
      <c r="AS6" s="39" t="s">
        <v>33</v>
      </c>
      <c r="AT6" s="39" t="s">
        <v>34</v>
      </c>
      <c r="AU6" s="39" t="s">
        <v>35</v>
      </c>
      <c r="AV6" s="90">
        <v>500.0</v>
      </c>
      <c r="AW6" s="90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9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92">
        <v>10.0</v>
      </c>
      <c r="E6" s="35"/>
      <c r="F6" s="35"/>
      <c r="G6" s="37">
        <v>50.0</v>
      </c>
      <c r="H6" s="35"/>
      <c r="I6" s="35"/>
      <c r="J6" s="55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4" t="s">
        <v>50</v>
      </c>
      <c r="AL6" s="90">
        <v>100.0</v>
      </c>
      <c r="AM6" s="39"/>
      <c r="AN6" s="39"/>
      <c r="AO6" s="90">
        <v>10.0</v>
      </c>
      <c r="AP6" s="90">
        <v>10.0</v>
      </c>
      <c r="AQ6" s="39"/>
      <c r="AR6" s="39"/>
      <c r="AS6" s="39"/>
      <c r="AT6" s="39"/>
      <c r="AU6" s="39"/>
      <c r="AV6" s="39"/>
      <c r="AW6" s="39"/>
      <c r="AX6" s="90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40"/>
      <c r="B6" s="34"/>
      <c r="C6" s="55" t="s">
        <v>21</v>
      </c>
      <c r="D6" s="93">
        <v>25.0</v>
      </c>
      <c r="E6" s="35" t="s">
        <v>41</v>
      </c>
      <c r="F6" s="35" t="s">
        <v>53</v>
      </c>
      <c r="G6" s="37">
        <v>10.0</v>
      </c>
      <c r="H6" s="35" t="s">
        <v>54</v>
      </c>
      <c r="I6" s="93"/>
      <c r="J6" s="35"/>
      <c r="K6" s="93">
        <v>0.0</v>
      </c>
      <c r="L6" s="35"/>
      <c r="M6" s="35"/>
      <c r="N6" s="93">
        <v>-250.0</v>
      </c>
      <c r="O6" s="55" t="s">
        <v>55</v>
      </c>
      <c r="P6" s="35" t="s">
        <v>56</v>
      </c>
      <c r="Q6" s="93">
        <v>-250.0</v>
      </c>
      <c r="R6" s="35" t="s">
        <v>33</v>
      </c>
      <c r="S6" s="35" t="s">
        <v>57</v>
      </c>
      <c r="T6" s="63" t="s">
        <v>58</v>
      </c>
      <c r="U6" s="63" t="s">
        <v>59</v>
      </c>
      <c r="V6" s="63" t="s">
        <v>60</v>
      </c>
      <c r="W6" s="63" t="s">
        <v>61</v>
      </c>
      <c r="X6" s="39"/>
      <c r="Y6" s="39">
        <v>1.0</v>
      </c>
      <c r="Z6" s="63"/>
      <c r="AA6" s="63"/>
      <c r="AB6" s="39">
        <v>0.0</v>
      </c>
      <c r="AC6" s="39">
        <v>0.0</v>
      </c>
      <c r="AD6" s="94">
        <v>0.0</v>
      </c>
      <c r="AE6" s="94">
        <v>0.0</v>
      </c>
      <c r="AF6" s="94">
        <v>25.0</v>
      </c>
      <c r="AG6" s="94">
        <v>0.0</v>
      </c>
      <c r="AH6" s="94">
        <v>0.0</v>
      </c>
      <c r="AI6" s="94">
        <v>0.0</v>
      </c>
      <c r="AJ6" s="95"/>
      <c r="AK6" s="94">
        <v>-250.0</v>
      </c>
      <c r="AL6" s="39">
        <v>1.0</v>
      </c>
      <c r="AM6" s="39">
        <v>1.0</v>
      </c>
      <c r="AN6" s="63" t="s">
        <v>22</v>
      </c>
      <c r="AO6" s="63"/>
      <c r="AP6" s="63" t="s">
        <v>54</v>
      </c>
      <c r="AQ6" s="63" t="s">
        <v>21</v>
      </c>
      <c r="AR6" s="64">
        <v>0.0</v>
      </c>
      <c r="AS6" s="39">
        <v>1.0</v>
      </c>
      <c r="AT6" s="63"/>
      <c r="AU6" s="63" t="s">
        <v>62</v>
      </c>
      <c r="AV6" s="63"/>
      <c r="AW6" s="94">
        <v>-250.0</v>
      </c>
      <c r="AX6" s="39">
        <v>0.0</v>
      </c>
      <c r="AY6" s="39">
        <v>0.0</v>
      </c>
      <c r="AZ6" s="94">
        <v>0.0</v>
      </c>
      <c r="BA6" s="39"/>
      <c r="BB6" s="63"/>
      <c r="BC6" s="63"/>
      <c r="BD6" s="94">
        <v>-250.0</v>
      </c>
      <c r="BE6" s="63" t="s">
        <v>58</v>
      </c>
      <c r="BF6" s="63" t="s">
        <v>63</v>
      </c>
      <c r="BG6" s="63" t="s">
        <v>64</v>
      </c>
      <c r="BH6" s="63"/>
      <c r="BI6" s="63"/>
      <c r="BJ6" s="39">
        <v>0.0</v>
      </c>
      <c r="BK6" s="39">
        <v>0.0</v>
      </c>
      <c r="BL6" s="39">
        <v>0.0</v>
      </c>
      <c r="BM6" s="39">
        <v>0.0</v>
      </c>
      <c r="BN6" s="63"/>
      <c r="BO6" s="94">
        <v>-250.0</v>
      </c>
      <c r="BP6" s="39">
        <v>0.0</v>
      </c>
      <c r="BQ6" s="63"/>
      <c r="BR6" s="63" t="s">
        <v>33</v>
      </c>
      <c r="BS6" s="39">
        <v>0.0</v>
      </c>
      <c r="BT6" s="39">
        <v>0.0</v>
      </c>
      <c r="BU6" s="63" t="s">
        <v>58</v>
      </c>
      <c r="BV6" s="63"/>
      <c r="BW6" s="63"/>
      <c r="BX6" s="94">
        <v>0.0</v>
      </c>
      <c r="BY6" s="94">
        <v>0.0</v>
      </c>
      <c r="BZ6" s="39">
        <v>0.0</v>
      </c>
      <c r="CA6" s="39">
        <v>0.0</v>
      </c>
      <c r="CB6" s="63"/>
      <c r="CC6" s="39">
        <v>0.0</v>
      </c>
      <c r="CD6" s="94">
        <v>-250.0</v>
      </c>
      <c r="CE6" s="39">
        <v>0.0</v>
      </c>
      <c r="CF6" s="39">
        <v>0.0</v>
      </c>
      <c r="CG6" s="94">
        <v>-250.0</v>
      </c>
      <c r="CH6" s="39">
        <v>-100.0</v>
      </c>
      <c r="CI6" s="39">
        <v>0.0</v>
      </c>
      <c r="CJ6" s="39">
        <v>0.0</v>
      </c>
      <c r="CK6" s="39" t="b">
        <v>0</v>
      </c>
      <c r="CL6" s="63"/>
      <c r="CM6" s="63"/>
      <c r="CN6" s="63"/>
      <c r="CO6" s="63"/>
      <c r="CP6" s="63" t="s">
        <v>65</v>
      </c>
      <c r="CQ6" s="63"/>
      <c r="CR6" s="63"/>
      <c r="CS6" s="39">
        <v>10.0</v>
      </c>
      <c r="CT6" s="63"/>
      <c r="CU6" s="63"/>
      <c r="CV6" s="63"/>
      <c r="CW6" s="63"/>
      <c r="CX6" s="63"/>
      <c r="CY6" s="63"/>
      <c r="CZ6" s="63"/>
      <c r="DA6" s="94">
        <v>0.0</v>
      </c>
      <c r="DB6" s="39"/>
      <c r="DC6" s="63"/>
      <c r="DD6" s="94">
        <v>25.0</v>
      </c>
      <c r="DE6" s="63"/>
      <c r="DF6" s="63"/>
      <c r="DG6" s="63"/>
      <c r="DH6" s="63" t="s">
        <v>56</v>
      </c>
      <c r="DI6" s="39">
        <v>0.0</v>
      </c>
      <c r="DJ6" s="63" t="s">
        <v>22</v>
      </c>
      <c r="DK6" s="39">
        <v>0.0</v>
      </c>
      <c r="DL6" s="39">
        <v>0.0</v>
      </c>
      <c r="DM6" s="39">
        <v>1.0</v>
      </c>
      <c r="DN6" s="39"/>
      <c r="DO6" s="63"/>
      <c r="DP6" s="63" t="s">
        <v>54</v>
      </c>
      <c r="DQ6" s="63" t="s">
        <v>66</v>
      </c>
      <c r="DR6" s="63" t="s">
        <v>67</v>
      </c>
      <c r="DS6" s="63" t="s">
        <v>66</v>
      </c>
      <c r="DT6" s="63" t="s">
        <v>66</v>
      </c>
      <c r="DU6" s="96" t="s">
        <v>68</v>
      </c>
      <c r="DV6" s="63" t="s">
        <v>66</v>
      </c>
      <c r="DW6" s="97"/>
      <c r="DX6" s="63"/>
      <c r="DY6" s="98" t="s">
        <v>66</v>
      </c>
      <c r="DZ6" s="98" t="s">
        <v>55</v>
      </c>
      <c r="EA6" s="98" t="s">
        <v>68</v>
      </c>
      <c r="EB6" s="98" t="s">
        <v>66</v>
      </c>
      <c r="EC6" s="98" t="s">
        <v>66</v>
      </c>
      <c r="ED6" s="63" t="s">
        <v>61</v>
      </c>
      <c r="EE6" s="63"/>
      <c r="EF6" s="63"/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63" t="s">
        <v>54</v>
      </c>
      <c r="EM6" s="39">
        <v>0.0</v>
      </c>
      <c r="EN6" s="39">
        <v>0.0</v>
      </c>
      <c r="EO6" s="39">
        <v>0.0</v>
      </c>
      <c r="EP6" s="39">
        <v>0.0</v>
      </c>
      <c r="EQ6" s="39">
        <v>0.0</v>
      </c>
      <c r="ER6" s="39">
        <v>0.0</v>
      </c>
      <c r="ES6" s="94">
        <v>-500.0</v>
      </c>
      <c r="ET6" s="39">
        <v>0.0</v>
      </c>
      <c r="EU6" s="39">
        <v>0.0</v>
      </c>
      <c r="EV6" s="63" t="s">
        <v>54</v>
      </c>
      <c r="EW6" s="39">
        <v>-250.0</v>
      </c>
      <c r="EX6" s="99" t="b">
        <v>0</v>
      </c>
      <c r="EY6" s="63"/>
      <c r="EZ6" s="63"/>
      <c r="FA6" s="63"/>
      <c r="FB6" s="63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5" t="s">
        <v>21</v>
      </c>
      <c r="D7" s="93">
        <v>25.0</v>
      </c>
      <c r="E7" s="35" t="s">
        <v>40</v>
      </c>
      <c r="F7" s="35" t="s">
        <v>69</v>
      </c>
      <c r="G7" s="37">
        <v>10.0</v>
      </c>
      <c r="H7" s="35" t="s">
        <v>54</v>
      </c>
      <c r="I7" s="93"/>
      <c r="J7" s="35"/>
      <c r="K7" s="93">
        <v>0.0</v>
      </c>
      <c r="L7" s="35"/>
      <c r="M7" s="35"/>
      <c r="N7" s="37">
        <v>-250.0</v>
      </c>
      <c r="O7" s="55" t="s">
        <v>55</v>
      </c>
      <c r="P7" s="35" t="s">
        <v>56</v>
      </c>
      <c r="Q7" s="93">
        <v>-250.0</v>
      </c>
      <c r="R7" s="35" t="s">
        <v>70</v>
      </c>
      <c r="S7" s="35" t="s">
        <v>57</v>
      </c>
      <c r="T7" s="63" t="s">
        <v>58</v>
      </c>
      <c r="U7" s="63" t="s">
        <v>59</v>
      </c>
      <c r="V7" s="63" t="s">
        <v>60</v>
      </c>
      <c r="W7" s="63" t="s">
        <v>61</v>
      </c>
      <c r="X7" s="39"/>
      <c r="Y7" s="39">
        <v>1.0</v>
      </c>
      <c r="Z7" s="63"/>
      <c r="AA7" s="63"/>
      <c r="AB7" s="39">
        <v>0.0</v>
      </c>
      <c r="AC7" s="39">
        <v>0.0</v>
      </c>
      <c r="AD7" s="94">
        <v>0.0</v>
      </c>
      <c r="AE7" s="94">
        <v>0.0</v>
      </c>
      <c r="AF7" s="94">
        <v>25.0</v>
      </c>
      <c r="AG7" s="94">
        <v>0.0</v>
      </c>
      <c r="AH7" s="94">
        <v>0.0</v>
      </c>
      <c r="AI7" s="94">
        <v>0.0</v>
      </c>
      <c r="AJ7" s="95"/>
      <c r="AK7" s="94">
        <v>-250.0</v>
      </c>
      <c r="AL7" s="39">
        <v>1.0</v>
      </c>
      <c r="AM7" s="39">
        <v>1.0</v>
      </c>
      <c r="AN7" s="63" t="s">
        <v>22</v>
      </c>
      <c r="AO7" s="63"/>
      <c r="AP7" s="63" t="s">
        <v>54</v>
      </c>
      <c r="AQ7" s="63" t="s">
        <v>21</v>
      </c>
      <c r="AR7" s="64">
        <v>0.0</v>
      </c>
      <c r="AS7" s="39">
        <v>1.0</v>
      </c>
      <c r="AT7" s="63"/>
      <c r="AU7" s="63" t="s">
        <v>62</v>
      </c>
      <c r="AV7" s="63"/>
      <c r="AW7" s="94">
        <v>-250.0</v>
      </c>
      <c r="AX7" s="39">
        <v>0.0</v>
      </c>
      <c r="AY7" s="39">
        <v>0.0</v>
      </c>
      <c r="AZ7" s="94">
        <v>0.0</v>
      </c>
      <c r="BA7" s="39"/>
      <c r="BB7" s="63"/>
      <c r="BC7" s="63"/>
      <c r="BD7" s="94">
        <v>-250.0</v>
      </c>
      <c r="BE7" s="63" t="s">
        <v>58</v>
      </c>
      <c r="BF7" s="63" t="s">
        <v>63</v>
      </c>
      <c r="BG7" s="63" t="s">
        <v>64</v>
      </c>
      <c r="BH7" s="63"/>
      <c r="BI7" s="63"/>
      <c r="BJ7" s="39">
        <v>0.0</v>
      </c>
      <c r="BK7" s="39">
        <v>0.0</v>
      </c>
      <c r="BL7" s="39">
        <v>0.0</v>
      </c>
      <c r="BM7" s="39">
        <v>0.0</v>
      </c>
      <c r="BN7" s="63"/>
      <c r="BO7" s="94">
        <v>-250.0</v>
      </c>
      <c r="BP7" s="39">
        <v>0.0</v>
      </c>
      <c r="BQ7" s="63"/>
      <c r="BR7" s="63" t="s">
        <v>33</v>
      </c>
      <c r="BS7" s="39">
        <v>0.0</v>
      </c>
      <c r="BT7" s="39">
        <v>0.0</v>
      </c>
      <c r="BU7" s="63" t="s">
        <v>58</v>
      </c>
      <c r="BV7" s="63"/>
      <c r="BW7" s="63"/>
      <c r="BX7" s="94">
        <v>0.0</v>
      </c>
      <c r="BY7" s="94">
        <v>0.0</v>
      </c>
      <c r="BZ7" s="39">
        <v>0.0</v>
      </c>
      <c r="CA7" s="39">
        <v>0.0</v>
      </c>
      <c r="CB7" s="63"/>
      <c r="CC7" s="39">
        <v>0.0</v>
      </c>
      <c r="CD7" s="94">
        <v>-250.0</v>
      </c>
      <c r="CE7" s="39">
        <v>0.0</v>
      </c>
      <c r="CF7" s="39">
        <v>0.0</v>
      </c>
      <c r="CG7" s="94">
        <v>-250.0</v>
      </c>
      <c r="CH7" s="39">
        <v>-100.0</v>
      </c>
      <c r="CI7" s="39">
        <v>0.0</v>
      </c>
      <c r="CJ7" s="39">
        <v>0.0</v>
      </c>
      <c r="CK7" s="39" t="b">
        <v>0</v>
      </c>
      <c r="CL7" s="63"/>
      <c r="CM7" s="63"/>
      <c r="CN7" s="63"/>
      <c r="CO7" s="63"/>
      <c r="CP7" s="63" t="s">
        <v>65</v>
      </c>
      <c r="CQ7" s="63"/>
      <c r="CR7" s="63"/>
      <c r="CS7" s="39">
        <v>10.0</v>
      </c>
      <c r="CT7" s="63"/>
      <c r="CU7" s="63"/>
      <c r="CV7" s="63"/>
      <c r="CW7" s="63"/>
      <c r="CX7" s="63"/>
      <c r="CY7" s="63"/>
      <c r="CZ7" s="63"/>
      <c r="DA7" s="94">
        <v>0.0</v>
      </c>
      <c r="DB7" s="39"/>
      <c r="DC7" s="63"/>
      <c r="DD7" s="94">
        <v>25.0</v>
      </c>
      <c r="DE7" s="63"/>
      <c r="DF7" s="63"/>
      <c r="DG7" s="63"/>
      <c r="DH7" s="63" t="s">
        <v>56</v>
      </c>
      <c r="DI7" s="39">
        <v>0.0</v>
      </c>
      <c r="DJ7" s="63" t="s">
        <v>22</v>
      </c>
      <c r="DK7" s="39">
        <v>0.0</v>
      </c>
      <c r="DL7" s="39">
        <v>0.0</v>
      </c>
      <c r="DM7" s="39">
        <v>1.0</v>
      </c>
      <c r="DN7" s="39"/>
      <c r="DO7" s="63"/>
      <c r="DP7" s="63" t="s">
        <v>54</v>
      </c>
      <c r="DQ7" s="63" t="s">
        <v>66</v>
      </c>
      <c r="DR7" s="63" t="s">
        <v>67</v>
      </c>
      <c r="DS7" s="63" t="s">
        <v>66</v>
      </c>
      <c r="DT7" s="63" t="s">
        <v>66</v>
      </c>
      <c r="DU7" s="96" t="s">
        <v>68</v>
      </c>
      <c r="DV7" s="63" t="s">
        <v>66</v>
      </c>
      <c r="DW7" s="97"/>
      <c r="DX7" s="63"/>
      <c r="DY7" s="98" t="s">
        <v>66</v>
      </c>
      <c r="DZ7" s="98" t="s">
        <v>55</v>
      </c>
      <c r="EA7" s="98" t="s">
        <v>68</v>
      </c>
      <c r="EB7" s="98" t="s">
        <v>66</v>
      </c>
      <c r="EC7" s="98" t="s">
        <v>66</v>
      </c>
      <c r="ED7" s="63" t="s">
        <v>61</v>
      </c>
      <c r="EE7" s="63"/>
      <c r="EF7" s="63"/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63" t="s">
        <v>54</v>
      </c>
      <c r="EM7" s="39">
        <v>0.0</v>
      </c>
      <c r="EN7" s="39">
        <v>0.0</v>
      </c>
      <c r="EO7" s="39">
        <v>0.0</v>
      </c>
      <c r="EP7" s="39">
        <v>0.0</v>
      </c>
      <c r="EQ7" s="39">
        <v>0.0</v>
      </c>
      <c r="ER7" s="39">
        <v>0.0</v>
      </c>
      <c r="ES7" s="94">
        <v>-500.0</v>
      </c>
      <c r="ET7" s="39">
        <v>0.0</v>
      </c>
      <c r="EU7" s="39">
        <v>0.0</v>
      </c>
      <c r="EV7" s="63" t="s">
        <v>54</v>
      </c>
      <c r="EW7" s="39">
        <v>-250.0</v>
      </c>
      <c r="EX7" s="99" t="b">
        <v>0</v>
      </c>
      <c r="EY7" s="63"/>
      <c r="EZ7" s="63"/>
      <c r="FA7" s="63"/>
      <c r="FB7" s="63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0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