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6" activeTab="26"/>
  </bookViews>
  <sheets>
    <sheet name="_Modules" sheetId="1" r:id="rId1"/>
    <sheet name="_Settings" sheetId="2" r:id="rId2"/>
    <sheet name="_MasterData" sheetId="3" r:id="rId3"/>
    <sheet name="GetNonTradingTransaction" sheetId="4" r:id="rId4"/>
    <sheet name="AddNonTradingTransaction" sheetId="5" r:id="rId5"/>
    <sheet name="AddNonTradingTransaction1" sheetId="6" r:id="rId6"/>
    <sheet name="CreateDoneAwayOrder" sheetId="7" r:id="rId7"/>
    <sheet name="GetForexConversion" sheetId="8" r:id="rId8"/>
    <sheet name="UpdateForexConversion" sheetId="9" r:id="rId9"/>
    <sheet name="GetMarkPriceData" sheetId="10" r:id="rId10"/>
    <sheet name="UpdateMarkPrice" sheetId="11" r:id="rId11"/>
    <sheet name="GetDayEndCash" sheetId="12" r:id="rId12"/>
    <sheet name="GetAccountBalance" sheetId="13" r:id="rId13"/>
    <sheet name="CreateDoneAwayOrder1" sheetId="14" r:id="rId14"/>
    <sheet name="GetDataClosing" sheetId="15" r:id="rId15"/>
    <sheet name="AutomaticClosing" sheetId="16" r:id="rId16"/>
    <sheet name="GetForexConversion1" sheetId="17" r:id="rId17"/>
    <sheet name="UpdateForexConversion1" sheetId="18" r:id="rId18"/>
    <sheet name="GetMarkPriceData1" sheetId="19" r:id="rId19"/>
    <sheet name="UpdateMarkPrice1" sheetId="20" r:id="rId20"/>
    <sheet name="GetDayEndCash1" sheetId="21" r:id="rId21"/>
    <sheet name="GetAccountBalance1" sheetId="22" r:id="rId22"/>
    <sheet name="GetRevaluationData" sheetId="23" r:id="rId23"/>
    <sheet name="VerifyRevaluationData" sheetId="24" r:id="rId24"/>
    <sheet name="VerifyTradingTransaction" sheetId="25" r:id="rId25"/>
    <sheet name="GetActivityData" sheetId="26" r:id="rId26"/>
    <sheet name="VerifyActivity" sheetId="27" r:id="rId27"/>
    <sheet name="OpenSpinOff" sheetId="28" r:id="rId28"/>
    <sheet name="SpinOff" sheetId="29" r:id="rId29"/>
    <sheet name="VerifyAndApplyCorpAction" sheetId="30" r:id="rId30"/>
    <sheet name="GetForexConversion2" sheetId="31" r:id="rId31"/>
    <sheet name="UpdateForexConversion2" sheetId="32" r:id="rId32"/>
    <sheet name="GetMarkPriceData2" sheetId="33" r:id="rId33"/>
    <sheet name="UpdateMarkPrice2" sheetId="34" r:id="rId34"/>
    <sheet name="GetAccountBalance2" sheetId="35" r:id="rId35"/>
    <sheet name="GetRevaluationData1" sheetId="36" r:id="rId36"/>
    <sheet name="VerifyRevaluationData1" sheetId="37" r:id="rId37"/>
    <sheet name="VerifyTradingTransaction1" sheetId="38" r:id="rId38"/>
    <sheet name="GetActivityData1" sheetId="39" r:id="rId39"/>
    <sheet name="VerifyActivity1" sheetId="40" r:id="rId40"/>
    <sheet name="GetDataClosing1" sheetId="41" r:id="rId41"/>
    <sheet name="VerifyShortPositionsGrid" sheetId="42" r:id="rId42"/>
    <sheet name="GetDataAllocation" sheetId="43" r:id="rId43"/>
    <sheet name="CheckAllocatedGroups" sheetId="44" r:id="rId44"/>
  </sheets>
  <calcPr calcId="145621"/>
</workbook>
</file>

<file path=xl/calcChain.xml><?xml version="1.0" encoding="utf-8"?>
<calcChain xmlns="http://schemas.openxmlformats.org/spreadsheetml/2006/main">
  <c r="J2" i="44" l="1"/>
  <c r="J2" i="43"/>
  <c r="J2" i="42"/>
  <c r="J2" i="41"/>
  <c r="J2" i="40"/>
  <c r="J2" i="39"/>
  <c r="J2" i="38"/>
  <c r="J2" i="37"/>
  <c r="J2" i="36"/>
  <c r="J2" i="35"/>
  <c r="J2" i="34"/>
  <c r="J2" i="33"/>
  <c r="J2" i="32"/>
  <c r="J2" i="31"/>
  <c r="J2" i="30"/>
  <c r="J2" i="29"/>
  <c r="J2" i="28"/>
  <c r="J2" i="27"/>
  <c r="J2" i="26"/>
  <c r="J2" i="25"/>
  <c r="J2" i="24"/>
  <c r="J2" i="23"/>
  <c r="J2" i="22"/>
  <c r="J2" i="21"/>
  <c r="J2" i="20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CS5" i="44"/>
  <c r="AG5" i="44"/>
  <c r="DS4" i="44"/>
  <c r="BG4" i="44"/>
  <c r="ES5" i="43"/>
  <c r="CG5" i="43"/>
  <c r="U5" i="43"/>
  <c r="DG4" i="43"/>
  <c r="AU4" i="43"/>
  <c r="EG5" i="42"/>
  <c r="BU5" i="42"/>
  <c r="I5" i="42"/>
  <c r="CZ5" i="44"/>
  <c r="AN5" i="44"/>
  <c r="EE5" i="44"/>
  <c r="BS5" i="44"/>
  <c r="G5" i="44"/>
  <c r="CS4" i="44"/>
  <c r="AG4" i="44"/>
  <c r="DN5" i="44"/>
  <c r="BB5" i="44"/>
  <c r="EN4" i="44"/>
  <c r="CB4" i="44"/>
  <c r="P4" i="44"/>
  <c r="DB5" i="43"/>
  <c r="AP5" i="43"/>
  <c r="EB4" i="43"/>
  <c r="BP4" i="43"/>
  <c r="D4" i="43"/>
  <c r="CP5" i="42"/>
  <c r="AD5" i="42"/>
  <c r="DP4" i="42"/>
  <c r="BD4" i="42"/>
  <c r="EP5" i="41"/>
  <c r="CD5" i="41"/>
  <c r="DE5" i="44"/>
  <c r="AS5" i="44"/>
  <c r="EE4" i="44"/>
  <c r="BS4" i="44"/>
  <c r="G4" i="44"/>
  <c r="CS5" i="43"/>
  <c r="AG5" i="43"/>
  <c r="DS4" i="43"/>
  <c r="BG4" i="43"/>
  <c r="ES5" i="42"/>
  <c r="EB5" i="44"/>
  <c r="BP5" i="44"/>
  <c r="D5" i="44"/>
  <c r="CP4" i="44"/>
  <c r="AD4" i="44"/>
  <c r="DP5" i="43"/>
  <c r="BD5" i="43"/>
  <c r="EP4" i="43"/>
  <c r="CD4" i="43"/>
  <c r="R4" i="43"/>
  <c r="DD5" i="42"/>
  <c r="AR5" i="42"/>
  <c r="EA5" i="44"/>
  <c r="BO5" i="44"/>
  <c r="C5" i="44"/>
  <c r="CO4" i="44"/>
  <c r="AC4" i="44"/>
  <c r="CL5" i="44"/>
  <c r="DO5" i="43"/>
  <c r="EO4" i="43"/>
  <c r="Q4" i="43"/>
  <c r="AQ5" i="42"/>
  <c r="DG4" i="42"/>
  <c r="AL4" i="42"/>
  <c r="DO5" i="41"/>
  <c r="AV5" i="41"/>
  <c r="EH4" i="41"/>
  <c r="BV4" i="41"/>
  <c r="J4" i="41"/>
  <c r="CV5" i="40"/>
  <c r="AJ5" i="40"/>
  <c r="DV4" i="40"/>
  <c r="B4" i="44"/>
  <c r="V5" i="43"/>
  <c r="AV4" i="43"/>
  <c r="CB5" i="42"/>
  <c r="EH4" i="42"/>
  <c r="BM4" i="42"/>
  <c r="EF5" i="41"/>
  <c r="BK5" i="41"/>
  <c r="EW4" i="41"/>
  <c r="CK4" i="41"/>
  <c r="Y4" i="41"/>
  <c r="DC5" i="40"/>
  <c r="AQ5" i="40"/>
  <c r="BH4" i="44"/>
  <c r="AJ5" i="43"/>
  <c r="BJ4" i="43"/>
  <c r="CM5" i="42"/>
  <c r="EP4" i="42"/>
  <c r="BU4" i="42"/>
  <c r="EW5" i="41"/>
  <c r="CB5" i="41"/>
  <c r="N5" i="41"/>
  <c r="CZ4" i="41"/>
  <c r="AN4" i="41"/>
  <c r="DZ5" i="40"/>
  <c r="BN5" i="40"/>
  <c r="B5" i="40"/>
  <c r="CN4" i="40"/>
  <c r="AB4" i="40"/>
  <c r="ET5" i="43"/>
  <c r="S5" i="43"/>
  <c r="AS4" i="43"/>
  <c r="BY5" i="42"/>
  <c r="EE4" i="42"/>
  <c r="EW5" i="44"/>
  <c r="CK5" i="44"/>
  <c r="Y5" i="44"/>
  <c r="DK4" i="44"/>
  <c r="AY4" i="44"/>
  <c r="EK5" i="43"/>
  <c r="BY5" i="43"/>
  <c r="M5" i="43"/>
  <c r="CY4" i="43"/>
  <c r="AM4" i="43"/>
  <c r="DY5" i="42"/>
  <c r="BM5" i="42"/>
  <c r="A5" i="42"/>
  <c r="CR5" i="44"/>
  <c r="AF5" i="44"/>
  <c r="DW5" i="44"/>
  <c r="BK5" i="44"/>
  <c r="EW4" i="44"/>
  <c r="CK4" i="44"/>
  <c r="Y4" i="44"/>
  <c r="DF5" i="44"/>
  <c r="AT5" i="44"/>
  <c r="EF4" i="44"/>
  <c r="BT4" i="44"/>
  <c r="H4" i="44"/>
  <c r="CT5" i="43"/>
  <c r="AH5" i="43"/>
  <c r="DT4" i="43"/>
  <c r="BH4" i="43"/>
  <c r="ET5" i="42"/>
  <c r="CH5" i="42"/>
  <c r="V5" i="42"/>
  <c r="DH4" i="42"/>
  <c r="AV4" i="42"/>
  <c r="EH5" i="41"/>
  <c r="BV5" i="41"/>
  <c r="CW5" i="44"/>
  <c r="AK5" i="44"/>
  <c r="DW4" i="44"/>
  <c r="BK4" i="44"/>
  <c r="EW5" i="43"/>
  <c r="CK5" i="43"/>
  <c r="Y5" i="43"/>
  <c r="DK4" i="43"/>
  <c r="AY4" i="43"/>
  <c r="EK5" i="42"/>
  <c r="DT5" i="44"/>
  <c r="BH5" i="44"/>
  <c r="ET4" i="44"/>
  <c r="CH4" i="44"/>
  <c r="V4" i="44"/>
  <c r="DH5" i="43"/>
  <c r="AV5" i="43"/>
  <c r="EH4" i="43"/>
  <c r="BV4" i="43"/>
  <c r="J4" i="43"/>
  <c r="CV5" i="42"/>
  <c r="AJ5" i="42"/>
  <c r="DS5" i="44"/>
  <c r="BG5" i="44"/>
  <c r="ES4" i="44"/>
  <c r="CG4" i="44"/>
  <c r="U4" i="44"/>
  <c r="Z5" i="44"/>
  <c r="CY5" i="43"/>
  <c r="DY4" i="43"/>
  <c r="EI5" i="42"/>
  <c r="AE5" i="42"/>
  <c r="CX4" i="42"/>
  <c r="AC4" i="42"/>
  <c r="DF5" i="41"/>
  <c r="AN5" i="41"/>
  <c r="DZ4" i="41"/>
  <c r="BN4" i="41"/>
  <c r="B4" i="41"/>
  <c r="CN5" i="40"/>
  <c r="AB5" i="40"/>
  <c r="EP5" i="44"/>
  <c r="ED5" i="43"/>
  <c r="F5" i="43"/>
  <c r="AF4" i="43"/>
  <c r="BO5" i="42"/>
  <c r="DY4" i="42"/>
  <c r="BC4" i="42"/>
  <c r="DW5" i="41"/>
  <c r="BC5" i="41"/>
  <c r="EO4" i="41"/>
  <c r="CC4" i="41"/>
  <c r="Q4" i="41"/>
  <c r="CU5" i="40"/>
  <c r="AI5" i="40"/>
  <c r="AB4" i="44"/>
  <c r="T5" i="43"/>
  <c r="AT4" i="43"/>
  <c r="CA5" i="42"/>
  <c r="EG4" i="42"/>
  <c r="BK4" i="42"/>
  <c r="EN5" i="41"/>
  <c r="BS5" i="41"/>
  <c r="F5" i="41"/>
  <c r="CR4" i="41"/>
  <c r="AF4" i="41"/>
  <c r="DR5" i="40"/>
  <c r="BF5" i="40"/>
  <c r="ER4" i="40"/>
  <c r="CF4" i="40"/>
  <c r="DZ5" i="44"/>
  <c r="EA5" i="43"/>
  <c r="C5" i="43"/>
  <c r="AC4" i="43"/>
  <c r="BL5" i="42"/>
  <c r="DV4" i="42"/>
  <c r="BA4" i="42"/>
  <c r="ED5" i="41"/>
  <c r="BI5" i="41"/>
  <c r="EU4" i="41"/>
  <c r="CI4" i="41"/>
  <c r="W4" i="41"/>
  <c r="DI5" i="40"/>
  <c r="AW5" i="40"/>
  <c r="EI4" i="40"/>
  <c r="BW4" i="40"/>
  <c r="BF5" i="44"/>
  <c r="DG5" i="43"/>
  <c r="EG4" i="43"/>
  <c r="I4" i="43"/>
  <c r="AX5" i="42"/>
  <c r="EO5" i="44"/>
  <c r="CC5" i="44"/>
  <c r="Q5" i="44"/>
  <c r="DC4" i="44"/>
  <c r="AQ4" i="44"/>
  <c r="EC5" i="43"/>
  <c r="BQ5" i="43"/>
  <c r="E5" i="43"/>
  <c r="CQ4" i="43"/>
  <c r="AE4" i="43"/>
  <c r="DQ5" i="42"/>
  <c r="BE5" i="42"/>
  <c r="EV5" i="44"/>
  <c r="CJ5" i="44"/>
  <c r="X5" i="44"/>
  <c r="DO5" i="44"/>
  <c r="BC5" i="44"/>
  <c r="EO4" i="44"/>
  <c r="CC4" i="44"/>
  <c r="Q4" i="44"/>
  <c r="CX5" i="44"/>
  <c r="AL5" i="44"/>
  <c r="DX4" i="44"/>
  <c r="BL4" i="44"/>
  <c r="EX5" i="43"/>
  <c r="CL5" i="43"/>
  <c r="Z5" i="43"/>
  <c r="DL4" i="43"/>
  <c r="AZ4" i="43"/>
  <c r="EL5" i="42"/>
  <c r="BZ5" i="42"/>
  <c r="N5" i="42"/>
  <c r="CZ4" i="42"/>
  <c r="AN4" i="42"/>
  <c r="DZ5" i="41"/>
  <c r="BN5" i="41"/>
  <c r="CO5" i="44"/>
  <c r="AC5" i="44"/>
  <c r="DO4" i="44"/>
  <c r="BC4" i="44"/>
  <c r="EO5" i="43"/>
  <c r="CC5" i="43"/>
  <c r="Q5" i="43"/>
  <c r="DC4" i="43"/>
  <c r="AQ4" i="43"/>
  <c r="EC5" i="42"/>
  <c r="DL5" i="44"/>
  <c r="AZ5" i="44"/>
  <c r="EL4" i="44"/>
  <c r="BZ4" i="44"/>
  <c r="N4" i="44"/>
  <c r="CZ5" i="43"/>
  <c r="AN5" i="43"/>
  <c r="DZ4" i="43"/>
  <c r="BN4" i="43"/>
  <c r="B4" i="43"/>
  <c r="CN5" i="42"/>
  <c r="AB5" i="42"/>
  <c r="DK5" i="44"/>
  <c r="AY5" i="44"/>
  <c r="EK4" i="44"/>
  <c r="BY4" i="44"/>
  <c r="M4" i="44"/>
  <c r="EB4" i="44"/>
  <c r="CI5" i="43"/>
  <c r="DI4" i="43"/>
  <c r="DS5" i="42"/>
  <c r="R5" i="42"/>
  <c r="CO4" i="42"/>
  <c r="T4" i="42"/>
  <c r="CW5" i="41"/>
  <c r="AF5" i="41"/>
  <c r="DR4" i="41"/>
  <c r="BF4" i="41"/>
  <c r="ER5" i="40"/>
  <c r="CF5" i="40"/>
  <c r="T5" i="40"/>
  <c r="CD5" i="44"/>
  <c r="DN5" i="43"/>
  <c r="EN4" i="43"/>
  <c r="P4" i="43"/>
  <c r="BC5" i="42"/>
  <c r="DO4" i="42"/>
  <c r="AT4" i="42"/>
  <c r="DN5" i="41"/>
  <c r="AU5" i="41"/>
  <c r="EG4" i="41"/>
  <c r="BU4" i="41"/>
  <c r="I4" i="41"/>
  <c r="CM5" i="40"/>
  <c r="AA5" i="40"/>
  <c r="EB5" i="43"/>
  <c r="D5" i="43"/>
  <c r="AD4" i="43"/>
  <c r="BN5" i="42"/>
  <c r="DW4" i="42"/>
  <c r="BB4" i="42"/>
  <c r="EE5" i="41"/>
  <c r="BJ5" i="41"/>
  <c r="EV4" i="41"/>
  <c r="CJ4" i="41"/>
  <c r="X4" i="41"/>
  <c r="DJ5" i="40"/>
  <c r="AX5" i="40"/>
  <c r="EJ4" i="40"/>
  <c r="BX4" i="40"/>
  <c r="BN5" i="44"/>
  <c r="DK5" i="43"/>
  <c r="EK4" i="43"/>
  <c r="M4" i="43"/>
  <c r="AY5" i="42"/>
  <c r="DM4" i="42"/>
  <c r="AR4" i="42"/>
  <c r="DU5" i="41"/>
  <c r="BA5" i="41"/>
  <c r="EM4" i="41"/>
  <c r="CA4" i="41"/>
  <c r="O4" i="41"/>
  <c r="DA5" i="40"/>
  <c r="AO5" i="40"/>
  <c r="EA4" i="40"/>
  <c r="BO4" i="40"/>
  <c r="ER4" i="44"/>
  <c r="CQ5" i="43"/>
  <c r="DQ4" i="43"/>
  <c r="EQ5" i="42"/>
  <c r="AK5" i="42"/>
  <c r="EG5" i="44"/>
  <c r="BU5" i="44"/>
  <c r="I5" i="44"/>
  <c r="CU4" i="44"/>
  <c r="AI4" i="44"/>
  <c r="DU5" i="43"/>
  <c r="BI5" i="43"/>
  <c r="EU4" i="43"/>
  <c r="CI4" i="43"/>
  <c r="W4" i="43"/>
  <c r="DI5" i="42"/>
  <c r="AW5" i="42"/>
  <c r="EN5" i="44"/>
  <c r="CB5" i="44"/>
  <c r="P5" i="44"/>
  <c r="DG5" i="44"/>
  <c r="AU5" i="44"/>
  <c r="EG4" i="44"/>
  <c r="BU4" i="44"/>
  <c r="I4" i="44"/>
  <c r="CP5" i="44"/>
  <c r="AD5" i="44"/>
  <c r="DP4" i="44"/>
  <c r="BD4" i="44"/>
  <c r="EP5" i="43"/>
  <c r="CD5" i="43"/>
  <c r="R5" i="43"/>
  <c r="DD4" i="43"/>
  <c r="AR4" i="43"/>
  <c r="ED5" i="42"/>
  <c r="BR5" i="42"/>
  <c r="F5" i="42"/>
  <c r="CR4" i="42"/>
  <c r="AF4" i="42"/>
  <c r="DR5" i="41"/>
  <c r="ES5" i="44"/>
  <c r="CG5" i="44"/>
  <c r="U5" i="44"/>
  <c r="DG4" i="44"/>
  <c r="AU4" i="44"/>
  <c r="EG5" i="43"/>
  <c r="BU5" i="43"/>
  <c r="I5" i="43"/>
  <c r="CU4" i="43"/>
  <c r="AI4" i="43"/>
  <c r="DU5" i="42"/>
  <c r="DD5" i="44"/>
  <c r="AR5" i="44"/>
  <c r="ED4" i="44"/>
  <c r="BR4" i="44"/>
  <c r="F4" i="44"/>
  <c r="CR5" i="43"/>
  <c r="AF5" i="43"/>
  <c r="DR4" i="43"/>
  <c r="BF4" i="43"/>
  <c r="ER5" i="42"/>
  <c r="CF5" i="42"/>
  <c r="T5" i="42"/>
  <c r="DC5" i="44"/>
  <c r="AQ5" i="44"/>
  <c r="EC4" i="44"/>
  <c r="BQ4" i="44"/>
  <c r="E4" i="44"/>
  <c r="CV4" i="44"/>
  <c r="BS5" i="43"/>
  <c r="CS4" i="43"/>
  <c r="DC5" i="42"/>
  <c r="E5" i="42"/>
  <c r="CF4" i="42"/>
  <c r="K4" i="42"/>
  <c r="CN5" i="41"/>
  <c r="X5" i="41"/>
  <c r="DJ4" i="41"/>
  <c r="AX4" i="41"/>
  <c r="EJ5" i="40"/>
  <c r="BX5" i="40"/>
  <c r="L5" i="40"/>
  <c r="R5" i="44"/>
  <c r="CX5" i="43"/>
  <c r="DX4" i="43"/>
  <c r="EX5" i="42"/>
  <c r="AP5" i="42"/>
  <c r="DF4" i="42"/>
  <c r="AK4" i="42"/>
  <c r="DE5" i="41"/>
  <c r="AM5" i="41"/>
  <c r="DY4" i="41"/>
  <c r="BM4" i="41"/>
  <c r="EQ5" i="40"/>
  <c r="CE5" i="40"/>
  <c r="EH5" i="44"/>
  <c r="DL5" i="43"/>
  <c r="EL4" i="43"/>
  <c r="N4" i="43"/>
  <c r="BA5" i="42"/>
  <c r="DN4" i="42"/>
  <c r="AS4" i="42"/>
  <c r="DV5" i="41"/>
  <c r="BB5" i="41"/>
  <c r="EN4" i="41"/>
  <c r="CB4" i="41"/>
  <c r="P4" i="41"/>
  <c r="DB5" i="40"/>
  <c r="AP5" i="40"/>
  <c r="EB4" i="40"/>
  <c r="BP4" i="40"/>
  <c r="B5" i="44"/>
  <c r="CU5" i="43"/>
  <c r="DU4" i="43"/>
  <c r="EU5" i="42"/>
  <c r="AM5" i="42"/>
  <c r="DD4" i="42"/>
  <c r="AI4" i="42"/>
  <c r="DL5" i="41"/>
  <c r="AS5" i="41"/>
  <c r="EE4" i="41"/>
  <c r="BS4" i="41"/>
  <c r="G4" i="41"/>
  <c r="CS5" i="40"/>
  <c r="AG5" i="40"/>
  <c r="DS4" i="40"/>
  <c r="BG4" i="40"/>
  <c r="DL4" i="44"/>
  <c r="DY5" i="44"/>
  <c r="BM5" i="44"/>
  <c r="A5" i="44"/>
  <c r="CM4" i="44"/>
  <c r="AA4" i="44"/>
  <c r="DM5" i="43"/>
  <c r="BA5" i="43"/>
  <c r="EM4" i="43"/>
  <c r="CA4" i="43"/>
  <c r="O4" i="43"/>
  <c r="DA5" i="42"/>
  <c r="AO5" i="42"/>
  <c r="EF5" i="44"/>
  <c r="BT5" i="44"/>
  <c r="H5" i="44"/>
  <c r="CY5" i="44"/>
  <c r="AM5" i="44"/>
  <c r="DY4" i="44"/>
  <c r="BM4" i="44"/>
  <c r="ET5" i="44"/>
  <c r="CH5" i="44"/>
  <c r="V5" i="44"/>
  <c r="DH4" i="44"/>
  <c r="AV4" i="44"/>
  <c r="EH5" i="43"/>
  <c r="BV5" i="43"/>
  <c r="J5" i="43"/>
  <c r="CV4" i="43"/>
  <c r="AJ4" i="43"/>
  <c r="DV5" i="42"/>
  <c r="BJ5" i="42"/>
  <c r="EV4" i="42"/>
  <c r="CJ4" i="42"/>
  <c r="X4" i="42"/>
  <c r="DJ5" i="41"/>
  <c r="EK5" i="44"/>
  <c r="BY5" i="44"/>
  <c r="M5" i="44"/>
  <c r="CY4" i="44"/>
  <c r="AM4" i="44"/>
  <c r="DY5" i="43"/>
  <c r="BM5" i="43"/>
  <c r="A5" i="43"/>
  <c r="CM4" i="43"/>
  <c r="AA4" i="43"/>
  <c r="DM5" i="42"/>
  <c r="CV5" i="44"/>
  <c r="AJ5" i="44"/>
  <c r="DV4" i="44"/>
  <c r="BJ4" i="44"/>
  <c r="EV5" i="43"/>
  <c r="CJ5" i="43"/>
  <c r="X5" i="43"/>
  <c r="DJ4" i="43"/>
  <c r="AX4" i="43"/>
  <c r="EJ5" i="42"/>
  <c r="BX5" i="42"/>
  <c r="L5" i="42"/>
  <c r="CU5" i="44"/>
  <c r="AI5" i="44"/>
  <c r="DU4" i="44"/>
  <c r="BI4" i="44"/>
  <c r="EU5" i="43"/>
  <c r="BP4" i="44"/>
  <c r="BC5" i="43"/>
  <c r="CC4" i="43"/>
  <c r="CQ5" i="42"/>
  <c r="ER4" i="42"/>
  <c r="BW4" i="42"/>
  <c r="B4" i="42"/>
  <c r="CE5" i="41"/>
  <c r="P5" i="41"/>
  <c r="DB4" i="41"/>
  <c r="AP4" i="41"/>
  <c r="EB5" i="40"/>
  <c r="BP5" i="40"/>
  <c r="D5" i="40"/>
  <c r="DZ4" i="44"/>
  <c r="CH5" i="43"/>
  <c r="DH4" i="43"/>
  <c r="EH5" i="42"/>
  <c r="AC5" i="42"/>
  <c r="CW4" i="42"/>
  <c r="AB4" i="42"/>
  <c r="CV5" i="41"/>
  <c r="AE5" i="41"/>
  <c r="DQ4" i="41"/>
  <c r="BE4" i="41"/>
  <c r="EI5" i="40"/>
  <c r="BW5" i="40"/>
  <c r="BV5" i="44"/>
  <c r="CV5" i="43"/>
  <c r="DV4" i="43"/>
  <c r="EV5" i="42"/>
  <c r="AN5" i="42"/>
  <c r="DE4" i="42"/>
  <c r="AJ4" i="42"/>
  <c r="DM5" i="41"/>
  <c r="AT5" i="41"/>
  <c r="EF4" i="41"/>
  <c r="BT4" i="41"/>
  <c r="H4" i="41"/>
  <c r="CT5" i="40"/>
  <c r="AH5" i="40"/>
  <c r="DT4" i="40"/>
  <c r="BH4" i="40"/>
  <c r="DR4" i="44"/>
  <c r="CE5" i="43"/>
  <c r="DE4" i="43"/>
  <c r="EE5" i="42"/>
  <c r="Z5" i="42"/>
  <c r="CU4" i="42"/>
  <c r="Z4" i="42"/>
  <c r="DC5" i="41"/>
  <c r="AK5" i="41"/>
  <c r="DW4" i="41"/>
  <c r="BK4" i="41"/>
  <c r="EW5" i="40"/>
  <c r="CK5" i="40"/>
  <c r="Y5" i="40"/>
  <c r="DK4" i="40"/>
  <c r="AY4" i="40"/>
  <c r="CF4" i="44"/>
  <c r="BK5" i="43"/>
  <c r="CK4" i="43"/>
  <c r="DK5" i="42"/>
  <c r="K5" i="42"/>
  <c r="DQ5" i="44"/>
  <c r="BE5" i="44"/>
  <c r="EQ4" i="44"/>
  <c r="CE4" i="44"/>
  <c r="S4" i="44"/>
  <c r="DE5" i="43"/>
  <c r="AS5" i="43"/>
  <c r="EE4" i="43"/>
  <c r="BS4" i="43"/>
  <c r="G4" i="43"/>
  <c r="CS5" i="42"/>
  <c r="AG5" i="42"/>
  <c r="DX5" i="44"/>
  <c r="BL5" i="44"/>
  <c r="EX4" i="44"/>
  <c r="CQ5" i="44"/>
  <c r="AE5" i="44"/>
  <c r="DQ4" i="44"/>
  <c r="BE4" i="44"/>
  <c r="EL5" i="44"/>
  <c r="BZ5" i="44"/>
  <c r="N5" i="44"/>
  <c r="CZ4" i="44"/>
  <c r="AN4" i="44"/>
  <c r="DZ5" i="43"/>
  <c r="BN5" i="43"/>
  <c r="B5" i="43"/>
  <c r="CN4" i="43"/>
  <c r="AB4" i="43"/>
  <c r="DN5" i="42"/>
  <c r="BB5" i="42"/>
  <c r="EN4" i="42"/>
  <c r="CB4" i="42"/>
  <c r="P4" i="42"/>
  <c r="DB5" i="41"/>
  <c r="EC5" i="44"/>
  <c r="BQ5" i="44"/>
  <c r="E5" i="44"/>
  <c r="CQ4" i="44"/>
  <c r="AE4" i="44"/>
  <c r="DQ5" i="43"/>
  <c r="BE5" i="43"/>
  <c r="EQ4" i="43"/>
  <c r="CE4" i="43"/>
  <c r="S4" i="43"/>
  <c r="DE5" i="42"/>
  <c r="CN5" i="44"/>
  <c r="AB5" i="44"/>
  <c r="DN4" i="44"/>
  <c r="BB4" i="44"/>
  <c r="EN5" i="43"/>
  <c r="CB5" i="43"/>
  <c r="P5" i="43"/>
  <c r="DB4" i="43"/>
  <c r="AP4" i="43"/>
  <c r="EB5" i="42"/>
  <c r="BP5" i="42"/>
  <c r="D5" i="42"/>
  <c r="CM5" i="44"/>
  <c r="AA5" i="44"/>
  <c r="DM4" i="44"/>
  <c r="BA4" i="44"/>
  <c r="EM5" i="43"/>
  <c r="AJ4" i="44"/>
  <c r="AM5" i="43"/>
  <c r="BM4" i="43"/>
  <c r="CD5" i="42"/>
  <c r="EI4" i="42"/>
  <c r="BN4" i="42"/>
  <c r="EQ5" i="41"/>
  <c r="BU5" i="41"/>
  <c r="H5" i="41"/>
  <c r="CT4" i="41"/>
  <c r="AH4" i="41"/>
  <c r="DT5" i="40"/>
  <c r="BH5" i="40"/>
  <c r="ET4" i="40"/>
  <c r="CT4" i="44"/>
  <c r="BR5" i="43"/>
  <c r="CR4" i="43"/>
  <c r="DR5" i="42"/>
  <c r="P5" i="42"/>
  <c r="CN4" i="42"/>
  <c r="S4" i="42"/>
  <c r="CM5" i="41"/>
  <c r="W5" i="41"/>
  <c r="DI4" i="41"/>
  <c r="AW4" i="41"/>
  <c r="EA5" i="40"/>
  <c r="BO5" i="40"/>
  <c r="J5" i="44"/>
  <c r="CF5" i="43"/>
  <c r="DF4" i="43"/>
  <c r="EF5" i="42"/>
  <c r="AA5" i="42"/>
  <c r="CV4" i="42"/>
  <c r="AA4" i="42"/>
  <c r="DD5" i="41"/>
  <c r="AL5" i="41"/>
  <c r="DX4" i="41"/>
  <c r="BL4" i="41"/>
  <c r="EX5" i="40"/>
  <c r="CL5" i="40"/>
  <c r="Z5" i="40"/>
  <c r="DL4" i="40"/>
  <c r="AZ4" i="40"/>
  <c r="CL4" i="44"/>
  <c r="BO5" i="43"/>
  <c r="CO4" i="43"/>
  <c r="DO5" i="42"/>
  <c r="M5" i="42"/>
  <c r="CL4" i="42"/>
  <c r="Q4" i="42"/>
  <c r="CS5" i="41"/>
  <c r="AC5" i="41"/>
  <c r="DO4" i="41"/>
  <c r="BC4" i="41"/>
  <c r="EO5" i="40"/>
  <c r="CC5" i="40"/>
  <c r="Q5" i="40"/>
  <c r="DC4" i="40"/>
  <c r="AQ4" i="40"/>
  <c r="AZ4" i="44"/>
  <c r="AU5" i="43"/>
  <c r="BU4" i="43"/>
  <c r="CW5" i="42"/>
  <c r="EW4" i="42"/>
  <c r="DI5" i="44"/>
  <c r="AW5" i="44"/>
  <c r="EI4" i="44"/>
  <c r="BW4" i="44"/>
  <c r="K4" i="44"/>
  <c r="CW5" i="43"/>
  <c r="AK5" i="43"/>
  <c r="DW4" i="43"/>
  <c r="BK4" i="43"/>
  <c r="EW5" i="42"/>
  <c r="CK5" i="42"/>
  <c r="Y5" i="42"/>
  <c r="DP5" i="44"/>
  <c r="BD5" i="44"/>
  <c r="EU5" i="44"/>
  <c r="CI5" i="44"/>
  <c r="W5" i="44"/>
  <c r="DI4" i="44"/>
  <c r="AW4" i="44"/>
  <c r="ED5" i="44"/>
  <c r="BR5" i="44"/>
  <c r="F5" i="44"/>
  <c r="CR4" i="44"/>
  <c r="AF4" i="44"/>
  <c r="DR5" i="43"/>
  <c r="BF5" i="43"/>
  <c r="ER4" i="43"/>
  <c r="CF4" i="43"/>
  <c r="T4" i="43"/>
  <c r="DF5" i="42"/>
  <c r="AT5" i="42"/>
  <c r="EF4" i="42"/>
  <c r="BT4" i="42"/>
  <c r="H4" i="42"/>
  <c r="CT5" i="41"/>
  <c r="DU5" i="44"/>
  <c r="BI5" i="44"/>
  <c r="EU4" i="44"/>
  <c r="CI4" i="44"/>
  <c r="W4" i="44"/>
  <c r="DI5" i="43"/>
  <c r="AW5" i="43"/>
  <c r="EI4" i="43"/>
  <c r="BW4" i="43"/>
  <c r="K4" i="43"/>
  <c r="ER5" i="44"/>
  <c r="CF5" i="44"/>
  <c r="T5" i="44"/>
  <c r="DF4" i="44"/>
  <c r="AT4" i="44"/>
  <c r="EF5" i="43"/>
  <c r="BT5" i="43"/>
  <c r="H5" i="43"/>
  <c r="CT4" i="43"/>
  <c r="AH4" i="43"/>
  <c r="DT5" i="42"/>
  <c r="BH5" i="42"/>
  <c r="EQ5" i="44"/>
  <c r="CE5" i="44"/>
  <c r="S5" i="44"/>
  <c r="DE4" i="44"/>
  <c r="AS4" i="44"/>
  <c r="EE5" i="43"/>
  <c r="D4" i="44"/>
  <c r="W5" i="43"/>
  <c r="AW4" i="43"/>
  <c r="BQ5" i="42"/>
  <c r="DZ4" i="42"/>
  <c r="BE4" i="42"/>
  <c r="EG5" i="41"/>
  <c r="BL5" i="41"/>
  <c r="EX4" i="41"/>
  <c r="CL4" i="41"/>
  <c r="Z4" i="41"/>
  <c r="DL5" i="40"/>
  <c r="AZ5" i="40"/>
  <c r="EL4" i="40"/>
  <c r="BN4" i="44"/>
  <c r="BB5" i="43"/>
  <c r="CB4" i="43"/>
  <c r="DB5" i="42"/>
  <c r="C5" i="42"/>
  <c r="CE4" i="42"/>
  <c r="J4" i="42"/>
  <c r="CC5" i="41"/>
  <c r="O5" i="41"/>
  <c r="DA4" i="41"/>
  <c r="AO4" i="41"/>
  <c r="DS5" i="40"/>
  <c r="BG5" i="40"/>
  <c r="DT4" i="44"/>
  <c r="BP5" i="43"/>
  <c r="CP4" i="43"/>
  <c r="DP5" i="42"/>
  <c r="O5" i="42"/>
  <c r="CM4" i="42"/>
  <c r="R4" i="42"/>
  <c r="CU5" i="41"/>
  <c r="AD5" i="41"/>
  <c r="DP4" i="41"/>
  <c r="BD4" i="41"/>
  <c r="EP5" i="40"/>
  <c r="CD5" i="40"/>
  <c r="R5" i="40"/>
  <c r="DD4" i="40"/>
  <c r="AR4" i="40"/>
  <c r="BF4" i="44"/>
  <c r="AY5" i="43"/>
  <c r="BY4" i="43"/>
  <c r="CY5" i="42"/>
  <c r="EX4" i="42"/>
  <c r="CC4" i="42"/>
  <c r="G4" i="42"/>
  <c r="CJ5" i="41"/>
  <c r="U5" i="41"/>
  <c r="DG4" i="41"/>
  <c r="AU4" i="41"/>
  <c r="EG5" i="40"/>
  <c r="BU5" i="40"/>
  <c r="I5" i="40"/>
  <c r="CU4" i="40"/>
  <c r="AI4" i="40"/>
  <c r="T4" i="44"/>
  <c r="AE5" i="43"/>
  <c r="BE4" i="43"/>
  <c r="DA5" i="44"/>
  <c r="AO5" i="44"/>
  <c r="EA4" i="44"/>
  <c r="BO4" i="44"/>
  <c r="C4" i="44"/>
  <c r="CO5" i="43"/>
  <c r="AC5" i="43"/>
  <c r="DO4" i="43"/>
  <c r="BC4" i="43"/>
  <c r="EO5" i="42"/>
  <c r="CC5" i="42"/>
  <c r="Q5" i="42"/>
  <c r="DH5" i="44"/>
  <c r="AV5" i="44"/>
  <c r="EM5" i="44"/>
  <c r="CA5" i="44"/>
  <c r="O5" i="44"/>
  <c r="DA4" i="44"/>
  <c r="AO4" i="44"/>
  <c r="DV5" i="44"/>
  <c r="BJ5" i="44"/>
  <c r="EV4" i="44"/>
  <c r="CJ4" i="44"/>
  <c r="X4" i="44"/>
  <c r="DJ5" i="43"/>
  <c r="AX5" i="43"/>
  <c r="EJ4" i="43"/>
  <c r="BX4" i="43"/>
  <c r="L4" i="43"/>
  <c r="CX5" i="42"/>
  <c r="AL5" i="42"/>
  <c r="DX4" i="42"/>
  <c r="BL4" i="42"/>
  <c r="EX5" i="41"/>
  <c r="CL5" i="41"/>
  <c r="DM5" i="44"/>
  <c r="BA5" i="44"/>
  <c r="EM4" i="44"/>
  <c r="CA4" i="44"/>
  <c r="O4" i="44"/>
  <c r="DA5" i="43"/>
  <c r="AO5" i="43"/>
  <c r="EA4" i="43"/>
  <c r="BO4" i="43"/>
  <c r="C4" i="43"/>
  <c r="EJ5" i="44"/>
  <c r="BX5" i="44"/>
  <c r="L5" i="44"/>
  <c r="CX4" i="44"/>
  <c r="AL4" i="44"/>
  <c r="DX5" i="43"/>
  <c r="BL5" i="43"/>
  <c r="EX4" i="43"/>
  <c r="CL4" i="43"/>
  <c r="Z4" i="43"/>
  <c r="DL5" i="42"/>
  <c r="AZ5" i="42"/>
  <c r="EI5" i="44"/>
  <c r="BW5" i="44"/>
  <c r="K5" i="44"/>
  <c r="CW4" i="44"/>
  <c r="AK4" i="44"/>
  <c r="EX5" i="44"/>
  <c r="EI5" i="43"/>
  <c r="G5" i="43"/>
  <c r="AG4" i="43"/>
  <c r="BD5" i="42"/>
  <c r="DQ4" i="42"/>
  <c r="AU4" i="42"/>
  <c r="DX5" i="41"/>
  <c r="BD5" i="41"/>
  <c r="EP4" i="41"/>
  <c r="CD4" i="41"/>
  <c r="R4" i="41"/>
  <c r="DD5" i="40"/>
  <c r="AR5" i="40"/>
  <c r="ED4" i="40"/>
  <c r="AH4" i="44"/>
  <c r="AL5" i="43"/>
  <c r="BL4" i="43"/>
  <c r="CO5" i="42"/>
  <c r="EQ4" i="42"/>
  <c r="BV4" i="42"/>
  <c r="EO5" i="41"/>
  <c r="BT5" i="41"/>
  <c r="G5" i="41"/>
  <c r="CS4" i="41"/>
  <c r="AG4" i="41"/>
  <c r="DK5" i="40"/>
  <c r="AY5" i="40"/>
  <c r="CN4" i="44"/>
  <c r="AZ5" i="43"/>
  <c r="BZ4" i="43"/>
  <c r="CZ5" i="42"/>
  <c r="B5" i="42"/>
  <c r="CD4" i="42"/>
  <c r="I4" i="42"/>
  <c r="CK5" i="41"/>
  <c r="V5" i="41"/>
  <c r="DH4" i="41"/>
  <c r="AV4" i="41"/>
  <c r="EH5" i="40"/>
  <c r="BV5" i="40"/>
  <c r="J5" i="40"/>
  <c r="CV4" i="40"/>
  <c r="AJ4" i="40"/>
  <c r="Z4" i="44"/>
  <c r="AI5" i="43"/>
  <c r="BI4" i="43"/>
  <c r="CL5" i="42"/>
  <c r="EO4" i="42"/>
  <c r="BS4" i="42"/>
  <c r="EV5" i="41"/>
  <c r="CA5" i="41"/>
  <c r="M5" i="41"/>
  <c r="CY4" i="41"/>
  <c r="AM4" i="41"/>
  <c r="DY5" i="40"/>
  <c r="BM5" i="40"/>
  <c r="A5" i="40"/>
  <c r="CM4" i="40"/>
  <c r="AA4" i="40"/>
  <c r="ER5" i="43"/>
  <c r="O5" i="43"/>
  <c r="AO4" i="43"/>
  <c r="BW5" i="42"/>
  <c r="ED4" i="42"/>
  <c r="BJ4" i="42"/>
  <c r="EQ4" i="40"/>
  <c r="EA5" i="42"/>
  <c r="CT4" i="42"/>
  <c r="Y4" i="42"/>
  <c r="DA5" i="41"/>
  <c r="AJ5" i="41"/>
  <c r="DV4" i="41"/>
  <c r="BJ4" i="41"/>
  <c r="EV5" i="40"/>
  <c r="CJ5" i="40"/>
  <c r="X5" i="40"/>
  <c r="DJ4" i="40"/>
  <c r="AX4" i="40"/>
  <c r="AX4" i="44"/>
  <c r="AT5" i="43"/>
  <c r="BT4" i="43"/>
  <c r="CU5" i="42"/>
  <c r="EU4" i="42"/>
  <c r="BZ4" i="42"/>
  <c r="E4" i="42"/>
  <c r="CH5" i="41"/>
  <c r="S5" i="41"/>
  <c r="DE4" i="41"/>
  <c r="AS4" i="41"/>
  <c r="EE5" i="40"/>
  <c r="BS5" i="40"/>
  <c r="G5" i="40"/>
  <c r="CS4" i="40"/>
  <c r="AG4" i="40"/>
  <c r="EL5" i="43"/>
  <c r="L5" i="43"/>
  <c r="AL4" i="43"/>
  <c r="BT5" i="42"/>
  <c r="EB4" i="42"/>
  <c r="BG4" i="42"/>
  <c r="EJ5" i="41"/>
  <c r="BO5" i="41"/>
  <c r="B5" i="41"/>
  <c r="CN4" i="41"/>
  <c r="AB4" i="41"/>
  <c r="DN5" i="40"/>
  <c r="BB5" i="40"/>
  <c r="EN4" i="40"/>
  <c r="CB4" i="40"/>
  <c r="AH5" i="44"/>
  <c r="DC5" i="43"/>
  <c r="EC4" i="43"/>
  <c r="E4" i="43"/>
  <c r="AS5" i="42"/>
  <c r="DI4" i="42"/>
  <c r="AM4" i="42"/>
  <c r="DP5" i="41"/>
  <c r="AW5" i="41"/>
  <c r="EI4" i="41"/>
  <c r="BW4" i="41"/>
  <c r="K4" i="41"/>
  <c r="CW5" i="40"/>
  <c r="AK5" i="40"/>
  <c r="DW4" i="40"/>
  <c r="BK4" i="40"/>
  <c r="BA4" i="40"/>
  <c r="DK5" i="39"/>
  <c r="AY5" i="39"/>
  <c r="EK4" i="39"/>
  <c r="BY4" i="39"/>
  <c r="M4" i="39"/>
  <c r="CY5" i="38"/>
  <c r="AM5" i="38"/>
  <c r="DY4" i="38"/>
  <c r="BM4" i="38"/>
  <c r="EQ5" i="37"/>
  <c r="CE5" i="37"/>
  <c r="S5" i="37"/>
  <c r="DE4" i="37"/>
  <c r="AS4" i="37"/>
  <c r="DF4" i="40"/>
  <c r="EH5" i="39"/>
  <c r="BV5" i="39"/>
  <c r="J5" i="39"/>
  <c r="CV4" i="39"/>
  <c r="AJ4" i="39"/>
  <c r="DV5" i="38"/>
  <c r="BJ5" i="38"/>
  <c r="EV4" i="38"/>
  <c r="CJ4" i="38"/>
  <c r="X4" i="38"/>
  <c r="DJ5" i="37"/>
  <c r="AX5" i="37"/>
  <c r="EJ4" i="37"/>
  <c r="BX4" i="37"/>
  <c r="L4" i="37"/>
  <c r="BY4" i="40"/>
  <c r="DY5" i="39"/>
  <c r="BM5" i="39"/>
  <c r="A5" i="39"/>
  <c r="CM4" i="39"/>
  <c r="AA4" i="39"/>
  <c r="DM5" i="38"/>
  <c r="BA5" i="38"/>
  <c r="EM4" i="38"/>
  <c r="CA4" i="38"/>
  <c r="O4" i="38"/>
  <c r="DA5" i="37"/>
  <c r="AO5" i="37"/>
  <c r="EA4" i="37"/>
  <c r="BO4" i="37"/>
  <c r="C4" i="37"/>
  <c r="AL4" i="40"/>
  <c r="DP5" i="39"/>
  <c r="BD5" i="39"/>
  <c r="EP4" i="39"/>
  <c r="CD4" i="39"/>
  <c r="R4" i="39"/>
  <c r="DD5" i="38"/>
  <c r="AR5" i="38"/>
  <c r="ED4" i="38"/>
  <c r="BR4" i="38"/>
  <c r="F4" i="38"/>
  <c r="CR5" i="37"/>
  <c r="AF5" i="37"/>
  <c r="DR4" i="37"/>
  <c r="BF4" i="37"/>
  <c r="ER5" i="36"/>
  <c r="AK4" i="40"/>
  <c r="DO5" i="39"/>
  <c r="BC5" i="39"/>
  <c r="EM5" i="41"/>
  <c r="CE4" i="40"/>
  <c r="CJ5" i="42"/>
  <c r="CK4" i="42"/>
  <c r="O4" i="42"/>
  <c r="CR5" i="41"/>
  <c r="AB5" i="41"/>
  <c r="DN4" i="41"/>
  <c r="BB4" i="41"/>
  <c r="EN5" i="40"/>
  <c r="CB5" i="40"/>
  <c r="P5" i="40"/>
  <c r="DB4" i="40"/>
  <c r="AP4" i="40"/>
  <c r="R4" i="44"/>
  <c r="AD5" i="43"/>
  <c r="BD4" i="43"/>
  <c r="CI5" i="42"/>
  <c r="EL4" i="42"/>
  <c r="BQ4" i="42"/>
  <c r="ET5" i="41"/>
  <c r="BY5" i="41"/>
  <c r="K5" i="41"/>
  <c r="CW4" i="41"/>
  <c r="AK4" i="41"/>
  <c r="DW5" i="40"/>
  <c r="BK5" i="40"/>
  <c r="EW4" i="40"/>
  <c r="CK4" i="40"/>
  <c r="DB5" i="44"/>
  <c r="DT5" i="43"/>
  <c r="ET4" i="43"/>
  <c r="V4" i="43"/>
  <c r="BG5" i="42"/>
  <c r="DS4" i="42"/>
  <c r="AX4" i="42"/>
  <c r="EA5" i="41"/>
  <c r="BF5" i="41"/>
  <c r="ER4" i="41"/>
  <c r="CF4" i="41"/>
  <c r="T4" i="41"/>
  <c r="DF5" i="40"/>
  <c r="AT5" i="40"/>
  <c r="EF4" i="40"/>
  <c r="BT4" i="40"/>
  <c r="EH4" i="44"/>
  <c r="CM5" i="43"/>
  <c r="DM4" i="43"/>
  <c r="EM5" i="42"/>
  <c r="AF5" i="42"/>
  <c r="CY4" i="42"/>
  <c r="AD4" i="42"/>
  <c r="DG5" i="41"/>
  <c r="AO5" i="41"/>
  <c r="EA4" i="41"/>
  <c r="BO4" i="41"/>
  <c r="C4" i="41"/>
  <c r="CO5" i="40"/>
  <c r="AC5" i="40"/>
  <c r="DO4" i="40"/>
  <c r="BC4" i="40"/>
  <c r="Y4" i="40"/>
  <c r="DC5" i="39"/>
  <c r="AQ5" i="39"/>
  <c r="EC4" i="39"/>
  <c r="BQ4" i="39"/>
  <c r="E4" i="39"/>
  <c r="CQ5" i="38"/>
  <c r="AE5" i="38"/>
  <c r="DQ4" i="38"/>
  <c r="BE4" i="38"/>
  <c r="EI5" i="37"/>
  <c r="BW5" i="37"/>
  <c r="K5" i="37"/>
  <c r="CW4" i="37"/>
  <c r="AK4" i="37"/>
  <c r="BZ4" i="40"/>
  <c r="DZ5" i="39"/>
  <c r="BN5" i="39"/>
  <c r="B5" i="39"/>
  <c r="CN4" i="39"/>
  <c r="AB4" i="39"/>
  <c r="DN5" i="38"/>
  <c r="BB5" i="38"/>
  <c r="EN4" i="38"/>
  <c r="CB4" i="38"/>
  <c r="P4" i="38"/>
  <c r="DB5" i="37"/>
  <c r="AP5" i="37"/>
  <c r="EB4" i="37"/>
  <c r="BP4" i="37"/>
  <c r="D4" i="37"/>
  <c r="AS4" i="40"/>
  <c r="DQ5" i="39"/>
  <c r="BE5" i="39"/>
  <c r="EQ4" i="39"/>
  <c r="CE4" i="39"/>
  <c r="S4" i="39"/>
  <c r="DE5" i="38"/>
  <c r="AS5" i="38"/>
  <c r="EE4" i="38"/>
  <c r="BS4" i="38"/>
  <c r="G4" i="38"/>
  <c r="CS5" i="37"/>
  <c r="AG5" i="37"/>
  <c r="DS4" i="37"/>
  <c r="BG4" i="37"/>
  <c r="ES5" i="36"/>
  <c r="V4" i="40"/>
  <c r="DH5" i="39"/>
  <c r="AV5" i="39"/>
  <c r="EH4" i="39"/>
  <c r="BV4" i="39"/>
  <c r="J4" i="39"/>
  <c r="CV5" i="38"/>
  <c r="AJ5" i="38"/>
  <c r="DV4" i="38"/>
  <c r="BJ4" i="38"/>
  <c r="EV5" i="37"/>
  <c r="CJ5" i="37"/>
  <c r="X5" i="37"/>
  <c r="DJ4" i="37"/>
  <c r="AX4" i="37"/>
  <c r="EJ5" i="36"/>
  <c r="U4" i="40"/>
  <c r="DG5" i="39"/>
  <c r="AU5" i="39"/>
  <c r="BR5" i="41"/>
  <c r="DR5" i="44"/>
  <c r="BK5" i="42"/>
  <c r="CA4" i="42"/>
  <c r="F4" i="42"/>
  <c r="CI5" i="41"/>
  <c r="T5" i="41"/>
  <c r="DF4" i="41"/>
  <c r="AT4" i="41"/>
  <c r="EF5" i="40"/>
  <c r="BT5" i="40"/>
  <c r="H5" i="40"/>
  <c r="CT4" i="40"/>
  <c r="AH4" i="40"/>
  <c r="EQ5" i="43"/>
  <c r="N5" i="43"/>
  <c r="AN4" i="43"/>
  <c r="BV5" i="42"/>
  <c r="EC4" i="42"/>
  <c r="BH4" i="42"/>
  <c r="EK5" i="41"/>
  <c r="BP5" i="41"/>
  <c r="C5" i="41"/>
  <c r="CO4" i="41"/>
  <c r="AC4" i="41"/>
  <c r="DO5" i="40"/>
  <c r="BC5" i="40"/>
  <c r="EO4" i="40"/>
  <c r="CC4" i="40"/>
  <c r="AP5" i="44"/>
  <c r="DD5" i="43"/>
  <c r="ED4" i="43"/>
  <c r="F4" i="43"/>
  <c r="AU5" i="42"/>
  <c r="DJ4" i="42"/>
  <c r="AO4" i="42"/>
  <c r="DQ5" i="41"/>
  <c r="AX5" i="41"/>
  <c r="EJ4" i="41"/>
  <c r="BX4" i="41"/>
  <c r="L4" i="41"/>
  <c r="CX5" i="40"/>
  <c r="AL5" i="40"/>
  <c r="DX4" i="40"/>
  <c r="BL4" i="40"/>
  <c r="DB4" i="44"/>
  <c r="BW5" i="43"/>
  <c r="CW4" i="43"/>
  <c r="DW5" i="42"/>
  <c r="S5" i="42"/>
  <c r="CP4" i="42"/>
  <c r="U4" i="42"/>
  <c r="CX5" i="41"/>
  <c r="AG5" i="41"/>
  <c r="DS4" i="41"/>
  <c r="BG4" i="41"/>
  <c r="ES5" i="40"/>
  <c r="CG5" i="40"/>
  <c r="U5" i="40"/>
  <c r="DG4" i="40"/>
  <c r="AU4" i="40"/>
  <c r="Q4" i="40"/>
  <c r="CU5" i="39"/>
  <c r="AI5" i="39"/>
  <c r="DU4" i="39"/>
  <c r="BI4" i="39"/>
  <c r="EU5" i="38"/>
  <c r="CI5" i="38"/>
  <c r="W5" i="38"/>
  <c r="DI4" i="38"/>
  <c r="AW4" i="38"/>
  <c r="EA5" i="37"/>
  <c r="BO5" i="37"/>
  <c r="C5" i="37"/>
  <c r="CO4" i="37"/>
  <c r="AC4" i="37"/>
  <c r="AT4" i="40"/>
  <c r="DR5" i="39"/>
  <c r="BF5" i="39"/>
  <c r="ER4" i="39"/>
  <c r="CF4" i="39"/>
  <c r="T4" i="39"/>
  <c r="DF5" i="38"/>
  <c r="AT5" i="38"/>
  <c r="EF4" i="38"/>
  <c r="BT4" i="38"/>
  <c r="H4" i="38"/>
  <c r="CT5" i="37"/>
  <c r="AH5" i="37"/>
  <c r="DT4" i="37"/>
  <c r="BH4" i="37"/>
  <c r="ET5" i="36"/>
  <c r="W4" i="40"/>
  <c r="DI5" i="39"/>
  <c r="AW5" i="39"/>
  <c r="EI4" i="39"/>
  <c r="BW4" i="39"/>
  <c r="K4" i="39"/>
  <c r="CW5" i="38"/>
  <c r="AK5" i="38"/>
  <c r="DW4" i="38"/>
  <c r="BK4" i="38"/>
  <c r="EW5" i="37"/>
  <c r="CK5" i="37"/>
  <c r="Y5" i="37"/>
  <c r="DK4" i="37"/>
  <c r="AY4" i="37"/>
  <c r="EK5" i="36"/>
  <c r="N4" i="40"/>
  <c r="CZ5" i="39"/>
  <c r="AN5" i="39"/>
  <c r="DZ4" i="39"/>
  <c r="BN4" i="39"/>
  <c r="B4" i="39"/>
  <c r="CN5" i="38"/>
  <c r="AB5" i="38"/>
  <c r="DN4" i="38"/>
  <c r="BB4" i="38"/>
  <c r="EN5" i="37"/>
  <c r="CB5" i="37"/>
  <c r="P5" i="37"/>
  <c r="DB4" i="37"/>
  <c r="AP4" i="37"/>
  <c r="EB5" i="36"/>
  <c r="M4" i="40"/>
  <c r="CY5" i="39"/>
  <c r="AM5" i="39"/>
  <c r="E5" i="41"/>
  <c r="DW5" i="43"/>
  <c r="X5" i="42"/>
  <c r="BR4" i="42"/>
  <c r="EU5" i="41"/>
  <c r="BZ5" i="41"/>
  <c r="L5" i="41"/>
  <c r="CX4" i="41"/>
  <c r="AL4" i="41"/>
  <c r="DX5" i="40"/>
  <c r="BL5" i="40"/>
  <c r="EX4" i="40"/>
  <c r="CL4" i="40"/>
  <c r="DJ5" i="44"/>
  <c r="DV5" i="43"/>
  <c r="EV4" i="43"/>
  <c r="X4" i="43"/>
  <c r="BI5" i="42"/>
  <c r="DT4" i="42"/>
  <c r="AY4" i="42"/>
  <c r="EB5" i="41"/>
  <c r="BG5" i="41"/>
  <c r="ES4" i="41"/>
  <c r="CG4" i="41"/>
  <c r="U4" i="41"/>
  <c r="DG5" i="40"/>
  <c r="AU5" i="40"/>
  <c r="EG4" i="40"/>
  <c r="BU4" i="40"/>
  <c r="EJ4" i="44"/>
  <c r="CN5" i="43"/>
  <c r="DN4" i="43"/>
  <c r="EN5" i="42"/>
  <c r="AH5" i="42"/>
  <c r="DA4" i="42"/>
  <c r="AE4" i="42"/>
  <c r="DH5" i="41"/>
  <c r="AP5" i="41"/>
  <c r="EB4" i="41"/>
  <c r="BP4" i="41"/>
  <c r="D4" i="41"/>
  <c r="CP5" i="40"/>
  <c r="AD5" i="40"/>
  <c r="DP4" i="40"/>
  <c r="BD4" i="40"/>
  <c r="BV4" i="44"/>
  <c r="BG5" i="43"/>
  <c r="CG4" i="43"/>
  <c r="DG5" i="42"/>
  <c r="G5" i="42"/>
  <c r="CG4" i="42"/>
  <c r="L4" i="42"/>
  <c r="CO5" i="41"/>
  <c r="Y5" i="41"/>
  <c r="DK4" i="41"/>
  <c r="AY4" i="41"/>
  <c r="EK5" i="40"/>
  <c r="BY5" i="40"/>
  <c r="M5" i="40"/>
  <c r="CY4" i="40"/>
  <c r="AM4" i="40"/>
  <c r="I4" i="40"/>
  <c r="CM5" i="39"/>
  <c r="AA5" i="39"/>
  <c r="DM4" i="39"/>
  <c r="BA4" i="39"/>
  <c r="EM5" i="38"/>
  <c r="CA5" i="38"/>
  <c r="O5" i="38"/>
  <c r="DA4" i="38"/>
  <c r="AO4" i="38"/>
  <c r="DS5" i="37"/>
  <c r="BG5" i="37"/>
  <c r="ES4" i="37"/>
  <c r="CG4" i="37"/>
  <c r="U4" i="37"/>
  <c r="X4" i="40"/>
  <c r="DJ5" i="39"/>
  <c r="AX5" i="39"/>
  <c r="EJ4" i="39"/>
  <c r="BX4" i="39"/>
  <c r="L4" i="39"/>
  <c r="CX5" i="38"/>
  <c r="AL5" i="38"/>
  <c r="DX4" i="38"/>
  <c r="BL4" i="38"/>
  <c r="EX5" i="37"/>
  <c r="CL5" i="37"/>
  <c r="Z5" i="37"/>
  <c r="DL4" i="37"/>
  <c r="AZ4" i="37"/>
  <c r="EL5" i="36"/>
  <c r="O4" i="40"/>
  <c r="DA5" i="39"/>
  <c r="AO5" i="39"/>
  <c r="EA4" i="39"/>
  <c r="BO4" i="39"/>
  <c r="C4" i="39"/>
  <c r="CO5" i="38"/>
  <c r="AC5" i="38"/>
  <c r="DO4" i="38"/>
  <c r="BC4" i="38"/>
  <c r="EO5" i="37"/>
  <c r="CC5" i="37"/>
  <c r="Q5" i="37"/>
  <c r="DC4" i="37"/>
  <c r="AQ4" i="37"/>
  <c r="EC5" i="36"/>
  <c r="F4" i="40"/>
  <c r="CR5" i="39"/>
  <c r="AF5" i="39"/>
  <c r="DR4" i="39"/>
  <c r="BF4" i="39"/>
  <c r="ER5" i="38"/>
  <c r="CF5" i="38"/>
  <c r="T5" i="38"/>
  <c r="DF4" i="38"/>
  <c r="AT4" i="38"/>
  <c r="EF5" i="37"/>
  <c r="BT5" i="37"/>
  <c r="H5" i="37"/>
  <c r="CT4" i="37"/>
  <c r="AH4" i="37"/>
  <c r="DT5" i="36"/>
  <c r="E4" i="40"/>
  <c r="CQ5" i="39"/>
  <c r="AE5" i="39"/>
  <c r="CQ4" i="41"/>
  <c r="CA5" i="43"/>
  <c r="EM4" i="42"/>
  <c r="BI4" i="42"/>
  <c r="EL5" i="41"/>
  <c r="BQ5" i="41"/>
  <c r="D5" i="41"/>
  <c r="CP4" i="41"/>
  <c r="AD4" i="41"/>
  <c r="DP5" i="40"/>
  <c r="BD5" i="40"/>
  <c r="EP4" i="40"/>
  <c r="CD4" i="40"/>
  <c r="AX5" i="44"/>
  <c r="DF5" i="43"/>
  <c r="EF4" i="43"/>
  <c r="H4" i="43"/>
  <c r="AV5" i="42"/>
  <c r="DK4" i="42"/>
  <c r="AP4" i="42"/>
  <c r="DS5" i="41"/>
  <c r="AY5" i="41"/>
  <c r="EK4" i="41"/>
  <c r="BY4" i="41"/>
  <c r="M4" i="41"/>
  <c r="CY5" i="40"/>
  <c r="AM5" i="40"/>
  <c r="DY4" i="40"/>
  <c r="BM4" i="40"/>
  <c r="DD4" i="44"/>
  <c r="BX5" i="43"/>
  <c r="CX4" i="43"/>
  <c r="DX5" i="42"/>
  <c r="U5" i="42"/>
  <c r="CQ4" i="42"/>
  <c r="V4" i="42"/>
  <c r="CY5" i="41"/>
  <c r="AH5" i="41"/>
  <c r="DT4" i="41"/>
  <c r="BH4" i="41"/>
  <c r="ET5" i="40"/>
  <c r="CH5" i="40"/>
  <c r="V5" i="40"/>
  <c r="DH4" i="40"/>
  <c r="AV4" i="40"/>
  <c r="AP4" i="44"/>
  <c r="AQ5" i="43"/>
  <c r="BQ4" i="43"/>
  <c r="CR5" i="42"/>
  <c r="ES4" i="42"/>
  <c r="BX4" i="42"/>
  <c r="C4" i="42"/>
  <c r="CF5" i="41"/>
  <c r="Q5" i="41"/>
  <c r="DC4" i="41"/>
  <c r="AQ4" i="41"/>
  <c r="EC5" i="40"/>
  <c r="BQ5" i="40"/>
  <c r="E5" i="40"/>
  <c r="CQ4" i="40"/>
  <c r="AE4" i="40"/>
  <c r="EQ5" i="39"/>
  <c r="CE5" i="39"/>
  <c r="S5" i="39"/>
  <c r="DE4" i="39"/>
  <c r="AS4" i="39"/>
  <c r="EE5" i="38"/>
  <c r="BS5" i="38"/>
  <c r="G5" i="38"/>
  <c r="CS4" i="38"/>
  <c r="AG4" i="38"/>
  <c r="DK5" i="37"/>
  <c r="AY5" i="37"/>
  <c r="EK4" i="37"/>
  <c r="BY4" i="37"/>
  <c r="M4" i="37"/>
  <c r="P4" i="40"/>
  <c r="DB5" i="39"/>
  <c r="AP5" i="39"/>
  <c r="EB4" i="39"/>
  <c r="BP4" i="39"/>
  <c r="D4" i="39"/>
  <c r="CP5" i="38"/>
  <c r="AD5" i="38"/>
  <c r="DP4" i="38"/>
  <c r="BD4" i="38"/>
  <c r="EP5" i="37"/>
  <c r="CD5" i="37"/>
  <c r="R5" i="37"/>
  <c r="DD4" i="37"/>
  <c r="AR4" i="37"/>
  <c r="ED5" i="36"/>
  <c r="G4" i="40"/>
  <c r="CS5" i="39"/>
  <c r="AG5" i="39"/>
  <c r="DS4" i="39"/>
  <c r="BG4" i="39"/>
  <c r="ES5" i="38"/>
  <c r="CG5" i="38"/>
  <c r="U5" i="38"/>
  <c r="DG4" i="38"/>
  <c r="AU4" i="38"/>
  <c r="EG5" i="37"/>
  <c r="BU5" i="37"/>
  <c r="I5" i="37"/>
  <c r="CU4" i="37"/>
  <c r="AI4" i="37"/>
  <c r="DU5" i="36"/>
  <c r="EV5" i="39"/>
  <c r="CJ5" i="39"/>
  <c r="X5" i="39"/>
  <c r="DJ4" i="39"/>
  <c r="AX4" i="39"/>
  <c r="EJ5" i="38"/>
  <c r="BX5" i="38"/>
  <c r="L5" i="38"/>
  <c r="CX4" i="38"/>
  <c r="AL4" i="38"/>
  <c r="DX5" i="37"/>
  <c r="BL5" i="37"/>
  <c r="EX4" i="37"/>
  <c r="CL4" i="37"/>
  <c r="Z4" i="37"/>
  <c r="DL5" i="36"/>
  <c r="EU5" i="39"/>
  <c r="CI5" i="39"/>
  <c r="W5" i="39"/>
  <c r="AE4" i="41"/>
  <c r="EW4" i="43"/>
  <c r="DU4" i="42"/>
  <c r="AZ4" i="42"/>
  <c r="EC5" i="41"/>
  <c r="BH5" i="41"/>
  <c r="ET4" i="41"/>
  <c r="CH4" i="41"/>
  <c r="V4" i="41"/>
  <c r="DH5" i="40"/>
  <c r="AV5" i="40"/>
  <c r="EH4" i="40"/>
  <c r="BV4" i="40"/>
  <c r="EP4" i="44"/>
  <c r="CP5" i="43"/>
  <c r="DP4" i="43"/>
  <c r="EP5" i="42"/>
  <c r="AI5" i="42"/>
  <c r="DB4" i="42"/>
  <c r="AG4" i="42"/>
  <c r="DI5" i="41"/>
  <c r="AQ5" i="41"/>
  <c r="EC4" i="41"/>
  <c r="BQ4" i="41"/>
  <c r="E4" i="41"/>
  <c r="CQ5" i="40"/>
  <c r="AE5" i="40"/>
  <c r="DQ4" i="40"/>
  <c r="BE4" i="40"/>
  <c r="BX4" i="44"/>
  <c r="BH5" i="43"/>
  <c r="CH4" i="43"/>
  <c r="DH5" i="42"/>
  <c r="H5" i="42"/>
  <c r="CH4" i="42"/>
  <c r="M4" i="42"/>
  <c r="CP5" i="41"/>
  <c r="Z5" i="41"/>
  <c r="DL4" i="41"/>
  <c r="AZ4" i="41"/>
  <c r="EL5" i="40"/>
  <c r="BZ5" i="40"/>
  <c r="N5" i="40"/>
  <c r="CZ4" i="40"/>
  <c r="AN4" i="40"/>
  <c r="J4" i="44"/>
  <c r="AA5" i="43"/>
  <c r="BA4" i="43"/>
  <c r="CE5" i="42"/>
  <c r="EJ4" i="42"/>
  <c r="BO4" i="42"/>
  <c r="ER5" i="41"/>
  <c r="BW5" i="41"/>
  <c r="I5" i="41"/>
  <c r="CU4" i="41"/>
  <c r="AI4" i="41"/>
  <c r="DU5" i="40"/>
  <c r="BI5" i="40"/>
  <c r="EU4" i="40"/>
  <c r="CI4" i="40"/>
  <c r="S5" i="40"/>
  <c r="EI5" i="39"/>
  <c r="BW5" i="39"/>
  <c r="K5" i="39"/>
  <c r="CW4" i="39"/>
  <c r="AK4" i="39"/>
  <c r="DW5" i="38"/>
  <c r="BK5" i="38"/>
  <c r="EW4" i="38"/>
  <c r="CK4" i="38"/>
  <c r="Y4" i="38"/>
  <c r="DC5" i="37"/>
  <c r="AQ5" i="37"/>
  <c r="EC4" i="37"/>
  <c r="BQ4" i="37"/>
  <c r="E4" i="37"/>
  <c r="H4" i="40"/>
  <c r="CT5" i="39"/>
  <c r="AH5" i="39"/>
  <c r="DT4" i="39"/>
  <c r="BH4" i="39"/>
  <c r="ET5" i="38"/>
  <c r="CH5" i="38"/>
  <c r="V5" i="38"/>
  <c r="DH4" i="38"/>
  <c r="AV4" i="38"/>
  <c r="EH5" i="37"/>
  <c r="BV5" i="37"/>
  <c r="J5" i="37"/>
  <c r="CV4" i="37"/>
  <c r="AJ4" i="37"/>
  <c r="DV5" i="36"/>
  <c r="EW5" i="39"/>
  <c r="CK5" i="39"/>
  <c r="Y5" i="39"/>
  <c r="DK4" i="39"/>
  <c r="AY4" i="39"/>
  <c r="EK5" i="38"/>
  <c r="BY5" i="38"/>
  <c r="M5" i="38"/>
  <c r="CY4" i="38"/>
  <c r="AM4" i="38"/>
  <c r="DY5" i="37"/>
  <c r="BM5" i="37"/>
  <c r="A5" i="37"/>
  <c r="CM4" i="37"/>
  <c r="AA4" i="37"/>
  <c r="ES4" i="40"/>
  <c r="EN5" i="39"/>
  <c r="CB5" i="39"/>
  <c r="P5" i="39"/>
  <c r="DB4" i="39"/>
  <c r="AP4" i="39"/>
  <c r="EB5" i="38"/>
  <c r="BP5" i="38"/>
  <c r="D5" i="38"/>
  <c r="CP4" i="38"/>
  <c r="AD4" i="38"/>
  <c r="DP5" i="37"/>
  <c r="BD5" i="37"/>
  <c r="EP4" i="37"/>
  <c r="CD4" i="37"/>
  <c r="R4" i="37"/>
  <c r="EK4" i="40"/>
  <c r="EM5" i="39"/>
  <c r="CA5" i="39"/>
  <c r="O5" i="39"/>
  <c r="DQ5" i="40"/>
  <c r="DA4" i="43"/>
  <c r="DL4" i="42"/>
  <c r="AQ4" i="42"/>
  <c r="DT5" i="41"/>
  <c r="AZ5" i="41"/>
  <c r="EL4" i="41"/>
  <c r="BZ4" i="41"/>
  <c r="N4" i="41"/>
  <c r="CZ5" i="40"/>
  <c r="AN5" i="40"/>
  <c r="DZ4" i="40"/>
  <c r="BN4" i="40"/>
  <c r="DJ4" i="44"/>
  <c r="BZ5" i="43"/>
  <c r="CZ4" i="43"/>
  <c r="DZ5" i="42"/>
  <c r="W5" i="42"/>
  <c r="CS4" i="42"/>
  <c r="W4" i="42"/>
  <c r="CZ5" i="41"/>
  <c r="AI5" i="41"/>
  <c r="DU4" i="41"/>
  <c r="BI4" i="41"/>
  <c r="EU5" i="40"/>
  <c r="CI5" i="40"/>
  <c r="W5" i="40"/>
  <c r="DI4" i="40"/>
  <c r="AW4" i="40"/>
  <c r="AR4" i="44"/>
  <c r="AR5" i="43"/>
  <c r="BR4" i="43"/>
  <c r="CT5" i="42"/>
  <c r="ET4" i="42"/>
  <c r="BY4" i="42"/>
  <c r="D4" i="42"/>
  <c r="CG5" i="41"/>
  <c r="R5" i="41"/>
  <c r="DD4" i="41"/>
  <c r="AR4" i="41"/>
  <c r="ED5" i="40"/>
  <c r="BR5" i="40"/>
  <c r="F5" i="40"/>
  <c r="CR4" i="40"/>
  <c r="AF4" i="40"/>
  <c r="EJ5" i="43"/>
  <c r="K5" i="43"/>
  <c r="AK4" i="43"/>
  <c r="BS5" i="42"/>
  <c r="EA4" i="42"/>
  <c r="BF4" i="42"/>
  <c r="EI5" i="41"/>
  <c r="BM5" i="41"/>
  <c r="A5" i="41"/>
  <c r="CM4" i="41"/>
  <c r="AA4" i="41"/>
  <c r="DM5" i="40"/>
  <c r="BA5" i="40"/>
  <c r="EM4" i="40"/>
  <c r="CA4" i="40"/>
  <c r="DM4" i="40"/>
  <c r="EA5" i="39"/>
  <c r="BO5" i="39"/>
  <c r="C5" i="39"/>
  <c r="CO4" i="39"/>
  <c r="AC4" i="39"/>
  <c r="DO5" i="38"/>
  <c r="BC5" i="38"/>
  <c r="EO4" i="38"/>
  <c r="CC4" i="38"/>
  <c r="Q4" i="38"/>
  <c r="CU5" i="37"/>
  <c r="AI5" i="37"/>
  <c r="DU4" i="37"/>
  <c r="BI4" i="37"/>
  <c r="EU5" i="36"/>
  <c r="EX5" i="39"/>
  <c r="CL5" i="39"/>
  <c r="Z5" i="39"/>
  <c r="DL4" i="39"/>
  <c r="AZ4" i="39"/>
  <c r="EL5" i="38"/>
  <c r="BZ5" i="38"/>
  <c r="N5" i="38"/>
  <c r="CZ4" i="38"/>
  <c r="AN4" i="38"/>
  <c r="DZ5" i="37"/>
  <c r="BN5" i="37"/>
  <c r="B5" i="37"/>
  <c r="CN4" i="37"/>
  <c r="AB4" i="37"/>
  <c r="C5" i="40"/>
  <c r="EO5" i="39"/>
  <c r="CC5" i="39"/>
  <c r="Q5" i="39"/>
  <c r="DC4" i="39"/>
  <c r="AQ4" i="39"/>
  <c r="EC5" i="38"/>
  <c r="BQ5" i="38"/>
  <c r="E5" i="38"/>
  <c r="CQ4" i="38"/>
  <c r="AE4" i="38"/>
  <c r="DQ5" i="37"/>
  <c r="BE5" i="37"/>
  <c r="EQ4" i="37"/>
  <c r="CE4" i="37"/>
  <c r="S4" i="37"/>
  <c r="CX4" i="40"/>
  <c r="EF5" i="39"/>
  <c r="BT5" i="39"/>
  <c r="H5" i="39"/>
  <c r="CT4" i="39"/>
  <c r="AH4" i="39"/>
  <c r="DT5" i="38"/>
  <c r="BH5" i="38"/>
  <c r="ET4" i="38"/>
  <c r="CH4" i="38"/>
  <c r="V4" i="38"/>
  <c r="DH5" i="37"/>
  <c r="AV5" i="37"/>
  <c r="EH4" i="37"/>
  <c r="BV4" i="37"/>
  <c r="J4" i="37"/>
  <c r="CW4" i="40"/>
  <c r="EE5" i="39"/>
  <c r="BS5" i="39"/>
  <c r="G5" i="39"/>
  <c r="BE5" i="40"/>
  <c r="Y4" i="43"/>
  <c r="DC4" i="42"/>
  <c r="AH4" i="42"/>
  <c r="DK5" i="41"/>
  <c r="AR5" i="41"/>
  <c r="ED4" i="41"/>
  <c r="BR4" i="41"/>
  <c r="F4" i="41"/>
  <c r="CR5" i="40"/>
  <c r="AF5" i="40"/>
  <c r="DR4" i="40"/>
  <c r="BF4" i="40"/>
  <c r="CD4" i="44"/>
  <c r="BJ5" i="43"/>
  <c r="CJ4" i="43"/>
  <c r="DJ5" i="42"/>
  <c r="J5" i="42"/>
  <c r="CI4" i="42"/>
  <c r="N4" i="42"/>
  <c r="CQ5" i="41"/>
  <c r="AA5" i="41"/>
  <c r="DM4" i="41"/>
  <c r="BA4" i="41"/>
  <c r="EM5" i="40"/>
  <c r="CA5" i="40"/>
  <c r="O5" i="40"/>
  <c r="DA4" i="40"/>
  <c r="AO4" i="40"/>
  <c r="L4" i="44"/>
  <c r="AB5" i="43"/>
  <c r="BB4" i="43"/>
  <c r="CG5" i="42"/>
  <c r="EK4" i="42"/>
  <c r="BP4" i="42"/>
  <c r="ES5" i="41"/>
  <c r="BX5" i="41"/>
  <c r="J5" i="41"/>
  <c r="CV4" i="41"/>
  <c r="AJ4" i="41"/>
  <c r="DV5" i="40"/>
  <c r="BJ5" i="40"/>
  <c r="EV4" i="40"/>
  <c r="CJ4" i="40"/>
  <c r="CT5" i="44"/>
  <c r="DS5" i="43"/>
  <c r="ES4" i="43"/>
  <c r="U4" i="43"/>
  <c r="BF5" i="42"/>
  <c r="DR4" i="42"/>
  <c r="AW4" i="42"/>
  <c r="DY5" i="41"/>
  <c r="BE5" i="41"/>
  <c r="EQ4" i="41"/>
  <c r="CE4" i="41"/>
  <c r="S4" i="41"/>
  <c r="DE5" i="40"/>
  <c r="AS5" i="40"/>
  <c r="EE4" i="40"/>
  <c r="BS4" i="40"/>
  <c r="CG4" i="40"/>
  <c r="DS5" i="39"/>
  <c r="BG5" i="39"/>
  <c r="ES4" i="39"/>
  <c r="CG4" i="39"/>
  <c r="U4" i="39"/>
  <c r="DG5" i="38"/>
  <c r="AU5" i="38"/>
  <c r="EG4" i="38"/>
  <c r="BU4" i="38"/>
  <c r="I4" i="38"/>
  <c r="CM5" i="37"/>
  <c r="AA5" i="37"/>
  <c r="DM4" i="37"/>
  <c r="BA4" i="37"/>
  <c r="K5" i="40"/>
  <c r="EP5" i="39"/>
  <c r="CD5" i="39"/>
  <c r="R5" i="39"/>
  <c r="DD4" i="39"/>
  <c r="AR4" i="39"/>
  <c r="ED5" i="38"/>
  <c r="BR5" i="38"/>
  <c r="F5" i="38"/>
  <c r="CR4" i="38"/>
  <c r="AF4" i="38"/>
  <c r="DR5" i="37"/>
  <c r="BF5" i="37"/>
  <c r="ER4" i="37"/>
  <c r="CF4" i="37"/>
  <c r="T4" i="37"/>
  <c r="DE4" i="40"/>
  <c r="EG5" i="39"/>
  <c r="BU5" i="39"/>
  <c r="I5" i="39"/>
  <c r="CU4" i="39"/>
  <c r="AI4" i="39"/>
  <c r="DU5" i="38"/>
  <c r="BI5" i="38"/>
  <c r="EU4" i="38"/>
  <c r="CI4" i="38"/>
  <c r="W4" i="38"/>
  <c r="DI5" i="37"/>
  <c r="AW5" i="37"/>
  <c r="EI4" i="37"/>
  <c r="BW4" i="37"/>
  <c r="K4" i="37"/>
  <c r="BR4" i="40"/>
  <c r="DX5" i="39"/>
  <c r="BL5" i="39"/>
  <c r="EX4" i="39"/>
  <c r="CL4" i="39"/>
  <c r="Z4" i="39"/>
  <c r="DL5" i="38"/>
  <c r="AZ5" i="38"/>
  <c r="EL4" i="38"/>
  <c r="BZ4" i="38"/>
  <c r="N4" i="38"/>
  <c r="CZ5" i="37"/>
  <c r="AN5" i="37"/>
  <c r="DZ4" i="37"/>
  <c r="BN4" i="37"/>
  <c r="B4" i="37"/>
  <c r="BQ4" i="40"/>
  <c r="DW5" i="39"/>
  <c r="BK5" i="39"/>
  <c r="EW4" i="39"/>
  <c r="EO4" i="39"/>
  <c r="CC4" i="39"/>
  <c r="Q4" i="39"/>
  <c r="CU5" i="38"/>
  <c r="AI5" i="38"/>
  <c r="DU4" i="38"/>
  <c r="BI4" i="38"/>
  <c r="EU5" i="37"/>
  <c r="CI5" i="37"/>
  <c r="W5" i="37"/>
  <c r="DI4" i="37"/>
  <c r="AW4" i="37"/>
  <c r="BJ4" i="40"/>
  <c r="DV5" i="39"/>
  <c r="BJ5" i="39"/>
  <c r="EV4" i="39"/>
  <c r="CJ4" i="39"/>
  <c r="X4" i="39"/>
  <c r="DJ5" i="38"/>
  <c r="AX5" i="38"/>
  <c r="EJ4" i="38"/>
  <c r="BX4" i="38"/>
  <c r="L4" i="38"/>
  <c r="CX5" i="37"/>
  <c r="AL5" i="37"/>
  <c r="DX4" i="37"/>
  <c r="BL4" i="37"/>
  <c r="DU4" i="40"/>
  <c r="EK5" i="39"/>
  <c r="BY5" i="39"/>
  <c r="M5" i="39"/>
  <c r="CY4" i="39"/>
  <c r="AM4" i="39"/>
  <c r="DY5" i="38"/>
  <c r="BM5" i="38"/>
  <c r="A5" i="38"/>
  <c r="CM4" i="38"/>
  <c r="AA4" i="38"/>
  <c r="DM5" i="37"/>
  <c r="BA5" i="37"/>
  <c r="EM4" i="37"/>
  <c r="CA4" i="37"/>
  <c r="O4" i="37"/>
  <c r="J4" i="40"/>
  <c r="CV5" i="39"/>
  <c r="AJ5" i="39"/>
  <c r="DV4" i="39"/>
  <c r="BJ4" i="39"/>
  <c r="EV5" i="38"/>
  <c r="CJ5" i="38"/>
  <c r="X5" i="38"/>
  <c r="DJ4" i="38"/>
  <c r="AX4" i="38"/>
  <c r="EJ5" i="37"/>
  <c r="BX5" i="37"/>
  <c r="L5" i="37"/>
  <c r="CX4" i="37"/>
  <c r="AL4" i="37"/>
  <c r="EF5" i="36"/>
  <c r="BM5" i="36"/>
  <c r="A5" i="36"/>
  <c r="CM4" i="36"/>
  <c r="AA4" i="36"/>
  <c r="DM5" i="35"/>
  <c r="BA5" i="35"/>
  <c r="EM4" i="35"/>
  <c r="CA4" i="35"/>
  <c r="O4" i="35"/>
  <c r="DA5" i="34"/>
  <c r="AO5" i="34"/>
  <c r="EA4" i="34"/>
  <c r="BO4" i="34"/>
  <c r="C4" i="34"/>
  <c r="CO5" i="33"/>
  <c r="DQ5" i="36"/>
  <c r="BD5" i="36"/>
  <c r="EP4" i="36"/>
  <c r="CD4" i="36"/>
  <c r="R4" i="36"/>
  <c r="DD5" i="35"/>
  <c r="AR5" i="35"/>
  <c r="ED4" i="35"/>
  <c r="BR4" i="35"/>
  <c r="F4" i="35"/>
  <c r="CR5" i="34"/>
  <c r="AF5" i="34"/>
  <c r="DR4" i="34"/>
  <c r="BF4" i="34"/>
  <c r="ER5" i="33"/>
  <c r="CF5" i="33"/>
  <c r="DG5" i="36"/>
  <c r="AU5" i="36"/>
  <c r="EG4" i="36"/>
  <c r="BU4" i="36"/>
  <c r="I4" i="36"/>
  <c r="CM5" i="35"/>
  <c r="AA5" i="35"/>
  <c r="DM4" i="35"/>
  <c r="BA4" i="35"/>
  <c r="EM5" i="34"/>
  <c r="CA5" i="34"/>
  <c r="O5" i="34"/>
  <c r="DA4" i="34"/>
  <c r="AO4" i="34"/>
  <c r="DS5" i="33"/>
  <c r="CP5" i="36"/>
  <c r="AD5" i="36"/>
  <c r="DP4" i="36"/>
  <c r="BD4" i="36"/>
  <c r="EP5" i="35"/>
  <c r="CD5" i="35"/>
  <c r="R5" i="35"/>
  <c r="DD4" i="35"/>
  <c r="AR4" i="35"/>
  <c r="ED5" i="34"/>
  <c r="BR5" i="34"/>
  <c r="F5" i="34"/>
  <c r="CR4" i="34"/>
  <c r="AF4" i="34"/>
  <c r="DR5" i="33"/>
  <c r="BF5" i="33"/>
  <c r="CG5" i="36"/>
  <c r="U5" i="36"/>
  <c r="DG4" i="36"/>
  <c r="AU4" i="36"/>
  <c r="EG5" i="35"/>
  <c r="BU5" i="35"/>
  <c r="I5" i="35"/>
  <c r="EG4" i="39"/>
  <c r="BU4" i="39"/>
  <c r="I4" i="39"/>
  <c r="CM5" i="38"/>
  <c r="AA5" i="38"/>
  <c r="DM4" i="38"/>
  <c r="BA4" i="38"/>
  <c r="EM5" i="37"/>
  <c r="CA5" i="37"/>
  <c r="O5" i="37"/>
  <c r="DA4" i="37"/>
  <c r="AO4" i="37"/>
  <c r="AD4" i="40"/>
  <c r="DN5" i="39"/>
  <c r="BB5" i="39"/>
  <c r="EN4" i="39"/>
  <c r="CB4" i="39"/>
  <c r="P4" i="39"/>
  <c r="DB5" i="38"/>
  <c r="AP5" i="38"/>
  <c r="EB4" i="38"/>
  <c r="BP4" i="38"/>
  <c r="D4" i="38"/>
  <c r="CP5" i="37"/>
  <c r="AD5" i="37"/>
  <c r="DP4" i="37"/>
  <c r="BD4" i="37"/>
  <c r="CO4" i="40"/>
  <c r="EC5" i="39"/>
  <c r="BQ5" i="39"/>
  <c r="E5" i="39"/>
  <c r="CQ4" i="39"/>
  <c r="AE4" i="39"/>
  <c r="DQ5" i="38"/>
  <c r="BE5" i="38"/>
  <c r="EQ4" i="38"/>
  <c r="CE4" i="38"/>
  <c r="S4" i="38"/>
  <c r="DE5" i="37"/>
  <c r="AS5" i="37"/>
  <c r="EE4" i="37"/>
  <c r="BS4" i="37"/>
  <c r="G4" i="37"/>
  <c r="B4" i="40"/>
  <c r="CN5" i="39"/>
  <c r="AB5" i="39"/>
  <c r="DN4" i="39"/>
  <c r="BB4" i="39"/>
  <c r="EN5" i="38"/>
  <c r="CB5" i="38"/>
  <c r="P5" i="38"/>
  <c r="DB4" i="38"/>
  <c r="AP4" i="38"/>
  <c r="EB5" i="37"/>
  <c r="BP5" i="37"/>
  <c r="D5" i="37"/>
  <c r="CP4" i="37"/>
  <c r="AD4" i="37"/>
  <c r="DR5" i="36"/>
  <c r="BE5" i="36"/>
  <c r="EQ4" i="36"/>
  <c r="CE4" i="36"/>
  <c r="S4" i="36"/>
  <c r="DE5" i="35"/>
  <c r="AS5" i="35"/>
  <c r="EE4" i="35"/>
  <c r="BS4" i="35"/>
  <c r="G4" i="35"/>
  <c r="CS5" i="34"/>
  <c r="AG5" i="34"/>
  <c r="DS4" i="34"/>
  <c r="BG4" i="34"/>
  <c r="ES5" i="33"/>
  <c r="CG5" i="33"/>
  <c r="DH5" i="36"/>
  <c r="AV5" i="36"/>
  <c r="EH4" i="36"/>
  <c r="BV4" i="36"/>
  <c r="J4" i="36"/>
  <c r="CV5" i="35"/>
  <c r="AJ5" i="35"/>
  <c r="DV4" i="35"/>
  <c r="BJ4" i="35"/>
  <c r="EV5" i="34"/>
  <c r="CJ5" i="34"/>
  <c r="X5" i="34"/>
  <c r="DJ4" i="34"/>
  <c r="AX4" i="34"/>
  <c r="EJ5" i="33"/>
  <c r="BX5" i="33"/>
  <c r="CY5" i="36"/>
  <c r="AM5" i="36"/>
  <c r="DY4" i="36"/>
  <c r="BM4" i="36"/>
  <c r="EQ5" i="35"/>
  <c r="CE5" i="35"/>
  <c r="S5" i="35"/>
  <c r="DE4" i="35"/>
  <c r="AS4" i="35"/>
  <c r="EE5" i="34"/>
  <c r="BS5" i="34"/>
  <c r="G5" i="34"/>
  <c r="CS4" i="34"/>
  <c r="AG4" i="34"/>
  <c r="DK5" i="33"/>
  <c r="CH5" i="36"/>
  <c r="V5" i="36"/>
  <c r="DH4" i="36"/>
  <c r="AV4" i="36"/>
  <c r="EH5" i="35"/>
  <c r="BV5" i="35"/>
  <c r="J5" i="35"/>
  <c r="CV4" i="35"/>
  <c r="AJ4" i="35"/>
  <c r="DV5" i="34"/>
  <c r="BJ5" i="34"/>
  <c r="EV4" i="34"/>
  <c r="CJ4" i="34"/>
  <c r="X4" i="34"/>
  <c r="DJ5" i="33"/>
  <c r="AX5" i="33"/>
  <c r="BY5" i="36"/>
  <c r="M5" i="36"/>
  <c r="CY4" i="36"/>
  <c r="AM4" i="36"/>
  <c r="DY5" i="35"/>
  <c r="BM5" i="35"/>
  <c r="A5" i="35"/>
  <c r="DY4" i="39"/>
  <c r="BM4" i="39"/>
  <c r="EQ5" i="38"/>
  <c r="CE5" i="38"/>
  <c r="S5" i="38"/>
  <c r="DE4" i="38"/>
  <c r="AS4" i="38"/>
  <c r="EE5" i="37"/>
  <c r="BS5" i="37"/>
  <c r="G5" i="37"/>
  <c r="CS4" i="37"/>
  <c r="AG4" i="37"/>
  <c r="T4" i="40"/>
  <c r="DF5" i="39"/>
  <c r="AT5" i="39"/>
  <c r="EF4" i="39"/>
  <c r="BT4" i="39"/>
  <c r="H4" i="39"/>
  <c r="CT5" i="38"/>
  <c r="AH5" i="38"/>
  <c r="DT4" i="38"/>
  <c r="BH4" i="38"/>
  <c r="ET5" i="37"/>
  <c r="CH5" i="37"/>
  <c r="V5" i="37"/>
  <c r="DH4" i="37"/>
  <c r="AV4" i="37"/>
  <c r="BI4" i="40"/>
  <c r="DU5" i="39"/>
  <c r="BI5" i="39"/>
  <c r="EU4" i="39"/>
  <c r="CI4" i="39"/>
  <c r="W4" i="39"/>
  <c r="DI5" i="38"/>
  <c r="AW5" i="38"/>
  <c r="EI4" i="38"/>
  <c r="BW4" i="38"/>
  <c r="K4" i="38"/>
  <c r="CW5" i="37"/>
  <c r="AK5" i="37"/>
  <c r="DW4" i="37"/>
  <c r="BK4" i="37"/>
  <c r="EW5" i="36"/>
  <c r="ER5" i="39"/>
  <c r="CF5" i="39"/>
  <c r="T5" i="39"/>
  <c r="DF4" i="39"/>
  <c r="AT4" i="39"/>
  <c r="EF5" i="38"/>
  <c r="BT5" i="38"/>
  <c r="H5" i="38"/>
  <c r="CT4" i="38"/>
  <c r="AH4" i="38"/>
  <c r="DT5" i="37"/>
  <c r="BH5" i="37"/>
  <c r="ET4" i="37"/>
  <c r="CH4" i="37"/>
  <c r="V4" i="37"/>
  <c r="DI5" i="36"/>
  <c r="AW5" i="36"/>
  <c r="EI4" i="36"/>
  <c r="BW4" i="36"/>
  <c r="K4" i="36"/>
  <c r="CW5" i="35"/>
  <c r="AK5" i="35"/>
  <c r="DW4" i="35"/>
  <c r="BK4" i="35"/>
  <c r="EW5" i="34"/>
  <c r="CK5" i="34"/>
  <c r="Y5" i="34"/>
  <c r="DK4" i="34"/>
  <c r="AY4" i="34"/>
  <c r="EK5" i="33"/>
  <c r="BY5" i="33"/>
  <c r="CZ5" i="36"/>
  <c r="AN5" i="36"/>
  <c r="DZ4" i="36"/>
  <c r="BN4" i="36"/>
  <c r="B4" i="36"/>
  <c r="CN5" i="35"/>
  <c r="AB5" i="35"/>
  <c r="DN4" i="35"/>
  <c r="BB4" i="35"/>
  <c r="EN5" i="34"/>
  <c r="CB5" i="34"/>
  <c r="P5" i="34"/>
  <c r="DB4" i="34"/>
  <c r="AP4" i="34"/>
  <c r="EB5" i="33"/>
  <c r="BP5" i="33"/>
  <c r="CQ5" i="36"/>
  <c r="AE5" i="36"/>
  <c r="DQ4" i="36"/>
  <c r="BE4" i="36"/>
  <c r="EI5" i="35"/>
  <c r="BW5" i="35"/>
  <c r="K5" i="35"/>
  <c r="CW4" i="35"/>
  <c r="AK4" i="35"/>
  <c r="DW5" i="34"/>
  <c r="BK5" i="34"/>
  <c r="EW4" i="34"/>
  <c r="CK4" i="34"/>
  <c r="Y4" i="34"/>
  <c r="DC5" i="33"/>
  <c r="BZ5" i="36"/>
  <c r="N5" i="36"/>
  <c r="CZ4" i="36"/>
  <c r="AN4" i="36"/>
  <c r="DZ5" i="35"/>
  <c r="BN5" i="35"/>
  <c r="B5" i="35"/>
  <c r="CN4" i="35"/>
  <c r="AB4" i="35"/>
  <c r="DN5" i="34"/>
  <c r="BB5" i="34"/>
  <c r="EN4" i="34"/>
  <c r="CB4" i="34"/>
  <c r="P4" i="34"/>
  <c r="DB5" i="33"/>
  <c r="EM5" i="36"/>
  <c r="BQ5" i="36"/>
  <c r="E5" i="36"/>
  <c r="CQ4" i="36"/>
  <c r="AE4" i="36"/>
  <c r="DQ5" i="35"/>
  <c r="BE5" i="35"/>
  <c r="EQ4" i="35"/>
  <c r="DQ4" i="39"/>
  <c r="BE4" i="39"/>
  <c r="EI5" i="38"/>
  <c r="BW5" i="38"/>
  <c r="K5" i="38"/>
  <c r="CW4" i="38"/>
  <c r="AK4" i="38"/>
  <c r="DW5" i="37"/>
  <c r="BK5" i="37"/>
  <c r="EW4" i="37"/>
  <c r="CK4" i="37"/>
  <c r="Y4" i="37"/>
  <c r="L4" i="40"/>
  <c r="CX5" i="39"/>
  <c r="AL5" i="39"/>
  <c r="DX4" i="39"/>
  <c r="BL4" i="39"/>
  <c r="EX5" i="38"/>
  <c r="CL5" i="38"/>
  <c r="Z5" i="38"/>
  <c r="DL4" i="38"/>
  <c r="AZ4" i="38"/>
  <c r="EL5" i="37"/>
  <c r="BZ5" i="37"/>
  <c r="N5" i="37"/>
  <c r="CZ4" i="37"/>
  <c r="AN4" i="37"/>
  <c r="AC4" i="40"/>
  <c r="DM5" i="39"/>
  <c r="BA5" i="39"/>
  <c r="EM4" i="39"/>
  <c r="CA4" i="39"/>
  <c r="O4" i="39"/>
  <c r="DA5" i="38"/>
  <c r="AO5" i="38"/>
  <c r="EA4" i="38"/>
  <c r="BO4" i="38"/>
  <c r="C4" i="38"/>
  <c r="CO5" i="37"/>
  <c r="AC5" i="37"/>
  <c r="DO4" i="37"/>
  <c r="BC4" i="37"/>
  <c r="DN4" i="40"/>
  <c r="EJ5" i="39"/>
  <c r="BX5" i="39"/>
  <c r="L5" i="39"/>
  <c r="CX4" i="39"/>
  <c r="AL4" i="39"/>
  <c r="DX5" i="38"/>
  <c r="BL5" i="38"/>
  <c r="EX4" i="38"/>
  <c r="CL4" i="38"/>
  <c r="Z4" i="38"/>
  <c r="DL5" i="37"/>
  <c r="AZ5" i="37"/>
  <c r="EL4" i="37"/>
  <c r="BZ4" i="37"/>
  <c r="N4" i="37"/>
  <c r="DA5" i="36"/>
  <c r="AO5" i="36"/>
  <c r="EA4" i="36"/>
  <c r="BO4" i="36"/>
  <c r="C4" i="36"/>
  <c r="CO5" i="35"/>
  <c r="AC5" i="35"/>
  <c r="DO4" i="35"/>
  <c r="BC4" i="35"/>
  <c r="EO5" i="34"/>
  <c r="CC5" i="34"/>
  <c r="Q5" i="34"/>
  <c r="DC4" i="34"/>
  <c r="AQ4" i="34"/>
  <c r="EC5" i="33"/>
  <c r="BQ5" i="33"/>
  <c r="CR5" i="36"/>
  <c r="AF5" i="36"/>
  <c r="DR4" i="36"/>
  <c r="BF4" i="36"/>
  <c r="ER5" i="35"/>
  <c r="CF5" i="35"/>
  <c r="T5" i="35"/>
  <c r="DF4" i="35"/>
  <c r="AT4" i="35"/>
  <c r="EF5" i="34"/>
  <c r="BT5" i="34"/>
  <c r="H5" i="34"/>
  <c r="CT4" i="34"/>
  <c r="AH4" i="34"/>
  <c r="DT5" i="33"/>
  <c r="BH5" i="33"/>
  <c r="CI5" i="36"/>
  <c r="W5" i="36"/>
  <c r="DI4" i="36"/>
  <c r="AW4" i="36"/>
  <c r="EA5" i="35"/>
  <c r="BO5" i="35"/>
  <c r="C5" i="35"/>
  <c r="CO4" i="35"/>
  <c r="AC4" i="35"/>
  <c r="DO5" i="34"/>
  <c r="BC5" i="34"/>
  <c r="EO4" i="34"/>
  <c r="CC4" i="34"/>
  <c r="Q4" i="34"/>
  <c r="EO5" i="36"/>
  <c r="BR5" i="36"/>
  <c r="F5" i="36"/>
  <c r="CR4" i="36"/>
  <c r="AF4" i="36"/>
  <c r="DR5" i="35"/>
  <c r="BF5" i="35"/>
  <c r="ER4" i="35"/>
  <c r="CF4" i="35"/>
  <c r="T4" i="35"/>
  <c r="DF5" i="34"/>
  <c r="AT5" i="34"/>
  <c r="EF4" i="34"/>
  <c r="BT4" i="34"/>
  <c r="H4" i="34"/>
  <c r="CT5" i="33"/>
  <c r="DY5" i="36"/>
  <c r="BI5" i="36"/>
  <c r="EU4" i="36"/>
  <c r="CI4" i="36"/>
  <c r="W4" i="36"/>
  <c r="DI5" i="35"/>
  <c r="AW5" i="35"/>
  <c r="DI4" i="39"/>
  <c r="AW4" i="39"/>
  <c r="EA5" i="38"/>
  <c r="BO5" i="38"/>
  <c r="C5" i="38"/>
  <c r="CO4" i="38"/>
  <c r="AC4" i="38"/>
  <c r="DO5" i="37"/>
  <c r="BC5" i="37"/>
  <c r="EO4" i="37"/>
  <c r="CC4" i="37"/>
  <c r="Q4" i="37"/>
  <c r="D4" i="40"/>
  <c r="CP5" i="39"/>
  <c r="AD5" i="39"/>
  <c r="DP4" i="39"/>
  <c r="BD4" i="39"/>
  <c r="EP5" i="38"/>
  <c r="CD5" i="38"/>
  <c r="R5" i="38"/>
  <c r="DD4" i="38"/>
  <c r="AR4" i="38"/>
  <c r="ED5" i="37"/>
  <c r="BR5" i="37"/>
  <c r="F5" i="37"/>
  <c r="CR4" i="37"/>
  <c r="AF4" i="37"/>
  <c r="S4" i="40"/>
  <c r="DE5" i="39"/>
  <c r="AS5" i="39"/>
  <c r="EE4" i="39"/>
  <c r="BS4" i="39"/>
  <c r="G4" i="39"/>
  <c r="CS5" i="38"/>
  <c r="AG5" i="38"/>
  <c r="DS4" i="38"/>
  <c r="BG4" i="38"/>
  <c r="ES5" i="37"/>
  <c r="CG5" i="37"/>
  <c r="U5" i="37"/>
  <c r="DG4" i="37"/>
  <c r="AU4" i="37"/>
  <c r="CH4" i="40"/>
  <c r="EB5" i="39"/>
  <c r="BP5" i="39"/>
  <c r="D5" i="39"/>
  <c r="CP4" i="39"/>
  <c r="AD4" i="39"/>
  <c r="DP5" i="38"/>
  <c r="BD5" i="38"/>
  <c r="EP4" i="38"/>
  <c r="CD4" i="38"/>
  <c r="R4" i="38"/>
  <c r="DD5" i="37"/>
  <c r="AR5" i="37"/>
  <c r="ED4" i="37"/>
  <c r="BR4" i="37"/>
  <c r="F4" i="37"/>
  <c r="CS5" i="36"/>
  <c r="AG5" i="36"/>
  <c r="DS4" i="36"/>
  <c r="BG4" i="36"/>
  <c r="ES5" i="35"/>
  <c r="CG5" i="35"/>
  <c r="U5" i="35"/>
  <c r="DG4" i="35"/>
  <c r="AU4" i="35"/>
  <c r="EG5" i="34"/>
  <c r="BU5" i="34"/>
  <c r="I5" i="34"/>
  <c r="CU4" i="34"/>
  <c r="AI4" i="34"/>
  <c r="DU5" i="33"/>
  <c r="BI5" i="33"/>
  <c r="CJ5" i="36"/>
  <c r="X5" i="36"/>
  <c r="DJ4" i="36"/>
  <c r="AX4" i="36"/>
  <c r="EJ5" i="35"/>
  <c r="BX5" i="35"/>
  <c r="L5" i="35"/>
  <c r="CX4" i="35"/>
  <c r="AL4" i="35"/>
  <c r="DX5" i="34"/>
  <c r="BL5" i="34"/>
  <c r="EX4" i="34"/>
  <c r="CL4" i="34"/>
  <c r="Z4" i="34"/>
  <c r="DL5" i="33"/>
  <c r="AZ5" i="33"/>
  <c r="CA5" i="36"/>
  <c r="O5" i="36"/>
  <c r="DA4" i="36"/>
  <c r="AO4" i="36"/>
  <c r="DS5" i="35"/>
  <c r="BG5" i="35"/>
  <c r="ES4" i="35"/>
  <c r="CG4" i="35"/>
  <c r="U4" i="35"/>
  <c r="DG5" i="34"/>
  <c r="AU5" i="34"/>
  <c r="EG4" i="34"/>
  <c r="BU4" i="34"/>
  <c r="I4" i="34"/>
  <c r="DZ5" i="36"/>
  <c r="BJ5" i="36"/>
  <c r="EV4" i="36"/>
  <c r="CJ4" i="36"/>
  <c r="X4" i="36"/>
  <c r="DJ5" i="35"/>
  <c r="AX5" i="35"/>
  <c r="EJ4" i="35"/>
  <c r="BX4" i="35"/>
  <c r="L4" i="35"/>
  <c r="CX5" i="34"/>
  <c r="AL5" i="34"/>
  <c r="DX4" i="34"/>
  <c r="BL4" i="34"/>
  <c r="EX5" i="33"/>
  <c r="CL5" i="33"/>
  <c r="DN5" i="36"/>
  <c r="BA5" i="36"/>
  <c r="EM4" i="36"/>
  <c r="CA4" i="36"/>
  <c r="O4" i="36"/>
  <c r="DA5" i="35"/>
  <c r="AO5" i="35"/>
  <c r="DA4" i="39"/>
  <c r="AO4" i="39"/>
  <c r="DS5" i="38"/>
  <c r="BG5" i="38"/>
  <c r="ES4" i="38"/>
  <c r="CG4" i="38"/>
  <c r="U4" i="38"/>
  <c r="DG5" i="37"/>
  <c r="AU5" i="37"/>
  <c r="EG4" i="37"/>
  <c r="BU4" i="37"/>
  <c r="I4" i="37"/>
  <c r="ET5" i="39"/>
  <c r="CH5" i="39"/>
  <c r="V5" i="39"/>
  <c r="DH4" i="39"/>
  <c r="AV4" i="39"/>
  <c r="EH5" i="38"/>
  <c r="BV5" i="38"/>
  <c r="J5" i="38"/>
  <c r="CV4" i="38"/>
  <c r="AJ4" i="38"/>
  <c r="DV5" i="37"/>
  <c r="BJ5" i="37"/>
  <c r="EV4" i="37"/>
  <c r="CJ4" i="37"/>
  <c r="X4" i="37"/>
  <c r="K4" i="40"/>
  <c r="CW5" i="39"/>
  <c r="AK5" i="39"/>
  <c r="DW4" i="39"/>
  <c r="BK4" i="39"/>
  <c r="EW5" i="38"/>
  <c r="CK5" i="38"/>
  <c r="Y5" i="38"/>
  <c r="DK4" i="38"/>
  <c r="AY4" i="38"/>
  <c r="EK5" i="37"/>
  <c r="BY5" i="37"/>
  <c r="M5" i="37"/>
  <c r="CY4" i="37"/>
  <c r="AM4" i="37"/>
  <c r="BB4" i="40"/>
  <c r="DT5" i="39"/>
  <c r="BH5" i="39"/>
  <c r="ET4" i="39"/>
  <c r="CH4" i="39"/>
  <c r="V4" i="39"/>
  <c r="DH5" i="38"/>
  <c r="AV5" i="38"/>
  <c r="EH4" i="38"/>
  <c r="BV4" i="38"/>
  <c r="J4" i="38"/>
  <c r="CV5" i="37"/>
  <c r="AJ5" i="37"/>
  <c r="DV4" i="37"/>
  <c r="BJ4" i="37"/>
  <c r="EV5" i="36"/>
  <c r="CK5" i="36"/>
  <c r="Y5" i="36"/>
  <c r="DK4" i="36"/>
  <c r="AY4" i="36"/>
  <c r="EK5" i="35"/>
  <c r="BY5" i="35"/>
  <c r="M5" i="35"/>
  <c r="CY4" i="35"/>
  <c r="AM4" i="35"/>
  <c r="DY5" i="34"/>
  <c r="BM5" i="34"/>
  <c r="A5" i="34"/>
  <c r="CM4" i="34"/>
  <c r="AA4" i="34"/>
  <c r="DM5" i="33"/>
  <c r="BA5" i="33"/>
  <c r="CB5" i="36"/>
  <c r="P5" i="36"/>
  <c r="DB4" i="36"/>
  <c r="AP4" i="36"/>
  <c r="EB5" i="35"/>
  <c r="BP5" i="35"/>
  <c r="D5" i="35"/>
  <c r="CP4" i="35"/>
  <c r="AD4" i="35"/>
  <c r="DP5" i="34"/>
  <c r="BD5" i="34"/>
  <c r="EP4" i="34"/>
  <c r="CD4" i="34"/>
  <c r="R4" i="34"/>
  <c r="DD5" i="33"/>
  <c r="EP5" i="36"/>
  <c r="BS5" i="36"/>
  <c r="G5" i="36"/>
  <c r="CS4" i="36"/>
  <c r="AG4" i="36"/>
  <c r="DK5" i="35"/>
  <c r="AY5" i="35"/>
  <c r="EK4" i="35"/>
  <c r="BY4" i="35"/>
  <c r="M4" i="35"/>
  <c r="CY5" i="34"/>
  <c r="AM5" i="34"/>
  <c r="DY4" i="34"/>
  <c r="BM4" i="34"/>
  <c r="EQ5" i="33"/>
  <c r="DO5" i="36"/>
  <c r="BB5" i="36"/>
  <c r="EN4" i="36"/>
  <c r="CB4" i="36"/>
  <c r="P4" i="36"/>
  <c r="DB5" i="35"/>
  <c r="AP5" i="35"/>
  <c r="EB4" i="35"/>
  <c r="BP4" i="35"/>
  <c r="D4" i="35"/>
  <c r="CP5" i="34"/>
  <c r="AD5" i="34"/>
  <c r="DP4" i="34"/>
  <c r="BD4" i="34"/>
  <c r="EP5" i="33"/>
  <c r="CD5" i="33"/>
  <c r="DE5" i="36"/>
  <c r="AS5" i="36"/>
  <c r="EE4" i="36"/>
  <c r="BS4" i="36"/>
  <c r="G4" i="36"/>
  <c r="CS5" i="35"/>
  <c r="AG5" i="35"/>
  <c r="CS4" i="39"/>
  <c r="AG4" i="39"/>
  <c r="DK5" i="38"/>
  <c r="AY5" i="38"/>
  <c r="EK4" i="38"/>
  <c r="BY4" i="38"/>
  <c r="M4" i="38"/>
  <c r="CY5" i="37"/>
  <c r="AM5" i="37"/>
  <c r="DY4" i="37"/>
  <c r="BM4" i="37"/>
  <c r="EC4" i="40"/>
  <c r="EL5" i="39"/>
  <c r="BZ5" i="39"/>
  <c r="N5" i="39"/>
  <c r="CZ4" i="39"/>
  <c r="AN4" i="39"/>
  <c r="DZ5" i="38"/>
  <c r="BN5" i="38"/>
  <c r="B5" i="38"/>
  <c r="CN4" i="38"/>
  <c r="AB4" i="38"/>
  <c r="DN5" i="37"/>
  <c r="BB5" i="37"/>
  <c r="EN4" i="37"/>
  <c r="CB4" i="37"/>
  <c r="P4" i="37"/>
  <c r="C4" i="40"/>
  <c r="CO5" i="39"/>
  <c r="AC5" i="39"/>
  <c r="DO4" i="39"/>
  <c r="BC4" i="39"/>
  <c r="EO5" i="38"/>
  <c r="CC5" i="38"/>
  <c r="Q5" i="38"/>
  <c r="DC4" i="38"/>
  <c r="AQ4" i="38"/>
  <c r="EC5" i="37"/>
  <c r="BQ5" i="37"/>
  <c r="E5" i="37"/>
  <c r="CQ4" i="37"/>
  <c r="AE4" i="37"/>
  <c r="Z4" i="40"/>
  <c r="DL5" i="39"/>
  <c r="AZ5" i="39"/>
  <c r="EL4" i="39"/>
  <c r="BZ4" i="39"/>
  <c r="N4" i="39"/>
  <c r="CZ5" i="38"/>
  <c r="AN5" i="38"/>
  <c r="DZ4" i="38"/>
  <c r="BN4" i="38"/>
  <c r="B4" i="38"/>
  <c r="CN5" i="37"/>
  <c r="AB5" i="37"/>
  <c r="DN4" i="37"/>
  <c r="BB4" i="37"/>
  <c r="EN5" i="36"/>
  <c r="CC5" i="36"/>
  <c r="Q5" i="36"/>
  <c r="DC4" i="36"/>
  <c r="AQ4" i="36"/>
  <c r="EC5" i="35"/>
  <c r="BQ5" i="35"/>
  <c r="E5" i="35"/>
  <c r="CQ4" i="35"/>
  <c r="AE4" i="35"/>
  <c r="DQ5" i="34"/>
  <c r="BE5" i="34"/>
  <c r="EQ4" i="34"/>
  <c r="CE4" i="34"/>
  <c r="S4" i="34"/>
  <c r="DE5" i="33"/>
  <c r="EQ5" i="36"/>
  <c r="BT5" i="36"/>
  <c r="H5" i="36"/>
  <c r="CT4" i="36"/>
  <c r="AH4" i="36"/>
  <c r="DT5" i="35"/>
  <c r="BH5" i="35"/>
  <c r="ET4" i="35"/>
  <c r="CH4" i="35"/>
  <c r="V4" i="35"/>
  <c r="DH5" i="34"/>
  <c r="AV5" i="34"/>
  <c r="EH4" i="34"/>
  <c r="BV4" i="34"/>
  <c r="J4" i="34"/>
  <c r="CV5" i="33"/>
  <c r="EA5" i="36"/>
  <c r="BK5" i="36"/>
  <c r="EW4" i="36"/>
  <c r="CK4" i="36"/>
  <c r="Y4" i="36"/>
  <c r="DC5" i="35"/>
  <c r="AQ5" i="35"/>
  <c r="EC4" i="35"/>
  <c r="BQ4" i="35"/>
  <c r="E4" i="35"/>
  <c r="CQ5" i="34"/>
  <c r="AE5" i="34"/>
  <c r="DQ4" i="34"/>
  <c r="BE4" i="34"/>
  <c r="EI5" i="33"/>
  <c r="DF5" i="36"/>
  <c r="AT5" i="36"/>
  <c r="EF4" i="36"/>
  <c r="BT4" i="36"/>
  <c r="H4" i="36"/>
  <c r="CT5" i="35"/>
  <c r="AH5" i="35"/>
  <c r="DT4" i="35"/>
  <c r="BH4" i="35"/>
  <c r="ET5" i="34"/>
  <c r="CH5" i="34"/>
  <c r="V5" i="34"/>
  <c r="DH4" i="34"/>
  <c r="AV4" i="34"/>
  <c r="EH5" i="33"/>
  <c r="BV5" i="33"/>
  <c r="CW5" i="36"/>
  <c r="AK5" i="36"/>
  <c r="DW4" i="36"/>
  <c r="BK4" i="36"/>
  <c r="EW5" i="35"/>
  <c r="CK5" i="35"/>
  <c r="Y5" i="35"/>
  <c r="CK4" i="39"/>
  <c r="Y4" i="39"/>
  <c r="DC5" i="38"/>
  <c r="AQ5" i="38"/>
  <c r="EC4" i="38"/>
  <c r="BQ4" i="38"/>
  <c r="E4" i="38"/>
  <c r="CQ5" i="37"/>
  <c r="AE5" i="37"/>
  <c r="DQ4" i="37"/>
  <c r="BE4" i="37"/>
  <c r="CP4" i="40"/>
  <c r="ED5" i="39"/>
  <c r="BR5" i="39"/>
  <c r="F5" i="39"/>
  <c r="CR4" i="39"/>
  <c r="AF4" i="39"/>
  <c r="DR5" i="38"/>
  <c r="BF5" i="38"/>
  <c r="ER4" i="38"/>
  <c r="CF4" i="38"/>
  <c r="T4" i="38"/>
  <c r="DF5" i="37"/>
  <c r="AT5" i="37"/>
  <c r="EF4" i="37"/>
  <c r="BT4" i="37"/>
  <c r="H4" i="37"/>
  <c r="ES5" i="39"/>
  <c r="CG5" i="39"/>
  <c r="U5" i="39"/>
  <c r="DG4" i="39"/>
  <c r="AU4" i="39"/>
  <c r="EG5" i="38"/>
  <c r="BU5" i="38"/>
  <c r="I5" i="38"/>
  <c r="CU4" i="38"/>
  <c r="AI4" i="38"/>
  <c r="DU5" i="37"/>
  <c r="BI5" i="37"/>
  <c r="EU4" i="37"/>
  <c r="CI4" i="37"/>
  <c r="W4" i="37"/>
  <c r="R4" i="40"/>
  <c r="DD5" i="39"/>
  <c r="AR5" i="39"/>
  <c r="ED4" i="39"/>
  <c r="BR4" i="39"/>
  <c r="F4" i="39"/>
  <c r="CR5" i="38"/>
  <c r="AF5" i="38"/>
  <c r="DR4" i="38"/>
  <c r="BF4" i="38"/>
  <c r="ER5" i="37"/>
  <c r="CF5" i="37"/>
  <c r="T5" i="37"/>
  <c r="DF4" i="37"/>
  <c r="AT4" i="37"/>
  <c r="EX5" i="36"/>
  <c r="BU5" i="36"/>
  <c r="I5" i="36"/>
  <c r="CU4" i="36"/>
  <c r="AI4" i="36"/>
  <c r="DU5" i="35"/>
  <c r="BI5" i="35"/>
  <c r="EU4" i="35"/>
  <c r="CI4" i="35"/>
  <c r="W4" i="35"/>
  <c r="DI5" i="34"/>
  <c r="AW5" i="34"/>
  <c r="EI4" i="34"/>
  <c r="BW4" i="34"/>
  <c r="K4" i="34"/>
  <c r="CW5" i="33"/>
  <c r="EE5" i="36"/>
  <c r="BL5" i="36"/>
  <c r="EX4" i="36"/>
  <c r="CL4" i="36"/>
  <c r="Z4" i="36"/>
  <c r="DL5" i="35"/>
  <c r="AZ5" i="35"/>
  <c r="EL4" i="35"/>
  <c r="BZ4" i="35"/>
  <c r="N4" i="35"/>
  <c r="CZ5" i="34"/>
  <c r="AN5" i="34"/>
  <c r="DZ4" i="34"/>
  <c r="BN4" i="34"/>
  <c r="B4" i="34"/>
  <c r="CN5" i="33"/>
  <c r="DP5" i="36"/>
  <c r="BC5" i="36"/>
  <c r="EO4" i="36"/>
  <c r="CC4" i="36"/>
  <c r="Q4" i="36"/>
  <c r="CU5" i="35"/>
  <c r="AI5" i="35"/>
  <c r="DU4" i="35"/>
  <c r="BI4" i="35"/>
  <c r="EU5" i="34"/>
  <c r="CI5" i="34"/>
  <c r="W5" i="34"/>
  <c r="DI4" i="34"/>
  <c r="AW4" i="34"/>
  <c r="EA5" i="33"/>
  <c r="CX5" i="36"/>
  <c r="AL5" i="36"/>
  <c r="DX4" i="36"/>
  <c r="BL4" i="36"/>
  <c r="EX5" i="35"/>
  <c r="CL5" i="35"/>
  <c r="Z5" i="35"/>
  <c r="DL4" i="35"/>
  <c r="AZ4" i="35"/>
  <c r="EL5" i="34"/>
  <c r="BZ5" i="34"/>
  <c r="N5" i="34"/>
  <c r="CZ4" i="34"/>
  <c r="AN4" i="34"/>
  <c r="DZ5" i="33"/>
  <c r="BN5" i="33"/>
  <c r="CO5" i="36"/>
  <c r="AC5" i="36"/>
  <c r="DO4" i="36"/>
  <c r="BC4" i="36"/>
  <c r="EO5" i="35"/>
  <c r="CC5" i="35"/>
  <c r="Q5" i="35"/>
  <c r="EI4" i="35"/>
  <c r="BW4" i="35"/>
  <c r="K4" i="35"/>
  <c r="CW5" i="34"/>
  <c r="AK5" i="34"/>
  <c r="DW4" i="34"/>
  <c r="BK4" i="34"/>
  <c r="EW5" i="33"/>
  <c r="CK5" i="33"/>
  <c r="DD5" i="36"/>
  <c r="AR5" i="36"/>
  <c r="ED4" i="36"/>
  <c r="BR4" i="36"/>
  <c r="F4" i="36"/>
  <c r="CR5" i="35"/>
  <c r="AF5" i="35"/>
  <c r="DR4" i="35"/>
  <c r="BF4" i="35"/>
  <c r="ER5" i="34"/>
  <c r="CF5" i="34"/>
  <c r="T5" i="34"/>
  <c r="DF4" i="34"/>
  <c r="AT4" i="34"/>
  <c r="EF5" i="33"/>
  <c r="BT5" i="33"/>
  <c r="CU5" i="36"/>
  <c r="AI5" i="36"/>
  <c r="DU4" i="36"/>
  <c r="BI4" i="36"/>
  <c r="EU5" i="35"/>
  <c r="CI5" i="35"/>
  <c r="W5" i="35"/>
  <c r="DI4" i="35"/>
  <c r="AW4" i="35"/>
  <c r="EA5" i="34"/>
  <c r="BO5" i="34"/>
  <c r="C5" i="34"/>
  <c r="CO4" i="34"/>
  <c r="AC4" i="34"/>
  <c r="DO5" i="33"/>
  <c r="CT5" i="36"/>
  <c r="AH5" i="36"/>
  <c r="DT4" i="36"/>
  <c r="BH4" i="36"/>
  <c r="ET5" i="35"/>
  <c r="CH5" i="35"/>
  <c r="V5" i="35"/>
  <c r="DH4" i="35"/>
  <c r="AV4" i="35"/>
  <c r="EH5" i="34"/>
  <c r="BV5" i="34"/>
  <c r="J5" i="34"/>
  <c r="CV4" i="34"/>
  <c r="AJ4" i="34"/>
  <c r="DV5" i="33"/>
  <c r="BJ5" i="33"/>
  <c r="L5" i="33"/>
  <c r="CX4" i="33"/>
  <c r="AL4" i="33"/>
  <c r="DX5" i="32"/>
  <c r="BL5" i="32"/>
  <c r="EX4" i="32"/>
  <c r="CL4" i="32"/>
  <c r="Z4" i="32"/>
  <c r="DL5" i="31"/>
  <c r="AZ5" i="31"/>
  <c r="EL4" i="31"/>
  <c r="BZ4" i="31"/>
  <c r="N4" i="31"/>
  <c r="CZ5" i="30"/>
  <c r="AN5" i="30"/>
  <c r="DZ4" i="30"/>
  <c r="C5" i="33"/>
  <c r="CO4" i="33"/>
  <c r="AC4" i="33"/>
  <c r="DO5" i="32"/>
  <c r="BC5" i="32"/>
  <c r="EO4" i="32"/>
  <c r="CC4" i="32"/>
  <c r="Q4" i="32"/>
  <c r="CU5" i="31"/>
  <c r="AI5" i="31"/>
  <c r="DU4" i="31"/>
  <c r="BI4" i="31"/>
  <c r="EU5" i="30"/>
  <c r="CI5" i="30"/>
  <c r="W5" i="30"/>
  <c r="CI5" i="33"/>
  <c r="ER4" i="33"/>
  <c r="CF4" i="33"/>
  <c r="T4" i="33"/>
  <c r="DF5" i="32"/>
  <c r="AT5" i="32"/>
  <c r="EF4" i="32"/>
  <c r="BT4" i="32"/>
  <c r="H4" i="32"/>
  <c r="CT5" i="31"/>
  <c r="AH5" i="31"/>
  <c r="DT4" i="31"/>
  <c r="BH4" i="31"/>
  <c r="ET5" i="30"/>
  <c r="CH5" i="30"/>
  <c r="V5" i="30"/>
  <c r="DH4" i="30"/>
  <c r="A5" i="33"/>
  <c r="CM4" i="33"/>
  <c r="AA4" i="33"/>
  <c r="DM5" i="32"/>
  <c r="BA5" i="32"/>
  <c r="EM4" i="32"/>
  <c r="CA4" i="32"/>
  <c r="O4" i="32"/>
  <c r="DA5" i="31"/>
  <c r="AO5" i="31"/>
  <c r="EA4" i="31"/>
  <c r="BO4" i="31"/>
  <c r="C4" i="31"/>
  <c r="CO5" i="30"/>
  <c r="AC5" i="30"/>
  <c r="DO4" i="30"/>
  <c r="EX4" i="33"/>
  <c r="CL4" i="33"/>
  <c r="Z4" i="33"/>
  <c r="DL5" i="32"/>
  <c r="AZ5" i="32"/>
  <c r="EL4" i="32"/>
  <c r="BZ4" i="32"/>
  <c r="N4" i="32"/>
  <c r="EA4" i="35"/>
  <c r="BO4" i="35"/>
  <c r="C4" i="35"/>
  <c r="CO5" i="34"/>
  <c r="AC5" i="34"/>
  <c r="DO4" i="34"/>
  <c r="BC4" i="34"/>
  <c r="EO5" i="33"/>
  <c r="CC5" i="33"/>
  <c r="CV5" i="36"/>
  <c r="AJ5" i="36"/>
  <c r="DV4" i="36"/>
  <c r="BJ4" i="36"/>
  <c r="EV5" i="35"/>
  <c r="CJ5" i="35"/>
  <c r="X5" i="35"/>
  <c r="DJ4" i="35"/>
  <c r="AX4" i="35"/>
  <c r="EJ5" i="34"/>
  <c r="BX5" i="34"/>
  <c r="L5" i="34"/>
  <c r="CX4" i="34"/>
  <c r="AL4" i="34"/>
  <c r="DX5" i="33"/>
  <c r="BL5" i="33"/>
  <c r="CM5" i="36"/>
  <c r="AA5" i="36"/>
  <c r="DM4" i="36"/>
  <c r="BA4" i="36"/>
  <c r="EM5" i="35"/>
  <c r="CA5" i="35"/>
  <c r="O5" i="35"/>
  <c r="DA4" i="35"/>
  <c r="AO4" i="35"/>
  <c r="DS5" i="34"/>
  <c r="BG5" i="34"/>
  <c r="ES4" i="34"/>
  <c r="CG4" i="34"/>
  <c r="U4" i="34"/>
  <c r="DG5" i="33"/>
  <c r="CL5" i="36"/>
  <c r="Z5" i="36"/>
  <c r="DL4" i="36"/>
  <c r="AZ4" i="36"/>
  <c r="EL5" i="35"/>
  <c r="BZ5" i="35"/>
  <c r="N5" i="35"/>
  <c r="CZ4" i="35"/>
  <c r="AN4" i="35"/>
  <c r="DZ5" i="34"/>
  <c r="BN5" i="34"/>
  <c r="B5" i="34"/>
  <c r="CN4" i="34"/>
  <c r="AB4" i="34"/>
  <c r="DN5" i="33"/>
  <c r="BB5" i="33"/>
  <c r="D5" i="33"/>
  <c r="CP4" i="33"/>
  <c r="AD4" i="33"/>
  <c r="DP5" i="32"/>
  <c r="BD5" i="32"/>
  <c r="EP4" i="32"/>
  <c r="CD4" i="32"/>
  <c r="R4" i="32"/>
  <c r="DD5" i="31"/>
  <c r="AR5" i="31"/>
  <c r="ED4" i="31"/>
  <c r="BR4" i="31"/>
  <c r="F4" i="31"/>
  <c r="CR5" i="30"/>
  <c r="AF5" i="30"/>
  <c r="CM5" i="33"/>
  <c r="ES4" i="33"/>
  <c r="CG4" i="33"/>
  <c r="U4" i="33"/>
  <c r="DG5" i="32"/>
  <c r="AU5" i="32"/>
  <c r="EG4" i="32"/>
  <c r="BU4" i="32"/>
  <c r="I4" i="32"/>
  <c r="CM5" i="31"/>
  <c r="AA5" i="31"/>
  <c r="DM4" i="31"/>
  <c r="BA4" i="31"/>
  <c r="EM5" i="30"/>
  <c r="CA5" i="30"/>
  <c r="O5" i="30"/>
  <c r="BC5" i="33"/>
  <c r="EJ4" i="33"/>
  <c r="BX4" i="33"/>
  <c r="L4" i="33"/>
  <c r="CX5" i="32"/>
  <c r="AL5" i="32"/>
  <c r="DX4" i="32"/>
  <c r="BL4" i="32"/>
  <c r="EX5" i="31"/>
  <c r="CL5" i="31"/>
  <c r="Z5" i="31"/>
  <c r="DL4" i="31"/>
  <c r="AZ4" i="31"/>
  <c r="EL5" i="30"/>
  <c r="BZ5" i="30"/>
  <c r="N5" i="30"/>
  <c r="CE5" i="33"/>
  <c r="EQ4" i="33"/>
  <c r="CE4" i="33"/>
  <c r="S4" i="33"/>
  <c r="DE5" i="32"/>
  <c r="AS5" i="32"/>
  <c r="EE4" i="32"/>
  <c r="BS4" i="32"/>
  <c r="G4" i="32"/>
  <c r="CS5" i="31"/>
  <c r="AG5" i="31"/>
  <c r="DS4" i="31"/>
  <c r="BG4" i="31"/>
  <c r="ES5" i="30"/>
  <c r="CG5" i="30"/>
  <c r="U5" i="30"/>
  <c r="CA5" i="33"/>
  <c r="EP4" i="33"/>
  <c r="CD4" i="33"/>
  <c r="R4" i="33"/>
  <c r="DD5" i="32"/>
  <c r="AR5" i="32"/>
  <c r="ED4" i="32"/>
  <c r="BR4" i="32"/>
  <c r="F4" i="32"/>
  <c r="DS4" i="35"/>
  <c r="BG4" i="35"/>
  <c r="ES5" i="34"/>
  <c r="CG5" i="34"/>
  <c r="U5" i="34"/>
  <c r="DG4" i="34"/>
  <c r="AU4" i="34"/>
  <c r="EG5" i="33"/>
  <c r="BU5" i="33"/>
  <c r="CN5" i="36"/>
  <c r="AB5" i="36"/>
  <c r="DN4" i="36"/>
  <c r="BB4" i="36"/>
  <c r="EN5" i="35"/>
  <c r="CB5" i="35"/>
  <c r="P5" i="35"/>
  <c r="DB4" i="35"/>
  <c r="AP4" i="35"/>
  <c r="EB5" i="34"/>
  <c r="BP5" i="34"/>
  <c r="D5" i="34"/>
  <c r="CP4" i="34"/>
  <c r="AD4" i="34"/>
  <c r="DP5" i="33"/>
  <c r="BD5" i="33"/>
  <c r="CE5" i="36"/>
  <c r="S5" i="36"/>
  <c r="DE4" i="36"/>
  <c r="AS4" i="36"/>
  <c r="EE5" i="35"/>
  <c r="BS5" i="35"/>
  <c r="G5" i="35"/>
  <c r="CS4" i="35"/>
  <c r="AG4" i="35"/>
  <c r="DK5" i="34"/>
  <c r="AY5" i="34"/>
  <c r="EK4" i="34"/>
  <c r="BY4" i="34"/>
  <c r="M4" i="34"/>
  <c r="CY5" i="33"/>
  <c r="CD5" i="36"/>
  <c r="R5" i="36"/>
  <c r="DD4" i="36"/>
  <c r="AR4" i="36"/>
  <c r="ED5" i="35"/>
  <c r="BR5" i="35"/>
  <c r="F5" i="35"/>
  <c r="CR4" i="35"/>
  <c r="AF4" i="35"/>
  <c r="DR5" i="34"/>
  <c r="BF5" i="34"/>
  <c r="ER4" i="34"/>
  <c r="CF4" i="34"/>
  <c r="T4" i="34"/>
  <c r="DF5" i="33"/>
  <c r="CU5" i="33"/>
  <c r="ET4" i="33"/>
  <c r="CH4" i="33"/>
  <c r="V4" i="33"/>
  <c r="DH5" i="32"/>
  <c r="AV5" i="32"/>
  <c r="EH4" i="32"/>
  <c r="BV4" i="32"/>
  <c r="J4" i="32"/>
  <c r="CV5" i="31"/>
  <c r="AJ5" i="31"/>
  <c r="DV4" i="31"/>
  <c r="BJ4" i="31"/>
  <c r="EV5" i="30"/>
  <c r="CJ5" i="30"/>
  <c r="X5" i="30"/>
  <c r="BG5" i="33"/>
  <c r="EK4" i="33"/>
  <c r="BY4" i="33"/>
  <c r="M4" i="33"/>
  <c r="CY5" i="32"/>
  <c r="AM5" i="32"/>
  <c r="DY4" i="32"/>
  <c r="BM4" i="32"/>
  <c r="EQ5" i="31"/>
  <c r="CE5" i="31"/>
  <c r="S5" i="31"/>
  <c r="DE4" i="31"/>
  <c r="AS4" i="31"/>
  <c r="EE5" i="30"/>
  <c r="BS5" i="30"/>
  <c r="G5" i="30"/>
  <c r="AP5" i="33"/>
  <c r="EB4" i="33"/>
  <c r="BP4" i="33"/>
  <c r="D4" i="33"/>
  <c r="CP5" i="32"/>
  <c r="AD5" i="32"/>
  <c r="DP4" i="32"/>
  <c r="BD4" i="32"/>
  <c r="EP5" i="31"/>
  <c r="CD5" i="31"/>
  <c r="R5" i="31"/>
  <c r="DD4" i="31"/>
  <c r="AR4" i="31"/>
  <c r="ED5" i="30"/>
  <c r="BR5" i="30"/>
  <c r="F5" i="30"/>
  <c r="AY5" i="33"/>
  <c r="EI4" i="33"/>
  <c r="BW4" i="33"/>
  <c r="K4" i="33"/>
  <c r="CW5" i="32"/>
  <c r="AK5" i="32"/>
  <c r="DW4" i="32"/>
  <c r="BK4" i="32"/>
  <c r="EW5" i="31"/>
  <c r="CK5" i="31"/>
  <c r="Y5" i="31"/>
  <c r="DK4" i="31"/>
  <c r="AY4" i="31"/>
  <c r="EK5" i="30"/>
  <c r="BY5" i="30"/>
  <c r="M5" i="30"/>
  <c r="AW5" i="33"/>
  <c r="EH4" i="33"/>
  <c r="BV4" i="33"/>
  <c r="J4" i="33"/>
  <c r="CV5" i="32"/>
  <c r="AJ5" i="32"/>
  <c r="DV4" i="32"/>
  <c r="BJ4" i="32"/>
  <c r="DK4" i="35"/>
  <c r="AY4" i="35"/>
  <c r="EK5" i="34"/>
  <c r="BY5" i="34"/>
  <c r="M5" i="34"/>
  <c r="CY4" i="34"/>
  <c r="AM4" i="34"/>
  <c r="DY5" i="33"/>
  <c r="BM5" i="33"/>
  <c r="CF5" i="36"/>
  <c r="T5" i="36"/>
  <c r="DF4" i="36"/>
  <c r="AT4" i="36"/>
  <c r="EF5" i="35"/>
  <c r="BT5" i="35"/>
  <c r="H5" i="35"/>
  <c r="CT4" i="35"/>
  <c r="AH4" i="35"/>
  <c r="DT5" i="34"/>
  <c r="BH5" i="34"/>
  <c r="ET4" i="34"/>
  <c r="CH4" i="34"/>
  <c r="V4" i="34"/>
  <c r="DH5" i="33"/>
  <c r="AV5" i="33"/>
  <c r="BW5" i="36"/>
  <c r="K5" i="36"/>
  <c r="CW4" i="36"/>
  <c r="AK4" i="36"/>
  <c r="DW5" i="35"/>
  <c r="BK5" i="35"/>
  <c r="EW4" i="35"/>
  <c r="CK4" i="35"/>
  <c r="Y4" i="35"/>
  <c r="DC5" i="34"/>
  <c r="AQ5" i="34"/>
  <c r="EC4" i="34"/>
  <c r="BQ4" i="34"/>
  <c r="E4" i="34"/>
  <c r="CQ5" i="33"/>
  <c r="BV5" i="36"/>
  <c r="J5" i="36"/>
  <c r="CV4" i="36"/>
  <c r="AJ4" i="36"/>
  <c r="DV5" i="35"/>
  <c r="BJ5" i="35"/>
  <c r="EV4" i="35"/>
  <c r="CJ4" i="35"/>
  <c r="X4" i="35"/>
  <c r="DJ5" i="34"/>
  <c r="AX5" i="34"/>
  <c r="EJ4" i="34"/>
  <c r="BX4" i="34"/>
  <c r="L4" i="34"/>
  <c r="CX5" i="33"/>
  <c r="BK5" i="33"/>
  <c r="EL4" i="33"/>
  <c r="BZ4" i="33"/>
  <c r="N4" i="33"/>
  <c r="CZ5" i="32"/>
  <c r="AN5" i="32"/>
  <c r="DZ4" i="32"/>
  <c r="BN4" i="32"/>
  <c r="B4" i="32"/>
  <c r="CN5" i="31"/>
  <c r="AB5" i="31"/>
  <c r="DN4" i="31"/>
  <c r="BB4" i="31"/>
  <c r="EN5" i="30"/>
  <c r="CB5" i="30"/>
  <c r="P5" i="30"/>
  <c r="AQ5" i="33"/>
  <c r="EC4" i="33"/>
  <c r="BQ4" i="33"/>
  <c r="E4" i="33"/>
  <c r="CQ5" i="32"/>
  <c r="AE5" i="32"/>
  <c r="DQ4" i="32"/>
  <c r="BE4" i="32"/>
  <c r="EI5" i="31"/>
  <c r="BW5" i="31"/>
  <c r="K5" i="31"/>
  <c r="CW4" i="31"/>
  <c r="AK4" i="31"/>
  <c r="DW5" i="30"/>
  <c r="BK5" i="30"/>
  <c r="EW4" i="30"/>
  <c r="AH5" i="33"/>
  <c r="DT4" i="33"/>
  <c r="BH4" i="33"/>
  <c r="ET5" i="32"/>
  <c r="CH5" i="32"/>
  <c r="V5" i="32"/>
  <c r="DH4" i="32"/>
  <c r="AV4" i="32"/>
  <c r="EH5" i="31"/>
  <c r="BV5" i="31"/>
  <c r="J5" i="31"/>
  <c r="CV4" i="31"/>
  <c r="AJ4" i="31"/>
  <c r="DV5" i="30"/>
  <c r="BJ5" i="30"/>
  <c r="EV4" i="30"/>
  <c r="AO5" i="33"/>
  <c r="EA4" i="33"/>
  <c r="BO4" i="33"/>
  <c r="C4" i="33"/>
  <c r="CO5" i="32"/>
  <c r="AC5" i="32"/>
  <c r="DO4" i="32"/>
  <c r="BC4" i="32"/>
  <c r="EO5" i="31"/>
  <c r="CC5" i="31"/>
  <c r="Q5" i="31"/>
  <c r="DC4" i="31"/>
  <c r="AQ4" i="31"/>
  <c r="EC5" i="30"/>
  <c r="BQ5" i="30"/>
  <c r="E5" i="30"/>
  <c r="AN5" i="33"/>
  <c r="DZ4" i="33"/>
  <c r="BN4" i="33"/>
  <c r="B4" i="33"/>
  <c r="CN5" i="32"/>
  <c r="AB5" i="32"/>
  <c r="DN4" i="32"/>
  <c r="BB4" i="32"/>
  <c r="DC4" i="35"/>
  <c r="AQ4" i="35"/>
  <c r="EC5" i="34"/>
  <c r="BQ5" i="34"/>
  <c r="E5" i="34"/>
  <c r="CQ4" i="34"/>
  <c r="AE4" i="34"/>
  <c r="DQ5" i="33"/>
  <c r="BE5" i="33"/>
  <c r="BX5" i="36"/>
  <c r="L5" i="36"/>
  <c r="CX4" i="36"/>
  <c r="AL4" i="36"/>
  <c r="DX5" i="35"/>
  <c r="BL5" i="35"/>
  <c r="EX4" i="35"/>
  <c r="CL4" i="35"/>
  <c r="Z4" i="35"/>
  <c r="DL5" i="34"/>
  <c r="AZ5" i="34"/>
  <c r="EL4" i="34"/>
  <c r="BZ4" i="34"/>
  <c r="N4" i="34"/>
  <c r="CZ5" i="33"/>
  <c r="EH5" i="36"/>
  <c r="BO5" i="36"/>
  <c r="C5" i="36"/>
  <c r="CO4" i="36"/>
  <c r="AC4" i="36"/>
  <c r="DO5" i="35"/>
  <c r="BC5" i="35"/>
  <c r="EO4" i="35"/>
  <c r="CC4" i="35"/>
  <c r="Q4" i="35"/>
  <c r="CU5" i="34"/>
  <c r="AI5" i="34"/>
  <c r="DU4" i="34"/>
  <c r="BI4" i="34"/>
  <c r="EU5" i="33"/>
  <c r="EG5" i="36"/>
  <c r="BN5" i="36"/>
  <c r="B5" i="36"/>
  <c r="CN4" i="36"/>
  <c r="AB4" i="36"/>
  <c r="DN5" i="35"/>
  <c r="BB5" i="35"/>
  <c r="EN4" i="35"/>
  <c r="CB4" i="35"/>
  <c r="P4" i="35"/>
  <c r="DB5" i="34"/>
  <c r="AP5" i="34"/>
  <c r="EB4" i="34"/>
  <c r="BP4" i="34"/>
  <c r="D4" i="34"/>
  <c r="CP5" i="33"/>
  <c r="AR5" i="33"/>
  <c r="ED4" i="33"/>
  <c r="BR4" i="33"/>
  <c r="F4" i="33"/>
  <c r="CR5" i="32"/>
  <c r="AF5" i="32"/>
  <c r="DR4" i="32"/>
  <c r="BF4" i="32"/>
  <c r="ER5" i="31"/>
  <c r="CF5" i="31"/>
  <c r="T5" i="31"/>
  <c r="DF4" i="31"/>
  <c r="AT4" i="31"/>
  <c r="EF5" i="30"/>
  <c r="BT5" i="30"/>
  <c r="H5" i="30"/>
  <c r="AI5" i="33"/>
  <c r="DU4" i="33"/>
  <c r="BI4" i="33"/>
  <c r="EU5" i="32"/>
  <c r="CI5" i="32"/>
  <c r="W5" i="32"/>
  <c r="DI4" i="32"/>
  <c r="AW4" i="32"/>
  <c r="EA5" i="31"/>
  <c r="BO5" i="31"/>
  <c r="C5" i="31"/>
  <c r="CO4" i="31"/>
  <c r="AC4" i="31"/>
  <c r="DO5" i="30"/>
  <c r="BC5" i="30"/>
  <c r="EO4" i="30"/>
  <c r="Z5" i="33"/>
  <c r="DL4" i="33"/>
  <c r="AZ4" i="33"/>
  <c r="EL5" i="32"/>
  <c r="BZ5" i="32"/>
  <c r="N5" i="32"/>
  <c r="CZ4" i="32"/>
  <c r="AN4" i="32"/>
  <c r="DZ5" i="31"/>
  <c r="BN5" i="31"/>
  <c r="B5" i="31"/>
  <c r="CN4" i="31"/>
  <c r="AB4" i="31"/>
  <c r="DN5" i="30"/>
  <c r="BB5" i="30"/>
  <c r="EN4" i="30"/>
  <c r="AG5" i="33"/>
  <c r="DS4" i="33"/>
  <c r="BG4" i="33"/>
  <c r="ES5" i="32"/>
  <c r="CG5" i="32"/>
  <c r="U5" i="32"/>
  <c r="DG4" i="32"/>
  <c r="AU4" i="32"/>
  <c r="EG5" i="31"/>
  <c r="BU5" i="31"/>
  <c r="I5" i="31"/>
  <c r="CU4" i="31"/>
  <c r="AI4" i="31"/>
  <c r="DU5" i="30"/>
  <c r="BI5" i="30"/>
  <c r="EU4" i="30"/>
  <c r="AF5" i="33"/>
  <c r="DR4" i="33"/>
  <c r="BF4" i="33"/>
  <c r="ER5" i="32"/>
  <c r="CF5" i="32"/>
  <c r="T5" i="32"/>
  <c r="DF4" i="32"/>
  <c r="AT4" i="32"/>
  <c r="CU4" i="35"/>
  <c r="AI4" i="35"/>
  <c r="DU5" i="34"/>
  <c r="BI5" i="34"/>
  <c r="EU4" i="34"/>
  <c r="CI4" i="34"/>
  <c r="W4" i="34"/>
  <c r="DI5" i="33"/>
  <c r="EI5" i="36"/>
  <c r="BP5" i="36"/>
  <c r="D5" i="36"/>
  <c r="CP4" i="36"/>
  <c r="AD4" i="36"/>
  <c r="DP5" i="35"/>
  <c r="BD5" i="35"/>
  <c r="EP4" i="35"/>
  <c r="CD4" i="35"/>
  <c r="R4" i="35"/>
  <c r="DD5" i="34"/>
  <c r="AR5" i="34"/>
  <c r="ED4" i="34"/>
  <c r="BR4" i="34"/>
  <c r="F4" i="34"/>
  <c r="CR5" i="33"/>
  <c r="DW5" i="36"/>
  <c r="BG5" i="36"/>
  <c r="ES4" i="36"/>
  <c r="CG4" i="36"/>
  <c r="U4" i="36"/>
  <c r="DG5" i="35"/>
  <c r="AU5" i="35"/>
  <c r="EG4" i="35"/>
  <c r="BU4" i="35"/>
  <c r="I4" i="35"/>
  <c r="CM5" i="34"/>
  <c r="AA5" i="34"/>
  <c r="DM4" i="34"/>
  <c r="BA4" i="34"/>
  <c r="EM5" i="33"/>
  <c r="DS5" i="36"/>
  <c r="BF5" i="36"/>
  <c r="ER4" i="36"/>
  <c r="CF4" i="36"/>
  <c r="T4" i="36"/>
  <c r="DF5" i="35"/>
  <c r="AT5" i="35"/>
  <c r="EF4" i="35"/>
  <c r="BT4" i="35"/>
  <c r="H4" i="35"/>
  <c r="CT5" i="34"/>
  <c r="AH5" i="34"/>
  <c r="DT4" i="34"/>
  <c r="BH4" i="34"/>
  <c r="ET5" i="33"/>
  <c r="CH5" i="33"/>
  <c r="AJ5" i="33"/>
  <c r="DV4" i="33"/>
  <c r="BJ4" i="33"/>
  <c r="EV5" i="32"/>
  <c r="CJ5" i="32"/>
  <c r="X5" i="32"/>
  <c r="DJ4" i="32"/>
  <c r="AX4" i="32"/>
  <c r="EJ5" i="31"/>
  <c r="BX5" i="31"/>
  <c r="L5" i="31"/>
  <c r="CX4" i="31"/>
  <c r="AL4" i="31"/>
  <c r="DX5" i="30"/>
  <c r="BL5" i="30"/>
  <c r="EX4" i="30"/>
  <c r="AA5" i="33"/>
  <c r="DM4" i="33"/>
  <c r="BA4" i="33"/>
  <c r="EM5" i="32"/>
  <c r="CA5" i="32"/>
  <c r="O5" i="32"/>
  <c r="DA4" i="32"/>
  <c r="AO4" i="32"/>
  <c r="DS5" i="31"/>
  <c r="BG5" i="31"/>
  <c r="ES4" i="31"/>
  <c r="CG4" i="31"/>
  <c r="U4" i="31"/>
  <c r="DG5" i="30"/>
  <c r="AU5" i="30"/>
  <c r="EG4" i="30"/>
  <c r="R5" i="33"/>
  <c r="DD4" i="33"/>
  <c r="AR4" i="33"/>
  <c r="ED5" i="32"/>
  <c r="BR5" i="32"/>
  <c r="F5" i="32"/>
  <c r="CR4" i="32"/>
  <c r="AF4" i="32"/>
  <c r="DR5" i="31"/>
  <c r="BF5" i="31"/>
  <c r="ER4" i="31"/>
  <c r="CF4" i="31"/>
  <c r="T4" i="31"/>
  <c r="DF5" i="30"/>
  <c r="AT5" i="30"/>
  <c r="EF4" i="30"/>
  <c r="Y5" i="33"/>
  <c r="DK4" i="33"/>
  <c r="AY4" i="33"/>
  <c r="EK5" i="32"/>
  <c r="BY5" i="32"/>
  <c r="M5" i="32"/>
  <c r="CY4" i="32"/>
  <c r="AM4" i="32"/>
  <c r="DY5" i="31"/>
  <c r="BM5" i="31"/>
  <c r="A5" i="31"/>
  <c r="CM4" i="31"/>
  <c r="AA4" i="31"/>
  <c r="DM5" i="30"/>
  <c r="BA5" i="30"/>
  <c r="EM4" i="30"/>
  <c r="X5" i="33"/>
  <c r="DJ4" i="33"/>
  <c r="AX4" i="33"/>
  <c r="EJ5" i="32"/>
  <c r="BX5" i="32"/>
  <c r="L5" i="32"/>
  <c r="CX4" i="32"/>
  <c r="AL4" i="32"/>
  <c r="CM4" i="35"/>
  <c r="AA4" i="35"/>
  <c r="DM5" i="34"/>
  <c r="BA5" i="34"/>
  <c r="EM4" i="34"/>
  <c r="CA4" i="34"/>
  <c r="O4" i="34"/>
  <c r="DA5" i="33"/>
  <c r="DX5" i="36"/>
  <c r="BH5" i="36"/>
  <c r="ET4" i="36"/>
  <c r="CH4" i="36"/>
  <c r="V4" i="36"/>
  <c r="DH5" i="35"/>
  <c r="AV5" i="35"/>
  <c r="EH4" i="35"/>
  <c r="BV4" i="35"/>
  <c r="J4" i="35"/>
  <c r="CV5" i="34"/>
  <c r="AJ5" i="34"/>
  <c r="DV4" i="34"/>
  <c r="BJ4" i="34"/>
  <c r="EV5" i="33"/>
  <c r="CJ5" i="33"/>
  <c r="DK5" i="36"/>
  <c r="AY5" i="36"/>
  <c r="EK4" i="36"/>
  <c r="BY4" i="36"/>
  <c r="M4" i="36"/>
  <c r="CY5" i="35"/>
  <c r="AM5" i="35"/>
  <c r="DY4" i="35"/>
  <c r="BM4" i="35"/>
  <c r="EQ5" i="34"/>
  <c r="CE5" i="34"/>
  <c r="S5" i="34"/>
  <c r="DE4" i="34"/>
  <c r="AS4" i="34"/>
  <c r="EE5" i="33"/>
  <c r="DJ5" i="36"/>
  <c r="AX5" i="36"/>
  <c r="EJ4" i="36"/>
  <c r="BX4" i="36"/>
  <c r="L4" i="36"/>
  <c r="CX5" i="35"/>
  <c r="AL5" i="35"/>
  <c r="DX4" i="35"/>
  <c r="BL4" i="35"/>
  <c r="EX5" i="34"/>
  <c r="CL5" i="34"/>
  <c r="Z5" i="34"/>
  <c r="DL4" i="34"/>
  <c r="AZ4" i="34"/>
  <c r="EL5" i="33"/>
  <c r="BZ5" i="33"/>
  <c r="AB5" i="33"/>
  <c r="DN4" i="33"/>
  <c r="BB4" i="33"/>
  <c r="EN5" i="32"/>
  <c r="CB5" i="32"/>
  <c r="P5" i="32"/>
  <c r="DB4" i="32"/>
  <c r="AP4" i="32"/>
  <c r="EB5" i="31"/>
  <c r="BP5" i="31"/>
  <c r="D5" i="31"/>
  <c r="CP4" i="31"/>
  <c r="AD4" i="31"/>
  <c r="DP5" i="30"/>
  <c r="BD5" i="30"/>
  <c r="EP4" i="30"/>
  <c r="S5" i="33"/>
  <c r="DE4" i="33"/>
  <c r="AS4" i="33"/>
  <c r="EE5" i="32"/>
  <c r="BS5" i="32"/>
  <c r="G5" i="32"/>
  <c r="CS4" i="32"/>
  <c r="AG4" i="32"/>
  <c r="DK5" i="31"/>
  <c r="AY5" i="31"/>
  <c r="EK4" i="31"/>
  <c r="BY4" i="31"/>
  <c r="M4" i="31"/>
  <c r="CY5" i="30"/>
  <c r="AM5" i="30"/>
  <c r="DY4" i="30"/>
  <c r="J5" i="33"/>
  <c r="CV4" i="33"/>
  <c r="AJ4" i="33"/>
  <c r="DV5" i="32"/>
  <c r="BJ5" i="32"/>
  <c r="EV4" i="32"/>
  <c r="CJ4" i="32"/>
  <c r="X4" i="32"/>
  <c r="DJ5" i="31"/>
  <c r="AX5" i="31"/>
  <c r="EJ4" i="31"/>
  <c r="BX4" i="31"/>
  <c r="L4" i="31"/>
  <c r="CX5" i="30"/>
  <c r="AL5" i="30"/>
  <c r="DX4" i="30"/>
  <c r="Q5" i="33"/>
  <c r="DC4" i="33"/>
  <c r="AQ4" i="33"/>
  <c r="EC5" i="32"/>
  <c r="BQ5" i="32"/>
  <c r="E5" i="32"/>
  <c r="CQ4" i="32"/>
  <c r="AE4" i="32"/>
  <c r="DQ5" i="31"/>
  <c r="BE5" i="31"/>
  <c r="EQ4" i="31"/>
  <c r="CE4" i="31"/>
  <c r="S4" i="31"/>
  <c r="DE5" i="30"/>
  <c r="AS5" i="30"/>
  <c r="EE4" i="30"/>
  <c r="P5" i="33"/>
  <c r="DB4" i="33"/>
  <c r="AP4" i="33"/>
  <c r="EB5" i="32"/>
  <c r="BP5" i="32"/>
  <c r="D5" i="32"/>
  <c r="CP4" i="32"/>
  <c r="AD4" i="32"/>
  <c r="CE4" i="35"/>
  <c r="S4" i="35"/>
  <c r="DE5" i="34"/>
  <c r="AS5" i="34"/>
  <c r="EE4" i="34"/>
  <c r="BS4" i="34"/>
  <c r="G4" i="34"/>
  <c r="CS5" i="33"/>
  <c r="DM5" i="36"/>
  <c r="AZ5" i="36"/>
  <c r="EL4" i="36"/>
  <c r="BZ4" i="36"/>
  <c r="N4" i="36"/>
  <c r="CZ5" i="35"/>
  <c r="AN5" i="35"/>
  <c r="DZ4" i="35"/>
  <c r="BN4" i="35"/>
  <c r="B4" i="35"/>
  <c r="CN5" i="34"/>
  <c r="AB5" i="34"/>
  <c r="DN4" i="34"/>
  <c r="BB4" i="34"/>
  <c r="EN5" i="33"/>
  <c r="CB5" i="33"/>
  <c r="DC5" i="36"/>
  <c r="AQ5" i="36"/>
  <c r="EC4" i="36"/>
  <c r="BQ4" i="36"/>
  <c r="E4" i="36"/>
  <c r="CQ5" i="35"/>
  <c r="AE5" i="35"/>
  <c r="DQ4" i="35"/>
  <c r="BE4" i="35"/>
  <c r="EI5" i="34"/>
  <c r="BW5" i="34"/>
  <c r="K5" i="34"/>
  <c r="CW4" i="34"/>
  <c r="AK4" i="34"/>
  <c r="DW5" i="33"/>
  <c r="DB5" i="36"/>
  <c r="AP5" i="36"/>
  <c r="EB4" i="36"/>
  <c r="BP4" i="36"/>
  <c r="D4" i="36"/>
  <c r="CP5" i="35"/>
  <c r="AD5" i="35"/>
  <c r="DP4" i="35"/>
  <c r="BD4" i="35"/>
  <c r="EP5" i="34"/>
  <c r="CD5" i="34"/>
  <c r="R5" i="34"/>
  <c r="DD4" i="34"/>
  <c r="AR4" i="34"/>
  <c r="ED5" i="33"/>
  <c r="BR5" i="33"/>
  <c r="T5" i="33"/>
  <c r="DF4" i="33"/>
  <c r="AT4" i="33"/>
  <c r="EF5" i="32"/>
  <c r="BT5" i="32"/>
  <c r="H5" i="32"/>
  <c r="CT4" i="32"/>
  <c r="AH4" i="32"/>
  <c r="DT5" i="31"/>
  <c r="BH5" i="31"/>
  <c r="ET4" i="31"/>
  <c r="CH4" i="31"/>
  <c r="V4" i="31"/>
  <c r="DH5" i="30"/>
  <c r="AV5" i="30"/>
  <c r="EH4" i="30"/>
  <c r="K5" i="33"/>
  <c r="CW4" i="33"/>
  <c r="AK4" i="33"/>
  <c r="DW5" i="32"/>
  <c r="BK5" i="32"/>
  <c r="EW4" i="32"/>
  <c r="CK4" i="32"/>
  <c r="Y4" i="32"/>
  <c r="DC5" i="31"/>
  <c r="AQ5" i="31"/>
  <c r="EC4" i="31"/>
  <c r="BQ4" i="31"/>
  <c r="E4" i="31"/>
  <c r="CQ5" i="30"/>
  <c r="AE5" i="30"/>
  <c r="DQ4" i="30"/>
  <c r="B5" i="33"/>
  <c r="CN4" i="33"/>
  <c r="AB4" i="33"/>
  <c r="DN5" i="32"/>
  <c r="BB5" i="32"/>
  <c r="EN4" i="32"/>
  <c r="CB4" i="32"/>
  <c r="P4" i="32"/>
  <c r="DB5" i="31"/>
  <c r="AP5" i="31"/>
  <c r="EB4" i="31"/>
  <c r="BP4" i="31"/>
  <c r="D4" i="31"/>
  <c r="CP5" i="30"/>
  <c r="AD5" i="30"/>
  <c r="DP4" i="30"/>
  <c r="I5" i="33"/>
  <c r="CU4" i="33"/>
  <c r="AI4" i="33"/>
  <c r="DU5" i="32"/>
  <c r="BI5" i="32"/>
  <c r="EU4" i="32"/>
  <c r="CI4" i="32"/>
  <c r="W4" i="32"/>
  <c r="DI5" i="31"/>
  <c r="AW5" i="31"/>
  <c r="EI4" i="31"/>
  <c r="BW4" i="31"/>
  <c r="K4" i="31"/>
  <c r="CW5" i="30"/>
  <c r="AK5" i="30"/>
  <c r="DW4" i="30"/>
  <c r="H5" i="33"/>
  <c r="CT4" i="33"/>
  <c r="AH4" i="33"/>
  <c r="DT5" i="32"/>
  <c r="BH5" i="32"/>
  <c r="ET4" i="32"/>
  <c r="CH4" i="32"/>
  <c r="V4" i="32"/>
  <c r="EV5" i="31"/>
  <c r="CJ5" i="31"/>
  <c r="X5" i="31"/>
  <c r="DJ4" i="31"/>
  <c r="AX4" i="31"/>
  <c r="EJ5" i="30"/>
  <c r="BX5" i="30"/>
  <c r="L5" i="30"/>
  <c r="AM5" i="33"/>
  <c r="DY4" i="33"/>
  <c r="BM4" i="33"/>
  <c r="EQ5" i="32"/>
  <c r="CE5" i="32"/>
  <c r="S5" i="32"/>
  <c r="DE4" i="32"/>
  <c r="AS4" i="32"/>
  <c r="EE5" i="31"/>
  <c r="BS5" i="31"/>
  <c r="G5" i="31"/>
  <c r="CS4" i="31"/>
  <c r="AG4" i="31"/>
  <c r="DK5" i="30"/>
  <c r="AY5" i="30"/>
  <c r="AT5" i="33"/>
  <c r="EF4" i="33"/>
  <c r="BT4" i="33"/>
  <c r="H4" i="33"/>
  <c r="CT5" i="32"/>
  <c r="AH5" i="32"/>
  <c r="DT4" i="32"/>
  <c r="BH4" i="32"/>
  <c r="ET5" i="31"/>
  <c r="CH5" i="31"/>
  <c r="V5" i="31"/>
  <c r="DH4" i="31"/>
  <c r="AV4" i="31"/>
  <c r="EH5" i="30"/>
  <c r="BV5" i="30"/>
  <c r="J5" i="30"/>
  <c r="AK5" i="33"/>
  <c r="DW4" i="33"/>
  <c r="BK4" i="33"/>
  <c r="EW5" i="32"/>
  <c r="CK5" i="32"/>
  <c r="Y5" i="32"/>
  <c r="DK4" i="32"/>
  <c r="AY4" i="32"/>
  <c r="EK5" i="31"/>
  <c r="BY5" i="31"/>
  <c r="M5" i="31"/>
  <c r="CY4" i="31"/>
  <c r="AM4" i="31"/>
  <c r="DY5" i="30"/>
  <c r="BM5" i="30"/>
  <c r="A5" i="30"/>
  <c r="CM4" i="30"/>
  <c r="AA4" i="30"/>
  <c r="DM5" i="29"/>
  <c r="BA5" i="29"/>
  <c r="EM4" i="29"/>
  <c r="CA4" i="29"/>
  <c r="O4" i="29"/>
  <c r="DA5" i="28"/>
  <c r="AO5" i="28"/>
  <c r="EA4" i="28"/>
  <c r="BO4" i="28"/>
  <c r="C4" i="28"/>
  <c r="CO5" i="27"/>
  <c r="AC5" i="27"/>
  <c r="BN4" i="30"/>
  <c r="B4" i="30"/>
  <c r="CN5" i="29"/>
  <c r="AB5" i="29"/>
  <c r="DN4" i="29"/>
  <c r="BB4" i="29"/>
  <c r="EN5" i="28"/>
  <c r="CB5" i="28"/>
  <c r="P5" i="28"/>
  <c r="DB4" i="28"/>
  <c r="AP4" i="28"/>
  <c r="EB5" i="27"/>
  <c r="BP5" i="27"/>
  <c r="D5" i="27"/>
  <c r="CP4" i="27"/>
  <c r="EC4" i="30"/>
  <c r="BE4" i="30"/>
  <c r="EI5" i="29"/>
  <c r="BW5" i="29"/>
  <c r="K5" i="29"/>
  <c r="CW4" i="29"/>
  <c r="AK4" i="29"/>
  <c r="DW5" i="28"/>
  <c r="BK5" i="28"/>
  <c r="EW4" i="28"/>
  <c r="CK4" i="28"/>
  <c r="Y4" i="28"/>
  <c r="CB4" i="30"/>
  <c r="P4" i="30"/>
  <c r="DB5" i="29"/>
  <c r="AP5" i="29"/>
  <c r="EB4" i="29"/>
  <c r="BP4" i="29"/>
  <c r="D4" i="29"/>
  <c r="CP5" i="28"/>
  <c r="AD5" i="28"/>
  <c r="DP4" i="28"/>
  <c r="BD4" i="28"/>
  <c r="CY4" i="30"/>
  <c r="AM4" i="30"/>
  <c r="DY5" i="29"/>
  <c r="BM5" i="29"/>
  <c r="A5" i="29"/>
  <c r="CM4" i="29"/>
  <c r="AA4" i="29"/>
  <c r="DM5" i="28"/>
  <c r="BA5" i="28"/>
  <c r="EM4" i="28"/>
  <c r="CA4" i="28"/>
  <c r="O4" i="28"/>
  <c r="DA5" i="27"/>
  <c r="AO5" i="27"/>
  <c r="EA4" i="27"/>
  <c r="BO4" i="27"/>
  <c r="CP4" i="30"/>
  <c r="AD4" i="30"/>
  <c r="DP5" i="29"/>
  <c r="BD5" i="29"/>
  <c r="EP4" i="29"/>
  <c r="EN5" i="31"/>
  <c r="CB5" i="31"/>
  <c r="P5" i="31"/>
  <c r="DB4" i="31"/>
  <c r="AP4" i="31"/>
  <c r="EB5" i="30"/>
  <c r="BP5" i="30"/>
  <c r="D5" i="30"/>
  <c r="AE5" i="33"/>
  <c r="DQ4" i="33"/>
  <c r="BE4" i="33"/>
  <c r="EI5" i="32"/>
  <c r="BW5" i="32"/>
  <c r="K5" i="32"/>
  <c r="CW4" i="32"/>
  <c r="AK4" i="32"/>
  <c r="DW5" i="31"/>
  <c r="BK5" i="31"/>
  <c r="EW4" i="31"/>
  <c r="CK4" i="31"/>
  <c r="Y4" i="31"/>
  <c r="DC5" i="30"/>
  <c r="AQ5" i="30"/>
  <c r="AL5" i="33"/>
  <c r="DX4" i="33"/>
  <c r="BL4" i="33"/>
  <c r="EX5" i="32"/>
  <c r="CL5" i="32"/>
  <c r="Z5" i="32"/>
  <c r="DL4" i="32"/>
  <c r="AZ4" i="32"/>
  <c r="EL5" i="31"/>
  <c r="BZ5" i="31"/>
  <c r="N5" i="31"/>
  <c r="CZ4" i="31"/>
  <c r="AN4" i="31"/>
  <c r="DZ5" i="30"/>
  <c r="BN5" i="30"/>
  <c r="B5" i="30"/>
  <c r="AC5" i="33"/>
  <c r="DO4" i="33"/>
  <c r="BC4" i="33"/>
  <c r="EO5" i="32"/>
  <c r="CC5" i="32"/>
  <c r="Q5" i="32"/>
  <c r="DC4" i="32"/>
  <c r="AQ4" i="32"/>
  <c r="EC5" i="31"/>
  <c r="BQ5" i="31"/>
  <c r="E5" i="31"/>
  <c r="CQ4" i="31"/>
  <c r="AE4" i="31"/>
  <c r="DQ5" i="30"/>
  <c r="BE5" i="30"/>
  <c r="EQ4" i="30"/>
  <c r="CE4" i="30"/>
  <c r="S4" i="30"/>
  <c r="DE5" i="29"/>
  <c r="AS5" i="29"/>
  <c r="EE4" i="29"/>
  <c r="BS4" i="29"/>
  <c r="G4" i="29"/>
  <c r="CS5" i="28"/>
  <c r="AG5" i="28"/>
  <c r="DS4" i="28"/>
  <c r="BG4" i="28"/>
  <c r="ES5" i="27"/>
  <c r="CG5" i="27"/>
  <c r="EK4" i="30"/>
  <c r="BF4" i="30"/>
  <c r="ER5" i="29"/>
  <c r="CF5" i="29"/>
  <c r="T5" i="29"/>
  <c r="DF4" i="29"/>
  <c r="AT4" i="29"/>
  <c r="EF5" i="28"/>
  <c r="BT5" i="28"/>
  <c r="H5" i="28"/>
  <c r="CT4" i="28"/>
  <c r="AH4" i="28"/>
  <c r="DT5" i="27"/>
  <c r="BH5" i="27"/>
  <c r="ET4" i="27"/>
  <c r="CH4" i="27"/>
  <c r="DJ4" i="30"/>
  <c r="AW4" i="30"/>
  <c r="EA5" i="29"/>
  <c r="BO5" i="29"/>
  <c r="C5" i="29"/>
  <c r="CO4" i="29"/>
  <c r="AC4" i="29"/>
  <c r="DO5" i="28"/>
  <c r="BC5" i="28"/>
  <c r="EO4" i="28"/>
  <c r="CC4" i="28"/>
  <c r="Q4" i="28"/>
  <c r="BT4" i="30"/>
  <c r="H4" i="30"/>
  <c r="CT5" i="29"/>
  <c r="AH5" i="29"/>
  <c r="DT4" i="29"/>
  <c r="BH4" i="29"/>
  <c r="ET5" i="28"/>
  <c r="CH5" i="28"/>
  <c r="V5" i="28"/>
  <c r="DH4" i="28"/>
  <c r="AV4" i="28"/>
  <c r="CQ4" i="30"/>
  <c r="AE4" i="30"/>
  <c r="DQ5" i="29"/>
  <c r="BE5" i="29"/>
  <c r="EQ4" i="29"/>
  <c r="CE4" i="29"/>
  <c r="S4" i="29"/>
  <c r="DE5" i="28"/>
  <c r="AS5" i="28"/>
  <c r="EE4" i="28"/>
  <c r="BS4" i="28"/>
  <c r="G4" i="28"/>
  <c r="CS5" i="27"/>
  <c r="AG5" i="27"/>
  <c r="DS4" i="27"/>
  <c r="BG4" i="27"/>
  <c r="CH4" i="30"/>
  <c r="V4" i="30"/>
  <c r="DH5" i="29"/>
  <c r="AV5" i="29"/>
  <c r="EH4" i="29"/>
  <c r="EF5" i="31"/>
  <c r="BT5" i="31"/>
  <c r="H5" i="31"/>
  <c r="CT4" i="31"/>
  <c r="AH4" i="31"/>
  <c r="DT5" i="30"/>
  <c r="BH5" i="30"/>
  <c r="ET4" i="30"/>
  <c r="W5" i="33"/>
  <c r="DI4" i="33"/>
  <c r="AW4" i="33"/>
  <c r="EA5" i="32"/>
  <c r="BO5" i="32"/>
  <c r="C5" i="32"/>
  <c r="CO4" i="32"/>
  <c r="AC4" i="32"/>
  <c r="DO5" i="31"/>
  <c r="BC5" i="31"/>
  <c r="EO4" i="31"/>
  <c r="CC4" i="31"/>
  <c r="Q4" i="31"/>
  <c r="CU5" i="30"/>
  <c r="AI5" i="30"/>
  <c r="AD5" i="33"/>
  <c r="DP4" i="33"/>
  <c r="BD4" i="33"/>
  <c r="EP5" i="32"/>
  <c r="CD5" i="32"/>
  <c r="R5" i="32"/>
  <c r="DD4" i="32"/>
  <c r="AR4" i="32"/>
  <c r="ED5" i="31"/>
  <c r="BR5" i="31"/>
  <c r="F5" i="31"/>
  <c r="CR4" i="31"/>
  <c r="AF4" i="31"/>
  <c r="DR5" i="30"/>
  <c r="BF5" i="30"/>
  <c r="ER4" i="30"/>
  <c r="U5" i="33"/>
  <c r="DG4" i="33"/>
  <c r="AU4" i="33"/>
  <c r="EG5" i="32"/>
  <c r="BU5" i="32"/>
  <c r="I5" i="32"/>
  <c r="CU4" i="32"/>
  <c r="AI4" i="32"/>
  <c r="DU5" i="31"/>
  <c r="BI5" i="31"/>
  <c r="EU4" i="31"/>
  <c r="CI4" i="31"/>
  <c r="W4" i="31"/>
  <c r="DI5" i="30"/>
  <c r="AW5" i="30"/>
  <c r="EI4" i="30"/>
  <c r="BW4" i="30"/>
  <c r="K4" i="30"/>
  <c r="CW5" i="29"/>
  <c r="AK5" i="29"/>
  <c r="DW4" i="29"/>
  <c r="BK4" i="29"/>
  <c r="EW5" i="28"/>
  <c r="CK5" i="28"/>
  <c r="Y5" i="28"/>
  <c r="DK4" i="28"/>
  <c r="AY4" i="28"/>
  <c r="EK5" i="27"/>
  <c r="BY5" i="27"/>
  <c r="DK4" i="30"/>
  <c r="AX4" i="30"/>
  <c r="EJ5" i="29"/>
  <c r="BX5" i="29"/>
  <c r="L5" i="29"/>
  <c r="CX4" i="29"/>
  <c r="AL4" i="29"/>
  <c r="DX5" i="28"/>
  <c r="BL5" i="28"/>
  <c r="EX4" i="28"/>
  <c r="CL4" i="28"/>
  <c r="Z4" i="28"/>
  <c r="DL5" i="27"/>
  <c r="AZ5" i="27"/>
  <c r="EL4" i="27"/>
  <c r="BZ4" i="27"/>
  <c r="DA4" i="30"/>
  <c r="AO4" i="30"/>
  <c r="DS5" i="29"/>
  <c r="BG5" i="29"/>
  <c r="ES4" i="29"/>
  <c r="CG4" i="29"/>
  <c r="U4" i="29"/>
  <c r="DG5" i="28"/>
  <c r="AU5" i="28"/>
  <c r="EG4" i="28"/>
  <c r="BU4" i="28"/>
  <c r="I4" i="28"/>
  <c r="BL4" i="30"/>
  <c r="EX5" i="29"/>
  <c r="CL5" i="29"/>
  <c r="Z5" i="29"/>
  <c r="DL4" i="29"/>
  <c r="AZ4" i="29"/>
  <c r="EL5" i="28"/>
  <c r="BZ5" i="28"/>
  <c r="N5" i="28"/>
  <c r="CZ4" i="28"/>
  <c r="AN4" i="28"/>
  <c r="CI4" i="30"/>
  <c r="W4" i="30"/>
  <c r="DI5" i="29"/>
  <c r="AW5" i="29"/>
  <c r="EI4" i="29"/>
  <c r="BW4" i="29"/>
  <c r="K4" i="29"/>
  <c r="CW5" i="28"/>
  <c r="AK5" i="28"/>
  <c r="DW4" i="28"/>
  <c r="BK4" i="28"/>
  <c r="EW5" i="27"/>
  <c r="CK5" i="27"/>
  <c r="Y5" i="27"/>
  <c r="DK4" i="27"/>
  <c r="AY4" i="27"/>
  <c r="BZ4" i="30"/>
  <c r="N4" i="30"/>
  <c r="CZ5" i="29"/>
  <c r="AN5" i="29"/>
  <c r="DX5" i="31"/>
  <c r="BL5" i="31"/>
  <c r="EX4" i="31"/>
  <c r="CL4" i="31"/>
  <c r="Z4" i="31"/>
  <c r="DL5" i="30"/>
  <c r="AZ5" i="30"/>
  <c r="EL4" i="30"/>
  <c r="O5" i="33"/>
  <c r="DA4" i="33"/>
  <c r="AO4" i="33"/>
  <c r="DS5" i="32"/>
  <c r="BG5" i="32"/>
  <c r="ES4" i="32"/>
  <c r="CG4" i="32"/>
  <c r="U4" i="32"/>
  <c r="DG5" i="31"/>
  <c r="AU5" i="31"/>
  <c r="EG4" i="31"/>
  <c r="BU4" i="31"/>
  <c r="I4" i="31"/>
  <c r="CM5" i="30"/>
  <c r="AA5" i="30"/>
  <c r="V5" i="33"/>
  <c r="DH4" i="33"/>
  <c r="AV4" i="33"/>
  <c r="EH5" i="32"/>
  <c r="BV5" i="32"/>
  <c r="J5" i="32"/>
  <c r="CV4" i="32"/>
  <c r="AJ4" i="32"/>
  <c r="DV5" i="31"/>
  <c r="BJ5" i="31"/>
  <c r="EV4" i="31"/>
  <c r="CJ4" i="31"/>
  <c r="X4" i="31"/>
  <c r="DJ5" i="30"/>
  <c r="AX5" i="30"/>
  <c r="EJ4" i="30"/>
  <c r="M5" i="33"/>
  <c r="CY4" i="33"/>
  <c r="AM4" i="33"/>
  <c r="DY5" i="32"/>
  <c r="BM5" i="32"/>
  <c r="A5" i="32"/>
  <c r="CM4" i="32"/>
  <c r="AA4" i="32"/>
  <c r="DM5" i="31"/>
  <c r="BA5" i="31"/>
  <c r="EM4" i="31"/>
  <c r="CA4" i="31"/>
  <c r="O4" i="31"/>
  <c r="DA5" i="30"/>
  <c r="AO5" i="30"/>
  <c r="EA4" i="30"/>
  <c r="BO4" i="30"/>
  <c r="C4" i="30"/>
  <c r="CO5" i="29"/>
  <c r="AC5" i="29"/>
  <c r="DO4" i="29"/>
  <c r="BC4" i="29"/>
  <c r="EO5" i="28"/>
  <c r="CC5" i="28"/>
  <c r="Q5" i="28"/>
  <c r="DC4" i="28"/>
  <c r="AQ4" i="28"/>
  <c r="EC5" i="27"/>
  <c r="BQ5" i="27"/>
  <c r="DB4" i="30"/>
  <c r="AP4" i="30"/>
  <c r="EB5" i="29"/>
  <c r="BP5" i="29"/>
  <c r="D5" i="29"/>
  <c r="CP4" i="29"/>
  <c r="AD4" i="29"/>
  <c r="DP5" i="28"/>
  <c r="BD5" i="28"/>
  <c r="EP4" i="28"/>
  <c r="CD4" i="28"/>
  <c r="R4" i="28"/>
  <c r="DD5" i="27"/>
  <c r="AR5" i="27"/>
  <c r="ED4" i="27"/>
  <c r="BR4" i="27"/>
  <c r="CS4" i="30"/>
  <c r="AG4" i="30"/>
  <c r="DK5" i="29"/>
  <c r="AY5" i="29"/>
  <c r="EK4" i="29"/>
  <c r="BY4" i="29"/>
  <c r="M4" i="29"/>
  <c r="CY5" i="28"/>
  <c r="AM5" i="28"/>
  <c r="DY4" i="28"/>
  <c r="BM4" i="28"/>
  <c r="DU4" i="30"/>
  <c r="BD4" i="30"/>
  <c r="EP5" i="29"/>
  <c r="CD5" i="29"/>
  <c r="R5" i="29"/>
  <c r="DD4" i="29"/>
  <c r="AR4" i="29"/>
  <c r="ED5" i="28"/>
  <c r="BR5" i="28"/>
  <c r="F5" i="28"/>
  <c r="CR4" i="28"/>
  <c r="AF4" i="28"/>
  <c r="CA4" i="30"/>
  <c r="O4" i="30"/>
  <c r="DA5" i="29"/>
  <c r="AO5" i="29"/>
  <c r="EA4" i="29"/>
  <c r="BO4" i="29"/>
  <c r="C4" i="29"/>
  <c r="CO5" i="28"/>
  <c r="AC5" i="28"/>
  <c r="DO4" i="28"/>
  <c r="BC4" i="28"/>
  <c r="EO5" i="27"/>
  <c r="CC5" i="27"/>
  <c r="Q5" i="27"/>
  <c r="DC4" i="27"/>
  <c r="AQ4" i="27"/>
  <c r="BR4" i="30"/>
  <c r="F4" i="30"/>
  <c r="CR5" i="29"/>
  <c r="AF5" i="29"/>
  <c r="DP5" i="31"/>
  <c r="BD5" i="31"/>
  <c r="EP4" i="31"/>
  <c r="CD4" i="31"/>
  <c r="R4" i="31"/>
  <c r="DD5" i="30"/>
  <c r="AR5" i="30"/>
  <c r="ED4" i="30"/>
  <c r="G5" i="33"/>
  <c r="CS4" i="33"/>
  <c r="AG4" i="33"/>
  <c r="DK5" i="32"/>
  <c r="AY5" i="32"/>
  <c r="EK4" i="32"/>
  <c r="BY4" i="32"/>
  <c r="M4" i="32"/>
  <c r="CY5" i="31"/>
  <c r="AM5" i="31"/>
  <c r="DY4" i="31"/>
  <c r="BM4" i="31"/>
  <c r="EQ5" i="30"/>
  <c r="CE5" i="30"/>
  <c r="S5" i="30"/>
  <c r="N5" i="33"/>
  <c r="CZ4" i="33"/>
  <c r="AN4" i="33"/>
  <c r="DZ5" i="32"/>
  <c r="BN5" i="32"/>
  <c r="B5" i="32"/>
  <c r="CN4" i="32"/>
  <c r="AB4" i="32"/>
  <c r="DN5" i="31"/>
  <c r="BB5" i="31"/>
  <c r="EN4" i="31"/>
  <c r="CB4" i="31"/>
  <c r="P4" i="31"/>
  <c r="DB5" i="30"/>
  <c r="AP5" i="30"/>
  <c r="EB4" i="30"/>
  <c r="E5" i="33"/>
  <c r="CQ4" i="33"/>
  <c r="AE4" i="33"/>
  <c r="DQ5" i="32"/>
  <c r="BE5" i="32"/>
  <c r="EQ4" i="32"/>
  <c r="CE4" i="32"/>
  <c r="S4" i="32"/>
  <c r="DE5" i="31"/>
  <c r="AS5" i="31"/>
  <c r="EE4" i="31"/>
  <c r="BS4" i="31"/>
  <c r="G4" i="31"/>
  <c r="CS5" i="30"/>
  <c r="AG5" i="30"/>
  <c r="ES4" i="30"/>
  <c r="BG4" i="30"/>
  <c r="ES5" i="29"/>
  <c r="CG5" i="29"/>
  <c r="U5" i="29"/>
  <c r="DG4" i="29"/>
  <c r="AU4" i="29"/>
  <c r="EG5" i="28"/>
  <c r="BU5" i="28"/>
  <c r="I5" i="28"/>
  <c r="CU4" i="28"/>
  <c r="AI4" i="28"/>
  <c r="DU5" i="27"/>
  <c r="BI5" i="27"/>
  <c r="CT4" i="30"/>
  <c r="AH4" i="30"/>
  <c r="DT5" i="29"/>
  <c r="BH5" i="29"/>
  <c r="ET4" i="29"/>
  <c r="CH4" i="29"/>
  <c r="V4" i="29"/>
  <c r="DH5" i="28"/>
  <c r="AV5" i="28"/>
  <c r="EH4" i="28"/>
  <c r="BV4" i="28"/>
  <c r="J4" i="28"/>
  <c r="CV5" i="27"/>
  <c r="AJ5" i="27"/>
  <c r="DV4" i="27"/>
  <c r="BJ4" i="27"/>
  <c r="CK4" i="30"/>
  <c r="Y4" i="30"/>
  <c r="DC5" i="29"/>
  <c r="AQ5" i="29"/>
  <c r="EC4" i="29"/>
  <c r="BQ4" i="29"/>
  <c r="E4" i="29"/>
  <c r="CQ5" i="28"/>
  <c r="AE5" i="28"/>
  <c r="DQ4" i="28"/>
  <c r="BE4" i="28"/>
  <c r="DI4" i="30"/>
  <c r="AV4" i="30"/>
  <c r="EH5" i="29"/>
  <c r="BV5" i="29"/>
  <c r="J5" i="29"/>
  <c r="CV4" i="29"/>
  <c r="AJ4" i="29"/>
  <c r="DV5" i="28"/>
  <c r="BJ5" i="28"/>
  <c r="EV4" i="28"/>
  <c r="CJ4" i="28"/>
  <c r="X4" i="28"/>
  <c r="BS4" i="30"/>
  <c r="G4" i="30"/>
  <c r="CS5" i="29"/>
  <c r="AG5" i="29"/>
  <c r="DS4" i="29"/>
  <c r="BG4" i="29"/>
  <c r="ES5" i="28"/>
  <c r="CG5" i="28"/>
  <c r="U5" i="28"/>
  <c r="DG4" i="28"/>
  <c r="AU4" i="28"/>
  <c r="EG5" i="27"/>
  <c r="BU5" i="27"/>
  <c r="I5" i="27"/>
  <c r="CU4" i="27"/>
  <c r="AI4" i="27"/>
  <c r="BJ4" i="30"/>
  <c r="EV5" i="29"/>
  <c r="CJ5" i="29"/>
  <c r="X5" i="29"/>
  <c r="DH5" i="31"/>
  <c r="AV5" i="31"/>
  <c r="EH4" i="31"/>
  <c r="BV4" i="31"/>
  <c r="J4" i="31"/>
  <c r="CV5" i="30"/>
  <c r="AJ5" i="30"/>
  <c r="DV4" i="30"/>
  <c r="EW4" i="33"/>
  <c r="CK4" i="33"/>
  <c r="Y4" i="33"/>
  <c r="DC5" i="32"/>
  <c r="AQ5" i="32"/>
  <c r="EC4" i="32"/>
  <c r="BQ4" i="32"/>
  <c r="E4" i="32"/>
  <c r="CQ5" i="31"/>
  <c r="AE5" i="31"/>
  <c r="DQ4" i="31"/>
  <c r="BE4" i="31"/>
  <c r="EI5" i="30"/>
  <c r="BW5" i="30"/>
  <c r="K5" i="30"/>
  <c r="F5" i="33"/>
  <c r="CR4" i="33"/>
  <c r="AF4" i="33"/>
  <c r="DR5" i="32"/>
  <c r="BF5" i="32"/>
  <c r="ER4" i="32"/>
  <c r="CF4" i="32"/>
  <c r="T4" i="32"/>
  <c r="DF5" i="31"/>
  <c r="AT5" i="31"/>
  <c r="EF4" i="31"/>
  <c r="BT4" i="31"/>
  <c r="H4" i="31"/>
  <c r="CT5" i="30"/>
  <c r="AH5" i="30"/>
  <c r="DT4" i="30"/>
  <c r="EU4" i="33"/>
  <c r="CI4" i="33"/>
  <c r="W4" i="33"/>
  <c r="DI5" i="32"/>
  <c r="AW5" i="32"/>
  <c r="EI4" i="32"/>
  <c r="BW4" i="32"/>
  <c r="K4" i="32"/>
  <c r="CW5" i="31"/>
  <c r="AK5" i="31"/>
  <c r="DW4" i="31"/>
  <c r="BK4" i="31"/>
  <c r="EW5" i="30"/>
  <c r="CK5" i="30"/>
  <c r="Y5" i="30"/>
  <c r="DL4" i="30"/>
  <c r="AY4" i="30"/>
  <c r="EK5" i="29"/>
  <c r="BY5" i="29"/>
  <c r="M5" i="29"/>
  <c r="CY4" i="29"/>
  <c r="AM4" i="29"/>
  <c r="DY5" i="28"/>
  <c r="BM5" i="28"/>
  <c r="A5" i="28"/>
  <c r="CM4" i="28"/>
  <c r="AA4" i="28"/>
  <c r="DM5" i="27"/>
  <c r="BA5" i="27"/>
  <c r="CL4" i="30"/>
  <c r="Z4" i="30"/>
  <c r="DL5" i="29"/>
  <c r="AZ5" i="29"/>
  <c r="EL4" i="29"/>
  <c r="BZ4" i="29"/>
  <c r="N4" i="29"/>
  <c r="CZ5" i="28"/>
  <c r="AN5" i="28"/>
  <c r="DZ4" i="28"/>
  <c r="BN4" i="28"/>
  <c r="B4" i="28"/>
  <c r="CN5" i="27"/>
  <c r="AB5" i="27"/>
  <c r="DN4" i="27"/>
  <c r="BB4" i="27"/>
  <c r="CC4" i="30"/>
  <c r="Q4" i="30"/>
  <c r="CU5" i="29"/>
  <c r="AI5" i="29"/>
  <c r="DU4" i="29"/>
  <c r="BI4" i="29"/>
  <c r="EU5" i="28"/>
  <c r="CI5" i="28"/>
  <c r="W5" i="28"/>
  <c r="DI4" i="28"/>
  <c r="AW4" i="28"/>
  <c r="CZ4" i="30"/>
  <c r="AN4" i="30"/>
  <c r="DZ5" i="29"/>
  <c r="BN5" i="29"/>
  <c r="B5" i="29"/>
  <c r="CN4" i="29"/>
  <c r="AB4" i="29"/>
  <c r="DN5" i="28"/>
  <c r="BB5" i="28"/>
  <c r="EN4" i="28"/>
  <c r="CB4" i="28"/>
  <c r="P4" i="28"/>
  <c r="BK4" i="30"/>
  <c r="EW5" i="29"/>
  <c r="CK5" i="29"/>
  <c r="Y5" i="29"/>
  <c r="DK4" i="29"/>
  <c r="AY4" i="29"/>
  <c r="EK5" i="28"/>
  <c r="BY5" i="28"/>
  <c r="M5" i="28"/>
  <c r="CY4" i="28"/>
  <c r="AM4" i="28"/>
  <c r="DY5" i="27"/>
  <c r="BM5" i="27"/>
  <c r="A5" i="27"/>
  <c r="CM4" i="27"/>
  <c r="DR4" i="30"/>
  <c r="BB4" i="30"/>
  <c r="EN5" i="29"/>
  <c r="CB5" i="29"/>
  <c r="P5" i="29"/>
  <c r="CZ5" i="31"/>
  <c r="AN5" i="31"/>
  <c r="DZ4" i="31"/>
  <c r="BN4" i="31"/>
  <c r="B4" i="31"/>
  <c r="CN5" i="30"/>
  <c r="AB5" i="30"/>
  <c r="BW5" i="33"/>
  <c r="EO4" i="33"/>
  <c r="CC4" i="33"/>
  <c r="Q4" i="33"/>
  <c r="CU5" i="32"/>
  <c r="AI5" i="32"/>
  <c r="DU4" i="32"/>
  <c r="BI4" i="32"/>
  <c r="EU5" i="31"/>
  <c r="CI5" i="31"/>
  <c r="W5" i="31"/>
  <c r="DI4" i="31"/>
  <c r="AW4" i="31"/>
  <c r="EA5" i="30"/>
  <c r="BO5" i="30"/>
  <c r="C5" i="30"/>
  <c r="EV4" i="33"/>
  <c r="CJ4" i="33"/>
  <c r="X4" i="33"/>
  <c r="DJ5" i="32"/>
  <c r="AX5" i="32"/>
  <c r="EJ4" i="32"/>
  <c r="BX4" i="32"/>
  <c r="L4" i="32"/>
  <c r="CX5" i="31"/>
  <c r="AL5" i="31"/>
  <c r="DX4" i="31"/>
  <c r="BL4" i="31"/>
  <c r="EX5" i="30"/>
  <c r="CL5" i="30"/>
  <c r="Z5" i="30"/>
  <c r="BO5" i="33"/>
  <c r="EM4" i="33"/>
  <c r="CA4" i="33"/>
  <c r="O4" i="33"/>
  <c r="DA5" i="32"/>
  <c r="AO5" i="32"/>
  <c r="EA4" i="32"/>
  <c r="BO4" i="32"/>
  <c r="C4" i="32"/>
  <c r="CO5" i="31"/>
  <c r="AC5" i="31"/>
  <c r="DO4" i="31"/>
  <c r="BC4" i="31"/>
  <c r="EO5" i="30"/>
  <c r="CC5" i="30"/>
  <c r="Q5" i="30"/>
  <c r="DC4" i="30"/>
  <c r="AQ4" i="30"/>
  <c r="EC5" i="29"/>
  <c r="BQ5" i="29"/>
  <c r="E5" i="29"/>
  <c r="CQ4" i="29"/>
  <c r="AE4" i="29"/>
  <c r="DQ5" i="28"/>
  <c r="BE5" i="28"/>
  <c r="EQ4" i="28"/>
  <c r="CE4" i="28"/>
  <c r="S4" i="28"/>
  <c r="DE5" i="27"/>
  <c r="AS5" i="27"/>
  <c r="CD4" i="30"/>
  <c r="R4" i="30"/>
  <c r="DD5" i="29"/>
  <c r="AR5" i="29"/>
  <c r="ED4" i="29"/>
  <c r="BR4" i="29"/>
  <c r="F4" i="29"/>
  <c r="CR5" i="28"/>
  <c r="AF5" i="28"/>
  <c r="DR4" i="28"/>
  <c r="BF4" i="28"/>
  <c r="ER5" i="27"/>
  <c r="CF5" i="27"/>
  <c r="T5" i="27"/>
  <c r="DF4" i="27"/>
  <c r="AT4" i="27"/>
  <c r="BU4" i="30"/>
  <c r="I4" i="30"/>
  <c r="CM5" i="29"/>
  <c r="AA5" i="29"/>
  <c r="DM4" i="29"/>
  <c r="BA4" i="29"/>
  <c r="EM5" i="28"/>
  <c r="CA5" i="28"/>
  <c r="O5" i="28"/>
  <c r="DA4" i="28"/>
  <c r="AO4" i="28"/>
  <c r="CR4" i="30"/>
  <c r="AF4" i="30"/>
  <c r="DR5" i="29"/>
  <c r="BF5" i="29"/>
  <c r="ER4" i="29"/>
  <c r="CF4" i="29"/>
  <c r="T4" i="29"/>
  <c r="DF5" i="28"/>
  <c r="AT5" i="28"/>
  <c r="EF4" i="28"/>
  <c r="BT4" i="28"/>
  <c r="DS4" i="30"/>
  <c r="BC4" i="30"/>
  <c r="EO5" i="29"/>
  <c r="CC5" i="29"/>
  <c r="Q5" i="29"/>
  <c r="DC4" i="29"/>
  <c r="AQ4" i="29"/>
  <c r="EC5" i="28"/>
  <c r="BQ5" i="28"/>
  <c r="E5" i="28"/>
  <c r="CQ4" i="28"/>
  <c r="AE4" i="28"/>
  <c r="DQ5" i="27"/>
  <c r="BE5" i="27"/>
  <c r="EQ4" i="27"/>
  <c r="CE4" i="27"/>
  <c r="DF4" i="30"/>
  <c r="AT4" i="30"/>
  <c r="EF5" i="29"/>
  <c r="BT5" i="29"/>
  <c r="H5" i="29"/>
  <c r="CR5" i="31"/>
  <c r="AF5" i="31"/>
  <c r="DR4" i="31"/>
  <c r="BF4" i="31"/>
  <c r="ER5" i="30"/>
  <c r="CF5" i="30"/>
  <c r="T5" i="30"/>
  <c r="AU5" i="33"/>
  <c r="EG4" i="33"/>
  <c r="BU4" i="33"/>
  <c r="I4" i="33"/>
  <c r="CM5" i="32"/>
  <c r="AA5" i="32"/>
  <c r="DM4" i="32"/>
  <c r="BA4" i="32"/>
  <c r="EM5" i="31"/>
  <c r="CA5" i="31"/>
  <c r="O5" i="31"/>
  <c r="DA4" i="31"/>
  <c r="AO4" i="31"/>
  <c r="DS5" i="30"/>
  <c r="BG5" i="30"/>
  <c r="BS5" i="33"/>
  <c r="EN4" i="33"/>
  <c r="CB4" i="33"/>
  <c r="P4" i="33"/>
  <c r="DB5" i="32"/>
  <c r="AP5" i="32"/>
  <c r="EB4" i="32"/>
  <c r="BP4" i="32"/>
  <c r="D4" i="32"/>
  <c r="CP5" i="31"/>
  <c r="AD5" i="31"/>
  <c r="DP4" i="31"/>
  <c r="BD4" i="31"/>
  <c r="EP5" i="30"/>
  <c r="CD5" i="30"/>
  <c r="R5" i="30"/>
  <c r="AS5" i="33"/>
  <c r="EE4" i="33"/>
  <c r="BS4" i="33"/>
  <c r="G4" i="33"/>
  <c r="CS5" i="32"/>
  <c r="AG5" i="32"/>
  <c r="DS4" i="32"/>
  <c r="BG4" i="32"/>
  <c r="ES5" i="31"/>
  <c r="CG5" i="31"/>
  <c r="U5" i="31"/>
  <c r="DG4" i="31"/>
  <c r="AU4" i="31"/>
  <c r="EG5" i="30"/>
  <c r="BU5" i="30"/>
  <c r="I5" i="30"/>
  <c r="CU4" i="30"/>
  <c r="AI4" i="30"/>
  <c r="DU5" i="29"/>
  <c r="BI5" i="29"/>
  <c r="EU4" i="29"/>
  <c r="CI4" i="29"/>
  <c r="W4" i="29"/>
  <c r="DI5" i="28"/>
  <c r="AW5" i="28"/>
  <c r="EI4" i="28"/>
  <c r="BW4" i="28"/>
  <c r="K4" i="28"/>
  <c r="CW5" i="27"/>
  <c r="AK5" i="27"/>
  <c r="BV4" i="30"/>
  <c r="J4" i="30"/>
  <c r="CV5" i="29"/>
  <c r="AJ5" i="29"/>
  <c r="DV4" i="29"/>
  <c r="BJ4" i="29"/>
  <c r="EV5" i="28"/>
  <c r="CJ5" i="28"/>
  <c r="X5" i="28"/>
  <c r="DJ4" i="28"/>
  <c r="AX4" i="28"/>
  <c r="EJ5" i="27"/>
  <c r="BX5" i="27"/>
  <c r="L5" i="27"/>
  <c r="CX4" i="27"/>
  <c r="AL4" i="27"/>
  <c r="BM4" i="30"/>
  <c r="EQ5" i="29"/>
  <c r="CE5" i="29"/>
  <c r="S5" i="29"/>
  <c r="DE4" i="29"/>
  <c r="AS4" i="29"/>
  <c r="EE5" i="28"/>
  <c r="BS5" i="28"/>
  <c r="G5" i="28"/>
  <c r="CS4" i="28"/>
  <c r="AG4" i="28"/>
  <c r="CJ4" i="30"/>
  <c r="X4" i="30"/>
  <c r="DJ5" i="29"/>
  <c r="AX5" i="29"/>
  <c r="EJ4" i="29"/>
  <c r="BX4" i="29"/>
  <c r="L4" i="29"/>
  <c r="CX5" i="28"/>
  <c r="AL5" i="28"/>
  <c r="DX4" i="28"/>
  <c r="BL4" i="28"/>
  <c r="DG4" i="30"/>
  <c r="AU4" i="30"/>
  <c r="EG5" i="29"/>
  <c r="BU5" i="29"/>
  <c r="I5" i="29"/>
  <c r="CU4" i="29"/>
  <c r="AI4" i="29"/>
  <c r="DU5" i="28"/>
  <c r="BI5" i="28"/>
  <c r="EU4" i="28"/>
  <c r="CI4" i="28"/>
  <c r="W4" i="28"/>
  <c r="DI5" i="27"/>
  <c r="AW5" i="27"/>
  <c r="EI4" i="27"/>
  <c r="BW4" i="27"/>
  <c r="CX4" i="30"/>
  <c r="AL4" i="30"/>
  <c r="DX5" i="29"/>
  <c r="BL5" i="29"/>
  <c r="EX4" i="29"/>
  <c r="DZ4" i="29"/>
  <c r="BN4" i="29"/>
  <c r="B4" i="29"/>
  <c r="CN5" i="28"/>
  <c r="AB5" i="28"/>
  <c r="DN4" i="28"/>
  <c r="BB4" i="28"/>
  <c r="EN5" i="27"/>
  <c r="CB5" i="27"/>
  <c r="P5" i="27"/>
  <c r="DB4" i="27"/>
  <c r="AP4" i="27"/>
  <c r="BQ4" i="30"/>
  <c r="E4" i="30"/>
  <c r="CQ5" i="29"/>
  <c r="AE5" i="29"/>
  <c r="DQ4" i="29"/>
  <c r="BE4" i="29"/>
  <c r="EI5" i="28"/>
  <c r="BW5" i="28"/>
  <c r="DD4" i="30"/>
  <c r="AR4" i="30"/>
  <c r="ED5" i="29"/>
  <c r="BR5" i="29"/>
  <c r="F5" i="29"/>
  <c r="CR4" i="29"/>
  <c r="AF4" i="29"/>
  <c r="DR5" i="28"/>
  <c r="BF5" i="28"/>
  <c r="EL5" i="27"/>
  <c r="O5" i="27"/>
  <c r="BP4" i="27"/>
  <c r="EN5" i="26"/>
  <c r="CB5" i="26"/>
  <c r="P5" i="26"/>
  <c r="DB4" i="26"/>
  <c r="AP4" i="26"/>
  <c r="EB5" i="25"/>
  <c r="BP5" i="25"/>
  <c r="D5" i="25"/>
  <c r="CP4" i="25"/>
  <c r="AD4" i="25"/>
  <c r="DP5" i="24"/>
  <c r="BD5" i="24"/>
  <c r="EP4" i="24"/>
  <c r="DS5" i="27"/>
  <c r="B5" i="27"/>
  <c r="BA4" i="27"/>
  <c r="EE5" i="26"/>
  <c r="BS5" i="26"/>
  <c r="G5" i="26"/>
  <c r="CS4" i="26"/>
  <c r="AG4" i="26"/>
  <c r="DK5" i="25"/>
  <c r="AY5" i="25"/>
  <c r="EK4" i="25"/>
  <c r="BY4" i="25"/>
  <c r="M4" i="25"/>
  <c r="CY5" i="24"/>
  <c r="AM5" i="24"/>
  <c r="ES4" i="28"/>
  <c r="DB5" i="27"/>
  <c r="EK4" i="27"/>
  <c r="AM4" i="27"/>
  <c r="DV5" i="26"/>
  <c r="BJ5" i="26"/>
  <c r="EV4" i="26"/>
  <c r="CJ4" i="26"/>
  <c r="X4" i="26"/>
  <c r="DJ5" i="25"/>
  <c r="AX5" i="25"/>
  <c r="EJ4" i="25"/>
  <c r="BX4" i="25"/>
  <c r="L4" i="25"/>
  <c r="CX5" i="24"/>
  <c r="AL5" i="24"/>
  <c r="ER4" i="28"/>
  <c r="CY5" i="27"/>
  <c r="EJ4" i="27"/>
  <c r="AK4" i="27"/>
  <c r="DU5" i="26"/>
  <c r="BI5" i="26"/>
  <c r="EU4" i="26"/>
  <c r="CI4" i="26"/>
  <c r="W4" i="26"/>
  <c r="DI5" i="25"/>
  <c r="AW5" i="25"/>
  <c r="EI4" i="25"/>
  <c r="BW4" i="25"/>
  <c r="K4" i="25"/>
  <c r="CW5" i="24"/>
  <c r="AK5" i="24"/>
  <c r="DE4" i="28"/>
  <c r="CH5" i="27"/>
  <c r="DU4" i="27"/>
  <c r="Z4" i="27"/>
  <c r="DL5" i="26"/>
  <c r="AZ5" i="26"/>
  <c r="EL4" i="26"/>
  <c r="BZ4" i="26"/>
  <c r="N4" i="26"/>
  <c r="CZ5" i="25"/>
  <c r="AN5" i="25"/>
  <c r="DZ4" i="25"/>
  <c r="BN4" i="25"/>
  <c r="B4" i="25"/>
  <c r="CN5" i="24"/>
  <c r="AB5" i="24"/>
  <c r="DD4" i="28"/>
  <c r="CE5" i="27"/>
  <c r="DT4" i="27"/>
  <c r="Y4" i="27"/>
  <c r="DC5" i="26"/>
  <c r="AQ5" i="26"/>
  <c r="EC4" i="26"/>
  <c r="BQ4" i="26"/>
  <c r="E4" i="26"/>
  <c r="CQ5" i="25"/>
  <c r="AE5" i="25"/>
  <c r="DQ4" i="25"/>
  <c r="BE4" i="25"/>
  <c r="EI5" i="24"/>
  <c r="BW5" i="24"/>
  <c r="K5" i="24"/>
  <c r="DW5" i="27"/>
  <c r="E5" i="27"/>
  <c r="BD4" i="27"/>
  <c r="EG5" i="26"/>
  <c r="BU5" i="26"/>
  <c r="DR4" i="29"/>
  <c r="BF4" i="29"/>
  <c r="ER5" i="28"/>
  <c r="CF5" i="28"/>
  <c r="T5" i="28"/>
  <c r="DF4" i="28"/>
  <c r="AT4" i="28"/>
  <c r="EF5" i="27"/>
  <c r="BT5" i="27"/>
  <c r="H5" i="27"/>
  <c r="CT4" i="27"/>
  <c r="AH4" i="27"/>
  <c r="BI4" i="30"/>
  <c r="EU5" i="29"/>
  <c r="CI5" i="29"/>
  <c r="W5" i="29"/>
  <c r="DI4" i="29"/>
  <c r="AW4" i="29"/>
  <c r="EA5" i="28"/>
  <c r="BO5" i="28"/>
  <c r="CV4" i="30"/>
  <c r="AJ4" i="30"/>
  <c r="DV5" i="29"/>
  <c r="BJ5" i="29"/>
  <c r="EV4" i="29"/>
  <c r="CJ4" i="29"/>
  <c r="X4" i="29"/>
  <c r="DJ5" i="28"/>
  <c r="AX5" i="28"/>
  <c r="DV5" i="27"/>
  <c r="C5" i="27"/>
  <c r="BC4" i="27"/>
  <c r="EF5" i="26"/>
  <c r="BT5" i="26"/>
  <c r="H5" i="26"/>
  <c r="CT4" i="26"/>
  <c r="AH4" i="26"/>
  <c r="DT5" i="25"/>
  <c r="BH5" i="25"/>
  <c r="ET4" i="25"/>
  <c r="CH4" i="25"/>
  <c r="V4" i="25"/>
  <c r="DH5" i="24"/>
  <c r="AV5" i="24"/>
  <c r="AP5" i="28"/>
  <c r="DC5" i="27"/>
  <c r="EM4" i="27"/>
  <c r="AN4" i="27"/>
  <c r="DW5" i="26"/>
  <c r="BK5" i="26"/>
  <c r="EW4" i="26"/>
  <c r="CK4" i="26"/>
  <c r="Y4" i="26"/>
  <c r="DC5" i="25"/>
  <c r="AQ5" i="25"/>
  <c r="EC4" i="25"/>
  <c r="BQ4" i="25"/>
  <c r="E4" i="25"/>
  <c r="CQ5" i="24"/>
  <c r="AE5" i="24"/>
  <c r="DM4" i="28"/>
  <c r="CL5" i="27"/>
  <c r="DX4" i="27"/>
  <c r="AB4" i="27"/>
  <c r="DN5" i="26"/>
  <c r="BB5" i="26"/>
  <c r="EN4" i="26"/>
  <c r="CB4" i="26"/>
  <c r="P4" i="26"/>
  <c r="DB5" i="25"/>
  <c r="AP5" i="25"/>
  <c r="EB4" i="25"/>
  <c r="BP4" i="25"/>
  <c r="D4" i="25"/>
  <c r="CP5" i="24"/>
  <c r="AD5" i="24"/>
  <c r="DL4" i="28"/>
  <c r="CI5" i="27"/>
  <c r="DW4" i="27"/>
  <c r="AA4" i="27"/>
  <c r="DM5" i="26"/>
  <c r="BA5" i="26"/>
  <c r="EM4" i="26"/>
  <c r="CA4" i="26"/>
  <c r="O4" i="26"/>
  <c r="DA5" i="25"/>
  <c r="AO5" i="25"/>
  <c r="EA4" i="25"/>
  <c r="BO4" i="25"/>
  <c r="C4" i="25"/>
  <c r="CO5" i="24"/>
  <c r="AC5" i="24"/>
  <c r="BY4" i="28"/>
  <c r="BR5" i="27"/>
  <c r="DH4" i="27"/>
  <c r="R4" i="27"/>
  <c r="DD5" i="26"/>
  <c r="AR5" i="26"/>
  <c r="ED4" i="26"/>
  <c r="BR4" i="26"/>
  <c r="F4" i="26"/>
  <c r="CR5" i="25"/>
  <c r="AF5" i="25"/>
  <c r="DR4" i="25"/>
  <c r="BF4" i="25"/>
  <c r="ER5" i="24"/>
  <c r="CF5" i="24"/>
  <c r="T5" i="24"/>
  <c r="BX4" i="28"/>
  <c r="BO5" i="27"/>
  <c r="DG4" i="27"/>
  <c r="Q4" i="27"/>
  <c r="CU5" i="26"/>
  <c r="AI5" i="26"/>
  <c r="DU4" i="26"/>
  <c r="BI4" i="26"/>
  <c r="EU5" i="25"/>
  <c r="CI5" i="25"/>
  <c r="W5" i="25"/>
  <c r="DI4" i="25"/>
  <c r="AW4" i="25"/>
  <c r="EA5" i="24"/>
  <c r="BO5" i="24"/>
  <c r="J5" i="28"/>
  <c r="DG5" i="27"/>
  <c r="EO4" i="27"/>
  <c r="AR4" i="27"/>
  <c r="DY5" i="26"/>
  <c r="DJ4" i="29"/>
  <c r="AX4" i="29"/>
  <c r="EJ5" i="28"/>
  <c r="BX5" i="28"/>
  <c r="L5" i="28"/>
  <c r="CX4" i="28"/>
  <c r="AL4" i="28"/>
  <c r="DX5" i="27"/>
  <c r="BL5" i="27"/>
  <c r="EX4" i="27"/>
  <c r="CL4" i="27"/>
  <c r="DN4" i="30"/>
  <c r="BA4" i="30"/>
  <c r="EM5" i="29"/>
  <c r="CA5" i="29"/>
  <c r="O5" i="29"/>
  <c r="DA4" i="29"/>
  <c r="AO4" i="29"/>
  <c r="DS5" i="28"/>
  <c r="BG5" i="28"/>
  <c r="CN4" i="30"/>
  <c r="AB4" i="30"/>
  <c r="DN5" i="29"/>
  <c r="BB5" i="29"/>
  <c r="EN4" i="29"/>
  <c r="CB4" i="29"/>
  <c r="P4" i="29"/>
  <c r="DB5" i="28"/>
  <c r="C5" i="28"/>
  <c r="DF5" i="27"/>
  <c r="EN4" i="27"/>
  <c r="AO4" i="27"/>
  <c r="DX5" i="26"/>
  <c r="BL5" i="26"/>
  <c r="EX4" i="26"/>
  <c r="CL4" i="26"/>
  <c r="Z4" i="26"/>
  <c r="DL5" i="25"/>
  <c r="AZ5" i="25"/>
  <c r="EL4" i="25"/>
  <c r="BZ4" i="25"/>
  <c r="N4" i="25"/>
  <c r="CZ5" i="24"/>
  <c r="AN5" i="24"/>
  <c r="B5" i="28"/>
  <c r="CM5" i="27"/>
  <c r="DY4" i="27"/>
  <c r="AC4" i="27"/>
  <c r="DO5" i="26"/>
  <c r="BC5" i="26"/>
  <c r="EO4" i="26"/>
  <c r="CC4" i="26"/>
  <c r="Q4" i="26"/>
  <c r="CU5" i="25"/>
  <c r="AI5" i="25"/>
  <c r="DU4" i="25"/>
  <c r="BI4" i="25"/>
  <c r="EU5" i="24"/>
  <c r="CI5" i="24"/>
  <c r="W5" i="24"/>
  <c r="CG4" i="28"/>
  <c r="BV5" i="27"/>
  <c r="DL4" i="27"/>
  <c r="T4" i="27"/>
  <c r="DF5" i="26"/>
  <c r="AT5" i="26"/>
  <c r="EF4" i="26"/>
  <c r="BT4" i="26"/>
  <c r="H4" i="26"/>
  <c r="CT5" i="25"/>
  <c r="AH5" i="25"/>
  <c r="DT4" i="25"/>
  <c r="BH4" i="25"/>
  <c r="ET5" i="24"/>
  <c r="CH5" i="24"/>
  <c r="V5" i="24"/>
  <c r="CF4" i="28"/>
  <c r="BS5" i="27"/>
  <c r="DI4" i="27"/>
  <c r="S4" i="27"/>
  <c r="DE5" i="26"/>
  <c r="AS5" i="26"/>
  <c r="EE4" i="26"/>
  <c r="BS4" i="26"/>
  <c r="G4" i="26"/>
  <c r="CS5" i="25"/>
  <c r="AG5" i="25"/>
  <c r="DS4" i="25"/>
  <c r="BG4" i="25"/>
  <c r="ES5" i="24"/>
  <c r="CG5" i="24"/>
  <c r="U5" i="24"/>
  <c r="AS4" i="28"/>
  <c r="BB5" i="27"/>
  <c r="CV4" i="27"/>
  <c r="J4" i="27"/>
  <c r="CV5" i="26"/>
  <c r="AJ5" i="26"/>
  <c r="DV4" i="26"/>
  <c r="BJ4" i="26"/>
  <c r="EV5" i="25"/>
  <c r="CJ5" i="25"/>
  <c r="X5" i="25"/>
  <c r="DJ4" i="25"/>
  <c r="AX4" i="25"/>
  <c r="EJ5" i="24"/>
  <c r="BX5" i="24"/>
  <c r="L5" i="24"/>
  <c r="AR4" i="28"/>
  <c r="AY5" i="27"/>
  <c r="CS4" i="27"/>
  <c r="I4" i="27"/>
  <c r="CM5" i="26"/>
  <c r="AA5" i="26"/>
  <c r="DM4" i="26"/>
  <c r="BA4" i="26"/>
  <c r="EM5" i="25"/>
  <c r="CA5" i="25"/>
  <c r="O5" i="25"/>
  <c r="DA4" i="25"/>
  <c r="AO4" i="25"/>
  <c r="DS5" i="24"/>
  <c r="BG5" i="24"/>
  <c r="EB4" i="28"/>
  <c r="CQ5" i="27"/>
  <c r="EC4" i="27"/>
  <c r="AE4" i="27"/>
  <c r="DQ5" i="26"/>
  <c r="BE5" i="26"/>
  <c r="DB4" i="29"/>
  <c r="AP4" i="29"/>
  <c r="EB5" i="28"/>
  <c r="BP5" i="28"/>
  <c r="D5" i="28"/>
  <c r="CP4" i="28"/>
  <c r="AD4" i="28"/>
  <c r="DP5" i="27"/>
  <c r="BD5" i="27"/>
  <c r="EP4" i="27"/>
  <c r="CD4" i="27"/>
  <c r="DE4" i="30"/>
  <c r="AS4" i="30"/>
  <c r="EE5" i="29"/>
  <c r="BS5" i="29"/>
  <c r="G5" i="29"/>
  <c r="CS4" i="29"/>
  <c r="AG4" i="29"/>
  <c r="DK5" i="28"/>
  <c r="AY5" i="28"/>
  <c r="CF4" i="30"/>
  <c r="T4" i="30"/>
  <c r="DF5" i="29"/>
  <c r="AT5" i="29"/>
  <c r="EF4" i="29"/>
  <c r="BT4" i="29"/>
  <c r="H4" i="29"/>
  <c r="CT5" i="28"/>
  <c r="DU4" i="28"/>
  <c r="CP5" i="27"/>
  <c r="EB4" i="27"/>
  <c r="AD4" i="27"/>
  <c r="DP5" i="26"/>
  <c r="BD5" i="26"/>
  <c r="EP4" i="26"/>
  <c r="CD4" i="26"/>
  <c r="R4" i="26"/>
  <c r="DD5" i="25"/>
  <c r="AR5" i="25"/>
  <c r="ED4" i="25"/>
  <c r="BR4" i="25"/>
  <c r="F4" i="25"/>
  <c r="CR5" i="24"/>
  <c r="AF5" i="24"/>
  <c r="DT4" i="28"/>
  <c r="BW5" i="27"/>
  <c r="DM4" i="27"/>
  <c r="U4" i="27"/>
  <c r="DG5" i="26"/>
  <c r="AU5" i="26"/>
  <c r="EG4" i="26"/>
  <c r="BU4" i="26"/>
  <c r="I4" i="26"/>
  <c r="CM5" i="25"/>
  <c r="AA5" i="25"/>
  <c r="DM4" i="25"/>
  <c r="BA4" i="25"/>
  <c r="EM5" i="24"/>
  <c r="CA5" i="24"/>
  <c r="O5" i="24"/>
  <c r="BA4" i="28"/>
  <c r="BF5" i="27"/>
  <c r="CY4" i="27"/>
  <c r="L4" i="27"/>
  <c r="CX5" i="26"/>
  <c r="AL5" i="26"/>
  <c r="DX4" i="26"/>
  <c r="BL4" i="26"/>
  <c r="EX5" i="25"/>
  <c r="CL5" i="25"/>
  <c r="Z5" i="25"/>
  <c r="DL4" i="25"/>
  <c r="AZ4" i="25"/>
  <c r="EL5" i="24"/>
  <c r="BZ5" i="24"/>
  <c r="N5" i="24"/>
  <c r="AZ4" i="28"/>
  <c r="BC5" i="27"/>
  <c r="CW4" i="27"/>
  <c r="K4" i="27"/>
  <c r="CW5" i="26"/>
  <c r="AK5" i="26"/>
  <c r="DW4" i="26"/>
  <c r="BK4" i="26"/>
  <c r="EW5" i="25"/>
  <c r="CK5" i="25"/>
  <c r="Y5" i="25"/>
  <c r="DK4" i="25"/>
  <c r="AY4" i="25"/>
  <c r="EK5" i="24"/>
  <c r="BY5" i="24"/>
  <c r="M5" i="24"/>
  <c r="M4" i="28"/>
  <c r="AL5" i="27"/>
  <c r="CI4" i="27"/>
  <c r="B4" i="27"/>
  <c r="CN5" i="26"/>
  <c r="AB5" i="26"/>
  <c r="DN4" i="26"/>
  <c r="BB4" i="26"/>
  <c r="EN5" i="25"/>
  <c r="CB5" i="25"/>
  <c r="P5" i="25"/>
  <c r="DB4" i="25"/>
  <c r="AP4" i="25"/>
  <c r="EB5" i="24"/>
  <c r="BP5" i="24"/>
  <c r="D5" i="24"/>
  <c r="L4" i="28"/>
  <c r="AI5" i="27"/>
  <c r="CG4" i="27"/>
  <c r="EQ5" i="26"/>
  <c r="CE5" i="26"/>
  <c r="S5" i="26"/>
  <c r="DE4" i="26"/>
  <c r="AS4" i="26"/>
  <c r="EE5" i="25"/>
  <c r="BS5" i="25"/>
  <c r="G5" i="25"/>
  <c r="CS4" i="25"/>
  <c r="AG4" i="25"/>
  <c r="DK5" i="24"/>
  <c r="AY5" i="24"/>
  <c r="CV4" i="28"/>
  <c r="CA5" i="27"/>
  <c r="DP4" i="27"/>
  <c r="W4" i="27"/>
  <c r="DI5" i="26"/>
  <c r="CT4" i="29"/>
  <c r="AH4" i="29"/>
  <c r="DT5" i="28"/>
  <c r="BH5" i="28"/>
  <c r="ET4" i="28"/>
  <c r="CH4" i="28"/>
  <c r="V4" i="28"/>
  <c r="DH5" i="27"/>
  <c r="AV5" i="27"/>
  <c r="EH4" i="27"/>
  <c r="BV4" i="27"/>
  <c r="CW4" i="30"/>
  <c r="AK4" i="30"/>
  <c r="DW5" i="29"/>
  <c r="BK5" i="29"/>
  <c r="EW4" i="29"/>
  <c r="CK4" i="29"/>
  <c r="Y4" i="29"/>
  <c r="DC5" i="28"/>
  <c r="AQ5" i="28"/>
  <c r="BX4" i="30"/>
  <c r="L4" i="30"/>
  <c r="CX5" i="29"/>
  <c r="AL5" i="29"/>
  <c r="DX4" i="29"/>
  <c r="BL4" i="29"/>
  <c r="EX5" i="28"/>
  <c r="CL5" i="28"/>
  <c r="CO4" i="28"/>
  <c r="BZ5" i="27"/>
  <c r="DO4" i="27"/>
  <c r="V4" i="27"/>
  <c r="DH5" i="26"/>
  <c r="AV5" i="26"/>
  <c r="EH4" i="26"/>
  <c r="BV4" i="26"/>
  <c r="J4" i="26"/>
  <c r="CV5" i="25"/>
  <c r="AJ5" i="25"/>
  <c r="DV4" i="25"/>
  <c r="BJ4" i="25"/>
  <c r="EV5" i="24"/>
  <c r="CJ5" i="24"/>
  <c r="X5" i="24"/>
  <c r="CN4" i="28"/>
  <c r="BG5" i="27"/>
  <c r="CZ4" i="27"/>
  <c r="M4" i="27"/>
  <c r="CY5" i="26"/>
  <c r="AM5" i="26"/>
  <c r="DY4" i="26"/>
  <c r="BM4" i="26"/>
  <c r="EQ5" i="25"/>
  <c r="CE5" i="25"/>
  <c r="S5" i="25"/>
  <c r="DE4" i="25"/>
  <c r="AS4" i="25"/>
  <c r="EE5" i="24"/>
  <c r="BS5" i="24"/>
  <c r="G5" i="24"/>
  <c r="U4" i="28"/>
  <c r="AP5" i="27"/>
  <c r="CK4" i="27"/>
  <c r="D4" i="27"/>
  <c r="CP5" i="26"/>
  <c r="AD5" i="26"/>
  <c r="DP4" i="26"/>
  <c r="BD4" i="26"/>
  <c r="EP5" i="25"/>
  <c r="CD5" i="25"/>
  <c r="R5" i="25"/>
  <c r="DD4" i="25"/>
  <c r="AR4" i="25"/>
  <c r="ED5" i="24"/>
  <c r="BR5" i="24"/>
  <c r="F5" i="24"/>
  <c r="T4" i="28"/>
  <c r="AM5" i="27"/>
  <c r="CJ4" i="27"/>
  <c r="C4" i="27"/>
  <c r="CO5" i="26"/>
  <c r="AC5" i="26"/>
  <c r="DO4" i="26"/>
  <c r="BC4" i="26"/>
  <c r="EO5" i="25"/>
  <c r="CC5" i="25"/>
  <c r="Q5" i="25"/>
  <c r="DC4" i="25"/>
  <c r="AQ4" i="25"/>
  <c r="EC5" i="24"/>
  <c r="BQ5" i="24"/>
  <c r="E5" i="24"/>
  <c r="ET5" i="27"/>
  <c r="V5" i="27"/>
  <c r="BU4" i="27"/>
  <c r="ER5" i="26"/>
  <c r="CF5" i="26"/>
  <c r="T5" i="26"/>
  <c r="DF4" i="26"/>
  <c r="AT4" i="26"/>
  <c r="EF5" i="25"/>
  <c r="BT5" i="25"/>
  <c r="H5" i="25"/>
  <c r="CT4" i="25"/>
  <c r="AH4" i="25"/>
  <c r="DT5" i="24"/>
  <c r="BH5" i="24"/>
  <c r="ET4" i="24"/>
  <c r="EQ5" i="27"/>
  <c r="U5" i="27"/>
  <c r="BT4" i="27"/>
  <c r="EI5" i="26"/>
  <c r="BW5" i="26"/>
  <c r="K5" i="26"/>
  <c r="CW4" i="26"/>
  <c r="AK4" i="26"/>
  <c r="DW5" i="25"/>
  <c r="BK5" i="25"/>
  <c r="EW4" i="25"/>
  <c r="CK4" i="25"/>
  <c r="Y4" i="25"/>
  <c r="DC5" i="24"/>
  <c r="AQ5" i="24"/>
  <c r="BP4" i="28"/>
  <c r="BK5" i="27"/>
  <c r="DD4" i="27"/>
  <c r="O4" i="27"/>
  <c r="DA5" i="26"/>
  <c r="CL4" i="29"/>
  <c r="Z4" i="29"/>
  <c r="DL5" i="28"/>
  <c r="AZ5" i="28"/>
  <c r="EL4" i="28"/>
  <c r="BZ4" i="28"/>
  <c r="N4" i="28"/>
  <c r="CZ5" i="27"/>
  <c r="AN5" i="27"/>
  <c r="DZ4" i="27"/>
  <c r="BN4" i="27"/>
  <c r="CO4" i="30"/>
  <c r="AC4" i="30"/>
  <c r="DO5" i="29"/>
  <c r="BC5" i="29"/>
  <c r="EO4" i="29"/>
  <c r="CC4" i="29"/>
  <c r="Q4" i="29"/>
  <c r="CU5" i="28"/>
  <c r="AI5" i="28"/>
  <c r="BP4" i="30"/>
  <c r="D4" i="30"/>
  <c r="CP5" i="29"/>
  <c r="AD5" i="29"/>
  <c r="DP4" i="29"/>
  <c r="BD4" i="29"/>
  <c r="EP5" i="28"/>
  <c r="CD5" i="28"/>
  <c r="BI4" i="28"/>
  <c r="BJ5" i="27"/>
  <c r="DA4" i="27"/>
  <c r="N4" i="27"/>
  <c r="CZ5" i="26"/>
  <c r="AN5" i="26"/>
  <c r="DZ4" i="26"/>
  <c r="BN4" i="26"/>
  <c r="B4" i="26"/>
  <c r="CN5" i="25"/>
  <c r="AB5" i="25"/>
  <c r="DN4" i="25"/>
  <c r="BB4" i="25"/>
  <c r="EN5" i="24"/>
  <c r="CB5" i="24"/>
  <c r="P5" i="24"/>
  <c r="BH4" i="28"/>
  <c r="AQ5" i="27"/>
  <c r="CN4" i="27"/>
  <c r="E4" i="27"/>
  <c r="CQ5" i="26"/>
  <c r="AE5" i="26"/>
  <c r="DQ4" i="26"/>
  <c r="BE4" i="26"/>
  <c r="EI5" i="25"/>
  <c r="BW5" i="25"/>
  <c r="K5" i="25"/>
  <c r="CW4" i="25"/>
  <c r="AK4" i="25"/>
  <c r="DW5" i="24"/>
  <c r="BK5" i="24"/>
  <c r="EW4" i="24"/>
  <c r="EX5" i="27"/>
  <c r="Z5" i="27"/>
  <c r="BY4" i="27"/>
  <c r="ET5" i="26"/>
  <c r="CH5" i="26"/>
  <c r="V5" i="26"/>
  <c r="DH4" i="26"/>
  <c r="AV4" i="26"/>
  <c r="EH5" i="25"/>
  <c r="BV5" i="25"/>
  <c r="J5" i="25"/>
  <c r="CV4" i="25"/>
  <c r="AJ4" i="25"/>
  <c r="DV5" i="24"/>
  <c r="BJ5" i="24"/>
  <c r="EV4" i="24"/>
  <c r="EU5" i="27"/>
  <c r="W5" i="27"/>
  <c r="BX4" i="27"/>
  <c r="ES5" i="26"/>
  <c r="CG5" i="26"/>
  <c r="U5" i="26"/>
  <c r="DG4" i="26"/>
  <c r="AU4" i="26"/>
  <c r="EG5" i="25"/>
  <c r="BU5" i="25"/>
  <c r="I5" i="25"/>
  <c r="CU4" i="25"/>
  <c r="AI4" i="25"/>
  <c r="DU5" i="24"/>
  <c r="BI5" i="24"/>
  <c r="EU4" i="24"/>
  <c r="ED5" i="27"/>
  <c r="J5" i="27"/>
  <c r="BI4" i="27"/>
  <c r="EJ5" i="26"/>
  <c r="BX5" i="26"/>
  <c r="L5" i="26"/>
  <c r="CX4" i="26"/>
  <c r="AL4" i="26"/>
  <c r="DX5" i="25"/>
  <c r="BL5" i="25"/>
  <c r="EX4" i="25"/>
  <c r="CL4" i="25"/>
  <c r="Z4" i="25"/>
  <c r="DL5" i="24"/>
  <c r="AZ5" i="24"/>
  <c r="EL4" i="24"/>
  <c r="EA5" i="27"/>
  <c r="G5" i="27"/>
  <c r="BH4" i="27"/>
  <c r="EA5" i="26"/>
  <c r="BO5" i="26"/>
  <c r="C5" i="26"/>
  <c r="CO4" i="26"/>
  <c r="AC4" i="26"/>
  <c r="DO5" i="25"/>
  <c r="BC5" i="25"/>
  <c r="EO4" i="25"/>
  <c r="CC4" i="25"/>
  <c r="Q4" i="25"/>
  <c r="CU5" i="24"/>
  <c r="AI5" i="24"/>
  <c r="AJ4" i="28"/>
  <c r="AU5" i="27"/>
  <c r="CQ4" i="27"/>
  <c r="G4" i="27"/>
  <c r="CD4" i="29"/>
  <c r="R4" i="29"/>
  <c r="DD5" i="28"/>
  <c r="AR5" i="28"/>
  <c r="ED4" i="28"/>
  <c r="BR4" i="28"/>
  <c r="F4" i="28"/>
  <c r="CR5" i="27"/>
  <c r="AF5" i="27"/>
  <c r="DR4" i="27"/>
  <c r="BF4" i="27"/>
  <c r="CG4" i="30"/>
  <c r="U4" i="30"/>
  <c r="DG5" i="29"/>
  <c r="AU5" i="29"/>
  <c r="EG4" i="29"/>
  <c r="BU4" i="29"/>
  <c r="I4" i="29"/>
  <c r="CM5" i="28"/>
  <c r="AA5" i="28"/>
  <c r="BH4" i="30"/>
  <c r="ET5" i="29"/>
  <c r="CH5" i="29"/>
  <c r="V5" i="29"/>
  <c r="DH4" i="29"/>
  <c r="AV4" i="29"/>
  <c r="EH5" i="28"/>
  <c r="BV5" i="28"/>
  <c r="AC4" i="28"/>
  <c r="AT5" i="27"/>
  <c r="CO4" i="27"/>
  <c r="F4" i="27"/>
  <c r="CR5" i="26"/>
  <c r="AF5" i="26"/>
  <c r="DR4" i="26"/>
  <c r="BF4" i="26"/>
  <c r="ER5" i="25"/>
  <c r="CF5" i="25"/>
  <c r="T5" i="25"/>
  <c r="DF4" i="25"/>
  <c r="AT4" i="25"/>
  <c r="EF5" i="24"/>
  <c r="BT5" i="24"/>
  <c r="H5" i="24"/>
  <c r="AB4" i="28"/>
  <c r="AA5" i="27"/>
  <c r="CA4" i="27"/>
  <c r="EU5" i="26"/>
  <c r="CI5" i="26"/>
  <c r="W5" i="26"/>
  <c r="DI4" i="26"/>
  <c r="AW4" i="26"/>
  <c r="EA5" i="25"/>
  <c r="BO5" i="25"/>
  <c r="C5" i="25"/>
  <c r="CO4" i="25"/>
  <c r="AC4" i="25"/>
  <c r="DO5" i="24"/>
  <c r="BC5" i="24"/>
  <c r="EO4" i="24"/>
  <c r="EH5" i="27"/>
  <c r="M5" i="27"/>
  <c r="BL4" i="27"/>
  <c r="EL5" i="26"/>
  <c r="BZ5" i="26"/>
  <c r="N5" i="26"/>
  <c r="CZ4" i="26"/>
  <c r="AN4" i="26"/>
  <c r="DZ5" i="25"/>
  <c r="BN5" i="25"/>
  <c r="B5" i="25"/>
  <c r="CN4" i="25"/>
  <c r="AB4" i="25"/>
  <c r="DN5" i="24"/>
  <c r="BB5" i="24"/>
  <c r="EN4" i="24"/>
  <c r="EE5" i="27"/>
  <c r="K5" i="27"/>
  <c r="BK4" i="27"/>
  <c r="EK5" i="26"/>
  <c r="BY5" i="26"/>
  <c r="M5" i="26"/>
  <c r="CY4" i="26"/>
  <c r="AM4" i="26"/>
  <c r="DY5" i="25"/>
  <c r="BM5" i="25"/>
  <c r="A5" i="25"/>
  <c r="CM4" i="25"/>
  <c r="AA4" i="25"/>
  <c r="DM5" i="24"/>
  <c r="BA5" i="24"/>
  <c r="S5" i="28"/>
  <c r="DN5" i="27"/>
  <c r="EU4" i="27"/>
  <c r="AV4" i="27"/>
  <c r="EB5" i="26"/>
  <c r="BP5" i="26"/>
  <c r="D5" i="26"/>
  <c r="CP4" i="26"/>
  <c r="AD4" i="26"/>
  <c r="DP5" i="25"/>
  <c r="BD5" i="25"/>
  <c r="EP4" i="25"/>
  <c r="CD4" i="25"/>
  <c r="R4" i="25"/>
  <c r="DD5" i="24"/>
  <c r="AR5" i="24"/>
  <c r="R5" i="28"/>
  <c r="DK5" i="27"/>
  <c r="ES4" i="27"/>
  <c r="AU4" i="27"/>
  <c r="DS5" i="26"/>
  <c r="BG5" i="26"/>
  <c r="ES4" i="26"/>
  <c r="CG4" i="26"/>
  <c r="U4" i="26"/>
  <c r="DG5" i="25"/>
  <c r="AU5" i="25"/>
  <c r="EG4" i="25"/>
  <c r="BU4" i="25"/>
  <c r="I4" i="25"/>
  <c r="CM5" i="24"/>
  <c r="AA5" i="24"/>
  <c r="E4" i="28"/>
  <c r="AE5" i="27"/>
  <c r="CC4" i="27"/>
  <c r="EW5" i="26"/>
  <c r="CK5" i="26"/>
  <c r="BV4" i="29"/>
  <c r="J4" i="29"/>
  <c r="CV5" i="28"/>
  <c r="AJ5" i="28"/>
  <c r="DV4" i="28"/>
  <c r="BJ4" i="28"/>
  <c r="EV5" i="27"/>
  <c r="CJ5" i="27"/>
  <c r="X5" i="27"/>
  <c r="DJ4" i="27"/>
  <c r="AX4" i="27"/>
  <c r="BY4" i="30"/>
  <c r="M4" i="30"/>
  <c r="CY5" i="29"/>
  <c r="AM5" i="29"/>
  <c r="DY4" i="29"/>
  <c r="BM4" i="29"/>
  <c r="EQ5" i="28"/>
  <c r="CE5" i="28"/>
  <c r="DM4" i="30"/>
  <c r="AZ4" i="30"/>
  <c r="EL5" i="29"/>
  <c r="BZ5" i="29"/>
  <c r="N5" i="29"/>
  <c r="CZ4" i="29"/>
  <c r="AN4" i="29"/>
  <c r="DZ5" i="28"/>
  <c r="BN5" i="28"/>
  <c r="D4" i="28"/>
  <c r="AD5" i="27"/>
  <c r="CB4" i="27"/>
  <c r="EV5" i="26"/>
  <c r="CJ5" i="26"/>
  <c r="X5" i="26"/>
  <c r="DJ4" i="26"/>
  <c r="AX4" i="26"/>
  <c r="EJ5" i="25"/>
  <c r="BX5" i="25"/>
  <c r="L5" i="25"/>
  <c r="CX4" i="25"/>
  <c r="AL4" i="25"/>
  <c r="DX5" i="24"/>
  <c r="BL5" i="24"/>
  <c r="EX4" i="24"/>
  <c r="EI5" i="27"/>
  <c r="N5" i="27"/>
  <c r="BM4" i="27"/>
  <c r="EM5" i="26"/>
  <c r="CA5" i="26"/>
  <c r="O5" i="26"/>
  <c r="DA4" i="26"/>
  <c r="AO4" i="26"/>
  <c r="DS5" i="25"/>
  <c r="BG5" i="25"/>
  <c r="ES4" i="25"/>
  <c r="CG4" i="25"/>
  <c r="U4" i="25"/>
  <c r="DG5" i="24"/>
  <c r="AU5" i="24"/>
  <c r="AH5" i="28"/>
  <c r="DR5" i="27"/>
  <c r="EW4" i="27"/>
  <c r="AZ4" i="27"/>
  <c r="ED5" i="26"/>
  <c r="BR5" i="26"/>
  <c r="F5" i="26"/>
  <c r="CR4" i="26"/>
  <c r="AF4" i="26"/>
  <c r="DR5" i="25"/>
  <c r="BF5" i="25"/>
  <c r="ER4" i="25"/>
  <c r="CF4" i="25"/>
  <c r="T4" i="25"/>
  <c r="DF5" i="24"/>
  <c r="AT5" i="24"/>
  <c r="Z5" i="28"/>
  <c r="DO5" i="27"/>
  <c r="EV4" i="27"/>
  <c r="AW4" i="27"/>
  <c r="EC5" i="26"/>
  <c r="BQ5" i="26"/>
  <c r="E5" i="26"/>
  <c r="CQ4" i="26"/>
  <c r="AE4" i="26"/>
  <c r="DQ5" i="25"/>
  <c r="BE5" i="25"/>
  <c r="EQ4" i="25"/>
  <c r="CE4" i="25"/>
  <c r="S4" i="25"/>
  <c r="DE5" i="24"/>
  <c r="AS5" i="24"/>
  <c r="EK4" i="28"/>
  <c r="CX5" i="27"/>
  <c r="EG4" i="27"/>
  <c r="AJ4" i="27"/>
  <c r="DT5" i="26"/>
  <c r="BH5" i="26"/>
  <c r="ET4" i="26"/>
  <c r="CH4" i="26"/>
  <c r="V4" i="26"/>
  <c r="DH5" i="25"/>
  <c r="AV5" i="25"/>
  <c r="EH4" i="25"/>
  <c r="BV4" i="25"/>
  <c r="J4" i="25"/>
  <c r="CV5" i="24"/>
  <c r="AJ5" i="24"/>
  <c r="EJ4" i="28"/>
  <c r="CU5" i="27"/>
  <c r="EF4" i="27"/>
  <c r="AG4" i="27"/>
  <c r="DK5" i="26"/>
  <c r="AY5" i="26"/>
  <c r="EK4" i="26"/>
  <c r="BY4" i="26"/>
  <c r="M4" i="26"/>
  <c r="CY5" i="25"/>
  <c r="AM5" i="25"/>
  <c r="DY4" i="25"/>
  <c r="BM4" i="25"/>
  <c r="EQ5" i="24"/>
  <c r="CE5" i="24"/>
  <c r="S5" i="24"/>
  <c r="EM5" i="27"/>
  <c r="R5" i="27"/>
  <c r="BQ4" i="27"/>
  <c r="EO5" i="26"/>
  <c r="CS5" i="26"/>
  <c r="I5" i="26"/>
  <c r="CU4" i="26"/>
  <c r="AI4" i="26"/>
  <c r="DU5" i="25"/>
  <c r="BI5" i="25"/>
  <c r="EU4" i="25"/>
  <c r="CI4" i="25"/>
  <c r="W4" i="25"/>
  <c r="DI5" i="24"/>
  <c r="AW5" i="24"/>
  <c r="K5" i="28"/>
  <c r="AR4" i="26"/>
  <c r="J5" i="24"/>
  <c r="CE4" i="24"/>
  <c r="S4" i="24"/>
  <c r="DE5" i="23"/>
  <c r="AS5" i="23"/>
  <c r="EE4" i="23"/>
  <c r="BS4" i="23"/>
  <c r="G4" i="23"/>
  <c r="CS5" i="22"/>
  <c r="AG5" i="22"/>
  <c r="DS4" i="22"/>
  <c r="BG4" i="22"/>
  <c r="ES5" i="21"/>
  <c r="CG5" i="21"/>
  <c r="U5" i="21"/>
  <c r="ER4" i="27"/>
  <c r="BR5" i="25"/>
  <c r="DZ4" i="24"/>
  <c r="BN4" i="24"/>
  <c r="B4" i="24"/>
  <c r="CN5" i="23"/>
  <c r="AB5" i="23"/>
  <c r="DN4" i="23"/>
  <c r="BB4" i="23"/>
  <c r="EN5" i="22"/>
  <c r="CB5" i="22"/>
  <c r="P5" i="22"/>
  <c r="DB4" i="22"/>
  <c r="AP4" i="22"/>
  <c r="EB5" i="21"/>
  <c r="BP5" i="21"/>
  <c r="D5" i="21"/>
  <c r="B5" i="26"/>
  <c r="DR5" i="24"/>
  <c r="CS4" i="24"/>
  <c r="AG4" i="24"/>
  <c r="DK5" i="23"/>
  <c r="AY5" i="23"/>
  <c r="EK4" i="23"/>
  <c r="BY4" i="23"/>
  <c r="M4" i="23"/>
  <c r="CY5" i="22"/>
  <c r="AM5" i="22"/>
  <c r="DY4" i="22"/>
  <c r="BM4" i="22"/>
  <c r="EQ5" i="21"/>
  <c r="CE5" i="21"/>
  <c r="S5" i="21"/>
  <c r="DR5" i="26"/>
  <c r="CB4" i="25"/>
  <c r="DH4" i="24"/>
  <c r="AV4" i="24"/>
  <c r="EH5" i="23"/>
  <c r="BV5" i="23"/>
  <c r="J5" i="23"/>
  <c r="CV4" i="23"/>
  <c r="AJ4" i="23"/>
  <c r="DV5" i="22"/>
  <c r="BJ5" i="22"/>
  <c r="EV4" i="22"/>
  <c r="CJ4" i="22"/>
  <c r="X4" i="22"/>
  <c r="DJ5" i="21"/>
  <c r="AX5" i="21"/>
  <c r="AK4" i="28"/>
  <c r="L4" i="26"/>
  <c r="ER4" i="24"/>
  <c r="CA4" i="24"/>
  <c r="O4" i="24"/>
  <c r="DA5" i="23"/>
  <c r="AO5" i="23"/>
  <c r="EA4" i="23"/>
  <c r="BO4" i="23"/>
  <c r="C4" i="23"/>
  <c r="CO5" i="22"/>
  <c r="AC5" i="22"/>
  <c r="DO4" i="22"/>
  <c r="BC4" i="22"/>
  <c r="EO5" i="21"/>
  <c r="CC5" i="21"/>
  <c r="Q5" i="21"/>
  <c r="DB5" i="26"/>
  <c r="BL4" i="25"/>
  <c r="CX4" i="24"/>
  <c r="AL4" i="24"/>
  <c r="DX5" i="23"/>
  <c r="BL5" i="23"/>
  <c r="EX4" i="23"/>
  <c r="CL4" i="23"/>
  <c r="Z4" i="23"/>
  <c r="DL5" i="22"/>
  <c r="AZ5" i="22"/>
  <c r="EL4" i="22"/>
  <c r="BZ4" i="22"/>
  <c r="N4" i="22"/>
  <c r="CZ5" i="21"/>
  <c r="AN5" i="21"/>
  <c r="DZ4" i="21"/>
  <c r="AD5" i="25"/>
  <c r="DU4" i="24"/>
  <c r="BI4" i="24"/>
  <c r="EU5" i="23"/>
  <c r="CI5" i="23"/>
  <c r="W5" i="23"/>
  <c r="DI4" i="23"/>
  <c r="AW4" i="23"/>
  <c r="EA5" i="22"/>
  <c r="BO5" i="22"/>
  <c r="C5" i="22"/>
  <c r="CO4" i="22"/>
  <c r="AC4" i="22"/>
  <c r="DO5" i="21"/>
  <c r="BC5" i="21"/>
  <c r="EP5" i="27"/>
  <c r="CR4" i="23"/>
  <c r="CC5" i="26"/>
  <c r="A5" i="26"/>
  <c r="CM4" i="26"/>
  <c r="AA4" i="26"/>
  <c r="DM5" i="25"/>
  <c r="BA5" i="25"/>
  <c r="EM4" i="25"/>
  <c r="CA4" i="25"/>
  <c r="O4" i="25"/>
  <c r="DA5" i="24"/>
  <c r="AO5" i="24"/>
  <c r="DZ5" i="27"/>
  <c r="EL5" i="25"/>
  <c r="EI4" i="24"/>
  <c r="BW4" i="24"/>
  <c r="K4" i="24"/>
  <c r="CW5" i="23"/>
  <c r="AK5" i="23"/>
  <c r="DW4" i="23"/>
  <c r="BK4" i="23"/>
  <c r="EW5" i="22"/>
  <c r="CK5" i="22"/>
  <c r="Y5" i="22"/>
  <c r="DK4" i="22"/>
  <c r="AY4" i="22"/>
  <c r="EK5" i="21"/>
  <c r="BY5" i="21"/>
  <c r="M5" i="21"/>
  <c r="AS4" i="27"/>
  <c r="F5" i="25"/>
  <c r="DR4" i="24"/>
  <c r="BF4" i="24"/>
  <c r="ER5" i="23"/>
  <c r="CF5" i="23"/>
  <c r="T5" i="23"/>
  <c r="DF4" i="23"/>
  <c r="AT4" i="23"/>
  <c r="EF5" i="22"/>
  <c r="BT5" i="22"/>
  <c r="H5" i="22"/>
  <c r="CT4" i="22"/>
  <c r="AH4" i="22"/>
  <c r="DT5" i="21"/>
  <c r="BH5" i="21"/>
  <c r="ET4" i="21"/>
  <c r="CN4" i="26"/>
  <c r="BF5" i="24"/>
  <c r="CK4" i="24"/>
  <c r="Y4" i="24"/>
  <c r="DC5" i="23"/>
  <c r="AQ5" i="23"/>
  <c r="EC4" i="23"/>
  <c r="BQ4" i="23"/>
  <c r="E4" i="23"/>
  <c r="CQ5" i="22"/>
  <c r="AE5" i="22"/>
  <c r="DQ4" i="22"/>
  <c r="BE4" i="22"/>
  <c r="EI5" i="21"/>
  <c r="BW5" i="21"/>
  <c r="K5" i="21"/>
  <c r="BF5" i="26"/>
  <c r="P4" i="25"/>
  <c r="CZ4" i="24"/>
  <c r="AN4" i="24"/>
  <c r="DZ5" i="23"/>
  <c r="BN5" i="23"/>
  <c r="B5" i="23"/>
  <c r="CN4" i="23"/>
  <c r="AB4" i="23"/>
  <c r="DN5" i="22"/>
  <c r="BB5" i="22"/>
  <c r="EN4" i="22"/>
  <c r="CB4" i="22"/>
  <c r="P4" i="22"/>
  <c r="DB5" i="21"/>
  <c r="AP5" i="21"/>
  <c r="BN5" i="27"/>
  <c r="DF5" i="25"/>
  <c r="EE4" i="24"/>
  <c r="BS4" i="24"/>
  <c r="G4" i="24"/>
  <c r="CS5" i="23"/>
  <c r="AG5" i="23"/>
  <c r="DS4" i="23"/>
  <c r="BG4" i="23"/>
  <c r="ES5" i="22"/>
  <c r="CG5" i="22"/>
  <c r="U5" i="22"/>
  <c r="DG4" i="22"/>
  <c r="AU4" i="22"/>
  <c r="EG5" i="21"/>
  <c r="BU5" i="21"/>
  <c r="I5" i="21"/>
  <c r="AP5" i="26"/>
  <c r="CT5" i="24"/>
  <c r="CP4" i="24"/>
  <c r="AD4" i="24"/>
  <c r="DP5" i="23"/>
  <c r="BD5" i="23"/>
  <c r="EP4" i="23"/>
  <c r="CD4" i="23"/>
  <c r="R4" i="23"/>
  <c r="DD5" i="22"/>
  <c r="AR5" i="22"/>
  <c r="ED4" i="22"/>
  <c r="BR4" i="22"/>
  <c r="F4" i="22"/>
  <c r="CR5" i="21"/>
  <c r="AF5" i="21"/>
  <c r="AH5" i="27"/>
  <c r="DP4" i="25"/>
  <c r="DM4" i="24"/>
  <c r="BA4" i="24"/>
  <c r="EM5" i="23"/>
  <c r="CA5" i="23"/>
  <c r="O5" i="23"/>
  <c r="DA4" i="23"/>
  <c r="AO4" i="23"/>
  <c r="DS5" i="22"/>
  <c r="BG5" i="22"/>
  <c r="ES4" i="22"/>
  <c r="CG4" i="22"/>
  <c r="U4" i="22"/>
  <c r="DG5" i="21"/>
  <c r="AU5" i="21"/>
  <c r="AZ4" i="26"/>
  <c r="AF4" i="23"/>
  <c r="BM5" i="26"/>
  <c r="EQ4" i="26"/>
  <c r="CE4" i="26"/>
  <c r="S4" i="26"/>
  <c r="DE5" i="25"/>
  <c r="AS5" i="25"/>
  <c r="EE4" i="25"/>
  <c r="BS4" i="25"/>
  <c r="G4" i="25"/>
  <c r="CS5" i="24"/>
  <c r="AG5" i="24"/>
  <c r="F5" i="27"/>
  <c r="BZ5" i="25"/>
  <c r="EA4" i="24"/>
  <c r="BO4" i="24"/>
  <c r="C4" i="24"/>
  <c r="CO5" i="23"/>
  <c r="AC5" i="23"/>
  <c r="DO4" i="23"/>
  <c r="BC4" i="23"/>
  <c r="EO5" i="22"/>
  <c r="CC5" i="22"/>
  <c r="Q5" i="22"/>
  <c r="DC4" i="22"/>
  <c r="AQ4" i="22"/>
  <c r="EC5" i="21"/>
  <c r="BQ5" i="21"/>
  <c r="E5" i="21"/>
  <c r="EH5" i="26"/>
  <c r="CR4" i="25"/>
  <c r="DJ4" i="24"/>
  <c r="AX4" i="24"/>
  <c r="EJ5" i="23"/>
  <c r="BX5" i="23"/>
  <c r="L5" i="23"/>
  <c r="CX4" i="23"/>
  <c r="AL4" i="23"/>
  <c r="DX5" i="22"/>
  <c r="BL5" i="22"/>
  <c r="EX4" i="22"/>
  <c r="CL4" i="22"/>
  <c r="Z4" i="22"/>
  <c r="DL5" i="21"/>
  <c r="AZ5" i="21"/>
  <c r="CW4" i="28"/>
  <c r="AB4" i="26"/>
  <c r="B5" i="24"/>
  <c r="CC4" i="24"/>
  <c r="Q4" i="24"/>
  <c r="CU5" i="23"/>
  <c r="AI5" i="23"/>
  <c r="DU4" i="23"/>
  <c r="BI4" i="23"/>
  <c r="EU5" i="22"/>
  <c r="CI5" i="22"/>
  <c r="W5" i="22"/>
  <c r="DI4" i="22"/>
  <c r="AW4" i="22"/>
  <c r="EA5" i="21"/>
  <c r="BO5" i="21"/>
  <c r="C5" i="21"/>
  <c r="ER4" i="26"/>
  <c r="DJ5" i="24"/>
  <c r="CR4" i="24"/>
  <c r="AF4" i="24"/>
  <c r="DR5" i="23"/>
  <c r="BF5" i="23"/>
  <c r="ER4" i="23"/>
  <c r="CF4" i="23"/>
  <c r="T4" i="23"/>
  <c r="DF5" i="22"/>
  <c r="AT5" i="22"/>
  <c r="EF4" i="22"/>
  <c r="BT4" i="22"/>
  <c r="H4" i="22"/>
  <c r="CT5" i="21"/>
  <c r="AH5" i="21"/>
  <c r="DE4" i="27"/>
  <c r="AT5" i="25"/>
  <c r="DW4" i="24"/>
  <c r="BK4" i="24"/>
  <c r="EW5" i="23"/>
  <c r="CK5" i="23"/>
  <c r="Y5" i="23"/>
  <c r="DK4" i="23"/>
  <c r="AY4" i="23"/>
  <c r="EK5" i="22"/>
  <c r="BY5" i="22"/>
  <c r="M5" i="22"/>
  <c r="CY4" i="22"/>
  <c r="AM4" i="22"/>
  <c r="DY5" i="21"/>
  <c r="BM5" i="21"/>
  <c r="A5" i="21"/>
  <c r="EB4" i="26"/>
  <c r="AH5" i="24"/>
  <c r="CH4" i="24"/>
  <c r="V4" i="24"/>
  <c r="DH5" i="23"/>
  <c r="AV5" i="23"/>
  <c r="EH4" i="23"/>
  <c r="BV4" i="23"/>
  <c r="J4" i="23"/>
  <c r="CV5" i="22"/>
  <c r="AJ5" i="22"/>
  <c r="DV4" i="22"/>
  <c r="BJ4" i="22"/>
  <c r="EV5" i="21"/>
  <c r="CJ5" i="21"/>
  <c r="X5" i="21"/>
  <c r="CF4" i="27"/>
  <c r="BD4" i="25"/>
  <c r="DE4" i="24"/>
  <c r="AS4" i="24"/>
  <c r="EE5" i="23"/>
  <c r="BS5" i="23"/>
  <c r="G5" i="23"/>
  <c r="CS4" i="23"/>
  <c r="AG4" i="23"/>
  <c r="DK5" i="22"/>
  <c r="AY5" i="22"/>
  <c r="EK4" i="22"/>
  <c r="BY4" i="22"/>
  <c r="M4" i="22"/>
  <c r="CY5" i="21"/>
  <c r="AM5" i="21"/>
  <c r="EP5" i="24"/>
  <c r="DZ5" i="22"/>
  <c r="AW5" i="26"/>
  <c r="EI4" i="26"/>
  <c r="BW4" i="26"/>
  <c r="K4" i="26"/>
  <c r="CW5" i="25"/>
  <c r="AK5" i="25"/>
  <c r="DW4" i="25"/>
  <c r="BK4" i="25"/>
  <c r="EW5" i="24"/>
  <c r="CK5" i="24"/>
  <c r="Y5" i="24"/>
  <c r="BE4" i="27"/>
  <c r="N5" i="25"/>
  <c r="DS4" i="24"/>
  <c r="BG4" i="24"/>
  <c r="ES5" i="23"/>
  <c r="CG5" i="23"/>
  <c r="U5" i="23"/>
  <c r="DG4" i="23"/>
  <c r="AU4" i="23"/>
  <c r="EG5" i="22"/>
  <c r="BU5" i="22"/>
  <c r="I5" i="22"/>
  <c r="CU4" i="22"/>
  <c r="AI4" i="22"/>
  <c r="DU5" i="21"/>
  <c r="BI5" i="21"/>
  <c r="EU4" i="21"/>
  <c r="BV5" i="26"/>
  <c r="AF4" i="25"/>
  <c r="DB4" i="24"/>
  <c r="AP4" i="24"/>
  <c r="EB5" i="23"/>
  <c r="BP5" i="23"/>
  <c r="D5" i="23"/>
  <c r="CP4" i="23"/>
  <c r="AD4" i="23"/>
  <c r="DP5" i="22"/>
  <c r="BD5" i="22"/>
  <c r="EP4" i="22"/>
  <c r="CD4" i="22"/>
  <c r="R4" i="22"/>
  <c r="DD5" i="21"/>
  <c r="AR5" i="21"/>
  <c r="CT5" i="27"/>
  <c r="DV5" i="25"/>
  <c r="EG4" i="24"/>
  <c r="BU4" i="24"/>
  <c r="I4" i="24"/>
  <c r="CM5" i="23"/>
  <c r="AA5" i="23"/>
  <c r="DM4" i="23"/>
  <c r="BA4" i="23"/>
  <c r="EM5" i="22"/>
  <c r="CA5" i="22"/>
  <c r="O5" i="22"/>
  <c r="DA4" i="22"/>
  <c r="AO4" i="22"/>
  <c r="DS5" i="21"/>
  <c r="BG5" i="21"/>
  <c r="ES4" i="21"/>
  <c r="CF4" i="26"/>
  <c r="AX5" i="24"/>
  <c r="CJ4" i="24"/>
  <c r="X4" i="24"/>
  <c r="DJ5" i="23"/>
  <c r="AX5" i="23"/>
  <c r="EJ4" i="23"/>
  <c r="BX4" i="23"/>
  <c r="L4" i="23"/>
  <c r="CX5" i="22"/>
  <c r="AL5" i="22"/>
  <c r="DX4" i="22"/>
  <c r="BL4" i="22"/>
  <c r="EX5" i="21"/>
  <c r="CL5" i="21"/>
  <c r="Z5" i="21"/>
  <c r="P4" i="27"/>
  <c r="EF4" i="25"/>
  <c r="DO4" i="24"/>
  <c r="BC4" i="24"/>
  <c r="EO5" i="23"/>
  <c r="CC5" i="23"/>
  <c r="Q5" i="23"/>
  <c r="DC4" i="23"/>
  <c r="AQ4" i="23"/>
  <c r="EC5" i="22"/>
  <c r="BQ5" i="22"/>
  <c r="E5" i="22"/>
  <c r="CQ4" i="22"/>
  <c r="AE4" i="22"/>
  <c r="DQ5" i="21"/>
  <c r="BE5" i="21"/>
  <c r="EQ4" i="21"/>
  <c r="BP4" i="26"/>
  <c r="EM4" i="24"/>
  <c r="BZ4" i="24"/>
  <c r="N4" i="24"/>
  <c r="CZ5" i="23"/>
  <c r="AN5" i="23"/>
  <c r="DZ4" i="23"/>
  <c r="BN4" i="23"/>
  <c r="B4" i="23"/>
  <c r="CN5" i="22"/>
  <c r="AB5" i="22"/>
  <c r="DN4" i="22"/>
  <c r="BB4" i="22"/>
  <c r="EN5" i="21"/>
  <c r="CB5" i="21"/>
  <c r="P5" i="21"/>
  <c r="CT5" i="26"/>
  <c r="EX5" i="24"/>
  <c r="CW4" i="24"/>
  <c r="AK4" i="24"/>
  <c r="DW5" i="23"/>
  <c r="BK5" i="23"/>
  <c r="EW4" i="23"/>
  <c r="CK4" i="23"/>
  <c r="Y4" i="23"/>
  <c r="DC5" i="22"/>
  <c r="AQ5" i="22"/>
  <c r="EC4" i="22"/>
  <c r="BQ4" i="22"/>
  <c r="E4" i="22"/>
  <c r="CQ5" i="21"/>
  <c r="AE5" i="21"/>
  <c r="CV4" i="24"/>
  <c r="BN5" i="22"/>
  <c r="AO5" i="26"/>
  <c r="EA4" i="26"/>
  <c r="BO4" i="26"/>
  <c r="C4" i="26"/>
  <c r="CO5" i="25"/>
  <c r="AC5" i="25"/>
  <c r="DO4" i="25"/>
  <c r="BC4" i="25"/>
  <c r="EO5" i="24"/>
  <c r="CC5" i="24"/>
  <c r="Q5" i="24"/>
  <c r="EP5" i="26"/>
  <c r="CZ4" i="25"/>
  <c r="DK4" i="24"/>
  <c r="AY4" i="24"/>
  <c r="EK5" i="23"/>
  <c r="BY5" i="23"/>
  <c r="M5" i="23"/>
  <c r="CY4" i="23"/>
  <c r="AM4" i="23"/>
  <c r="DY5" i="22"/>
  <c r="BM5" i="22"/>
  <c r="A5" i="22"/>
  <c r="CM4" i="22"/>
  <c r="AA4" i="22"/>
  <c r="DM5" i="21"/>
  <c r="BA5" i="21"/>
  <c r="EM4" i="21"/>
  <c r="J5" i="26"/>
  <c r="DZ5" i="24"/>
  <c r="CT4" i="24"/>
  <c r="AH4" i="24"/>
  <c r="DT5" i="23"/>
  <c r="BH5" i="23"/>
  <c r="ET4" i="23"/>
  <c r="CH4" i="23"/>
  <c r="V4" i="23"/>
  <c r="DH5" i="22"/>
  <c r="AV5" i="22"/>
  <c r="EH4" i="22"/>
  <c r="BV4" i="22"/>
  <c r="J4" i="22"/>
  <c r="CV5" i="21"/>
  <c r="AJ5" i="21"/>
  <c r="EE4" i="27"/>
  <c r="BJ5" i="25"/>
  <c r="DY4" i="24"/>
  <c r="BM4" i="24"/>
  <c r="EQ5" i="23"/>
  <c r="CE5" i="23"/>
  <c r="S5" i="23"/>
  <c r="DE4" i="23"/>
  <c r="AS4" i="23"/>
  <c r="EE5" i="22"/>
  <c r="BS5" i="22"/>
  <c r="G5" i="22"/>
  <c r="CS4" i="22"/>
  <c r="AG4" i="22"/>
  <c r="DK5" i="21"/>
  <c r="AY5" i="21"/>
  <c r="BQ4" i="28"/>
  <c r="T4" i="26"/>
  <c r="ES4" i="24"/>
  <c r="CB4" i="24"/>
  <c r="P4" i="24"/>
  <c r="DB5" i="23"/>
  <c r="AP5" i="23"/>
  <c r="EB4" i="23"/>
  <c r="BP4" i="23"/>
  <c r="D4" i="23"/>
  <c r="CP5" i="22"/>
  <c r="AD5" i="22"/>
  <c r="DP4" i="22"/>
  <c r="BD4" i="22"/>
  <c r="EP5" i="21"/>
  <c r="CD5" i="21"/>
  <c r="R5" i="21"/>
  <c r="DJ5" i="26"/>
  <c r="BT4" i="25"/>
  <c r="DG4" i="24"/>
  <c r="AU4" i="24"/>
  <c r="EG5" i="23"/>
  <c r="BU5" i="23"/>
  <c r="I5" i="23"/>
  <c r="CU4" i="23"/>
  <c r="AI4" i="23"/>
  <c r="DU5" i="22"/>
  <c r="BI5" i="22"/>
  <c r="EU4" i="22"/>
  <c r="CI4" i="22"/>
  <c r="W4" i="22"/>
  <c r="DI5" i="21"/>
  <c r="AW5" i="21"/>
  <c r="H4" i="28"/>
  <c r="D4" i="26"/>
  <c r="ED4" i="24"/>
  <c r="BR4" i="24"/>
  <c r="F4" i="24"/>
  <c r="CR5" i="23"/>
  <c r="AF5" i="23"/>
  <c r="DR4" i="23"/>
  <c r="BF4" i="23"/>
  <c r="ER5" i="22"/>
  <c r="CF5" i="22"/>
  <c r="T5" i="22"/>
  <c r="DF4" i="22"/>
  <c r="AT4" i="22"/>
  <c r="EF5" i="21"/>
  <c r="BT5" i="21"/>
  <c r="H5" i="21"/>
  <c r="AH5" i="26"/>
  <c r="CL5" i="24"/>
  <c r="CO4" i="24"/>
  <c r="AC4" i="24"/>
  <c r="DO5" i="23"/>
  <c r="BC5" i="23"/>
  <c r="EO4" i="23"/>
  <c r="CC4" i="23"/>
  <c r="Q4" i="23"/>
  <c r="CU5" i="22"/>
  <c r="AI5" i="22"/>
  <c r="DU4" i="22"/>
  <c r="BI4" i="22"/>
  <c r="EU5" i="21"/>
  <c r="CI5" i="21"/>
  <c r="W5" i="21"/>
  <c r="AJ4" i="24"/>
  <c r="AG5" i="26"/>
  <c r="DS4" i="26"/>
  <c r="BG4" i="26"/>
  <c r="ES5" i="25"/>
  <c r="CG5" i="25"/>
  <c r="U5" i="25"/>
  <c r="DG4" i="25"/>
  <c r="AU4" i="25"/>
  <c r="EG5" i="24"/>
  <c r="BU5" i="24"/>
  <c r="I5" i="24"/>
  <c r="CD5" i="26"/>
  <c r="AN4" i="25"/>
  <c r="DC4" i="24"/>
  <c r="AQ4" i="24"/>
  <c r="EC5" i="23"/>
  <c r="BQ5" i="23"/>
  <c r="E5" i="23"/>
  <c r="CQ4" i="23"/>
  <c r="AE4" i="23"/>
  <c r="DQ5" i="22"/>
  <c r="BE5" i="22"/>
  <c r="EQ4" i="22"/>
  <c r="CE4" i="22"/>
  <c r="S4" i="22"/>
  <c r="DE5" i="21"/>
  <c r="AS5" i="21"/>
  <c r="EE4" i="21"/>
  <c r="CV4" i="26"/>
  <c r="BN5" i="24"/>
  <c r="CL4" i="24"/>
  <c r="Z4" i="24"/>
  <c r="DL5" i="23"/>
  <c r="AZ5" i="23"/>
  <c r="EL4" i="23"/>
  <c r="BZ4" i="23"/>
  <c r="N4" i="23"/>
  <c r="CZ5" i="22"/>
  <c r="AN5" i="22"/>
  <c r="DZ4" i="22"/>
  <c r="BN4" i="22"/>
  <c r="B4" i="22"/>
  <c r="CN5" i="21"/>
  <c r="AB5" i="21"/>
  <c r="AF4" i="27"/>
  <c r="EV4" i="25"/>
  <c r="DQ4" i="24"/>
  <c r="BE4" i="24"/>
  <c r="EI5" i="23"/>
  <c r="BW5" i="23"/>
  <c r="K5" i="23"/>
  <c r="CW4" i="23"/>
  <c r="AK4" i="23"/>
  <c r="DW5" i="22"/>
  <c r="BK5" i="22"/>
  <c r="EW4" i="22"/>
  <c r="CK4" i="22"/>
  <c r="Y4" i="22"/>
  <c r="DC5" i="21"/>
  <c r="AQ5" i="21"/>
  <c r="CD5" i="27"/>
  <c r="DN5" i="25"/>
  <c r="EF4" i="24"/>
  <c r="BT4" i="24"/>
  <c r="H4" i="24"/>
  <c r="CT5" i="23"/>
  <c r="AH5" i="23"/>
  <c r="DT4" i="23"/>
  <c r="BH4" i="23"/>
  <c r="ET5" i="22"/>
  <c r="CH5" i="22"/>
  <c r="V5" i="22"/>
  <c r="DH4" i="22"/>
  <c r="AV4" i="22"/>
  <c r="EH5" i="21"/>
  <c r="BV5" i="21"/>
  <c r="J5" i="21"/>
  <c r="AX5" i="26"/>
  <c r="H4" i="25"/>
  <c r="CY4" i="24"/>
  <c r="AM4" i="24"/>
  <c r="DY5" i="23"/>
  <c r="BM5" i="23"/>
  <c r="A5" i="23"/>
  <c r="CM4" i="23"/>
  <c r="AA4" i="23"/>
  <c r="DM5" i="22"/>
  <c r="BA5" i="22"/>
  <c r="EM4" i="22"/>
  <c r="CA4" i="22"/>
  <c r="O4" i="22"/>
  <c r="DA5" i="21"/>
  <c r="AO5" i="21"/>
  <c r="AX5" i="27"/>
  <c r="CX5" i="25"/>
  <c r="DV4" i="24"/>
  <c r="BJ4" i="24"/>
  <c r="EV5" i="23"/>
  <c r="CJ5" i="23"/>
  <c r="X5" i="23"/>
  <c r="DJ4" i="23"/>
  <c r="AX4" i="23"/>
  <c r="EJ5" i="22"/>
  <c r="BX5" i="22"/>
  <c r="L5" i="22"/>
  <c r="CX4" i="22"/>
  <c r="AL4" i="22"/>
  <c r="DX5" i="21"/>
  <c r="BL5" i="21"/>
  <c r="EX4" i="21"/>
  <c r="DT4" i="26"/>
  <c r="Z5" i="24"/>
  <c r="CG4" i="24"/>
  <c r="U4" i="24"/>
  <c r="DG5" i="23"/>
  <c r="AU5" i="23"/>
  <c r="EG4" i="23"/>
  <c r="BU4" i="23"/>
  <c r="I4" i="23"/>
  <c r="CM5" i="22"/>
  <c r="AA5" i="22"/>
  <c r="DM4" i="22"/>
  <c r="BA4" i="22"/>
  <c r="EM5" i="21"/>
  <c r="CA5" i="21"/>
  <c r="O5" i="21"/>
  <c r="ED5" i="23"/>
  <c r="Y5" i="26"/>
  <c r="DK4" i="26"/>
  <c r="AY4" i="26"/>
  <c r="EK5" i="25"/>
  <c r="BY5" i="25"/>
  <c r="M5" i="25"/>
  <c r="CY4" i="25"/>
  <c r="AM4" i="25"/>
  <c r="DY5" i="24"/>
  <c r="BM5" i="24"/>
  <c r="A5" i="24"/>
  <c r="R5" i="26"/>
  <c r="EH5" i="24"/>
  <c r="CU4" i="24"/>
  <c r="AI4" i="24"/>
  <c r="DU5" i="23"/>
  <c r="BI5" i="23"/>
  <c r="EU4" i="23"/>
  <c r="CI4" i="23"/>
  <c r="W4" i="23"/>
  <c r="DI5" i="22"/>
  <c r="AW5" i="22"/>
  <c r="EI4" i="22"/>
  <c r="BW4" i="22"/>
  <c r="K4" i="22"/>
  <c r="CW5" i="21"/>
  <c r="AK5" i="21"/>
  <c r="EC4" i="28"/>
  <c r="AJ4" i="26"/>
  <c r="C5" i="24"/>
  <c r="CD4" i="24"/>
  <c r="R4" i="24"/>
  <c r="DD5" i="23"/>
  <c r="AR5" i="23"/>
  <c r="ED4" i="23"/>
  <c r="BR4" i="23"/>
  <c r="F4" i="23"/>
  <c r="CR5" i="22"/>
  <c r="AF5" i="22"/>
  <c r="DR4" i="22"/>
  <c r="BF4" i="22"/>
  <c r="ER5" i="21"/>
  <c r="CF5" i="21"/>
  <c r="T5" i="21"/>
  <c r="DZ5" i="26"/>
  <c r="CJ4" i="25"/>
  <c r="DI4" i="24"/>
  <c r="AW4" i="24"/>
  <c r="EA5" i="23"/>
  <c r="BO5" i="23"/>
  <c r="C5" i="23"/>
  <c r="CO4" i="23"/>
  <c r="AC4" i="23"/>
  <c r="DO5" i="22"/>
  <c r="BC5" i="22"/>
  <c r="EO4" i="22"/>
  <c r="CC4" i="22"/>
  <c r="Q4" i="22"/>
  <c r="CU5" i="21"/>
  <c r="AI5" i="21"/>
  <c r="DQ4" i="27"/>
  <c r="BB5" i="25"/>
  <c r="DX4" i="24"/>
  <c r="BL4" i="24"/>
  <c r="EX5" i="23"/>
  <c r="CL5" i="23"/>
  <c r="Z5" i="23"/>
  <c r="DL4" i="23"/>
  <c r="AZ4" i="23"/>
  <c r="EL5" i="22"/>
  <c r="BZ5" i="22"/>
  <c r="N5" i="22"/>
  <c r="CZ4" i="22"/>
  <c r="AN4" i="22"/>
  <c r="DZ5" i="21"/>
  <c r="BN5" i="21"/>
  <c r="B5" i="21"/>
  <c r="EJ4" i="26"/>
  <c r="DB5" i="24"/>
  <c r="CQ4" i="24"/>
  <c r="AE4" i="24"/>
  <c r="DQ5" i="23"/>
  <c r="BE5" i="23"/>
  <c r="EQ4" i="23"/>
  <c r="CE4" i="23"/>
  <c r="S4" i="23"/>
  <c r="DE5" i="22"/>
  <c r="AS5" i="22"/>
  <c r="EE4" i="22"/>
  <c r="BS4" i="22"/>
  <c r="G4" i="22"/>
  <c r="CS5" i="21"/>
  <c r="AG5" i="21"/>
  <c r="CR4" i="27"/>
  <c r="AL5" i="25"/>
  <c r="DN4" i="24"/>
  <c r="BB4" i="24"/>
  <c r="EN5" i="23"/>
  <c r="CB5" i="23"/>
  <c r="P5" i="23"/>
  <c r="DB4" i="23"/>
  <c r="AP4" i="23"/>
  <c r="EB5" i="22"/>
  <c r="BP5" i="22"/>
  <c r="D5" i="22"/>
  <c r="CP4" i="22"/>
  <c r="AD4" i="22"/>
  <c r="DP5" i="21"/>
  <c r="BD5" i="21"/>
  <c r="EP4" i="21"/>
  <c r="BH4" i="26"/>
  <c r="EK4" i="24"/>
  <c r="BY4" i="24"/>
  <c r="M4" i="24"/>
  <c r="CY5" i="23"/>
  <c r="AM5" i="23"/>
  <c r="DY4" i="23"/>
  <c r="BM4" i="23"/>
  <c r="EQ5" i="22"/>
  <c r="CE5" i="22"/>
  <c r="S5" i="22"/>
  <c r="DE4" i="22"/>
  <c r="AS4" i="22"/>
  <c r="EE5" i="21"/>
  <c r="BS5" i="21"/>
  <c r="G5" i="21"/>
  <c r="BR5" i="23"/>
  <c r="AB4" i="22"/>
  <c r="Q5" i="26"/>
  <c r="DC4" i="26"/>
  <c r="AQ4" i="26"/>
  <c r="EC5" i="25"/>
  <c r="BQ5" i="25"/>
  <c r="E5" i="25"/>
  <c r="CQ4" i="25"/>
  <c r="AE4" i="25"/>
  <c r="DQ5" i="24"/>
  <c r="BE5" i="24"/>
  <c r="EQ4" i="24"/>
  <c r="DD4" i="26"/>
  <c r="BV5" i="24"/>
  <c r="CM4" i="24"/>
  <c r="AA4" i="24"/>
  <c r="DM5" i="23"/>
  <c r="BA5" i="23"/>
  <c r="EM4" i="23"/>
  <c r="CA4" i="23"/>
  <c r="O4" i="23"/>
  <c r="DA5" i="22"/>
  <c r="AO5" i="22"/>
  <c r="EA4" i="22"/>
  <c r="BO4" i="22"/>
  <c r="C4" i="22"/>
  <c r="CO5" i="21"/>
  <c r="AC5" i="21"/>
  <c r="DJ5" i="27"/>
  <c r="ED5" i="25"/>
  <c r="EH4" i="24"/>
  <c r="BV4" i="24"/>
  <c r="J4" i="24"/>
  <c r="CV5" i="23"/>
  <c r="AJ5" i="23"/>
  <c r="DV4" i="23"/>
  <c r="BJ4" i="23"/>
  <c r="EV5" i="22"/>
  <c r="CJ5" i="22"/>
  <c r="X5" i="22"/>
  <c r="DJ4" i="22"/>
  <c r="AX4" i="22"/>
  <c r="EJ5" i="21"/>
  <c r="BX5" i="21"/>
  <c r="L5" i="21"/>
  <c r="BN5" i="26"/>
  <c r="X4" i="25"/>
  <c r="DA4" i="24"/>
  <c r="AO4" i="24"/>
  <c r="DS5" i="23"/>
  <c r="BG5" i="23"/>
  <c r="ES4" i="23"/>
  <c r="CG4" i="23"/>
  <c r="U4" i="23"/>
  <c r="DG5" i="22"/>
  <c r="AU5" i="22"/>
  <c r="EG4" i="22"/>
  <c r="BU4" i="22"/>
  <c r="I4" i="22"/>
  <c r="CM5" i="21"/>
  <c r="AA5" i="21"/>
  <c r="X4" i="27"/>
  <c r="EN4" i="25"/>
  <c r="DP4" i="24"/>
  <c r="BD4" i="24"/>
  <c r="EP5" i="23"/>
  <c r="CD5" i="23"/>
  <c r="R5" i="23"/>
  <c r="DD4" i="23"/>
  <c r="AR4" i="23"/>
  <c r="ED5" i="22"/>
  <c r="BR5" i="22"/>
  <c r="F5" i="22"/>
  <c r="CR4" i="22"/>
  <c r="AF4" i="22"/>
  <c r="DR5" i="21"/>
  <c r="BF5" i="21"/>
  <c r="ER4" i="21"/>
  <c r="BX4" i="26"/>
  <c r="AP5" i="24"/>
  <c r="CI4" i="24"/>
  <c r="W4" i="24"/>
  <c r="DI5" i="23"/>
  <c r="AW5" i="23"/>
  <c r="EI4" i="23"/>
  <c r="BW4" i="23"/>
  <c r="K4" i="23"/>
  <c r="CW5" i="22"/>
  <c r="AK5" i="22"/>
  <c r="DW4" i="22"/>
  <c r="BK4" i="22"/>
  <c r="EW5" i="21"/>
  <c r="CK5" i="21"/>
  <c r="Y5" i="21"/>
  <c r="H4" i="27"/>
  <c r="DX4" i="25"/>
  <c r="DF4" i="24"/>
  <c r="AT4" i="24"/>
  <c r="EF5" i="23"/>
  <c r="BT5" i="23"/>
  <c r="H5" i="23"/>
  <c r="CT4" i="23"/>
  <c r="AH4" i="23"/>
  <c r="DT5" i="22"/>
  <c r="BH5" i="22"/>
  <c r="ET4" i="22"/>
  <c r="CH4" i="22"/>
  <c r="V4" i="22"/>
  <c r="DH5" i="21"/>
  <c r="AV5" i="21"/>
  <c r="EH4" i="21"/>
  <c r="CP5" i="25"/>
  <c r="EC4" i="24"/>
  <c r="BQ4" i="24"/>
  <c r="E4" i="24"/>
  <c r="CQ5" i="23"/>
  <c r="AE5" i="23"/>
  <c r="DQ4" i="23"/>
  <c r="BE4" i="23"/>
  <c r="EI5" i="22"/>
  <c r="BW5" i="22"/>
  <c r="K5" i="22"/>
  <c r="CW4" i="22"/>
  <c r="AK4" i="22"/>
  <c r="DW5" i="21"/>
  <c r="BK5" i="21"/>
  <c r="EW4" i="21"/>
  <c r="F5" i="23"/>
  <c r="B5" i="22"/>
  <c r="DF4" i="21"/>
  <c r="AT4" i="21"/>
  <c r="EF5" i="20"/>
  <c r="BT5" i="20"/>
  <c r="H5" i="20"/>
  <c r="CT4" i="20"/>
  <c r="AH4" i="20"/>
  <c r="DT5" i="19"/>
  <c r="BH5" i="19"/>
  <c r="ET4" i="19"/>
  <c r="CH4" i="19"/>
  <c r="V4" i="19"/>
  <c r="DH5" i="18"/>
  <c r="AV5" i="18"/>
  <c r="EH4" i="18"/>
  <c r="BV4" i="18"/>
  <c r="J4" i="18"/>
  <c r="CV5" i="17"/>
  <c r="AJ5" i="17"/>
  <c r="DV4" i="17"/>
  <c r="BJ4" i="17"/>
  <c r="EV5" i="16"/>
  <c r="CJ5" i="16"/>
  <c r="X5" i="16"/>
  <c r="DJ4" i="16"/>
  <c r="AX4" i="16"/>
  <c r="EJ5" i="15"/>
  <c r="BX5" i="15"/>
  <c r="L5" i="15"/>
  <c r="CX4" i="15"/>
  <c r="EV4" i="23"/>
  <c r="DN5" i="21"/>
  <c r="CO4" i="21"/>
  <c r="AC4" i="21"/>
  <c r="DO5" i="20"/>
  <c r="BC5" i="20"/>
  <c r="EO4" i="20"/>
  <c r="CC4" i="20"/>
  <c r="Q4" i="20"/>
  <c r="CU5" i="19"/>
  <c r="AI5" i="19"/>
  <c r="DU4" i="19"/>
  <c r="BI4" i="19"/>
  <c r="EU5" i="18"/>
  <c r="CI5" i="18"/>
  <c r="W5" i="18"/>
  <c r="DI4" i="18"/>
  <c r="AW4" i="18"/>
  <c r="EA5" i="17"/>
  <c r="BO5" i="17"/>
  <c r="C5" i="17"/>
  <c r="CO4" i="17"/>
  <c r="AC4" i="17"/>
  <c r="DO5" i="16"/>
  <c r="BC5" i="16"/>
  <c r="EO4" i="16"/>
  <c r="CC4" i="16"/>
  <c r="Q4" i="16"/>
  <c r="CU5" i="15"/>
  <c r="T4" i="24"/>
  <c r="EJ4" i="22"/>
  <c r="DL4" i="21"/>
  <c r="AZ4" i="21"/>
  <c r="EL5" i="20"/>
  <c r="BZ5" i="20"/>
  <c r="N5" i="20"/>
  <c r="CZ4" i="20"/>
  <c r="AN4" i="20"/>
  <c r="DZ5" i="19"/>
  <c r="BN5" i="19"/>
  <c r="B5" i="19"/>
  <c r="CN4" i="19"/>
  <c r="AB4" i="19"/>
  <c r="DN5" i="18"/>
  <c r="BB5" i="18"/>
  <c r="EN4" i="18"/>
  <c r="CB4" i="18"/>
  <c r="P4" i="18"/>
  <c r="CH5" i="25"/>
  <c r="H4" i="23"/>
  <c r="EL4" i="21"/>
  <c r="BW4" i="21"/>
  <c r="K4" i="21"/>
  <c r="CW5" i="20"/>
  <c r="AK5" i="20"/>
  <c r="DW4" i="20"/>
  <c r="BK4" i="20"/>
  <c r="EW5" i="19"/>
  <c r="CK5" i="19"/>
  <c r="Y5" i="19"/>
  <c r="DK4" i="19"/>
  <c r="AY4" i="19"/>
  <c r="EK5" i="18"/>
  <c r="BY5" i="18"/>
  <c r="M5" i="18"/>
  <c r="CY4" i="18"/>
  <c r="AM4" i="18"/>
  <c r="DY5" i="17"/>
  <c r="BM5" i="17"/>
  <c r="A5" i="17"/>
  <c r="CM4" i="17"/>
  <c r="AA4" i="17"/>
  <c r="DM5" i="16"/>
  <c r="BA5" i="16"/>
  <c r="EM4" i="16"/>
  <c r="CA4" i="16"/>
  <c r="O4" i="16"/>
  <c r="DA5" i="15"/>
  <c r="AO5" i="15"/>
  <c r="EA4" i="15"/>
  <c r="D4" i="24"/>
  <c r="BH4" i="22"/>
  <c r="CT4" i="21"/>
  <c r="AH4" i="21"/>
  <c r="DT5" i="20"/>
  <c r="BH5" i="20"/>
  <c r="ET4" i="20"/>
  <c r="CH4" i="20"/>
  <c r="V4" i="20"/>
  <c r="DH5" i="19"/>
  <c r="AV5" i="19"/>
  <c r="EH4" i="19"/>
  <c r="BV4" i="19"/>
  <c r="J4" i="19"/>
  <c r="CV5" i="18"/>
  <c r="AJ5" i="18"/>
  <c r="DV4" i="18"/>
  <c r="BJ4" i="18"/>
  <c r="EV5" i="17"/>
  <c r="CJ5" i="17"/>
  <c r="X5" i="17"/>
  <c r="DJ4" i="17"/>
  <c r="AX4" i="17"/>
  <c r="EJ5" i="16"/>
  <c r="BX5" i="16"/>
  <c r="L5" i="16"/>
  <c r="CX4" i="16"/>
  <c r="AL4" i="16"/>
  <c r="DX5" i="15"/>
  <c r="BL5" i="15"/>
  <c r="EX4" i="15"/>
  <c r="CL4" i="15"/>
  <c r="BD4" i="23"/>
  <c r="V5" i="21"/>
  <c r="CC4" i="21"/>
  <c r="Q4" i="21"/>
  <c r="CU5" i="20"/>
  <c r="AI5" i="20"/>
  <c r="DU4" i="20"/>
  <c r="BI4" i="20"/>
  <c r="EU5" i="19"/>
  <c r="CI5" i="19"/>
  <c r="W5" i="19"/>
  <c r="DI4" i="19"/>
  <c r="AW4" i="19"/>
  <c r="EA5" i="18"/>
  <c r="BO5" i="18"/>
  <c r="C5" i="18"/>
  <c r="CO4" i="18"/>
  <c r="AC4" i="18"/>
  <c r="DO5" i="17"/>
  <c r="BC5" i="17"/>
  <c r="EO4" i="17"/>
  <c r="CC4" i="17"/>
  <c r="Q4" i="17"/>
  <c r="CU5" i="16"/>
  <c r="AI5" i="16"/>
  <c r="DU4" i="16"/>
  <c r="BI4" i="16"/>
  <c r="EU5" i="15"/>
  <c r="CI5" i="15"/>
  <c r="DL4" i="24"/>
  <c r="CD5" i="22"/>
  <c r="DX4" i="21"/>
  <c r="BL4" i="21"/>
  <c r="EX5" i="20"/>
  <c r="CL5" i="20"/>
  <c r="Z5" i="20"/>
  <c r="DL4" i="20"/>
  <c r="AZ4" i="20"/>
  <c r="EL5" i="19"/>
  <c r="BZ5" i="19"/>
  <c r="N5" i="19"/>
  <c r="CZ4" i="19"/>
  <c r="AN4" i="19"/>
  <c r="DZ5" i="18"/>
  <c r="BN5" i="18"/>
  <c r="B5" i="18"/>
  <c r="CN4" i="18"/>
  <c r="AB4" i="18"/>
  <c r="DN5" i="17"/>
  <c r="BB5" i="17"/>
  <c r="EN4" i="17"/>
  <c r="CB4" i="17"/>
  <c r="P4" i="17"/>
  <c r="DB5" i="16"/>
  <c r="AP5" i="16"/>
  <c r="EB4" i="16"/>
  <c r="BP4" i="16"/>
  <c r="D4" i="16"/>
  <c r="CP5" i="15"/>
  <c r="AJ4" i="22"/>
  <c r="EK5" i="19"/>
  <c r="CU4" i="18"/>
  <c r="CF4" i="17"/>
  <c r="EI4" i="16"/>
  <c r="AY5" i="15"/>
  <c r="CW4" i="15"/>
  <c r="AH4" i="15"/>
  <c r="DT5" i="14"/>
  <c r="BH5" i="14"/>
  <c r="ET4" i="14"/>
  <c r="CH4" i="14"/>
  <c r="V4" i="14"/>
  <c r="DH5" i="13"/>
  <c r="AV5" i="13"/>
  <c r="EH4" i="13"/>
  <c r="BV4" i="13"/>
  <c r="J4" i="13"/>
  <c r="CV5" i="12"/>
  <c r="AJ5" i="12"/>
  <c r="DV4" i="12"/>
  <c r="BJ4" i="12"/>
  <c r="EV5" i="11"/>
  <c r="CJ5" i="11"/>
  <c r="X5" i="11"/>
  <c r="DJ4" i="11"/>
  <c r="AX4" i="11"/>
  <c r="EJ5" i="10"/>
  <c r="BX5" i="10"/>
  <c r="L5" i="10"/>
  <c r="CX4" i="10"/>
  <c r="AL4" i="10"/>
  <c r="EG5" i="20"/>
  <c r="CQ4" i="19"/>
  <c r="CG5" i="17"/>
  <c r="EL5" i="16"/>
  <c r="AN4" i="16"/>
  <c r="J5" i="15"/>
  <c r="BU4" i="15"/>
  <c r="I4" i="15"/>
  <c r="CM5" i="14"/>
  <c r="AA5" i="14"/>
  <c r="DM4" i="14"/>
  <c r="BA4" i="14"/>
  <c r="EM5" i="13"/>
  <c r="CA5" i="13"/>
  <c r="O5" i="13"/>
  <c r="DA4" i="13"/>
  <c r="AO4" i="13"/>
  <c r="DS5" i="12"/>
  <c r="BG5" i="12"/>
  <c r="ES4" i="12"/>
  <c r="CG4" i="12"/>
  <c r="CN4" i="22"/>
  <c r="CX4" i="21"/>
  <c r="AL4" i="21"/>
  <c r="DX5" i="20"/>
  <c r="BL5" i="20"/>
  <c r="EX4" i="20"/>
  <c r="CL4" i="20"/>
  <c r="Z4" i="20"/>
  <c r="DL5" i="19"/>
  <c r="AZ5" i="19"/>
  <c r="EL4" i="19"/>
  <c r="BZ4" i="19"/>
  <c r="N4" i="19"/>
  <c r="CZ5" i="18"/>
  <c r="AN5" i="18"/>
  <c r="DZ4" i="18"/>
  <c r="BN4" i="18"/>
  <c r="B4" i="18"/>
  <c r="CN5" i="17"/>
  <c r="AB5" i="17"/>
  <c r="DN4" i="17"/>
  <c r="BB4" i="17"/>
  <c r="EN5" i="16"/>
  <c r="CB5" i="16"/>
  <c r="P5" i="16"/>
  <c r="DB4" i="16"/>
  <c r="AP4" i="16"/>
  <c r="EB5" i="15"/>
  <c r="BP5" i="15"/>
  <c r="D5" i="15"/>
  <c r="CP4" i="15"/>
  <c r="CJ4" i="23"/>
  <c r="BB5" i="21"/>
  <c r="CG4" i="21"/>
  <c r="U4" i="21"/>
  <c r="DG5" i="20"/>
  <c r="AU5" i="20"/>
  <c r="EG4" i="20"/>
  <c r="BU4" i="20"/>
  <c r="I4" i="20"/>
  <c r="CM5" i="19"/>
  <c r="AA5" i="19"/>
  <c r="DM4" i="19"/>
  <c r="BA4" i="19"/>
  <c r="EM5" i="18"/>
  <c r="CA5" i="18"/>
  <c r="O5" i="18"/>
  <c r="DA4" i="18"/>
  <c r="AO4" i="18"/>
  <c r="DS5" i="17"/>
  <c r="BG5" i="17"/>
  <c r="ES4" i="17"/>
  <c r="CG4" i="17"/>
  <c r="U4" i="17"/>
  <c r="DG5" i="16"/>
  <c r="AU5" i="16"/>
  <c r="EG4" i="16"/>
  <c r="BU4" i="16"/>
  <c r="I4" i="16"/>
  <c r="CM5" i="15"/>
  <c r="DN5" i="23"/>
  <c r="BX4" i="22"/>
  <c r="DD4" i="21"/>
  <c r="AR4" i="21"/>
  <c r="ED5" i="20"/>
  <c r="BR5" i="20"/>
  <c r="F5" i="20"/>
  <c r="CR4" i="20"/>
  <c r="AF4" i="20"/>
  <c r="DR5" i="19"/>
  <c r="BF5" i="19"/>
  <c r="ER4" i="19"/>
  <c r="CF4" i="19"/>
  <c r="T4" i="19"/>
  <c r="DF5" i="18"/>
  <c r="AT5" i="18"/>
  <c r="EF4" i="18"/>
  <c r="BT4" i="18"/>
  <c r="H4" i="18"/>
  <c r="EJ4" i="24"/>
  <c r="DB5" i="22"/>
  <c r="EB4" i="21"/>
  <c r="BO4" i="21"/>
  <c r="C4" i="21"/>
  <c r="CO5" i="20"/>
  <c r="AC5" i="20"/>
  <c r="DO4" i="20"/>
  <c r="BC4" i="20"/>
  <c r="EO5" i="19"/>
  <c r="CC5" i="19"/>
  <c r="Q5" i="19"/>
  <c r="DC4" i="19"/>
  <c r="AQ4" i="19"/>
  <c r="EC5" i="18"/>
  <c r="BQ5" i="18"/>
  <c r="E5" i="18"/>
  <c r="CQ4" i="18"/>
  <c r="AE4" i="18"/>
  <c r="DQ5" i="17"/>
  <c r="BE5" i="17"/>
  <c r="EQ4" i="17"/>
  <c r="CE4" i="17"/>
  <c r="S4" i="17"/>
  <c r="DE5" i="16"/>
  <c r="AS5" i="16"/>
  <c r="EE4" i="16"/>
  <c r="BS4" i="16"/>
  <c r="G4" i="16"/>
  <c r="CS5" i="15"/>
  <c r="AG5" i="15"/>
  <c r="DS4" i="15"/>
  <c r="CX5" i="23"/>
  <c r="CP5" i="21"/>
  <c r="CL4" i="21"/>
  <c r="Z4" i="21"/>
  <c r="DL5" i="20"/>
  <c r="AZ5" i="20"/>
  <c r="EL4" i="20"/>
  <c r="BZ4" i="20"/>
  <c r="N4" i="20"/>
  <c r="CZ5" i="19"/>
  <c r="AN5" i="19"/>
  <c r="DZ4" i="19"/>
  <c r="BN4" i="19"/>
  <c r="B4" i="19"/>
  <c r="CN5" i="18"/>
  <c r="AB5" i="18"/>
  <c r="DN4" i="18"/>
  <c r="BB4" i="18"/>
  <c r="EN5" i="17"/>
  <c r="CB5" i="17"/>
  <c r="P5" i="17"/>
  <c r="DB4" i="17"/>
  <c r="AP4" i="17"/>
  <c r="EB5" i="16"/>
  <c r="BP5" i="16"/>
  <c r="D5" i="16"/>
  <c r="CP4" i="16"/>
  <c r="AD4" i="16"/>
  <c r="DP5" i="15"/>
  <c r="BD5" i="15"/>
  <c r="EP4" i="15"/>
  <c r="CL5" i="26"/>
  <c r="EX5" i="22"/>
  <c r="EJ4" i="21"/>
  <c r="BU4" i="21"/>
  <c r="I4" i="21"/>
  <c r="CM5" i="20"/>
  <c r="AA5" i="20"/>
  <c r="DM4" i="20"/>
  <c r="BA4" i="20"/>
  <c r="EM5" i="19"/>
  <c r="CA5" i="19"/>
  <c r="O5" i="19"/>
  <c r="DA4" i="19"/>
  <c r="AO4" i="19"/>
  <c r="DS5" i="18"/>
  <c r="BG5" i="18"/>
  <c r="ES4" i="18"/>
  <c r="CG4" i="18"/>
  <c r="U4" i="18"/>
  <c r="DG5" i="17"/>
  <c r="AU5" i="17"/>
  <c r="EG4" i="17"/>
  <c r="BU4" i="17"/>
  <c r="I4" i="17"/>
  <c r="CM5" i="16"/>
  <c r="AA5" i="16"/>
  <c r="DM4" i="16"/>
  <c r="BA4" i="16"/>
  <c r="EM5" i="15"/>
  <c r="CA5" i="15"/>
  <c r="AZ4" i="24"/>
  <c r="R5" i="22"/>
  <c r="DP4" i="21"/>
  <c r="BD4" i="21"/>
  <c r="EP5" i="20"/>
  <c r="CD5" i="20"/>
  <c r="R5" i="20"/>
  <c r="DD4" i="20"/>
  <c r="AR4" i="20"/>
  <c r="ED5" i="19"/>
  <c r="BR5" i="19"/>
  <c r="F5" i="19"/>
  <c r="CR4" i="19"/>
  <c r="AF4" i="19"/>
  <c r="DR5" i="18"/>
  <c r="BF5" i="18"/>
  <c r="ER4" i="18"/>
  <c r="CF4" i="18"/>
  <c r="T4" i="18"/>
  <c r="DF5" i="17"/>
  <c r="AT5" i="17"/>
  <c r="EF4" i="17"/>
  <c r="BT4" i="17"/>
  <c r="H4" i="17"/>
  <c r="CT5" i="16"/>
  <c r="AH5" i="16"/>
  <c r="DT4" i="16"/>
  <c r="BH4" i="16"/>
  <c r="ET5" i="15"/>
  <c r="CH5" i="15"/>
  <c r="DG4" i="21"/>
  <c r="BY5" i="19"/>
  <c r="AI4" i="18"/>
  <c r="AZ4" i="17"/>
  <c r="DC4" i="16"/>
  <c r="AK5" i="15"/>
  <c r="CM4" i="15"/>
  <c r="Z4" i="15"/>
  <c r="DL5" i="14"/>
  <c r="AZ5" i="14"/>
  <c r="EL4" i="14"/>
  <c r="BZ4" i="14"/>
  <c r="N4" i="14"/>
  <c r="CZ5" i="13"/>
  <c r="AN5" i="13"/>
  <c r="DZ4" i="13"/>
  <c r="BN4" i="13"/>
  <c r="B4" i="13"/>
  <c r="CN5" i="12"/>
  <c r="AB5" i="12"/>
  <c r="DN4" i="12"/>
  <c r="BB4" i="12"/>
  <c r="EN5" i="11"/>
  <c r="CB5" i="11"/>
  <c r="P5" i="11"/>
  <c r="DB4" i="11"/>
  <c r="AP4" i="11"/>
  <c r="EB5" i="10"/>
  <c r="BP5" i="10"/>
  <c r="D5" i="10"/>
  <c r="CP4" i="10"/>
  <c r="AD4" i="10"/>
  <c r="BU5" i="20"/>
  <c r="AE4" i="19"/>
  <c r="BA5" i="17"/>
  <c r="DF5" i="16"/>
  <c r="H4" i="16"/>
  <c r="EU4" i="15"/>
  <c r="BM4" i="15"/>
  <c r="EQ5" i="14"/>
  <c r="CE5" i="14"/>
  <c r="S5" i="14"/>
  <c r="DE4" i="14"/>
  <c r="AS4" i="14"/>
  <c r="EE5" i="13"/>
  <c r="BS5" i="13"/>
  <c r="G5" i="13"/>
  <c r="CS4" i="13"/>
  <c r="AG4" i="13"/>
  <c r="DK5" i="12"/>
  <c r="AY5" i="12"/>
  <c r="EK4" i="12"/>
  <c r="BY4" i="12"/>
  <c r="DV5" i="21"/>
  <c r="CP4" i="21"/>
  <c r="AD4" i="21"/>
  <c r="DP5" i="20"/>
  <c r="BD5" i="20"/>
  <c r="EP4" i="20"/>
  <c r="CD4" i="20"/>
  <c r="R4" i="20"/>
  <c r="DD5" i="19"/>
  <c r="AR5" i="19"/>
  <c r="ED4" i="19"/>
  <c r="BR4" i="19"/>
  <c r="F4" i="19"/>
  <c r="CR5" i="18"/>
  <c r="AF5" i="18"/>
  <c r="DR4" i="18"/>
  <c r="BF4" i="18"/>
  <c r="ER5" i="17"/>
  <c r="CF5" i="17"/>
  <c r="T5" i="17"/>
  <c r="DF4" i="17"/>
  <c r="AT4" i="17"/>
  <c r="EF5" i="16"/>
  <c r="BT5" i="16"/>
  <c r="H5" i="16"/>
  <c r="CT4" i="16"/>
  <c r="AH4" i="16"/>
  <c r="DT5" i="15"/>
  <c r="BH5" i="15"/>
  <c r="ET4" i="15"/>
  <c r="S5" i="27"/>
  <c r="X4" i="23"/>
  <c r="EO4" i="21"/>
  <c r="BY4" i="21"/>
  <c r="M4" i="21"/>
  <c r="CY5" i="20"/>
  <c r="AM5" i="20"/>
  <c r="DY4" i="20"/>
  <c r="BM4" i="20"/>
  <c r="EQ5" i="19"/>
  <c r="CE5" i="19"/>
  <c r="S5" i="19"/>
  <c r="DE4" i="19"/>
  <c r="AS4" i="19"/>
  <c r="EE5" i="18"/>
  <c r="BS5" i="18"/>
  <c r="G5" i="18"/>
  <c r="CS4" i="18"/>
  <c r="AG4" i="18"/>
  <c r="DK5" i="17"/>
  <c r="AY5" i="17"/>
  <c r="EK4" i="17"/>
  <c r="BY4" i="17"/>
  <c r="M4" i="17"/>
  <c r="CY5" i="16"/>
  <c r="AM5" i="16"/>
  <c r="DY4" i="16"/>
  <c r="BM4" i="16"/>
  <c r="EQ5" i="15"/>
  <c r="CE5" i="15"/>
  <c r="BB5" i="23"/>
  <c r="L4" i="22"/>
  <c r="CV4" i="21"/>
  <c r="AJ4" i="21"/>
  <c r="DV5" i="20"/>
  <c r="BJ5" i="20"/>
  <c r="EV4" i="20"/>
  <c r="CJ4" i="20"/>
  <c r="X4" i="20"/>
  <c r="DJ5" i="19"/>
  <c r="AX5" i="19"/>
  <c r="EJ4" i="19"/>
  <c r="BX4" i="19"/>
  <c r="L4" i="19"/>
  <c r="CX5" i="18"/>
  <c r="AL5" i="18"/>
  <c r="DX4" i="18"/>
  <c r="BL4" i="18"/>
  <c r="EX5" i="17"/>
  <c r="BX4" i="24"/>
  <c r="AP5" i="22"/>
  <c r="DS4" i="21"/>
  <c r="BG4" i="21"/>
  <c r="ES5" i="20"/>
  <c r="CG5" i="20"/>
  <c r="U5" i="20"/>
  <c r="DG4" i="20"/>
  <c r="AU4" i="20"/>
  <c r="EG5" i="19"/>
  <c r="BU5" i="19"/>
  <c r="I5" i="19"/>
  <c r="CU4" i="19"/>
  <c r="AI4" i="19"/>
  <c r="DU5" i="18"/>
  <c r="BI5" i="18"/>
  <c r="EU4" i="18"/>
  <c r="CI4" i="18"/>
  <c r="W4" i="18"/>
  <c r="DI5" i="17"/>
  <c r="AW5" i="17"/>
  <c r="EI4" i="17"/>
  <c r="BW4" i="17"/>
  <c r="K4" i="17"/>
  <c r="CW5" i="16"/>
  <c r="AK5" i="16"/>
  <c r="DW4" i="16"/>
  <c r="BK4" i="16"/>
  <c r="EW5" i="15"/>
  <c r="CK5" i="15"/>
  <c r="Y5" i="15"/>
  <c r="DK4" i="15"/>
  <c r="AL5" i="23"/>
  <c r="AD5" i="21"/>
  <c r="CD4" i="21"/>
  <c r="R4" i="21"/>
  <c r="DD5" i="20"/>
  <c r="AR5" i="20"/>
  <c r="ED4" i="20"/>
  <c r="BR4" i="20"/>
  <c r="F4" i="20"/>
  <c r="CR5" i="19"/>
  <c r="AF5" i="19"/>
  <c r="DR4" i="19"/>
  <c r="BF4" i="19"/>
  <c r="ER5" i="18"/>
  <c r="CF5" i="18"/>
  <c r="T5" i="18"/>
  <c r="DF4" i="18"/>
  <c r="AT4" i="18"/>
  <c r="EF5" i="17"/>
  <c r="BT5" i="17"/>
  <c r="H5" i="17"/>
  <c r="CT4" i="17"/>
  <c r="AH4" i="17"/>
  <c r="DT5" i="16"/>
  <c r="BH5" i="16"/>
  <c r="ET4" i="16"/>
  <c r="CH4" i="16"/>
  <c r="V4" i="16"/>
  <c r="DH5" i="15"/>
  <c r="AV5" i="15"/>
  <c r="EH4" i="15"/>
  <c r="DH4" i="25"/>
  <c r="CL5" i="22"/>
  <c r="DY4" i="21"/>
  <c r="BM4" i="21"/>
  <c r="EQ5" i="20"/>
  <c r="CE5" i="20"/>
  <c r="S5" i="20"/>
  <c r="DE4" i="20"/>
  <c r="AS4" i="20"/>
  <c r="EE5" i="19"/>
  <c r="BS5" i="19"/>
  <c r="G5" i="19"/>
  <c r="CS4" i="19"/>
  <c r="AG4" i="19"/>
  <c r="DK5" i="18"/>
  <c r="AY5" i="18"/>
  <c r="EK4" i="18"/>
  <c r="BY4" i="18"/>
  <c r="M4" i="18"/>
  <c r="CY5" i="17"/>
  <c r="AM5" i="17"/>
  <c r="DY4" i="17"/>
  <c r="BM4" i="17"/>
  <c r="EQ5" i="16"/>
  <c r="CE5" i="16"/>
  <c r="S5" i="16"/>
  <c r="DE4" i="16"/>
  <c r="AS4" i="16"/>
  <c r="EE5" i="15"/>
  <c r="BS5" i="15"/>
  <c r="ET5" i="23"/>
  <c r="DD4" i="22"/>
  <c r="DH4" i="21"/>
  <c r="AV4" i="21"/>
  <c r="EH5" i="20"/>
  <c r="BV5" i="20"/>
  <c r="J5" i="20"/>
  <c r="CV4" i="20"/>
  <c r="AJ4" i="20"/>
  <c r="DV5" i="19"/>
  <c r="BJ5" i="19"/>
  <c r="EV4" i="19"/>
  <c r="CJ4" i="19"/>
  <c r="X4" i="19"/>
  <c r="DJ5" i="18"/>
  <c r="AX5" i="18"/>
  <c r="EJ4" i="18"/>
  <c r="BX4" i="18"/>
  <c r="L4" i="18"/>
  <c r="CX5" i="17"/>
  <c r="AL5" i="17"/>
  <c r="DX4" i="17"/>
  <c r="BL4" i="17"/>
  <c r="EX5" i="16"/>
  <c r="CL5" i="16"/>
  <c r="Z5" i="16"/>
  <c r="DL4" i="16"/>
  <c r="AZ4" i="16"/>
  <c r="EL5" i="15"/>
  <c r="BZ5" i="15"/>
  <c r="AU4" i="21"/>
  <c r="M5" i="19"/>
  <c r="EC5" i="17"/>
  <c r="T4" i="17"/>
  <c r="BW4" i="16"/>
  <c r="W5" i="15"/>
  <c r="CD4" i="15"/>
  <c r="R4" i="15"/>
  <c r="DD5" i="14"/>
  <c r="AR5" i="14"/>
  <c r="ED4" i="14"/>
  <c r="BR4" i="14"/>
  <c r="F4" i="14"/>
  <c r="CR5" i="13"/>
  <c r="AF5" i="13"/>
  <c r="DR4" i="13"/>
  <c r="BF4" i="13"/>
  <c r="ER5" i="12"/>
  <c r="CF5" i="12"/>
  <c r="T5" i="12"/>
  <c r="DF4" i="12"/>
  <c r="AT4" i="12"/>
  <c r="EF5" i="11"/>
  <c r="BT5" i="11"/>
  <c r="H5" i="11"/>
  <c r="CT4" i="11"/>
  <c r="AH4" i="11"/>
  <c r="DT5" i="10"/>
  <c r="BH5" i="10"/>
  <c r="ET4" i="10"/>
  <c r="CH4" i="10"/>
  <c r="V4" i="10"/>
  <c r="I5" i="20"/>
  <c r="DY5" i="18"/>
  <c r="U5" i="17"/>
  <c r="BZ5" i="16"/>
  <c r="EC5" i="15"/>
  <c r="EG4" i="15"/>
  <c r="BE4" i="15"/>
  <c r="EI5" i="14"/>
  <c r="BW5" i="14"/>
  <c r="K5" i="14"/>
  <c r="CW4" i="14"/>
  <c r="AK4" i="14"/>
  <c r="DW5" i="13"/>
  <c r="BK5" i="13"/>
  <c r="EW4" i="13"/>
  <c r="CK4" i="13"/>
  <c r="Y4" i="13"/>
  <c r="DC5" i="12"/>
  <c r="AQ5" i="12"/>
  <c r="EC4" i="12"/>
  <c r="BQ4" i="12"/>
  <c r="BJ5" i="21"/>
  <c r="CH4" i="21"/>
  <c r="V4" i="21"/>
  <c r="DH5" i="20"/>
  <c r="AV5" i="20"/>
  <c r="EH4" i="20"/>
  <c r="BV4" i="20"/>
  <c r="J4" i="20"/>
  <c r="CV5" i="19"/>
  <c r="AJ5" i="19"/>
  <c r="DV4" i="19"/>
  <c r="BJ4" i="19"/>
  <c r="EV5" i="18"/>
  <c r="CJ5" i="18"/>
  <c r="X5" i="18"/>
  <c r="DJ4" i="18"/>
  <c r="AX4" i="18"/>
  <c r="EJ5" i="17"/>
  <c r="BX5" i="17"/>
  <c r="L5" i="17"/>
  <c r="CX4" i="17"/>
  <c r="AL4" i="17"/>
  <c r="DX5" i="16"/>
  <c r="BL5" i="16"/>
  <c r="EX4" i="16"/>
  <c r="CL4" i="16"/>
  <c r="Z4" i="16"/>
  <c r="DL5" i="15"/>
  <c r="AZ5" i="15"/>
  <c r="EL4" i="15"/>
  <c r="CD5" i="24"/>
  <c r="DR5" i="22"/>
  <c r="ED4" i="21"/>
  <c r="BQ4" i="21"/>
  <c r="E4" i="21"/>
  <c r="CQ5" i="20"/>
  <c r="AE5" i="20"/>
  <c r="DQ4" i="20"/>
  <c r="BE4" i="20"/>
  <c r="EI5" i="19"/>
  <c r="BW5" i="19"/>
  <c r="K5" i="19"/>
  <c r="CW4" i="19"/>
  <c r="AK4" i="19"/>
  <c r="DW5" i="18"/>
  <c r="BK5" i="18"/>
  <c r="EW4" i="18"/>
  <c r="CK4" i="18"/>
  <c r="Y4" i="18"/>
  <c r="DC5" i="17"/>
  <c r="AQ5" i="17"/>
  <c r="EC4" i="17"/>
  <c r="BQ4" i="17"/>
  <c r="E4" i="17"/>
  <c r="CQ5" i="16"/>
  <c r="AE5" i="16"/>
  <c r="DQ4" i="16"/>
  <c r="BE4" i="16"/>
  <c r="EI5" i="15"/>
  <c r="BW5" i="15"/>
  <c r="EN4" i="23"/>
  <c r="DF5" i="21"/>
  <c r="CN4" i="21"/>
  <c r="AB4" i="21"/>
  <c r="DN5" i="20"/>
  <c r="BB5" i="20"/>
  <c r="EN4" i="20"/>
  <c r="CB4" i="20"/>
  <c r="P4" i="20"/>
  <c r="DB5" i="19"/>
  <c r="AP5" i="19"/>
  <c r="EB4" i="19"/>
  <c r="BP4" i="19"/>
  <c r="D4" i="19"/>
  <c r="CP5" i="18"/>
  <c r="AD5" i="18"/>
  <c r="DP4" i="18"/>
  <c r="BD4" i="18"/>
  <c r="EP5" i="17"/>
  <c r="L4" i="24"/>
  <c r="EB4" i="22"/>
  <c r="DK4" i="21"/>
  <c r="AY4" i="21"/>
  <c r="EK5" i="20"/>
  <c r="BY5" i="20"/>
  <c r="M5" i="20"/>
  <c r="CY4" i="20"/>
  <c r="AM4" i="20"/>
  <c r="DY5" i="19"/>
  <c r="BM5" i="19"/>
  <c r="A5" i="19"/>
  <c r="CM4" i="19"/>
  <c r="AA4" i="19"/>
  <c r="DM5" i="18"/>
  <c r="BA5" i="18"/>
  <c r="EM4" i="18"/>
  <c r="CA4" i="18"/>
  <c r="O4" i="18"/>
  <c r="DA5" i="17"/>
  <c r="AO5" i="17"/>
  <c r="EA4" i="17"/>
  <c r="BO4" i="17"/>
  <c r="C4" i="17"/>
  <c r="CO5" i="16"/>
  <c r="AC5" i="16"/>
  <c r="DO4" i="16"/>
  <c r="BC4" i="16"/>
  <c r="EO5" i="15"/>
  <c r="CC5" i="15"/>
  <c r="Q5" i="15"/>
  <c r="DC4" i="15"/>
  <c r="DX4" i="23"/>
  <c r="EK4" i="21"/>
  <c r="BV4" i="21"/>
  <c r="J4" i="21"/>
  <c r="CV5" i="20"/>
  <c r="AJ5" i="20"/>
  <c r="DV4" i="20"/>
  <c r="BJ4" i="20"/>
  <c r="EV5" i="19"/>
  <c r="CJ5" i="19"/>
  <c r="X5" i="19"/>
  <c r="DJ4" i="19"/>
  <c r="AX4" i="19"/>
  <c r="EJ5" i="18"/>
  <c r="BX5" i="18"/>
  <c r="L5" i="18"/>
  <c r="CX4" i="18"/>
  <c r="AL4" i="18"/>
  <c r="DX5" i="17"/>
  <c r="BL5" i="17"/>
  <c r="EX4" i="17"/>
  <c r="CL4" i="17"/>
  <c r="Z4" i="17"/>
  <c r="DL5" i="16"/>
  <c r="AZ5" i="16"/>
  <c r="EL4" i="16"/>
  <c r="BZ4" i="16"/>
  <c r="N4" i="16"/>
  <c r="CZ5" i="15"/>
  <c r="AN5" i="15"/>
  <c r="DZ4" i="15"/>
  <c r="DT4" i="24"/>
  <c r="Z5" i="22"/>
  <c r="DQ4" i="21"/>
  <c r="BE4" i="21"/>
  <c r="EI5" i="20"/>
  <c r="BW5" i="20"/>
  <c r="K5" i="20"/>
  <c r="CW4" i="20"/>
  <c r="AK4" i="20"/>
  <c r="DW5" i="19"/>
  <c r="BK5" i="19"/>
  <c r="EW4" i="19"/>
  <c r="CK4" i="19"/>
  <c r="Y4" i="19"/>
  <c r="DC5" i="18"/>
  <c r="AQ5" i="18"/>
  <c r="EC4" i="18"/>
  <c r="BQ4" i="18"/>
  <c r="E4" i="18"/>
  <c r="CQ5" i="17"/>
  <c r="AE5" i="17"/>
  <c r="DQ4" i="17"/>
  <c r="BE4" i="17"/>
  <c r="EI5" i="16"/>
  <c r="BW5" i="16"/>
  <c r="K5" i="16"/>
  <c r="CW4" i="16"/>
  <c r="AK4" i="16"/>
  <c r="DW5" i="15"/>
  <c r="BK5" i="15"/>
  <c r="CH5" i="23"/>
  <c r="AR4" i="22"/>
  <c r="CZ4" i="21"/>
  <c r="AN4" i="21"/>
  <c r="DZ5" i="20"/>
  <c r="BN5" i="20"/>
  <c r="B5" i="20"/>
  <c r="CN4" i="20"/>
  <c r="AB4" i="20"/>
  <c r="DN5" i="19"/>
  <c r="BB5" i="19"/>
  <c r="EN4" i="19"/>
  <c r="CB4" i="19"/>
  <c r="P4" i="19"/>
  <c r="DB5" i="18"/>
  <c r="AP5" i="18"/>
  <c r="EB4" i="18"/>
  <c r="BP4" i="18"/>
  <c r="D4" i="18"/>
  <c r="CP5" i="17"/>
  <c r="AD5" i="17"/>
  <c r="DP4" i="17"/>
  <c r="BD4" i="17"/>
  <c r="EP5" i="16"/>
  <c r="CD5" i="16"/>
  <c r="R5" i="16"/>
  <c r="DD4" i="16"/>
  <c r="AR4" i="16"/>
  <c r="ED5" i="15"/>
  <c r="BR5" i="15"/>
  <c r="EO5" i="20"/>
  <c r="CY4" i="19"/>
  <c r="CL5" i="17"/>
  <c r="EO5" i="16"/>
  <c r="AQ4" i="16"/>
  <c r="K5" i="15"/>
  <c r="BV4" i="15"/>
  <c r="J4" i="15"/>
  <c r="CV5" i="14"/>
  <c r="AJ5" i="14"/>
  <c r="DV4" i="14"/>
  <c r="BJ4" i="14"/>
  <c r="EV5" i="13"/>
  <c r="CJ5" i="13"/>
  <c r="X5" i="13"/>
  <c r="DJ4" i="13"/>
  <c r="AX4" i="13"/>
  <c r="EJ5" i="12"/>
  <c r="BX5" i="12"/>
  <c r="L5" i="12"/>
  <c r="CX4" i="12"/>
  <c r="AL4" i="12"/>
  <c r="DX5" i="11"/>
  <c r="BL5" i="11"/>
  <c r="EX4" i="11"/>
  <c r="CL4" i="11"/>
  <c r="Z4" i="11"/>
  <c r="DL5" i="10"/>
  <c r="AZ5" i="10"/>
  <c r="EL4" i="10"/>
  <c r="BZ4" i="10"/>
  <c r="N4" i="10"/>
  <c r="CU4" i="20"/>
  <c r="BM5" i="18"/>
  <c r="EM4" i="17"/>
  <c r="AT5" i="16"/>
  <c r="CW5" i="15"/>
  <c r="DU4" i="15"/>
  <c r="AW4" i="15"/>
  <c r="EA5" i="14"/>
  <c r="BO5" i="14"/>
  <c r="C5" i="14"/>
  <c r="CO4" i="14"/>
  <c r="AC4" i="14"/>
  <c r="DO5" i="13"/>
  <c r="BC5" i="13"/>
  <c r="EO4" i="13"/>
  <c r="CC4" i="13"/>
  <c r="Q4" i="13"/>
  <c r="CU5" i="12"/>
  <c r="AI5" i="12"/>
  <c r="DU4" i="12"/>
  <c r="BI4" i="12"/>
  <c r="EV4" i="21"/>
  <c r="BZ4" i="21"/>
  <c r="N4" i="21"/>
  <c r="CZ5" i="20"/>
  <c r="AN5" i="20"/>
  <c r="DZ4" i="20"/>
  <c r="BN4" i="20"/>
  <c r="B4" i="20"/>
  <c r="CN5" i="19"/>
  <c r="AB5" i="19"/>
  <c r="DN4" i="19"/>
  <c r="BB4" i="19"/>
  <c r="EN5" i="18"/>
  <c r="CB5" i="18"/>
  <c r="P5" i="18"/>
  <c r="DB4" i="18"/>
  <c r="AP4" i="18"/>
  <c r="EB5" i="17"/>
  <c r="BP5" i="17"/>
  <c r="D5" i="17"/>
  <c r="CP4" i="17"/>
  <c r="AD4" i="17"/>
  <c r="DP5" i="16"/>
  <c r="BD5" i="16"/>
  <c r="EP4" i="16"/>
  <c r="CD4" i="16"/>
  <c r="R4" i="16"/>
  <c r="DD5" i="15"/>
  <c r="AR5" i="15"/>
  <c r="ED4" i="15"/>
  <c r="CN4" i="24"/>
  <c r="BF5" i="22"/>
  <c r="DU4" i="21"/>
  <c r="BI4" i="21"/>
  <c r="EU5" i="20"/>
  <c r="CI5" i="20"/>
  <c r="W5" i="20"/>
  <c r="DI4" i="20"/>
  <c r="AW4" i="20"/>
  <c r="EA5" i="19"/>
  <c r="BO5" i="19"/>
  <c r="C5" i="19"/>
  <c r="CO4" i="19"/>
  <c r="AC4" i="19"/>
  <c r="DO5" i="18"/>
  <c r="BC5" i="18"/>
  <c r="EO4" i="18"/>
  <c r="CC4" i="18"/>
  <c r="Q4" i="18"/>
  <c r="CU5" i="17"/>
  <c r="AI5" i="17"/>
  <c r="DU4" i="17"/>
  <c r="BI4" i="17"/>
  <c r="EU5" i="16"/>
  <c r="CI5" i="16"/>
  <c r="W5" i="16"/>
  <c r="DI4" i="16"/>
  <c r="AW4" i="16"/>
  <c r="EA5" i="15"/>
  <c r="BS4" i="27"/>
  <c r="CB4" i="23"/>
  <c r="AT5" i="21"/>
  <c r="CF4" i="21"/>
  <c r="T4" i="21"/>
  <c r="DF5" i="20"/>
  <c r="AT5" i="20"/>
  <c r="EF4" i="20"/>
  <c r="BT4" i="20"/>
  <c r="H4" i="20"/>
  <c r="CT5" i="19"/>
  <c r="AH5" i="19"/>
  <c r="DT4" i="19"/>
  <c r="BH4" i="19"/>
  <c r="ET5" i="18"/>
  <c r="CH5" i="18"/>
  <c r="V5" i="18"/>
  <c r="DH4" i="18"/>
  <c r="AV4" i="18"/>
  <c r="EH5" i="17"/>
  <c r="DF5" i="23"/>
  <c r="BP4" i="22"/>
  <c r="DC4" i="21"/>
  <c r="AQ4" i="21"/>
  <c r="EC5" i="20"/>
  <c r="BQ5" i="20"/>
  <c r="E5" i="20"/>
  <c r="CQ4" i="20"/>
  <c r="AE4" i="20"/>
  <c r="DQ5" i="19"/>
  <c r="BE5" i="19"/>
  <c r="EQ4" i="19"/>
  <c r="CE4" i="19"/>
  <c r="S4" i="19"/>
  <c r="DE5" i="18"/>
  <c r="AS5" i="18"/>
  <c r="EE4" i="18"/>
  <c r="BS4" i="18"/>
  <c r="G4" i="18"/>
  <c r="CS5" i="17"/>
  <c r="AG5" i="17"/>
  <c r="DS4" i="17"/>
  <c r="BG4" i="17"/>
  <c r="ES5" i="16"/>
  <c r="CG5" i="16"/>
  <c r="U5" i="16"/>
  <c r="DG4" i="16"/>
  <c r="AU4" i="16"/>
  <c r="EG5" i="15"/>
  <c r="BU5" i="15"/>
  <c r="I5" i="15"/>
  <c r="EX5" i="26"/>
  <c r="BL4" i="23"/>
  <c r="EA4" i="21"/>
  <c r="BN4" i="21"/>
  <c r="B4" i="21"/>
  <c r="CN5" i="20"/>
  <c r="AB5" i="20"/>
  <c r="DN4" i="20"/>
  <c r="BB4" i="20"/>
  <c r="EN5" i="19"/>
  <c r="CB5" i="19"/>
  <c r="P5" i="19"/>
  <c r="DB4" i="19"/>
  <c r="AP4" i="19"/>
  <c r="EB5" i="18"/>
  <c r="BP5" i="18"/>
  <c r="D5" i="18"/>
  <c r="CP4" i="18"/>
  <c r="AD4" i="18"/>
  <c r="DP5" i="17"/>
  <c r="BD5" i="17"/>
  <c r="EP4" i="17"/>
  <c r="CD4" i="17"/>
  <c r="R4" i="17"/>
  <c r="DD5" i="16"/>
  <c r="AR5" i="16"/>
  <c r="ED4" i="16"/>
  <c r="BR4" i="16"/>
  <c r="F4" i="16"/>
  <c r="CR5" i="15"/>
  <c r="AF5" i="15"/>
  <c r="DR4" i="15"/>
  <c r="BH4" i="24"/>
  <c r="DL4" i="22"/>
  <c r="DI4" i="21"/>
  <c r="AW4" i="21"/>
  <c r="EA5" i="20"/>
  <c r="BO5" i="20"/>
  <c r="C5" i="20"/>
  <c r="CO4" i="20"/>
  <c r="AC4" i="20"/>
  <c r="DO5" i="19"/>
  <c r="BC5" i="19"/>
  <c r="EO4" i="19"/>
  <c r="CC4" i="19"/>
  <c r="Q4" i="19"/>
  <c r="CU5" i="18"/>
  <c r="AI5" i="18"/>
  <c r="DU4" i="18"/>
  <c r="BI4" i="18"/>
  <c r="EU5" i="17"/>
  <c r="CI5" i="17"/>
  <c r="W5" i="17"/>
  <c r="DI4" i="17"/>
  <c r="AW4" i="17"/>
  <c r="EA5" i="16"/>
  <c r="BO5" i="16"/>
  <c r="C5" i="16"/>
  <c r="CO4" i="16"/>
  <c r="AC4" i="16"/>
  <c r="DO5" i="15"/>
  <c r="BC5" i="15"/>
  <c r="V5" i="23"/>
  <c r="EL5" i="21"/>
  <c r="CR4" i="21"/>
  <c r="AF4" i="21"/>
  <c r="DR5" i="20"/>
  <c r="BF5" i="20"/>
  <c r="ER4" i="20"/>
  <c r="CF4" i="20"/>
  <c r="T4" i="20"/>
  <c r="DF5" i="19"/>
  <c r="AT5" i="19"/>
  <c r="EF4" i="19"/>
  <c r="BT4" i="19"/>
  <c r="H4" i="19"/>
  <c r="CT5" i="18"/>
  <c r="AH5" i="18"/>
  <c r="DT4" i="18"/>
  <c r="BH4" i="18"/>
  <c r="ET5" i="17"/>
  <c r="CH5" i="17"/>
  <c r="V5" i="17"/>
  <c r="DH4" i="17"/>
  <c r="AV4" i="17"/>
  <c r="EH5" i="16"/>
  <c r="BV5" i="16"/>
  <c r="J5" i="16"/>
  <c r="CV4" i="16"/>
  <c r="AJ4" i="16"/>
  <c r="DV5" i="15"/>
  <c r="BJ5" i="15"/>
  <c r="CC5" i="20"/>
  <c r="AM4" i="19"/>
  <c r="BF5" i="17"/>
  <c r="DI5" i="16"/>
  <c r="K4" i="16"/>
  <c r="EV4" i="15"/>
  <c r="BN4" i="15"/>
  <c r="B4" i="15"/>
  <c r="CN5" i="14"/>
  <c r="AB5" i="14"/>
  <c r="DN4" i="14"/>
  <c r="BB4" i="14"/>
  <c r="EN5" i="13"/>
  <c r="CB5" i="13"/>
  <c r="P5" i="13"/>
  <c r="DB4" i="13"/>
  <c r="AP4" i="13"/>
  <c r="EB5" i="12"/>
  <c r="BP5" i="12"/>
  <c r="D5" i="12"/>
  <c r="CP4" i="12"/>
  <c r="AD4" i="12"/>
  <c r="DP5" i="11"/>
  <c r="BD5" i="11"/>
  <c r="EP4" i="11"/>
  <c r="CD4" i="11"/>
  <c r="R4" i="11"/>
  <c r="DD5" i="10"/>
  <c r="AR5" i="10"/>
  <c r="ED4" i="10"/>
  <c r="BR4" i="10"/>
  <c r="F4" i="10"/>
  <c r="AI4" i="20"/>
  <c r="A5" i="18"/>
  <c r="DG4" i="17"/>
  <c r="N5" i="16"/>
  <c r="BQ5" i="15"/>
  <c r="DH4" i="15"/>
  <c r="AO4" i="15"/>
  <c r="DS5" i="14"/>
  <c r="BG5" i="14"/>
  <c r="ES4" i="14"/>
  <c r="CG4" i="14"/>
  <c r="U4" i="14"/>
  <c r="DG5" i="13"/>
  <c r="AU5" i="13"/>
  <c r="EG4" i="13"/>
  <c r="BU4" i="13"/>
  <c r="I4" i="13"/>
  <c r="CM5" i="12"/>
  <c r="AA5" i="12"/>
  <c r="DM4" i="12"/>
  <c r="BA4" i="12"/>
  <c r="EF4" i="21"/>
  <c r="BR4" i="21"/>
  <c r="F4" i="21"/>
  <c r="CR5" i="20"/>
  <c r="AF5" i="20"/>
  <c r="DR4" i="20"/>
  <c r="BF4" i="20"/>
  <c r="ER5" i="19"/>
  <c r="CF5" i="19"/>
  <c r="T5" i="19"/>
  <c r="DF4" i="19"/>
  <c r="AT4" i="19"/>
  <c r="EF5" i="18"/>
  <c r="BT5" i="18"/>
  <c r="H5" i="18"/>
  <c r="CT4" i="18"/>
  <c r="AH4" i="18"/>
  <c r="DT5" i="17"/>
  <c r="BH5" i="17"/>
  <c r="ET4" i="17"/>
  <c r="CH4" i="17"/>
  <c r="V4" i="17"/>
  <c r="DH5" i="16"/>
  <c r="AV5" i="16"/>
  <c r="EH4" i="16"/>
  <c r="BV4" i="16"/>
  <c r="J4" i="16"/>
  <c r="CV5" i="15"/>
  <c r="AJ5" i="15"/>
  <c r="DV4" i="15"/>
  <c r="AB4" i="24"/>
  <c r="ER4" i="22"/>
  <c r="DM4" i="21"/>
  <c r="BA4" i="21"/>
  <c r="EM5" i="20"/>
  <c r="CA5" i="20"/>
  <c r="O5" i="20"/>
  <c r="DA4" i="20"/>
  <c r="AO4" i="20"/>
  <c r="DS5" i="19"/>
  <c r="BG5" i="19"/>
  <c r="ES4" i="19"/>
  <c r="CG4" i="19"/>
  <c r="U4" i="19"/>
  <c r="DG5" i="18"/>
  <c r="AU5" i="18"/>
  <c r="EG4" i="18"/>
  <c r="BU4" i="18"/>
  <c r="I4" i="18"/>
  <c r="CM5" i="17"/>
  <c r="AA5" i="17"/>
  <c r="DM4" i="17"/>
  <c r="BA4" i="17"/>
  <c r="EM5" i="16"/>
  <c r="CA5" i="16"/>
  <c r="O5" i="16"/>
  <c r="DA4" i="16"/>
  <c r="AO4" i="16"/>
  <c r="DS5" i="15"/>
  <c r="ET5" i="25"/>
  <c r="P4" i="23"/>
  <c r="EN4" i="21"/>
  <c r="BX4" i="21"/>
  <c r="L4" i="21"/>
  <c r="CX5" i="20"/>
  <c r="AL5" i="20"/>
  <c r="DX4" i="20"/>
  <c r="BL4" i="20"/>
  <c r="EX5" i="19"/>
  <c r="CL5" i="19"/>
  <c r="Z5" i="19"/>
  <c r="DL4" i="19"/>
  <c r="AZ4" i="19"/>
  <c r="EL5" i="18"/>
  <c r="BZ5" i="18"/>
  <c r="N5" i="18"/>
  <c r="CZ4" i="18"/>
  <c r="AN4" i="18"/>
  <c r="DZ5" i="17"/>
  <c r="AT5" i="23"/>
  <c r="D4" i="22"/>
  <c r="CU4" i="21"/>
  <c r="AI4" i="21"/>
  <c r="DU5" i="20"/>
  <c r="BI5" i="20"/>
  <c r="EU4" i="20"/>
  <c r="CI4" i="20"/>
  <c r="W4" i="20"/>
  <c r="DI5" i="19"/>
  <c r="AW5" i="19"/>
  <c r="EI4" i="19"/>
  <c r="BW4" i="19"/>
  <c r="K4" i="19"/>
  <c r="CW5" i="18"/>
  <c r="AK5" i="18"/>
  <c r="DW4" i="18"/>
  <c r="BK4" i="18"/>
  <c r="EW5" i="17"/>
  <c r="CK5" i="17"/>
  <c r="Y5" i="17"/>
  <c r="DK4" i="17"/>
  <c r="AY4" i="17"/>
  <c r="EK5" i="16"/>
  <c r="BY5" i="16"/>
  <c r="M5" i="16"/>
  <c r="CY4" i="16"/>
  <c r="AM4" i="16"/>
  <c r="DY5" i="15"/>
  <c r="BM5" i="15"/>
  <c r="A5" i="15"/>
  <c r="V5" i="25"/>
  <c r="CT5" i="22"/>
  <c r="DR4" i="21"/>
  <c r="BF4" i="21"/>
  <c r="ER5" i="20"/>
  <c r="CF5" i="20"/>
  <c r="T5" i="20"/>
  <c r="DF4" i="20"/>
  <c r="AT4" i="20"/>
  <c r="EF5" i="19"/>
  <c r="BT5" i="19"/>
  <c r="H5" i="19"/>
  <c r="CT4" i="19"/>
  <c r="AH4" i="19"/>
  <c r="DT5" i="18"/>
  <c r="BH5" i="18"/>
  <c r="ET4" i="18"/>
  <c r="CH4" i="18"/>
  <c r="V4" i="18"/>
  <c r="DH5" i="17"/>
  <c r="AV5" i="17"/>
  <c r="EH4" i="17"/>
  <c r="BV4" i="17"/>
  <c r="J4" i="17"/>
  <c r="CV5" i="16"/>
  <c r="AJ5" i="16"/>
  <c r="DV4" i="16"/>
  <c r="BJ4" i="16"/>
  <c r="EV5" i="15"/>
  <c r="CJ5" i="15"/>
  <c r="X5" i="15"/>
  <c r="DJ4" i="15"/>
  <c r="CP5" i="23"/>
  <c r="AZ4" i="22"/>
  <c r="DA4" i="21"/>
  <c r="AO4" i="21"/>
  <c r="DS5" i="20"/>
  <c r="BG5" i="20"/>
  <c r="ES4" i="20"/>
  <c r="CG4" i="20"/>
  <c r="U4" i="20"/>
  <c r="DG5" i="19"/>
  <c r="AU5" i="19"/>
  <c r="EG4" i="19"/>
  <c r="BU4" i="19"/>
  <c r="I4" i="19"/>
  <c r="CM5" i="18"/>
  <c r="AA5" i="18"/>
  <c r="DM4" i="18"/>
  <c r="BA4" i="18"/>
  <c r="EM5" i="17"/>
  <c r="CA5" i="17"/>
  <c r="O5" i="17"/>
  <c r="DA4" i="17"/>
  <c r="AO4" i="17"/>
  <c r="DS5" i="16"/>
  <c r="BG5" i="16"/>
  <c r="ES4" i="16"/>
  <c r="CG4" i="16"/>
  <c r="U4" i="16"/>
  <c r="DG5" i="15"/>
  <c r="AU5" i="15"/>
  <c r="DH4" i="23"/>
  <c r="BZ5" i="21"/>
  <c r="CJ4" i="21"/>
  <c r="X4" i="21"/>
  <c r="DJ5" i="20"/>
  <c r="AX5" i="20"/>
  <c r="EJ4" i="20"/>
  <c r="BX4" i="20"/>
  <c r="L4" i="20"/>
  <c r="CX5" i="19"/>
  <c r="AL5" i="19"/>
  <c r="DX4" i="19"/>
  <c r="BL4" i="19"/>
  <c r="EX5" i="18"/>
  <c r="CL5" i="18"/>
  <c r="Z5" i="18"/>
  <c r="DL4" i="18"/>
  <c r="AZ4" i="18"/>
  <c r="EL5" i="17"/>
  <c r="BZ5" i="17"/>
  <c r="N5" i="17"/>
  <c r="CZ4" i="17"/>
  <c r="AN4" i="17"/>
  <c r="DZ5" i="16"/>
  <c r="BN5" i="16"/>
  <c r="B5" i="16"/>
  <c r="CN4" i="16"/>
  <c r="AB4" i="16"/>
  <c r="DN5" i="15"/>
  <c r="BB5" i="15"/>
  <c r="Q5" i="20"/>
  <c r="EG5" i="18"/>
  <c r="Z5" i="17"/>
  <c r="CC5" i="16"/>
  <c r="EH5" i="15"/>
  <c r="EJ4" i="15"/>
  <c r="BF4" i="15"/>
  <c r="ER5" i="14"/>
  <c r="CF5" i="14"/>
  <c r="T5" i="14"/>
  <c r="DF4" i="14"/>
  <c r="AT4" i="14"/>
  <c r="EF5" i="13"/>
  <c r="BT5" i="13"/>
  <c r="H5" i="13"/>
  <c r="CT4" i="13"/>
  <c r="AH4" i="13"/>
  <c r="DT5" i="12"/>
  <c r="BH5" i="12"/>
  <c r="ET4" i="12"/>
  <c r="CH4" i="12"/>
  <c r="V4" i="12"/>
  <c r="DH5" i="11"/>
  <c r="AV5" i="11"/>
  <c r="EH4" i="11"/>
  <c r="BV4" i="11"/>
  <c r="J4" i="11"/>
  <c r="CV5" i="10"/>
  <c r="AJ5" i="10"/>
  <c r="DV4" i="10"/>
  <c r="BJ4" i="10"/>
  <c r="CZ4" i="23"/>
  <c r="EC5" i="19"/>
  <c r="CM4" i="18"/>
  <c r="CA4" i="17"/>
  <c r="EF4" i="16"/>
  <c r="AX5" i="15"/>
  <c r="CV4" i="15"/>
  <c r="AG4" i="15"/>
  <c r="DK5" i="14"/>
  <c r="AY5" i="14"/>
  <c r="EK4" i="14"/>
  <c r="BY4" i="14"/>
  <c r="M4" i="14"/>
  <c r="CY5" i="13"/>
  <c r="AM5" i="13"/>
  <c r="DY4" i="13"/>
  <c r="BM4" i="13"/>
  <c r="EQ5" i="12"/>
  <c r="CE5" i="12"/>
  <c r="S5" i="12"/>
  <c r="DE4" i="12"/>
  <c r="AS4" i="12"/>
  <c r="DV4" i="21"/>
  <c r="BJ4" i="21"/>
  <c r="EV5" i="20"/>
  <c r="CJ5" i="20"/>
  <c r="X5" i="20"/>
  <c r="DJ4" i="20"/>
  <c r="AX4" i="20"/>
  <c r="EJ5" i="19"/>
  <c r="BX5" i="19"/>
  <c r="L5" i="19"/>
  <c r="CX4" i="19"/>
  <c r="AL4" i="19"/>
  <c r="DX5" i="18"/>
  <c r="BL5" i="18"/>
  <c r="EX4" i="18"/>
  <c r="CL4" i="18"/>
  <c r="Z4" i="18"/>
  <c r="DL5" i="17"/>
  <c r="AZ5" i="17"/>
  <c r="EL4" i="17"/>
  <c r="BZ4" i="17"/>
  <c r="N4" i="17"/>
  <c r="CZ5" i="16"/>
  <c r="AN5" i="16"/>
  <c r="DZ4" i="16"/>
  <c r="BN4" i="16"/>
  <c r="B4" i="16"/>
  <c r="CN5" i="15"/>
  <c r="AB5" i="15"/>
  <c r="DN4" i="15"/>
  <c r="DV5" i="23"/>
  <c r="CF4" i="22"/>
  <c r="DE4" i="21"/>
  <c r="AS4" i="21"/>
  <c r="EE5" i="20"/>
  <c r="BS5" i="20"/>
  <c r="G5" i="20"/>
  <c r="CS4" i="20"/>
  <c r="AG4" i="20"/>
  <c r="DK5" i="19"/>
  <c r="AY5" i="19"/>
  <c r="EK4" i="19"/>
  <c r="BY4" i="19"/>
  <c r="M4" i="19"/>
  <c r="CY5" i="18"/>
  <c r="AM5" i="18"/>
  <c r="DY4" i="18"/>
  <c r="BM4" i="18"/>
  <c r="EQ5" i="17"/>
  <c r="CE5" i="17"/>
  <c r="S5" i="17"/>
  <c r="DE4" i="17"/>
  <c r="AS4" i="17"/>
  <c r="EE5" i="16"/>
  <c r="BS5" i="16"/>
  <c r="G5" i="16"/>
  <c r="CS4" i="16"/>
  <c r="AG4" i="16"/>
  <c r="DK5" i="15"/>
  <c r="R5" i="24"/>
  <c r="DJ5" i="22"/>
  <c r="EC4" i="21"/>
  <c r="BP4" i="21"/>
  <c r="D4" i="21"/>
  <c r="CP5" i="20"/>
  <c r="AD5" i="20"/>
  <c r="DP4" i="20"/>
  <c r="BD4" i="20"/>
  <c r="EP5" i="19"/>
  <c r="CD5" i="19"/>
  <c r="R5" i="19"/>
  <c r="DD4" i="19"/>
  <c r="AR4" i="19"/>
  <c r="ED5" i="18"/>
  <c r="BR5" i="18"/>
  <c r="F5" i="18"/>
  <c r="CR4" i="18"/>
  <c r="AF4" i="18"/>
  <c r="DR5" i="17"/>
  <c r="EF4" i="23"/>
  <c r="CX5" i="21"/>
  <c r="CM4" i="21"/>
  <c r="AA4" i="21"/>
  <c r="DM5" i="20"/>
  <c r="BA5" i="20"/>
  <c r="EM4" i="20"/>
  <c r="CA4" i="20"/>
  <c r="O4" i="20"/>
  <c r="DA5" i="19"/>
  <c r="AO5" i="19"/>
  <c r="EA4" i="19"/>
  <c r="BO4" i="19"/>
  <c r="C4" i="19"/>
  <c r="CO5" i="18"/>
  <c r="AC5" i="18"/>
  <c r="DO4" i="18"/>
  <c r="BC4" i="18"/>
  <c r="EO5" i="17"/>
  <c r="CC5" i="17"/>
  <c r="Q5" i="17"/>
  <c r="DC4" i="17"/>
  <c r="AQ4" i="17"/>
  <c r="EC5" i="16"/>
  <c r="BQ5" i="16"/>
  <c r="E5" i="16"/>
  <c r="CQ4" i="16"/>
  <c r="AE4" i="16"/>
  <c r="DQ5" i="15"/>
  <c r="BE5" i="15"/>
  <c r="EQ4" i="15"/>
  <c r="EB4" i="24"/>
  <c r="AH5" i="22"/>
  <c r="DJ4" i="21"/>
  <c r="AX4" i="21"/>
  <c r="EJ5" i="20"/>
  <c r="BX5" i="20"/>
  <c r="L5" i="20"/>
  <c r="CX4" i="20"/>
  <c r="AL4" i="20"/>
  <c r="DX5" i="19"/>
  <c r="BL5" i="19"/>
  <c r="EX4" i="19"/>
  <c r="CL4" i="19"/>
  <c r="Z4" i="19"/>
  <c r="DL5" i="18"/>
  <c r="AZ5" i="18"/>
  <c r="EL4" i="18"/>
  <c r="BZ4" i="18"/>
  <c r="N4" i="18"/>
  <c r="CZ5" i="17"/>
  <c r="AN5" i="17"/>
  <c r="DZ4" i="17"/>
  <c r="BN4" i="17"/>
  <c r="B4" i="17"/>
  <c r="CN5" i="16"/>
  <c r="AB5" i="16"/>
  <c r="DN4" i="16"/>
  <c r="BB4" i="16"/>
  <c r="EN5" i="15"/>
  <c r="CB5" i="15"/>
  <c r="P5" i="15"/>
  <c r="DB4" i="15"/>
  <c r="AD5" i="23"/>
  <c r="ET5" i="21"/>
  <c r="CS4" i="21"/>
  <c r="AG4" i="21"/>
  <c r="DK5" i="20"/>
  <c r="AY5" i="20"/>
  <c r="EK4" i="20"/>
  <c r="BY4" i="20"/>
  <c r="M4" i="20"/>
  <c r="CY5" i="19"/>
  <c r="AM5" i="19"/>
  <c r="DY4" i="19"/>
  <c r="BM4" i="19"/>
  <c r="EQ5" i="18"/>
  <c r="CE5" i="18"/>
  <c r="S5" i="18"/>
  <c r="DE4" i="18"/>
  <c r="AS4" i="18"/>
  <c r="EE5" i="17"/>
  <c r="BS5" i="17"/>
  <c r="G5" i="17"/>
  <c r="CS4" i="17"/>
  <c r="AG4" i="17"/>
  <c r="DK5" i="16"/>
  <c r="AY5" i="16"/>
  <c r="EK4" i="16"/>
  <c r="BY4" i="16"/>
  <c r="M4" i="16"/>
  <c r="CY5" i="15"/>
  <c r="Z5" i="26"/>
  <c r="AV4" i="23"/>
  <c r="N5" i="21"/>
  <c r="CB4" i="21"/>
  <c r="P4" i="21"/>
  <c r="DB5" i="20"/>
  <c r="AP5" i="20"/>
  <c r="EB4" i="20"/>
  <c r="BP4" i="20"/>
  <c r="D4" i="20"/>
  <c r="CP5" i="19"/>
  <c r="AD5" i="19"/>
  <c r="DP4" i="19"/>
  <c r="BD4" i="19"/>
  <c r="EP5" i="18"/>
  <c r="CD5" i="18"/>
  <c r="R5" i="18"/>
  <c r="DD4" i="18"/>
  <c r="AR4" i="18"/>
  <c r="ED5" i="17"/>
  <c r="BR5" i="17"/>
  <c r="F5" i="17"/>
  <c r="CR4" i="17"/>
  <c r="AF4" i="17"/>
  <c r="DR5" i="16"/>
  <c r="BF5" i="16"/>
  <c r="ER4" i="16"/>
  <c r="CF4" i="16"/>
  <c r="T4" i="16"/>
  <c r="DF5" i="15"/>
  <c r="DL4" i="26"/>
  <c r="DC4" i="20"/>
  <c r="BU5" i="18"/>
  <c r="ER4" i="17"/>
  <c r="AW5" i="16"/>
  <c r="DB5" i="15"/>
  <c r="DW4" i="15"/>
  <c r="AX4" i="15"/>
  <c r="EJ5" i="14"/>
  <c r="BX5" i="14"/>
  <c r="L5" i="14"/>
  <c r="CX4" i="14"/>
  <c r="AL4" i="14"/>
  <c r="DX5" i="13"/>
  <c r="BL5" i="13"/>
  <c r="EX4" i="13"/>
  <c r="CL4" i="13"/>
  <c r="Z4" i="13"/>
  <c r="DL5" i="12"/>
  <c r="AZ5" i="12"/>
  <c r="EL4" i="12"/>
  <c r="BZ4" i="12"/>
  <c r="N4" i="12"/>
  <c r="CZ5" i="11"/>
  <c r="AN5" i="11"/>
  <c r="DZ4" i="11"/>
  <c r="BN4" i="11"/>
  <c r="B4" i="11"/>
  <c r="CN5" i="10"/>
  <c r="AB5" i="10"/>
  <c r="DN4" i="10"/>
  <c r="BB4" i="10"/>
  <c r="CY4" i="21"/>
  <c r="BQ5" i="19"/>
  <c r="AA4" i="18"/>
  <c r="AU4" i="17"/>
  <c r="CZ4" i="16"/>
  <c r="AI5" i="15"/>
  <c r="CK4" i="15"/>
  <c r="Y4" i="15"/>
  <c r="DC5" i="14"/>
  <c r="AQ5" i="14"/>
  <c r="EC4" i="14"/>
  <c r="BQ4" i="14"/>
  <c r="E4" i="14"/>
  <c r="CQ5" i="13"/>
  <c r="AE5" i="13"/>
  <c r="DQ4" i="13"/>
  <c r="BE4" i="13"/>
  <c r="EI5" i="12"/>
  <c r="BW5" i="12"/>
  <c r="K5" i="12"/>
  <c r="CW4" i="12"/>
  <c r="AK4" i="12"/>
  <c r="DN4" i="21"/>
  <c r="BB4" i="21"/>
  <c r="EN5" i="20"/>
  <c r="CB5" i="20"/>
  <c r="P5" i="20"/>
  <c r="DB4" i="20"/>
  <c r="AP4" i="20"/>
  <c r="EB5" i="19"/>
  <c r="BP5" i="19"/>
  <c r="D5" i="19"/>
  <c r="CP4" i="19"/>
  <c r="AD4" i="19"/>
  <c r="DP5" i="18"/>
  <c r="BD5" i="18"/>
  <c r="EP4" i="18"/>
  <c r="CD4" i="18"/>
  <c r="R4" i="18"/>
  <c r="DD5" i="17"/>
  <c r="AR5" i="17"/>
  <c r="ED4" i="17"/>
  <c r="BR4" i="17"/>
  <c r="F4" i="17"/>
  <c r="CR5" i="16"/>
  <c r="AF5" i="16"/>
  <c r="DR4" i="16"/>
  <c r="BF4" i="16"/>
  <c r="ER5" i="15"/>
  <c r="CF5" i="15"/>
  <c r="T5" i="15"/>
  <c r="DF4" i="15"/>
  <c r="BJ5" i="23"/>
  <c r="T4" i="22"/>
  <c r="CW4" i="21"/>
  <c r="AK4" i="21"/>
  <c r="DW5" i="20"/>
  <c r="BK5" i="20"/>
  <c r="EW4" i="20"/>
  <c r="CK4" i="20"/>
  <c r="Y4" i="20"/>
  <c r="DC5" i="19"/>
  <c r="AQ5" i="19"/>
  <c r="EC4" i="19"/>
  <c r="BQ4" i="19"/>
  <c r="E4" i="19"/>
  <c r="CQ5" i="18"/>
  <c r="AE5" i="18"/>
  <c r="DQ4" i="18"/>
  <c r="BE4" i="18"/>
  <c r="EI5" i="17"/>
  <c r="BW5" i="17"/>
  <c r="K5" i="17"/>
  <c r="CW4" i="17"/>
  <c r="AK4" i="17"/>
  <c r="DW5" i="16"/>
  <c r="BK5" i="16"/>
  <c r="EW4" i="16"/>
  <c r="CK4" i="16"/>
  <c r="Y4" i="16"/>
  <c r="DC5" i="15"/>
  <c r="CF4" i="24"/>
  <c r="AX5" i="22"/>
  <c r="DT4" i="21"/>
  <c r="BH4" i="21"/>
  <c r="ET5" i="20"/>
  <c r="CH5" i="20"/>
  <c r="V5" i="20"/>
  <c r="DH4" i="20"/>
  <c r="AV4" i="20"/>
  <c r="EH5" i="19"/>
  <c r="BV5" i="19"/>
  <c r="J5" i="19"/>
  <c r="CV4" i="19"/>
  <c r="AJ4" i="19"/>
  <c r="DV5" i="18"/>
  <c r="BJ5" i="18"/>
  <c r="EV4" i="18"/>
  <c r="CJ4" i="18"/>
  <c r="X4" i="18"/>
  <c r="DJ5" i="17"/>
  <c r="BT4" i="23"/>
  <c r="AL5" i="21"/>
  <c r="CE4" i="21"/>
  <c r="S4" i="21"/>
  <c r="DE5" i="20"/>
  <c r="AS5" i="20"/>
  <c r="EE4" i="20"/>
  <c r="BS4" i="20"/>
  <c r="G4" i="20"/>
  <c r="CS5" i="19"/>
  <c r="AG5" i="19"/>
  <c r="DS4" i="19"/>
  <c r="BG4" i="19"/>
  <c r="ES5" i="18"/>
  <c r="CG5" i="18"/>
  <c r="U5" i="18"/>
  <c r="DG4" i="18"/>
  <c r="AU4" i="18"/>
  <c r="EG5" i="17"/>
  <c r="BU5" i="17"/>
  <c r="I5" i="17"/>
  <c r="CU4" i="17"/>
  <c r="AI4" i="17"/>
  <c r="DU5" i="16"/>
  <c r="BI5" i="16"/>
  <c r="EU4" i="16"/>
  <c r="CI4" i="16"/>
  <c r="W4" i="16"/>
  <c r="DI5" i="15"/>
  <c r="AW5" i="15"/>
  <c r="EI4" i="15"/>
  <c r="BP4" i="24"/>
  <c r="DT4" i="22"/>
  <c r="DB4" i="21"/>
  <c r="AP4" i="21"/>
  <c r="EB5" i="20"/>
  <c r="BP5" i="20"/>
  <c r="D5" i="20"/>
  <c r="CP4" i="20"/>
  <c r="AD4" i="20"/>
  <c r="DP5" i="19"/>
  <c r="BD5" i="19"/>
  <c r="EP4" i="19"/>
  <c r="CD4" i="19"/>
  <c r="R4" i="19"/>
  <c r="DD5" i="18"/>
  <c r="AR5" i="18"/>
  <c r="ED4" i="18"/>
  <c r="BR4" i="18"/>
  <c r="F4" i="18"/>
  <c r="CR5" i="17"/>
  <c r="AF5" i="17"/>
  <c r="DR4" i="17"/>
  <c r="BF4" i="17"/>
  <c r="ER5" i="16"/>
  <c r="CF5" i="16"/>
  <c r="T5" i="16"/>
  <c r="DF4" i="16"/>
  <c r="AT4" i="16"/>
  <c r="EF5" i="15"/>
  <c r="BT5" i="15"/>
  <c r="H5" i="15"/>
  <c r="CT4" i="15"/>
  <c r="DP4" i="23"/>
  <c r="CH5" i="21"/>
  <c r="CK4" i="21"/>
  <c r="Y4" i="21"/>
  <c r="DC5" i="20"/>
  <c r="AQ5" i="20"/>
  <c r="EC4" i="20"/>
  <c r="BQ4" i="20"/>
  <c r="E4" i="20"/>
  <c r="CQ5" i="19"/>
  <c r="AE5" i="19"/>
  <c r="DQ4" i="19"/>
  <c r="BE4" i="19"/>
  <c r="EI5" i="18"/>
  <c r="BW5" i="18"/>
  <c r="K5" i="18"/>
  <c r="CW4" i="18"/>
  <c r="AK4" i="18"/>
  <c r="DW5" i="17"/>
  <c r="BK5" i="17"/>
  <c r="EW4" i="17"/>
  <c r="CK4" i="17"/>
  <c r="Y4" i="17"/>
  <c r="DC5" i="16"/>
  <c r="AQ5" i="16"/>
  <c r="EC4" i="16"/>
  <c r="BQ4" i="16"/>
  <c r="E4" i="16"/>
  <c r="CQ5" i="15"/>
  <c r="AV4" i="25"/>
  <c r="EP5" i="22"/>
  <c r="EI4" i="21"/>
  <c r="BT4" i="21"/>
  <c r="H4" i="21"/>
  <c r="CT5" i="20"/>
  <c r="AH5" i="20"/>
  <c r="DT4" i="20"/>
  <c r="BH4" i="20"/>
  <c r="ET5" i="19"/>
  <c r="CH5" i="19"/>
  <c r="V5" i="19"/>
  <c r="DH4" i="19"/>
  <c r="AV4" i="19"/>
  <c r="EH5" i="18"/>
  <c r="BV5" i="18"/>
  <c r="J5" i="18"/>
  <c r="CV4" i="18"/>
  <c r="AJ4" i="18"/>
  <c r="DV5" i="17"/>
  <c r="BJ5" i="17"/>
  <c r="EV4" i="17"/>
  <c r="CJ4" i="17"/>
  <c r="X4" i="17"/>
  <c r="DJ5" i="16"/>
  <c r="AX5" i="16"/>
  <c r="EJ4" i="16"/>
  <c r="BX4" i="16"/>
  <c r="L4" i="16"/>
  <c r="CX5" i="15"/>
  <c r="N5" i="23"/>
  <c r="AQ4" i="20"/>
  <c r="I5" i="18"/>
  <c r="DL4" i="17"/>
  <c r="Q5" i="16"/>
  <c r="BV5" i="15"/>
  <c r="DI4" i="15"/>
  <c r="AP4" i="15"/>
  <c r="EB5" i="14"/>
  <c r="BP5" i="14"/>
  <c r="D5" i="14"/>
  <c r="CP4" i="14"/>
  <c r="AD4" i="14"/>
  <c r="DP5" i="13"/>
  <c r="BD5" i="13"/>
  <c r="EP4" i="13"/>
  <c r="CD4" i="13"/>
  <c r="R4" i="13"/>
  <c r="DD5" i="12"/>
  <c r="AR5" i="12"/>
  <c r="ED4" i="12"/>
  <c r="BR4" i="12"/>
  <c r="F4" i="12"/>
  <c r="CR5" i="11"/>
  <c r="AF5" i="11"/>
  <c r="DR4" i="11"/>
  <c r="BF4" i="11"/>
  <c r="ER5" i="10"/>
  <c r="CF5" i="10"/>
  <c r="T5" i="10"/>
  <c r="DF4" i="10"/>
  <c r="AT4" i="10"/>
  <c r="AM4" i="21"/>
  <c r="E5" i="19"/>
  <c r="DU5" i="17"/>
  <c r="O4" i="17"/>
  <c r="BT4" i="16"/>
  <c r="V5" i="15"/>
  <c r="CC4" i="15"/>
  <c r="Q4" i="15"/>
  <c r="CU5" i="14"/>
  <c r="AI5" i="14"/>
  <c r="DU4" i="14"/>
  <c r="BI4" i="14"/>
  <c r="EU5" i="13"/>
  <c r="CI5" i="13"/>
  <c r="W5" i="13"/>
  <c r="DI4" i="13"/>
  <c r="AW4" i="13"/>
  <c r="EA5" i="12"/>
  <c r="BO5" i="12"/>
  <c r="C5" i="12"/>
  <c r="CO4" i="12"/>
  <c r="AC4" i="12"/>
  <c r="U4" i="12"/>
  <c r="DG5" i="11"/>
  <c r="AU5" i="11"/>
  <c r="EG4" i="11"/>
  <c r="BU4" i="11"/>
  <c r="I4" i="11"/>
  <c r="CM5" i="10"/>
  <c r="AA5" i="10"/>
  <c r="DM4" i="10"/>
  <c r="BA4" i="10"/>
  <c r="ED5" i="21"/>
  <c r="DU5" i="19"/>
  <c r="CE4" i="18"/>
  <c r="BX4" i="17"/>
  <c r="EA4" i="16"/>
  <c r="AT5" i="15"/>
  <c r="CU4" i="15"/>
  <c r="AF4" i="15"/>
  <c r="DR5" i="14"/>
  <c r="BF5" i="14"/>
  <c r="ER4" i="14"/>
  <c r="CF4" i="14"/>
  <c r="T4" i="14"/>
  <c r="DF5" i="13"/>
  <c r="AT5" i="13"/>
  <c r="EF4" i="13"/>
  <c r="BT4" i="13"/>
  <c r="H4" i="13"/>
  <c r="CT5" i="12"/>
  <c r="AH5" i="12"/>
  <c r="DT4" i="12"/>
  <c r="BH4" i="12"/>
  <c r="ET5" i="11"/>
  <c r="CH5" i="11"/>
  <c r="V5" i="11"/>
  <c r="DH4" i="11"/>
  <c r="AV4" i="11"/>
  <c r="EH5" i="10"/>
  <c r="BV5" i="10"/>
  <c r="J5" i="10"/>
  <c r="CV4" i="10"/>
  <c r="AJ4" i="10"/>
  <c r="W4" i="21"/>
  <c r="EM4" i="19"/>
  <c r="DE5" i="17"/>
  <c r="G4" i="17"/>
  <c r="BL4" i="16"/>
  <c r="F5" i="15"/>
  <c r="BS4" i="15"/>
  <c r="G4" i="15"/>
  <c r="CS5" i="14"/>
  <c r="AG5" i="14"/>
  <c r="DS4" i="14"/>
  <c r="BG4" i="14"/>
  <c r="ES5" i="13"/>
  <c r="CG5" i="13"/>
  <c r="U5" i="13"/>
  <c r="DG4" i="13"/>
  <c r="AU4" i="13"/>
  <c r="EG5" i="12"/>
  <c r="BU5" i="12"/>
  <c r="I5" i="12"/>
  <c r="CU4" i="12"/>
  <c r="AI4" i="12"/>
  <c r="DU5" i="11"/>
  <c r="BI5" i="11"/>
  <c r="EU4" i="11"/>
  <c r="CI4" i="11"/>
  <c r="W4" i="11"/>
  <c r="DI5" i="10"/>
  <c r="AW5" i="10"/>
  <c r="EI4" i="10"/>
  <c r="BW4" i="10"/>
  <c r="K4" i="10"/>
  <c r="AW5" i="20"/>
  <c r="G4" i="19"/>
  <c r="AP5" i="17"/>
  <c r="CS5" i="16"/>
  <c r="EX5" i="15"/>
  <c r="EO4" i="15"/>
  <c r="BJ4" i="15"/>
  <c r="EV5" i="14"/>
  <c r="CJ5" i="14"/>
  <c r="X5" i="14"/>
  <c r="DJ4" i="14"/>
  <c r="AX4" i="14"/>
  <c r="EJ5" i="13"/>
  <c r="BX5" i="13"/>
  <c r="L5" i="13"/>
  <c r="CX4" i="13"/>
  <c r="AL4" i="13"/>
  <c r="DX5" i="12"/>
  <c r="BL5" i="12"/>
  <c r="EX4" i="12"/>
  <c r="CL4" i="12"/>
  <c r="Z4" i="12"/>
  <c r="DL5" i="11"/>
  <c r="AZ5" i="11"/>
  <c r="EL4" i="11"/>
  <c r="BZ4" i="11"/>
  <c r="N4" i="11"/>
  <c r="CZ5" i="10"/>
  <c r="AN5" i="10"/>
  <c r="DZ4" i="10"/>
  <c r="BN4" i="10"/>
  <c r="B4" i="10"/>
  <c r="BO4" i="20"/>
  <c r="DS4" i="18"/>
  <c r="BK4" i="17"/>
  <c r="CJ4" i="16"/>
  <c r="AC5" i="15"/>
  <c r="CG4" i="15"/>
  <c r="U4" i="15"/>
  <c r="DG5" i="14"/>
  <c r="AU5" i="14"/>
  <c r="EG4" i="14"/>
  <c r="BU4" i="14"/>
  <c r="I4" i="14"/>
  <c r="CM5" i="13"/>
  <c r="AA5" i="13"/>
  <c r="DM4" i="13"/>
  <c r="BA4" i="13"/>
  <c r="EM5" i="12"/>
  <c r="CA5" i="12"/>
  <c r="O5" i="12"/>
  <c r="DA4" i="12"/>
  <c r="AO4" i="12"/>
  <c r="DS5" i="11"/>
  <c r="BG5" i="11"/>
  <c r="ES4" i="11"/>
  <c r="CG4" i="11"/>
  <c r="U4" i="11"/>
  <c r="DG5" i="10"/>
  <c r="AU5" i="10"/>
  <c r="EG4" i="10"/>
  <c r="BU4" i="10"/>
  <c r="I4" i="10"/>
  <c r="BG4" i="20"/>
  <c r="DK4" i="18"/>
  <c r="CN4" i="17"/>
  <c r="EQ4" i="16"/>
  <c r="BF5" i="15"/>
  <c r="CZ4" i="15"/>
  <c r="AJ4" i="15"/>
  <c r="DV5" i="14"/>
  <c r="BJ5" i="14"/>
  <c r="EV4" i="14"/>
  <c r="CJ4" i="14"/>
  <c r="X4" i="14"/>
  <c r="DJ5" i="13"/>
  <c r="AX5" i="13"/>
  <c r="EJ4" i="13"/>
  <c r="BX4" i="13"/>
  <c r="L4" i="13"/>
  <c r="CX5" i="12"/>
  <c r="AL5" i="12"/>
  <c r="DX4" i="12"/>
  <c r="BL4" i="12"/>
  <c r="EX5" i="11"/>
  <c r="CL5" i="11"/>
  <c r="Z5" i="11"/>
  <c r="DL4" i="11"/>
  <c r="AZ4" i="11"/>
  <c r="EL5" i="10"/>
  <c r="BZ5" i="10"/>
  <c r="N5" i="10"/>
  <c r="CZ4" i="10"/>
  <c r="AN4" i="10"/>
  <c r="BC4" i="17"/>
  <c r="CY4" i="14"/>
  <c r="BQ5" i="12"/>
  <c r="AA4" i="11"/>
  <c r="ED5" i="9"/>
  <c r="BR5" i="9"/>
  <c r="F5" i="9"/>
  <c r="CR4" i="9"/>
  <c r="AF4" i="9"/>
  <c r="DR5" i="8"/>
  <c r="BF5" i="8"/>
  <c r="ER4" i="8"/>
  <c r="CF4" i="8"/>
  <c r="T4" i="8"/>
  <c r="DF5" i="7"/>
  <c r="AT5" i="7"/>
  <c r="EF4" i="7"/>
  <c r="BT4" i="7"/>
  <c r="H4" i="7"/>
  <c r="CT5" i="6"/>
  <c r="AH5" i="6"/>
  <c r="DT4" i="6"/>
  <c r="BH4" i="6"/>
  <c r="ET5" i="5"/>
  <c r="CH5" i="5"/>
  <c r="V5" i="5"/>
  <c r="DH4" i="5"/>
  <c r="AV4" i="5"/>
  <c r="EH5" i="4"/>
  <c r="BV5" i="4"/>
  <c r="J5" i="4"/>
  <c r="CV4" i="4"/>
  <c r="DH4" i="16"/>
  <c r="AE4" i="14"/>
  <c r="EU4" i="12"/>
  <c r="DM5" i="10"/>
  <c r="DU5" i="9"/>
  <c r="BI5" i="9"/>
  <c r="EU4" i="9"/>
  <c r="CI4" i="9"/>
  <c r="W4" i="9"/>
  <c r="DI5" i="8"/>
  <c r="AW5" i="8"/>
  <c r="EI4" i="8"/>
  <c r="BW4" i="8"/>
  <c r="K4" i="8"/>
  <c r="CW5" i="7"/>
  <c r="AK5" i="7"/>
  <c r="DW4" i="7"/>
  <c r="BK4" i="7"/>
  <c r="EW5" i="6"/>
  <c r="CK5" i="6"/>
  <c r="Y5" i="6"/>
  <c r="DK4" i="6"/>
  <c r="AY4" i="6"/>
  <c r="EK5" i="5"/>
  <c r="BY5" i="5"/>
  <c r="M5" i="5"/>
  <c r="CY4" i="5"/>
  <c r="AM4" i="5"/>
  <c r="DY5" i="4"/>
  <c r="BM5" i="4"/>
  <c r="A5" i="4"/>
  <c r="CM4" i="4"/>
  <c r="CN4" i="15"/>
  <c r="BE5" i="13"/>
  <c r="O4" i="12"/>
  <c r="EE4" i="10"/>
  <c r="DD5" i="9"/>
  <c r="AR5" i="9"/>
  <c r="ED4" i="9"/>
  <c r="BR4" i="9"/>
  <c r="F4" i="9"/>
  <c r="CR5" i="8"/>
  <c r="AF5" i="8"/>
  <c r="DR4" i="8"/>
  <c r="BF4" i="8"/>
  <c r="ER5" i="7"/>
  <c r="CF5" i="7"/>
  <c r="T5" i="7"/>
  <c r="DF4" i="7"/>
  <c r="AT4" i="7"/>
  <c r="EF5" i="6"/>
  <c r="BT5" i="6"/>
  <c r="H5" i="6"/>
  <c r="CT4" i="6"/>
  <c r="AH4" i="6"/>
  <c r="DT5" i="5"/>
  <c r="M4" i="12"/>
  <c r="CY5" i="11"/>
  <c r="AM5" i="11"/>
  <c r="DY4" i="11"/>
  <c r="BM4" i="11"/>
  <c r="EQ5" i="10"/>
  <c r="CE5" i="10"/>
  <c r="S5" i="10"/>
  <c r="DE4" i="10"/>
  <c r="AS4" i="10"/>
  <c r="CQ4" i="21"/>
  <c r="BI5" i="19"/>
  <c r="S4" i="18"/>
  <c r="AR4" i="17"/>
  <c r="CU4" i="16"/>
  <c r="AH5" i="15"/>
  <c r="CJ4" i="15"/>
  <c r="X4" i="15"/>
  <c r="DJ5" i="14"/>
  <c r="AX5" i="14"/>
  <c r="EJ4" i="14"/>
  <c r="BX4" i="14"/>
  <c r="L4" i="14"/>
  <c r="CX5" i="13"/>
  <c r="AL5" i="13"/>
  <c r="DX4" i="13"/>
  <c r="BL4" i="13"/>
  <c r="EX5" i="12"/>
  <c r="CL5" i="12"/>
  <c r="Z5" i="12"/>
  <c r="DL4" i="12"/>
  <c r="AZ4" i="12"/>
  <c r="EL5" i="11"/>
  <c r="BZ5" i="11"/>
  <c r="N5" i="11"/>
  <c r="CZ4" i="11"/>
  <c r="AN4" i="11"/>
  <c r="DZ5" i="10"/>
  <c r="BN5" i="10"/>
  <c r="B5" i="10"/>
  <c r="CN4" i="10"/>
  <c r="AB4" i="10"/>
  <c r="DQ5" i="20"/>
  <c r="CA4" i="19"/>
  <c r="BY5" i="17"/>
  <c r="ED5" i="16"/>
  <c r="AF4" i="16"/>
  <c r="ER4" i="15"/>
  <c r="BK4" i="15"/>
  <c r="EW5" i="14"/>
  <c r="CK5" i="14"/>
  <c r="Y5" i="14"/>
  <c r="DK4" i="14"/>
  <c r="AY4" i="14"/>
  <c r="EK5" i="13"/>
  <c r="BY5" i="13"/>
  <c r="M5" i="13"/>
  <c r="CY4" i="13"/>
  <c r="AM4" i="13"/>
  <c r="DY5" i="12"/>
  <c r="BM5" i="12"/>
  <c r="A5" i="12"/>
  <c r="CM4" i="12"/>
  <c r="AA4" i="12"/>
  <c r="DM5" i="11"/>
  <c r="BA5" i="11"/>
  <c r="EM4" i="11"/>
  <c r="CA4" i="11"/>
  <c r="O4" i="11"/>
  <c r="DA5" i="10"/>
  <c r="AO5" i="10"/>
  <c r="EA4" i="10"/>
  <c r="BO4" i="10"/>
  <c r="C4" i="10"/>
  <c r="EI4" i="20"/>
  <c r="DA5" i="18"/>
  <c r="J5" i="17"/>
  <c r="BM5" i="16"/>
  <c r="DR5" i="15"/>
  <c r="EC4" i="15"/>
  <c r="BB4" i="15"/>
  <c r="EN5" i="14"/>
  <c r="CB5" i="14"/>
  <c r="P5" i="14"/>
  <c r="DB4" i="14"/>
  <c r="AP4" i="14"/>
  <c r="EB5" i="13"/>
  <c r="BP5" i="13"/>
  <c r="D5" i="13"/>
  <c r="CP4" i="13"/>
  <c r="AD4" i="13"/>
  <c r="DP5" i="12"/>
  <c r="BD5" i="12"/>
  <c r="EP4" i="12"/>
  <c r="CD4" i="12"/>
  <c r="R4" i="12"/>
  <c r="DD5" i="11"/>
  <c r="AR5" i="11"/>
  <c r="ED4" i="11"/>
  <c r="BR4" i="11"/>
  <c r="F4" i="11"/>
  <c r="CR5" i="10"/>
  <c r="AF5" i="10"/>
  <c r="DR4" i="10"/>
  <c r="BF4" i="10"/>
  <c r="BV5" i="22"/>
  <c r="C4" i="20"/>
  <c r="BG4" i="18"/>
  <c r="AE4" i="17"/>
  <c r="BD4" i="16"/>
  <c r="O5" i="15"/>
  <c r="BY4" i="15"/>
  <c r="M4" i="15"/>
  <c r="CY5" i="14"/>
  <c r="AM5" i="14"/>
  <c r="DY4" i="14"/>
  <c r="BM4" i="14"/>
  <c r="EQ5" i="13"/>
  <c r="CE5" i="13"/>
  <c r="S5" i="13"/>
  <c r="DE4" i="13"/>
  <c r="AS4" i="13"/>
  <c r="EE5" i="12"/>
  <c r="BS5" i="12"/>
  <c r="G5" i="12"/>
  <c r="CS4" i="12"/>
  <c r="AG4" i="12"/>
  <c r="DK5" i="11"/>
  <c r="AY5" i="11"/>
  <c r="EK4" i="11"/>
  <c r="BY4" i="11"/>
  <c r="M4" i="11"/>
  <c r="CY5" i="10"/>
  <c r="AM5" i="10"/>
  <c r="DY4" i="10"/>
  <c r="BM4" i="10"/>
  <c r="EL5" i="23"/>
  <c r="CO5" i="19"/>
  <c r="AY4" i="18"/>
  <c r="BH4" i="17"/>
  <c r="DK4" i="16"/>
  <c r="AM5" i="15"/>
  <c r="CO4" i="15"/>
  <c r="AB4" i="15"/>
  <c r="DN5" i="14"/>
  <c r="BB5" i="14"/>
  <c r="EN4" i="14"/>
  <c r="CB4" i="14"/>
  <c r="P4" i="14"/>
  <c r="DB5" i="13"/>
  <c r="AP5" i="13"/>
  <c r="EB4" i="13"/>
  <c r="BP4" i="13"/>
  <c r="D4" i="13"/>
  <c r="CP5" i="12"/>
  <c r="AD5" i="12"/>
  <c r="DP4" i="12"/>
  <c r="BD4" i="12"/>
  <c r="EP5" i="11"/>
  <c r="CD5" i="11"/>
  <c r="R5" i="11"/>
  <c r="DD4" i="11"/>
  <c r="AR4" i="11"/>
  <c r="ED5" i="10"/>
  <c r="BR5" i="10"/>
  <c r="F5" i="10"/>
  <c r="CR4" i="10"/>
  <c r="AF4" i="10"/>
  <c r="EN4" i="16"/>
  <c r="AM4" i="14"/>
  <c r="E5" i="12"/>
  <c r="DU5" i="10"/>
  <c r="DV5" i="9"/>
  <c r="BJ5" i="9"/>
  <c r="EV4" i="9"/>
  <c r="CJ4" i="9"/>
  <c r="X4" i="9"/>
  <c r="DJ5" i="8"/>
  <c r="AX5" i="8"/>
  <c r="EJ4" i="8"/>
  <c r="BX4" i="8"/>
  <c r="L4" i="8"/>
  <c r="CX5" i="7"/>
  <c r="AL5" i="7"/>
  <c r="DX4" i="7"/>
  <c r="BL4" i="7"/>
  <c r="EX5" i="6"/>
  <c r="CL5" i="6"/>
  <c r="Z5" i="6"/>
  <c r="DL4" i="6"/>
  <c r="AZ4" i="6"/>
  <c r="EL5" i="5"/>
  <c r="BZ5" i="5"/>
  <c r="N5" i="5"/>
  <c r="CZ4" i="5"/>
  <c r="AN4" i="5"/>
  <c r="DZ5" i="4"/>
  <c r="BN5" i="4"/>
  <c r="B5" i="4"/>
  <c r="CN4" i="4"/>
  <c r="BA5" i="15"/>
  <c r="DY5" i="13"/>
  <c r="CI4" i="12"/>
  <c r="BA5" i="10"/>
  <c r="DM5" i="9"/>
  <c r="BA5" i="9"/>
  <c r="EM4" i="9"/>
  <c r="CA4" i="9"/>
  <c r="O4" i="9"/>
  <c r="DA5" i="8"/>
  <c r="AO5" i="8"/>
  <c r="EA4" i="8"/>
  <c r="BO4" i="8"/>
  <c r="C4" i="8"/>
  <c r="CO5" i="7"/>
  <c r="AC5" i="7"/>
  <c r="DO4" i="7"/>
  <c r="BC4" i="7"/>
  <c r="EO5" i="6"/>
  <c r="CC5" i="6"/>
  <c r="Q5" i="6"/>
  <c r="DC4" i="6"/>
  <c r="AQ4" i="6"/>
  <c r="EC5" i="5"/>
  <c r="BQ5" i="5"/>
  <c r="E5" i="5"/>
  <c r="CQ4" i="5"/>
  <c r="AE4" i="5"/>
  <c r="DQ5" i="4"/>
  <c r="BE5" i="4"/>
  <c r="EQ4" i="4"/>
  <c r="CE4" i="4"/>
  <c r="AA4" i="15"/>
  <c r="EQ4" i="13"/>
  <c r="DI5" i="11"/>
  <c r="BS4" i="10"/>
  <c r="CV5" i="9"/>
  <c r="AJ5" i="9"/>
  <c r="DV4" i="9"/>
  <c r="BJ4" i="9"/>
  <c r="EV5" i="8"/>
  <c r="CJ5" i="8"/>
  <c r="X5" i="8"/>
  <c r="DJ4" i="8"/>
  <c r="AX4" i="8"/>
  <c r="EJ5" i="7"/>
  <c r="BX5" i="7"/>
  <c r="L5" i="7"/>
  <c r="CX4" i="7"/>
  <c r="AL4" i="7"/>
  <c r="DX5" i="6"/>
  <c r="BL5" i="6"/>
  <c r="EX4" i="6"/>
  <c r="CL4" i="6"/>
  <c r="Z4" i="6"/>
  <c r="DL5" i="5"/>
  <c r="E4" i="12"/>
  <c r="CQ5" i="11"/>
  <c r="AE5" i="11"/>
  <c r="DQ4" i="11"/>
  <c r="BE4" i="11"/>
  <c r="EI5" i="10"/>
  <c r="BW5" i="10"/>
  <c r="K5" i="10"/>
  <c r="CW4" i="10"/>
  <c r="AK4" i="10"/>
  <c r="AE4" i="21"/>
  <c r="EU4" i="19"/>
  <c r="DM5" i="17"/>
  <c r="L4" i="17"/>
  <c r="BO4" i="16"/>
  <c r="U5" i="15"/>
  <c r="CB4" i="15"/>
  <c r="P4" i="15"/>
  <c r="DB5" i="14"/>
  <c r="AP5" i="14"/>
  <c r="EB4" i="14"/>
  <c r="BP4" i="14"/>
  <c r="D4" i="14"/>
  <c r="CP5" i="13"/>
  <c r="AD5" i="13"/>
  <c r="DP4" i="13"/>
  <c r="BD4" i="13"/>
  <c r="EP5" i="12"/>
  <c r="CD5" i="12"/>
  <c r="R5" i="12"/>
  <c r="DD4" i="12"/>
  <c r="AR4" i="12"/>
  <c r="ED5" i="11"/>
  <c r="BR5" i="11"/>
  <c r="F5" i="11"/>
  <c r="CR4" i="11"/>
  <c r="AF4" i="11"/>
  <c r="DR5" i="10"/>
  <c r="BF5" i="10"/>
  <c r="ER4" i="10"/>
  <c r="CF4" i="10"/>
  <c r="T4" i="10"/>
  <c r="BE5" i="20"/>
  <c r="O4" i="19"/>
  <c r="AS5" i="17"/>
  <c r="CX5" i="16"/>
  <c r="DU5" i="15"/>
  <c r="EE4" i="15"/>
  <c r="BC4" i="15"/>
  <c r="EO5" i="14"/>
  <c r="CC5" i="14"/>
  <c r="Q5" i="14"/>
  <c r="DC4" i="14"/>
  <c r="AQ4" i="14"/>
  <c r="EC5" i="13"/>
  <c r="BQ5" i="13"/>
  <c r="E5" i="13"/>
  <c r="CQ4" i="13"/>
  <c r="AE4" i="13"/>
  <c r="DQ5" i="12"/>
  <c r="BE5" i="12"/>
  <c r="EQ4" i="12"/>
  <c r="CE4" i="12"/>
  <c r="S4" i="12"/>
  <c r="DE5" i="11"/>
  <c r="AS5" i="11"/>
  <c r="EE4" i="11"/>
  <c r="BS4" i="11"/>
  <c r="G4" i="11"/>
  <c r="CS5" i="10"/>
  <c r="AG5" i="10"/>
  <c r="DS4" i="10"/>
  <c r="BG4" i="10"/>
  <c r="AR4" i="24"/>
  <c r="BW4" i="20"/>
  <c r="AO5" i="18"/>
  <c r="EB4" i="17"/>
  <c r="AG5" i="16"/>
  <c r="CL5" i="15"/>
  <c r="DP4" i="15"/>
  <c r="AT4" i="15"/>
  <c r="EF5" i="14"/>
  <c r="BT5" i="14"/>
  <c r="H5" i="14"/>
  <c r="CT4" i="14"/>
  <c r="AH4" i="14"/>
  <c r="DT5" i="13"/>
  <c r="BH5" i="13"/>
  <c r="ET4" i="13"/>
  <c r="CH4" i="13"/>
  <c r="V4" i="13"/>
  <c r="DH5" i="12"/>
  <c r="AV5" i="12"/>
  <c r="EH4" i="12"/>
  <c r="BV4" i="12"/>
  <c r="J4" i="12"/>
  <c r="CV5" i="11"/>
  <c r="AJ5" i="11"/>
  <c r="DV4" i="11"/>
  <c r="BJ4" i="11"/>
  <c r="EV5" i="10"/>
  <c r="CJ5" i="10"/>
  <c r="X5" i="10"/>
  <c r="DJ4" i="10"/>
  <c r="AX4" i="10"/>
  <c r="EG4" i="21"/>
  <c r="CW5" i="19"/>
  <c r="CW5" i="17"/>
  <c r="DV5" i="16"/>
  <c r="X4" i="16"/>
  <c r="C5" i="15"/>
  <c r="BQ4" i="15"/>
  <c r="E4" i="15"/>
  <c r="CQ5" i="14"/>
  <c r="AE5" i="14"/>
  <c r="DQ4" i="14"/>
  <c r="BE4" i="14"/>
  <c r="EI5" i="13"/>
  <c r="BW5" i="13"/>
  <c r="K5" i="13"/>
  <c r="CW4" i="13"/>
  <c r="AK4" i="13"/>
  <c r="DW5" i="12"/>
  <c r="BK5" i="12"/>
  <c r="EW4" i="12"/>
  <c r="CK4" i="12"/>
  <c r="Y4" i="12"/>
  <c r="DC5" i="11"/>
  <c r="AQ5" i="11"/>
  <c r="EC4" i="11"/>
  <c r="BQ4" i="11"/>
  <c r="E4" i="11"/>
  <c r="CQ5" i="10"/>
  <c r="AE5" i="10"/>
  <c r="DQ4" i="10"/>
  <c r="BE4" i="10"/>
  <c r="J5" i="22"/>
  <c r="AC5" i="19"/>
  <c r="ES5" i="17"/>
  <c r="AB4" i="17"/>
  <c r="CE4" i="16"/>
  <c r="AA5" i="15"/>
  <c r="CF4" i="15"/>
  <c r="T4" i="15"/>
  <c r="DF5" i="14"/>
  <c r="AT5" i="14"/>
  <c r="EF4" i="14"/>
  <c r="BT4" i="14"/>
  <c r="H4" i="14"/>
  <c r="CT5" i="13"/>
  <c r="AH5" i="13"/>
  <c r="DT4" i="13"/>
  <c r="BH4" i="13"/>
  <c r="ET5" i="12"/>
  <c r="CH5" i="12"/>
  <c r="V5" i="12"/>
  <c r="DH4" i="12"/>
  <c r="AV4" i="12"/>
  <c r="EH5" i="11"/>
  <c r="BV5" i="11"/>
  <c r="J5" i="11"/>
  <c r="CV4" i="11"/>
  <c r="AJ4" i="11"/>
  <c r="DV5" i="10"/>
  <c r="BJ5" i="10"/>
  <c r="EV4" i="10"/>
  <c r="CJ4" i="10"/>
  <c r="X4" i="10"/>
  <c r="BY5" i="15"/>
  <c r="EG5" i="13"/>
  <c r="CQ4" i="12"/>
  <c r="BI5" i="10"/>
  <c r="DN5" i="9"/>
  <c r="BB5" i="9"/>
  <c r="EN4" i="9"/>
  <c r="CB4" i="9"/>
  <c r="P4" i="9"/>
  <c r="DB5" i="8"/>
  <c r="AP5" i="8"/>
  <c r="EB4" i="8"/>
  <c r="BP4" i="8"/>
  <c r="D4" i="8"/>
  <c r="CP5" i="7"/>
  <c r="AD5" i="7"/>
  <c r="DP4" i="7"/>
  <c r="BD4" i="7"/>
  <c r="EP5" i="6"/>
  <c r="CD5" i="6"/>
  <c r="R5" i="6"/>
  <c r="DD4" i="6"/>
  <c r="AR4" i="6"/>
  <c r="ED5" i="5"/>
  <c r="BR5" i="5"/>
  <c r="F5" i="5"/>
  <c r="CR4" i="5"/>
  <c r="AF4" i="5"/>
  <c r="DR5" i="4"/>
  <c r="BF5" i="4"/>
  <c r="ER4" i="4"/>
  <c r="CF4" i="4"/>
  <c r="CY4" i="15"/>
  <c r="BM5" i="13"/>
  <c r="W4" i="12"/>
  <c r="EM4" i="10"/>
  <c r="DE5" i="9"/>
  <c r="AS5" i="9"/>
  <c r="EE4" i="9"/>
  <c r="BS4" i="9"/>
  <c r="G4" i="9"/>
  <c r="CS5" i="8"/>
  <c r="AG5" i="8"/>
  <c r="DS4" i="8"/>
  <c r="BG4" i="8"/>
  <c r="ES5" i="7"/>
  <c r="CG5" i="7"/>
  <c r="U5" i="7"/>
  <c r="DG4" i="7"/>
  <c r="AU4" i="7"/>
  <c r="EG5" i="6"/>
  <c r="BU5" i="6"/>
  <c r="I5" i="6"/>
  <c r="CU4" i="6"/>
  <c r="AI4" i="6"/>
  <c r="DU5" i="5"/>
  <c r="BI5" i="5"/>
  <c r="EU4" i="5"/>
  <c r="CI4" i="5"/>
  <c r="W4" i="5"/>
  <c r="DI5" i="4"/>
  <c r="AW5" i="4"/>
  <c r="EI4" i="4"/>
  <c r="BW4" i="4"/>
  <c r="DU5" i="14"/>
  <c r="CE4" i="13"/>
  <c r="AW5" i="11"/>
  <c r="G4" i="10"/>
  <c r="CN5" i="9"/>
  <c r="AB5" i="9"/>
  <c r="DN4" i="9"/>
  <c r="BB4" i="9"/>
  <c r="EN5" i="8"/>
  <c r="CB5" i="8"/>
  <c r="P5" i="8"/>
  <c r="DB4" i="8"/>
  <c r="AP4" i="8"/>
  <c r="EB5" i="7"/>
  <c r="BP5" i="7"/>
  <c r="D5" i="7"/>
  <c r="CP4" i="7"/>
  <c r="AD4" i="7"/>
  <c r="DP5" i="6"/>
  <c r="BD5" i="6"/>
  <c r="EP4" i="6"/>
  <c r="CD4" i="6"/>
  <c r="R4" i="6"/>
  <c r="EU5" i="11"/>
  <c r="CI5" i="11"/>
  <c r="W5" i="11"/>
  <c r="DI4" i="11"/>
  <c r="AW4" i="11"/>
  <c r="EA5" i="10"/>
  <c r="BO5" i="10"/>
  <c r="C5" i="10"/>
  <c r="CO4" i="10"/>
  <c r="AC4" i="10"/>
  <c r="DY5" i="20"/>
  <c r="CI4" i="19"/>
  <c r="CD5" i="17"/>
  <c r="EG5" i="16"/>
  <c r="AI4" i="16"/>
  <c r="G5" i="15"/>
  <c r="BT4" i="15"/>
  <c r="H4" i="15"/>
  <c r="CT5" i="14"/>
  <c r="AH5" i="14"/>
  <c r="DT4" i="14"/>
  <c r="BH4" i="14"/>
  <c r="ET5" i="13"/>
  <c r="CH5" i="13"/>
  <c r="V5" i="13"/>
  <c r="DH4" i="13"/>
  <c r="AV4" i="13"/>
  <c r="EH5" i="12"/>
  <c r="BV5" i="12"/>
  <c r="J5" i="12"/>
  <c r="CV4" i="12"/>
  <c r="AJ4" i="12"/>
  <c r="DV5" i="11"/>
  <c r="BJ5" i="11"/>
  <c r="EV4" i="11"/>
  <c r="CJ4" i="11"/>
  <c r="X4" i="11"/>
  <c r="DJ5" i="10"/>
  <c r="AX5" i="10"/>
  <c r="EJ4" i="10"/>
  <c r="BX4" i="10"/>
  <c r="L4" i="10"/>
  <c r="EQ4" i="20"/>
  <c r="DI5" i="18"/>
  <c r="M5" i="17"/>
  <c r="BR5" i="16"/>
  <c r="CO5" i="15"/>
  <c r="DQ4" i="15"/>
  <c r="AU4" i="15"/>
  <c r="EG5" i="14"/>
  <c r="BU5" i="14"/>
  <c r="I5" i="14"/>
  <c r="CU4" i="14"/>
  <c r="AI4" i="14"/>
  <c r="DU5" i="13"/>
  <c r="BI5" i="13"/>
  <c r="EU4" i="13"/>
  <c r="CI4" i="13"/>
  <c r="W4" i="13"/>
  <c r="DI5" i="12"/>
  <c r="AW5" i="12"/>
  <c r="EI4" i="12"/>
  <c r="BW4" i="12"/>
  <c r="K4" i="12"/>
  <c r="CW5" i="11"/>
  <c r="AK5" i="11"/>
  <c r="DW4" i="11"/>
  <c r="BK4" i="11"/>
  <c r="EW5" i="10"/>
  <c r="CK5" i="10"/>
  <c r="Y5" i="10"/>
  <c r="DK4" i="10"/>
  <c r="AY4" i="10"/>
  <c r="EH5" i="22"/>
  <c r="K4" i="20"/>
  <c r="EA4" i="18"/>
  <c r="CV4" i="17"/>
  <c r="A5" i="16"/>
  <c r="BI5" i="15"/>
  <c r="DD4" i="15"/>
  <c r="AL4" i="15"/>
  <c r="DX5" i="14"/>
  <c r="BL5" i="14"/>
  <c r="EX4" i="14"/>
  <c r="CL4" i="14"/>
  <c r="Z4" i="14"/>
  <c r="DL5" i="13"/>
  <c r="AZ5" i="13"/>
  <c r="EL4" i="13"/>
  <c r="BZ4" i="13"/>
  <c r="N4" i="13"/>
  <c r="CZ5" i="12"/>
  <c r="AN5" i="12"/>
  <c r="DZ4" i="12"/>
  <c r="BN4" i="12"/>
  <c r="B4" i="12"/>
  <c r="CN5" i="11"/>
  <c r="AB5" i="11"/>
  <c r="DN4" i="11"/>
  <c r="BB4" i="11"/>
  <c r="EN5" i="10"/>
  <c r="CB5" i="10"/>
  <c r="P5" i="10"/>
  <c r="DB4" i="10"/>
  <c r="AP4" i="10"/>
  <c r="BS4" i="21"/>
  <c r="AK5" i="19"/>
  <c r="BQ5" i="17"/>
  <c r="CP5" i="16"/>
  <c r="ES5" i="15"/>
  <c r="EN4" i="15"/>
  <c r="BI4" i="15"/>
  <c r="EU5" i="14"/>
  <c r="CI5" i="14"/>
  <c r="W5" i="14"/>
  <c r="DI4" i="14"/>
  <c r="AW4" i="14"/>
  <c r="EA5" i="13"/>
  <c r="BO5" i="13"/>
  <c r="C5" i="13"/>
  <c r="CO4" i="13"/>
  <c r="AC4" i="13"/>
  <c r="DO5" i="12"/>
  <c r="BC5" i="12"/>
  <c r="EO4" i="12"/>
  <c r="CC4" i="12"/>
  <c r="Q4" i="12"/>
  <c r="CU5" i="11"/>
  <c r="AI5" i="11"/>
  <c r="DU4" i="11"/>
  <c r="BI4" i="11"/>
  <c r="EU5" i="10"/>
  <c r="CI5" i="10"/>
  <c r="W5" i="10"/>
  <c r="DI4" i="10"/>
  <c r="AW4" i="10"/>
  <c r="DW4" i="21"/>
  <c r="DO4" i="19"/>
  <c r="CT5" i="17"/>
  <c r="EW5" i="16"/>
  <c r="AY4" i="16"/>
  <c r="N5" i="15"/>
  <c r="BX4" i="15"/>
  <c r="L4" i="15"/>
  <c r="CX5" i="14"/>
  <c r="AL5" i="14"/>
  <c r="DX4" i="14"/>
  <c r="BL4" i="14"/>
  <c r="EX5" i="13"/>
  <c r="CL5" i="13"/>
  <c r="Z5" i="13"/>
  <c r="DL4" i="13"/>
  <c r="AZ4" i="13"/>
  <c r="EL5" i="12"/>
  <c r="BZ5" i="12"/>
  <c r="N5" i="12"/>
  <c r="CZ4" i="12"/>
  <c r="AN4" i="12"/>
  <c r="DZ5" i="11"/>
  <c r="BN5" i="11"/>
  <c r="B5" i="11"/>
  <c r="CN4" i="11"/>
  <c r="AB4" i="11"/>
  <c r="DN5" i="10"/>
  <c r="BB5" i="10"/>
  <c r="EN4" i="10"/>
  <c r="CB4" i="10"/>
  <c r="P4" i="10"/>
  <c r="DL4" i="15"/>
  <c r="BU5" i="13"/>
  <c r="AE4" i="12"/>
  <c r="EU4" i="10"/>
  <c r="DF5" i="9"/>
  <c r="AT5" i="9"/>
  <c r="EF4" i="9"/>
  <c r="BT4" i="9"/>
  <c r="H4" i="9"/>
  <c r="CT5" i="8"/>
  <c r="AH5" i="8"/>
  <c r="DT4" i="8"/>
  <c r="BH4" i="8"/>
  <c r="ET5" i="7"/>
  <c r="CH5" i="7"/>
  <c r="V5" i="7"/>
  <c r="DH4" i="7"/>
  <c r="AV4" i="7"/>
  <c r="EH5" i="6"/>
  <c r="BV5" i="6"/>
  <c r="J5" i="6"/>
  <c r="CV4" i="6"/>
  <c r="AJ4" i="6"/>
  <c r="DV5" i="5"/>
  <c r="BJ5" i="5"/>
  <c r="EV4" i="5"/>
  <c r="CJ4" i="5"/>
  <c r="X4" i="5"/>
  <c r="DJ5" i="4"/>
  <c r="AX5" i="4"/>
  <c r="EJ4" i="4"/>
  <c r="BX4" i="4"/>
  <c r="AI4" i="15"/>
  <c r="A5" i="13"/>
  <c r="DQ5" i="11"/>
  <c r="CA4" i="10"/>
  <c r="CW5" i="9"/>
  <c r="AK5" i="9"/>
  <c r="DW4" i="9"/>
  <c r="BK4" i="9"/>
  <c r="EW5" i="8"/>
  <c r="CK5" i="8"/>
  <c r="Y5" i="8"/>
  <c r="DK4" i="8"/>
  <c r="AY4" i="8"/>
  <c r="EK5" i="7"/>
  <c r="BY5" i="7"/>
  <c r="M5" i="7"/>
  <c r="CY4" i="7"/>
  <c r="AM4" i="7"/>
  <c r="DY5" i="6"/>
  <c r="BM5" i="6"/>
  <c r="A5" i="6"/>
  <c r="CM4" i="6"/>
  <c r="AA4" i="6"/>
  <c r="DM5" i="5"/>
  <c r="BA5" i="5"/>
  <c r="EM4" i="5"/>
  <c r="CA4" i="5"/>
  <c r="O4" i="5"/>
  <c r="DA5" i="4"/>
  <c r="AO5" i="4"/>
  <c r="EA4" i="4"/>
  <c r="CV4" i="22"/>
  <c r="BI5" i="14"/>
  <c r="S4" i="13"/>
  <c r="EI4" i="11"/>
  <c r="ER5" i="9"/>
  <c r="CF5" i="9"/>
  <c r="T5" i="9"/>
  <c r="DF4" i="9"/>
  <c r="AT4" i="9"/>
  <c r="EF5" i="8"/>
  <c r="BT5" i="8"/>
  <c r="H5" i="8"/>
  <c r="CT4" i="8"/>
  <c r="AH4" i="8"/>
  <c r="DT5" i="7"/>
  <c r="BH5" i="7"/>
  <c r="ET4" i="7"/>
  <c r="CH4" i="7"/>
  <c r="V4" i="7"/>
  <c r="DH5" i="6"/>
  <c r="AV5" i="6"/>
  <c r="EH4" i="6"/>
  <c r="BV4" i="6"/>
  <c r="J4" i="6"/>
  <c r="EM5" i="11"/>
  <c r="CA5" i="11"/>
  <c r="O5" i="11"/>
  <c r="DA4" i="11"/>
  <c r="AO4" i="11"/>
  <c r="DS5" i="10"/>
  <c r="BG5" i="10"/>
  <c r="ES4" i="10"/>
  <c r="CG4" i="10"/>
  <c r="U4" i="10"/>
  <c r="BM5" i="20"/>
  <c r="W4" i="19"/>
  <c r="AX5" i="17"/>
  <c r="DA5" i="16"/>
  <c r="C4" i="16"/>
  <c r="ES4" i="15"/>
  <c r="BL4" i="15"/>
  <c r="EX5" i="14"/>
  <c r="CL5" i="14"/>
  <c r="Z5" i="14"/>
  <c r="DL4" i="14"/>
  <c r="AZ4" i="14"/>
  <c r="EL5" i="13"/>
  <c r="BZ5" i="13"/>
  <c r="N5" i="13"/>
  <c r="CZ4" i="13"/>
  <c r="AN4" i="13"/>
  <c r="DZ5" i="12"/>
  <c r="BN5" i="12"/>
  <c r="B5" i="12"/>
  <c r="CN4" i="12"/>
  <c r="AB4" i="12"/>
  <c r="DN5" i="11"/>
  <c r="BB5" i="11"/>
  <c r="EN4" i="11"/>
  <c r="CB4" i="11"/>
  <c r="P4" i="11"/>
  <c r="DB5" i="10"/>
  <c r="AP5" i="10"/>
  <c r="EB4" i="10"/>
  <c r="BP4" i="10"/>
  <c r="D4" i="10"/>
  <c r="CE4" i="20"/>
  <c r="AW5" i="18"/>
  <c r="EE4" i="17"/>
  <c r="AL5" i="16"/>
  <c r="BN5" i="15"/>
  <c r="DE4" i="15"/>
  <c r="AM4" i="15"/>
  <c r="DY5" i="14"/>
  <c r="BM5" i="14"/>
  <c r="A5" i="14"/>
  <c r="CM4" i="14"/>
  <c r="AA4" i="14"/>
  <c r="DM5" i="13"/>
  <c r="BA5" i="13"/>
  <c r="EM4" i="13"/>
  <c r="CA4" i="13"/>
  <c r="O4" i="13"/>
  <c r="DA5" i="12"/>
  <c r="AO5" i="12"/>
  <c r="EA4" i="12"/>
  <c r="BO4" i="12"/>
  <c r="C4" i="12"/>
  <c r="CO5" i="11"/>
  <c r="AC5" i="11"/>
  <c r="DO4" i="11"/>
  <c r="BC4" i="11"/>
  <c r="EO5" i="10"/>
  <c r="CC5" i="10"/>
  <c r="Q5" i="10"/>
  <c r="DC4" i="10"/>
  <c r="AQ4" i="10"/>
  <c r="F5" i="21"/>
  <c r="DE5" i="19"/>
  <c r="BO4" i="18"/>
  <c r="BP4" i="17"/>
  <c r="DS4" i="16"/>
  <c r="AQ5" i="15"/>
  <c r="CR4" i="15"/>
  <c r="AD4" i="15"/>
  <c r="DP5" i="14"/>
  <c r="BD5" i="14"/>
  <c r="EP4" i="14"/>
  <c r="CD4" i="14"/>
  <c r="R4" i="14"/>
  <c r="DD5" i="13"/>
  <c r="AR5" i="13"/>
  <c r="ED4" i="13"/>
  <c r="BR4" i="13"/>
  <c r="F4" i="13"/>
  <c r="CR5" i="12"/>
  <c r="AF5" i="12"/>
  <c r="DR4" i="12"/>
  <c r="BF4" i="12"/>
  <c r="ER5" i="11"/>
  <c r="CF5" i="11"/>
  <c r="T5" i="11"/>
  <c r="DF4" i="11"/>
  <c r="AT4" i="11"/>
  <c r="EF5" i="10"/>
  <c r="BT5" i="10"/>
  <c r="H5" i="10"/>
  <c r="CT4" i="10"/>
  <c r="AH4" i="10"/>
  <c r="G4" i="21"/>
  <c r="DW4" i="19"/>
  <c r="AK5" i="17"/>
  <c r="BJ5" i="16"/>
  <c r="DM5" i="15"/>
  <c r="EB4" i="15"/>
  <c r="BA4" i="15"/>
  <c r="EM5" i="14"/>
  <c r="CA5" i="14"/>
  <c r="O5" i="14"/>
  <c r="DA4" i="14"/>
  <c r="AO4" i="14"/>
  <c r="DS5" i="13"/>
  <c r="BG5" i="13"/>
  <c r="ES4" i="13"/>
  <c r="CG4" i="13"/>
  <c r="U4" i="13"/>
  <c r="DG5" i="12"/>
  <c r="AU5" i="12"/>
  <c r="EG4" i="12"/>
  <c r="BU4" i="12"/>
  <c r="I4" i="12"/>
  <c r="CM5" i="11"/>
  <c r="AA5" i="11"/>
  <c r="DM4" i="11"/>
  <c r="BA4" i="11"/>
  <c r="EM5" i="10"/>
  <c r="CA5" i="10"/>
  <c r="O5" i="10"/>
  <c r="DA4" i="10"/>
  <c r="AO4" i="10"/>
  <c r="BK4" i="21"/>
  <c r="BC4" i="19"/>
  <c r="BN5" i="17"/>
  <c r="DQ5" i="16"/>
  <c r="S4" i="16"/>
  <c r="B5" i="15"/>
  <c r="BP4" i="15"/>
  <c r="D4" i="15"/>
  <c r="CP5" i="14"/>
  <c r="AD5" i="14"/>
  <c r="DP4" i="14"/>
  <c r="BD4" i="14"/>
  <c r="EP5" i="13"/>
  <c r="CD5" i="13"/>
  <c r="R5" i="13"/>
  <c r="DD4" i="13"/>
  <c r="AR4" i="13"/>
  <c r="ED5" i="12"/>
  <c r="BR5" i="12"/>
  <c r="F5" i="12"/>
  <c r="CR4" i="12"/>
  <c r="AF4" i="12"/>
  <c r="DR5" i="11"/>
  <c r="BF5" i="11"/>
  <c r="ER4" i="11"/>
  <c r="CF4" i="11"/>
  <c r="T4" i="11"/>
  <c r="DF5" i="10"/>
  <c r="AT5" i="10"/>
  <c r="EF4" i="10"/>
  <c r="BT4" i="10"/>
  <c r="H4" i="10"/>
  <c r="AQ4" i="15"/>
  <c r="I5" i="13"/>
  <c r="DY5" i="11"/>
  <c r="CI4" i="10"/>
  <c r="CX5" i="9"/>
  <c r="AL5" i="9"/>
  <c r="DX4" i="9"/>
  <c r="BL4" i="9"/>
  <c r="EX5" i="8"/>
  <c r="CL5" i="8"/>
  <c r="Z5" i="8"/>
  <c r="DL4" i="8"/>
  <c r="AZ4" i="8"/>
  <c r="EL5" i="7"/>
  <c r="BZ5" i="7"/>
  <c r="N5" i="7"/>
  <c r="CZ4" i="7"/>
  <c r="AN4" i="7"/>
  <c r="DZ5" i="6"/>
  <c r="BN5" i="6"/>
  <c r="B5" i="6"/>
  <c r="CN4" i="6"/>
  <c r="AB4" i="6"/>
  <c r="DN5" i="5"/>
  <c r="BB5" i="5"/>
  <c r="EN4" i="5"/>
  <c r="CB4" i="5"/>
  <c r="P4" i="5"/>
  <c r="DB5" i="4"/>
  <c r="AP5" i="4"/>
  <c r="EB4" i="4"/>
  <c r="Y5" i="20"/>
  <c r="EC5" i="14"/>
  <c r="CM4" i="13"/>
  <c r="BE5" i="11"/>
  <c r="O4" i="10"/>
  <c r="CO5" i="9"/>
  <c r="AC5" i="9"/>
  <c r="DO4" i="9"/>
  <c r="BC4" i="9"/>
  <c r="EO5" i="8"/>
  <c r="CC5" i="8"/>
  <c r="Q5" i="8"/>
  <c r="DC4" i="8"/>
  <c r="AQ4" i="8"/>
  <c r="EC5" i="7"/>
  <c r="BQ5" i="7"/>
  <c r="E5" i="7"/>
  <c r="CQ4" i="7"/>
  <c r="AE4" i="7"/>
  <c r="DQ5" i="6"/>
  <c r="BE5" i="6"/>
  <c r="EQ4" i="6"/>
  <c r="CE4" i="6"/>
  <c r="S4" i="6"/>
  <c r="DE5" i="5"/>
  <c r="AS5" i="5"/>
  <c r="EE4" i="5"/>
  <c r="BS4" i="5"/>
  <c r="G4" i="5"/>
  <c r="CS5" i="4"/>
  <c r="AG5" i="4"/>
  <c r="DS4" i="4"/>
  <c r="DK4" i="20"/>
  <c r="EU4" i="14"/>
  <c r="DM5" i="12"/>
  <c r="BW4" i="11"/>
  <c r="EJ5" i="9"/>
  <c r="BX5" i="9"/>
  <c r="L5" i="9"/>
  <c r="CX4" i="9"/>
  <c r="AL4" i="9"/>
  <c r="DX5" i="8"/>
  <c r="BL5" i="8"/>
  <c r="EX4" i="8"/>
  <c r="CL4" i="8"/>
  <c r="Z4" i="8"/>
  <c r="DL5" i="7"/>
  <c r="AZ5" i="7"/>
  <c r="EL4" i="7"/>
  <c r="BZ4" i="7"/>
  <c r="N4" i="7"/>
  <c r="CZ5" i="6"/>
  <c r="AN5" i="6"/>
  <c r="DZ4" i="6"/>
  <c r="BN4" i="6"/>
  <c r="B4" i="6"/>
  <c r="EE5" i="11"/>
  <c r="BS5" i="11"/>
  <c r="G5" i="11"/>
  <c r="CS4" i="11"/>
  <c r="AG4" i="11"/>
  <c r="DK5" i="10"/>
  <c r="AY5" i="10"/>
  <c r="EK4" i="10"/>
  <c r="BY4" i="10"/>
  <c r="M4" i="10"/>
  <c r="A5" i="20"/>
  <c r="DQ5" i="18"/>
  <c r="R5" i="17"/>
  <c r="BU5" i="16"/>
  <c r="DZ5" i="15"/>
  <c r="EF4" i="15"/>
  <c r="BD4" i="15"/>
  <c r="EP5" i="14"/>
  <c r="CD5" i="14"/>
  <c r="R5" i="14"/>
  <c r="DD4" i="14"/>
  <c r="AR4" i="14"/>
  <c r="ED5" i="13"/>
  <c r="BR5" i="13"/>
  <c r="F5" i="13"/>
  <c r="CR4" i="13"/>
  <c r="AF4" i="13"/>
  <c r="DR5" i="12"/>
  <c r="BF5" i="12"/>
  <c r="ER4" i="12"/>
  <c r="CF4" i="12"/>
  <c r="T4" i="12"/>
  <c r="DF5" i="11"/>
  <c r="AT5" i="11"/>
  <c r="EF4" i="11"/>
  <c r="BT4" i="11"/>
  <c r="H4" i="11"/>
  <c r="CT5" i="10"/>
  <c r="AH5" i="10"/>
  <c r="DT4" i="10"/>
  <c r="BH4" i="10"/>
  <c r="DD4" i="24"/>
  <c r="S4" i="20"/>
  <c r="EI4" i="18"/>
  <c r="CY4" i="17"/>
  <c r="F5" i="16"/>
  <c r="AS5" i="15"/>
  <c r="CS4" i="15"/>
  <c r="AE4" i="15"/>
  <c r="DQ5" i="14"/>
  <c r="BE5" i="14"/>
  <c r="EQ4" i="14"/>
  <c r="CE4" i="14"/>
  <c r="S4" i="14"/>
  <c r="DE5" i="13"/>
  <c r="AS5" i="13"/>
  <c r="EE4" i="13"/>
  <c r="BS4" i="13"/>
  <c r="G4" i="13"/>
  <c r="CS5" i="12"/>
  <c r="AG5" i="12"/>
  <c r="DS4" i="12"/>
  <c r="BG4" i="12"/>
  <c r="ES5" i="11"/>
  <c r="CG5" i="11"/>
  <c r="U5" i="11"/>
  <c r="DG4" i="11"/>
  <c r="AU4" i="11"/>
  <c r="EG5" i="10"/>
  <c r="BU5" i="10"/>
  <c r="I5" i="10"/>
  <c r="CU4" i="10"/>
  <c r="AI4" i="10"/>
  <c r="CA4" i="21"/>
  <c r="AS5" i="19"/>
  <c r="C4" i="18"/>
  <c r="AJ4" i="17"/>
  <c r="CM4" i="16"/>
  <c r="AD5" i="15"/>
  <c r="CH4" i="15"/>
  <c r="V4" i="15"/>
  <c r="DH5" i="14"/>
  <c r="AV5" i="14"/>
  <c r="EH4" i="14"/>
  <c r="BV4" i="14"/>
  <c r="J4" i="14"/>
  <c r="CV5" i="13"/>
  <c r="AJ5" i="13"/>
  <c r="DV4" i="13"/>
  <c r="BJ4" i="13"/>
  <c r="EV5" i="12"/>
  <c r="CJ5" i="12"/>
  <c r="X5" i="12"/>
  <c r="DJ4" i="12"/>
  <c r="AX4" i="12"/>
  <c r="EJ5" i="11"/>
  <c r="BX5" i="11"/>
  <c r="L5" i="11"/>
  <c r="CX4" i="11"/>
  <c r="AL4" i="11"/>
  <c r="DX5" i="10"/>
  <c r="BL5" i="10"/>
  <c r="EX4" i="10"/>
  <c r="CL4" i="10"/>
  <c r="Z4" i="10"/>
  <c r="DA5" i="20"/>
  <c r="BK4" i="19"/>
  <c r="E5" i="17"/>
  <c r="AD5" i="16"/>
  <c r="CG5" i="15"/>
  <c r="DO4" i="15"/>
  <c r="AS4" i="15"/>
  <c r="EE5" i="14"/>
  <c r="BS5" i="14"/>
  <c r="G5" i="14"/>
  <c r="CS4" i="14"/>
  <c r="AG4" i="14"/>
  <c r="DK5" i="13"/>
  <c r="AY5" i="13"/>
  <c r="EK4" i="13"/>
  <c r="BY4" i="13"/>
  <c r="M4" i="13"/>
  <c r="CY5" i="12"/>
  <c r="AM5" i="12"/>
  <c r="DY4" i="12"/>
  <c r="BM4" i="12"/>
  <c r="EQ5" i="11"/>
  <c r="CE5" i="11"/>
  <c r="S5" i="11"/>
  <c r="DE4" i="11"/>
  <c r="AS4" i="11"/>
  <c r="EE5" i="10"/>
  <c r="BS5" i="10"/>
  <c r="G5" i="10"/>
  <c r="CS4" i="10"/>
  <c r="AG4" i="10"/>
  <c r="CS5" i="20"/>
  <c r="EW5" i="18"/>
  <c r="AH5" i="17"/>
  <c r="CK5" i="16"/>
  <c r="EP5" i="15"/>
  <c r="EM4" i="15"/>
  <c r="BH4" i="15"/>
  <c r="ET5" i="14"/>
  <c r="CH5" i="14"/>
  <c r="V5" i="14"/>
  <c r="DH4" i="14"/>
  <c r="AV4" i="14"/>
  <c r="EH5" i="13"/>
  <c r="BV5" i="13"/>
  <c r="J5" i="13"/>
  <c r="CV4" i="13"/>
  <c r="AJ4" i="13"/>
  <c r="DV5" i="12"/>
  <c r="BJ5" i="12"/>
  <c r="EV4" i="12"/>
  <c r="CJ4" i="12"/>
  <c r="X4" i="12"/>
  <c r="DJ5" i="11"/>
  <c r="AX5" i="11"/>
  <c r="EJ4" i="11"/>
  <c r="BX4" i="11"/>
  <c r="L4" i="11"/>
  <c r="CX5" i="10"/>
  <c r="AL5" i="10"/>
  <c r="DX4" i="10"/>
  <c r="BL4" i="10"/>
  <c r="BZ5" i="23"/>
  <c r="EK5" i="14"/>
  <c r="CU4" i="13"/>
  <c r="BM5" i="11"/>
  <c r="W4" i="10"/>
  <c r="CP5" i="9"/>
  <c r="AD5" i="9"/>
  <c r="DP4" i="9"/>
  <c r="BD4" i="9"/>
  <c r="EP5" i="8"/>
  <c r="CD5" i="8"/>
  <c r="R5" i="8"/>
  <c r="DD4" i="8"/>
  <c r="AR4" i="8"/>
  <c r="ED5" i="7"/>
  <c r="BR5" i="7"/>
  <c r="F5" i="7"/>
  <c r="CR4" i="7"/>
  <c r="AF4" i="7"/>
  <c r="DR5" i="6"/>
  <c r="BF5" i="6"/>
  <c r="ER4" i="6"/>
  <c r="CF4" i="6"/>
  <c r="T4" i="6"/>
  <c r="DF5" i="5"/>
  <c r="AT5" i="5"/>
  <c r="EF4" i="5"/>
  <c r="BT4" i="5"/>
  <c r="H4" i="5"/>
  <c r="CT5" i="4"/>
  <c r="AH5" i="4"/>
  <c r="DT4" i="4"/>
  <c r="AU4" i="19"/>
  <c r="BQ5" i="14"/>
  <c r="AA4" i="13"/>
  <c r="EQ4" i="11"/>
  <c r="ES5" i="9"/>
  <c r="CG5" i="9"/>
  <c r="U5" i="9"/>
  <c r="DG4" i="9"/>
  <c r="AU4" i="9"/>
  <c r="EG5" i="8"/>
  <c r="BU5" i="8"/>
  <c r="I5" i="8"/>
  <c r="CU4" i="8"/>
  <c r="AI4" i="8"/>
  <c r="DU5" i="7"/>
  <c r="BI5" i="7"/>
  <c r="EU4" i="7"/>
  <c r="CI4" i="7"/>
  <c r="W4" i="7"/>
  <c r="DI5" i="6"/>
  <c r="AW5" i="6"/>
  <c r="EI4" i="6"/>
  <c r="BW4" i="6"/>
  <c r="K4" i="6"/>
  <c r="CW5" i="5"/>
  <c r="AK5" i="5"/>
  <c r="DW4" i="5"/>
  <c r="BK4" i="5"/>
  <c r="EW5" i="4"/>
  <c r="CK5" i="4"/>
  <c r="Y5" i="4"/>
  <c r="DK4" i="4"/>
  <c r="CO5" i="17"/>
  <c r="CI4" i="14"/>
  <c r="BA5" i="12"/>
  <c r="K4" i="11"/>
  <c r="EB5" i="9"/>
  <c r="BP5" i="9"/>
  <c r="D5" i="9"/>
  <c r="CP4" i="9"/>
  <c r="AD4" i="9"/>
  <c r="DP5" i="8"/>
  <c r="BD5" i="8"/>
  <c r="EP4" i="8"/>
  <c r="CD4" i="8"/>
  <c r="R4" i="8"/>
  <c r="DD5" i="7"/>
  <c r="AR5" i="7"/>
  <c r="ED4" i="7"/>
  <c r="BR4" i="7"/>
  <c r="F4" i="7"/>
  <c r="CR5" i="6"/>
  <c r="AF5" i="6"/>
  <c r="DR4" i="6"/>
  <c r="BF4" i="6"/>
  <c r="ER5" i="5"/>
  <c r="DW5" i="11"/>
  <c r="BK5" i="11"/>
  <c r="EW4" i="11"/>
  <c r="CK4" i="11"/>
  <c r="Y4" i="11"/>
  <c r="DC5" i="10"/>
  <c r="AQ5" i="10"/>
  <c r="EC4" i="10"/>
  <c r="BQ4" i="10"/>
  <c r="E4" i="10"/>
  <c r="CM4" i="20"/>
  <c r="BE5" i="18"/>
  <c r="EJ4" i="17"/>
  <c r="AO5" i="16"/>
  <c r="CT5" i="15"/>
  <c r="DT4" i="15"/>
  <c r="AV4" i="15"/>
  <c r="EH5" i="14"/>
  <c r="BV5" i="14"/>
  <c r="J5" i="14"/>
  <c r="CV4" i="14"/>
  <c r="AJ4" i="14"/>
  <c r="DV5" i="13"/>
  <c r="BJ5" i="13"/>
  <c r="EV4" i="13"/>
  <c r="CJ4" i="13"/>
  <c r="X4" i="13"/>
  <c r="DJ5" i="12"/>
  <c r="AX5" i="12"/>
  <c r="EJ4" i="12"/>
  <c r="BX4" i="12"/>
  <c r="L4" i="12"/>
  <c r="CX5" i="11"/>
  <c r="AL5" i="11"/>
  <c r="DX4" i="11"/>
  <c r="BL4" i="11"/>
  <c r="EX5" i="10"/>
  <c r="CL5" i="10"/>
  <c r="Z5" i="10"/>
  <c r="DL4" i="10"/>
  <c r="AZ4" i="10"/>
  <c r="BR5" i="21"/>
  <c r="DM5" i="19"/>
  <c r="BW4" i="18"/>
  <c r="BS4" i="17"/>
  <c r="DX4" i="16"/>
  <c r="AE5" i="15"/>
  <c r="CI4" i="15"/>
  <c r="W4" i="15"/>
  <c r="DI5" i="14"/>
  <c r="AW5" i="14"/>
  <c r="EI4" i="14"/>
  <c r="BW4" i="14"/>
  <c r="K4" i="14"/>
  <c r="CW5" i="13"/>
  <c r="AK5" i="13"/>
  <c r="DW4" i="13"/>
  <c r="BK4" i="13"/>
  <c r="EW5" i="12"/>
  <c r="CK5" i="12"/>
  <c r="Y5" i="12"/>
  <c r="DK4" i="12"/>
  <c r="AY4" i="12"/>
  <c r="EK5" i="11"/>
  <c r="BY5" i="11"/>
  <c r="M5" i="11"/>
  <c r="CY4" i="11"/>
  <c r="AM4" i="11"/>
  <c r="DY5" i="10"/>
  <c r="BM5" i="10"/>
  <c r="A5" i="10"/>
  <c r="CM4" i="10"/>
  <c r="AA4" i="10"/>
  <c r="O4" i="21"/>
  <c r="EE4" i="19"/>
  <c r="DB5" i="17"/>
  <c r="D4" i="17"/>
  <c r="BG4" i="16"/>
  <c r="R5" i="15"/>
  <c r="BZ4" i="15"/>
  <c r="N4" i="15"/>
  <c r="CZ5" i="14"/>
  <c r="AN5" i="14"/>
  <c r="DZ4" i="14"/>
  <c r="BN4" i="14"/>
  <c r="B4" i="14"/>
  <c r="CN5" i="13"/>
  <c r="AB5" i="13"/>
  <c r="DN4" i="13"/>
  <c r="BB4" i="13"/>
  <c r="EN5" i="12"/>
  <c r="CB5" i="12"/>
  <c r="P5" i="12"/>
  <c r="DB4" i="12"/>
  <c r="AP4" i="12"/>
  <c r="EB5" i="11"/>
  <c r="BP5" i="11"/>
  <c r="D5" i="11"/>
  <c r="CP4" i="11"/>
  <c r="AD4" i="11"/>
  <c r="DP5" i="10"/>
  <c r="BD5" i="10"/>
  <c r="EP4" i="10"/>
  <c r="CD4" i="10"/>
  <c r="R4" i="10"/>
  <c r="AO5" i="20"/>
  <c r="CS5" i="18"/>
  <c r="DW4" i="17"/>
  <c r="EV4" i="16"/>
  <c r="BG5" i="15"/>
  <c r="DA4" i="15"/>
  <c r="AK4" i="15"/>
  <c r="DW5" i="14"/>
  <c r="BK5" i="14"/>
  <c r="EW4" i="14"/>
  <c r="CK4" i="14"/>
  <c r="Y4" i="14"/>
  <c r="DC5" i="13"/>
  <c r="AQ5" i="13"/>
  <c r="EC4" i="13"/>
  <c r="BQ4" i="13"/>
  <c r="E4" i="13"/>
  <c r="CQ5" i="12"/>
  <c r="AE5" i="12"/>
  <c r="DQ4" i="12"/>
  <c r="BE4" i="12"/>
  <c r="EI5" i="11"/>
  <c r="BW5" i="11"/>
  <c r="K5" i="11"/>
  <c r="CW4" i="11"/>
  <c r="AK4" i="11"/>
  <c r="DW5" i="10"/>
  <c r="BK5" i="10"/>
  <c r="EW4" i="10"/>
  <c r="CK4" i="10"/>
  <c r="Y4" i="10"/>
  <c r="AG5" i="20"/>
  <c r="CK5" i="18"/>
  <c r="B5" i="17"/>
  <c r="BE5" i="16"/>
  <c r="DJ5" i="15"/>
  <c r="DY4" i="15"/>
  <c r="AZ4" i="15"/>
  <c r="EL5" i="14"/>
  <c r="BZ5" i="14"/>
  <c r="N5" i="14"/>
  <c r="CZ4" i="14"/>
  <c r="AN4" i="14"/>
  <c r="DZ5" i="13"/>
  <c r="BN5" i="13"/>
  <c r="B5" i="13"/>
  <c r="CN4" i="13"/>
  <c r="AB4" i="13"/>
  <c r="DN5" i="12"/>
  <c r="BB5" i="12"/>
  <c r="EN4" i="12"/>
  <c r="CB4" i="12"/>
  <c r="P4" i="12"/>
  <c r="DB5" i="11"/>
  <c r="AP5" i="11"/>
  <c r="EB4" i="11"/>
  <c r="BP4" i="11"/>
  <c r="D4" i="11"/>
  <c r="CP5" i="10"/>
  <c r="AD5" i="10"/>
  <c r="DP4" i="10"/>
  <c r="BD4" i="10"/>
  <c r="CK5" i="20"/>
  <c r="BY5" i="14"/>
  <c r="AI4" i="13"/>
  <c r="A5" i="11"/>
  <c r="ET5" i="9"/>
  <c r="CH5" i="9"/>
  <c r="V5" i="9"/>
  <c r="DH4" i="9"/>
  <c r="AV4" i="9"/>
  <c r="EH5" i="8"/>
  <c r="BV5" i="8"/>
  <c r="J5" i="8"/>
  <c r="CV4" i="8"/>
  <c r="AJ4" i="8"/>
  <c r="DV5" i="7"/>
  <c r="BJ5" i="7"/>
  <c r="EV4" i="7"/>
  <c r="CJ4" i="7"/>
  <c r="X4" i="7"/>
  <c r="DJ5" i="6"/>
  <c r="AX5" i="6"/>
  <c r="EJ4" i="6"/>
  <c r="BX4" i="6"/>
  <c r="L4" i="6"/>
  <c r="CX5" i="5"/>
  <c r="AL5" i="5"/>
  <c r="DX4" i="5"/>
  <c r="BL4" i="5"/>
  <c r="EX5" i="4"/>
  <c r="CL5" i="4"/>
  <c r="Z5" i="4"/>
  <c r="DL4" i="4"/>
  <c r="EK5" i="17"/>
  <c r="E5" i="14"/>
  <c r="DU5" i="12"/>
  <c r="CE4" i="11"/>
  <c r="EK5" i="9"/>
  <c r="BY5" i="9"/>
  <c r="M5" i="9"/>
  <c r="CY4" i="9"/>
  <c r="AM4" i="9"/>
  <c r="DY5" i="8"/>
  <c r="BM5" i="8"/>
  <c r="A5" i="8"/>
  <c r="CM4" i="8"/>
  <c r="AA4" i="8"/>
  <c r="DM5" i="7"/>
  <c r="BA5" i="7"/>
  <c r="EM4" i="7"/>
  <c r="CA4" i="7"/>
  <c r="O4" i="7"/>
  <c r="DA5" i="6"/>
  <c r="AO5" i="6"/>
  <c r="EA4" i="6"/>
  <c r="BO4" i="6"/>
  <c r="C4" i="6"/>
  <c r="CO5" i="5"/>
  <c r="AC5" i="5"/>
  <c r="DO4" i="5"/>
  <c r="BC4" i="5"/>
  <c r="EO5" i="4"/>
  <c r="CC5" i="4"/>
  <c r="Q5" i="4"/>
  <c r="DC4" i="4"/>
  <c r="CB4" i="16"/>
  <c r="W4" i="14"/>
  <c r="EM4" i="12"/>
  <c r="DE5" i="10"/>
  <c r="DT5" i="9"/>
  <c r="BH5" i="9"/>
  <c r="ET4" i="9"/>
  <c r="CH4" i="9"/>
  <c r="V4" i="9"/>
  <c r="DH5" i="8"/>
  <c r="AV5" i="8"/>
  <c r="EH4" i="8"/>
  <c r="BV4" i="8"/>
  <c r="J4" i="8"/>
  <c r="CV5" i="7"/>
  <c r="AJ5" i="7"/>
  <c r="DV4" i="7"/>
  <c r="BJ4" i="7"/>
  <c r="EV5" i="6"/>
  <c r="CJ5" i="6"/>
  <c r="X5" i="6"/>
  <c r="DJ4" i="6"/>
  <c r="AX4" i="6"/>
  <c r="EJ5" i="5"/>
  <c r="DO5" i="11"/>
  <c r="BC5" i="11"/>
  <c r="EO4" i="11"/>
  <c r="CC4" i="11"/>
  <c r="Q4" i="11"/>
  <c r="CU5" i="10"/>
  <c r="AI5" i="10"/>
  <c r="DU4" i="10"/>
  <c r="BI4" i="10"/>
  <c r="AN4" i="23"/>
  <c r="AA4" i="20"/>
  <c r="EQ4" i="18"/>
  <c r="DD4" i="17"/>
  <c r="I5" i="16"/>
  <c r="BO5" i="15"/>
  <c r="DG4" i="15"/>
  <c r="AN4" i="15"/>
  <c r="DZ5" i="14"/>
  <c r="BN5" i="14"/>
  <c r="B5" i="14"/>
  <c r="CN4" i="14"/>
  <c r="AB4" i="14"/>
  <c r="DN5" i="13"/>
  <c r="BB5" i="13"/>
  <c r="EN4" i="13"/>
  <c r="CB4" i="13"/>
  <c r="P4" i="13"/>
  <c r="DB5" i="12"/>
  <c r="AP5" i="12"/>
  <c r="EB4" i="12"/>
  <c r="BP4" i="12"/>
  <c r="D4" i="12"/>
  <c r="CP5" i="11"/>
  <c r="AD5" i="11"/>
  <c r="DP4" i="11"/>
  <c r="BD4" i="11"/>
  <c r="EP5" i="10"/>
  <c r="CD5" i="10"/>
  <c r="R5" i="10"/>
  <c r="DD4" i="10"/>
  <c r="AR4" i="10"/>
  <c r="CI4" i="21"/>
  <c r="BA5" i="19"/>
  <c r="K4" i="18"/>
  <c r="AM4" i="17"/>
  <c r="CR4" i="16"/>
  <c r="S5" i="15"/>
  <c r="CA4" i="15"/>
  <c r="O4" i="15"/>
  <c r="DA5" i="14"/>
  <c r="AO5" i="14"/>
  <c r="EA4" i="14"/>
  <c r="BO4" i="14"/>
  <c r="C4" i="14"/>
  <c r="CO5" i="13"/>
  <c r="AC5" i="13"/>
  <c r="DO4" i="13"/>
  <c r="BC4" i="13"/>
  <c r="EO5" i="12"/>
  <c r="CC5" i="12"/>
  <c r="Q5" i="12"/>
  <c r="DC4" i="12"/>
  <c r="AQ4" i="12"/>
  <c r="EC5" i="11"/>
  <c r="BQ5" i="11"/>
  <c r="E5" i="11"/>
  <c r="CQ4" i="11"/>
  <c r="AE4" i="11"/>
  <c r="DQ5" i="10"/>
  <c r="BE5" i="10"/>
  <c r="EQ4" i="10"/>
  <c r="CE4" i="10"/>
  <c r="S4" i="10"/>
  <c r="DI5" i="20"/>
  <c r="BS4" i="19"/>
  <c r="BV5" i="17"/>
  <c r="DY5" i="16"/>
  <c r="AA4" i="16"/>
  <c r="E5" i="15"/>
  <c r="BR4" i="15"/>
  <c r="F4" i="15"/>
  <c r="CR5" i="14"/>
  <c r="AF5" i="14"/>
  <c r="DR4" i="14"/>
  <c r="BF4" i="14"/>
  <c r="ER5" i="13"/>
  <c r="CF5" i="13"/>
  <c r="T5" i="13"/>
  <c r="DF4" i="13"/>
  <c r="AT4" i="13"/>
  <c r="EF5" i="12"/>
  <c r="BT5" i="12"/>
  <c r="H5" i="12"/>
  <c r="CT4" i="12"/>
  <c r="AH4" i="12"/>
  <c r="DT5" i="11"/>
  <c r="BH5" i="11"/>
  <c r="ET4" i="11"/>
  <c r="CH4" i="11"/>
  <c r="V4" i="11"/>
  <c r="DH5" i="10"/>
  <c r="AV5" i="10"/>
  <c r="EH4" i="10"/>
  <c r="BV4" i="10"/>
  <c r="J4" i="10"/>
  <c r="EA4" i="20"/>
  <c r="AG5" i="18"/>
  <c r="CQ4" i="17"/>
  <c r="DP4" i="16"/>
  <c r="AP5" i="15"/>
  <c r="CQ4" i="15"/>
  <c r="AC4" i="15"/>
  <c r="DO5" i="14"/>
  <c r="BC5" i="14"/>
  <c r="EO4" i="14"/>
  <c r="CC4" i="14"/>
  <c r="Q4" i="14"/>
  <c r="CU5" i="13"/>
  <c r="AI5" i="13"/>
  <c r="DU4" i="13"/>
  <c r="BI4" i="13"/>
  <c r="EU5" i="12"/>
  <c r="CI5" i="12"/>
  <c r="W5" i="12"/>
  <c r="DI4" i="12"/>
  <c r="AW4" i="12"/>
  <c r="EA5" i="11"/>
  <c r="BO5" i="11"/>
  <c r="C5" i="11"/>
  <c r="CO4" i="11"/>
  <c r="AC4" i="11"/>
  <c r="DO5" i="10"/>
  <c r="BC5" i="10"/>
  <c r="EO4" i="10"/>
  <c r="CC4" i="10"/>
  <c r="Q4" i="10"/>
  <c r="DS4" i="20"/>
  <c r="Y5" i="18"/>
  <c r="DT4" i="17"/>
  <c r="Y5" i="16"/>
  <c r="CD5" i="15"/>
  <c r="DM4" i="15"/>
  <c r="AR4" i="15"/>
  <c r="ED5" i="14"/>
  <c r="BR5" i="14"/>
  <c r="F5" i="14"/>
  <c r="CR4" i="14"/>
  <c r="AF4" i="14"/>
  <c r="DR5" i="13"/>
  <c r="BF5" i="13"/>
  <c r="ER4" i="13"/>
  <c r="CF4" i="13"/>
  <c r="T4" i="13"/>
  <c r="DF5" i="12"/>
  <c r="AT5" i="12"/>
  <c r="EF4" i="12"/>
  <c r="BT4" i="12"/>
  <c r="H4" i="12"/>
  <c r="CT5" i="11"/>
  <c r="AH5" i="11"/>
  <c r="DT4" i="11"/>
  <c r="BH4" i="11"/>
  <c r="ET5" i="10"/>
  <c r="CH5" i="10"/>
  <c r="V5" i="10"/>
  <c r="DH4" i="10"/>
  <c r="AV4" i="10"/>
  <c r="DG4" i="19"/>
  <c r="M5" i="14"/>
  <c r="EC5" i="12"/>
  <c r="CM4" i="11"/>
  <c r="EL5" i="9"/>
  <c r="BZ5" i="9"/>
  <c r="N5" i="9"/>
  <c r="CZ4" i="9"/>
  <c r="AN4" i="9"/>
  <c r="DZ5" i="8"/>
  <c r="BN5" i="8"/>
  <c r="B5" i="8"/>
  <c r="CN4" i="8"/>
  <c r="AB4" i="8"/>
  <c r="DN5" i="7"/>
  <c r="BB5" i="7"/>
  <c r="EN4" i="7"/>
  <c r="CB4" i="7"/>
  <c r="P4" i="7"/>
  <c r="DB5" i="6"/>
  <c r="AP5" i="6"/>
  <c r="EB4" i="6"/>
  <c r="BP4" i="6"/>
  <c r="D4" i="6"/>
  <c r="CP5" i="5"/>
  <c r="AD5" i="5"/>
  <c r="DP4" i="5"/>
  <c r="BD4" i="5"/>
  <c r="EP5" i="4"/>
  <c r="CD5" i="4"/>
  <c r="R5" i="4"/>
  <c r="DD4" i="4"/>
  <c r="W4" i="17"/>
  <c r="CQ4" i="14"/>
  <c r="BI5" i="12"/>
  <c r="S4" i="11"/>
  <c r="EC5" i="9"/>
  <c r="BQ5" i="9"/>
  <c r="E5" i="9"/>
  <c r="CQ4" i="9"/>
  <c r="AE4" i="9"/>
  <c r="DQ5" i="8"/>
  <c r="BE5" i="8"/>
  <c r="EQ4" i="8"/>
  <c r="CE4" i="8"/>
  <c r="S4" i="8"/>
  <c r="DE5" i="7"/>
  <c r="AS5" i="7"/>
  <c r="EE4" i="7"/>
  <c r="BS4" i="7"/>
  <c r="G4" i="7"/>
  <c r="CS5" i="6"/>
  <c r="AG5" i="6"/>
  <c r="DS4" i="6"/>
  <c r="BG4" i="6"/>
  <c r="ES5" i="5"/>
  <c r="CG5" i="5"/>
  <c r="U5" i="5"/>
  <c r="DG4" i="5"/>
  <c r="AU4" i="5"/>
  <c r="EG5" i="4"/>
  <c r="BU5" i="4"/>
  <c r="I5" i="4"/>
  <c r="CU4" i="4"/>
  <c r="AL5" i="15"/>
  <c r="DQ5" i="13"/>
  <c r="CA4" i="12"/>
  <c r="AS5" i="10"/>
  <c r="DL5" i="9"/>
  <c r="AZ5" i="9"/>
  <c r="EL4" i="9"/>
  <c r="BZ4" i="9"/>
  <c r="N4" i="9"/>
  <c r="CZ5" i="8"/>
  <c r="AN5" i="8"/>
  <c r="DZ4" i="8"/>
  <c r="BN4" i="8"/>
  <c r="B4" i="8"/>
  <c r="CN5" i="7"/>
  <c r="AB5" i="7"/>
  <c r="DN4" i="7"/>
  <c r="BB4" i="7"/>
  <c r="EN5" i="6"/>
  <c r="CB5" i="6"/>
  <c r="P5" i="6"/>
  <c r="DB4" i="6"/>
  <c r="AP4" i="6"/>
  <c r="EB5" i="5"/>
  <c r="AZ5" i="5"/>
  <c r="EL4" i="5"/>
  <c r="BZ4" i="5"/>
  <c r="N4" i="5"/>
  <c r="CZ5" i="4"/>
  <c r="AN5" i="4"/>
  <c r="DZ4" i="4"/>
  <c r="AY4" i="20"/>
  <c r="DM5" i="14"/>
  <c r="BW4" i="13"/>
  <c r="AO5" i="11"/>
  <c r="EQ5" i="9"/>
  <c r="CE5" i="9"/>
  <c r="S5" i="9"/>
  <c r="DE4" i="9"/>
  <c r="AS4" i="9"/>
  <c r="EE5" i="8"/>
  <c r="BS5" i="8"/>
  <c r="G5" i="8"/>
  <c r="CS4" i="8"/>
  <c r="AG4" i="8"/>
  <c r="DK5" i="7"/>
  <c r="AY5" i="7"/>
  <c r="EK4" i="7"/>
  <c r="BY4" i="7"/>
  <c r="M4" i="7"/>
  <c r="CY5" i="6"/>
  <c r="AM5" i="6"/>
  <c r="DY4" i="6"/>
  <c r="BM4" i="6"/>
  <c r="EQ5" i="5"/>
  <c r="CE5" i="5"/>
  <c r="S5" i="5"/>
  <c r="DE4" i="5"/>
  <c r="AS4" i="5"/>
  <c r="EE5" i="4"/>
  <c r="BS5" i="4"/>
  <c r="G5" i="4"/>
  <c r="CS4" i="4"/>
  <c r="DN5" i="16"/>
  <c r="BS4" i="14"/>
  <c r="AK5" i="12"/>
  <c r="AC5" i="10"/>
  <c r="DJ5" i="9"/>
  <c r="AX5" i="9"/>
  <c r="EJ4" i="9"/>
  <c r="BX4" i="9"/>
  <c r="L4" i="9"/>
  <c r="CX5" i="8"/>
  <c r="AL5" i="8"/>
  <c r="DX4" i="8"/>
  <c r="BL4" i="8"/>
  <c r="EX5" i="7"/>
  <c r="CL5" i="7"/>
  <c r="Z5" i="7"/>
  <c r="DL4" i="7"/>
  <c r="AZ4" i="7"/>
  <c r="EL5" i="6"/>
  <c r="BZ5" i="6"/>
  <c r="N5" i="6"/>
  <c r="CZ4" i="6"/>
  <c r="AN4" i="6"/>
  <c r="DZ5" i="5"/>
  <c r="BN5" i="5"/>
  <c r="B5" i="5"/>
  <c r="CN4" i="5"/>
  <c r="AB4" i="5"/>
  <c r="DN5" i="4"/>
  <c r="BB5" i="4"/>
  <c r="EN4" i="4"/>
  <c r="CB4" i="4"/>
  <c r="BO4" i="15"/>
  <c r="DS4" i="13"/>
  <c r="Y5" i="11"/>
  <c r="EW5" i="9"/>
  <c r="CK5" i="9"/>
  <c r="Y5" i="9"/>
  <c r="DK4" i="9"/>
  <c r="AY4" i="9"/>
  <c r="EK5" i="8"/>
  <c r="BY5" i="8"/>
  <c r="M5" i="8"/>
  <c r="CY4" i="8"/>
  <c r="AM4" i="8"/>
  <c r="DY5" i="7"/>
  <c r="BM5" i="7"/>
  <c r="A5" i="7"/>
  <c r="CM4" i="7"/>
  <c r="AA4" i="7"/>
  <c r="DM5" i="6"/>
  <c r="BA5" i="6"/>
  <c r="EM4" i="6"/>
  <c r="CA4" i="6"/>
  <c r="O4" i="6"/>
  <c r="DA5" i="5"/>
  <c r="AO5" i="5"/>
  <c r="EA4" i="5"/>
  <c r="BO4" i="5"/>
  <c r="C4" i="5"/>
  <c r="CO5" i="4"/>
  <c r="AC5" i="4"/>
  <c r="DO4" i="4"/>
  <c r="CG5" i="19"/>
  <c r="AC5" i="14"/>
  <c r="ES5" i="12"/>
  <c r="DC4" i="11"/>
  <c r="EN5" i="9"/>
  <c r="CB5" i="9"/>
  <c r="P5" i="9"/>
  <c r="DB4" i="9"/>
  <c r="AP4" i="9"/>
  <c r="EB5" i="8"/>
  <c r="BP5" i="8"/>
  <c r="D5" i="8"/>
  <c r="CP4" i="8"/>
  <c r="AD4" i="8"/>
  <c r="DP5" i="7"/>
  <c r="BD5" i="7"/>
  <c r="EP4" i="7"/>
  <c r="CD4" i="7"/>
  <c r="R4" i="7"/>
  <c r="DD5" i="6"/>
  <c r="AR5" i="6"/>
  <c r="ED4" i="6"/>
  <c r="BR4" i="6"/>
  <c r="F4" i="6"/>
  <c r="CR5" i="5"/>
  <c r="AF5" i="5"/>
  <c r="DR4" i="5"/>
  <c r="BF4" i="5"/>
  <c r="ER5" i="4"/>
  <c r="CF5" i="4"/>
  <c r="T5" i="4"/>
  <c r="DF4" i="4"/>
  <c r="AQ4" i="13"/>
  <c r="DC5" i="8"/>
  <c r="BM4" i="7"/>
  <c r="DI4" i="5"/>
  <c r="AV4" i="4"/>
  <c r="I869" i="1"/>
  <c r="E864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DG5" i="9"/>
  <c r="BI4" i="8"/>
  <c r="DE4" i="6"/>
  <c r="BO5" i="4"/>
  <c r="W4" i="4"/>
  <c r="H867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D734" i="1"/>
  <c r="L728" i="1"/>
  <c r="AM5" i="9"/>
  <c r="CI5" i="7"/>
  <c r="AK4" i="6"/>
  <c r="ES4" i="4"/>
  <c r="N4" i="4"/>
  <c r="K866" i="1"/>
  <c r="G861" i="1"/>
  <c r="C856" i="1"/>
  <c r="K850" i="1"/>
  <c r="G84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38" i="1"/>
  <c r="G733" i="1"/>
  <c r="DX4" i="15"/>
  <c r="CE5" i="8"/>
  <c r="AO4" i="7"/>
  <c r="EW4" i="5"/>
  <c r="BA4" i="4"/>
  <c r="B870" i="1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DD5" i="5"/>
  <c r="AR5" i="5"/>
  <c r="ED4" i="5"/>
  <c r="BR4" i="5"/>
  <c r="F4" i="5"/>
  <c r="CR5" i="4"/>
  <c r="AF5" i="4"/>
  <c r="DR4" i="4"/>
  <c r="EO5" i="18"/>
  <c r="BA5" i="14"/>
  <c r="K4" i="13"/>
  <c r="EA4" i="11"/>
  <c r="EI5" i="9"/>
  <c r="BW5" i="9"/>
  <c r="K5" i="9"/>
  <c r="CW4" i="9"/>
  <c r="AK4" i="9"/>
  <c r="DW5" i="8"/>
  <c r="BK5" i="8"/>
  <c r="EW4" i="8"/>
  <c r="CK4" i="8"/>
  <c r="Y4" i="8"/>
  <c r="DC5" i="7"/>
  <c r="AQ5" i="7"/>
  <c r="EC4" i="7"/>
  <c r="BQ4" i="7"/>
  <c r="E4" i="7"/>
  <c r="CQ5" i="6"/>
  <c r="AE5" i="6"/>
  <c r="DQ4" i="6"/>
  <c r="BE4" i="6"/>
  <c r="EI5" i="5"/>
  <c r="BW5" i="5"/>
  <c r="K5" i="5"/>
  <c r="CW4" i="5"/>
  <c r="AK4" i="5"/>
  <c r="DW5" i="4"/>
  <c r="BK5" i="4"/>
  <c r="EW4" i="4"/>
  <c r="CK4" i="4"/>
  <c r="P4" i="16"/>
  <c r="G4" i="14"/>
  <c r="DW4" i="12"/>
  <c r="DO4" i="10"/>
  <c r="DB5" i="9"/>
  <c r="AP5" i="9"/>
  <c r="EB4" i="9"/>
  <c r="BP4" i="9"/>
  <c r="D4" i="9"/>
  <c r="CP5" i="8"/>
  <c r="AD5" i="8"/>
  <c r="DP4" i="8"/>
  <c r="BD4" i="8"/>
  <c r="EP5" i="7"/>
  <c r="CD5" i="7"/>
  <c r="R5" i="7"/>
  <c r="DD4" i="7"/>
  <c r="AR4" i="7"/>
  <c r="ED5" i="6"/>
  <c r="BR5" i="6"/>
  <c r="F5" i="6"/>
  <c r="CR4" i="6"/>
  <c r="AF4" i="6"/>
  <c r="DR5" i="5"/>
  <c r="BF5" i="5"/>
  <c r="ER4" i="5"/>
  <c r="CF4" i="5"/>
  <c r="T4" i="5"/>
  <c r="DF5" i="4"/>
  <c r="AT5" i="4"/>
  <c r="EF4" i="4"/>
  <c r="BT4" i="4"/>
  <c r="C4" i="15"/>
  <c r="BG4" i="13"/>
  <c r="DK4" i="11"/>
  <c r="EO5" i="9"/>
  <c r="CC5" i="9"/>
  <c r="Q5" i="9"/>
  <c r="DC4" i="9"/>
  <c r="AQ4" i="9"/>
  <c r="EC5" i="8"/>
  <c r="BQ5" i="8"/>
  <c r="E5" i="8"/>
  <c r="CQ4" i="8"/>
  <c r="AE4" i="8"/>
  <c r="DQ5" i="7"/>
  <c r="BE5" i="7"/>
  <c r="EQ4" i="7"/>
  <c r="CE4" i="7"/>
  <c r="S4" i="7"/>
  <c r="DE5" i="6"/>
  <c r="AS5" i="6"/>
  <c r="EE4" i="6"/>
  <c r="BS4" i="6"/>
  <c r="G4" i="6"/>
  <c r="CS5" i="5"/>
  <c r="AG5" i="5"/>
  <c r="DS4" i="5"/>
  <c r="BG4" i="5"/>
  <c r="ES5" i="4"/>
  <c r="CG5" i="4"/>
  <c r="U5" i="4"/>
  <c r="DG4" i="4"/>
  <c r="DC4" i="18"/>
  <c r="DO4" i="14"/>
  <c r="CG5" i="12"/>
  <c r="AQ4" i="11"/>
  <c r="EF5" i="9"/>
  <c r="BT5" i="9"/>
  <c r="H5" i="9"/>
  <c r="CT4" i="9"/>
  <c r="AH4" i="9"/>
  <c r="DT5" i="8"/>
  <c r="BH5" i="8"/>
  <c r="ET4" i="8"/>
  <c r="CH4" i="8"/>
  <c r="V4" i="8"/>
  <c r="DH5" i="7"/>
  <c r="AV5" i="7"/>
  <c r="EH4" i="7"/>
  <c r="BV4" i="7"/>
  <c r="J4" i="7"/>
  <c r="CV5" i="6"/>
  <c r="AJ5" i="6"/>
  <c r="DV4" i="6"/>
  <c r="BJ4" i="6"/>
  <c r="EV5" i="5"/>
  <c r="CJ5" i="5"/>
  <c r="X5" i="5"/>
  <c r="DJ4" i="5"/>
  <c r="AX4" i="5"/>
  <c r="EJ5" i="4"/>
  <c r="BX5" i="4"/>
  <c r="L5" i="4"/>
  <c r="CX4" i="4"/>
  <c r="EG5" i="11"/>
  <c r="AQ5" i="8"/>
  <c r="CM5" i="6"/>
  <c r="AW4" i="5"/>
  <c r="AN4" i="4"/>
  <c r="A869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AU5" i="9"/>
  <c r="CQ5" i="7"/>
  <c r="AS4" i="6"/>
  <c r="C5" i="4"/>
  <c r="O4" i="4"/>
  <c r="L866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L738" i="1"/>
  <c r="H733" i="1"/>
  <c r="U5" i="19"/>
  <c r="DY4" i="9"/>
  <c r="W5" i="7"/>
  <c r="EE5" i="5"/>
  <c r="CG4" i="4"/>
  <c r="F4" i="4"/>
  <c r="C866" i="1"/>
  <c r="K860" i="1"/>
  <c r="G855" i="1"/>
  <c r="C850" i="1"/>
  <c r="K844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BY5" i="12"/>
  <c r="S5" i="8"/>
  <c r="EA5" i="6"/>
  <c r="CK4" i="5"/>
  <c r="AS4" i="4"/>
  <c r="F869" i="1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CV5" i="5"/>
  <c r="AJ5" i="5"/>
  <c r="DV4" i="5"/>
  <c r="BJ4" i="5"/>
  <c r="EV5" i="4"/>
  <c r="CJ5" i="4"/>
  <c r="X5" i="4"/>
  <c r="DJ4" i="4"/>
  <c r="BI5" i="17"/>
  <c r="EM4" i="14"/>
  <c r="DE5" i="12"/>
  <c r="BO4" i="11"/>
  <c r="EA5" i="9"/>
  <c r="BO5" i="9"/>
  <c r="C5" i="9"/>
  <c r="CO4" i="9"/>
  <c r="AC4" i="9"/>
  <c r="DO5" i="8"/>
  <c r="BC5" i="8"/>
  <c r="EO4" i="8"/>
  <c r="CC4" i="8"/>
  <c r="Q4" i="8"/>
  <c r="CU5" i="7"/>
  <c r="AI5" i="7"/>
  <c r="DU4" i="7"/>
  <c r="BI4" i="7"/>
  <c r="EU5" i="6"/>
  <c r="CI5" i="6"/>
  <c r="W5" i="6"/>
  <c r="DI4" i="6"/>
  <c r="AW4" i="6"/>
  <c r="EA5" i="5"/>
  <c r="BO5" i="5"/>
  <c r="C5" i="5"/>
  <c r="CO4" i="5"/>
  <c r="AC4" i="5"/>
  <c r="DO5" i="4"/>
  <c r="BC5" i="4"/>
  <c r="EO4" i="4"/>
  <c r="CC4" i="4"/>
  <c r="M5" i="15"/>
  <c r="DA5" i="13"/>
  <c r="BK4" i="12"/>
  <c r="BC4" i="10"/>
  <c r="CT5" i="9"/>
  <c r="AH5" i="9"/>
  <c r="DT4" i="9"/>
  <c r="BH4" i="9"/>
  <c r="ET5" i="8"/>
  <c r="CH5" i="8"/>
  <c r="V5" i="8"/>
  <c r="DH4" i="8"/>
  <c r="AV4" i="8"/>
  <c r="EH5" i="7"/>
  <c r="BV5" i="7"/>
  <c r="J5" i="7"/>
  <c r="CV4" i="7"/>
  <c r="AJ4" i="7"/>
  <c r="DV5" i="6"/>
  <c r="BJ5" i="6"/>
  <c r="EV4" i="6"/>
  <c r="CJ4" i="6"/>
  <c r="X4" i="6"/>
  <c r="DJ5" i="5"/>
  <c r="AX5" i="5"/>
  <c r="EJ4" i="5"/>
  <c r="BX4" i="5"/>
  <c r="L4" i="5"/>
  <c r="CX5" i="4"/>
  <c r="AL5" i="4"/>
  <c r="DX4" i="4"/>
  <c r="BC4" i="21"/>
  <c r="CW5" i="14"/>
  <c r="CO5" i="12"/>
  <c r="AY4" i="11"/>
  <c r="EG5" i="9"/>
  <c r="BU5" i="9"/>
  <c r="I5" i="9"/>
  <c r="CU4" i="9"/>
  <c r="AI4" i="9"/>
  <c r="DU5" i="8"/>
  <c r="BI5" i="8"/>
  <c r="EU4" i="8"/>
  <c r="CI4" i="8"/>
  <c r="W4" i="8"/>
  <c r="DI5" i="7"/>
  <c r="AW5" i="7"/>
  <c r="EI4" i="7"/>
  <c r="BW4" i="7"/>
  <c r="K4" i="7"/>
  <c r="CW5" i="6"/>
  <c r="AK5" i="6"/>
  <c r="DW4" i="6"/>
  <c r="BK4" i="6"/>
  <c r="EW5" i="5"/>
  <c r="CK5" i="5"/>
  <c r="Y5" i="5"/>
  <c r="DK4" i="5"/>
  <c r="AY4" i="5"/>
  <c r="EK5" i="4"/>
  <c r="BY5" i="4"/>
  <c r="M5" i="4"/>
  <c r="CY4" i="4"/>
  <c r="DO4" i="17"/>
  <c r="BC4" i="14"/>
  <c r="U5" i="12"/>
  <c r="EK5" i="10"/>
  <c r="DX5" i="9"/>
  <c r="BL5" i="9"/>
  <c r="EX4" i="9"/>
  <c r="CL4" i="9"/>
  <c r="Z4" i="9"/>
  <c r="DL5" i="8"/>
  <c r="AZ5" i="8"/>
  <c r="EL4" i="8"/>
  <c r="BZ4" i="8"/>
  <c r="N4" i="8"/>
  <c r="CZ5" i="7"/>
  <c r="AN5" i="7"/>
  <c r="DZ4" i="7"/>
  <c r="BN4" i="7"/>
  <c r="B4" i="7"/>
  <c r="CN5" i="6"/>
  <c r="AB5" i="6"/>
  <c r="DN4" i="6"/>
  <c r="BB4" i="6"/>
  <c r="EN5" i="5"/>
  <c r="CB5" i="5"/>
  <c r="P5" i="5"/>
  <c r="DB4" i="5"/>
  <c r="AP4" i="5"/>
  <c r="EB5" i="4"/>
  <c r="BP5" i="4"/>
  <c r="D5" i="4"/>
  <c r="CP4" i="4"/>
  <c r="E5" i="10"/>
  <c r="EC4" i="8"/>
  <c r="AA5" i="6"/>
  <c r="EI5" i="4"/>
  <c r="AF4" i="4"/>
  <c r="E868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A735" i="1"/>
  <c r="I729" i="1"/>
  <c r="EG4" i="9"/>
  <c r="AE5" i="7"/>
  <c r="EM5" i="5"/>
  <c r="CO4" i="4"/>
  <c r="G4" i="4"/>
  <c r="D866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D738" i="1"/>
  <c r="L732" i="1"/>
  <c r="DE5" i="15"/>
  <c r="BM4" i="9"/>
  <c r="DI4" i="7"/>
  <c r="BS5" i="5"/>
  <c r="BJ4" i="4"/>
  <c r="K870" i="1"/>
  <c r="G865" i="1"/>
  <c r="C860" i="1"/>
  <c r="K854" i="1"/>
  <c r="G849" i="1"/>
  <c r="C84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CU4" i="11"/>
  <c r="DE4" i="8"/>
  <c r="BO5" i="6"/>
  <c r="Y4" i="5"/>
  <c r="AK4" i="4"/>
  <c r="J868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CN5" i="5"/>
  <c r="AB5" i="5"/>
  <c r="DN4" i="5"/>
  <c r="BB4" i="5"/>
  <c r="EN5" i="4"/>
  <c r="CB5" i="4"/>
  <c r="P5" i="4"/>
  <c r="DB4" i="4"/>
  <c r="ET5" i="16"/>
  <c r="CA4" i="14"/>
  <c r="AS5" i="12"/>
  <c r="C4" i="11"/>
  <c r="DS5" i="9"/>
  <c r="BG5" i="9"/>
  <c r="ES4" i="9"/>
  <c r="CG4" i="9"/>
  <c r="U4" i="9"/>
  <c r="DG5" i="8"/>
  <c r="AU5" i="8"/>
  <c r="EG4" i="8"/>
  <c r="BU4" i="8"/>
  <c r="I4" i="8"/>
  <c r="CM5" i="7"/>
  <c r="AA5" i="7"/>
  <c r="DM4" i="7"/>
  <c r="BA4" i="7"/>
  <c r="EM5" i="6"/>
  <c r="CA5" i="6"/>
  <c r="O5" i="6"/>
  <c r="DA4" i="6"/>
  <c r="AO4" i="6"/>
  <c r="DS5" i="5"/>
  <c r="BG5" i="5"/>
  <c r="ES4" i="5"/>
  <c r="CG4" i="5"/>
  <c r="U4" i="5"/>
  <c r="DG5" i="4"/>
  <c r="AU5" i="4"/>
  <c r="EG4" i="4"/>
  <c r="BU4" i="4"/>
  <c r="BW4" i="15"/>
  <c r="AO5" i="13"/>
  <c r="CS5" i="11"/>
  <c r="EX5" i="9"/>
  <c r="CL5" i="9"/>
  <c r="Z5" i="9"/>
  <c r="DL4" i="9"/>
  <c r="AZ4" i="9"/>
  <c r="EL5" i="8"/>
  <c r="BZ5" i="8"/>
  <c r="N5" i="8"/>
  <c r="CZ4" i="8"/>
  <c r="AN4" i="8"/>
  <c r="DZ5" i="7"/>
  <c r="BN5" i="7"/>
  <c r="B5" i="7"/>
  <c r="CN4" i="7"/>
  <c r="AB4" i="7"/>
  <c r="DN5" i="6"/>
  <c r="BB5" i="6"/>
  <c r="EN4" i="6"/>
  <c r="CB4" i="6"/>
  <c r="P4" i="6"/>
  <c r="DB5" i="5"/>
  <c r="AP5" i="5"/>
  <c r="EB4" i="5"/>
  <c r="BP4" i="5"/>
  <c r="D4" i="5"/>
  <c r="CP5" i="4"/>
  <c r="AD5" i="4"/>
  <c r="DP4" i="4"/>
  <c r="ES5" i="19"/>
  <c r="AK5" i="14"/>
  <c r="AC5" i="12"/>
  <c r="ES5" i="10"/>
  <c r="DY5" i="9"/>
  <c r="BM5" i="9"/>
  <c r="A5" i="9"/>
  <c r="CM4" i="9"/>
  <c r="AA4" i="9"/>
  <c r="DM5" i="8"/>
  <c r="BA5" i="8"/>
  <c r="EM4" i="8"/>
  <c r="CA4" i="8"/>
  <c r="O4" i="8"/>
  <c r="DA5" i="7"/>
  <c r="AO5" i="7"/>
  <c r="EA4" i="7"/>
  <c r="BO4" i="7"/>
  <c r="C4" i="7"/>
  <c r="CO5" i="6"/>
  <c r="AC5" i="6"/>
  <c r="DO4" i="6"/>
  <c r="BC4" i="6"/>
  <c r="EO5" i="5"/>
  <c r="CC5" i="5"/>
  <c r="Q5" i="5"/>
  <c r="DC4" i="5"/>
  <c r="AQ4" i="5"/>
  <c r="EC5" i="4"/>
  <c r="BQ5" i="4"/>
  <c r="E5" i="4"/>
  <c r="CQ4" i="4"/>
  <c r="BB5" i="16"/>
  <c r="EW5" i="13"/>
  <c r="DG4" i="12"/>
  <c r="BY5" i="10"/>
  <c r="DP5" i="9"/>
  <c r="BD5" i="9"/>
  <c r="EP4" i="9"/>
  <c r="CD4" i="9"/>
  <c r="R4" i="9"/>
  <c r="DD5" i="8"/>
  <c r="AR5" i="8"/>
  <c r="ED4" i="8"/>
  <c r="BR4" i="8"/>
  <c r="F4" i="8"/>
  <c r="CR5" i="7"/>
  <c r="AF5" i="7"/>
  <c r="DR4" i="7"/>
  <c r="BF4" i="7"/>
  <c r="ER5" i="6"/>
  <c r="CF5" i="6"/>
  <c r="T5" i="6"/>
  <c r="DF4" i="6"/>
  <c r="AT4" i="6"/>
  <c r="EF5" i="5"/>
  <c r="BT5" i="5"/>
  <c r="H5" i="5"/>
  <c r="CT4" i="5"/>
  <c r="AH4" i="5"/>
  <c r="DT5" i="4"/>
  <c r="BH5" i="4"/>
  <c r="ET4" i="4"/>
  <c r="CH4" i="4"/>
  <c r="DO5" i="9"/>
  <c r="BQ4" i="8"/>
  <c r="DM4" i="6"/>
  <c r="BW5" i="4"/>
  <c r="X4" i="4"/>
  <c r="I867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E734" i="1"/>
  <c r="A729" i="1"/>
  <c r="BU4" i="9"/>
  <c r="DQ4" i="7"/>
  <c r="CA5" i="5"/>
  <c r="BL4" i="4"/>
  <c r="L870" i="1"/>
  <c r="H865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H737" i="1"/>
  <c r="D732" i="1"/>
  <c r="AU4" i="14"/>
  <c r="CM5" i="8"/>
  <c r="AW4" i="7"/>
  <c r="G5" i="5"/>
  <c r="BB4" i="4"/>
  <c r="C870" i="1"/>
  <c r="K864" i="1"/>
  <c r="G859" i="1"/>
  <c r="C854" i="1"/>
  <c r="K848" i="1"/>
  <c r="G84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CQ5" i="9"/>
  <c r="AS4" i="8"/>
  <c r="C5" i="6"/>
  <c r="DK5" i="4"/>
  <c r="AC4" i="4"/>
  <c r="B868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CF5" i="5"/>
  <c r="T5" i="5"/>
  <c r="DF4" i="5"/>
  <c r="AT4" i="5"/>
  <c r="EF5" i="4"/>
  <c r="BT5" i="4"/>
  <c r="H5" i="4"/>
  <c r="CT4" i="4"/>
  <c r="AV4" i="16"/>
  <c r="O4" i="14"/>
  <c r="EE4" i="12"/>
  <c r="CW5" i="10"/>
  <c r="DK5" i="9"/>
  <c r="AY5" i="9"/>
  <c r="EK4" i="9"/>
  <c r="BY4" i="9"/>
  <c r="M4" i="9"/>
  <c r="CY5" i="8"/>
  <c r="AM5" i="8"/>
  <c r="DY4" i="8"/>
  <c r="BM4" i="8"/>
  <c r="EQ5" i="7"/>
  <c r="CE5" i="7"/>
  <c r="S5" i="7"/>
  <c r="DE4" i="7"/>
  <c r="AS4" i="7"/>
  <c r="EE5" i="6"/>
  <c r="BS5" i="6"/>
  <c r="G5" i="6"/>
  <c r="CS4" i="6"/>
  <c r="AG4" i="6"/>
  <c r="DK5" i="5"/>
  <c r="AY5" i="5"/>
  <c r="EK4" i="5"/>
  <c r="BY4" i="5"/>
  <c r="M4" i="5"/>
  <c r="CY5" i="4"/>
  <c r="AM5" i="4"/>
  <c r="DY4" i="4"/>
  <c r="BM4" i="4"/>
  <c r="K4" i="15"/>
  <c r="EA4" i="13"/>
  <c r="AG5" i="11"/>
  <c r="EP5" i="9"/>
  <c r="CD5" i="9"/>
  <c r="R5" i="9"/>
  <c r="DD4" i="9"/>
  <c r="AR4" i="9"/>
  <c r="ED5" i="8"/>
  <c r="BR5" i="8"/>
  <c r="F5" i="8"/>
  <c r="CR4" i="8"/>
  <c r="AF4" i="8"/>
  <c r="DR5" i="7"/>
  <c r="BF5" i="7"/>
  <c r="ER4" i="7"/>
  <c r="CF4" i="7"/>
  <c r="T4" i="7"/>
  <c r="DF5" i="6"/>
  <c r="AT5" i="6"/>
  <c r="EF4" i="6"/>
  <c r="BT4" i="6"/>
  <c r="H4" i="6"/>
  <c r="CT5" i="5"/>
  <c r="AH5" i="5"/>
  <c r="DT4" i="5"/>
  <c r="BH4" i="5"/>
  <c r="ET5" i="4"/>
  <c r="CH5" i="4"/>
  <c r="V5" i="4"/>
  <c r="DH4" i="4"/>
  <c r="Q5" i="18"/>
  <c r="DW4" i="14"/>
  <c r="DO4" i="12"/>
  <c r="CG5" i="10"/>
  <c r="DQ5" i="9"/>
  <c r="BE5" i="9"/>
  <c r="EQ4" i="9"/>
  <c r="CE4" i="9"/>
  <c r="S4" i="9"/>
  <c r="DE5" i="8"/>
  <c r="AS5" i="8"/>
  <c r="EE4" i="8"/>
  <c r="BS4" i="8"/>
  <c r="G4" i="8"/>
  <c r="CS5" i="7"/>
  <c r="AG5" i="7"/>
  <c r="DS4" i="7"/>
  <c r="BG4" i="7"/>
  <c r="ES5" i="6"/>
  <c r="CG5" i="6"/>
  <c r="U5" i="6"/>
  <c r="DG4" i="6"/>
  <c r="AU4" i="6"/>
  <c r="EG5" i="5"/>
  <c r="BU5" i="5"/>
  <c r="I5" i="5"/>
  <c r="CU4" i="5"/>
  <c r="AI4" i="5"/>
  <c r="DU5" i="4"/>
  <c r="BI5" i="4"/>
  <c r="EU4" i="4"/>
  <c r="CI4" i="4"/>
  <c r="EK5" i="15"/>
  <c r="CK5" i="13"/>
  <c r="AU4" i="12"/>
  <c r="M5" i="10"/>
  <c r="DH5" i="9"/>
  <c r="AV5" i="9"/>
  <c r="EH4" i="9"/>
  <c r="BV4" i="9"/>
  <c r="J4" i="9"/>
  <c r="CV5" i="8"/>
  <c r="AJ5" i="8"/>
  <c r="DV4" i="8"/>
  <c r="BJ4" i="8"/>
  <c r="EV5" i="7"/>
  <c r="CJ5" i="7"/>
  <c r="X5" i="7"/>
  <c r="DJ4" i="7"/>
  <c r="AX4" i="7"/>
  <c r="EJ5" i="6"/>
  <c r="BX5" i="6"/>
  <c r="L5" i="6"/>
  <c r="CX4" i="6"/>
  <c r="AL4" i="6"/>
  <c r="DX5" i="5"/>
  <c r="BL5" i="5"/>
  <c r="EX4" i="5"/>
  <c r="CL4" i="5"/>
  <c r="Z4" i="5"/>
  <c r="DL5" i="4"/>
  <c r="AZ5" i="4"/>
  <c r="EL4" i="4"/>
  <c r="BZ4" i="4"/>
  <c r="BC5" i="9"/>
  <c r="E4" i="8"/>
  <c r="BA4" i="6"/>
  <c r="K5" i="4"/>
  <c r="P4" i="4"/>
  <c r="A867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I733" i="1"/>
  <c r="E728" i="1"/>
  <c r="I4" i="9"/>
  <c r="BE4" i="7"/>
  <c r="O5" i="5"/>
  <c r="BC4" i="4"/>
  <c r="D870" i="1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L736" i="1"/>
  <c r="H731" i="1"/>
  <c r="EK5" i="12"/>
  <c r="AA5" i="8"/>
  <c r="EI5" i="6"/>
  <c r="CS4" i="5"/>
  <c r="AT4" i="4"/>
  <c r="G869" i="1"/>
  <c r="C864" i="1"/>
  <c r="K858" i="1"/>
  <c r="G853" i="1"/>
  <c r="C848" i="1"/>
  <c r="K84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AE5" i="9"/>
  <c r="EM5" i="7"/>
  <c r="CO4" i="6"/>
  <c r="AY5" i="4"/>
  <c r="U4" i="4"/>
  <c r="F867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BX5" i="5"/>
  <c r="L5" i="5"/>
  <c r="CX4" i="5"/>
  <c r="AL4" i="5"/>
  <c r="DX5" i="4"/>
  <c r="BL5" i="4"/>
  <c r="EX4" i="4"/>
  <c r="CL4" i="4"/>
  <c r="Z5" i="15"/>
  <c r="DI5" i="13"/>
  <c r="BS4" i="12"/>
  <c r="AK5" i="10"/>
  <c r="DC5" i="9"/>
  <c r="AQ5" i="9"/>
  <c r="EC4" i="9"/>
  <c r="BQ4" i="9"/>
  <c r="E4" i="9"/>
  <c r="CQ5" i="8"/>
  <c r="AE5" i="8"/>
  <c r="DQ4" i="8"/>
  <c r="BE4" i="8"/>
  <c r="EI5" i="7"/>
  <c r="BW5" i="7"/>
  <c r="K5" i="7"/>
  <c r="CW4" i="7"/>
  <c r="AK4" i="7"/>
  <c r="DW5" i="6"/>
  <c r="BK5" i="6"/>
  <c r="EW4" i="6"/>
  <c r="CK4" i="6"/>
  <c r="Y4" i="6"/>
  <c r="DC5" i="5"/>
  <c r="AQ5" i="5"/>
  <c r="EC4" i="5"/>
  <c r="BQ4" i="5"/>
  <c r="E4" i="5"/>
  <c r="CQ5" i="4"/>
  <c r="AE5" i="4"/>
  <c r="DQ4" i="4"/>
  <c r="DO4" i="21"/>
  <c r="DE5" i="14"/>
  <c r="BO4" i="13"/>
  <c r="DS4" i="11"/>
  <c r="EH5" i="9"/>
  <c r="BV5" i="9"/>
  <c r="J5" i="9"/>
  <c r="CV4" i="9"/>
  <c r="AJ4" i="9"/>
  <c r="DV5" i="8"/>
  <c r="BJ5" i="8"/>
  <c r="EV4" i="8"/>
  <c r="CJ4" i="8"/>
  <c r="X4" i="8"/>
  <c r="DJ5" i="7"/>
  <c r="AX5" i="7"/>
  <c r="EJ4" i="7"/>
  <c r="BX4" i="7"/>
  <c r="L4" i="7"/>
  <c r="CX5" i="6"/>
  <c r="AL5" i="6"/>
  <c r="DX4" i="6"/>
  <c r="BL4" i="6"/>
  <c r="EX5" i="5"/>
  <c r="CL5" i="5"/>
  <c r="Z5" i="5"/>
  <c r="DL4" i="5"/>
  <c r="AZ4" i="5"/>
  <c r="EL5" i="4"/>
  <c r="BZ5" i="4"/>
  <c r="N5" i="4"/>
  <c r="CZ4" i="4"/>
  <c r="EU4" i="17"/>
  <c r="BK4" i="14"/>
  <c r="BC4" i="12"/>
  <c r="U5" i="10"/>
  <c r="DI5" i="9"/>
  <c r="AW5" i="9"/>
  <c r="EI4" i="9"/>
  <c r="BW4" i="9"/>
  <c r="K4" i="9"/>
  <c r="CW5" i="8"/>
  <c r="AK5" i="8"/>
  <c r="DW4" i="8"/>
  <c r="BK4" i="8"/>
  <c r="EW5" i="7"/>
  <c r="CK5" i="7"/>
  <c r="Y5" i="7"/>
  <c r="DK4" i="7"/>
  <c r="AY4" i="7"/>
  <c r="EK5" i="6"/>
  <c r="BY5" i="6"/>
  <c r="M5" i="6"/>
  <c r="CY4" i="6"/>
  <c r="AM4" i="6"/>
  <c r="DY5" i="5"/>
  <c r="BM5" i="5"/>
  <c r="A5" i="5"/>
  <c r="CM4" i="5"/>
  <c r="AA4" i="5"/>
  <c r="DM5" i="4"/>
  <c r="BA5" i="4"/>
  <c r="EM4" i="4"/>
  <c r="CA4" i="4"/>
  <c r="EK4" i="15"/>
  <c r="Y5" i="13"/>
  <c r="EO5" i="11"/>
  <c r="CY4" i="10"/>
  <c r="CZ5" i="9"/>
  <c r="AN5" i="9"/>
  <c r="DZ4" i="9"/>
  <c r="BN4" i="9"/>
  <c r="B4" i="9"/>
  <c r="CN5" i="8"/>
  <c r="AB5" i="8"/>
  <c r="DN4" i="8"/>
  <c r="BB4" i="8"/>
  <c r="EN5" i="7"/>
  <c r="CB5" i="7"/>
  <c r="P5" i="7"/>
  <c r="DB4" i="7"/>
  <c r="AP4" i="7"/>
  <c r="EB5" i="6"/>
  <c r="BP5" i="6"/>
  <c r="D5" i="6"/>
  <c r="CP4" i="6"/>
  <c r="AD4" i="6"/>
  <c r="DP5" i="5"/>
  <c r="BD5" i="5"/>
  <c r="EP4" i="5"/>
  <c r="CD4" i="5"/>
  <c r="R4" i="5"/>
  <c r="DD5" i="4"/>
  <c r="AR5" i="4"/>
  <c r="ED4" i="4"/>
  <c r="EW5" i="20"/>
  <c r="EO4" i="9"/>
  <c r="CY5" i="7"/>
  <c r="EU5" i="5"/>
  <c r="CW4" i="4"/>
  <c r="H4" i="4"/>
  <c r="E866" i="1"/>
  <c r="A861" i="1"/>
  <c r="I855" i="1"/>
  <c r="E850" i="1"/>
  <c r="A84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E738" i="1"/>
  <c r="A733" i="1"/>
  <c r="DG4" i="14"/>
  <c r="CU5" i="8"/>
  <c r="EQ5" i="6"/>
  <c r="DA4" i="5"/>
  <c r="AU4" i="4"/>
  <c r="H869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D736" i="1"/>
  <c r="L730" i="1"/>
  <c r="I5" i="11"/>
  <c r="DM4" i="8"/>
  <c r="BW5" i="6"/>
  <c r="AG4" i="5"/>
  <c r="AL4" i="4"/>
  <c r="K868" i="1"/>
  <c r="G863" i="1"/>
  <c r="C858" i="1"/>
  <c r="K852" i="1"/>
  <c r="G847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DQ4" i="9"/>
  <c r="CA5" i="7"/>
  <c r="AC4" i="6"/>
  <c r="EK4" i="4"/>
  <c r="M4" i="4"/>
  <c r="J866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P5" i="5"/>
  <c r="D5" i="5"/>
  <c r="CP4" i="5"/>
  <c r="AD4" i="5"/>
  <c r="DP5" i="4"/>
  <c r="BD5" i="4"/>
  <c r="EP4" i="4"/>
  <c r="CD4" i="4"/>
  <c r="CE4" i="15"/>
  <c r="AW5" i="13"/>
  <c r="G4" i="12"/>
  <c r="DW4" i="10"/>
  <c r="CU5" i="9"/>
  <c r="AI5" i="9"/>
  <c r="DU4" i="9"/>
  <c r="BI4" i="9"/>
  <c r="EU5" i="8"/>
  <c r="CI5" i="8"/>
  <c r="W5" i="8"/>
  <c r="DI4" i="8"/>
  <c r="AW4" i="8"/>
  <c r="EA5" i="7"/>
  <c r="BO5" i="7"/>
  <c r="C5" i="7"/>
  <c r="CO4" i="7"/>
  <c r="AC4" i="7"/>
  <c r="DO5" i="6"/>
  <c r="BC5" i="6"/>
  <c r="EO4" i="6"/>
  <c r="CC4" i="6"/>
  <c r="Q4" i="6"/>
  <c r="CU5" i="5"/>
  <c r="AI5" i="5"/>
  <c r="DU4" i="5"/>
  <c r="BI4" i="5"/>
  <c r="EU5" i="4"/>
  <c r="CI5" i="4"/>
  <c r="W5" i="4"/>
  <c r="DI4" i="4"/>
  <c r="CC5" i="18"/>
  <c r="AS5" i="14"/>
  <c r="C4" i="13"/>
  <c r="BG4" i="11"/>
  <c r="DZ5" i="9"/>
  <c r="BN5" i="9"/>
  <c r="B5" i="9"/>
  <c r="CN4" i="9"/>
  <c r="AB4" i="9"/>
  <c r="DN5" i="8"/>
  <c r="BB5" i="8"/>
  <c r="EN4" i="8"/>
  <c r="CB4" i="8"/>
  <c r="P4" i="8"/>
  <c r="DB5" i="7"/>
  <c r="AP5" i="7"/>
  <c r="EB4" i="7"/>
  <c r="BP4" i="7"/>
  <c r="D4" i="7"/>
  <c r="CP5" i="6"/>
  <c r="AD5" i="6"/>
  <c r="DP4" i="6"/>
  <c r="BD4" i="6"/>
  <c r="EP5" i="5"/>
  <c r="CD5" i="5"/>
  <c r="R5" i="5"/>
  <c r="DD4" i="5"/>
  <c r="AR4" i="5"/>
  <c r="ED5" i="4"/>
  <c r="BR5" i="4"/>
  <c r="F5" i="4"/>
  <c r="CR4" i="4"/>
  <c r="CH5" i="16"/>
  <c r="CS5" i="13"/>
  <c r="EW5" i="11"/>
  <c r="DG4" i="10"/>
  <c r="DA5" i="9"/>
  <c r="AO5" i="9"/>
  <c r="EA4" i="9"/>
  <c r="BO4" i="9"/>
  <c r="C4" i="9"/>
  <c r="CO5" i="8"/>
  <c r="AC5" i="8"/>
  <c r="DO4" i="8"/>
  <c r="BC4" i="8"/>
  <c r="EO5" i="7"/>
  <c r="CC5" i="7"/>
  <c r="Q5" i="7"/>
  <c r="DC4" i="7"/>
  <c r="AQ4" i="7"/>
  <c r="EC5" i="6"/>
  <c r="BQ5" i="6"/>
  <c r="E5" i="6"/>
  <c r="CQ4" i="6"/>
  <c r="AE4" i="6"/>
  <c r="DQ5" i="5"/>
  <c r="BE5" i="5"/>
  <c r="EQ4" i="5"/>
  <c r="CE4" i="5"/>
  <c r="S4" i="5"/>
  <c r="DE5" i="4"/>
  <c r="AS5" i="4"/>
  <c r="EE4" i="4"/>
  <c r="BS4" i="4"/>
  <c r="BG4" i="15"/>
  <c r="DK4" i="13"/>
  <c r="CC5" i="11"/>
  <c r="AM4" i="10"/>
  <c r="CR5" i="9"/>
  <c r="AF5" i="9"/>
  <c r="DR4" i="9"/>
  <c r="BF4" i="9"/>
  <c r="ER5" i="8"/>
  <c r="CF5" i="8"/>
  <c r="T5" i="8"/>
  <c r="DF4" i="8"/>
  <c r="AT4" i="8"/>
  <c r="EF5" i="7"/>
  <c r="BT5" i="7"/>
  <c r="H5" i="7"/>
  <c r="CT4" i="7"/>
  <c r="AH4" i="7"/>
  <c r="DT5" i="6"/>
  <c r="BH5" i="6"/>
  <c r="ET4" i="6"/>
  <c r="CH4" i="6"/>
  <c r="V4" i="6"/>
  <c r="DH5" i="5"/>
  <c r="AV5" i="5"/>
  <c r="EH4" i="5"/>
  <c r="BV4" i="5"/>
  <c r="J4" i="5"/>
  <c r="CV5" i="4"/>
  <c r="AJ5" i="4"/>
  <c r="DV4" i="4"/>
  <c r="V5" i="16"/>
  <c r="CC4" i="9"/>
  <c r="AM5" i="7"/>
  <c r="CI5" i="5"/>
  <c r="BN4" i="4"/>
  <c r="A4" i="3"/>
  <c r="I865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E732" i="1"/>
  <c r="BU5" i="11"/>
  <c r="AI5" i="8"/>
  <c r="CE5" i="6"/>
  <c r="AO4" i="5"/>
  <c r="AM4" i="4"/>
  <c r="L868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H735" i="1"/>
  <c r="D730" i="1"/>
  <c r="AE4" i="10"/>
  <c r="BA4" i="8"/>
  <c r="K5" i="6"/>
  <c r="DS5" i="4"/>
  <c r="AD4" i="4"/>
  <c r="C868" i="1"/>
  <c r="K862" i="1"/>
  <c r="G857" i="1"/>
  <c r="C852" i="1"/>
  <c r="K84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BE4" i="9"/>
  <c r="O5" i="7"/>
  <c r="DW5" i="5"/>
  <c r="BY4" i="4"/>
  <c r="E4" i="4"/>
  <c r="B866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BH5" i="5"/>
  <c r="ET4" i="5"/>
  <c r="CH4" i="5"/>
  <c r="V4" i="5"/>
  <c r="DH5" i="4"/>
  <c r="AV5" i="4"/>
  <c r="EH4" i="4"/>
  <c r="BV4" i="4"/>
  <c r="S4" i="15"/>
  <c r="EI4" i="13"/>
  <c r="DA5" i="11"/>
  <c r="BK4" i="10"/>
  <c r="CM5" i="9"/>
  <c r="AA5" i="9"/>
  <c r="DM4" i="9"/>
  <c r="BA4" i="9"/>
  <c r="EM5" i="8"/>
  <c r="CA5" i="8"/>
  <c r="O5" i="8"/>
  <c r="DA4" i="8"/>
  <c r="AO4" i="8"/>
  <c r="DS5" i="7"/>
  <c r="BG5" i="7"/>
  <c r="ES4" i="7"/>
  <c r="CG4" i="7"/>
  <c r="U4" i="7"/>
  <c r="DG5" i="6"/>
  <c r="AU5" i="6"/>
  <c r="EG4" i="6"/>
  <c r="BU4" i="6"/>
  <c r="I4" i="6"/>
  <c r="CM5" i="5"/>
  <c r="AA5" i="5"/>
  <c r="DM4" i="5"/>
  <c r="BA4" i="5"/>
  <c r="EM5" i="4"/>
  <c r="CA5" i="4"/>
  <c r="O5" i="4"/>
  <c r="DA4" i="4"/>
  <c r="AC5" i="17"/>
  <c r="EE4" i="14"/>
  <c r="CW5" i="12"/>
  <c r="CO5" i="10"/>
  <c r="DR5" i="9"/>
  <c r="BF5" i="9"/>
  <c r="ER4" i="9"/>
  <c r="CF4" i="9"/>
  <c r="T4" i="9"/>
  <c r="DF5" i="8"/>
  <c r="AT5" i="8"/>
  <c r="EF4" i="8"/>
  <c r="BT4" i="8"/>
  <c r="H4" i="8"/>
  <c r="CT5" i="7"/>
  <c r="AH5" i="7"/>
  <c r="DT4" i="7"/>
  <c r="BH4" i="7"/>
  <c r="ET5" i="6"/>
  <c r="CH5" i="6"/>
  <c r="V5" i="6"/>
  <c r="DH4" i="6"/>
  <c r="AV4" i="6"/>
  <c r="EH5" i="5"/>
  <c r="BV5" i="5"/>
  <c r="J5" i="5"/>
  <c r="CV4" i="5"/>
  <c r="AJ4" i="5"/>
  <c r="DV5" i="4"/>
  <c r="BJ5" i="4"/>
  <c r="EV4" i="4"/>
  <c r="CJ4" i="4"/>
  <c r="EW4" i="15"/>
  <c r="AG5" i="13"/>
  <c r="CK5" i="11"/>
  <c r="AU4" i="10"/>
  <c r="CS5" i="9"/>
  <c r="AG5" i="9"/>
  <c r="DS4" i="9"/>
  <c r="BG4" i="9"/>
  <c r="ES5" i="8"/>
  <c r="CG5" i="8"/>
  <c r="U5" i="8"/>
  <c r="DG4" i="8"/>
  <c r="AU4" i="8"/>
  <c r="EG5" i="7"/>
  <c r="BU5" i="7"/>
  <c r="I5" i="7"/>
  <c r="CU4" i="7"/>
  <c r="AI4" i="7"/>
  <c r="DU5" i="6"/>
  <c r="BI5" i="6"/>
  <c r="EU4" i="6"/>
  <c r="CI4" i="6"/>
  <c r="W4" i="6"/>
  <c r="DI5" i="5"/>
  <c r="AW5" i="5"/>
  <c r="EI4" i="5"/>
  <c r="BW4" i="5"/>
  <c r="K4" i="5"/>
  <c r="CW5" i="4"/>
  <c r="AK5" i="4"/>
  <c r="DW4" i="4"/>
  <c r="BK4" i="4"/>
  <c r="CO5" i="14"/>
  <c r="AY4" i="13"/>
  <c r="Q5" i="11"/>
  <c r="EV5" i="9"/>
  <c r="CJ5" i="9"/>
  <c r="X5" i="9"/>
  <c r="DJ4" i="9"/>
  <c r="AX4" i="9"/>
  <c r="EJ5" i="8"/>
  <c r="BX5" i="8"/>
  <c r="L5" i="8"/>
  <c r="CX4" i="8"/>
  <c r="AL4" i="8"/>
  <c r="DX5" i="7"/>
  <c r="BL5" i="7"/>
  <c r="EX4" i="7"/>
  <c r="CL4" i="7"/>
  <c r="Z4" i="7"/>
  <c r="DL5" i="6"/>
  <c r="AZ5" i="6"/>
  <c r="EL4" i="6"/>
  <c r="BZ4" i="6"/>
  <c r="N4" i="6"/>
  <c r="CZ5" i="5"/>
  <c r="AN5" i="5"/>
  <c r="DZ4" i="5"/>
  <c r="BN4" i="5"/>
  <c r="B4" i="5"/>
  <c r="CN5" i="4"/>
  <c r="AB5" i="4"/>
  <c r="DN4" i="4"/>
  <c r="U5" i="14"/>
  <c r="Q4" i="9"/>
  <c r="DY4" i="7"/>
  <c r="W5" i="5"/>
  <c r="BD4" i="4"/>
  <c r="E870" i="1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I731" i="1"/>
  <c r="CQ4" i="10"/>
  <c r="DU4" i="8"/>
  <c r="S5" i="6"/>
  <c r="EA5" i="4"/>
  <c r="AE4" i="4"/>
  <c r="D868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L734" i="1"/>
  <c r="H729" i="1"/>
  <c r="CY5" i="9"/>
  <c r="EU5" i="7"/>
  <c r="CW4" i="6"/>
  <c r="BG5" i="4"/>
  <c r="V4" i="4"/>
  <c r="G867" i="1"/>
  <c r="C862" i="1"/>
  <c r="K856" i="1"/>
  <c r="G851" i="1"/>
  <c r="C84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EQ5" i="8"/>
  <c r="DA4" i="7"/>
  <c r="BK5" i="5"/>
  <c r="BI4" i="4"/>
  <c r="J870" i="1"/>
  <c r="F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62" i="1"/>
  <c r="J756" i="1"/>
  <c r="F751" i="1"/>
  <c r="B746" i="1"/>
  <c r="J740" i="1"/>
  <c r="F735" i="1"/>
  <c r="B730" i="1"/>
  <c r="EU5" i="9"/>
  <c r="CW4" i="8"/>
  <c r="BG5" i="6"/>
  <c r="Q4" i="5"/>
  <c r="AJ4" i="4"/>
  <c r="I868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E735" i="1"/>
  <c r="A730" i="1"/>
  <c r="O5" i="9"/>
  <c r="DW5" i="7"/>
  <c r="BY4" i="6"/>
  <c r="AI5" i="4"/>
  <c r="S4" i="4"/>
  <c r="D867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L733" i="1"/>
  <c r="H728" i="1"/>
  <c r="EE5" i="9"/>
  <c r="CG4" i="8"/>
  <c r="AQ5" i="6"/>
  <c r="CM5" i="4"/>
  <c r="Z4" i="4"/>
  <c r="K867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G734" i="1"/>
  <c r="C729" i="1"/>
  <c r="B857" i="1"/>
  <c r="F814" i="1"/>
  <c r="J771" i="1"/>
  <c r="B729" i="1"/>
  <c r="K722" i="1"/>
  <c r="G717" i="1"/>
  <c r="C712" i="1"/>
  <c r="K706" i="1"/>
  <c r="G701" i="1"/>
  <c r="C696" i="1"/>
  <c r="K690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J861" i="1"/>
  <c r="B819" i="1"/>
  <c r="F776" i="1"/>
  <c r="J733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F866" i="1"/>
  <c r="J823" i="1"/>
  <c r="B781" i="1"/>
  <c r="F738" i="1"/>
  <c r="A724" i="1"/>
  <c r="I718" i="1"/>
  <c r="E713" i="1"/>
  <c r="A708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AE5" i="5"/>
  <c r="J833" i="1"/>
  <c r="B791" i="1"/>
  <c r="F748" i="1"/>
  <c r="D725" i="1"/>
  <c r="L719" i="1"/>
  <c r="H714" i="1"/>
  <c r="D709" i="1"/>
  <c r="L703" i="1"/>
  <c r="H698" i="1"/>
  <c r="D693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BY4" i="8"/>
  <c r="J843" i="1"/>
  <c r="B801" i="1"/>
  <c r="F758" i="1"/>
  <c r="G726" i="1"/>
  <c r="C721" i="1"/>
  <c r="K715" i="1"/>
  <c r="G710" i="1"/>
  <c r="C705" i="1"/>
  <c r="K699" i="1"/>
  <c r="G694" i="1"/>
  <c r="C689" i="1"/>
  <c r="K683" i="1"/>
  <c r="G678" i="1"/>
  <c r="C673" i="1"/>
  <c r="K667" i="1"/>
  <c r="G662" i="1"/>
  <c r="C657" i="1"/>
  <c r="K651" i="1"/>
  <c r="G646" i="1"/>
  <c r="C641" i="1"/>
  <c r="K635" i="1"/>
  <c r="G630" i="1"/>
  <c r="DC4" i="13"/>
  <c r="B859" i="1"/>
  <c r="F816" i="1"/>
  <c r="J773" i="1"/>
  <c r="B731" i="1"/>
  <c r="B723" i="1"/>
  <c r="J717" i="1"/>
  <c r="F712" i="1"/>
  <c r="B707" i="1"/>
  <c r="J701" i="1"/>
  <c r="F696" i="1"/>
  <c r="F761" i="1"/>
  <c r="B756" i="1"/>
  <c r="J750" i="1"/>
  <c r="F745" i="1"/>
  <c r="B740" i="1"/>
  <c r="J734" i="1"/>
  <c r="F729" i="1"/>
  <c r="CI5" i="9"/>
  <c r="AK4" i="8"/>
  <c r="ES4" i="6"/>
  <c r="DC5" i="4"/>
  <c r="AB4" i="4"/>
  <c r="A868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0" i="1"/>
  <c r="I734" i="1"/>
  <c r="E729" i="1"/>
  <c r="DA4" i="9"/>
  <c r="BK5" i="7"/>
  <c r="M4" i="6"/>
  <c r="DU4" i="4"/>
  <c r="K4" i="4"/>
  <c r="H866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H738" i="1"/>
  <c r="D733" i="1"/>
  <c r="L727" i="1"/>
  <c r="BS5" i="9"/>
  <c r="U4" i="8"/>
  <c r="EC4" i="6"/>
  <c r="AA5" i="4"/>
  <c r="R4" i="4"/>
  <c r="C867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C739" i="1"/>
  <c r="K733" i="1"/>
  <c r="G728" i="1"/>
  <c r="J851" i="1"/>
  <c r="B809" i="1"/>
  <c r="F766" i="1"/>
  <c r="H727" i="1"/>
  <c r="C722" i="1"/>
  <c r="K716" i="1"/>
  <c r="G711" i="1"/>
  <c r="C706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F856" i="1"/>
  <c r="J813" i="1"/>
  <c r="B771" i="1"/>
  <c r="F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B861" i="1"/>
  <c r="F818" i="1"/>
  <c r="J775" i="1"/>
  <c r="B733" i="1"/>
  <c r="E723" i="1"/>
  <c r="A718" i="1"/>
  <c r="I712" i="1"/>
  <c r="E707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BO4" i="4"/>
  <c r="F828" i="1"/>
  <c r="J785" i="1"/>
  <c r="B743" i="1"/>
  <c r="H724" i="1"/>
  <c r="D719" i="1"/>
  <c r="L713" i="1"/>
  <c r="H708" i="1"/>
  <c r="D703" i="1"/>
  <c r="L697" i="1"/>
  <c r="H692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DQ4" i="5"/>
  <c r="F838" i="1"/>
  <c r="J795" i="1"/>
  <c r="B753" i="1"/>
  <c r="K725" i="1"/>
  <c r="G720" i="1"/>
  <c r="C715" i="1"/>
  <c r="K709" i="1"/>
  <c r="G704" i="1"/>
  <c r="C699" i="1"/>
  <c r="K693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EW4" i="9"/>
  <c r="J853" i="1"/>
  <c r="B811" i="1"/>
  <c r="F768" i="1"/>
  <c r="K727" i="1"/>
  <c r="F722" i="1"/>
  <c r="B717" i="1"/>
  <c r="J711" i="1"/>
  <c r="F706" i="1"/>
  <c r="B701" i="1"/>
  <c r="J695" i="1"/>
  <c r="J760" i="1"/>
  <c r="F755" i="1"/>
  <c r="B750" i="1"/>
  <c r="J744" i="1"/>
  <c r="F739" i="1"/>
  <c r="B734" i="1"/>
  <c r="J728" i="1"/>
  <c r="W5" i="9"/>
  <c r="EE5" i="7"/>
  <c r="CG4" i="6"/>
  <c r="AQ5" i="4"/>
  <c r="T4" i="4"/>
  <c r="E867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E739" i="1"/>
  <c r="A734" i="1"/>
  <c r="I728" i="1"/>
  <c r="AO4" i="9"/>
  <c r="EW4" i="7"/>
  <c r="DG5" i="5"/>
  <c r="BQ4" i="4"/>
  <c r="C4" i="4"/>
  <c r="L865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G5" i="9"/>
  <c r="DO5" i="7"/>
  <c r="BQ4" i="6"/>
  <c r="DM4" i="4"/>
  <c r="J4" i="4"/>
  <c r="G866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G738" i="1"/>
  <c r="C733" i="1"/>
  <c r="AU5" i="7"/>
  <c r="F846" i="1"/>
  <c r="J803" i="1"/>
  <c r="B761" i="1"/>
  <c r="K726" i="1"/>
  <c r="G721" i="1"/>
  <c r="C716" i="1"/>
  <c r="K710" i="1"/>
  <c r="G705" i="1"/>
  <c r="C700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BQ5" i="10"/>
  <c r="B851" i="1"/>
  <c r="F808" i="1"/>
  <c r="J765" i="1"/>
  <c r="G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855" i="1"/>
  <c r="B813" i="1"/>
  <c r="F770" i="1"/>
  <c r="D728" i="1"/>
  <c r="I722" i="1"/>
  <c r="E717" i="1"/>
  <c r="A712" i="1"/>
  <c r="I706" i="1"/>
  <c r="E701" i="1"/>
  <c r="A696" i="1"/>
  <c r="I690" i="1"/>
  <c r="E685" i="1"/>
  <c r="A680" i="1"/>
  <c r="I67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J865" i="1"/>
  <c r="B823" i="1"/>
  <c r="F780" i="1"/>
  <c r="J737" i="1"/>
  <c r="L723" i="1"/>
  <c r="H718" i="1"/>
  <c r="D713" i="1"/>
  <c r="L707" i="1"/>
  <c r="H702" i="1"/>
  <c r="D697" i="1"/>
  <c r="L691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BE4" i="4"/>
  <c r="B833" i="1"/>
  <c r="F790" i="1"/>
  <c r="J747" i="1"/>
  <c r="C725" i="1"/>
  <c r="K719" i="1"/>
  <c r="G714" i="1"/>
  <c r="C709" i="1"/>
  <c r="K703" i="1"/>
  <c r="G698" i="1"/>
  <c r="C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M4" i="8"/>
  <c r="F848" i="1"/>
  <c r="J805" i="1"/>
  <c r="B763" i="1"/>
  <c r="B727" i="1"/>
  <c r="J721" i="1"/>
  <c r="F716" i="1"/>
  <c r="B711" i="1"/>
  <c r="J705" i="1"/>
  <c r="F700" i="1"/>
  <c r="B695" i="1"/>
  <c r="B760" i="1"/>
  <c r="J754" i="1"/>
  <c r="F749" i="1"/>
  <c r="B744" i="1"/>
  <c r="J738" i="1"/>
  <c r="F733" i="1"/>
  <c r="AQ4" i="18"/>
  <c r="DI4" i="9"/>
  <c r="BS5" i="7"/>
  <c r="U4" i="6"/>
  <c r="EC4" i="4"/>
  <c r="L4" i="4"/>
  <c r="I866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I738" i="1"/>
  <c r="E733" i="1"/>
  <c r="A728" i="1"/>
  <c r="EA5" i="8"/>
  <c r="CK4" i="7"/>
  <c r="AU5" i="5"/>
  <c r="BG4" i="4"/>
  <c r="H870" i="1"/>
  <c r="D865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D737" i="1"/>
  <c r="L731" i="1"/>
  <c r="CI4" i="17"/>
  <c r="CS4" i="9"/>
  <c r="BC5" i="7"/>
  <c r="E4" i="6"/>
  <c r="BP4" i="4"/>
  <c r="B4" i="4"/>
  <c r="K865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K737" i="1"/>
  <c r="G732" i="1"/>
  <c r="BI4" i="6"/>
  <c r="B841" i="1"/>
  <c r="F798" i="1"/>
  <c r="J755" i="1"/>
  <c r="C726" i="1"/>
  <c r="K720" i="1"/>
  <c r="G715" i="1"/>
  <c r="C710" i="1"/>
  <c r="K704" i="1"/>
  <c r="G699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DK5" i="8"/>
  <c r="J845" i="1"/>
  <c r="B803" i="1"/>
  <c r="F760" i="1"/>
  <c r="J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AY5" i="8"/>
  <c r="F850" i="1"/>
  <c r="J807" i="1"/>
  <c r="B765" i="1"/>
  <c r="F727" i="1"/>
  <c r="A722" i="1"/>
  <c r="I716" i="1"/>
  <c r="E711" i="1"/>
  <c r="A706" i="1"/>
  <c r="I700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F860" i="1"/>
  <c r="J817" i="1"/>
  <c r="B775" i="1"/>
  <c r="F732" i="1"/>
  <c r="D723" i="1"/>
  <c r="L717" i="1"/>
  <c r="H712" i="1"/>
  <c r="D707" i="1"/>
  <c r="L701" i="1"/>
  <c r="H696" i="1"/>
  <c r="D691" i="1"/>
  <c r="L685" i="1"/>
  <c r="H680" i="1"/>
  <c r="D675" i="1"/>
  <c r="L669" i="1"/>
  <c r="H664" i="1"/>
  <c r="D659" i="1"/>
  <c r="L653" i="1"/>
  <c r="H648" i="1"/>
  <c r="D643" i="1"/>
  <c r="L637" i="1"/>
  <c r="H632" i="1"/>
  <c r="D627" i="1"/>
  <c r="F870" i="1"/>
  <c r="J827" i="1"/>
  <c r="B785" i="1"/>
  <c r="F742" i="1"/>
  <c r="G724" i="1"/>
  <c r="C719" i="1"/>
  <c r="K713" i="1"/>
  <c r="G708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CU5" i="6"/>
  <c r="B843" i="1"/>
  <c r="F800" i="1"/>
  <c r="J757" i="1"/>
  <c r="F726" i="1"/>
  <c r="B721" i="1"/>
  <c r="J715" i="1"/>
  <c r="F710" i="1"/>
  <c r="B705" i="1"/>
  <c r="J699" i="1"/>
  <c r="F694" i="1"/>
  <c r="F759" i="1"/>
  <c r="B754" i="1"/>
  <c r="J748" i="1"/>
  <c r="F743" i="1"/>
  <c r="B738" i="1"/>
  <c r="J732" i="1"/>
  <c r="AY4" i="15"/>
  <c r="AW4" i="9"/>
  <c r="G5" i="7"/>
  <c r="DO5" i="5"/>
  <c r="BR4" i="4"/>
  <c r="D4" i="4"/>
  <c r="A866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A738" i="1"/>
  <c r="I732" i="1"/>
  <c r="CC5" i="13"/>
  <c r="BO5" i="8"/>
  <c r="Y4" i="7"/>
  <c r="EG4" i="5"/>
  <c r="AY4" i="4"/>
  <c r="L869" i="1"/>
  <c r="H864" i="1"/>
  <c r="D859" i="1"/>
  <c r="L853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ES5" i="14"/>
  <c r="AG4" i="9"/>
  <c r="EO4" i="7"/>
  <c r="CY5" i="5"/>
  <c r="BF4" i="4"/>
  <c r="G870" i="1"/>
  <c r="C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C737" i="1"/>
  <c r="K731" i="1"/>
  <c r="CE5" i="4"/>
  <c r="J835" i="1"/>
  <c r="B793" i="1"/>
  <c r="F750" i="1"/>
  <c r="G725" i="1"/>
  <c r="C720" i="1"/>
  <c r="K714" i="1"/>
  <c r="G709" i="1"/>
  <c r="C704" i="1"/>
  <c r="K698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EG4" i="7"/>
  <c r="F840" i="1"/>
  <c r="J797" i="1"/>
  <c r="B755" i="1"/>
  <c r="B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BU4" i="7"/>
  <c r="B845" i="1"/>
  <c r="F802" i="1"/>
  <c r="J759" i="1"/>
  <c r="I726" i="1"/>
  <c r="E721" i="1"/>
  <c r="A716" i="1"/>
  <c r="I710" i="1"/>
  <c r="E705" i="1"/>
  <c r="A700" i="1"/>
  <c r="I694" i="1"/>
  <c r="E689" i="1"/>
  <c r="A684" i="1"/>
  <c r="I678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CG5" i="14"/>
  <c r="B855" i="1"/>
  <c r="F812" i="1"/>
  <c r="J769" i="1"/>
  <c r="C728" i="1"/>
  <c r="H722" i="1"/>
  <c r="D717" i="1"/>
  <c r="L711" i="1"/>
  <c r="H706" i="1"/>
  <c r="D701" i="1"/>
  <c r="L695" i="1"/>
  <c r="H690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B865" i="1"/>
  <c r="F822" i="1"/>
  <c r="J779" i="1"/>
  <c r="B737" i="1"/>
  <c r="K723" i="1"/>
  <c r="G718" i="1"/>
  <c r="C713" i="1"/>
  <c r="K707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BE4" i="5"/>
  <c r="J837" i="1"/>
  <c r="B795" i="1"/>
  <c r="F752" i="1"/>
  <c r="J725" i="1"/>
  <c r="F720" i="1"/>
  <c r="B715" i="1"/>
  <c r="J709" i="1"/>
  <c r="F704" i="1"/>
  <c r="B699" i="1"/>
  <c r="J693" i="1"/>
  <c r="J758" i="1"/>
  <c r="F753" i="1"/>
  <c r="B748" i="1"/>
  <c r="J742" i="1"/>
  <c r="F737" i="1"/>
  <c r="B732" i="1"/>
  <c r="EO5" i="13"/>
  <c r="EI5" i="8"/>
  <c r="CS4" i="7"/>
  <c r="BC5" i="5"/>
  <c r="BH4" i="4"/>
  <c r="I870" i="1"/>
  <c r="E865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E737" i="1"/>
  <c r="A732" i="1"/>
  <c r="CY4" i="12"/>
  <c r="C5" i="8"/>
  <c r="DK5" i="6"/>
  <c r="BU4" i="5"/>
  <c r="AQ4" i="4"/>
  <c r="D869" i="1"/>
  <c r="L863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Q5" i="13"/>
  <c r="DS5" i="8"/>
  <c r="CC4" i="7"/>
  <c r="AM5" i="5"/>
  <c r="AX4" i="4"/>
  <c r="K869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G736" i="1"/>
  <c r="C731" i="1"/>
  <c r="Y4" i="4"/>
  <c r="F830" i="1"/>
  <c r="J787" i="1"/>
  <c r="B745" i="1"/>
  <c r="K724" i="1"/>
  <c r="G719" i="1"/>
  <c r="C714" i="1"/>
  <c r="K70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S5" i="4"/>
  <c r="B835" i="1"/>
  <c r="F792" i="1"/>
  <c r="J749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CQ5" i="5"/>
  <c r="J839" i="1"/>
  <c r="B797" i="1"/>
  <c r="F754" i="1"/>
  <c r="A726" i="1"/>
  <c r="I720" i="1"/>
  <c r="E715" i="1"/>
  <c r="A710" i="1"/>
  <c r="I704" i="1"/>
  <c r="E699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DW5" i="9"/>
  <c r="J849" i="1"/>
  <c r="B807" i="1"/>
  <c r="F764" i="1"/>
  <c r="E727" i="1"/>
  <c r="L721" i="1"/>
  <c r="H716" i="1"/>
  <c r="D711" i="1"/>
  <c r="L705" i="1"/>
  <c r="H700" i="1"/>
  <c r="D695" i="1"/>
  <c r="L689" i="1"/>
  <c r="H684" i="1"/>
  <c r="D679" i="1"/>
  <c r="L673" i="1"/>
  <c r="H668" i="1"/>
  <c r="D663" i="1"/>
  <c r="L657" i="1"/>
  <c r="H652" i="1"/>
  <c r="D647" i="1"/>
  <c r="L641" i="1"/>
  <c r="H636" i="1"/>
  <c r="D631" i="1"/>
  <c r="L625" i="1"/>
  <c r="J859" i="1"/>
  <c r="B817" i="1"/>
  <c r="F774" i="1"/>
  <c r="J731" i="1"/>
  <c r="C723" i="1"/>
  <c r="K717" i="1"/>
  <c r="G712" i="1"/>
  <c r="C707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AW4" i="4"/>
  <c r="F832" i="1"/>
  <c r="J789" i="1"/>
  <c r="B747" i="1"/>
  <c r="B725" i="1"/>
  <c r="J719" i="1"/>
  <c r="F714" i="1"/>
  <c r="B709" i="1"/>
  <c r="J703" i="1"/>
  <c r="F698" i="1"/>
  <c r="B758" i="1"/>
  <c r="J752" i="1"/>
  <c r="F747" i="1"/>
  <c r="B742" i="1"/>
  <c r="J736" i="1"/>
  <c r="F731" i="1"/>
  <c r="M5" i="12"/>
  <c r="BW5" i="8"/>
  <c r="AG4" i="7"/>
  <c r="EO4" i="5"/>
  <c r="AZ4" i="4"/>
  <c r="A870" i="1"/>
  <c r="I864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I736" i="1"/>
  <c r="E731" i="1"/>
  <c r="EM5" i="9"/>
  <c r="CO4" i="8"/>
  <c r="AY5" i="6"/>
  <c r="I4" i="5"/>
  <c r="AI4" i="4"/>
  <c r="H868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D735" i="1"/>
  <c r="L729" i="1"/>
  <c r="AM4" i="12"/>
  <c r="BG5" i="8"/>
  <c r="Q4" i="7"/>
  <c r="DY4" i="5"/>
  <c r="AP4" i="4"/>
  <c r="C869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K735" i="1"/>
  <c r="G730" i="1"/>
  <c r="J867" i="1"/>
  <c r="B825" i="1"/>
  <c r="F782" i="1"/>
  <c r="J739" i="1"/>
  <c r="C724" i="1"/>
  <c r="K718" i="1"/>
  <c r="G713" i="1"/>
  <c r="C708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Q4" i="4"/>
  <c r="J829" i="1"/>
  <c r="B787" i="1"/>
  <c r="F744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DE4" i="4"/>
  <c r="F834" i="1"/>
  <c r="J791" i="1"/>
  <c r="B749" i="1"/>
  <c r="E725" i="1"/>
  <c r="A720" i="1"/>
  <c r="I714" i="1"/>
  <c r="E709" i="1"/>
  <c r="A704" i="1"/>
  <c r="I698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EK4" i="8"/>
  <c r="F844" i="1"/>
  <c r="J801" i="1"/>
  <c r="B759" i="1"/>
  <c r="H726" i="1"/>
  <c r="D721" i="1"/>
  <c r="L715" i="1"/>
  <c r="H710" i="1"/>
  <c r="D705" i="1"/>
  <c r="L699" i="1"/>
  <c r="H694" i="1"/>
  <c r="D689" i="1"/>
  <c r="L683" i="1"/>
  <c r="H678" i="1"/>
  <c r="D673" i="1"/>
  <c r="L667" i="1"/>
  <c r="H662" i="1"/>
  <c r="D657" i="1"/>
  <c r="L651" i="1"/>
  <c r="H646" i="1"/>
  <c r="D641" i="1"/>
  <c r="L635" i="1"/>
  <c r="H630" i="1"/>
  <c r="D625" i="1"/>
  <c r="F854" i="1"/>
  <c r="J811" i="1"/>
  <c r="B769" i="1"/>
  <c r="B728" i="1"/>
  <c r="G722" i="1"/>
  <c r="C717" i="1"/>
  <c r="K711" i="1"/>
  <c r="G706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J869" i="1"/>
  <c r="B827" i="1"/>
  <c r="F784" i="1"/>
  <c r="J741" i="1"/>
  <c r="F724" i="1"/>
  <c r="B719" i="1"/>
  <c r="J713" i="1"/>
  <c r="F708" i="1"/>
  <c r="B703" i="1"/>
  <c r="J697" i="1"/>
  <c r="F757" i="1"/>
  <c r="B752" i="1"/>
  <c r="J746" i="1"/>
  <c r="F741" i="1"/>
  <c r="B736" i="1"/>
  <c r="J730" i="1"/>
  <c r="AI4" i="11"/>
  <c r="K5" i="8"/>
  <c r="DS5" i="6"/>
  <c r="CC4" i="5"/>
  <c r="AR4" i="4"/>
  <c r="E869" i="1"/>
  <c r="A864" i="1"/>
  <c r="I858" i="1"/>
  <c r="E853" i="1"/>
  <c r="A848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CA5" i="9"/>
  <c r="AC4" i="8"/>
  <c r="EK4" i="6"/>
  <c r="CU5" i="4"/>
  <c r="AA4" i="4"/>
  <c r="L867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H734" i="1"/>
  <c r="D729" i="1"/>
  <c r="EC5" i="10"/>
  <c r="ES4" i="8"/>
  <c r="DC5" i="6"/>
  <c r="BM4" i="5"/>
  <c r="AH4" i="4"/>
  <c r="G868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C735" i="1"/>
  <c r="K729" i="1"/>
  <c r="F862" i="1"/>
  <c r="J819" i="1"/>
  <c r="B777" i="1"/>
  <c r="F734" i="1"/>
  <c r="G723" i="1"/>
  <c r="C718" i="1"/>
  <c r="K712" i="1"/>
  <c r="G707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B867" i="1"/>
  <c r="F824" i="1"/>
  <c r="J781" i="1"/>
  <c r="B73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I4" i="4"/>
  <c r="B829" i="1"/>
  <c r="F786" i="1"/>
  <c r="J743" i="1"/>
  <c r="I724" i="1"/>
  <c r="E719" i="1"/>
  <c r="A714" i="1"/>
  <c r="I70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I4" i="7"/>
  <c r="B839" i="1"/>
  <c r="F796" i="1"/>
  <c r="J753" i="1"/>
  <c r="L725" i="1"/>
  <c r="H720" i="1"/>
  <c r="D715" i="1"/>
  <c r="L709" i="1"/>
  <c r="H704" i="1"/>
  <c r="D699" i="1"/>
  <c r="L693" i="1"/>
  <c r="H688" i="1"/>
  <c r="D683" i="1"/>
  <c r="L677" i="1"/>
  <c r="H672" i="1"/>
  <c r="D667" i="1"/>
  <c r="L661" i="1"/>
  <c r="H656" i="1"/>
  <c r="D651" i="1"/>
  <c r="L645" i="1"/>
  <c r="H640" i="1"/>
  <c r="D635" i="1"/>
  <c r="L629" i="1"/>
  <c r="BK5" i="9"/>
  <c r="B849" i="1"/>
  <c r="F806" i="1"/>
  <c r="J763" i="1"/>
  <c r="C727" i="1"/>
  <c r="K721" i="1"/>
  <c r="G716" i="1"/>
  <c r="C711" i="1"/>
  <c r="K705" i="1"/>
  <c r="G700" i="1"/>
  <c r="C695" i="1"/>
  <c r="K689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F864" i="1"/>
  <c r="J821" i="1"/>
  <c r="B779" i="1"/>
  <c r="F736" i="1"/>
  <c r="J723" i="1"/>
  <c r="F718" i="1"/>
  <c r="B713" i="1"/>
  <c r="J707" i="1"/>
  <c r="F702" i="1"/>
  <c r="B697" i="1"/>
  <c r="B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F618" i="1"/>
  <c r="AO4" i="4"/>
  <c r="J831" i="1"/>
  <c r="B789" i="1"/>
  <c r="F746" i="1"/>
  <c r="A725" i="1"/>
  <c r="I719" i="1"/>
  <c r="E714" i="1"/>
  <c r="A709" i="1"/>
  <c r="I703" i="1"/>
  <c r="E698" i="1"/>
  <c r="A693" i="1"/>
  <c r="I687" i="1"/>
  <c r="E682" i="1"/>
  <c r="A67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F772" i="1"/>
  <c r="L690" i="1"/>
  <c r="D648" i="1"/>
  <c r="H618" i="1"/>
  <c r="B607" i="1"/>
  <c r="F596" i="1"/>
  <c r="J585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D706" i="1"/>
  <c r="H663" i="1"/>
  <c r="K623" i="1"/>
  <c r="L610" i="1"/>
  <c r="D600" i="1"/>
  <c r="H589" i="1"/>
  <c r="L578" i="1"/>
  <c r="A57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L726" i="1"/>
  <c r="D684" i="1"/>
  <c r="H641" i="1"/>
  <c r="G616" i="1"/>
  <c r="D605" i="1"/>
  <c r="H594" i="1"/>
  <c r="L583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J841" i="1"/>
  <c r="H699" i="1"/>
  <c r="L656" i="1"/>
  <c r="H621" i="1"/>
  <c r="C609" i="1"/>
  <c r="G598" i="1"/>
  <c r="K587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B751" i="1"/>
  <c r="D688" i="1"/>
  <c r="H645" i="1"/>
  <c r="K617" i="1"/>
  <c r="F606" i="1"/>
  <c r="J595" i="1"/>
  <c r="B585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F692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J617" i="1"/>
  <c r="B869" i="1"/>
  <c r="F826" i="1"/>
  <c r="J783" i="1"/>
  <c r="B741" i="1"/>
  <c r="E724" i="1"/>
  <c r="A719" i="1"/>
  <c r="I713" i="1"/>
  <c r="E708" i="1"/>
  <c r="A703" i="1"/>
  <c r="I697" i="1"/>
  <c r="E692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J729" i="1"/>
  <c r="H685" i="1"/>
  <c r="L642" i="1"/>
  <c r="L616" i="1"/>
  <c r="J605" i="1"/>
  <c r="B595" i="1"/>
  <c r="F584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852" i="1"/>
  <c r="L700" i="1"/>
  <c r="D658" i="1"/>
  <c r="L621" i="1"/>
  <c r="H609" i="1"/>
  <c r="L598" i="1"/>
  <c r="D588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H721" i="1"/>
  <c r="L678" i="1"/>
  <c r="D636" i="1"/>
  <c r="H614" i="1"/>
  <c r="L603" i="1"/>
  <c r="D593" i="1"/>
  <c r="H582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B799" i="1"/>
  <c r="D694" i="1"/>
  <c r="H651" i="1"/>
  <c r="K619" i="1"/>
  <c r="K607" i="1"/>
  <c r="C597" i="1"/>
  <c r="G586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H725" i="1"/>
  <c r="L682" i="1"/>
  <c r="D640" i="1"/>
  <c r="L615" i="1"/>
  <c r="B605" i="1"/>
  <c r="F594" i="1"/>
  <c r="J583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J691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B617" i="1"/>
  <c r="J863" i="1"/>
  <c r="B821" i="1"/>
  <c r="F778" i="1"/>
  <c r="J735" i="1"/>
  <c r="I723" i="1"/>
  <c r="E718" i="1"/>
  <c r="A713" i="1"/>
  <c r="I707" i="1"/>
  <c r="E702" i="1"/>
  <c r="A697" i="1"/>
  <c r="I691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L722" i="1"/>
  <c r="D680" i="1"/>
  <c r="H637" i="1"/>
  <c r="C615" i="1"/>
  <c r="F604" i="1"/>
  <c r="J593" i="1"/>
  <c r="B583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809" i="1"/>
  <c r="H695" i="1"/>
  <c r="L652" i="1"/>
  <c r="D620" i="1"/>
  <c r="D608" i="1"/>
  <c r="H597" i="1"/>
  <c r="L586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D716" i="1"/>
  <c r="H673" i="1"/>
  <c r="L630" i="1"/>
  <c r="D613" i="1"/>
  <c r="H602" i="1"/>
  <c r="L591" i="1"/>
  <c r="D581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F756" i="1"/>
  <c r="L688" i="1"/>
  <c r="D646" i="1"/>
  <c r="L617" i="1"/>
  <c r="G606" i="1"/>
  <c r="K595" i="1"/>
  <c r="C585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D720" i="1"/>
  <c r="H677" i="1"/>
  <c r="L634" i="1"/>
  <c r="F614" i="1"/>
  <c r="J603" i="1"/>
  <c r="B593" i="1"/>
  <c r="F582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B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F616" i="1"/>
  <c r="F858" i="1"/>
  <c r="J815" i="1"/>
  <c r="B773" i="1"/>
  <c r="F730" i="1"/>
  <c r="A723" i="1"/>
  <c r="I717" i="1"/>
  <c r="E712" i="1"/>
  <c r="A707" i="1"/>
  <c r="I701" i="1"/>
  <c r="E696" i="1"/>
  <c r="A691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H717" i="1"/>
  <c r="L674" i="1"/>
  <c r="D632" i="1"/>
  <c r="J613" i="1"/>
  <c r="B603" i="1"/>
  <c r="F592" i="1"/>
  <c r="J581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767" i="1"/>
  <c r="D690" i="1"/>
  <c r="H647" i="1"/>
  <c r="G618" i="1"/>
  <c r="L606" i="1"/>
  <c r="D596" i="1"/>
  <c r="H585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L710" i="1"/>
  <c r="D668" i="1"/>
  <c r="H625" i="1"/>
  <c r="L611" i="1"/>
  <c r="D601" i="1"/>
  <c r="H590" i="1"/>
  <c r="L579" i="1"/>
  <c r="H573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D726" i="1"/>
  <c r="H683" i="1"/>
  <c r="L640" i="1"/>
  <c r="D616" i="1"/>
  <c r="C605" i="1"/>
  <c r="G594" i="1"/>
  <c r="K583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L714" i="1"/>
  <c r="D672" i="1"/>
  <c r="H629" i="1"/>
  <c r="B613" i="1"/>
  <c r="F602" i="1"/>
  <c r="J591" i="1"/>
  <c r="B581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F690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J615" i="1"/>
  <c r="B853" i="1"/>
  <c r="F810" i="1"/>
  <c r="J767" i="1"/>
  <c r="J727" i="1"/>
  <c r="E722" i="1"/>
  <c r="A717" i="1"/>
  <c r="I711" i="1"/>
  <c r="E706" i="1"/>
  <c r="A701" i="1"/>
  <c r="I695" i="1"/>
  <c r="E690" i="1"/>
  <c r="A685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D712" i="1"/>
  <c r="H669" i="1"/>
  <c r="L626" i="1"/>
  <c r="F612" i="1"/>
  <c r="J601" i="1"/>
  <c r="B591" i="1"/>
  <c r="F580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I727" i="1"/>
  <c r="L684" i="1"/>
  <c r="D642" i="1"/>
  <c r="H616" i="1"/>
  <c r="H605" i="1"/>
  <c r="L594" i="1"/>
  <c r="D584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H705" i="1"/>
  <c r="L662" i="1"/>
  <c r="H623" i="1"/>
  <c r="H610" i="1"/>
  <c r="L599" i="1"/>
  <c r="D589" i="1"/>
  <c r="H578" i="1"/>
  <c r="L572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L396" i="1"/>
  <c r="H391" i="1"/>
  <c r="L720" i="1"/>
  <c r="D678" i="1"/>
  <c r="H635" i="1"/>
  <c r="G614" i="1"/>
  <c r="K603" i="1"/>
  <c r="C593" i="1"/>
  <c r="G582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H709" i="1"/>
  <c r="L666" i="1"/>
  <c r="L624" i="1"/>
  <c r="J611" i="1"/>
  <c r="B601" i="1"/>
  <c r="F590" i="1"/>
  <c r="J579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J689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J847" i="1"/>
  <c r="B805" i="1"/>
  <c r="F762" i="1"/>
  <c r="A727" i="1"/>
  <c r="I721" i="1"/>
  <c r="E716" i="1"/>
  <c r="A711" i="1"/>
  <c r="I705" i="1"/>
  <c r="E700" i="1"/>
  <c r="A695" i="1"/>
  <c r="I689" i="1"/>
  <c r="E684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DU4" i="6"/>
  <c r="L706" i="1"/>
  <c r="D664" i="1"/>
  <c r="L623" i="1"/>
  <c r="B611" i="1"/>
  <c r="F600" i="1"/>
  <c r="J589" i="1"/>
  <c r="B579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D722" i="1"/>
  <c r="H679" i="1"/>
  <c r="L636" i="1"/>
  <c r="L614" i="1"/>
  <c r="D604" i="1"/>
  <c r="H593" i="1"/>
  <c r="L582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B847" i="1"/>
  <c r="D700" i="1"/>
  <c r="H657" i="1"/>
  <c r="K621" i="1"/>
  <c r="D609" i="1"/>
  <c r="H598" i="1"/>
  <c r="L587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H715" i="1"/>
  <c r="L672" i="1"/>
  <c r="D630" i="1"/>
  <c r="C613" i="1"/>
  <c r="G602" i="1"/>
  <c r="K591" i="1"/>
  <c r="C581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AG4" i="4"/>
  <c r="D704" i="1"/>
  <c r="H661" i="1"/>
  <c r="C623" i="1"/>
  <c r="F610" i="1"/>
  <c r="J599" i="1"/>
  <c r="B589" i="1"/>
  <c r="F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J619" i="1"/>
  <c r="CK4" i="9"/>
  <c r="F842" i="1"/>
  <c r="J799" i="1"/>
  <c r="B757" i="1"/>
  <c r="E726" i="1"/>
  <c r="A721" i="1"/>
  <c r="I715" i="1"/>
  <c r="E710" i="1"/>
  <c r="A705" i="1"/>
  <c r="I699" i="1"/>
  <c r="E694" i="1"/>
  <c r="A689" i="1"/>
  <c r="I683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J857" i="1"/>
  <c r="H701" i="1"/>
  <c r="L658" i="1"/>
  <c r="D622" i="1"/>
  <c r="J609" i="1"/>
  <c r="B599" i="1"/>
  <c r="F588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L716" i="1"/>
  <c r="D674" i="1"/>
  <c r="H631" i="1"/>
  <c r="H613" i="1"/>
  <c r="L602" i="1"/>
  <c r="D592" i="1"/>
  <c r="H581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F804" i="1"/>
  <c r="L694" i="1"/>
  <c r="D652" i="1"/>
  <c r="L619" i="1"/>
  <c r="L607" i="1"/>
  <c r="D597" i="1"/>
  <c r="H586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Y4" i="9"/>
  <c r="D710" i="1"/>
  <c r="H667" i="1"/>
  <c r="C625" i="1"/>
  <c r="K611" i="1"/>
  <c r="C601" i="1"/>
  <c r="G590" i="1"/>
  <c r="K579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F836" i="1"/>
  <c r="L698" i="1"/>
  <c r="D656" i="1"/>
  <c r="D621" i="1"/>
  <c r="B609" i="1"/>
  <c r="F598" i="1"/>
  <c r="J587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F688" i="1"/>
  <c r="B683" i="1"/>
  <c r="J677" i="1"/>
  <c r="F672" i="1"/>
  <c r="B667" i="1"/>
  <c r="J661" i="1"/>
  <c r="F656" i="1"/>
  <c r="B651" i="1"/>
  <c r="J645" i="1"/>
  <c r="F640" i="1"/>
  <c r="B635" i="1"/>
  <c r="J629" i="1"/>
  <c r="F624" i="1"/>
  <c r="B619" i="1"/>
  <c r="AI5" i="6"/>
  <c r="B837" i="1"/>
  <c r="F794" i="1"/>
  <c r="J751" i="1"/>
  <c r="I725" i="1"/>
  <c r="E720" i="1"/>
  <c r="A715" i="1"/>
  <c r="I709" i="1"/>
  <c r="E704" i="1"/>
  <c r="A699" i="1"/>
  <c r="I693" i="1"/>
  <c r="E688" i="1"/>
  <c r="A683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B815" i="1"/>
  <c r="D696" i="1"/>
  <c r="H653" i="1"/>
  <c r="G620" i="1"/>
  <c r="F608" i="1"/>
  <c r="J597" i="1"/>
  <c r="B587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H711" i="1"/>
  <c r="L668" i="1"/>
  <c r="D626" i="1"/>
  <c r="D612" i="1"/>
  <c r="H601" i="1"/>
  <c r="L590" i="1"/>
  <c r="D580" i="1"/>
  <c r="I573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J761" i="1"/>
  <c r="H689" i="1"/>
  <c r="L646" i="1"/>
  <c r="D618" i="1"/>
  <c r="H606" i="1"/>
  <c r="L595" i="1"/>
  <c r="D585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EQ5" i="4"/>
  <c r="L704" i="1"/>
  <c r="D662" i="1"/>
  <c r="D623" i="1"/>
  <c r="G610" i="1"/>
  <c r="K599" i="1"/>
  <c r="C589" i="1"/>
  <c r="G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J793" i="1"/>
  <c r="H693" i="1"/>
  <c r="L650" i="1"/>
  <c r="H619" i="1"/>
  <c r="J607" i="1"/>
  <c r="B597" i="1"/>
  <c r="F586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H703" i="1"/>
  <c r="L660" i="1"/>
  <c r="L622" i="1"/>
  <c r="D610" i="1"/>
  <c r="H599" i="1"/>
  <c r="L588" i="1"/>
  <c r="D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DG5" i="7"/>
  <c r="D708" i="1"/>
  <c r="H665" i="1"/>
  <c r="G624" i="1"/>
  <c r="D611" i="1"/>
  <c r="H600" i="1"/>
  <c r="L589" i="1"/>
  <c r="D579" i="1"/>
  <c r="D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H707" i="1"/>
  <c r="L664" i="1"/>
  <c r="D624" i="1"/>
  <c r="C611" i="1"/>
  <c r="G600" i="1"/>
  <c r="K589" i="1"/>
  <c r="C579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H484" i="1"/>
  <c r="D463" i="1"/>
  <c r="D445" i="1"/>
  <c r="H434" i="1"/>
  <c r="L423" i="1"/>
  <c r="D413" i="1"/>
  <c r="H402" i="1"/>
  <c r="L391" i="1"/>
  <c r="C383" i="1"/>
  <c r="H374" i="1"/>
  <c r="A366" i="1"/>
  <c r="G357" i="1"/>
  <c r="L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K497" i="1"/>
  <c r="G476" i="1"/>
  <c r="C455" i="1"/>
  <c r="C441" i="1"/>
  <c r="G430" i="1"/>
  <c r="K419" i="1"/>
  <c r="C409" i="1"/>
  <c r="G398" i="1"/>
  <c r="D388" i="1"/>
  <c r="K379" i="1"/>
  <c r="D371" i="1"/>
  <c r="I362" i="1"/>
  <c r="C354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489" i="1"/>
  <c r="L467" i="1"/>
  <c r="L447" i="1"/>
  <c r="K436" i="1"/>
  <c r="C426" i="1"/>
  <c r="G415" i="1"/>
  <c r="K404" i="1"/>
  <c r="C394" i="1"/>
  <c r="L384" i="1"/>
  <c r="G376" i="1"/>
  <c r="L367" i="1"/>
  <c r="E359" i="1"/>
  <c r="K350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494" i="1"/>
  <c r="C473" i="1"/>
  <c r="K451" i="1"/>
  <c r="E439" i="1"/>
  <c r="I428" i="1"/>
  <c r="A418" i="1"/>
  <c r="E407" i="1"/>
  <c r="I396" i="1"/>
  <c r="L386" i="1"/>
  <c r="G378" i="1"/>
  <c r="L369" i="1"/>
  <c r="E361" i="1"/>
  <c r="K352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D499" i="1"/>
  <c r="L477" i="1"/>
  <c r="H456" i="1"/>
  <c r="L441" i="1"/>
  <c r="D431" i="1"/>
  <c r="H420" i="1"/>
  <c r="L409" i="1"/>
  <c r="D399" i="1"/>
  <c r="L388" i="1"/>
  <c r="G380" i="1"/>
  <c r="L371" i="1"/>
  <c r="E363" i="1"/>
  <c r="K354" i="1"/>
  <c r="F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C491" i="1"/>
  <c r="K469" i="1"/>
  <c r="C449" i="1"/>
  <c r="K437" i="1"/>
  <c r="C427" i="1"/>
  <c r="G416" i="1"/>
  <c r="K405" i="1"/>
  <c r="C395" i="1"/>
  <c r="H385" i="1"/>
  <c r="C377" i="1"/>
  <c r="H368" i="1"/>
  <c r="A360" i="1"/>
  <c r="G351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487" i="1"/>
  <c r="H466" i="1"/>
  <c r="C447" i="1"/>
  <c r="C436" i="1"/>
  <c r="G425" i="1"/>
  <c r="K414" i="1"/>
  <c r="C404" i="1"/>
  <c r="G393" i="1"/>
  <c r="G384" i="1"/>
  <c r="L375" i="1"/>
  <c r="E367" i="1"/>
  <c r="K358" i="1"/>
  <c r="D350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E421" i="1"/>
  <c r="L346" i="1"/>
  <c r="B304" i="1"/>
  <c r="F261" i="1"/>
  <c r="J232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I398" i="1"/>
  <c r="F335" i="1"/>
  <c r="J292" i="1"/>
  <c r="B250" i="1"/>
  <c r="D228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I418" i="1"/>
  <c r="F345" i="1"/>
  <c r="J302" i="1"/>
  <c r="B260" i="1"/>
  <c r="B232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A396" i="1"/>
  <c r="B334" i="1"/>
  <c r="F291" i="1"/>
  <c r="J248" i="1"/>
  <c r="B228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I394" i="1"/>
  <c r="F333" i="1"/>
  <c r="J290" i="1"/>
  <c r="B248" i="1"/>
  <c r="K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A424" i="1"/>
  <c r="C349" i="1"/>
  <c r="F305" i="1"/>
  <c r="J262" i="1"/>
  <c r="F233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831" i="1"/>
  <c r="D698" i="1"/>
  <c r="H655" i="1"/>
  <c r="C621" i="1"/>
  <c r="L608" i="1"/>
  <c r="D598" i="1"/>
  <c r="H587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F868" i="1"/>
  <c r="L702" i="1"/>
  <c r="D660" i="1"/>
  <c r="H622" i="1"/>
  <c r="L609" i="1"/>
  <c r="D599" i="1"/>
  <c r="H588" i="1"/>
  <c r="L577" i="1"/>
  <c r="H57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B863" i="1"/>
  <c r="D702" i="1"/>
  <c r="H659" i="1"/>
  <c r="G622" i="1"/>
  <c r="K609" i="1"/>
  <c r="C599" i="1"/>
  <c r="G588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D503" i="1"/>
  <c r="L481" i="1"/>
  <c r="H460" i="1"/>
  <c r="L443" i="1"/>
  <c r="D433" i="1"/>
  <c r="H422" i="1"/>
  <c r="L411" i="1"/>
  <c r="D401" i="1"/>
  <c r="H390" i="1"/>
  <c r="A382" i="1"/>
  <c r="G373" i="1"/>
  <c r="L364" i="1"/>
  <c r="G356" i="1"/>
  <c r="L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C495" i="1"/>
  <c r="K473" i="1"/>
  <c r="G452" i="1"/>
  <c r="K439" i="1"/>
  <c r="C429" i="1"/>
  <c r="G418" i="1"/>
  <c r="K407" i="1"/>
  <c r="C397" i="1"/>
  <c r="D387" i="1"/>
  <c r="I378" i="1"/>
  <c r="C370" i="1"/>
  <c r="H361" i="1"/>
  <c r="C353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486" i="1"/>
  <c r="D465" i="1"/>
  <c r="C446" i="1"/>
  <c r="G435" i="1"/>
  <c r="K424" i="1"/>
  <c r="C414" i="1"/>
  <c r="G403" i="1"/>
  <c r="K392" i="1"/>
  <c r="L383" i="1"/>
  <c r="E375" i="1"/>
  <c r="K366" i="1"/>
  <c r="D358" i="1"/>
  <c r="K349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491" i="1"/>
  <c r="G470" i="1"/>
  <c r="E449" i="1"/>
  <c r="A438" i="1"/>
  <c r="E427" i="1"/>
  <c r="I416" i="1"/>
  <c r="A406" i="1"/>
  <c r="E395" i="1"/>
  <c r="L385" i="1"/>
  <c r="E377" i="1"/>
  <c r="K368" i="1"/>
  <c r="D360" i="1"/>
  <c r="K351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H496" i="1"/>
  <c r="D475" i="1"/>
  <c r="L453" i="1"/>
  <c r="H440" i="1"/>
  <c r="L429" i="1"/>
  <c r="D419" i="1"/>
  <c r="H408" i="1"/>
  <c r="L397" i="1"/>
  <c r="L387" i="1"/>
  <c r="E379" i="1"/>
  <c r="K370" i="1"/>
  <c r="D362" i="1"/>
  <c r="K353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G488" i="1"/>
  <c r="C467" i="1"/>
  <c r="D447" i="1"/>
  <c r="G436" i="1"/>
  <c r="K425" i="1"/>
  <c r="C415" i="1"/>
  <c r="G404" i="1"/>
  <c r="K393" i="1"/>
  <c r="H384" i="1"/>
  <c r="A376" i="1"/>
  <c r="G367" i="1"/>
  <c r="L358" i="1"/>
  <c r="G350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485" i="1"/>
  <c r="L463" i="1"/>
  <c r="G445" i="1"/>
  <c r="K434" i="1"/>
  <c r="C424" i="1"/>
  <c r="G413" i="1"/>
  <c r="K402" i="1"/>
  <c r="C392" i="1"/>
  <c r="E383" i="1"/>
  <c r="K374" i="1"/>
  <c r="D366" i="1"/>
  <c r="K357" i="1"/>
  <c r="D349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I410" i="1"/>
  <c r="F341" i="1"/>
  <c r="J298" i="1"/>
  <c r="B256" i="1"/>
  <c r="B230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498" i="1"/>
  <c r="H388" i="1"/>
  <c r="B330" i="1"/>
  <c r="F287" i="1"/>
  <c r="H245" i="1"/>
  <c r="C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A408" i="1"/>
  <c r="B340" i="1"/>
  <c r="F297" i="1"/>
  <c r="J254" i="1"/>
  <c r="G229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C493" i="1"/>
  <c r="G386" i="1"/>
  <c r="J328" i="1"/>
  <c r="B286" i="1"/>
  <c r="L244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G490" i="1"/>
  <c r="E385" i="1"/>
  <c r="B328" i="1"/>
  <c r="F285" i="1"/>
  <c r="J244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E413" i="1"/>
  <c r="J342" i="1"/>
  <c r="B300" i="1"/>
  <c r="F257" i="1"/>
  <c r="J230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788" i="1"/>
  <c r="L692" i="1"/>
  <c r="D650" i="1"/>
  <c r="D619" i="1"/>
  <c r="H607" i="1"/>
  <c r="L596" i="1"/>
  <c r="D586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J825" i="1"/>
  <c r="H697" i="1"/>
  <c r="L654" i="1"/>
  <c r="L620" i="1"/>
  <c r="H608" i="1"/>
  <c r="L597" i="1"/>
  <c r="D587" i="1"/>
  <c r="D577" i="1"/>
  <c r="L571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F820" i="1"/>
  <c r="L696" i="1"/>
  <c r="D654" i="1"/>
  <c r="H620" i="1"/>
  <c r="G608" i="1"/>
  <c r="K597" i="1"/>
  <c r="C587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H500" i="1"/>
  <c r="D479" i="1"/>
  <c r="L457" i="1"/>
  <c r="H442" i="1"/>
  <c r="L431" i="1"/>
  <c r="D421" i="1"/>
  <c r="H410" i="1"/>
  <c r="L399" i="1"/>
  <c r="G389" i="1"/>
  <c r="L380" i="1"/>
  <c r="G372" i="1"/>
  <c r="L363" i="1"/>
  <c r="E355" i="1"/>
  <c r="K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G492" i="1"/>
  <c r="C471" i="1"/>
  <c r="L449" i="1"/>
  <c r="G438" i="1"/>
  <c r="K427" i="1"/>
  <c r="C417" i="1"/>
  <c r="G406" i="1"/>
  <c r="K395" i="1"/>
  <c r="C386" i="1"/>
  <c r="H377" i="1"/>
  <c r="C369" i="1"/>
  <c r="H360" i="1"/>
  <c r="A352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483" i="1"/>
  <c r="H462" i="1"/>
  <c r="K444" i="1"/>
  <c r="C434" i="1"/>
  <c r="G423" i="1"/>
  <c r="K412" i="1"/>
  <c r="C402" i="1"/>
  <c r="G391" i="1"/>
  <c r="K382" i="1"/>
  <c r="D374" i="1"/>
  <c r="K365" i="1"/>
  <c r="D357" i="1"/>
  <c r="I348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489" i="1"/>
  <c r="K467" i="1"/>
  <c r="K447" i="1"/>
  <c r="I436" i="1"/>
  <c r="A426" i="1"/>
  <c r="E415" i="1"/>
  <c r="I404" i="1"/>
  <c r="A394" i="1"/>
  <c r="K384" i="1"/>
  <c r="D376" i="1"/>
  <c r="K367" i="1"/>
  <c r="D359" i="1"/>
  <c r="I350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L493" i="1"/>
  <c r="H472" i="1"/>
  <c r="D451" i="1"/>
  <c r="D439" i="1"/>
  <c r="H428" i="1"/>
  <c r="L417" i="1"/>
  <c r="D407" i="1"/>
  <c r="H396" i="1"/>
  <c r="K386" i="1"/>
  <c r="D378" i="1"/>
  <c r="K369" i="1"/>
  <c r="D361" i="1"/>
  <c r="I352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K485" i="1"/>
  <c r="G464" i="1"/>
  <c r="K445" i="1"/>
  <c r="C435" i="1"/>
  <c r="G424" i="1"/>
  <c r="K413" i="1"/>
  <c r="C403" i="1"/>
  <c r="G392" i="1"/>
  <c r="G383" i="1"/>
  <c r="L374" i="1"/>
  <c r="G366" i="1"/>
  <c r="L357" i="1"/>
  <c r="E349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482" i="1"/>
  <c r="D461" i="1"/>
  <c r="C444" i="1"/>
  <c r="G433" i="1"/>
  <c r="K422" i="1"/>
  <c r="C412" i="1"/>
  <c r="G401" i="1"/>
  <c r="K390" i="1"/>
  <c r="D382" i="1"/>
  <c r="K373" i="1"/>
  <c r="D365" i="1"/>
  <c r="I356" i="1"/>
  <c r="C348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A400" i="1"/>
  <c r="B336" i="1"/>
  <c r="F293" i="1"/>
  <c r="J250" i="1"/>
  <c r="F228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C477" i="1"/>
  <c r="A380" i="1"/>
  <c r="J324" i="1"/>
  <c r="B282" i="1"/>
  <c r="L242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E397" i="1"/>
  <c r="J334" i="1"/>
  <c r="B292" i="1"/>
  <c r="F249" i="1"/>
  <c r="C228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K471" i="1"/>
  <c r="L377" i="1"/>
  <c r="F323" i="1"/>
  <c r="J280" i="1"/>
  <c r="D242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C469" i="1"/>
  <c r="K376" i="1"/>
  <c r="J322" i="1"/>
  <c r="B280" i="1"/>
  <c r="B242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I402" i="1"/>
  <c r="F337" i="1"/>
  <c r="J294" i="1"/>
  <c r="B252" i="1"/>
  <c r="J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745" i="1"/>
  <c r="H687" i="1"/>
  <c r="L644" i="1"/>
  <c r="H617" i="1"/>
  <c r="D606" i="1"/>
  <c r="H595" i="1"/>
  <c r="L584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B783" i="1"/>
  <c r="D692" i="1"/>
  <c r="H649" i="1"/>
  <c r="C619" i="1"/>
  <c r="D607" i="1"/>
  <c r="H596" i="1"/>
  <c r="L585" i="1"/>
  <c r="H576" i="1"/>
  <c r="D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J777" i="1"/>
  <c r="H691" i="1"/>
  <c r="L648" i="1"/>
  <c r="L618" i="1"/>
  <c r="C607" i="1"/>
  <c r="G596" i="1"/>
  <c r="K585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L497" i="1"/>
  <c r="H476" i="1"/>
  <c r="D455" i="1"/>
  <c r="D441" i="1"/>
  <c r="H430" i="1"/>
  <c r="L419" i="1"/>
  <c r="D409" i="1"/>
  <c r="H398" i="1"/>
  <c r="G388" i="1"/>
  <c r="L379" i="1"/>
  <c r="E371" i="1"/>
  <c r="K362" i="1"/>
  <c r="D354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K489" i="1"/>
  <c r="G468" i="1"/>
  <c r="A448" i="1"/>
  <c r="C437" i="1"/>
  <c r="G426" i="1"/>
  <c r="K415" i="1"/>
  <c r="C405" i="1"/>
  <c r="G394" i="1"/>
  <c r="C385" i="1"/>
  <c r="H376" i="1"/>
  <c r="A368" i="1"/>
  <c r="G359" i="1"/>
  <c r="L350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502" i="1"/>
  <c r="D481" i="1"/>
  <c r="L459" i="1"/>
  <c r="G443" i="1"/>
  <c r="K432" i="1"/>
  <c r="C422" i="1"/>
  <c r="G411" i="1"/>
  <c r="K400" i="1"/>
  <c r="D390" i="1"/>
  <c r="K381" i="1"/>
  <c r="D373" i="1"/>
  <c r="I364" i="1"/>
  <c r="C356" i="1"/>
  <c r="H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486" i="1"/>
  <c r="C465" i="1"/>
  <c r="A446" i="1"/>
  <c r="E435" i="1"/>
  <c r="I424" i="1"/>
  <c r="A414" i="1"/>
  <c r="E403" i="1"/>
  <c r="I392" i="1"/>
  <c r="K383" i="1"/>
  <c r="D375" i="1"/>
  <c r="I366" i="1"/>
  <c r="C358" i="1"/>
  <c r="H349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D491" i="1"/>
  <c r="L469" i="1"/>
  <c r="D449" i="1"/>
  <c r="L437" i="1"/>
  <c r="D427" i="1"/>
  <c r="H416" i="1"/>
  <c r="L405" i="1"/>
  <c r="D395" i="1"/>
  <c r="K385" i="1"/>
  <c r="D377" i="1"/>
  <c r="I368" i="1"/>
  <c r="C360" i="1"/>
  <c r="H351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C483" i="1"/>
  <c r="K461" i="1"/>
  <c r="G444" i="1"/>
  <c r="K433" i="1"/>
  <c r="C423" i="1"/>
  <c r="G412" i="1"/>
  <c r="K401" i="1"/>
  <c r="C391" i="1"/>
  <c r="G382" i="1"/>
  <c r="L373" i="1"/>
  <c r="E365" i="1"/>
  <c r="K356" i="1"/>
  <c r="D348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501" i="1"/>
  <c r="L479" i="1"/>
  <c r="H458" i="1"/>
  <c r="K442" i="1"/>
  <c r="C432" i="1"/>
  <c r="G421" i="1"/>
  <c r="K410" i="1"/>
  <c r="C400" i="1"/>
  <c r="K389" i="1"/>
  <c r="D381" i="1"/>
  <c r="I372" i="1"/>
  <c r="C364" i="1"/>
  <c r="H355" i="1"/>
  <c r="C347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C501" i="1"/>
  <c r="H389" i="1"/>
  <c r="J330" i="1"/>
  <c r="B288" i="1"/>
  <c r="B246" i="1"/>
  <c r="F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K455" i="1"/>
  <c r="G371" i="1"/>
  <c r="F319" i="1"/>
  <c r="J276" i="1"/>
  <c r="D240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K495" i="1"/>
  <c r="G387" i="1"/>
  <c r="F329" i="1"/>
  <c r="J286" i="1"/>
  <c r="F245" i="1"/>
  <c r="B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G450" i="1"/>
  <c r="E369" i="1"/>
  <c r="B318" i="1"/>
  <c r="F275" i="1"/>
  <c r="H239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448" i="1"/>
  <c r="D368" i="1"/>
  <c r="F317" i="1"/>
  <c r="J274" i="1"/>
  <c r="F239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A392" i="1"/>
  <c r="B332" i="1"/>
  <c r="F289" i="1"/>
  <c r="J246" i="1"/>
  <c r="H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L724" i="1"/>
  <c r="D682" i="1"/>
  <c r="H639" i="1"/>
  <c r="K615" i="1"/>
  <c r="L604" i="1"/>
  <c r="D594" i="1"/>
  <c r="H583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F740" i="1"/>
  <c r="L686" i="1"/>
  <c r="D644" i="1"/>
  <c r="D617" i="1"/>
  <c r="L605" i="1"/>
  <c r="D595" i="1"/>
  <c r="H584" i="1"/>
  <c r="L575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B735" i="1"/>
  <c r="D686" i="1"/>
  <c r="H643" i="1"/>
  <c r="C617" i="1"/>
  <c r="K605" i="1"/>
  <c r="C595" i="1"/>
  <c r="G584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D495" i="1"/>
  <c r="L473" i="1"/>
  <c r="H452" i="1"/>
  <c r="L439" i="1"/>
  <c r="D429" i="1"/>
  <c r="H418" i="1"/>
  <c r="L407" i="1"/>
  <c r="D397" i="1"/>
  <c r="E387" i="1"/>
  <c r="K378" i="1"/>
  <c r="D370" i="1"/>
  <c r="K361" i="1"/>
  <c r="D353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C487" i="1"/>
  <c r="K465" i="1"/>
  <c r="G446" i="1"/>
  <c r="K435" i="1"/>
  <c r="C425" i="1"/>
  <c r="G414" i="1"/>
  <c r="K403" i="1"/>
  <c r="C393" i="1"/>
  <c r="A384" i="1"/>
  <c r="G375" i="1"/>
  <c r="L366" i="1"/>
  <c r="G358" i="1"/>
  <c r="L349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499" i="1"/>
  <c r="H478" i="1"/>
  <c r="D457" i="1"/>
  <c r="C442" i="1"/>
  <c r="G431" i="1"/>
  <c r="K420" i="1"/>
  <c r="C410" i="1"/>
  <c r="G399" i="1"/>
  <c r="D389" i="1"/>
  <c r="I380" i="1"/>
  <c r="C372" i="1"/>
  <c r="H363" i="1"/>
  <c r="C355" i="1"/>
  <c r="H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483" i="1"/>
  <c r="G462" i="1"/>
  <c r="I444" i="1"/>
  <c r="A434" i="1"/>
  <c r="E423" i="1"/>
  <c r="I412" i="1"/>
  <c r="A402" i="1"/>
  <c r="E391" i="1"/>
  <c r="I382" i="1"/>
  <c r="C374" i="1"/>
  <c r="H365" i="1"/>
  <c r="C357" i="1"/>
  <c r="H348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H488" i="1"/>
  <c r="D467" i="1"/>
  <c r="E447" i="1"/>
  <c r="H436" i="1"/>
  <c r="L425" i="1"/>
  <c r="D415" i="1"/>
  <c r="H404" i="1"/>
  <c r="L393" i="1"/>
  <c r="I384" i="1"/>
  <c r="C376" i="1"/>
  <c r="H367" i="1"/>
  <c r="C359" i="1"/>
  <c r="H350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K501" i="1"/>
  <c r="G480" i="1"/>
  <c r="C459" i="1"/>
  <c r="C443" i="1"/>
  <c r="G432" i="1"/>
  <c r="K421" i="1"/>
  <c r="C411" i="1"/>
  <c r="G400" i="1"/>
  <c r="L389" i="1"/>
  <c r="E381" i="1"/>
  <c r="K372" i="1"/>
  <c r="D364" i="1"/>
  <c r="K355" i="1"/>
  <c r="D347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498" i="1"/>
  <c r="D477" i="1"/>
  <c r="L455" i="1"/>
  <c r="G441" i="1"/>
  <c r="K430" i="1"/>
  <c r="C420" i="1"/>
  <c r="G409" i="1"/>
  <c r="K398" i="1"/>
  <c r="I388" i="1"/>
  <c r="C380" i="1"/>
  <c r="H371" i="1"/>
  <c r="C363" i="1"/>
  <c r="H354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479" i="1"/>
  <c r="C381" i="1"/>
  <c r="F325" i="1"/>
  <c r="J282" i="1"/>
  <c r="F243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E441" i="1"/>
  <c r="L362" i="1"/>
  <c r="B314" i="1"/>
  <c r="F271" i="1"/>
  <c r="H237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G474" i="1"/>
  <c r="L378" i="1"/>
  <c r="B324" i="1"/>
  <c r="F281" i="1"/>
  <c r="J242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I438" i="1"/>
  <c r="K360" i="1"/>
  <c r="J312" i="1"/>
  <c r="B270" i="1"/>
  <c r="L236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E437" i="1"/>
  <c r="K359" i="1"/>
  <c r="B312" i="1"/>
  <c r="F269" i="1"/>
  <c r="J236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C485" i="1"/>
  <c r="D383" i="1"/>
  <c r="J326" i="1"/>
  <c r="B284" i="1"/>
  <c r="B244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H719" i="1"/>
  <c r="L676" i="1"/>
  <c r="D634" i="1"/>
  <c r="D614" i="1"/>
  <c r="H603" i="1"/>
  <c r="L592" i="1"/>
  <c r="D582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D724" i="1"/>
  <c r="H681" i="1"/>
  <c r="L638" i="1"/>
  <c r="H615" i="1"/>
  <c r="H604" i="1"/>
  <c r="L593" i="1"/>
  <c r="D583" i="1"/>
  <c r="D575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H723" i="1"/>
  <c r="L680" i="1"/>
  <c r="D638" i="1"/>
  <c r="D615" i="1"/>
  <c r="G604" i="1"/>
  <c r="K593" i="1"/>
  <c r="C583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H492" i="1"/>
  <c r="D471" i="1"/>
  <c r="A450" i="1"/>
  <c r="H438" i="1"/>
  <c r="L427" i="1"/>
  <c r="D417" i="1"/>
  <c r="H406" i="1"/>
  <c r="L395" i="1"/>
  <c r="D386" i="1"/>
  <c r="K377" i="1"/>
  <c r="D369" i="1"/>
  <c r="I360" i="1"/>
  <c r="C352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G484" i="1"/>
  <c r="C463" i="1"/>
  <c r="C445" i="1"/>
  <c r="G434" i="1"/>
  <c r="K423" i="1"/>
  <c r="C413" i="1"/>
  <c r="G402" i="1"/>
  <c r="K391" i="1"/>
  <c r="L382" i="1"/>
  <c r="G374" i="1"/>
  <c r="L365" i="1"/>
  <c r="E357" i="1"/>
  <c r="K348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497" i="1"/>
  <c r="L475" i="1"/>
  <c r="H454" i="1"/>
  <c r="K440" i="1"/>
  <c r="C430" i="1"/>
  <c r="G419" i="1"/>
  <c r="K408" i="1"/>
  <c r="C398" i="1"/>
  <c r="C388" i="1"/>
  <c r="H379" i="1"/>
  <c r="C371" i="1"/>
  <c r="H362" i="1"/>
  <c r="A354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502" i="1"/>
  <c r="C481" i="1"/>
  <c r="K459" i="1"/>
  <c r="E443" i="1"/>
  <c r="I432" i="1"/>
  <c r="A422" i="1"/>
  <c r="E411" i="1"/>
  <c r="I400" i="1"/>
  <c r="C390" i="1"/>
  <c r="H381" i="1"/>
  <c r="C373" i="1"/>
  <c r="H364" i="1"/>
  <c r="A356" i="1"/>
  <c r="G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L485" i="1"/>
  <c r="H464" i="1"/>
  <c r="L445" i="1"/>
  <c r="D435" i="1"/>
  <c r="H424" i="1"/>
  <c r="L413" i="1"/>
  <c r="D403" i="1"/>
  <c r="H392" i="1"/>
  <c r="H383" i="1"/>
  <c r="C375" i="1"/>
  <c r="H366" i="1"/>
  <c r="A358" i="1"/>
  <c r="G349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C499" i="1"/>
  <c r="K477" i="1"/>
  <c r="G456" i="1"/>
  <c r="K441" i="1"/>
  <c r="C431" i="1"/>
  <c r="G420" i="1"/>
  <c r="K409" i="1"/>
  <c r="C399" i="1"/>
  <c r="K388" i="1"/>
  <c r="D380" i="1"/>
  <c r="K371" i="1"/>
  <c r="D363" i="1"/>
  <c r="I354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495" i="1"/>
  <c r="H474" i="1"/>
  <c r="D453" i="1"/>
  <c r="C440" i="1"/>
  <c r="G429" i="1"/>
  <c r="K418" i="1"/>
  <c r="C408" i="1"/>
  <c r="G397" i="1"/>
  <c r="H387" i="1"/>
  <c r="C379" i="1"/>
  <c r="H370" i="1"/>
  <c r="A362" i="1"/>
  <c r="G353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G458" i="1"/>
  <c r="H372" i="1"/>
  <c r="B320" i="1"/>
  <c r="F277" i="1"/>
  <c r="J240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I430" i="1"/>
  <c r="G354" i="1"/>
  <c r="J308" i="1"/>
  <c r="B266" i="1"/>
  <c r="L234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C453" i="1"/>
  <c r="G370" i="1"/>
  <c r="J318" i="1"/>
  <c r="B276" i="1"/>
  <c r="B240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A428" i="1"/>
  <c r="D352" i="1"/>
  <c r="F307" i="1"/>
  <c r="J264" i="1"/>
  <c r="D234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I426" i="1"/>
  <c r="D351" i="1"/>
  <c r="J306" i="1"/>
  <c r="B264" i="1"/>
  <c r="B234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463" i="1"/>
  <c r="I374" i="1"/>
  <c r="F321" i="1"/>
  <c r="J278" i="1"/>
  <c r="F24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D714" i="1"/>
  <c r="H671" i="1"/>
  <c r="L628" i="1"/>
  <c r="L612" i="1"/>
  <c r="D602" i="1"/>
  <c r="H591" i="1"/>
  <c r="L580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L718" i="1"/>
  <c r="D676" i="1"/>
  <c r="H633" i="1"/>
  <c r="L613" i="1"/>
  <c r="D603" i="1"/>
  <c r="H592" i="1"/>
  <c r="L581" i="1"/>
  <c r="H57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D718" i="1"/>
  <c r="H675" i="1"/>
  <c r="L632" i="1"/>
  <c r="K613" i="1"/>
  <c r="C603" i="1"/>
  <c r="G592" i="1"/>
  <c r="K581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L489" i="1"/>
  <c r="H468" i="1"/>
  <c r="G448" i="1"/>
  <c r="D437" i="1"/>
  <c r="H426" i="1"/>
  <c r="L415" i="1"/>
  <c r="D405" i="1"/>
  <c r="H394" i="1"/>
  <c r="D385" i="1"/>
  <c r="I376" i="1"/>
  <c r="C368" i="1"/>
  <c r="H359" i="1"/>
  <c r="C351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C503" i="1"/>
  <c r="K481" i="1"/>
  <c r="G460" i="1"/>
  <c r="K443" i="1"/>
  <c r="C433" i="1"/>
  <c r="G422" i="1"/>
  <c r="K411" i="1"/>
  <c r="C401" i="1"/>
  <c r="G390" i="1"/>
  <c r="L381" i="1"/>
  <c r="E373" i="1"/>
  <c r="K364" i="1"/>
  <c r="D356" i="1"/>
  <c r="K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494" i="1"/>
  <c r="D473" i="1"/>
  <c r="L451" i="1"/>
  <c r="G439" i="1"/>
  <c r="K428" i="1"/>
  <c r="C418" i="1"/>
  <c r="G407" i="1"/>
  <c r="K396" i="1"/>
  <c r="C387" i="1"/>
  <c r="H378" i="1"/>
  <c r="A370" i="1"/>
  <c r="G361" i="1"/>
  <c r="L352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499" i="1"/>
  <c r="G478" i="1"/>
  <c r="C457" i="1"/>
  <c r="A442" i="1"/>
  <c r="E431" i="1"/>
  <c r="I420" i="1"/>
  <c r="A410" i="1"/>
  <c r="E399" i="1"/>
  <c r="C389" i="1"/>
  <c r="H380" i="1"/>
  <c r="A372" i="1"/>
  <c r="G363" i="1"/>
  <c r="L354" i="1"/>
  <c r="G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D483" i="1"/>
  <c r="L461" i="1"/>
  <c r="H444" i="1"/>
  <c r="L433" i="1"/>
  <c r="D423" i="1"/>
  <c r="H412" i="1"/>
  <c r="L401" i="1"/>
  <c r="D391" i="1"/>
  <c r="H382" i="1"/>
  <c r="A374" i="1"/>
  <c r="G365" i="1"/>
  <c r="L356" i="1"/>
  <c r="G348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G496" i="1"/>
  <c r="C475" i="1"/>
  <c r="K453" i="1"/>
  <c r="G440" i="1"/>
  <c r="K429" i="1"/>
  <c r="C419" i="1"/>
  <c r="G408" i="1"/>
  <c r="K397" i="1"/>
  <c r="K387" i="1"/>
  <c r="D379" i="1"/>
  <c r="I370" i="1"/>
  <c r="C362" i="1"/>
  <c r="H353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493" i="1"/>
  <c r="L471" i="1"/>
  <c r="H450" i="1"/>
  <c r="K438" i="1"/>
  <c r="C428" i="1"/>
  <c r="G417" i="1"/>
  <c r="K406" i="1"/>
  <c r="C396" i="1"/>
  <c r="H386" i="1"/>
  <c r="A378" i="1"/>
  <c r="G369" i="1"/>
  <c r="L360" i="1"/>
  <c r="G352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I442" i="1"/>
  <c r="A364" i="1"/>
  <c r="J314" i="1"/>
  <c r="B272" i="1"/>
  <c r="B238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A420" i="1"/>
  <c r="B346" i="1"/>
  <c r="F303" i="1"/>
  <c r="J260" i="1"/>
  <c r="D232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A440" i="1"/>
  <c r="L361" i="1"/>
  <c r="F313" i="1"/>
  <c r="J270" i="1"/>
  <c r="F237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E417" i="1"/>
  <c r="J344" i="1"/>
  <c r="B302" i="1"/>
  <c r="F259" i="1"/>
  <c r="H231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A416" i="1"/>
  <c r="B344" i="1"/>
  <c r="F301" i="1"/>
  <c r="J258" i="1"/>
  <c r="F231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E445" i="1"/>
  <c r="C366" i="1"/>
  <c r="B316" i="1"/>
  <c r="F273" i="1"/>
  <c r="J238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L708" i="1"/>
  <c r="D666" i="1"/>
  <c r="H624" i="1"/>
  <c r="H611" i="1"/>
  <c r="L600" i="1"/>
  <c r="D590" i="1"/>
  <c r="H579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H713" i="1"/>
  <c r="L670" i="1"/>
  <c r="D628" i="1"/>
  <c r="H612" i="1"/>
  <c r="L601" i="1"/>
  <c r="D591" i="1"/>
  <c r="H580" i="1"/>
  <c r="L573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L712" i="1"/>
  <c r="D670" i="1"/>
  <c r="H627" i="1"/>
  <c r="G612" i="1"/>
  <c r="K601" i="1"/>
  <c r="C591" i="1"/>
  <c r="G580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D487" i="1"/>
  <c r="L465" i="1"/>
  <c r="H446" i="1"/>
  <c r="L435" i="1"/>
  <c r="D425" i="1"/>
  <c r="H414" i="1"/>
  <c r="L403" i="1"/>
  <c r="D393" i="1"/>
  <c r="C384" i="1"/>
  <c r="H375" i="1"/>
  <c r="C367" i="1"/>
  <c r="H358" i="1"/>
  <c r="A350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G500" i="1"/>
  <c r="C479" i="1"/>
  <c r="K457" i="1"/>
  <c r="G442" i="1"/>
  <c r="K431" i="1"/>
  <c r="C421" i="1"/>
  <c r="G410" i="1"/>
  <c r="K399" i="1"/>
  <c r="E389" i="1"/>
  <c r="K380" i="1"/>
  <c r="D372" i="1"/>
  <c r="K363" i="1"/>
  <c r="D355" i="1"/>
  <c r="I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491" i="1"/>
  <c r="H470" i="1"/>
  <c r="K449" i="1"/>
  <c r="C438" i="1"/>
  <c r="G427" i="1"/>
  <c r="K416" i="1"/>
  <c r="C406" i="1"/>
  <c r="G395" i="1"/>
  <c r="A386" i="1"/>
  <c r="G377" i="1"/>
  <c r="L368" i="1"/>
  <c r="G360" i="1"/>
  <c r="L351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497" i="1"/>
  <c r="K475" i="1"/>
  <c r="G454" i="1"/>
  <c r="I440" i="1"/>
  <c r="A430" i="1"/>
  <c r="E419" i="1"/>
  <c r="I408" i="1"/>
  <c r="A398" i="1"/>
  <c r="A388" i="1"/>
  <c r="G379" i="1"/>
  <c r="L370" i="1"/>
  <c r="G362" i="1"/>
  <c r="L353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L501" i="1"/>
  <c r="H480" i="1"/>
  <c r="D459" i="1"/>
  <c r="D443" i="1"/>
  <c r="H432" i="1"/>
  <c r="L421" i="1"/>
  <c r="D411" i="1"/>
  <c r="H400" i="1"/>
  <c r="A390" i="1"/>
  <c r="G381" i="1"/>
  <c r="L372" i="1"/>
  <c r="G364" i="1"/>
  <c r="L355" i="1"/>
  <c r="E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K493" i="1"/>
  <c r="G472" i="1"/>
  <c r="C451" i="1"/>
  <c r="C439" i="1"/>
  <c r="G428" i="1"/>
  <c r="K417" i="1"/>
  <c r="C407" i="1"/>
  <c r="G396" i="1"/>
  <c r="I386" i="1"/>
  <c r="C378" i="1"/>
  <c r="H369" i="1"/>
  <c r="C361" i="1"/>
  <c r="H352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490" i="1"/>
  <c r="D469" i="1"/>
  <c r="I448" i="1"/>
  <c r="G437" i="1"/>
  <c r="K426" i="1"/>
  <c r="C416" i="1"/>
  <c r="G405" i="1"/>
  <c r="K394" i="1"/>
  <c r="G385" i="1"/>
  <c r="L376" i="1"/>
  <c r="G368" i="1"/>
  <c r="L359" i="1"/>
  <c r="E351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A432" i="1"/>
  <c r="G355" i="1"/>
  <c r="F309" i="1"/>
  <c r="J266" i="1"/>
  <c r="F235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E409" i="1"/>
  <c r="J340" i="1"/>
  <c r="B298" i="1"/>
  <c r="F255" i="1"/>
  <c r="H229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E429" i="1"/>
  <c r="E353" i="1"/>
  <c r="B308" i="1"/>
  <c r="F265" i="1"/>
  <c r="J234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I406" i="1"/>
  <c r="F339" i="1"/>
  <c r="J296" i="1"/>
  <c r="B254" i="1"/>
  <c r="F229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E405" i="1"/>
  <c r="J338" i="1"/>
  <c r="B296" i="1"/>
  <c r="F253" i="1"/>
  <c r="L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I434" i="1"/>
  <c r="H357" i="1"/>
  <c r="J310" i="1"/>
  <c r="B268" i="1"/>
  <c r="B236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I140" i="1"/>
  <c r="A122" i="1"/>
  <c r="I116" i="1"/>
  <c r="E111" i="1"/>
  <c r="A106" i="1"/>
  <c r="I100" i="1"/>
  <c r="E95" i="1"/>
  <c r="A90" i="1"/>
  <c r="C461" i="1"/>
  <c r="H373" i="1"/>
  <c r="J320" i="1"/>
  <c r="B278" i="1"/>
  <c r="L240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F327" i="1"/>
  <c r="B200" i="1"/>
  <c r="F157" i="1"/>
  <c r="J114" i="1"/>
  <c r="K90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B176" i="1"/>
  <c r="K65" i="1"/>
  <c r="C29" i="1"/>
  <c r="B322" i="1"/>
  <c r="F199" i="1"/>
  <c r="J156" i="1"/>
  <c r="B114" i="1"/>
  <c r="J90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F133" i="1"/>
  <c r="G56" i="1"/>
  <c r="C17" i="1"/>
  <c r="L238" i="1"/>
  <c r="B188" i="1"/>
  <c r="F145" i="1"/>
  <c r="F105" i="1"/>
  <c r="K86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J96" i="1"/>
  <c r="C57" i="1"/>
  <c r="G22" i="1"/>
  <c r="D236" i="1"/>
  <c r="F187" i="1"/>
  <c r="J144" i="1"/>
  <c r="K104" i="1"/>
  <c r="J86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K73" i="1"/>
  <c r="C33" i="1"/>
  <c r="B258" i="1"/>
  <c r="F191" i="1"/>
  <c r="J148" i="1"/>
  <c r="K106" i="1"/>
  <c r="B88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G76" i="1"/>
  <c r="C39" i="1"/>
  <c r="A404" i="1"/>
  <c r="J206" i="1"/>
  <c r="B164" i="1"/>
  <c r="F121" i="1"/>
  <c r="F93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L6" i="1"/>
  <c r="C81" i="1"/>
  <c r="G40" i="1"/>
  <c r="K5" i="1"/>
  <c r="F211" i="1"/>
  <c r="J168" i="1"/>
  <c r="B126" i="1"/>
  <c r="G95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D6" i="1"/>
  <c r="C77" i="1"/>
  <c r="G38" i="1"/>
  <c r="C7" i="1"/>
  <c r="A33" i="1"/>
  <c r="F115" i="1"/>
  <c r="H49" i="1"/>
  <c r="G64" i="1"/>
  <c r="A138" i="1"/>
  <c r="E121" i="1"/>
  <c r="A116" i="1"/>
  <c r="I110" i="1"/>
  <c r="E105" i="1"/>
  <c r="A100" i="1"/>
  <c r="I94" i="1"/>
  <c r="E89" i="1"/>
  <c r="A444" i="1"/>
  <c r="C365" i="1"/>
  <c r="F315" i="1"/>
  <c r="J272" i="1"/>
  <c r="D238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J284" i="1"/>
  <c r="J194" i="1"/>
  <c r="B152" i="1"/>
  <c r="F109" i="1"/>
  <c r="B89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F149" i="1"/>
  <c r="C61" i="1"/>
  <c r="G24" i="1"/>
  <c r="F279" i="1"/>
  <c r="B194" i="1"/>
  <c r="F151" i="1"/>
  <c r="J108" i="1"/>
  <c r="K88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F107" i="1"/>
  <c r="C51" i="1"/>
  <c r="C11" i="1"/>
  <c r="F225" i="1"/>
  <c r="J182" i="1"/>
  <c r="B140" i="1"/>
  <c r="J102" i="1"/>
  <c r="E85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A84" i="1"/>
  <c r="C53" i="1"/>
  <c r="K17" i="1"/>
  <c r="J224" i="1"/>
  <c r="B182" i="1"/>
  <c r="F139" i="1"/>
  <c r="C102" i="1"/>
  <c r="B85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G68" i="1"/>
  <c r="G26" i="1"/>
  <c r="L230" i="1"/>
  <c r="B186" i="1"/>
  <c r="F143" i="1"/>
  <c r="C104" i="1"/>
  <c r="C86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G72" i="1"/>
  <c r="G34" i="1"/>
  <c r="B338" i="1"/>
  <c r="F201" i="1"/>
  <c r="J158" i="1"/>
  <c r="B116" i="1"/>
  <c r="F91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L4" i="1"/>
  <c r="K75" i="1"/>
  <c r="G36" i="1"/>
  <c r="E393" i="1"/>
  <c r="B206" i="1"/>
  <c r="F163" i="1"/>
  <c r="J120" i="1"/>
  <c r="K92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5" i="1"/>
  <c r="K69" i="1"/>
  <c r="C35" i="1"/>
  <c r="E54" i="1"/>
  <c r="L70" i="1"/>
  <c r="H17" i="1"/>
  <c r="E135" i="1"/>
  <c r="I120" i="1"/>
  <c r="E115" i="1"/>
  <c r="A110" i="1"/>
  <c r="I104" i="1"/>
  <c r="E99" i="1"/>
  <c r="A94" i="1"/>
  <c r="I88" i="1"/>
  <c r="E433" i="1"/>
  <c r="H356" i="1"/>
  <c r="B310" i="1"/>
  <c r="F267" i="1"/>
  <c r="H235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D244" i="1"/>
  <c r="F189" i="1"/>
  <c r="J146" i="1"/>
  <c r="B106" i="1"/>
  <c r="F87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F117" i="1"/>
  <c r="K57" i="1"/>
  <c r="C19" i="1"/>
  <c r="H241" i="1"/>
  <c r="J188" i="1"/>
  <c r="B146" i="1"/>
  <c r="G105" i="1"/>
  <c r="B87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B90" i="1"/>
  <c r="K45" i="1"/>
  <c r="G8" i="1"/>
  <c r="B220" i="1"/>
  <c r="F177" i="1"/>
  <c r="J134" i="1"/>
  <c r="B100" i="1"/>
  <c r="C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K79" i="1"/>
  <c r="C49" i="1"/>
  <c r="C13" i="1"/>
  <c r="F219" i="1"/>
  <c r="J176" i="1"/>
  <c r="B134" i="1"/>
  <c r="G99" i="1"/>
  <c r="B84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E425" i="1"/>
  <c r="K63" i="1"/>
  <c r="G20" i="1"/>
  <c r="F223" i="1"/>
  <c r="J180" i="1"/>
  <c r="B138" i="1"/>
  <c r="G101" i="1"/>
  <c r="J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C67" i="1"/>
  <c r="K29" i="1"/>
  <c r="F295" i="1"/>
  <c r="B196" i="1"/>
  <c r="F153" i="1"/>
  <c r="J110" i="1"/>
  <c r="G89" i="1"/>
  <c r="A81" i="1"/>
  <c r="I75" i="1"/>
  <c r="E70" i="1"/>
  <c r="A65" i="1"/>
  <c r="E38" i="1"/>
  <c r="A17" i="1"/>
  <c r="E6" i="1"/>
  <c r="J332" i="1"/>
  <c r="D60" i="1"/>
  <c r="L22" i="1"/>
  <c r="I132" i="1"/>
  <c r="A120" i="1"/>
  <c r="I114" i="1"/>
  <c r="E109" i="1"/>
  <c r="A104" i="1"/>
  <c r="I98" i="1"/>
  <c r="E93" i="1"/>
  <c r="A88" i="1"/>
  <c r="I422" i="1"/>
  <c r="A348" i="1"/>
  <c r="J304" i="1"/>
  <c r="B262" i="1"/>
  <c r="L232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J226" i="1"/>
  <c r="B184" i="1"/>
  <c r="F141" i="1"/>
  <c r="F103" i="1"/>
  <c r="G85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B94" i="1"/>
  <c r="K53" i="1"/>
  <c r="G14" i="1"/>
  <c r="B226" i="1"/>
  <c r="F183" i="1"/>
  <c r="J140" i="1"/>
  <c r="K102" i="1"/>
  <c r="F85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G82" i="1"/>
  <c r="K41" i="1"/>
  <c r="G4" i="1"/>
  <c r="J214" i="1"/>
  <c r="B172" i="1"/>
  <c r="F129" i="1"/>
  <c r="F97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B306" i="1"/>
  <c r="G74" i="1"/>
  <c r="G44" i="1"/>
  <c r="C9" i="1"/>
  <c r="B214" i="1"/>
  <c r="F171" i="1"/>
  <c r="J128" i="1"/>
  <c r="K96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F181" i="1"/>
  <c r="C59" i="1"/>
  <c r="C15" i="1"/>
  <c r="B218" i="1"/>
  <c r="F175" i="1"/>
  <c r="J132" i="1"/>
  <c r="K98" i="1"/>
  <c r="K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J218" i="1"/>
  <c r="G62" i="1"/>
  <c r="C25" i="1"/>
  <c r="J252" i="1"/>
  <c r="J190" i="1"/>
  <c r="B148" i="1"/>
  <c r="J106" i="1"/>
  <c r="J87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B192" i="1"/>
  <c r="G66" i="1"/>
  <c r="G28" i="1"/>
  <c r="B290" i="1"/>
  <c r="F195" i="1"/>
  <c r="J152" i="1"/>
  <c r="B110" i="1"/>
  <c r="F89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B224" i="1"/>
  <c r="K59" i="1"/>
  <c r="K27" i="1"/>
  <c r="E22" i="1"/>
  <c r="I11" i="1"/>
  <c r="C71" i="1"/>
  <c r="J200" i="1"/>
  <c r="H65" i="1"/>
  <c r="L38" i="1"/>
  <c r="D4" i="1"/>
  <c r="A130" i="1"/>
  <c r="E119" i="1"/>
  <c r="A114" i="1"/>
  <c r="I108" i="1"/>
  <c r="E103" i="1"/>
  <c r="A98" i="1"/>
  <c r="I92" i="1"/>
  <c r="E87" i="1"/>
  <c r="A412" i="1"/>
  <c r="B342" i="1"/>
  <c r="F299" i="1"/>
  <c r="J256" i="1"/>
  <c r="D230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F221" i="1"/>
  <c r="J178" i="1"/>
  <c r="B136" i="1"/>
  <c r="J100" i="1"/>
  <c r="F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C83" i="1"/>
  <c r="K49" i="1"/>
  <c r="K9" i="1"/>
  <c r="J220" i="1"/>
  <c r="B178" i="1"/>
  <c r="F135" i="1"/>
  <c r="C100" i="1"/>
  <c r="E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K77" i="1"/>
  <c r="C37" i="1"/>
  <c r="I446" i="1"/>
  <c r="F209" i="1"/>
  <c r="J166" i="1"/>
  <c r="B124" i="1"/>
  <c r="J94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B208" i="1"/>
  <c r="K71" i="1"/>
  <c r="K39" i="1"/>
  <c r="A436" i="1"/>
  <c r="J208" i="1"/>
  <c r="B166" i="1"/>
  <c r="F123" i="1"/>
  <c r="C94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J138" i="1"/>
  <c r="G52" i="1"/>
  <c r="G6" i="1"/>
  <c r="J212" i="1"/>
  <c r="B170" i="1"/>
  <c r="F127" i="1"/>
  <c r="C96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J154" i="1"/>
  <c r="G58" i="1"/>
  <c r="C21" i="1"/>
  <c r="K228" i="1"/>
  <c r="F185" i="1"/>
  <c r="J142" i="1"/>
  <c r="B104" i="1"/>
  <c r="B86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B160" i="1"/>
  <c r="K61" i="1"/>
  <c r="K23" i="1"/>
  <c r="F247" i="1"/>
  <c r="B190" i="1"/>
  <c r="F147" i="1"/>
  <c r="C106" i="1"/>
  <c r="G87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D10" i="1"/>
  <c r="B144" i="1"/>
  <c r="C55" i="1"/>
  <c r="C23" i="1"/>
  <c r="I43" i="1"/>
  <c r="B158" i="1"/>
  <c r="D44" i="1"/>
  <c r="C31" i="1"/>
  <c r="E127" i="1"/>
  <c r="I118" i="1"/>
  <c r="E113" i="1"/>
  <c r="A108" i="1"/>
  <c r="I102" i="1"/>
  <c r="E97" i="1"/>
  <c r="A92" i="1"/>
  <c r="I86" i="1"/>
  <c r="E401" i="1"/>
  <c r="J336" i="1"/>
  <c r="B294" i="1"/>
  <c r="F251" i="1"/>
  <c r="G228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B216" i="1"/>
  <c r="F173" i="1"/>
  <c r="J130" i="1"/>
  <c r="B9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F263" i="1"/>
  <c r="C79" i="1"/>
  <c r="G46" i="1"/>
  <c r="C5" i="1"/>
  <c r="F215" i="1"/>
  <c r="J172" i="1"/>
  <c r="B130" i="1"/>
  <c r="G97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C350" i="1"/>
  <c r="C73" i="1"/>
  <c r="G30" i="1"/>
  <c r="D367" i="1"/>
  <c r="B204" i="1"/>
  <c r="F161" i="1"/>
  <c r="J118" i="1"/>
  <c r="C92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J186" i="1"/>
  <c r="C69" i="1"/>
  <c r="K35" i="1"/>
  <c r="I358" i="1"/>
  <c r="F203" i="1"/>
  <c r="J160" i="1"/>
  <c r="B118" i="1"/>
  <c r="B92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J104" i="1"/>
  <c r="C47" i="1"/>
  <c r="I414" i="1"/>
  <c r="F207" i="1"/>
  <c r="J164" i="1"/>
  <c r="B122" i="1"/>
  <c r="G93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B112" i="1"/>
  <c r="G54" i="1"/>
  <c r="G16" i="1"/>
  <c r="J222" i="1"/>
  <c r="B180" i="1"/>
  <c r="F137" i="1"/>
  <c r="F101" i="1"/>
  <c r="I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J122" i="1"/>
  <c r="K55" i="1"/>
  <c r="G18" i="1"/>
  <c r="J227" i="1"/>
  <c r="J184" i="1"/>
  <c r="B142" i="1"/>
  <c r="G103" i="1"/>
  <c r="J85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H9" i="1"/>
  <c r="B102" i="1"/>
  <c r="K51" i="1"/>
  <c r="K19" i="1"/>
  <c r="A49" i="1"/>
  <c r="D76" i="1"/>
  <c r="D12" i="1"/>
  <c r="I124" i="1"/>
  <c r="A118" i="1"/>
  <c r="I112" i="1"/>
  <c r="E107" i="1"/>
  <c r="A102" i="1"/>
  <c r="I96" i="1"/>
  <c r="E91" i="1"/>
  <c r="A86" i="1"/>
  <c r="I390" i="1"/>
  <c r="F331" i="1"/>
  <c r="J288" i="1"/>
  <c r="D246" i="1"/>
  <c r="G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K487" i="1"/>
  <c r="J210" i="1"/>
  <c r="B168" i="1"/>
  <c r="F125" i="1"/>
  <c r="F95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F213" i="1"/>
  <c r="C75" i="1"/>
  <c r="C41" i="1"/>
  <c r="G466" i="1"/>
  <c r="B210" i="1"/>
  <c r="F167" i="1"/>
  <c r="J124" i="1"/>
  <c r="K94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J202" i="1"/>
  <c r="K67" i="1"/>
  <c r="K25" i="1"/>
  <c r="J316" i="1"/>
  <c r="J198" i="1"/>
  <c r="B156" i="1"/>
  <c r="F113" i="1"/>
  <c r="F90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F165" i="1"/>
  <c r="C65" i="1"/>
  <c r="K31" i="1"/>
  <c r="F311" i="1"/>
  <c r="B198" i="1"/>
  <c r="F155" i="1"/>
  <c r="J112" i="1"/>
  <c r="C90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F86" i="1"/>
  <c r="G42" i="1"/>
  <c r="F343" i="1"/>
  <c r="B202" i="1"/>
  <c r="F159" i="1"/>
  <c r="J116" i="1"/>
  <c r="G91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J91" i="1"/>
  <c r="G48" i="1"/>
  <c r="G12" i="1"/>
  <c r="F217" i="1"/>
  <c r="J174" i="1"/>
  <c r="B132" i="1"/>
  <c r="J98" i="1"/>
  <c r="J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L10" i="1"/>
  <c r="F99" i="1"/>
  <c r="G50" i="1"/>
  <c r="K13" i="1"/>
  <c r="B222" i="1"/>
  <c r="F179" i="1"/>
  <c r="J136" i="1"/>
  <c r="K100" i="1"/>
  <c r="G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L8" i="1"/>
  <c r="K84" i="1"/>
  <c r="K47" i="1"/>
  <c r="K15" i="1"/>
  <c r="I59" i="1"/>
  <c r="B91" i="1"/>
  <c r="H33" i="1"/>
  <c r="I122" i="1"/>
  <c r="E117" i="1"/>
  <c r="A112" i="1"/>
  <c r="I106" i="1"/>
  <c r="E101" i="1"/>
  <c r="A96" i="1"/>
  <c r="I90" i="1"/>
  <c r="G482" i="1"/>
  <c r="C382" i="1"/>
  <c r="B326" i="1"/>
  <c r="F283" i="1"/>
  <c r="H243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D384" i="1"/>
  <c r="F205" i="1"/>
  <c r="J162" i="1"/>
  <c r="B120" i="1"/>
  <c r="J92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F197" i="1"/>
  <c r="G70" i="1"/>
  <c r="K33" i="1"/>
  <c r="K375" i="1"/>
  <c r="J204" i="1"/>
  <c r="B162" i="1"/>
  <c r="F119" i="1"/>
  <c r="F92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J170" i="1"/>
  <c r="C63" i="1"/>
  <c r="K21" i="1"/>
  <c r="B274" i="1"/>
  <c r="F193" i="1"/>
  <c r="J150" i="1"/>
  <c r="B108" i="1"/>
  <c r="J88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B128" i="1"/>
  <c r="G60" i="1"/>
  <c r="C27" i="1"/>
  <c r="J268" i="1"/>
  <c r="J192" i="1"/>
  <c r="B150" i="1"/>
  <c r="G107" i="1"/>
  <c r="F88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G78" i="1"/>
  <c r="K37" i="1"/>
  <c r="J300" i="1"/>
  <c r="J196" i="1"/>
  <c r="B154" i="1"/>
  <c r="F111" i="1"/>
  <c r="J89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K81" i="1"/>
  <c r="K43" i="1"/>
  <c r="K7" i="1"/>
  <c r="B212" i="1"/>
  <c r="F169" i="1"/>
  <c r="J126" i="1"/>
  <c r="B96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D8" i="1"/>
  <c r="C88" i="1"/>
  <c r="C45" i="1"/>
  <c r="G10" i="1"/>
  <c r="J216" i="1"/>
  <c r="B174" i="1"/>
  <c r="F131" i="1"/>
  <c r="C98" i="1"/>
  <c r="I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H7" i="1"/>
  <c r="G80" i="1"/>
  <c r="C43" i="1"/>
  <c r="K11" i="1"/>
  <c r="I27" i="1"/>
  <c r="H233" i="1"/>
  <c r="G32" i="1"/>
  <c r="H81" i="1"/>
  <c r="L54" i="1"/>
  <c r="D28" i="1"/>
</calcChain>
</file>

<file path=xl/sharedStrings.xml><?xml version="1.0" encoding="utf-8"?>
<sst xmlns="http://schemas.openxmlformats.org/spreadsheetml/2006/main" count="4368" uniqueCount="100">
  <si>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</si>
  <si>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</si>
  <si>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</si>
  <si>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</si>
  <si>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</si>
  <si>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</si>
  <si>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</si>
  <si>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</si>
  <si>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</si>
  <si>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</si>
  <si>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</si>
  <si>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</si>
  <si>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</si>
  <si>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</si>
  <si>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</si>
  <si>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</si>
  <si>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</si>
  <si>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</si>
  <si>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</si>
  <si>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</si>
  <si>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</si>
  <si>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</si>
  <si>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</si>
  <si>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</si>
  <si>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</si>
  <si>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</si>
  <si>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</si>
  <si>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</si>
  <si>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</si>
  <si>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</si>
  <si>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</si>
  <si>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</si>
  <si>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</si>
  <si>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</si>
  <si>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</si>
  <si>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</si>
  <si>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</si>
  <si>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</si>
  <si>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</si>
  <si>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</si>
  <si>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</si>
  <si>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</si>
  <si>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</si>
  <si>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</si>
  <si>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</si>
  <si>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</si>
  <si>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</si>
  <si>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</si>
  <si>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</si>
  <si>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</si>
  <si>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</si>
  <si>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</si>
  <si>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</si>
  <si>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</si>
  <si>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</si>
  <si>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</si>
  <si>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</si>
  <si>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</si>
  <si>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</si>
  <si>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</si>
  <si>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</si>
  <si>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</si>
  <si>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</si>
  <si>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</si>
  <si>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</si>
  <si>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</si>
  <si>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</si>
  <si>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</si>
  <si>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GetActivityData</t>
  </si>
  <si>
    <t>VerifyActivity</t>
  </si>
  <si>
    <t>EquityShortUnRealizedPNL</t>
  </si>
  <si>
    <t>Cash</t>
  </si>
  <si>
    <t>CashUnRealizedPNL</t>
  </si>
  <si>
    <t>EquityS</t>
  </si>
  <si>
    <t>BrokerNotes</t>
  </si>
  <si>
    <t>EquityShortRealizedPNL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</si>
  <si>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</si>
  <si>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</si>
  <si>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</si>
  <si>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</si>
  <si>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</si>
  <si>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</si>
  <si>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</si>
  <si>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BuytoClose</t>
  </si>
  <si>
    <t>Settlement Transaction</t>
  </si>
  <si>
    <t>VerifyShortPositionsGrid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</si>
  <si>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</si>
  <si>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</si>
  <si>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</si>
  <si>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</si>
  <si>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</si>
  <si>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</si>
  <si>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</si>
  <si>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CheckAllocatedGroups</t>
  </si>
  <si>
    <t>ABI BB EQUITY</t>
  </si>
  <si>
    <t>Open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</si>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</sst>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\ AM/PM"/>
  </numFmts>
  <fonts count="18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9"/>
      <color rgb="FF000000"/>
      <name val="Arial"/>
    </font>
    <font>
      <sz val="9"/>
      <color rgb="FFE7E8E9"/>
      <name val="Arial"/>
    </font>
    <font>
      <sz val="9"/>
      <color rgb="FF868686"/>
      <name val="Arial"/>
    </font>
    <font>
      <sz val="9"/>
      <color rgb="FF000000"/>
      <name val="Verdana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14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5" fillId="0" borderId="5" xfId="0" applyFont="1" applyBorder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5" xfId="0" applyFont="1" applyBorder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Alignment="1"/>
    <xf numFmtId="14" fontId="13" fillId="6" borderId="0" xfId="0" applyNumberFormat="1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13" fillId="6" borderId="0" xfId="0" applyFont="1" applyFill="1" applyAlignment="1">
      <alignment horizontal="right"/>
    </xf>
    <xf numFmtId="0" fontId="14" fillId="6" borderId="0" xfId="0" applyFont="1" applyFill="1" applyAlignment="1">
      <alignment horizontal="right"/>
    </xf>
    <xf numFmtId="22" fontId="13" fillId="6" borderId="0" xfId="0" applyNumberFormat="1" applyFont="1" applyFill="1" applyAlignment="1">
      <alignment horizontal="left"/>
    </xf>
    <xf numFmtId="0" fontId="13" fillId="7" borderId="0" xfId="0" applyFont="1" applyFill="1" applyAlignment="1">
      <alignment horizontal="left"/>
    </xf>
    <xf numFmtId="0" fontId="15" fillId="7" borderId="0" xfId="0" applyFont="1" applyFill="1" applyAlignment="1">
      <alignment horizontal="right"/>
    </xf>
    <xf numFmtId="0" fontId="13" fillId="7" borderId="0" xfId="0" applyFont="1" applyFill="1" applyAlignment="1">
      <alignment horizontal="right"/>
    </xf>
    <xf numFmtId="22" fontId="13" fillId="7" borderId="0" xfId="0" applyNumberFormat="1" applyFont="1" applyFill="1" applyAlignment="1">
      <alignment horizontal="left"/>
    </xf>
    <xf numFmtId="14" fontId="13" fillId="6" borderId="0" xfId="0" applyNumberFormat="1" applyFont="1" applyFill="1" applyAlignment="1">
      <alignment horizontal="left"/>
    </xf>
    <xf numFmtId="0" fontId="13" fillId="6" borderId="0" xfId="0" applyFont="1" applyFill="1" applyAlignment="1">
      <alignment horizontal="left"/>
    </xf>
    <xf numFmtId="164" fontId="13" fillId="6" borderId="0" xfId="0" applyNumberFormat="1" applyFont="1" applyFill="1" applyAlignment="1">
      <alignment horizontal="left"/>
    </xf>
    <xf numFmtId="0" fontId="16" fillId="6" borderId="0" xfId="0" applyFont="1" applyFill="1" applyAlignment="1">
      <alignment horizontal="left"/>
    </xf>
    <xf numFmtId="0" fontId="13" fillId="8" borderId="0" xfId="0" applyFont="1" applyFill="1" applyAlignment="1">
      <alignment horizontal="left"/>
    </xf>
    <xf numFmtId="0" fontId="13" fillId="8" borderId="0" xfId="0" applyFont="1" applyFill="1" applyAlignment="1">
      <alignment horizontal="right"/>
    </xf>
    <xf numFmtId="22" fontId="13" fillId="8" borderId="0" xfId="0" applyNumberFormat="1" applyFont="1" applyFill="1" applyAlignment="1">
      <alignment horizontal="left"/>
    </xf>
    <xf numFmtId="0" fontId="13" fillId="8" borderId="0" xfId="0" applyFont="1" applyFill="1" applyAlignment="1">
      <alignment horizontal="left"/>
    </xf>
    <xf numFmtId="164" fontId="13" fillId="8" borderId="0" xfId="0" applyNumberFormat="1" applyFont="1" applyFill="1" applyAlignment="1">
      <alignment horizontal="left"/>
    </xf>
    <xf numFmtId="14" fontId="13" fillId="8" borderId="0" xfId="0" applyNumberFormat="1" applyFont="1" applyFill="1" applyAlignment="1">
      <alignment horizontal="left"/>
    </xf>
    <xf numFmtId="0" fontId="16" fillId="8" borderId="0" xfId="0" applyFont="1" applyFill="1" applyAlignment="1">
      <alignment horizontal="left"/>
    </xf>
    <xf numFmtId="14" fontId="13" fillId="8" borderId="0" xfId="0" applyNumberFormat="1" applyFont="1" applyFill="1" applyAlignment="1">
      <alignment horizontal="left"/>
    </xf>
    <xf numFmtId="0" fontId="3" fillId="0" borderId="5" xfId="0" applyFont="1" applyBorder="1" applyAlignment="1"/>
    <xf numFmtId="0" fontId="17" fillId="0" borderId="0" xfId="0" applyFont="1" applyAlignment="1"/>
    <xf numFmtId="0" fontId="17" fillId="0" borderId="0" xfId="0" applyFont="1" applyAlignment="1">
      <alignment horizontal="right"/>
    </xf>
    <xf numFmtId="14" fontId="17" fillId="0" borderId="0" xfId="0" applyNumberFormat="1" applyFont="1" applyAlignment="1">
      <alignment horizontal="right"/>
    </xf>
    <xf numFmtId="22" fontId="17" fillId="0" borderId="0" xfId="0" applyNumberFormat="1" applyFont="1" applyAlignment="1">
      <alignment horizontal="right"/>
    </xf>
    <xf numFmtId="0" fontId="17" fillId="0" borderId="0" xfId="0" applyFont="1" applyAlignment="1"/>
    <xf numFmtId="14" fontId="13" fillId="7" borderId="0" xfId="0" applyNumberFormat="1" applyFont="1" applyFill="1" applyAlignment="1">
      <alignment horizontal="left"/>
    </xf>
    <xf numFmtId="11" fontId="17" fillId="0" borderId="0" xfId="0" applyNumberFormat="1" applyFont="1" applyAlignment="1">
      <alignment horizontal="right"/>
    </xf>
    <xf numFmtId="0" fontId="17" fillId="0" borderId="0" xfId="0" applyFont="1" applyAlignment="1"/>
    <xf numFmtId="0" fontId="17" fillId="0" borderId="0" xfId="0" applyFont="1" applyAlignment="1">
      <alignment horizontal="right"/>
    </xf>
    <xf numFmtId="0" fontId="17" fillId="0" borderId="0" xfId="0" applyFont="1" applyAlignment="1"/>
    <xf numFmtId="164" fontId="17" fillId="0" borderId="0" xfId="0" applyNumberFormat="1" applyFont="1" applyAlignment="1"/>
    <xf numFmtId="4" fontId="17" fillId="0" borderId="0" xfId="0" applyNumberFormat="1" applyFont="1" applyAlignment="1">
      <alignment horizontal="right"/>
    </xf>
    <xf numFmtId="14" fontId="17" fillId="0" borderId="0" xfId="0" applyNumberFormat="1" applyFont="1" applyAlignment="1">
      <alignment horizontal="right"/>
    </xf>
    <xf numFmtId="22" fontId="17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78" t="s">
        <v>0</v>
      </c>
      <c r="B1" s="79"/>
      <c r="C1" s="79"/>
      <c r="D1" s="79"/>
      <c r="E1" s="79"/>
      <c r="F1" s="80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IFERROR(__xludf.DUMMYFUNCTION("""COMPUTED_VALUE"""),"EditUnallocatedGridWPF")</f>
        <v>EditUnallocatedGridWPF</v>
      </c>
      <c r="C431" t="str">
        <f ca="1">IFERROR(__xludf.DUMMYFUNCTION("""COMPUTED_VALUE"""),"1FoqMjsh7kSUAPZgAsBdK0Dgz6XaVskoGr37G773xRsI")</f>
        <v>1FoqMjsh7kSUAPZgAsBdK0Dgz6XaVskoGr37G773xRsI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IFERROR(__xludf.DUMMYFUNCTION("""COMPUTED_VALUE"""),"Allocation")</f>
        <v>Allocation</v>
      </c>
      <c r="B432" t="str">
        <f ca="1">IFERROR(__xludf.DUMMYFUNCTION("""COMPUTED_VALUE"""),"EditAllocatedGridWPF")</f>
        <v>EditAllocatedGridWPF</v>
      </c>
      <c r="C432" t="str">
        <f ca="1">IFERROR(__xludf.DUMMYFUNCTION("""COMPUTED_VALUE"""),"1JDZt3yDzGJYLwgfnrM-1JpkYjLh4xdqn3im1wNwUiWg")</f>
        <v>1JDZt3yDzGJYLwgfnrM-1JpkYjLh4xdqn3im1wNwUiWg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81" t="s">
        <v>2</v>
      </c>
      <c r="B1" s="79"/>
      <c r="C1" s="80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78" t="s">
        <v>7</v>
      </c>
      <c r="B1" s="79"/>
      <c r="C1" s="79"/>
      <c r="D1" s="79"/>
      <c r="E1" s="79"/>
      <c r="F1" s="80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43875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IFERROR(__xludf.DUMMYFUNCTION("""COMPUTED_VALUE"""),"Account Side")</f>
        <v>Account Side</v>
      </c>
      <c r="H5" s="22" t="str">
        <f ca="1">IFERROR(__xludf.DUMMYFUNCTION("""COMPUTED_VALUE"""),"DR")</f>
        <v>DR</v>
      </c>
      <c r="I5" s="22" t="str">
        <f ca="1">IFERROR(__xludf.DUMMYFUNCTION("""COMPUTED_VALUE"""),"CR")</f>
        <v>CR</v>
      </c>
      <c r="J5" s="22" t="str">
        <f ca="1">IFERROR(__xludf.DUMMYFUNCTION("""COMPUTED_VALUE"""),"Fx Rate")</f>
        <v>Fx Rate</v>
      </c>
      <c r="K5" s="22" t="str">
        <f ca="1">IFERROR(__xludf.DUMMYFUNCTION("""COMPUTED_VALUE"""),"FX Conversion Method Operator")</f>
        <v>FX Conversion Method Operator</v>
      </c>
      <c r="L5" s="22" t="str">
        <f ca="1">IFERROR(__xludf.DUMMYFUNCTION("""COMPUTED_VALUE"""),"Description")</f>
        <v>Description</v>
      </c>
      <c r="M5" s="22" t="str">
        <f ca="1">IFERROR(__xludf.DUMMYFUNCTION("""COMPUTED_VALUE"""),"Modify Date")</f>
        <v>Modify Date</v>
      </c>
      <c r="N5" s="22" t="str">
        <f ca="1">IFERROR(__xludf.DUMMYFUNCTION("""COMPUTED_VALUE"""),"Entry Date")</f>
        <v>Entry Date</v>
      </c>
      <c r="O5" s="22" t="str">
        <f ca="1">IFERROR(__xludf.DUMMYFUNCTION("""COMPUTED_VALUE"""),"User")</f>
        <v>User</v>
      </c>
      <c r="P5" s="22" t="str">
        <f ca="1">IFERROR(__xludf.DUMMYFUNCTION("""COMPUTED_VALUE"""),"TransactionSource")</f>
        <v>TransactionSource</v>
      </c>
      <c r="Q5" s="22" t="str">
        <f ca="1">IFERROR(__xludf.DUMMYFUNCTION("""COMPUTED_VALUE"""),"Base Currency")</f>
        <v>Base Currency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8">
        <v>43871</v>
      </c>
      <c r="C6" s="27" t="s">
        <v>18</v>
      </c>
      <c r="D6" s="26"/>
      <c r="E6" s="27" t="s">
        <v>19</v>
      </c>
      <c r="F6" s="27" t="s">
        <v>20</v>
      </c>
      <c r="G6" s="27"/>
      <c r="H6" s="30">
        <v>500000</v>
      </c>
      <c r="I6" s="27"/>
      <c r="J6" s="30">
        <v>1</v>
      </c>
      <c r="K6" s="27" t="s">
        <v>21</v>
      </c>
      <c r="L6" s="27"/>
      <c r="M6" s="27"/>
      <c r="N6" s="27"/>
      <c r="O6" s="27"/>
      <c r="P6" s="27"/>
      <c r="Q6" s="27"/>
      <c r="R6" s="30">
        <v>500000</v>
      </c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31">
        <v>43871</v>
      </c>
      <c r="C7" s="29" t="s">
        <v>18</v>
      </c>
      <c r="D7" s="27"/>
      <c r="E7" s="27" t="s">
        <v>19</v>
      </c>
      <c r="F7" s="32" t="s">
        <v>22</v>
      </c>
      <c r="G7" s="29"/>
      <c r="H7" s="29"/>
      <c r="I7" s="33">
        <v>500000</v>
      </c>
      <c r="J7" s="33">
        <v>1</v>
      </c>
      <c r="K7" s="29" t="s">
        <v>21</v>
      </c>
      <c r="L7" s="29"/>
      <c r="M7" s="29"/>
      <c r="N7" s="29"/>
      <c r="O7" s="29"/>
      <c r="P7" s="29"/>
      <c r="Q7" s="29"/>
      <c r="R7" s="29"/>
      <c r="S7" s="33">
        <v>500000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IFERROR(__xludf.DUMMYFUNCTION("""COMPUTED_VALUE"""),"Account Side")</f>
        <v>Account Side</v>
      </c>
      <c r="H5" s="22" t="str">
        <f ca="1">IFERROR(__xludf.DUMMYFUNCTION("""COMPUTED_VALUE"""),"DR")</f>
        <v>DR</v>
      </c>
      <c r="I5" s="22" t="str">
        <f ca="1">IFERROR(__xludf.DUMMYFUNCTION("""COMPUTED_VALUE"""),"CR")</f>
        <v>CR</v>
      </c>
      <c r="J5" s="22" t="str">
        <f ca="1">IFERROR(__xludf.DUMMYFUNCTION("""COMPUTED_VALUE"""),"Fx Rate")</f>
        <v>Fx Rate</v>
      </c>
      <c r="K5" s="22" t="str">
        <f ca="1">IFERROR(__xludf.DUMMYFUNCTION("""COMPUTED_VALUE"""),"FX Conversion Method Operator")</f>
        <v>FX Conversion Method Operator</v>
      </c>
      <c r="L5" s="22" t="str">
        <f ca="1">IFERROR(__xludf.DUMMYFUNCTION("""COMPUTED_VALUE"""),"Description")</f>
        <v>Description</v>
      </c>
      <c r="M5" s="22" t="str">
        <f ca="1">IFERROR(__xludf.DUMMYFUNCTION("""COMPUTED_VALUE"""),"Modify Date")</f>
        <v>Modify Date</v>
      </c>
      <c r="N5" s="22" t="str">
        <f ca="1">IFERROR(__xludf.DUMMYFUNCTION("""COMPUTED_VALUE"""),"Entry Date")</f>
        <v>Entry Date</v>
      </c>
      <c r="O5" s="22" t="str">
        <f ca="1">IFERROR(__xludf.DUMMYFUNCTION("""COMPUTED_VALUE"""),"User")</f>
        <v>User</v>
      </c>
      <c r="P5" s="22" t="str">
        <f ca="1">IFERROR(__xludf.DUMMYFUNCTION("""COMPUTED_VALUE"""),"TransactionSource")</f>
        <v>TransactionSource</v>
      </c>
      <c r="Q5" s="22" t="str">
        <f ca="1">IFERROR(__xludf.DUMMYFUNCTION("""COMPUTED_VALUE"""),"Base Currency")</f>
        <v>Base Currency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8">
        <v>43871</v>
      </c>
      <c r="C6" s="27" t="s">
        <v>23</v>
      </c>
      <c r="D6" s="26"/>
      <c r="E6" s="27" t="s">
        <v>19</v>
      </c>
      <c r="F6" s="27" t="s">
        <v>20</v>
      </c>
      <c r="G6" s="27"/>
      <c r="H6" s="30">
        <v>500000</v>
      </c>
      <c r="I6" s="27"/>
      <c r="J6" s="30">
        <v>1</v>
      </c>
      <c r="K6" s="27" t="s">
        <v>21</v>
      </c>
      <c r="L6" s="27"/>
      <c r="M6" s="27"/>
      <c r="N6" s="27"/>
      <c r="O6" s="27"/>
      <c r="P6" s="27"/>
      <c r="Q6" s="27"/>
      <c r="R6" s="30">
        <v>500000</v>
      </c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31">
        <v>43871</v>
      </c>
      <c r="C7" s="29" t="s">
        <v>23</v>
      </c>
      <c r="D7" s="27"/>
      <c r="E7" s="27" t="s">
        <v>19</v>
      </c>
      <c r="F7" s="32" t="s">
        <v>22</v>
      </c>
      <c r="G7" s="29"/>
      <c r="H7" s="29"/>
      <c r="I7" s="33">
        <v>500000</v>
      </c>
      <c r="J7" s="33">
        <v>1</v>
      </c>
      <c r="K7" s="29" t="s">
        <v>21</v>
      </c>
      <c r="L7" s="29"/>
      <c r="M7" s="29"/>
      <c r="N7" s="29"/>
      <c r="O7" s="29"/>
      <c r="P7" s="29"/>
      <c r="Q7" s="29"/>
      <c r="R7" s="29"/>
      <c r="S7" s="33">
        <v>500000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26</v>
      </c>
      <c r="C6" s="27" t="s">
        <v>27</v>
      </c>
      <c r="D6" s="34">
        <v>105</v>
      </c>
      <c r="E6" s="30">
        <v>105</v>
      </c>
      <c r="F6" s="27"/>
      <c r="G6" s="27" t="s">
        <v>28</v>
      </c>
      <c r="H6" s="27"/>
      <c r="I6" s="27"/>
      <c r="J6" s="30">
        <v>70</v>
      </c>
      <c r="K6" s="27"/>
      <c r="L6" s="27"/>
      <c r="M6" s="27"/>
      <c r="N6" s="28">
        <v>43871</v>
      </c>
      <c r="O6" s="35">
        <v>1.1000000000000001</v>
      </c>
      <c r="P6" s="27"/>
      <c r="Q6" s="27"/>
      <c r="R6" s="27" t="s">
        <v>29</v>
      </c>
      <c r="S6" s="35">
        <v>2.5</v>
      </c>
      <c r="T6" s="29" t="s">
        <v>29</v>
      </c>
      <c r="U6" s="36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 t="s">
        <v>30</v>
      </c>
      <c r="AG6" s="29"/>
      <c r="AH6" s="29"/>
      <c r="AI6" s="29"/>
      <c r="AJ6" s="29"/>
      <c r="AK6" s="29" t="s">
        <v>16</v>
      </c>
      <c r="AL6" s="29" t="s">
        <v>31</v>
      </c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Date")</f>
        <v>Copy Date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8">
        <v>43871</v>
      </c>
      <c r="C6" s="28">
        <v>43871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IFERROR(__xludf.DUMMYFUNCTION("""COMPUTED_VALUE"""),"From Currency")</f>
        <v>From Currency</v>
      </c>
      <c r="C5" s="22" t="str">
        <f ca="1">IFERROR(__xludf.DUMMYFUNCTION("""COMPUTED_VALUE"""),"To Currency")</f>
        <v>To Currency</v>
      </c>
      <c r="D5" s="22" t="str">
        <f ca="1">IFERROR(__xludf.DUMMYFUNCTION("""COMPUTED_VALUE"""),"Symbol")</f>
        <v>Symbol</v>
      </c>
      <c r="E5" s="22" t="str">
        <f ca="1">IFERROR(__xludf.DUMMYFUNCTION("""COMPUTED_VALUE"""),"Price")</f>
        <v>Price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26" t="s">
        <v>30</v>
      </c>
      <c r="C6" s="27" t="s">
        <v>19</v>
      </c>
      <c r="D6" s="26"/>
      <c r="E6" s="30">
        <v>1.5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28">
        <v>43871</v>
      </c>
      <c r="C6" s="28">
        <v>43871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26</v>
      </c>
      <c r="C6" s="30">
        <v>75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26"/>
      <c r="C6" s="27" t="s">
        <v>16</v>
      </c>
      <c r="D6" s="28">
        <v>43871</v>
      </c>
      <c r="E6" s="28">
        <v>43871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IFERROR(__xludf.DUMMYFUNCTION("""COMPUTED_VALUE"""),"Balances as on date")</f>
        <v>Balances as on date</v>
      </c>
      <c r="E5" s="22" t="str">
        <f ca="1">IFERROR(__xludf.DUMMYFUNCTION("""COMPUTED_VALUE"""),"IsRunRevalOnGetAccountBalances")</f>
        <v>IsRunRevalOnGetAccountBalances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26"/>
      <c r="C6" s="27" t="s">
        <v>16</v>
      </c>
      <c r="D6" s="28">
        <v>43871</v>
      </c>
      <c r="E6" s="37" t="b">
        <v>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26</v>
      </c>
      <c r="C6" s="27" t="s">
        <v>27</v>
      </c>
      <c r="D6" s="34">
        <v>105</v>
      </c>
      <c r="E6" s="30">
        <v>105</v>
      </c>
      <c r="F6" s="27"/>
      <c r="G6" s="27" t="s">
        <v>28</v>
      </c>
      <c r="H6" s="27"/>
      <c r="I6" s="27"/>
      <c r="J6" s="30">
        <v>70</v>
      </c>
      <c r="K6" s="27"/>
      <c r="L6" s="27"/>
      <c r="M6" s="27"/>
      <c r="N6" s="28">
        <v>43872</v>
      </c>
      <c r="O6" s="35">
        <v>1.1000000000000001</v>
      </c>
      <c r="P6" s="27"/>
      <c r="Q6" s="27"/>
      <c r="R6" s="27" t="s">
        <v>29</v>
      </c>
      <c r="S6" s="35">
        <v>2.5</v>
      </c>
      <c r="T6" s="29" t="s">
        <v>29</v>
      </c>
      <c r="U6" s="36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 t="s">
        <v>30</v>
      </c>
      <c r="AG6" s="29"/>
      <c r="AH6" s="29"/>
      <c r="AI6" s="29"/>
      <c r="AJ6" s="29"/>
      <c r="AK6" s="29" t="s">
        <v>16</v>
      </c>
      <c r="AL6" s="29" t="s">
        <v>31</v>
      </c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7"/>
      <c r="B7" s="27" t="s">
        <v>39</v>
      </c>
      <c r="C7" s="27" t="s">
        <v>27</v>
      </c>
      <c r="D7" s="30">
        <v>105</v>
      </c>
      <c r="E7" s="30">
        <v>105</v>
      </c>
      <c r="F7" s="27"/>
      <c r="G7" s="27" t="s">
        <v>28</v>
      </c>
      <c r="H7" s="27"/>
      <c r="I7" s="27"/>
      <c r="J7" s="30">
        <v>55</v>
      </c>
      <c r="K7" s="27"/>
      <c r="L7" s="27"/>
      <c r="M7" s="27"/>
      <c r="N7" s="28">
        <v>43872</v>
      </c>
      <c r="O7" s="35">
        <v>1.1000000000000001</v>
      </c>
      <c r="P7" s="27"/>
      <c r="Q7" s="27"/>
      <c r="R7" s="27" t="s">
        <v>29</v>
      </c>
      <c r="S7" s="35">
        <v>2.5</v>
      </c>
      <c r="T7" s="29" t="s">
        <v>29</v>
      </c>
      <c r="U7" s="36">
        <v>7.5</v>
      </c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 t="s">
        <v>30</v>
      </c>
      <c r="AG7" s="29"/>
      <c r="AH7" s="29"/>
      <c r="AI7" s="29"/>
      <c r="AJ7" s="29"/>
      <c r="AK7" s="29" t="s">
        <v>16</v>
      </c>
      <c r="AL7" s="29" t="s">
        <v>31</v>
      </c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27"/>
      <c r="B8" s="27" t="s">
        <v>26</v>
      </c>
      <c r="C8" s="27" t="s">
        <v>40</v>
      </c>
      <c r="D8" s="30">
        <v>55</v>
      </c>
      <c r="E8" s="30">
        <v>55</v>
      </c>
      <c r="F8" s="27"/>
      <c r="G8" s="27" t="s">
        <v>28</v>
      </c>
      <c r="H8" s="27"/>
      <c r="I8" s="27"/>
      <c r="J8" s="30">
        <v>70</v>
      </c>
      <c r="K8" s="27"/>
      <c r="L8" s="27"/>
      <c r="M8" s="27"/>
      <c r="N8" s="28">
        <v>43872</v>
      </c>
      <c r="O8" s="35">
        <v>1.1000000000000001</v>
      </c>
      <c r="P8" s="27"/>
      <c r="Q8" s="27"/>
      <c r="R8" s="27"/>
      <c r="S8" s="35"/>
      <c r="T8" s="29"/>
      <c r="U8" s="36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 t="s">
        <v>30</v>
      </c>
      <c r="AG8" s="29"/>
      <c r="AH8" s="29"/>
      <c r="AI8" s="29"/>
      <c r="AJ8" s="29"/>
      <c r="AK8" s="29" t="s">
        <v>16</v>
      </c>
      <c r="AL8" s="29" t="s">
        <v>31</v>
      </c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43</v>
      </c>
      <c r="C6" s="28">
        <v>43871</v>
      </c>
      <c r="D6" s="28">
        <v>43872</v>
      </c>
      <c r="E6" s="32" t="s">
        <v>16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38" t="b">
        <v>0</v>
      </c>
      <c r="C6" s="37" t="b">
        <v>0</v>
      </c>
      <c r="D6" s="39" t="s">
        <v>45</v>
      </c>
      <c r="E6" s="40" t="s">
        <v>46</v>
      </c>
      <c r="F6" s="40" t="s">
        <v>47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Date")</f>
        <v>Copy Date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28">
        <v>43872</v>
      </c>
      <c r="C6" s="28">
        <v>43872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IFERROR(__xludf.DUMMYFUNCTION("""COMPUTED_VALUE"""),"From Currency")</f>
        <v>From Currency</v>
      </c>
      <c r="C5" s="22" t="str">
        <f ca="1">IFERROR(__xludf.DUMMYFUNCTION("""COMPUTED_VALUE"""),"To Currency")</f>
        <v>To Currency</v>
      </c>
      <c r="D5" s="22" t="str">
        <f ca="1">IFERROR(__xludf.DUMMYFUNCTION("""COMPUTED_VALUE"""),"Symbol")</f>
        <v>Symbol</v>
      </c>
      <c r="E5" s="22" t="str">
        <f ca="1">IFERROR(__xludf.DUMMYFUNCTION("""COMPUTED_VALUE"""),"Price")</f>
        <v>Price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39" t="s">
        <v>30</v>
      </c>
      <c r="C6" s="40" t="s">
        <v>19</v>
      </c>
      <c r="D6" s="39"/>
      <c r="E6" s="30">
        <v>2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28">
        <v>43872</v>
      </c>
      <c r="C6" s="28">
        <v>43872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26" t="s">
        <v>26</v>
      </c>
      <c r="C6" s="30">
        <v>80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41" t="s">
        <v>39</v>
      </c>
      <c r="C7" s="33">
        <v>60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43872</v>
      </c>
      <c r="E6" s="28">
        <v>43872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IFERROR(__xludf.DUMMYFUNCTION("""COMPUTED_VALUE"""),"Balances as on date")</f>
        <v>Balances as on date</v>
      </c>
      <c r="E5" s="22" t="str">
        <f ca="1">IFERROR(__xludf.DUMMYFUNCTION("""COMPUTED_VALUE"""),"IsRunRevalOnGetAccountBalances")</f>
        <v>IsRunRevalOnGetAccountBalances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43872</v>
      </c>
      <c r="E6" s="37" t="b">
        <v>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43872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6" width="35" customWidth="1"/>
    <col min="7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IFERROR(__xludf.DUMMYFUNCTION("""COMPUTED_VALUE"""),"DR")</f>
        <v>DR</v>
      </c>
      <c r="H5" s="22" t="str">
        <f ca="1">IFERROR(__xludf.DUMMYFUNCTION("""COMPUTED_VALUE"""),"CR")</f>
        <v>CR</v>
      </c>
      <c r="I5" s="22" t="str">
        <f ca="1">IFERROR(__xludf.DUMMYFUNCTION("""COMPUTED_VALUE"""),"Modify Date")</f>
        <v>Modify Date</v>
      </c>
      <c r="J5" s="22" t="str">
        <f ca="1">IFERROR(__xludf.DUMMYFUNCTION("""COMPUTED_VALUE"""),"Entry Date")</f>
        <v>Entry Date</v>
      </c>
      <c r="K5" s="22" t="str">
        <f ca="1">IFERROR(__xludf.DUMMYFUNCTION("""COMPUTED_VALUE"""),"User")</f>
        <v>User</v>
      </c>
      <c r="L5" s="22" t="str">
        <f ca="1">IFERROR(__xludf.DUMMYFUNCTION("""COMPUTED_VALUE"""),"Fx Rate")</f>
        <v>Fx Rate</v>
      </c>
      <c r="M5" s="22" t="str">
        <f ca="1">IFERROR(__xludf.DUMMYFUNCTION("""COMPUTED_VALUE"""),"FX Conversion Method Operator")</f>
        <v>FX Conversion Method Operator</v>
      </c>
      <c r="N5" s="22" t="str">
        <f ca="1">IFERROR(__xludf.DUMMYFUNCTION("""COMPUTED_VALUE"""),"Account Side")</f>
        <v>Account Side</v>
      </c>
      <c r="O5" s="22" t="str">
        <f ca="1">IFERROR(__xludf.DUMMYFUNCTION("""COMPUTED_VALUE"""),"TransactionSource")</f>
        <v>TransactionSource</v>
      </c>
      <c r="P5" s="22" t="str">
        <f ca="1">IFERROR(__xludf.DUMMYFUNCTION("""COMPUTED_VALUE"""),"Base Currency")</f>
        <v>Base Currency</v>
      </c>
      <c r="Q5" s="22" t="str">
        <f ca="1">IFERROR(__xludf.DUMMYFUNCTION("""COMPUTED_VALUE"""),"Description")</f>
        <v>Description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42">
        <v>43871</v>
      </c>
      <c r="C6" s="43" t="s">
        <v>23</v>
      </c>
      <c r="D6" s="43" t="s">
        <v>26</v>
      </c>
      <c r="E6" s="43" t="s">
        <v>30</v>
      </c>
      <c r="F6" s="43" t="s">
        <v>50</v>
      </c>
      <c r="G6" s="44">
        <v>270.05</v>
      </c>
      <c r="H6" s="45">
        <v>0</v>
      </c>
      <c r="I6" s="46"/>
      <c r="J6" s="46"/>
      <c r="K6" s="43"/>
      <c r="L6" s="44">
        <v>1.5</v>
      </c>
      <c r="M6" s="43" t="s">
        <v>21</v>
      </c>
      <c r="N6" s="43" t="s">
        <v>51</v>
      </c>
      <c r="O6" s="43" t="s">
        <v>52</v>
      </c>
      <c r="P6" s="43" t="s">
        <v>19</v>
      </c>
      <c r="Q6" s="43" t="s">
        <v>53</v>
      </c>
      <c r="R6" s="44">
        <v>405.07499999999999</v>
      </c>
      <c r="S6" s="44">
        <v>0</v>
      </c>
    </row>
    <row r="7" spans="1:154" ht="15.75" customHeight="1" x14ac:dyDescent="0.2">
      <c r="A7" s="5"/>
      <c r="B7" s="42">
        <v>43871</v>
      </c>
      <c r="C7" s="43" t="s">
        <v>23</v>
      </c>
      <c r="D7" s="43" t="s">
        <v>26</v>
      </c>
      <c r="E7" s="43" t="s">
        <v>30</v>
      </c>
      <c r="F7" s="47" t="s">
        <v>54</v>
      </c>
      <c r="G7" s="48">
        <v>0</v>
      </c>
      <c r="H7" s="49">
        <v>270.05</v>
      </c>
      <c r="I7" s="50"/>
      <c r="J7" s="50"/>
      <c r="K7" s="47"/>
      <c r="L7" s="49">
        <v>1.5</v>
      </c>
      <c r="M7" s="47" t="s">
        <v>21</v>
      </c>
      <c r="N7" s="47" t="s">
        <v>55</v>
      </c>
      <c r="O7" s="47" t="s">
        <v>52</v>
      </c>
      <c r="P7" s="47" t="s">
        <v>19</v>
      </c>
      <c r="Q7" s="43" t="s">
        <v>53</v>
      </c>
      <c r="R7" s="49">
        <v>0</v>
      </c>
      <c r="S7" s="49">
        <v>405.07499999999999</v>
      </c>
    </row>
    <row r="8" spans="1:154" ht="15.75" customHeight="1" x14ac:dyDescent="0.2">
      <c r="A8" s="5"/>
      <c r="B8" s="42">
        <v>43871</v>
      </c>
      <c r="C8" s="43" t="s">
        <v>23</v>
      </c>
      <c r="D8" s="43" t="s">
        <v>30</v>
      </c>
      <c r="E8" s="43" t="s">
        <v>19</v>
      </c>
      <c r="F8" s="43" t="s">
        <v>50</v>
      </c>
      <c r="G8" s="44">
        <v>1481.98</v>
      </c>
      <c r="H8" s="45">
        <v>0</v>
      </c>
      <c r="I8" s="46"/>
      <c r="J8" s="46"/>
      <c r="K8" s="43"/>
      <c r="L8" s="44">
        <v>1</v>
      </c>
      <c r="M8" s="43" t="s">
        <v>21</v>
      </c>
      <c r="N8" s="43" t="s">
        <v>51</v>
      </c>
      <c r="O8" s="43" t="s">
        <v>52</v>
      </c>
      <c r="P8" s="43" t="s">
        <v>19</v>
      </c>
      <c r="Q8" s="43" t="s">
        <v>53</v>
      </c>
      <c r="R8" s="44">
        <v>1481.98</v>
      </c>
      <c r="S8" s="44">
        <v>0</v>
      </c>
    </row>
    <row r="9" spans="1:154" ht="15.75" customHeight="1" x14ac:dyDescent="0.2">
      <c r="A9" s="5"/>
      <c r="B9" s="42">
        <v>43871</v>
      </c>
      <c r="C9" s="43" t="s">
        <v>23</v>
      </c>
      <c r="D9" s="43" t="s">
        <v>30</v>
      </c>
      <c r="E9" s="43" t="s">
        <v>19</v>
      </c>
      <c r="F9" s="47" t="s">
        <v>54</v>
      </c>
      <c r="G9" s="48">
        <v>0</v>
      </c>
      <c r="H9" s="49">
        <v>1481.98</v>
      </c>
      <c r="I9" s="50"/>
      <c r="J9" s="50"/>
      <c r="K9" s="47"/>
      <c r="L9" s="49">
        <v>1</v>
      </c>
      <c r="M9" s="47" t="s">
        <v>21</v>
      </c>
      <c r="N9" s="47" t="s">
        <v>55</v>
      </c>
      <c r="O9" s="47" t="s">
        <v>52</v>
      </c>
      <c r="P9" s="47" t="s">
        <v>19</v>
      </c>
      <c r="Q9" s="43" t="s">
        <v>53</v>
      </c>
      <c r="R9" s="49">
        <v>0</v>
      </c>
      <c r="S9" s="49">
        <v>1481.98</v>
      </c>
    </row>
    <row r="10" spans="1:154" ht="15.75" customHeight="1" x14ac:dyDescent="0.2">
      <c r="A10" s="5"/>
      <c r="B10" s="42">
        <v>43872</v>
      </c>
      <c r="C10" s="43" t="s">
        <v>23</v>
      </c>
      <c r="D10" s="43" t="s">
        <v>26</v>
      </c>
      <c r="E10" s="43" t="s">
        <v>30</v>
      </c>
      <c r="F10" s="43" t="s">
        <v>56</v>
      </c>
      <c r="G10" s="44">
        <v>2.67</v>
      </c>
      <c r="H10" s="45">
        <v>0</v>
      </c>
      <c r="I10" s="46"/>
      <c r="J10" s="46"/>
      <c r="K10" s="43"/>
      <c r="L10" s="44">
        <v>1.1000000000000001</v>
      </c>
      <c r="M10" s="43" t="s">
        <v>21</v>
      </c>
      <c r="N10" s="43" t="s">
        <v>51</v>
      </c>
      <c r="O10" s="43" t="s">
        <v>52</v>
      </c>
      <c r="P10" s="43" t="s">
        <v>19</v>
      </c>
      <c r="Q10" s="43" t="s">
        <v>57</v>
      </c>
      <c r="R10" s="44">
        <v>2.9369999999999998</v>
      </c>
      <c r="S10" s="44">
        <v>0</v>
      </c>
    </row>
    <row r="11" spans="1:154" ht="15.75" customHeight="1" x14ac:dyDescent="0.2">
      <c r="A11" s="5"/>
      <c r="B11" s="42">
        <v>43872</v>
      </c>
      <c r="C11" s="43" t="s">
        <v>23</v>
      </c>
      <c r="D11" s="43" t="s">
        <v>26</v>
      </c>
      <c r="E11" s="43" t="s">
        <v>30</v>
      </c>
      <c r="F11" s="47" t="s">
        <v>58</v>
      </c>
      <c r="G11" s="48">
        <v>0</v>
      </c>
      <c r="H11" s="49">
        <v>2.67</v>
      </c>
      <c r="I11" s="50"/>
      <c r="J11" s="50"/>
      <c r="K11" s="47"/>
      <c r="L11" s="49">
        <v>1.1000000000000001</v>
      </c>
      <c r="M11" s="47" t="s">
        <v>21</v>
      </c>
      <c r="N11" s="47" t="s">
        <v>55</v>
      </c>
      <c r="O11" s="47" t="s">
        <v>52</v>
      </c>
      <c r="P11" s="47" t="s">
        <v>19</v>
      </c>
      <c r="Q11" s="43" t="s">
        <v>57</v>
      </c>
      <c r="R11" s="49">
        <v>0</v>
      </c>
      <c r="S11" s="49">
        <v>2.9369999999999998</v>
      </c>
    </row>
    <row r="12" spans="1:154" ht="15.75" customHeight="1" x14ac:dyDescent="0.2">
      <c r="A12" s="5"/>
      <c r="B12" s="42">
        <v>43872</v>
      </c>
      <c r="C12" s="43" t="s">
        <v>23</v>
      </c>
      <c r="D12" s="43" t="s">
        <v>26</v>
      </c>
      <c r="E12" s="43" t="s">
        <v>30</v>
      </c>
      <c r="F12" s="43" t="s">
        <v>50</v>
      </c>
      <c r="G12" s="44">
        <v>787.43</v>
      </c>
      <c r="H12" s="45">
        <v>0</v>
      </c>
      <c r="I12" s="46"/>
      <c r="J12" s="46"/>
      <c r="K12" s="43"/>
      <c r="L12" s="44">
        <v>2</v>
      </c>
      <c r="M12" s="43" t="s">
        <v>21</v>
      </c>
      <c r="N12" s="43" t="s">
        <v>51</v>
      </c>
      <c r="O12" s="43" t="s">
        <v>52</v>
      </c>
      <c r="P12" s="43" t="s">
        <v>19</v>
      </c>
      <c r="Q12" s="43" t="s">
        <v>53</v>
      </c>
      <c r="R12" s="44">
        <v>1574.86</v>
      </c>
      <c r="S12" s="44">
        <v>0</v>
      </c>
    </row>
    <row r="13" spans="1:154" ht="15.75" customHeight="1" x14ac:dyDescent="0.2">
      <c r="A13" s="5"/>
      <c r="B13" s="42">
        <v>43872</v>
      </c>
      <c r="C13" s="43" t="s">
        <v>23</v>
      </c>
      <c r="D13" s="43" t="s">
        <v>26</v>
      </c>
      <c r="E13" s="43" t="s">
        <v>30</v>
      </c>
      <c r="F13" s="47" t="s">
        <v>54</v>
      </c>
      <c r="G13" s="48">
        <v>0</v>
      </c>
      <c r="H13" s="49">
        <v>787.43</v>
      </c>
      <c r="I13" s="50"/>
      <c r="J13" s="50"/>
      <c r="K13" s="47"/>
      <c r="L13" s="49">
        <v>2</v>
      </c>
      <c r="M13" s="47" t="s">
        <v>21</v>
      </c>
      <c r="N13" s="47" t="s">
        <v>55</v>
      </c>
      <c r="O13" s="47" t="s">
        <v>52</v>
      </c>
      <c r="P13" s="47" t="s">
        <v>19</v>
      </c>
      <c r="Q13" s="43" t="s">
        <v>53</v>
      </c>
      <c r="R13" s="49">
        <v>0</v>
      </c>
      <c r="S13" s="49">
        <v>1574.86</v>
      </c>
    </row>
    <row r="14" spans="1:154" ht="15.75" customHeight="1" x14ac:dyDescent="0.2">
      <c r="A14" s="5"/>
      <c r="B14" s="42">
        <v>43872</v>
      </c>
      <c r="C14" s="43" t="s">
        <v>23</v>
      </c>
      <c r="D14" s="43" t="s">
        <v>30</v>
      </c>
      <c r="E14" s="43" t="s">
        <v>19</v>
      </c>
      <c r="F14" s="43" t="s">
        <v>50</v>
      </c>
      <c r="G14" s="44">
        <v>7526.26</v>
      </c>
      <c r="H14" s="45">
        <v>0</v>
      </c>
      <c r="I14" s="46"/>
      <c r="J14" s="46"/>
      <c r="K14" s="43"/>
      <c r="L14" s="44">
        <v>1</v>
      </c>
      <c r="M14" s="43" t="s">
        <v>21</v>
      </c>
      <c r="N14" s="43" t="s">
        <v>51</v>
      </c>
      <c r="O14" s="43" t="s">
        <v>52</v>
      </c>
      <c r="P14" s="43" t="s">
        <v>19</v>
      </c>
      <c r="Q14" s="43" t="s">
        <v>53</v>
      </c>
      <c r="R14" s="44">
        <v>7526.26</v>
      </c>
      <c r="S14" s="44">
        <v>0</v>
      </c>
    </row>
    <row r="15" spans="1:154" ht="15.75" customHeight="1" x14ac:dyDescent="0.2">
      <c r="A15" s="5"/>
      <c r="B15" s="42">
        <v>43872</v>
      </c>
      <c r="C15" s="43" t="s">
        <v>23</v>
      </c>
      <c r="D15" s="43" t="s">
        <v>30</v>
      </c>
      <c r="E15" s="43" t="s">
        <v>19</v>
      </c>
      <c r="F15" s="47" t="s">
        <v>54</v>
      </c>
      <c r="G15" s="48">
        <v>0</v>
      </c>
      <c r="H15" s="49">
        <v>7526.26</v>
      </c>
      <c r="I15" s="50"/>
      <c r="J15" s="50"/>
      <c r="K15" s="47"/>
      <c r="L15" s="49">
        <v>1</v>
      </c>
      <c r="M15" s="47" t="s">
        <v>21</v>
      </c>
      <c r="N15" s="47" t="s">
        <v>55</v>
      </c>
      <c r="O15" s="47" t="s">
        <v>52</v>
      </c>
      <c r="P15" s="47" t="s">
        <v>19</v>
      </c>
      <c r="Q15" s="43" t="s">
        <v>53</v>
      </c>
      <c r="R15" s="49">
        <v>0</v>
      </c>
      <c r="S15" s="49">
        <v>7526.26</v>
      </c>
    </row>
    <row r="16" spans="1:154" ht="15.75" customHeight="1" x14ac:dyDescent="0.2">
      <c r="A16" s="5"/>
      <c r="B16" s="42">
        <v>43872</v>
      </c>
      <c r="C16" s="43" t="s">
        <v>23</v>
      </c>
      <c r="D16" s="43" t="s">
        <v>39</v>
      </c>
      <c r="E16" s="43" t="s">
        <v>30</v>
      </c>
      <c r="F16" s="43" t="s">
        <v>50</v>
      </c>
      <c r="G16" s="44">
        <v>270.05</v>
      </c>
      <c r="H16" s="45">
        <v>0</v>
      </c>
      <c r="I16" s="46"/>
      <c r="J16" s="46"/>
      <c r="K16" s="43"/>
      <c r="L16" s="44">
        <v>2</v>
      </c>
      <c r="M16" s="43" t="s">
        <v>21</v>
      </c>
      <c r="N16" s="43" t="s">
        <v>51</v>
      </c>
      <c r="O16" s="43" t="s">
        <v>52</v>
      </c>
      <c r="P16" s="43" t="s">
        <v>19</v>
      </c>
      <c r="Q16" s="43" t="s">
        <v>53</v>
      </c>
      <c r="R16" s="44">
        <v>540.1</v>
      </c>
      <c r="S16" s="44">
        <v>0</v>
      </c>
    </row>
    <row r="17" spans="1:19" ht="15.75" customHeight="1" x14ac:dyDescent="0.2">
      <c r="A17" s="5"/>
      <c r="B17" s="42">
        <v>43872</v>
      </c>
      <c r="C17" s="43" t="s">
        <v>23</v>
      </c>
      <c r="D17" s="43" t="s">
        <v>39</v>
      </c>
      <c r="E17" s="43" t="s">
        <v>30</v>
      </c>
      <c r="F17" s="47" t="s">
        <v>54</v>
      </c>
      <c r="G17" s="48">
        <v>0</v>
      </c>
      <c r="H17" s="49">
        <v>270.05</v>
      </c>
      <c r="I17" s="50"/>
      <c r="J17" s="50"/>
      <c r="K17" s="47"/>
      <c r="L17" s="49">
        <v>2</v>
      </c>
      <c r="M17" s="47" t="s">
        <v>21</v>
      </c>
      <c r="N17" s="47" t="s">
        <v>55</v>
      </c>
      <c r="O17" s="47" t="s">
        <v>52</v>
      </c>
      <c r="P17" s="47" t="s">
        <v>19</v>
      </c>
      <c r="Q17" s="43" t="s">
        <v>53</v>
      </c>
      <c r="R17" s="49">
        <v>0</v>
      </c>
      <c r="S17" s="49">
        <v>540.1</v>
      </c>
    </row>
    <row r="18" spans="1:19" ht="15.75" customHeight="1" x14ac:dyDescent="0.2">
      <c r="A18" s="5"/>
      <c r="B18" s="42">
        <v>43872</v>
      </c>
      <c r="C18" s="43" t="s">
        <v>23</v>
      </c>
      <c r="D18" s="43" t="s">
        <v>26</v>
      </c>
      <c r="E18" s="43" t="s">
        <v>30</v>
      </c>
      <c r="F18" s="43" t="s">
        <v>54</v>
      </c>
      <c r="G18" s="44">
        <v>270.05</v>
      </c>
      <c r="H18" s="45">
        <v>0</v>
      </c>
      <c r="I18" s="46"/>
      <c r="J18" s="46"/>
      <c r="K18" s="43"/>
      <c r="L18" s="44">
        <v>1.5</v>
      </c>
      <c r="M18" s="43" t="s">
        <v>21</v>
      </c>
      <c r="N18" s="43" t="s">
        <v>51</v>
      </c>
      <c r="O18" s="43" t="s">
        <v>52</v>
      </c>
      <c r="P18" s="43" t="s">
        <v>19</v>
      </c>
      <c r="Q18" s="43" t="s">
        <v>59</v>
      </c>
      <c r="R18" s="44">
        <v>405.07499999999999</v>
      </c>
      <c r="S18" s="44">
        <v>0</v>
      </c>
    </row>
    <row r="19" spans="1:19" ht="15.75" customHeight="1" x14ac:dyDescent="0.2">
      <c r="A19" s="5"/>
      <c r="B19" s="42">
        <v>43872</v>
      </c>
      <c r="C19" s="43" t="s">
        <v>23</v>
      </c>
      <c r="D19" s="43" t="s">
        <v>26</v>
      </c>
      <c r="E19" s="43" t="s">
        <v>30</v>
      </c>
      <c r="F19" s="47" t="s">
        <v>50</v>
      </c>
      <c r="G19" s="48">
        <v>0</v>
      </c>
      <c r="H19" s="49">
        <v>270.05</v>
      </c>
      <c r="I19" s="50"/>
      <c r="J19" s="50"/>
      <c r="K19" s="47"/>
      <c r="L19" s="49">
        <v>1.5</v>
      </c>
      <c r="M19" s="47" t="s">
        <v>21</v>
      </c>
      <c r="N19" s="47" t="s">
        <v>55</v>
      </c>
      <c r="O19" s="47" t="s">
        <v>52</v>
      </c>
      <c r="P19" s="47" t="s">
        <v>19</v>
      </c>
      <c r="Q19" s="43" t="s">
        <v>59</v>
      </c>
      <c r="R19" s="49">
        <v>0</v>
      </c>
      <c r="S19" s="49">
        <v>405.07499999999999</v>
      </c>
    </row>
    <row r="20" spans="1:19" ht="15.75" customHeight="1" x14ac:dyDescent="0.2">
      <c r="A20" s="5"/>
      <c r="B20" s="42">
        <v>43872</v>
      </c>
      <c r="C20" s="43" t="s">
        <v>23</v>
      </c>
      <c r="D20" s="43" t="s">
        <v>30</v>
      </c>
      <c r="E20" s="43" t="s">
        <v>19</v>
      </c>
      <c r="F20" s="43" t="s">
        <v>54</v>
      </c>
      <c r="G20" s="44">
        <v>1481.98</v>
      </c>
      <c r="H20" s="45">
        <v>0</v>
      </c>
      <c r="I20" s="46"/>
      <c r="J20" s="46"/>
      <c r="K20" s="43"/>
      <c r="L20" s="44">
        <v>1</v>
      </c>
      <c r="M20" s="43" t="s">
        <v>21</v>
      </c>
      <c r="N20" s="43" t="s">
        <v>51</v>
      </c>
      <c r="O20" s="43" t="s">
        <v>52</v>
      </c>
      <c r="P20" s="43" t="s">
        <v>19</v>
      </c>
      <c r="Q20" s="43" t="s">
        <v>59</v>
      </c>
      <c r="R20" s="44">
        <v>1481.98</v>
      </c>
      <c r="S20" s="44">
        <v>0</v>
      </c>
    </row>
    <row r="21" spans="1:19" ht="15.75" customHeight="1" x14ac:dyDescent="0.2">
      <c r="A21" s="5"/>
      <c r="B21" s="42">
        <v>43872</v>
      </c>
      <c r="C21" s="43" t="s">
        <v>23</v>
      </c>
      <c r="D21" s="43" t="s">
        <v>30</v>
      </c>
      <c r="E21" s="43" t="s">
        <v>19</v>
      </c>
      <c r="F21" s="47" t="s">
        <v>50</v>
      </c>
      <c r="G21" s="48">
        <v>0</v>
      </c>
      <c r="H21" s="49">
        <v>1481.98</v>
      </c>
      <c r="I21" s="50"/>
      <c r="J21" s="50"/>
      <c r="K21" s="47"/>
      <c r="L21" s="49">
        <v>1</v>
      </c>
      <c r="M21" s="47" t="s">
        <v>21</v>
      </c>
      <c r="N21" s="47" t="s">
        <v>55</v>
      </c>
      <c r="O21" s="47" t="s">
        <v>52</v>
      </c>
      <c r="P21" s="47" t="s">
        <v>19</v>
      </c>
      <c r="Q21" s="43" t="s">
        <v>59</v>
      </c>
      <c r="R21" s="49">
        <v>0</v>
      </c>
      <c r="S21" s="49">
        <v>1481.98</v>
      </c>
    </row>
    <row r="22" spans="1:19" ht="15.75" customHeight="1" x14ac:dyDescent="0.2">
      <c r="A22" s="5"/>
      <c r="B22" s="42">
        <v>43871</v>
      </c>
      <c r="C22" s="43" t="s">
        <v>18</v>
      </c>
      <c r="D22" s="43" t="s">
        <v>26</v>
      </c>
      <c r="E22" s="43" t="s">
        <v>30</v>
      </c>
      <c r="F22" s="43" t="s">
        <v>50</v>
      </c>
      <c r="G22" s="44">
        <v>264.95</v>
      </c>
      <c r="H22" s="45">
        <v>0</v>
      </c>
      <c r="I22" s="46"/>
      <c r="J22" s="46"/>
      <c r="K22" s="43"/>
      <c r="L22" s="44">
        <v>1.5</v>
      </c>
      <c r="M22" s="43" t="s">
        <v>21</v>
      </c>
      <c r="N22" s="43" t="s">
        <v>51</v>
      </c>
      <c r="O22" s="43" t="s">
        <v>52</v>
      </c>
      <c r="P22" s="43" t="s">
        <v>19</v>
      </c>
      <c r="Q22" s="43" t="s">
        <v>53</v>
      </c>
      <c r="R22" s="44">
        <v>397.42500000000001</v>
      </c>
      <c r="S22" s="44">
        <v>0</v>
      </c>
    </row>
    <row r="23" spans="1:19" ht="15.75" customHeight="1" x14ac:dyDescent="0.2">
      <c r="A23" s="5"/>
      <c r="B23" s="42">
        <v>43871</v>
      </c>
      <c r="C23" s="43" t="s">
        <v>18</v>
      </c>
      <c r="D23" s="43" t="s">
        <v>26</v>
      </c>
      <c r="E23" s="43" t="s">
        <v>30</v>
      </c>
      <c r="F23" s="47" t="s">
        <v>54</v>
      </c>
      <c r="G23" s="48">
        <v>0</v>
      </c>
      <c r="H23" s="49">
        <v>264.95</v>
      </c>
      <c r="I23" s="50"/>
      <c r="J23" s="50"/>
      <c r="K23" s="47"/>
      <c r="L23" s="49">
        <v>1.5</v>
      </c>
      <c r="M23" s="47" t="s">
        <v>21</v>
      </c>
      <c r="N23" s="47" t="s">
        <v>55</v>
      </c>
      <c r="O23" s="47" t="s">
        <v>52</v>
      </c>
      <c r="P23" s="47" t="s">
        <v>19</v>
      </c>
      <c r="Q23" s="43" t="s">
        <v>53</v>
      </c>
      <c r="R23" s="49">
        <v>0</v>
      </c>
      <c r="S23" s="49">
        <v>397.42500000000001</v>
      </c>
    </row>
    <row r="24" spans="1:19" ht="15.75" customHeight="1" x14ac:dyDescent="0.2">
      <c r="A24" s="5"/>
      <c r="B24" s="42">
        <v>43871</v>
      </c>
      <c r="C24" s="43" t="s">
        <v>18</v>
      </c>
      <c r="D24" s="43" t="s">
        <v>30</v>
      </c>
      <c r="E24" s="43" t="s">
        <v>19</v>
      </c>
      <c r="F24" s="43" t="s">
        <v>50</v>
      </c>
      <c r="G24" s="44">
        <v>1454.02</v>
      </c>
      <c r="H24" s="45">
        <v>0</v>
      </c>
      <c r="I24" s="46"/>
      <c r="J24" s="46"/>
      <c r="K24" s="43"/>
      <c r="L24" s="44">
        <v>1</v>
      </c>
      <c r="M24" s="43" t="s">
        <v>21</v>
      </c>
      <c r="N24" s="43" t="s">
        <v>51</v>
      </c>
      <c r="O24" s="43" t="s">
        <v>52</v>
      </c>
      <c r="P24" s="43" t="s">
        <v>19</v>
      </c>
      <c r="Q24" s="43" t="s">
        <v>53</v>
      </c>
      <c r="R24" s="44">
        <v>1454.02</v>
      </c>
      <c r="S24" s="44">
        <v>0</v>
      </c>
    </row>
    <row r="25" spans="1:19" ht="15.75" customHeight="1" x14ac:dyDescent="0.2">
      <c r="A25" s="5"/>
      <c r="B25" s="42">
        <v>43871</v>
      </c>
      <c r="C25" s="43" t="s">
        <v>18</v>
      </c>
      <c r="D25" s="43" t="s">
        <v>30</v>
      </c>
      <c r="E25" s="43" t="s">
        <v>19</v>
      </c>
      <c r="F25" s="47" t="s">
        <v>54</v>
      </c>
      <c r="G25" s="48">
        <v>0</v>
      </c>
      <c r="H25" s="49">
        <v>1454.02</v>
      </c>
      <c r="I25" s="50"/>
      <c r="J25" s="50"/>
      <c r="K25" s="47"/>
      <c r="L25" s="49">
        <v>1</v>
      </c>
      <c r="M25" s="47" t="s">
        <v>21</v>
      </c>
      <c r="N25" s="47" t="s">
        <v>55</v>
      </c>
      <c r="O25" s="47" t="s">
        <v>52</v>
      </c>
      <c r="P25" s="47" t="s">
        <v>19</v>
      </c>
      <c r="Q25" s="43" t="s">
        <v>53</v>
      </c>
      <c r="R25" s="49">
        <v>0</v>
      </c>
      <c r="S25" s="49">
        <v>1454.02</v>
      </c>
    </row>
    <row r="26" spans="1:19" ht="15.75" customHeight="1" x14ac:dyDescent="0.2">
      <c r="A26" s="5"/>
      <c r="B26" s="42">
        <v>43872</v>
      </c>
      <c r="C26" s="43" t="s">
        <v>18</v>
      </c>
      <c r="D26" s="43" t="s">
        <v>26</v>
      </c>
      <c r="E26" s="43" t="s">
        <v>30</v>
      </c>
      <c r="F26" s="43" t="s">
        <v>56</v>
      </c>
      <c r="G26" s="44">
        <v>2.57</v>
      </c>
      <c r="H26" s="45">
        <v>0</v>
      </c>
      <c r="I26" s="46"/>
      <c r="J26" s="46"/>
      <c r="K26" s="43"/>
      <c r="L26" s="44">
        <v>1.1000000000000001</v>
      </c>
      <c r="M26" s="43" t="s">
        <v>21</v>
      </c>
      <c r="N26" s="43" t="s">
        <v>51</v>
      </c>
      <c r="O26" s="43" t="s">
        <v>52</v>
      </c>
      <c r="P26" s="43" t="s">
        <v>19</v>
      </c>
      <c r="Q26" s="43" t="s">
        <v>57</v>
      </c>
      <c r="R26" s="44">
        <v>2.827</v>
      </c>
      <c r="S26" s="44">
        <v>0</v>
      </c>
    </row>
    <row r="27" spans="1:19" ht="15.75" customHeight="1" x14ac:dyDescent="0.2">
      <c r="B27" s="42">
        <v>43872</v>
      </c>
      <c r="C27" s="43" t="s">
        <v>18</v>
      </c>
      <c r="D27" s="43" t="s">
        <v>26</v>
      </c>
      <c r="E27" s="43" t="s">
        <v>30</v>
      </c>
      <c r="F27" s="47" t="s">
        <v>58</v>
      </c>
      <c r="G27" s="48">
        <v>0</v>
      </c>
      <c r="H27" s="49">
        <v>2.57</v>
      </c>
      <c r="I27" s="50"/>
      <c r="J27" s="50"/>
      <c r="K27" s="47"/>
      <c r="L27" s="49">
        <v>1.1000000000000001</v>
      </c>
      <c r="M27" s="47" t="s">
        <v>21</v>
      </c>
      <c r="N27" s="47" t="s">
        <v>55</v>
      </c>
      <c r="O27" s="47" t="s">
        <v>52</v>
      </c>
      <c r="P27" s="47" t="s">
        <v>19</v>
      </c>
      <c r="Q27" s="43" t="s">
        <v>57</v>
      </c>
      <c r="R27" s="49">
        <v>0</v>
      </c>
      <c r="S27" s="49">
        <v>2.827</v>
      </c>
    </row>
    <row r="28" spans="1:19" ht="15.75" customHeight="1" x14ac:dyDescent="0.2">
      <c r="B28" s="42">
        <v>43872</v>
      </c>
      <c r="C28" s="43" t="s">
        <v>18</v>
      </c>
      <c r="D28" s="43" t="s">
        <v>26</v>
      </c>
      <c r="E28" s="43" t="s">
        <v>30</v>
      </c>
      <c r="F28" s="43" t="s">
        <v>50</v>
      </c>
      <c r="G28" s="44">
        <v>777.33</v>
      </c>
      <c r="H28" s="45">
        <v>0</v>
      </c>
      <c r="I28" s="46"/>
      <c r="J28" s="46"/>
      <c r="K28" s="43"/>
      <c r="L28" s="44">
        <v>2</v>
      </c>
      <c r="M28" s="43" t="s">
        <v>21</v>
      </c>
      <c r="N28" s="43" t="s">
        <v>51</v>
      </c>
      <c r="O28" s="43" t="s">
        <v>52</v>
      </c>
      <c r="P28" s="43" t="s">
        <v>19</v>
      </c>
      <c r="Q28" s="43" t="s">
        <v>53</v>
      </c>
      <c r="R28" s="44">
        <v>1554.66</v>
      </c>
      <c r="S28" s="44">
        <v>0</v>
      </c>
    </row>
    <row r="29" spans="1:19" ht="15.75" customHeight="1" x14ac:dyDescent="0.2">
      <c r="B29" s="42">
        <v>43872</v>
      </c>
      <c r="C29" s="43" t="s">
        <v>18</v>
      </c>
      <c r="D29" s="43" t="s">
        <v>26</v>
      </c>
      <c r="E29" s="43" t="s">
        <v>30</v>
      </c>
      <c r="F29" s="47" t="s">
        <v>54</v>
      </c>
      <c r="G29" s="48">
        <v>0</v>
      </c>
      <c r="H29" s="49">
        <v>777.33</v>
      </c>
      <c r="I29" s="50"/>
      <c r="J29" s="50"/>
      <c r="K29" s="47"/>
      <c r="L29" s="49">
        <v>2</v>
      </c>
      <c r="M29" s="47" t="s">
        <v>21</v>
      </c>
      <c r="N29" s="47" t="s">
        <v>55</v>
      </c>
      <c r="O29" s="47" t="s">
        <v>52</v>
      </c>
      <c r="P29" s="47" t="s">
        <v>19</v>
      </c>
      <c r="Q29" s="43" t="s">
        <v>53</v>
      </c>
      <c r="R29" s="49">
        <v>0</v>
      </c>
      <c r="S29" s="49">
        <v>1554.66</v>
      </c>
    </row>
    <row r="30" spans="1:19" ht="15.75" customHeight="1" x14ac:dyDescent="0.2">
      <c r="B30" s="42">
        <v>43872</v>
      </c>
      <c r="C30" s="43" t="s">
        <v>18</v>
      </c>
      <c r="D30" s="43" t="s">
        <v>30</v>
      </c>
      <c r="E30" s="43" t="s">
        <v>19</v>
      </c>
      <c r="F30" s="43" t="s">
        <v>50</v>
      </c>
      <c r="G30" s="44">
        <v>7413.96</v>
      </c>
      <c r="H30" s="45">
        <v>0</v>
      </c>
      <c r="I30" s="46"/>
      <c r="J30" s="46"/>
      <c r="K30" s="43"/>
      <c r="L30" s="44">
        <v>1</v>
      </c>
      <c r="M30" s="43" t="s">
        <v>21</v>
      </c>
      <c r="N30" s="43" t="s">
        <v>51</v>
      </c>
      <c r="O30" s="43" t="s">
        <v>52</v>
      </c>
      <c r="P30" s="43" t="s">
        <v>19</v>
      </c>
      <c r="Q30" s="43" t="s">
        <v>53</v>
      </c>
      <c r="R30" s="44">
        <v>7413.96</v>
      </c>
      <c r="S30" s="44">
        <v>0</v>
      </c>
    </row>
    <row r="31" spans="1:19" ht="15.75" customHeight="1" x14ac:dyDescent="0.2">
      <c r="B31" s="42">
        <v>43872</v>
      </c>
      <c r="C31" s="43" t="s">
        <v>18</v>
      </c>
      <c r="D31" s="43" t="s">
        <v>30</v>
      </c>
      <c r="E31" s="43" t="s">
        <v>19</v>
      </c>
      <c r="F31" s="47" t="s">
        <v>54</v>
      </c>
      <c r="G31" s="48">
        <v>0</v>
      </c>
      <c r="H31" s="49">
        <v>7413.96</v>
      </c>
      <c r="I31" s="50"/>
      <c r="J31" s="50"/>
      <c r="K31" s="47"/>
      <c r="L31" s="49">
        <v>1</v>
      </c>
      <c r="M31" s="47" t="s">
        <v>21</v>
      </c>
      <c r="N31" s="47" t="s">
        <v>55</v>
      </c>
      <c r="O31" s="47" t="s">
        <v>52</v>
      </c>
      <c r="P31" s="47" t="s">
        <v>19</v>
      </c>
      <c r="Q31" s="43" t="s">
        <v>53</v>
      </c>
      <c r="R31" s="49">
        <v>0</v>
      </c>
      <c r="S31" s="49">
        <v>7413.96</v>
      </c>
    </row>
    <row r="32" spans="1:19" ht="15.75" customHeight="1" x14ac:dyDescent="0.2">
      <c r="B32" s="42">
        <v>43872</v>
      </c>
      <c r="C32" s="43" t="s">
        <v>18</v>
      </c>
      <c r="D32" s="43" t="s">
        <v>39</v>
      </c>
      <c r="E32" s="43" t="s">
        <v>30</v>
      </c>
      <c r="F32" s="43" t="s">
        <v>50</v>
      </c>
      <c r="G32" s="44">
        <v>264.95</v>
      </c>
      <c r="H32" s="45">
        <v>0</v>
      </c>
      <c r="I32" s="46"/>
      <c r="J32" s="46"/>
      <c r="K32" s="43"/>
      <c r="L32" s="44">
        <v>2</v>
      </c>
      <c r="M32" s="43" t="s">
        <v>21</v>
      </c>
      <c r="N32" s="43" t="s">
        <v>51</v>
      </c>
      <c r="O32" s="43" t="s">
        <v>52</v>
      </c>
      <c r="P32" s="43" t="s">
        <v>19</v>
      </c>
      <c r="Q32" s="43" t="s">
        <v>53</v>
      </c>
      <c r="R32" s="44">
        <v>529.9</v>
      </c>
      <c r="S32" s="44">
        <v>0</v>
      </c>
    </row>
    <row r="33" spans="2:19" ht="15.75" customHeight="1" x14ac:dyDescent="0.2">
      <c r="B33" s="42">
        <v>43872</v>
      </c>
      <c r="C33" s="43" t="s">
        <v>18</v>
      </c>
      <c r="D33" s="43" t="s">
        <v>39</v>
      </c>
      <c r="E33" s="43" t="s">
        <v>30</v>
      </c>
      <c r="F33" s="47" t="s">
        <v>54</v>
      </c>
      <c r="G33" s="48">
        <v>0</v>
      </c>
      <c r="H33" s="49">
        <v>264.95</v>
      </c>
      <c r="I33" s="50"/>
      <c r="J33" s="50"/>
      <c r="K33" s="47"/>
      <c r="L33" s="49">
        <v>2</v>
      </c>
      <c r="M33" s="47" t="s">
        <v>21</v>
      </c>
      <c r="N33" s="47" t="s">
        <v>55</v>
      </c>
      <c r="O33" s="47" t="s">
        <v>52</v>
      </c>
      <c r="P33" s="47" t="s">
        <v>19</v>
      </c>
      <c r="Q33" s="43" t="s">
        <v>53</v>
      </c>
      <c r="R33" s="49">
        <v>0</v>
      </c>
      <c r="S33" s="49">
        <v>529.9</v>
      </c>
    </row>
    <row r="34" spans="2:19" ht="15.75" customHeight="1" x14ac:dyDescent="0.2">
      <c r="B34" s="42">
        <v>43872</v>
      </c>
      <c r="C34" s="43" t="s">
        <v>18</v>
      </c>
      <c r="D34" s="43" t="s">
        <v>26</v>
      </c>
      <c r="E34" s="43" t="s">
        <v>30</v>
      </c>
      <c r="F34" s="43" t="s">
        <v>54</v>
      </c>
      <c r="G34" s="44">
        <v>264.95</v>
      </c>
      <c r="H34" s="45">
        <v>0</v>
      </c>
      <c r="I34" s="46"/>
      <c r="J34" s="46"/>
      <c r="K34" s="43"/>
      <c r="L34" s="44">
        <v>1.5</v>
      </c>
      <c r="M34" s="43" t="s">
        <v>21</v>
      </c>
      <c r="N34" s="43" t="s">
        <v>51</v>
      </c>
      <c r="O34" s="43" t="s">
        <v>52</v>
      </c>
      <c r="P34" s="43" t="s">
        <v>19</v>
      </c>
      <c r="Q34" s="43" t="s">
        <v>59</v>
      </c>
      <c r="R34" s="44">
        <v>397.42500000000001</v>
      </c>
      <c r="S34" s="44">
        <v>0</v>
      </c>
    </row>
    <row r="35" spans="2:19" ht="15.75" customHeight="1" x14ac:dyDescent="0.2">
      <c r="B35" s="42">
        <v>43872</v>
      </c>
      <c r="C35" s="43" t="s">
        <v>18</v>
      </c>
      <c r="D35" s="43" t="s">
        <v>26</v>
      </c>
      <c r="E35" s="43" t="s">
        <v>30</v>
      </c>
      <c r="F35" s="47" t="s">
        <v>50</v>
      </c>
      <c r="G35" s="48">
        <v>0</v>
      </c>
      <c r="H35" s="49">
        <v>264.95</v>
      </c>
      <c r="I35" s="50"/>
      <c r="J35" s="50"/>
      <c r="K35" s="47"/>
      <c r="L35" s="49">
        <v>1.5</v>
      </c>
      <c r="M35" s="47" t="s">
        <v>21</v>
      </c>
      <c r="N35" s="47" t="s">
        <v>55</v>
      </c>
      <c r="O35" s="47" t="s">
        <v>52</v>
      </c>
      <c r="P35" s="47" t="s">
        <v>19</v>
      </c>
      <c r="Q35" s="43" t="s">
        <v>59</v>
      </c>
      <c r="R35" s="49">
        <v>0</v>
      </c>
      <c r="S35" s="49">
        <v>397.42500000000001</v>
      </c>
    </row>
    <row r="36" spans="2:19" ht="15.75" customHeight="1" x14ac:dyDescent="0.2">
      <c r="B36" s="42">
        <v>43872</v>
      </c>
      <c r="C36" s="43" t="s">
        <v>18</v>
      </c>
      <c r="D36" s="43" t="s">
        <v>30</v>
      </c>
      <c r="E36" s="43" t="s">
        <v>19</v>
      </c>
      <c r="F36" s="43" t="s">
        <v>54</v>
      </c>
      <c r="G36" s="44">
        <v>1454.02</v>
      </c>
      <c r="H36" s="45">
        <v>0</v>
      </c>
      <c r="I36" s="46"/>
      <c r="J36" s="46"/>
      <c r="K36" s="43"/>
      <c r="L36" s="44">
        <v>1</v>
      </c>
      <c r="M36" s="43" t="s">
        <v>21</v>
      </c>
      <c r="N36" s="43" t="s">
        <v>51</v>
      </c>
      <c r="O36" s="43" t="s">
        <v>52</v>
      </c>
      <c r="P36" s="43" t="s">
        <v>19</v>
      </c>
      <c r="Q36" s="43" t="s">
        <v>59</v>
      </c>
      <c r="R36" s="44">
        <v>1454.02</v>
      </c>
      <c r="S36" s="44">
        <v>0</v>
      </c>
    </row>
    <row r="37" spans="2:19" ht="15.75" customHeight="1" x14ac:dyDescent="0.2">
      <c r="B37" s="42">
        <v>43872</v>
      </c>
      <c r="C37" s="43" t="s">
        <v>18</v>
      </c>
      <c r="D37" s="43" t="s">
        <v>30</v>
      </c>
      <c r="E37" s="43" t="s">
        <v>19</v>
      </c>
      <c r="F37" s="47" t="s">
        <v>50</v>
      </c>
      <c r="G37" s="48">
        <v>0</v>
      </c>
      <c r="H37" s="49">
        <v>1454.02</v>
      </c>
      <c r="I37" s="50"/>
      <c r="J37" s="50"/>
      <c r="K37" s="47"/>
      <c r="L37" s="49">
        <v>1</v>
      </c>
      <c r="M37" s="47" t="s">
        <v>21</v>
      </c>
      <c r="N37" s="47" t="s">
        <v>55</v>
      </c>
      <c r="O37" s="47" t="s">
        <v>52</v>
      </c>
      <c r="P37" s="47" t="s">
        <v>19</v>
      </c>
      <c r="Q37" s="43" t="s">
        <v>59</v>
      </c>
      <c r="R37" s="49">
        <v>0</v>
      </c>
      <c r="S37" s="49">
        <v>1454.02</v>
      </c>
    </row>
    <row r="38" spans="2:19" ht="15.75" customHeight="1" x14ac:dyDescent="0.2">
      <c r="B38" s="51">
        <v>43871</v>
      </c>
      <c r="C38" s="43" t="s">
        <v>18</v>
      </c>
      <c r="D38" s="43" t="s">
        <v>26</v>
      </c>
      <c r="E38" s="43" t="s">
        <v>30</v>
      </c>
      <c r="F38" s="43" t="s">
        <v>60</v>
      </c>
      <c r="G38" s="44">
        <v>3635.0476189999999</v>
      </c>
      <c r="H38" s="45">
        <v>0</v>
      </c>
      <c r="I38" s="46"/>
      <c r="J38" s="46"/>
      <c r="K38" s="43"/>
      <c r="L38" s="44">
        <v>1.1000000000000001</v>
      </c>
      <c r="M38" s="43" t="s">
        <v>21</v>
      </c>
      <c r="N38" s="43" t="s">
        <v>51</v>
      </c>
      <c r="O38" s="43" t="s">
        <v>52</v>
      </c>
      <c r="P38" s="43" t="s">
        <v>19</v>
      </c>
      <c r="Q38" s="43" t="s">
        <v>61</v>
      </c>
      <c r="R38" s="44">
        <v>3998.552381</v>
      </c>
      <c r="S38" s="44">
        <v>0</v>
      </c>
    </row>
    <row r="39" spans="2:19" ht="15.75" customHeight="1" x14ac:dyDescent="0.2">
      <c r="B39" s="51">
        <v>43871</v>
      </c>
      <c r="C39" s="43" t="s">
        <v>18</v>
      </c>
      <c r="D39" s="43" t="s">
        <v>26</v>
      </c>
      <c r="E39" s="43" t="s">
        <v>30</v>
      </c>
      <c r="F39" s="47" t="s">
        <v>20</v>
      </c>
      <c r="G39" s="48">
        <v>0</v>
      </c>
      <c r="H39" s="49">
        <v>3635.0476189999999</v>
      </c>
      <c r="I39" s="50"/>
      <c r="J39" s="50"/>
      <c r="K39" s="47"/>
      <c r="L39" s="49">
        <v>1.1000000000000001</v>
      </c>
      <c r="M39" s="47" t="s">
        <v>21</v>
      </c>
      <c r="N39" s="47" t="s">
        <v>55</v>
      </c>
      <c r="O39" s="47" t="s">
        <v>52</v>
      </c>
      <c r="P39" s="47" t="s">
        <v>19</v>
      </c>
      <c r="Q39" s="43" t="s">
        <v>61</v>
      </c>
      <c r="R39" s="49">
        <v>0</v>
      </c>
      <c r="S39" s="49">
        <v>3998.552381</v>
      </c>
    </row>
    <row r="40" spans="2:19" ht="15.75" customHeight="1" x14ac:dyDescent="0.2">
      <c r="B40" s="51">
        <v>43871</v>
      </c>
      <c r="C40" s="43" t="s">
        <v>23</v>
      </c>
      <c r="D40" s="43" t="s">
        <v>26</v>
      </c>
      <c r="E40" s="43" t="s">
        <v>30</v>
      </c>
      <c r="F40" s="43" t="s">
        <v>60</v>
      </c>
      <c r="G40" s="44">
        <v>3704.9523810000001</v>
      </c>
      <c r="H40" s="45">
        <v>0</v>
      </c>
      <c r="I40" s="46"/>
      <c r="J40" s="46"/>
      <c r="K40" s="43"/>
      <c r="L40" s="44">
        <v>1.1000000000000001</v>
      </c>
      <c r="M40" s="43" t="s">
        <v>21</v>
      </c>
      <c r="N40" s="43" t="s">
        <v>51</v>
      </c>
      <c r="O40" s="43" t="s">
        <v>52</v>
      </c>
      <c r="P40" s="43" t="s">
        <v>19</v>
      </c>
      <c r="Q40" s="43" t="s">
        <v>61</v>
      </c>
      <c r="R40" s="44">
        <v>4075.447619</v>
      </c>
      <c r="S40" s="44">
        <v>0</v>
      </c>
    </row>
    <row r="41" spans="2:19" ht="15.75" customHeight="1" x14ac:dyDescent="0.2">
      <c r="B41" s="51">
        <v>43871</v>
      </c>
      <c r="C41" s="43" t="s">
        <v>23</v>
      </c>
      <c r="D41" s="43" t="s">
        <v>26</v>
      </c>
      <c r="E41" s="43" t="s">
        <v>30</v>
      </c>
      <c r="F41" s="47" t="s">
        <v>20</v>
      </c>
      <c r="G41" s="48">
        <v>0</v>
      </c>
      <c r="H41" s="49">
        <v>3704.9523810000001</v>
      </c>
      <c r="I41" s="50"/>
      <c r="J41" s="50"/>
      <c r="K41" s="47"/>
      <c r="L41" s="49">
        <v>1.1000000000000001</v>
      </c>
      <c r="M41" s="47" t="s">
        <v>21</v>
      </c>
      <c r="N41" s="47" t="s">
        <v>55</v>
      </c>
      <c r="O41" s="47" t="s">
        <v>52</v>
      </c>
      <c r="P41" s="47" t="s">
        <v>19</v>
      </c>
      <c r="Q41" s="43" t="s">
        <v>61</v>
      </c>
      <c r="R41" s="49">
        <v>0</v>
      </c>
      <c r="S41" s="49">
        <v>4075.447619</v>
      </c>
    </row>
    <row r="42" spans="2:19" ht="15.75" customHeight="1" x14ac:dyDescent="0.2">
      <c r="B42" s="51">
        <v>43871</v>
      </c>
      <c r="C42" s="43" t="s">
        <v>18</v>
      </c>
      <c r="D42" s="43" t="s">
        <v>26</v>
      </c>
      <c r="E42" s="43" t="s">
        <v>30</v>
      </c>
      <c r="F42" s="43" t="s">
        <v>20</v>
      </c>
      <c r="G42" s="44">
        <v>3635.0476189999999</v>
      </c>
      <c r="H42" s="45">
        <v>0</v>
      </c>
      <c r="I42" s="46"/>
      <c r="J42" s="46"/>
      <c r="K42" s="43"/>
      <c r="L42" s="44">
        <v>1.5</v>
      </c>
      <c r="M42" s="43" t="s">
        <v>21</v>
      </c>
      <c r="N42" s="43" t="s">
        <v>51</v>
      </c>
      <c r="O42" s="43" t="s">
        <v>52</v>
      </c>
      <c r="P42" s="43" t="s">
        <v>19</v>
      </c>
      <c r="Q42" s="43" t="s">
        <v>62</v>
      </c>
      <c r="R42" s="44">
        <v>5452.5714289999996</v>
      </c>
      <c r="S42" s="44">
        <v>0</v>
      </c>
    </row>
    <row r="43" spans="2:19" ht="15.75" customHeight="1" x14ac:dyDescent="0.2">
      <c r="B43" s="51">
        <v>43871</v>
      </c>
      <c r="C43" s="43" t="s">
        <v>18</v>
      </c>
      <c r="D43" s="43" t="s">
        <v>26</v>
      </c>
      <c r="E43" s="43" t="s">
        <v>30</v>
      </c>
      <c r="F43" s="47" t="s">
        <v>60</v>
      </c>
      <c r="G43" s="48">
        <v>0</v>
      </c>
      <c r="H43" s="49">
        <v>3635.0476189999999</v>
      </c>
      <c r="I43" s="50"/>
      <c r="J43" s="50"/>
      <c r="K43" s="47"/>
      <c r="L43" s="49">
        <v>1.5</v>
      </c>
      <c r="M43" s="47" t="s">
        <v>21</v>
      </c>
      <c r="N43" s="47" t="s">
        <v>55</v>
      </c>
      <c r="O43" s="47" t="s">
        <v>52</v>
      </c>
      <c r="P43" s="47" t="s">
        <v>19</v>
      </c>
      <c r="Q43" s="43" t="s">
        <v>62</v>
      </c>
      <c r="R43" s="49">
        <v>0</v>
      </c>
      <c r="S43" s="49">
        <v>5452.5714289999996</v>
      </c>
    </row>
    <row r="44" spans="2:19" ht="15.75" customHeight="1" x14ac:dyDescent="0.2">
      <c r="B44" s="51">
        <v>43871</v>
      </c>
      <c r="C44" s="43" t="s">
        <v>23</v>
      </c>
      <c r="D44" s="43" t="s">
        <v>26</v>
      </c>
      <c r="E44" s="43" t="s">
        <v>30</v>
      </c>
      <c r="F44" s="43" t="s">
        <v>20</v>
      </c>
      <c r="G44" s="44">
        <v>3704.9523810000001</v>
      </c>
      <c r="H44" s="45">
        <v>0</v>
      </c>
      <c r="I44" s="46"/>
      <c r="J44" s="46"/>
      <c r="K44" s="43"/>
      <c r="L44" s="44">
        <v>1.5</v>
      </c>
      <c r="M44" s="43" t="s">
        <v>21</v>
      </c>
      <c r="N44" s="43" t="s">
        <v>51</v>
      </c>
      <c r="O44" s="43" t="s">
        <v>52</v>
      </c>
      <c r="P44" s="43" t="s">
        <v>19</v>
      </c>
      <c r="Q44" s="43" t="s">
        <v>62</v>
      </c>
      <c r="R44" s="44">
        <v>5557.4285710000004</v>
      </c>
      <c r="S44" s="44">
        <v>0</v>
      </c>
    </row>
    <row r="45" spans="2:19" ht="15.75" customHeight="1" x14ac:dyDescent="0.2">
      <c r="B45" s="51">
        <v>43871</v>
      </c>
      <c r="C45" s="43" t="s">
        <v>23</v>
      </c>
      <c r="D45" s="43" t="s">
        <v>26</v>
      </c>
      <c r="E45" s="43" t="s">
        <v>30</v>
      </c>
      <c r="F45" s="47" t="s">
        <v>60</v>
      </c>
      <c r="G45" s="48">
        <v>0</v>
      </c>
      <c r="H45" s="49">
        <v>3704.9523810000001</v>
      </c>
      <c r="I45" s="50"/>
      <c r="J45" s="50"/>
      <c r="K45" s="47"/>
      <c r="L45" s="49">
        <v>1.5</v>
      </c>
      <c r="M45" s="47" t="s">
        <v>21</v>
      </c>
      <c r="N45" s="47" t="s">
        <v>55</v>
      </c>
      <c r="O45" s="47" t="s">
        <v>52</v>
      </c>
      <c r="P45" s="47" t="s">
        <v>19</v>
      </c>
      <c r="Q45" s="43" t="s">
        <v>62</v>
      </c>
      <c r="R45" s="49">
        <v>0</v>
      </c>
      <c r="S45" s="49">
        <v>5557.4285710000004</v>
      </c>
    </row>
    <row r="46" spans="2:19" ht="15.75" customHeight="1" x14ac:dyDescent="0.2">
      <c r="B46" s="42">
        <v>43872</v>
      </c>
      <c r="C46" s="43" t="s">
        <v>23</v>
      </c>
      <c r="D46" s="43" t="s">
        <v>30</v>
      </c>
      <c r="E46" s="43" t="s">
        <v>30</v>
      </c>
      <c r="F46" s="43" t="s">
        <v>20</v>
      </c>
      <c r="G46" s="44">
        <v>3704.95</v>
      </c>
      <c r="H46" s="45">
        <v>0</v>
      </c>
      <c r="I46" s="46"/>
      <c r="J46" s="46"/>
      <c r="K46" s="43"/>
      <c r="L46" s="44">
        <v>2</v>
      </c>
      <c r="M46" s="43" t="s">
        <v>21</v>
      </c>
      <c r="N46" s="43" t="s">
        <v>51</v>
      </c>
      <c r="O46" s="43" t="s">
        <v>52</v>
      </c>
      <c r="P46" s="43" t="s">
        <v>19</v>
      </c>
      <c r="Q46" s="43" t="s">
        <v>63</v>
      </c>
      <c r="R46" s="44">
        <v>7409.9</v>
      </c>
      <c r="S46" s="44">
        <v>0</v>
      </c>
    </row>
    <row r="47" spans="2:19" ht="15.75" customHeight="1" x14ac:dyDescent="0.2">
      <c r="B47" s="42">
        <v>43872</v>
      </c>
      <c r="C47" s="43" t="s">
        <v>23</v>
      </c>
      <c r="D47" s="43" t="s">
        <v>30</v>
      </c>
      <c r="E47" s="43" t="s">
        <v>30</v>
      </c>
      <c r="F47" s="47" t="s">
        <v>60</v>
      </c>
      <c r="G47" s="48">
        <v>0</v>
      </c>
      <c r="H47" s="49">
        <v>3704.95</v>
      </c>
      <c r="I47" s="50"/>
      <c r="J47" s="50"/>
      <c r="K47" s="47"/>
      <c r="L47" s="49">
        <v>2</v>
      </c>
      <c r="M47" s="47" t="s">
        <v>21</v>
      </c>
      <c r="N47" s="47" t="s">
        <v>55</v>
      </c>
      <c r="O47" s="47" t="s">
        <v>52</v>
      </c>
      <c r="P47" s="47" t="s">
        <v>19</v>
      </c>
      <c r="Q47" s="43" t="s">
        <v>63</v>
      </c>
      <c r="R47" s="49">
        <v>0</v>
      </c>
      <c r="S47" s="49">
        <v>7409.9</v>
      </c>
    </row>
    <row r="48" spans="2:19" ht="15.75" customHeight="1" x14ac:dyDescent="0.2">
      <c r="B48" s="42">
        <v>43872</v>
      </c>
      <c r="C48" s="43" t="s">
        <v>18</v>
      </c>
      <c r="D48" s="43" t="s">
        <v>30</v>
      </c>
      <c r="E48" s="43" t="s">
        <v>30</v>
      </c>
      <c r="F48" s="43" t="s">
        <v>20</v>
      </c>
      <c r="G48" s="44">
        <v>3635.05</v>
      </c>
      <c r="H48" s="45">
        <v>0</v>
      </c>
      <c r="I48" s="46"/>
      <c r="J48" s="46"/>
      <c r="K48" s="43"/>
      <c r="L48" s="44">
        <v>2</v>
      </c>
      <c r="M48" s="43" t="s">
        <v>21</v>
      </c>
      <c r="N48" s="43" t="s">
        <v>51</v>
      </c>
      <c r="O48" s="43" t="s">
        <v>52</v>
      </c>
      <c r="P48" s="43" t="s">
        <v>19</v>
      </c>
      <c r="Q48" s="43" t="s">
        <v>63</v>
      </c>
      <c r="R48" s="44">
        <v>7270.1</v>
      </c>
      <c r="S48" s="44">
        <v>0</v>
      </c>
    </row>
    <row r="49" spans="2:19" ht="15.75" customHeight="1" x14ac:dyDescent="0.2">
      <c r="B49" s="42">
        <v>43872</v>
      </c>
      <c r="C49" s="43" t="s">
        <v>18</v>
      </c>
      <c r="D49" s="43" t="s">
        <v>30</v>
      </c>
      <c r="E49" s="43" t="s">
        <v>30</v>
      </c>
      <c r="F49" s="47" t="s">
        <v>60</v>
      </c>
      <c r="G49" s="48">
        <v>0</v>
      </c>
      <c r="H49" s="49">
        <v>3635.05</v>
      </c>
      <c r="I49" s="50"/>
      <c r="J49" s="50"/>
      <c r="K49" s="47"/>
      <c r="L49" s="49">
        <v>2</v>
      </c>
      <c r="M49" s="47" t="s">
        <v>21</v>
      </c>
      <c r="N49" s="47" t="s">
        <v>55</v>
      </c>
      <c r="O49" s="47" t="s">
        <v>52</v>
      </c>
      <c r="P49" s="47" t="s">
        <v>19</v>
      </c>
      <c r="Q49" s="43" t="s">
        <v>63</v>
      </c>
      <c r="R49" s="49">
        <v>0</v>
      </c>
      <c r="S49" s="49">
        <v>7270.1</v>
      </c>
    </row>
    <row r="50" spans="2:19" ht="15.75" customHeight="1" x14ac:dyDescent="0.2">
      <c r="B50" s="42">
        <v>43872</v>
      </c>
      <c r="C50" s="43" t="s">
        <v>23</v>
      </c>
      <c r="D50" s="43" t="s">
        <v>30</v>
      </c>
      <c r="E50" s="43" t="s">
        <v>30</v>
      </c>
      <c r="F50" s="43" t="s">
        <v>60</v>
      </c>
      <c r="G50" s="44">
        <v>3704.95</v>
      </c>
      <c r="H50" s="45">
        <v>0</v>
      </c>
      <c r="I50" s="46"/>
      <c r="J50" s="46"/>
      <c r="K50" s="43"/>
      <c r="L50" s="44">
        <v>1.5</v>
      </c>
      <c r="M50" s="43" t="s">
        <v>21</v>
      </c>
      <c r="N50" s="43" t="s">
        <v>51</v>
      </c>
      <c r="O50" s="43" t="s">
        <v>52</v>
      </c>
      <c r="P50" s="43" t="s">
        <v>19</v>
      </c>
      <c r="Q50" s="43" t="s">
        <v>64</v>
      </c>
      <c r="R50" s="44">
        <v>5557.4250000000002</v>
      </c>
      <c r="S50" s="44">
        <v>0</v>
      </c>
    </row>
    <row r="51" spans="2:19" ht="15.75" customHeight="1" x14ac:dyDescent="0.2">
      <c r="B51" s="42">
        <v>43872</v>
      </c>
      <c r="C51" s="43" t="s">
        <v>23</v>
      </c>
      <c r="D51" s="43" t="s">
        <v>30</v>
      </c>
      <c r="E51" s="43" t="s">
        <v>30</v>
      </c>
      <c r="F51" s="47" t="s">
        <v>20</v>
      </c>
      <c r="G51" s="48">
        <v>0</v>
      </c>
      <c r="H51" s="49">
        <v>3704.95</v>
      </c>
      <c r="I51" s="50"/>
      <c r="J51" s="50"/>
      <c r="K51" s="47"/>
      <c r="L51" s="49">
        <v>1.5</v>
      </c>
      <c r="M51" s="47" t="s">
        <v>21</v>
      </c>
      <c r="N51" s="47" t="s">
        <v>55</v>
      </c>
      <c r="O51" s="47" t="s">
        <v>52</v>
      </c>
      <c r="P51" s="47" t="s">
        <v>19</v>
      </c>
      <c r="Q51" s="43" t="s">
        <v>64</v>
      </c>
      <c r="R51" s="49">
        <v>0</v>
      </c>
      <c r="S51" s="49">
        <v>5557.4250000000002</v>
      </c>
    </row>
    <row r="52" spans="2:19" ht="15.75" customHeight="1" x14ac:dyDescent="0.2">
      <c r="B52" s="42">
        <v>43872</v>
      </c>
      <c r="C52" s="43" t="s">
        <v>18</v>
      </c>
      <c r="D52" s="43" t="s">
        <v>30</v>
      </c>
      <c r="E52" s="43" t="s">
        <v>30</v>
      </c>
      <c r="F52" s="43" t="s">
        <v>60</v>
      </c>
      <c r="G52" s="44">
        <v>3635.05</v>
      </c>
      <c r="H52" s="45">
        <v>0</v>
      </c>
      <c r="I52" s="46"/>
      <c r="J52" s="46"/>
      <c r="K52" s="43"/>
      <c r="L52" s="44">
        <v>1.5</v>
      </c>
      <c r="M52" s="43" t="s">
        <v>21</v>
      </c>
      <c r="N52" s="43" t="s">
        <v>51</v>
      </c>
      <c r="O52" s="43" t="s">
        <v>52</v>
      </c>
      <c r="P52" s="43" t="s">
        <v>19</v>
      </c>
      <c r="Q52" s="43" t="s">
        <v>64</v>
      </c>
      <c r="R52" s="44">
        <v>5452.5749999999998</v>
      </c>
      <c r="S52" s="44">
        <v>0</v>
      </c>
    </row>
    <row r="53" spans="2:19" ht="15.75" customHeight="1" x14ac:dyDescent="0.2">
      <c r="B53" s="42">
        <v>43872</v>
      </c>
      <c r="C53" s="43" t="s">
        <v>18</v>
      </c>
      <c r="D53" s="43" t="s">
        <v>30</v>
      </c>
      <c r="E53" s="43" t="s">
        <v>30</v>
      </c>
      <c r="F53" s="47" t="s">
        <v>20</v>
      </c>
      <c r="G53" s="48">
        <v>0</v>
      </c>
      <c r="H53" s="49">
        <v>3635.05</v>
      </c>
      <c r="I53" s="50"/>
      <c r="J53" s="50"/>
      <c r="K53" s="47"/>
      <c r="L53" s="49">
        <v>1.5</v>
      </c>
      <c r="M53" s="47" t="s">
        <v>21</v>
      </c>
      <c r="N53" s="47" t="s">
        <v>55</v>
      </c>
      <c r="O53" s="47" t="s">
        <v>52</v>
      </c>
      <c r="P53" s="47" t="s">
        <v>19</v>
      </c>
      <c r="Q53" s="43" t="s">
        <v>64</v>
      </c>
      <c r="R53" s="49">
        <v>0</v>
      </c>
      <c r="S53" s="49">
        <v>5452.5749999999998</v>
      </c>
    </row>
    <row r="54" spans="2:19" ht="15.75" customHeight="1" x14ac:dyDescent="0.2">
      <c r="B54" s="51">
        <v>43872</v>
      </c>
      <c r="C54" s="43" t="s">
        <v>18</v>
      </c>
      <c r="D54" s="43" t="s">
        <v>26</v>
      </c>
      <c r="E54" s="43" t="s">
        <v>30</v>
      </c>
      <c r="F54" s="43" t="s">
        <v>60</v>
      </c>
      <c r="G54" s="44">
        <v>3635.0476189999999</v>
      </c>
      <c r="H54" s="45">
        <v>0</v>
      </c>
      <c r="I54" s="46"/>
      <c r="J54" s="46"/>
      <c r="K54" s="43"/>
      <c r="L54" s="44">
        <v>1.1000000000000001</v>
      </c>
      <c r="M54" s="43" t="s">
        <v>21</v>
      </c>
      <c r="N54" s="43" t="s">
        <v>51</v>
      </c>
      <c r="O54" s="43" t="s">
        <v>52</v>
      </c>
      <c r="P54" s="43" t="s">
        <v>19</v>
      </c>
      <c r="Q54" s="43" t="s">
        <v>61</v>
      </c>
      <c r="R54" s="44">
        <v>3998.552381</v>
      </c>
      <c r="S54" s="44">
        <v>0</v>
      </c>
    </row>
    <row r="55" spans="2:19" ht="15.75" customHeight="1" x14ac:dyDescent="0.2">
      <c r="B55" s="51">
        <v>43872</v>
      </c>
      <c r="C55" s="43" t="s">
        <v>18</v>
      </c>
      <c r="D55" s="43" t="s">
        <v>26</v>
      </c>
      <c r="E55" s="43" t="s">
        <v>30</v>
      </c>
      <c r="F55" s="47" t="s">
        <v>20</v>
      </c>
      <c r="G55" s="48">
        <v>0</v>
      </c>
      <c r="H55" s="49">
        <v>3635.0476189999999</v>
      </c>
      <c r="I55" s="50"/>
      <c r="J55" s="50"/>
      <c r="K55" s="47"/>
      <c r="L55" s="49">
        <v>1.1000000000000001</v>
      </c>
      <c r="M55" s="47" t="s">
        <v>21</v>
      </c>
      <c r="N55" s="47" t="s">
        <v>55</v>
      </c>
      <c r="O55" s="47" t="s">
        <v>52</v>
      </c>
      <c r="P55" s="47" t="s">
        <v>19</v>
      </c>
      <c r="Q55" s="43" t="s">
        <v>61</v>
      </c>
      <c r="R55" s="49">
        <v>0</v>
      </c>
      <c r="S55" s="49">
        <v>3998.552381</v>
      </c>
    </row>
    <row r="56" spans="2:19" ht="15.75" customHeight="1" x14ac:dyDescent="0.2">
      <c r="B56" s="51">
        <v>43872</v>
      </c>
      <c r="C56" s="43" t="s">
        <v>23</v>
      </c>
      <c r="D56" s="43" t="s">
        <v>26</v>
      </c>
      <c r="E56" s="43" t="s">
        <v>30</v>
      </c>
      <c r="F56" s="43" t="s">
        <v>60</v>
      </c>
      <c r="G56" s="44">
        <v>3704.9523810000001</v>
      </c>
      <c r="H56" s="45">
        <v>0</v>
      </c>
      <c r="I56" s="46"/>
      <c r="J56" s="46"/>
      <c r="K56" s="43"/>
      <c r="L56" s="44">
        <v>1.1000000000000001</v>
      </c>
      <c r="M56" s="43" t="s">
        <v>21</v>
      </c>
      <c r="N56" s="43" t="s">
        <v>51</v>
      </c>
      <c r="O56" s="43" t="s">
        <v>52</v>
      </c>
      <c r="P56" s="43" t="s">
        <v>19</v>
      </c>
      <c r="Q56" s="43" t="s">
        <v>61</v>
      </c>
      <c r="R56" s="44">
        <v>4075.447619</v>
      </c>
      <c r="S56" s="44">
        <v>0</v>
      </c>
    </row>
    <row r="57" spans="2:19" ht="15.75" customHeight="1" x14ac:dyDescent="0.2">
      <c r="B57" s="51">
        <v>43872</v>
      </c>
      <c r="C57" s="43" t="s">
        <v>23</v>
      </c>
      <c r="D57" s="43" t="s">
        <v>26</v>
      </c>
      <c r="E57" s="43" t="s">
        <v>30</v>
      </c>
      <c r="F57" s="47" t="s">
        <v>20</v>
      </c>
      <c r="G57" s="48">
        <v>0</v>
      </c>
      <c r="H57" s="49">
        <v>3704.9523810000001</v>
      </c>
      <c r="I57" s="50"/>
      <c r="J57" s="50"/>
      <c r="K57" s="47"/>
      <c r="L57" s="49">
        <v>1.1000000000000001</v>
      </c>
      <c r="M57" s="47" t="s">
        <v>21</v>
      </c>
      <c r="N57" s="47" t="s">
        <v>55</v>
      </c>
      <c r="O57" s="47" t="s">
        <v>52</v>
      </c>
      <c r="P57" s="47" t="s">
        <v>19</v>
      </c>
      <c r="Q57" s="43" t="s">
        <v>61</v>
      </c>
      <c r="R57" s="49">
        <v>0</v>
      </c>
      <c r="S57" s="49">
        <v>4075.447619</v>
      </c>
    </row>
    <row r="58" spans="2:19" ht="15.75" customHeight="1" x14ac:dyDescent="0.2">
      <c r="B58" s="51">
        <v>43872</v>
      </c>
      <c r="C58" s="43" t="s">
        <v>18</v>
      </c>
      <c r="D58" s="43" t="s">
        <v>39</v>
      </c>
      <c r="E58" s="43" t="s">
        <v>30</v>
      </c>
      <c r="F58" s="43" t="s">
        <v>60</v>
      </c>
      <c r="G58" s="44">
        <v>2855.0476189999999</v>
      </c>
      <c r="H58" s="45">
        <v>0</v>
      </c>
      <c r="I58" s="46"/>
      <c r="J58" s="46"/>
      <c r="K58" s="43"/>
      <c r="L58" s="44">
        <v>1.1000000000000001</v>
      </c>
      <c r="M58" s="43" t="s">
        <v>21</v>
      </c>
      <c r="N58" s="43" t="s">
        <v>51</v>
      </c>
      <c r="O58" s="43" t="s">
        <v>52</v>
      </c>
      <c r="P58" s="43" t="s">
        <v>19</v>
      </c>
      <c r="Q58" s="43" t="s">
        <v>61</v>
      </c>
      <c r="R58" s="44">
        <v>3140.552381</v>
      </c>
      <c r="S58" s="44">
        <v>0</v>
      </c>
    </row>
    <row r="59" spans="2:19" ht="15.75" customHeight="1" x14ac:dyDescent="0.2">
      <c r="B59" s="51">
        <v>43872</v>
      </c>
      <c r="C59" s="43" t="s">
        <v>18</v>
      </c>
      <c r="D59" s="43" t="s">
        <v>39</v>
      </c>
      <c r="E59" s="43" t="s">
        <v>30</v>
      </c>
      <c r="F59" s="47" t="s">
        <v>20</v>
      </c>
      <c r="G59" s="48">
        <v>0</v>
      </c>
      <c r="H59" s="49">
        <v>2855.0476189999999</v>
      </c>
      <c r="I59" s="50"/>
      <c r="J59" s="50"/>
      <c r="K59" s="47"/>
      <c r="L59" s="49">
        <v>1.1000000000000001</v>
      </c>
      <c r="M59" s="47" t="s">
        <v>21</v>
      </c>
      <c r="N59" s="47" t="s">
        <v>55</v>
      </c>
      <c r="O59" s="47" t="s">
        <v>52</v>
      </c>
      <c r="P59" s="47" t="s">
        <v>19</v>
      </c>
      <c r="Q59" s="43" t="s">
        <v>61</v>
      </c>
      <c r="R59" s="49">
        <v>0</v>
      </c>
      <c r="S59" s="49">
        <v>3140.552381</v>
      </c>
    </row>
    <row r="60" spans="2:19" ht="15.75" customHeight="1" x14ac:dyDescent="0.2">
      <c r="B60" s="51">
        <v>43872</v>
      </c>
      <c r="C60" s="43" t="s">
        <v>23</v>
      </c>
      <c r="D60" s="43" t="s">
        <v>39</v>
      </c>
      <c r="E60" s="43" t="s">
        <v>30</v>
      </c>
      <c r="F60" s="43" t="s">
        <v>60</v>
      </c>
      <c r="G60" s="44">
        <v>2909.9523810000001</v>
      </c>
      <c r="H60" s="45">
        <v>0</v>
      </c>
      <c r="I60" s="46"/>
      <c r="J60" s="46"/>
      <c r="K60" s="43"/>
      <c r="L60" s="44">
        <v>1.1000000000000001</v>
      </c>
      <c r="M60" s="43" t="s">
        <v>21</v>
      </c>
      <c r="N60" s="43" t="s">
        <v>51</v>
      </c>
      <c r="O60" s="43" t="s">
        <v>52</v>
      </c>
      <c r="P60" s="43" t="s">
        <v>19</v>
      </c>
      <c r="Q60" s="43" t="s">
        <v>61</v>
      </c>
      <c r="R60" s="44">
        <v>3200.947619</v>
      </c>
      <c r="S60" s="44">
        <v>0</v>
      </c>
    </row>
    <row r="61" spans="2:19" ht="15.75" customHeight="1" x14ac:dyDescent="0.2">
      <c r="B61" s="51">
        <v>43872</v>
      </c>
      <c r="C61" s="43" t="s">
        <v>23</v>
      </c>
      <c r="D61" s="43" t="s">
        <v>39</v>
      </c>
      <c r="E61" s="43" t="s">
        <v>30</v>
      </c>
      <c r="F61" s="47" t="s">
        <v>20</v>
      </c>
      <c r="G61" s="48">
        <v>0</v>
      </c>
      <c r="H61" s="49">
        <v>2909.9523810000001</v>
      </c>
      <c r="I61" s="50"/>
      <c r="J61" s="50"/>
      <c r="K61" s="47"/>
      <c r="L61" s="49">
        <v>1.1000000000000001</v>
      </c>
      <c r="M61" s="47" t="s">
        <v>21</v>
      </c>
      <c r="N61" s="47" t="s">
        <v>55</v>
      </c>
      <c r="O61" s="47" t="s">
        <v>52</v>
      </c>
      <c r="P61" s="47" t="s">
        <v>19</v>
      </c>
      <c r="Q61" s="43" t="s">
        <v>61</v>
      </c>
      <c r="R61" s="49">
        <v>0</v>
      </c>
      <c r="S61" s="49">
        <v>3200.947619</v>
      </c>
    </row>
    <row r="62" spans="2:19" ht="15.75" customHeight="1" x14ac:dyDescent="0.2">
      <c r="B62" s="51">
        <v>43872</v>
      </c>
      <c r="C62" s="43" t="s">
        <v>18</v>
      </c>
      <c r="D62" s="43" t="s">
        <v>26</v>
      </c>
      <c r="E62" s="43" t="s">
        <v>30</v>
      </c>
      <c r="F62" s="43" t="s">
        <v>20</v>
      </c>
      <c r="G62" s="44">
        <v>1890</v>
      </c>
      <c r="H62" s="45">
        <v>0</v>
      </c>
      <c r="I62" s="46"/>
      <c r="J62" s="46"/>
      <c r="K62" s="43"/>
      <c r="L62" s="44">
        <v>1.1000000000000001</v>
      </c>
      <c r="M62" s="43" t="s">
        <v>21</v>
      </c>
      <c r="N62" s="43" t="s">
        <v>51</v>
      </c>
      <c r="O62" s="43" t="s">
        <v>52</v>
      </c>
      <c r="P62" s="43" t="s">
        <v>19</v>
      </c>
      <c r="Q62" s="43" t="s">
        <v>61</v>
      </c>
      <c r="R62" s="44">
        <v>2079</v>
      </c>
      <c r="S62" s="44">
        <v>0</v>
      </c>
    </row>
    <row r="63" spans="2:19" ht="15.75" customHeight="1" x14ac:dyDescent="0.2">
      <c r="B63" s="51">
        <v>43872</v>
      </c>
      <c r="C63" s="43" t="s">
        <v>18</v>
      </c>
      <c r="D63" s="43" t="s">
        <v>26</v>
      </c>
      <c r="E63" s="43" t="s">
        <v>30</v>
      </c>
      <c r="F63" s="47" t="s">
        <v>60</v>
      </c>
      <c r="G63" s="48">
        <v>0</v>
      </c>
      <c r="H63" s="49">
        <v>1890</v>
      </c>
      <c r="I63" s="50"/>
      <c r="J63" s="50"/>
      <c r="K63" s="47"/>
      <c r="L63" s="49">
        <v>1.1000000000000001</v>
      </c>
      <c r="M63" s="47" t="s">
        <v>21</v>
      </c>
      <c r="N63" s="47" t="s">
        <v>55</v>
      </c>
      <c r="O63" s="47" t="s">
        <v>52</v>
      </c>
      <c r="P63" s="47" t="s">
        <v>19</v>
      </c>
      <c r="Q63" s="43" t="s">
        <v>61</v>
      </c>
      <c r="R63" s="49">
        <v>0</v>
      </c>
      <c r="S63" s="49">
        <v>2079</v>
      </c>
    </row>
    <row r="64" spans="2:19" ht="15.75" customHeight="1" x14ac:dyDescent="0.2">
      <c r="B64" s="51">
        <v>43872</v>
      </c>
      <c r="C64" s="43" t="s">
        <v>23</v>
      </c>
      <c r="D64" s="43" t="s">
        <v>26</v>
      </c>
      <c r="E64" s="43" t="s">
        <v>30</v>
      </c>
      <c r="F64" s="43" t="s">
        <v>20</v>
      </c>
      <c r="G64" s="44">
        <v>1960</v>
      </c>
      <c r="H64" s="45">
        <v>0</v>
      </c>
      <c r="I64" s="46"/>
      <c r="J64" s="46"/>
      <c r="K64" s="43"/>
      <c r="L64" s="44">
        <v>1.1000000000000001</v>
      </c>
      <c r="M64" s="43" t="s">
        <v>21</v>
      </c>
      <c r="N64" s="43" t="s">
        <v>51</v>
      </c>
      <c r="O64" s="43" t="s">
        <v>52</v>
      </c>
      <c r="P64" s="43" t="s">
        <v>19</v>
      </c>
      <c r="Q64" s="43" t="s">
        <v>61</v>
      </c>
      <c r="R64" s="44">
        <v>2156</v>
      </c>
      <c r="S64" s="44">
        <v>0</v>
      </c>
    </row>
    <row r="65" spans="2:19" ht="15.75" customHeight="1" x14ac:dyDescent="0.2">
      <c r="B65" s="51">
        <v>43872</v>
      </c>
      <c r="C65" s="43" t="s">
        <v>23</v>
      </c>
      <c r="D65" s="43" t="s">
        <v>26</v>
      </c>
      <c r="E65" s="43" t="s">
        <v>30</v>
      </c>
      <c r="F65" s="47" t="s">
        <v>60</v>
      </c>
      <c r="G65" s="48">
        <v>0</v>
      </c>
      <c r="H65" s="49">
        <v>1960</v>
      </c>
      <c r="I65" s="50"/>
      <c r="J65" s="50"/>
      <c r="K65" s="47"/>
      <c r="L65" s="49">
        <v>1.1000000000000001</v>
      </c>
      <c r="M65" s="47" t="s">
        <v>21</v>
      </c>
      <c r="N65" s="47" t="s">
        <v>55</v>
      </c>
      <c r="O65" s="47" t="s">
        <v>52</v>
      </c>
      <c r="P65" s="47" t="s">
        <v>19</v>
      </c>
      <c r="Q65" s="43" t="s">
        <v>61</v>
      </c>
      <c r="R65" s="49">
        <v>0</v>
      </c>
      <c r="S65" s="49">
        <v>2156</v>
      </c>
    </row>
    <row r="66" spans="2:19" ht="15.75" customHeight="1" x14ac:dyDescent="0.2">
      <c r="B66" s="51">
        <v>43872</v>
      </c>
      <c r="C66" s="43" t="s">
        <v>18</v>
      </c>
      <c r="D66" s="43" t="s">
        <v>26</v>
      </c>
      <c r="E66" s="43" t="s">
        <v>30</v>
      </c>
      <c r="F66" s="43" t="s">
        <v>20</v>
      </c>
      <c r="G66" s="44">
        <v>3635.0476189999999</v>
      </c>
      <c r="H66" s="45">
        <v>0</v>
      </c>
      <c r="I66" s="46"/>
      <c r="J66" s="46"/>
      <c r="K66" s="43"/>
      <c r="L66" s="44">
        <v>2</v>
      </c>
      <c r="M66" s="43" t="s">
        <v>21</v>
      </c>
      <c r="N66" s="43" t="s">
        <v>51</v>
      </c>
      <c r="O66" s="43" t="s">
        <v>52</v>
      </c>
      <c r="P66" s="43" t="s">
        <v>19</v>
      </c>
      <c r="Q66" s="43" t="s">
        <v>62</v>
      </c>
      <c r="R66" s="44">
        <v>7270.0952379999999</v>
      </c>
      <c r="S66" s="44">
        <v>0</v>
      </c>
    </row>
    <row r="67" spans="2:19" ht="15.75" customHeight="1" x14ac:dyDescent="0.2">
      <c r="B67" s="51">
        <v>43872</v>
      </c>
      <c r="C67" s="43" t="s">
        <v>18</v>
      </c>
      <c r="D67" s="43" t="s">
        <v>26</v>
      </c>
      <c r="E67" s="43" t="s">
        <v>30</v>
      </c>
      <c r="F67" s="47" t="s">
        <v>60</v>
      </c>
      <c r="G67" s="48">
        <v>0</v>
      </c>
      <c r="H67" s="49">
        <v>3635.0476189999999</v>
      </c>
      <c r="I67" s="50"/>
      <c r="J67" s="50"/>
      <c r="K67" s="47"/>
      <c r="L67" s="49">
        <v>2</v>
      </c>
      <c r="M67" s="47" t="s">
        <v>21</v>
      </c>
      <c r="N67" s="47" t="s">
        <v>55</v>
      </c>
      <c r="O67" s="47" t="s">
        <v>52</v>
      </c>
      <c r="P67" s="47" t="s">
        <v>19</v>
      </c>
      <c r="Q67" s="43" t="s">
        <v>62</v>
      </c>
      <c r="R67" s="49">
        <v>0</v>
      </c>
      <c r="S67" s="49">
        <v>7270.0952379999999</v>
      </c>
    </row>
    <row r="68" spans="2:19" ht="15.75" customHeight="1" x14ac:dyDescent="0.2">
      <c r="B68" s="51">
        <v>43872</v>
      </c>
      <c r="C68" s="43" t="s">
        <v>23</v>
      </c>
      <c r="D68" s="43" t="s">
        <v>26</v>
      </c>
      <c r="E68" s="43" t="s">
        <v>30</v>
      </c>
      <c r="F68" s="43" t="s">
        <v>20</v>
      </c>
      <c r="G68" s="44">
        <v>3704.9523810000001</v>
      </c>
      <c r="H68" s="45">
        <v>0</v>
      </c>
      <c r="I68" s="46"/>
      <c r="J68" s="46"/>
      <c r="K68" s="43"/>
      <c r="L68" s="44">
        <v>2</v>
      </c>
      <c r="M68" s="43" t="s">
        <v>21</v>
      </c>
      <c r="N68" s="43" t="s">
        <v>51</v>
      </c>
      <c r="O68" s="43" t="s">
        <v>52</v>
      </c>
      <c r="P68" s="43" t="s">
        <v>19</v>
      </c>
      <c r="Q68" s="43" t="s">
        <v>62</v>
      </c>
      <c r="R68" s="44">
        <v>7409.9047620000001</v>
      </c>
      <c r="S68" s="44">
        <v>0</v>
      </c>
    </row>
    <row r="69" spans="2:19" ht="15.75" customHeight="1" x14ac:dyDescent="0.2">
      <c r="B69" s="51">
        <v>43872</v>
      </c>
      <c r="C69" s="43" t="s">
        <v>23</v>
      </c>
      <c r="D69" s="43" t="s">
        <v>26</v>
      </c>
      <c r="E69" s="43" t="s">
        <v>30</v>
      </c>
      <c r="F69" s="47" t="s">
        <v>60</v>
      </c>
      <c r="G69" s="48">
        <v>0</v>
      </c>
      <c r="H69" s="49">
        <v>3704.9523810000001</v>
      </c>
      <c r="I69" s="50"/>
      <c r="J69" s="50"/>
      <c r="K69" s="47"/>
      <c r="L69" s="49">
        <v>2</v>
      </c>
      <c r="M69" s="47" t="s">
        <v>21</v>
      </c>
      <c r="N69" s="47" t="s">
        <v>55</v>
      </c>
      <c r="O69" s="47" t="s">
        <v>52</v>
      </c>
      <c r="P69" s="47" t="s">
        <v>19</v>
      </c>
      <c r="Q69" s="43" t="s">
        <v>62</v>
      </c>
      <c r="R69" s="49">
        <v>0</v>
      </c>
      <c r="S69" s="49">
        <v>7409.9047620000001</v>
      </c>
    </row>
    <row r="70" spans="2:19" ht="15.75" customHeight="1" x14ac:dyDescent="0.2">
      <c r="B70" s="51">
        <v>43872</v>
      </c>
      <c r="C70" s="43" t="s">
        <v>18</v>
      </c>
      <c r="D70" s="43" t="s">
        <v>39</v>
      </c>
      <c r="E70" s="43" t="s">
        <v>30</v>
      </c>
      <c r="F70" s="43" t="s">
        <v>20</v>
      </c>
      <c r="G70" s="44">
        <v>2855.0476189999999</v>
      </c>
      <c r="H70" s="45">
        <v>0</v>
      </c>
      <c r="I70" s="46"/>
      <c r="J70" s="46"/>
      <c r="K70" s="43"/>
      <c r="L70" s="44">
        <v>2</v>
      </c>
      <c r="M70" s="43" t="s">
        <v>21</v>
      </c>
      <c r="N70" s="43" t="s">
        <v>51</v>
      </c>
      <c r="O70" s="43" t="s">
        <v>52</v>
      </c>
      <c r="P70" s="43" t="s">
        <v>19</v>
      </c>
      <c r="Q70" s="43" t="s">
        <v>62</v>
      </c>
      <c r="R70" s="44">
        <v>5710.0952379999999</v>
      </c>
      <c r="S70" s="44">
        <v>0</v>
      </c>
    </row>
    <row r="71" spans="2:19" ht="15.75" customHeight="1" x14ac:dyDescent="0.2">
      <c r="B71" s="51">
        <v>43872</v>
      </c>
      <c r="C71" s="43" t="s">
        <v>18</v>
      </c>
      <c r="D71" s="43" t="s">
        <v>39</v>
      </c>
      <c r="E71" s="43" t="s">
        <v>30</v>
      </c>
      <c r="F71" s="47" t="s">
        <v>60</v>
      </c>
      <c r="G71" s="48">
        <v>0</v>
      </c>
      <c r="H71" s="49">
        <v>2855.0476189999999</v>
      </c>
      <c r="I71" s="50"/>
      <c r="J71" s="50"/>
      <c r="K71" s="47"/>
      <c r="L71" s="49">
        <v>2</v>
      </c>
      <c r="M71" s="47" t="s">
        <v>21</v>
      </c>
      <c r="N71" s="47" t="s">
        <v>55</v>
      </c>
      <c r="O71" s="47" t="s">
        <v>52</v>
      </c>
      <c r="P71" s="47" t="s">
        <v>19</v>
      </c>
      <c r="Q71" s="43" t="s">
        <v>62</v>
      </c>
      <c r="R71" s="49">
        <v>0</v>
      </c>
      <c r="S71" s="49">
        <v>5710.0952379999999</v>
      </c>
    </row>
    <row r="72" spans="2:19" ht="15.75" customHeight="1" x14ac:dyDescent="0.2">
      <c r="B72" s="51">
        <v>43872</v>
      </c>
      <c r="C72" s="43" t="s">
        <v>23</v>
      </c>
      <c r="D72" s="43" t="s">
        <v>39</v>
      </c>
      <c r="E72" s="43" t="s">
        <v>30</v>
      </c>
      <c r="F72" s="43" t="s">
        <v>20</v>
      </c>
      <c r="G72" s="44">
        <v>2909.9523810000001</v>
      </c>
      <c r="H72" s="45">
        <v>0</v>
      </c>
      <c r="I72" s="46"/>
      <c r="J72" s="46"/>
      <c r="K72" s="43"/>
      <c r="L72" s="44">
        <v>2</v>
      </c>
      <c r="M72" s="43" t="s">
        <v>21</v>
      </c>
      <c r="N72" s="43" t="s">
        <v>51</v>
      </c>
      <c r="O72" s="43" t="s">
        <v>52</v>
      </c>
      <c r="P72" s="43" t="s">
        <v>19</v>
      </c>
      <c r="Q72" s="43" t="s">
        <v>62</v>
      </c>
      <c r="R72" s="44">
        <v>5819.9047620000001</v>
      </c>
      <c r="S72" s="44">
        <v>0</v>
      </c>
    </row>
    <row r="73" spans="2:19" ht="15.75" customHeight="1" x14ac:dyDescent="0.2">
      <c r="B73" s="51">
        <v>43872</v>
      </c>
      <c r="C73" s="43" t="s">
        <v>23</v>
      </c>
      <c r="D73" s="43" t="s">
        <v>39</v>
      </c>
      <c r="E73" s="43" t="s">
        <v>30</v>
      </c>
      <c r="F73" s="47" t="s">
        <v>60</v>
      </c>
      <c r="G73" s="48">
        <v>0</v>
      </c>
      <c r="H73" s="49">
        <v>2909.9523810000001</v>
      </c>
      <c r="I73" s="50"/>
      <c r="J73" s="50"/>
      <c r="K73" s="47"/>
      <c r="L73" s="49">
        <v>2</v>
      </c>
      <c r="M73" s="47" t="s">
        <v>21</v>
      </c>
      <c r="N73" s="47" t="s">
        <v>55</v>
      </c>
      <c r="O73" s="47" t="s">
        <v>52</v>
      </c>
      <c r="P73" s="47" t="s">
        <v>19</v>
      </c>
      <c r="Q73" s="43" t="s">
        <v>62</v>
      </c>
      <c r="R73" s="49">
        <v>0</v>
      </c>
      <c r="S73" s="49">
        <v>5819.9047620000001</v>
      </c>
    </row>
    <row r="74" spans="2:19" ht="15.75" customHeight="1" x14ac:dyDescent="0.2">
      <c r="B74" s="51">
        <v>43872</v>
      </c>
      <c r="C74" s="43" t="s">
        <v>18</v>
      </c>
      <c r="D74" s="43" t="s">
        <v>26</v>
      </c>
      <c r="E74" s="43" t="s">
        <v>30</v>
      </c>
      <c r="F74" s="43" t="s">
        <v>60</v>
      </c>
      <c r="G74" s="44">
        <v>1890</v>
      </c>
      <c r="H74" s="45">
        <v>0</v>
      </c>
      <c r="I74" s="46"/>
      <c r="J74" s="46"/>
      <c r="K74" s="43"/>
      <c r="L74" s="44">
        <v>2</v>
      </c>
      <c r="M74" s="43" t="s">
        <v>21</v>
      </c>
      <c r="N74" s="43" t="s">
        <v>51</v>
      </c>
      <c r="O74" s="43" t="s">
        <v>52</v>
      </c>
      <c r="P74" s="43" t="s">
        <v>19</v>
      </c>
      <c r="Q74" s="43" t="s">
        <v>65</v>
      </c>
      <c r="R74" s="44">
        <v>3780</v>
      </c>
      <c r="S74" s="44">
        <v>0</v>
      </c>
    </row>
    <row r="75" spans="2:19" ht="15.75" customHeight="1" x14ac:dyDescent="0.2">
      <c r="B75" s="51">
        <v>43872</v>
      </c>
      <c r="C75" s="43" t="s">
        <v>18</v>
      </c>
      <c r="D75" s="43" t="s">
        <v>26</v>
      </c>
      <c r="E75" s="43" t="s">
        <v>30</v>
      </c>
      <c r="F75" s="47" t="s">
        <v>20</v>
      </c>
      <c r="G75" s="48">
        <v>0</v>
      </c>
      <c r="H75" s="49">
        <v>1890</v>
      </c>
      <c r="I75" s="50"/>
      <c r="J75" s="50"/>
      <c r="K75" s="47"/>
      <c r="L75" s="49">
        <v>2</v>
      </c>
      <c r="M75" s="47" t="s">
        <v>21</v>
      </c>
      <c r="N75" s="47" t="s">
        <v>55</v>
      </c>
      <c r="O75" s="47" t="s">
        <v>52</v>
      </c>
      <c r="P75" s="47" t="s">
        <v>19</v>
      </c>
      <c r="Q75" s="43" t="s">
        <v>65</v>
      </c>
      <c r="R75" s="49">
        <v>0</v>
      </c>
      <c r="S75" s="49">
        <v>3780</v>
      </c>
    </row>
    <row r="76" spans="2:19" ht="15.75" customHeight="1" x14ac:dyDescent="0.2">
      <c r="B76" s="51">
        <v>43872</v>
      </c>
      <c r="C76" s="43" t="s">
        <v>23</v>
      </c>
      <c r="D76" s="43" t="s">
        <v>26</v>
      </c>
      <c r="E76" s="43" t="s">
        <v>30</v>
      </c>
      <c r="F76" s="43" t="s">
        <v>60</v>
      </c>
      <c r="G76" s="44">
        <v>1960</v>
      </c>
      <c r="H76" s="45">
        <v>0</v>
      </c>
      <c r="I76" s="46"/>
      <c r="J76" s="46"/>
      <c r="K76" s="43"/>
      <c r="L76" s="44">
        <v>2</v>
      </c>
      <c r="M76" s="43" t="s">
        <v>21</v>
      </c>
      <c r="N76" s="43" t="s">
        <v>51</v>
      </c>
      <c r="O76" s="43" t="s">
        <v>52</v>
      </c>
      <c r="P76" s="43" t="s">
        <v>19</v>
      </c>
      <c r="Q76" s="43" t="s">
        <v>65</v>
      </c>
      <c r="R76" s="44">
        <v>3920</v>
      </c>
      <c r="S76" s="44">
        <v>0</v>
      </c>
    </row>
    <row r="77" spans="2:19" ht="15.75" customHeight="1" x14ac:dyDescent="0.2">
      <c r="B77" s="51">
        <v>43872</v>
      </c>
      <c r="C77" s="43" t="s">
        <v>23</v>
      </c>
      <c r="D77" s="43" t="s">
        <v>26</v>
      </c>
      <c r="E77" s="43" t="s">
        <v>30</v>
      </c>
      <c r="F77" s="47" t="s">
        <v>20</v>
      </c>
      <c r="G77" s="48">
        <v>0</v>
      </c>
      <c r="H77" s="49">
        <v>1960</v>
      </c>
      <c r="I77" s="50"/>
      <c r="J77" s="50"/>
      <c r="K77" s="47"/>
      <c r="L77" s="49">
        <v>2</v>
      </c>
      <c r="M77" s="47" t="s">
        <v>21</v>
      </c>
      <c r="N77" s="47" t="s">
        <v>55</v>
      </c>
      <c r="O77" s="47" t="s">
        <v>52</v>
      </c>
      <c r="P77" s="47" t="s">
        <v>19</v>
      </c>
      <c r="Q77" s="43" t="s">
        <v>65</v>
      </c>
      <c r="R77" s="49">
        <v>0</v>
      </c>
      <c r="S77" s="49">
        <v>3920</v>
      </c>
    </row>
    <row r="78" spans="2:19" ht="15.75" customHeight="1" x14ac:dyDescent="0.2"/>
    <row r="79" spans="2:19" ht="15.75" customHeight="1" x14ac:dyDescent="0.2"/>
    <row r="80" spans="2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66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IFERROR(__xludf.DUMMYFUNCTION("""COMPUTED_VALUE"""),"Modify Date")</f>
        <v>Modify Date</v>
      </c>
      <c r="D5" s="22" t="str">
        <f ca="1">IFERROR(__xludf.DUMMYFUNCTION("""COMPUTED_VALUE"""),"Entry Date")</f>
        <v>Entry Date</v>
      </c>
      <c r="E5" s="22" t="str">
        <f ca="1">IFERROR(__xludf.DUMMYFUNCTION("""COMPUTED_VALUE"""),"DR")</f>
        <v>DR</v>
      </c>
      <c r="F5" s="23" t="str">
        <f ca="1">IFERROR(__xludf.DUMMYFUNCTION("""COMPUTED_VALUE"""),"CR")</f>
        <v>CR</v>
      </c>
      <c r="G5" s="22" t="str">
        <f ca="1">IFERROR(__xludf.DUMMYFUNCTION("""COMPUTED_VALUE"""),"Fx Rate")</f>
        <v>Fx Rate</v>
      </c>
      <c r="H5" s="22" t="str">
        <f ca="1">IFERROR(__xludf.DUMMYFUNCTION("""COMPUTED_VALUE"""),"FX Conversion Method Operator")</f>
        <v>FX Conversion Method Operator</v>
      </c>
      <c r="I5" s="22" t="str">
        <f ca="1">IFERROR(__xludf.DUMMYFUNCTION("""COMPUTED_VALUE"""),"Account Side")</f>
        <v>Account Side</v>
      </c>
      <c r="J5" s="22" t="str">
        <f ca="1">IFERROR(__xludf.DUMMYFUNCTION("""COMPUTED_VALUE"""),"TransactionSource")</f>
        <v>TransactionSource</v>
      </c>
      <c r="K5" s="22" t="str">
        <f ca="1">IFERROR(__xludf.DUMMYFUNCTION("""COMPUTED_VALUE"""),"Currency")</f>
        <v>Currency</v>
      </c>
      <c r="L5" s="22" t="str">
        <f ca="1">IFERROR(__xludf.DUMMYFUNCTION("""COMPUTED_VALUE"""),"Base Currency")</f>
        <v>Base Currency</v>
      </c>
      <c r="M5" s="22" t="str">
        <f ca="1">IFERROR(__xludf.DUMMYFUNCTION("""COMPUTED_VALUE"""),"Symbol")</f>
        <v>Symbol</v>
      </c>
      <c r="N5" s="22" t="str">
        <f ca="1">IFERROR(__xludf.DUMMYFUNCTION("""COMPUTED_VALUE"""),"Description")</f>
        <v>Description</v>
      </c>
      <c r="O5" s="22" t="str">
        <f ca="1">IFERROR(__xludf.DUMMYFUNCTION("""COMPUTED_VALUE"""),"DR (Base)")</f>
        <v>DR (Base)</v>
      </c>
      <c r="P5" s="22" t="str">
        <f ca="1">IFERROR(__xludf.DUMMYFUNCTION("""COMPUTED_VALUE"""),"CR (Base)")</f>
        <v>CR (Base)</v>
      </c>
      <c r="Q5" s="22" t="str">
        <f ca="1">IFERROR(__xludf.DUMMYFUNCTION("""COMPUTED_VALUE"""),"Cash Sub-Account")</f>
        <v>Cash Sub-Account</v>
      </c>
      <c r="R5" s="22" t="str">
        <f ca="1">IFERROR(__xludf.DUMMYFUNCTION("""COMPUTED_VALUE"""),"Account")</f>
        <v>Account</v>
      </c>
      <c r="S5" s="22" t="str">
        <f ca="1">IFERROR(__xludf.DUMMYFUNCTION("""COMPUTED_VALUE"""),"TaxLotId")</f>
        <v>TaxLotId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51">
        <v>43871</v>
      </c>
      <c r="C6" s="46"/>
      <c r="D6" s="46"/>
      <c r="E6" s="44">
        <v>4.9523809520000004</v>
      </c>
      <c r="F6" s="45">
        <v>0</v>
      </c>
      <c r="G6" s="44">
        <v>1.1000000000000001</v>
      </c>
      <c r="H6" s="43" t="s">
        <v>21</v>
      </c>
      <c r="I6" s="43" t="s">
        <v>51</v>
      </c>
      <c r="J6" s="43" t="s">
        <v>67</v>
      </c>
      <c r="K6" s="43" t="s">
        <v>30</v>
      </c>
      <c r="L6" s="43" t="s">
        <v>19</v>
      </c>
      <c r="M6" s="43" t="s">
        <v>26</v>
      </c>
      <c r="N6" s="43"/>
      <c r="O6" s="44">
        <v>5.447619048</v>
      </c>
      <c r="P6" s="44">
        <v>0</v>
      </c>
      <c r="Q6" s="43" t="s">
        <v>58</v>
      </c>
      <c r="R6" s="43" t="s">
        <v>18</v>
      </c>
    </row>
    <row r="7" spans="1:154" ht="15.75" customHeight="1" x14ac:dyDescent="0.2">
      <c r="A7" s="5"/>
      <c r="B7" s="51">
        <v>43871</v>
      </c>
      <c r="C7" s="50"/>
      <c r="D7" s="50"/>
      <c r="E7" s="48">
        <v>0</v>
      </c>
      <c r="F7" s="49">
        <v>4.9523809520000004</v>
      </c>
      <c r="G7" s="49">
        <v>1.1000000000000001</v>
      </c>
      <c r="H7" s="47" t="s">
        <v>21</v>
      </c>
      <c r="I7" s="47" t="s">
        <v>55</v>
      </c>
      <c r="J7" s="47" t="s">
        <v>67</v>
      </c>
      <c r="K7" s="43" t="s">
        <v>30</v>
      </c>
      <c r="L7" s="47" t="s">
        <v>19</v>
      </c>
      <c r="M7" s="43" t="s">
        <v>26</v>
      </c>
      <c r="N7" s="43"/>
      <c r="O7" s="49">
        <v>0</v>
      </c>
      <c r="P7" s="49">
        <v>5.447619048</v>
      </c>
      <c r="Q7" s="47" t="s">
        <v>20</v>
      </c>
      <c r="R7" s="43" t="s">
        <v>18</v>
      </c>
    </row>
    <row r="8" spans="1:154" ht="15.75" customHeight="1" x14ac:dyDescent="0.2">
      <c r="A8" s="5"/>
      <c r="B8" s="51">
        <v>43871</v>
      </c>
      <c r="C8" s="46"/>
      <c r="D8" s="46"/>
      <c r="E8" s="44">
        <v>3640</v>
      </c>
      <c r="F8" s="45">
        <v>0</v>
      </c>
      <c r="G8" s="44">
        <v>1.1000000000000001</v>
      </c>
      <c r="H8" s="43" t="s">
        <v>21</v>
      </c>
      <c r="I8" s="43" t="s">
        <v>51</v>
      </c>
      <c r="J8" s="43" t="s">
        <v>67</v>
      </c>
      <c r="K8" s="43" t="s">
        <v>30</v>
      </c>
      <c r="L8" s="43" t="s">
        <v>19</v>
      </c>
      <c r="M8" s="43" t="s">
        <v>26</v>
      </c>
      <c r="N8" s="43"/>
      <c r="O8" s="44">
        <v>4004</v>
      </c>
      <c r="P8" s="44">
        <v>0</v>
      </c>
      <c r="Q8" s="43" t="s">
        <v>20</v>
      </c>
      <c r="R8" s="43" t="s">
        <v>18</v>
      </c>
    </row>
    <row r="9" spans="1:154" ht="15.75" customHeight="1" x14ac:dyDescent="0.2">
      <c r="A9" s="5"/>
      <c r="B9" s="51">
        <v>43871</v>
      </c>
      <c r="C9" s="50"/>
      <c r="D9" s="50"/>
      <c r="E9" s="48">
        <v>0</v>
      </c>
      <c r="F9" s="49">
        <v>3640</v>
      </c>
      <c r="G9" s="49">
        <v>1.1000000000000001</v>
      </c>
      <c r="H9" s="47" t="s">
        <v>21</v>
      </c>
      <c r="I9" s="47" t="s">
        <v>55</v>
      </c>
      <c r="J9" s="47" t="s">
        <v>67</v>
      </c>
      <c r="K9" s="43" t="s">
        <v>30</v>
      </c>
      <c r="L9" s="47" t="s">
        <v>19</v>
      </c>
      <c r="M9" s="43" t="s">
        <v>26</v>
      </c>
      <c r="N9" s="43"/>
      <c r="O9" s="49">
        <v>0</v>
      </c>
      <c r="P9" s="49">
        <v>4004</v>
      </c>
      <c r="Q9" s="47" t="s">
        <v>58</v>
      </c>
      <c r="R9" s="43" t="s">
        <v>18</v>
      </c>
    </row>
    <row r="10" spans="1:154" ht="15.75" customHeight="1" x14ac:dyDescent="0.2">
      <c r="A10" s="5"/>
      <c r="B10" s="51">
        <v>43871</v>
      </c>
      <c r="C10" s="46"/>
      <c r="D10" s="46"/>
      <c r="E10" s="44">
        <v>5.0476190479999996</v>
      </c>
      <c r="F10" s="45">
        <v>0</v>
      </c>
      <c r="G10" s="44">
        <v>1.1000000000000001</v>
      </c>
      <c r="H10" s="43" t="s">
        <v>21</v>
      </c>
      <c r="I10" s="43" t="s">
        <v>51</v>
      </c>
      <c r="J10" s="43" t="s">
        <v>67</v>
      </c>
      <c r="K10" s="43" t="s">
        <v>30</v>
      </c>
      <c r="L10" s="43" t="s">
        <v>19</v>
      </c>
      <c r="M10" s="43" t="s">
        <v>26</v>
      </c>
      <c r="N10" s="43"/>
      <c r="O10" s="44">
        <v>5.552380952</v>
      </c>
      <c r="P10" s="44">
        <v>0</v>
      </c>
      <c r="Q10" s="43" t="s">
        <v>58</v>
      </c>
      <c r="R10" s="43" t="s">
        <v>23</v>
      </c>
    </row>
    <row r="11" spans="1:154" ht="15.75" customHeight="1" x14ac:dyDescent="0.2">
      <c r="A11" s="5"/>
      <c r="B11" s="51">
        <v>43871</v>
      </c>
      <c r="C11" s="50"/>
      <c r="D11" s="50"/>
      <c r="E11" s="48">
        <v>0</v>
      </c>
      <c r="F11" s="49">
        <v>5.0476190479999996</v>
      </c>
      <c r="G11" s="49">
        <v>1.1000000000000001</v>
      </c>
      <c r="H11" s="47" t="s">
        <v>21</v>
      </c>
      <c r="I11" s="47" t="s">
        <v>55</v>
      </c>
      <c r="J11" s="47" t="s">
        <v>67</v>
      </c>
      <c r="K11" s="43" t="s">
        <v>30</v>
      </c>
      <c r="L11" s="47" t="s">
        <v>19</v>
      </c>
      <c r="M11" s="43" t="s">
        <v>26</v>
      </c>
      <c r="N11" s="43"/>
      <c r="O11" s="49">
        <v>0</v>
      </c>
      <c r="P11" s="49">
        <v>5.552380952</v>
      </c>
      <c r="Q11" s="47" t="s">
        <v>20</v>
      </c>
      <c r="R11" s="43" t="s">
        <v>23</v>
      </c>
    </row>
    <row r="12" spans="1:154" ht="15.75" customHeight="1" x14ac:dyDescent="0.2">
      <c r="A12" s="5"/>
      <c r="B12" s="51">
        <v>43871</v>
      </c>
      <c r="C12" s="46"/>
      <c r="D12" s="46"/>
      <c r="E12" s="44">
        <v>3710</v>
      </c>
      <c r="F12" s="45">
        <v>0</v>
      </c>
      <c r="G12" s="44">
        <v>1.1000000000000001</v>
      </c>
      <c r="H12" s="43" t="s">
        <v>21</v>
      </c>
      <c r="I12" s="43" t="s">
        <v>51</v>
      </c>
      <c r="J12" s="43" t="s">
        <v>67</v>
      </c>
      <c r="K12" s="43" t="s">
        <v>30</v>
      </c>
      <c r="L12" s="43" t="s">
        <v>19</v>
      </c>
      <c r="M12" s="43" t="s">
        <v>26</v>
      </c>
      <c r="N12" s="43"/>
      <c r="O12" s="44">
        <v>4081</v>
      </c>
      <c r="P12" s="44">
        <v>0</v>
      </c>
      <c r="Q12" s="43" t="s">
        <v>20</v>
      </c>
      <c r="R12" s="43" t="s">
        <v>23</v>
      </c>
    </row>
    <row r="13" spans="1:154" ht="15.75" customHeight="1" x14ac:dyDescent="0.2">
      <c r="A13" s="5"/>
      <c r="B13" s="51">
        <v>43871</v>
      </c>
      <c r="C13" s="50"/>
      <c r="D13" s="50"/>
      <c r="E13" s="48">
        <v>0</v>
      </c>
      <c r="F13" s="49">
        <v>3710</v>
      </c>
      <c r="G13" s="49">
        <v>1.1000000000000001</v>
      </c>
      <c r="H13" s="47" t="s">
        <v>21</v>
      </c>
      <c r="I13" s="47" t="s">
        <v>55</v>
      </c>
      <c r="J13" s="47" t="s">
        <v>67</v>
      </c>
      <c r="K13" s="43" t="s">
        <v>30</v>
      </c>
      <c r="L13" s="47" t="s">
        <v>19</v>
      </c>
      <c r="M13" s="43" t="s">
        <v>26</v>
      </c>
      <c r="N13" s="43"/>
      <c r="O13" s="49">
        <v>0</v>
      </c>
      <c r="P13" s="49">
        <v>4081</v>
      </c>
      <c r="Q13" s="47" t="s">
        <v>58</v>
      </c>
      <c r="R13" s="43" t="s">
        <v>23</v>
      </c>
    </row>
    <row r="14" spans="1:154" ht="15.75" customHeight="1" x14ac:dyDescent="0.2">
      <c r="A14" s="5"/>
      <c r="B14" s="51">
        <v>43872</v>
      </c>
      <c r="C14" s="46"/>
      <c r="D14" s="46"/>
      <c r="E14" s="44">
        <v>4.9523809520000004</v>
      </c>
      <c r="F14" s="45">
        <v>0</v>
      </c>
      <c r="G14" s="44">
        <v>1.1000000000000001</v>
      </c>
      <c r="H14" s="43" t="s">
        <v>21</v>
      </c>
      <c r="I14" s="43" t="s">
        <v>51</v>
      </c>
      <c r="J14" s="43" t="s">
        <v>67</v>
      </c>
      <c r="K14" s="43" t="s">
        <v>30</v>
      </c>
      <c r="L14" s="43" t="s">
        <v>19</v>
      </c>
      <c r="M14" s="43" t="s">
        <v>26</v>
      </c>
      <c r="N14" s="43"/>
      <c r="O14" s="44">
        <v>5.447619048</v>
      </c>
      <c r="P14" s="44">
        <v>0</v>
      </c>
      <c r="Q14" s="43" t="s">
        <v>58</v>
      </c>
      <c r="R14" s="43" t="s">
        <v>18</v>
      </c>
    </row>
    <row r="15" spans="1:154" ht="15.75" customHeight="1" x14ac:dyDescent="0.2">
      <c r="A15" s="5"/>
      <c r="B15" s="51">
        <v>43872</v>
      </c>
      <c r="C15" s="50"/>
      <c r="D15" s="50"/>
      <c r="E15" s="48">
        <v>0</v>
      </c>
      <c r="F15" s="49">
        <v>4.9523809520000004</v>
      </c>
      <c r="G15" s="49">
        <v>1.1000000000000001</v>
      </c>
      <c r="H15" s="47" t="s">
        <v>21</v>
      </c>
      <c r="I15" s="47" t="s">
        <v>55</v>
      </c>
      <c r="J15" s="47" t="s">
        <v>67</v>
      </c>
      <c r="K15" s="43" t="s">
        <v>30</v>
      </c>
      <c r="L15" s="47" t="s">
        <v>19</v>
      </c>
      <c r="M15" s="43" t="s">
        <v>26</v>
      </c>
      <c r="N15" s="43"/>
      <c r="O15" s="49">
        <v>0</v>
      </c>
      <c r="P15" s="49">
        <v>5.447619048</v>
      </c>
      <c r="Q15" s="47" t="s">
        <v>20</v>
      </c>
      <c r="R15" s="43" t="s">
        <v>18</v>
      </c>
    </row>
    <row r="16" spans="1:154" ht="15.75" customHeight="1" x14ac:dyDescent="0.2">
      <c r="A16" s="5"/>
      <c r="B16" s="51">
        <v>43872</v>
      </c>
      <c r="C16" s="46"/>
      <c r="D16" s="46"/>
      <c r="E16" s="44">
        <v>3640</v>
      </c>
      <c r="F16" s="45">
        <v>0</v>
      </c>
      <c r="G16" s="44">
        <v>1.1000000000000001</v>
      </c>
      <c r="H16" s="43" t="s">
        <v>21</v>
      </c>
      <c r="I16" s="43" t="s">
        <v>51</v>
      </c>
      <c r="J16" s="43" t="s">
        <v>67</v>
      </c>
      <c r="K16" s="43" t="s">
        <v>30</v>
      </c>
      <c r="L16" s="43" t="s">
        <v>19</v>
      </c>
      <c r="M16" s="43" t="s">
        <v>26</v>
      </c>
      <c r="N16" s="43"/>
      <c r="O16" s="44">
        <v>4004</v>
      </c>
      <c r="P16" s="44">
        <v>0</v>
      </c>
      <c r="Q16" s="43" t="s">
        <v>20</v>
      </c>
      <c r="R16" s="43" t="s">
        <v>18</v>
      </c>
    </row>
    <row r="17" spans="1:18" ht="15.75" customHeight="1" x14ac:dyDescent="0.2">
      <c r="A17" s="5"/>
      <c r="B17" s="51">
        <v>43872</v>
      </c>
      <c r="C17" s="50"/>
      <c r="D17" s="50"/>
      <c r="E17" s="48">
        <v>0</v>
      </c>
      <c r="F17" s="49">
        <v>3640</v>
      </c>
      <c r="G17" s="49">
        <v>1.1000000000000001</v>
      </c>
      <c r="H17" s="47" t="s">
        <v>21</v>
      </c>
      <c r="I17" s="47" t="s">
        <v>55</v>
      </c>
      <c r="J17" s="47" t="s">
        <v>67</v>
      </c>
      <c r="K17" s="43" t="s">
        <v>30</v>
      </c>
      <c r="L17" s="47" t="s">
        <v>19</v>
      </c>
      <c r="M17" s="43" t="s">
        <v>26</v>
      </c>
      <c r="N17" s="43"/>
      <c r="O17" s="49">
        <v>0</v>
      </c>
      <c r="P17" s="49">
        <v>4004</v>
      </c>
      <c r="Q17" s="47" t="s">
        <v>58</v>
      </c>
      <c r="R17" s="43" t="s">
        <v>18</v>
      </c>
    </row>
    <row r="18" spans="1:18" ht="15.75" customHeight="1" x14ac:dyDescent="0.2">
      <c r="A18" s="5"/>
      <c r="B18" s="51">
        <v>43872</v>
      </c>
      <c r="C18" s="46"/>
      <c r="D18" s="46"/>
      <c r="E18" s="44">
        <v>5.0476190479999996</v>
      </c>
      <c r="F18" s="45">
        <v>0</v>
      </c>
      <c r="G18" s="44">
        <v>1.1000000000000001</v>
      </c>
      <c r="H18" s="43" t="s">
        <v>21</v>
      </c>
      <c r="I18" s="43" t="s">
        <v>51</v>
      </c>
      <c r="J18" s="43" t="s">
        <v>67</v>
      </c>
      <c r="K18" s="43" t="s">
        <v>30</v>
      </c>
      <c r="L18" s="43" t="s">
        <v>19</v>
      </c>
      <c r="M18" s="43" t="s">
        <v>26</v>
      </c>
      <c r="N18" s="43"/>
      <c r="O18" s="44">
        <v>5.552380952</v>
      </c>
      <c r="P18" s="44">
        <v>0</v>
      </c>
      <c r="Q18" s="43" t="s">
        <v>58</v>
      </c>
      <c r="R18" s="43" t="s">
        <v>23</v>
      </c>
    </row>
    <row r="19" spans="1:18" ht="15.75" customHeight="1" x14ac:dyDescent="0.2">
      <c r="A19" s="5"/>
      <c r="B19" s="51">
        <v>43872</v>
      </c>
      <c r="C19" s="50"/>
      <c r="D19" s="50"/>
      <c r="E19" s="48">
        <v>0</v>
      </c>
      <c r="F19" s="49">
        <v>5.0476190479999996</v>
      </c>
      <c r="G19" s="49">
        <v>1.1000000000000001</v>
      </c>
      <c r="H19" s="47" t="s">
        <v>21</v>
      </c>
      <c r="I19" s="47" t="s">
        <v>55</v>
      </c>
      <c r="J19" s="47" t="s">
        <v>67</v>
      </c>
      <c r="K19" s="43" t="s">
        <v>30</v>
      </c>
      <c r="L19" s="47" t="s">
        <v>19</v>
      </c>
      <c r="M19" s="43" t="s">
        <v>26</v>
      </c>
      <c r="N19" s="43"/>
      <c r="O19" s="49">
        <v>0</v>
      </c>
      <c r="P19" s="49">
        <v>5.552380952</v>
      </c>
      <c r="Q19" s="47" t="s">
        <v>20</v>
      </c>
      <c r="R19" s="43" t="s">
        <v>23</v>
      </c>
    </row>
    <row r="20" spans="1:18" ht="15.75" customHeight="1" x14ac:dyDescent="0.2">
      <c r="A20" s="5"/>
      <c r="B20" s="51">
        <v>43872</v>
      </c>
      <c r="C20" s="46"/>
      <c r="D20" s="46"/>
      <c r="E20" s="44">
        <v>3710</v>
      </c>
      <c r="F20" s="45">
        <v>0</v>
      </c>
      <c r="G20" s="44">
        <v>1.1000000000000001</v>
      </c>
      <c r="H20" s="43" t="s">
        <v>21</v>
      </c>
      <c r="I20" s="43" t="s">
        <v>51</v>
      </c>
      <c r="J20" s="43" t="s">
        <v>67</v>
      </c>
      <c r="K20" s="43" t="s">
        <v>30</v>
      </c>
      <c r="L20" s="43" t="s">
        <v>19</v>
      </c>
      <c r="M20" s="43" t="s">
        <v>26</v>
      </c>
      <c r="N20" s="43"/>
      <c r="O20" s="44">
        <v>4081</v>
      </c>
      <c r="P20" s="44">
        <v>0</v>
      </c>
      <c r="Q20" s="43" t="s">
        <v>20</v>
      </c>
      <c r="R20" s="43" t="s">
        <v>23</v>
      </c>
    </row>
    <row r="21" spans="1:18" ht="15.75" customHeight="1" x14ac:dyDescent="0.2">
      <c r="A21" s="5"/>
      <c r="B21" s="51">
        <v>43872</v>
      </c>
      <c r="C21" s="50"/>
      <c r="D21" s="50"/>
      <c r="E21" s="48">
        <v>0</v>
      </c>
      <c r="F21" s="49">
        <v>3710</v>
      </c>
      <c r="G21" s="49">
        <v>1.1000000000000001</v>
      </c>
      <c r="H21" s="47" t="s">
        <v>21</v>
      </c>
      <c r="I21" s="47" t="s">
        <v>55</v>
      </c>
      <c r="J21" s="47" t="s">
        <v>67</v>
      </c>
      <c r="K21" s="43" t="s">
        <v>30</v>
      </c>
      <c r="L21" s="47" t="s">
        <v>19</v>
      </c>
      <c r="M21" s="43" t="s">
        <v>26</v>
      </c>
      <c r="N21" s="43"/>
      <c r="O21" s="49">
        <v>0</v>
      </c>
      <c r="P21" s="49">
        <v>4081</v>
      </c>
      <c r="Q21" s="47" t="s">
        <v>58</v>
      </c>
      <c r="R21" s="43" t="s">
        <v>23</v>
      </c>
    </row>
    <row r="22" spans="1:18" ht="15.75" customHeight="1" x14ac:dyDescent="0.2">
      <c r="A22" s="5"/>
      <c r="B22" s="51">
        <v>43872</v>
      </c>
      <c r="C22" s="46"/>
      <c r="D22" s="46"/>
      <c r="E22" s="44">
        <v>4.9523809520000004</v>
      </c>
      <c r="F22" s="45">
        <v>0</v>
      </c>
      <c r="G22" s="44">
        <v>1.1000000000000001</v>
      </c>
      <c r="H22" s="43" t="s">
        <v>21</v>
      </c>
      <c r="I22" s="43" t="s">
        <v>51</v>
      </c>
      <c r="J22" s="43" t="s">
        <v>67</v>
      </c>
      <c r="K22" s="43" t="s">
        <v>30</v>
      </c>
      <c r="L22" s="43" t="s">
        <v>19</v>
      </c>
      <c r="M22" s="43" t="s">
        <v>39</v>
      </c>
      <c r="N22" s="43"/>
      <c r="O22" s="44">
        <v>5.447619048</v>
      </c>
      <c r="P22" s="44">
        <v>0</v>
      </c>
      <c r="Q22" s="43" t="s">
        <v>58</v>
      </c>
      <c r="R22" s="43" t="s">
        <v>18</v>
      </c>
    </row>
    <row r="23" spans="1:18" ht="15.75" customHeight="1" x14ac:dyDescent="0.2">
      <c r="A23" s="5"/>
      <c r="B23" s="51">
        <v>43872</v>
      </c>
      <c r="C23" s="50"/>
      <c r="D23" s="50"/>
      <c r="E23" s="48">
        <v>0</v>
      </c>
      <c r="F23" s="49">
        <v>4.9523809520000004</v>
      </c>
      <c r="G23" s="49">
        <v>1.1000000000000001</v>
      </c>
      <c r="H23" s="47" t="s">
        <v>21</v>
      </c>
      <c r="I23" s="47" t="s">
        <v>55</v>
      </c>
      <c r="J23" s="47" t="s">
        <v>67</v>
      </c>
      <c r="K23" s="43" t="s">
        <v>30</v>
      </c>
      <c r="L23" s="47" t="s">
        <v>19</v>
      </c>
      <c r="M23" s="43" t="s">
        <v>39</v>
      </c>
      <c r="N23" s="43"/>
      <c r="O23" s="49">
        <v>0</v>
      </c>
      <c r="P23" s="49">
        <v>5.447619048</v>
      </c>
      <c r="Q23" s="47" t="s">
        <v>20</v>
      </c>
      <c r="R23" s="43" t="s">
        <v>18</v>
      </c>
    </row>
    <row r="24" spans="1:18" ht="15.75" customHeight="1" x14ac:dyDescent="0.2">
      <c r="A24" s="5"/>
      <c r="B24" s="51">
        <v>43872</v>
      </c>
      <c r="C24" s="46"/>
      <c r="D24" s="46"/>
      <c r="E24" s="44">
        <v>2860</v>
      </c>
      <c r="F24" s="45">
        <v>0</v>
      </c>
      <c r="G24" s="44">
        <v>1.1000000000000001</v>
      </c>
      <c r="H24" s="43" t="s">
        <v>21</v>
      </c>
      <c r="I24" s="43" t="s">
        <v>51</v>
      </c>
      <c r="J24" s="43" t="s">
        <v>67</v>
      </c>
      <c r="K24" s="43" t="s">
        <v>30</v>
      </c>
      <c r="L24" s="43" t="s">
        <v>19</v>
      </c>
      <c r="M24" s="43" t="s">
        <v>39</v>
      </c>
      <c r="N24" s="43"/>
      <c r="O24" s="44">
        <v>3146</v>
      </c>
      <c r="P24" s="44">
        <v>0</v>
      </c>
      <c r="Q24" s="43" t="s">
        <v>20</v>
      </c>
      <c r="R24" s="43" t="s">
        <v>18</v>
      </c>
    </row>
    <row r="25" spans="1:18" ht="15.75" customHeight="1" x14ac:dyDescent="0.2">
      <c r="A25" s="5"/>
      <c r="B25" s="51">
        <v>43872</v>
      </c>
      <c r="C25" s="50"/>
      <c r="D25" s="50"/>
      <c r="E25" s="48">
        <v>0</v>
      </c>
      <c r="F25" s="49">
        <v>2860</v>
      </c>
      <c r="G25" s="49">
        <v>1.1000000000000001</v>
      </c>
      <c r="H25" s="47" t="s">
        <v>21</v>
      </c>
      <c r="I25" s="47" t="s">
        <v>55</v>
      </c>
      <c r="J25" s="47" t="s">
        <v>67</v>
      </c>
      <c r="K25" s="43" t="s">
        <v>30</v>
      </c>
      <c r="L25" s="47" t="s">
        <v>19</v>
      </c>
      <c r="M25" s="43" t="s">
        <v>39</v>
      </c>
      <c r="N25" s="43"/>
      <c r="O25" s="49">
        <v>0</v>
      </c>
      <c r="P25" s="49">
        <v>3146</v>
      </c>
      <c r="Q25" s="47" t="s">
        <v>58</v>
      </c>
      <c r="R25" s="43" t="s">
        <v>18</v>
      </c>
    </row>
    <row r="26" spans="1:18" ht="15.75" customHeight="1" x14ac:dyDescent="0.2">
      <c r="A26" s="5"/>
      <c r="B26" s="51">
        <v>43872</v>
      </c>
      <c r="C26" s="46"/>
      <c r="D26" s="46"/>
      <c r="E26" s="44">
        <v>5.0476190479999996</v>
      </c>
      <c r="F26" s="45">
        <v>0</v>
      </c>
      <c r="G26" s="44">
        <v>1.1000000000000001</v>
      </c>
      <c r="H26" s="43" t="s">
        <v>21</v>
      </c>
      <c r="I26" s="43" t="s">
        <v>51</v>
      </c>
      <c r="J26" s="43" t="s">
        <v>67</v>
      </c>
      <c r="K26" s="43" t="s">
        <v>30</v>
      </c>
      <c r="L26" s="43" t="s">
        <v>19</v>
      </c>
      <c r="M26" s="43" t="s">
        <v>39</v>
      </c>
      <c r="N26" s="43"/>
      <c r="O26" s="44">
        <v>5.552380952</v>
      </c>
      <c r="P26" s="44">
        <v>0</v>
      </c>
      <c r="Q26" s="43" t="s">
        <v>58</v>
      </c>
      <c r="R26" s="43" t="s">
        <v>23</v>
      </c>
    </row>
    <row r="27" spans="1:18" ht="15.75" customHeight="1" x14ac:dyDescent="0.2">
      <c r="B27" s="51">
        <v>43872</v>
      </c>
      <c r="C27" s="50"/>
      <c r="D27" s="50"/>
      <c r="E27" s="48">
        <v>0</v>
      </c>
      <c r="F27" s="49">
        <v>5.0476190479999996</v>
      </c>
      <c r="G27" s="49">
        <v>1.1000000000000001</v>
      </c>
      <c r="H27" s="47" t="s">
        <v>21</v>
      </c>
      <c r="I27" s="47" t="s">
        <v>55</v>
      </c>
      <c r="J27" s="47" t="s">
        <v>67</v>
      </c>
      <c r="K27" s="43" t="s">
        <v>30</v>
      </c>
      <c r="L27" s="47" t="s">
        <v>19</v>
      </c>
      <c r="M27" s="43" t="s">
        <v>39</v>
      </c>
      <c r="N27" s="43"/>
      <c r="O27" s="49">
        <v>0</v>
      </c>
      <c r="P27" s="49">
        <v>5.552380952</v>
      </c>
      <c r="Q27" s="47" t="s">
        <v>20</v>
      </c>
      <c r="R27" s="43" t="s">
        <v>23</v>
      </c>
    </row>
    <row r="28" spans="1:18" ht="15.75" customHeight="1" x14ac:dyDescent="0.2">
      <c r="B28" s="51">
        <v>43872</v>
      </c>
      <c r="C28" s="46"/>
      <c r="D28" s="46"/>
      <c r="E28" s="44">
        <v>2915</v>
      </c>
      <c r="F28" s="45">
        <v>0</v>
      </c>
      <c r="G28" s="44">
        <v>1.1000000000000001</v>
      </c>
      <c r="H28" s="43" t="s">
        <v>21</v>
      </c>
      <c r="I28" s="43" t="s">
        <v>51</v>
      </c>
      <c r="J28" s="43" t="s">
        <v>67</v>
      </c>
      <c r="K28" s="43" t="s">
        <v>30</v>
      </c>
      <c r="L28" s="43" t="s">
        <v>19</v>
      </c>
      <c r="M28" s="43" t="s">
        <v>39</v>
      </c>
      <c r="N28" s="43"/>
      <c r="O28" s="44">
        <v>3206.5</v>
      </c>
      <c r="P28" s="44">
        <v>0</v>
      </c>
      <c r="Q28" s="43" t="s">
        <v>20</v>
      </c>
      <c r="R28" s="43" t="s">
        <v>23</v>
      </c>
    </row>
    <row r="29" spans="1:18" ht="15.75" customHeight="1" x14ac:dyDescent="0.2">
      <c r="B29" s="51">
        <v>43872</v>
      </c>
      <c r="C29" s="50"/>
      <c r="D29" s="50"/>
      <c r="E29" s="48">
        <v>0</v>
      </c>
      <c r="F29" s="49">
        <v>2915</v>
      </c>
      <c r="G29" s="49">
        <v>1.1000000000000001</v>
      </c>
      <c r="H29" s="47" t="s">
        <v>21</v>
      </c>
      <c r="I29" s="47" t="s">
        <v>55</v>
      </c>
      <c r="J29" s="47" t="s">
        <v>67</v>
      </c>
      <c r="K29" s="43" t="s">
        <v>30</v>
      </c>
      <c r="L29" s="47" t="s">
        <v>19</v>
      </c>
      <c r="M29" s="43" t="s">
        <v>39</v>
      </c>
      <c r="N29" s="43"/>
      <c r="O29" s="49">
        <v>0</v>
      </c>
      <c r="P29" s="49">
        <v>3206.5</v>
      </c>
      <c r="Q29" s="47" t="s">
        <v>58</v>
      </c>
      <c r="R29" s="43" t="s">
        <v>23</v>
      </c>
    </row>
    <row r="30" spans="1:18" ht="15.75" customHeight="1" x14ac:dyDescent="0.2">
      <c r="B30" s="51">
        <v>43872</v>
      </c>
      <c r="C30" s="46"/>
      <c r="D30" s="46"/>
      <c r="E30" s="44">
        <v>1890</v>
      </c>
      <c r="F30" s="45">
        <v>0</v>
      </c>
      <c r="G30" s="44">
        <v>1.1000000000000001</v>
      </c>
      <c r="H30" s="43" t="s">
        <v>21</v>
      </c>
      <c r="I30" s="43" t="s">
        <v>51</v>
      </c>
      <c r="J30" s="43" t="s">
        <v>67</v>
      </c>
      <c r="K30" s="43" t="s">
        <v>30</v>
      </c>
      <c r="L30" s="43" t="s">
        <v>19</v>
      </c>
      <c r="M30" s="43" t="s">
        <v>26</v>
      </c>
      <c r="N30" s="43"/>
      <c r="O30" s="44">
        <v>2079</v>
      </c>
      <c r="P30" s="44">
        <v>0</v>
      </c>
      <c r="Q30" s="43" t="s">
        <v>58</v>
      </c>
      <c r="R30" s="43" t="s">
        <v>18</v>
      </c>
    </row>
    <row r="31" spans="1:18" ht="15.75" customHeight="1" x14ac:dyDescent="0.2">
      <c r="B31" s="51">
        <v>43872</v>
      </c>
      <c r="C31" s="50"/>
      <c r="D31" s="50"/>
      <c r="E31" s="48">
        <v>0</v>
      </c>
      <c r="F31" s="49">
        <v>1890</v>
      </c>
      <c r="G31" s="49">
        <v>1.1000000000000001</v>
      </c>
      <c r="H31" s="47" t="s">
        <v>21</v>
      </c>
      <c r="I31" s="47" t="s">
        <v>55</v>
      </c>
      <c r="J31" s="47" t="s">
        <v>67</v>
      </c>
      <c r="K31" s="43" t="s">
        <v>30</v>
      </c>
      <c r="L31" s="47" t="s">
        <v>19</v>
      </c>
      <c r="M31" s="43" t="s">
        <v>26</v>
      </c>
      <c r="N31" s="43"/>
      <c r="O31" s="49">
        <v>0</v>
      </c>
      <c r="P31" s="49">
        <v>2079</v>
      </c>
      <c r="Q31" s="47" t="s">
        <v>20</v>
      </c>
      <c r="R31" s="43" t="s">
        <v>18</v>
      </c>
    </row>
    <row r="32" spans="1:18" ht="15.75" customHeight="1" x14ac:dyDescent="0.2">
      <c r="B32" s="51">
        <v>43872</v>
      </c>
      <c r="C32" s="46"/>
      <c r="D32" s="46"/>
      <c r="E32" s="44">
        <v>1960</v>
      </c>
      <c r="F32" s="45">
        <v>0</v>
      </c>
      <c r="G32" s="44">
        <v>1.1000000000000001</v>
      </c>
      <c r="H32" s="43" t="s">
        <v>21</v>
      </c>
      <c r="I32" s="43" t="s">
        <v>51</v>
      </c>
      <c r="J32" s="43" t="s">
        <v>67</v>
      </c>
      <c r="K32" s="43" t="s">
        <v>30</v>
      </c>
      <c r="L32" s="43" t="s">
        <v>19</v>
      </c>
      <c r="M32" s="43" t="s">
        <v>26</v>
      </c>
      <c r="N32" s="43"/>
      <c r="O32" s="44">
        <v>2156</v>
      </c>
      <c r="P32" s="44">
        <v>0</v>
      </c>
      <c r="Q32" s="43" t="s">
        <v>58</v>
      </c>
      <c r="R32" s="43" t="s">
        <v>23</v>
      </c>
    </row>
    <row r="33" spans="2:18" ht="15.75" customHeight="1" x14ac:dyDescent="0.2">
      <c r="B33" s="51">
        <v>43872</v>
      </c>
      <c r="C33" s="50"/>
      <c r="D33" s="50"/>
      <c r="E33" s="48">
        <v>0</v>
      </c>
      <c r="F33" s="49">
        <v>1960</v>
      </c>
      <c r="G33" s="49">
        <v>1.1000000000000001</v>
      </c>
      <c r="H33" s="47" t="s">
        <v>21</v>
      </c>
      <c r="I33" s="47" t="s">
        <v>55</v>
      </c>
      <c r="J33" s="47" t="s">
        <v>67</v>
      </c>
      <c r="K33" s="43" t="s">
        <v>30</v>
      </c>
      <c r="L33" s="47" t="s">
        <v>19</v>
      </c>
      <c r="M33" s="43" t="s">
        <v>26</v>
      </c>
      <c r="N33" s="43"/>
      <c r="O33" s="49">
        <v>0</v>
      </c>
      <c r="P33" s="49">
        <v>2156</v>
      </c>
      <c r="Q33" s="47" t="s">
        <v>20</v>
      </c>
      <c r="R33" s="43" t="s">
        <v>23</v>
      </c>
    </row>
    <row r="34" spans="2:18" ht="15.75" customHeight="1" x14ac:dyDescent="0.2"/>
    <row r="35" spans="2:18" ht="15.75" customHeight="1" x14ac:dyDescent="0.2"/>
    <row r="36" spans="2:18" ht="15.75" customHeight="1" x14ac:dyDescent="0.2"/>
    <row r="37" spans="2:18" ht="15.75" customHeight="1" x14ac:dyDescent="0.2"/>
    <row r="38" spans="2:18" ht="15.75" customHeight="1" x14ac:dyDescent="0.2"/>
    <row r="39" spans="2:18" ht="15.75" customHeight="1" x14ac:dyDescent="0.2"/>
    <row r="40" spans="2:18" ht="15.75" customHeight="1" x14ac:dyDescent="0.2"/>
    <row r="41" spans="2:18" ht="15.75" customHeight="1" x14ac:dyDescent="0.2"/>
    <row r="42" spans="2:18" ht="15.75" customHeight="1" x14ac:dyDescent="0.2"/>
    <row r="43" spans="2:18" ht="15.75" customHeight="1" x14ac:dyDescent="0.2"/>
    <row r="44" spans="2:18" ht="15.75" customHeight="1" x14ac:dyDescent="0.2"/>
    <row r="45" spans="2:18" ht="15.75" customHeight="1" x14ac:dyDescent="0.2"/>
    <row r="46" spans="2:18" ht="15.75" customHeight="1" x14ac:dyDescent="0.2"/>
    <row r="47" spans="2:18" ht="15.75" customHeight="1" x14ac:dyDescent="0.2"/>
    <row r="48" spans="2:1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68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IFERROR(__xludf.DUMMYFUNCTION("""COMPUTED_VALUE"""),"From")</f>
        <v>From</v>
      </c>
      <c r="E5" s="22" t="str">
        <f ca="1">IFERROR(__xludf.DUMMYFUNCTION("""COMPUTED_VALUE"""),"To")</f>
        <v>To</v>
      </c>
      <c r="F5" s="23" t="str">
        <f ca="1">IFERROR(__xludf.DUMMYFUNCTION("""COMPUTED_VALUE"""),"SettlementDate")</f>
        <v>SettlementDate</v>
      </c>
      <c r="G5" s="22" t="str">
        <f ca="1">IFERROR(__xludf.DUMMYFUNCTION("""COMPUTED_VALUE"""),"TradeDate")</f>
        <v>TradeDate</v>
      </c>
      <c r="H5" s="22" t="str">
        <f ca="1">IFERROR(__xludf.DUMMYFUNCTION("""COMPUTED_VALUE"""),"All")</f>
        <v>All</v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43872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8"/>
  <sheetViews>
    <sheetView tabSelected="1" workbookViewId="0">
      <selection activeCell="G19" sqref="G1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69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IFERROR(__xludf.DUMMYFUNCTION("""COMPUTED_VALUE"""),"Activity Source")</f>
        <v>Activity Source</v>
      </c>
      <c r="D5" s="22" t="str">
        <f ca="1">IFERROR(__xludf.DUMMYFUNCTION("""COMPUTED_VALUE"""),"ActivityType")</f>
        <v>ActivityType</v>
      </c>
      <c r="E5" s="22" t="str">
        <f ca="1">IFERROR(__xludf.DUMMYFUNCTION("""COMPUTED_VALUE"""),"Net Amount(Local)")</f>
        <v>Net Amount(Local)</v>
      </c>
      <c r="F5" s="23" t="str">
        <f ca="1">IFERROR(__xludf.DUMMYFUNCTION("""COMPUTED_VALUE"""),"AUEC Fee1")</f>
        <v>AUEC Fee1</v>
      </c>
      <c r="G5" s="22" t="str">
        <f ca="1">IFERROR(__xludf.DUMMYFUNCTION("""COMPUTED_VALUE"""),"AUEC Fee2")</f>
        <v>AUEC Fee2</v>
      </c>
      <c r="H5" s="22" t="str">
        <f ca="1">IFERROR(__xludf.DUMMYFUNCTION("""COMPUTED_VALUE"""),"Balance Type")</f>
        <v>Balance Type</v>
      </c>
      <c r="I5" s="22" t="str">
        <f ca="1">IFERROR(__xludf.DUMMYFUNCTION("""COMPUTED_VALUE"""),"Clearing Broker Fees")</f>
        <v>Clearing Broker Fees</v>
      </c>
      <c r="J5" s="22" t="str">
        <f ca="1">IFERROR(__xludf.DUMMYFUNCTION("""COMPUTED_VALUE"""),"Commission")</f>
        <v>Commission</v>
      </c>
      <c r="K5" s="22" t="str">
        <f ca="1">IFERROR(__xludf.DUMMYFUNCTION("""COMPUTED_VALUE"""),"Currency")</f>
        <v>Currency</v>
      </c>
      <c r="L5" s="22" t="str">
        <f ca="1">IFERROR(__xludf.DUMMYFUNCTION("""COMPUTED_VALUE"""),"Description")</f>
        <v>Description</v>
      </c>
      <c r="M5" s="22" t="str">
        <f ca="1">IFERROR(__xludf.DUMMYFUNCTION("""COMPUTED_VALUE"""),"Entry Date")</f>
        <v>Entry Date</v>
      </c>
      <c r="N5" s="22" t="str">
        <f ca="1">IFERROR(__xludf.DUMMYFUNCTION("""COMPUTED_VALUE"""),"FX Conversion Method Operator")</f>
        <v>FX Conversion Method Operator</v>
      </c>
      <c r="O5" s="22" t="str">
        <f ca="1">IFERROR(__xludf.DUMMYFUNCTION("""COMPUTED_VALUE"""),"Fx Rate")</f>
        <v>Fx Rate</v>
      </c>
      <c r="P5" s="22" t="str">
        <f ca="1">IFERROR(__xludf.DUMMYFUNCTION("""COMPUTED_VALUE"""),"Lead Currency")</f>
        <v>Lead Currency</v>
      </c>
      <c r="Q5" s="22" t="str">
        <f ca="1">IFERROR(__xludf.DUMMYFUNCTION("""COMPUTED_VALUE"""),"Modify date")</f>
        <v>Modify date</v>
      </c>
      <c r="R5" s="22" t="str">
        <f ca="1">IFERROR(__xludf.DUMMYFUNCTION("""COMPUTED_VALUE"""),"OCC Fee")</f>
        <v>OCC Fee</v>
      </c>
      <c r="S5" s="22" t="str">
        <f ca="1">IFERROR(__xludf.DUMMYFUNCTION("""COMPUTED_VALUE"""),"OptionPremiumAdjustment")</f>
        <v>OptionPremiumAdjustment</v>
      </c>
      <c r="T5" s="24" t="str">
        <f ca="1">IFERROR(__xludf.DUMMYFUNCTION("""COMPUTED_VALUE"""),"ORF Fee")</f>
        <v>ORF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IFERROR(__xludf.DUMMYFUNCTION("""COMPUTED_VALUE"""),"Quantity")</f>
        <v>Quantity</v>
      </c>
      <c r="W5" s="24" t="str">
        <f ca="1">IFERROR(__xludf.DUMMYFUNCTION("""COMPUTED_VALUE"""),"SEC Fee")</f>
        <v>SEC Fee</v>
      </c>
      <c r="X5" s="24" t="str">
        <f ca="1">IFERROR(__xludf.DUMMYFUNCTION("""COMPUTED_VALUE"""),"Settlement Currency")</f>
        <v>Settlement Currency</v>
      </c>
      <c r="Y5" s="24" t="str">
        <f ca="1">IFERROR(__xludf.DUMMYFUNCTION("""COMPUTED_VALUE"""),"Settlement Date")</f>
        <v>Settlement Date</v>
      </c>
      <c r="Z5" s="24" t="str">
        <f ca="1">IFERROR(__xludf.DUMMYFUNCTION("""COMPUTED_VALUE"""),"Soft Commission")</f>
        <v>Soft Commission</v>
      </c>
      <c r="AA5" s="24" t="str">
        <f ca="1">IFERROR(__xludf.DUMMYFUNCTION("""COMPUTED_VALUE"""),"Stamp Duty")</f>
        <v>Stamp Duty</v>
      </c>
      <c r="AB5" s="24" t="str">
        <f ca="1">IFERROR(__xludf.DUMMYFUNCTION("""COMPUTED_VALUE"""),"Symbol")</f>
        <v>Symbol</v>
      </c>
      <c r="AC5" s="24" t="str">
        <f ca="1">IFERROR(__xludf.DUMMYFUNCTION("""COMPUTED_VALUE"""),"Tax On Commissions")</f>
        <v>Tax On Commissions</v>
      </c>
      <c r="AD5" s="24" t="str">
        <f ca="1">IFERROR(__xludf.DUMMYFUNCTION("""COMPUTED_VALUE"""),"Total Commissions")</f>
        <v>Total Commissions</v>
      </c>
      <c r="AE5" s="24" t="str">
        <f ca="1">IFERROR(__xludf.DUMMYFUNCTION("""COMPUTED_VALUE"""),"Trade Date")</f>
        <v>Trade Date</v>
      </c>
      <c r="AF5" s="24" t="str">
        <f ca="1">IFERROR(__xludf.DUMMYFUNCTION("""COMPUTED_VALUE"""),"Transaction Levy")</f>
        <v>Transaction Levy</v>
      </c>
      <c r="AG5" s="24" t="str">
        <f ca="1">IFERROR(__xludf.DUMMYFUNCTION("""COMPUTED_VALUE"""),"Transaction Source")</f>
        <v>Transaction Source</v>
      </c>
      <c r="AH5" s="24" t="str">
        <f ca="1">IFERROR(__xludf.DUMMYFUNCTION("""COMPUTED_VALUE"""),"User")</f>
        <v>User</v>
      </c>
      <c r="AI5" s="24" t="str">
        <f ca="1">IFERROR(__xludf.DUMMYFUNCTION("""COMPUTED_VALUE"""),"Vs Currency")</f>
        <v>Vs Currency</v>
      </c>
      <c r="AJ5" s="24" t="str">
        <f ca="1">IFERROR(__xludf.DUMMYFUNCTION("""COMPUTED_VALUE"""),"SettlCurrencyID")</f>
        <v>SettlCurrencyID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43" t="s">
        <v>23</v>
      </c>
      <c r="C6" s="43" t="s">
        <v>52</v>
      </c>
      <c r="D6" s="43" t="s">
        <v>70</v>
      </c>
      <c r="E6" s="44">
        <v>-270.05</v>
      </c>
      <c r="F6" s="44">
        <v>0</v>
      </c>
      <c r="G6" s="44">
        <v>0</v>
      </c>
      <c r="H6" s="43" t="s">
        <v>71</v>
      </c>
      <c r="I6" s="44">
        <v>0</v>
      </c>
      <c r="J6" s="44">
        <v>0</v>
      </c>
      <c r="K6" s="43" t="s">
        <v>30</v>
      </c>
      <c r="L6" s="43" t="s">
        <v>53</v>
      </c>
      <c r="M6" s="46"/>
      <c r="N6" s="43" t="s">
        <v>21</v>
      </c>
      <c r="O6" s="44">
        <v>1.5</v>
      </c>
      <c r="P6" s="52"/>
      <c r="Q6" s="46"/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  <c r="X6" s="52"/>
      <c r="Y6" s="53"/>
      <c r="Z6" s="44">
        <v>0</v>
      </c>
      <c r="AA6" s="44">
        <v>0</v>
      </c>
      <c r="AB6" s="43" t="s">
        <v>26</v>
      </c>
      <c r="AC6" s="44">
        <v>0</v>
      </c>
      <c r="AD6" s="44">
        <v>0</v>
      </c>
      <c r="AE6" s="42">
        <v>43871</v>
      </c>
      <c r="AF6" s="44">
        <v>0</v>
      </c>
      <c r="AG6" s="54" t="s">
        <v>52</v>
      </c>
    </row>
    <row r="7" spans="1:154" ht="15.75" customHeight="1" x14ac:dyDescent="0.2">
      <c r="A7" s="5"/>
      <c r="B7" s="55" t="s">
        <v>23</v>
      </c>
      <c r="C7" s="55" t="s">
        <v>52</v>
      </c>
      <c r="D7" s="55" t="s">
        <v>70</v>
      </c>
      <c r="E7" s="56">
        <v>-1481.98</v>
      </c>
      <c r="F7" s="56">
        <v>0</v>
      </c>
      <c r="G7" s="56">
        <v>0</v>
      </c>
      <c r="H7" s="55" t="s">
        <v>71</v>
      </c>
      <c r="I7" s="56">
        <v>0</v>
      </c>
      <c r="J7" s="56">
        <v>0</v>
      </c>
      <c r="K7" s="55" t="s">
        <v>19</v>
      </c>
      <c r="L7" s="55" t="s">
        <v>53</v>
      </c>
      <c r="M7" s="57"/>
      <c r="N7" s="55" t="s">
        <v>21</v>
      </c>
      <c r="O7" s="56">
        <v>1</v>
      </c>
      <c r="P7" s="58"/>
      <c r="Q7" s="57"/>
      <c r="R7" s="56">
        <v>0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58"/>
      <c r="Y7" s="59"/>
      <c r="Z7" s="56">
        <v>0</v>
      </c>
      <c r="AA7" s="56">
        <v>0</v>
      </c>
      <c r="AB7" s="55" t="s">
        <v>30</v>
      </c>
      <c r="AC7" s="56">
        <v>0</v>
      </c>
      <c r="AD7" s="56">
        <v>0</v>
      </c>
      <c r="AE7" s="60">
        <v>43871</v>
      </c>
      <c r="AF7" s="56">
        <v>0</v>
      </c>
      <c r="AG7" s="61" t="s">
        <v>52</v>
      </c>
    </row>
    <row r="8" spans="1:154" ht="15.75" customHeight="1" x14ac:dyDescent="0.2">
      <c r="A8" s="5"/>
      <c r="B8" s="43" t="s">
        <v>18</v>
      </c>
      <c r="C8" s="43" t="s">
        <v>52</v>
      </c>
      <c r="D8" s="43" t="s">
        <v>70</v>
      </c>
      <c r="E8" s="44">
        <v>-264.95</v>
      </c>
      <c r="F8" s="44">
        <v>0</v>
      </c>
      <c r="G8" s="44">
        <v>0</v>
      </c>
      <c r="H8" s="43" t="s">
        <v>71</v>
      </c>
      <c r="I8" s="44">
        <v>0</v>
      </c>
      <c r="J8" s="44">
        <v>0</v>
      </c>
      <c r="K8" s="43" t="s">
        <v>30</v>
      </c>
      <c r="L8" s="43" t="s">
        <v>53</v>
      </c>
      <c r="M8" s="46"/>
      <c r="N8" s="43" t="s">
        <v>21</v>
      </c>
      <c r="O8" s="44">
        <v>1.5</v>
      </c>
      <c r="P8" s="52"/>
      <c r="Q8" s="46"/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52"/>
      <c r="Y8" s="53"/>
      <c r="Z8" s="44">
        <v>0</v>
      </c>
      <c r="AA8" s="44">
        <v>0</v>
      </c>
      <c r="AB8" s="43" t="s">
        <v>26</v>
      </c>
      <c r="AC8" s="44">
        <v>0</v>
      </c>
      <c r="AD8" s="44">
        <v>0</v>
      </c>
      <c r="AE8" s="42">
        <v>43871</v>
      </c>
      <c r="AF8" s="44">
        <v>0</v>
      </c>
      <c r="AG8" s="54" t="s">
        <v>52</v>
      </c>
    </row>
    <row r="9" spans="1:154" ht="15.75" customHeight="1" x14ac:dyDescent="0.2">
      <c r="A9" s="5"/>
      <c r="B9" s="55" t="s">
        <v>18</v>
      </c>
      <c r="C9" s="55" t="s">
        <v>52</v>
      </c>
      <c r="D9" s="55" t="s">
        <v>70</v>
      </c>
      <c r="E9" s="56">
        <v>-1454.02</v>
      </c>
      <c r="F9" s="56">
        <v>0</v>
      </c>
      <c r="G9" s="56">
        <v>0</v>
      </c>
      <c r="H9" s="55" t="s">
        <v>71</v>
      </c>
      <c r="I9" s="56">
        <v>0</v>
      </c>
      <c r="J9" s="56">
        <v>0</v>
      </c>
      <c r="K9" s="55" t="s">
        <v>19</v>
      </c>
      <c r="L9" s="55" t="s">
        <v>53</v>
      </c>
      <c r="M9" s="57"/>
      <c r="N9" s="55" t="s">
        <v>21</v>
      </c>
      <c r="O9" s="56">
        <v>1</v>
      </c>
      <c r="P9" s="58"/>
      <c r="Q9" s="57"/>
      <c r="R9" s="56">
        <v>0</v>
      </c>
      <c r="S9" s="56">
        <v>0</v>
      </c>
      <c r="T9" s="56">
        <v>0</v>
      </c>
      <c r="U9" s="56">
        <v>0</v>
      </c>
      <c r="V9" s="56">
        <v>0</v>
      </c>
      <c r="W9" s="56">
        <v>0</v>
      </c>
      <c r="X9" s="58"/>
      <c r="Y9" s="59"/>
      <c r="Z9" s="56">
        <v>0</v>
      </c>
      <c r="AA9" s="56">
        <v>0</v>
      </c>
      <c r="AB9" s="55" t="s">
        <v>30</v>
      </c>
      <c r="AC9" s="56">
        <v>0</v>
      </c>
      <c r="AD9" s="56">
        <v>0</v>
      </c>
      <c r="AE9" s="60">
        <v>43871</v>
      </c>
      <c r="AF9" s="56">
        <v>0</v>
      </c>
      <c r="AG9" s="61" t="s">
        <v>52</v>
      </c>
    </row>
    <row r="10" spans="1:154" ht="15.75" customHeight="1" x14ac:dyDescent="0.2">
      <c r="A10" s="5"/>
      <c r="B10" s="43" t="s">
        <v>18</v>
      </c>
      <c r="C10" s="43" t="s">
        <v>52</v>
      </c>
      <c r="D10" s="43" t="s">
        <v>72</v>
      </c>
      <c r="E10" s="44">
        <v>-3635.0476189999999</v>
      </c>
      <c r="F10" s="44">
        <v>0</v>
      </c>
      <c r="G10" s="44">
        <v>0</v>
      </c>
      <c r="H10" s="43" t="s">
        <v>71</v>
      </c>
      <c r="I10" s="44">
        <v>0</v>
      </c>
      <c r="J10" s="44">
        <v>0</v>
      </c>
      <c r="K10" s="43" t="s">
        <v>30</v>
      </c>
      <c r="L10" s="43" t="s">
        <v>61</v>
      </c>
      <c r="M10" s="46"/>
      <c r="N10" s="43" t="s">
        <v>21</v>
      </c>
      <c r="O10" s="44">
        <v>1.1000000000000001</v>
      </c>
      <c r="P10" s="52"/>
      <c r="Q10" s="46"/>
      <c r="R10" s="44">
        <v>0</v>
      </c>
      <c r="S10" s="44">
        <v>0</v>
      </c>
      <c r="T10" s="44">
        <v>0</v>
      </c>
      <c r="U10" s="44">
        <v>0</v>
      </c>
      <c r="V10" s="44">
        <v>0</v>
      </c>
      <c r="W10" s="44">
        <v>0</v>
      </c>
      <c r="X10" s="52"/>
      <c r="Y10" s="53"/>
      <c r="Z10" s="44">
        <v>0</v>
      </c>
      <c r="AA10" s="44">
        <v>0</v>
      </c>
      <c r="AB10" s="43" t="s">
        <v>26</v>
      </c>
      <c r="AC10" s="44">
        <v>0</v>
      </c>
      <c r="AD10" s="44">
        <v>0</v>
      </c>
      <c r="AE10" s="51">
        <v>43871</v>
      </c>
      <c r="AF10" s="44">
        <v>0</v>
      </c>
      <c r="AG10" s="54" t="s">
        <v>52</v>
      </c>
    </row>
    <row r="11" spans="1:154" ht="15.75" customHeight="1" x14ac:dyDescent="0.2">
      <c r="A11" s="5"/>
      <c r="B11" s="55" t="s">
        <v>23</v>
      </c>
      <c r="C11" s="55" t="s">
        <v>52</v>
      </c>
      <c r="D11" s="55" t="s">
        <v>72</v>
      </c>
      <c r="E11" s="56">
        <v>-3704.9523810000001</v>
      </c>
      <c r="F11" s="56">
        <v>0</v>
      </c>
      <c r="G11" s="56">
        <v>0</v>
      </c>
      <c r="H11" s="55" t="s">
        <v>71</v>
      </c>
      <c r="I11" s="56">
        <v>0</v>
      </c>
      <c r="J11" s="56">
        <v>0</v>
      </c>
      <c r="K11" s="55" t="s">
        <v>30</v>
      </c>
      <c r="L11" s="55" t="s">
        <v>61</v>
      </c>
      <c r="M11" s="57"/>
      <c r="N11" s="55" t="s">
        <v>21</v>
      </c>
      <c r="O11" s="56">
        <v>1.1000000000000001</v>
      </c>
      <c r="P11" s="58"/>
      <c r="Q11" s="57"/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8"/>
      <c r="Y11" s="59"/>
      <c r="Z11" s="56">
        <v>0</v>
      </c>
      <c r="AA11" s="56">
        <v>0</v>
      </c>
      <c r="AB11" s="55" t="s">
        <v>26</v>
      </c>
      <c r="AC11" s="56">
        <v>0</v>
      </c>
      <c r="AD11" s="56">
        <v>0</v>
      </c>
      <c r="AE11" s="62">
        <v>43871</v>
      </c>
      <c r="AF11" s="56">
        <v>0</v>
      </c>
      <c r="AG11" s="61" t="s">
        <v>52</v>
      </c>
    </row>
    <row r="12" spans="1:154" ht="15.75" customHeight="1" x14ac:dyDescent="0.2">
      <c r="A12" s="5"/>
      <c r="B12" s="43" t="s">
        <v>18</v>
      </c>
      <c r="C12" s="43" t="s">
        <v>52</v>
      </c>
      <c r="D12" s="43" t="s">
        <v>72</v>
      </c>
      <c r="E12" s="44">
        <v>3635.0476189999999</v>
      </c>
      <c r="F12" s="44">
        <v>0</v>
      </c>
      <c r="G12" s="44">
        <v>0</v>
      </c>
      <c r="H12" s="43" t="s">
        <v>71</v>
      </c>
      <c r="I12" s="44">
        <v>0</v>
      </c>
      <c r="J12" s="44">
        <v>0</v>
      </c>
      <c r="K12" s="43" t="s">
        <v>30</v>
      </c>
      <c r="L12" s="43" t="s">
        <v>62</v>
      </c>
      <c r="M12" s="46"/>
      <c r="N12" s="43" t="s">
        <v>21</v>
      </c>
      <c r="O12" s="44">
        <v>1.5</v>
      </c>
      <c r="P12" s="52"/>
      <c r="Q12" s="46"/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52"/>
      <c r="Y12" s="53"/>
      <c r="Z12" s="44">
        <v>0</v>
      </c>
      <c r="AA12" s="44">
        <v>0</v>
      </c>
      <c r="AB12" s="43" t="s">
        <v>26</v>
      </c>
      <c r="AC12" s="44">
        <v>0</v>
      </c>
      <c r="AD12" s="44">
        <v>0</v>
      </c>
      <c r="AE12" s="51">
        <v>43871</v>
      </c>
      <c r="AF12" s="44">
        <v>0</v>
      </c>
      <c r="AG12" s="54" t="s">
        <v>52</v>
      </c>
    </row>
    <row r="13" spans="1:154" ht="15.75" customHeight="1" x14ac:dyDescent="0.2">
      <c r="A13" s="5"/>
      <c r="B13" s="55" t="s">
        <v>23</v>
      </c>
      <c r="C13" s="55" t="s">
        <v>52</v>
      </c>
      <c r="D13" s="55" t="s">
        <v>72</v>
      </c>
      <c r="E13" s="56">
        <v>3704.9523810000001</v>
      </c>
      <c r="F13" s="56">
        <v>0</v>
      </c>
      <c r="G13" s="56">
        <v>0</v>
      </c>
      <c r="H13" s="55" t="s">
        <v>71</v>
      </c>
      <c r="I13" s="56">
        <v>0</v>
      </c>
      <c r="J13" s="56">
        <v>0</v>
      </c>
      <c r="K13" s="55" t="s">
        <v>30</v>
      </c>
      <c r="L13" s="55" t="s">
        <v>62</v>
      </c>
      <c r="M13" s="57"/>
      <c r="N13" s="55" t="s">
        <v>21</v>
      </c>
      <c r="O13" s="56">
        <v>1.5</v>
      </c>
      <c r="P13" s="58"/>
      <c r="Q13" s="57"/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8"/>
      <c r="Y13" s="59"/>
      <c r="Z13" s="56">
        <v>0</v>
      </c>
      <c r="AA13" s="56">
        <v>0</v>
      </c>
      <c r="AB13" s="55" t="s">
        <v>26</v>
      </c>
      <c r="AC13" s="56">
        <v>0</v>
      </c>
      <c r="AD13" s="56">
        <v>0</v>
      </c>
      <c r="AE13" s="62">
        <v>43871</v>
      </c>
      <c r="AF13" s="56">
        <v>0</v>
      </c>
      <c r="AG13" s="61" t="s">
        <v>52</v>
      </c>
    </row>
    <row r="14" spans="1:154" ht="15.75" customHeight="1" x14ac:dyDescent="0.2">
      <c r="A14" s="5"/>
      <c r="B14" s="43" t="s">
        <v>18</v>
      </c>
      <c r="C14" s="43" t="s">
        <v>67</v>
      </c>
      <c r="D14" s="43" t="s">
        <v>73</v>
      </c>
      <c r="E14" s="44">
        <v>3635.0476189999999</v>
      </c>
      <c r="F14" s="44">
        <v>0</v>
      </c>
      <c r="G14" s="44">
        <v>0</v>
      </c>
      <c r="H14" s="43" t="s">
        <v>71</v>
      </c>
      <c r="I14" s="44">
        <v>0</v>
      </c>
      <c r="J14" s="44">
        <v>1.2380952380000001</v>
      </c>
      <c r="K14" s="43" t="s">
        <v>30</v>
      </c>
      <c r="L14" s="43" t="s">
        <v>74</v>
      </c>
      <c r="M14" s="46"/>
      <c r="N14" s="43" t="s">
        <v>21</v>
      </c>
      <c r="O14" s="44">
        <v>1.1000000000000001</v>
      </c>
      <c r="P14" s="52"/>
      <c r="Q14" s="46"/>
      <c r="R14" s="44">
        <v>0</v>
      </c>
      <c r="S14" s="44">
        <v>0</v>
      </c>
      <c r="T14" s="44">
        <v>0</v>
      </c>
      <c r="U14" s="44">
        <v>0</v>
      </c>
      <c r="V14" s="44">
        <v>52</v>
      </c>
      <c r="W14" s="44">
        <v>0</v>
      </c>
      <c r="X14" s="54" t="s">
        <v>30</v>
      </c>
      <c r="Y14" s="46"/>
      <c r="Z14" s="44">
        <v>3.7142857139999998</v>
      </c>
      <c r="AA14" s="44">
        <v>0</v>
      </c>
      <c r="AB14" s="43" t="s">
        <v>26</v>
      </c>
      <c r="AC14" s="44">
        <v>0</v>
      </c>
      <c r="AD14" s="44">
        <v>4.9523809520000004</v>
      </c>
      <c r="AE14" s="51">
        <v>43871</v>
      </c>
      <c r="AF14" s="44">
        <v>0</v>
      </c>
      <c r="AG14" s="54" t="s">
        <v>67</v>
      </c>
    </row>
    <row r="15" spans="1:154" ht="15.75" customHeight="1" x14ac:dyDescent="0.2">
      <c r="A15" s="5"/>
      <c r="B15" s="55" t="s">
        <v>23</v>
      </c>
      <c r="C15" s="55" t="s">
        <v>67</v>
      </c>
      <c r="D15" s="55" t="s">
        <v>73</v>
      </c>
      <c r="E15" s="56">
        <v>3704.9523810000001</v>
      </c>
      <c r="F15" s="56">
        <v>0</v>
      </c>
      <c r="G15" s="56">
        <v>0</v>
      </c>
      <c r="H15" s="55" t="s">
        <v>71</v>
      </c>
      <c r="I15" s="56">
        <v>0</v>
      </c>
      <c r="J15" s="56">
        <v>1.2619047619999999</v>
      </c>
      <c r="K15" s="55" t="s">
        <v>30</v>
      </c>
      <c r="L15" s="55" t="s">
        <v>74</v>
      </c>
      <c r="M15" s="57"/>
      <c r="N15" s="55" t="s">
        <v>21</v>
      </c>
      <c r="O15" s="56">
        <v>1.1000000000000001</v>
      </c>
      <c r="P15" s="58"/>
      <c r="Q15" s="57"/>
      <c r="R15" s="56">
        <v>0</v>
      </c>
      <c r="S15" s="56">
        <v>0</v>
      </c>
      <c r="T15" s="56">
        <v>0</v>
      </c>
      <c r="U15" s="56">
        <v>0</v>
      </c>
      <c r="V15" s="56">
        <v>53</v>
      </c>
      <c r="W15" s="56">
        <v>0</v>
      </c>
      <c r="X15" s="61" t="s">
        <v>30</v>
      </c>
      <c r="Y15" s="57"/>
      <c r="Z15" s="56">
        <v>3.7857142860000002</v>
      </c>
      <c r="AA15" s="56">
        <v>0</v>
      </c>
      <c r="AB15" s="55" t="s">
        <v>26</v>
      </c>
      <c r="AC15" s="56">
        <v>0</v>
      </c>
      <c r="AD15" s="56">
        <v>5.0476190479999996</v>
      </c>
      <c r="AE15" s="62">
        <v>43871</v>
      </c>
      <c r="AF15" s="56">
        <v>0</v>
      </c>
      <c r="AG15" s="61" t="s">
        <v>67</v>
      </c>
    </row>
    <row r="16" spans="1:154" ht="15.75" customHeight="1" x14ac:dyDescent="0.2">
      <c r="A16" s="5"/>
      <c r="B16" s="43" t="s">
        <v>23</v>
      </c>
      <c r="C16" s="43" t="s">
        <v>52</v>
      </c>
      <c r="D16" s="43" t="s">
        <v>75</v>
      </c>
      <c r="E16" s="44">
        <v>-2.67</v>
      </c>
      <c r="F16" s="44">
        <v>0</v>
      </c>
      <c r="G16" s="44">
        <v>0</v>
      </c>
      <c r="H16" s="43" t="s">
        <v>71</v>
      </c>
      <c r="I16" s="44">
        <v>0</v>
      </c>
      <c r="J16" s="44">
        <v>0</v>
      </c>
      <c r="K16" s="43" t="s">
        <v>30</v>
      </c>
      <c r="L16" s="43" t="s">
        <v>57</v>
      </c>
      <c r="M16" s="46"/>
      <c r="N16" s="43" t="s">
        <v>21</v>
      </c>
      <c r="O16" s="44">
        <v>1.1000000000000001</v>
      </c>
      <c r="P16" s="52"/>
      <c r="Q16" s="46"/>
      <c r="R16" s="44">
        <v>0</v>
      </c>
      <c r="S16" s="44">
        <v>0</v>
      </c>
      <c r="T16" s="44">
        <v>0</v>
      </c>
      <c r="U16" s="44">
        <v>0</v>
      </c>
      <c r="V16" s="44">
        <v>0</v>
      </c>
      <c r="W16" s="44">
        <v>0</v>
      </c>
      <c r="X16" s="52"/>
      <c r="Y16" s="53"/>
      <c r="Z16" s="44">
        <v>0</v>
      </c>
      <c r="AA16" s="44">
        <v>0</v>
      </c>
      <c r="AB16" s="43" t="s">
        <v>26</v>
      </c>
      <c r="AC16" s="44">
        <v>0</v>
      </c>
      <c r="AD16" s="44">
        <v>0</v>
      </c>
      <c r="AE16" s="42">
        <v>43872</v>
      </c>
      <c r="AF16" s="44">
        <v>0</v>
      </c>
      <c r="AG16" s="54" t="s">
        <v>52</v>
      </c>
    </row>
    <row r="17" spans="1:33" ht="15.75" customHeight="1" x14ac:dyDescent="0.2">
      <c r="A17" s="5"/>
      <c r="B17" s="55" t="s">
        <v>23</v>
      </c>
      <c r="C17" s="55" t="s">
        <v>52</v>
      </c>
      <c r="D17" s="55" t="s">
        <v>70</v>
      </c>
      <c r="E17" s="56">
        <v>-787.43</v>
      </c>
      <c r="F17" s="56">
        <v>0</v>
      </c>
      <c r="G17" s="56">
        <v>0</v>
      </c>
      <c r="H17" s="55" t="s">
        <v>71</v>
      </c>
      <c r="I17" s="56">
        <v>0</v>
      </c>
      <c r="J17" s="56">
        <v>0</v>
      </c>
      <c r="K17" s="55" t="s">
        <v>30</v>
      </c>
      <c r="L17" s="55" t="s">
        <v>53</v>
      </c>
      <c r="M17" s="57"/>
      <c r="N17" s="55" t="s">
        <v>21</v>
      </c>
      <c r="O17" s="56">
        <v>2</v>
      </c>
      <c r="P17" s="58"/>
      <c r="Q17" s="57"/>
      <c r="R17" s="56">
        <v>0</v>
      </c>
      <c r="S17" s="56">
        <v>0</v>
      </c>
      <c r="T17" s="56">
        <v>0</v>
      </c>
      <c r="U17" s="56">
        <v>0</v>
      </c>
      <c r="V17" s="56">
        <v>0</v>
      </c>
      <c r="W17" s="56">
        <v>0</v>
      </c>
      <c r="X17" s="58"/>
      <c r="Y17" s="59"/>
      <c r="Z17" s="56">
        <v>0</v>
      </c>
      <c r="AA17" s="56">
        <v>0</v>
      </c>
      <c r="AB17" s="55" t="s">
        <v>26</v>
      </c>
      <c r="AC17" s="56">
        <v>0</v>
      </c>
      <c r="AD17" s="56">
        <v>0</v>
      </c>
      <c r="AE17" s="60">
        <v>43872</v>
      </c>
      <c r="AF17" s="56">
        <v>0</v>
      </c>
      <c r="AG17" s="61" t="s">
        <v>52</v>
      </c>
    </row>
    <row r="18" spans="1:33" ht="15.75" customHeight="1" x14ac:dyDescent="0.2">
      <c r="A18" s="5"/>
      <c r="B18" s="43" t="s">
        <v>23</v>
      </c>
      <c r="C18" s="43" t="s">
        <v>52</v>
      </c>
      <c r="D18" s="43" t="s">
        <v>70</v>
      </c>
      <c r="E18" s="44">
        <v>-7526.26</v>
      </c>
      <c r="F18" s="44">
        <v>0</v>
      </c>
      <c r="G18" s="44">
        <v>0</v>
      </c>
      <c r="H18" s="43" t="s">
        <v>71</v>
      </c>
      <c r="I18" s="44">
        <v>0</v>
      </c>
      <c r="J18" s="44">
        <v>0</v>
      </c>
      <c r="K18" s="43" t="s">
        <v>19</v>
      </c>
      <c r="L18" s="43" t="s">
        <v>53</v>
      </c>
      <c r="M18" s="46"/>
      <c r="N18" s="43" t="s">
        <v>21</v>
      </c>
      <c r="O18" s="44">
        <v>1</v>
      </c>
      <c r="P18" s="52"/>
      <c r="Q18" s="46"/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52"/>
      <c r="Y18" s="53"/>
      <c r="Z18" s="44">
        <v>0</v>
      </c>
      <c r="AA18" s="44">
        <v>0</v>
      </c>
      <c r="AB18" s="43" t="s">
        <v>30</v>
      </c>
      <c r="AC18" s="44">
        <v>0</v>
      </c>
      <c r="AD18" s="44">
        <v>0</v>
      </c>
      <c r="AE18" s="42">
        <v>43872</v>
      </c>
      <c r="AF18" s="44">
        <v>0</v>
      </c>
      <c r="AG18" s="54" t="s">
        <v>52</v>
      </c>
    </row>
    <row r="19" spans="1:33" ht="15.75" customHeight="1" x14ac:dyDescent="0.2">
      <c r="A19" s="5"/>
      <c r="B19" s="55" t="s">
        <v>23</v>
      </c>
      <c r="C19" s="55" t="s">
        <v>52</v>
      </c>
      <c r="D19" s="55" t="s">
        <v>70</v>
      </c>
      <c r="E19" s="56">
        <v>-270.05</v>
      </c>
      <c r="F19" s="56">
        <v>0</v>
      </c>
      <c r="G19" s="56">
        <v>0</v>
      </c>
      <c r="H19" s="55" t="s">
        <v>71</v>
      </c>
      <c r="I19" s="56">
        <v>0</v>
      </c>
      <c r="J19" s="56">
        <v>0</v>
      </c>
      <c r="K19" s="55" t="s">
        <v>30</v>
      </c>
      <c r="L19" s="55" t="s">
        <v>53</v>
      </c>
      <c r="M19" s="57"/>
      <c r="N19" s="55" t="s">
        <v>21</v>
      </c>
      <c r="O19" s="56">
        <v>2</v>
      </c>
      <c r="P19" s="58"/>
      <c r="Q19" s="57"/>
      <c r="R19" s="56">
        <v>0</v>
      </c>
      <c r="S19" s="56">
        <v>0</v>
      </c>
      <c r="T19" s="56">
        <v>0</v>
      </c>
      <c r="U19" s="56">
        <v>0</v>
      </c>
      <c r="V19" s="56">
        <v>0</v>
      </c>
      <c r="W19" s="56">
        <v>0</v>
      </c>
      <c r="X19" s="58"/>
      <c r="Y19" s="59"/>
      <c r="Z19" s="56">
        <v>0</v>
      </c>
      <c r="AA19" s="56">
        <v>0</v>
      </c>
      <c r="AB19" s="55" t="s">
        <v>39</v>
      </c>
      <c r="AC19" s="56">
        <v>0</v>
      </c>
      <c r="AD19" s="56">
        <v>0</v>
      </c>
      <c r="AE19" s="60">
        <v>43872</v>
      </c>
      <c r="AF19" s="56">
        <v>0</v>
      </c>
      <c r="AG19" s="61" t="s">
        <v>52</v>
      </c>
    </row>
    <row r="20" spans="1:33" ht="15.75" customHeight="1" x14ac:dyDescent="0.2">
      <c r="A20" s="5"/>
      <c r="B20" s="43" t="s">
        <v>23</v>
      </c>
      <c r="C20" s="43" t="s">
        <v>52</v>
      </c>
      <c r="D20" s="43" t="s">
        <v>70</v>
      </c>
      <c r="E20" s="44">
        <v>270.05</v>
      </c>
      <c r="F20" s="44">
        <v>0</v>
      </c>
      <c r="G20" s="44">
        <v>0</v>
      </c>
      <c r="H20" s="43" t="s">
        <v>71</v>
      </c>
      <c r="I20" s="44">
        <v>0</v>
      </c>
      <c r="J20" s="44">
        <v>0</v>
      </c>
      <c r="K20" s="43" t="s">
        <v>30</v>
      </c>
      <c r="L20" s="43" t="s">
        <v>59</v>
      </c>
      <c r="M20" s="46"/>
      <c r="N20" s="43" t="s">
        <v>21</v>
      </c>
      <c r="O20" s="44">
        <v>1.5</v>
      </c>
      <c r="P20" s="52"/>
      <c r="Q20" s="46"/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52"/>
      <c r="Y20" s="53"/>
      <c r="Z20" s="44">
        <v>0</v>
      </c>
      <c r="AA20" s="44">
        <v>0</v>
      </c>
      <c r="AB20" s="43" t="s">
        <v>26</v>
      </c>
      <c r="AC20" s="44">
        <v>0</v>
      </c>
      <c r="AD20" s="44">
        <v>0</v>
      </c>
      <c r="AE20" s="42">
        <v>43872</v>
      </c>
      <c r="AF20" s="44">
        <v>0</v>
      </c>
      <c r="AG20" s="54" t="s">
        <v>52</v>
      </c>
    </row>
    <row r="21" spans="1:33" ht="15.75" customHeight="1" x14ac:dyDescent="0.2">
      <c r="A21" s="5"/>
      <c r="B21" s="55" t="s">
        <v>23</v>
      </c>
      <c r="C21" s="55" t="s">
        <v>52</v>
      </c>
      <c r="D21" s="55" t="s">
        <v>70</v>
      </c>
      <c r="E21" s="56">
        <v>1481.98</v>
      </c>
      <c r="F21" s="56">
        <v>0</v>
      </c>
      <c r="G21" s="56">
        <v>0</v>
      </c>
      <c r="H21" s="55" t="s">
        <v>71</v>
      </c>
      <c r="I21" s="56">
        <v>0</v>
      </c>
      <c r="J21" s="56">
        <v>0</v>
      </c>
      <c r="K21" s="55" t="s">
        <v>19</v>
      </c>
      <c r="L21" s="55" t="s">
        <v>59</v>
      </c>
      <c r="M21" s="57"/>
      <c r="N21" s="55" t="s">
        <v>21</v>
      </c>
      <c r="O21" s="56">
        <v>1</v>
      </c>
      <c r="P21" s="58"/>
      <c r="Q21" s="57"/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58"/>
      <c r="Y21" s="59"/>
      <c r="Z21" s="56">
        <v>0</v>
      </c>
      <c r="AA21" s="56">
        <v>0</v>
      </c>
      <c r="AB21" s="55" t="s">
        <v>30</v>
      </c>
      <c r="AC21" s="56">
        <v>0</v>
      </c>
      <c r="AD21" s="56">
        <v>0</v>
      </c>
      <c r="AE21" s="60">
        <v>43872</v>
      </c>
      <c r="AF21" s="56">
        <v>0</v>
      </c>
      <c r="AG21" s="61" t="s">
        <v>52</v>
      </c>
    </row>
    <row r="22" spans="1:33" ht="15.75" customHeight="1" x14ac:dyDescent="0.2">
      <c r="A22" s="5"/>
      <c r="B22" s="43" t="s">
        <v>23</v>
      </c>
      <c r="C22" s="43" t="s">
        <v>52</v>
      </c>
      <c r="D22" s="43" t="s">
        <v>72</v>
      </c>
      <c r="E22" s="44">
        <v>3704.95</v>
      </c>
      <c r="F22" s="44">
        <v>0</v>
      </c>
      <c r="G22" s="44">
        <v>0</v>
      </c>
      <c r="H22" s="43" t="s">
        <v>71</v>
      </c>
      <c r="I22" s="44">
        <v>0</v>
      </c>
      <c r="J22" s="44">
        <v>0</v>
      </c>
      <c r="K22" s="43" t="s">
        <v>30</v>
      </c>
      <c r="L22" s="43" t="s">
        <v>63</v>
      </c>
      <c r="M22" s="46"/>
      <c r="N22" s="43" t="s">
        <v>21</v>
      </c>
      <c r="O22" s="44">
        <v>2</v>
      </c>
      <c r="P22" s="52"/>
      <c r="Q22" s="46"/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52"/>
      <c r="Y22" s="53"/>
      <c r="Z22" s="44">
        <v>0</v>
      </c>
      <c r="AA22" s="44">
        <v>0</v>
      </c>
      <c r="AB22" s="43" t="s">
        <v>30</v>
      </c>
      <c r="AC22" s="44">
        <v>0</v>
      </c>
      <c r="AD22" s="44">
        <v>0</v>
      </c>
      <c r="AE22" s="42">
        <v>43872</v>
      </c>
      <c r="AF22" s="44">
        <v>0</v>
      </c>
      <c r="AG22" s="54" t="s">
        <v>52</v>
      </c>
    </row>
    <row r="23" spans="1:33" ht="15.75" customHeight="1" x14ac:dyDescent="0.2">
      <c r="A23" s="5"/>
      <c r="B23" s="55" t="s">
        <v>18</v>
      </c>
      <c r="C23" s="55" t="s">
        <v>52</v>
      </c>
      <c r="D23" s="55" t="s">
        <v>72</v>
      </c>
      <c r="E23" s="56">
        <v>3635.05</v>
      </c>
      <c r="F23" s="56">
        <v>0</v>
      </c>
      <c r="G23" s="56">
        <v>0</v>
      </c>
      <c r="H23" s="55" t="s">
        <v>71</v>
      </c>
      <c r="I23" s="56">
        <v>0</v>
      </c>
      <c r="J23" s="56">
        <v>0</v>
      </c>
      <c r="K23" s="55" t="s">
        <v>30</v>
      </c>
      <c r="L23" s="55" t="s">
        <v>63</v>
      </c>
      <c r="M23" s="57"/>
      <c r="N23" s="55" t="s">
        <v>21</v>
      </c>
      <c r="O23" s="56">
        <v>2</v>
      </c>
      <c r="P23" s="58"/>
      <c r="Q23" s="57"/>
      <c r="R23" s="56">
        <v>0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8"/>
      <c r="Y23" s="59"/>
      <c r="Z23" s="56">
        <v>0</v>
      </c>
      <c r="AA23" s="56">
        <v>0</v>
      </c>
      <c r="AB23" s="55" t="s">
        <v>30</v>
      </c>
      <c r="AC23" s="56">
        <v>0</v>
      </c>
      <c r="AD23" s="56">
        <v>0</v>
      </c>
      <c r="AE23" s="60">
        <v>43872</v>
      </c>
      <c r="AF23" s="56">
        <v>0</v>
      </c>
      <c r="AG23" s="61" t="s">
        <v>52</v>
      </c>
    </row>
    <row r="24" spans="1:33" ht="15.75" customHeight="1" x14ac:dyDescent="0.2">
      <c r="A24" s="5"/>
      <c r="B24" s="43" t="s">
        <v>23</v>
      </c>
      <c r="C24" s="43" t="s">
        <v>52</v>
      </c>
      <c r="D24" s="43" t="s">
        <v>72</v>
      </c>
      <c r="E24" s="44">
        <v>-3704.95</v>
      </c>
      <c r="F24" s="44">
        <v>0</v>
      </c>
      <c r="G24" s="44">
        <v>0</v>
      </c>
      <c r="H24" s="43" t="s">
        <v>71</v>
      </c>
      <c r="I24" s="44">
        <v>0</v>
      </c>
      <c r="J24" s="44">
        <v>0</v>
      </c>
      <c r="K24" s="43" t="s">
        <v>30</v>
      </c>
      <c r="L24" s="43" t="s">
        <v>64</v>
      </c>
      <c r="M24" s="46"/>
      <c r="N24" s="43" t="s">
        <v>21</v>
      </c>
      <c r="O24" s="44">
        <v>1.5</v>
      </c>
      <c r="P24" s="52"/>
      <c r="Q24" s="46"/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52"/>
      <c r="Y24" s="53"/>
      <c r="Z24" s="44">
        <v>0</v>
      </c>
      <c r="AA24" s="44">
        <v>0</v>
      </c>
      <c r="AB24" s="43" t="s">
        <v>30</v>
      </c>
      <c r="AC24" s="44">
        <v>0</v>
      </c>
      <c r="AD24" s="44">
        <v>0</v>
      </c>
      <c r="AE24" s="42">
        <v>43872</v>
      </c>
      <c r="AF24" s="44">
        <v>0</v>
      </c>
      <c r="AG24" s="54" t="s">
        <v>52</v>
      </c>
    </row>
    <row r="25" spans="1:33" ht="15.75" customHeight="1" x14ac:dyDescent="0.2">
      <c r="B25" s="55" t="s">
        <v>18</v>
      </c>
      <c r="C25" s="55" t="s">
        <v>52</v>
      </c>
      <c r="D25" s="55" t="s">
        <v>72</v>
      </c>
      <c r="E25" s="56">
        <v>-3635.05</v>
      </c>
      <c r="F25" s="56">
        <v>0</v>
      </c>
      <c r="G25" s="56">
        <v>0</v>
      </c>
      <c r="H25" s="55" t="s">
        <v>71</v>
      </c>
      <c r="I25" s="56">
        <v>0</v>
      </c>
      <c r="J25" s="56">
        <v>0</v>
      </c>
      <c r="K25" s="55" t="s">
        <v>30</v>
      </c>
      <c r="L25" s="55" t="s">
        <v>64</v>
      </c>
      <c r="M25" s="57"/>
      <c r="N25" s="55" t="s">
        <v>21</v>
      </c>
      <c r="O25" s="56">
        <v>1.5</v>
      </c>
      <c r="P25" s="58"/>
      <c r="Q25" s="57"/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8"/>
      <c r="Y25" s="59"/>
      <c r="Z25" s="56">
        <v>0</v>
      </c>
      <c r="AA25" s="56">
        <v>0</v>
      </c>
      <c r="AB25" s="55" t="s">
        <v>30</v>
      </c>
      <c r="AC25" s="56">
        <v>0</v>
      </c>
      <c r="AD25" s="56">
        <v>0</v>
      </c>
      <c r="AE25" s="60">
        <v>43872</v>
      </c>
      <c r="AF25" s="56">
        <v>0</v>
      </c>
      <c r="AG25" s="61" t="s">
        <v>52</v>
      </c>
    </row>
    <row r="26" spans="1:33" ht="15.75" customHeight="1" x14ac:dyDescent="0.2">
      <c r="B26" s="43" t="s">
        <v>18</v>
      </c>
      <c r="C26" s="43" t="s">
        <v>52</v>
      </c>
      <c r="D26" s="43" t="s">
        <v>75</v>
      </c>
      <c r="E26" s="44">
        <v>-2.57</v>
      </c>
      <c r="F26" s="44">
        <v>0</v>
      </c>
      <c r="G26" s="44">
        <v>0</v>
      </c>
      <c r="H26" s="43" t="s">
        <v>71</v>
      </c>
      <c r="I26" s="44">
        <v>0</v>
      </c>
      <c r="J26" s="44">
        <v>0</v>
      </c>
      <c r="K26" s="43" t="s">
        <v>30</v>
      </c>
      <c r="L26" s="43" t="s">
        <v>57</v>
      </c>
      <c r="M26" s="46"/>
      <c r="N26" s="43" t="s">
        <v>21</v>
      </c>
      <c r="O26" s="44">
        <v>1.1000000000000001</v>
      </c>
      <c r="P26" s="52"/>
      <c r="Q26" s="46"/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52"/>
      <c r="Y26" s="53"/>
      <c r="Z26" s="44">
        <v>0</v>
      </c>
      <c r="AA26" s="44">
        <v>0</v>
      </c>
      <c r="AB26" s="43" t="s">
        <v>26</v>
      </c>
      <c r="AC26" s="44">
        <v>0</v>
      </c>
      <c r="AD26" s="44">
        <v>0</v>
      </c>
      <c r="AE26" s="42">
        <v>43872</v>
      </c>
      <c r="AF26" s="44">
        <v>0</v>
      </c>
      <c r="AG26" s="54" t="s">
        <v>52</v>
      </c>
    </row>
    <row r="27" spans="1:33" ht="15.75" customHeight="1" x14ac:dyDescent="0.2">
      <c r="B27" s="55" t="s">
        <v>18</v>
      </c>
      <c r="C27" s="55" t="s">
        <v>52</v>
      </c>
      <c r="D27" s="55" t="s">
        <v>70</v>
      </c>
      <c r="E27" s="56">
        <v>-777.33</v>
      </c>
      <c r="F27" s="56">
        <v>0</v>
      </c>
      <c r="G27" s="56">
        <v>0</v>
      </c>
      <c r="H27" s="55" t="s">
        <v>71</v>
      </c>
      <c r="I27" s="56">
        <v>0</v>
      </c>
      <c r="J27" s="56">
        <v>0</v>
      </c>
      <c r="K27" s="55" t="s">
        <v>30</v>
      </c>
      <c r="L27" s="55" t="s">
        <v>53</v>
      </c>
      <c r="M27" s="57"/>
      <c r="N27" s="55" t="s">
        <v>21</v>
      </c>
      <c r="O27" s="56">
        <v>2</v>
      </c>
      <c r="P27" s="58"/>
      <c r="Q27" s="57"/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8"/>
      <c r="Y27" s="59"/>
      <c r="Z27" s="56">
        <v>0</v>
      </c>
      <c r="AA27" s="56">
        <v>0</v>
      </c>
      <c r="AB27" s="55" t="s">
        <v>26</v>
      </c>
      <c r="AC27" s="56">
        <v>0</v>
      </c>
      <c r="AD27" s="56">
        <v>0</v>
      </c>
      <c r="AE27" s="60">
        <v>43872</v>
      </c>
      <c r="AF27" s="56">
        <v>0</v>
      </c>
      <c r="AG27" s="61" t="s">
        <v>52</v>
      </c>
    </row>
    <row r="28" spans="1:33" ht="15.75" customHeight="1" x14ac:dyDescent="0.2">
      <c r="B28" s="43" t="s">
        <v>18</v>
      </c>
      <c r="C28" s="43" t="s">
        <v>52</v>
      </c>
      <c r="D28" s="43" t="s">
        <v>70</v>
      </c>
      <c r="E28" s="44">
        <v>-7413.96</v>
      </c>
      <c r="F28" s="44">
        <v>0</v>
      </c>
      <c r="G28" s="44">
        <v>0</v>
      </c>
      <c r="H28" s="43" t="s">
        <v>71</v>
      </c>
      <c r="I28" s="44">
        <v>0</v>
      </c>
      <c r="J28" s="44">
        <v>0</v>
      </c>
      <c r="K28" s="43" t="s">
        <v>19</v>
      </c>
      <c r="L28" s="43" t="s">
        <v>53</v>
      </c>
      <c r="M28" s="46"/>
      <c r="N28" s="43" t="s">
        <v>21</v>
      </c>
      <c r="O28" s="44">
        <v>1</v>
      </c>
      <c r="P28" s="52"/>
      <c r="Q28" s="46"/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52"/>
      <c r="Y28" s="53"/>
      <c r="Z28" s="44">
        <v>0</v>
      </c>
      <c r="AA28" s="44">
        <v>0</v>
      </c>
      <c r="AB28" s="43" t="s">
        <v>30</v>
      </c>
      <c r="AC28" s="44">
        <v>0</v>
      </c>
      <c r="AD28" s="44">
        <v>0</v>
      </c>
      <c r="AE28" s="42">
        <v>43872</v>
      </c>
      <c r="AF28" s="44">
        <v>0</v>
      </c>
      <c r="AG28" s="54" t="s">
        <v>52</v>
      </c>
    </row>
    <row r="29" spans="1:33" ht="15.75" customHeight="1" x14ac:dyDescent="0.2">
      <c r="B29" s="55" t="s">
        <v>18</v>
      </c>
      <c r="C29" s="55" t="s">
        <v>52</v>
      </c>
      <c r="D29" s="55" t="s">
        <v>70</v>
      </c>
      <c r="E29" s="56">
        <v>-264.95</v>
      </c>
      <c r="F29" s="56">
        <v>0</v>
      </c>
      <c r="G29" s="56">
        <v>0</v>
      </c>
      <c r="H29" s="55" t="s">
        <v>71</v>
      </c>
      <c r="I29" s="56">
        <v>0</v>
      </c>
      <c r="J29" s="56">
        <v>0</v>
      </c>
      <c r="K29" s="55" t="s">
        <v>30</v>
      </c>
      <c r="L29" s="55" t="s">
        <v>53</v>
      </c>
      <c r="M29" s="57"/>
      <c r="N29" s="55" t="s">
        <v>21</v>
      </c>
      <c r="O29" s="56">
        <v>2</v>
      </c>
      <c r="P29" s="58"/>
      <c r="Q29" s="57"/>
      <c r="R29" s="56">
        <v>0</v>
      </c>
      <c r="S29" s="56">
        <v>0</v>
      </c>
      <c r="T29" s="56">
        <v>0</v>
      </c>
      <c r="U29" s="56">
        <v>0</v>
      </c>
      <c r="V29" s="56">
        <v>0</v>
      </c>
      <c r="W29" s="56">
        <v>0</v>
      </c>
      <c r="X29" s="58"/>
      <c r="Y29" s="59"/>
      <c r="Z29" s="56">
        <v>0</v>
      </c>
      <c r="AA29" s="56">
        <v>0</v>
      </c>
      <c r="AB29" s="55" t="s">
        <v>39</v>
      </c>
      <c r="AC29" s="56">
        <v>0</v>
      </c>
      <c r="AD29" s="56">
        <v>0</v>
      </c>
      <c r="AE29" s="60">
        <v>43872</v>
      </c>
      <c r="AF29" s="56">
        <v>0</v>
      </c>
      <c r="AG29" s="61" t="s">
        <v>52</v>
      </c>
    </row>
    <row r="30" spans="1:33" ht="15.75" customHeight="1" x14ac:dyDescent="0.2">
      <c r="B30" s="43" t="s">
        <v>18</v>
      </c>
      <c r="C30" s="43" t="s">
        <v>52</v>
      </c>
      <c r="D30" s="43" t="s">
        <v>70</v>
      </c>
      <c r="E30" s="44">
        <v>264.95</v>
      </c>
      <c r="F30" s="44">
        <v>0</v>
      </c>
      <c r="G30" s="44">
        <v>0</v>
      </c>
      <c r="H30" s="43" t="s">
        <v>71</v>
      </c>
      <c r="I30" s="44">
        <v>0</v>
      </c>
      <c r="J30" s="44">
        <v>0</v>
      </c>
      <c r="K30" s="43" t="s">
        <v>30</v>
      </c>
      <c r="L30" s="43" t="s">
        <v>59</v>
      </c>
      <c r="M30" s="46"/>
      <c r="N30" s="43" t="s">
        <v>21</v>
      </c>
      <c r="O30" s="44">
        <v>1.5</v>
      </c>
      <c r="P30" s="52"/>
      <c r="Q30" s="46"/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52"/>
      <c r="Y30" s="53"/>
      <c r="Z30" s="44">
        <v>0</v>
      </c>
      <c r="AA30" s="44">
        <v>0</v>
      </c>
      <c r="AB30" s="43" t="s">
        <v>26</v>
      </c>
      <c r="AC30" s="44">
        <v>0</v>
      </c>
      <c r="AD30" s="44">
        <v>0</v>
      </c>
      <c r="AE30" s="42">
        <v>43872</v>
      </c>
      <c r="AF30" s="44">
        <v>0</v>
      </c>
      <c r="AG30" s="54" t="s">
        <v>52</v>
      </c>
    </row>
    <row r="31" spans="1:33" ht="15.75" customHeight="1" x14ac:dyDescent="0.2">
      <c r="B31" s="55" t="s">
        <v>18</v>
      </c>
      <c r="C31" s="55" t="s">
        <v>52</v>
      </c>
      <c r="D31" s="55" t="s">
        <v>70</v>
      </c>
      <c r="E31" s="56">
        <v>1454.02</v>
      </c>
      <c r="F31" s="56">
        <v>0</v>
      </c>
      <c r="G31" s="56">
        <v>0</v>
      </c>
      <c r="H31" s="55" t="s">
        <v>71</v>
      </c>
      <c r="I31" s="56">
        <v>0</v>
      </c>
      <c r="J31" s="56">
        <v>0</v>
      </c>
      <c r="K31" s="55" t="s">
        <v>19</v>
      </c>
      <c r="L31" s="55" t="s">
        <v>59</v>
      </c>
      <c r="M31" s="57"/>
      <c r="N31" s="55" t="s">
        <v>21</v>
      </c>
      <c r="O31" s="56">
        <v>1</v>
      </c>
      <c r="P31" s="58"/>
      <c r="Q31" s="57"/>
      <c r="R31" s="56">
        <v>0</v>
      </c>
      <c r="S31" s="56">
        <v>0</v>
      </c>
      <c r="T31" s="56">
        <v>0</v>
      </c>
      <c r="U31" s="56">
        <v>0</v>
      </c>
      <c r="V31" s="56">
        <v>0</v>
      </c>
      <c r="W31" s="56">
        <v>0</v>
      </c>
      <c r="X31" s="58"/>
      <c r="Y31" s="59"/>
      <c r="Z31" s="56">
        <v>0</v>
      </c>
      <c r="AA31" s="56">
        <v>0</v>
      </c>
      <c r="AB31" s="55" t="s">
        <v>30</v>
      </c>
      <c r="AC31" s="56">
        <v>0</v>
      </c>
      <c r="AD31" s="56">
        <v>0</v>
      </c>
      <c r="AE31" s="60">
        <v>43872</v>
      </c>
      <c r="AF31" s="56">
        <v>0</v>
      </c>
      <c r="AG31" s="61" t="s">
        <v>52</v>
      </c>
    </row>
    <row r="32" spans="1:33" ht="15.75" customHeight="1" x14ac:dyDescent="0.2">
      <c r="B32" s="43" t="s">
        <v>18</v>
      </c>
      <c r="C32" s="43" t="s">
        <v>52</v>
      </c>
      <c r="D32" s="43" t="s">
        <v>72</v>
      </c>
      <c r="E32" s="44">
        <v>-3635.0476189999999</v>
      </c>
      <c r="F32" s="44">
        <v>0</v>
      </c>
      <c r="G32" s="44">
        <v>0</v>
      </c>
      <c r="H32" s="43" t="s">
        <v>71</v>
      </c>
      <c r="I32" s="44">
        <v>0</v>
      </c>
      <c r="J32" s="44">
        <v>0</v>
      </c>
      <c r="K32" s="43" t="s">
        <v>30</v>
      </c>
      <c r="L32" s="43" t="s">
        <v>61</v>
      </c>
      <c r="M32" s="46"/>
      <c r="N32" s="43" t="s">
        <v>21</v>
      </c>
      <c r="O32" s="44">
        <v>1.1000000000000001</v>
      </c>
      <c r="P32" s="52"/>
      <c r="Q32" s="46"/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52"/>
      <c r="Y32" s="53"/>
      <c r="Z32" s="44">
        <v>0</v>
      </c>
      <c r="AA32" s="44">
        <v>0</v>
      </c>
      <c r="AB32" s="43" t="s">
        <v>26</v>
      </c>
      <c r="AC32" s="44">
        <v>0</v>
      </c>
      <c r="AD32" s="44">
        <v>0</v>
      </c>
      <c r="AE32" s="51">
        <v>43872</v>
      </c>
      <c r="AF32" s="44">
        <v>0</v>
      </c>
      <c r="AG32" s="54" t="s">
        <v>52</v>
      </c>
    </row>
    <row r="33" spans="2:33" ht="15.75" customHeight="1" x14ac:dyDescent="0.2">
      <c r="B33" s="55" t="s">
        <v>23</v>
      </c>
      <c r="C33" s="55" t="s">
        <v>52</v>
      </c>
      <c r="D33" s="55" t="s">
        <v>72</v>
      </c>
      <c r="E33" s="56">
        <v>-3704.9523810000001</v>
      </c>
      <c r="F33" s="56">
        <v>0</v>
      </c>
      <c r="G33" s="56">
        <v>0</v>
      </c>
      <c r="H33" s="55" t="s">
        <v>71</v>
      </c>
      <c r="I33" s="56">
        <v>0</v>
      </c>
      <c r="J33" s="56">
        <v>0</v>
      </c>
      <c r="K33" s="55" t="s">
        <v>30</v>
      </c>
      <c r="L33" s="55" t="s">
        <v>61</v>
      </c>
      <c r="M33" s="57"/>
      <c r="N33" s="55" t="s">
        <v>21</v>
      </c>
      <c r="O33" s="56">
        <v>1.1000000000000001</v>
      </c>
      <c r="P33" s="58"/>
      <c r="Q33" s="57"/>
      <c r="R33" s="56">
        <v>0</v>
      </c>
      <c r="S33" s="56">
        <v>0</v>
      </c>
      <c r="T33" s="56">
        <v>0</v>
      </c>
      <c r="U33" s="56">
        <v>0</v>
      </c>
      <c r="V33" s="56">
        <v>0</v>
      </c>
      <c r="W33" s="56">
        <v>0</v>
      </c>
      <c r="X33" s="58"/>
      <c r="Y33" s="59"/>
      <c r="Z33" s="56">
        <v>0</v>
      </c>
      <c r="AA33" s="56">
        <v>0</v>
      </c>
      <c r="AB33" s="55" t="s">
        <v>26</v>
      </c>
      <c r="AC33" s="56">
        <v>0</v>
      </c>
      <c r="AD33" s="56">
        <v>0</v>
      </c>
      <c r="AE33" s="62">
        <v>43872</v>
      </c>
      <c r="AF33" s="56">
        <v>0</v>
      </c>
      <c r="AG33" s="61" t="s">
        <v>52</v>
      </c>
    </row>
    <row r="34" spans="2:33" ht="15.75" customHeight="1" x14ac:dyDescent="0.2">
      <c r="B34" s="43" t="s">
        <v>18</v>
      </c>
      <c r="C34" s="43" t="s">
        <v>52</v>
      </c>
      <c r="D34" s="43" t="s">
        <v>72</v>
      </c>
      <c r="E34" s="44">
        <v>-2855.0476189999999</v>
      </c>
      <c r="F34" s="44">
        <v>0</v>
      </c>
      <c r="G34" s="44">
        <v>0</v>
      </c>
      <c r="H34" s="43" t="s">
        <v>71</v>
      </c>
      <c r="I34" s="44">
        <v>0</v>
      </c>
      <c r="J34" s="44">
        <v>0</v>
      </c>
      <c r="K34" s="43" t="s">
        <v>30</v>
      </c>
      <c r="L34" s="43" t="s">
        <v>61</v>
      </c>
      <c r="M34" s="46"/>
      <c r="N34" s="43" t="s">
        <v>21</v>
      </c>
      <c r="O34" s="44">
        <v>1.1000000000000001</v>
      </c>
      <c r="P34" s="52"/>
      <c r="Q34" s="46"/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52"/>
      <c r="Y34" s="53"/>
      <c r="Z34" s="44">
        <v>0</v>
      </c>
      <c r="AA34" s="44">
        <v>0</v>
      </c>
      <c r="AB34" s="43" t="s">
        <v>39</v>
      </c>
      <c r="AC34" s="44">
        <v>0</v>
      </c>
      <c r="AD34" s="44">
        <v>0</v>
      </c>
      <c r="AE34" s="51">
        <v>43872</v>
      </c>
      <c r="AF34" s="44">
        <v>0</v>
      </c>
      <c r="AG34" s="54" t="s">
        <v>52</v>
      </c>
    </row>
    <row r="35" spans="2:33" ht="15.75" customHeight="1" x14ac:dyDescent="0.2">
      <c r="B35" s="55" t="s">
        <v>23</v>
      </c>
      <c r="C35" s="55" t="s">
        <v>52</v>
      </c>
      <c r="D35" s="55" t="s">
        <v>72</v>
      </c>
      <c r="E35" s="56">
        <v>-2909.9523810000001</v>
      </c>
      <c r="F35" s="56">
        <v>0</v>
      </c>
      <c r="G35" s="56">
        <v>0</v>
      </c>
      <c r="H35" s="55" t="s">
        <v>71</v>
      </c>
      <c r="I35" s="56">
        <v>0</v>
      </c>
      <c r="J35" s="56">
        <v>0</v>
      </c>
      <c r="K35" s="55" t="s">
        <v>30</v>
      </c>
      <c r="L35" s="55" t="s">
        <v>61</v>
      </c>
      <c r="M35" s="57"/>
      <c r="N35" s="55" t="s">
        <v>21</v>
      </c>
      <c r="O35" s="56">
        <v>1.1000000000000001</v>
      </c>
      <c r="P35" s="58"/>
      <c r="Q35" s="57"/>
      <c r="R35" s="56">
        <v>0</v>
      </c>
      <c r="S35" s="56">
        <v>0</v>
      </c>
      <c r="T35" s="56">
        <v>0</v>
      </c>
      <c r="U35" s="56">
        <v>0</v>
      </c>
      <c r="V35" s="56">
        <v>0</v>
      </c>
      <c r="W35" s="56">
        <v>0</v>
      </c>
      <c r="X35" s="58"/>
      <c r="Y35" s="59"/>
      <c r="Z35" s="56">
        <v>0</v>
      </c>
      <c r="AA35" s="56">
        <v>0</v>
      </c>
      <c r="AB35" s="55" t="s">
        <v>39</v>
      </c>
      <c r="AC35" s="56">
        <v>0</v>
      </c>
      <c r="AD35" s="56">
        <v>0</v>
      </c>
      <c r="AE35" s="62">
        <v>43872</v>
      </c>
      <c r="AF35" s="56">
        <v>0</v>
      </c>
      <c r="AG35" s="61" t="s">
        <v>52</v>
      </c>
    </row>
    <row r="36" spans="2:33" ht="15.75" customHeight="1" x14ac:dyDescent="0.2">
      <c r="B36" s="43" t="s">
        <v>18</v>
      </c>
      <c r="C36" s="43" t="s">
        <v>52</v>
      </c>
      <c r="D36" s="43" t="s">
        <v>72</v>
      </c>
      <c r="E36" s="44">
        <v>1890</v>
      </c>
      <c r="F36" s="44">
        <v>0</v>
      </c>
      <c r="G36" s="44">
        <v>0</v>
      </c>
      <c r="H36" s="43" t="s">
        <v>71</v>
      </c>
      <c r="I36" s="44">
        <v>0</v>
      </c>
      <c r="J36" s="44">
        <v>0</v>
      </c>
      <c r="K36" s="43" t="s">
        <v>30</v>
      </c>
      <c r="L36" s="43" t="s">
        <v>61</v>
      </c>
      <c r="M36" s="46"/>
      <c r="N36" s="43" t="s">
        <v>21</v>
      </c>
      <c r="O36" s="44">
        <v>1.1000000000000001</v>
      </c>
      <c r="P36" s="52"/>
      <c r="Q36" s="46"/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52"/>
      <c r="Y36" s="53"/>
      <c r="Z36" s="44">
        <v>0</v>
      </c>
      <c r="AA36" s="44">
        <v>0</v>
      </c>
      <c r="AB36" s="43" t="s">
        <v>26</v>
      </c>
      <c r="AC36" s="44">
        <v>0</v>
      </c>
      <c r="AD36" s="44">
        <v>0</v>
      </c>
      <c r="AE36" s="51">
        <v>43872</v>
      </c>
      <c r="AF36" s="44">
        <v>0</v>
      </c>
      <c r="AG36" s="54" t="s">
        <v>52</v>
      </c>
    </row>
    <row r="37" spans="2:33" ht="15.75" customHeight="1" x14ac:dyDescent="0.2">
      <c r="B37" s="55" t="s">
        <v>23</v>
      </c>
      <c r="C37" s="55" t="s">
        <v>52</v>
      </c>
      <c r="D37" s="55" t="s">
        <v>72</v>
      </c>
      <c r="E37" s="56">
        <v>1960</v>
      </c>
      <c r="F37" s="56">
        <v>0</v>
      </c>
      <c r="G37" s="56">
        <v>0</v>
      </c>
      <c r="H37" s="55" t="s">
        <v>71</v>
      </c>
      <c r="I37" s="56">
        <v>0</v>
      </c>
      <c r="J37" s="56">
        <v>0</v>
      </c>
      <c r="K37" s="55" t="s">
        <v>30</v>
      </c>
      <c r="L37" s="55" t="s">
        <v>61</v>
      </c>
      <c r="M37" s="57"/>
      <c r="N37" s="55" t="s">
        <v>21</v>
      </c>
      <c r="O37" s="56">
        <v>1.1000000000000001</v>
      </c>
      <c r="P37" s="58"/>
      <c r="Q37" s="57"/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8"/>
      <c r="Y37" s="59"/>
      <c r="Z37" s="56">
        <v>0</v>
      </c>
      <c r="AA37" s="56">
        <v>0</v>
      </c>
      <c r="AB37" s="55" t="s">
        <v>26</v>
      </c>
      <c r="AC37" s="56">
        <v>0</v>
      </c>
      <c r="AD37" s="56">
        <v>0</v>
      </c>
      <c r="AE37" s="62">
        <v>43872</v>
      </c>
      <c r="AF37" s="56">
        <v>0</v>
      </c>
      <c r="AG37" s="61" t="s">
        <v>52</v>
      </c>
    </row>
    <row r="38" spans="2:33" ht="15.75" customHeight="1" x14ac:dyDescent="0.2">
      <c r="B38" s="43" t="s">
        <v>18</v>
      </c>
      <c r="C38" s="43" t="s">
        <v>52</v>
      </c>
      <c r="D38" s="43" t="s">
        <v>72</v>
      </c>
      <c r="E38" s="44">
        <v>3635.0476189999999</v>
      </c>
      <c r="F38" s="44">
        <v>0</v>
      </c>
      <c r="G38" s="44">
        <v>0</v>
      </c>
      <c r="H38" s="43" t="s">
        <v>71</v>
      </c>
      <c r="I38" s="44">
        <v>0</v>
      </c>
      <c r="J38" s="44">
        <v>0</v>
      </c>
      <c r="K38" s="43" t="s">
        <v>30</v>
      </c>
      <c r="L38" s="43" t="s">
        <v>62</v>
      </c>
      <c r="M38" s="46"/>
      <c r="N38" s="43" t="s">
        <v>21</v>
      </c>
      <c r="O38" s="44">
        <v>2</v>
      </c>
      <c r="P38" s="52"/>
      <c r="Q38" s="46"/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52"/>
      <c r="Y38" s="53"/>
      <c r="Z38" s="44">
        <v>0</v>
      </c>
      <c r="AA38" s="44">
        <v>0</v>
      </c>
      <c r="AB38" s="43" t="s">
        <v>26</v>
      </c>
      <c r="AC38" s="44">
        <v>0</v>
      </c>
      <c r="AD38" s="44">
        <v>0</v>
      </c>
      <c r="AE38" s="51">
        <v>43872</v>
      </c>
      <c r="AF38" s="44">
        <v>0</v>
      </c>
      <c r="AG38" s="54" t="s">
        <v>52</v>
      </c>
    </row>
    <row r="39" spans="2:33" ht="15.75" customHeight="1" x14ac:dyDescent="0.2">
      <c r="B39" s="55" t="s">
        <v>23</v>
      </c>
      <c r="C39" s="55" t="s">
        <v>52</v>
      </c>
      <c r="D39" s="55" t="s">
        <v>72</v>
      </c>
      <c r="E39" s="56">
        <v>3704.9523810000001</v>
      </c>
      <c r="F39" s="56">
        <v>0</v>
      </c>
      <c r="G39" s="56">
        <v>0</v>
      </c>
      <c r="H39" s="55" t="s">
        <v>71</v>
      </c>
      <c r="I39" s="56">
        <v>0</v>
      </c>
      <c r="J39" s="56">
        <v>0</v>
      </c>
      <c r="K39" s="55" t="s">
        <v>30</v>
      </c>
      <c r="L39" s="55" t="s">
        <v>62</v>
      </c>
      <c r="M39" s="57"/>
      <c r="N39" s="55" t="s">
        <v>21</v>
      </c>
      <c r="O39" s="56">
        <v>2</v>
      </c>
      <c r="P39" s="58"/>
      <c r="Q39" s="57"/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8"/>
      <c r="Y39" s="59"/>
      <c r="Z39" s="56">
        <v>0</v>
      </c>
      <c r="AA39" s="56">
        <v>0</v>
      </c>
      <c r="AB39" s="55" t="s">
        <v>26</v>
      </c>
      <c r="AC39" s="56">
        <v>0</v>
      </c>
      <c r="AD39" s="56">
        <v>0</v>
      </c>
      <c r="AE39" s="62">
        <v>43872</v>
      </c>
      <c r="AF39" s="56">
        <v>0</v>
      </c>
      <c r="AG39" s="61" t="s">
        <v>52</v>
      </c>
    </row>
    <row r="40" spans="2:33" ht="15.75" customHeight="1" x14ac:dyDescent="0.2">
      <c r="B40" s="43" t="s">
        <v>18</v>
      </c>
      <c r="C40" s="43" t="s">
        <v>52</v>
      </c>
      <c r="D40" s="43" t="s">
        <v>72</v>
      </c>
      <c r="E40" s="44">
        <v>2855.0476189999999</v>
      </c>
      <c r="F40" s="44">
        <v>0</v>
      </c>
      <c r="G40" s="44">
        <v>0</v>
      </c>
      <c r="H40" s="43" t="s">
        <v>71</v>
      </c>
      <c r="I40" s="44">
        <v>0</v>
      </c>
      <c r="J40" s="44">
        <v>0</v>
      </c>
      <c r="K40" s="43" t="s">
        <v>30</v>
      </c>
      <c r="L40" s="43" t="s">
        <v>62</v>
      </c>
      <c r="M40" s="46"/>
      <c r="N40" s="43" t="s">
        <v>21</v>
      </c>
      <c r="O40" s="44">
        <v>2</v>
      </c>
      <c r="P40" s="52"/>
      <c r="Q40" s="46"/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52"/>
      <c r="Y40" s="53"/>
      <c r="Z40" s="44">
        <v>0</v>
      </c>
      <c r="AA40" s="44">
        <v>0</v>
      </c>
      <c r="AB40" s="43" t="s">
        <v>39</v>
      </c>
      <c r="AC40" s="44">
        <v>0</v>
      </c>
      <c r="AD40" s="44">
        <v>0</v>
      </c>
      <c r="AE40" s="51">
        <v>43872</v>
      </c>
      <c r="AF40" s="44">
        <v>0</v>
      </c>
      <c r="AG40" s="54" t="s">
        <v>52</v>
      </c>
    </row>
    <row r="41" spans="2:33" ht="15.75" customHeight="1" x14ac:dyDescent="0.2">
      <c r="B41" s="55" t="s">
        <v>23</v>
      </c>
      <c r="C41" s="55" t="s">
        <v>52</v>
      </c>
      <c r="D41" s="55" t="s">
        <v>72</v>
      </c>
      <c r="E41" s="56">
        <v>2909.9523810000001</v>
      </c>
      <c r="F41" s="56">
        <v>0</v>
      </c>
      <c r="G41" s="56">
        <v>0</v>
      </c>
      <c r="H41" s="55" t="s">
        <v>71</v>
      </c>
      <c r="I41" s="56">
        <v>0</v>
      </c>
      <c r="J41" s="56">
        <v>0</v>
      </c>
      <c r="K41" s="55" t="s">
        <v>30</v>
      </c>
      <c r="L41" s="55" t="s">
        <v>62</v>
      </c>
      <c r="M41" s="57"/>
      <c r="N41" s="55" t="s">
        <v>21</v>
      </c>
      <c r="O41" s="56">
        <v>2</v>
      </c>
      <c r="P41" s="58"/>
      <c r="Q41" s="57"/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8"/>
      <c r="Y41" s="59"/>
      <c r="Z41" s="56">
        <v>0</v>
      </c>
      <c r="AA41" s="56">
        <v>0</v>
      </c>
      <c r="AB41" s="55" t="s">
        <v>39</v>
      </c>
      <c r="AC41" s="56">
        <v>0</v>
      </c>
      <c r="AD41" s="56">
        <v>0</v>
      </c>
      <c r="AE41" s="62">
        <v>43872</v>
      </c>
      <c r="AF41" s="56">
        <v>0</v>
      </c>
      <c r="AG41" s="61" t="s">
        <v>52</v>
      </c>
    </row>
    <row r="42" spans="2:33" ht="15.75" customHeight="1" x14ac:dyDescent="0.2">
      <c r="B42" s="43" t="s">
        <v>18</v>
      </c>
      <c r="C42" s="43" t="s">
        <v>52</v>
      </c>
      <c r="D42" s="43" t="s">
        <v>72</v>
      </c>
      <c r="E42" s="44">
        <v>-1890</v>
      </c>
      <c r="F42" s="44">
        <v>0</v>
      </c>
      <c r="G42" s="44">
        <v>0</v>
      </c>
      <c r="H42" s="43" t="s">
        <v>71</v>
      </c>
      <c r="I42" s="44">
        <v>0</v>
      </c>
      <c r="J42" s="44">
        <v>0</v>
      </c>
      <c r="K42" s="43" t="s">
        <v>30</v>
      </c>
      <c r="L42" s="43" t="s">
        <v>65</v>
      </c>
      <c r="M42" s="46"/>
      <c r="N42" s="43" t="s">
        <v>21</v>
      </c>
      <c r="O42" s="44">
        <v>2</v>
      </c>
      <c r="P42" s="52"/>
      <c r="Q42" s="46"/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52"/>
      <c r="Y42" s="53"/>
      <c r="Z42" s="44">
        <v>0</v>
      </c>
      <c r="AA42" s="44">
        <v>0</v>
      </c>
      <c r="AB42" s="43" t="s">
        <v>26</v>
      </c>
      <c r="AC42" s="44">
        <v>0</v>
      </c>
      <c r="AD42" s="44">
        <v>0</v>
      </c>
      <c r="AE42" s="51">
        <v>43872</v>
      </c>
      <c r="AF42" s="44">
        <v>0</v>
      </c>
      <c r="AG42" s="54" t="s">
        <v>52</v>
      </c>
    </row>
    <row r="43" spans="2:33" ht="15.75" customHeight="1" x14ac:dyDescent="0.2">
      <c r="B43" s="55" t="s">
        <v>23</v>
      </c>
      <c r="C43" s="55" t="s">
        <v>52</v>
      </c>
      <c r="D43" s="55" t="s">
        <v>72</v>
      </c>
      <c r="E43" s="56">
        <v>-1960</v>
      </c>
      <c r="F43" s="56">
        <v>0</v>
      </c>
      <c r="G43" s="56">
        <v>0</v>
      </c>
      <c r="H43" s="55" t="s">
        <v>71</v>
      </c>
      <c r="I43" s="56">
        <v>0</v>
      </c>
      <c r="J43" s="56">
        <v>0</v>
      </c>
      <c r="K43" s="55" t="s">
        <v>30</v>
      </c>
      <c r="L43" s="55" t="s">
        <v>65</v>
      </c>
      <c r="M43" s="57"/>
      <c r="N43" s="55" t="s">
        <v>21</v>
      </c>
      <c r="O43" s="56">
        <v>2</v>
      </c>
      <c r="P43" s="58"/>
      <c r="Q43" s="57"/>
      <c r="R43" s="56">
        <v>0</v>
      </c>
      <c r="S43" s="56">
        <v>0</v>
      </c>
      <c r="T43" s="56">
        <v>0</v>
      </c>
      <c r="U43" s="56">
        <v>0</v>
      </c>
      <c r="V43" s="56">
        <v>0</v>
      </c>
      <c r="W43" s="56">
        <v>0</v>
      </c>
      <c r="X43" s="58"/>
      <c r="Y43" s="59"/>
      <c r="Z43" s="56">
        <v>0</v>
      </c>
      <c r="AA43" s="56">
        <v>0</v>
      </c>
      <c r="AB43" s="55" t="s">
        <v>26</v>
      </c>
      <c r="AC43" s="56">
        <v>0</v>
      </c>
      <c r="AD43" s="56">
        <v>0</v>
      </c>
      <c r="AE43" s="62">
        <v>43872</v>
      </c>
      <c r="AF43" s="56">
        <v>0</v>
      </c>
      <c r="AG43" s="61" t="s">
        <v>52</v>
      </c>
    </row>
    <row r="44" spans="2:33" ht="15.75" customHeight="1" x14ac:dyDescent="0.2">
      <c r="B44" s="43" t="s">
        <v>18</v>
      </c>
      <c r="C44" s="43" t="s">
        <v>67</v>
      </c>
      <c r="D44" s="43" t="s">
        <v>73</v>
      </c>
      <c r="E44" s="44">
        <v>3635.0476189999999</v>
      </c>
      <c r="F44" s="44">
        <v>0</v>
      </c>
      <c r="G44" s="44">
        <v>0</v>
      </c>
      <c r="H44" s="43" t="s">
        <v>71</v>
      </c>
      <c r="I44" s="44">
        <v>0</v>
      </c>
      <c r="J44" s="44">
        <v>1.2380952380000001</v>
      </c>
      <c r="K44" s="43" t="s">
        <v>30</v>
      </c>
      <c r="L44" s="43" t="s">
        <v>74</v>
      </c>
      <c r="M44" s="46"/>
      <c r="N44" s="43" t="s">
        <v>21</v>
      </c>
      <c r="O44" s="44">
        <v>1.1000000000000001</v>
      </c>
      <c r="P44" s="52"/>
      <c r="Q44" s="46"/>
      <c r="R44" s="44">
        <v>0</v>
      </c>
      <c r="S44" s="44">
        <v>0</v>
      </c>
      <c r="T44" s="44">
        <v>0</v>
      </c>
      <c r="U44" s="44">
        <v>0</v>
      </c>
      <c r="V44" s="44">
        <v>52</v>
      </c>
      <c r="W44" s="44">
        <v>0</v>
      </c>
      <c r="X44" s="54" t="s">
        <v>30</v>
      </c>
      <c r="Y44" s="46"/>
      <c r="Z44" s="44">
        <v>3.7142857139999998</v>
      </c>
      <c r="AA44" s="44">
        <v>0</v>
      </c>
      <c r="AB44" s="43" t="s">
        <v>26</v>
      </c>
      <c r="AC44" s="44">
        <v>0</v>
      </c>
      <c r="AD44" s="44">
        <v>4.9523809520000004</v>
      </c>
      <c r="AE44" s="51">
        <v>43872</v>
      </c>
      <c r="AF44" s="44">
        <v>0</v>
      </c>
      <c r="AG44" s="54" t="s">
        <v>67</v>
      </c>
    </row>
    <row r="45" spans="2:33" ht="15.75" customHeight="1" x14ac:dyDescent="0.2">
      <c r="B45" s="55" t="s">
        <v>23</v>
      </c>
      <c r="C45" s="55" t="s">
        <v>67</v>
      </c>
      <c r="D45" s="55" t="s">
        <v>73</v>
      </c>
      <c r="E45" s="56">
        <v>3704.9523810000001</v>
      </c>
      <c r="F45" s="56">
        <v>0</v>
      </c>
      <c r="G45" s="56">
        <v>0</v>
      </c>
      <c r="H45" s="55" t="s">
        <v>71</v>
      </c>
      <c r="I45" s="56">
        <v>0</v>
      </c>
      <c r="J45" s="56">
        <v>1.2619047619999999</v>
      </c>
      <c r="K45" s="55" t="s">
        <v>30</v>
      </c>
      <c r="L45" s="55" t="s">
        <v>74</v>
      </c>
      <c r="M45" s="57"/>
      <c r="N45" s="55" t="s">
        <v>21</v>
      </c>
      <c r="O45" s="56">
        <v>1.1000000000000001</v>
      </c>
      <c r="P45" s="58"/>
      <c r="Q45" s="57"/>
      <c r="R45" s="56">
        <v>0</v>
      </c>
      <c r="S45" s="56">
        <v>0</v>
      </c>
      <c r="T45" s="56">
        <v>0</v>
      </c>
      <c r="U45" s="56">
        <v>0</v>
      </c>
      <c r="V45" s="56">
        <v>53</v>
      </c>
      <c r="W45" s="56">
        <v>0</v>
      </c>
      <c r="X45" s="61" t="s">
        <v>30</v>
      </c>
      <c r="Y45" s="57"/>
      <c r="Z45" s="56">
        <v>3.7857142860000002</v>
      </c>
      <c r="AA45" s="56">
        <v>0</v>
      </c>
      <c r="AB45" s="55" t="s">
        <v>26</v>
      </c>
      <c r="AC45" s="56">
        <v>0</v>
      </c>
      <c r="AD45" s="56">
        <v>5.0476190479999996</v>
      </c>
      <c r="AE45" s="62">
        <v>43872</v>
      </c>
      <c r="AF45" s="56">
        <v>0</v>
      </c>
      <c r="AG45" s="61" t="s">
        <v>67</v>
      </c>
    </row>
    <row r="46" spans="2:33" ht="15.75" customHeight="1" x14ac:dyDescent="0.2">
      <c r="B46" s="43" t="s">
        <v>18</v>
      </c>
      <c r="C46" s="43" t="s">
        <v>67</v>
      </c>
      <c r="D46" s="43" t="s">
        <v>73</v>
      </c>
      <c r="E46" s="44">
        <v>2855.0476189999999</v>
      </c>
      <c r="F46" s="44">
        <v>0</v>
      </c>
      <c r="G46" s="44">
        <v>0</v>
      </c>
      <c r="H46" s="43" t="s">
        <v>71</v>
      </c>
      <c r="I46" s="44">
        <v>0</v>
      </c>
      <c r="J46" s="44">
        <v>1.2380952380000001</v>
      </c>
      <c r="K46" s="43" t="s">
        <v>30</v>
      </c>
      <c r="L46" s="43" t="s">
        <v>74</v>
      </c>
      <c r="M46" s="46"/>
      <c r="N46" s="43" t="s">
        <v>21</v>
      </c>
      <c r="O46" s="44">
        <v>1.1000000000000001</v>
      </c>
      <c r="P46" s="52"/>
      <c r="Q46" s="46"/>
      <c r="R46" s="44">
        <v>0</v>
      </c>
      <c r="S46" s="44">
        <v>0</v>
      </c>
      <c r="T46" s="44">
        <v>0</v>
      </c>
      <c r="U46" s="44">
        <v>0</v>
      </c>
      <c r="V46" s="44">
        <v>52</v>
      </c>
      <c r="W46" s="44">
        <v>0</v>
      </c>
      <c r="X46" s="54" t="s">
        <v>30</v>
      </c>
      <c r="Y46" s="46"/>
      <c r="Z46" s="44">
        <v>3.7142857139999998</v>
      </c>
      <c r="AA46" s="44">
        <v>0</v>
      </c>
      <c r="AB46" s="43" t="s">
        <v>39</v>
      </c>
      <c r="AC46" s="44">
        <v>0</v>
      </c>
      <c r="AD46" s="44">
        <v>4.9523809520000004</v>
      </c>
      <c r="AE46" s="51">
        <v>43872</v>
      </c>
      <c r="AF46" s="44">
        <v>0</v>
      </c>
      <c r="AG46" s="54" t="s">
        <v>67</v>
      </c>
    </row>
    <row r="47" spans="2:33" ht="15.75" customHeight="1" x14ac:dyDescent="0.2">
      <c r="B47" s="55" t="s">
        <v>23</v>
      </c>
      <c r="C47" s="55" t="s">
        <v>67</v>
      </c>
      <c r="D47" s="55" t="s">
        <v>73</v>
      </c>
      <c r="E47" s="56">
        <v>2909.9523810000001</v>
      </c>
      <c r="F47" s="56">
        <v>0</v>
      </c>
      <c r="G47" s="56">
        <v>0</v>
      </c>
      <c r="H47" s="55" t="s">
        <v>71</v>
      </c>
      <c r="I47" s="56">
        <v>0</v>
      </c>
      <c r="J47" s="56">
        <v>1.2619047619999999</v>
      </c>
      <c r="K47" s="55" t="s">
        <v>30</v>
      </c>
      <c r="L47" s="55" t="s">
        <v>74</v>
      </c>
      <c r="M47" s="57"/>
      <c r="N47" s="55" t="s">
        <v>21</v>
      </c>
      <c r="O47" s="56">
        <v>1.1000000000000001</v>
      </c>
      <c r="P47" s="58"/>
      <c r="Q47" s="57"/>
      <c r="R47" s="56">
        <v>0</v>
      </c>
      <c r="S47" s="56">
        <v>0</v>
      </c>
      <c r="T47" s="56">
        <v>0</v>
      </c>
      <c r="U47" s="56">
        <v>0</v>
      </c>
      <c r="V47" s="56">
        <v>53</v>
      </c>
      <c r="W47" s="56">
        <v>0</v>
      </c>
      <c r="X47" s="61" t="s">
        <v>30</v>
      </c>
      <c r="Y47" s="57"/>
      <c r="Z47" s="56">
        <v>3.7857142860000002</v>
      </c>
      <c r="AA47" s="56">
        <v>0</v>
      </c>
      <c r="AB47" s="55" t="s">
        <v>39</v>
      </c>
      <c r="AC47" s="56">
        <v>0</v>
      </c>
      <c r="AD47" s="56">
        <v>5.0476190479999996</v>
      </c>
      <c r="AE47" s="62">
        <v>43872</v>
      </c>
      <c r="AF47" s="56">
        <v>0</v>
      </c>
      <c r="AG47" s="61" t="s">
        <v>67</v>
      </c>
    </row>
    <row r="48" spans="2:33" ht="15.75" customHeight="1" x14ac:dyDescent="0.2">
      <c r="B48" s="43" t="s">
        <v>18</v>
      </c>
      <c r="C48" s="43" t="s">
        <v>67</v>
      </c>
      <c r="D48" s="43" t="s">
        <v>73</v>
      </c>
      <c r="E48" s="44">
        <v>-1890</v>
      </c>
      <c r="F48" s="44">
        <v>0</v>
      </c>
      <c r="G48" s="44">
        <v>0</v>
      </c>
      <c r="H48" s="43" t="s">
        <v>71</v>
      </c>
      <c r="I48" s="44">
        <v>0</v>
      </c>
      <c r="J48" s="44">
        <v>0</v>
      </c>
      <c r="K48" s="43" t="s">
        <v>30</v>
      </c>
      <c r="L48" s="43" t="s">
        <v>74</v>
      </c>
      <c r="M48" s="46"/>
      <c r="N48" s="43" t="s">
        <v>21</v>
      </c>
      <c r="O48" s="44">
        <v>1.1000000000000001</v>
      </c>
      <c r="P48" s="52"/>
      <c r="Q48" s="46"/>
      <c r="R48" s="44">
        <v>0</v>
      </c>
      <c r="S48" s="44">
        <v>0</v>
      </c>
      <c r="T48" s="44">
        <v>0</v>
      </c>
      <c r="U48" s="44">
        <v>0</v>
      </c>
      <c r="V48" s="44">
        <v>27</v>
      </c>
      <c r="W48" s="44">
        <v>0</v>
      </c>
      <c r="X48" s="54" t="s">
        <v>30</v>
      </c>
      <c r="Y48" s="46"/>
      <c r="Z48" s="44">
        <v>0</v>
      </c>
      <c r="AA48" s="44">
        <v>0</v>
      </c>
      <c r="AB48" s="43" t="s">
        <v>26</v>
      </c>
      <c r="AC48" s="44">
        <v>0</v>
      </c>
      <c r="AD48" s="44">
        <v>0</v>
      </c>
      <c r="AE48" s="51">
        <v>43872</v>
      </c>
      <c r="AF48" s="44">
        <v>0</v>
      </c>
      <c r="AG48" s="54" t="s">
        <v>67</v>
      </c>
    </row>
    <row r="49" spans="2:33" ht="15.75" customHeight="1" x14ac:dyDescent="0.2">
      <c r="B49" s="55" t="s">
        <v>23</v>
      </c>
      <c r="C49" s="55" t="s">
        <v>67</v>
      </c>
      <c r="D49" s="55" t="s">
        <v>73</v>
      </c>
      <c r="E49" s="56">
        <v>-1960</v>
      </c>
      <c r="F49" s="56">
        <v>0</v>
      </c>
      <c r="G49" s="56">
        <v>0</v>
      </c>
      <c r="H49" s="55" t="s">
        <v>71</v>
      </c>
      <c r="I49" s="56">
        <v>0</v>
      </c>
      <c r="J49" s="56">
        <v>0</v>
      </c>
      <c r="K49" s="55" t="s">
        <v>30</v>
      </c>
      <c r="L49" s="55" t="s">
        <v>74</v>
      </c>
      <c r="M49" s="57"/>
      <c r="N49" s="55" t="s">
        <v>21</v>
      </c>
      <c r="O49" s="56">
        <v>1.1000000000000001</v>
      </c>
      <c r="P49" s="58"/>
      <c r="Q49" s="57"/>
      <c r="R49" s="56">
        <v>0</v>
      </c>
      <c r="S49" s="56">
        <v>0</v>
      </c>
      <c r="T49" s="56">
        <v>0</v>
      </c>
      <c r="U49" s="56">
        <v>0</v>
      </c>
      <c r="V49" s="56">
        <v>28</v>
      </c>
      <c r="W49" s="56">
        <v>0</v>
      </c>
      <c r="X49" s="61" t="s">
        <v>30</v>
      </c>
      <c r="Y49" s="57"/>
      <c r="Z49" s="56">
        <v>0</v>
      </c>
      <c r="AA49" s="56">
        <v>0</v>
      </c>
      <c r="AB49" s="55" t="s">
        <v>26</v>
      </c>
      <c r="AC49" s="56">
        <v>0</v>
      </c>
      <c r="AD49" s="56">
        <v>0</v>
      </c>
      <c r="AE49" s="62">
        <v>43872</v>
      </c>
      <c r="AF49" s="56">
        <v>0</v>
      </c>
      <c r="AG49" s="61" t="s">
        <v>67</v>
      </c>
    </row>
    <row r="50" spans="2:33" ht="15.75" customHeight="1" x14ac:dyDescent="0.2"/>
    <row r="51" spans="2:33" ht="15.75" customHeight="1" x14ac:dyDescent="0.2"/>
    <row r="52" spans="2:33" ht="15.75" customHeight="1" x14ac:dyDescent="0.2"/>
    <row r="53" spans="2:33" ht="15.75" customHeight="1" x14ac:dyDescent="0.2"/>
    <row r="54" spans="2:33" ht="15.75" customHeight="1" x14ac:dyDescent="0.2"/>
    <row r="55" spans="2:33" ht="15.75" customHeight="1" x14ac:dyDescent="0.2"/>
    <row r="56" spans="2:33" ht="15.75" customHeight="1" x14ac:dyDescent="0.2"/>
    <row r="57" spans="2:33" ht="15.75" customHeight="1" x14ac:dyDescent="0.2"/>
    <row r="58" spans="2:33" ht="15.75" customHeight="1" x14ac:dyDescent="0.2"/>
    <row r="59" spans="2:33" ht="15.75" customHeight="1" x14ac:dyDescent="0.2"/>
    <row r="60" spans="2:33" ht="15.75" customHeight="1" x14ac:dyDescent="0.2"/>
    <row r="61" spans="2:33" ht="15.75" customHeight="1" x14ac:dyDescent="0.2"/>
    <row r="62" spans="2:33" ht="15.75" customHeight="1" x14ac:dyDescent="0.2"/>
    <row r="63" spans="2:33" ht="15.75" customHeight="1" x14ac:dyDescent="0.2"/>
    <row r="64" spans="2:3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76</v>
      </c>
      <c r="D3" s="2" t="s">
        <v>9</v>
      </c>
      <c r="E3" s="17" t="s">
        <v>77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IFERROR(__xludf.DUMMYFUNCTION("IF(C3="""","""",Transpose(IMPORTRANGE('_Settings'!$B$3,C3&amp;""!A4:A1000"")))"),"CorporateAction")</f>
        <v>CorporateAction</v>
      </c>
      <c r="C4" s="19" t="str">
        <f ca="1">IFERROR(__xludf.DUMMYFUNCTION("""COMPUTED_VALUE"""),"CleanUp")</f>
        <v>CleanUp</v>
      </c>
      <c r="D4" s="19" t="str">
        <f ca="1">IFERROR(__xludf.DUMMYFUNCTION("""COMPUTED_VALUE"""),"CashDividend")</f>
        <v>CashDividend</v>
      </c>
      <c r="E4" s="19" t="str">
        <f ca="1">IFERROR(__xludf.DUMMYFUNCTION("""COMPUTED_VALUE"""),"Exchange")</f>
        <v>Exchange</v>
      </c>
      <c r="F4" s="19" t="str">
        <f ca="1">IFERROR(__xludf.DUMMYFUNCTION("""COMPUTED_VALUE"""),"Merger")</f>
        <v>Merger</v>
      </c>
      <c r="G4" s="19" t="str">
        <f ca="1">IFERROR(__xludf.DUMMYFUNCTION("""COMPUTED_VALUE"""),"NameChange")</f>
        <v>NameChange</v>
      </c>
      <c r="H4" s="19" t="str">
        <f ca="1">IFERROR(__xludf.DUMMYFUNCTION("""COMPUTED_VALUE"""),"SpinOff")</f>
        <v>SpinOff</v>
      </c>
      <c r="I4" s="19" t="str">
        <f ca="1">IFERROR(__xludf.DUMMYFUNCTION("""COMPUTED_VALUE"""),"Split")</f>
        <v>Split</v>
      </c>
      <c r="J4" s="19" t="str">
        <f ca="1">IFERROR(__xludf.DUMMYFUNCTION("""COMPUTED_VALUE"""),"StockDividend")</f>
        <v>StockDividend</v>
      </c>
      <c r="K4" s="19" t="str">
        <f ca="1">IFERROR(__xludf.DUMMYFUNCTION("""COMPUTED_VALUE"""),"OpenSpinOff")</f>
        <v>OpenSpinOff</v>
      </c>
      <c r="L4" s="19" t="str">
        <f ca="1">IFERROR(__xludf.DUMMYFUNCTION("""COMPUTED_VALUE"""),"SpinOff")</f>
        <v>SpinOff</v>
      </c>
      <c r="M4" s="19" t="str">
        <f ca="1">IFERROR(__xludf.DUMMYFUNCTION("""COMPUTED_VALUE"""),"VerifySpinOffGrid")</f>
        <v>VerifySpinOffGrid</v>
      </c>
      <c r="N4" s="19" t="str">
        <f ca="1">IFERROR(__xludf.DUMMYFUNCTION("""COMPUTED_VALUE"""),"SaveCorporateAction")</f>
        <v>SaveCorporateAction</v>
      </c>
      <c r="O4" s="19" t="str">
        <f ca="1">IFERROR(__xludf.DUMMYFUNCTION("""COMPUTED_VALUE"""),"VerifyAndSaveCorpAction")</f>
        <v>VerifyAndSaveCorpAction</v>
      </c>
      <c r="P4" s="20" t="str">
        <f ca="1">IFERROR(__xludf.DUMMYFUNCTION("""COMPUTED_VALUE"""),"VerifyAndApplyCorpAction")</f>
        <v>VerifyAndApplyCorpAction</v>
      </c>
      <c r="Q4" s="20" t="str">
        <f ca="1">IFERROR(__xludf.DUMMYFUNCTION("""COMPUTED_VALUE"""),"CorporateAction")</f>
        <v>CorporateAction</v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IFERROR(__xludf.DUMMYFUNCTION("""COMPUTED_VALUE"""),"Corporate Action")</f>
        <v>Corporate Action</v>
      </c>
      <c r="C5" s="22" t="str">
        <f ca="1">IFERROR(__xludf.DUMMYFUNCTION("""COMPUTED_VALUE"""),"Account Filter")</f>
        <v>Account Filter</v>
      </c>
      <c r="D5" s="22" t="str">
        <f ca="1">IFERROR(__xludf.DUMMYFUNCTION("""COMPUTED_VALUE"""),"Counter Party")</f>
        <v>Counter Party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78</v>
      </c>
      <c r="C6" s="32" t="s">
        <v>16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76</v>
      </c>
      <c r="D3" s="2" t="s">
        <v>9</v>
      </c>
      <c r="E3" s="17" t="s">
        <v>78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IFERROR(__xludf.DUMMYFUNCTION("IF(C3="""","""",Transpose(IMPORTRANGE('_Settings'!$B$3,C3&amp;""!A4:A1000"")))"),"CorporateAction")</f>
        <v>CorporateAction</v>
      </c>
      <c r="C4" s="19" t="str">
        <f ca="1">IFERROR(__xludf.DUMMYFUNCTION("""COMPUTED_VALUE"""),"CleanUp")</f>
        <v>CleanUp</v>
      </c>
      <c r="D4" s="19" t="str">
        <f ca="1">IFERROR(__xludf.DUMMYFUNCTION("""COMPUTED_VALUE"""),"CashDividend")</f>
        <v>CashDividend</v>
      </c>
      <c r="E4" s="19" t="str">
        <f ca="1">IFERROR(__xludf.DUMMYFUNCTION("""COMPUTED_VALUE"""),"Exchange")</f>
        <v>Exchange</v>
      </c>
      <c r="F4" s="19" t="str">
        <f ca="1">IFERROR(__xludf.DUMMYFUNCTION("""COMPUTED_VALUE"""),"Merger")</f>
        <v>Merger</v>
      </c>
      <c r="G4" s="19" t="str">
        <f ca="1">IFERROR(__xludf.DUMMYFUNCTION("""COMPUTED_VALUE"""),"NameChange")</f>
        <v>NameChange</v>
      </c>
      <c r="H4" s="19" t="str">
        <f ca="1">IFERROR(__xludf.DUMMYFUNCTION("""COMPUTED_VALUE"""),"SpinOff")</f>
        <v>SpinOff</v>
      </c>
      <c r="I4" s="19" t="str">
        <f ca="1">IFERROR(__xludf.DUMMYFUNCTION("""COMPUTED_VALUE"""),"Split")</f>
        <v>Split</v>
      </c>
      <c r="J4" s="19" t="str">
        <f ca="1">IFERROR(__xludf.DUMMYFUNCTION("""COMPUTED_VALUE"""),"StockDividend")</f>
        <v>StockDividend</v>
      </c>
      <c r="K4" s="19" t="str">
        <f ca="1">IFERROR(__xludf.DUMMYFUNCTION("""COMPUTED_VALUE"""),"OpenSpinOff")</f>
        <v>OpenSpinOff</v>
      </c>
      <c r="L4" s="19" t="str">
        <f ca="1">IFERROR(__xludf.DUMMYFUNCTION("""COMPUTED_VALUE"""),"SpinOff")</f>
        <v>SpinOff</v>
      </c>
      <c r="M4" s="19" t="str">
        <f ca="1">IFERROR(__xludf.DUMMYFUNCTION("""COMPUTED_VALUE"""),"VerifySpinOffGrid")</f>
        <v>VerifySpinOffGrid</v>
      </c>
      <c r="N4" s="19" t="str">
        <f ca="1">IFERROR(__xludf.DUMMYFUNCTION("""COMPUTED_VALUE"""),"SaveCorporateAction")</f>
        <v>SaveCorporateAction</v>
      </c>
      <c r="O4" s="19" t="str">
        <f ca="1">IFERROR(__xludf.DUMMYFUNCTION("""COMPUTED_VALUE"""),"VerifyAndSaveCorpAction")</f>
        <v>VerifyAndSaveCorpAction</v>
      </c>
      <c r="P4" s="20" t="str">
        <f ca="1">IFERROR(__xludf.DUMMYFUNCTION("""COMPUTED_VALUE"""),"VerifyAndApplyCorpAction")</f>
        <v>VerifyAndApplyCorpAction</v>
      </c>
      <c r="Q4" s="20" t="str">
        <f ca="1">IFERROR(__xludf.DUMMYFUNCTION("""COMPUTED_VALUE"""),"CorporateAction")</f>
        <v>CorporateAction</v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IFERROR(__xludf.DUMMYFUNCTION("""COMPUTED_VALUE"""),"Effective Date")</f>
        <v>Effective Date</v>
      </c>
      <c r="C5" s="22" t="str">
        <f ca="1">IFERROR(__xludf.DUMMYFUNCTION("""COMPUTED_VALUE"""),"Company Name")</f>
        <v>Company Name</v>
      </c>
      <c r="D5" s="22" t="str">
        <f ca="1">IFERROR(__xludf.DUMMYFUNCTION("""COMPUTED_VALUE"""),"New Company Name")</f>
        <v>New Company Name</v>
      </c>
      <c r="E5" s="22" t="str">
        <f ca="1">IFERROR(__xludf.DUMMYFUNCTION("""COMPUTED_VALUE"""),"Original Symbol")</f>
        <v>Original Symbol</v>
      </c>
      <c r="F5" s="23" t="str">
        <f ca="1">IFERROR(__xludf.DUMMYFUNCTION("""COMPUTED_VALUE"""),"Symbology")</f>
        <v>Symbology</v>
      </c>
      <c r="G5" s="22" t="str">
        <f ca="1">IFERROR(__xludf.DUMMYFUNCTION("""COMPUTED_VALUE"""),"New Symbol")</f>
        <v>New Symbol</v>
      </c>
      <c r="H5" s="22" t="str">
        <f ca="1">IFERROR(__xludf.DUMMYFUNCTION("""COMPUTED_VALUE"""),"Original Security Qty Ratio")</f>
        <v>Original Security Qty Ratio</v>
      </c>
      <c r="I5" s="22" t="str">
        <f ca="1">IFERROR(__xludf.DUMMYFUNCTION("""COMPUTED_VALUE"""),"New Security Qty Ratio")</f>
        <v>New Security Qty Ratio</v>
      </c>
      <c r="J5" s="22" t="str">
        <f ca="1">IFERROR(__xludf.DUMMYFUNCTION("""COMPUTED_VALUE"""),"Adjustment Factor")</f>
        <v>Adjustment Factor</v>
      </c>
      <c r="K5" s="22" t="str">
        <f ca="1">IFERROR(__xludf.DUMMYFUNCTION("""COMPUTED_VALUE"""),"Fractional Qty PX")</f>
        <v>Fractional Qty PX</v>
      </c>
      <c r="L5" s="22" t="str">
        <f ca="1">IFERROR(__xludf.DUMMYFUNCTION("""COMPUTED_VALUE"""),"Quantity Factor")</f>
        <v>Quantity Factor</v>
      </c>
      <c r="M5" s="22" t="str">
        <f ca="1">IFERROR(__xludf.DUMMYFUNCTION("""COMPUTED_VALUE"""),"Cash in lieu")</f>
        <v>Cash in lieu</v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8">
        <v>43873</v>
      </c>
      <c r="C6" s="27"/>
      <c r="D6" s="26"/>
      <c r="E6" s="27" t="s">
        <v>26</v>
      </c>
      <c r="F6" s="27"/>
      <c r="G6" s="27" t="s">
        <v>79</v>
      </c>
      <c r="H6" s="30">
        <v>1</v>
      </c>
      <c r="I6" s="30">
        <v>0.33</v>
      </c>
      <c r="J6" s="30">
        <v>0.625</v>
      </c>
      <c r="K6" s="27"/>
      <c r="L6" s="27"/>
      <c r="M6" s="63" t="s">
        <v>80</v>
      </c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76</v>
      </c>
      <c r="D3" s="2" t="s">
        <v>9</v>
      </c>
      <c r="E3" s="17" t="s">
        <v>81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IFERROR(__xludf.DUMMYFUNCTION("IF(C3="""","""",Transpose(IMPORTRANGE('_Settings'!$B$3,C3&amp;""!A4:A1000"")))"),"CorporateAction")</f>
        <v>CorporateAction</v>
      </c>
      <c r="C4" s="19" t="str">
        <f ca="1">IFERROR(__xludf.DUMMYFUNCTION("""COMPUTED_VALUE"""),"CleanUp")</f>
        <v>CleanUp</v>
      </c>
      <c r="D4" s="19" t="str">
        <f ca="1">IFERROR(__xludf.DUMMYFUNCTION("""COMPUTED_VALUE"""),"CashDividend")</f>
        <v>CashDividend</v>
      </c>
      <c r="E4" s="19" t="str">
        <f ca="1">IFERROR(__xludf.DUMMYFUNCTION("""COMPUTED_VALUE"""),"Exchange")</f>
        <v>Exchange</v>
      </c>
      <c r="F4" s="19" t="str">
        <f ca="1">IFERROR(__xludf.DUMMYFUNCTION("""COMPUTED_VALUE"""),"Merger")</f>
        <v>Merger</v>
      </c>
      <c r="G4" s="19" t="str">
        <f ca="1">IFERROR(__xludf.DUMMYFUNCTION("""COMPUTED_VALUE"""),"NameChange")</f>
        <v>NameChange</v>
      </c>
      <c r="H4" s="19" t="str">
        <f ca="1">IFERROR(__xludf.DUMMYFUNCTION("""COMPUTED_VALUE"""),"SpinOff")</f>
        <v>SpinOff</v>
      </c>
      <c r="I4" s="19" t="str">
        <f ca="1">IFERROR(__xludf.DUMMYFUNCTION("""COMPUTED_VALUE"""),"Split")</f>
        <v>Split</v>
      </c>
      <c r="J4" s="19" t="str">
        <f ca="1">IFERROR(__xludf.DUMMYFUNCTION("""COMPUTED_VALUE"""),"StockDividend")</f>
        <v>StockDividend</v>
      </c>
      <c r="K4" s="19" t="str">
        <f ca="1">IFERROR(__xludf.DUMMYFUNCTION("""COMPUTED_VALUE"""),"OpenSpinOff")</f>
        <v>OpenSpinOff</v>
      </c>
      <c r="L4" s="19" t="str">
        <f ca="1">IFERROR(__xludf.DUMMYFUNCTION("""COMPUTED_VALUE"""),"SpinOff")</f>
        <v>SpinOff</v>
      </c>
      <c r="M4" s="19" t="str">
        <f ca="1">IFERROR(__xludf.DUMMYFUNCTION("""COMPUTED_VALUE"""),"VerifySpinOffGrid")</f>
        <v>VerifySpinOffGrid</v>
      </c>
      <c r="N4" s="19" t="str">
        <f ca="1">IFERROR(__xludf.DUMMYFUNCTION("""COMPUTED_VALUE"""),"SaveCorporateAction")</f>
        <v>SaveCorporateAction</v>
      </c>
      <c r="O4" s="19" t="str">
        <f ca="1">IFERROR(__xludf.DUMMYFUNCTION("""COMPUTED_VALUE"""),"VerifyAndSaveCorpAction")</f>
        <v>VerifyAndSaveCorpAction</v>
      </c>
      <c r="P4" s="20" t="str">
        <f ca="1">IFERROR(__xludf.DUMMYFUNCTION("""COMPUTED_VALUE"""),"VerifyAndApplyCorpAction")</f>
        <v>VerifyAndApplyCorpAction</v>
      </c>
      <c r="Q4" s="20" t="str">
        <f ca="1">IFERROR(__xludf.DUMMYFUNCTION("""COMPUTED_VALUE"""),"CorporateAction")</f>
        <v>CorporateAction</v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IFERROR(__xludf.DUMMYFUNCTION("""COMPUTED_VALUE"""),"Currency")</f>
        <v>Currency</v>
      </c>
      <c r="D5" s="22" t="str">
        <f ca="1">IFERROR(__xludf.DUMMYFUNCTION("""COMPUTED_VALUE"""),"Side")</f>
        <v>Side</v>
      </c>
      <c r="E5" s="22" t="str">
        <f ca="1">IFERROR(__xludf.DUMMYFUNCTION("""COMPUTED_VALUE"""),"Account")</f>
        <v>Account</v>
      </c>
      <c r="F5" s="23" t="str">
        <f ca="1">IFERROR(__xludf.DUMMYFUNCTION("""COMPUTED_VALUE"""),"Unit Cost")</f>
        <v>Unit Cost</v>
      </c>
      <c r="G5" s="22" t="str">
        <f ca="1">IFERROR(__xludf.DUMMYFUNCTION("""COMPUTED_VALUE"""),"Open Qty")</f>
        <v>Open Qty</v>
      </c>
      <c r="H5" s="22" t="str">
        <f ca="1">IFERROR(__xludf.DUMMYFUNCTION("""COMPUTED_VALUE"""),"Open Total Commission and Fees")</f>
        <v>Open Total Commission and Fees</v>
      </c>
      <c r="I5" s="22" t="str">
        <f ca="1">IFERROR(__xludf.DUMMYFUNCTION("""COMPUTED_VALUE"""),"Trade Date")</f>
        <v>Trade Date</v>
      </c>
      <c r="J5" s="22" t="str">
        <f ca="1">IFERROR(__xludf.DUMMYFUNCTION("""COMPUTED_VALUE"""),"Process Date")</f>
        <v>Process Date</v>
      </c>
      <c r="K5" s="22" t="str">
        <f ca="1">IFERROR(__xludf.DUMMYFUNCTION("""COMPUTED_VALUE"""),"Original Open Date")</f>
        <v>Original Open Date</v>
      </c>
      <c r="L5" s="22" t="str">
        <f ca="1">IFERROR(__xludf.DUMMYFUNCTION("""COMPUTED_VALUE"""),"Settlement Date")</f>
        <v>Settlement Date</v>
      </c>
      <c r="M5" s="22" t="str">
        <f ca="1">IFERROR(__xludf.DUMMYFUNCTION("""COMPUTED_VALUE"""),"Broker")</f>
        <v>Broker</v>
      </c>
      <c r="N5" s="22" t="str">
        <f ca="1">IFERROR(__xludf.DUMMYFUNCTION("""COMPUTED_VALUE"""),"Fx Rate")</f>
        <v>Fx Rate</v>
      </c>
      <c r="O5" s="22" t="str">
        <f ca="1">IFERROR(__xludf.DUMMYFUNCTION("""COMPUTED_VALUE"""),"FX Conversion Operator")</f>
        <v>FX Conversion Operator</v>
      </c>
      <c r="P5" s="22" t="str">
        <f ca="1">IFERROR(__xludf.DUMMYFUNCTION("""COMPUTED_VALUE"""),"Average Price")</f>
        <v>Average Price</v>
      </c>
      <c r="Q5" s="22" t="str">
        <f ca="1">IFERROR(__xludf.DUMMYFUNCTION("""COMPUTED_VALUE"""),"Notional Value (Local)")</f>
        <v>Notional Value (Local)</v>
      </c>
      <c r="R5" s="22" t="str">
        <f ca="1">IFERROR(__xludf.DUMMYFUNCTION("""COMPUTED_VALUE"""),"Notional Value (Base)")</f>
        <v>Notional Value (Base)</v>
      </c>
      <c r="S5" s="22" t="str">
        <f ca="1">IFERROR(__xludf.DUMMYFUNCTION("""COMPUTED_VALUE"""),"Transaction Type")</f>
        <v>Transaction Type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64" t="s">
        <v>26</v>
      </c>
      <c r="C6" s="64" t="s">
        <v>30</v>
      </c>
      <c r="D6" s="64" t="s">
        <v>27</v>
      </c>
      <c r="E6" s="64" t="s">
        <v>23</v>
      </c>
      <c r="F6" s="65">
        <v>70</v>
      </c>
      <c r="G6" s="65">
        <v>25</v>
      </c>
      <c r="H6" s="65">
        <v>2.3809523810000002</v>
      </c>
      <c r="I6" s="66">
        <v>43871</v>
      </c>
      <c r="J6" s="66">
        <v>43871</v>
      </c>
      <c r="K6" s="66">
        <v>43871</v>
      </c>
      <c r="L6" s="67"/>
      <c r="M6" s="64" t="s">
        <v>28</v>
      </c>
      <c r="N6" s="65">
        <v>1.1000000000000001</v>
      </c>
      <c r="O6" s="64" t="s">
        <v>21</v>
      </c>
      <c r="P6" s="65">
        <v>0</v>
      </c>
      <c r="Q6" s="65">
        <v>1747.619048</v>
      </c>
      <c r="R6" s="65">
        <v>1922.380952</v>
      </c>
      <c r="S6" s="64" t="s">
        <v>82</v>
      </c>
    </row>
    <row r="7" spans="1:154" ht="15.75" customHeight="1" x14ac:dyDescent="0.25">
      <c r="A7" s="5"/>
      <c r="B7" s="64" t="s">
        <v>26</v>
      </c>
      <c r="C7" s="64" t="s">
        <v>30</v>
      </c>
      <c r="D7" s="64" t="s">
        <v>40</v>
      </c>
      <c r="E7" s="64" t="s">
        <v>23</v>
      </c>
      <c r="F7" s="65">
        <v>69.904761899999997</v>
      </c>
      <c r="G7" s="65">
        <v>25</v>
      </c>
      <c r="H7" s="65">
        <v>0</v>
      </c>
      <c r="I7" s="66">
        <v>43873</v>
      </c>
      <c r="J7" s="66">
        <v>43873</v>
      </c>
      <c r="K7" s="66">
        <v>43873</v>
      </c>
      <c r="L7" s="67"/>
      <c r="M7" s="68"/>
      <c r="N7" s="65">
        <v>1.1000000000000001</v>
      </c>
      <c r="O7" s="64" t="s">
        <v>21</v>
      </c>
      <c r="P7" s="65">
        <v>0</v>
      </c>
      <c r="Q7" s="65">
        <v>1747.619048</v>
      </c>
      <c r="R7" s="65">
        <v>1922.380952</v>
      </c>
      <c r="S7" s="64" t="s">
        <v>83</v>
      </c>
    </row>
    <row r="8" spans="1:154" ht="15.75" customHeight="1" x14ac:dyDescent="0.25">
      <c r="A8" s="5"/>
      <c r="B8" s="64" t="s">
        <v>26</v>
      </c>
      <c r="C8" s="64" t="s">
        <v>30</v>
      </c>
      <c r="D8" s="64" t="s">
        <v>27</v>
      </c>
      <c r="E8" s="64" t="s">
        <v>23</v>
      </c>
      <c r="F8" s="65">
        <v>43.690476189999998</v>
      </c>
      <c r="G8" s="65">
        <v>25</v>
      </c>
      <c r="H8" s="65">
        <v>0</v>
      </c>
      <c r="I8" s="66">
        <v>43873</v>
      </c>
      <c r="J8" s="66">
        <v>43873</v>
      </c>
      <c r="K8" s="66">
        <v>43871</v>
      </c>
      <c r="L8" s="67"/>
      <c r="M8" s="68"/>
      <c r="N8" s="65">
        <v>1.1000000000000001</v>
      </c>
      <c r="O8" s="64" t="s">
        <v>21</v>
      </c>
      <c r="P8" s="65">
        <v>70</v>
      </c>
      <c r="Q8" s="65">
        <v>1092.2619050000001</v>
      </c>
      <c r="R8" s="65">
        <v>1201.4880949999999</v>
      </c>
      <c r="S8" s="64" t="s">
        <v>82</v>
      </c>
    </row>
    <row r="9" spans="1:154" ht="15.75" customHeight="1" x14ac:dyDescent="0.25">
      <c r="A9" s="5"/>
      <c r="B9" s="64" t="s">
        <v>79</v>
      </c>
      <c r="C9" s="64" t="s">
        <v>30</v>
      </c>
      <c r="D9" s="64" t="s">
        <v>27</v>
      </c>
      <c r="E9" s="64" t="s">
        <v>23</v>
      </c>
      <c r="F9" s="65">
        <v>81.919642859999996</v>
      </c>
      <c r="G9" s="65">
        <v>8</v>
      </c>
      <c r="H9" s="65">
        <v>0</v>
      </c>
      <c r="I9" s="66">
        <v>43873</v>
      </c>
      <c r="J9" s="66">
        <v>43873</v>
      </c>
      <c r="K9" s="66">
        <v>43871</v>
      </c>
      <c r="L9" s="67"/>
      <c r="M9" s="68"/>
      <c r="N9" s="65">
        <v>1.1000000000000001</v>
      </c>
      <c r="O9" s="64" t="s">
        <v>21</v>
      </c>
      <c r="P9" s="65">
        <v>79.437229439999996</v>
      </c>
      <c r="Q9" s="65">
        <v>655.35714289999999</v>
      </c>
      <c r="R9" s="65">
        <v>720.89285710000001</v>
      </c>
      <c r="S9" s="64" t="s">
        <v>82</v>
      </c>
    </row>
    <row r="10" spans="1:154" ht="15.75" customHeight="1" x14ac:dyDescent="0.25">
      <c r="A10" s="5"/>
      <c r="B10" s="64" t="s">
        <v>26</v>
      </c>
      <c r="C10" s="64" t="s">
        <v>30</v>
      </c>
      <c r="D10" s="64" t="s">
        <v>27</v>
      </c>
      <c r="E10" s="64" t="s">
        <v>23</v>
      </c>
      <c r="F10" s="65">
        <v>70</v>
      </c>
      <c r="G10" s="65">
        <v>53</v>
      </c>
      <c r="H10" s="65">
        <v>5.0476190479999996</v>
      </c>
      <c r="I10" s="66">
        <v>43872</v>
      </c>
      <c r="J10" s="66">
        <v>43872</v>
      </c>
      <c r="K10" s="66">
        <v>43872</v>
      </c>
      <c r="L10" s="67"/>
      <c r="M10" s="64" t="s">
        <v>28</v>
      </c>
      <c r="N10" s="65">
        <v>1.1000000000000001</v>
      </c>
      <c r="O10" s="64" t="s">
        <v>21</v>
      </c>
      <c r="P10" s="65">
        <v>0</v>
      </c>
      <c r="Q10" s="65">
        <v>3704.9523810000001</v>
      </c>
      <c r="R10" s="65">
        <v>4075.447619</v>
      </c>
      <c r="S10" s="64" t="s">
        <v>82</v>
      </c>
    </row>
    <row r="11" spans="1:154" ht="15.75" customHeight="1" x14ac:dyDescent="0.25">
      <c r="A11" s="5"/>
      <c r="B11" s="64" t="s">
        <v>26</v>
      </c>
      <c r="C11" s="64" t="s">
        <v>30</v>
      </c>
      <c r="D11" s="64" t="s">
        <v>40</v>
      </c>
      <c r="E11" s="64" t="s">
        <v>23</v>
      </c>
      <c r="F11" s="65">
        <v>69.904761899999997</v>
      </c>
      <c r="G11" s="65">
        <v>53</v>
      </c>
      <c r="H11" s="65">
        <v>0</v>
      </c>
      <c r="I11" s="66">
        <v>43873</v>
      </c>
      <c r="J11" s="66">
        <v>43873</v>
      </c>
      <c r="K11" s="66">
        <v>43873</v>
      </c>
      <c r="L11" s="67"/>
      <c r="M11" s="68"/>
      <c r="N11" s="65">
        <v>1.1000000000000001</v>
      </c>
      <c r="O11" s="64" t="s">
        <v>21</v>
      </c>
      <c r="P11" s="65">
        <v>0</v>
      </c>
      <c r="Q11" s="65">
        <v>3704.9523810000001</v>
      </c>
      <c r="R11" s="65">
        <v>4075.447619</v>
      </c>
      <c r="S11" s="64" t="s">
        <v>83</v>
      </c>
    </row>
    <row r="12" spans="1:154" ht="15.75" customHeight="1" x14ac:dyDescent="0.25">
      <c r="A12" s="5"/>
      <c r="B12" s="64" t="s">
        <v>26</v>
      </c>
      <c r="C12" s="64" t="s">
        <v>30</v>
      </c>
      <c r="D12" s="64" t="s">
        <v>27</v>
      </c>
      <c r="E12" s="64" t="s">
        <v>23</v>
      </c>
      <c r="F12" s="65">
        <v>43.690476189999998</v>
      </c>
      <c r="G12" s="65">
        <v>53</v>
      </c>
      <c r="H12" s="65">
        <v>0</v>
      </c>
      <c r="I12" s="66">
        <v>43873</v>
      </c>
      <c r="J12" s="66">
        <v>43873</v>
      </c>
      <c r="K12" s="66">
        <v>43872</v>
      </c>
      <c r="L12" s="67"/>
      <c r="M12" s="68"/>
      <c r="N12" s="65">
        <v>1.1000000000000001</v>
      </c>
      <c r="O12" s="64" t="s">
        <v>21</v>
      </c>
      <c r="P12" s="65">
        <v>70</v>
      </c>
      <c r="Q12" s="65">
        <v>2315.5952379999999</v>
      </c>
      <c r="R12" s="65">
        <v>2547.1547620000001</v>
      </c>
      <c r="S12" s="64" t="s">
        <v>82</v>
      </c>
    </row>
    <row r="13" spans="1:154" ht="15.75" customHeight="1" x14ac:dyDescent="0.25">
      <c r="A13" s="5"/>
      <c r="B13" s="64" t="s">
        <v>79</v>
      </c>
      <c r="C13" s="64" t="s">
        <v>30</v>
      </c>
      <c r="D13" s="64" t="s">
        <v>27</v>
      </c>
      <c r="E13" s="64" t="s">
        <v>23</v>
      </c>
      <c r="F13" s="65">
        <v>81.726890760000003</v>
      </c>
      <c r="G13" s="65">
        <v>17</v>
      </c>
      <c r="H13" s="65">
        <v>0</v>
      </c>
      <c r="I13" s="66">
        <v>43873</v>
      </c>
      <c r="J13" s="66">
        <v>43873</v>
      </c>
      <c r="K13" s="66">
        <v>43872</v>
      </c>
      <c r="L13" s="67"/>
      <c r="M13" s="68"/>
      <c r="N13" s="65">
        <v>1.1000000000000001</v>
      </c>
      <c r="O13" s="64" t="s">
        <v>21</v>
      </c>
      <c r="P13" s="65">
        <v>79.437229439999996</v>
      </c>
      <c r="Q13" s="65">
        <v>1389.357143</v>
      </c>
      <c r="R13" s="65">
        <v>1528.2928569999999</v>
      </c>
      <c r="S13" s="64" t="s">
        <v>82</v>
      </c>
    </row>
    <row r="14" spans="1:154" ht="15.75" customHeight="1" x14ac:dyDescent="0.25">
      <c r="A14" s="5"/>
      <c r="B14" s="64" t="s">
        <v>26</v>
      </c>
      <c r="C14" s="64" t="s">
        <v>30</v>
      </c>
      <c r="D14" s="64" t="s">
        <v>27</v>
      </c>
      <c r="E14" s="64" t="s">
        <v>18</v>
      </c>
      <c r="F14" s="65">
        <v>70</v>
      </c>
      <c r="G14" s="65">
        <v>25</v>
      </c>
      <c r="H14" s="65">
        <v>2.3809523810000002</v>
      </c>
      <c r="I14" s="66">
        <v>43871</v>
      </c>
      <c r="J14" s="66">
        <v>43871</v>
      </c>
      <c r="K14" s="66">
        <v>43871</v>
      </c>
      <c r="L14" s="67"/>
      <c r="M14" s="64" t="s">
        <v>28</v>
      </c>
      <c r="N14" s="65">
        <v>1.1000000000000001</v>
      </c>
      <c r="O14" s="64" t="s">
        <v>21</v>
      </c>
      <c r="P14" s="65">
        <v>0</v>
      </c>
      <c r="Q14" s="65">
        <v>1747.619048</v>
      </c>
      <c r="R14" s="65">
        <v>1922.380952</v>
      </c>
      <c r="S14" s="64" t="s">
        <v>82</v>
      </c>
    </row>
    <row r="15" spans="1:154" ht="15.75" customHeight="1" x14ac:dyDescent="0.25">
      <c r="A15" s="5"/>
      <c r="B15" s="64" t="s">
        <v>26</v>
      </c>
      <c r="C15" s="64" t="s">
        <v>30</v>
      </c>
      <c r="D15" s="64" t="s">
        <v>40</v>
      </c>
      <c r="E15" s="64" t="s">
        <v>18</v>
      </c>
      <c r="F15" s="65">
        <v>69.904761899999997</v>
      </c>
      <c r="G15" s="65">
        <v>25</v>
      </c>
      <c r="H15" s="65">
        <v>0</v>
      </c>
      <c r="I15" s="66">
        <v>43873</v>
      </c>
      <c r="J15" s="66">
        <v>43873</v>
      </c>
      <c r="K15" s="66">
        <v>43873</v>
      </c>
      <c r="L15" s="67"/>
      <c r="M15" s="68"/>
      <c r="N15" s="65">
        <v>1.1000000000000001</v>
      </c>
      <c r="O15" s="64" t="s">
        <v>21</v>
      </c>
      <c r="P15" s="65">
        <v>0</v>
      </c>
      <c r="Q15" s="65">
        <v>1747.619048</v>
      </c>
      <c r="R15" s="65">
        <v>1922.380952</v>
      </c>
      <c r="S15" s="64" t="s">
        <v>83</v>
      </c>
    </row>
    <row r="16" spans="1:154" ht="15.75" customHeight="1" x14ac:dyDescent="0.25">
      <c r="A16" s="5"/>
      <c r="B16" s="64" t="s">
        <v>26</v>
      </c>
      <c r="C16" s="64" t="s">
        <v>30</v>
      </c>
      <c r="D16" s="64" t="s">
        <v>27</v>
      </c>
      <c r="E16" s="64" t="s">
        <v>18</v>
      </c>
      <c r="F16" s="65">
        <v>43.690476189999998</v>
      </c>
      <c r="G16" s="65">
        <v>25</v>
      </c>
      <c r="H16" s="65">
        <v>0</v>
      </c>
      <c r="I16" s="66">
        <v>43873</v>
      </c>
      <c r="J16" s="66">
        <v>43873</v>
      </c>
      <c r="K16" s="66">
        <v>43871</v>
      </c>
      <c r="L16" s="67"/>
      <c r="M16" s="68"/>
      <c r="N16" s="65">
        <v>1.1000000000000001</v>
      </c>
      <c r="O16" s="64" t="s">
        <v>21</v>
      </c>
      <c r="P16" s="65">
        <v>70</v>
      </c>
      <c r="Q16" s="65">
        <v>1092.2619050000001</v>
      </c>
      <c r="R16" s="65">
        <v>1201.4880949999999</v>
      </c>
      <c r="S16" s="64" t="s">
        <v>82</v>
      </c>
    </row>
    <row r="17" spans="1:19" ht="15.75" customHeight="1" x14ac:dyDescent="0.25">
      <c r="A17" s="5"/>
      <c r="B17" s="64" t="s">
        <v>79</v>
      </c>
      <c r="C17" s="64" t="s">
        <v>30</v>
      </c>
      <c r="D17" s="64" t="s">
        <v>27</v>
      </c>
      <c r="E17" s="64" t="s">
        <v>18</v>
      </c>
      <c r="F17" s="65">
        <v>81.919642859999996</v>
      </c>
      <c r="G17" s="65">
        <v>8</v>
      </c>
      <c r="H17" s="65">
        <v>0</v>
      </c>
      <c r="I17" s="66">
        <v>43873</v>
      </c>
      <c r="J17" s="66">
        <v>43873</v>
      </c>
      <c r="K17" s="66">
        <v>43871</v>
      </c>
      <c r="L17" s="67"/>
      <c r="M17" s="68"/>
      <c r="N17" s="65">
        <v>1.1000000000000001</v>
      </c>
      <c r="O17" s="64" t="s">
        <v>21</v>
      </c>
      <c r="P17" s="65">
        <v>79.437229439999996</v>
      </c>
      <c r="Q17" s="65">
        <v>655.35714289999999</v>
      </c>
      <c r="R17" s="65">
        <v>720.89285710000001</v>
      </c>
      <c r="S17" s="64" t="s">
        <v>82</v>
      </c>
    </row>
    <row r="18" spans="1:19" ht="15.75" customHeight="1" x14ac:dyDescent="0.25">
      <c r="A18" s="5"/>
      <c r="B18" s="64" t="s">
        <v>26</v>
      </c>
      <c r="C18" s="64" t="s">
        <v>30</v>
      </c>
      <c r="D18" s="64" t="s">
        <v>27</v>
      </c>
      <c r="E18" s="64" t="s">
        <v>18</v>
      </c>
      <c r="F18" s="65">
        <v>70</v>
      </c>
      <c r="G18" s="65">
        <v>52</v>
      </c>
      <c r="H18" s="65">
        <v>4.9523809520000004</v>
      </c>
      <c r="I18" s="66">
        <v>43872</v>
      </c>
      <c r="J18" s="66">
        <v>43872</v>
      </c>
      <c r="K18" s="66">
        <v>43872</v>
      </c>
      <c r="L18" s="67"/>
      <c r="M18" s="64" t="s">
        <v>28</v>
      </c>
      <c r="N18" s="65">
        <v>1.1000000000000001</v>
      </c>
      <c r="O18" s="64" t="s">
        <v>21</v>
      </c>
      <c r="P18" s="65">
        <v>0</v>
      </c>
      <c r="Q18" s="65">
        <v>3635.0476189999999</v>
      </c>
      <c r="R18" s="65">
        <v>3998.552381</v>
      </c>
      <c r="S18" s="64" t="s">
        <v>82</v>
      </c>
    </row>
    <row r="19" spans="1:19" ht="15.75" customHeight="1" x14ac:dyDescent="0.25">
      <c r="A19" s="5"/>
      <c r="B19" s="64" t="s">
        <v>26</v>
      </c>
      <c r="C19" s="64" t="s">
        <v>30</v>
      </c>
      <c r="D19" s="64" t="s">
        <v>40</v>
      </c>
      <c r="E19" s="64" t="s">
        <v>18</v>
      </c>
      <c r="F19" s="65">
        <v>69.904761899999997</v>
      </c>
      <c r="G19" s="65">
        <v>52</v>
      </c>
      <c r="H19" s="65">
        <v>0</v>
      </c>
      <c r="I19" s="66">
        <v>43873</v>
      </c>
      <c r="J19" s="66">
        <v>43873</v>
      </c>
      <c r="K19" s="66">
        <v>43873</v>
      </c>
      <c r="L19" s="67"/>
      <c r="M19" s="68"/>
      <c r="N19" s="65">
        <v>1.1000000000000001</v>
      </c>
      <c r="O19" s="64" t="s">
        <v>21</v>
      </c>
      <c r="P19" s="65">
        <v>0</v>
      </c>
      <c r="Q19" s="65">
        <v>3635.0476189999999</v>
      </c>
      <c r="R19" s="65">
        <v>3998.552381</v>
      </c>
      <c r="S19" s="64" t="s">
        <v>83</v>
      </c>
    </row>
    <row r="20" spans="1:19" ht="15.75" customHeight="1" x14ac:dyDescent="0.25">
      <c r="A20" s="5"/>
      <c r="B20" s="64" t="s">
        <v>26</v>
      </c>
      <c r="C20" s="64" t="s">
        <v>30</v>
      </c>
      <c r="D20" s="64" t="s">
        <v>27</v>
      </c>
      <c r="E20" s="64" t="s">
        <v>18</v>
      </c>
      <c r="F20" s="65">
        <v>43.690476189999998</v>
      </c>
      <c r="G20" s="65">
        <v>52</v>
      </c>
      <c r="H20" s="65">
        <v>0</v>
      </c>
      <c r="I20" s="66">
        <v>43873</v>
      </c>
      <c r="J20" s="66">
        <v>43873</v>
      </c>
      <c r="K20" s="66">
        <v>43872</v>
      </c>
      <c r="L20" s="67"/>
      <c r="M20" s="68"/>
      <c r="N20" s="65">
        <v>1.1000000000000001</v>
      </c>
      <c r="O20" s="64" t="s">
        <v>21</v>
      </c>
      <c r="P20" s="65">
        <v>70</v>
      </c>
      <c r="Q20" s="65">
        <v>2271.9047620000001</v>
      </c>
      <c r="R20" s="65">
        <v>2499.0952379999999</v>
      </c>
      <c r="S20" s="64" t="s">
        <v>82</v>
      </c>
    </row>
    <row r="21" spans="1:19" ht="15.75" customHeight="1" x14ac:dyDescent="0.25">
      <c r="A21" s="5"/>
      <c r="B21" s="64" t="s">
        <v>79</v>
      </c>
      <c r="C21" s="64" t="s">
        <v>30</v>
      </c>
      <c r="D21" s="64" t="s">
        <v>27</v>
      </c>
      <c r="E21" s="64" t="s">
        <v>18</v>
      </c>
      <c r="F21" s="65">
        <v>80.184873949999997</v>
      </c>
      <c r="G21" s="65">
        <v>17</v>
      </c>
      <c r="H21" s="65">
        <v>0</v>
      </c>
      <c r="I21" s="66">
        <v>43873</v>
      </c>
      <c r="J21" s="66">
        <v>43873</v>
      </c>
      <c r="K21" s="66">
        <v>43872</v>
      </c>
      <c r="L21" s="67"/>
      <c r="M21" s="68"/>
      <c r="N21" s="65">
        <v>1.1000000000000001</v>
      </c>
      <c r="O21" s="64" t="s">
        <v>21</v>
      </c>
      <c r="P21" s="65">
        <v>79.437229439999996</v>
      </c>
      <c r="Q21" s="65">
        <v>1363.142857</v>
      </c>
      <c r="R21" s="65">
        <v>1499.4571430000001</v>
      </c>
      <c r="S21" s="64" t="s">
        <v>82</v>
      </c>
    </row>
    <row r="22" spans="1:19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9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9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9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9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9" ht="15.75" customHeight="1" x14ac:dyDescent="0.2"/>
    <row r="28" spans="1:19" ht="15.75" customHeight="1" x14ac:dyDescent="0.2"/>
    <row r="29" spans="1:19" ht="15.75" customHeight="1" x14ac:dyDescent="0.2"/>
    <row r="30" spans="1:19" ht="15.75" customHeight="1" x14ac:dyDescent="0.2"/>
    <row r="31" spans="1:19" ht="15.75" customHeight="1" x14ac:dyDescent="0.2"/>
    <row r="32" spans="1:1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Date")</f>
        <v>Copy Date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28">
        <v>43873</v>
      </c>
      <c r="C6" s="28">
        <v>43873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IFERROR(__xludf.DUMMYFUNCTION("""COMPUTED_VALUE"""),"From Currency")</f>
        <v>From Currency</v>
      </c>
      <c r="C5" s="22" t="str">
        <f ca="1">IFERROR(__xludf.DUMMYFUNCTION("""COMPUTED_VALUE"""),"To Currency")</f>
        <v>To Currency</v>
      </c>
      <c r="D5" s="22" t="str">
        <f ca="1">IFERROR(__xludf.DUMMYFUNCTION("""COMPUTED_VALUE"""),"Symbol")</f>
        <v>Symbol</v>
      </c>
      <c r="E5" s="22" t="str">
        <f ca="1">IFERROR(__xludf.DUMMYFUNCTION("""COMPUTED_VALUE"""),"Price")</f>
        <v>Price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39" t="s">
        <v>30</v>
      </c>
      <c r="C6" s="40" t="s">
        <v>19</v>
      </c>
      <c r="D6" s="39"/>
      <c r="E6" s="30">
        <v>2.5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28">
        <v>43873</v>
      </c>
      <c r="C6" s="28">
        <v>43873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39" t="s">
        <v>26</v>
      </c>
      <c r="C6" s="30">
        <v>85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41" t="s">
        <v>79</v>
      </c>
      <c r="C7" s="33">
        <v>100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29"/>
      <c r="B8" s="41" t="s">
        <v>39</v>
      </c>
      <c r="C8" s="33">
        <v>65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IFERROR(__xludf.DUMMYFUNCTION("""COMPUTED_VALUE"""),"Balances as on date")</f>
        <v>Balances as on date</v>
      </c>
      <c r="E5" s="22" t="str">
        <f ca="1">IFERROR(__xludf.DUMMYFUNCTION("""COMPUTED_VALUE"""),"IsRunRevalOnGetAccountBalances")</f>
        <v>IsRunRevalOnGetAccountBalances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40" t="s">
        <v>16</v>
      </c>
      <c r="D6" s="28">
        <v>43873</v>
      </c>
      <c r="E6" s="37" t="b">
        <v>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40" t="s">
        <v>16</v>
      </c>
      <c r="D6" s="28">
        <v>43871</v>
      </c>
      <c r="E6" s="28">
        <v>43873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13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IFERROR(__xludf.DUMMYFUNCTION("""COMPUTED_VALUE"""),"DR")</f>
        <v>DR</v>
      </c>
      <c r="H5" s="22" t="str">
        <f ca="1">IFERROR(__xludf.DUMMYFUNCTION("""COMPUTED_VALUE"""),"CR")</f>
        <v>CR</v>
      </c>
      <c r="I5" s="22" t="str">
        <f ca="1">IFERROR(__xludf.DUMMYFUNCTION("""COMPUTED_VALUE"""),"Modify Date")</f>
        <v>Modify Date</v>
      </c>
      <c r="J5" s="22" t="str">
        <f ca="1">IFERROR(__xludf.DUMMYFUNCTION("""COMPUTED_VALUE"""),"Entry Date")</f>
        <v>Entry Date</v>
      </c>
      <c r="K5" s="22" t="str">
        <f ca="1">IFERROR(__xludf.DUMMYFUNCTION("""COMPUTED_VALUE"""),"User")</f>
        <v>User</v>
      </c>
      <c r="L5" s="22" t="str">
        <f ca="1">IFERROR(__xludf.DUMMYFUNCTION("""COMPUTED_VALUE"""),"Fx Rate")</f>
        <v>Fx Rate</v>
      </c>
      <c r="M5" s="22" t="str">
        <f ca="1">IFERROR(__xludf.DUMMYFUNCTION("""COMPUTED_VALUE"""),"FX Conversion Method Operator")</f>
        <v>FX Conversion Method Operator</v>
      </c>
      <c r="N5" s="22" t="str">
        <f ca="1">IFERROR(__xludf.DUMMYFUNCTION("""COMPUTED_VALUE"""),"Account Side")</f>
        <v>Account Side</v>
      </c>
      <c r="O5" s="22" t="str">
        <f ca="1">IFERROR(__xludf.DUMMYFUNCTION("""COMPUTED_VALUE"""),"TransactionSource")</f>
        <v>TransactionSource</v>
      </c>
      <c r="P5" s="22" t="str">
        <f ca="1">IFERROR(__xludf.DUMMYFUNCTION("""COMPUTED_VALUE"""),"Base Currency")</f>
        <v>Base Currency</v>
      </c>
      <c r="Q5" s="22" t="str">
        <f ca="1">IFERROR(__xludf.DUMMYFUNCTION("""COMPUTED_VALUE"""),"Description")</f>
        <v>Description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51">
        <v>43871</v>
      </c>
      <c r="C6" s="43" t="s">
        <v>18</v>
      </c>
      <c r="D6" s="43" t="s">
        <v>26</v>
      </c>
      <c r="E6" s="43" t="s">
        <v>30</v>
      </c>
      <c r="F6" s="43" t="s">
        <v>60</v>
      </c>
      <c r="G6" s="44">
        <v>3635.0476189999999</v>
      </c>
      <c r="H6" s="45">
        <v>0</v>
      </c>
      <c r="I6" s="46"/>
      <c r="J6" s="46"/>
      <c r="K6" s="43"/>
      <c r="L6" s="44">
        <v>1.1000000000000001</v>
      </c>
      <c r="M6" s="43" t="s">
        <v>21</v>
      </c>
      <c r="N6" s="43" t="s">
        <v>51</v>
      </c>
      <c r="O6" s="43" t="s">
        <v>52</v>
      </c>
      <c r="P6" s="43" t="s">
        <v>19</v>
      </c>
      <c r="Q6" s="43" t="s">
        <v>61</v>
      </c>
      <c r="R6" s="44">
        <v>3998.552381</v>
      </c>
      <c r="S6" s="44">
        <v>0</v>
      </c>
    </row>
    <row r="7" spans="1:154" ht="15.75" customHeight="1" x14ac:dyDescent="0.2">
      <c r="A7" s="5"/>
      <c r="B7" s="51">
        <v>43871</v>
      </c>
      <c r="C7" s="43" t="s">
        <v>18</v>
      </c>
      <c r="D7" s="43" t="s">
        <v>26</v>
      </c>
      <c r="E7" s="43" t="s">
        <v>30</v>
      </c>
      <c r="F7" s="47" t="s">
        <v>20</v>
      </c>
      <c r="G7" s="48">
        <v>0</v>
      </c>
      <c r="H7" s="49">
        <v>3635.0476189999999</v>
      </c>
      <c r="I7" s="50"/>
      <c r="J7" s="50"/>
      <c r="K7" s="47"/>
      <c r="L7" s="49">
        <v>1.1000000000000001</v>
      </c>
      <c r="M7" s="47" t="s">
        <v>21</v>
      </c>
      <c r="N7" s="47" t="s">
        <v>55</v>
      </c>
      <c r="O7" s="47" t="s">
        <v>52</v>
      </c>
      <c r="P7" s="47" t="s">
        <v>19</v>
      </c>
      <c r="Q7" s="43" t="s">
        <v>61</v>
      </c>
      <c r="R7" s="49">
        <v>0</v>
      </c>
      <c r="S7" s="49">
        <v>3998.552381</v>
      </c>
    </row>
    <row r="8" spans="1:154" ht="15.75" customHeight="1" x14ac:dyDescent="0.2">
      <c r="A8" s="5"/>
      <c r="B8" s="51">
        <v>43871</v>
      </c>
      <c r="C8" s="43" t="s">
        <v>23</v>
      </c>
      <c r="D8" s="43" t="s">
        <v>26</v>
      </c>
      <c r="E8" s="43" t="s">
        <v>30</v>
      </c>
      <c r="F8" s="43" t="s">
        <v>60</v>
      </c>
      <c r="G8" s="44">
        <v>3704.9523810000001</v>
      </c>
      <c r="H8" s="45">
        <v>0</v>
      </c>
      <c r="I8" s="46"/>
      <c r="J8" s="46"/>
      <c r="K8" s="43"/>
      <c r="L8" s="44">
        <v>1.1000000000000001</v>
      </c>
      <c r="M8" s="43" t="s">
        <v>21</v>
      </c>
      <c r="N8" s="43" t="s">
        <v>51</v>
      </c>
      <c r="O8" s="43" t="s">
        <v>52</v>
      </c>
      <c r="P8" s="43" t="s">
        <v>19</v>
      </c>
      <c r="Q8" s="43" t="s">
        <v>61</v>
      </c>
      <c r="R8" s="44">
        <v>4075.447619</v>
      </c>
      <c r="S8" s="44">
        <v>0</v>
      </c>
    </row>
    <row r="9" spans="1:154" ht="15.75" customHeight="1" x14ac:dyDescent="0.2">
      <c r="A9" s="5"/>
      <c r="B9" s="51">
        <v>43871</v>
      </c>
      <c r="C9" s="43" t="s">
        <v>23</v>
      </c>
      <c r="D9" s="43" t="s">
        <v>26</v>
      </c>
      <c r="E9" s="43" t="s">
        <v>30</v>
      </c>
      <c r="F9" s="47" t="s">
        <v>20</v>
      </c>
      <c r="G9" s="48">
        <v>0</v>
      </c>
      <c r="H9" s="49">
        <v>3704.9523810000001</v>
      </c>
      <c r="I9" s="50"/>
      <c r="J9" s="50"/>
      <c r="K9" s="47"/>
      <c r="L9" s="49">
        <v>1.1000000000000001</v>
      </c>
      <c r="M9" s="47" t="s">
        <v>21</v>
      </c>
      <c r="N9" s="47" t="s">
        <v>55</v>
      </c>
      <c r="O9" s="47" t="s">
        <v>52</v>
      </c>
      <c r="P9" s="47" t="s">
        <v>19</v>
      </c>
      <c r="Q9" s="43" t="s">
        <v>61</v>
      </c>
      <c r="R9" s="49">
        <v>0</v>
      </c>
      <c r="S9" s="49">
        <v>4075.447619</v>
      </c>
    </row>
    <row r="10" spans="1:154" ht="15.75" customHeight="1" x14ac:dyDescent="0.2">
      <c r="A10" s="5"/>
      <c r="B10" s="51">
        <v>43871</v>
      </c>
      <c r="C10" s="43" t="s">
        <v>18</v>
      </c>
      <c r="D10" s="43" t="s">
        <v>26</v>
      </c>
      <c r="E10" s="43" t="s">
        <v>30</v>
      </c>
      <c r="F10" s="43" t="s">
        <v>20</v>
      </c>
      <c r="G10" s="44">
        <v>3635.0476189999999</v>
      </c>
      <c r="H10" s="45">
        <v>0</v>
      </c>
      <c r="I10" s="46"/>
      <c r="J10" s="46"/>
      <c r="K10" s="43"/>
      <c r="L10" s="44">
        <v>1.5</v>
      </c>
      <c r="M10" s="43" t="s">
        <v>21</v>
      </c>
      <c r="N10" s="43" t="s">
        <v>51</v>
      </c>
      <c r="O10" s="43" t="s">
        <v>52</v>
      </c>
      <c r="P10" s="43" t="s">
        <v>19</v>
      </c>
      <c r="Q10" s="43" t="s">
        <v>62</v>
      </c>
      <c r="R10" s="44">
        <v>5452.5714289999996</v>
      </c>
      <c r="S10" s="44">
        <v>0</v>
      </c>
    </row>
    <row r="11" spans="1:154" ht="15.75" customHeight="1" x14ac:dyDescent="0.2">
      <c r="A11" s="5"/>
      <c r="B11" s="51">
        <v>43871</v>
      </c>
      <c r="C11" s="43" t="s">
        <v>18</v>
      </c>
      <c r="D11" s="43" t="s">
        <v>26</v>
      </c>
      <c r="E11" s="43" t="s">
        <v>30</v>
      </c>
      <c r="F11" s="47" t="s">
        <v>60</v>
      </c>
      <c r="G11" s="48">
        <v>0</v>
      </c>
      <c r="H11" s="49">
        <v>3635.0476189999999</v>
      </c>
      <c r="I11" s="50"/>
      <c r="J11" s="50"/>
      <c r="K11" s="47"/>
      <c r="L11" s="49">
        <v>1.5</v>
      </c>
      <c r="M11" s="47" t="s">
        <v>21</v>
      </c>
      <c r="N11" s="47" t="s">
        <v>55</v>
      </c>
      <c r="O11" s="47" t="s">
        <v>52</v>
      </c>
      <c r="P11" s="47" t="s">
        <v>19</v>
      </c>
      <c r="Q11" s="43" t="s">
        <v>62</v>
      </c>
      <c r="R11" s="49">
        <v>0</v>
      </c>
      <c r="S11" s="49">
        <v>5452.5714289999996</v>
      </c>
    </row>
    <row r="12" spans="1:154" ht="15.75" customHeight="1" x14ac:dyDescent="0.2">
      <c r="A12" s="5"/>
      <c r="B12" s="51">
        <v>43871</v>
      </c>
      <c r="C12" s="43" t="s">
        <v>23</v>
      </c>
      <c r="D12" s="43" t="s">
        <v>26</v>
      </c>
      <c r="E12" s="43" t="s">
        <v>30</v>
      </c>
      <c r="F12" s="43" t="s">
        <v>20</v>
      </c>
      <c r="G12" s="44">
        <v>3704.9523810000001</v>
      </c>
      <c r="H12" s="45">
        <v>0</v>
      </c>
      <c r="I12" s="46"/>
      <c r="J12" s="46"/>
      <c r="K12" s="43"/>
      <c r="L12" s="44">
        <v>1.5</v>
      </c>
      <c r="M12" s="43" t="s">
        <v>21</v>
      </c>
      <c r="N12" s="43" t="s">
        <v>51</v>
      </c>
      <c r="O12" s="43" t="s">
        <v>52</v>
      </c>
      <c r="P12" s="43" t="s">
        <v>19</v>
      </c>
      <c r="Q12" s="43" t="s">
        <v>62</v>
      </c>
      <c r="R12" s="44">
        <v>5557.4285710000004</v>
      </c>
      <c r="S12" s="44">
        <v>0</v>
      </c>
    </row>
    <row r="13" spans="1:154" ht="15.75" customHeight="1" x14ac:dyDescent="0.2">
      <c r="A13" s="5"/>
      <c r="B13" s="51">
        <v>43871</v>
      </c>
      <c r="C13" s="43" t="s">
        <v>23</v>
      </c>
      <c r="D13" s="43" t="s">
        <v>26</v>
      </c>
      <c r="E13" s="43" t="s">
        <v>30</v>
      </c>
      <c r="F13" s="47" t="s">
        <v>60</v>
      </c>
      <c r="G13" s="48">
        <v>0</v>
      </c>
      <c r="H13" s="49">
        <v>3704.9523810000001</v>
      </c>
      <c r="I13" s="50"/>
      <c r="J13" s="50"/>
      <c r="K13" s="47"/>
      <c r="L13" s="49">
        <v>1.5</v>
      </c>
      <c r="M13" s="47" t="s">
        <v>21</v>
      </c>
      <c r="N13" s="47" t="s">
        <v>55</v>
      </c>
      <c r="O13" s="47" t="s">
        <v>52</v>
      </c>
      <c r="P13" s="47" t="s">
        <v>19</v>
      </c>
      <c r="Q13" s="43" t="s">
        <v>62</v>
      </c>
      <c r="R13" s="49">
        <v>0</v>
      </c>
      <c r="S13" s="49">
        <v>5557.4285710000004</v>
      </c>
    </row>
    <row r="14" spans="1:154" ht="15.75" customHeight="1" x14ac:dyDescent="0.2">
      <c r="A14" s="5"/>
      <c r="B14" s="42">
        <v>43872</v>
      </c>
      <c r="C14" s="43" t="s">
        <v>23</v>
      </c>
      <c r="D14" s="43" t="s">
        <v>26</v>
      </c>
      <c r="E14" s="43" t="s">
        <v>30</v>
      </c>
      <c r="F14" s="43" t="s">
        <v>56</v>
      </c>
      <c r="G14" s="44">
        <v>2.67</v>
      </c>
      <c r="H14" s="45">
        <v>0</v>
      </c>
      <c r="I14" s="46"/>
      <c r="J14" s="46"/>
      <c r="K14" s="43"/>
      <c r="L14" s="44">
        <v>1.1000000000000001</v>
      </c>
      <c r="M14" s="43" t="s">
        <v>21</v>
      </c>
      <c r="N14" s="43" t="s">
        <v>51</v>
      </c>
      <c r="O14" s="43" t="s">
        <v>52</v>
      </c>
      <c r="P14" s="43" t="s">
        <v>19</v>
      </c>
      <c r="Q14" s="43" t="s">
        <v>57</v>
      </c>
      <c r="R14" s="44">
        <v>2.9369999999999998</v>
      </c>
      <c r="S14" s="44">
        <v>0</v>
      </c>
    </row>
    <row r="15" spans="1:154" ht="15.75" customHeight="1" x14ac:dyDescent="0.2">
      <c r="A15" s="5"/>
      <c r="B15" s="42">
        <v>43872</v>
      </c>
      <c r="C15" s="43" t="s">
        <v>23</v>
      </c>
      <c r="D15" s="43" t="s">
        <v>26</v>
      </c>
      <c r="E15" s="43" t="s">
        <v>30</v>
      </c>
      <c r="F15" s="47" t="s">
        <v>58</v>
      </c>
      <c r="G15" s="48">
        <v>0</v>
      </c>
      <c r="H15" s="49">
        <v>2.67</v>
      </c>
      <c r="I15" s="50"/>
      <c r="J15" s="50"/>
      <c r="K15" s="47"/>
      <c r="L15" s="49">
        <v>1.1000000000000001</v>
      </c>
      <c r="M15" s="47" t="s">
        <v>21</v>
      </c>
      <c r="N15" s="47" t="s">
        <v>55</v>
      </c>
      <c r="O15" s="47" t="s">
        <v>52</v>
      </c>
      <c r="P15" s="47" t="s">
        <v>19</v>
      </c>
      <c r="Q15" s="43" t="s">
        <v>57</v>
      </c>
      <c r="R15" s="49">
        <v>0</v>
      </c>
      <c r="S15" s="49">
        <v>2.9369999999999998</v>
      </c>
    </row>
    <row r="16" spans="1:154" ht="15.75" customHeight="1" x14ac:dyDescent="0.2">
      <c r="A16" s="5"/>
      <c r="B16" s="42">
        <v>43872</v>
      </c>
      <c r="C16" s="43" t="s">
        <v>23</v>
      </c>
      <c r="D16" s="43" t="s">
        <v>26</v>
      </c>
      <c r="E16" s="43" t="s">
        <v>30</v>
      </c>
      <c r="F16" s="43" t="s">
        <v>50</v>
      </c>
      <c r="G16" s="44">
        <v>787.43</v>
      </c>
      <c r="H16" s="45">
        <v>0</v>
      </c>
      <c r="I16" s="46"/>
      <c r="J16" s="46"/>
      <c r="K16" s="43"/>
      <c r="L16" s="44">
        <v>2</v>
      </c>
      <c r="M16" s="43" t="s">
        <v>21</v>
      </c>
      <c r="N16" s="43" t="s">
        <v>51</v>
      </c>
      <c r="O16" s="43" t="s">
        <v>52</v>
      </c>
      <c r="P16" s="43" t="s">
        <v>19</v>
      </c>
      <c r="Q16" s="43" t="s">
        <v>53</v>
      </c>
      <c r="R16" s="44">
        <v>1574.86</v>
      </c>
      <c r="S16" s="44">
        <v>0</v>
      </c>
    </row>
    <row r="17" spans="1:19" ht="15.75" customHeight="1" x14ac:dyDescent="0.2">
      <c r="A17" s="5"/>
      <c r="B17" s="42">
        <v>43872</v>
      </c>
      <c r="C17" s="43" t="s">
        <v>23</v>
      </c>
      <c r="D17" s="43" t="s">
        <v>26</v>
      </c>
      <c r="E17" s="43" t="s">
        <v>30</v>
      </c>
      <c r="F17" s="47" t="s">
        <v>54</v>
      </c>
      <c r="G17" s="48">
        <v>0</v>
      </c>
      <c r="H17" s="49">
        <v>787.43</v>
      </c>
      <c r="I17" s="50"/>
      <c r="J17" s="50"/>
      <c r="K17" s="47"/>
      <c r="L17" s="49">
        <v>2</v>
      </c>
      <c r="M17" s="47" t="s">
        <v>21</v>
      </c>
      <c r="N17" s="47" t="s">
        <v>55</v>
      </c>
      <c r="O17" s="47" t="s">
        <v>52</v>
      </c>
      <c r="P17" s="47" t="s">
        <v>19</v>
      </c>
      <c r="Q17" s="43" t="s">
        <v>53</v>
      </c>
      <c r="R17" s="49">
        <v>0</v>
      </c>
      <c r="S17" s="49">
        <v>1574.86</v>
      </c>
    </row>
    <row r="18" spans="1:19" ht="15.75" customHeight="1" x14ac:dyDescent="0.2">
      <c r="A18" s="5"/>
      <c r="B18" s="42">
        <v>43872</v>
      </c>
      <c r="C18" s="43" t="s">
        <v>23</v>
      </c>
      <c r="D18" s="43" t="s">
        <v>30</v>
      </c>
      <c r="E18" s="43" t="s">
        <v>19</v>
      </c>
      <c r="F18" s="43" t="s">
        <v>50</v>
      </c>
      <c r="G18" s="44">
        <v>7526.26</v>
      </c>
      <c r="H18" s="45">
        <v>0</v>
      </c>
      <c r="I18" s="46"/>
      <c r="J18" s="46"/>
      <c r="K18" s="43"/>
      <c r="L18" s="44">
        <v>1</v>
      </c>
      <c r="M18" s="43" t="s">
        <v>21</v>
      </c>
      <c r="N18" s="43" t="s">
        <v>51</v>
      </c>
      <c r="O18" s="43" t="s">
        <v>52</v>
      </c>
      <c r="P18" s="43" t="s">
        <v>19</v>
      </c>
      <c r="Q18" s="43" t="s">
        <v>53</v>
      </c>
      <c r="R18" s="44">
        <v>7526.26</v>
      </c>
      <c r="S18" s="44">
        <v>0</v>
      </c>
    </row>
    <row r="19" spans="1:19" ht="15.75" customHeight="1" x14ac:dyDescent="0.2">
      <c r="A19" s="5"/>
      <c r="B19" s="42">
        <v>43872</v>
      </c>
      <c r="C19" s="43" t="s">
        <v>23</v>
      </c>
      <c r="D19" s="43" t="s">
        <v>30</v>
      </c>
      <c r="E19" s="43" t="s">
        <v>19</v>
      </c>
      <c r="F19" s="47" t="s">
        <v>54</v>
      </c>
      <c r="G19" s="48">
        <v>0</v>
      </c>
      <c r="H19" s="49">
        <v>7526.26</v>
      </c>
      <c r="I19" s="50"/>
      <c r="J19" s="50"/>
      <c r="K19" s="47"/>
      <c r="L19" s="49">
        <v>1</v>
      </c>
      <c r="M19" s="47" t="s">
        <v>21</v>
      </c>
      <c r="N19" s="47" t="s">
        <v>55</v>
      </c>
      <c r="O19" s="47" t="s">
        <v>52</v>
      </c>
      <c r="P19" s="47" t="s">
        <v>19</v>
      </c>
      <c r="Q19" s="43" t="s">
        <v>53</v>
      </c>
      <c r="R19" s="49">
        <v>0</v>
      </c>
      <c r="S19" s="49">
        <v>7526.26</v>
      </c>
    </row>
    <row r="20" spans="1:19" ht="15.75" customHeight="1" x14ac:dyDescent="0.2">
      <c r="A20" s="5"/>
      <c r="B20" s="42">
        <v>43872</v>
      </c>
      <c r="C20" s="43" t="s">
        <v>23</v>
      </c>
      <c r="D20" s="43" t="s">
        <v>39</v>
      </c>
      <c r="E20" s="43" t="s">
        <v>30</v>
      </c>
      <c r="F20" s="43" t="s">
        <v>50</v>
      </c>
      <c r="G20" s="44">
        <v>270.05</v>
      </c>
      <c r="H20" s="45">
        <v>0</v>
      </c>
      <c r="I20" s="46"/>
      <c r="J20" s="46"/>
      <c r="K20" s="43"/>
      <c r="L20" s="44">
        <v>2</v>
      </c>
      <c r="M20" s="43" t="s">
        <v>21</v>
      </c>
      <c r="N20" s="43" t="s">
        <v>51</v>
      </c>
      <c r="O20" s="43" t="s">
        <v>52</v>
      </c>
      <c r="P20" s="43" t="s">
        <v>19</v>
      </c>
      <c r="Q20" s="43" t="s">
        <v>53</v>
      </c>
      <c r="R20" s="44">
        <v>540.1</v>
      </c>
      <c r="S20" s="44">
        <v>0</v>
      </c>
    </row>
    <row r="21" spans="1:19" ht="15.75" customHeight="1" x14ac:dyDescent="0.2">
      <c r="A21" s="5"/>
      <c r="B21" s="42">
        <v>43872</v>
      </c>
      <c r="C21" s="43" t="s">
        <v>23</v>
      </c>
      <c r="D21" s="43" t="s">
        <v>39</v>
      </c>
      <c r="E21" s="43" t="s">
        <v>30</v>
      </c>
      <c r="F21" s="47" t="s">
        <v>54</v>
      </c>
      <c r="G21" s="48">
        <v>0</v>
      </c>
      <c r="H21" s="49">
        <v>270.05</v>
      </c>
      <c r="I21" s="50"/>
      <c r="J21" s="50"/>
      <c r="K21" s="47"/>
      <c r="L21" s="49">
        <v>2</v>
      </c>
      <c r="M21" s="47" t="s">
        <v>21</v>
      </c>
      <c r="N21" s="47" t="s">
        <v>55</v>
      </c>
      <c r="O21" s="47" t="s">
        <v>52</v>
      </c>
      <c r="P21" s="47" t="s">
        <v>19</v>
      </c>
      <c r="Q21" s="43" t="s">
        <v>53</v>
      </c>
      <c r="R21" s="49">
        <v>0</v>
      </c>
      <c r="S21" s="49">
        <v>540.1</v>
      </c>
    </row>
    <row r="22" spans="1:19" ht="15.75" customHeight="1" x14ac:dyDescent="0.2">
      <c r="A22" s="5"/>
      <c r="B22" s="42">
        <v>43872</v>
      </c>
      <c r="C22" s="43" t="s">
        <v>23</v>
      </c>
      <c r="D22" s="43" t="s">
        <v>26</v>
      </c>
      <c r="E22" s="43" t="s">
        <v>30</v>
      </c>
      <c r="F22" s="43" t="s">
        <v>54</v>
      </c>
      <c r="G22" s="44">
        <v>270.05</v>
      </c>
      <c r="H22" s="45">
        <v>0</v>
      </c>
      <c r="I22" s="46"/>
      <c r="J22" s="46"/>
      <c r="K22" s="43"/>
      <c r="L22" s="44">
        <v>1.5</v>
      </c>
      <c r="M22" s="43" t="s">
        <v>21</v>
      </c>
      <c r="N22" s="43" t="s">
        <v>51</v>
      </c>
      <c r="O22" s="43" t="s">
        <v>52</v>
      </c>
      <c r="P22" s="43" t="s">
        <v>19</v>
      </c>
      <c r="Q22" s="43" t="s">
        <v>59</v>
      </c>
      <c r="R22" s="44">
        <v>405.07499999999999</v>
      </c>
      <c r="S22" s="44">
        <v>0</v>
      </c>
    </row>
    <row r="23" spans="1:19" ht="15.75" customHeight="1" x14ac:dyDescent="0.2">
      <c r="A23" s="5"/>
      <c r="B23" s="42">
        <v>43872</v>
      </c>
      <c r="C23" s="43" t="s">
        <v>23</v>
      </c>
      <c r="D23" s="43" t="s">
        <v>26</v>
      </c>
      <c r="E23" s="43" t="s">
        <v>30</v>
      </c>
      <c r="F23" s="47" t="s">
        <v>50</v>
      </c>
      <c r="G23" s="48">
        <v>0</v>
      </c>
      <c r="H23" s="49">
        <v>270.05</v>
      </c>
      <c r="I23" s="50"/>
      <c r="J23" s="50"/>
      <c r="K23" s="47"/>
      <c r="L23" s="49">
        <v>1.5</v>
      </c>
      <c r="M23" s="47" t="s">
        <v>21</v>
      </c>
      <c r="N23" s="47" t="s">
        <v>55</v>
      </c>
      <c r="O23" s="47" t="s">
        <v>52</v>
      </c>
      <c r="P23" s="47" t="s">
        <v>19</v>
      </c>
      <c r="Q23" s="43" t="s">
        <v>59</v>
      </c>
      <c r="R23" s="49">
        <v>0</v>
      </c>
      <c r="S23" s="49">
        <v>405.07499999999999</v>
      </c>
    </row>
    <row r="24" spans="1:19" ht="15.75" customHeight="1" x14ac:dyDescent="0.2">
      <c r="A24" s="5"/>
      <c r="B24" s="42">
        <v>43872</v>
      </c>
      <c r="C24" s="43" t="s">
        <v>23</v>
      </c>
      <c r="D24" s="43" t="s">
        <v>30</v>
      </c>
      <c r="E24" s="43" t="s">
        <v>19</v>
      </c>
      <c r="F24" s="43" t="s">
        <v>54</v>
      </c>
      <c r="G24" s="44">
        <v>1481.98</v>
      </c>
      <c r="H24" s="45">
        <v>0</v>
      </c>
      <c r="I24" s="46"/>
      <c r="J24" s="46"/>
      <c r="K24" s="43"/>
      <c r="L24" s="44">
        <v>1</v>
      </c>
      <c r="M24" s="43" t="s">
        <v>21</v>
      </c>
      <c r="N24" s="43" t="s">
        <v>51</v>
      </c>
      <c r="O24" s="43" t="s">
        <v>52</v>
      </c>
      <c r="P24" s="43" t="s">
        <v>19</v>
      </c>
      <c r="Q24" s="43" t="s">
        <v>59</v>
      </c>
      <c r="R24" s="44">
        <v>1481.98</v>
      </c>
      <c r="S24" s="44">
        <v>0</v>
      </c>
    </row>
    <row r="25" spans="1:19" ht="15.75" customHeight="1" x14ac:dyDescent="0.2">
      <c r="A25" s="5"/>
      <c r="B25" s="42">
        <v>43872</v>
      </c>
      <c r="C25" s="43" t="s">
        <v>23</v>
      </c>
      <c r="D25" s="43" t="s">
        <v>30</v>
      </c>
      <c r="E25" s="43" t="s">
        <v>19</v>
      </c>
      <c r="F25" s="47" t="s">
        <v>50</v>
      </c>
      <c r="G25" s="48">
        <v>0</v>
      </c>
      <c r="H25" s="49">
        <v>1481.98</v>
      </c>
      <c r="I25" s="50"/>
      <c r="J25" s="50"/>
      <c r="K25" s="47"/>
      <c r="L25" s="49">
        <v>1</v>
      </c>
      <c r="M25" s="47" t="s">
        <v>21</v>
      </c>
      <c r="N25" s="47" t="s">
        <v>55</v>
      </c>
      <c r="O25" s="47" t="s">
        <v>52</v>
      </c>
      <c r="P25" s="47" t="s">
        <v>19</v>
      </c>
      <c r="Q25" s="43" t="s">
        <v>59</v>
      </c>
      <c r="R25" s="49">
        <v>0</v>
      </c>
      <c r="S25" s="49">
        <v>1481.98</v>
      </c>
    </row>
    <row r="26" spans="1:19" ht="15.75" customHeight="1" x14ac:dyDescent="0.2">
      <c r="A26" s="5"/>
      <c r="B26" s="42">
        <v>43873</v>
      </c>
      <c r="C26" s="43" t="s">
        <v>23</v>
      </c>
      <c r="D26" s="43" t="s">
        <v>26</v>
      </c>
      <c r="E26" s="43" t="s">
        <v>30</v>
      </c>
      <c r="F26" s="43" t="s">
        <v>50</v>
      </c>
      <c r="G26" s="44">
        <v>3222.14</v>
      </c>
      <c r="H26" s="45">
        <v>0</v>
      </c>
      <c r="I26" s="46"/>
      <c r="J26" s="46"/>
      <c r="K26" s="43"/>
      <c r="L26" s="44">
        <v>2.5</v>
      </c>
      <c r="M26" s="43" t="s">
        <v>21</v>
      </c>
      <c r="N26" s="43" t="s">
        <v>51</v>
      </c>
      <c r="O26" s="43" t="s">
        <v>52</v>
      </c>
      <c r="P26" s="43" t="s">
        <v>19</v>
      </c>
      <c r="Q26" s="43" t="s">
        <v>53</v>
      </c>
      <c r="R26" s="44">
        <v>8055.35</v>
      </c>
      <c r="S26" s="44">
        <v>0</v>
      </c>
    </row>
    <row r="27" spans="1:19" ht="15.75" customHeight="1" x14ac:dyDescent="0.2">
      <c r="B27" s="42">
        <v>43873</v>
      </c>
      <c r="C27" s="43" t="s">
        <v>23</v>
      </c>
      <c r="D27" s="43" t="s">
        <v>26</v>
      </c>
      <c r="E27" s="43" t="s">
        <v>30</v>
      </c>
      <c r="F27" s="47" t="s">
        <v>54</v>
      </c>
      <c r="G27" s="48">
        <v>0</v>
      </c>
      <c r="H27" s="49">
        <v>3222.14</v>
      </c>
      <c r="I27" s="50"/>
      <c r="J27" s="50"/>
      <c r="K27" s="47"/>
      <c r="L27" s="49">
        <v>2.5</v>
      </c>
      <c r="M27" s="47" t="s">
        <v>21</v>
      </c>
      <c r="N27" s="47" t="s">
        <v>55</v>
      </c>
      <c r="O27" s="47" t="s">
        <v>52</v>
      </c>
      <c r="P27" s="47" t="s">
        <v>19</v>
      </c>
      <c r="Q27" s="43" t="s">
        <v>53</v>
      </c>
      <c r="R27" s="49">
        <v>0</v>
      </c>
      <c r="S27" s="49">
        <v>8055.35</v>
      </c>
    </row>
    <row r="28" spans="1:19" ht="15.75" customHeight="1" x14ac:dyDescent="0.2">
      <c r="B28" s="42">
        <v>43873</v>
      </c>
      <c r="C28" s="43" t="s">
        <v>23</v>
      </c>
      <c r="D28" s="43" t="s">
        <v>30</v>
      </c>
      <c r="E28" s="43" t="s">
        <v>19</v>
      </c>
      <c r="F28" s="43" t="s">
        <v>50</v>
      </c>
      <c r="G28" s="44">
        <v>11707.53</v>
      </c>
      <c r="H28" s="45">
        <v>0</v>
      </c>
      <c r="I28" s="46"/>
      <c r="J28" s="46"/>
      <c r="K28" s="43"/>
      <c r="L28" s="44">
        <v>1</v>
      </c>
      <c r="M28" s="43" t="s">
        <v>21</v>
      </c>
      <c r="N28" s="43" t="s">
        <v>51</v>
      </c>
      <c r="O28" s="43" t="s">
        <v>52</v>
      </c>
      <c r="P28" s="43" t="s">
        <v>19</v>
      </c>
      <c r="Q28" s="43" t="s">
        <v>53</v>
      </c>
      <c r="R28" s="44">
        <v>11707.53</v>
      </c>
      <c r="S28" s="44">
        <v>0</v>
      </c>
    </row>
    <row r="29" spans="1:19" ht="15.75" customHeight="1" x14ac:dyDescent="0.2">
      <c r="B29" s="42">
        <v>43873</v>
      </c>
      <c r="C29" s="43" t="s">
        <v>23</v>
      </c>
      <c r="D29" s="43" t="s">
        <v>30</v>
      </c>
      <c r="E29" s="43" t="s">
        <v>19</v>
      </c>
      <c r="F29" s="47" t="s">
        <v>54</v>
      </c>
      <c r="G29" s="48">
        <v>0</v>
      </c>
      <c r="H29" s="49">
        <v>11707.53</v>
      </c>
      <c r="I29" s="50"/>
      <c r="J29" s="50"/>
      <c r="K29" s="47"/>
      <c r="L29" s="49">
        <v>1</v>
      </c>
      <c r="M29" s="47" t="s">
        <v>21</v>
      </c>
      <c r="N29" s="47" t="s">
        <v>55</v>
      </c>
      <c r="O29" s="47" t="s">
        <v>52</v>
      </c>
      <c r="P29" s="47" t="s">
        <v>19</v>
      </c>
      <c r="Q29" s="43" t="s">
        <v>53</v>
      </c>
      <c r="R29" s="49">
        <v>0</v>
      </c>
      <c r="S29" s="49">
        <v>11707.53</v>
      </c>
    </row>
    <row r="30" spans="1:19" ht="15.75" customHeight="1" x14ac:dyDescent="0.2">
      <c r="B30" s="42">
        <v>43873</v>
      </c>
      <c r="C30" s="43" t="s">
        <v>23</v>
      </c>
      <c r="D30" s="43" t="s">
        <v>79</v>
      </c>
      <c r="E30" s="43" t="s">
        <v>30</v>
      </c>
      <c r="F30" s="43" t="s">
        <v>50</v>
      </c>
      <c r="G30" s="44">
        <v>455.28</v>
      </c>
      <c r="H30" s="45">
        <v>0</v>
      </c>
      <c r="I30" s="46"/>
      <c r="J30" s="46"/>
      <c r="K30" s="43"/>
      <c r="L30" s="44">
        <v>2.5</v>
      </c>
      <c r="M30" s="43" t="s">
        <v>21</v>
      </c>
      <c r="N30" s="43" t="s">
        <v>51</v>
      </c>
      <c r="O30" s="43" t="s">
        <v>52</v>
      </c>
      <c r="P30" s="43" t="s">
        <v>19</v>
      </c>
      <c r="Q30" s="43" t="s">
        <v>53</v>
      </c>
      <c r="R30" s="44">
        <v>1138.2</v>
      </c>
      <c r="S30" s="44">
        <v>0</v>
      </c>
    </row>
    <row r="31" spans="1:19" ht="15.75" customHeight="1" x14ac:dyDescent="0.2">
      <c r="B31" s="42">
        <v>43873</v>
      </c>
      <c r="C31" s="43" t="s">
        <v>23</v>
      </c>
      <c r="D31" s="43" t="s">
        <v>79</v>
      </c>
      <c r="E31" s="43" t="s">
        <v>30</v>
      </c>
      <c r="F31" s="47" t="s">
        <v>54</v>
      </c>
      <c r="G31" s="48">
        <v>0</v>
      </c>
      <c r="H31" s="49">
        <v>455.28</v>
      </c>
      <c r="I31" s="50"/>
      <c r="J31" s="50"/>
      <c r="K31" s="47"/>
      <c r="L31" s="49">
        <v>2.5</v>
      </c>
      <c r="M31" s="47" t="s">
        <v>21</v>
      </c>
      <c r="N31" s="47" t="s">
        <v>55</v>
      </c>
      <c r="O31" s="47" t="s">
        <v>52</v>
      </c>
      <c r="P31" s="47" t="s">
        <v>19</v>
      </c>
      <c r="Q31" s="43" t="s">
        <v>53</v>
      </c>
      <c r="R31" s="49">
        <v>0</v>
      </c>
      <c r="S31" s="49">
        <v>1138.2</v>
      </c>
    </row>
    <row r="32" spans="1:19" ht="15.75" customHeight="1" x14ac:dyDescent="0.2">
      <c r="B32" s="42">
        <v>43873</v>
      </c>
      <c r="C32" s="43" t="s">
        <v>23</v>
      </c>
      <c r="D32" s="43" t="s">
        <v>39</v>
      </c>
      <c r="E32" s="43" t="s">
        <v>30</v>
      </c>
      <c r="F32" s="43" t="s">
        <v>50</v>
      </c>
      <c r="G32" s="44">
        <v>535.04999999999995</v>
      </c>
      <c r="H32" s="45">
        <v>0</v>
      </c>
      <c r="I32" s="46"/>
      <c r="J32" s="46"/>
      <c r="K32" s="43"/>
      <c r="L32" s="44">
        <v>2.5</v>
      </c>
      <c r="M32" s="43" t="s">
        <v>21</v>
      </c>
      <c r="N32" s="43" t="s">
        <v>51</v>
      </c>
      <c r="O32" s="43" t="s">
        <v>52</v>
      </c>
      <c r="P32" s="43" t="s">
        <v>19</v>
      </c>
      <c r="Q32" s="43" t="s">
        <v>53</v>
      </c>
      <c r="R32" s="44">
        <v>1337.625</v>
      </c>
      <c r="S32" s="44">
        <v>0</v>
      </c>
    </row>
    <row r="33" spans="2:19" ht="15.75" customHeight="1" x14ac:dyDescent="0.2">
      <c r="B33" s="42">
        <v>43873</v>
      </c>
      <c r="C33" s="43" t="s">
        <v>23</v>
      </c>
      <c r="D33" s="43" t="s">
        <v>39</v>
      </c>
      <c r="E33" s="43" t="s">
        <v>30</v>
      </c>
      <c r="F33" s="47" t="s">
        <v>54</v>
      </c>
      <c r="G33" s="48">
        <v>0</v>
      </c>
      <c r="H33" s="49">
        <v>535.04999999999995</v>
      </c>
      <c r="I33" s="50"/>
      <c r="J33" s="50"/>
      <c r="K33" s="47"/>
      <c r="L33" s="49">
        <v>2.5</v>
      </c>
      <c r="M33" s="47" t="s">
        <v>21</v>
      </c>
      <c r="N33" s="47" t="s">
        <v>55</v>
      </c>
      <c r="O33" s="47" t="s">
        <v>52</v>
      </c>
      <c r="P33" s="47" t="s">
        <v>19</v>
      </c>
      <c r="Q33" s="43" t="s">
        <v>53</v>
      </c>
      <c r="R33" s="49">
        <v>0</v>
      </c>
      <c r="S33" s="49">
        <v>1337.625</v>
      </c>
    </row>
    <row r="34" spans="2:19" ht="15.75" customHeight="1" x14ac:dyDescent="0.2">
      <c r="B34" s="42">
        <v>43873</v>
      </c>
      <c r="C34" s="43" t="s">
        <v>23</v>
      </c>
      <c r="D34" s="43" t="s">
        <v>26</v>
      </c>
      <c r="E34" s="43" t="s">
        <v>30</v>
      </c>
      <c r="F34" s="43" t="s">
        <v>54</v>
      </c>
      <c r="G34" s="44">
        <v>787.43</v>
      </c>
      <c r="H34" s="45">
        <v>0</v>
      </c>
      <c r="I34" s="46"/>
      <c r="J34" s="46"/>
      <c r="K34" s="43"/>
      <c r="L34" s="44">
        <v>2</v>
      </c>
      <c r="M34" s="43" t="s">
        <v>21</v>
      </c>
      <c r="N34" s="43" t="s">
        <v>51</v>
      </c>
      <c r="O34" s="43" t="s">
        <v>52</v>
      </c>
      <c r="P34" s="43" t="s">
        <v>19</v>
      </c>
      <c r="Q34" s="43" t="s">
        <v>59</v>
      </c>
      <c r="R34" s="44">
        <v>1574.86</v>
      </c>
      <c r="S34" s="44">
        <v>0</v>
      </c>
    </row>
    <row r="35" spans="2:19" ht="15.75" customHeight="1" x14ac:dyDescent="0.2">
      <c r="B35" s="42">
        <v>43873</v>
      </c>
      <c r="C35" s="43" t="s">
        <v>23</v>
      </c>
      <c r="D35" s="43" t="s">
        <v>26</v>
      </c>
      <c r="E35" s="43" t="s">
        <v>30</v>
      </c>
      <c r="F35" s="47" t="s">
        <v>50</v>
      </c>
      <c r="G35" s="48">
        <v>0</v>
      </c>
      <c r="H35" s="49">
        <v>787.43</v>
      </c>
      <c r="I35" s="50"/>
      <c r="J35" s="50"/>
      <c r="K35" s="47"/>
      <c r="L35" s="49">
        <v>2</v>
      </c>
      <c r="M35" s="47" t="s">
        <v>21</v>
      </c>
      <c r="N35" s="47" t="s">
        <v>55</v>
      </c>
      <c r="O35" s="47" t="s">
        <v>52</v>
      </c>
      <c r="P35" s="47" t="s">
        <v>19</v>
      </c>
      <c r="Q35" s="43" t="s">
        <v>59</v>
      </c>
      <c r="R35" s="49">
        <v>0</v>
      </c>
      <c r="S35" s="49">
        <v>1574.86</v>
      </c>
    </row>
    <row r="36" spans="2:19" ht="15.75" customHeight="1" x14ac:dyDescent="0.2">
      <c r="B36" s="42">
        <v>43873</v>
      </c>
      <c r="C36" s="43" t="s">
        <v>23</v>
      </c>
      <c r="D36" s="43" t="s">
        <v>30</v>
      </c>
      <c r="E36" s="43" t="s">
        <v>19</v>
      </c>
      <c r="F36" s="43" t="s">
        <v>54</v>
      </c>
      <c r="G36" s="44">
        <v>7526.26</v>
      </c>
      <c r="H36" s="45">
        <v>0</v>
      </c>
      <c r="I36" s="46"/>
      <c r="J36" s="46"/>
      <c r="K36" s="43"/>
      <c r="L36" s="44">
        <v>1</v>
      </c>
      <c r="M36" s="43" t="s">
        <v>21</v>
      </c>
      <c r="N36" s="43" t="s">
        <v>51</v>
      </c>
      <c r="O36" s="43" t="s">
        <v>52</v>
      </c>
      <c r="P36" s="43" t="s">
        <v>19</v>
      </c>
      <c r="Q36" s="43" t="s">
        <v>59</v>
      </c>
      <c r="R36" s="44">
        <v>7526.26</v>
      </c>
      <c r="S36" s="44">
        <v>0</v>
      </c>
    </row>
    <row r="37" spans="2:19" ht="15.75" customHeight="1" x14ac:dyDescent="0.2">
      <c r="B37" s="42">
        <v>43873</v>
      </c>
      <c r="C37" s="43" t="s">
        <v>23</v>
      </c>
      <c r="D37" s="43" t="s">
        <v>30</v>
      </c>
      <c r="E37" s="43" t="s">
        <v>19</v>
      </c>
      <c r="F37" s="47" t="s">
        <v>50</v>
      </c>
      <c r="G37" s="48">
        <v>0</v>
      </c>
      <c r="H37" s="49">
        <v>7526.26</v>
      </c>
      <c r="I37" s="50"/>
      <c r="J37" s="50"/>
      <c r="K37" s="47"/>
      <c r="L37" s="49">
        <v>1</v>
      </c>
      <c r="M37" s="47" t="s">
        <v>21</v>
      </c>
      <c r="N37" s="47" t="s">
        <v>55</v>
      </c>
      <c r="O37" s="47" t="s">
        <v>52</v>
      </c>
      <c r="P37" s="47" t="s">
        <v>19</v>
      </c>
      <c r="Q37" s="43" t="s">
        <v>59</v>
      </c>
      <c r="R37" s="49">
        <v>0</v>
      </c>
      <c r="S37" s="49">
        <v>7526.26</v>
      </c>
    </row>
    <row r="38" spans="2:19" ht="15.75" customHeight="1" x14ac:dyDescent="0.2">
      <c r="B38" s="42">
        <v>43873</v>
      </c>
      <c r="C38" s="43" t="s">
        <v>23</v>
      </c>
      <c r="D38" s="43" t="s">
        <v>39</v>
      </c>
      <c r="E38" s="43" t="s">
        <v>30</v>
      </c>
      <c r="F38" s="43" t="s">
        <v>54</v>
      </c>
      <c r="G38" s="44">
        <v>270.05</v>
      </c>
      <c r="H38" s="45">
        <v>0</v>
      </c>
      <c r="I38" s="46"/>
      <c r="J38" s="46"/>
      <c r="K38" s="43"/>
      <c r="L38" s="44">
        <v>2</v>
      </c>
      <c r="M38" s="43" t="s">
        <v>21</v>
      </c>
      <c r="N38" s="43" t="s">
        <v>51</v>
      </c>
      <c r="O38" s="43" t="s">
        <v>52</v>
      </c>
      <c r="P38" s="43" t="s">
        <v>19</v>
      </c>
      <c r="Q38" s="43" t="s">
        <v>59</v>
      </c>
      <c r="R38" s="44">
        <v>540.1</v>
      </c>
      <c r="S38" s="44">
        <v>0</v>
      </c>
    </row>
    <row r="39" spans="2:19" ht="15.75" customHeight="1" x14ac:dyDescent="0.2">
      <c r="B39" s="42">
        <v>43873</v>
      </c>
      <c r="C39" s="43" t="s">
        <v>23</v>
      </c>
      <c r="D39" s="43" t="s">
        <v>39</v>
      </c>
      <c r="E39" s="43" t="s">
        <v>30</v>
      </c>
      <c r="F39" s="47" t="s">
        <v>50</v>
      </c>
      <c r="G39" s="48">
        <v>0</v>
      </c>
      <c r="H39" s="49">
        <v>270.05</v>
      </c>
      <c r="I39" s="50"/>
      <c r="J39" s="50"/>
      <c r="K39" s="47"/>
      <c r="L39" s="49">
        <v>2</v>
      </c>
      <c r="M39" s="47" t="s">
        <v>21</v>
      </c>
      <c r="N39" s="47" t="s">
        <v>55</v>
      </c>
      <c r="O39" s="47" t="s">
        <v>52</v>
      </c>
      <c r="P39" s="47" t="s">
        <v>19</v>
      </c>
      <c r="Q39" s="43" t="s">
        <v>59</v>
      </c>
      <c r="R39" s="49">
        <v>0</v>
      </c>
      <c r="S39" s="49">
        <v>540.1</v>
      </c>
    </row>
    <row r="40" spans="2:19" ht="15.75" customHeight="1" x14ac:dyDescent="0.2">
      <c r="B40" s="42">
        <v>43872</v>
      </c>
      <c r="C40" s="43" t="s">
        <v>18</v>
      </c>
      <c r="D40" s="43" t="s">
        <v>26</v>
      </c>
      <c r="E40" s="43" t="s">
        <v>30</v>
      </c>
      <c r="F40" s="43" t="s">
        <v>56</v>
      </c>
      <c r="G40" s="44">
        <v>2.57</v>
      </c>
      <c r="H40" s="45">
        <v>0</v>
      </c>
      <c r="I40" s="46"/>
      <c r="J40" s="46"/>
      <c r="K40" s="43"/>
      <c r="L40" s="44">
        <v>1.1000000000000001</v>
      </c>
      <c r="M40" s="43" t="s">
        <v>21</v>
      </c>
      <c r="N40" s="43" t="s">
        <v>51</v>
      </c>
      <c r="O40" s="43" t="s">
        <v>52</v>
      </c>
      <c r="P40" s="43" t="s">
        <v>19</v>
      </c>
      <c r="Q40" s="43" t="s">
        <v>57</v>
      </c>
      <c r="R40" s="44">
        <v>2.827</v>
      </c>
      <c r="S40" s="44">
        <v>0</v>
      </c>
    </row>
    <row r="41" spans="2:19" ht="15.75" customHeight="1" x14ac:dyDescent="0.2">
      <c r="B41" s="42">
        <v>43872</v>
      </c>
      <c r="C41" s="43" t="s">
        <v>18</v>
      </c>
      <c r="D41" s="43" t="s">
        <v>26</v>
      </c>
      <c r="E41" s="43" t="s">
        <v>30</v>
      </c>
      <c r="F41" s="47" t="s">
        <v>58</v>
      </c>
      <c r="G41" s="48">
        <v>0</v>
      </c>
      <c r="H41" s="49">
        <v>2.57</v>
      </c>
      <c r="I41" s="50"/>
      <c r="J41" s="50"/>
      <c r="K41" s="47"/>
      <c r="L41" s="49">
        <v>1.1000000000000001</v>
      </c>
      <c r="M41" s="47" t="s">
        <v>21</v>
      </c>
      <c r="N41" s="47" t="s">
        <v>55</v>
      </c>
      <c r="O41" s="47" t="s">
        <v>52</v>
      </c>
      <c r="P41" s="47" t="s">
        <v>19</v>
      </c>
      <c r="Q41" s="43" t="s">
        <v>57</v>
      </c>
      <c r="R41" s="49">
        <v>0</v>
      </c>
      <c r="S41" s="49">
        <v>2.827</v>
      </c>
    </row>
    <row r="42" spans="2:19" ht="15.75" customHeight="1" x14ac:dyDescent="0.2">
      <c r="B42" s="42">
        <v>43872</v>
      </c>
      <c r="C42" s="43" t="s">
        <v>18</v>
      </c>
      <c r="D42" s="43" t="s">
        <v>26</v>
      </c>
      <c r="E42" s="43" t="s">
        <v>30</v>
      </c>
      <c r="F42" s="43" t="s">
        <v>50</v>
      </c>
      <c r="G42" s="44">
        <v>777.33</v>
      </c>
      <c r="H42" s="45">
        <v>0</v>
      </c>
      <c r="I42" s="46"/>
      <c r="J42" s="46"/>
      <c r="K42" s="43"/>
      <c r="L42" s="44">
        <v>2</v>
      </c>
      <c r="M42" s="43" t="s">
        <v>21</v>
      </c>
      <c r="N42" s="43" t="s">
        <v>51</v>
      </c>
      <c r="O42" s="43" t="s">
        <v>52</v>
      </c>
      <c r="P42" s="43" t="s">
        <v>19</v>
      </c>
      <c r="Q42" s="43" t="s">
        <v>53</v>
      </c>
      <c r="R42" s="44">
        <v>1554.66</v>
      </c>
      <c r="S42" s="44">
        <v>0</v>
      </c>
    </row>
    <row r="43" spans="2:19" ht="15.75" customHeight="1" x14ac:dyDescent="0.2">
      <c r="B43" s="42">
        <v>43872</v>
      </c>
      <c r="C43" s="43" t="s">
        <v>18</v>
      </c>
      <c r="D43" s="43" t="s">
        <v>26</v>
      </c>
      <c r="E43" s="43" t="s">
        <v>30</v>
      </c>
      <c r="F43" s="47" t="s">
        <v>54</v>
      </c>
      <c r="G43" s="48">
        <v>0</v>
      </c>
      <c r="H43" s="49">
        <v>777.33</v>
      </c>
      <c r="I43" s="50"/>
      <c r="J43" s="50"/>
      <c r="K43" s="47"/>
      <c r="L43" s="49">
        <v>2</v>
      </c>
      <c r="M43" s="47" t="s">
        <v>21</v>
      </c>
      <c r="N43" s="47" t="s">
        <v>55</v>
      </c>
      <c r="O43" s="47" t="s">
        <v>52</v>
      </c>
      <c r="P43" s="47" t="s">
        <v>19</v>
      </c>
      <c r="Q43" s="43" t="s">
        <v>53</v>
      </c>
      <c r="R43" s="49">
        <v>0</v>
      </c>
      <c r="S43" s="49">
        <v>1554.66</v>
      </c>
    </row>
    <row r="44" spans="2:19" ht="15.75" customHeight="1" x14ac:dyDescent="0.2">
      <c r="B44" s="42">
        <v>43872</v>
      </c>
      <c r="C44" s="43" t="s">
        <v>18</v>
      </c>
      <c r="D44" s="43" t="s">
        <v>30</v>
      </c>
      <c r="E44" s="43" t="s">
        <v>19</v>
      </c>
      <c r="F44" s="43" t="s">
        <v>50</v>
      </c>
      <c r="G44" s="44">
        <v>7413.96</v>
      </c>
      <c r="H44" s="45">
        <v>0</v>
      </c>
      <c r="I44" s="46"/>
      <c r="J44" s="46"/>
      <c r="K44" s="43"/>
      <c r="L44" s="44">
        <v>1</v>
      </c>
      <c r="M44" s="43" t="s">
        <v>21</v>
      </c>
      <c r="N44" s="43" t="s">
        <v>51</v>
      </c>
      <c r="O44" s="43" t="s">
        <v>52</v>
      </c>
      <c r="P44" s="43" t="s">
        <v>19</v>
      </c>
      <c r="Q44" s="43" t="s">
        <v>53</v>
      </c>
      <c r="R44" s="44">
        <v>7413.96</v>
      </c>
      <c r="S44" s="44">
        <v>0</v>
      </c>
    </row>
    <row r="45" spans="2:19" ht="15.75" customHeight="1" x14ac:dyDescent="0.2">
      <c r="B45" s="42">
        <v>43872</v>
      </c>
      <c r="C45" s="43" t="s">
        <v>18</v>
      </c>
      <c r="D45" s="43" t="s">
        <v>30</v>
      </c>
      <c r="E45" s="43" t="s">
        <v>19</v>
      </c>
      <c r="F45" s="47" t="s">
        <v>54</v>
      </c>
      <c r="G45" s="48">
        <v>0</v>
      </c>
      <c r="H45" s="49">
        <v>7413.96</v>
      </c>
      <c r="I45" s="50"/>
      <c r="J45" s="50"/>
      <c r="K45" s="47"/>
      <c r="L45" s="49">
        <v>1</v>
      </c>
      <c r="M45" s="47" t="s">
        <v>21</v>
      </c>
      <c r="N45" s="47" t="s">
        <v>55</v>
      </c>
      <c r="O45" s="47" t="s">
        <v>52</v>
      </c>
      <c r="P45" s="47" t="s">
        <v>19</v>
      </c>
      <c r="Q45" s="43" t="s">
        <v>53</v>
      </c>
      <c r="R45" s="49">
        <v>0</v>
      </c>
      <c r="S45" s="49">
        <v>7413.96</v>
      </c>
    </row>
    <row r="46" spans="2:19" ht="15.75" customHeight="1" x14ac:dyDescent="0.2">
      <c r="B46" s="42">
        <v>43872</v>
      </c>
      <c r="C46" s="43" t="s">
        <v>18</v>
      </c>
      <c r="D46" s="43" t="s">
        <v>39</v>
      </c>
      <c r="E46" s="43" t="s">
        <v>30</v>
      </c>
      <c r="F46" s="43" t="s">
        <v>50</v>
      </c>
      <c r="G46" s="44">
        <v>264.95</v>
      </c>
      <c r="H46" s="45">
        <v>0</v>
      </c>
      <c r="I46" s="46"/>
      <c r="J46" s="46"/>
      <c r="K46" s="43"/>
      <c r="L46" s="44">
        <v>2</v>
      </c>
      <c r="M46" s="43" t="s">
        <v>21</v>
      </c>
      <c r="N46" s="43" t="s">
        <v>51</v>
      </c>
      <c r="O46" s="43" t="s">
        <v>52</v>
      </c>
      <c r="P46" s="43" t="s">
        <v>19</v>
      </c>
      <c r="Q46" s="43" t="s">
        <v>53</v>
      </c>
      <c r="R46" s="44">
        <v>529.9</v>
      </c>
      <c r="S46" s="44">
        <v>0</v>
      </c>
    </row>
    <row r="47" spans="2:19" ht="15.75" customHeight="1" x14ac:dyDescent="0.2">
      <c r="B47" s="42">
        <v>43872</v>
      </c>
      <c r="C47" s="43" t="s">
        <v>18</v>
      </c>
      <c r="D47" s="43" t="s">
        <v>39</v>
      </c>
      <c r="E47" s="43" t="s">
        <v>30</v>
      </c>
      <c r="F47" s="47" t="s">
        <v>54</v>
      </c>
      <c r="G47" s="48">
        <v>0</v>
      </c>
      <c r="H47" s="49">
        <v>264.95</v>
      </c>
      <c r="I47" s="50"/>
      <c r="J47" s="50"/>
      <c r="K47" s="47"/>
      <c r="L47" s="49">
        <v>2</v>
      </c>
      <c r="M47" s="47" t="s">
        <v>21</v>
      </c>
      <c r="N47" s="47" t="s">
        <v>55</v>
      </c>
      <c r="O47" s="47" t="s">
        <v>52</v>
      </c>
      <c r="P47" s="47" t="s">
        <v>19</v>
      </c>
      <c r="Q47" s="43" t="s">
        <v>53</v>
      </c>
      <c r="R47" s="49">
        <v>0</v>
      </c>
      <c r="S47" s="49">
        <v>529.9</v>
      </c>
    </row>
    <row r="48" spans="2:19" ht="15.75" customHeight="1" x14ac:dyDescent="0.2">
      <c r="B48" s="42">
        <v>43872</v>
      </c>
      <c r="C48" s="43" t="s">
        <v>18</v>
      </c>
      <c r="D48" s="43" t="s">
        <v>26</v>
      </c>
      <c r="E48" s="43" t="s">
        <v>30</v>
      </c>
      <c r="F48" s="43" t="s">
        <v>54</v>
      </c>
      <c r="G48" s="44">
        <v>264.95</v>
      </c>
      <c r="H48" s="45">
        <v>0</v>
      </c>
      <c r="I48" s="46"/>
      <c r="J48" s="46"/>
      <c r="K48" s="43"/>
      <c r="L48" s="44">
        <v>1.5</v>
      </c>
      <c r="M48" s="43" t="s">
        <v>21</v>
      </c>
      <c r="N48" s="43" t="s">
        <v>51</v>
      </c>
      <c r="O48" s="43" t="s">
        <v>52</v>
      </c>
      <c r="P48" s="43" t="s">
        <v>19</v>
      </c>
      <c r="Q48" s="43" t="s">
        <v>59</v>
      </c>
      <c r="R48" s="44">
        <v>397.42500000000001</v>
      </c>
      <c r="S48" s="44">
        <v>0</v>
      </c>
    </row>
    <row r="49" spans="2:19" ht="15.75" customHeight="1" x14ac:dyDescent="0.2">
      <c r="B49" s="42">
        <v>43872</v>
      </c>
      <c r="C49" s="43" t="s">
        <v>18</v>
      </c>
      <c r="D49" s="43" t="s">
        <v>26</v>
      </c>
      <c r="E49" s="43" t="s">
        <v>30</v>
      </c>
      <c r="F49" s="47" t="s">
        <v>50</v>
      </c>
      <c r="G49" s="48">
        <v>0</v>
      </c>
      <c r="H49" s="49">
        <v>264.95</v>
      </c>
      <c r="I49" s="50"/>
      <c r="J49" s="50"/>
      <c r="K49" s="47"/>
      <c r="L49" s="49">
        <v>1.5</v>
      </c>
      <c r="M49" s="47" t="s">
        <v>21</v>
      </c>
      <c r="N49" s="47" t="s">
        <v>55</v>
      </c>
      <c r="O49" s="47" t="s">
        <v>52</v>
      </c>
      <c r="P49" s="47" t="s">
        <v>19</v>
      </c>
      <c r="Q49" s="43" t="s">
        <v>59</v>
      </c>
      <c r="R49" s="49">
        <v>0</v>
      </c>
      <c r="S49" s="49">
        <v>397.42500000000001</v>
      </c>
    </row>
    <row r="50" spans="2:19" ht="15.75" customHeight="1" x14ac:dyDescent="0.2">
      <c r="B50" s="42">
        <v>43872</v>
      </c>
      <c r="C50" s="43" t="s">
        <v>18</v>
      </c>
      <c r="D50" s="43" t="s">
        <v>30</v>
      </c>
      <c r="E50" s="43" t="s">
        <v>19</v>
      </c>
      <c r="F50" s="43" t="s">
        <v>54</v>
      </c>
      <c r="G50" s="44">
        <v>1454.02</v>
      </c>
      <c r="H50" s="45">
        <v>0</v>
      </c>
      <c r="I50" s="46"/>
      <c r="J50" s="46"/>
      <c r="K50" s="43"/>
      <c r="L50" s="44">
        <v>1</v>
      </c>
      <c r="M50" s="43" t="s">
        <v>21</v>
      </c>
      <c r="N50" s="43" t="s">
        <v>51</v>
      </c>
      <c r="O50" s="43" t="s">
        <v>52</v>
      </c>
      <c r="P50" s="43" t="s">
        <v>19</v>
      </c>
      <c r="Q50" s="43" t="s">
        <v>59</v>
      </c>
      <c r="R50" s="44">
        <v>1454.02</v>
      </c>
      <c r="S50" s="44">
        <v>0</v>
      </c>
    </row>
    <row r="51" spans="2:19" ht="15.75" customHeight="1" x14ac:dyDescent="0.2">
      <c r="B51" s="42">
        <v>43872</v>
      </c>
      <c r="C51" s="43" t="s">
        <v>18</v>
      </c>
      <c r="D51" s="43" t="s">
        <v>30</v>
      </c>
      <c r="E51" s="43" t="s">
        <v>19</v>
      </c>
      <c r="F51" s="47" t="s">
        <v>50</v>
      </c>
      <c r="G51" s="48">
        <v>0</v>
      </c>
      <c r="H51" s="49">
        <v>1454.02</v>
      </c>
      <c r="I51" s="50"/>
      <c r="J51" s="50"/>
      <c r="K51" s="47"/>
      <c r="L51" s="49">
        <v>1</v>
      </c>
      <c r="M51" s="47" t="s">
        <v>21</v>
      </c>
      <c r="N51" s="47" t="s">
        <v>55</v>
      </c>
      <c r="O51" s="47" t="s">
        <v>52</v>
      </c>
      <c r="P51" s="47" t="s">
        <v>19</v>
      </c>
      <c r="Q51" s="43" t="s">
        <v>59</v>
      </c>
      <c r="R51" s="49">
        <v>0</v>
      </c>
      <c r="S51" s="49">
        <v>1454.02</v>
      </c>
    </row>
    <row r="52" spans="2:19" ht="15.75" customHeight="1" x14ac:dyDescent="0.2">
      <c r="B52" s="42">
        <v>43873</v>
      </c>
      <c r="C52" s="43" t="s">
        <v>18</v>
      </c>
      <c r="D52" s="43" t="s">
        <v>26</v>
      </c>
      <c r="E52" s="43" t="s">
        <v>30</v>
      </c>
      <c r="F52" s="43" t="s">
        <v>50</v>
      </c>
      <c r="G52" s="44">
        <v>3180.84</v>
      </c>
      <c r="H52" s="45">
        <v>0</v>
      </c>
      <c r="I52" s="46"/>
      <c r="J52" s="46"/>
      <c r="K52" s="43"/>
      <c r="L52" s="44">
        <v>2.5</v>
      </c>
      <c r="M52" s="43" t="s">
        <v>21</v>
      </c>
      <c r="N52" s="43" t="s">
        <v>51</v>
      </c>
      <c r="O52" s="43" t="s">
        <v>52</v>
      </c>
      <c r="P52" s="43" t="s">
        <v>19</v>
      </c>
      <c r="Q52" s="43" t="s">
        <v>53</v>
      </c>
      <c r="R52" s="44">
        <v>7952.1</v>
      </c>
      <c r="S52" s="44">
        <v>0</v>
      </c>
    </row>
    <row r="53" spans="2:19" ht="15.75" customHeight="1" x14ac:dyDescent="0.2">
      <c r="B53" s="42">
        <v>43873</v>
      </c>
      <c r="C53" s="43" t="s">
        <v>18</v>
      </c>
      <c r="D53" s="43" t="s">
        <v>26</v>
      </c>
      <c r="E53" s="43" t="s">
        <v>30</v>
      </c>
      <c r="F53" s="47" t="s">
        <v>54</v>
      </c>
      <c r="G53" s="48">
        <v>0</v>
      </c>
      <c r="H53" s="49">
        <v>3180.84</v>
      </c>
      <c r="I53" s="50"/>
      <c r="J53" s="50"/>
      <c r="K53" s="47"/>
      <c r="L53" s="49">
        <v>2.5</v>
      </c>
      <c r="M53" s="47" t="s">
        <v>21</v>
      </c>
      <c r="N53" s="47" t="s">
        <v>55</v>
      </c>
      <c r="O53" s="47" t="s">
        <v>52</v>
      </c>
      <c r="P53" s="47" t="s">
        <v>19</v>
      </c>
      <c r="Q53" s="43" t="s">
        <v>53</v>
      </c>
      <c r="R53" s="49">
        <v>0</v>
      </c>
      <c r="S53" s="49">
        <v>7952.1</v>
      </c>
    </row>
    <row r="54" spans="2:19" ht="15.75" customHeight="1" x14ac:dyDescent="0.2">
      <c r="B54" s="42">
        <v>43873</v>
      </c>
      <c r="C54" s="43" t="s">
        <v>18</v>
      </c>
      <c r="D54" s="43" t="s">
        <v>30</v>
      </c>
      <c r="E54" s="43" t="s">
        <v>19</v>
      </c>
      <c r="F54" s="43" t="s">
        <v>50</v>
      </c>
      <c r="G54" s="44">
        <v>11532.79</v>
      </c>
      <c r="H54" s="45">
        <v>0</v>
      </c>
      <c r="I54" s="46"/>
      <c r="J54" s="46"/>
      <c r="K54" s="43"/>
      <c r="L54" s="44">
        <v>1</v>
      </c>
      <c r="M54" s="43" t="s">
        <v>21</v>
      </c>
      <c r="N54" s="43" t="s">
        <v>51</v>
      </c>
      <c r="O54" s="43" t="s">
        <v>52</v>
      </c>
      <c r="P54" s="43" t="s">
        <v>19</v>
      </c>
      <c r="Q54" s="43" t="s">
        <v>53</v>
      </c>
      <c r="R54" s="44">
        <v>11532.79</v>
      </c>
      <c r="S54" s="44">
        <v>0</v>
      </c>
    </row>
    <row r="55" spans="2:19" ht="15.75" customHeight="1" x14ac:dyDescent="0.2">
      <c r="B55" s="42">
        <v>43873</v>
      </c>
      <c r="C55" s="43" t="s">
        <v>18</v>
      </c>
      <c r="D55" s="43" t="s">
        <v>30</v>
      </c>
      <c r="E55" s="43" t="s">
        <v>19</v>
      </c>
      <c r="F55" s="47" t="s">
        <v>54</v>
      </c>
      <c r="G55" s="48">
        <v>0</v>
      </c>
      <c r="H55" s="49">
        <v>11532.79</v>
      </c>
      <c r="I55" s="50"/>
      <c r="J55" s="50"/>
      <c r="K55" s="47"/>
      <c r="L55" s="49">
        <v>1</v>
      </c>
      <c r="M55" s="47" t="s">
        <v>21</v>
      </c>
      <c r="N55" s="47" t="s">
        <v>55</v>
      </c>
      <c r="O55" s="47" t="s">
        <v>52</v>
      </c>
      <c r="P55" s="47" t="s">
        <v>19</v>
      </c>
      <c r="Q55" s="43" t="s">
        <v>53</v>
      </c>
      <c r="R55" s="49">
        <v>0</v>
      </c>
      <c r="S55" s="49">
        <v>11532.79</v>
      </c>
    </row>
    <row r="56" spans="2:19" ht="15.75" customHeight="1" x14ac:dyDescent="0.2">
      <c r="B56" s="42">
        <v>43873</v>
      </c>
      <c r="C56" s="43" t="s">
        <v>18</v>
      </c>
      <c r="D56" s="43" t="s">
        <v>79</v>
      </c>
      <c r="E56" s="43" t="s">
        <v>30</v>
      </c>
      <c r="F56" s="43" t="s">
        <v>50</v>
      </c>
      <c r="G56" s="44">
        <v>481.5</v>
      </c>
      <c r="H56" s="45">
        <v>0</v>
      </c>
      <c r="I56" s="46"/>
      <c r="J56" s="46"/>
      <c r="K56" s="43"/>
      <c r="L56" s="44">
        <v>2.5</v>
      </c>
      <c r="M56" s="43" t="s">
        <v>21</v>
      </c>
      <c r="N56" s="43" t="s">
        <v>51</v>
      </c>
      <c r="O56" s="43" t="s">
        <v>52</v>
      </c>
      <c r="P56" s="43" t="s">
        <v>19</v>
      </c>
      <c r="Q56" s="43" t="s">
        <v>53</v>
      </c>
      <c r="R56" s="44">
        <v>1203.75</v>
      </c>
      <c r="S56" s="44">
        <v>0</v>
      </c>
    </row>
    <row r="57" spans="2:19" ht="15.75" customHeight="1" x14ac:dyDescent="0.2">
      <c r="B57" s="42">
        <v>43873</v>
      </c>
      <c r="C57" s="43" t="s">
        <v>18</v>
      </c>
      <c r="D57" s="43" t="s">
        <v>79</v>
      </c>
      <c r="E57" s="43" t="s">
        <v>30</v>
      </c>
      <c r="F57" s="47" t="s">
        <v>54</v>
      </c>
      <c r="G57" s="48">
        <v>0</v>
      </c>
      <c r="H57" s="49">
        <v>481.5</v>
      </c>
      <c r="I57" s="50"/>
      <c r="J57" s="50"/>
      <c r="K57" s="47"/>
      <c r="L57" s="49">
        <v>2.5</v>
      </c>
      <c r="M57" s="47" t="s">
        <v>21</v>
      </c>
      <c r="N57" s="47" t="s">
        <v>55</v>
      </c>
      <c r="O57" s="47" t="s">
        <v>52</v>
      </c>
      <c r="P57" s="47" t="s">
        <v>19</v>
      </c>
      <c r="Q57" s="43" t="s">
        <v>53</v>
      </c>
      <c r="R57" s="49">
        <v>0</v>
      </c>
      <c r="S57" s="49">
        <v>1203.75</v>
      </c>
    </row>
    <row r="58" spans="2:19" ht="15.75" customHeight="1" x14ac:dyDescent="0.2">
      <c r="B58" s="42">
        <v>43873</v>
      </c>
      <c r="C58" s="43" t="s">
        <v>18</v>
      </c>
      <c r="D58" s="43" t="s">
        <v>39</v>
      </c>
      <c r="E58" s="43" t="s">
        <v>30</v>
      </c>
      <c r="F58" s="43" t="s">
        <v>50</v>
      </c>
      <c r="G58" s="44">
        <v>524.95000000000005</v>
      </c>
      <c r="H58" s="45">
        <v>0</v>
      </c>
      <c r="I58" s="46"/>
      <c r="J58" s="46"/>
      <c r="K58" s="43"/>
      <c r="L58" s="44">
        <v>2.5</v>
      </c>
      <c r="M58" s="43" t="s">
        <v>21</v>
      </c>
      <c r="N58" s="43" t="s">
        <v>51</v>
      </c>
      <c r="O58" s="43" t="s">
        <v>52</v>
      </c>
      <c r="P58" s="43" t="s">
        <v>19</v>
      </c>
      <c r="Q58" s="43" t="s">
        <v>53</v>
      </c>
      <c r="R58" s="44">
        <v>1312.375</v>
      </c>
      <c r="S58" s="44">
        <v>0</v>
      </c>
    </row>
    <row r="59" spans="2:19" ht="15.75" customHeight="1" x14ac:dyDescent="0.2">
      <c r="B59" s="42">
        <v>43873</v>
      </c>
      <c r="C59" s="43" t="s">
        <v>18</v>
      </c>
      <c r="D59" s="43" t="s">
        <v>39</v>
      </c>
      <c r="E59" s="43" t="s">
        <v>30</v>
      </c>
      <c r="F59" s="47" t="s">
        <v>54</v>
      </c>
      <c r="G59" s="48">
        <v>0</v>
      </c>
      <c r="H59" s="49">
        <v>524.95000000000005</v>
      </c>
      <c r="I59" s="50"/>
      <c r="J59" s="50"/>
      <c r="K59" s="47"/>
      <c r="L59" s="49">
        <v>2.5</v>
      </c>
      <c r="M59" s="47" t="s">
        <v>21</v>
      </c>
      <c r="N59" s="47" t="s">
        <v>55</v>
      </c>
      <c r="O59" s="47" t="s">
        <v>52</v>
      </c>
      <c r="P59" s="47" t="s">
        <v>19</v>
      </c>
      <c r="Q59" s="43" t="s">
        <v>53</v>
      </c>
      <c r="R59" s="49">
        <v>0</v>
      </c>
      <c r="S59" s="49">
        <v>1312.375</v>
      </c>
    </row>
    <row r="60" spans="2:19" ht="15.75" customHeight="1" x14ac:dyDescent="0.2">
      <c r="B60" s="42">
        <v>43873</v>
      </c>
      <c r="C60" s="43" t="s">
        <v>18</v>
      </c>
      <c r="D60" s="43" t="s">
        <v>26</v>
      </c>
      <c r="E60" s="43" t="s">
        <v>30</v>
      </c>
      <c r="F60" s="43" t="s">
        <v>54</v>
      </c>
      <c r="G60" s="44">
        <v>777.33</v>
      </c>
      <c r="H60" s="45">
        <v>0</v>
      </c>
      <c r="I60" s="46"/>
      <c r="J60" s="46"/>
      <c r="K60" s="43"/>
      <c r="L60" s="44">
        <v>2</v>
      </c>
      <c r="M60" s="43" t="s">
        <v>21</v>
      </c>
      <c r="N60" s="43" t="s">
        <v>51</v>
      </c>
      <c r="O60" s="43" t="s">
        <v>52</v>
      </c>
      <c r="P60" s="43" t="s">
        <v>19</v>
      </c>
      <c r="Q60" s="43" t="s">
        <v>59</v>
      </c>
      <c r="R60" s="44">
        <v>1554.66</v>
      </c>
      <c r="S60" s="44">
        <v>0</v>
      </c>
    </row>
    <row r="61" spans="2:19" ht="15.75" customHeight="1" x14ac:dyDescent="0.2">
      <c r="B61" s="42">
        <v>43873</v>
      </c>
      <c r="C61" s="43" t="s">
        <v>18</v>
      </c>
      <c r="D61" s="43" t="s">
        <v>26</v>
      </c>
      <c r="E61" s="43" t="s">
        <v>30</v>
      </c>
      <c r="F61" s="47" t="s">
        <v>50</v>
      </c>
      <c r="G61" s="48">
        <v>0</v>
      </c>
      <c r="H61" s="49">
        <v>777.33</v>
      </c>
      <c r="I61" s="50"/>
      <c r="J61" s="50"/>
      <c r="K61" s="47"/>
      <c r="L61" s="49">
        <v>2</v>
      </c>
      <c r="M61" s="47" t="s">
        <v>21</v>
      </c>
      <c r="N61" s="47" t="s">
        <v>55</v>
      </c>
      <c r="O61" s="47" t="s">
        <v>52</v>
      </c>
      <c r="P61" s="47" t="s">
        <v>19</v>
      </c>
      <c r="Q61" s="43" t="s">
        <v>59</v>
      </c>
      <c r="R61" s="49">
        <v>0</v>
      </c>
      <c r="S61" s="49">
        <v>1554.66</v>
      </c>
    </row>
    <row r="62" spans="2:19" ht="15.75" customHeight="1" x14ac:dyDescent="0.2">
      <c r="B62" s="42">
        <v>43873</v>
      </c>
      <c r="C62" s="43" t="s">
        <v>18</v>
      </c>
      <c r="D62" s="43" t="s">
        <v>30</v>
      </c>
      <c r="E62" s="43" t="s">
        <v>19</v>
      </c>
      <c r="F62" s="43" t="s">
        <v>54</v>
      </c>
      <c r="G62" s="44">
        <v>7413.96</v>
      </c>
      <c r="H62" s="45">
        <v>0</v>
      </c>
      <c r="I62" s="46"/>
      <c r="J62" s="46"/>
      <c r="K62" s="43"/>
      <c r="L62" s="44">
        <v>1</v>
      </c>
      <c r="M62" s="43" t="s">
        <v>21</v>
      </c>
      <c r="N62" s="43" t="s">
        <v>51</v>
      </c>
      <c r="O62" s="43" t="s">
        <v>52</v>
      </c>
      <c r="P62" s="43" t="s">
        <v>19</v>
      </c>
      <c r="Q62" s="43" t="s">
        <v>59</v>
      </c>
      <c r="R62" s="44">
        <v>7413.96</v>
      </c>
      <c r="S62" s="44">
        <v>0</v>
      </c>
    </row>
    <row r="63" spans="2:19" ht="15.75" customHeight="1" x14ac:dyDescent="0.2">
      <c r="B63" s="42">
        <v>43873</v>
      </c>
      <c r="C63" s="43" t="s">
        <v>18</v>
      </c>
      <c r="D63" s="43" t="s">
        <v>30</v>
      </c>
      <c r="E63" s="43" t="s">
        <v>19</v>
      </c>
      <c r="F63" s="47" t="s">
        <v>50</v>
      </c>
      <c r="G63" s="48">
        <v>0</v>
      </c>
      <c r="H63" s="49">
        <v>7413.96</v>
      </c>
      <c r="I63" s="50"/>
      <c r="J63" s="50"/>
      <c r="K63" s="47"/>
      <c r="L63" s="49">
        <v>1</v>
      </c>
      <c r="M63" s="47" t="s">
        <v>21</v>
      </c>
      <c r="N63" s="47" t="s">
        <v>55</v>
      </c>
      <c r="O63" s="47" t="s">
        <v>52</v>
      </c>
      <c r="P63" s="47" t="s">
        <v>19</v>
      </c>
      <c r="Q63" s="43" t="s">
        <v>59</v>
      </c>
      <c r="R63" s="49">
        <v>0</v>
      </c>
      <c r="S63" s="49">
        <v>7413.96</v>
      </c>
    </row>
    <row r="64" spans="2:19" ht="15.75" customHeight="1" x14ac:dyDescent="0.2">
      <c r="B64" s="42">
        <v>43873</v>
      </c>
      <c r="C64" s="43" t="s">
        <v>18</v>
      </c>
      <c r="D64" s="43" t="s">
        <v>39</v>
      </c>
      <c r="E64" s="43" t="s">
        <v>30</v>
      </c>
      <c r="F64" s="43" t="s">
        <v>54</v>
      </c>
      <c r="G64" s="44">
        <v>264.95</v>
      </c>
      <c r="H64" s="45">
        <v>0</v>
      </c>
      <c r="I64" s="46"/>
      <c r="J64" s="46"/>
      <c r="K64" s="43"/>
      <c r="L64" s="44">
        <v>2</v>
      </c>
      <c r="M64" s="43" t="s">
        <v>21</v>
      </c>
      <c r="N64" s="43" t="s">
        <v>51</v>
      </c>
      <c r="O64" s="43" t="s">
        <v>52</v>
      </c>
      <c r="P64" s="43" t="s">
        <v>19</v>
      </c>
      <c r="Q64" s="43" t="s">
        <v>59</v>
      </c>
      <c r="R64" s="44">
        <v>529.9</v>
      </c>
      <c r="S64" s="44">
        <v>0</v>
      </c>
    </row>
    <row r="65" spans="2:19" ht="15.75" customHeight="1" x14ac:dyDescent="0.2">
      <c r="B65" s="42">
        <v>43873</v>
      </c>
      <c r="C65" s="43" t="s">
        <v>18</v>
      </c>
      <c r="D65" s="43" t="s">
        <v>39</v>
      </c>
      <c r="E65" s="43" t="s">
        <v>30</v>
      </c>
      <c r="F65" s="47" t="s">
        <v>50</v>
      </c>
      <c r="G65" s="48">
        <v>0</v>
      </c>
      <c r="H65" s="49">
        <v>264.95</v>
      </c>
      <c r="I65" s="50"/>
      <c r="J65" s="50"/>
      <c r="K65" s="47"/>
      <c r="L65" s="49">
        <v>2</v>
      </c>
      <c r="M65" s="47" t="s">
        <v>21</v>
      </c>
      <c r="N65" s="47" t="s">
        <v>55</v>
      </c>
      <c r="O65" s="47" t="s">
        <v>52</v>
      </c>
      <c r="P65" s="47" t="s">
        <v>19</v>
      </c>
      <c r="Q65" s="43" t="s">
        <v>59</v>
      </c>
      <c r="R65" s="49">
        <v>0</v>
      </c>
      <c r="S65" s="49">
        <v>529.9</v>
      </c>
    </row>
    <row r="66" spans="2:19" ht="15.75" customHeight="1" x14ac:dyDescent="0.2">
      <c r="B66" s="42">
        <v>43871</v>
      </c>
      <c r="C66" s="43" t="s">
        <v>23</v>
      </c>
      <c r="D66" s="43" t="s">
        <v>26</v>
      </c>
      <c r="E66" s="43" t="s">
        <v>30</v>
      </c>
      <c r="F66" s="43" t="s">
        <v>50</v>
      </c>
      <c r="G66" s="44">
        <v>270.05</v>
      </c>
      <c r="H66" s="45">
        <v>0</v>
      </c>
      <c r="I66" s="46"/>
      <c r="J66" s="46"/>
      <c r="K66" s="43"/>
      <c r="L66" s="44">
        <v>1.5</v>
      </c>
      <c r="M66" s="43" t="s">
        <v>21</v>
      </c>
      <c r="N66" s="43" t="s">
        <v>51</v>
      </c>
      <c r="O66" s="43" t="s">
        <v>52</v>
      </c>
      <c r="P66" s="43" t="s">
        <v>19</v>
      </c>
      <c r="Q66" s="43" t="s">
        <v>53</v>
      </c>
      <c r="R66" s="44">
        <v>405.07499999999999</v>
      </c>
      <c r="S66" s="44">
        <v>0</v>
      </c>
    </row>
    <row r="67" spans="2:19" ht="15.75" customHeight="1" x14ac:dyDescent="0.2">
      <c r="B67" s="42">
        <v>43871</v>
      </c>
      <c r="C67" s="43" t="s">
        <v>23</v>
      </c>
      <c r="D67" s="43" t="s">
        <v>26</v>
      </c>
      <c r="E67" s="43" t="s">
        <v>30</v>
      </c>
      <c r="F67" s="47" t="s">
        <v>54</v>
      </c>
      <c r="G67" s="48">
        <v>0</v>
      </c>
      <c r="H67" s="49">
        <v>270.05</v>
      </c>
      <c r="I67" s="50"/>
      <c r="J67" s="50"/>
      <c r="K67" s="47"/>
      <c r="L67" s="49">
        <v>1.5</v>
      </c>
      <c r="M67" s="47" t="s">
        <v>21</v>
      </c>
      <c r="N67" s="47" t="s">
        <v>55</v>
      </c>
      <c r="O67" s="47" t="s">
        <v>52</v>
      </c>
      <c r="P67" s="47" t="s">
        <v>19</v>
      </c>
      <c r="Q67" s="43" t="s">
        <v>53</v>
      </c>
      <c r="R67" s="49">
        <v>0</v>
      </c>
      <c r="S67" s="49">
        <v>405.07499999999999</v>
      </c>
    </row>
    <row r="68" spans="2:19" ht="15.75" customHeight="1" x14ac:dyDescent="0.2">
      <c r="B68" s="42">
        <v>43871</v>
      </c>
      <c r="C68" s="43" t="s">
        <v>23</v>
      </c>
      <c r="D68" s="43" t="s">
        <v>30</v>
      </c>
      <c r="E68" s="43" t="s">
        <v>19</v>
      </c>
      <c r="F68" s="43" t="s">
        <v>50</v>
      </c>
      <c r="G68" s="44">
        <v>1481.98</v>
      </c>
      <c r="H68" s="45">
        <v>0</v>
      </c>
      <c r="I68" s="46"/>
      <c r="J68" s="46"/>
      <c r="K68" s="43"/>
      <c r="L68" s="44">
        <v>1</v>
      </c>
      <c r="M68" s="43" t="s">
        <v>21</v>
      </c>
      <c r="N68" s="43" t="s">
        <v>51</v>
      </c>
      <c r="O68" s="43" t="s">
        <v>52</v>
      </c>
      <c r="P68" s="43" t="s">
        <v>19</v>
      </c>
      <c r="Q68" s="43" t="s">
        <v>53</v>
      </c>
      <c r="R68" s="44">
        <v>1481.98</v>
      </c>
      <c r="S68" s="44">
        <v>0</v>
      </c>
    </row>
    <row r="69" spans="2:19" ht="15.75" customHeight="1" x14ac:dyDescent="0.2">
      <c r="B69" s="42">
        <v>43871</v>
      </c>
      <c r="C69" s="43" t="s">
        <v>23</v>
      </c>
      <c r="D69" s="43" t="s">
        <v>30</v>
      </c>
      <c r="E69" s="43" t="s">
        <v>19</v>
      </c>
      <c r="F69" s="47" t="s">
        <v>54</v>
      </c>
      <c r="G69" s="48">
        <v>0</v>
      </c>
      <c r="H69" s="49">
        <v>1481.98</v>
      </c>
      <c r="I69" s="50"/>
      <c r="J69" s="50"/>
      <c r="K69" s="47"/>
      <c r="L69" s="49">
        <v>1</v>
      </c>
      <c r="M69" s="47" t="s">
        <v>21</v>
      </c>
      <c r="N69" s="47" t="s">
        <v>55</v>
      </c>
      <c r="O69" s="47" t="s">
        <v>52</v>
      </c>
      <c r="P69" s="47" t="s">
        <v>19</v>
      </c>
      <c r="Q69" s="43" t="s">
        <v>53</v>
      </c>
      <c r="R69" s="49">
        <v>0</v>
      </c>
      <c r="S69" s="49">
        <v>1481.98</v>
      </c>
    </row>
    <row r="70" spans="2:19" ht="15.75" customHeight="1" x14ac:dyDescent="0.2">
      <c r="B70" s="42">
        <v>43871</v>
      </c>
      <c r="C70" s="43" t="s">
        <v>18</v>
      </c>
      <c r="D70" s="43" t="s">
        <v>26</v>
      </c>
      <c r="E70" s="43" t="s">
        <v>30</v>
      </c>
      <c r="F70" s="43" t="s">
        <v>50</v>
      </c>
      <c r="G70" s="44">
        <v>264.95</v>
      </c>
      <c r="H70" s="45">
        <v>0</v>
      </c>
      <c r="I70" s="46"/>
      <c r="J70" s="46"/>
      <c r="K70" s="43"/>
      <c r="L70" s="44">
        <v>1.5</v>
      </c>
      <c r="M70" s="43" t="s">
        <v>21</v>
      </c>
      <c r="N70" s="43" t="s">
        <v>51</v>
      </c>
      <c r="O70" s="43" t="s">
        <v>52</v>
      </c>
      <c r="P70" s="43" t="s">
        <v>19</v>
      </c>
      <c r="Q70" s="43" t="s">
        <v>53</v>
      </c>
      <c r="R70" s="44">
        <v>397.42500000000001</v>
      </c>
      <c r="S70" s="44">
        <v>0</v>
      </c>
    </row>
    <row r="71" spans="2:19" ht="15.75" customHeight="1" x14ac:dyDescent="0.2">
      <c r="B71" s="42">
        <v>43871</v>
      </c>
      <c r="C71" s="43" t="s">
        <v>18</v>
      </c>
      <c r="D71" s="43" t="s">
        <v>26</v>
      </c>
      <c r="E71" s="43" t="s">
        <v>30</v>
      </c>
      <c r="F71" s="47" t="s">
        <v>54</v>
      </c>
      <c r="G71" s="48">
        <v>0</v>
      </c>
      <c r="H71" s="49">
        <v>264.95</v>
      </c>
      <c r="I71" s="50"/>
      <c r="J71" s="50"/>
      <c r="K71" s="47"/>
      <c r="L71" s="49">
        <v>1.5</v>
      </c>
      <c r="M71" s="47" t="s">
        <v>21</v>
      </c>
      <c r="N71" s="47" t="s">
        <v>55</v>
      </c>
      <c r="O71" s="47" t="s">
        <v>52</v>
      </c>
      <c r="P71" s="47" t="s">
        <v>19</v>
      </c>
      <c r="Q71" s="43" t="s">
        <v>53</v>
      </c>
      <c r="R71" s="49">
        <v>0</v>
      </c>
      <c r="S71" s="49">
        <v>397.42500000000001</v>
      </c>
    </row>
    <row r="72" spans="2:19" ht="15.75" customHeight="1" x14ac:dyDescent="0.2">
      <c r="B72" s="42">
        <v>43871</v>
      </c>
      <c r="C72" s="43" t="s">
        <v>18</v>
      </c>
      <c r="D72" s="43" t="s">
        <v>30</v>
      </c>
      <c r="E72" s="43" t="s">
        <v>19</v>
      </c>
      <c r="F72" s="43" t="s">
        <v>50</v>
      </c>
      <c r="G72" s="44">
        <v>1454.02</v>
      </c>
      <c r="H72" s="45">
        <v>0</v>
      </c>
      <c r="I72" s="46"/>
      <c r="J72" s="46"/>
      <c r="K72" s="43"/>
      <c r="L72" s="44">
        <v>1</v>
      </c>
      <c r="M72" s="43" t="s">
        <v>21</v>
      </c>
      <c r="N72" s="43" t="s">
        <v>51</v>
      </c>
      <c r="O72" s="43" t="s">
        <v>52</v>
      </c>
      <c r="P72" s="43" t="s">
        <v>19</v>
      </c>
      <c r="Q72" s="43" t="s">
        <v>53</v>
      </c>
      <c r="R72" s="44">
        <v>1454.02</v>
      </c>
      <c r="S72" s="44">
        <v>0</v>
      </c>
    </row>
    <row r="73" spans="2:19" ht="15.75" customHeight="1" x14ac:dyDescent="0.2">
      <c r="B73" s="42">
        <v>43871</v>
      </c>
      <c r="C73" s="43" t="s">
        <v>18</v>
      </c>
      <c r="D73" s="43" t="s">
        <v>30</v>
      </c>
      <c r="E73" s="43" t="s">
        <v>19</v>
      </c>
      <c r="F73" s="47" t="s">
        <v>54</v>
      </c>
      <c r="G73" s="48">
        <v>0</v>
      </c>
      <c r="H73" s="49">
        <v>1454.02</v>
      </c>
      <c r="I73" s="50"/>
      <c r="J73" s="50"/>
      <c r="K73" s="47"/>
      <c r="L73" s="49">
        <v>1</v>
      </c>
      <c r="M73" s="47" t="s">
        <v>21</v>
      </c>
      <c r="N73" s="47" t="s">
        <v>55</v>
      </c>
      <c r="O73" s="47" t="s">
        <v>52</v>
      </c>
      <c r="P73" s="47" t="s">
        <v>19</v>
      </c>
      <c r="Q73" s="43" t="s">
        <v>53</v>
      </c>
      <c r="R73" s="49">
        <v>0</v>
      </c>
      <c r="S73" s="49">
        <v>1454.02</v>
      </c>
    </row>
    <row r="74" spans="2:19" ht="15.75" customHeight="1" x14ac:dyDescent="0.2">
      <c r="B74" s="42">
        <v>43872</v>
      </c>
      <c r="C74" s="43" t="s">
        <v>23</v>
      </c>
      <c r="D74" s="43" t="s">
        <v>30</v>
      </c>
      <c r="E74" s="43" t="s">
        <v>30</v>
      </c>
      <c r="F74" s="43" t="s">
        <v>20</v>
      </c>
      <c r="G74" s="44">
        <v>3704.95</v>
      </c>
      <c r="H74" s="45">
        <v>0</v>
      </c>
      <c r="I74" s="46"/>
      <c r="J74" s="46"/>
      <c r="K74" s="43"/>
      <c r="L74" s="44">
        <v>2</v>
      </c>
      <c r="M74" s="43" t="s">
        <v>21</v>
      </c>
      <c r="N74" s="43" t="s">
        <v>51</v>
      </c>
      <c r="O74" s="43" t="s">
        <v>52</v>
      </c>
      <c r="P74" s="43" t="s">
        <v>19</v>
      </c>
      <c r="Q74" s="43" t="s">
        <v>63</v>
      </c>
      <c r="R74" s="44">
        <v>7409.9</v>
      </c>
      <c r="S74" s="44">
        <v>0</v>
      </c>
    </row>
    <row r="75" spans="2:19" ht="15.75" customHeight="1" x14ac:dyDescent="0.2">
      <c r="B75" s="42">
        <v>43872</v>
      </c>
      <c r="C75" s="43" t="s">
        <v>23</v>
      </c>
      <c r="D75" s="43" t="s">
        <v>30</v>
      </c>
      <c r="E75" s="43" t="s">
        <v>30</v>
      </c>
      <c r="F75" s="47" t="s">
        <v>60</v>
      </c>
      <c r="G75" s="48">
        <v>0</v>
      </c>
      <c r="H75" s="49">
        <v>3704.95</v>
      </c>
      <c r="I75" s="50"/>
      <c r="J75" s="50"/>
      <c r="K75" s="47"/>
      <c r="L75" s="49">
        <v>2</v>
      </c>
      <c r="M75" s="47" t="s">
        <v>21</v>
      </c>
      <c r="N75" s="47" t="s">
        <v>55</v>
      </c>
      <c r="O75" s="47" t="s">
        <v>52</v>
      </c>
      <c r="P75" s="47" t="s">
        <v>19</v>
      </c>
      <c r="Q75" s="43" t="s">
        <v>63</v>
      </c>
      <c r="R75" s="49">
        <v>0</v>
      </c>
      <c r="S75" s="49">
        <v>7409.9</v>
      </c>
    </row>
    <row r="76" spans="2:19" ht="15.75" customHeight="1" x14ac:dyDescent="0.2">
      <c r="B76" s="42">
        <v>43872</v>
      </c>
      <c r="C76" s="43" t="s">
        <v>18</v>
      </c>
      <c r="D76" s="43" t="s">
        <v>30</v>
      </c>
      <c r="E76" s="43" t="s">
        <v>30</v>
      </c>
      <c r="F76" s="43" t="s">
        <v>20</v>
      </c>
      <c r="G76" s="44">
        <v>3635.05</v>
      </c>
      <c r="H76" s="45">
        <v>0</v>
      </c>
      <c r="I76" s="46"/>
      <c r="J76" s="46"/>
      <c r="K76" s="43"/>
      <c r="L76" s="44">
        <v>2</v>
      </c>
      <c r="M76" s="43" t="s">
        <v>21</v>
      </c>
      <c r="N76" s="43" t="s">
        <v>51</v>
      </c>
      <c r="O76" s="43" t="s">
        <v>52</v>
      </c>
      <c r="P76" s="43" t="s">
        <v>19</v>
      </c>
      <c r="Q76" s="43" t="s">
        <v>63</v>
      </c>
      <c r="R76" s="44">
        <v>7270.1</v>
      </c>
      <c r="S76" s="44">
        <v>0</v>
      </c>
    </row>
    <row r="77" spans="2:19" ht="15.75" customHeight="1" x14ac:dyDescent="0.2">
      <c r="B77" s="42">
        <v>43872</v>
      </c>
      <c r="C77" s="43" t="s">
        <v>18</v>
      </c>
      <c r="D77" s="43" t="s">
        <v>30</v>
      </c>
      <c r="E77" s="43" t="s">
        <v>30</v>
      </c>
      <c r="F77" s="47" t="s">
        <v>60</v>
      </c>
      <c r="G77" s="48">
        <v>0</v>
      </c>
      <c r="H77" s="49">
        <v>3635.05</v>
      </c>
      <c r="I77" s="50"/>
      <c r="J77" s="50"/>
      <c r="K77" s="47"/>
      <c r="L77" s="49">
        <v>2</v>
      </c>
      <c r="M77" s="47" t="s">
        <v>21</v>
      </c>
      <c r="N77" s="47" t="s">
        <v>55</v>
      </c>
      <c r="O77" s="47" t="s">
        <v>52</v>
      </c>
      <c r="P77" s="47" t="s">
        <v>19</v>
      </c>
      <c r="Q77" s="43" t="s">
        <v>63</v>
      </c>
      <c r="R77" s="49">
        <v>0</v>
      </c>
      <c r="S77" s="49">
        <v>7270.1</v>
      </c>
    </row>
    <row r="78" spans="2:19" ht="15.75" customHeight="1" x14ac:dyDescent="0.2">
      <c r="B78" s="42">
        <v>43872</v>
      </c>
      <c r="C78" s="43" t="s">
        <v>23</v>
      </c>
      <c r="D78" s="43" t="s">
        <v>30</v>
      </c>
      <c r="E78" s="43" t="s">
        <v>30</v>
      </c>
      <c r="F78" s="43" t="s">
        <v>60</v>
      </c>
      <c r="G78" s="44">
        <v>3704.95</v>
      </c>
      <c r="H78" s="45">
        <v>0</v>
      </c>
      <c r="I78" s="46"/>
      <c r="J78" s="46"/>
      <c r="K78" s="43"/>
      <c r="L78" s="44">
        <v>1.5</v>
      </c>
      <c r="M78" s="43" t="s">
        <v>21</v>
      </c>
      <c r="N78" s="43" t="s">
        <v>51</v>
      </c>
      <c r="O78" s="43" t="s">
        <v>52</v>
      </c>
      <c r="P78" s="43" t="s">
        <v>19</v>
      </c>
      <c r="Q78" s="43" t="s">
        <v>64</v>
      </c>
      <c r="R78" s="44">
        <v>5557.4250000000002</v>
      </c>
      <c r="S78" s="44">
        <v>0</v>
      </c>
    </row>
    <row r="79" spans="2:19" ht="15.75" customHeight="1" x14ac:dyDescent="0.2">
      <c r="B79" s="42">
        <v>43872</v>
      </c>
      <c r="C79" s="43" t="s">
        <v>23</v>
      </c>
      <c r="D79" s="43" t="s">
        <v>30</v>
      </c>
      <c r="E79" s="43" t="s">
        <v>30</v>
      </c>
      <c r="F79" s="47" t="s">
        <v>20</v>
      </c>
      <c r="G79" s="48">
        <v>0</v>
      </c>
      <c r="H79" s="49">
        <v>3704.95</v>
      </c>
      <c r="I79" s="50"/>
      <c r="J79" s="50"/>
      <c r="K79" s="47"/>
      <c r="L79" s="49">
        <v>1.5</v>
      </c>
      <c r="M79" s="47" t="s">
        <v>21</v>
      </c>
      <c r="N79" s="47" t="s">
        <v>55</v>
      </c>
      <c r="O79" s="47" t="s">
        <v>52</v>
      </c>
      <c r="P79" s="47" t="s">
        <v>19</v>
      </c>
      <c r="Q79" s="43" t="s">
        <v>64</v>
      </c>
      <c r="R79" s="49">
        <v>0</v>
      </c>
      <c r="S79" s="49">
        <v>5557.4250000000002</v>
      </c>
    </row>
    <row r="80" spans="2:19" ht="15.75" customHeight="1" x14ac:dyDescent="0.2">
      <c r="B80" s="42">
        <v>43872</v>
      </c>
      <c r="C80" s="43" t="s">
        <v>18</v>
      </c>
      <c r="D80" s="43" t="s">
        <v>30</v>
      </c>
      <c r="E80" s="43" t="s">
        <v>30</v>
      </c>
      <c r="F80" s="43" t="s">
        <v>60</v>
      </c>
      <c r="G80" s="44">
        <v>3635.05</v>
      </c>
      <c r="H80" s="45">
        <v>0</v>
      </c>
      <c r="I80" s="46"/>
      <c r="J80" s="46"/>
      <c r="K80" s="43"/>
      <c r="L80" s="44">
        <v>1.5</v>
      </c>
      <c r="M80" s="43" t="s">
        <v>21</v>
      </c>
      <c r="N80" s="43" t="s">
        <v>51</v>
      </c>
      <c r="O80" s="43" t="s">
        <v>52</v>
      </c>
      <c r="P80" s="43" t="s">
        <v>19</v>
      </c>
      <c r="Q80" s="43" t="s">
        <v>64</v>
      </c>
      <c r="R80" s="44">
        <v>5452.5749999999998</v>
      </c>
      <c r="S80" s="44">
        <v>0</v>
      </c>
    </row>
    <row r="81" spans="2:19" ht="15.75" customHeight="1" x14ac:dyDescent="0.2">
      <c r="B81" s="42">
        <v>43872</v>
      </c>
      <c r="C81" s="43" t="s">
        <v>18</v>
      </c>
      <c r="D81" s="43" t="s">
        <v>30</v>
      </c>
      <c r="E81" s="43" t="s">
        <v>30</v>
      </c>
      <c r="F81" s="47" t="s">
        <v>20</v>
      </c>
      <c r="G81" s="48">
        <v>0</v>
      </c>
      <c r="H81" s="49">
        <v>3635.05</v>
      </c>
      <c r="I81" s="50"/>
      <c r="J81" s="50"/>
      <c r="K81" s="47"/>
      <c r="L81" s="49">
        <v>1.5</v>
      </c>
      <c r="M81" s="47" t="s">
        <v>21</v>
      </c>
      <c r="N81" s="47" t="s">
        <v>55</v>
      </c>
      <c r="O81" s="47" t="s">
        <v>52</v>
      </c>
      <c r="P81" s="47" t="s">
        <v>19</v>
      </c>
      <c r="Q81" s="43" t="s">
        <v>64</v>
      </c>
      <c r="R81" s="49">
        <v>0</v>
      </c>
      <c r="S81" s="49">
        <v>5452.5749999999998</v>
      </c>
    </row>
    <row r="82" spans="2:19" ht="15.75" customHeight="1" x14ac:dyDescent="0.2">
      <c r="B82" s="51">
        <v>43872</v>
      </c>
      <c r="C82" s="43" t="s">
        <v>18</v>
      </c>
      <c r="D82" s="43" t="s">
        <v>26</v>
      </c>
      <c r="E82" s="43" t="s">
        <v>30</v>
      </c>
      <c r="F82" s="43" t="s">
        <v>60</v>
      </c>
      <c r="G82" s="44">
        <v>3635.0476189999999</v>
      </c>
      <c r="H82" s="45">
        <v>0</v>
      </c>
      <c r="I82" s="46"/>
      <c r="J82" s="46"/>
      <c r="K82" s="43"/>
      <c r="L82" s="44">
        <v>1.1000000000000001</v>
      </c>
      <c r="M82" s="43" t="s">
        <v>21</v>
      </c>
      <c r="N82" s="43" t="s">
        <v>51</v>
      </c>
      <c r="O82" s="43" t="s">
        <v>52</v>
      </c>
      <c r="P82" s="43" t="s">
        <v>19</v>
      </c>
      <c r="Q82" s="43" t="s">
        <v>61</v>
      </c>
      <c r="R82" s="44">
        <v>3998.552381</v>
      </c>
      <c r="S82" s="44">
        <v>0</v>
      </c>
    </row>
    <row r="83" spans="2:19" ht="15.75" customHeight="1" x14ac:dyDescent="0.2">
      <c r="B83" s="51">
        <v>43872</v>
      </c>
      <c r="C83" s="43" t="s">
        <v>18</v>
      </c>
      <c r="D83" s="43" t="s">
        <v>26</v>
      </c>
      <c r="E83" s="43" t="s">
        <v>30</v>
      </c>
      <c r="F83" s="47" t="s">
        <v>20</v>
      </c>
      <c r="G83" s="48">
        <v>0</v>
      </c>
      <c r="H83" s="49">
        <v>3635.0476189999999</v>
      </c>
      <c r="I83" s="50"/>
      <c r="J83" s="50"/>
      <c r="K83" s="47"/>
      <c r="L83" s="49">
        <v>1.1000000000000001</v>
      </c>
      <c r="M83" s="47" t="s">
        <v>21</v>
      </c>
      <c r="N83" s="47" t="s">
        <v>55</v>
      </c>
      <c r="O83" s="47" t="s">
        <v>52</v>
      </c>
      <c r="P83" s="47" t="s">
        <v>19</v>
      </c>
      <c r="Q83" s="43" t="s">
        <v>61</v>
      </c>
      <c r="R83" s="49">
        <v>0</v>
      </c>
      <c r="S83" s="49">
        <v>3998.552381</v>
      </c>
    </row>
    <row r="84" spans="2:19" ht="15.75" customHeight="1" x14ac:dyDescent="0.2">
      <c r="B84" s="51">
        <v>43872</v>
      </c>
      <c r="C84" s="43" t="s">
        <v>23</v>
      </c>
      <c r="D84" s="43" t="s">
        <v>26</v>
      </c>
      <c r="E84" s="43" t="s">
        <v>30</v>
      </c>
      <c r="F84" s="43" t="s">
        <v>60</v>
      </c>
      <c r="G84" s="44">
        <v>3704.9523810000001</v>
      </c>
      <c r="H84" s="45">
        <v>0</v>
      </c>
      <c r="I84" s="46"/>
      <c r="J84" s="46"/>
      <c r="K84" s="43"/>
      <c r="L84" s="44">
        <v>1.1000000000000001</v>
      </c>
      <c r="M84" s="43" t="s">
        <v>21</v>
      </c>
      <c r="N84" s="43" t="s">
        <v>51</v>
      </c>
      <c r="O84" s="43" t="s">
        <v>52</v>
      </c>
      <c r="P84" s="43" t="s">
        <v>19</v>
      </c>
      <c r="Q84" s="43" t="s">
        <v>61</v>
      </c>
      <c r="R84" s="44">
        <v>4075.447619</v>
      </c>
      <c r="S84" s="44">
        <v>0</v>
      </c>
    </row>
    <row r="85" spans="2:19" ht="15.75" customHeight="1" x14ac:dyDescent="0.2">
      <c r="B85" s="51">
        <v>43872</v>
      </c>
      <c r="C85" s="43" t="s">
        <v>23</v>
      </c>
      <c r="D85" s="43" t="s">
        <v>26</v>
      </c>
      <c r="E85" s="43" t="s">
        <v>30</v>
      </c>
      <c r="F85" s="47" t="s">
        <v>20</v>
      </c>
      <c r="G85" s="48">
        <v>0</v>
      </c>
      <c r="H85" s="49">
        <v>3704.9523810000001</v>
      </c>
      <c r="I85" s="50"/>
      <c r="J85" s="50"/>
      <c r="K85" s="47"/>
      <c r="L85" s="49">
        <v>1.1000000000000001</v>
      </c>
      <c r="M85" s="47" t="s">
        <v>21</v>
      </c>
      <c r="N85" s="47" t="s">
        <v>55</v>
      </c>
      <c r="O85" s="47" t="s">
        <v>52</v>
      </c>
      <c r="P85" s="47" t="s">
        <v>19</v>
      </c>
      <c r="Q85" s="43" t="s">
        <v>61</v>
      </c>
      <c r="R85" s="49">
        <v>0</v>
      </c>
      <c r="S85" s="49">
        <v>4075.447619</v>
      </c>
    </row>
    <row r="86" spans="2:19" ht="15.75" customHeight="1" x14ac:dyDescent="0.2">
      <c r="B86" s="51">
        <v>43872</v>
      </c>
      <c r="C86" s="43" t="s">
        <v>18</v>
      </c>
      <c r="D86" s="43" t="s">
        <v>39</v>
      </c>
      <c r="E86" s="43" t="s">
        <v>30</v>
      </c>
      <c r="F86" s="43" t="s">
        <v>60</v>
      </c>
      <c r="G86" s="44">
        <v>2855.0476189999999</v>
      </c>
      <c r="H86" s="45">
        <v>0</v>
      </c>
      <c r="I86" s="46"/>
      <c r="J86" s="46"/>
      <c r="K86" s="43"/>
      <c r="L86" s="44">
        <v>1.1000000000000001</v>
      </c>
      <c r="M86" s="43" t="s">
        <v>21</v>
      </c>
      <c r="N86" s="43" t="s">
        <v>51</v>
      </c>
      <c r="O86" s="43" t="s">
        <v>52</v>
      </c>
      <c r="P86" s="43" t="s">
        <v>19</v>
      </c>
      <c r="Q86" s="43" t="s">
        <v>61</v>
      </c>
      <c r="R86" s="44">
        <v>3140.552381</v>
      </c>
      <c r="S86" s="44">
        <v>0</v>
      </c>
    </row>
    <row r="87" spans="2:19" ht="15.75" customHeight="1" x14ac:dyDescent="0.2">
      <c r="B87" s="51">
        <v>43872</v>
      </c>
      <c r="C87" s="43" t="s">
        <v>18</v>
      </c>
      <c r="D87" s="43" t="s">
        <v>39</v>
      </c>
      <c r="E87" s="43" t="s">
        <v>30</v>
      </c>
      <c r="F87" s="47" t="s">
        <v>20</v>
      </c>
      <c r="G87" s="48">
        <v>0</v>
      </c>
      <c r="H87" s="49">
        <v>2855.0476189999999</v>
      </c>
      <c r="I87" s="50"/>
      <c r="J87" s="50"/>
      <c r="K87" s="47"/>
      <c r="L87" s="49">
        <v>1.1000000000000001</v>
      </c>
      <c r="M87" s="47" t="s">
        <v>21</v>
      </c>
      <c r="N87" s="47" t="s">
        <v>55</v>
      </c>
      <c r="O87" s="47" t="s">
        <v>52</v>
      </c>
      <c r="P87" s="47" t="s">
        <v>19</v>
      </c>
      <c r="Q87" s="43" t="s">
        <v>61</v>
      </c>
      <c r="R87" s="49">
        <v>0</v>
      </c>
      <c r="S87" s="49">
        <v>3140.552381</v>
      </c>
    </row>
    <row r="88" spans="2:19" ht="15.75" customHeight="1" x14ac:dyDescent="0.2">
      <c r="B88" s="51">
        <v>43872</v>
      </c>
      <c r="C88" s="43" t="s">
        <v>23</v>
      </c>
      <c r="D88" s="43" t="s">
        <v>39</v>
      </c>
      <c r="E88" s="43" t="s">
        <v>30</v>
      </c>
      <c r="F88" s="43" t="s">
        <v>60</v>
      </c>
      <c r="G88" s="44">
        <v>2909.9523810000001</v>
      </c>
      <c r="H88" s="45">
        <v>0</v>
      </c>
      <c r="I88" s="46"/>
      <c r="J88" s="46"/>
      <c r="K88" s="43"/>
      <c r="L88" s="44">
        <v>1.1000000000000001</v>
      </c>
      <c r="M88" s="43" t="s">
        <v>21</v>
      </c>
      <c r="N88" s="43" t="s">
        <v>51</v>
      </c>
      <c r="O88" s="43" t="s">
        <v>52</v>
      </c>
      <c r="P88" s="43" t="s">
        <v>19</v>
      </c>
      <c r="Q88" s="43" t="s">
        <v>61</v>
      </c>
      <c r="R88" s="44">
        <v>3200.947619</v>
      </c>
      <c r="S88" s="44">
        <v>0</v>
      </c>
    </row>
    <row r="89" spans="2:19" ht="15.75" customHeight="1" x14ac:dyDescent="0.2">
      <c r="B89" s="51">
        <v>43872</v>
      </c>
      <c r="C89" s="43" t="s">
        <v>23</v>
      </c>
      <c r="D89" s="43" t="s">
        <v>39</v>
      </c>
      <c r="E89" s="43" t="s">
        <v>30</v>
      </c>
      <c r="F89" s="47" t="s">
        <v>20</v>
      </c>
      <c r="G89" s="48">
        <v>0</v>
      </c>
      <c r="H89" s="49">
        <v>2909.9523810000001</v>
      </c>
      <c r="I89" s="50"/>
      <c r="J89" s="50"/>
      <c r="K89" s="47"/>
      <c r="L89" s="49">
        <v>1.1000000000000001</v>
      </c>
      <c r="M89" s="47" t="s">
        <v>21</v>
      </c>
      <c r="N89" s="47" t="s">
        <v>55</v>
      </c>
      <c r="O89" s="47" t="s">
        <v>52</v>
      </c>
      <c r="P89" s="47" t="s">
        <v>19</v>
      </c>
      <c r="Q89" s="43" t="s">
        <v>61</v>
      </c>
      <c r="R89" s="49">
        <v>0</v>
      </c>
      <c r="S89" s="49">
        <v>3200.947619</v>
      </c>
    </row>
    <row r="90" spans="2:19" ht="15.75" customHeight="1" x14ac:dyDescent="0.2">
      <c r="B90" s="51">
        <v>43872</v>
      </c>
      <c r="C90" s="43" t="s">
        <v>18</v>
      </c>
      <c r="D90" s="43" t="s">
        <v>26</v>
      </c>
      <c r="E90" s="43" t="s">
        <v>30</v>
      </c>
      <c r="F90" s="43" t="s">
        <v>20</v>
      </c>
      <c r="G90" s="44">
        <v>1890</v>
      </c>
      <c r="H90" s="45">
        <v>0</v>
      </c>
      <c r="I90" s="46"/>
      <c r="J90" s="46"/>
      <c r="K90" s="43"/>
      <c r="L90" s="44">
        <v>1.1000000000000001</v>
      </c>
      <c r="M90" s="43" t="s">
        <v>21</v>
      </c>
      <c r="N90" s="43" t="s">
        <v>51</v>
      </c>
      <c r="O90" s="43" t="s">
        <v>52</v>
      </c>
      <c r="P90" s="43" t="s">
        <v>19</v>
      </c>
      <c r="Q90" s="43" t="s">
        <v>61</v>
      </c>
      <c r="R90" s="44">
        <v>2079</v>
      </c>
      <c r="S90" s="44">
        <v>0</v>
      </c>
    </row>
    <row r="91" spans="2:19" ht="15.75" customHeight="1" x14ac:dyDescent="0.2">
      <c r="B91" s="51">
        <v>43872</v>
      </c>
      <c r="C91" s="43" t="s">
        <v>18</v>
      </c>
      <c r="D91" s="43" t="s">
        <v>26</v>
      </c>
      <c r="E91" s="43" t="s">
        <v>30</v>
      </c>
      <c r="F91" s="47" t="s">
        <v>60</v>
      </c>
      <c r="G91" s="48">
        <v>0</v>
      </c>
      <c r="H91" s="49">
        <v>1890</v>
      </c>
      <c r="I91" s="50"/>
      <c r="J91" s="50"/>
      <c r="K91" s="47"/>
      <c r="L91" s="49">
        <v>1.1000000000000001</v>
      </c>
      <c r="M91" s="47" t="s">
        <v>21</v>
      </c>
      <c r="N91" s="47" t="s">
        <v>55</v>
      </c>
      <c r="O91" s="47" t="s">
        <v>52</v>
      </c>
      <c r="P91" s="47" t="s">
        <v>19</v>
      </c>
      <c r="Q91" s="43" t="s">
        <v>61</v>
      </c>
      <c r="R91" s="49">
        <v>0</v>
      </c>
      <c r="S91" s="49">
        <v>2079</v>
      </c>
    </row>
    <row r="92" spans="2:19" ht="15.75" customHeight="1" x14ac:dyDescent="0.2">
      <c r="B92" s="51">
        <v>43872</v>
      </c>
      <c r="C92" s="43" t="s">
        <v>23</v>
      </c>
      <c r="D92" s="43" t="s">
        <v>26</v>
      </c>
      <c r="E92" s="43" t="s">
        <v>30</v>
      </c>
      <c r="F92" s="43" t="s">
        <v>20</v>
      </c>
      <c r="G92" s="44">
        <v>1960</v>
      </c>
      <c r="H92" s="45">
        <v>0</v>
      </c>
      <c r="I92" s="46"/>
      <c r="J92" s="46"/>
      <c r="K92" s="43"/>
      <c r="L92" s="44">
        <v>1.1000000000000001</v>
      </c>
      <c r="M92" s="43" t="s">
        <v>21</v>
      </c>
      <c r="N92" s="43" t="s">
        <v>51</v>
      </c>
      <c r="O92" s="43" t="s">
        <v>52</v>
      </c>
      <c r="P92" s="43" t="s">
        <v>19</v>
      </c>
      <c r="Q92" s="43" t="s">
        <v>61</v>
      </c>
      <c r="R92" s="44">
        <v>2156</v>
      </c>
      <c r="S92" s="44">
        <v>0</v>
      </c>
    </row>
    <row r="93" spans="2:19" ht="15.75" customHeight="1" x14ac:dyDescent="0.2">
      <c r="B93" s="51">
        <v>43872</v>
      </c>
      <c r="C93" s="43" t="s">
        <v>23</v>
      </c>
      <c r="D93" s="43" t="s">
        <v>26</v>
      </c>
      <c r="E93" s="43" t="s">
        <v>30</v>
      </c>
      <c r="F93" s="47" t="s">
        <v>60</v>
      </c>
      <c r="G93" s="48">
        <v>0</v>
      </c>
      <c r="H93" s="49">
        <v>1960</v>
      </c>
      <c r="I93" s="50"/>
      <c r="J93" s="50"/>
      <c r="K93" s="47"/>
      <c r="L93" s="49">
        <v>1.1000000000000001</v>
      </c>
      <c r="M93" s="47" t="s">
        <v>21</v>
      </c>
      <c r="N93" s="47" t="s">
        <v>55</v>
      </c>
      <c r="O93" s="47" t="s">
        <v>52</v>
      </c>
      <c r="P93" s="47" t="s">
        <v>19</v>
      </c>
      <c r="Q93" s="43" t="s">
        <v>61</v>
      </c>
      <c r="R93" s="49">
        <v>0</v>
      </c>
      <c r="S93" s="49">
        <v>2156</v>
      </c>
    </row>
    <row r="94" spans="2:19" ht="15.75" customHeight="1" x14ac:dyDescent="0.2">
      <c r="B94" s="51">
        <v>43872</v>
      </c>
      <c r="C94" s="43" t="s">
        <v>18</v>
      </c>
      <c r="D94" s="43" t="s">
        <v>26</v>
      </c>
      <c r="E94" s="43" t="s">
        <v>30</v>
      </c>
      <c r="F94" s="43" t="s">
        <v>20</v>
      </c>
      <c r="G94" s="44">
        <v>3635.0476189999999</v>
      </c>
      <c r="H94" s="45">
        <v>0</v>
      </c>
      <c r="I94" s="46"/>
      <c r="J94" s="46"/>
      <c r="K94" s="43"/>
      <c r="L94" s="44">
        <v>2</v>
      </c>
      <c r="M94" s="43" t="s">
        <v>21</v>
      </c>
      <c r="N94" s="43" t="s">
        <v>51</v>
      </c>
      <c r="O94" s="43" t="s">
        <v>52</v>
      </c>
      <c r="P94" s="43" t="s">
        <v>19</v>
      </c>
      <c r="Q94" s="43" t="s">
        <v>62</v>
      </c>
      <c r="R94" s="44">
        <v>7270.0952379999999</v>
      </c>
      <c r="S94" s="44">
        <v>0</v>
      </c>
    </row>
    <row r="95" spans="2:19" ht="15.75" customHeight="1" x14ac:dyDescent="0.2">
      <c r="B95" s="51">
        <v>43872</v>
      </c>
      <c r="C95" s="43" t="s">
        <v>18</v>
      </c>
      <c r="D95" s="43" t="s">
        <v>26</v>
      </c>
      <c r="E95" s="43" t="s">
        <v>30</v>
      </c>
      <c r="F95" s="47" t="s">
        <v>60</v>
      </c>
      <c r="G95" s="48">
        <v>0</v>
      </c>
      <c r="H95" s="49">
        <v>3635.0476189999999</v>
      </c>
      <c r="I95" s="50"/>
      <c r="J95" s="50"/>
      <c r="K95" s="47"/>
      <c r="L95" s="49">
        <v>2</v>
      </c>
      <c r="M95" s="47" t="s">
        <v>21</v>
      </c>
      <c r="N95" s="47" t="s">
        <v>55</v>
      </c>
      <c r="O95" s="47" t="s">
        <v>52</v>
      </c>
      <c r="P95" s="47" t="s">
        <v>19</v>
      </c>
      <c r="Q95" s="43" t="s">
        <v>62</v>
      </c>
      <c r="R95" s="49">
        <v>0</v>
      </c>
      <c r="S95" s="49">
        <v>7270.0952379999999</v>
      </c>
    </row>
    <row r="96" spans="2:19" ht="15.75" customHeight="1" x14ac:dyDescent="0.2">
      <c r="B96" s="51">
        <v>43872</v>
      </c>
      <c r="C96" s="43" t="s">
        <v>23</v>
      </c>
      <c r="D96" s="43" t="s">
        <v>26</v>
      </c>
      <c r="E96" s="43" t="s">
        <v>30</v>
      </c>
      <c r="F96" s="43" t="s">
        <v>20</v>
      </c>
      <c r="G96" s="44">
        <v>3704.9523810000001</v>
      </c>
      <c r="H96" s="45">
        <v>0</v>
      </c>
      <c r="I96" s="46"/>
      <c r="J96" s="46"/>
      <c r="K96" s="43"/>
      <c r="L96" s="44">
        <v>2</v>
      </c>
      <c r="M96" s="43" t="s">
        <v>21</v>
      </c>
      <c r="N96" s="43" t="s">
        <v>51</v>
      </c>
      <c r="O96" s="43" t="s">
        <v>52</v>
      </c>
      <c r="P96" s="43" t="s">
        <v>19</v>
      </c>
      <c r="Q96" s="43" t="s">
        <v>62</v>
      </c>
      <c r="R96" s="44">
        <v>7409.9047620000001</v>
      </c>
      <c r="S96" s="44">
        <v>0</v>
      </c>
    </row>
    <row r="97" spans="2:19" ht="15.75" customHeight="1" x14ac:dyDescent="0.2">
      <c r="B97" s="51">
        <v>43872</v>
      </c>
      <c r="C97" s="43" t="s">
        <v>23</v>
      </c>
      <c r="D97" s="43" t="s">
        <v>26</v>
      </c>
      <c r="E97" s="43" t="s">
        <v>30</v>
      </c>
      <c r="F97" s="47" t="s">
        <v>60</v>
      </c>
      <c r="G97" s="48">
        <v>0</v>
      </c>
      <c r="H97" s="49">
        <v>3704.9523810000001</v>
      </c>
      <c r="I97" s="50"/>
      <c r="J97" s="50"/>
      <c r="K97" s="47"/>
      <c r="L97" s="49">
        <v>2</v>
      </c>
      <c r="M97" s="47" t="s">
        <v>21</v>
      </c>
      <c r="N97" s="47" t="s">
        <v>55</v>
      </c>
      <c r="O97" s="47" t="s">
        <v>52</v>
      </c>
      <c r="P97" s="47" t="s">
        <v>19</v>
      </c>
      <c r="Q97" s="43" t="s">
        <v>62</v>
      </c>
      <c r="R97" s="49">
        <v>0</v>
      </c>
      <c r="S97" s="49">
        <v>7409.9047620000001</v>
      </c>
    </row>
    <row r="98" spans="2:19" ht="15.75" customHeight="1" x14ac:dyDescent="0.2">
      <c r="B98" s="51">
        <v>43872</v>
      </c>
      <c r="C98" s="43" t="s">
        <v>18</v>
      </c>
      <c r="D98" s="43" t="s">
        <v>39</v>
      </c>
      <c r="E98" s="43" t="s">
        <v>30</v>
      </c>
      <c r="F98" s="43" t="s">
        <v>20</v>
      </c>
      <c r="G98" s="44">
        <v>2855.0476189999999</v>
      </c>
      <c r="H98" s="45">
        <v>0</v>
      </c>
      <c r="I98" s="46"/>
      <c r="J98" s="46"/>
      <c r="K98" s="43"/>
      <c r="L98" s="44">
        <v>2</v>
      </c>
      <c r="M98" s="43" t="s">
        <v>21</v>
      </c>
      <c r="N98" s="43" t="s">
        <v>51</v>
      </c>
      <c r="O98" s="43" t="s">
        <v>52</v>
      </c>
      <c r="P98" s="43" t="s">
        <v>19</v>
      </c>
      <c r="Q98" s="43" t="s">
        <v>62</v>
      </c>
      <c r="R98" s="44">
        <v>5710.0952379999999</v>
      </c>
      <c r="S98" s="44">
        <v>0</v>
      </c>
    </row>
    <row r="99" spans="2:19" ht="15.75" customHeight="1" x14ac:dyDescent="0.2">
      <c r="B99" s="51">
        <v>43872</v>
      </c>
      <c r="C99" s="43" t="s">
        <v>18</v>
      </c>
      <c r="D99" s="43" t="s">
        <v>39</v>
      </c>
      <c r="E99" s="43" t="s">
        <v>30</v>
      </c>
      <c r="F99" s="47" t="s">
        <v>60</v>
      </c>
      <c r="G99" s="48">
        <v>0</v>
      </c>
      <c r="H99" s="49">
        <v>2855.0476189999999</v>
      </c>
      <c r="I99" s="50"/>
      <c r="J99" s="50"/>
      <c r="K99" s="47"/>
      <c r="L99" s="49">
        <v>2</v>
      </c>
      <c r="M99" s="47" t="s">
        <v>21</v>
      </c>
      <c r="N99" s="47" t="s">
        <v>55</v>
      </c>
      <c r="O99" s="47" t="s">
        <v>52</v>
      </c>
      <c r="P99" s="47" t="s">
        <v>19</v>
      </c>
      <c r="Q99" s="43" t="s">
        <v>62</v>
      </c>
      <c r="R99" s="49">
        <v>0</v>
      </c>
      <c r="S99" s="49">
        <v>5710.0952379999999</v>
      </c>
    </row>
    <row r="100" spans="2:19" ht="15.75" customHeight="1" x14ac:dyDescent="0.2">
      <c r="B100" s="51">
        <v>43872</v>
      </c>
      <c r="C100" s="43" t="s">
        <v>23</v>
      </c>
      <c r="D100" s="43" t="s">
        <v>39</v>
      </c>
      <c r="E100" s="43" t="s">
        <v>30</v>
      </c>
      <c r="F100" s="43" t="s">
        <v>20</v>
      </c>
      <c r="G100" s="44">
        <v>2909.9523810000001</v>
      </c>
      <c r="H100" s="45">
        <v>0</v>
      </c>
      <c r="I100" s="46"/>
      <c r="J100" s="46"/>
      <c r="K100" s="43"/>
      <c r="L100" s="44">
        <v>2</v>
      </c>
      <c r="M100" s="43" t="s">
        <v>21</v>
      </c>
      <c r="N100" s="43" t="s">
        <v>51</v>
      </c>
      <c r="O100" s="43" t="s">
        <v>52</v>
      </c>
      <c r="P100" s="43" t="s">
        <v>19</v>
      </c>
      <c r="Q100" s="43" t="s">
        <v>62</v>
      </c>
      <c r="R100" s="44">
        <v>5819.9047620000001</v>
      </c>
      <c r="S100" s="44">
        <v>0</v>
      </c>
    </row>
    <row r="101" spans="2:19" ht="15.75" customHeight="1" x14ac:dyDescent="0.2">
      <c r="B101" s="51">
        <v>43872</v>
      </c>
      <c r="C101" s="43" t="s">
        <v>23</v>
      </c>
      <c r="D101" s="43" t="s">
        <v>39</v>
      </c>
      <c r="E101" s="43" t="s">
        <v>30</v>
      </c>
      <c r="F101" s="47" t="s">
        <v>60</v>
      </c>
      <c r="G101" s="48">
        <v>0</v>
      </c>
      <c r="H101" s="49">
        <v>2909.9523810000001</v>
      </c>
      <c r="I101" s="50"/>
      <c r="J101" s="50"/>
      <c r="K101" s="47"/>
      <c r="L101" s="49">
        <v>2</v>
      </c>
      <c r="M101" s="47" t="s">
        <v>21</v>
      </c>
      <c r="N101" s="47" t="s">
        <v>55</v>
      </c>
      <c r="O101" s="47" t="s">
        <v>52</v>
      </c>
      <c r="P101" s="47" t="s">
        <v>19</v>
      </c>
      <c r="Q101" s="43" t="s">
        <v>62</v>
      </c>
      <c r="R101" s="49">
        <v>0</v>
      </c>
      <c r="S101" s="49">
        <v>5819.9047620000001</v>
      </c>
    </row>
    <row r="102" spans="2:19" ht="15.75" customHeight="1" x14ac:dyDescent="0.2">
      <c r="B102" s="51">
        <v>43872</v>
      </c>
      <c r="C102" s="43" t="s">
        <v>18</v>
      </c>
      <c r="D102" s="43" t="s">
        <v>26</v>
      </c>
      <c r="E102" s="43" t="s">
        <v>30</v>
      </c>
      <c r="F102" s="43" t="s">
        <v>60</v>
      </c>
      <c r="G102" s="44">
        <v>1890</v>
      </c>
      <c r="H102" s="45">
        <v>0</v>
      </c>
      <c r="I102" s="46"/>
      <c r="J102" s="46"/>
      <c r="K102" s="43"/>
      <c r="L102" s="44">
        <v>2</v>
      </c>
      <c r="M102" s="43" t="s">
        <v>21</v>
      </c>
      <c r="N102" s="43" t="s">
        <v>51</v>
      </c>
      <c r="O102" s="43" t="s">
        <v>52</v>
      </c>
      <c r="P102" s="43" t="s">
        <v>19</v>
      </c>
      <c r="Q102" s="43" t="s">
        <v>65</v>
      </c>
      <c r="R102" s="44">
        <v>3780</v>
      </c>
      <c r="S102" s="44">
        <v>0</v>
      </c>
    </row>
    <row r="103" spans="2:19" ht="15.75" customHeight="1" x14ac:dyDescent="0.2">
      <c r="B103" s="51">
        <v>43872</v>
      </c>
      <c r="C103" s="43" t="s">
        <v>18</v>
      </c>
      <c r="D103" s="43" t="s">
        <v>26</v>
      </c>
      <c r="E103" s="43" t="s">
        <v>30</v>
      </c>
      <c r="F103" s="47" t="s">
        <v>20</v>
      </c>
      <c r="G103" s="48">
        <v>0</v>
      </c>
      <c r="H103" s="49">
        <v>1890</v>
      </c>
      <c r="I103" s="50"/>
      <c r="J103" s="50"/>
      <c r="K103" s="47"/>
      <c r="L103" s="49">
        <v>2</v>
      </c>
      <c r="M103" s="47" t="s">
        <v>21</v>
      </c>
      <c r="N103" s="47" t="s">
        <v>55</v>
      </c>
      <c r="O103" s="47" t="s">
        <v>52</v>
      </c>
      <c r="P103" s="47" t="s">
        <v>19</v>
      </c>
      <c r="Q103" s="43" t="s">
        <v>65</v>
      </c>
      <c r="R103" s="49">
        <v>0</v>
      </c>
      <c r="S103" s="49">
        <v>3780</v>
      </c>
    </row>
    <row r="104" spans="2:19" ht="15.75" customHeight="1" x14ac:dyDescent="0.2">
      <c r="B104" s="51">
        <v>43872</v>
      </c>
      <c r="C104" s="43" t="s">
        <v>23</v>
      </c>
      <c r="D104" s="43" t="s">
        <v>26</v>
      </c>
      <c r="E104" s="43" t="s">
        <v>30</v>
      </c>
      <c r="F104" s="43" t="s">
        <v>60</v>
      </c>
      <c r="G104" s="44">
        <v>1960</v>
      </c>
      <c r="H104" s="45">
        <v>0</v>
      </c>
      <c r="I104" s="46"/>
      <c r="J104" s="46"/>
      <c r="K104" s="43"/>
      <c r="L104" s="44">
        <v>2</v>
      </c>
      <c r="M104" s="43" t="s">
        <v>21</v>
      </c>
      <c r="N104" s="43" t="s">
        <v>51</v>
      </c>
      <c r="O104" s="43" t="s">
        <v>52</v>
      </c>
      <c r="P104" s="43" t="s">
        <v>19</v>
      </c>
      <c r="Q104" s="43" t="s">
        <v>65</v>
      </c>
      <c r="R104" s="44">
        <v>3920</v>
      </c>
      <c r="S104" s="44">
        <v>0</v>
      </c>
    </row>
    <row r="105" spans="2:19" ht="15.75" customHeight="1" x14ac:dyDescent="0.2">
      <c r="B105" s="51">
        <v>43872</v>
      </c>
      <c r="C105" s="43" t="s">
        <v>23</v>
      </c>
      <c r="D105" s="43" t="s">
        <v>26</v>
      </c>
      <c r="E105" s="43" t="s">
        <v>30</v>
      </c>
      <c r="F105" s="47" t="s">
        <v>20</v>
      </c>
      <c r="G105" s="48">
        <v>0</v>
      </c>
      <c r="H105" s="49">
        <v>1960</v>
      </c>
      <c r="I105" s="50"/>
      <c r="J105" s="50"/>
      <c r="K105" s="47"/>
      <c r="L105" s="49">
        <v>2</v>
      </c>
      <c r="M105" s="47" t="s">
        <v>21</v>
      </c>
      <c r="N105" s="47" t="s">
        <v>55</v>
      </c>
      <c r="O105" s="47" t="s">
        <v>52</v>
      </c>
      <c r="P105" s="47" t="s">
        <v>19</v>
      </c>
      <c r="Q105" s="43" t="s">
        <v>65</v>
      </c>
      <c r="R105" s="49">
        <v>0</v>
      </c>
      <c r="S105" s="49">
        <v>3920</v>
      </c>
    </row>
    <row r="106" spans="2:19" ht="15.75" customHeight="1" x14ac:dyDescent="0.2">
      <c r="B106" s="51">
        <v>43873</v>
      </c>
      <c r="C106" s="43" t="s">
        <v>23</v>
      </c>
      <c r="D106" s="43" t="s">
        <v>30</v>
      </c>
      <c r="E106" s="43" t="s">
        <v>30</v>
      </c>
      <c r="F106" s="43" t="s">
        <v>20</v>
      </c>
      <c r="G106" s="44">
        <v>8359.86</v>
      </c>
      <c r="H106" s="45">
        <v>0</v>
      </c>
      <c r="I106" s="46"/>
      <c r="J106" s="46"/>
      <c r="K106" s="43"/>
      <c r="L106" s="44">
        <v>2.5</v>
      </c>
      <c r="M106" s="43" t="s">
        <v>21</v>
      </c>
      <c r="N106" s="43" t="s">
        <v>51</v>
      </c>
      <c r="O106" s="43" t="s">
        <v>52</v>
      </c>
      <c r="P106" s="43" t="s">
        <v>19</v>
      </c>
      <c r="Q106" s="43" t="s">
        <v>63</v>
      </c>
      <c r="R106" s="44">
        <v>20899.650000000001</v>
      </c>
      <c r="S106" s="44">
        <v>0</v>
      </c>
    </row>
    <row r="107" spans="2:19" ht="15.75" customHeight="1" x14ac:dyDescent="0.2">
      <c r="B107" s="51">
        <v>43873</v>
      </c>
      <c r="C107" s="43" t="s">
        <v>23</v>
      </c>
      <c r="D107" s="43" t="s">
        <v>30</v>
      </c>
      <c r="E107" s="43" t="s">
        <v>30</v>
      </c>
      <c r="F107" s="47" t="s">
        <v>60</v>
      </c>
      <c r="G107" s="48">
        <v>0</v>
      </c>
      <c r="H107" s="49">
        <v>8359.86</v>
      </c>
      <c r="I107" s="50"/>
      <c r="J107" s="50"/>
      <c r="K107" s="47"/>
      <c r="L107" s="49">
        <v>2.5</v>
      </c>
      <c r="M107" s="47" t="s">
        <v>21</v>
      </c>
      <c r="N107" s="47" t="s">
        <v>55</v>
      </c>
      <c r="O107" s="47" t="s">
        <v>52</v>
      </c>
      <c r="P107" s="47" t="s">
        <v>19</v>
      </c>
      <c r="Q107" s="43" t="s">
        <v>63</v>
      </c>
      <c r="R107" s="49">
        <v>0</v>
      </c>
      <c r="S107" s="49">
        <v>20899.650000000001</v>
      </c>
    </row>
    <row r="108" spans="2:19" ht="15.75" customHeight="1" x14ac:dyDescent="0.2">
      <c r="B108" s="51">
        <v>43873</v>
      </c>
      <c r="C108" s="43" t="s">
        <v>18</v>
      </c>
      <c r="D108" s="43" t="s">
        <v>30</v>
      </c>
      <c r="E108" s="43" t="s">
        <v>30</v>
      </c>
      <c r="F108" s="43" t="s">
        <v>20</v>
      </c>
      <c r="G108" s="44">
        <v>8235.14</v>
      </c>
      <c r="H108" s="45">
        <v>0</v>
      </c>
      <c r="I108" s="46"/>
      <c r="J108" s="46"/>
      <c r="K108" s="43"/>
      <c r="L108" s="44">
        <v>2.5</v>
      </c>
      <c r="M108" s="43" t="s">
        <v>21</v>
      </c>
      <c r="N108" s="43" t="s">
        <v>51</v>
      </c>
      <c r="O108" s="43" t="s">
        <v>52</v>
      </c>
      <c r="P108" s="43" t="s">
        <v>19</v>
      </c>
      <c r="Q108" s="43" t="s">
        <v>63</v>
      </c>
      <c r="R108" s="44">
        <v>20587.849999999999</v>
      </c>
      <c r="S108" s="44">
        <v>0</v>
      </c>
    </row>
    <row r="109" spans="2:19" ht="15.75" customHeight="1" x14ac:dyDescent="0.2">
      <c r="B109" s="42">
        <v>43873</v>
      </c>
      <c r="C109" s="43" t="s">
        <v>18</v>
      </c>
      <c r="D109" s="43" t="s">
        <v>30</v>
      </c>
      <c r="E109" s="43" t="s">
        <v>30</v>
      </c>
      <c r="F109" s="47" t="s">
        <v>60</v>
      </c>
      <c r="G109" s="48">
        <v>0</v>
      </c>
      <c r="H109" s="49">
        <v>8235.14</v>
      </c>
      <c r="I109" s="50"/>
      <c r="J109" s="50"/>
      <c r="K109" s="47"/>
      <c r="L109" s="49">
        <v>2.5</v>
      </c>
      <c r="M109" s="47" t="s">
        <v>21</v>
      </c>
      <c r="N109" s="47" t="s">
        <v>55</v>
      </c>
      <c r="O109" s="47" t="s">
        <v>52</v>
      </c>
      <c r="P109" s="47" t="s">
        <v>19</v>
      </c>
      <c r="Q109" s="43" t="s">
        <v>63</v>
      </c>
      <c r="R109" s="49">
        <v>0</v>
      </c>
      <c r="S109" s="49">
        <v>20587.849999999999</v>
      </c>
    </row>
    <row r="110" spans="2:19" ht="15.75" customHeight="1" x14ac:dyDescent="0.2">
      <c r="B110" s="42">
        <v>43873</v>
      </c>
      <c r="C110" s="43" t="s">
        <v>23</v>
      </c>
      <c r="D110" s="43" t="s">
        <v>30</v>
      </c>
      <c r="E110" s="43" t="s">
        <v>30</v>
      </c>
      <c r="F110" s="43" t="s">
        <v>60</v>
      </c>
      <c r="G110" s="44">
        <v>8359.86</v>
      </c>
      <c r="H110" s="45">
        <v>0</v>
      </c>
      <c r="I110" s="46"/>
      <c r="J110" s="46"/>
      <c r="K110" s="43"/>
      <c r="L110" s="44">
        <v>2</v>
      </c>
      <c r="M110" s="43" t="s">
        <v>21</v>
      </c>
      <c r="N110" s="43" t="s">
        <v>51</v>
      </c>
      <c r="O110" s="43" t="s">
        <v>52</v>
      </c>
      <c r="P110" s="43" t="s">
        <v>19</v>
      </c>
      <c r="Q110" s="43" t="s">
        <v>64</v>
      </c>
      <c r="R110" s="44">
        <v>16719.72</v>
      </c>
      <c r="S110" s="44">
        <v>0</v>
      </c>
    </row>
    <row r="111" spans="2:19" ht="15.75" customHeight="1" x14ac:dyDescent="0.2">
      <c r="B111" s="42">
        <v>43873</v>
      </c>
      <c r="C111" s="43" t="s">
        <v>23</v>
      </c>
      <c r="D111" s="43" t="s">
        <v>30</v>
      </c>
      <c r="E111" s="43" t="s">
        <v>30</v>
      </c>
      <c r="F111" s="47" t="s">
        <v>20</v>
      </c>
      <c r="G111" s="48">
        <v>0</v>
      </c>
      <c r="H111" s="49">
        <v>8359.86</v>
      </c>
      <c r="I111" s="50"/>
      <c r="J111" s="50"/>
      <c r="K111" s="47"/>
      <c r="L111" s="49">
        <v>2</v>
      </c>
      <c r="M111" s="47" t="s">
        <v>21</v>
      </c>
      <c r="N111" s="47" t="s">
        <v>55</v>
      </c>
      <c r="O111" s="47" t="s">
        <v>52</v>
      </c>
      <c r="P111" s="47" t="s">
        <v>19</v>
      </c>
      <c r="Q111" s="43" t="s">
        <v>64</v>
      </c>
      <c r="R111" s="49">
        <v>0</v>
      </c>
      <c r="S111" s="49">
        <v>16719.72</v>
      </c>
    </row>
    <row r="112" spans="2:19" ht="15.75" customHeight="1" x14ac:dyDescent="0.2">
      <c r="B112" s="42">
        <v>43873</v>
      </c>
      <c r="C112" s="43" t="s">
        <v>18</v>
      </c>
      <c r="D112" s="43" t="s">
        <v>30</v>
      </c>
      <c r="E112" s="43" t="s">
        <v>30</v>
      </c>
      <c r="F112" s="43" t="s">
        <v>60</v>
      </c>
      <c r="G112" s="44">
        <v>8235.14</v>
      </c>
      <c r="H112" s="45">
        <v>0</v>
      </c>
      <c r="I112" s="46"/>
      <c r="J112" s="46"/>
      <c r="K112" s="43"/>
      <c r="L112" s="44">
        <v>2</v>
      </c>
      <c r="M112" s="43" t="s">
        <v>21</v>
      </c>
      <c r="N112" s="43" t="s">
        <v>51</v>
      </c>
      <c r="O112" s="43" t="s">
        <v>52</v>
      </c>
      <c r="P112" s="43" t="s">
        <v>19</v>
      </c>
      <c r="Q112" s="43" t="s">
        <v>64</v>
      </c>
      <c r="R112" s="44">
        <v>16470.28</v>
      </c>
      <c r="S112" s="44">
        <v>0</v>
      </c>
    </row>
    <row r="113" spans="2:19" ht="15.75" customHeight="1" x14ac:dyDescent="0.2">
      <c r="B113" s="42">
        <v>43873</v>
      </c>
      <c r="C113" s="43" t="s">
        <v>18</v>
      </c>
      <c r="D113" s="43" t="s">
        <v>30</v>
      </c>
      <c r="E113" s="43" t="s">
        <v>30</v>
      </c>
      <c r="F113" s="47" t="s">
        <v>20</v>
      </c>
      <c r="G113" s="48">
        <v>0</v>
      </c>
      <c r="H113" s="49">
        <v>8235.14</v>
      </c>
      <c r="I113" s="50"/>
      <c r="J113" s="50"/>
      <c r="K113" s="47"/>
      <c r="L113" s="49">
        <v>2</v>
      </c>
      <c r="M113" s="47" t="s">
        <v>21</v>
      </c>
      <c r="N113" s="47" t="s">
        <v>55</v>
      </c>
      <c r="O113" s="47" t="s">
        <v>52</v>
      </c>
      <c r="P113" s="47" t="s">
        <v>19</v>
      </c>
      <c r="Q113" s="43" t="s">
        <v>64</v>
      </c>
      <c r="R113" s="49">
        <v>0</v>
      </c>
      <c r="S113" s="49">
        <v>16470.28</v>
      </c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66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IFERROR(__xludf.DUMMYFUNCTION("""COMPUTED_VALUE"""),"Modify Date")</f>
        <v>Modify Date</v>
      </c>
      <c r="D5" s="22" t="str">
        <f ca="1">IFERROR(__xludf.DUMMYFUNCTION("""COMPUTED_VALUE"""),"Entry Date")</f>
        <v>Entry Date</v>
      </c>
      <c r="E5" s="22" t="str">
        <f ca="1">IFERROR(__xludf.DUMMYFUNCTION("""COMPUTED_VALUE"""),"DR")</f>
        <v>DR</v>
      </c>
      <c r="F5" s="23" t="str">
        <f ca="1">IFERROR(__xludf.DUMMYFUNCTION("""COMPUTED_VALUE"""),"CR")</f>
        <v>CR</v>
      </c>
      <c r="G5" s="22" t="str">
        <f ca="1">IFERROR(__xludf.DUMMYFUNCTION("""COMPUTED_VALUE"""),"Fx Rate")</f>
        <v>Fx Rate</v>
      </c>
      <c r="H5" s="22" t="str">
        <f ca="1">IFERROR(__xludf.DUMMYFUNCTION("""COMPUTED_VALUE"""),"FX Conversion Method Operator")</f>
        <v>FX Conversion Method Operator</v>
      </c>
      <c r="I5" s="22" t="str">
        <f ca="1">IFERROR(__xludf.DUMMYFUNCTION("""COMPUTED_VALUE"""),"Account Side")</f>
        <v>Account Side</v>
      </c>
      <c r="J5" s="22" t="str">
        <f ca="1">IFERROR(__xludf.DUMMYFUNCTION("""COMPUTED_VALUE"""),"TransactionSource")</f>
        <v>TransactionSource</v>
      </c>
      <c r="K5" s="22" t="str">
        <f ca="1">IFERROR(__xludf.DUMMYFUNCTION("""COMPUTED_VALUE"""),"Currency")</f>
        <v>Currency</v>
      </c>
      <c r="L5" s="22" t="str">
        <f ca="1">IFERROR(__xludf.DUMMYFUNCTION("""COMPUTED_VALUE"""),"Base Currency")</f>
        <v>Base Currency</v>
      </c>
      <c r="M5" s="22" t="str">
        <f ca="1">IFERROR(__xludf.DUMMYFUNCTION("""COMPUTED_VALUE"""),"Symbol")</f>
        <v>Symbol</v>
      </c>
      <c r="N5" s="22" t="str">
        <f ca="1">IFERROR(__xludf.DUMMYFUNCTION("""COMPUTED_VALUE"""),"Description")</f>
        <v>Description</v>
      </c>
      <c r="O5" s="22" t="str">
        <f ca="1">IFERROR(__xludf.DUMMYFUNCTION("""COMPUTED_VALUE"""),"DR (Base)")</f>
        <v>DR (Base)</v>
      </c>
      <c r="P5" s="22" t="str">
        <f ca="1">IFERROR(__xludf.DUMMYFUNCTION("""COMPUTED_VALUE"""),"CR (Base)")</f>
        <v>CR (Base)</v>
      </c>
      <c r="Q5" s="22" t="str">
        <f ca="1">IFERROR(__xludf.DUMMYFUNCTION("""COMPUTED_VALUE"""),"Cash Sub-Account")</f>
        <v>Cash Sub-Account</v>
      </c>
      <c r="R5" s="22" t="str">
        <f ca="1">IFERROR(__xludf.DUMMYFUNCTION("""COMPUTED_VALUE"""),"Account")</f>
        <v>Account</v>
      </c>
      <c r="S5" s="22" t="str">
        <f ca="1">IFERROR(__xludf.DUMMYFUNCTION("""COMPUTED_VALUE"""),"TaxLotId")</f>
        <v>TaxLotId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51">
        <v>43871</v>
      </c>
      <c r="C6" s="46"/>
      <c r="D6" s="46"/>
      <c r="E6" s="44">
        <v>4.9523809520000004</v>
      </c>
      <c r="F6" s="45">
        <v>0</v>
      </c>
      <c r="G6" s="44">
        <v>1.1000000000000001</v>
      </c>
      <c r="H6" s="43" t="s">
        <v>21</v>
      </c>
      <c r="I6" s="43" t="s">
        <v>51</v>
      </c>
      <c r="J6" s="43" t="s">
        <v>67</v>
      </c>
      <c r="K6" s="43" t="s">
        <v>30</v>
      </c>
      <c r="L6" s="43" t="s">
        <v>19</v>
      </c>
      <c r="M6" s="43" t="s">
        <v>26</v>
      </c>
      <c r="N6" s="43"/>
      <c r="O6" s="44">
        <v>5.447619048</v>
      </c>
      <c r="P6" s="44">
        <v>0</v>
      </c>
      <c r="Q6" s="43" t="s">
        <v>58</v>
      </c>
      <c r="R6" s="43" t="s">
        <v>18</v>
      </c>
    </row>
    <row r="7" spans="1:154" ht="15.75" customHeight="1" x14ac:dyDescent="0.2">
      <c r="A7" s="5"/>
      <c r="B7" s="51">
        <v>43871</v>
      </c>
      <c r="C7" s="50"/>
      <c r="D7" s="50"/>
      <c r="E7" s="48">
        <v>0</v>
      </c>
      <c r="F7" s="49">
        <v>4.9523809520000004</v>
      </c>
      <c r="G7" s="49">
        <v>1.1000000000000001</v>
      </c>
      <c r="H7" s="47" t="s">
        <v>21</v>
      </c>
      <c r="I7" s="47" t="s">
        <v>55</v>
      </c>
      <c r="J7" s="47" t="s">
        <v>67</v>
      </c>
      <c r="K7" s="43" t="s">
        <v>30</v>
      </c>
      <c r="L7" s="47" t="s">
        <v>19</v>
      </c>
      <c r="M7" s="43" t="s">
        <v>26</v>
      </c>
      <c r="N7" s="43"/>
      <c r="O7" s="49">
        <v>0</v>
      </c>
      <c r="P7" s="49">
        <v>5.447619048</v>
      </c>
      <c r="Q7" s="47" t="s">
        <v>20</v>
      </c>
      <c r="R7" s="43" t="s">
        <v>18</v>
      </c>
    </row>
    <row r="8" spans="1:154" ht="15.75" customHeight="1" x14ac:dyDescent="0.2">
      <c r="A8" s="5"/>
      <c r="B8" s="51">
        <v>43871</v>
      </c>
      <c r="C8" s="46"/>
      <c r="D8" s="46"/>
      <c r="E8" s="44">
        <v>3640</v>
      </c>
      <c r="F8" s="45">
        <v>0</v>
      </c>
      <c r="G8" s="44">
        <v>1.1000000000000001</v>
      </c>
      <c r="H8" s="43" t="s">
        <v>21</v>
      </c>
      <c r="I8" s="43" t="s">
        <v>51</v>
      </c>
      <c r="J8" s="43" t="s">
        <v>67</v>
      </c>
      <c r="K8" s="43" t="s">
        <v>30</v>
      </c>
      <c r="L8" s="43" t="s">
        <v>19</v>
      </c>
      <c r="M8" s="43" t="s">
        <v>26</v>
      </c>
      <c r="N8" s="43"/>
      <c r="O8" s="44">
        <v>4004</v>
      </c>
      <c r="P8" s="44">
        <v>0</v>
      </c>
      <c r="Q8" s="43" t="s">
        <v>20</v>
      </c>
      <c r="R8" s="43" t="s">
        <v>18</v>
      </c>
    </row>
    <row r="9" spans="1:154" ht="15.75" customHeight="1" x14ac:dyDescent="0.2">
      <c r="A9" s="5"/>
      <c r="B9" s="51">
        <v>43871</v>
      </c>
      <c r="C9" s="50"/>
      <c r="D9" s="50"/>
      <c r="E9" s="48">
        <v>0</v>
      </c>
      <c r="F9" s="49">
        <v>3640</v>
      </c>
      <c r="G9" s="49">
        <v>1.1000000000000001</v>
      </c>
      <c r="H9" s="47" t="s">
        <v>21</v>
      </c>
      <c r="I9" s="47" t="s">
        <v>55</v>
      </c>
      <c r="J9" s="47" t="s">
        <v>67</v>
      </c>
      <c r="K9" s="43" t="s">
        <v>30</v>
      </c>
      <c r="L9" s="47" t="s">
        <v>19</v>
      </c>
      <c r="M9" s="43" t="s">
        <v>26</v>
      </c>
      <c r="N9" s="43"/>
      <c r="O9" s="49">
        <v>0</v>
      </c>
      <c r="P9" s="49">
        <v>4004</v>
      </c>
      <c r="Q9" s="47" t="s">
        <v>58</v>
      </c>
      <c r="R9" s="43" t="s">
        <v>18</v>
      </c>
    </row>
    <row r="10" spans="1:154" ht="15.75" customHeight="1" x14ac:dyDescent="0.2">
      <c r="A10" s="5"/>
      <c r="B10" s="51">
        <v>43871</v>
      </c>
      <c r="C10" s="46"/>
      <c r="D10" s="46"/>
      <c r="E10" s="44">
        <v>5.0476190479999996</v>
      </c>
      <c r="F10" s="45">
        <v>0</v>
      </c>
      <c r="G10" s="44">
        <v>1.1000000000000001</v>
      </c>
      <c r="H10" s="43" t="s">
        <v>21</v>
      </c>
      <c r="I10" s="43" t="s">
        <v>51</v>
      </c>
      <c r="J10" s="43" t="s">
        <v>67</v>
      </c>
      <c r="K10" s="43" t="s">
        <v>30</v>
      </c>
      <c r="L10" s="43" t="s">
        <v>19</v>
      </c>
      <c r="M10" s="43" t="s">
        <v>26</v>
      </c>
      <c r="N10" s="43"/>
      <c r="O10" s="44">
        <v>5.552380952</v>
      </c>
      <c r="P10" s="44">
        <v>0</v>
      </c>
      <c r="Q10" s="43" t="s">
        <v>58</v>
      </c>
      <c r="R10" s="43" t="s">
        <v>23</v>
      </c>
    </row>
    <row r="11" spans="1:154" ht="15.75" customHeight="1" x14ac:dyDescent="0.2">
      <c r="A11" s="5"/>
      <c r="B11" s="51">
        <v>43871</v>
      </c>
      <c r="C11" s="50"/>
      <c r="D11" s="50"/>
      <c r="E11" s="48">
        <v>0</v>
      </c>
      <c r="F11" s="49">
        <v>5.0476190479999996</v>
      </c>
      <c r="G11" s="49">
        <v>1.1000000000000001</v>
      </c>
      <c r="H11" s="47" t="s">
        <v>21</v>
      </c>
      <c r="I11" s="47" t="s">
        <v>55</v>
      </c>
      <c r="J11" s="47" t="s">
        <v>67</v>
      </c>
      <c r="K11" s="43" t="s">
        <v>30</v>
      </c>
      <c r="L11" s="47" t="s">
        <v>19</v>
      </c>
      <c r="M11" s="43" t="s">
        <v>26</v>
      </c>
      <c r="N11" s="43"/>
      <c r="O11" s="49">
        <v>0</v>
      </c>
      <c r="P11" s="49">
        <v>5.552380952</v>
      </c>
      <c r="Q11" s="47" t="s">
        <v>20</v>
      </c>
      <c r="R11" s="43" t="s">
        <v>23</v>
      </c>
    </row>
    <row r="12" spans="1:154" ht="15.75" customHeight="1" x14ac:dyDescent="0.2">
      <c r="A12" s="5"/>
      <c r="B12" s="51">
        <v>43871</v>
      </c>
      <c r="C12" s="46"/>
      <c r="D12" s="46"/>
      <c r="E12" s="44">
        <v>3710</v>
      </c>
      <c r="F12" s="45">
        <v>0</v>
      </c>
      <c r="G12" s="44">
        <v>1.1000000000000001</v>
      </c>
      <c r="H12" s="43" t="s">
        <v>21</v>
      </c>
      <c r="I12" s="43" t="s">
        <v>51</v>
      </c>
      <c r="J12" s="43" t="s">
        <v>67</v>
      </c>
      <c r="K12" s="43" t="s">
        <v>30</v>
      </c>
      <c r="L12" s="43" t="s">
        <v>19</v>
      </c>
      <c r="M12" s="43" t="s">
        <v>26</v>
      </c>
      <c r="N12" s="43"/>
      <c r="O12" s="44">
        <v>4081</v>
      </c>
      <c r="P12" s="44">
        <v>0</v>
      </c>
      <c r="Q12" s="43" t="s">
        <v>20</v>
      </c>
      <c r="R12" s="43" t="s">
        <v>23</v>
      </c>
    </row>
    <row r="13" spans="1:154" ht="15.75" customHeight="1" x14ac:dyDescent="0.2">
      <c r="A13" s="5"/>
      <c r="B13" s="51">
        <v>43871</v>
      </c>
      <c r="C13" s="50"/>
      <c r="D13" s="50"/>
      <c r="E13" s="48">
        <v>0</v>
      </c>
      <c r="F13" s="49">
        <v>3710</v>
      </c>
      <c r="G13" s="49">
        <v>1.1000000000000001</v>
      </c>
      <c r="H13" s="47" t="s">
        <v>21</v>
      </c>
      <c r="I13" s="47" t="s">
        <v>55</v>
      </c>
      <c r="J13" s="47" t="s">
        <v>67</v>
      </c>
      <c r="K13" s="43" t="s">
        <v>30</v>
      </c>
      <c r="L13" s="47" t="s">
        <v>19</v>
      </c>
      <c r="M13" s="43" t="s">
        <v>26</v>
      </c>
      <c r="N13" s="43"/>
      <c r="O13" s="49">
        <v>0</v>
      </c>
      <c r="P13" s="49">
        <v>4081</v>
      </c>
      <c r="Q13" s="47" t="s">
        <v>58</v>
      </c>
      <c r="R13" s="43" t="s">
        <v>23</v>
      </c>
    </row>
    <row r="14" spans="1:154" ht="15.75" customHeight="1" x14ac:dyDescent="0.2">
      <c r="A14" s="5"/>
      <c r="B14" s="51">
        <v>43872</v>
      </c>
      <c r="C14" s="46"/>
      <c r="D14" s="42"/>
      <c r="E14" s="44">
        <v>4.9523809520000004</v>
      </c>
      <c r="F14" s="45">
        <v>0</v>
      </c>
      <c r="G14" s="44">
        <v>1.1000000000000001</v>
      </c>
      <c r="H14" s="43" t="s">
        <v>21</v>
      </c>
      <c r="I14" s="43" t="s">
        <v>51</v>
      </c>
      <c r="J14" s="43" t="s">
        <v>67</v>
      </c>
      <c r="K14" s="43" t="s">
        <v>30</v>
      </c>
      <c r="L14" s="43" t="s">
        <v>19</v>
      </c>
      <c r="M14" s="43" t="s">
        <v>26</v>
      </c>
      <c r="N14" s="43"/>
      <c r="O14" s="44">
        <v>5.447619048</v>
      </c>
      <c r="P14" s="44">
        <v>0</v>
      </c>
      <c r="Q14" s="43" t="s">
        <v>58</v>
      </c>
      <c r="R14" s="43" t="s">
        <v>18</v>
      </c>
    </row>
    <row r="15" spans="1:154" ht="15.75" customHeight="1" x14ac:dyDescent="0.2">
      <c r="A15" s="5"/>
      <c r="B15" s="51">
        <v>43872</v>
      </c>
      <c r="C15" s="50"/>
      <c r="D15" s="69"/>
      <c r="E15" s="48">
        <v>0</v>
      </c>
      <c r="F15" s="49">
        <v>4.9523809520000004</v>
      </c>
      <c r="G15" s="49">
        <v>1.1000000000000001</v>
      </c>
      <c r="H15" s="47" t="s">
        <v>21</v>
      </c>
      <c r="I15" s="47" t="s">
        <v>55</v>
      </c>
      <c r="J15" s="47" t="s">
        <v>67</v>
      </c>
      <c r="K15" s="43" t="s">
        <v>30</v>
      </c>
      <c r="L15" s="47" t="s">
        <v>19</v>
      </c>
      <c r="M15" s="43" t="s">
        <v>26</v>
      </c>
      <c r="N15" s="43"/>
      <c r="O15" s="49">
        <v>0</v>
      </c>
      <c r="P15" s="49">
        <v>5.447619048</v>
      </c>
      <c r="Q15" s="47" t="s">
        <v>20</v>
      </c>
      <c r="R15" s="43" t="s">
        <v>18</v>
      </c>
    </row>
    <row r="16" spans="1:154" ht="15.75" customHeight="1" x14ac:dyDescent="0.2">
      <c r="A16" s="5"/>
      <c r="B16" s="42">
        <v>43872</v>
      </c>
      <c r="C16" s="46"/>
      <c r="D16" s="42"/>
      <c r="E16" s="44">
        <v>3640</v>
      </c>
      <c r="F16" s="45">
        <v>0</v>
      </c>
      <c r="G16" s="44">
        <v>1.1000000000000001</v>
      </c>
      <c r="H16" s="43" t="s">
        <v>21</v>
      </c>
      <c r="I16" s="43" t="s">
        <v>51</v>
      </c>
      <c r="J16" s="43" t="s">
        <v>67</v>
      </c>
      <c r="K16" s="43" t="s">
        <v>30</v>
      </c>
      <c r="L16" s="43" t="s">
        <v>19</v>
      </c>
      <c r="M16" s="43" t="s">
        <v>26</v>
      </c>
      <c r="N16" s="43"/>
      <c r="O16" s="44">
        <v>4004</v>
      </c>
      <c r="P16" s="44">
        <v>0</v>
      </c>
      <c r="Q16" s="43" t="s">
        <v>20</v>
      </c>
      <c r="R16" s="43" t="s">
        <v>18</v>
      </c>
    </row>
    <row r="17" spans="1:18" ht="15.75" customHeight="1" x14ac:dyDescent="0.2">
      <c r="A17" s="5"/>
      <c r="B17" s="42">
        <v>43872</v>
      </c>
      <c r="C17" s="50"/>
      <c r="D17" s="69"/>
      <c r="E17" s="48">
        <v>0</v>
      </c>
      <c r="F17" s="49">
        <v>3640</v>
      </c>
      <c r="G17" s="49">
        <v>1.1000000000000001</v>
      </c>
      <c r="H17" s="47" t="s">
        <v>21</v>
      </c>
      <c r="I17" s="47" t="s">
        <v>55</v>
      </c>
      <c r="J17" s="47" t="s">
        <v>67</v>
      </c>
      <c r="K17" s="43" t="s">
        <v>30</v>
      </c>
      <c r="L17" s="47" t="s">
        <v>19</v>
      </c>
      <c r="M17" s="43" t="s">
        <v>26</v>
      </c>
      <c r="N17" s="43"/>
      <c r="O17" s="49">
        <v>0</v>
      </c>
      <c r="P17" s="49">
        <v>4004</v>
      </c>
      <c r="Q17" s="47" t="s">
        <v>58</v>
      </c>
      <c r="R17" s="43" t="s">
        <v>18</v>
      </c>
    </row>
    <row r="18" spans="1:18" ht="15.75" customHeight="1" x14ac:dyDescent="0.2">
      <c r="A18" s="5"/>
      <c r="B18" s="42">
        <v>43872</v>
      </c>
      <c r="C18" s="46"/>
      <c r="D18" s="42"/>
      <c r="E18" s="44">
        <v>5.0476190479999996</v>
      </c>
      <c r="F18" s="45">
        <v>0</v>
      </c>
      <c r="G18" s="44">
        <v>1.1000000000000001</v>
      </c>
      <c r="H18" s="43" t="s">
        <v>21</v>
      </c>
      <c r="I18" s="43" t="s">
        <v>51</v>
      </c>
      <c r="J18" s="43" t="s">
        <v>67</v>
      </c>
      <c r="K18" s="43" t="s">
        <v>30</v>
      </c>
      <c r="L18" s="43" t="s">
        <v>19</v>
      </c>
      <c r="M18" s="43" t="s">
        <v>26</v>
      </c>
      <c r="N18" s="43"/>
      <c r="O18" s="44">
        <v>5.552380952</v>
      </c>
      <c r="P18" s="44">
        <v>0</v>
      </c>
      <c r="Q18" s="43" t="s">
        <v>58</v>
      </c>
      <c r="R18" s="43" t="s">
        <v>23</v>
      </c>
    </row>
    <row r="19" spans="1:18" ht="15.75" customHeight="1" x14ac:dyDescent="0.2">
      <c r="A19" s="5"/>
      <c r="B19" s="42">
        <v>43872</v>
      </c>
      <c r="C19" s="50"/>
      <c r="D19" s="69"/>
      <c r="E19" s="48">
        <v>0</v>
      </c>
      <c r="F19" s="49">
        <v>5.0476190479999996</v>
      </c>
      <c r="G19" s="49">
        <v>1.1000000000000001</v>
      </c>
      <c r="H19" s="47" t="s">
        <v>21</v>
      </c>
      <c r="I19" s="47" t="s">
        <v>55</v>
      </c>
      <c r="J19" s="47" t="s">
        <v>67</v>
      </c>
      <c r="K19" s="43" t="s">
        <v>30</v>
      </c>
      <c r="L19" s="47" t="s">
        <v>19</v>
      </c>
      <c r="M19" s="43" t="s">
        <v>26</v>
      </c>
      <c r="N19" s="43"/>
      <c r="O19" s="49">
        <v>0</v>
      </c>
      <c r="P19" s="49">
        <v>5.552380952</v>
      </c>
      <c r="Q19" s="47" t="s">
        <v>20</v>
      </c>
      <c r="R19" s="43" t="s">
        <v>23</v>
      </c>
    </row>
    <row r="20" spans="1:18" ht="15.75" customHeight="1" x14ac:dyDescent="0.2">
      <c r="A20" s="5"/>
      <c r="B20" s="42">
        <v>43872</v>
      </c>
      <c r="C20" s="46"/>
      <c r="D20" s="42"/>
      <c r="E20" s="44">
        <v>3710</v>
      </c>
      <c r="F20" s="45">
        <v>0</v>
      </c>
      <c r="G20" s="44">
        <v>1.1000000000000001</v>
      </c>
      <c r="H20" s="43" t="s">
        <v>21</v>
      </c>
      <c r="I20" s="43" t="s">
        <v>51</v>
      </c>
      <c r="J20" s="43" t="s">
        <v>67</v>
      </c>
      <c r="K20" s="43" t="s">
        <v>30</v>
      </c>
      <c r="L20" s="43" t="s">
        <v>19</v>
      </c>
      <c r="M20" s="43" t="s">
        <v>26</v>
      </c>
      <c r="N20" s="43"/>
      <c r="O20" s="44">
        <v>4081</v>
      </c>
      <c r="P20" s="44">
        <v>0</v>
      </c>
      <c r="Q20" s="43" t="s">
        <v>20</v>
      </c>
      <c r="R20" s="43" t="s">
        <v>23</v>
      </c>
    </row>
    <row r="21" spans="1:18" ht="15.75" customHeight="1" x14ac:dyDescent="0.2">
      <c r="A21" s="5"/>
      <c r="B21" s="42">
        <v>43872</v>
      </c>
      <c r="C21" s="50"/>
      <c r="D21" s="69"/>
      <c r="E21" s="48">
        <v>0</v>
      </c>
      <c r="F21" s="49">
        <v>3710</v>
      </c>
      <c r="G21" s="49">
        <v>1.1000000000000001</v>
      </c>
      <c r="H21" s="47" t="s">
        <v>21</v>
      </c>
      <c r="I21" s="47" t="s">
        <v>55</v>
      </c>
      <c r="J21" s="47" t="s">
        <v>67</v>
      </c>
      <c r="K21" s="43" t="s">
        <v>30</v>
      </c>
      <c r="L21" s="47" t="s">
        <v>19</v>
      </c>
      <c r="M21" s="43" t="s">
        <v>26</v>
      </c>
      <c r="N21" s="43"/>
      <c r="O21" s="49">
        <v>0</v>
      </c>
      <c r="P21" s="49">
        <v>4081</v>
      </c>
      <c r="Q21" s="47" t="s">
        <v>58</v>
      </c>
      <c r="R21" s="43" t="s">
        <v>23</v>
      </c>
    </row>
    <row r="22" spans="1:18" ht="15.75" customHeight="1" x14ac:dyDescent="0.2">
      <c r="A22" s="5"/>
      <c r="B22" s="42">
        <v>43872</v>
      </c>
      <c r="C22" s="46"/>
      <c r="D22" s="42"/>
      <c r="E22" s="44">
        <v>4.9523809520000004</v>
      </c>
      <c r="F22" s="45">
        <v>0</v>
      </c>
      <c r="G22" s="44">
        <v>1.1000000000000001</v>
      </c>
      <c r="H22" s="43" t="s">
        <v>21</v>
      </c>
      <c r="I22" s="43" t="s">
        <v>51</v>
      </c>
      <c r="J22" s="43" t="s">
        <v>67</v>
      </c>
      <c r="K22" s="43" t="s">
        <v>30</v>
      </c>
      <c r="L22" s="43" t="s">
        <v>19</v>
      </c>
      <c r="M22" s="43" t="s">
        <v>39</v>
      </c>
      <c r="N22" s="43"/>
      <c r="O22" s="44">
        <v>5.447619048</v>
      </c>
      <c r="P22" s="44">
        <v>0</v>
      </c>
      <c r="Q22" s="43" t="s">
        <v>58</v>
      </c>
      <c r="R22" s="43" t="s">
        <v>18</v>
      </c>
    </row>
    <row r="23" spans="1:18" ht="15.75" customHeight="1" x14ac:dyDescent="0.2">
      <c r="A23" s="5"/>
      <c r="B23" s="42">
        <v>43872</v>
      </c>
      <c r="C23" s="50"/>
      <c r="D23" s="69"/>
      <c r="E23" s="48">
        <v>0</v>
      </c>
      <c r="F23" s="49">
        <v>4.9523809520000004</v>
      </c>
      <c r="G23" s="49">
        <v>1.1000000000000001</v>
      </c>
      <c r="H23" s="47" t="s">
        <v>21</v>
      </c>
      <c r="I23" s="47" t="s">
        <v>55</v>
      </c>
      <c r="J23" s="47" t="s">
        <v>67</v>
      </c>
      <c r="K23" s="43" t="s">
        <v>30</v>
      </c>
      <c r="L23" s="47" t="s">
        <v>19</v>
      </c>
      <c r="M23" s="43" t="s">
        <v>39</v>
      </c>
      <c r="N23" s="43"/>
      <c r="O23" s="49">
        <v>0</v>
      </c>
      <c r="P23" s="49">
        <v>5.447619048</v>
      </c>
      <c r="Q23" s="47" t="s">
        <v>20</v>
      </c>
      <c r="R23" s="43" t="s">
        <v>18</v>
      </c>
    </row>
    <row r="24" spans="1:18" ht="15.75" customHeight="1" x14ac:dyDescent="0.2">
      <c r="A24" s="5"/>
      <c r="B24" s="42">
        <v>43872</v>
      </c>
      <c r="C24" s="46"/>
      <c r="D24" s="42"/>
      <c r="E24" s="44">
        <v>2860</v>
      </c>
      <c r="F24" s="45">
        <v>0</v>
      </c>
      <c r="G24" s="44">
        <v>1.1000000000000001</v>
      </c>
      <c r="H24" s="43" t="s">
        <v>21</v>
      </c>
      <c r="I24" s="43" t="s">
        <v>51</v>
      </c>
      <c r="J24" s="43" t="s">
        <v>67</v>
      </c>
      <c r="K24" s="43" t="s">
        <v>30</v>
      </c>
      <c r="L24" s="43" t="s">
        <v>19</v>
      </c>
      <c r="M24" s="43" t="s">
        <v>39</v>
      </c>
      <c r="N24" s="43"/>
      <c r="O24" s="44">
        <v>3146</v>
      </c>
      <c r="P24" s="44">
        <v>0</v>
      </c>
      <c r="Q24" s="43" t="s">
        <v>20</v>
      </c>
      <c r="R24" s="43" t="s">
        <v>18</v>
      </c>
    </row>
    <row r="25" spans="1:18" ht="15.75" customHeight="1" x14ac:dyDescent="0.2">
      <c r="A25" s="5"/>
      <c r="B25" s="42">
        <v>43872</v>
      </c>
      <c r="C25" s="50"/>
      <c r="D25" s="69"/>
      <c r="E25" s="48">
        <v>0</v>
      </c>
      <c r="F25" s="49">
        <v>2860</v>
      </c>
      <c r="G25" s="49">
        <v>1.1000000000000001</v>
      </c>
      <c r="H25" s="47" t="s">
        <v>21</v>
      </c>
      <c r="I25" s="47" t="s">
        <v>55</v>
      </c>
      <c r="J25" s="47" t="s">
        <v>67</v>
      </c>
      <c r="K25" s="43" t="s">
        <v>30</v>
      </c>
      <c r="L25" s="47" t="s">
        <v>19</v>
      </c>
      <c r="M25" s="43" t="s">
        <v>39</v>
      </c>
      <c r="N25" s="43"/>
      <c r="O25" s="49">
        <v>0</v>
      </c>
      <c r="P25" s="49">
        <v>3146</v>
      </c>
      <c r="Q25" s="47" t="s">
        <v>58</v>
      </c>
      <c r="R25" s="43" t="s">
        <v>18</v>
      </c>
    </row>
    <row r="26" spans="1:18" ht="15.75" customHeight="1" x14ac:dyDescent="0.2">
      <c r="A26" s="5"/>
      <c r="B26" s="42">
        <v>43872</v>
      </c>
      <c r="C26" s="46"/>
      <c r="D26" s="42"/>
      <c r="E26" s="44">
        <v>5.0476190479999996</v>
      </c>
      <c r="F26" s="45">
        <v>0</v>
      </c>
      <c r="G26" s="44">
        <v>1.1000000000000001</v>
      </c>
      <c r="H26" s="43" t="s">
        <v>21</v>
      </c>
      <c r="I26" s="43" t="s">
        <v>51</v>
      </c>
      <c r="J26" s="43" t="s">
        <v>67</v>
      </c>
      <c r="K26" s="43" t="s">
        <v>30</v>
      </c>
      <c r="L26" s="43" t="s">
        <v>19</v>
      </c>
      <c r="M26" s="43" t="s">
        <v>39</v>
      </c>
      <c r="N26" s="43"/>
      <c r="O26" s="44">
        <v>5.552380952</v>
      </c>
      <c r="P26" s="44">
        <v>0</v>
      </c>
      <c r="Q26" s="43" t="s">
        <v>58</v>
      </c>
      <c r="R26" s="43" t="s">
        <v>23</v>
      </c>
    </row>
    <row r="27" spans="1:18" ht="15.75" customHeight="1" x14ac:dyDescent="0.2">
      <c r="B27" s="42">
        <v>43872</v>
      </c>
      <c r="C27" s="50"/>
      <c r="D27" s="69"/>
      <c r="E27" s="48">
        <v>0</v>
      </c>
      <c r="F27" s="49">
        <v>5.0476190479999996</v>
      </c>
      <c r="G27" s="49">
        <v>1.1000000000000001</v>
      </c>
      <c r="H27" s="47" t="s">
        <v>21</v>
      </c>
      <c r="I27" s="47" t="s">
        <v>55</v>
      </c>
      <c r="J27" s="47" t="s">
        <v>67</v>
      </c>
      <c r="K27" s="43" t="s">
        <v>30</v>
      </c>
      <c r="L27" s="47" t="s">
        <v>19</v>
      </c>
      <c r="M27" s="43" t="s">
        <v>39</v>
      </c>
      <c r="N27" s="43"/>
      <c r="O27" s="49">
        <v>0</v>
      </c>
      <c r="P27" s="49">
        <v>5.552380952</v>
      </c>
      <c r="Q27" s="47" t="s">
        <v>20</v>
      </c>
      <c r="R27" s="43" t="s">
        <v>23</v>
      </c>
    </row>
    <row r="28" spans="1:18" ht="15.75" customHeight="1" x14ac:dyDescent="0.2">
      <c r="B28" s="42">
        <v>43872</v>
      </c>
      <c r="C28" s="46"/>
      <c r="D28" s="42"/>
      <c r="E28" s="44">
        <v>2915</v>
      </c>
      <c r="F28" s="45">
        <v>0</v>
      </c>
      <c r="G28" s="44">
        <v>1.1000000000000001</v>
      </c>
      <c r="H28" s="43" t="s">
        <v>21</v>
      </c>
      <c r="I28" s="43" t="s">
        <v>51</v>
      </c>
      <c r="J28" s="43" t="s">
        <v>67</v>
      </c>
      <c r="K28" s="43" t="s">
        <v>30</v>
      </c>
      <c r="L28" s="43" t="s">
        <v>19</v>
      </c>
      <c r="M28" s="43" t="s">
        <v>39</v>
      </c>
      <c r="N28" s="43"/>
      <c r="O28" s="44">
        <v>3206.5</v>
      </c>
      <c r="P28" s="44">
        <v>0</v>
      </c>
      <c r="Q28" s="43" t="s">
        <v>20</v>
      </c>
      <c r="R28" s="43" t="s">
        <v>23</v>
      </c>
    </row>
    <row r="29" spans="1:18" ht="15.75" customHeight="1" x14ac:dyDescent="0.2">
      <c r="B29" s="42">
        <v>43872</v>
      </c>
      <c r="C29" s="50"/>
      <c r="D29" s="69"/>
      <c r="E29" s="48">
        <v>0</v>
      </c>
      <c r="F29" s="49">
        <v>2915</v>
      </c>
      <c r="G29" s="49">
        <v>1.1000000000000001</v>
      </c>
      <c r="H29" s="47" t="s">
        <v>21</v>
      </c>
      <c r="I29" s="47" t="s">
        <v>55</v>
      </c>
      <c r="J29" s="47" t="s">
        <v>67</v>
      </c>
      <c r="K29" s="43" t="s">
        <v>30</v>
      </c>
      <c r="L29" s="47" t="s">
        <v>19</v>
      </c>
      <c r="M29" s="43" t="s">
        <v>39</v>
      </c>
      <c r="N29" s="43"/>
      <c r="O29" s="49">
        <v>0</v>
      </c>
      <c r="P29" s="49">
        <v>3206.5</v>
      </c>
      <c r="Q29" s="47" t="s">
        <v>58</v>
      </c>
      <c r="R29" s="43" t="s">
        <v>23</v>
      </c>
    </row>
    <row r="30" spans="1:18" ht="15.75" customHeight="1" x14ac:dyDescent="0.2">
      <c r="B30" s="42">
        <v>43872</v>
      </c>
      <c r="C30" s="46"/>
      <c r="D30" s="42"/>
      <c r="E30" s="44">
        <v>1890</v>
      </c>
      <c r="F30" s="45">
        <v>0</v>
      </c>
      <c r="G30" s="44">
        <v>1.1000000000000001</v>
      </c>
      <c r="H30" s="43" t="s">
        <v>21</v>
      </c>
      <c r="I30" s="43" t="s">
        <v>51</v>
      </c>
      <c r="J30" s="43" t="s">
        <v>67</v>
      </c>
      <c r="K30" s="43" t="s">
        <v>30</v>
      </c>
      <c r="L30" s="43" t="s">
        <v>19</v>
      </c>
      <c r="M30" s="43" t="s">
        <v>26</v>
      </c>
      <c r="N30" s="43"/>
      <c r="O30" s="44">
        <v>2079</v>
      </c>
      <c r="P30" s="44">
        <v>0</v>
      </c>
      <c r="Q30" s="43" t="s">
        <v>58</v>
      </c>
      <c r="R30" s="43" t="s">
        <v>18</v>
      </c>
    </row>
    <row r="31" spans="1:18" ht="15.75" customHeight="1" x14ac:dyDescent="0.2">
      <c r="B31" s="42">
        <v>43872</v>
      </c>
      <c r="C31" s="50"/>
      <c r="D31" s="69"/>
      <c r="E31" s="48">
        <v>0</v>
      </c>
      <c r="F31" s="49">
        <v>1890</v>
      </c>
      <c r="G31" s="49">
        <v>1.1000000000000001</v>
      </c>
      <c r="H31" s="47" t="s">
        <v>21</v>
      </c>
      <c r="I31" s="47" t="s">
        <v>55</v>
      </c>
      <c r="J31" s="47" t="s">
        <v>67</v>
      </c>
      <c r="K31" s="43" t="s">
        <v>30</v>
      </c>
      <c r="L31" s="47" t="s">
        <v>19</v>
      </c>
      <c r="M31" s="43" t="s">
        <v>26</v>
      </c>
      <c r="N31" s="43"/>
      <c r="O31" s="49">
        <v>0</v>
      </c>
      <c r="P31" s="49">
        <v>2079</v>
      </c>
      <c r="Q31" s="47" t="s">
        <v>20</v>
      </c>
      <c r="R31" s="43" t="s">
        <v>18</v>
      </c>
    </row>
    <row r="32" spans="1:18" ht="15.75" customHeight="1" x14ac:dyDescent="0.2">
      <c r="B32" s="42">
        <v>43872</v>
      </c>
      <c r="C32" s="46"/>
      <c r="D32" s="42"/>
      <c r="E32" s="44">
        <v>1960</v>
      </c>
      <c r="F32" s="45">
        <v>0</v>
      </c>
      <c r="G32" s="44">
        <v>1.1000000000000001</v>
      </c>
      <c r="H32" s="43" t="s">
        <v>21</v>
      </c>
      <c r="I32" s="43" t="s">
        <v>51</v>
      </c>
      <c r="J32" s="43" t="s">
        <v>67</v>
      </c>
      <c r="K32" s="43" t="s">
        <v>30</v>
      </c>
      <c r="L32" s="43" t="s">
        <v>19</v>
      </c>
      <c r="M32" s="43" t="s">
        <v>26</v>
      </c>
      <c r="N32" s="43"/>
      <c r="O32" s="44">
        <v>2156</v>
      </c>
      <c r="P32" s="44">
        <v>0</v>
      </c>
      <c r="Q32" s="43" t="s">
        <v>58</v>
      </c>
      <c r="R32" s="43" t="s">
        <v>23</v>
      </c>
    </row>
    <row r="33" spans="2:18" ht="15.75" customHeight="1" x14ac:dyDescent="0.2">
      <c r="B33" s="42">
        <v>43872</v>
      </c>
      <c r="C33" s="50"/>
      <c r="D33" s="69"/>
      <c r="E33" s="48">
        <v>0</v>
      </c>
      <c r="F33" s="49">
        <v>1960</v>
      </c>
      <c r="G33" s="49">
        <v>1.1000000000000001</v>
      </c>
      <c r="H33" s="47" t="s">
        <v>21</v>
      </c>
      <c r="I33" s="47" t="s">
        <v>55</v>
      </c>
      <c r="J33" s="47" t="s">
        <v>67</v>
      </c>
      <c r="K33" s="43" t="s">
        <v>30</v>
      </c>
      <c r="L33" s="47" t="s">
        <v>19</v>
      </c>
      <c r="M33" s="43" t="s">
        <v>26</v>
      </c>
      <c r="N33" s="43"/>
      <c r="O33" s="49">
        <v>0</v>
      </c>
      <c r="P33" s="49">
        <v>2156</v>
      </c>
      <c r="Q33" s="47" t="s">
        <v>20</v>
      </c>
      <c r="R33" s="43" t="s">
        <v>23</v>
      </c>
    </row>
    <row r="34" spans="2:18" ht="15.75" customHeight="1" x14ac:dyDescent="0.2">
      <c r="B34" s="42">
        <v>43873</v>
      </c>
      <c r="C34" s="46"/>
      <c r="D34" s="42"/>
      <c r="E34" s="44">
        <v>1747.619048</v>
      </c>
      <c r="F34" s="45">
        <v>0</v>
      </c>
      <c r="G34" s="44">
        <v>1.1000000000000001</v>
      </c>
      <c r="H34" s="43" t="s">
        <v>21</v>
      </c>
      <c r="I34" s="43" t="s">
        <v>51</v>
      </c>
      <c r="J34" s="43" t="s">
        <v>67</v>
      </c>
      <c r="K34" s="43" t="s">
        <v>30</v>
      </c>
      <c r="L34" s="43" t="s">
        <v>19</v>
      </c>
      <c r="M34" s="43" t="s">
        <v>26</v>
      </c>
      <c r="N34" s="43"/>
      <c r="O34" s="44">
        <v>1922.380952</v>
      </c>
      <c r="P34" s="44">
        <v>0</v>
      </c>
      <c r="Q34" s="43" t="s">
        <v>58</v>
      </c>
      <c r="R34" s="43" t="s">
        <v>23</v>
      </c>
    </row>
    <row r="35" spans="2:18" ht="15.75" customHeight="1" x14ac:dyDescent="0.2">
      <c r="B35" s="42">
        <v>43873</v>
      </c>
      <c r="C35" s="50"/>
      <c r="D35" s="69"/>
      <c r="E35" s="48">
        <v>0</v>
      </c>
      <c r="F35" s="49">
        <v>1747.619048</v>
      </c>
      <c r="G35" s="49">
        <v>1.1000000000000001</v>
      </c>
      <c r="H35" s="47" t="s">
        <v>21</v>
      </c>
      <c r="I35" s="47" t="s">
        <v>55</v>
      </c>
      <c r="J35" s="47" t="s">
        <v>84</v>
      </c>
      <c r="K35" s="43" t="s">
        <v>30</v>
      </c>
      <c r="L35" s="47" t="s">
        <v>19</v>
      </c>
      <c r="M35" s="43" t="s">
        <v>26</v>
      </c>
      <c r="N35" s="43"/>
      <c r="O35" s="49">
        <v>0</v>
      </c>
      <c r="P35" s="49">
        <v>1922.380952</v>
      </c>
      <c r="Q35" s="47" t="s">
        <v>20</v>
      </c>
      <c r="R35" s="43" t="s">
        <v>23</v>
      </c>
    </row>
    <row r="36" spans="2:18" ht="15.75" customHeight="1" x14ac:dyDescent="0.2">
      <c r="B36" s="42">
        <v>43873</v>
      </c>
      <c r="C36" s="46"/>
      <c r="D36" s="42"/>
      <c r="E36" s="44">
        <v>1747.619048</v>
      </c>
      <c r="F36" s="45">
        <v>0</v>
      </c>
      <c r="G36" s="44">
        <v>1.1000000000000001</v>
      </c>
      <c r="H36" s="43" t="s">
        <v>21</v>
      </c>
      <c r="I36" s="43" t="s">
        <v>51</v>
      </c>
      <c r="J36" s="43" t="s">
        <v>84</v>
      </c>
      <c r="K36" s="43" t="s">
        <v>30</v>
      </c>
      <c r="L36" s="43" t="s">
        <v>19</v>
      </c>
      <c r="M36" s="43" t="s">
        <v>26</v>
      </c>
      <c r="N36" s="43"/>
      <c r="O36" s="44">
        <v>1922.380952</v>
      </c>
      <c r="P36" s="44">
        <v>0</v>
      </c>
      <c r="Q36" s="43" t="s">
        <v>20</v>
      </c>
      <c r="R36" s="43" t="s">
        <v>23</v>
      </c>
    </row>
    <row r="37" spans="2:18" ht="15.75" customHeight="1" x14ac:dyDescent="0.2">
      <c r="B37" s="42">
        <v>43873</v>
      </c>
      <c r="C37" s="50"/>
      <c r="D37" s="69"/>
      <c r="E37" s="48">
        <v>0</v>
      </c>
      <c r="F37" s="49">
        <v>1922.380952</v>
      </c>
      <c r="G37" s="49">
        <v>1</v>
      </c>
      <c r="H37" s="47" t="s">
        <v>21</v>
      </c>
      <c r="I37" s="47" t="s">
        <v>55</v>
      </c>
      <c r="J37" s="47" t="s">
        <v>67</v>
      </c>
      <c r="K37" s="43" t="s">
        <v>19</v>
      </c>
      <c r="L37" s="47" t="s">
        <v>19</v>
      </c>
      <c r="M37" s="43" t="s">
        <v>26</v>
      </c>
      <c r="N37" s="43"/>
      <c r="O37" s="49">
        <v>0</v>
      </c>
      <c r="P37" s="49">
        <v>1922.380952</v>
      </c>
      <c r="Q37" s="47" t="s">
        <v>20</v>
      </c>
      <c r="R37" s="43" t="s">
        <v>23</v>
      </c>
    </row>
    <row r="38" spans="2:18" ht="15.75" customHeight="1" x14ac:dyDescent="0.2">
      <c r="B38" s="42">
        <v>43873</v>
      </c>
      <c r="C38" s="46"/>
      <c r="D38" s="42"/>
      <c r="E38" s="44">
        <v>3704.9523810000001</v>
      </c>
      <c r="F38" s="45">
        <v>0</v>
      </c>
      <c r="G38" s="44">
        <v>1.1000000000000001</v>
      </c>
      <c r="H38" s="43" t="s">
        <v>21</v>
      </c>
      <c r="I38" s="43" t="s">
        <v>51</v>
      </c>
      <c r="J38" s="43" t="s">
        <v>67</v>
      </c>
      <c r="K38" s="43" t="s">
        <v>30</v>
      </c>
      <c r="L38" s="43" t="s">
        <v>19</v>
      </c>
      <c r="M38" s="43" t="s">
        <v>26</v>
      </c>
      <c r="N38" s="43"/>
      <c r="O38" s="44">
        <v>4075.447619</v>
      </c>
      <c r="P38" s="44">
        <v>0</v>
      </c>
      <c r="Q38" s="43" t="s">
        <v>58</v>
      </c>
      <c r="R38" s="43" t="s">
        <v>23</v>
      </c>
    </row>
    <row r="39" spans="2:18" ht="15.75" customHeight="1" x14ac:dyDescent="0.2">
      <c r="B39" s="42">
        <v>43873</v>
      </c>
      <c r="C39" s="50"/>
      <c r="D39" s="69"/>
      <c r="E39" s="48">
        <v>0</v>
      </c>
      <c r="F39" s="49">
        <v>3704.9523810000001</v>
      </c>
      <c r="G39" s="49">
        <v>1.1000000000000001</v>
      </c>
      <c r="H39" s="47" t="s">
        <v>21</v>
      </c>
      <c r="I39" s="47" t="s">
        <v>55</v>
      </c>
      <c r="J39" s="47" t="s">
        <v>84</v>
      </c>
      <c r="K39" s="43" t="s">
        <v>30</v>
      </c>
      <c r="L39" s="47" t="s">
        <v>19</v>
      </c>
      <c r="M39" s="43" t="s">
        <v>26</v>
      </c>
      <c r="N39" s="43"/>
      <c r="O39" s="49">
        <v>0</v>
      </c>
      <c r="P39" s="49">
        <v>4075.447619</v>
      </c>
      <c r="Q39" s="47" t="s">
        <v>20</v>
      </c>
      <c r="R39" s="43" t="s">
        <v>23</v>
      </c>
    </row>
    <row r="40" spans="2:18" ht="15.75" customHeight="1" x14ac:dyDescent="0.2">
      <c r="B40" s="42">
        <v>43873</v>
      </c>
      <c r="C40" s="46"/>
      <c r="D40" s="42"/>
      <c r="E40" s="44">
        <v>3704.9523810000001</v>
      </c>
      <c r="F40" s="45">
        <v>0</v>
      </c>
      <c r="G40" s="44">
        <v>1.1000000000000001</v>
      </c>
      <c r="H40" s="43" t="s">
        <v>21</v>
      </c>
      <c r="I40" s="43" t="s">
        <v>51</v>
      </c>
      <c r="J40" s="43" t="s">
        <v>84</v>
      </c>
      <c r="K40" s="43" t="s">
        <v>30</v>
      </c>
      <c r="L40" s="43" t="s">
        <v>19</v>
      </c>
      <c r="M40" s="43" t="s">
        <v>26</v>
      </c>
      <c r="N40" s="43"/>
      <c r="O40" s="44">
        <v>4075.447619</v>
      </c>
      <c r="P40" s="44">
        <v>0</v>
      </c>
      <c r="Q40" s="43" t="s">
        <v>20</v>
      </c>
      <c r="R40" s="43" t="s">
        <v>23</v>
      </c>
    </row>
    <row r="41" spans="2:18" ht="15.75" customHeight="1" x14ac:dyDescent="0.2">
      <c r="B41" s="42">
        <v>43873</v>
      </c>
      <c r="C41" s="50"/>
      <c r="D41" s="69"/>
      <c r="E41" s="48">
        <v>0</v>
      </c>
      <c r="F41" s="49">
        <v>4075.447619</v>
      </c>
      <c r="G41" s="49">
        <v>1</v>
      </c>
      <c r="H41" s="47" t="s">
        <v>21</v>
      </c>
      <c r="I41" s="47" t="s">
        <v>55</v>
      </c>
      <c r="J41" s="47" t="s">
        <v>67</v>
      </c>
      <c r="K41" s="43" t="s">
        <v>19</v>
      </c>
      <c r="L41" s="47" t="s">
        <v>19</v>
      </c>
      <c r="M41" s="43" t="s">
        <v>26</v>
      </c>
      <c r="N41" s="43"/>
      <c r="O41" s="49">
        <v>0</v>
      </c>
      <c r="P41" s="49">
        <v>4075.447619</v>
      </c>
      <c r="Q41" s="47" t="s">
        <v>20</v>
      </c>
      <c r="R41" s="43" t="s">
        <v>23</v>
      </c>
    </row>
    <row r="42" spans="2:18" ht="15.75" customHeight="1" x14ac:dyDescent="0.2">
      <c r="B42" s="42">
        <v>43873</v>
      </c>
      <c r="C42" s="46"/>
      <c r="D42" s="42"/>
      <c r="E42" s="44">
        <v>1092.2619050000001</v>
      </c>
      <c r="F42" s="45">
        <v>0</v>
      </c>
      <c r="G42" s="44">
        <v>1.1000000000000001</v>
      </c>
      <c r="H42" s="43" t="s">
        <v>21</v>
      </c>
      <c r="I42" s="43" t="s">
        <v>51</v>
      </c>
      <c r="J42" s="43" t="s">
        <v>84</v>
      </c>
      <c r="K42" s="43" t="s">
        <v>30</v>
      </c>
      <c r="L42" s="43" t="s">
        <v>19</v>
      </c>
      <c r="M42" s="43" t="s">
        <v>26</v>
      </c>
      <c r="N42" s="43"/>
      <c r="O42" s="44">
        <v>1201.4880949999999</v>
      </c>
      <c r="P42" s="44">
        <v>0</v>
      </c>
      <c r="Q42" s="43" t="s">
        <v>20</v>
      </c>
      <c r="R42" s="43" t="s">
        <v>23</v>
      </c>
    </row>
    <row r="43" spans="2:18" ht="15.75" customHeight="1" x14ac:dyDescent="0.2">
      <c r="B43" s="42">
        <v>43873</v>
      </c>
      <c r="C43" s="50"/>
      <c r="D43" s="69"/>
      <c r="E43" s="48">
        <v>0</v>
      </c>
      <c r="F43" s="49">
        <v>1092.2619050000001</v>
      </c>
      <c r="G43" s="49">
        <v>1.1000000000000001</v>
      </c>
      <c r="H43" s="47" t="s">
        <v>21</v>
      </c>
      <c r="I43" s="47" t="s">
        <v>55</v>
      </c>
      <c r="J43" s="47" t="s">
        <v>67</v>
      </c>
      <c r="K43" s="43" t="s">
        <v>30</v>
      </c>
      <c r="L43" s="47" t="s">
        <v>19</v>
      </c>
      <c r="M43" s="43" t="s">
        <v>26</v>
      </c>
      <c r="N43" s="43"/>
      <c r="O43" s="49">
        <v>0</v>
      </c>
      <c r="P43" s="49">
        <v>1201.4880949999999</v>
      </c>
      <c r="Q43" s="47" t="s">
        <v>58</v>
      </c>
      <c r="R43" s="43" t="s">
        <v>23</v>
      </c>
    </row>
    <row r="44" spans="2:18" ht="15.75" customHeight="1" x14ac:dyDescent="0.2">
      <c r="B44" s="42">
        <v>43873</v>
      </c>
      <c r="C44" s="50"/>
      <c r="D44" s="69"/>
      <c r="E44" s="48">
        <v>0</v>
      </c>
      <c r="F44" s="49">
        <v>1092.2619050000001</v>
      </c>
      <c r="G44" s="49">
        <v>1.1000000000000001</v>
      </c>
      <c r="H44" s="47" t="s">
        <v>21</v>
      </c>
      <c r="I44" s="47" t="s">
        <v>55</v>
      </c>
      <c r="J44" s="47" t="s">
        <v>84</v>
      </c>
      <c r="K44" s="43" t="s">
        <v>30</v>
      </c>
      <c r="L44" s="47" t="s">
        <v>19</v>
      </c>
      <c r="M44" s="43" t="s">
        <v>26</v>
      </c>
      <c r="N44" s="43"/>
      <c r="O44" s="49">
        <v>0</v>
      </c>
      <c r="P44" s="49">
        <v>1201.4880949999999</v>
      </c>
      <c r="Q44" s="47" t="s">
        <v>20</v>
      </c>
      <c r="R44" s="43" t="s">
        <v>23</v>
      </c>
    </row>
    <row r="45" spans="2:18" ht="15.75" customHeight="1" x14ac:dyDescent="0.2">
      <c r="B45" s="42">
        <v>43873</v>
      </c>
      <c r="C45" s="46"/>
      <c r="D45" s="42"/>
      <c r="E45" s="44">
        <v>1201.4880949999999</v>
      </c>
      <c r="F45" s="45">
        <v>0</v>
      </c>
      <c r="G45" s="44">
        <v>1</v>
      </c>
      <c r="H45" s="43" t="s">
        <v>21</v>
      </c>
      <c r="I45" s="43" t="s">
        <v>51</v>
      </c>
      <c r="J45" s="43" t="s">
        <v>67</v>
      </c>
      <c r="K45" s="43" t="s">
        <v>19</v>
      </c>
      <c r="L45" s="43" t="s">
        <v>19</v>
      </c>
      <c r="M45" s="43" t="s">
        <v>26</v>
      </c>
      <c r="N45" s="43"/>
      <c r="O45" s="44">
        <v>1201.4880949999999</v>
      </c>
      <c r="P45" s="44">
        <v>0</v>
      </c>
      <c r="Q45" s="43" t="s">
        <v>20</v>
      </c>
      <c r="R45" s="43" t="s">
        <v>23</v>
      </c>
    </row>
    <row r="46" spans="2:18" ht="15.75" customHeight="1" x14ac:dyDescent="0.2">
      <c r="B46" s="42">
        <v>43873</v>
      </c>
      <c r="C46" s="46"/>
      <c r="D46" s="42"/>
      <c r="E46" s="44">
        <v>655.35714289999999</v>
      </c>
      <c r="F46" s="45">
        <v>0</v>
      </c>
      <c r="G46" s="44">
        <v>1.1000000000000001</v>
      </c>
      <c r="H46" s="43" t="s">
        <v>21</v>
      </c>
      <c r="I46" s="43" t="s">
        <v>51</v>
      </c>
      <c r="J46" s="43" t="s">
        <v>84</v>
      </c>
      <c r="K46" s="43" t="s">
        <v>30</v>
      </c>
      <c r="L46" s="43" t="s">
        <v>19</v>
      </c>
      <c r="M46" s="43" t="s">
        <v>79</v>
      </c>
      <c r="N46" s="43"/>
      <c r="O46" s="44">
        <v>720.89285710000001</v>
      </c>
      <c r="P46" s="44">
        <v>0</v>
      </c>
      <c r="Q46" s="43" t="s">
        <v>20</v>
      </c>
      <c r="R46" s="43" t="s">
        <v>23</v>
      </c>
    </row>
    <row r="47" spans="2:18" ht="15.75" customHeight="1" x14ac:dyDescent="0.2">
      <c r="B47" s="42">
        <v>43873</v>
      </c>
      <c r="C47" s="50"/>
      <c r="D47" s="69"/>
      <c r="E47" s="48">
        <v>0</v>
      </c>
      <c r="F47" s="49">
        <v>655.35714289999999</v>
      </c>
      <c r="G47" s="49">
        <v>1.1000000000000001</v>
      </c>
      <c r="H47" s="47" t="s">
        <v>21</v>
      </c>
      <c r="I47" s="47" t="s">
        <v>55</v>
      </c>
      <c r="J47" s="47" t="s">
        <v>67</v>
      </c>
      <c r="K47" s="43" t="s">
        <v>30</v>
      </c>
      <c r="L47" s="47" t="s">
        <v>19</v>
      </c>
      <c r="M47" s="43" t="s">
        <v>79</v>
      </c>
      <c r="N47" s="43"/>
      <c r="O47" s="49">
        <v>0</v>
      </c>
      <c r="P47" s="49">
        <v>720.89285710000001</v>
      </c>
      <c r="Q47" s="47" t="s">
        <v>58</v>
      </c>
      <c r="R47" s="43" t="s">
        <v>23</v>
      </c>
    </row>
    <row r="48" spans="2:18" ht="15.75" customHeight="1" x14ac:dyDescent="0.2">
      <c r="B48" s="42">
        <v>43873</v>
      </c>
      <c r="C48" s="50"/>
      <c r="D48" s="69"/>
      <c r="E48" s="48">
        <v>0</v>
      </c>
      <c r="F48" s="49">
        <v>655.35714289999999</v>
      </c>
      <c r="G48" s="49">
        <v>1.1000000000000001</v>
      </c>
      <c r="H48" s="47" t="s">
        <v>21</v>
      </c>
      <c r="I48" s="47" t="s">
        <v>55</v>
      </c>
      <c r="J48" s="47" t="s">
        <v>84</v>
      </c>
      <c r="K48" s="43" t="s">
        <v>30</v>
      </c>
      <c r="L48" s="47" t="s">
        <v>19</v>
      </c>
      <c r="M48" s="43" t="s">
        <v>79</v>
      </c>
      <c r="N48" s="43"/>
      <c r="O48" s="49">
        <v>0</v>
      </c>
      <c r="P48" s="49">
        <v>720.89285710000001</v>
      </c>
      <c r="Q48" s="47" t="s">
        <v>20</v>
      </c>
      <c r="R48" s="43" t="s">
        <v>23</v>
      </c>
    </row>
    <row r="49" spans="2:18" ht="15.75" customHeight="1" x14ac:dyDescent="0.2">
      <c r="B49" s="42">
        <v>43873</v>
      </c>
      <c r="C49" s="46"/>
      <c r="D49" s="42"/>
      <c r="E49" s="44">
        <v>720.89285710000001</v>
      </c>
      <c r="F49" s="45">
        <v>0</v>
      </c>
      <c r="G49" s="44">
        <v>1</v>
      </c>
      <c r="H49" s="43" t="s">
        <v>21</v>
      </c>
      <c r="I49" s="43" t="s">
        <v>51</v>
      </c>
      <c r="J49" s="43" t="s">
        <v>67</v>
      </c>
      <c r="K49" s="43" t="s">
        <v>19</v>
      </c>
      <c r="L49" s="43" t="s">
        <v>19</v>
      </c>
      <c r="M49" s="43" t="s">
        <v>79</v>
      </c>
      <c r="N49" s="43"/>
      <c r="O49" s="44">
        <v>720.89285710000001</v>
      </c>
      <c r="P49" s="44">
        <v>0</v>
      </c>
      <c r="Q49" s="43" t="s">
        <v>20</v>
      </c>
      <c r="R49" s="43" t="s">
        <v>23</v>
      </c>
    </row>
    <row r="50" spans="2:18" ht="15.75" customHeight="1" x14ac:dyDescent="0.2">
      <c r="B50" s="42">
        <v>43873</v>
      </c>
      <c r="C50" s="46"/>
      <c r="D50" s="42"/>
      <c r="E50" s="44">
        <v>1747.619048</v>
      </c>
      <c r="F50" s="45">
        <v>0</v>
      </c>
      <c r="G50" s="44">
        <v>1.1000000000000001</v>
      </c>
      <c r="H50" s="43" t="s">
        <v>21</v>
      </c>
      <c r="I50" s="43" t="s">
        <v>51</v>
      </c>
      <c r="J50" s="43" t="s">
        <v>67</v>
      </c>
      <c r="K50" s="43" t="s">
        <v>30</v>
      </c>
      <c r="L50" s="43" t="s">
        <v>19</v>
      </c>
      <c r="M50" s="43" t="s">
        <v>26</v>
      </c>
      <c r="N50" s="43"/>
      <c r="O50" s="44">
        <v>1922.380952</v>
      </c>
      <c r="P50" s="44">
        <v>0</v>
      </c>
      <c r="Q50" s="43" t="s">
        <v>58</v>
      </c>
      <c r="R50" s="43" t="s">
        <v>18</v>
      </c>
    </row>
    <row r="51" spans="2:18" ht="15.75" customHeight="1" x14ac:dyDescent="0.2">
      <c r="B51" s="42">
        <v>43873</v>
      </c>
      <c r="C51" s="50"/>
      <c r="D51" s="69"/>
      <c r="E51" s="48">
        <v>0</v>
      </c>
      <c r="F51" s="49">
        <v>1747.619048</v>
      </c>
      <c r="G51" s="49">
        <v>1.1000000000000001</v>
      </c>
      <c r="H51" s="47" t="s">
        <v>21</v>
      </c>
      <c r="I51" s="47" t="s">
        <v>55</v>
      </c>
      <c r="J51" s="47" t="s">
        <v>84</v>
      </c>
      <c r="K51" s="43" t="s">
        <v>30</v>
      </c>
      <c r="L51" s="47" t="s">
        <v>19</v>
      </c>
      <c r="M51" s="43" t="s">
        <v>26</v>
      </c>
      <c r="N51" s="43"/>
      <c r="O51" s="49">
        <v>0</v>
      </c>
      <c r="P51" s="49">
        <v>1922.380952</v>
      </c>
      <c r="Q51" s="47" t="s">
        <v>20</v>
      </c>
      <c r="R51" s="43" t="s">
        <v>18</v>
      </c>
    </row>
    <row r="52" spans="2:18" ht="15.75" customHeight="1" x14ac:dyDescent="0.2">
      <c r="B52" s="42">
        <v>43873</v>
      </c>
      <c r="C52" s="46"/>
      <c r="D52" s="42"/>
      <c r="E52" s="44">
        <v>1747.619048</v>
      </c>
      <c r="F52" s="45">
        <v>0</v>
      </c>
      <c r="G52" s="44">
        <v>1.1000000000000001</v>
      </c>
      <c r="H52" s="43" t="s">
        <v>21</v>
      </c>
      <c r="I52" s="43" t="s">
        <v>51</v>
      </c>
      <c r="J52" s="43" t="s">
        <v>84</v>
      </c>
      <c r="K52" s="43" t="s">
        <v>30</v>
      </c>
      <c r="L52" s="43" t="s">
        <v>19</v>
      </c>
      <c r="M52" s="43" t="s">
        <v>26</v>
      </c>
      <c r="N52" s="43"/>
      <c r="O52" s="44">
        <v>1922.380952</v>
      </c>
      <c r="P52" s="44">
        <v>0</v>
      </c>
      <c r="Q52" s="43" t="s">
        <v>20</v>
      </c>
      <c r="R52" s="43" t="s">
        <v>18</v>
      </c>
    </row>
    <row r="53" spans="2:18" ht="15.75" customHeight="1" x14ac:dyDescent="0.2">
      <c r="B53" s="42">
        <v>43873</v>
      </c>
      <c r="C53" s="50"/>
      <c r="D53" s="69"/>
      <c r="E53" s="48">
        <v>0</v>
      </c>
      <c r="F53" s="49">
        <v>1922.380952</v>
      </c>
      <c r="G53" s="49">
        <v>1</v>
      </c>
      <c r="H53" s="47" t="s">
        <v>21</v>
      </c>
      <c r="I53" s="47" t="s">
        <v>55</v>
      </c>
      <c r="J53" s="47" t="s">
        <v>67</v>
      </c>
      <c r="K53" s="43" t="s">
        <v>19</v>
      </c>
      <c r="L53" s="47" t="s">
        <v>19</v>
      </c>
      <c r="M53" s="43" t="s">
        <v>26</v>
      </c>
      <c r="N53" s="43"/>
      <c r="O53" s="49">
        <v>0</v>
      </c>
      <c r="P53" s="49">
        <v>1922.380952</v>
      </c>
      <c r="Q53" s="47" t="s">
        <v>20</v>
      </c>
      <c r="R53" s="43" t="s">
        <v>18</v>
      </c>
    </row>
    <row r="54" spans="2:18" ht="15.75" customHeight="1" x14ac:dyDescent="0.2">
      <c r="B54" s="42">
        <v>43873</v>
      </c>
      <c r="C54" s="46"/>
      <c r="D54" s="42"/>
      <c r="E54" s="44">
        <v>1092.2619050000001</v>
      </c>
      <c r="F54" s="45">
        <v>0</v>
      </c>
      <c r="G54" s="44">
        <v>1.1000000000000001</v>
      </c>
      <c r="H54" s="43" t="s">
        <v>21</v>
      </c>
      <c r="I54" s="43" t="s">
        <v>51</v>
      </c>
      <c r="J54" s="43" t="s">
        <v>84</v>
      </c>
      <c r="K54" s="43" t="s">
        <v>30</v>
      </c>
      <c r="L54" s="43" t="s">
        <v>19</v>
      </c>
      <c r="M54" s="43" t="s">
        <v>26</v>
      </c>
      <c r="N54" s="43"/>
      <c r="O54" s="44">
        <v>1201.4880949999999</v>
      </c>
      <c r="P54" s="44">
        <v>0</v>
      </c>
      <c r="Q54" s="43" t="s">
        <v>20</v>
      </c>
      <c r="R54" s="43" t="s">
        <v>18</v>
      </c>
    </row>
    <row r="55" spans="2:18" ht="15.75" customHeight="1" x14ac:dyDescent="0.2">
      <c r="B55" s="42">
        <v>43873</v>
      </c>
      <c r="C55" s="50"/>
      <c r="D55" s="69"/>
      <c r="E55" s="48">
        <v>0</v>
      </c>
      <c r="F55" s="49">
        <v>1092.2619050000001</v>
      </c>
      <c r="G55" s="49">
        <v>1.1000000000000001</v>
      </c>
      <c r="H55" s="47" t="s">
        <v>21</v>
      </c>
      <c r="I55" s="47" t="s">
        <v>55</v>
      </c>
      <c r="J55" s="47" t="s">
        <v>67</v>
      </c>
      <c r="K55" s="43" t="s">
        <v>30</v>
      </c>
      <c r="L55" s="47" t="s">
        <v>19</v>
      </c>
      <c r="M55" s="43" t="s">
        <v>26</v>
      </c>
      <c r="N55" s="43"/>
      <c r="O55" s="49">
        <v>0</v>
      </c>
      <c r="P55" s="49">
        <v>1201.4880949999999</v>
      </c>
      <c r="Q55" s="47" t="s">
        <v>58</v>
      </c>
      <c r="R55" s="43" t="s">
        <v>18</v>
      </c>
    </row>
    <row r="56" spans="2:18" ht="15.75" customHeight="1" x14ac:dyDescent="0.2">
      <c r="B56" s="42">
        <v>43873</v>
      </c>
      <c r="C56" s="50"/>
      <c r="D56" s="69"/>
      <c r="E56" s="48">
        <v>0</v>
      </c>
      <c r="F56" s="49">
        <v>1092.2619050000001</v>
      </c>
      <c r="G56" s="49">
        <v>1.1000000000000001</v>
      </c>
      <c r="H56" s="47" t="s">
        <v>21</v>
      </c>
      <c r="I56" s="47" t="s">
        <v>55</v>
      </c>
      <c r="J56" s="47" t="s">
        <v>84</v>
      </c>
      <c r="K56" s="43" t="s">
        <v>30</v>
      </c>
      <c r="L56" s="47" t="s">
        <v>19</v>
      </c>
      <c r="M56" s="43" t="s">
        <v>26</v>
      </c>
      <c r="N56" s="43"/>
      <c r="O56" s="49">
        <v>0</v>
      </c>
      <c r="P56" s="49">
        <v>1201.4880949999999</v>
      </c>
      <c r="Q56" s="47" t="s">
        <v>20</v>
      </c>
      <c r="R56" s="43" t="s">
        <v>18</v>
      </c>
    </row>
    <row r="57" spans="2:18" ht="15.75" customHeight="1" x14ac:dyDescent="0.2">
      <c r="B57" s="42">
        <v>43873</v>
      </c>
      <c r="C57" s="46"/>
      <c r="D57" s="42"/>
      <c r="E57" s="44">
        <v>1201.4880949999999</v>
      </c>
      <c r="F57" s="45">
        <v>0</v>
      </c>
      <c r="G57" s="44">
        <v>1</v>
      </c>
      <c r="H57" s="43" t="s">
        <v>21</v>
      </c>
      <c r="I57" s="43" t="s">
        <v>51</v>
      </c>
      <c r="J57" s="43" t="s">
        <v>67</v>
      </c>
      <c r="K57" s="43" t="s">
        <v>19</v>
      </c>
      <c r="L57" s="43" t="s">
        <v>19</v>
      </c>
      <c r="M57" s="43" t="s">
        <v>26</v>
      </c>
      <c r="N57" s="43"/>
      <c r="O57" s="44">
        <v>1201.4880949999999</v>
      </c>
      <c r="P57" s="44">
        <v>0</v>
      </c>
      <c r="Q57" s="43" t="s">
        <v>20</v>
      </c>
      <c r="R57" s="43" t="s">
        <v>18</v>
      </c>
    </row>
    <row r="58" spans="2:18" ht="15.75" customHeight="1" x14ac:dyDescent="0.2">
      <c r="B58" s="42">
        <v>43873</v>
      </c>
      <c r="C58" s="46"/>
      <c r="D58" s="42"/>
      <c r="E58" s="44">
        <v>655.35714289999999</v>
      </c>
      <c r="F58" s="45">
        <v>0</v>
      </c>
      <c r="G58" s="44">
        <v>1.1000000000000001</v>
      </c>
      <c r="H58" s="43" t="s">
        <v>21</v>
      </c>
      <c r="I58" s="43" t="s">
        <v>51</v>
      </c>
      <c r="J58" s="43" t="s">
        <v>84</v>
      </c>
      <c r="K58" s="43" t="s">
        <v>30</v>
      </c>
      <c r="L58" s="43" t="s">
        <v>19</v>
      </c>
      <c r="M58" s="43" t="s">
        <v>79</v>
      </c>
      <c r="N58" s="43"/>
      <c r="O58" s="44">
        <v>720.89285710000001</v>
      </c>
      <c r="P58" s="44">
        <v>0</v>
      </c>
      <c r="Q58" s="43" t="s">
        <v>20</v>
      </c>
      <c r="R58" s="43" t="s">
        <v>18</v>
      </c>
    </row>
    <row r="59" spans="2:18" ht="15.75" customHeight="1" x14ac:dyDescent="0.2">
      <c r="B59" s="42">
        <v>43873</v>
      </c>
      <c r="C59" s="50"/>
      <c r="D59" s="69"/>
      <c r="E59" s="48">
        <v>0</v>
      </c>
      <c r="F59" s="49">
        <v>655.35714289999999</v>
      </c>
      <c r="G59" s="49">
        <v>1.1000000000000001</v>
      </c>
      <c r="H59" s="47" t="s">
        <v>21</v>
      </c>
      <c r="I59" s="47" t="s">
        <v>55</v>
      </c>
      <c r="J59" s="47" t="s">
        <v>67</v>
      </c>
      <c r="K59" s="43" t="s">
        <v>30</v>
      </c>
      <c r="L59" s="47" t="s">
        <v>19</v>
      </c>
      <c r="M59" s="43" t="s">
        <v>79</v>
      </c>
      <c r="N59" s="43"/>
      <c r="O59" s="49">
        <v>0</v>
      </c>
      <c r="P59" s="49">
        <v>720.89285710000001</v>
      </c>
      <c r="Q59" s="47" t="s">
        <v>58</v>
      </c>
      <c r="R59" s="43" t="s">
        <v>18</v>
      </c>
    </row>
    <row r="60" spans="2:18" ht="15.75" customHeight="1" x14ac:dyDescent="0.2">
      <c r="B60" s="42">
        <v>43873</v>
      </c>
      <c r="C60" s="50"/>
      <c r="D60" s="69"/>
      <c r="E60" s="48">
        <v>0</v>
      </c>
      <c r="F60" s="49">
        <v>655.35714289999999</v>
      </c>
      <c r="G60" s="49">
        <v>1.1000000000000001</v>
      </c>
      <c r="H60" s="47" t="s">
        <v>21</v>
      </c>
      <c r="I60" s="47" t="s">
        <v>55</v>
      </c>
      <c r="J60" s="47" t="s">
        <v>84</v>
      </c>
      <c r="K60" s="43" t="s">
        <v>30</v>
      </c>
      <c r="L60" s="47" t="s">
        <v>19</v>
      </c>
      <c r="M60" s="43" t="s">
        <v>79</v>
      </c>
      <c r="N60" s="43"/>
      <c r="O60" s="49">
        <v>0</v>
      </c>
      <c r="P60" s="49">
        <v>720.89285710000001</v>
      </c>
      <c r="Q60" s="47" t="s">
        <v>20</v>
      </c>
      <c r="R60" s="43" t="s">
        <v>18</v>
      </c>
    </row>
    <row r="61" spans="2:18" ht="15.75" customHeight="1" x14ac:dyDescent="0.2">
      <c r="B61" s="42">
        <v>43873</v>
      </c>
      <c r="C61" s="46"/>
      <c r="D61" s="42"/>
      <c r="E61" s="44">
        <v>720.89285710000001</v>
      </c>
      <c r="F61" s="45">
        <v>0</v>
      </c>
      <c r="G61" s="44">
        <v>1</v>
      </c>
      <c r="H61" s="43" t="s">
        <v>21</v>
      </c>
      <c r="I61" s="43" t="s">
        <v>51</v>
      </c>
      <c r="J61" s="43" t="s">
        <v>67</v>
      </c>
      <c r="K61" s="43" t="s">
        <v>19</v>
      </c>
      <c r="L61" s="43" t="s">
        <v>19</v>
      </c>
      <c r="M61" s="43" t="s">
        <v>79</v>
      </c>
      <c r="N61" s="43"/>
      <c r="O61" s="44">
        <v>720.89285710000001</v>
      </c>
      <c r="P61" s="44">
        <v>0</v>
      </c>
      <c r="Q61" s="43" t="s">
        <v>20</v>
      </c>
      <c r="R61" s="43" t="s">
        <v>18</v>
      </c>
    </row>
    <row r="62" spans="2:18" ht="15.75" customHeight="1" x14ac:dyDescent="0.2">
      <c r="B62" s="42">
        <v>43873</v>
      </c>
      <c r="C62" s="46"/>
      <c r="D62" s="42"/>
      <c r="E62" s="44">
        <v>3635.0476189999999</v>
      </c>
      <c r="F62" s="45">
        <v>0</v>
      </c>
      <c r="G62" s="44">
        <v>1.1000000000000001</v>
      </c>
      <c r="H62" s="43" t="s">
        <v>21</v>
      </c>
      <c r="I62" s="43" t="s">
        <v>51</v>
      </c>
      <c r="J62" s="43" t="s">
        <v>67</v>
      </c>
      <c r="K62" s="43" t="s">
        <v>30</v>
      </c>
      <c r="L62" s="43" t="s">
        <v>19</v>
      </c>
      <c r="M62" s="43" t="s">
        <v>26</v>
      </c>
      <c r="N62" s="43"/>
      <c r="O62" s="44">
        <v>3998.552381</v>
      </c>
      <c r="P62" s="44">
        <v>0</v>
      </c>
      <c r="Q62" s="43" t="s">
        <v>58</v>
      </c>
      <c r="R62" s="43" t="s">
        <v>18</v>
      </c>
    </row>
    <row r="63" spans="2:18" ht="15.75" customHeight="1" x14ac:dyDescent="0.2">
      <c r="B63" s="42">
        <v>43873</v>
      </c>
      <c r="C63" s="50"/>
      <c r="D63" s="69"/>
      <c r="E63" s="48">
        <v>0</v>
      </c>
      <c r="F63" s="49">
        <v>3635.0476189999999</v>
      </c>
      <c r="G63" s="49">
        <v>1.1000000000000001</v>
      </c>
      <c r="H63" s="47" t="s">
        <v>21</v>
      </c>
      <c r="I63" s="47" t="s">
        <v>55</v>
      </c>
      <c r="J63" s="47" t="s">
        <v>84</v>
      </c>
      <c r="K63" s="43" t="s">
        <v>30</v>
      </c>
      <c r="L63" s="47" t="s">
        <v>19</v>
      </c>
      <c r="M63" s="43" t="s">
        <v>26</v>
      </c>
      <c r="N63" s="43"/>
      <c r="O63" s="49">
        <v>0</v>
      </c>
      <c r="P63" s="49">
        <v>3998.552381</v>
      </c>
      <c r="Q63" s="47" t="s">
        <v>20</v>
      </c>
      <c r="R63" s="43" t="s">
        <v>18</v>
      </c>
    </row>
    <row r="64" spans="2:18" ht="15.75" customHeight="1" x14ac:dyDescent="0.2">
      <c r="B64" s="42">
        <v>43873</v>
      </c>
      <c r="C64" s="46"/>
      <c r="D64" s="42"/>
      <c r="E64" s="44">
        <v>3635.0476189999999</v>
      </c>
      <c r="F64" s="45">
        <v>0</v>
      </c>
      <c r="G64" s="44">
        <v>1.1000000000000001</v>
      </c>
      <c r="H64" s="43" t="s">
        <v>21</v>
      </c>
      <c r="I64" s="43" t="s">
        <v>51</v>
      </c>
      <c r="J64" s="43" t="s">
        <v>84</v>
      </c>
      <c r="K64" s="43" t="s">
        <v>30</v>
      </c>
      <c r="L64" s="43" t="s">
        <v>19</v>
      </c>
      <c r="M64" s="43" t="s">
        <v>26</v>
      </c>
      <c r="N64" s="43"/>
      <c r="O64" s="44">
        <v>3998.552381</v>
      </c>
      <c r="P64" s="44">
        <v>0</v>
      </c>
      <c r="Q64" s="43" t="s">
        <v>20</v>
      </c>
      <c r="R64" s="43" t="s">
        <v>18</v>
      </c>
    </row>
    <row r="65" spans="2:18" ht="15.75" customHeight="1" x14ac:dyDescent="0.2">
      <c r="B65" s="42">
        <v>43873</v>
      </c>
      <c r="C65" s="50"/>
      <c r="D65" s="69"/>
      <c r="E65" s="48">
        <v>0</v>
      </c>
      <c r="F65" s="49">
        <v>3998.552381</v>
      </c>
      <c r="G65" s="49">
        <v>1</v>
      </c>
      <c r="H65" s="47" t="s">
        <v>21</v>
      </c>
      <c r="I65" s="47" t="s">
        <v>55</v>
      </c>
      <c r="J65" s="47" t="s">
        <v>67</v>
      </c>
      <c r="K65" s="43" t="s">
        <v>19</v>
      </c>
      <c r="L65" s="47" t="s">
        <v>19</v>
      </c>
      <c r="M65" s="43" t="s">
        <v>26</v>
      </c>
      <c r="N65" s="43"/>
      <c r="O65" s="49">
        <v>0</v>
      </c>
      <c r="P65" s="49">
        <v>3998.552381</v>
      </c>
      <c r="Q65" s="47" t="s">
        <v>20</v>
      </c>
      <c r="R65" s="43" t="s">
        <v>18</v>
      </c>
    </row>
    <row r="66" spans="2:18" ht="15.75" customHeight="1" x14ac:dyDescent="0.2">
      <c r="B66" s="42">
        <v>43873</v>
      </c>
      <c r="C66" s="46"/>
      <c r="D66" s="42"/>
      <c r="E66" s="44">
        <v>2271.9047620000001</v>
      </c>
      <c r="F66" s="45">
        <v>0</v>
      </c>
      <c r="G66" s="44">
        <v>1.1000000000000001</v>
      </c>
      <c r="H66" s="43" t="s">
        <v>21</v>
      </c>
      <c r="I66" s="43" t="s">
        <v>51</v>
      </c>
      <c r="J66" s="43" t="s">
        <v>84</v>
      </c>
      <c r="K66" s="43" t="s">
        <v>30</v>
      </c>
      <c r="L66" s="43" t="s">
        <v>19</v>
      </c>
      <c r="M66" s="43" t="s">
        <v>26</v>
      </c>
      <c r="N66" s="43"/>
      <c r="O66" s="44">
        <v>2499.0952379999999</v>
      </c>
      <c r="P66" s="44">
        <v>0</v>
      </c>
      <c r="Q66" s="43" t="s">
        <v>20</v>
      </c>
      <c r="R66" s="43" t="s">
        <v>18</v>
      </c>
    </row>
    <row r="67" spans="2:18" ht="15.75" customHeight="1" x14ac:dyDescent="0.2">
      <c r="B67" s="42">
        <v>43873</v>
      </c>
      <c r="C67" s="50"/>
      <c r="D67" s="69"/>
      <c r="E67" s="48">
        <v>0</v>
      </c>
      <c r="F67" s="49">
        <v>2271.9047620000001</v>
      </c>
      <c r="G67" s="49">
        <v>1.1000000000000001</v>
      </c>
      <c r="H67" s="47" t="s">
        <v>21</v>
      </c>
      <c r="I67" s="47" t="s">
        <v>55</v>
      </c>
      <c r="J67" s="47" t="s">
        <v>67</v>
      </c>
      <c r="K67" s="43" t="s">
        <v>30</v>
      </c>
      <c r="L67" s="47" t="s">
        <v>19</v>
      </c>
      <c r="M67" s="43" t="s">
        <v>26</v>
      </c>
      <c r="N67" s="43"/>
      <c r="O67" s="49">
        <v>0</v>
      </c>
      <c r="P67" s="49">
        <v>2499.0952379999999</v>
      </c>
      <c r="Q67" s="47" t="s">
        <v>58</v>
      </c>
      <c r="R67" s="43" t="s">
        <v>18</v>
      </c>
    </row>
    <row r="68" spans="2:18" ht="15.75" customHeight="1" x14ac:dyDescent="0.2">
      <c r="B68" s="42">
        <v>43873</v>
      </c>
      <c r="C68" s="50"/>
      <c r="D68" s="69"/>
      <c r="E68" s="48">
        <v>0</v>
      </c>
      <c r="F68" s="49">
        <v>2271.9047620000001</v>
      </c>
      <c r="G68" s="49">
        <v>1.1000000000000001</v>
      </c>
      <c r="H68" s="47" t="s">
        <v>21</v>
      </c>
      <c r="I68" s="47" t="s">
        <v>55</v>
      </c>
      <c r="J68" s="47" t="s">
        <v>84</v>
      </c>
      <c r="K68" s="43" t="s">
        <v>30</v>
      </c>
      <c r="L68" s="47" t="s">
        <v>19</v>
      </c>
      <c r="M68" s="43" t="s">
        <v>26</v>
      </c>
      <c r="N68" s="43"/>
      <c r="O68" s="49">
        <v>0</v>
      </c>
      <c r="P68" s="49">
        <v>2499.0952379999999</v>
      </c>
      <c r="Q68" s="47" t="s">
        <v>20</v>
      </c>
      <c r="R68" s="43" t="s">
        <v>18</v>
      </c>
    </row>
    <row r="69" spans="2:18" ht="15.75" customHeight="1" x14ac:dyDescent="0.2">
      <c r="B69" s="42">
        <v>43873</v>
      </c>
      <c r="C69" s="46"/>
      <c r="D69" s="42"/>
      <c r="E69" s="44">
        <v>2499.0952379999999</v>
      </c>
      <c r="F69" s="45">
        <v>0</v>
      </c>
      <c r="G69" s="44">
        <v>1</v>
      </c>
      <c r="H69" s="43" t="s">
        <v>21</v>
      </c>
      <c r="I69" s="43" t="s">
        <v>51</v>
      </c>
      <c r="J69" s="43" t="s">
        <v>67</v>
      </c>
      <c r="K69" s="43" t="s">
        <v>19</v>
      </c>
      <c r="L69" s="43" t="s">
        <v>19</v>
      </c>
      <c r="M69" s="43" t="s">
        <v>26</v>
      </c>
      <c r="N69" s="43"/>
      <c r="O69" s="44">
        <v>2499.0952379999999</v>
      </c>
      <c r="P69" s="44">
        <v>0</v>
      </c>
      <c r="Q69" s="43" t="s">
        <v>20</v>
      </c>
      <c r="R69" s="43" t="s">
        <v>18</v>
      </c>
    </row>
    <row r="70" spans="2:18" ht="15.75" customHeight="1" x14ac:dyDescent="0.2">
      <c r="B70" s="42">
        <v>43873</v>
      </c>
      <c r="C70" s="46"/>
      <c r="D70" s="42"/>
      <c r="E70" s="44">
        <v>1363.142857</v>
      </c>
      <c r="F70" s="45">
        <v>0</v>
      </c>
      <c r="G70" s="44">
        <v>1.1000000000000001</v>
      </c>
      <c r="H70" s="43" t="s">
        <v>21</v>
      </c>
      <c r="I70" s="43" t="s">
        <v>51</v>
      </c>
      <c r="J70" s="43" t="s">
        <v>84</v>
      </c>
      <c r="K70" s="43" t="s">
        <v>30</v>
      </c>
      <c r="L70" s="43" t="s">
        <v>19</v>
      </c>
      <c r="M70" s="43" t="s">
        <v>79</v>
      </c>
      <c r="N70" s="43"/>
      <c r="O70" s="44">
        <v>1499.4571430000001</v>
      </c>
      <c r="P70" s="44">
        <v>0</v>
      </c>
      <c r="Q70" s="43" t="s">
        <v>20</v>
      </c>
      <c r="R70" s="43" t="s">
        <v>18</v>
      </c>
    </row>
    <row r="71" spans="2:18" ht="15.75" customHeight="1" x14ac:dyDescent="0.2">
      <c r="B71" s="42">
        <v>43873</v>
      </c>
      <c r="C71" s="50"/>
      <c r="D71" s="69"/>
      <c r="E71" s="48">
        <v>0</v>
      </c>
      <c r="F71" s="49">
        <v>1363.142857</v>
      </c>
      <c r="G71" s="49">
        <v>1.1000000000000001</v>
      </c>
      <c r="H71" s="47" t="s">
        <v>21</v>
      </c>
      <c r="I71" s="47" t="s">
        <v>55</v>
      </c>
      <c r="J71" s="47" t="s">
        <v>67</v>
      </c>
      <c r="K71" s="43" t="s">
        <v>30</v>
      </c>
      <c r="L71" s="47" t="s">
        <v>19</v>
      </c>
      <c r="M71" s="43" t="s">
        <v>79</v>
      </c>
      <c r="N71" s="43"/>
      <c r="O71" s="49">
        <v>0</v>
      </c>
      <c r="P71" s="49">
        <v>1499.4571430000001</v>
      </c>
      <c r="Q71" s="47" t="s">
        <v>58</v>
      </c>
      <c r="R71" s="43" t="s">
        <v>18</v>
      </c>
    </row>
    <row r="72" spans="2:18" ht="15.75" customHeight="1" x14ac:dyDescent="0.2">
      <c r="B72" s="42">
        <v>43873</v>
      </c>
      <c r="C72" s="50"/>
      <c r="D72" s="69"/>
      <c r="E72" s="48">
        <v>0</v>
      </c>
      <c r="F72" s="49">
        <v>1363.142857</v>
      </c>
      <c r="G72" s="49">
        <v>1.1000000000000001</v>
      </c>
      <c r="H72" s="47" t="s">
        <v>21</v>
      </c>
      <c r="I72" s="47" t="s">
        <v>55</v>
      </c>
      <c r="J72" s="47" t="s">
        <v>84</v>
      </c>
      <c r="K72" s="43" t="s">
        <v>30</v>
      </c>
      <c r="L72" s="47" t="s">
        <v>19</v>
      </c>
      <c r="M72" s="43" t="s">
        <v>79</v>
      </c>
      <c r="N72" s="43"/>
      <c r="O72" s="49">
        <v>0</v>
      </c>
      <c r="P72" s="49">
        <v>1499.4571430000001</v>
      </c>
      <c r="Q72" s="47" t="s">
        <v>20</v>
      </c>
      <c r="R72" s="43" t="s">
        <v>18</v>
      </c>
    </row>
    <row r="73" spans="2:18" ht="15.75" customHeight="1" x14ac:dyDescent="0.2">
      <c r="B73" s="42">
        <v>43873</v>
      </c>
      <c r="C73" s="46"/>
      <c r="D73" s="42"/>
      <c r="E73" s="44">
        <v>1499.4571430000001</v>
      </c>
      <c r="F73" s="45">
        <v>0</v>
      </c>
      <c r="G73" s="44">
        <v>1</v>
      </c>
      <c r="H73" s="43" t="s">
        <v>21</v>
      </c>
      <c r="I73" s="43" t="s">
        <v>51</v>
      </c>
      <c r="J73" s="43" t="s">
        <v>67</v>
      </c>
      <c r="K73" s="43" t="s">
        <v>19</v>
      </c>
      <c r="L73" s="43" t="s">
        <v>19</v>
      </c>
      <c r="M73" s="43" t="s">
        <v>79</v>
      </c>
      <c r="N73" s="43"/>
      <c r="O73" s="44">
        <v>1499.4571430000001</v>
      </c>
      <c r="P73" s="44">
        <v>0</v>
      </c>
      <c r="Q73" s="43" t="s">
        <v>20</v>
      </c>
      <c r="R73" s="43" t="s">
        <v>18</v>
      </c>
    </row>
    <row r="74" spans="2:18" ht="15.75" customHeight="1" x14ac:dyDescent="0.2">
      <c r="B74" s="42">
        <v>43873</v>
      </c>
      <c r="C74" s="46"/>
      <c r="D74" s="42"/>
      <c r="E74" s="44">
        <v>2315.5952379999999</v>
      </c>
      <c r="F74" s="45">
        <v>0</v>
      </c>
      <c r="G74" s="44">
        <v>1.1000000000000001</v>
      </c>
      <c r="H74" s="43" t="s">
        <v>21</v>
      </c>
      <c r="I74" s="43" t="s">
        <v>51</v>
      </c>
      <c r="J74" s="43" t="s">
        <v>84</v>
      </c>
      <c r="K74" s="43" t="s">
        <v>30</v>
      </c>
      <c r="L74" s="43" t="s">
        <v>19</v>
      </c>
      <c r="M74" s="43" t="s">
        <v>26</v>
      </c>
      <c r="N74" s="43"/>
      <c r="O74" s="44">
        <v>2547.1547620000001</v>
      </c>
      <c r="P74" s="44">
        <v>0</v>
      </c>
      <c r="Q74" s="43" t="s">
        <v>20</v>
      </c>
      <c r="R74" s="43" t="s">
        <v>23</v>
      </c>
    </row>
    <row r="75" spans="2:18" ht="15.75" customHeight="1" x14ac:dyDescent="0.2">
      <c r="B75" s="42">
        <v>43873</v>
      </c>
      <c r="C75" s="50"/>
      <c r="D75" s="69"/>
      <c r="E75" s="48">
        <v>0</v>
      </c>
      <c r="F75" s="49">
        <v>2315.5952379999999</v>
      </c>
      <c r="G75" s="49">
        <v>1.1000000000000001</v>
      </c>
      <c r="H75" s="47" t="s">
        <v>21</v>
      </c>
      <c r="I75" s="47" t="s">
        <v>55</v>
      </c>
      <c r="J75" s="47" t="s">
        <v>67</v>
      </c>
      <c r="K75" s="43" t="s">
        <v>30</v>
      </c>
      <c r="L75" s="47" t="s">
        <v>19</v>
      </c>
      <c r="M75" s="43" t="s">
        <v>26</v>
      </c>
      <c r="N75" s="43"/>
      <c r="O75" s="49">
        <v>0</v>
      </c>
      <c r="P75" s="49">
        <v>2547.1547620000001</v>
      </c>
      <c r="Q75" s="47" t="s">
        <v>58</v>
      </c>
      <c r="R75" s="43" t="s">
        <v>23</v>
      </c>
    </row>
    <row r="76" spans="2:18" ht="15.75" customHeight="1" x14ac:dyDescent="0.2">
      <c r="B76" s="42">
        <v>43873</v>
      </c>
      <c r="C76" s="50"/>
      <c r="D76" s="69"/>
      <c r="E76" s="48">
        <v>0</v>
      </c>
      <c r="F76" s="49">
        <v>2315.5952379999999</v>
      </c>
      <c r="G76" s="49">
        <v>1.1000000000000001</v>
      </c>
      <c r="H76" s="47" t="s">
        <v>21</v>
      </c>
      <c r="I76" s="47" t="s">
        <v>55</v>
      </c>
      <c r="J76" s="47" t="s">
        <v>84</v>
      </c>
      <c r="K76" s="43" t="s">
        <v>30</v>
      </c>
      <c r="L76" s="47" t="s">
        <v>19</v>
      </c>
      <c r="M76" s="43" t="s">
        <v>26</v>
      </c>
      <c r="N76" s="43"/>
      <c r="O76" s="49">
        <v>0</v>
      </c>
      <c r="P76" s="49">
        <v>2547.1547620000001</v>
      </c>
      <c r="Q76" s="47" t="s">
        <v>20</v>
      </c>
      <c r="R76" s="43" t="s">
        <v>23</v>
      </c>
    </row>
    <row r="77" spans="2:18" ht="15.75" customHeight="1" x14ac:dyDescent="0.2">
      <c r="B77" s="42">
        <v>43873</v>
      </c>
      <c r="C77" s="46"/>
      <c r="D77" s="42"/>
      <c r="E77" s="44">
        <v>2547.1547620000001</v>
      </c>
      <c r="F77" s="45">
        <v>0</v>
      </c>
      <c r="G77" s="44">
        <v>1</v>
      </c>
      <c r="H77" s="43" t="s">
        <v>21</v>
      </c>
      <c r="I77" s="43" t="s">
        <v>51</v>
      </c>
      <c r="J77" s="43" t="s">
        <v>67</v>
      </c>
      <c r="K77" s="43" t="s">
        <v>19</v>
      </c>
      <c r="L77" s="43" t="s">
        <v>19</v>
      </c>
      <c r="M77" s="43" t="s">
        <v>26</v>
      </c>
      <c r="N77" s="43"/>
      <c r="O77" s="44">
        <v>2547.1547620000001</v>
      </c>
      <c r="P77" s="44">
        <v>0</v>
      </c>
      <c r="Q77" s="43" t="s">
        <v>20</v>
      </c>
      <c r="R77" s="43" t="s">
        <v>23</v>
      </c>
    </row>
    <row r="78" spans="2:18" ht="15.75" customHeight="1" x14ac:dyDescent="0.2">
      <c r="B78" s="42">
        <v>43873</v>
      </c>
      <c r="C78" s="46"/>
      <c r="D78" s="42"/>
      <c r="E78" s="44">
        <v>1389.357143</v>
      </c>
      <c r="F78" s="45">
        <v>0</v>
      </c>
      <c r="G78" s="44">
        <v>1.1000000000000001</v>
      </c>
      <c r="H78" s="43" t="s">
        <v>21</v>
      </c>
      <c r="I78" s="43" t="s">
        <v>51</v>
      </c>
      <c r="J78" s="43" t="s">
        <v>84</v>
      </c>
      <c r="K78" s="43" t="s">
        <v>30</v>
      </c>
      <c r="L78" s="43" t="s">
        <v>19</v>
      </c>
      <c r="M78" s="43" t="s">
        <v>79</v>
      </c>
      <c r="N78" s="43"/>
      <c r="O78" s="44">
        <v>1528.2928569999999</v>
      </c>
      <c r="P78" s="44">
        <v>0</v>
      </c>
      <c r="Q78" s="43" t="s">
        <v>20</v>
      </c>
      <c r="R78" s="43" t="s">
        <v>23</v>
      </c>
    </row>
    <row r="79" spans="2:18" ht="15.75" customHeight="1" x14ac:dyDescent="0.2">
      <c r="B79" s="42">
        <v>43873</v>
      </c>
      <c r="C79" s="50"/>
      <c r="D79" s="69"/>
      <c r="E79" s="48">
        <v>0</v>
      </c>
      <c r="F79" s="49">
        <v>1389.357143</v>
      </c>
      <c r="G79" s="49">
        <v>1.1000000000000001</v>
      </c>
      <c r="H79" s="47" t="s">
        <v>21</v>
      </c>
      <c r="I79" s="47" t="s">
        <v>55</v>
      </c>
      <c r="J79" s="47" t="s">
        <v>67</v>
      </c>
      <c r="K79" s="43" t="s">
        <v>30</v>
      </c>
      <c r="L79" s="47" t="s">
        <v>19</v>
      </c>
      <c r="M79" s="43" t="s">
        <v>79</v>
      </c>
      <c r="N79" s="43"/>
      <c r="O79" s="49">
        <v>0</v>
      </c>
      <c r="P79" s="49">
        <v>1528.2928569999999</v>
      </c>
      <c r="Q79" s="47" t="s">
        <v>58</v>
      </c>
      <c r="R79" s="43" t="s">
        <v>23</v>
      </c>
    </row>
    <row r="80" spans="2:18" ht="15.75" customHeight="1" x14ac:dyDescent="0.2">
      <c r="B80" s="42">
        <v>43873</v>
      </c>
      <c r="C80" s="50"/>
      <c r="D80" s="69"/>
      <c r="E80" s="48">
        <v>0</v>
      </c>
      <c r="F80" s="49">
        <v>1389.357143</v>
      </c>
      <c r="G80" s="49">
        <v>1.1000000000000001</v>
      </c>
      <c r="H80" s="47" t="s">
        <v>21</v>
      </c>
      <c r="I80" s="47" t="s">
        <v>55</v>
      </c>
      <c r="J80" s="47" t="s">
        <v>84</v>
      </c>
      <c r="K80" s="43" t="s">
        <v>30</v>
      </c>
      <c r="L80" s="47" t="s">
        <v>19</v>
      </c>
      <c r="M80" s="43" t="s">
        <v>79</v>
      </c>
      <c r="N80" s="43"/>
      <c r="O80" s="49">
        <v>0</v>
      </c>
      <c r="P80" s="49">
        <v>1528.2928569999999</v>
      </c>
      <c r="Q80" s="47" t="s">
        <v>20</v>
      </c>
      <c r="R80" s="43" t="s">
        <v>23</v>
      </c>
    </row>
    <row r="81" spans="2:18" ht="15.75" customHeight="1" x14ac:dyDescent="0.2">
      <c r="B81" s="42">
        <v>43873</v>
      </c>
      <c r="C81" s="46"/>
      <c r="D81" s="42"/>
      <c r="E81" s="44">
        <v>1528.2928569999999</v>
      </c>
      <c r="F81" s="45">
        <v>0</v>
      </c>
      <c r="G81" s="44">
        <v>1</v>
      </c>
      <c r="H81" s="43" t="s">
        <v>21</v>
      </c>
      <c r="I81" s="43" t="s">
        <v>51</v>
      </c>
      <c r="J81" s="43" t="s">
        <v>67</v>
      </c>
      <c r="K81" s="43" t="s">
        <v>19</v>
      </c>
      <c r="L81" s="43" t="s">
        <v>19</v>
      </c>
      <c r="M81" s="43" t="s">
        <v>79</v>
      </c>
      <c r="N81" s="43"/>
      <c r="O81" s="44">
        <v>1528.2928569999999</v>
      </c>
      <c r="P81" s="44">
        <v>0</v>
      </c>
      <c r="Q81" s="43" t="s">
        <v>20</v>
      </c>
      <c r="R81" s="43" t="s">
        <v>23</v>
      </c>
    </row>
    <row r="82" spans="2:18" ht="15.75" customHeight="1" x14ac:dyDescent="0.2"/>
    <row r="83" spans="2:18" ht="15.75" customHeight="1" x14ac:dyDescent="0.2"/>
    <row r="84" spans="2:18" ht="15.75" customHeight="1" x14ac:dyDescent="0.2"/>
    <row r="85" spans="2:18" ht="15.75" customHeight="1" x14ac:dyDescent="0.2"/>
    <row r="86" spans="2:18" ht="15.75" customHeight="1" x14ac:dyDescent="0.2"/>
    <row r="87" spans="2:18" ht="15.75" customHeight="1" x14ac:dyDescent="0.2"/>
    <row r="88" spans="2:18" ht="15.75" customHeight="1" x14ac:dyDescent="0.2"/>
    <row r="89" spans="2:18" ht="15.75" customHeight="1" x14ac:dyDescent="0.2"/>
    <row r="90" spans="2:18" ht="15.75" customHeight="1" x14ac:dyDescent="0.2"/>
    <row r="91" spans="2:18" ht="15.75" customHeight="1" x14ac:dyDescent="0.2"/>
    <row r="92" spans="2:18" ht="15.75" customHeight="1" x14ac:dyDescent="0.2"/>
    <row r="93" spans="2:18" ht="15.75" customHeight="1" x14ac:dyDescent="0.2"/>
    <row r="94" spans="2:18" ht="15.75" customHeight="1" x14ac:dyDescent="0.2"/>
    <row r="95" spans="2:18" ht="15.75" customHeight="1" x14ac:dyDescent="0.2"/>
    <row r="96" spans="2:1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68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IFERROR(__xludf.DUMMYFUNCTION("""COMPUTED_VALUE"""),"From")</f>
        <v>From</v>
      </c>
      <c r="E5" s="22" t="str">
        <f ca="1">IFERROR(__xludf.DUMMYFUNCTION("""COMPUTED_VALUE"""),"To")</f>
        <v>To</v>
      </c>
      <c r="F5" s="23" t="str">
        <f ca="1">IFERROR(__xludf.DUMMYFUNCTION("""COMPUTED_VALUE"""),"SettlementDate")</f>
        <v>SettlementDate</v>
      </c>
      <c r="G5" s="22" t="str">
        <f ca="1">IFERROR(__xludf.DUMMYFUNCTION("""COMPUTED_VALUE"""),"TradeDate")</f>
        <v>TradeDate</v>
      </c>
      <c r="H5" s="22" t="str">
        <f ca="1">IFERROR(__xludf.DUMMYFUNCTION("""COMPUTED_VALUE"""),"All")</f>
        <v>All</v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43873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6"/>
  <sheetViews>
    <sheetView workbookViewId="0">
      <selection activeCell="F18" sqref="F1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69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IFERROR(__xludf.DUMMYFUNCTION("""COMPUTED_VALUE"""),"Activity Source")</f>
        <v>Activity Source</v>
      </c>
      <c r="D5" s="22" t="str">
        <f ca="1">IFERROR(__xludf.DUMMYFUNCTION("""COMPUTED_VALUE"""),"ActivityType")</f>
        <v>ActivityType</v>
      </c>
      <c r="E5" s="22" t="str">
        <f ca="1">IFERROR(__xludf.DUMMYFUNCTION("""COMPUTED_VALUE"""),"Net Amount(Local)")</f>
        <v>Net Amount(Local)</v>
      </c>
      <c r="F5" s="23" t="str">
        <f ca="1">IFERROR(__xludf.DUMMYFUNCTION("""COMPUTED_VALUE"""),"AUEC Fee1")</f>
        <v>AUEC Fee1</v>
      </c>
      <c r="G5" s="22" t="str">
        <f ca="1">IFERROR(__xludf.DUMMYFUNCTION("""COMPUTED_VALUE"""),"AUEC Fee2")</f>
        <v>AUEC Fee2</v>
      </c>
      <c r="H5" s="22" t="str">
        <f ca="1">IFERROR(__xludf.DUMMYFUNCTION("""COMPUTED_VALUE"""),"Balance Type")</f>
        <v>Balance Type</v>
      </c>
      <c r="I5" s="22" t="str">
        <f ca="1">IFERROR(__xludf.DUMMYFUNCTION("""COMPUTED_VALUE"""),"Clearing Broker Fees")</f>
        <v>Clearing Broker Fees</v>
      </c>
      <c r="J5" s="22" t="str">
        <f ca="1">IFERROR(__xludf.DUMMYFUNCTION("""COMPUTED_VALUE"""),"Commission")</f>
        <v>Commission</v>
      </c>
      <c r="K5" s="22" t="str">
        <f ca="1">IFERROR(__xludf.DUMMYFUNCTION("""COMPUTED_VALUE"""),"Currency")</f>
        <v>Currency</v>
      </c>
      <c r="L5" s="22" t="str">
        <f ca="1">IFERROR(__xludf.DUMMYFUNCTION("""COMPUTED_VALUE"""),"Description")</f>
        <v>Description</v>
      </c>
      <c r="M5" s="22" t="str">
        <f ca="1">IFERROR(__xludf.DUMMYFUNCTION("""COMPUTED_VALUE"""),"Entry Date")</f>
        <v>Entry Date</v>
      </c>
      <c r="N5" s="22" t="str">
        <f ca="1">IFERROR(__xludf.DUMMYFUNCTION("""COMPUTED_VALUE"""),"FX Conversion Method Operator")</f>
        <v>FX Conversion Method Operator</v>
      </c>
      <c r="O5" s="22" t="str">
        <f ca="1">IFERROR(__xludf.DUMMYFUNCTION("""COMPUTED_VALUE"""),"Fx Rate")</f>
        <v>Fx Rate</v>
      </c>
      <c r="P5" s="22" t="str">
        <f ca="1">IFERROR(__xludf.DUMMYFUNCTION("""COMPUTED_VALUE"""),"Lead Currency")</f>
        <v>Lead Currency</v>
      </c>
      <c r="Q5" s="22" t="str">
        <f ca="1">IFERROR(__xludf.DUMMYFUNCTION("""COMPUTED_VALUE"""),"Modify date")</f>
        <v>Modify date</v>
      </c>
      <c r="R5" s="22" t="str">
        <f ca="1">IFERROR(__xludf.DUMMYFUNCTION("""COMPUTED_VALUE"""),"OCC Fee")</f>
        <v>OCC Fee</v>
      </c>
      <c r="S5" s="22" t="str">
        <f ca="1">IFERROR(__xludf.DUMMYFUNCTION("""COMPUTED_VALUE"""),"OptionPremiumAdjustment")</f>
        <v>OptionPremiumAdjustment</v>
      </c>
      <c r="T5" s="24" t="str">
        <f ca="1">IFERROR(__xludf.DUMMYFUNCTION("""COMPUTED_VALUE"""),"ORF Fee")</f>
        <v>ORF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IFERROR(__xludf.DUMMYFUNCTION("""COMPUTED_VALUE"""),"Quantity")</f>
        <v>Quantity</v>
      </c>
      <c r="W5" s="24" t="str">
        <f ca="1">IFERROR(__xludf.DUMMYFUNCTION("""COMPUTED_VALUE"""),"SEC Fee")</f>
        <v>SEC Fee</v>
      </c>
      <c r="X5" s="24" t="str">
        <f ca="1">IFERROR(__xludf.DUMMYFUNCTION("""COMPUTED_VALUE"""),"Settlement Currency")</f>
        <v>Settlement Currency</v>
      </c>
      <c r="Y5" s="24" t="str">
        <f ca="1">IFERROR(__xludf.DUMMYFUNCTION("""COMPUTED_VALUE"""),"Settlement Date")</f>
        <v>Settlement Date</v>
      </c>
      <c r="Z5" s="24" t="str">
        <f ca="1">IFERROR(__xludf.DUMMYFUNCTION("""COMPUTED_VALUE"""),"Soft Commission")</f>
        <v>Soft Commission</v>
      </c>
      <c r="AA5" s="24" t="str">
        <f ca="1">IFERROR(__xludf.DUMMYFUNCTION("""COMPUTED_VALUE"""),"Stamp Duty")</f>
        <v>Stamp Duty</v>
      </c>
      <c r="AB5" s="24" t="str">
        <f ca="1">IFERROR(__xludf.DUMMYFUNCTION("""COMPUTED_VALUE"""),"Symbol")</f>
        <v>Symbol</v>
      </c>
      <c r="AC5" s="24" t="str">
        <f ca="1">IFERROR(__xludf.DUMMYFUNCTION("""COMPUTED_VALUE"""),"Tax On Commissions")</f>
        <v>Tax On Commissions</v>
      </c>
      <c r="AD5" s="24" t="str">
        <f ca="1">IFERROR(__xludf.DUMMYFUNCTION("""COMPUTED_VALUE"""),"Total Commissions")</f>
        <v>Total Commissions</v>
      </c>
      <c r="AE5" s="24" t="str">
        <f ca="1">IFERROR(__xludf.DUMMYFUNCTION("""COMPUTED_VALUE"""),"Trade Date")</f>
        <v>Trade Date</v>
      </c>
      <c r="AF5" s="24" t="str">
        <f ca="1">IFERROR(__xludf.DUMMYFUNCTION("""COMPUTED_VALUE"""),"Transaction Levy")</f>
        <v>Transaction Levy</v>
      </c>
      <c r="AG5" s="24" t="str">
        <f ca="1">IFERROR(__xludf.DUMMYFUNCTION("""COMPUTED_VALUE"""),"Transaction Source")</f>
        <v>Transaction Source</v>
      </c>
      <c r="AH5" s="24" t="str">
        <f ca="1">IFERROR(__xludf.DUMMYFUNCTION("""COMPUTED_VALUE"""),"User")</f>
        <v>User</v>
      </c>
      <c r="AI5" s="24" t="str">
        <f ca="1">IFERROR(__xludf.DUMMYFUNCTION("""COMPUTED_VALUE"""),"Vs Currency")</f>
        <v>Vs Currency</v>
      </c>
      <c r="AJ5" s="24" t="str">
        <f ca="1">IFERROR(__xludf.DUMMYFUNCTION("""COMPUTED_VALUE"""),"SettlCurrencyID")</f>
        <v>SettlCurrencyID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43" t="s">
        <v>23</v>
      </c>
      <c r="C6" s="43" t="s">
        <v>52</v>
      </c>
      <c r="D6" s="43" t="s">
        <v>70</v>
      </c>
      <c r="E6" s="44">
        <v>-270.05</v>
      </c>
      <c r="F6" s="44">
        <v>0</v>
      </c>
      <c r="G6" s="44">
        <v>0</v>
      </c>
      <c r="H6" s="43" t="s">
        <v>71</v>
      </c>
      <c r="I6" s="44">
        <v>0</v>
      </c>
      <c r="J6" s="44">
        <v>0</v>
      </c>
      <c r="K6" s="43" t="s">
        <v>30</v>
      </c>
      <c r="L6" s="43" t="s">
        <v>53</v>
      </c>
      <c r="M6" s="46"/>
      <c r="N6" s="43" t="s">
        <v>21</v>
      </c>
      <c r="O6" s="44">
        <v>1.5</v>
      </c>
      <c r="P6" s="52"/>
      <c r="Q6" s="46"/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  <c r="X6" s="52"/>
      <c r="Y6" s="53"/>
      <c r="Z6" s="44">
        <v>0</v>
      </c>
      <c r="AA6" s="44">
        <v>0</v>
      </c>
      <c r="AB6" s="43" t="s">
        <v>26</v>
      </c>
      <c r="AC6" s="44">
        <v>0</v>
      </c>
      <c r="AD6" s="44">
        <v>0</v>
      </c>
      <c r="AE6" s="42">
        <v>43871</v>
      </c>
      <c r="AF6" s="44">
        <v>0</v>
      </c>
      <c r="AG6" s="54" t="s">
        <v>52</v>
      </c>
    </row>
    <row r="7" spans="1:154" ht="15.75" customHeight="1" x14ac:dyDescent="0.2">
      <c r="A7" s="5"/>
      <c r="B7" s="55" t="s">
        <v>23</v>
      </c>
      <c r="C7" s="55" t="s">
        <v>52</v>
      </c>
      <c r="D7" s="55" t="s">
        <v>70</v>
      </c>
      <c r="E7" s="56">
        <v>-1481.98</v>
      </c>
      <c r="F7" s="56">
        <v>0</v>
      </c>
      <c r="G7" s="56">
        <v>0</v>
      </c>
      <c r="H7" s="55" t="s">
        <v>71</v>
      </c>
      <c r="I7" s="56">
        <v>0</v>
      </c>
      <c r="J7" s="56">
        <v>0</v>
      </c>
      <c r="K7" s="55" t="s">
        <v>19</v>
      </c>
      <c r="L7" s="55" t="s">
        <v>53</v>
      </c>
      <c r="M7" s="57"/>
      <c r="N7" s="55" t="s">
        <v>21</v>
      </c>
      <c r="O7" s="56">
        <v>1</v>
      </c>
      <c r="P7" s="58"/>
      <c r="Q7" s="57"/>
      <c r="R7" s="56">
        <v>0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58"/>
      <c r="Y7" s="59"/>
      <c r="Z7" s="56">
        <v>0</v>
      </c>
      <c r="AA7" s="56">
        <v>0</v>
      </c>
      <c r="AB7" s="55" t="s">
        <v>30</v>
      </c>
      <c r="AC7" s="56">
        <v>0</v>
      </c>
      <c r="AD7" s="56">
        <v>0</v>
      </c>
      <c r="AE7" s="60">
        <v>43871</v>
      </c>
      <c r="AF7" s="56">
        <v>0</v>
      </c>
      <c r="AG7" s="61" t="s">
        <v>52</v>
      </c>
    </row>
    <row r="8" spans="1:154" ht="15.75" customHeight="1" x14ac:dyDescent="0.2">
      <c r="A8" s="5"/>
      <c r="B8" s="43" t="s">
        <v>18</v>
      </c>
      <c r="C8" s="43" t="s">
        <v>52</v>
      </c>
      <c r="D8" s="43" t="s">
        <v>70</v>
      </c>
      <c r="E8" s="44">
        <v>-264.95</v>
      </c>
      <c r="F8" s="44">
        <v>0</v>
      </c>
      <c r="G8" s="44">
        <v>0</v>
      </c>
      <c r="H8" s="43" t="s">
        <v>71</v>
      </c>
      <c r="I8" s="44">
        <v>0</v>
      </c>
      <c r="J8" s="44">
        <v>0</v>
      </c>
      <c r="K8" s="43" t="s">
        <v>30</v>
      </c>
      <c r="L8" s="43" t="s">
        <v>53</v>
      </c>
      <c r="M8" s="46"/>
      <c r="N8" s="43" t="s">
        <v>21</v>
      </c>
      <c r="O8" s="44">
        <v>1.5</v>
      </c>
      <c r="P8" s="52"/>
      <c r="Q8" s="46"/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52"/>
      <c r="Y8" s="53"/>
      <c r="Z8" s="44">
        <v>0</v>
      </c>
      <c r="AA8" s="44">
        <v>0</v>
      </c>
      <c r="AB8" s="43" t="s">
        <v>26</v>
      </c>
      <c r="AC8" s="44">
        <v>0</v>
      </c>
      <c r="AD8" s="44">
        <v>0</v>
      </c>
      <c r="AE8" s="42">
        <v>43871</v>
      </c>
      <c r="AF8" s="44">
        <v>0</v>
      </c>
      <c r="AG8" s="54" t="s">
        <v>52</v>
      </c>
    </row>
    <row r="9" spans="1:154" ht="15.75" customHeight="1" x14ac:dyDescent="0.2">
      <c r="A9" s="5"/>
      <c r="B9" s="55" t="s">
        <v>18</v>
      </c>
      <c r="C9" s="55" t="s">
        <v>52</v>
      </c>
      <c r="D9" s="55" t="s">
        <v>70</v>
      </c>
      <c r="E9" s="56">
        <v>-1454.02</v>
      </c>
      <c r="F9" s="56">
        <v>0</v>
      </c>
      <c r="G9" s="56">
        <v>0</v>
      </c>
      <c r="H9" s="55" t="s">
        <v>71</v>
      </c>
      <c r="I9" s="56">
        <v>0</v>
      </c>
      <c r="J9" s="56">
        <v>0</v>
      </c>
      <c r="K9" s="55" t="s">
        <v>19</v>
      </c>
      <c r="L9" s="55" t="s">
        <v>53</v>
      </c>
      <c r="M9" s="57"/>
      <c r="N9" s="55" t="s">
        <v>21</v>
      </c>
      <c r="O9" s="56">
        <v>1</v>
      </c>
      <c r="P9" s="58"/>
      <c r="Q9" s="57"/>
      <c r="R9" s="56">
        <v>0</v>
      </c>
      <c r="S9" s="56">
        <v>0</v>
      </c>
      <c r="T9" s="56">
        <v>0</v>
      </c>
      <c r="U9" s="56">
        <v>0</v>
      </c>
      <c r="V9" s="56">
        <v>0</v>
      </c>
      <c r="W9" s="56">
        <v>0</v>
      </c>
      <c r="X9" s="58"/>
      <c r="Y9" s="59"/>
      <c r="Z9" s="56">
        <v>0</v>
      </c>
      <c r="AA9" s="56">
        <v>0</v>
      </c>
      <c r="AB9" s="55" t="s">
        <v>30</v>
      </c>
      <c r="AC9" s="56">
        <v>0</v>
      </c>
      <c r="AD9" s="56">
        <v>0</v>
      </c>
      <c r="AE9" s="60">
        <v>43871</v>
      </c>
      <c r="AF9" s="56">
        <v>0</v>
      </c>
      <c r="AG9" s="61" t="s">
        <v>52</v>
      </c>
    </row>
    <row r="10" spans="1:154" ht="15.75" customHeight="1" x14ac:dyDescent="0.2">
      <c r="A10" s="5"/>
      <c r="B10" s="43" t="s">
        <v>18</v>
      </c>
      <c r="C10" s="43" t="s">
        <v>52</v>
      </c>
      <c r="D10" s="43" t="s">
        <v>72</v>
      </c>
      <c r="E10" s="44">
        <v>-3635.0476189999999</v>
      </c>
      <c r="F10" s="44">
        <v>0</v>
      </c>
      <c r="G10" s="44">
        <v>0</v>
      </c>
      <c r="H10" s="43" t="s">
        <v>71</v>
      </c>
      <c r="I10" s="44">
        <v>0</v>
      </c>
      <c r="J10" s="44">
        <v>0</v>
      </c>
      <c r="K10" s="43" t="s">
        <v>30</v>
      </c>
      <c r="L10" s="43" t="s">
        <v>61</v>
      </c>
      <c r="M10" s="46"/>
      <c r="N10" s="43" t="s">
        <v>21</v>
      </c>
      <c r="O10" s="44">
        <v>1.1000000000000001</v>
      </c>
      <c r="P10" s="52"/>
      <c r="Q10" s="46"/>
      <c r="R10" s="44">
        <v>0</v>
      </c>
      <c r="S10" s="44">
        <v>0</v>
      </c>
      <c r="T10" s="44">
        <v>0</v>
      </c>
      <c r="U10" s="44">
        <v>0</v>
      </c>
      <c r="V10" s="44">
        <v>0</v>
      </c>
      <c r="W10" s="44">
        <v>0</v>
      </c>
      <c r="X10" s="52"/>
      <c r="Y10" s="53"/>
      <c r="Z10" s="44">
        <v>0</v>
      </c>
      <c r="AA10" s="44">
        <v>0</v>
      </c>
      <c r="AB10" s="43" t="s">
        <v>26</v>
      </c>
      <c r="AC10" s="44">
        <v>0</v>
      </c>
      <c r="AD10" s="44">
        <v>0</v>
      </c>
      <c r="AE10" s="42">
        <v>43871</v>
      </c>
      <c r="AF10" s="44">
        <v>0</v>
      </c>
      <c r="AG10" s="54" t="s">
        <v>52</v>
      </c>
    </row>
    <row r="11" spans="1:154" ht="15.75" customHeight="1" x14ac:dyDescent="0.2">
      <c r="A11" s="5"/>
      <c r="B11" s="55" t="s">
        <v>23</v>
      </c>
      <c r="C11" s="55" t="s">
        <v>52</v>
      </c>
      <c r="D11" s="55" t="s">
        <v>72</v>
      </c>
      <c r="E11" s="56">
        <v>-3704.9523810000001</v>
      </c>
      <c r="F11" s="56">
        <v>0</v>
      </c>
      <c r="G11" s="56">
        <v>0</v>
      </c>
      <c r="H11" s="55" t="s">
        <v>71</v>
      </c>
      <c r="I11" s="56">
        <v>0</v>
      </c>
      <c r="J11" s="56">
        <v>0</v>
      </c>
      <c r="K11" s="55" t="s">
        <v>30</v>
      </c>
      <c r="L11" s="55" t="s">
        <v>61</v>
      </c>
      <c r="M11" s="57"/>
      <c r="N11" s="55" t="s">
        <v>21</v>
      </c>
      <c r="O11" s="56">
        <v>1.1000000000000001</v>
      </c>
      <c r="P11" s="58"/>
      <c r="Q11" s="57"/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8"/>
      <c r="Y11" s="59"/>
      <c r="Z11" s="56">
        <v>0</v>
      </c>
      <c r="AA11" s="56">
        <v>0</v>
      </c>
      <c r="AB11" s="55" t="s">
        <v>26</v>
      </c>
      <c r="AC11" s="56">
        <v>0</v>
      </c>
      <c r="AD11" s="56">
        <v>0</v>
      </c>
      <c r="AE11" s="60">
        <v>43871</v>
      </c>
      <c r="AF11" s="56">
        <v>0</v>
      </c>
      <c r="AG11" s="61" t="s">
        <v>52</v>
      </c>
    </row>
    <row r="12" spans="1:154" ht="15.75" customHeight="1" x14ac:dyDescent="0.2">
      <c r="A12" s="5"/>
      <c r="B12" s="43" t="s">
        <v>18</v>
      </c>
      <c r="C12" s="43" t="s">
        <v>52</v>
      </c>
      <c r="D12" s="43" t="s">
        <v>72</v>
      </c>
      <c r="E12" s="44">
        <v>3635.0476189999999</v>
      </c>
      <c r="F12" s="44">
        <v>0</v>
      </c>
      <c r="G12" s="44">
        <v>0</v>
      </c>
      <c r="H12" s="43" t="s">
        <v>71</v>
      </c>
      <c r="I12" s="44">
        <v>0</v>
      </c>
      <c r="J12" s="44">
        <v>0</v>
      </c>
      <c r="K12" s="43" t="s">
        <v>30</v>
      </c>
      <c r="L12" s="43" t="s">
        <v>62</v>
      </c>
      <c r="M12" s="46"/>
      <c r="N12" s="43" t="s">
        <v>21</v>
      </c>
      <c r="O12" s="44">
        <v>1.5</v>
      </c>
      <c r="P12" s="52"/>
      <c r="Q12" s="46"/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52"/>
      <c r="Y12" s="53"/>
      <c r="Z12" s="44">
        <v>0</v>
      </c>
      <c r="AA12" s="44">
        <v>0</v>
      </c>
      <c r="AB12" s="43" t="s">
        <v>26</v>
      </c>
      <c r="AC12" s="44">
        <v>0</v>
      </c>
      <c r="AD12" s="44">
        <v>0</v>
      </c>
      <c r="AE12" s="42">
        <v>43871</v>
      </c>
      <c r="AF12" s="44">
        <v>0</v>
      </c>
      <c r="AG12" s="54" t="s">
        <v>52</v>
      </c>
    </row>
    <row r="13" spans="1:154" ht="15.75" customHeight="1" x14ac:dyDescent="0.2">
      <c r="A13" s="5"/>
      <c r="B13" s="55" t="s">
        <v>23</v>
      </c>
      <c r="C13" s="55" t="s">
        <v>52</v>
      </c>
      <c r="D13" s="55" t="s">
        <v>72</v>
      </c>
      <c r="E13" s="56">
        <v>3704.9523810000001</v>
      </c>
      <c r="F13" s="56">
        <v>0</v>
      </c>
      <c r="G13" s="56">
        <v>0</v>
      </c>
      <c r="H13" s="55" t="s">
        <v>71</v>
      </c>
      <c r="I13" s="56">
        <v>0</v>
      </c>
      <c r="J13" s="56">
        <v>0</v>
      </c>
      <c r="K13" s="55" t="s">
        <v>30</v>
      </c>
      <c r="L13" s="55" t="s">
        <v>62</v>
      </c>
      <c r="M13" s="57"/>
      <c r="N13" s="55" t="s">
        <v>21</v>
      </c>
      <c r="O13" s="56">
        <v>1.5</v>
      </c>
      <c r="P13" s="58"/>
      <c r="Q13" s="57"/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8"/>
      <c r="Y13" s="59"/>
      <c r="Z13" s="56">
        <v>0</v>
      </c>
      <c r="AA13" s="56">
        <v>0</v>
      </c>
      <c r="AB13" s="55" t="s">
        <v>26</v>
      </c>
      <c r="AC13" s="56">
        <v>0</v>
      </c>
      <c r="AD13" s="56">
        <v>0</v>
      </c>
      <c r="AE13" s="60">
        <v>43871</v>
      </c>
      <c r="AF13" s="56">
        <v>0</v>
      </c>
      <c r="AG13" s="61" t="s">
        <v>52</v>
      </c>
    </row>
    <row r="14" spans="1:154" ht="15.75" customHeight="1" x14ac:dyDescent="0.2">
      <c r="A14" s="5"/>
      <c r="B14" s="43" t="s">
        <v>18</v>
      </c>
      <c r="C14" s="43" t="s">
        <v>67</v>
      </c>
      <c r="D14" s="43" t="s">
        <v>73</v>
      </c>
      <c r="E14" s="44">
        <v>3635.0476189999999</v>
      </c>
      <c r="F14" s="44">
        <v>0</v>
      </c>
      <c r="G14" s="44">
        <v>0</v>
      </c>
      <c r="H14" s="43" t="s">
        <v>71</v>
      </c>
      <c r="I14" s="44">
        <v>0</v>
      </c>
      <c r="J14" s="44">
        <v>1.2380952380000001</v>
      </c>
      <c r="K14" s="43" t="s">
        <v>30</v>
      </c>
      <c r="L14" s="43" t="s">
        <v>74</v>
      </c>
      <c r="M14" s="46"/>
      <c r="N14" s="43" t="s">
        <v>21</v>
      </c>
      <c r="O14" s="44">
        <v>1.1000000000000001</v>
      </c>
      <c r="P14" s="52"/>
      <c r="Q14" s="46"/>
      <c r="R14" s="44">
        <v>0</v>
      </c>
      <c r="S14" s="44">
        <v>0</v>
      </c>
      <c r="T14" s="44">
        <v>0</v>
      </c>
      <c r="U14" s="44">
        <v>0</v>
      </c>
      <c r="V14" s="44">
        <v>52</v>
      </c>
      <c r="W14" s="44">
        <v>0</v>
      </c>
      <c r="X14" s="54" t="s">
        <v>30</v>
      </c>
      <c r="Y14" s="46"/>
      <c r="Z14" s="44">
        <v>3.7142857139999998</v>
      </c>
      <c r="AA14" s="44">
        <v>0</v>
      </c>
      <c r="AB14" s="43" t="s">
        <v>26</v>
      </c>
      <c r="AC14" s="44">
        <v>0</v>
      </c>
      <c r="AD14" s="44">
        <v>4.9523809520000004</v>
      </c>
      <c r="AE14" s="42">
        <v>43871</v>
      </c>
      <c r="AF14" s="44">
        <v>0</v>
      </c>
      <c r="AG14" s="54" t="s">
        <v>67</v>
      </c>
    </row>
    <row r="15" spans="1:154" ht="15.75" customHeight="1" x14ac:dyDescent="0.2">
      <c r="A15" s="5"/>
      <c r="B15" s="55" t="s">
        <v>23</v>
      </c>
      <c r="C15" s="55" t="s">
        <v>67</v>
      </c>
      <c r="D15" s="55" t="s">
        <v>73</v>
      </c>
      <c r="E15" s="56">
        <v>3704.9523810000001</v>
      </c>
      <c r="F15" s="56">
        <v>0</v>
      </c>
      <c r="G15" s="56">
        <v>0</v>
      </c>
      <c r="H15" s="55" t="s">
        <v>71</v>
      </c>
      <c r="I15" s="56">
        <v>0</v>
      </c>
      <c r="J15" s="56">
        <v>1.2619047619999999</v>
      </c>
      <c r="K15" s="55" t="s">
        <v>30</v>
      </c>
      <c r="L15" s="55" t="s">
        <v>74</v>
      </c>
      <c r="M15" s="57"/>
      <c r="N15" s="55" t="s">
        <v>21</v>
      </c>
      <c r="O15" s="56">
        <v>1.1000000000000001</v>
      </c>
      <c r="P15" s="58"/>
      <c r="Q15" s="57"/>
      <c r="R15" s="56">
        <v>0</v>
      </c>
      <c r="S15" s="56">
        <v>0</v>
      </c>
      <c r="T15" s="56">
        <v>0</v>
      </c>
      <c r="U15" s="56">
        <v>0</v>
      </c>
      <c r="V15" s="56">
        <v>53</v>
      </c>
      <c r="W15" s="56">
        <v>0</v>
      </c>
      <c r="X15" s="61" t="s">
        <v>30</v>
      </c>
      <c r="Y15" s="57"/>
      <c r="Z15" s="56">
        <v>3.7857142860000002</v>
      </c>
      <c r="AA15" s="56">
        <v>0</v>
      </c>
      <c r="AB15" s="55" t="s">
        <v>26</v>
      </c>
      <c r="AC15" s="56">
        <v>0</v>
      </c>
      <c r="AD15" s="56">
        <v>5.0476190479999996</v>
      </c>
      <c r="AE15" s="60">
        <v>43871</v>
      </c>
      <c r="AF15" s="56">
        <v>0</v>
      </c>
      <c r="AG15" s="61" t="s">
        <v>67</v>
      </c>
    </row>
    <row r="16" spans="1:154" ht="15.75" customHeight="1" x14ac:dyDescent="0.2">
      <c r="A16" s="5"/>
      <c r="B16" s="43" t="s">
        <v>23</v>
      </c>
      <c r="C16" s="43" t="s">
        <v>52</v>
      </c>
      <c r="D16" s="43" t="s">
        <v>75</v>
      </c>
      <c r="E16" s="44">
        <v>-2.67</v>
      </c>
      <c r="F16" s="44">
        <v>0</v>
      </c>
      <c r="G16" s="44">
        <v>0</v>
      </c>
      <c r="H16" s="43" t="s">
        <v>71</v>
      </c>
      <c r="I16" s="44">
        <v>0</v>
      </c>
      <c r="J16" s="44">
        <v>0</v>
      </c>
      <c r="K16" s="43" t="s">
        <v>30</v>
      </c>
      <c r="L16" s="43" t="s">
        <v>57</v>
      </c>
      <c r="M16" s="46"/>
      <c r="N16" s="43" t="s">
        <v>21</v>
      </c>
      <c r="O16" s="44">
        <v>1.1000000000000001</v>
      </c>
      <c r="P16" s="52"/>
      <c r="Q16" s="46"/>
      <c r="R16" s="44">
        <v>0</v>
      </c>
      <c r="S16" s="44">
        <v>0</v>
      </c>
      <c r="T16" s="44">
        <v>0</v>
      </c>
      <c r="U16" s="44">
        <v>0</v>
      </c>
      <c r="V16" s="44">
        <v>0</v>
      </c>
      <c r="W16" s="44">
        <v>0</v>
      </c>
      <c r="X16" s="52"/>
      <c r="Y16" s="53"/>
      <c r="Z16" s="44">
        <v>0</v>
      </c>
      <c r="AA16" s="44">
        <v>0</v>
      </c>
      <c r="AB16" s="43" t="s">
        <v>26</v>
      </c>
      <c r="AC16" s="44">
        <v>0</v>
      </c>
      <c r="AD16" s="44">
        <v>0</v>
      </c>
      <c r="AE16" s="42">
        <v>43872</v>
      </c>
      <c r="AF16" s="44">
        <v>0</v>
      </c>
      <c r="AG16" s="54" t="s">
        <v>52</v>
      </c>
    </row>
    <row r="17" spans="1:33" ht="15.75" customHeight="1" x14ac:dyDescent="0.2">
      <c r="A17" s="5"/>
      <c r="B17" s="55" t="s">
        <v>23</v>
      </c>
      <c r="C17" s="55" t="s">
        <v>52</v>
      </c>
      <c r="D17" s="55" t="s">
        <v>70</v>
      </c>
      <c r="E17" s="56">
        <v>-787.43</v>
      </c>
      <c r="F17" s="56">
        <v>0</v>
      </c>
      <c r="G17" s="56">
        <v>0</v>
      </c>
      <c r="H17" s="55" t="s">
        <v>71</v>
      </c>
      <c r="I17" s="56">
        <v>0</v>
      </c>
      <c r="J17" s="56">
        <v>0</v>
      </c>
      <c r="K17" s="55" t="s">
        <v>30</v>
      </c>
      <c r="L17" s="55" t="s">
        <v>53</v>
      </c>
      <c r="M17" s="57"/>
      <c r="N17" s="55" t="s">
        <v>21</v>
      </c>
      <c r="O17" s="56">
        <v>2</v>
      </c>
      <c r="P17" s="58"/>
      <c r="Q17" s="57"/>
      <c r="R17" s="56">
        <v>0</v>
      </c>
      <c r="S17" s="56">
        <v>0</v>
      </c>
      <c r="T17" s="56">
        <v>0</v>
      </c>
      <c r="U17" s="56">
        <v>0</v>
      </c>
      <c r="V17" s="56">
        <v>0</v>
      </c>
      <c r="W17" s="56">
        <v>0</v>
      </c>
      <c r="X17" s="58"/>
      <c r="Y17" s="59"/>
      <c r="Z17" s="56">
        <v>0</v>
      </c>
      <c r="AA17" s="56">
        <v>0</v>
      </c>
      <c r="AB17" s="55" t="s">
        <v>26</v>
      </c>
      <c r="AC17" s="56">
        <v>0</v>
      </c>
      <c r="AD17" s="56">
        <v>0</v>
      </c>
      <c r="AE17" s="60">
        <v>43872</v>
      </c>
      <c r="AF17" s="56">
        <v>0</v>
      </c>
      <c r="AG17" s="61" t="s">
        <v>52</v>
      </c>
    </row>
    <row r="18" spans="1:33" ht="15.75" customHeight="1" x14ac:dyDescent="0.2">
      <c r="A18" s="5"/>
      <c r="B18" s="43" t="s">
        <v>23</v>
      </c>
      <c r="C18" s="43" t="s">
        <v>52</v>
      </c>
      <c r="D18" s="43" t="s">
        <v>70</v>
      </c>
      <c r="E18" s="44">
        <v>-7526.26</v>
      </c>
      <c r="F18" s="44">
        <v>0</v>
      </c>
      <c r="G18" s="44">
        <v>0</v>
      </c>
      <c r="H18" s="43" t="s">
        <v>71</v>
      </c>
      <c r="I18" s="44">
        <v>0</v>
      </c>
      <c r="J18" s="44">
        <v>0</v>
      </c>
      <c r="K18" s="43" t="s">
        <v>19</v>
      </c>
      <c r="L18" s="43" t="s">
        <v>53</v>
      </c>
      <c r="M18" s="46"/>
      <c r="N18" s="43" t="s">
        <v>21</v>
      </c>
      <c r="O18" s="44">
        <v>1</v>
      </c>
      <c r="P18" s="52"/>
      <c r="Q18" s="46"/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52"/>
      <c r="Y18" s="53"/>
      <c r="Z18" s="44">
        <v>0</v>
      </c>
      <c r="AA18" s="44">
        <v>0</v>
      </c>
      <c r="AB18" s="43" t="s">
        <v>30</v>
      </c>
      <c r="AC18" s="44">
        <v>0</v>
      </c>
      <c r="AD18" s="44">
        <v>0</v>
      </c>
      <c r="AE18" s="42">
        <v>43872</v>
      </c>
      <c r="AF18" s="44">
        <v>0</v>
      </c>
      <c r="AG18" s="54" t="s">
        <v>52</v>
      </c>
    </row>
    <row r="19" spans="1:33" ht="15.75" customHeight="1" x14ac:dyDescent="0.2">
      <c r="A19" s="5"/>
      <c r="B19" s="55" t="s">
        <v>23</v>
      </c>
      <c r="C19" s="55" t="s">
        <v>52</v>
      </c>
      <c r="D19" s="55" t="s">
        <v>70</v>
      </c>
      <c r="E19" s="56">
        <v>-270.05</v>
      </c>
      <c r="F19" s="56">
        <v>0</v>
      </c>
      <c r="G19" s="56">
        <v>0</v>
      </c>
      <c r="H19" s="55" t="s">
        <v>71</v>
      </c>
      <c r="I19" s="56">
        <v>0</v>
      </c>
      <c r="J19" s="56">
        <v>0</v>
      </c>
      <c r="K19" s="55" t="s">
        <v>30</v>
      </c>
      <c r="L19" s="55" t="s">
        <v>53</v>
      </c>
      <c r="M19" s="57"/>
      <c r="N19" s="55" t="s">
        <v>21</v>
      </c>
      <c r="O19" s="56">
        <v>2</v>
      </c>
      <c r="P19" s="58"/>
      <c r="Q19" s="57"/>
      <c r="R19" s="56">
        <v>0</v>
      </c>
      <c r="S19" s="56">
        <v>0</v>
      </c>
      <c r="T19" s="56">
        <v>0</v>
      </c>
      <c r="U19" s="56">
        <v>0</v>
      </c>
      <c r="V19" s="56">
        <v>0</v>
      </c>
      <c r="W19" s="56">
        <v>0</v>
      </c>
      <c r="X19" s="58"/>
      <c r="Y19" s="59"/>
      <c r="Z19" s="56">
        <v>0</v>
      </c>
      <c r="AA19" s="56">
        <v>0</v>
      </c>
      <c r="AB19" s="55" t="s">
        <v>39</v>
      </c>
      <c r="AC19" s="56">
        <v>0</v>
      </c>
      <c r="AD19" s="56">
        <v>0</v>
      </c>
      <c r="AE19" s="60">
        <v>43872</v>
      </c>
      <c r="AF19" s="56">
        <v>0</v>
      </c>
      <c r="AG19" s="61" t="s">
        <v>52</v>
      </c>
    </row>
    <row r="20" spans="1:33" ht="15.75" customHeight="1" x14ac:dyDescent="0.2">
      <c r="A20" s="5"/>
      <c r="B20" s="43" t="s">
        <v>23</v>
      </c>
      <c r="C20" s="43" t="s">
        <v>52</v>
      </c>
      <c r="D20" s="43" t="s">
        <v>70</v>
      </c>
      <c r="E20" s="44">
        <v>270.05</v>
      </c>
      <c r="F20" s="44">
        <v>0</v>
      </c>
      <c r="G20" s="44">
        <v>0</v>
      </c>
      <c r="H20" s="43" t="s">
        <v>71</v>
      </c>
      <c r="I20" s="44">
        <v>0</v>
      </c>
      <c r="J20" s="44">
        <v>0</v>
      </c>
      <c r="K20" s="43" t="s">
        <v>30</v>
      </c>
      <c r="L20" s="43" t="s">
        <v>59</v>
      </c>
      <c r="M20" s="46"/>
      <c r="N20" s="43" t="s">
        <v>21</v>
      </c>
      <c r="O20" s="44">
        <v>1.5</v>
      </c>
      <c r="P20" s="52"/>
      <c r="Q20" s="46"/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52"/>
      <c r="Y20" s="53"/>
      <c r="Z20" s="44">
        <v>0</v>
      </c>
      <c r="AA20" s="44">
        <v>0</v>
      </c>
      <c r="AB20" s="43" t="s">
        <v>26</v>
      </c>
      <c r="AC20" s="44">
        <v>0</v>
      </c>
      <c r="AD20" s="44">
        <v>0</v>
      </c>
      <c r="AE20" s="42">
        <v>43872</v>
      </c>
      <c r="AF20" s="44">
        <v>0</v>
      </c>
      <c r="AG20" s="54" t="s">
        <v>52</v>
      </c>
    </row>
    <row r="21" spans="1:33" ht="15.75" customHeight="1" x14ac:dyDescent="0.2">
      <c r="A21" s="5"/>
      <c r="B21" s="55" t="s">
        <v>23</v>
      </c>
      <c r="C21" s="55" t="s">
        <v>52</v>
      </c>
      <c r="D21" s="55" t="s">
        <v>70</v>
      </c>
      <c r="E21" s="56">
        <v>1481.98</v>
      </c>
      <c r="F21" s="56">
        <v>0</v>
      </c>
      <c r="G21" s="56">
        <v>0</v>
      </c>
      <c r="H21" s="55" t="s">
        <v>71</v>
      </c>
      <c r="I21" s="56">
        <v>0</v>
      </c>
      <c r="J21" s="56">
        <v>0</v>
      </c>
      <c r="K21" s="55" t="s">
        <v>19</v>
      </c>
      <c r="L21" s="55" t="s">
        <v>59</v>
      </c>
      <c r="M21" s="57"/>
      <c r="N21" s="55" t="s">
        <v>21</v>
      </c>
      <c r="O21" s="56">
        <v>1</v>
      </c>
      <c r="P21" s="58"/>
      <c r="Q21" s="57"/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58"/>
      <c r="Y21" s="59"/>
      <c r="Z21" s="56">
        <v>0</v>
      </c>
      <c r="AA21" s="56">
        <v>0</v>
      </c>
      <c r="AB21" s="55" t="s">
        <v>30</v>
      </c>
      <c r="AC21" s="56">
        <v>0</v>
      </c>
      <c r="AD21" s="56">
        <v>0</v>
      </c>
      <c r="AE21" s="60">
        <v>43872</v>
      </c>
      <c r="AF21" s="56">
        <v>0</v>
      </c>
      <c r="AG21" s="61" t="s">
        <v>52</v>
      </c>
    </row>
    <row r="22" spans="1:33" ht="15.75" customHeight="1" x14ac:dyDescent="0.2">
      <c r="A22" s="5"/>
      <c r="B22" s="43" t="s">
        <v>23</v>
      </c>
      <c r="C22" s="43" t="s">
        <v>52</v>
      </c>
      <c r="D22" s="43" t="s">
        <v>72</v>
      </c>
      <c r="E22" s="44">
        <v>3704.95</v>
      </c>
      <c r="F22" s="44">
        <v>0</v>
      </c>
      <c r="G22" s="44">
        <v>0</v>
      </c>
      <c r="H22" s="43" t="s">
        <v>71</v>
      </c>
      <c r="I22" s="44">
        <v>0</v>
      </c>
      <c r="J22" s="44">
        <v>0</v>
      </c>
      <c r="K22" s="43" t="s">
        <v>30</v>
      </c>
      <c r="L22" s="43" t="s">
        <v>63</v>
      </c>
      <c r="M22" s="46"/>
      <c r="N22" s="43" t="s">
        <v>21</v>
      </c>
      <c r="O22" s="44">
        <v>2</v>
      </c>
      <c r="P22" s="52"/>
      <c r="Q22" s="46"/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52"/>
      <c r="Y22" s="53"/>
      <c r="Z22" s="44">
        <v>0</v>
      </c>
      <c r="AA22" s="44">
        <v>0</v>
      </c>
      <c r="AB22" s="43" t="s">
        <v>30</v>
      </c>
      <c r="AC22" s="44">
        <v>0</v>
      </c>
      <c r="AD22" s="44">
        <v>0</v>
      </c>
      <c r="AE22" s="42">
        <v>43872</v>
      </c>
      <c r="AF22" s="44">
        <v>0</v>
      </c>
      <c r="AG22" s="54" t="s">
        <v>52</v>
      </c>
    </row>
    <row r="23" spans="1:33" ht="15.75" customHeight="1" x14ac:dyDescent="0.2">
      <c r="A23" s="5"/>
      <c r="B23" s="55" t="s">
        <v>18</v>
      </c>
      <c r="C23" s="55" t="s">
        <v>52</v>
      </c>
      <c r="D23" s="55" t="s">
        <v>72</v>
      </c>
      <c r="E23" s="56">
        <v>3635.05</v>
      </c>
      <c r="F23" s="56">
        <v>0</v>
      </c>
      <c r="G23" s="56">
        <v>0</v>
      </c>
      <c r="H23" s="55" t="s">
        <v>71</v>
      </c>
      <c r="I23" s="56">
        <v>0</v>
      </c>
      <c r="J23" s="56">
        <v>0</v>
      </c>
      <c r="K23" s="55" t="s">
        <v>30</v>
      </c>
      <c r="L23" s="55" t="s">
        <v>63</v>
      </c>
      <c r="M23" s="57"/>
      <c r="N23" s="55" t="s">
        <v>21</v>
      </c>
      <c r="O23" s="56">
        <v>2</v>
      </c>
      <c r="P23" s="58"/>
      <c r="Q23" s="57"/>
      <c r="R23" s="56">
        <v>0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8"/>
      <c r="Y23" s="59"/>
      <c r="Z23" s="56">
        <v>0</v>
      </c>
      <c r="AA23" s="56">
        <v>0</v>
      </c>
      <c r="AB23" s="55" t="s">
        <v>30</v>
      </c>
      <c r="AC23" s="56">
        <v>0</v>
      </c>
      <c r="AD23" s="56">
        <v>0</v>
      </c>
      <c r="AE23" s="60">
        <v>43872</v>
      </c>
      <c r="AF23" s="56">
        <v>0</v>
      </c>
      <c r="AG23" s="61" t="s">
        <v>52</v>
      </c>
    </row>
    <row r="24" spans="1:33" ht="15.75" customHeight="1" x14ac:dyDescent="0.2">
      <c r="A24" s="5"/>
      <c r="B24" s="43" t="s">
        <v>23</v>
      </c>
      <c r="C24" s="43" t="s">
        <v>52</v>
      </c>
      <c r="D24" s="43" t="s">
        <v>72</v>
      </c>
      <c r="E24" s="44">
        <v>-3704.95</v>
      </c>
      <c r="F24" s="44">
        <v>0</v>
      </c>
      <c r="G24" s="44">
        <v>0</v>
      </c>
      <c r="H24" s="43" t="s">
        <v>71</v>
      </c>
      <c r="I24" s="44">
        <v>0</v>
      </c>
      <c r="J24" s="44">
        <v>0</v>
      </c>
      <c r="K24" s="43" t="s">
        <v>30</v>
      </c>
      <c r="L24" s="43" t="s">
        <v>64</v>
      </c>
      <c r="M24" s="46"/>
      <c r="N24" s="43" t="s">
        <v>21</v>
      </c>
      <c r="O24" s="44">
        <v>1.5</v>
      </c>
      <c r="P24" s="52"/>
      <c r="Q24" s="46"/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52"/>
      <c r="Y24" s="53"/>
      <c r="Z24" s="44">
        <v>0</v>
      </c>
      <c r="AA24" s="44">
        <v>0</v>
      </c>
      <c r="AB24" s="43" t="s">
        <v>30</v>
      </c>
      <c r="AC24" s="44">
        <v>0</v>
      </c>
      <c r="AD24" s="44">
        <v>0</v>
      </c>
      <c r="AE24" s="42">
        <v>43872</v>
      </c>
      <c r="AF24" s="44">
        <v>0</v>
      </c>
      <c r="AG24" s="54" t="s">
        <v>52</v>
      </c>
    </row>
    <row r="25" spans="1:33" ht="15.75" customHeight="1" x14ac:dyDescent="0.2">
      <c r="B25" s="55" t="s">
        <v>18</v>
      </c>
      <c r="C25" s="55" t="s">
        <v>52</v>
      </c>
      <c r="D25" s="55" t="s">
        <v>72</v>
      </c>
      <c r="E25" s="56">
        <v>-3635.05</v>
      </c>
      <c r="F25" s="56">
        <v>0</v>
      </c>
      <c r="G25" s="56">
        <v>0</v>
      </c>
      <c r="H25" s="55" t="s">
        <v>71</v>
      </c>
      <c r="I25" s="56">
        <v>0</v>
      </c>
      <c r="J25" s="56">
        <v>0</v>
      </c>
      <c r="K25" s="55" t="s">
        <v>30</v>
      </c>
      <c r="L25" s="55" t="s">
        <v>64</v>
      </c>
      <c r="M25" s="57"/>
      <c r="N25" s="55" t="s">
        <v>21</v>
      </c>
      <c r="O25" s="56">
        <v>1.5</v>
      </c>
      <c r="P25" s="58"/>
      <c r="Q25" s="57"/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8"/>
      <c r="Y25" s="59"/>
      <c r="Z25" s="56">
        <v>0</v>
      </c>
      <c r="AA25" s="56">
        <v>0</v>
      </c>
      <c r="AB25" s="55" t="s">
        <v>30</v>
      </c>
      <c r="AC25" s="56">
        <v>0</v>
      </c>
      <c r="AD25" s="56">
        <v>0</v>
      </c>
      <c r="AE25" s="60">
        <v>43872</v>
      </c>
      <c r="AF25" s="56">
        <v>0</v>
      </c>
      <c r="AG25" s="61" t="s">
        <v>52</v>
      </c>
    </row>
    <row r="26" spans="1:33" ht="15.75" customHeight="1" x14ac:dyDescent="0.2">
      <c r="B26" s="43" t="s">
        <v>18</v>
      </c>
      <c r="C26" s="43" t="s">
        <v>52</v>
      </c>
      <c r="D26" s="43" t="s">
        <v>75</v>
      </c>
      <c r="E26" s="44">
        <v>-2.57</v>
      </c>
      <c r="F26" s="44">
        <v>0</v>
      </c>
      <c r="G26" s="44">
        <v>0</v>
      </c>
      <c r="H26" s="43" t="s">
        <v>71</v>
      </c>
      <c r="I26" s="44">
        <v>0</v>
      </c>
      <c r="J26" s="44">
        <v>0</v>
      </c>
      <c r="K26" s="43" t="s">
        <v>30</v>
      </c>
      <c r="L26" s="43" t="s">
        <v>57</v>
      </c>
      <c r="M26" s="46"/>
      <c r="N26" s="43" t="s">
        <v>21</v>
      </c>
      <c r="O26" s="44">
        <v>1.1000000000000001</v>
      </c>
      <c r="P26" s="52"/>
      <c r="Q26" s="46"/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52"/>
      <c r="Y26" s="53"/>
      <c r="Z26" s="44">
        <v>0</v>
      </c>
      <c r="AA26" s="44">
        <v>0</v>
      </c>
      <c r="AB26" s="43" t="s">
        <v>26</v>
      </c>
      <c r="AC26" s="44">
        <v>0</v>
      </c>
      <c r="AD26" s="44">
        <v>0</v>
      </c>
      <c r="AE26" s="42">
        <v>43872</v>
      </c>
      <c r="AF26" s="44">
        <v>0</v>
      </c>
      <c r="AG26" s="54" t="s">
        <v>52</v>
      </c>
    </row>
    <row r="27" spans="1:33" ht="15.75" customHeight="1" x14ac:dyDescent="0.2">
      <c r="B27" s="55" t="s">
        <v>18</v>
      </c>
      <c r="C27" s="55" t="s">
        <v>52</v>
      </c>
      <c r="D27" s="55" t="s">
        <v>70</v>
      </c>
      <c r="E27" s="56">
        <v>-777.33</v>
      </c>
      <c r="F27" s="56">
        <v>0</v>
      </c>
      <c r="G27" s="56">
        <v>0</v>
      </c>
      <c r="H27" s="55" t="s">
        <v>71</v>
      </c>
      <c r="I27" s="56">
        <v>0</v>
      </c>
      <c r="J27" s="56">
        <v>0</v>
      </c>
      <c r="K27" s="55" t="s">
        <v>30</v>
      </c>
      <c r="L27" s="55" t="s">
        <v>53</v>
      </c>
      <c r="M27" s="57"/>
      <c r="N27" s="55" t="s">
        <v>21</v>
      </c>
      <c r="O27" s="56">
        <v>2</v>
      </c>
      <c r="P27" s="58"/>
      <c r="Q27" s="57"/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8"/>
      <c r="Y27" s="59"/>
      <c r="Z27" s="56">
        <v>0</v>
      </c>
      <c r="AA27" s="56">
        <v>0</v>
      </c>
      <c r="AB27" s="55" t="s">
        <v>26</v>
      </c>
      <c r="AC27" s="56">
        <v>0</v>
      </c>
      <c r="AD27" s="56">
        <v>0</v>
      </c>
      <c r="AE27" s="60">
        <v>43872</v>
      </c>
      <c r="AF27" s="56">
        <v>0</v>
      </c>
      <c r="AG27" s="61" t="s">
        <v>52</v>
      </c>
    </row>
    <row r="28" spans="1:33" ht="15.75" customHeight="1" x14ac:dyDescent="0.2">
      <c r="B28" s="43" t="s">
        <v>18</v>
      </c>
      <c r="C28" s="43" t="s">
        <v>52</v>
      </c>
      <c r="D28" s="43" t="s">
        <v>70</v>
      </c>
      <c r="E28" s="44">
        <v>-7413.96</v>
      </c>
      <c r="F28" s="44">
        <v>0</v>
      </c>
      <c r="G28" s="44">
        <v>0</v>
      </c>
      <c r="H28" s="43" t="s">
        <v>71</v>
      </c>
      <c r="I28" s="44">
        <v>0</v>
      </c>
      <c r="J28" s="44">
        <v>0</v>
      </c>
      <c r="K28" s="43" t="s">
        <v>19</v>
      </c>
      <c r="L28" s="43" t="s">
        <v>53</v>
      </c>
      <c r="M28" s="46"/>
      <c r="N28" s="43" t="s">
        <v>21</v>
      </c>
      <c r="O28" s="44">
        <v>1</v>
      </c>
      <c r="P28" s="52"/>
      <c r="Q28" s="46"/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52"/>
      <c r="Y28" s="53"/>
      <c r="Z28" s="44">
        <v>0</v>
      </c>
      <c r="AA28" s="44">
        <v>0</v>
      </c>
      <c r="AB28" s="43" t="s">
        <v>30</v>
      </c>
      <c r="AC28" s="44">
        <v>0</v>
      </c>
      <c r="AD28" s="44">
        <v>0</v>
      </c>
      <c r="AE28" s="42">
        <v>43872</v>
      </c>
      <c r="AF28" s="44">
        <v>0</v>
      </c>
      <c r="AG28" s="54" t="s">
        <v>52</v>
      </c>
    </row>
    <row r="29" spans="1:33" ht="15.75" customHeight="1" x14ac:dyDescent="0.2">
      <c r="B29" s="55" t="s">
        <v>18</v>
      </c>
      <c r="C29" s="55" t="s">
        <v>52</v>
      </c>
      <c r="D29" s="55" t="s">
        <v>70</v>
      </c>
      <c r="E29" s="56">
        <v>-264.95</v>
      </c>
      <c r="F29" s="56">
        <v>0</v>
      </c>
      <c r="G29" s="56">
        <v>0</v>
      </c>
      <c r="H29" s="55" t="s">
        <v>71</v>
      </c>
      <c r="I29" s="56">
        <v>0</v>
      </c>
      <c r="J29" s="56">
        <v>0</v>
      </c>
      <c r="K29" s="55" t="s">
        <v>30</v>
      </c>
      <c r="L29" s="55" t="s">
        <v>53</v>
      </c>
      <c r="M29" s="57"/>
      <c r="N29" s="55" t="s">
        <v>21</v>
      </c>
      <c r="O29" s="56">
        <v>2</v>
      </c>
      <c r="P29" s="58"/>
      <c r="Q29" s="57"/>
      <c r="R29" s="56">
        <v>0</v>
      </c>
      <c r="S29" s="56">
        <v>0</v>
      </c>
      <c r="T29" s="56">
        <v>0</v>
      </c>
      <c r="U29" s="56">
        <v>0</v>
      </c>
      <c r="V29" s="56">
        <v>0</v>
      </c>
      <c r="W29" s="56">
        <v>0</v>
      </c>
      <c r="X29" s="58"/>
      <c r="Y29" s="59"/>
      <c r="Z29" s="56">
        <v>0</v>
      </c>
      <c r="AA29" s="56">
        <v>0</v>
      </c>
      <c r="AB29" s="55" t="s">
        <v>39</v>
      </c>
      <c r="AC29" s="56">
        <v>0</v>
      </c>
      <c r="AD29" s="56">
        <v>0</v>
      </c>
      <c r="AE29" s="60">
        <v>43872</v>
      </c>
      <c r="AF29" s="56">
        <v>0</v>
      </c>
      <c r="AG29" s="61" t="s">
        <v>52</v>
      </c>
    </row>
    <row r="30" spans="1:33" ht="15.75" customHeight="1" x14ac:dyDescent="0.2">
      <c r="B30" s="43" t="s">
        <v>18</v>
      </c>
      <c r="C30" s="43" t="s">
        <v>52</v>
      </c>
      <c r="D30" s="43" t="s">
        <v>70</v>
      </c>
      <c r="E30" s="44">
        <v>264.95</v>
      </c>
      <c r="F30" s="44">
        <v>0</v>
      </c>
      <c r="G30" s="44">
        <v>0</v>
      </c>
      <c r="H30" s="43" t="s">
        <v>71</v>
      </c>
      <c r="I30" s="44">
        <v>0</v>
      </c>
      <c r="J30" s="44">
        <v>0</v>
      </c>
      <c r="K30" s="43" t="s">
        <v>30</v>
      </c>
      <c r="L30" s="43" t="s">
        <v>59</v>
      </c>
      <c r="M30" s="46"/>
      <c r="N30" s="43" t="s">
        <v>21</v>
      </c>
      <c r="O30" s="44">
        <v>1.5</v>
      </c>
      <c r="P30" s="52"/>
      <c r="Q30" s="46"/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52"/>
      <c r="Y30" s="53"/>
      <c r="Z30" s="44">
        <v>0</v>
      </c>
      <c r="AA30" s="44">
        <v>0</v>
      </c>
      <c r="AB30" s="43" t="s">
        <v>26</v>
      </c>
      <c r="AC30" s="44">
        <v>0</v>
      </c>
      <c r="AD30" s="44">
        <v>0</v>
      </c>
      <c r="AE30" s="42">
        <v>43872</v>
      </c>
      <c r="AF30" s="44">
        <v>0</v>
      </c>
      <c r="AG30" s="54" t="s">
        <v>52</v>
      </c>
    </row>
    <row r="31" spans="1:33" ht="15.75" customHeight="1" x14ac:dyDescent="0.2">
      <c r="B31" s="55" t="s">
        <v>18</v>
      </c>
      <c r="C31" s="55" t="s">
        <v>52</v>
      </c>
      <c r="D31" s="55" t="s">
        <v>70</v>
      </c>
      <c r="E31" s="56">
        <v>1454.02</v>
      </c>
      <c r="F31" s="56">
        <v>0</v>
      </c>
      <c r="G31" s="56">
        <v>0</v>
      </c>
      <c r="H31" s="55" t="s">
        <v>71</v>
      </c>
      <c r="I31" s="56">
        <v>0</v>
      </c>
      <c r="J31" s="56">
        <v>0</v>
      </c>
      <c r="K31" s="55" t="s">
        <v>19</v>
      </c>
      <c r="L31" s="55" t="s">
        <v>59</v>
      </c>
      <c r="M31" s="57"/>
      <c r="N31" s="55" t="s">
        <v>21</v>
      </c>
      <c r="O31" s="56">
        <v>1</v>
      </c>
      <c r="P31" s="58"/>
      <c r="Q31" s="57"/>
      <c r="R31" s="56">
        <v>0</v>
      </c>
      <c r="S31" s="56">
        <v>0</v>
      </c>
      <c r="T31" s="56">
        <v>0</v>
      </c>
      <c r="U31" s="56">
        <v>0</v>
      </c>
      <c r="V31" s="56">
        <v>0</v>
      </c>
      <c r="W31" s="56">
        <v>0</v>
      </c>
      <c r="X31" s="58"/>
      <c r="Y31" s="59"/>
      <c r="Z31" s="56">
        <v>0</v>
      </c>
      <c r="AA31" s="56">
        <v>0</v>
      </c>
      <c r="AB31" s="55" t="s">
        <v>30</v>
      </c>
      <c r="AC31" s="56">
        <v>0</v>
      </c>
      <c r="AD31" s="56">
        <v>0</v>
      </c>
      <c r="AE31" s="60">
        <v>43872</v>
      </c>
      <c r="AF31" s="56">
        <v>0</v>
      </c>
      <c r="AG31" s="61" t="s">
        <v>52</v>
      </c>
    </row>
    <row r="32" spans="1:33" ht="15.75" customHeight="1" x14ac:dyDescent="0.2">
      <c r="B32" s="43" t="s">
        <v>18</v>
      </c>
      <c r="C32" s="43" t="s">
        <v>52</v>
      </c>
      <c r="D32" s="43" t="s">
        <v>72</v>
      </c>
      <c r="E32" s="44">
        <v>-3635.0476189999999</v>
      </c>
      <c r="F32" s="44">
        <v>0</v>
      </c>
      <c r="G32" s="44">
        <v>0</v>
      </c>
      <c r="H32" s="43" t="s">
        <v>71</v>
      </c>
      <c r="I32" s="44">
        <v>0</v>
      </c>
      <c r="J32" s="44">
        <v>0</v>
      </c>
      <c r="K32" s="43" t="s">
        <v>30</v>
      </c>
      <c r="L32" s="43" t="s">
        <v>61</v>
      </c>
      <c r="M32" s="46"/>
      <c r="N32" s="43" t="s">
        <v>21</v>
      </c>
      <c r="O32" s="44">
        <v>1.1000000000000001</v>
      </c>
      <c r="P32" s="52"/>
      <c r="Q32" s="46"/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52"/>
      <c r="Y32" s="53"/>
      <c r="Z32" s="44">
        <v>0</v>
      </c>
      <c r="AA32" s="44">
        <v>0</v>
      </c>
      <c r="AB32" s="43" t="s">
        <v>26</v>
      </c>
      <c r="AC32" s="44">
        <v>0</v>
      </c>
      <c r="AD32" s="44">
        <v>0</v>
      </c>
      <c r="AE32" s="42">
        <v>43872</v>
      </c>
      <c r="AF32" s="44">
        <v>0</v>
      </c>
      <c r="AG32" s="54" t="s">
        <v>52</v>
      </c>
    </row>
    <row r="33" spans="2:33" ht="15.75" customHeight="1" x14ac:dyDescent="0.2">
      <c r="B33" s="55" t="s">
        <v>23</v>
      </c>
      <c r="C33" s="55" t="s">
        <v>52</v>
      </c>
      <c r="D33" s="55" t="s">
        <v>72</v>
      </c>
      <c r="E33" s="56">
        <v>-3704.9523810000001</v>
      </c>
      <c r="F33" s="56">
        <v>0</v>
      </c>
      <c r="G33" s="56">
        <v>0</v>
      </c>
      <c r="H33" s="55" t="s">
        <v>71</v>
      </c>
      <c r="I33" s="56">
        <v>0</v>
      </c>
      <c r="J33" s="56">
        <v>0</v>
      </c>
      <c r="K33" s="55" t="s">
        <v>30</v>
      </c>
      <c r="L33" s="55" t="s">
        <v>61</v>
      </c>
      <c r="M33" s="57"/>
      <c r="N33" s="55" t="s">
        <v>21</v>
      </c>
      <c r="O33" s="56">
        <v>1.1000000000000001</v>
      </c>
      <c r="P33" s="58"/>
      <c r="Q33" s="57"/>
      <c r="R33" s="56">
        <v>0</v>
      </c>
      <c r="S33" s="56">
        <v>0</v>
      </c>
      <c r="T33" s="56">
        <v>0</v>
      </c>
      <c r="U33" s="56">
        <v>0</v>
      </c>
      <c r="V33" s="56">
        <v>0</v>
      </c>
      <c r="W33" s="56">
        <v>0</v>
      </c>
      <c r="X33" s="58"/>
      <c r="Y33" s="59"/>
      <c r="Z33" s="56">
        <v>0</v>
      </c>
      <c r="AA33" s="56">
        <v>0</v>
      </c>
      <c r="AB33" s="55" t="s">
        <v>26</v>
      </c>
      <c r="AC33" s="56">
        <v>0</v>
      </c>
      <c r="AD33" s="56">
        <v>0</v>
      </c>
      <c r="AE33" s="60">
        <v>43872</v>
      </c>
      <c r="AF33" s="56">
        <v>0</v>
      </c>
      <c r="AG33" s="61" t="s">
        <v>52</v>
      </c>
    </row>
    <row r="34" spans="2:33" ht="15.75" customHeight="1" x14ac:dyDescent="0.2">
      <c r="B34" s="43" t="s">
        <v>18</v>
      </c>
      <c r="C34" s="43" t="s">
        <v>52</v>
      </c>
      <c r="D34" s="43" t="s">
        <v>72</v>
      </c>
      <c r="E34" s="44">
        <v>-2855.0476189999999</v>
      </c>
      <c r="F34" s="44">
        <v>0</v>
      </c>
      <c r="G34" s="44">
        <v>0</v>
      </c>
      <c r="H34" s="43" t="s">
        <v>71</v>
      </c>
      <c r="I34" s="44">
        <v>0</v>
      </c>
      <c r="J34" s="44">
        <v>0</v>
      </c>
      <c r="K34" s="43" t="s">
        <v>30</v>
      </c>
      <c r="L34" s="43" t="s">
        <v>61</v>
      </c>
      <c r="M34" s="46"/>
      <c r="N34" s="43" t="s">
        <v>21</v>
      </c>
      <c r="O34" s="44">
        <v>1.1000000000000001</v>
      </c>
      <c r="P34" s="52"/>
      <c r="Q34" s="46"/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52"/>
      <c r="Y34" s="53"/>
      <c r="Z34" s="44">
        <v>0</v>
      </c>
      <c r="AA34" s="44">
        <v>0</v>
      </c>
      <c r="AB34" s="43" t="s">
        <v>39</v>
      </c>
      <c r="AC34" s="44">
        <v>0</v>
      </c>
      <c r="AD34" s="44">
        <v>0</v>
      </c>
      <c r="AE34" s="42">
        <v>43872</v>
      </c>
      <c r="AF34" s="44">
        <v>0</v>
      </c>
      <c r="AG34" s="54" t="s">
        <v>52</v>
      </c>
    </row>
    <row r="35" spans="2:33" ht="15.75" customHeight="1" x14ac:dyDescent="0.2">
      <c r="B35" s="55" t="s">
        <v>23</v>
      </c>
      <c r="C35" s="55" t="s">
        <v>52</v>
      </c>
      <c r="D35" s="55" t="s">
        <v>72</v>
      </c>
      <c r="E35" s="56">
        <v>-2909.9523810000001</v>
      </c>
      <c r="F35" s="56">
        <v>0</v>
      </c>
      <c r="G35" s="56">
        <v>0</v>
      </c>
      <c r="H35" s="55" t="s">
        <v>71</v>
      </c>
      <c r="I35" s="56">
        <v>0</v>
      </c>
      <c r="J35" s="56">
        <v>0</v>
      </c>
      <c r="K35" s="55" t="s">
        <v>30</v>
      </c>
      <c r="L35" s="55" t="s">
        <v>61</v>
      </c>
      <c r="M35" s="57"/>
      <c r="N35" s="55" t="s">
        <v>21</v>
      </c>
      <c r="O35" s="56">
        <v>1.1000000000000001</v>
      </c>
      <c r="P35" s="58"/>
      <c r="Q35" s="57"/>
      <c r="R35" s="56">
        <v>0</v>
      </c>
      <c r="S35" s="56">
        <v>0</v>
      </c>
      <c r="T35" s="56">
        <v>0</v>
      </c>
      <c r="U35" s="56">
        <v>0</v>
      </c>
      <c r="V35" s="56">
        <v>0</v>
      </c>
      <c r="W35" s="56">
        <v>0</v>
      </c>
      <c r="X35" s="58"/>
      <c r="Y35" s="59"/>
      <c r="Z35" s="56">
        <v>0</v>
      </c>
      <c r="AA35" s="56">
        <v>0</v>
      </c>
      <c r="AB35" s="55" t="s">
        <v>39</v>
      </c>
      <c r="AC35" s="56">
        <v>0</v>
      </c>
      <c r="AD35" s="56">
        <v>0</v>
      </c>
      <c r="AE35" s="60">
        <v>43872</v>
      </c>
      <c r="AF35" s="56">
        <v>0</v>
      </c>
      <c r="AG35" s="61" t="s">
        <v>52</v>
      </c>
    </row>
    <row r="36" spans="2:33" ht="15.75" customHeight="1" x14ac:dyDescent="0.2">
      <c r="B36" s="43" t="s">
        <v>18</v>
      </c>
      <c r="C36" s="43" t="s">
        <v>52</v>
      </c>
      <c r="D36" s="43" t="s">
        <v>72</v>
      </c>
      <c r="E36" s="44">
        <v>1890</v>
      </c>
      <c r="F36" s="44">
        <v>0</v>
      </c>
      <c r="G36" s="44">
        <v>0</v>
      </c>
      <c r="H36" s="43" t="s">
        <v>71</v>
      </c>
      <c r="I36" s="44">
        <v>0</v>
      </c>
      <c r="J36" s="44">
        <v>0</v>
      </c>
      <c r="K36" s="43" t="s">
        <v>30</v>
      </c>
      <c r="L36" s="43" t="s">
        <v>61</v>
      </c>
      <c r="M36" s="46"/>
      <c r="N36" s="43" t="s">
        <v>21</v>
      </c>
      <c r="O36" s="44">
        <v>1.1000000000000001</v>
      </c>
      <c r="P36" s="52"/>
      <c r="Q36" s="46"/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52"/>
      <c r="Y36" s="53"/>
      <c r="Z36" s="44">
        <v>0</v>
      </c>
      <c r="AA36" s="44">
        <v>0</v>
      </c>
      <c r="AB36" s="43" t="s">
        <v>26</v>
      </c>
      <c r="AC36" s="44">
        <v>0</v>
      </c>
      <c r="AD36" s="44">
        <v>0</v>
      </c>
      <c r="AE36" s="42">
        <v>43872</v>
      </c>
      <c r="AF36" s="44">
        <v>0</v>
      </c>
      <c r="AG36" s="54" t="s">
        <v>52</v>
      </c>
    </row>
    <row r="37" spans="2:33" ht="15.75" customHeight="1" x14ac:dyDescent="0.2">
      <c r="B37" s="55" t="s">
        <v>23</v>
      </c>
      <c r="C37" s="55" t="s">
        <v>52</v>
      </c>
      <c r="D37" s="55" t="s">
        <v>72</v>
      </c>
      <c r="E37" s="56">
        <v>1960</v>
      </c>
      <c r="F37" s="56">
        <v>0</v>
      </c>
      <c r="G37" s="56">
        <v>0</v>
      </c>
      <c r="H37" s="55" t="s">
        <v>71</v>
      </c>
      <c r="I37" s="56">
        <v>0</v>
      </c>
      <c r="J37" s="56">
        <v>0</v>
      </c>
      <c r="K37" s="55" t="s">
        <v>30</v>
      </c>
      <c r="L37" s="55" t="s">
        <v>61</v>
      </c>
      <c r="M37" s="57"/>
      <c r="N37" s="55" t="s">
        <v>21</v>
      </c>
      <c r="O37" s="56">
        <v>1.1000000000000001</v>
      </c>
      <c r="P37" s="58"/>
      <c r="Q37" s="57"/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8"/>
      <c r="Y37" s="59"/>
      <c r="Z37" s="56">
        <v>0</v>
      </c>
      <c r="AA37" s="56">
        <v>0</v>
      </c>
      <c r="AB37" s="55" t="s">
        <v>26</v>
      </c>
      <c r="AC37" s="56">
        <v>0</v>
      </c>
      <c r="AD37" s="56">
        <v>0</v>
      </c>
      <c r="AE37" s="60">
        <v>43872</v>
      </c>
      <c r="AF37" s="56">
        <v>0</v>
      </c>
      <c r="AG37" s="61" t="s">
        <v>52</v>
      </c>
    </row>
    <row r="38" spans="2:33" ht="15.75" customHeight="1" x14ac:dyDescent="0.2">
      <c r="B38" s="43" t="s">
        <v>18</v>
      </c>
      <c r="C38" s="43" t="s">
        <v>52</v>
      </c>
      <c r="D38" s="43" t="s">
        <v>72</v>
      </c>
      <c r="E38" s="44">
        <v>3635.0476189999999</v>
      </c>
      <c r="F38" s="44">
        <v>0</v>
      </c>
      <c r="G38" s="44">
        <v>0</v>
      </c>
      <c r="H38" s="43" t="s">
        <v>71</v>
      </c>
      <c r="I38" s="44">
        <v>0</v>
      </c>
      <c r="J38" s="44">
        <v>0</v>
      </c>
      <c r="K38" s="43" t="s">
        <v>30</v>
      </c>
      <c r="L38" s="43" t="s">
        <v>62</v>
      </c>
      <c r="M38" s="46"/>
      <c r="N38" s="43" t="s">
        <v>21</v>
      </c>
      <c r="O38" s="44">
        <v>2</v>
      </c>
      <c r="P38" s="52"/>
      <c r="Q38" s="46"/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52"/>
      <c r="Y38" s="53"/>
      <c r="Z38" s="44">
        <v>0</v>
      </c>
      <c r="AA38" s="44">
        <v>0</v>
      </c>
      <c r="AB38" s="43" t="s">
        <v>26</v>
      </c>
      <c r="AC38" s="44">
        <v>0</v>
      </c>
      <c r="AD38" s="44">
        <v>0</v>
      </c>
      <c r="AE38" s="42">
        <v>43872</v>
      </c>
      <c r="AF38" s="44">
        <v>0</v>
      </c>
      <c r="AG38" s="54" t="s">
        <v>52</v>
      </c>
    </row>
    <row r="39" spans="2:33" ht="15.75" customHeight="1" x14ac:dyDescent="0.2">
      <c r="B39" s="55" t="s">
        <v>23</v>
      </c>
      <c r="C39" s="55" t="s">
        <v>52</v>
      </c>
      <c r="D39" s="55" t="s">
        <v>72</v>
      </c>
      <c r="E39" s="56">
        <v>3704.9523810000001</v>
      </c>
      <c r="F39" s="56">
        <v>0</v>
      </c>
      <c r="G39" s="56">
        <v>0</v>
      </c>
      <c r="H39" s="55" t="s">
        <v>71</v>
      </c>
      <c r="I39" s="56">
        <v>0</v>
      </c>
      <c r="J39" s="56">
        <v>0</v>
      </c>
      <c r="K39" s="55" t="s">
        <v>30</v>
      </c>
      <c r="L39" s="55" t="s">
        <v>62</v>
      </c>
      <c r="M39" s="57"/>
      <c r="N39" s="55" t="s">
        <v>21</v>
      </c>
      <c r="O39" s="56">
        <v>2</v>
      </c>
      <c r="P39" s="58"/>
      <c r="Q39" s="57"/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8"/>
      <c r="Y39" s="59"/>
      <c r="Z39" s="56">
        <v>0</v>
      </c>
      <c r="AA39" s="56">
        <v>0</v>
      </c>
      <c r="AB39" s="55" t="s">
        <v>26</v>
      </c>
      <c r="AC39" s="56">
        <v>0</v>
      </c>
      <c r="AD39" s="56">
        <v>0</v>
      </c>
      <c r="AE39" s="60">
        <v>43872</v>
      </c>
      <c r="AF39" s="56">
        <v>0</v>
      </c>
      <c r="AG39" s="61" t="s">
        <v>52</v>
      </c>
    </row>
    <row r="40" spans="2:33" ht="15.75" customHeight="1" x14ac:dyDescent="0.2">
      <c r="B40" s="43" t="s">
        <v>18</v>
      </c>
      <c r="C40" s="43" t="s">
        <v>52</v>
      </c>
      <c r="D40" s="43" t="s">
        <v>72</v>
      </c>
      <c r="E40" s="44">
        <v>2855.0476189999999</v>
      </c>
      <c r="F40" s="44">
        <v>0</v>
      </c>
      <c r="G40" s="44">
        <v>0</v>
      </c>
      <c r="H40" s="43" t="s">
        <v>71</v>
      </c>
      <c r="I40" s="44">
        <v>0</v>
      </c>
      <c r="J40" s="44">
        <v>0</v>
      </c>
      <c r="K40" s="43" t="s">
        <v>30</v>
      </c>
      <c r="L40" s="43" t="s">
        <v>62</v>
      </c>
      <c r="M40" s="46"/>
      <c r="N40" s="43" t="s">
        <v>21</v>
      </c>
      <c r="O40" s="44">
        <v>2</v>
      </c>
      <c r="P40" s="52"/>
      <c r="Q40" s="46"/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52"/>
      <c r="Y40" s="53"/>
      <c r="Z40" s="44">
        <v>0</v>
      </c>
      <c r="AA40" s="44">
        <v>0</v>
      </c>
      <c r="AB40" s="43" t="s">
        <v>39</v>
      </c>
      <c r="AC40" s="44">
        <v>0</v>
      </c>
      <c r="AD40" s="44">
        <v>0</v>
      </c>
      <c r="AE40" s="42">
        <v>43872</v>
      </c>
      <c r="AF40" s="44">
        <v>0</v>
      </c>
      <c r="AG40" s="54" t="s">
        <v>52</v>
      </c>
    </row>
    <row r="41" spans="2:33" ht="15.75" customHeight="1" x14ac:dyDescent="0.2">
      <c r="B41" s="55" t="s">
        <v>23</v>
      </c>
      <c r="C41" s="55" t="s">
        <v>52</v>
      </c>
      <c r="D41" s="55" t="s">
        <v>72</v>
      </c>
      <c r="E41" s="56">
        <v>2909.9523810000001</v>
      </c>
      <c r="F41" s="56">
        <v>0</v>
      </c>
      <c r="G41" s="56">
        <v>0</v>
      </c>
      <c r="H41" s="55" t="s">
        <v>71</v>
      </c>
      <c r="I41" s="56">
        <v>0</v>
      </c>
      <c r="J41" s="56">
        <v>0</v>
      </c>
      <c r="K41" s="55" t="s">
        <v>30</v>
      </c>
      <c r="L41" s="55" t="s">
        <v>62</v>
      </c>
      <c r="M41" s="57"/>
      <c r="N41" s="55" t="s">
        <v>21</v>
      </c>
      <c r="O41" s="56">
        <v>2</v>
      </c>
      <c r="P41" s="58"/>
      <c r="Q41" s="57"/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8"/>
      <c r="Y41" s="59"/>
      <c r="Z41" s="56">
        <v>0</v>
      </c>
      <c r="AA41" s="56">
        <v>0</v>
      </c>
      <c r="AB41" s="55" t="s">
        <v>39</v>
      </c>
      <c r="AC41" s="56">
        <v>0</v>
      </c>
      <c r="AD41" s="56">
        <v>0</v>
      </c>
      <c r="AE41" s="60">
        <v>43872</v>
      </c>
      <c r="AF41" s="56">
        <v>0</v>
      </c>
      <c r="AG41" s="61" t="s">
        <v>52</v>
      </c>
    </row>
    <row r="42" spans="2:33" ht="15.75" customHeight="1" x14ac:dyDescent="0.2">
      <c r="B42" s="43" t="s">
        <v>18</v>
      </c>
      <c r="C42" s="43" t="s">
        <v>52</v>
      </c>
      <c r="D42" s="43" t="s">
        <v>72</v>
      </c>
      <c r="E42" s="44">
        <v>-1890</v>
      </c>
      <c r="F42" s="44">
        <v>0</v>
      </c>
      <c r="G42" s="44">
        <v>0</v>
      </c>
      <c r="H42" s="43" t="s">
        <v>71</v>
      </c>
      <c r="I42" s="44">
        <v>0</v>
      </c>
      <c r="J42" s="44">
        <v>0</v>
      </c>
      <c r="K42" s="43" t="s">
        <v>30</v>
      </c>
      <c r="L42" s="43" t="s">
        <v>65</v>
      </c>
      <c r="M42" s="46"/>
      <c r="N42" s="43" t="s">
        <v>21</v>
      </c>
      <c r="O42" s="44">
        <v>2</v>
      </c>
      <c r="P42" s="52"/>
      <c r="Q42" s="46"/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52"/>
      <c r="Y42" s="53"/>
      <c r="Z42" s="44">
        <v>0</v>
      </c>
      <c r="AA42" s="44">
        <v>0</v>
      </c>
      <c r="AB42" s="43" t="s">
        <v>26</v>
      </c>
      <c r="AC42" s="44">
        <v>0</v>
      </c>
      <c r="AD42" s="44">
        <v>0</v>
      </c>
      <c r="AE42" s="42">
        <v>43872</v>
      </c>
      <c r="AF42" s="44">
        <v>0</v>
      </c>
      <c r="AG42" s="54" t="s">
        <v>52</v>
      </c>
    </row>
    <row r="43" spans="2:33" ht="15.75" customHeight="1" x14ac:dyDescent="0.2">
      <c r="B43" s="55" t="s">
        <v>23</v>
      </c>
      <c r="C43" s="55" t="s">
        <v>52</v>
      </c>
      <c r="D43" s="55" t="s">
        <v>72</v>
      </c>
      <c r="E43" s="56">
        <v>-1960</v>
      </c>
      <c r="F43" s="56">
        <v>0</v>
      </c>
      <c r="G43" s="56">
        <v>0</v>
      </c>
      <c r="H43" s="55" t="s">
        <v>71</v>
      </c>
      <c r="I43" s="56">
        <v>0</v>
      </c>
      <c r="J43" s="56">
        <v>0</v>
      </c>
      <c r="K43" s="55" t="s">
        <v>30</v>
      </c>
      <c r="L43" s="55" t="s">
        <v>65</v>
      </c>
      <c r="M43" s="57"/>
      <c r="N43" s="55" t="s">
        <v>21</v>
      </c>
      <c r="O43" s="56">
        <v>2</v>
      </c>
      <c r="P43" s="58"/>
      <c r="Q43" s="57"/>
      <c r="R43" s="56">
        <v>0</v>
      </c>
      <c r="S43" s="56">
        <v>0</v>
      </c>
      <c r="T43" s="56">
        <v>0</v>
      </c>
      <c r="U43" s="56">
        <v>0</v>
      </c>
      <c r="V43" s="56">
        <v>0</v>
      </c>
      <c r="W43" s="56">
        <v>0</v>
      </c>
      <c r="X43" s="58"/>
      <c r="Y43" s="59"/>
      <c r="Z43" s="56">
        <v>0</v>
      </c>
      <c r="AA43" s="56">
        <v>0</v>
      </c>
      <c r="AB43" s="55" t="s">
        <v>26</v>
      </c>
      <c r="AC43" s="56">
        <v>0</v>
      </c>
      <c r="AD43" s="56">
        <v>0</v>
      </c>
      <c r="AE43" s="60">
        <v>43872</v>
      </c>
      <c r="AF43" s="56">
        <v>0</v>
      </c>
      <c r="AG43" s="61" t="s">
        <v>52</v>
      </c>
    </row>
    <row r="44" spans="2:33" ht="15.75" customHeight="1" x14ac:dyDescent="0.2">
      <c r="B44" s="43" t="s">
        <v>18</v>
      </c>
      <c r="C44" s="43" t="s">
        <v>67</v>
      </c>
      <c r="D44" s="43" t="s">
        <v>73</v>
      </c>
      <c r="E44" s="44">
        <v>3635.0476189999999</v>
      </c>
      <c r="F44" s="44">
        <v>0</v>
      </c>
      <c r="G44" s="44">
        <v>0</v>
      </c>
      <c r="H44" s="43" t="s">
        <v>71</v>
      </c>
      <c r="I44" s="44">
        <v>0</v>
      </c>
      <c r="J44" s="44">
        <v>1.2380952380000001</v>
      </c>
      <c r="K44" s="43" t="s">
        <v>30</v>
      </c>
      <c r="L44" s="43" t="s">
        <v>74</v>
      </c>
      <c r="M44" s="46"/>
      <c r="N44" s="43" t="s">
        <v>21</v>
      </c>
      <c r="O44" s="44">
        <v>1.1000000000000001</v>
      </c>
      <c r="P44" s="52"/>
      <c r="Q44" s="46"/>
      <c r="R44" s="44">
        <v>0</v>
      </c>
      <c r="S44" s="44">
        <v>0</v>
      </c>
      <c r="T44" s="44">
        <v>0</v>
      </c>
      <c r="U44" s="44">
        <v>0</v>
      </c>
      <c r="V44" s="44">
        <v>52</v>
      </c>
      <c r="W44" s="44">
        <v>0</v>
      </c>
      <c r="X44" s="54" t="s">
        <v>30</v>
      </c>
      <c r="Y44" s="46"/>
      <c r="Z44" s="44">
        <v>3.7142857139999998</v>
      </c>
      <c r="AA44" s="44">
        <v>0</v>
      </c>
      <c r="AB44" s="43" t="s">
        <v>26</v>
      </c>
      <c r="AC44" s="44">
        <v>0</v>
      </c>
      <c r="AD44" s="44">
        <v>4.9523809520000004</v>
      </c>
      <c r="AE44" s="42">
        <v>43872</v>
      </c>
      <c r="AF44" s="44">
        <v>0</v>
      </c>
      <c r="AG44" s="54" t="s">
        <v>67</v>
      </c>
    </row>
    <row r="45" spans="2:33" ht="15.75" customHeight="1" x14ac:dyDescent="0.2">
      <c r="B45" s="55" t="s">
        <v>23</v>
      </c>
      <c r="C45" s="55" t="s">
        <v>67</v>
      </c>
      <c r="D45" s="55" t="s">
        <v>73</v>
      </c>
      <c r="E45" s="56">
        <v>3704.9523810000001</v>
      </c>
      <c r="F45" s="56">
        <v>0</v>
      </c>
      <c r="G45" s="56">
        <v>0</v>
      </c>
      <c r="H45" s="55" t="s">
        <v>71</v>
      </c>
      <c r="I45" s="56">
        <v>0</v>
      </c>
      <c r="J45" s="56">
        <v>1.2619047619999999</v>
      </c>
      <c r="K45" s="55" t="s">
        <v>30</v>
      </c>
      <c r="L45" s="55" t="s">
        <v>74</v>
      </c>
      <c r="M45" s="57"/>
      <c r="N45" s="55" t="s">
        <v>21</v>
      </c>
      <c r="O45" s="56">
        <v>1.1000000000000001</v>
      </c>
      <c r="P45" s="58"/>
      <c r="Q45" s="57"/>
      <c r="R45" s="56">
        <v>0</v>
      </c>
      <c r="S45" s="56">
        <v>0</v>
      </c>
      <c r="T45" s="56">
        <v>0</v>
      </c>
      <c r="U45" s="56">
        <v>0</v>
      </c>
      <c r="V45" s="56">
        <v>53</v>
      </c>
      <c r="W45" s="56">
        <v>0</v>
      </c>
      <c r="X45" s="61" t="s">
        <v>30</v>
      </c>
      <c r="Y45" s="57"/>
      <c r="Z45" s="56">
        <v>3.7857142860000002</v>
      </c>
      <c r="AA45" s="56">
        <v>0</v>
      </c>
      <c r="AB45" s="55" t="s">
        <v>26</v>
      </c>
      <c r="AC45" s="56">
        <v>0</v>
      </c>
      <c r="AD45" s="56">
        <v>5.0476190479999996</v>
      </c>
      <c r="AE45" s="60">
        <v>43872</v>
      </c>
      <c r="AF45" s="56">
        <v>0</v>
      </c>
      <c r="AG45" s="61" t="s">
        <v>67</v>
      </c>
    </row>
    <row r="46" spans="2:33" ht="15.75" customHeight="1" x14ac:dyDescent="0.2">
      <c r="B46" s="43" t="s">
        <v>18</v>
      </c>
      <c r="C46" s="43" t="s">
        <v>67</v>
      </c>
      <c r="D46" s="43" t="s">
        <v>73</v>
      </c>
      <c r="E46" s="44">
        <v>2855.0476189999999</v>
      </c>
      <c r="F46" s="44">
        <v>0</v>
      </c>
      <c r="G46" s="44">
        <v>0</v>
      </c>
      <c r="H46" s="43" t="s">
        <v>71</v>
      </c>
      <c r="I46" s="44">
        <v>0</v>
      </c>
      <c r="J46" s="44">
        <v>1.2380952380000001</v>
      </c>
      <c r="K46" s="43" t="s">
        <v>30</v>
      </c>
      <c r="L46" s="43" t="s">
        <v>74</v>
      </c>
      <c r="M46" s="46"/>
      <c r="N46" s="43" t="s">
        <v>21</v>
      </c>
      <c r="O46" s="44">
        <v>1.1000000000000001</v>
      </c>
      <c r="P46" s="52"/>
      <c r="Q46" s="46"/>
      <c r="R46" s="44">
        <v>0</v>
      </c>
      <c r="S46" s="44">
        <v>0</v>
      </c>
      <c r="T46" s="44">
        <v>0</v>
      </c>
      <c r="U46" s="44">
        <v>0</v>
      </c>
      <c r="V46" s="44">
        <v>52</v>
      </c>
      <c r="W46" s="44">
        <v>0</v>
      </c>
      <c r="X46" s="54" t="s">
        <v>30</v>
      </c>
      <c r="Y46" s="46"/>
      <c r="Z46" s="44">
        <v>3.7142857139999998</v>
      </c>
      <c r="AA46" s="44">
        <v>0</v>
      </c>
      <c r="AB46" s="43" t="s">
        <v>39</v>
      </c>
      <c r="AC46" s="44">
        <v>0</v>
      </c>
      <c r="AD46" s="44">
        <v>4.9523809520000004</v>
      </c>
      <c r="AE46" s="42">
        <v>43872</v>
      </c>
      <c r="AF46" s="44">
        <v>0</v>
      </c>
      <c r="AG46" s="54" t="s">
        <v>67</v>
      </c>
    </row>
    <row r="47" spans="2:33" ht="15.75" customHeight="1" x14ac:dyDescent="0.2">
      <c r="B47" s="55" t="s">
        <v>23</v>
      </c>
      <c r="C47" s="55" t="s">
        <v>67</v>
      </c>
      <c r="D47" s="55" t="s">
        <v>73</v>
      </c>
      <c r="E47" s="56">
        <v>2909.9523810000001</v>
      </c>
      <c r="F47" s="56">
        <v>0</v>
      </c>
      <c r="G47" s="56">
        <v>0</v>
      </c>
      <c r="H47" s="55" t="s">
        <v>71</v>
      </c>
      <c r="I47" s="56">
        <v>0</v>
      </c>
      <c r="J47" s="56">
        <v>1.2619047619999999</v>
      </c>
      <c r="K47" s="55" t="s">
        <v>30</v>
      </c>
      <c r="L47" s="55" t="s">
        <v>74</v>
      </c>
      <c r="M47" s="57"/>
      <c r="N47" s="55" t="s">
        <v>21</v>
      </c>
      <c r="O47" s="56">
        <v>1.1000000000000001</v>
      </c>
      <c r="P47" s="58"/>
      <c r="Q47" s="57"/>
      <c r="R47" s="56">
        <v>0</v>
      </c>
      <c r="S47" s="56">
        <v>0</v>
      </c>
      <c r="T47" s="56">
        <v>0</v>
      </c>
      <c r="U47" s="56">
        <v>0</v>
      </c>
      <c r="V47" s="56">
        <v>53</v>
      </c>
      <c r="W47" s="56">
        <v>0</v>
      </c>
      <c r="X47" s="61" t="s">
        <v>30</v>
      </c>
      <c r="Y47" s="57"/>
      <c r="Z47" s="56">
        <v>3.7857142860000002</v>
      </c>
      <c r="AA47" s="56">
        <v>0</v>
      </c>
      <c r="AB47" s="55" t="s">
        <v>39</v>
      </c>
      <c r="AC47" s="56">
        <v>0</v>
      </c>
      <c r="AD47" s="56">
        <v>5.0476190479999996</v>
      </c>
      <c r="AE47" s="60">
        <v>43872</v>
      </c>
      <c r="AF47" s="56">
        <v>0</v>
      </c>
      <c r="AG47" s="61" t="s">
        <v>67</v>
      </c>
    </row>
    <row r="48" spans="2:33" ht="15.75" customHeight="1" x14ac:dyDescent="0.2">
      <c r="B48" s="43" t="s">
        <v>18</v>
      </c>
      <c r="C48" s="43" t="s">
        <v>67</v>
      </c>
      <c r="D48" s="43" t="s">
        <v>73</v>
      </c>
      <c r="E48" s="44">
        <v>-1890</v>
      </c>
      <c r="F48" s="44">
        <v>0</v>
      </c>
      <c r="G48" s="44">
        <v>0</v>
      </c>
      <c r="H48" s="43" t="s">
        <v>71</v>
      </c>
      <c r="I48" s="44">
        <v>0</v>
      </c>
      <c r="J48" s="44">
        <v>0</v>
      </c>
      <c r="K48" s="43" t="s">
        <v>30</v>
      </c>
      <c r="L48" s="43" t="s">
        <v>74</v>
      </c>
      <c r="M48" s="46"/>
      <c r="N48" s="43" t="s">
        <v>21</v>
      </c>
      <c r="O48" s="44">
        <v>1.1000000000000001</v>
      </c>
      <c r="P48" s="52"/>
      <c r="Q48" s="46"/>
      <c r="R48" s="44">
        <v>0</v>
      </c>
      <c r="S48" s="44">
        <v>0</v>
      </c>
      <c r="T48" s="44">
        <v>0</v>
      </c>
      <c r="U48" s="44">
        <v>0</v>
      </c>
      <c r="V48" s="44">
        <v>27</v>
      </c>
      <c r="W48" s="44">
        <v>0</v>
      </c>
      <c r="X48" s="54" t="s">
        <v>30</v>
      </c>
      <c r="Y48" s="46"/>
      <c r="Z48" s="44">
        <v>0</v>
      </c>
      <c r="AA48" s="44">
        <v>0</v>
      </c>
      <c r="AB48" s="43" t="s">
        <v>26</v>
      </c>
      <c r="AC48" s="44">
        <v>0</v>
      </c>
      <c r="AD48" s="44">
        <v>0</v>
      </c>
      <c r="AE48" s="42">
        <v>43872</v>
      </c>
      <c r="AF48" s="44">
        <v>0</v>
      </c>
      <c r="AG48" s="54" t="s">
        <v>67</v>
      </c>
    </row>
    <row r="49" spans="2:33" ht="15.75" customHeight="1" x14ac:dyDescent="0.2">
      <c r="B49" s="55" t="s">
        <v>23</v>
      </c>
      <c r="C49" s="55" t="s">
        <v>67</v>
      </c>
      <c r="D49" s="55" t="s">
        <v>73</v>
      </c>
      <c r="E49" s="56">
        <v>-1960</v>
      </c>
      <c r="F49" s="56">
        <v>0</v>
      </c>
      <c r="G49" s="56">
        <v>0</v>
      </c>
      <c r="H49" s="55" t="s">
        <v>71</v>
      </c>
      <c r="I49" s="56">
        <v>0</v>
      </c>
      <c r="J49" s="56">
        <v>0</v>
      </c>
      <c r="K49" s="55" t="s">
        <v>30</v>
      </c>
      <c r="L49" s="55" t="s">
        <v>74</v>
      </c>
      <c r="M49" s="57"/>
      <c r="N49" s="55" t="s">
        <v>21</v>
      </c>
      <c r="O49" s="56">
        <v>1.1000000000000001</v>
      </c>
      <c r="P49" s="58"/>
      <c r="Q49" s="57"/>
      <c r="R49" s="56">
        <v>0</v>
      </c>
      <c r="S49" s="56">
        <v>0</v>
      </c>
      <c r="T49" s="56">
        <v>0</v>
      </c>
      <c r="U49" s="56">
        <v>0</v>
      </c>
      <c r="V49" s="56">
        <v>28</v>
      </c>
      <c r="W49" s="56">
        <v>0</v>
      </c>
      <c r="X49" s="61" t="s">
        <v>30</v>
      </c>
      <c r="Y49" s="57"/>
      <c r="Z49" s="56">
        <v>0</v>
      </c>
      <c r="AA49" s="56">
        <v>0</v>
      </c>
      <c r="AB49" s="55" t="s">
        <v>26</v>
      </c>
      <c r="AC49" s="56">
        <v>0</v>
      </c>
      <c r="AD49" s="56">
        <v>0</v>
      </c>
      <c r="AE49" s="60">
        <v>43872</v>
      </c>
      <c r="AF49" s="56">
        <v>0</v>
      </c>
      <c r="AG49" s="61" t="s">
        <v>67</v>
      </c>
    </row>
    <row r="50" spans="2:33" ht="15.75" customHeight="1" x14ac:dyDescent="0.2">
      <c r="B50" s="43" t="s">
        <v>23</v>
      </c>
      <c r="C50" s="43" t="s">
        <v>52</v>
      </c>
      <c r="D50" s="43" t="s">
        <v>70</v>
      </c>
      <c r="E50" s="44">
        <v>-3222.14</v>
      </c>
      <c r="F50" s="44">
        <v>0</v>
      </c>
      <c r="G50" s="44">
        <v>0</v>
      </c>
      <c r="H50" s="43" t="s">
        <v>71</v>
      </c>
      <c r="I50" s="44">
        <v>0</v>
      </c>
      <c r="J50" s="44">
        <v>0</v>
      </c>
      <c r="K50" s="43" t="s">
        <v>30</v>
      </c>
      <c r="L50" s="43" t="s">
        <v>53</v>
      </c>
      <c r="M50" s="46"/>
      <c r="N50" s="43" t="s">
        <v>21</v>
      </c>
      <c r="O50" s="44">
        <v>2.5</v>
      </c>
      <c r="P50" s="52"/>
      <c r="Q50" s="46"/>
      <c r="R50" s="44">
        <v>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52"/>
      <c r="Y50" s="53"/>
      <c r="Z50" s="44">
        <v>0</v>
      </c>
      <c r="AA50" s="44">
        <v>0</v>
      </c>
      <c r="AB50" s="43" t="s">
        <v>26</v>
      </c>
      <c r="AC50" s="44">
        <v>0</v>
      </c>
      <c r="AD50" s="44">
        <v>0</v>
      </c>
      <c r="AE50" s="42">
        <v>43873</v>
      </c>
      <c r="AF50" s="44">
        <v>0</v>
      </c>
      <c r="AG50" s="54" t="s">
        <v>52</v>
      </c>
    </row>
    <row r="51" spans="2:33" ht="15.75" customHeight="1" x14ac:dyDescent="0.2">
      <c r="B51" s="55" t="s">
        <v>23</v>
      </c>
      <c r="C51" s="55" t="s">
        <v>52</v>
      </c>
      <c r="D51" s="55" t="s">
        <v>70</v>
      </c>
      <c r="E51" s="56">
        <v>-11707.53</v>
      </c>
      <c r="F51" s="56">
        <v>0</v>
      </c>
      <c r="G51" s="56">
        <v>0</v>
      </c>
      <c r="H51" s="55" t="s">
        <v>71</v>
      </c>
      <c r="I51" s="56">
        <v>0</v>
      </c>
      <c r="J51" s="56">
        <v>0</v>
      </c>
      <c r="K51" s="55" t="s">
        <v>19</v>
      </c>
      <c r="L51" s="55" t="s">
        <v>53</v>
      </c>
      <c r="M51" s="57"/>
      <c r="N51" s="55" t="s">
        <v>21</v>
      </c>
      <c r="O51" s="56">
        <v>1</v>
      </c>
      <c r="P51" s="58"/>
      <c r="Q51" s="57"/>
      <c r="R51" s="56">
        <v>0</v>
      </c>
      <c r="S51" s="56">
        <v>0</v>
      </c>
      <c r="T51" s="56">
        <v>0</v>
      </c>
      <c r="U51" s="56">
        <v>0</v>
      </c>
      <c r="V51" s="56">
        <v>0</v>
      </c>
      <c r="W51" s="56">
        <v>0</v>
      </c>
      <c r="X51" s="58"/>
      <c r="Y51" s="59"/>
      <c r="Z51" s="56">
        <v>0</v>
      </c>
      <c r="AA51" s="56">
        <v>0</v>
      </c>
      <c r="AB51" s="55" t="s">
        <v>30</v>
      </c>
      <c r="AC51" s="56">
        <v>0</v>
      </c>
      <c r="AD51" s="56">
        <v>0</v>
      </c>
      <c r="AE51" s="60">
        <v>43873</v>
      </c>
      <c r="AF51" s="56">
        <v>0</v>
      </c>
      <c r="AG51" s="61" t="s">
        <v>52</v>
      </c>
    </row>
    <row r="52" spans="2:33" ht="15.75" customHeight="1" x14ac:dyDescent="0.2">
      <c r="B52" s="43" t="s">
        <v>23</v>
      </c>
      <c r="C52" s="43" t="s">
        <v>52</v>
      </c>
      <c r="D52" s="43" t="s">
        <v>70</v>
      </c>
      <c r="E52" s="44">
        <v>-455.28</v>
      </c>
      <c r="F52" s="44">
        <v>0</v>
      </c>
      <c r="G52" s="44">
        <v>0</v>
      </c>
      <c r="H52" s="43" t="s">
        <v>71</v>
      </c>
      <c r="I52" s="44">
        <v>0</v>
      </c>
      <c r="J52" s="44">
        <v>0</v>
      </c>
      <c r="K52" s="43" t="s">
        <v>30</v>
      </c>
      <c r="L52" s="43" t="s">
        <v>53</v>
      </c>
      <c r="M52" s="46"/>
      <c r="N52" s="43" t="s">
        <v>21</v>
      </c>
      <c r="O52" s="44">
        <v>2.5</v>
      </c>
      <c r="P52" s="52"/>
      <c r="Q52" s="46"/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52"/>
      <c r="Y52" s="53"/>
      <c r="Z52" s="44">
        <v>0</v>
      </c>
      <c r="AA52" s="44">
        <v>0</v>
      </c>
      <c r="AB52" s="43" t="s">
        <v>79</v>
      </c>
      <c r="AC52" s="44">
        <v>0</v>
      </c>
      <c r="AD52" s="44">
        <v>0</v>
      </c>
      <c r="AE52" s="42">
        <v>43873</v>
      </c>
      <c r="AF52" s="44">
        <v>0</v>
      </c>
      <c r="AG52" s="54" t="s">
        <v>52</v>
      </c>
    </row>
    <row r="53" spans="2:33" ht="15.75" customHeight="1" x14ac:dyDescent="0.2">
      <c r="B53" s="55" t="s">
        <v>23</v>
      </c>
      <c r="C53" s="55" t="s">
        <v>52</v>
      </c>
      <c r="D53" s="55" t="s">
        <v>70</v>
      </c>
      <c r="E53" s="56">
        <v>-535.04999999999995</v>
      </c>
      <c r="F53" s="56">
        <v>0</v>
      </c>
      <c r="G53" s="56">
        <v>0</v>
      </c>
      <c r="H53" s="55" t="s">
        <v>71</v>
      </c>
      <c r="I53" s="56">
        <v>0</v>
      </c>
      <c r="J53" s="56">
        <v>0</v>
      </c>
      <c r="K53" s="55" t="s">
        <v>30</v>
      </c>
      <c r="L53" s="55" t="s">
        <v>53</v>
      </c>
      <c r="M53" s="57"/>
      <c r="N53" s="55" t="s">
        <v>21</v>
      </c>
      <c r="O53" s="56">
        <v>2.5</v>
      </c>
      <c r="P53" s="58"/>
      <c r="Q53" s="57"/>
      <c r="R53" s="56">
        <v>0</v>
      </c>
      <c r="S53" s="56">
        <v>0</v>
      </c>
      <c r="T53" s="56">
        <v>0</v>
      </c>
      <c r="U53" s="56">
        <v>0</v>
      </c>
      <c r="V53" s="56">
        <v>0</v>
      </c>
      <c r="W53" s="56">
        <v>0</v>
      </c>
      <c r="X53" s="58"/>
      <c r="Y53" s="59"/>
      <c r="Z53" s="56">
        <v>0</v>
      </c>
      <c r="AA53" s="56">
        <v>0</v>
      </c>
      <c r="AB53" s="55" t="s">
        <v>39</v>
      </c>
      <c r="AC53" s="56">
        <v>0</v>
      </c>
      <c r="AD53" s="56">
        <v>0</v>
      </c>
      <c r="AE53" s="60">
        <v>43873</v>
      </c>
      <c r="AF53" s="56">
        <v>0</v>
      </c>
      <c r="AG53" s="61" t="s">
        <v>52</v>
      </c>
    </row>
    <row r="54" spans="2:33" ht="15.75" customHeight="1" x14ac:dyDescent="0.2">
      <c r="B54" s="43" t="s">
        <v>23</v>
      </c>
      <c r="C54" s="43" t="s">
        <v>52</v>
      </c>
      <c r="D54" s="43" t="s">
        <v>70</v>
      </c>
      <c r="E54" s="44">
        <v>787.43</v>
      </c>
      <c r="F54" s="44">
        <v>0</v>
      </c>
      <c r="G54" s="44">
        <v>0</v>
      </c>
      <c r="H54" s="43" t="s">
        <v>71</v>
      </c>
      <c r="I54" s="44">
        <v>0</v>
      </c>
      <c r="J54" s="44">
        <v>0</v>
      </c>
      <c r="K54" s="43" t="s">
        <v>30</v>
      </c>
      <c r="L54" s="43" t="s">
        <v>59</v>
      </c>
      <c r="M54" s="46"/>
      <c r="N54" s="43" t="s">
        <v>21</v>
      </c>
      <c r="O54" s="44">
        <v>2</v>
      </c>
      <c r="P54" s="52"/>
      <c r="Q54" s="46"/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52"/>
      <c r="Y54" s="53"/>
      <c r="Z54" s="44">
        <v>0</v>
      </c>
      <c r="AA54" s="44">
        <v>0</v>
      </c>
      <c r="AB54" s="43" t="s">
        <v>26</v>
      </c>
      <c r="AC54" s="44">
        <v>0</v>
      </c>
      <c r="AD54" s="44">
        <v>0</v>
      </c>
      <c r="AE54" s="42">
        <v>43873</v>
      </c>
      <c r="AF54" s="44">
        <v>0</v>
      </c>
      <c r="AG54" s="54" t="s">
        <v>52</v>
      </c>
    </row>
    <row r="55" spans="2:33" ht="15.75" customHeight="1" x14ac:dyDescent="0.2">
      <c r="B55" s="55" t="s">
        <v>23</v>
      </c>
      <c r="C55" s="55" t="s">
        <v>52</v>
      </c>
      <c r="D55" s="55" t="s">
        <v>70</v>
      </c>
      <c r="E55" s="56">
        <v>7526.26</v>
      </c>
      <c r="F55" s="56">
        <v>0</v>
      </c>
      <c r="G55" s="56">
        <v>0</v>
      </c>
      <c r="H55" s="55" t="s">
        <v>71</v>
      </c>
      <c r="I55" s="56">
        <v>0</v>
      </c>
      <c r="J55" s="56">
        <v>0</v>
      </c>
      <c r="K55" s="55" t="s">
        <v>19</v>
      </c>
      <c r="L55" s="55" t="s">
        <v>59</v>
      </c>
      <c r="M55" s="57"/>
      <c r="N55" s="55" t="s">
        <v>21</v>
      </c>
      <c r="O55" s="56">
        <v>1</v>
      </c>
      <c r="P55" s="58"/>
      <c r="Q55" s="57"/>
      <c r="R55" s="56">
        <v>0</v>
      </c>
      <c r="S55" s="56">
        <v>0</v>
      </c>
      <c r="T55" s="56">
        <v>0</v>
      </c>
      <c r="U55" s="56">
        <v>0</v>
      </c>
      <c r="V55" s="56">
        <v>0</v>
      </c>
      <c r="W55" s="56">
        <v>0</v>
      </c>
      <c r="X55" s="58"/>
      <c r="Y55" s="59"/>
      <c r="Z55" s="56">
        <v>0</v>
      </c>
      <c r="AA55" s="56">
        <v>0</v>
      </c>
      <c r="AB55" s="55" t="s">
        <v>30</v>
      </c>
      <c r="AC55" s="56">
        <v>0</v>
      </c>
      <c r="AD55" s="56">
        <v>0</v>
      </c>
      <c r="AE55" s="60">
        <v>43873</v>
      </c>
      <c r="AF55" s="56">
        <v>0</v>
      </c>
      <c r="AG55" s="61" t="s">
        <v>52</v>
      </c>
    </row>
    <row r="56" spans="2:33" ht="15.75" customHeight="1" x14ac:dyDescent="0.2">
      <c r="B56" s="43" t="s">
        <v>23</v>
      </c>
      <c r="C56" s="43" t="s">
        <v>52</v>
      </c>
      <c r="D56" s="43" t="s">
        <v>70</v>
      </c>
      <c r="E56" s="44">
        <v>270.05</v>
      </c>
      <c r="F56" s="44">
        <v>0</v>
      </c>
      <c r="G56" s="44">
        <v>0</v>
      </c>
      <c r="H56" s="43" t="s">
        <v>71</v>
      </c>
      <c r="I56" s="44">
        <v>0</v>
      </c>
      <c r="J56" s="44">
        <v>0</v>
      </c>
      <c r="K56" s="43" t="s">
        <v>30</v>
      </c>
      <c r="L56" s="43" t="s">
        <v>59</v>
      </c>
      <c r="M56" s="46"/>
      <c r="N56" s="43" t="s">
        <v>21</v>
      </c>
      <c r="O56" s="44">
        <v>2</v>
      </c>
      <c r="P56" s="52"/>
      <c r="Q56" s="46"/>
      <c r="R56" s="44">
        <v>0</v>
      </c>
      <c r="S56" s="44">
        <v>0</v>
      </c>
      <c r="T56" s="44">
        <v>0</v>
      </c>
      <c r="U56" s="44">
        <v>0</v>
      </c>
      <c r="V56" s="44">
        <v>0</v>
      </c>
      <c r="W56" s="44">
        <v>0</v>
      </c>
      <c r="X56" s="52"/>
      <c r="Y56" s="53"/>
      <c r="Z56" s="44">
        <v>0</v>
      </c>
      <c r="AA56" s="44">
        <v>0</v>
      </c>
      <c r="AB56" s="43" t="s">
        <v>39</v>
      </c>
      <c r="AC56" s="44">
        <v>0</v>
      </c>
      <c r="AD56" s="44">
        <v>0</v>
      </c>
      <c r="AE56" s="42">
        <v>43873</v>
      </c>
      <c r="AF56" s="44">
        <v>0</v>
      </c>
      <c r="AG56" s="54" t="s">
        <v>52</v>
      </c>
    </row>
    <row r="57" spans="2:33" ht="15.75" customHeight="1" x14ac:dyDescent="0.2">
      <c r="B57" s="55" t="s">
        <v>23</v>
      </c>
      <c r="C57" s="55" t="s">
        <v>52</v>
      </c>
      <c r="D57" s="55" t="s">
        <v>72</v>
      </c>
      <c r="E57" s="56">
        <v>8359.86</v>
      </c>
      <c r="F57" s="56">
        <v>0</v>
      </c>
      <c r="G57" s="56">
        <v>0</v>
      </c>
      <c r="H57" s="55" t="s">
        <v>71</v>
      </c>
      <c r="I57" s="56">
        <v>0</v>
      </c>
      <c r="J57" s="56">
        <v>0</v>
      </c>
      <c r="K57" s="55" t="s">
        <v>30</v>
      </c>
      <c r="L57" s="55" t="s">
        <v>63</v>
      </c>
      <c r="M57" s="57"/>
      <c r="N57" s="55" t="s">
        <v>21</v>
      </c>
      <c r="O57" s="56">
        <v>2.5</v>
      </c>
      <c r="P57" s="58"/>
      <c r="Q57" s="57"/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8"/>
      <c r="Y57" s="59"/>
      <c r="Z57" s="56">
        <v>0</v>
      </c>
      <c r="AA57" s="56">
        <v>0</v>
      </c>
      <c r="AB57" s="55" t="s">
        <v>30</v>
      </c>
      <c r="AC57" s="56">
        <v>0</v>
      </c>
      <c r="AD57" s="56">
        <v>0</v>
      </c>
      <c r="AE57" s="60">
        <v>43873</v>
      </c>
      <c r="AF57" s="56">
        <v>0</v>
      </c>
      <c r="AG57" s="61" t="s">
        <v>52</v>
      </c>
    </row>
    <row r="58" spans="2:33" ht="15.75" customHeight="1" x14ac:dyDescent="0.2">
      <c r="B58" s="43" t="s">
        <v>18</v>
      </c>
      <c r="C58" s="43" t="s">
        <v>52</v>
      </c>
      <c r="D58" s="43" t="s">
        <v>72</v>
      </c>
      <c r="E58" s="44">
        <v>8235.14</v>
      </c>
      <c r="F58" s="44">
        <v>0</v>
      </c>
      <c r="G58" s="44">
        <v>0</v>
      </c>
      <c r="H58" s="43" t="s">
        <v>71</v>
      </c>
      <c r="I58" s="44">
        <v>0</v>
      </c>
      <c r="J58" s="44">
        <v>0</v>
      </c>
      <c r="K58" s="43" t="s">
        <v>30</v>
      </c>
      <c r="L58" s="43" t="s">
        <v>63</v>
      </c>
      <c r="M58" s="46"/>
      <c r="N58" s="43" t="s">
        <v>21</v>
      </c>
      <c r="O58" s="44">
        <v>2.5</v>
      </c>
      <c r="P58" s="52"/>
      <c r="Q58" s="46"/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52"/>
      <c r="Y58" s="53"/>
      <c r="Z58" s="44">
        <v>0</v>
      </c>
      <c r="AA58" s="44">
        <v>0</v>
      </c>
      <c r="AB58" s="43" t="s">
        <v>30</v>
      </c>
      <c r="AC58" s="44">
        <v>0</v>
      </c>
      <c r="AD58" s="44">
        <v>0</v>
      </c>
      <c r="AE58" s="42">
        <v>43873</v>
      </c>
      <c r="AF58" s="44">
        <v>0</v>
      </c>
      <c r="AG58" s="54" t="s">
        <v>52</v>
      </c>
    </row>
    <row r="59" spans="2:33" ht="15.75" customHeight="1" x14ac:dyDescent="0.2">
      <c r="B59" s="55" t="s">
        <v>23</v>
      </c>
      <c r="C59" s="55" t="s">
        <v>52</v>
      </c>
      <c r="D59" s="55" t="s">
        <v>72</v>
      </c>
      <c r="E59" s="56">
        <v>-8359.86</v>
      </c>
      <c r="F59" s="56">
        <v>0</v>
      </c>
      <c r="G59" s="56">
        <v>0</v>
      </c>
      <c r="H59" s="55" t="s">
        <v>71</v>
      </c>
      <c r="I59" s="56">
        <v>0</v>
      </c>
      <c r="J59" s="56">
        <v>0</v>
      </c>
      <c r="K59" s="55" t="s">
        <v>30</v>
      </c>
      <c r="L59" s="55" t="s">
        <v>64</v>
      </c>
      <c r="M59" s="57"/>
      <c r="N59" s="55" t="s">
        <v>21</v>
      </c>
      <c r="O59" s="56">
        <v>2</v>
      </c>
      <c r="P59" s="58"/>
      <c r="Q59" s="57"/>
      <c r="R59" s="56">
        <v>0</v>
      </c>
      <c r="S59" s="56">
        <v>0</v>
      </c>
      <c r="T59" s="56">
        <v>0</v>
      </c>
      <c r="U59" s="56">
        <v>0</v>
      </c>
      <c r="V59" s="56">
        <v>0</v>
      </c>
      <c r="W59" s="56">
        <v>0</v>
      </c>
      <c r="X59" s="58"/>
      <c r="Y59" s="59"/>
      <c r="Z59" s="56">
        <v>0</v>
      </c>
      <c r="AA59" s="56">
        <v>0</v>
      </c>
      <c r="AB59" s="55" t="s">
        <v>30</v>
      </c>
      <c r="AC59" s="56">
        <v>0</v>
      </c>
      <c r="AD59" s="56">
        <v>0</v>
      </c>
      <c r="AE59" s="60">
        <v>43873</v>
      </c>
      <c r="AF59" s="56">
        <v>0</v>
      </c>
      <c r="AG59" s="61" t="s">
        <v>52</v>
      </c>
    </row>
    <row r="60" spans="2:33" ht="15.75" customHeight="1" x14ac:dyDescent="0.2">
      <c r="B60" s="43" t="s">
        <v>18</v>
      </c>
      <c r="C60" s="43" t="s">
        <v>52</v>
      </c>
      <c r="D60" s="43" t="s">
        <v>72</v>
      </c>
      <c r="E60" s="44">
        <v>-8235.14</v>
      </c>
      <c r="F60" s="44">
        <v>0</v>
      </c>
      <c r="G60" s="44">
        <v>0</v>
      </c>
      <c r="H60" s="43" t="s">
        <v>71</v>
      </c>
      <c r="I60" s="44">
        <v>0</v>
      </c>
      <c r="J60" s="44">
        <v>0</v>
      </c>
      <c r="K60" s="43" t="s">
        <v>30</v>
      </c>
      <c r="L60" s="43" t="s">
        <v>64</v>
      </c>
      <c r="M60" s="46"/>
      <c r="N60" s="43" t="s">
        <v>21</v>
      </c>
      <c r="O60" s="44">
        <v>2</v>
      </c>
      <c r="P60" s="52"/>
      <c r="Q60" s="46"/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52"/>
      <c r="Y60" s="53"/>
      <c r="Z60" s="44">
        <v>0</v>
      </c>
      <c r="AA60" s="44">
        <v>0</v>
      </c>
      <c r="AB60" s="43" t="s">
        <v>30</v>
      </c>
      <c r="AC60" s="44">
        <v>0</v>
      </c>
      <c r="AD60" s="44">
        <v>0</v>
      </c>
      <c r="AE60" s="42">
        <v>43873</v>
      </c>
      <c r="AF60" s="44">
        <v>0</v>
      </c>
      <c r="AG60" s="54" t="s">
        <v>52</v>
      </c>
    </row>
    <row r="61" spans="2:33" ht="15.75" customHeight="1" x14ac:dyDescent="0.2">
      <c r="B61" s="55" t="s">
        <v>18</v>
      </c>
      <c r="C61" s="55" t="s">
        <v>52</v>
      </c>
      <c r="D61" s="55" t="s">
        <v>70</v>
      </c>
      <c r="E61" s="56">
        <v>-3180.84</v>
      </c>
      <c r="F61" s="56">
        <v>0</v>
      </c>
      <c r="G61" s="56">
        <v>0</v>
      </c>
      <c r="H61" s="55" t="s">
        <v>71</v>
      </c>
      <c r="I61" s="56">
        <v>0</v>
      </c>
      <c r="J61" s="56">
        <v>0</v>
      </c>
      <c r="K61" s="55" t="s">
        <v>30</v>
      </c>
      <c r="L61" s="55" t="s">
        <v>53</v>
      </c>
      <c r="M61" s="57"/>
      <c r="N61" s="55" t="s">
        <v>21</v>
      </c>
      <c r="O61" s="56">
        <v>2.5</v>
      </c>
      <c r="P61" s="58"/>
      <c r="Q61" s="57"/>
      <c r="R61" s="56">
        <v>0</v>
      </c>
      <c r="S61" s="56">
        <v>0</v>
      </c>
      <c r="T61" s="56">
        <v>0</v>
      </c>
      <c r="U61" s="56">
        <v>0</v>
      </c>
      <c r="V61" s="56">
        <v>0</v>
      </c>
      <c r="W61" s="56">
        <v>0</v>
      </c>
      <c r="X61" s="58"/>
      <c r="Y61" s="59"/>
      <c r="Z61" s="56">
        <v>0</v>
      </c>
      <c r="AA61" s="56">
        <v>0</v>
      </c>
      <c r="AB61" s="55" t="s">
        <v>26</v>
      </c>
      <c r="AC61" s="56">
        <v>0</v>
      </c>
      <c r="AD61" s="56">
        <v>0</v>
      </c>
      <c r="AE61" s="60">
        <v>43873</v>
      </c>
      <c r="AF61" s="56">
        <v>0</v>
      </c>
      <c r="AG61" s="61" t="s">
        <v>52</v>
      </c>
    </row>
    <row r="62" spans="2:33" ht="15.75" customHeight="1" x14ac:dyDescent="0.2">
      <c r="B62" s="43" t="s">
        <v>18</v>
      </c>
      <c r="C62" s="43" t="s">
        <v>52</v>
      </c>
      <c r="D62" s="43" t="s">
        <v>70</v>
      </c>
      <c r="E62" s="44">
        <v>-11532.79</v>
      </c>
      <c r="F62" s="44">
        <v>0</v>
      </c>
      <c r="G62" s="44">
        <v>0</v>
      </c>
      <c r="H62" s="43" t="s">
        <v>71</v>
      </c>
      <c r="I62" s="44">
        <v>0</v>
      </c>
      <c r="J62" s="44">
        <v>0</v>
      </c>
      <c r="K62" s="43" t="s">
        <v>19</v>
      </c>
      <c r="L62" s="43" t="s">
        <v>53</v>
      </c>
      <c r="M62" s="46"/>
      <c r="N62" s="43" t="s">
        <v>21</v>
      </c>
      <c r="O62" s="44">
        <v>1</v>
      </c>
      <c r="P62" s="52"/>
      <c r="Q62" s="46"/>
      <c r="R62" s="44">
        <v>0</v>
      </c>
      <c r="S62" s="44">
        <v>0</v>
      </c>
      <c r="T62" s="44">
        <v>0</v>
      </c>
      <c r="U62" s="44">
        <v>0</v>
      </c>
      <c r="V62" s="44">
        <v>0</v>
      </c>
      <c r="W62" s="44">
        <v>0</v>
      </c>
      <c r="X62" s="52"/>
      <c r="Y62" s="53"/>
      <c r="Z62" s="44">
        <v>0</v>
      </c>
      <c r="AA62" s="44">
        <v>0</v>
      </c>
      <c r="AB62" s="43" t="s">
        <v>30</v>
      </c>
      <c r="AC62" s="44">
        <v>0</v>
      </c>
      <c r="AD62" s="44">
        <v>0</v>
      </c>
      <c r="AE62" s="42">
        <v>43873</v>
      </c>
      <c r="AF62" s="44">
        <v>0</v>
      </c>
      <c r="AG62" s="54" t="s">
        <v>52</v>
      </c>
    </row>
    <row r="63" spans="2:33" ht="15.75" customHeight="1" x14ac:dyDescent="0.2">
      <c r="B63" s="55" t="s">
        <v>18</v>
      </c>
      <c r="C63" s="55" t="s">
        <v>52</v>
      </c>
      <c r="D63" s="55" t="s">
        <v>70</v>
      </c>
      <c r="E63" s="56">
        <v>-481.5</v>
      </c>
      <c r="F63" s="56">
        <v>0</v>
      </c>
      <c r="G63" s="56">
        <v>0</v>
      </c>
      <c r="H63" s="55" t="s">
        <v>71</v>
      </c>
      <c r="I63" s="56">
        <v>0</v>
      </c>
      <c r="J63" s="56">
        <v>0</v>
      </c>
      <c r="K63" s="55" t="s">
        <v>30</v>
      </c>
      <c r="L63" s="55" t="s">
        <v>53</v>
      </c>
      <c r="M63" s="57"/>
      <c r="N63" s="55" t="s">
        <v>21</v>
      </c>
      <c r="O63" s="56">
        <v>2.5</v>
      </c>
      <c r="P63" s="58"/>
      <c r="Q63" s="57"/>
      <c r="R63" s="56">
        <v>0</v>
      </c>
      <c r="S63" s="56">
        <v>0</v>
      </c>
      <c r="T63" s="56">
        <v>0</v>
      </c>
      <c r="U63" s="56">
        <v>0</v>
      </c>
      <c r="V63" s="56">
        <v>0</v>
      </c>
      <c r="W63" s="56">
        <v>0</v>
      </c>
      <c r="X63" s="58"/>
      <c r="Y63" s="59"/>
      <c r="Z63" s="56">
        <v>0</v>
      </c>
      <c r="AA63" s="56">
        <v>0</v>
      </c>
      <c r="AB63" s="55" t="s">
        <v>79</v>
      </c>
      <c r="AC63" s="56">
        <v>0</v>
      </c>
      <c r="AD63" s="56">
        <v>0</v>
      </c>
      <c r="AE63" s="60">
        <v>43873</v>
      </c>
      <c r="AF63" s="56">
        <v>0</v>
      </c>
      <c r="AG63" s="61" t="s">
        <v>52</v>
      </c>
    </row>
    <row r="64" spans="2:33" ht="15.75" customHeight="1" x14ac:dyDescent="0.2">
      <c r="B64" s="43" t="s">
        <v>18</v>
      </c>
      <c r="C64" s="43" t="s">
        <v>52</v>
      </c>
      <c r="D64" s="43" t="s">
        <v>70</v>
      </c>
      <c r="E64" s="44">
        <v>-524.95000000000005</v>
      </c>
      <c r="F64" s="44">
        <v>0</v>
      </c>
      <c r="G64" s="44">
        <v>0</v>
      </c>
      <c r="H64" s="43" t="s">
        <v>71</v>
      </c>
      <c r="I64" s="44">
        <v>0</v>
      </c>
      <c r="J64" s="44">
        <v>0</v>
      </c>
      <c r="K64" s="43" t="s">
        <v>30</v>
      </c>
      <c r="L64" s="43" t="s">
        <v>53</v>
      </c>
      <c r="M64" s="46"/>
      <c r="N64" s="43" t="s">
        <v>21</v>
      </c>
      <c r="O64" s="44">
        <v>2.5</v>
      </c>
      <c r="P64" s="52"/>
      <c r="Q64" s="46"/>
      <c r="R64" s="44">
        <v>0</v>
      </c>
      <c r="S64" s="44">
        <v>0</v>
      </c>
      <c r="T64" s="44">
        <v>0</v>
      </c>
      <c r="U64" s="44">
        <v>0</v>
      </c>
      <c r="V64" s="44">
        <v>0</v>
      </c>
      <c r="W64" s="44">
        <v>0</v>
      </c>
      <c r="X64" s="52"/>
      <c r="Y64" s="53"/>
      <c r="Z64" s="44">
        <v>0</v>
      </c>
      <c r="AA64" s="44">
        <v>0</v>
      </c>
      <c r="AB64" s="43" t="s">
        <v>39</v>
      </c>
      <c r="AC64" s="44">
        <v>0</v>
      </c>
      <c r="AD64" s="44">
        <v>0</v>
      </c>
      <c r="AE64" s="42">
        <v>43873</v>
      </c>
      <c r="AF64" s="44">
        <v>0</v>
      </c>
      <c r="AG64" s="54" t="s">
        <v>52</v>
      </c>
    </row>
    <row r="65" spans="2:33" ht="15.75" customHeight="1" x14ac:dyDescent="0.2">
      <c r="B65" s="55" t="s">
        <v>18</v>
      </c>
      <c r="C65" s="55" t="s">
        <v>52</v>
      </c>
      <c r="D65" s="55" t="s">
        <v>70</v>
      </c>
      <c r="E65" s="56">
        <v>777.33</v>
      </c>
      <c r="F65" s="56">
        <v>0</v>
      </c>
      <c r="G65" s="56">
        <v>0</v>
      </c>
      <c r="H65" s="55" t="s">
        <v>71</v>
      </c>
      <c r="I65" s="56">
        <v>0</v>
      </c>
      <c r="J65" s="56">
        <v>0</v>
      </c>
      <c r="K65" s="55" t="s">
        <v>30</v>
      </c>
      <c r="L65" s="55" t="s">
        <v>59</v>
      </c>
      <c r="M65" s="57"/>
      <c r="N65" s="55" t="s">
        <v>21</v>
      </c>
      <c r="O65" s="56">
        <v>2</v>
      </c>
      <c r="P65" s="58"/>
      <c r="Q65" s="57"/>
      <c r="R65" s="56">
        <v>0</v>
      </c>
      <c r="S65" s="56">
        <v>0</v>
      </c>
      <c r="T65" s="56">
        <v>0</v>
      </c>
      <c r="U65" s="56">
        <v>0</v>
      </c>
      <c r="V65" s="56">
        <v>0</v>
      </c>
      <c r="W65" s="56">
        <v>0</v>
      </c>
      <c r="X65" s="58"/>
      <c r="Y65" s="59"/>
      <c r="Z65" s="56">
        <v>0</v>
      </c>
      <c r="AA65" s="56">
        <v>0</v>
      </c>
      <c r="AB65" s="55" t="s">
        <v>26</v>
      </c>
      <c r="AC65" s="56">
        <v>0</v>
      </c>
      <c r="AD65" s="56">
        <v>0</v>
      </c>
      <c r="AE65" s="60">
        <v>43873</v>
      </c>
      <c r="AF65" s="56">
        <v>0</v>
      </c>
      <c r="AG65" s="61" t="s">
        <v>52</v>
      </c>
    </row>
    <row r="66" spans="2:33" ht="15.75" customHeight="1" x14ac:dyDescent="0.2">
      <c r="B66" s="43" t="s">
        <v>18</v>
      </c>
      <c r="C66" s="43" t="s">
        <v>52</v>
      </c>
      <c r="D66" s="43" t="s">
        <v>70</v>
      </c>
      <c r="E66" s="44">
        <v>7413.96</v>
      </c>
      <c r="F66" s="44">
        <v>0</v>
      </c>
      <c r="G66" s="44">
        <v>0</v>
      </c>
      <c r="H66" s="43" t="s">
        <v>71</v>
      </c>
      <c r="I66" s="44">
        <v>0</v>
      </c>
      <c r="J66" s="44">
        <v>0</v>
      </c>
      <c r="K66" s="43" t="s">
        <v>19</v>
      </c>
      <c r="L66" s="43" t="s">
        <v>59</v>
      </c>
      <c r="M66" s="46"/>
      <c r="N66" s="43" t="s">
        <v>21</v>
      </c>
      <c r="O66" s="44">
        <v>1</v>
      </c>
      <c r="P66" s="52"/>
      <c r="Q66" s="46"/>
      <c r="R66" s="44">
        <v>0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52"/>
      <c r="Y66" s="53"/>
      <c r="Z66" s="44">
        <v>0</v>
      </c>
      <c r="AA66" s="44">
        <v>0</v>
      </c>
      <c r="AB66" s="43" t="s">
        <v>30</v>
      </c>
      <c r="AC66" s="44">
        <v>0</v>
      </c>
      <c r="AD66" s="44">
        <v>0</v>
      </c>
      <c r="AE66" s="42">
        <v>43873</v>
      </c>
      <c r="AF66" s="44">
        <v>0</v>
      </c>
      <c r="AG66" s="54" t="s">
        <v>52</v>
      </c>
    </row>
    <row r="67" spans="2:33" ht="15.75" customHeight="1" x14ac:dyDescent="0.2">
      <c r="B67" s="55" t="s">
        <v>18</v>
      </c>
      <c r="C67" s="55" t="s">
        <v>52</v>
      </c>
      <c r="D67" s="55" t="s">
        <v>70</v>
      </c>
      <c r="E67" s="56">
        <v>264.95</v>
      </c>
      <c r="F67" s="56">
        <v>0</v>
      </c>
      <c r="G67" s="56">
        <v>0</v>
      </c>
      <c r="H67" s="55" t="s">
        <v>71</v>
      </c>
      <c r="I67" s="56">
        <v>0</v>
      </c>
      <c r="J67" s="56">
        <v>0</v>
      </c>
      <c r="K67" s="55" t="s">
        <v>30</v>
      </c>
      <c r="L67" s="55" t="s">
        <v>59</v>
      </c>
      <c r="M67" s="57"/>
      <c r="N67" s="55" t="s">
        <v>21</v>
      </c>
      <c r="O67" s="56">
        <v>2</v>
      </c>
      <c r="P67" s="58"/>
      <c r="Q67" s="57"/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8"/>
      <c r="Y67" s="59"/>
      <c r="Z67" s="56">
        <v>0</v>
      </c>
      <c r="AA67" s="56">
        <v>0</v>
      </c>
      <c r="AB67" s="55" t="s">
        <v>39</v>
      </c>
      <c r="AC67" s="56">
        <v>0</v>
      </c>
      <c r="AD67" s="56">
        <v>0</v>
      </c>
      <c r="AE67" s="60">
        <v>43873</v>
      </c>
      <c r="AF67" s="56">
        <v>0</v>
      </c>
      <c r="AG67" s="61" t="s">
        <v>52</v>
      </c>
    </row>
    <row r="68" spans="2:33" ht="15.75" customHeight="1" x14ac:dyDescent="0.2">
      <c r="B68" s="43" t="s">
        <v>23</v>
      </c>
      <c r="C68" s="43" t="s">
        <v>67</v>
      </c>
      <c r="D68" s="43" t="s">
        <v>73</v>
      </c>
      <c r="E68" s="44">
        <v>-1747.619048</v>
      </c>
      <c r="F68" s="44">
        <v>0</v>
      </c>
      <c r="G68" s="44">
        <v>0</v>
      </c>
      <c r="H68" s="43" t="s">
        <v>71</v>
      </c>
      <c r="I68" s="44">
        <v>0</v>
      </c>
      <c r="J68" s="44">
        <v>0</v>
      </c>
      <c r="K68" s="43" t="s">
        <v>30</v>
      </c>
      <c r="L68" s="43" t="s">
        <v>74</v>
      </c>
      <c r="M68" s="42"/>
      <c r="N68" s="43" t="s">
        <v>21</v>
      </c>
      <c r="O68" s="44">
        <v>1.1000000000000001</v>
      </c>
      <c r="P68" s="52"/>
      <c r="Q68" s="46"/>
      <c r="R68" s="44">
        <v>0</v>
      </c>
      <c r="S68" s="44">
        <v>0</v>
      </c>
      <c r="T68" s="44">
        <v>0</v>
      </c>
      <c r="U68" s="44">
        <v>0</v>
      </c>
      <c r="V68" s="44">
        <v>25</v>
      </c>
      <c r="W68" s="44">
        <v>0</v>
      </c>
      <c r="X68" s="54" t="s">
        <v>19</v>
      </c>
      <c r="Y68" s="42"/>
      <c r="Z68" s="44">
        <v>0</v>
      </c>
      <c r="AA68" s="44">
        <v>0</v>
      </c>
      <c r="AB68" s="43" t="s">
        <v>26</v>
      </c>
      <c r="AC68" s="44">
        <v>0</v>
      </c>
      <c r="AD68" s="44">
        <v>0</v>
      </c>
      <c r="AE68" s="42">
        <v>43873</v>
      </c>
      <c r="AF68" s="44">
        <v>0</v>
      </c>
      <c r="AG68" s="54" t="s">
        <v>67</v>
      </c>
    </row>
    <row r="69" spans="2:33" ht="15.75" customHeight="1" x14ac:dyDescent="0.2">
      <c r="B69" s="55" t="s">
        <v>23</v>
      </c>
      <c r="C69" s="55" t="s">
        <v>67</v>
      </c>
      <c r="D69" s="55" t="s">
        <v>73</v>
      </c>
      <c r="E69" s="56">
        <v>-3704.9523810000001</v>
      </c>
      <c r="F69" s="56">
        <v>0</v>
      </c>
      <c r="G69" s="56">
        <v>0</v>
      </c>
      <c r="H69" s="55" t="s">
        <v>71</v>
      </c>
      <c r="I69" s="56">
        <v>0</v>
      </c>
      <c r="J69" s="56">
        <v>0</v>
      </c>
      <c r="K69" s="55" t="s">
        <v>30</v>
      </c>
      <c r="L69" s="55" t="s">
        <v>74</v>
      </c>
      <c r="M69" s="60"/>
      <c r="N69" s="55" t="s">
        <v>21</v>
      </c>
      <c r="O69" s="56">
        <v>1.1000000000000001</v>
      </c>
      <c r="P69" s="58"/>
      <c r="Q69" s="57"/>
      <c r="R69" s="56">
        <v>0</v>
      </c>
      <c r="S69" s="56">
        <v>0</v>
      </c>
      <c r="T69" s="56">
        <v>0</v>
      </c>
      <c r="U69" s="56">
        <v>0</v>
      </c>
      <c r="V69" s="56">
        <v>53</v>
      </c>
      <c r="W69" s="56">
        <v>0</v>
      </c>
      <c r="X69" s="61" t="s">
        <v>19</v>
      </c>
      <c r="Y69" s="60"/>
      <c r="Z69" s="56">
        <v>0</v>
      </c>
      <c r="AA69" s="56">
        <v>0</v>
      </c>
      <c r="AB69" s="55" t="s">
        <v>26</v>
      </c>
      <c r="AC69" s="56">
        <v>0</v>
      </c>
      <c r="AD69" s="56">
        <v>0</v>
      </c>
      <c r="AE69" s="60">
        <v>43873</v>
      </c>
      <c r="AF69" s="56">
        <v>0</v>
      </c>
      <c r="AG69" s="61" t="s">
        <v>67</v>
      </c>
    </row>
    <row r="70" spans="2:33" ht="15.75" customHeight="1" x14ac:dyDescent="0.2">
      <c r="B70" s="55" t="s">
        <v>18</v>
      </c>
      <c r="C70" s="55" t="s">
        <v>67</v>
      </c>
      <c r="D70" s="55" t="s">
        <v>73</v>
      </c>
      <c r="E70" s="56">
        <v>-1747.619048</v>
      </c>
      <c r="F70" s="56">
        <v>0</v>
      </c>
      <c r="G70" s="56">
        <v>0</v>
      </c>
      <c r="H70" s="55" t="s">
        <v>71</v>
      </c>
      <c r="I70" s="56">
        <v>0</v>
      </c>
      <c r="J70" s="56">
        <v>0</v>
      </c>
      <c r="K70" s="55" t="s">
        <v>30</v>
      </c>
      <c r="L70" s="55" t="s">
        <v>74</v>
      </c>
      <c r="M70" s="60"/>
      <c r="N70" s="55" t="s">
        <v>21</v>
      </c>
      <c r="O70" s="56">
        <v>1.1000000000000001</v>
      </c>
      <c r="P70" s="58"/>
      <c r="Q70" s="57"/>
      <c r="R70" s="56">
        <v>0</v>
      </c>
      <c r="S70" s="56">
        <v>0</v>
      </c>
      <c r="T70" s="56">
        <v>0</v>
      </c>
      <c r="U70" s="56">
        <v>0</v>
      </c>
      <c r="V70" s="56">
        <v>25</v>
      </c>
      <c r="W70" s="56">
        <v>0</v>
      </c>
      <c r="X70" s="61" t="s">
        <v>19</v>
      </c>
      <c r="Y70" s="60"/>
      <c r="Z70" s="56">
        <v>0</v>
      </c>
      <c r="AA70" s="56">
        <v>0</v>
      </c>
      <c r="AB70" s="55" t="s">
        <v>26</v>
      </c>
      <c r="AC70" s="56">
        <v>0</v>
      </c>
      <c r="AD70" s="56">
        <v>0</v>
      </c>
      <c r="AE70" s="60">
        <v>43873</v>
      </c>
      <c r="AF70" s="56">
        <v>0</v>
      </c>
      <c r="AG70" s="61" t="s">
        <v>67</v>
      </c>
    </row>
    <row r="71" spans="2:33" ht="15.75" customHeight="1" x14ac:dyDescent="0.2">
      <c r="B71" s="55" t="s">
        <v>18</v>
      </c>
      <c r="C71" s="55" t="s">
        <v>67</v>
      </c>
      <c r="D71" s="55" t="s">
        <v>73</v>
      </c>
      <c r="E71" s="56">
        <v>-3635.0476189999999</v>
      </c>
      <c r="F71" s="56">
        <v>0</v>
      </c>
      <c r="G71" s="56">
        <v>0</v>
      </c>
      <c r="H71" s="55" t="s">
        <v>71</v>
      </c>
      <c r="I71" s="56">
        <v>0</v>
      </c>
      <c r="J71" s="56">
        <v>0</v>
      </c>
      <c r="K71" s="55" t="s">
        <v>30</v>
      </c>
      <c r="L71" s="55" t="s">
        <v>74</v>
      </c>
      <c r="M71" s="60"/>
      <c r="N71" s="55" t="s">
        <v>21</v>
      </c>
      <c r="O71" s="56">
        <v>1.1000000000000001</v>
      </c>
      <c r="P71" s="58"/>
      <c r="Q71" s="57"/>
      <c r="R71" s="56">
        <v>0</v>
      </c>
      <c r="S71" s="56">
        <v>0</v>
      </c>
      <c r="T71" s="56">
        <v>0</v>
      </c>
      <c r="U71" s="56">
        <v>0</v>
      </c>
      <c r="V71" s="56">
        <v>52</v>
      </c>
      <c r="W71" s="56">
        <v>0</v>
      </c>
      <c r="X71" s="61" t="s">
        <v>19</v>
      </c>
      <c r="Y71" s="60"/>
      <c r="Z71" s="56">
        <v>0</v>
      </c>
      <c r="AA71" s="56">
        <v>0</v>
      </c>
      <c r="AB71" s="55" t="s">
        <v>26</v>
      </c>
      <c r="AC71" s="56">
        <v>0</v>
      </c>
      <c r="AD71" s="56">
        <v>0</v>
      </c>
      <c r="AE71" s="60">
        <v>43873</v>
      </c>
      <c r="AF71" s="56">
        <v>0</v>
      </c>
      <c r="AG71" s="61" t="s">
        <v>67</v>
      </c>
    </row>
    <row r="72" spans="2:33" ht="15.75" customHeight="1" x14ac:dyDescent="0.2">
      <c r="B72" s="43" t="s">
        <v>23</v>
      </c>
      <c r="C72" s="43" t="s">
        <v>67</v>
      </c>
      <c r="D72" s="43" t="s">
        <v>73</v>
      </c>
      <c r="E72" s="44">
        <v>1092.2619050000001</v>
      </c>
      <c r="F72" s="44">
        <v>0</v>
      </c>
      <c r="G72" s="44">
        <v>0</v>
      </c>
      <c r="H72" s="43" t="s">
        <v>71</v>
      </c>
      <c r="I72" s="44">
        <v>0</v>
      </c>
      <c r="J72" s="44">
        <v>0</v>
      </c>
      <c r="K72" s="43" t="s">
        <v>30</v>
      </c>
      <c r="L72" s="43" t="s">
        <v>74</v>
      </c>
      <c r="M72" s="42"/>
      <c r="N72" s="43" t="s">
        <v>21</v>
      </c>
      <c r="O72" s="44">
        <v>1.1000000000000001</v>
      </c>
      <c r="P72" s="52"/>
      <c r="Q72" s="46"/>
      <c r="R72" s="44">
        <v>0</v>
      </c>
      <c r="S72" s="44">
        <v>0</v>
      </c>
      <c r="T72" s="44">
        <v>0</v>
      </c>
      <c r="U72" s="44">
        <v>0</v>
      </c>
      <c r="V72" s="44">
        <v>25</v>
      </c>
      <c r="W72" s="44">
        <v>0</v>
      </c>
      <c r="X72" s="54" t="s">
        <v>19</v>
      </c>
      <c r="Y72" s="42"/>
      <c r="Z72" s="44">
        <v>0</v>
      </c>
      <c r="AA72" s="44">
        <v>0</v>
      </c>
      <c r="AB72" s="43" t="s">
        <v>26</v>
      </c>
      <c r="AC72" s="44">
        <v>0</v>
      </c>
      <c r="AD72" s="44">
        <v>0</v>
      </c>
      <c r="AE72" s="42">
        <v>43873</v>
      </c>
      <c r="AF72" s="44">
        <v>0</v>
      </c>
      <c r="AG72" s="54" t="s">
        <v>67</v>
      </c>
    </row>
    <row r="73" spans="2:33" ht="15.75" customHeight="1" x14ac:dyDescent="0.2">
      <c r="B73" s="55" t="s">
        <v>23</v>
      </c>
      <c r="C73" s="55" t="s">
        <v>67</v>
      </c>
      <c r="D73" s="55" t="s">
        <v>73</v>
      </c>
      <c r="E73" s="56">
        <v>655.35714289999999</v>
      </c>
      <c r="F73" s="56">
        <v>0</v>
      </c>
      <c r="G73" s="56">
        <v>0</v>
      </c>
      <c r="H73" s="55" t="s">
        <v>71</v>
      </c>
      <c r="I73" s="56">
        <v>0</v>
      </c>
      <c r="J73" s="56">
        <v>0</v>
      </c>
      <c r="K73" s="55" t="s">
        <v>30</v>
      </c>
      <c r="L73" s="55" t="s">
        <v>74</v>
      </c>
      <c r="M73" s="60"/>
      <c r="N73" s="55" t="s">
        <v>21</v>
      </c>
      <c r="O73" s="56">
        <v>1.1000000000000001</v>
      </c>
      <c r="P73" s="58"/>
      <c r="Q73" s="57"/>
      <c r="R73" s="56">
        <v>0</v>
      </c>
      <c r="S73" s="56">
        <v>0</v>
      </c>
      <c r="T73" s="56">
        <v>0</v>
      </c>
      <c r="U73" s="56">
        <v>0</v>
      </c>
      <c r="V73" s="56">
        <v>8</v>
      </c>
      <c r="W73" s="56">
        <v>0</v>
      </c>
      <c r="X73" s="61" t="s">
        <v>19</v>
      </c>
      <c r="Y73" s="60"/>
      <c r="Z73" s="56">
        <v>0</v>
      </c>
      <c r="AA73" s="56">
        <v>0</v>
      </c>
      <c r="AB73" s="55" t="s">
        <v>79</v>
      </c>
      <c r="AC73" s="56">
        <v>0</v>
      </c>
      <c r="AD73" s="56">
        <v>0</v>
      </c>
      <c r="AE73" s="60">
        <v>43873</v>
      </c>
      <c r="AF73" s="56">
        <v>0</v>
      </c>
      <c r="AG73" s="61" t="s">
        <v>67</v>
      </c>
    </row>
    <row r="74" spans="2:33" ht="15.75" customHeight="1" x14ac:dyDescent="0.2">
      <c r="B74" s="43" t="s">
        <v>23</v>
      </c>
      <c r="C74" s="43" t="s">
        <v>67</v>
      </c>
      <c r="D74" s="43" t="s">
        <v>73</v>
      </c>
      <c r="E74" s="44">
        <v>2315.5952379999999</v>
      </c>
      <c r="F74" s="44">
        <v>0</v>
      </c>
      <c r="G74" s="44">
        <v>0</v>
      </c>
      <c r="H74" s="43" t="s">
        <v>71</v>
      </c>
      <c r="I74" s="44">
        <v>0</v>
      </c>
      <c r="J74" s="44">
        <v>0</v>
      </c>
      <c r="K74" s="43" t="s">
        <v>30</v>
      </c>
      <c r="L74" s="43" t="s">
        <v>74</v>
      </c>
      <c r="M74" s="42"/>
      <c r="N74" s="43" t="s">
        <v>21</v>
      </c>
      <c r="O74" s="44">
        <v>1.1000000000000001</v>
      </c>
      <c r="P74" s="52"/>
      <c r="Q74" s="46"/>
      <c r="R74" s="44">
        <v>0</v>
      </c>
      <c r="S74" s="44">
        <v>0</v>
      </c>
      <c r="T74" s="44">
        <v>0</v>
      </c>
      <c r="U74" s="44">
        <v>0</v>
      </c>
      <c r="V74" s="44">
        <v>53</v>
      </c>
      <c r="W74" s="44">
        <v>0</v>
      </c>
      <c r="X74" s="54" t="s">
        <v>19</v>
      </c>
      <c r="Y74" s="42"/>
      <c r="Z74" s="44">
        <v>0</v>
      </c>
      <c r="AA74" s="44">
        <v>0</v>
      </c>
      <c r="AB74" s="43" t="s">
        <v>26</v>
      </c>
      <c r="AC74" s="44">
        <v>0</v>
      </c>
      <c r="AD74" s="44">
        <v>0</v>
      </c>
      <c r="AE74" s="42">
        <v>43873</v>
      </c>
      <c r="AF74" s="44">
        <v>0</v>
      </c>
      <c r="AG74" s="54" t="s">
        <v>67</v>
      </c>
    </row>
    <row r="75" spans="2:33" ht="15.75" customHeight="1" x14ac:dyDescent="0.2">
      <c r="B75" s="55" t="s">
        <v>23</v>
      </c>
      <c r="C75" s="55" t="s">
        <v>67</v>
      </c>
      <c r="D75" s="55" t="s">
        <v>73</v>
      </c>
      <c r="E75" s="56">
        <v>1389.357143</v>
      </c>
      <c r="F75" s="56">
        <v>0</v>
      </c>
      <c r="G75" s="56">
        <v>0</v>
      </c>
      <c r="H75" s="55" t="s">
        <v>71</v>
      </c>
      <c r="I75" s="56">
        <v>0</v>
      </c>
      <c r="J75" s="56">
        <v>0</v>
      </c>
      <c r="K75" s="55" t="s">
        <v>30</v>
      </c>
      <c r="L75" s="55" t="s">
        <v>74</v>
      </c>
      <c r="M75" s="60"/>
      <c r="N75" s="55" t="s">
        <v>21</v>
      </c>
      <c r="O75" s="56">
        <v>1.1000000000000001</v>
      </c>
      <c r="P75" s="58"/>
      <c r="Q75" s="57"/>
      <c r="R75" s="56">
        <v>0</v>
      </c>
      <c r="S75" s="56">
        <v>0</v>
      </c>
      <c r="T75" s="56">
        <v>0</v>
      </c>
      <c r="U75" s="56">
        <v>0</v>
      </c>
      <c r="V75" s="56">
        <v>17</v>
      </c>
      <c r="W75" s="56">
        <v>0</v>
      </c>
      <c r="X75" s="61" t="s">
        <v>19</v>
      </c>
      <c r="Y75" s="60"/>
      <c r="Z75" s="56">
        <v>0</v>
      </c>
      <c r="AA75" s="56">
        <v>0</v>
      </c>
      <c r="AB75" s="55" t="s">
        <v>79</v>
      </c>
      <c r="AC75" s="56">
        <v>0</v>
      </c>
      <c r="AD75" s="56">
        <v>0</v>
      </c>
      <c r="AE75" s="60">
        <v>43873</v>
      </c>
      <c r="AF75" s="56">
        <v>0</v>
      </c>
      <c r="AG75" s="61" t="s">
        <v>67</v>
      </c>
    </row>
    <row r="76" spans="2:33" ht="15.75" customHeight="1" x14ac:dyDescent="0.2">
      <c r="B76" s="43" t="s">
        <v>18</v>
      </c>
      <c r="C76" s="43" t="s">
        <v>67</v>
      </c>
      <c r="D76" s="43" t="s">
        <v>73</v>
      </c>
      <c r="E76" s="44">
        <v>1092.2619050000001</v>
      </c>
      <c r="F76" s="44">
        <v>0</v>
      </c>
      <c r="G76" s="44">
        <v>0</v>
      </c>
      <c r="H76" s="43" t="s">
        <v>71</v>
      </c>
      <c r="I76" s="44">
        <v>0</v>
      </c>
      <c r="J76" s="44">
        <v>0</v>
      </c>
      <c r="K76" s="43" t="s">
        <v>30</v>
      </c>
      <c r="L76" s="43" t="s">
        <v>74</v>
      </c>
      <c r="M76" s="42"/>
      <c r="N76" s="43" t="s">
        <v>21</v>
      </c>
      <c r="O76" s="44">
        <v>1.1000000000000001</v>
      </c>
      <c r="P76" s="52"/>
      <c r="Q76" s="46"/>
      <c r="R76" s="44">
        <v>0</v>
      </c>
      <c r="S76" s="44">
        <v>0</v>
      </c>
      <c r="T76" s="44">
        <v>0</v>
      </c>
      <c r="U76" s="44">
        <v>0</v>
      </c>
      <c r="V76" s="44">
        <v>25</v>
      </c>
      <c r="W76" s="44">
        <v>0</v>
      </c>
      <c r="X76" s="54" t="s">
        <v>19</v>
      </c>
      <c r="Y76" s="42"/>
      <c r="Z76" s="44">
        <v>0</v>
      </c>
      <c r="AA76" s="44">
        <v>0</v>
      </c>
      <c r="AB76" s="43" t="s">
        <v>26</v>
      </c>
      <c r="AC76" s="44">
        <v>0</v>
      </c>
      <c r="AD76" s="44">
        <v>0</v>
      </c>
      <c r="AE76" s="42">
        <v>43873</v>
      </c>
      <c r="AF76" s="44">
        <v>0</v>
      </c>
      <c r="AG76" s="54" t="s">
        <v>67</v>
      </c>
    </row>
    <row r="77" spans="2:33" ht="15.75" customHeight="1" x14ac:dyDescent="0.2">
      <c r="B77" s="55" t="s">
        <v>18</v>
      </c>
      <c r="C77" s="55" t="s">
        <v>67</v>
      </c>
      <c r="D77" s="55" t="s">
        <v>73</v>
      </c>
      <c r="E77" s="56">
        <v>655.35714289999999</v>
      </c>
      <c r="F77" s="56">
        <v>0</v>
      </c>
      <c r="G77" s="56">
        <v>0</v>
      </c>
      <c r="H77" s="55" t="s">
        <v>71</v>
      </c>
      <c r="I77" s="56">
        <v>0</v>
      </c>
      <c r="J77" s="56">
        <v>0</v>
      </c>
      <c r="K77" s="55" t="s">
        <v>30</v>
      </c>
      <c r="L77" s="55" t="s">
        <v>74</v>
      </c>
      <c r="M77" s="60"/>
      <c r="N77" s="55" t="s">
        <v>21</v>
      </c>
      <c r="O77" s="56">
        <v>1.1000000000000001</v>
      </c>
      <c r="P77" s="58"/>
      <c r="Q77" s="57"/>
      <c r="R77" s="56">
        <v>0</v>
      </c>
      <c r="S77" s="56">
        <v>0</v>
      </c>
      <c r="T77" s="56">
        <v>0</v>
      </c>
      <c r="U77" s="56">
        <v>0</v>
      </c>
      <c r="V77" s="56">
        <v>8</v>
      </c>
      <c r="W77" s="56">
        <v>0</v>
      </c>
      <c r="X77" s="61" t="s">
        <v>19</v>
      </c>
      <c r="Y77" s="60"/>
      <c r="Z77" s="56">
        <v>0</v>
      </c>
      <c r="AA77" s="56">
        <v>0</v>
      </c>
      <c r="AB77" s="55" t="s">
        <v>79</v>
      </c>
      <c r="AC77" s="56">
        <v>0</v>
      </c>
      <c r="AD77" s="56">
        <v>0</v>
      </c>
      <c r="AE77" s="60">
        <v>43873</v>
      </c>
      <c r="AF77" s="56">
        <v>0</v>
      </c>
      <c r="AG77" s="61" t="s">
        <v>67</v>
      </c>
    </row>
    <row r="78" spans="2:33" ht="15.75" customHeight="1" x14ac:dyDescent="0.2">
      <c r="B78" s="43" t="s">
        <v>18</v>
      </c>
      <c r="C78" s="43" t="s">
        <v>67</v>
      </c>
      <c r="D78" s="43" t="s">
        <v>73</v>
      </c>
      <c r="E78" s="44">
        <v>2271.9047620000001</v>
      </c>
      <c r="F78" s="44">
        <v>0</v>
      </c>
      <c r="G78" s="44">
        <v>0</v>
      </c>
      <c r="H78" s="43" t="s">
        <v>71</v>
      </c>
      <c r="I78" s="44">
        <v>0</v>
      </c>
      <c r="J78" s="44">
        <v>0</v>
      </c>
      <c r="K78" s="43" t="s">
        <v>30</v>
      </c>
      <c r="L78" s="43" t="s">
        <v>74</v>
      </c>
      <c r="M78" s="42"/>
      <c r="N78" s="43" t="s">
        <v>21</v>
      </c>
      <c r="O78" s="44">
        <v>1.1000000000000001</v>
      </c>
      <c r="P78" s="52"/>
      <c r="Q78" s="46"/>
      <c r="R78" s="44">
        <v>0</v>
      </c>
      <c r="S78" s="44">
        <v>0</v>
      </c>
      <c r="T78" s="44">
        <v>0</v>
      </c>
      <c r="U78" s="44">
        <v>0</v>
      </c>
      <c r="V78" s="44">
        <v>52</v>
      </c>
      <c r="W78" s="44">
        <v>0</v>
      </c>
      <c r="X78" s="54" t="s">
        <v>19</v>
      </c>
      <c r="Y78" s="42"/>
      <c r="Z78" s="44">
        <v>0</v>
      </c>
      <c r="AA78" s="44">
        <v>0</v>
      </c>
      <c r="AB78" s="43" t="s">
        <v>26</v>
      </c>
      <c r="AC78" s="44">
        <v>0</v>
      </c>
      <c r="AD78" s="44">
        <v>0</v>
      </c>
      <c r="AE78" s="42">
        <v>43873</v>
      </c>
      <c r="AF78" s="44">
        <v>0</v>
      </c>
      <c r="AG78" s="54" t="s">
        <v>67</v>
      </c>
    </row>
    <row r="79" spans="2:33" ht="15.75" customHeight="1" x14ac:dyDescent="0.2">
      <c r="B79" s="55" t="s">
        <v>18</v>
      </c>
      <c r="C79" s="55" t="s">
        <v>67</v>
      </c>
      <c r="D79" s="55" t="s">
        <v>73</v>
      </c>
      <c r="E79" s="56">
        <v>1363.142857</v>
      </c>
      <c r="F79" s="56">
        <v>0</v>
      </c>
      <c r="G79" s="56">
        <v>0</v>
      </c>
      <c r="H79" s="55" t="s">
        <v>71</v>
      </c>
      <c r="I79" s="56">
        <v>0</v>
      </c>
      <c r="J79" s="56">
        <v>0</v>
      </c>
      <c r="K79" s="55" t="s">
        <v>30</v>
      </c>
      <c r="L79" s="55" t="s">
        <v>74</v>
      </c>
      <c r="M79" s="60"/>
      <c r="N79" s="55" t="s">
        <v>21</v>
      </c>
      <c r="O79" s="56">
        <v>1.1000000000000001</v>
      </c>
      <c r="P79" s="58"/>
      <c r="Q79" s="57"/>
      <c r="R79" s="56">
        <v>0</v>
      </c>
      <c r="S79" s="56">
        <v>0</v>
      </c>
      <c r="T79" s="56">
        <v>0</v>
      </c>
      <c r="U79" s="56">
        <v>0</v>
      </c>
      <c r="V79" s="56">
        <v>17</v>
      </c>
      <c r="W79" s="56">
        <v>0</v>
      </c>
      <c r="X79" s="61" t="s">
        <v>19</v>
      </c>
      <c r="Y79" s="60"/>
      <c r="Z79" s="56">
        <v>0</v>
      </c>
      <c r="AA79" s="56">
        <v>0</v>
      </c>
      <c r="AB79" s="55" t="s">
        <v>79</v>
      </c>
      <c r="AC79" s="56">
        <v>0</v>
      </c>
      <c r="AD79" s="56">
        <v>0</v>
      </c>
      <c r="AE79" s="60">
        <v>43873</v>
      </c>
      <c r="AF79" s="56">
        <v>0</v>
      </c>
      <c r="AG79" s="61" t="s">
        <v>67</v>
      </c>
    </row>
    <row r="80" spans="2:33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43</v>
      </c>
      <c r="C6" s="28">
        <v>43871</v>
      </c>
      <c r="D6" s="28">
        <v>43873</v>
      </c>
      <c r="E6" s="32" t="s">
        <v>16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85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64" t="s">
        <v>23</v>
      </c>
      <c r="C6" s="64" t="s">
        <v>86</v>
      </c>
      <c r="D6" s="65"/>
      <c r="E6" s="68"/>
      <c r="F6" s="64"/>
      <c r="G6" s="68"/>
      <c r="H6" s="65">
        <v>2909.9523810000001</v>
      </c>
      <c r="I6" s="65">
        <v>55</v>
      </c>
      <c r="J6" s="67"/>
      <c r="K6" s="64"/>
      <c r="L6" s="67"/>
      <c r="M6" s="65">
        <v>53</v>
      </c>
      <c r="N6" s="64" t="s">
        <v>87</v>
      </c>
      <c r="O6" s="65"/>
      <c r="P6" s="64" t="s">
        <v>27</v>
      </c>
      <c r="Q6" s="64" t="s">
        <v>88</v>
      </c>
      <c r="R6" s="64" t="s">
        <v>39</v>
      </c>
      <c r="S6" s="70"/>
      <c r="T6" s="65">
        <v>5.0476190479999996</v>
      </c>
      <c r="U6" s="66">
        <v>43872</v>
      </c>
      <c r="V6" s="64" t="s">
        <v>27</v>
      </c>
      <c r="W6" s="64" t="s">
        <v>89</v>
      </c>
      <c r="X6" s="65">
        <v>54.904761899999997</v>
      </c>
      <c r="Y6" s="65">
        <v>60.3952381</v>
      </c>
      <c r="Z6" s="65">
        <v>60.5</v>
      </c>
    </row>
    <row r="7" spans="1:154" ht="15.75" customHeight="1" x14ac:dyDescent="0.25">
      <c r="A7" s="5"/>
      <c r="B7" s="64" t="s">
        <v>18</v>
      </c>
      <c r="C7" s="64" t="s">
        <v>86</v>
      </c>
      <c r="D7" s="65"/>
      <c r="E7" s="68"/>
      <c r="F7" s="64"/>
      <c r="G7" s="68"/>
      <c r="H7" s="65">
        <v>2855.0476189999999</v>
      </c>
      <c r="I7" s="65">
        <v>55</v>
      </c>
      <c r="J7" s="67"/>
      <c r="K7" s="64"/>
      <c r="L7" s="67"/>
      <c r="M7" s="65">
        <v>52</v>
      </c>
      <c r="N7" s="64" t="s">
        <v>87</v>
      </c>
      <c r="O7" s="65"/>
      <c r="P7" s="64" t="s">
        <v>27</v>
      </c>
      <c r="Q7" s="64" t="s">
        <v>88</v>
      </c>
      <c r="R7" s="64" t="s">
        <v>39</v>
      </c>
      <c r="S7" s="70"/>
      <c r="T7" s="65">
        <v>4.9523809520000004</v>
      </c>
      <c r="U7" s="66">
        <v>43872</v>
      </c>
      <c r="V7" s="64" t="s">
        <v>27</v>
      </c>
      <c r="W7" s="64" t="s">
        <v>89</v>
      </c>
      <c r="X7" s="65">
        <v>54.904761899999997</v>
      </c>
      <c r="Y7" s="65">
        <v>60.3952381</v>
      </c>
      <c r="Z7" s="65">
        <v>60.5</v>
      </c>
    </row>
    <row r="8" spans="1:154" ht="15.75" customHeight="1" x14ac:dyDescent="0.25">
      <c r="A8" s="5"/>
      <c r="B8" s="64" t="s">
        <v>23</v>
      </c>
      <c r="C8" s="64" t="s">
        <v>86</v>
      </c>
      <c r="D8" s="65"/>
      <c r="E8" s="68"/>
      <c r="F8" s="64"/>
      <c r="G8" s="68"/>
      <c r="H8" s="65">
        <v>1092.2619050000001</v>
      </c>
      <c r="I8" s="65">
        <v>43.690476189999998</v>
      </c>
      <c r="J8" s="67"/>
      <c r="K8" s="64"/>
      <c r="L8" s="67"/>
      <c r="M8" s="65">
        <v>25</v>
      </c>
      <c r="N8" s="64" t="s">
        <v>26</v>
      </c>
      <c r="O8" s="65"/>
      <c r="P8" s="64" t="s">
        <v>27</v>
      </c>
      <c r="Q8" s="64" t="s">
        <v>88</v>
      </c>
      <c r="R8" s="64" t="s">
        <v>26</v>
      </c>
      <c r="S8" s="70"/>
      <c r="T8" s="65">
        <v>0</v>
      </c>
      <c r="U8" s="66">
        <v>43873</v>
      </c>
      <c r="V8" s="64" t="s">
        <v>27</v>
      </c>
      <c r="W8" s="64" t="s">
        <v>89</v>
      </c>
      <c r="X8" s="65">
        <v>43.690476189999998</v>
      </c>
      <c r="Y8" s="65">
        <v>48.059523810000002</v>
      </c>
      <c r="Z8" s="65">
        <v>48.059523810000002</v>
      </c>
    </row>
    <row r="9" spans="1:154" ht="15.75" customHeight="1" x14ac:dyDescent="0.25">
      <c r="A9" s="5"/>
      <c r="B9" s="64" t="s">
        <v>23</v>
      </c>
      <c r="C9" s="64" t="s">
        <v>86</v>
      </c>
      <c r="D9" s="65"/>
      <c r="E9" s="68"/>
      <c r="F9" s="64"/>
      <c r="G9" s="68"/>
      <c r="H9" s="65">
        <v>655.35714289999999</v>
      </c>
      <c r="I9" s="65">
        <v>81.919642859999996</v>
      </c>
      <c r="J9" s="67"/>
      <c r="K9" s="64"/>
      <c r="L9" s="67"/>
      <c r="M9" s="65">
        <v>8</v>
      </c>
      <c r="N9" s="64" t="s">
        <v>90</v>
      </c>
      <c r="O9" s="65"/>
      <c r="P9" s="64" t="s">
        <v>27</v>
      </c>
      <c r="Q9" s="64" t="s">
        <v>88</v>
      </c>
      <c r="R9" s="64" t="s">
        <v>79</v>
      </c>
      <c r="S9" s="70"/>
      <c r="T9" s="65">
        <v>0</v>
      </c>
      <c r="U9" s="66">
        <v>43873</v>
      </c>
      <c r="V9" s="64" t="s">
        <v>27</v>
      </c>
      <c r="W9" s="64" t="s">
        <v>89</v>
      </c>
      <c r="X9" s="65">
        <v>81.919642859999996</v>
      </c>
      <c r="Y9" s="65">
        <v>90.111607140000004</v>
      </c>
      <c r="Z9" s="65">
        <v>90.111607140000004</v>
      </c>
    </row>
    <row r="10" spans="1:154" ht="15.75" customHeight="1" x14ac:dyDescent="0.25">
      <c r="A10" s="5"/>
      <c r="B10" s="64" t="s">
        <v>23</v>
      </c>
      <c r="C10" s="64" t="s">
        <v>86</v>
      </c>
      <c r="D10" s="65"/>
      <c r="E10" s="68"/>
      <c r="F10" s="64"/>
      <c r="G10" s="68"/>
      <c r="H10" s="65">
        <v>2315.5952379999999</v>
      </c>
      <c r="I10" s="65">
        <v>43.690476189999998</v>
      </c>
      <c r="J10" s="67"/>
      <c r="K10" s="64"/>
      <c r="L10" s="67"/>
      <c r="M10" s="65">
        <v>53</v>
      </c>
      <c r="N10" s="64" t="s">
        <v>26</v>
      </c>
      <c r="O10" s="65"/>
      <c r="P10" s="64" t="s">
        <v>27</v>
      </c>
      <c r="Q10" s="64" t="s">
        <v>88</v>
      </c>
      <c r="R10" s="64" t="s">
        <v>26</v>
      </c>
      <c r="S10" s="70"/>
      <c r="T10" s="65">
        <v>0</v>
      </c>
      <c r="U10" s="66">
        <v>43873</v>
      </c>
      <c r="V10" s="64" t="s">
        <v>27</v>
      </c>
      <c r="W10" s="64" t="s">
        <v>89</v>
      </c>
      <c r="X10" s="65">
        <v>43.690476189999998</v>
      </c>
      <c r="Y10" s="65">
        <v>48.059523810000002</v>
      </c>
      <c r="Z10" s="65">
        <v>48.059523810000002</v>
      </c>
    </row>
    <row r="11" spans="1:154" ht="15.75" customHeight="1" x14ac:dyDescent="0.25">
      <c r="A11" s="5"/>
      <c r="B11" s="64" t="s">
        <v>23</v>
      </c>
      <c r="C11" s="64" t="s">
        <v>86</v>
      </c>
      <c r="D11" s="65"/>
      <c r="E11" s="68"/>
      <c r="F11" s="64"/>
      <c r="G11" s="68"/>
      <c r="H11" s="65">
        <v>1389.357143</v>
      </c>
      <c r="I11" s="65">
        <v>81.726890760000003</v>
      </c>
      <c r="J11" s="67"/>
      <c r="K11" s="64"/>
      <c r="L11" s="67"/>
      <c r="M11" s="65">
        <v>17</v>
      </c>
      <c r="N11" s="64" t="s">
        <v>90</v>
      </c>
      <c r="O11" s="65"/>
      <c r="P11" s="64" t="s">
        <v>27</v>
      </c>
      <c r="Q11" s="64" t="s">
        <v>88</v>
      </c>
      <c r="R11" s="64" t="s">
        <v>79</v>
      </c>
      <c r="S11" s="70"/>
      <c r="T11" s="65">
        <v>0</v>
      </c>
      <c r="U11" s="66">
        <v>43873</v>
      </c>
      <c r="V11" s="64" t="s">
        <v>27</v>
      </c>
      <c r="W11" s="64" t="s">
        <v>89</v>
      </c>
      <c r="X11" s="65">
        <v>81.726890760000003</v>
      </c>
      <c r="Y11" s="65">
        <v>89.899579829999993</v>
      </c>
      <c r="Z11" s="65">
        <v>89.899579829999993</v>
      </c>
    </row>
    <row r="12" spans="1:154" ht="15.75" customHeight="1" x14ac:dyDescent="0.25">
      <c r="A12" s="5"/>
      <c r="B12" s="64" t="s">
        <v>18</v>
      </c>
      <c r="C12" s="64" t="s">
        <v>86</v>
      </c>
      <c r="D12" s="65"/>
      <c r="E12" s="68"/>
      <c r="F12" s="64"/>
      <c r="G12" s="68"/>
      <c r="H12" s="65">
        <v>1092.2619050000001</v>
      </c>
      <c r="I12" s="65">
        <v>43.690476189999998</v>
      </c>
      <c r="J12" s="67"/>
      <c r="K12" s="64"/>
      <c r="L12" s="67"/>
      <c r="M12" s="65">
        <v>25</v>
      </c>
      <c r="N12" s="64" t="s">
        <v>26</v>
      </c>
      <c r="O12" s="65"/>
      <c r="P12" s="64" t="s">
        <v>27</v>
      </c>
      <c r="Q12" s="64" t="s">
        <v>88</v>
      </c>
      <c r="R12" s="64" t="s">
        <v>26</v>
      </c>
      <c r="S12" s="70"/>
      <c r="T12" s="65">
        <v>0</v>
      </c>
      <c r="U12" s="66">
        <v>43873</v>
      </c>
      <c r="V12" s="64" t="s">
        <v>27</v>
      </c>
      <c r="W12" s="64" t="s">
        <v>89</v>
      </c>
      <c r="X12" s="65">
        <v>43.690476189999998</v>
      </c>
      <c r="Y12" s="65">
        <v>48.059523810000002</v>
      </c>
      <c r="Z12" s="65">
        <v>48.059523810000002</v>
      </c>
    </row>
    <row r="13" spans="1:154" ht="15.75" customHeight="1" x14ac:dyDescent="0.25">
      <c r="A13" s="5"/>
      <c r="B13" s="64" t="s">
        <v>18</v>
      </c>
      <c r="C13" s="64" t="s">
        <v>86</v>
      </c>
      <c r="D13" s="65"/>
      <c r="E13" s="68"/>
      <c r="F13" s="64"/>
      <c r="G13" s="68"/>
      <c r="H13" s="65">
        <v>655.35714289999999</v>
      </c>
      <c r="I13" s="65">
        <v>81.919642859999996</v>
      </c>
      <c r="J13" s="67"/>
      <c r="K13" s="64"/>
      <c r="L13" s="67"/>
      <c r="M13" s="65">
        <v>8</v>
      </c>
      <c r="N13" s="64" t="s">
        <v>90</v>
      </c>
      <c r="O13" s="65"/>
      <c r="P13" s="64" t="s">
        <v>27</v>
      </c>
      <c r="Q13" s="64" t="s">
        <v>88</v>
      </c>
      <c r="R13" s="64" t="s">
        <v>79</v>
      </c>
      <c r="S13" s="70"/>
      <c r="T13" s="65">
        <v>0</v>
      </c>
      <c r="U13" s="66">
        <v>43873</v>
      </c>
      <c r="V13" s="64" t="s">
        <v>27</v>
      </c>
      <c r="W13" s="64" t="s">
        <v>89</v>
      </c>
      <c r="X13" s="65">
        <v>81.919642859999996</v>
      </c>
      <c r="Y13" s="65">
        <v>90.111607140000004</v>
      </c>
      <c r="Z13" s="65">
        <v>90.111607140000004</v>
      </c>
    </row>
    <row r="14" spans="1:154" ht="15.75" customHeight="1" x14ac:dyDescent="0.25">
      <c r="A14" s="5"/>
      <c r="B14" s="64" t="s">
        <v>18</v>
      </c>
      <c r="C14" s="64" t="s">
        <v>86</v>
      </c>
      <c r="D14" s="65"/>
      <c r="E14" s="68"/>
      <c r="F14" s="64"/>
      <c r="G14" s="68"/>
      <c r="H14" s="65">
        <v>2271.9047620000001</v>
      </c>
      <c r="I14" s="65">
        <v>43.690476189999998</v>
      </c>
      <c r="J14" s="67"/>
      <c r="K14" s="64"/>
      <c r="L14" s="67"/>
      <c r="M14" s="65">
        <v>52</v>
      </c>
      <c r="N14" s="64" t="s">
        <v>26</v>
      </c>
      <c r="O14" s="65"/>
      <c r="P14" s="64" t="s">
        <v>27</v>
      </c>
      <c r="Q14" s="64" t="s">
        <v>88</v>
      </c>
      <c r="R14" s="64" t="s">
        <v>26</v>
      </c>
      <c r="S14" s="70"/>
      <c r="T14" s="65">
        <v>0</v>
      </c>
      <c r="U14" s="66">
        <v>43873</v>
      </c>
      <c r="V14" s="64" t="s">
        <v>27</v>
      </c>
      <c r="W14" s="64" t="s">
        <v>89</v>
      </c>
      <c r="X14" s="65">
        <v>43.690476189999998</v>
      </c>
      <c r="Y14" s="65">
        <v>48.059523810000002</v>
      </c>
      <c r="Z14" s="65">
        <v>48.059523810000002</v>
      </c>
    </row>
    <row r="15" spans="1:154" ht="15.75" customHeight="1" x14ac:dyDescent="0.25">
      <c r="A15" s="5"/>
      <c r="B15" s="64" t="s">
        <v>18</v>
      </c>
      <c r="C15" s="64" t="s">
        <v>86</v>
      </c>
      <c r="D15" s="65"/>
      <c r="E15" s="68"/>
      <c r="F15" s="64"/>
      <c r="G15" s="68"/>
      <c r="H15" s="65">
        <v>1363.142857</v>
      </c>
      <c r="I15" s="65">
        <v>80.184873949999997</v>
      </c>
      <c r="J15" s="67"/>
      <c r="K15" s="64"/>
      <c r="L15" s="67"/>
      <c r="M15" s="65">
        <v>17</v>
      </c>
      <c r="N15" s="64" t="s">
        <v>90</v>
      </c>
      <c r="O15" s="65"/>
      <c r="P15" s="64" t="s">
        <v>27</v>
      </c>
      <c r="Q15" s="64" t="s">
        <v>88</v>
      </c>
      <c r="R15" s="64" t="s">
        <v>79</v>
      </c>
      <c r="S15" s="70"/>
      <c r="T15" s="65">
        <v>0</v>
      </c>
      <c r="U15" s="66">
        <v>43873</v>
      </c>
      <c r="V15" s="64" t="s">
        <v>27</v>
      </c>
      <c r="W15" s="64" t="s">
        <v>89</v>
      </c>
      <c r="X15" s="65">
        <v>80.184873949999997</v>
      </c>
      <c r="Y15" s="65">
        <v>88.203361340000001</v>
      </c>
      <c r="Z15" s="65">
        <v>88.203361340000001</v>
      </c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91</v>
      </c>
      <c r="D3" s="2" t="s">
        <v>9</v>
      </c>
      <c r="E3" s="17" t="s">
        <v>92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43</v>
      </c>
      <c r="C6" s="28">
        <v>43871</v>
      </c>
      <c r="D6" s="28">
        <v>43873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78" t="s">
        <v>11</v>
      </c>
      <c r="C1" s="79"/>
      <c r="D1" s="79"/>
      <c r="E1" s="79"/>
      <c r="F1" s="79"/>
      <c r="G1" s="79"/>
      <c r="H1" s="8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91</v>
      </c>
      <c r="D3" s="2" t="s">
        <v>9</v>
      </c>
      <c r="E3" s="17" t="s">
        <v>93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71" t="s">
        <v>23</v>
      </c>
      <c r="C6" s="71"/>
      <c r="D6" s="72"/>
      <c r="E6" s="72">
        <v>25</v>
      </c>
      <c r="F6" s="71"/>
      <c r="G6" s="71" t="s">
        <v>86</v>
      </c>
      <c r="H6" s="72">
        <v>0</v>
      </c>
      <c r="I6" s="72">
        <v>0</v>
      </c>
      <c r="J6" s="72"/>
      <c r="K6" s="72">
        <v>76.895238095238199</v>
      </c>
      <c r="L6" s="72">
        <v>69.904761904761997</v>
      </c>
      <c r="M6" s="71" t="s">
        <v>94</v>
      </c>
      <c r="N6" s="71"/>
      <c r="O6" s="73"/>
      <c r="P6" s="73"/>
      <c r="Q6" s="72"/>
      <c r="R6" s="72">
        <v>0</v>
      </c>
      <c r="S6" s="71" t="s">
        <v>95</v>
      </c>
      <c r="T6" s="72">
        <v>0</v>
      </c>
      <c r="U6" s="72">
        <v>0</v>
      </c>
      <c r="V6" s="71" t="s">
        <v>26</v>
      </c>
      <c r="W6" s="72"/>
      <c r="X6" s="72"/>
      <c r="Y6" s="71"/>
      <c r="Z6" s="71" t="s">
        <v>30</v>
      </c>
      <c r="AB6" s="73"/>
      <c r="AC6" s="72"/>
      <c r="AD6" s="71"/>
      <c r="AE6" s="72">
        <v>25</v>
      </c>
      <c r="AG6" s="74"/>
      <c r="AH6" s="71" t="s">
        <v>21</v>
      </c>
      <c r="AI6" s="72">
        <v>1.1000000000000001</v>
      </c>
      <c r="AJ6" s="71" t="s">
        <v>76</v>
      </c>
      <c r="AL6" s="73"/>
      <c r="AM6" s="73"/>
      <c r="AN6" s="73"/>
      <c r="AO6" s="71"/>
      <c r="AP6" s="71"/>
      <c r="AQ6" s="73"/>
      <c r="AR6" s="71"/>
      <c r="AS6" s="72"/>
      <c r="AT6" s="75">
        <v>1922.38095238096</v>
      </c>
      <c r="AU6" s="75">
        <v>1747.61904761905</v>
      </c>
      <c r="AV6" s="76"/>
      <c r="AW6" s="72">
        <v>0</v>
      </c>
      <c r="AX6" s="72">
        <v>0</v>
      </c>
      <c r="AY6" s="71" t="s">
        <v>96</v>
      </c>
      <c r="AZ6" s="72">
        <v>0</v>
      </c>
      <c r="BA6" s="76"/>
      <c r="BB6" s="73"/>
      <c r="BC6" s="72">
        <v>0</v>
      </c>
      <c r="BD6" s="71"/>
      <c r="BE6" s="75">
        <v>1922.38095238096</v>
      </c>
      <c r="BF6" s="75">
        <v>1747.61904761905</v>
      </c>
      <c r="BG6" s="76"/>
      <c r="BH6" s="73"/>
      <c r="BI6" s="73"/>
      <c r="BJ6" s="72">
        <v>25</v>
      </c>
      <c r="BK6" s="72">
        <v>0</v>
      </c>
      <c r="BL6" s="73"/>
      <c r="BM6" s="71" t="s">
        <v>19</v>
      </c>
      <c r="BN6" s="76"/>
      <c r="BO6" s="71" t="s">
        <v>40</v>
      </c>
      <c r="BP6" s="72">
        <v>0</v>
      </c>
      <c r="BQ6" s="72">
        <v>0</v>
      </c>
      <c r="BR6" s="72">
        <v>0</v>
      </c>
      <c r="BS6" s="71" t="s">
        <v>88</v>
      </c>
      <c r="BT6" s="71" t="s">
        <v>26</v>
      </c>
      <c r="BU6" s="72">
        <v>0</v>
      </c>
      <c r="BV6" s="72">
        <v>0</v>
      </c>
      <c r="BW6" s="72">
        <v>0</v>
      </c>
      <c r="BX6" s="72">
        <v>0</v>
      </c>
      <c r="BY6" s="73"/>
      <c r="BZ6" s="73"/>
      <c r="CA6" s="73"/>
      <c r="CB6" s="73"/>
      <c r="CC6" s="73"/>
      <c r="CD6" s="73"/>
      <c r="CE6" s="76">
        <v>43873</v>
      </c>
      <c r="CF6" s="71"/>
      <c r="CG6" s="72"/>
      <c r="CH6" s="71" t="s">
        <v>97</v>
      </c>
      <c r="CI6" s="71" t="s">
        <v>83</v>
      </c>
      <c r="CJ6" s="72">
        <v>0</v>
      </c>
      <c r="CK6" s="71" t="s">
        <v>89</v>
      </c>
      <c r="CL6" s="72"/>
      <c r="CM6" s="71" t="s">
        <v>26</v>
      </c>
    </row>
    <row r="7" spans="1:154" ht="15.75" customHeight="1" x14ac:dyDescent="0.25">
      <c r="A7" s="5"/>
      <c r="B7" s="71" t="s">
        <v>23</v>
      </c>
      <c r="C7" s="71"/>
      <c r="D7" s="72"/>
      <c r="E7" s="72">
        <v>25</v>
      </c>
      <c r="F7" s="71"/>
      <c r="G7" s="71" t="s">
        <v>86</v>
      </c>
      <c r="H7" s="72">
        <v>0</v>
      </c>
      <c r="I7" s="72">
        <v>0</v>
      </c>
      <c r="J7" s="72"/>
      <c r="K7" s="72">
        <v>48.059523809523803</v>
      </c>
      <c r="L7" s="72">
        <v>43.690476190476197</v>
      </c>
      <c r="M7" s="71" t="s">
        <v>94</v>
      </c>
      <c r="N7" s="71"/>
      <c r="O7" s="73"/>
      <c r="P7" s="73"/>
      <c r="Q7" s="72"/>
      <c r="R7" s="72">
        <v>0</v>
      </c>
      <c r="S7" s="71" t="s">
        <v>95</v>
      </c>
      <c r="T7" s="72">
        <v>0</v>
      </c>
      <c r="U7" s="72">
        <v>0</v>
      </c>
      <c r="V7" s="71" t="s">
        <v>26</v>
      </c>
      <c r="W7" s="72"/>
      <c r="X7" s="72"/>
      <c r="Y7" s="71"/>
      <c r="Z7" s="71" t="s">
        <v>30</v>
      </c>
      <c r="AB7" s="73"/>
      <c r="AC7" s="72"/>
      <c r="AD7" s="71"/>
      <c r="AE7" s="72">
        <v>25</v>
      </c>
      <c r="AG7" s="74"/>
      <c r="AH7" s="71" t="s">
        <v>21</v>
      </c>
      <c r="AI7" s="72">
        <v>1.1000000000000001</v>
      </c>
      <c r="AJ7" s="71" t="s">
        <v>76</v>
      </c>
      <c r="AL7" s="73"/>
      <c r="AM7" s="73"/>
      <c r="AN7" s="73"/>
      <c r="AO7" s="71"/>
      <c r="AP7" s="71"/>
      <c r="AQ7" s="73"/>
      <c r="AR7" s="71"/>
      <c r="AS7" s="72"/>
      <c r="AT7" s="75">
        <v>1201.4880952381</v>
      </c>
      <c r="AU7" s="75">
        <v>1092.2619047619</v>
      </c>
      <c r="AV7" s="76"/>
      <c r="AW7" s="72">
        <v>0</v>
      </c>
      <c r="AX7" s="72">
        <v>0</v>
      </c>
      <c r="AY7" s="71" t="s">
        <v>96</v>
      </c>
      <c r="AZ7" s="72">
        <v>0</v>
      </c>
      <c r="BA7" s="77"/>
      <c r="BB7" s="73"/>
      <c r="BC7" s="72">
        <v>0</v>
      </c>
      <c r="BD7" s="71"/>
      <c r="BE7" s="75">
        <v>1201.4880952381</v>
      </c>
      <c r="BF7" s="75">
        <v>1092.2619047619</v>
      </c>
      <c r="BG7" s="76"/>
      <c r="BH7" s="73"/>
      <c r="BI7" s="73"/>
      <c r="BJ7" s="72">
        <v>25</v>
      </c>
      <c r="BK7" s="72">
        <v>0</v>
      </c>
      <c r="BL7" s="73"/>
      <c r="BM7" s="71" t="s">
        <v>19</v>
      </c>
      <c r="BN7" s="76"/>
      <c r="BO7" s="71" t="s">
        <v>27</v>
      </c>
      <c r="BP7" s="72">
        <v>0</v>
      </c>
      <c r="BQ7" s="72">
        <v>0</v>
      </c>
      <c r="BR7" s="72">
        <v>0</v>
      </c>
      <c r="BS7" s="71" t="s">
        <v>88</v>
      </c>
      <c r="BT7" s="71" t="s">
        <v>26</v>
      </c>
      <c r="BU7" s="72">
        <v>0</v>
      </c>
      <c r="BV7" s="72">
        <v>0</v>
      </c>
      <c r="BW7" s="72">
        <v>0</v>
      </c>
      <c r="BX7" s="72">
        <v>0</v>
      </c>
      <c r="BY7" s="73"/>
      <c r="BZ7" s="73"/>
      <c r="CA7" s="73"/>
      <c r="CB7" s="73"/>
      <c r="CC7" s="73"/>
      <c r="CD7" s="73"/>
      <c r="CE7" s="76">
        <v>43873</v>
      </c>
      <c r="CF7" s="71"/>
      <c r="CG7" s="72"/>
      <c r="CH7" s="71" t="s">
        <v>97</v>
      </c>
      <c r="CI7" s="71" t="s">
        <v>82</v>
      </c>
      <c r="CJ7" s="72">
        <v>0</v>
      </c>
      <c r="CK7" s="71" t="s">
        <v>89</v>
      </c>
      <c r="CL7" s="72"/>
      <c r="CM7" s="71" t="s">
        <v>26</v>
      </c>
    </row>
    <row r="8" spans="1:154" ht="15.75" customHeight="1" x14ac:dyDescent="0.25">
      <c r="A8" s="5"/>
      <c r="B8" s="71" t="s">
        <v>23</v>
      </c>
      <c r="C8" s="71"/>
      <c r="D8" s="72"/>
      <c r="E8" s="72">
        <v>8</v>
      </c>
      <c r="F8" s="71"/>
      <c r="G8" s="71" t="s">
        <v>86</v>
      </c>
      <c r="H8" s="72">
        <v>0</v>
      </c>
      <c r="I8" s="72">
        <v>0</v>
      </c>
      <c r="J8" s="72"/>
      <c r="K8" s="72">
        <v>90.111607142857295</v>
      </c>
      <c r="L8" s="72">
        <v>81.919642857143003</v>
      </c>
      <c r="M8" s="73"/>
      <c r="N8" s="71"/>
      <c r="O8" s="73"/>
      <c r="P8" s="73"/>
      <c r="Q8" s="72"/>
      <c r="R8" s="72">
        <v>0</v>
      </c>
      <c r="S8" s="71" t="s">
        <v>95</v>
      </c>
      <c r="T8" s="72">
        <v>0</v>
      </c>
      <c r="U8" s="72">
        <v>0</v>
      </c>
      <c r="V8" s="71" t="s">
        <v>90</v>
      </c>
      <c r="W8" s="72"/>
      <c r="X8" s="72"/>
      <c r="Y8" s="71"/>
      <c r="Z8" s="71" t="s">
        <v>30</v>
      </c>
      <c r="AB8" s="73"/>
      <c r="AC8" s="72"/>
      <c r="AD8" s="71"/>
      <c r="AE8" s="72">
        <v>8</v>
      </c>
      <c r="AG8" s="74"/>
      <c r="AH8" s="71" t="s">
        <v>21</v>
      </c>
      <c r="AI8" s="72">
        <v>1.1000000000000001</v>
      </c>
      <c r="AJ8" s="71" t="s">
        <v>76</v>
      </c>
      <c r="AL8" s="73"/>
      <c r="AM8" s="73"/>
      <c r="AN8" s="73"/>
      <c r="AO8" s="71"/>
      <c r="AP8" s="71"/>
      <c r="AQ8" s="73"/>
      <c r="AR8" s="71"/>
      <c r="AS8" s="72"/>
      <c r="AT8" s="72">
        <v>720.89285714285802</v>
      </c>
      <c r="AU8" s="72">
        <v>655.35714285714403</v>
      </c>
      <c r="AV8" s="76"/>
      <c r="AW8" s="72">
        <v>0</v>
      </c>
      <c r="AX8" s="72">
        <v>0</v>
      </c>
      <c r="AY8" s="71" t="s">
        <v>96</v>
      </c>
      <c r="AZ8" s="72">
        <v>0</v>
      </c>
      <c r="BA8" s="77"/>
      <c r="BB8" s="73"/>
      <c r="BC8" s="72">
        <v>0</v>
      </c>
      <c r="BD8" s="71"/>
      <c r="BE8" s="72">
        <v>720.89285714285802</v>
      </c>
      <c r="BF8" s="72">
        <v>655.35714285714403</v>
      </c>
      <c r="BG8" s="76"/>
      <c r="BH8" s="73"/>
      <c r="BI8" s="73"/>
      <c r="BJ8" s="72">
        <v>8</v>
      </c>
      <c r="BK8" s="72">
        <v>0</v>
      </c>
      <c r="BL8" s="73"/>
      <c r="BM8" s="71" t="s">
        <v>19</v>
      </c>
      <c r="BN8" s="76"/>
      <c r="BO8" s="71" t="s">
        <v>27</v>
      </c>
      <c r="BP8" s="72">
        <v>0</v>
      </c>
      <c r="BQ8" s="72">
        <v>0</v>
      </c>
      <c r="BR8" s="72">
        <v>0</v>
      </c>
      <c r="BS8" s="71" t="s">
        <v>88</v>
      </c>
      <c r="BT8" s="71" t="s">
        <v>79</v>
      </c>
      <c r="BU8" s="72">
        <v>0</v>
      </c>
      <c r="BV8" s="72">
        <v>0</v>
      </c>
      <c r="BW8" s="72">
        <v>0</v>
      </c>
      <c r="BX8" s="72">
        <v>0</v>
      </c>
      <c r="BY8" s="73"/>
      <c r="BZ8" s="73"/>
      <c r="CA8" s="73"/>
      <c r="CB8" s="73"/>
      <c r="CC8" s="73"/>
      <c r="CD8" s="73"/>
      <c r="CE8" s="76">
        <v>43873</v>
      </c>
      <c r="CF8" s="71"/>
      <c r="CG8" s="72"/>
      <c r="CH8" s="71" t="s">
        <v>97</v>
      </c>
      <c r="CI8" s="71" t="s">
        <v>82</v>
      </c>
      <c r="CJ8" s="72">
        <v>0</v>
      </c>
      <c r="CK8" s="71" t="s">
        <v>89</v>
      </c>
      <c r="CL8" s="72"/>
      <c r="CM8" s="71" t="s">
        <v>79</v>
      </c>
    </row>
    <row r="9" spans="1:154" ht="15.75" customHeight="1" x14ac:dyDescent="0.25">
      <c r="A9" s="5"/>
      <c r="B9" s="71" t="s">
        <v>23</v>
      </c>
      <c r="C9" s="71"/>
      <c r="D9" s="72"/>
      <c r="E9" s="72">
        <v>53</v>
      </c>
      <c r="F9" s="71"/>
      <c r="G9" s="71" t="s">
        <v>86</v>
      </c>
      <c r="H9" s="72">
        <v>0</v>
      </c>
      <c r="I9" s="72">
        <v>0</v>
      </c>
      <c r="J9" s="72"/>
      <c r="K9" s="72">
        <v>76.895238095238099</v>
      </c>
      <c r="L9" s="72">
        <v>69.904761904761898</v>
      </c>
      <c r="M9" s="71" t="s">
        <v>94</v>
      </c>
      <c r="N9" s="71"/>
      <c r="O9" s="73"/>
      <c r="P9" s="73"/>
      <c r="Q9" s="72"/>
      <c r="R9" s="72">
        <v>0</v>
      </c>
      <c r="S9" s="71" t="s">
        <v>95</v>
      </c>
      <c r="T9" s="72">
        <v>0</v>
      </c>
      <c r="U9" s="72">
        <v>0</v>
      </c>
      <c r="V9" s="71" t="s">
        <v>26</v>
      </c>
      <c r="W9" s="72"/>
      <c r="X9" s="72"/>
      <c r="Y9" s="71"/>
      <c r="Z9" s="71" t="s">
        <v>30</v>
      </c>
      <c r="AB9" s="73"/>
      <c r="AC9" s="72"/>
      <c r="AD9" s="71"/>
      <c r="AE9" s="72">
        <v>53</v>
      </c>
      <c r="AG9" s="74"/>
      <c r="AH9" s="71" t="s">
        <v>21</v>
      </c>
      <c r="AI9" s="72">
        <v>1.1000000000000001</v>
      </c>
      <c r="AJ9" s="71" t="s">
        <v>76</v>
      </c>
      <c r="AL9" s="73"/>
      <c r="AM9" s="73"/>
      <c r="AN9" s="73"/>
      <c r="AO9" s="71"/>
      <c r="AP9" s="71"/>
      <c r="AQ9" s="73"/>
      <c r="AR9" s="71"/>
      <c r="AS9" s="72"/>
      <c r="AT9" s="75">
        <v>4075.4476190476198</v>
      </c>
      <c r="AU9" s="75">
        <v>3704.9523809523798</v>
      </c>
      <c r="AV9" s="76"/>
      <c r="AW9" s="72">
        <v>0</v>
      </c>
      <c r="AX9" s="72">
        <v>0</v>
      </c>
      <c r="AY9" s="71" t="s">
        <v>96</v>
      </c>
      <c r="AZ9" s="72">
        <v>0</v>
      </c>
      <c r="BA9" s="76"/>
      <c r="BB9" s="73"/>
      <c r="BC9" s="72">
        <v>0</v>
      </c>
      <c r="BD9" s="71"/>
      <c r="BE9" s="75">
        <v>4075.4476190476198</v>
      </c>
      <c r="BF9" s="75">
        <v>3704.9523809523798</v>
      </c>
      <c r="BG9" s="76"/>
      <c r="BH9" s="73"/>
      <c r="BI9" s="73"/>
      <c r="BJ9" s="72">
        <v>53</v>
      </c>
      <c r="BK9" s="72">
        <v>0</v>
      </c>
      <c r="BL9" s="73"/>
      <c r="BM9" s="71" t="s">
        <v>19</v>
      </c>
      <c r="BN9" s="76"/>
      <c r="BO9" s="71" t="s">
        <v>40</v>
      </c>
      <c r="BP9" s="72">
        <v>0</v>
      </c>
      <c r="BQ9" s="72">
        <v>0</v>
      </c>
      <c r="BR9" s="72">
        <v>0</v>
      </c>
      <c r="BS9" s="71" t="s">
        <v>88</v>
      </c>
      <c r="BT9" s="71" t="s">
        <v>26</v>
      </c>
      <c r="BU9" s="72">
        <v>0</v>
      </c>
      <c r="BV9" s="72">
        <v>0</v>
      </c>
      <c r="BW9" s="72">
        <v>0</v>
      </c>
      <c r="BX9" s="72">
        <v>0</v>
      </c>
      <c r="BY9" s="73"/>
      <c r="BZ9" s="73"/>
      <c r="CA9" s="73"/>
      <c r="CB9" s="73"/>
      <c r="CC9" s="73"/>
      <c r="CD9" s="73"/>
      <c r="CE9" s="76">
        <v>43873</v>
      </c>
      <c r="CF9" s="71"/>
      <c r="CG9" s="72"/>
      <c r="CH9" s="71" t="s">
        <v>97</v>
      </c>
      <c r="CI9" s="71" t="s">
        <v>83</v>
      </c>
      <c r="CJ9" s="72">
        <v>0</v>
      </c>
      <c r="CK9" s="71" t="s">
        <v>89</v>
      </c>
      <c r="CL9" s="72"/>
      <c r="CM9" s="71" t="s">
        <v>26</v>
      </c>
    </row>
    <row r="10" spans="1:154" ht="15.75" customHeight="1" x14ac:dyDescent="0.25">
      <c r="A10" s="5"/>
      <c r="B10" s="71" t="s">
        <v>23</v>
      </c>
      <c r="C10" s="71"/>
      <c r="D10" s="72"/>
      <c r="E10" s="72">
        <v>53</v>
      </c>
      <c r="F10" s="71"/>
      <c r="G10" s="71" t="s">
        <v>86</v>
      </c>
      <c r="H10" s="72">
        <v>0</v>
      </c>
      <c r="I10" s="72">
        <v>0</v>
      </c>
      <c r="J10" s="72"/>
      <c r="K10" s="72">
        <v>48.059523809523803</v>
      </c>
      <c r="L10" s="72">
        <v>43.690476190476197</v>
      </c>
      <c r="M10" s="71" t="s">
        <v>94</v>
      </c>
      <c r="N10" s="71"/>
      <c r="O10" s="73"/>
      <c r="P10" s="73"/>
      <c r="Q10" s="72"/>
      <c r="R10" s="72">
        <v>0</v>
      </c>
      <c r="S10" s="71" t="s">
        <v>95</v>
      </c>
      <c r="T10" s="72">
        <v>0</v>
      </c>
      <c r="U10" s="72">
        <v>0</v>
      </c>
      <c r="V10" s="71" t="s">
        <v>26</v>
      </c>
      <c r="W10" s="72"/>
      <c r="X10" s="72"/>
      <c r="Y10" s="71"/>
      <c r="Z10" s="71" t="s">
        <v>30</v>
      </c>
      <c r="AB10" s="73"/>
      <c r="AC10" s="72"/>
      <c r="AD10" s="71"/>
      <c r="AE10" s="72">
        <v>53</v>
      </c>
      <c r="AG10" s="74"/>
      <c r="AH10" s="71" t="s">
        <v>21</v>
      </c>
      <c r="AI10" s="72">
        <v>1.1000000000000001</v>
      </c>
      <c r="AJ10" s="71" t="s">
        <v>76</v>
      </c>
      <c r="AL10" s="73"/>
      <c r="AM10" s="73"/>
      <c r="AN10" s="73"/>
      <c r="AO10" s="71"/>
      <c r="AP10" s="71"/>
      <c r="AQ10" s="73"/>
      <c r="AR10" s="71"/>
      <c r="AS10" s="72"/>
      <c r="AT10" s="75">
        <v>2547.1547619047601</v>
      </c>
      <c r="AU10" s="75">
        <v>2315.5952380952399</v>
      </c>
      <c r="AV10" s="76"/>
      <c r="AW10" s="72">
        <v>0</v>
      </c>
      <c r="AX10" s="72">
        <v>0</v>
      </c>
      <c r="AY10" s="71" t="s">
        <v>96</v>
      </c>
      <c r="AZ10" s="72">
        <v>0</v>
      </c>
      <c r="BA10" s="77"/>
      <c r="BB10" s="73"/>
      <c r="BC10" s="72">
        <v>0</v>
      </c>
      <c r="BD10" s="71"/>
      <c r="BE10" s="75">
        <v>2547.1547619047601</v>
      </c>
      <c r="BF10" s="75">
        <v>2315.5952380952399</v>
      </c>
      <c r="BG10" s="76"/>
      <c r="BH10" s="73"/>
      <c r="BI10" s="73"/>
      <c r="BJ10" s="72">
        <v>53</v>
      </c>
      <c r="BK10" s="72">
        <v>0</v>
      </c>
      <c r="BL10" s="73"/>
      <c r="BM10" s="71" t="s">
        <v>19</v>
      </c>
      <c r="BN10" s="76"/>
      <c r="BO10" s="71" t="s">
        <v>27</v>
      </c>
      <c r="BP10" s="72">
        <v>0</v>
      </c>
      <c r="BQ10" s="72">
        <v>0</v>
      </c>
      <c r="BR10" s="72">
        <v>0</v>
      </c>
      <c r="BS10" s="71" t="s">
        <v>88</v>
      </c>
      <c r="BT10" s="71" t="s">
        <v>26</v>
      </c>
      <c r="BU10" s="72">
        <v>0</v>
      </c>
      <c r="BV10" s="72">
        <v>0</v>
      </c>
      <c r="BW10" s="72">
        <v>0</v>
      </c>
      <c r="BX10" s="72">
        <v>0</v>
      </c>
      <c r="BY10" s="73"/>
      <c r="BZ10" s="73"/>
      <c r="CA10" s="73"/>
      <c r="CB10" s="73"/>
      <c r="CC10" s="73"/>
      <c r="CD10" s="73"/>
      <c r="CE10" s="76">
        <v>43873</v>
      </c>
      <c r="CF10" s="71"/>
      <c r="CG10" s="72"/>
      <c r="CH10" s="71" t="s">
        <v>97</v>
      </c>
      <c r="CI10" s="71" t="s">
        <v>82</v>
      </c>
      <c r="CJ10" s="72">
        <v>0</v>
      </c>
      <c r="CK10" s="71" t="s">
        <v>89</v>
      </c>
      <c r="CL10" s="72"/>
      <c r="CM10" s="71" t="s">
        <v>26</v>
      </c>
    </row>
    <row r="11" spans="1:154" ht="15.75" customHeight="1" x14ac:dyDescent="0.25">
      <c r="A11" s="5"/>
      <c r="B11" s="71" t="s">
        <v>23</v>
      </c>
      <c r="C11" s="71"/>
      <c r="D11" s="72"/>
      <c r="E11" s="72">
        <v>17</v>
      </c>
      <c r="F11" s="71"/>
      <c r="G11" s="71" t="s">
        <v>86</v>
      </c>
      <c r="H11" s="72">
        <v>0</v>
      </c>
      <c r="I11" s="72">
        <v>0</v>
      </c>
      <c r="J11" s="72"/>
      <c r="K11" s="72">
        <v>89.899579831932797</v>
      </c>
      <c r="L11" s="72">
        <v>81.726890756302495</v>
      </c>
      <c r="M11" s="73"/>
      <c r="N11" s="71"/>
      <c r="O11" s="73"/>
      <c r="P11" s="73"/>
      <c r="Q11" s="72"/>
      <c r="R11" s="72">
        <v>0</v>
      </c>
      <c r="S11" s="71" t="s">
        <v>95</v>
      </c>
      <c r="T11" s="72">
        <v>0</v>
      </c>
      <c r="U11" s="72">
        <v>0</v>
      </c>
      <c r="V11" s="71" t="s">
        <v>90</v>
      </c>
      <c r="W11" s="72"/>
      <c r="X11" s="72"/>
      <c r="Y11" s="71"/>
      <c r="Z11" s="71" t="s">
        <v>30</v>
      </c>
      <c r="AB11" s="73"/>
      <c r="AC11" s="72"/>
      <c r="AD11" s="71"/>
      <c r="AE11" s="72">
        <v>17</v>
      </c>
      <c r="AG11" s="74"/>
      <c r="AH11" s="71" t="s">
        <v>21</v>
      </c>
      <c r="AI11" s="72">
        <v>1.1000000000000001</v>
      </c>
      <c r="AJ11" s="71" t="s">
        <v>76</v>
      </c>
      <c r="AL11" s="73"/>
      <c r="AM11" s="73"/>
      <c r="AN11" s="73"/>
      <c r="AO11" s="71"/>
      <c r="AP11" s="71"/>
      <c r="AQ11" s="73"/>
      <c r="AR11" s="71"/>
      <c r="AS11" s="72"/>
      <c r="AT11" s="75">
        <v>1528.2928571428599</v>
      </c>
      <c r="AU11" s="75">
        <v>1389.3571428571399</v>
      </c>
      <c r="AV11" s="76"/>
      <c r="AW11" s="72">
        <v>0</v>
      </c>
      <c r="AX11" s="72">
        <v>0</v>
      </c>
      <c r="AY11" s="71" t="s">
        <v>96</v>
      </c>
      <c r="AZ11" s="72">
        <v>0</v>
      </c>
      <c r="BA11" s="77"/>
      <c r="BB11" s="73"/>
      <c r="BC11" s="72">
        <v>0</v>
      </c>
      <c r="BD11" s="71"/>
      <c r="BE11" s="75">
        <v>1528.2928571428599</v>
      </c>
      <c r="BF11" s="75">
        <v>1389.3571428571399</v>
      </c>
      <c r="BG11" s="76"/>
      <c r="BH11" s="73"/>
      <c r="BI11" s="73"/>
      <c r="BJ11" s="72">
        <v>17</v>
      </c>
      <c r="BK11" s="72">
        <v>0</v>
      </c>
      <c r="BL11" s="73"/>
      <c r="BM11" s="71" t="s">
        <v>19</v>
      </c>
      <c r="BN11" s="76"/>
      <c r="BO11" s="71" t="s">
        <v>27</v>
      </c>
      <c r="BP11" s="72">
        <v>0</v>
      </c>
      <c r="BQ11" s="72">
        <v>0</v>
      </c>
      <c r="BR11" s="72">
        <v>0</v>
      </c>
      <c r="BS11" s="71" t="s">
        <v>88</v>
      </c>
      <c r="BT11" s="71" t="s">
        <v>79</v>
      </c>
      <c r="BU11" s="72">
        <v>0</v>
      </c>
      <c r="BV11" s="72">
        <v>0</v>
      </c>
      <c r="BW11" s="72">
        <v>0</v>
      </c>
      <c r="BX11" s="72">
        <v>0</v>
      </c>
      <c r="BY11" s="73"/>
      <c r="BZ11" s="73"/>
      <c r="CA11" s="73"/>
      <c r="CB11" s="73"/>
      <c r="CC11" s="73"/>
      <c r="CD11" s="73"/>
      <c r="CE11" s="76">
        <v>43873</v>
      </c>
      <c r="CF11" s="71"/>
      <c r="CG11" s="72"/>
      <c r="CH11" s="71" t="s">
        <v>97</v>
      </c>
      <c r="CI11" s="71" t="s">
        <v>82</v>
      </c>
      <c r="CJ11" s="72">
        <v>0</v>
      </c>
      <c r="CK11" s="71" t="s">
        <v>89</v>
      </c>
      <c r="CL11" s="72"/>
      <c r="CM11" s="71" t="s">
        <v>79</v>
      </c>
    </row>
    <row r="12" spans="1:154" ht="15.75" customHeight="1" x14ac:dyDescent="0.25">
      <c r="A12" s="5"/>
      <c r="B12" s="71" t="s">
        <v>18</v>
      </c>
      <c r="C12" s="71"/>
      <c r="D12" s="72"/>
      <c r="E12" s="72">
        <v>25</v>
      </c>
      <c r="F12" s="71"/>
      <c r="G12" s="71" t="s">
        <v>86</v>
      </c>
      <c r="H12" s="72">
        <v>0</v>
      </c>
      <c r="I12" s="72">
        <v>0</v>
      </c>
      <c r="J12" s="72"/>
      <c r="K12" s="72">
        <v>76.895238095238199</v>
      </c>
      <c r="L12" s="72">
        <v>69.904761904761997</v>
      </c>
      <c r="M12" s="71" t="s">
        <v>94</v>
      </c>
      <c r="N12" s="71"/>
      <c r="O12" s="73"/>
      <c r="P12" s="73"/>
      <c r="Q12" s="72"/>
      <c r="R12" s="72">
        <v>0</v>
      </c>
      <c r="S12" s="71" t="s">
        <v>95</v>
      </c>
      <c r="T12" s="72">
        <v>0</v>
      </c>
      <c r="U12" s="72">
        <v>0</v>
      </c>
      <c r="V12" s="71" t="s">
        <v>26</v>
      </c>
      <c r="W12" s="72"/>
      <c r="X12" s="72"/>
      <c r="Y12" s="71"/>
      <c r="Z12" s="71" t="s">
        <v>30</v>
      </c>
      <c r="AB12" s="73"/>
      <c r="AC12" s="72"/>
      <c r="AD12" s="71"/>
      <c r="AE12" s="72">
        <v>25</v>
      </c>
      <c r="AG12" s="74"/>
      <c r="AH12" s="71" t="s">
        <v>21</v>
      </c>
      <c r="AI12" s="72">
        <v>1.1000000000000001</v>
      </c>
      <c r="AJ12" s="71" t="s">
        <v>76</v>
      </c>
      <c r="AL12" s="73"/>
      <c r="AM12" s="73"/>
      <c r="AN12" s="73"/>
      <c r="AO12" s="71"/>
      <c r="AP12" s="71"/>
      <c r="AQ12" s="73"/>
      <c r="AR12" s="71"/>
      <c r="AS12" s="72"/>
      <c r="AT12" s="75">
        <v>1922.38095238096</v>
      </c>
      <c r="AU12" s="75">
        <v>1747.61904761905</v>
      </c>
      <c r="AV12" s="76"/>
      <c r="AW12" s="72">
        <v>0</v>
      </c>
      <c r="AX12" s="72">
        <v>0</v>
      </c>
      <c r="AY12" s="71" t="s">
        <v>96</v>
      </c>
      <c r="AZ12" s="72">
        <v>0</v>
      </c>
      <c r="BA12" s="76"/>
      <c r="BB12" s="73"/>
      <c r="BC12" s="72">
        <v>0</v>
      </c>
      <c r="BD12" s="71"/>
      <c r="BE12" s="75">
        <v>1922.38095238096</v>
      </c>
      <c r="BF12" s="75">
        <v>1747.61904761905</v>
      </c>
      <c r="BG12" s="76"/>
      <c r="BH12" s="73"/>
      <c r="BI12" s="73"/>
      <c r="BJ12" s="72">
        <v>25</v>
      </c>
      <c r="BK12" s="72">
        <v>0</v>
      </c>
      <c r="BL12" s="73"/>
      <c r="BM12" s="71" t="s">
        <v>19</v>
      </c>
      <c r="BN12" s="76"/>
      <c r="BO12" s="71" t="s">
        <v>40</v>
      </c>
      <c r="BP12" s="72">
        <v>0</v>
      </c>
      <c r="BQ12" s="72">
        <v>0</v>
      </c>
      <c r="BR12" s="72">
        <v>0</v>
      </c>
      <c r="BS12" s="71" t="s">
        <v>88</v>
      </c>
      <c r="BT12" s="71" t="s">
        <v>26</v>
      </c>
      <c r="BU12" s="72">
        <v>0</v>
      </c>
      <c r="BV12" s="72">
        <v>0</v>
      </c>
      <c r="BW12" s="72">
        <v>0</v>
      </c>
      <c r="BX12" s="72">
        <v>0</v>
      </c>
      <c r="BY12" s="73"/>
      <c r="BZ12" s="73"/>
      <c r="CA12" s="73"/>
      <c r="CB12" s="73"/>
      <c r="CC12" s="73"/>
      <c r="CD12" s="73"/>
      <c r="CE12" s="76">
        <v>43873</v>
      </c>
      <c r="CF12" s="71"/>
      <c r="CG12" s="72"/>
      <c r="CH12" s="71" t="s">
        <v>97</v>
      </c>
      <c r="CI12" s="71" t="s">
        <v>83</v>
      </c>
      <c r="CJ12" s="72">
        <v>0</v>
      </c>
      <c r="CK12" s="71" t="s">
        <v>89</v>
      </c>
      <c r="CL12" s="72"/>
      <c r="CM12" s="71" t="s">
        <v>26</v>
      </c>
    </row>
    <row r="13" spans="1:154" ht="15.75" customHeight="1" x14ac:dyDescent="0.25">
      <c r="A13" s="5"/>
      <c r="B13" s="71" t="s">
        <v>18</v>
      </c>
      <c r="C13" s="71"/>
      <c r="D13" s="72"/>
      <c r="E13" s="72">
        <v>25</v>
      </c>
      <c r="F13" s="71"/>
      <c r="G13" s="71" t="s">
        <v>86</v>
      </c>
      <c r="H13" s="72">
        <v>0</v>
      </c>
      <c r="I13" s="72">
        <v>0</v>
      </c>
      <c r="J13" s="72"/>
      <c r="K13" s="72">
        <v>48.059523809523803</v>
      </c>
      <c r="L13" s="72">
        <v>43.690476190476197</v>
      </c>
      <c r="M13" s="71" t="s">
        <v>94</v>
      </c>
      <c r="N13" s="71"/>
      <c r="O13" s="73"/>
      <c r="P13" s="73"/>
      <c r="Q13" s="72"/>
      <c r="R13" s="72">
        <v>0</v>
      </c>
      <c r="S13" s="71" t="s">
        <v>95</v>
      </c>
      <c r="T13" s="72">
        <v>0</v>
      </c>
      <c r="U13" s="72">
        <v>0</v>
      </c>
      <c r="V13" s="71" t="s">
        <v>26</v>
      </c>
      <c r="W13" s="72"/>
      <c r="X13" s="72"/>
      <c r="Y13" s="71"/>
      <c r="Z13" s="71" t="s">
        <v>30</v>
      </c>
      <c r="AB13" s="73"/>
      <c r="AC13" s="72"/>
      <c r="AD13" s="71"/>
      <c r="AE13" s="72">
        <v>25</v>
      </c>
      <c r="AG13" s="74"/>
      <c r="AH13" s="71" t="s">
        <v>21</v>
      </c>
      <c r="AI13" s="72">
        <v>1.1000000000000001</v>
      </c>
      <c r="AJ13" s="71" t="s">
        <v>76</v>
      </c>
      <c r="AL13" s="73"/>
      <c r="AM13" s="73"/>
      <c r="AN13" s="73"/>
      <c r="AO13" s="71"/>
      <c r="AP13" s="71"/>
      <c r="AQ13" s="73"/>
      <c r="AR13" s="71"/>
      <c r="AS13" s="72"/>
      <c r="AT13" s="75">
        <v>1201.4880952381</v>
      </c>
      <c r="AU13" s="75">
        <v>1092.2619047619</v>
      </c>
      <c r="AV13" s="76"/>
      <c r="AW13" s="72">
        <v>0</v>
      </c>
      <c r="AX13" s="72">
        <v>0</v>
      </c>
      <c r="AY13" s="71" t="s">
        <v>96</v>
      </c>
      <c r="AZ13" s="72">
        <v>0</v>
      </c>
      <c r="BA13" s="77"/>
      <c r="BB13" s="73"/>
      <c r="BC13" s="72">
        <v>0</v>
      </c>
      <c r="BD13" s="71"/>
      <c r="BE13" s="75">
        <v>1201.4880952381</v>
      </c>
      <c r="BF13" s="75">
        <v>1092.2619047619</v>
      </c>
      <c r="BG13" s="76"/>
      <c r="BH13" s="73"/>
      <c r="BI13" s="73"/>
      <c r="BJ13" s="72">
        <v>25</v>
      </c>
      <c r="BK13" s="72">
        <v>0</v>
      </c>
      <c r="BL13" s="73"/>
      <c r="BM13" s="71" t="s">
        <v>19</v>
      </c>
      <c r="BN13" s="76"/>
      <c r="BO13" s="71" t="s">
        <v>27</v>
      </c>
      <c r="BP13" s="72">
        <v>0</v>
      </c>
      <c r="BQ13" s="72">
        <v>0</v>
      </c>
      <c r="BR13" s="72">
        <v>0</v>
      </c>
      <c r="BS13" s="71" t="s">
        <v>88</v>
      </c>
      <c r="BT13" s="71" t="s">
        <v>26</v>
      </c>
      <c r="BU13" s="72">
        <v>0</v>
      </c>
      <c r="BV13" s="72">
        <v>0</v>
      </c>
      <c r="BW13" s="72">
        <v>0</v>
      </c>
      <c r="BX13" s="72">
        <v>0</v>
      </c>
      <c r="BY13" s="73"/>
      <c r="BZ13" s="73"/>
      <c r="CA13" s="73"/>
      <c r="CB13" s="73"/>
      <c r="CC13" s="73"/>
      <c r="CD13" s="73"/>
      <c r="CE13" s="76">
        <v>43873</v>
      </c>
      <c r="CF13" s="71"/>
      <c r="CG13" s="72"/>
      <c r="CH13" s="71" t="s">
        <v>97</v>
      </c>
      <c r="CI13" s="71" t="s">
        <v>82</v>
      </c>
      <c r="CJ13" s="72">
        <v>0</v>
      </c>
      <c r="CK13" s="71" t="s">
        <v>89</v>
      </c>
      <c r="CL13" s="72"/>
      <c r="CM13" s="71" t="s">
        <v>26</v>
      </c>
    </row>
    <row r="14" spans="1:154" ht="15.75" customHeight="1" x14ac:dyDescent="0.25">
      <c r="A14" s="5"/>
      <c r="B14" s="71" t="s">
        <v>18</v>
      </c>
      <c r="C14" s="71"/>
      <c r="D14" s="72"/>
      <c r="E14" s="72">
        <v>8</v>
      </c>
      <c r="F14" s="71"/>
      <c r="G14" s="71" t="s">
        <v>86</v>
      </c>
      <c r="H14" s="72">
        <v>0</v>
      </c>
      <c r="I14" s="72">
        <v>0</v>
      </c>
      <c r="J14" s="72"/>
      <c r="K14" s="72">
        <v>90.111607142857295</v>
      </c>
      <c r="L14" s="72">
        <v>81.919642857143003</v>
      </c>
      <c r="M14" s="73"/>
      <c r="N14" s="71"/>
      <c r="O14" s="73"/>
      <c r="P14" s="73"/>
      <c r="Q14" s="72"/>
      <c r="R14" s="72">
        <v>0</v>
      </c>
      <c r="S14" s="71" t="s">
        <v>95</v>
      </c>
      <c r="T14" s="72">
        <v>0</v>
      </c>
      <c r="U14" s="72">
        <v>0</v>
      </c>
      <c r="V14" s="71" t="s">
        <v>90</v>
      </c>
      <c r="W14" s="72"/>
      <c r="X14" s="72"/>
      <c r="Y14" s="71"/>
      <c r="Z14" s="71" t="s">
        <v>30</v>
      </c>
      <c r="AB14" s="73"/>
      <c r="AC14" s="72"/>
      <c r="AD14" s="71"/>
      <c r="AE14" s="72">
        <v>8</v>
      </c>
      <c r="AG14" s="74"/>
      <c r="AH14" s="71" t="s">
        <v>21</v>
      </c>
      <c r="AI14" s="72">
        <v>1.1000000000000001</v>
      </c>
      <c r="AJ14" s="71" t="s">
        <v>76</v>
      </c>
      <c r="AL14" s="73"/>
      <c r="AM14" s="73"/>
      <c r="AN14" s="73"/>
      <c r="AO14" s="71"/>
      <c r="AP14" s="71"/>
      <c r="AQ14" s="73"/>
      <c r="AR14" s="71"/>
      <c r="AS14" s="72"/>
      <c r="AT14" s="72">
        <v>720.89285714285802</v>
      </c>
      <c r="AU14" s="72">
        <v>655.35714285714403</v>
      </c>
      <c r="AV14" s="76"/>
      <c r="AW14" s="72">
        <v>0</v>
      </c>
      <c r="AX14" s="72">
        <v>0</v>
      </c>
      <c r="AY14" s="71" t="s">
        <v>96</v>
      </c>
      <c r="AZ14" s="72">
        <v>0</v>
      </c>
      <c r="BA14" s="77"/>
      <c r="BB14" s="73"/>
      <c r="BC14" s="72">
        <v>0</v>
      </c>
      <c r="BD14" s="71"/>
      <c r="BE14" s="72">
        <v>720.89285714285802</v>
      </c>
      <c r="BF14" s="72">
        <v>655.35714285714403</v>
      </c>
      <c r="BG14" s="76"/>
      <c r="BH14" s="73"/>
      <c r="BI14" s="73"/>
      <c r="BJ14" s="72">
        <v>8</v>
      </c>
      <c r="BK14" s="72">
        <v>0</v>
      </c>
      <c r="BL14" s="73"/>
      <c r="BM14" s="71" t="s">
        <v>19</v>
      </c>
      <c r="BN14" s="76"/>
      <c r="BO14" s="71" t="s">
        <v>27</v>
      </c>
      <c r="BP14" s="72">
        <v>0</v>
      </c>
      <c r="BQ14" s="72">
        <v>0</v>
      </c>
      <c r="BR14" s="72">
        <v>0</v>
      </c>
      <c r="BS14" s="71" t="s">
        <v>88</v>
      </c>
      <c r="BT14" s="71" t="s">
        <v>79</v>
      </c>
      <c r="BU14" s="72">
        <v>0</v>
      </c>
      <c r="BV14" s="72">
        <v>0</v>
      </c>
      <c r="BW14" s="72">
        <v>0</v>
      </c>
      <c r="BX14" s="72">
        <v>0</v>
      </c>
      <c r="BY14" s="73"/>
      <c r="BZ14" s="73"/>
      <c r="CA14" s="73"/>
      <c r="CB14" s="73"/>
      <c r="CC14" s="73"/>
      <c r="CD14" s="73"/>
      <c r="CE14" s="76">
        <v>43873</v>
      </c>
      <c r="CF14" s="71"/>
      <c r="CG14" s="72"/>
      <c r="CH14" s="71" t="s">
        <v>97</v>
      </c>
      <c r="CI14" s="71" t="s">
        <v>82</v>
      </c>
      <c r="CJ14" s="72">
        <v>0</v>
      </c>
      <c r="CK14" s="71" t="s">
        <v>89</v>
      </c>
      <c r="CL14" s="72"/>
      <c r="CM14" s="71" t="s">
        <v>79</v>
      </c>
    </row>
    <row r="15" spans="1:154" ht="15.75" customHeight="1" x14ac:dyDescent="0.25">
      <c r="A15" s="5"/>
      <c r="B15" s="71" t="s">
        <v>18</v>
      </c>
      <c r="C15" s="71"/>
      <c r="D15" s="72"/>
      <c r="E15" s="72">
        <v>52</v>
      </c>
      <c r="F15" s="71"/>
      <c r="G15" s="71" t="s">
        <v>86</v>
      </c>
      <c r="H15" s="72">
        <v>0</v>
      </c>
      <c r="I15" s="72">
        <v>0</v>
      </c>
      <c r="J15" s="72"/>
      <c r="K15" s="72">
        <v>76.895238095238099</v>
      </c>
      <c r="L15" s="72">
        <v>69.904761904761898</v>
      </c>
      <c r="M15" s="71" t="s">
        <v>94</v>
      </c>
      <c r="N15" s="71"/>
      <c r="O15" s="73"/>
      <c r="P15" s="73"/>
      <c r="Q15" s="72"/>
      <c r="R15" s="72">
        <v>0</v>
      </c>
      <c r="S15" s="71" t="s">
        <v>95</v>
      </c>
      <c r="T15" s="72">
        <v>0</v>
      </c>
      <c r="U15" s="72">
        <v>0</v>
      </c>
      <c r="V15" s="71" t="s">
        <v>26</v>
      </c>
      <c r="W15" s="72"/>
      <c r="X15" s="72"/>
      <c r="Y15" s="71"/>
      <c r="Z15" s="71" t="s">
        <v>30</v>
      </c>
      <c r="AB15" s="73"/>
      <c r="AC15" s="72"/>
      <c r="AD15" s="71"/>
      <c r="AE15" s="72">
        <v>52</v>
      </c>
      <c r="AG15" s="74"/>
      <c r="AH15" s="71" t="s">
        <v>21</v>
      </c>
      <c r="AI15" s="72">
        <v>1.1000000000000001</v>
      </c>
      <c r="AJ15" s="71" t="s">
        <v>76</v>
      </c>
      <c r="AL15" s="73"/>
      <c r="AM15" s="73"/>
      <c r="AN15" s="73"/>
      <c r="AO15" s="71"/>
      <c r="AP15" s="71"/>
      <c r="AQ15" s="73"/>
      <c r="AR15" s="71"/>
      <c r="AS15" s="72"/>
      <c r="AT15" s="75">
        <v>3998.5523809523802</v>
      </c>
      <c r="AU15" s="75">
        <v>3635.0476190476202</v>
      </c>
      <c r="AV15" s="76"/>
      <c r="AW15" s="72">
        <v>0</v>
      </c>
      <c r="AX15" s="72">
        <v>0</v>
      </c>
      <c r="AY15" s="71" t="s">
        <v>96</v>
      </c>
      <c r="AZ15" s="72">
        <v>0</v>
      </c>
      <c r="BA15" s="76"/>
      <c r="BB15" s="73"/>
      <c r="BC15" s="72">
        <v>0</v>
      </c>
      <c r="BD15" s="71"/>
      <c r="BE15" s="75">
        <v>3998.5523809523802</v>
      </c>
      <c r="BF15" s="75">
        <v>3635.0476190476202</v>
      </c>
      <c r="BG15" s="76"/>
      <c r="BH15" s="73"/>
      <c r="BI15" s="73"/>
      <c r="BJ15" s="72">
        <v>52</v>
      </c>
      <c r="BK15" s="72">
        <v>0</v>
      </c>
      <c r="BL15" s="73"/>
      <c r="BM15" s="71" t="s">
        <v>19</v>
      </c>
      <c r="BN15" s="76"/>
      <c r="BO15" s="71" t="s">
        <v>40</v>
      </c>
      <c r="BP15" s="72">
        <v>0</v>
      </c>
      <c r="BQ15" s="72">
        <v>0</v>
      </c>
      <c r="BR15" s="72">
        <v>0</v>
      </c>
      <c r="BS15" s="71" t="s">
        <v>88</v>
      </c>
      <c r="BT15" s="71" t="s">
        <v>26</v>
      </c>
      <c r="BU15" s="72">
        <v>0</v>
      </c>
      <c r="BV15" s="72">
        <v>0</v>
      </c>
      <c r="BW15" s="72">
        <v>0</v>
      </c>
      <c r="BX15" s="72">
        <v>0</v>
      </c>
      <c r="BY15" s="73"/>
      <c r="BZ15" s="73"/>
      <c r="CA15" s="73"/>
      <c r="CB15" s="73"/>
      <c r="CC15" s="73"/>
      <c r="CD15" s="73"/>
      <c r="CE15" s="76">
        <v>43873</v>
      </c>
      <c r="CF15" s="71"/>
      <c r="CG15" s="72"/>
      <c r="CH15" s="71" t="s">
        <v>97</v>
      </c>
      <c r="CI15" s="71" t="s">
        <v>83</v>
      </c>
      <c r="CJ15" s="72">
        <v>0</v>
      </c>
      <c r="CK15" s="71" t="s">
        <v>89</v>
      </c>
      <c r="CL15" s="72"/>
      <c r="CM15" s="71" t="s">
        <v>26</v>
      </c>
    </row>
    <row r="16" spans="1:154" ht="15.75" customHeight="1" x14ac:dyDescent="0.25">
      <c r="A16" s="5"/>
      <c r="B16" s="71" t="s">
        <v>18</v>
      </c>
      <c r="C16" s="71"/>
      <c r="D16" s="72"/>
      <c r="E16" s="72">
        <v>52</v>
      </c>
      <c r="F16" s="71"/>
      <c r="G16" s="71" t="s">
        <v>86</v>
      </c>
      <c r="H16" s="72">
        <v>0</v>
      </c>
      <c r="I16" s="72">
        <v>0</v>
      </c>
      <c r="J16" s="72"/>
      <c r="K16" s="72">
        <v>48.059523809523803</v>
      </c>
      <c r="L16" s="72">
        <v>43.690476190476197</v>
      </c>
      <c r="M16" s="71" t="s">
        <v>94</v>
      </c>
      <c r="N16" s="71"/>
      <c r="O16" s="73"/>
      <c r="P16" s="73"/>
      <c r="Q16" s="72"/>
      <c r="R16" s="72">
        <v>0</v>
      </c>
      <c r="S16" s="71" t="s">
        <v>95</v>
      </c>
      <c r="T16" s="72">
        <v>0</v>
      </c>
      <c r="U16" s="72">
        <v>0</v>
      </c>
      <c r="V16" s="71" t="s">
        <v>26</v>
      </c>
      <c r="W16" s="72"/>
      <c r="X16" s="72"/>
      <c r="Y16" s="71"/>
      <c r="Z16" s="71" t="s">
        <v>30</v>
      </c>
      <c r="AB16" s="73"/>
      <c r="AC16" s="72"/>
      <c r="AD16" s="71"/>
      <c r="AE16" s="72">
        <v>52</v>
      </c>
      <c r="AG16" s="74"/>
      <c r="AH16" s="71" t="s">
        <v>21</v>
      </c>
      <c r="AI16" s="72">
        <v>1.1000000000000001</v>
      </c>
      <c r="AJ16" s="71" t="s">
        <v>76</v>
      </c>
      <c r="AL16" s="73"/>
      <c r="AM16" s="73"/>
      <c r="AN16" s="73"/>
      <c r="AO16" s="71"/>
      <c r="AP16" s="71"/>
      <c r="AQ16" s="73"/>
      <c r="AR16" s="71"/>
      <c r="AS16" s="72"/>
      <c r="AT16" s="75">
        <v>2499.0952380952399</v>
      </c>
      <c r="AU16" s="75">
        <v>2271.9047619047601</v>
      </c>
      <c r="AV16" s="76"/>
      <c r="AW16" s="72">
        <v>0</v>
      </c>
      <c r="AX16" s="72">
        <v>0</v>
      </c>
      <c r="AY16" s="71" t="s">
        <v>96</v>
      </c>
      <c r="AZ16" s="72">
        <v>0</v>
      </c>
      <c r="BA16" s="77"/>
      <c r="BB16" s="73"/>
      <c r="BC16" s="72">
        <v>0</v>
      </c>
      <c r="BD16" s="71"/>
      <c r="BE16" s="75">
        <v>2499.0952380952399</v>
      </c>
      <c r="BF16" s="75">
        <v>2271.9047619047601</v>
      </c>
      <c r="BG16" s="76"/>
      <c r="BH16" s="73"/>
      <c r="BI16" s="73"/>
      <c r="BJ16" s="72">
        <v>52</v>
      </c>
      <c r="BK16" s="72">
        <v>0</v>
      </c>
      <c r="BL16" s="73"/>
      <c r="BM16" s="71" t="s">
        <v>19</v>
      </c>
      <c r="BN16" s="76"/>
      <c r="BO16" s="71" t="s">
        <v>27</v>
      </c>
      <c r="BP16" s="72">
        <v>0</v>
      </c>
      <c r="BQ16" s="72">
        <v>0</v>
      </c>
      <c r="BR16" s="72">
        <v>0</v>
      </c>
      <c r="BS16" s="71" t="s">
        <v>88</v>
      </c>
      <c r="BT16" s="71" t="s">
        <v>26</v>
      </c>
      <c r="BU16" s="72">
        <v>0</v>
      </c>
      <c r="BV16" s="72">
        <v>0</v>
      </c>
      <c r="BW16" s="72">
        <v>0</v>
      </c>
      <c r="BX16" s="72">
        <v>0</v>
      </c>
      <c r="BY16" s="73"/>
      <c r="BZ16" s="73"/>
      <c r="CA16" s="73"/>
      <c r="CB16" s="73"/>
      <c r="CC16" s="73"/>
      <c r="CD16" s="73"/>
      <c r="CE16" s="76">
        <v>43873</v>
      </c>
      <c r="CF16" s="71"/>
      <c r="CG16" s="72"/>
      <c r="CH16" s="71" t="s">
        <v>97</v>
      </c>
      <c r="CI16" s="71" t="s">
        <v>82</v>
      </c>
      <c r="CJ16" s="72">
        <v>0</v>
      </c>
      <c r="CK16" s="71" t="s">
        <v>89</v>
      </c>
      <c r="CL16" s="72"/>
      <c r="CM16" s="71" t="s">
        <v>26</v>
      </c>
    </row>
    <row r="17" spans="1:91" ht="15.75" customHeight="1" x14ac:dyDescent="0.25">
      <c r="A17" s="5"/>
      <c r="B17" s="71" t="s">
        <v>18</v>
      </c>
      <c r="C17" s="71"/>
      <c r="D17" s="72"/>
      <c r="E17" s="72">
        <v>17</v>
      </c>
      <c r="F17" s="71"/>
      <c r="G17" s="71" t="s">
        <v>86</v>
      </c>
      <c r="H17" s="72">
        <v>0</v>
      </c>
      <c r="I17" s="72">
        <v>0</v>
      </c>
      <c r="J17" s="72"/>
      <c r="K17" s="72">
        <v>88.203361344537896</v>
      </c>
      <c r="L17" s="72">
        <v>80.184873949579895</v>
      </c>
      <c r="M17" s="73"/>
      <c r="N17" s="71"/>
      <c r="O17" s="73"/>
      <c r="P17" s="73"/>
      <c r="Q17" s="72"/>
      <c r="R17" s="72">
        <v>0</v>
      </c>
      <c r="S17" s="71" t="s">
        <v>95</v>
      </c>
      <c r="T17" s="72">
        <v>0</v>
      </c>
      <c r="U17" s="72">
        <v>0</v>
      </c>
      <c r="V17" s="71" t="s">
        <v>90</v>
      </c>
      <c r="W17" s="72"/>
      <c r="X17" s="72"/>
      <c r="Y17" s="71"/>
      <c r="Z17" s="71" t="s">
        <v>30</v>
      </c>
      <c r="AB17" s="73"/>
      <c r="AC17" s="72"/>
      <c r="AD17" s="71"/>
      <c r="AE17" s="72">
        <v>17</v>
      </c>
      <c r="AG17" s="74"/>
      <c r="AH17" s="71" t="s">
        <v>21</v>
      </c>
      <c r="AI17" s="72">
        <v>1.1000000000000001</v>
      </c>
      <c r="AJ17" s="71" t="s">
        <v>76</v>
      </c>
      <c r="AL17" s="73"/>
      <c r="AM17" s="73"/>
      <c r="AN17" s="73"/>
      <c r="AO17" s="71"/>
      <c r="AP17" s="71"/>
      <c r="AQ17" s="73"/>
      <c r="AR17" s="71"/>
      <c r="AS17" s="72"/>
      <c r="AT17" s="75">
        <v>1499.4571428571401</v>
      </c>
      <c r="AU17" s="75">
        <v>1363.1428571428601</v>
      </c>
      <c r="AV17" s="76"/>
      <c r="AW17" s="72">
        <v>0</v>
      </c>
      <c r="AX17" s="72">
        <v>0</v>
      </c>
      <c r="AY17" s="71" t="s">
        <v>96</v>
      </c>
      <c r="AZ17" s="72">
        <v>0</v>
      </c>
      <c r="BA17" s="77"/>
      <c r="BB17" s="73"/>
      <c r="BC17" s="72">
        <v>0</v>
      </c>
      <c r="BD17" s="71"/>
      <c r="BE17" s="75">
        <v>1499.4571428571401</v>
      </c>
      <c r="BF17" s="75">
        <v>1363.1428571428601</v>
      </c>
      <c r="BG17" s="76"/>
      <c r="BH17" s="73"/>
      <c r="BI17" s="73"/>
      <c r="BJ17" s="72">
        <v>17</v>
      </c>
      <c r="BK17" s="72">
        <v>0</v>
      </c>
      <c r="BL17" s="73"/>
      <c r="BM17" s="71" t="s">
        <v>19</v>
      </c>
      <c r="BN17" s="76"/>
      <c r="BO17" s="71" t="s">
        <v>27</v>
      </c>
      <c r="BP17" s="72">
        <v>0</v>
      </c>
      <c r="BQ17" s="72">
        <v>0</v>
      </c>
      <c r="BR17" s="72">
        <v>0</v>
      </c>
      <c r="BS17" s="71" t="s">
        <v>88</v>
      </c>
      <c r="BT17" s="71" t="s">
        <v>79</v>
      </c>
      <c r="BU17" s="72">
        <v>0</v>
      </c>
      <c r="BV17" s="72">
        <v>0</v>
      </c>
      <c r="BW17" s="72">
        <v>0</v>
      </c>
      <c r="BX17" s="72">
        <v>0</v>
      </c>
      <c r="BY17" s="73"/>
      <c r="BZ17" s="73"/>
      <c r="CA17" s="73"/>
      <c r="CB17" s="73"/>
      <c r="CC17" s="73"/>
      <c r="CD17" s="73"/>
      <c r="CE17" s="76">
        <v>43873</v>
      </c>
      <c r="CF17" s="71"/>
      <c r="CG17" s="72"/>
      <c r="CH17" s="71" t="s">
        <v>97</v>
      </c>
      <c r="CI17" s="71" t="s">
        <v>82</v>
      </c>
      <c r="CJ17" s="72">
        <v>0</v>
      </c>
      <c r="CK17" s="71" t="s">
        <v>89</v>
      </c>
      <c r="CL17" s="72"/>
      <c r="CM17" s="71" t="s">
        <v>79</v>
      </c>
    </row>
    <row r="18" spans="1:91" ht="15.75" customHeight="1" x14ac:dyDescent="0.25">
      <c r="A18" s="5"/>
      <c r="B18" s="71" t="s">
        <v>98</v>
      </c>
      <c r="C18" s="71"/>
      <c r="D18" s="72"/>
      <c r="E18" s="72">
        <v>105</v>
      </c>
      <c r="F18" s="71"/>
      <c r="G18" s="71" t="s">
        <v>86</v>
      </c>
      <c r="H18" s="72">
        <v>0</v>
      </c>
      <c r="I18" s="72">
        <v>0</v>
      </c>
      <c r="J18" s="72"/>
      <c r="K18" s="72">
        <v>77</v>
      </c>
      <c r="L18" s="72">
        <v>70</v>
      </c>
      <c r="M18" s="71" t="s">
        <v>94</v>
      </c>
      <c r="N18" s="71"/>
      <c r="O18" s="71"/>
      <c r="P18" s="73"/>
      <c r="Q18" s="72"/>
      <c r="R18" s="72">
        <v>0</v>
      </c>
      <c r="S18" s="71" t="s">
        <v>99</v>
      </c>
      <c r="T18" s="72">
        <v>2.5</v>
      </c>
      <c r="U18" s="72">
        <v>2.3809523809523999E-2</v>
      </c>
      <c r="V18" s="71" t="s">
        <v>26</v>
      </c>
      <c r="W18" s="72"/>
      <c r="X18" s="72"/>
      <c r="Y18" s="71"/>
      <c r="Z18" s="71" t="s">
        <v>30</v>
      </c>
      <c r="AB18" s="73"/>
      <c r="AC18" s="72"/>
      <c r="AD18" s="71"/>
      <c r="AE18" s="72">
        <v>105</v>
      </c>
      <c r="AG18" s="74"/>
      <c r="AH18" s="71" t="s">
        <v>21</v>
      </c>
      <c r="AI18" s="72">
        <v>1.1000000000000001</v>
      </c>
      <c r="AJ18" s="71" t="s">
        <v>76</v>
      </c>
      <c r="AL18" s="73"/>
      <c r="AM18" s="73"/>
      <c r="AN18" s="71"/>
      <c r="AO18" s="71"/>
      <c r="AP18" s="71"/>
      <c r="AQ18" s="73"/>
      <c r="AR18" s="71"/>
      <c r="AS18" s="72"/>
      <c r="AT18" s="75">
        <v>8074</v>
      </c>
      <c r="AU18" s="75">
        <v>7340</v>
      </c>
      <c r="AV18" s="77"/>
      <c r="AW18" s="72">
        <v>0</v>
      </c>
      <c r="AX18" s="72">
        <v>0</v>
      </c>
      <c r="AY18" s="71" t="s">
        <v>96</v>
      </c>
      <c r="AZ18" s="72">
        <v>0</v>
      </c>
      <c r="BA18" s="77"/>
      <c r="BB18" s="73"/>
      <c r="BC18" s="72">
        <v>0</v>
      </c>
      <c r="BD18" s="71"/>
      <c r="BE18" s="75">
        <v>8085</v>
      </c>
      <c r="BF18" s="75">
        <v>7350</v>
      </c>
      <c r="BG18" s="77"/>
      <c r="BH18" s="73"/>
      <c r="BI18" s="73"/>
      <c r="BJ18" s="72">
        <v>105</v>
      </c>
      <c r="BK18" s="72">
        <v>0</v>
      </c>
      <c r="BL18" s="73"/>
      <c r="BM18" s="71" t="s">
        <v>30</v>
      </c>
      <c r="BN18" s="77"/>
      <c r="BO18" s="71" t="s">
        <v>27</v>
      </c>
      <c r="BP18" s="72">
        <v>7.5</v>
      </c>
      <c r="BQ18" s="72">
        <v>7.1428571428570994E-2</v>
      </c>
      <c r="BR18" s="72">
        <v>0</v>
      </c>
      <c r="BS18" s="71" t="s">
        <v>88</v>
      </c>
      <c r="BT18" s="71" t="s">
        <v>26</v>
      </c>
      <c r="BU18" s="72">
        <v>0</v>
      </c>
      <c r="BV18" s="72">
        <v>10</v>
      </c>
      <c r="BW18" s="72">
        <v>10</v>
      </c>
      <c r="BX18" s="72">
        <v>9.5238095238094997E-2</v>
      </c>
      <c r="BY18" s="73"/>
      <c r="BZ18" s="73"/>
      <c r="CA18" s="73"/>
      <c r="CB18" s="73"/>
      <c r="CC18" s="73"/>
      <c r="CD18" s="73"/>
      <c r="CE18" s="76">
        <v>43871</v>
      </c>
      <c r="CF18" s="71"/>
      <c r="CG18" s="72"/>
      <c r="CH18" s="71" t="s">
        <v>24</v>
      </c>
      <c r="CI18" s="71" t="s">
        <v>82</v>
      </c>
      <c r="CJ18" s="72">
        <v>0</v>
      </c>
      <c r="CK18" s="71" t="s">
        <v>89</v>
      </c>
      <c r="CL18" s="72"/>
      <c r="CM18" s="71" t="s">
        <v>26</v>
      </c>
    </row>
    <row r="19" spans="1:91" ht="15.75" customHeight="1" x14ac:dyDescent="0.25">
      <c r="A19" s="5"/>
      <c r="B19" s="71" t="s">
        <v>98</v>
      </c>
      <c r="C19" s="71"/>
      <c r="D19" s="72"/>
      <c r="E19" s="72">
        <v>105</v>
      </c>
      <c r="F19" s="71"/>
      <c r="G19" s="71" t="s">
        <v>86</v>
      </c>
      <c r="H19" s="72">
        <v>0</v>
      </c>
      <c r="I19" s="72">
        <v>0</v>
      </c>
      <c r="J19" s="72"/>
      <c r="K19" s="72">
        <v>77</v>
      </c>
      <c r="L19" s="72">
        <v>70</v>
      </c>
      <c r="M19" s="71" t="s">
        <v>94</v>
      </c>
      <c r="N19" s="71"/>
      <c r="O19" s="71"/>
      <c r="P19" s="73"/>
      <c r="Q19" s="72"/>
      <c r="R19" s="72">
        <v>0</v>
      </c>
      <c r="S19" s="71" t="s">
        <v>95</v>
      </c>
      <c r="T19" s="72">
        <v>2.5</v>
      </c>
      <c r="U19" s="72">
        <v>2.3809523809523999E-2</v>
      </c>
      <c r="V19" s="71" t="s">
        <v>26</v>
      </c>
      <c r="W19" s="72"/>
      <c r="X19" s="72"/>
      <c r="Y19" s="71"/>
      <c r="Z19" s="71" t="s">
        <v>30</v>
      </c>
      <c r="AB19" s="73"/>
      <c r="AC19" s="72"/>
      <c r="AD19" s="71"/>
      <c r="AE19" s="72">
        <v>105</v>
      </c>
      <c r="AG19" s="74"/>
      <c r="AH19" s="71" t="s">
        <v>21</v>
      </c>
      <c r="AI19" s="72">
        <v>1.1000000000000001</v>
      </c>
      <c r="AJ19" s="71" t="s">
        <v>76</v>
      </c>
      <c r="AL19" s="73"/>
      <c r="AM19" s="73"/>
      <c r="AN19" s="71"/>
      <c r="AO19" s="71"/>
      <c r="AP19" s="71"/>
      <c r="AQ19" s="73"/>
      <c r="AR19" s="71"/>
      <c r="AS19" s="72"/>
      <c r="AT19" s="75">
        <v>8074</v>
      </c>
      <c r="AU19" s="75">
        <v>7340</v>
      </c>
      <c r="AV19" s="77"/>
      <c r="AW19" s="72">
        <v>0</v>
      </c>
      <c r="AX19" s="72">
        <v>0</v>
      </c>
      <c r="AY19" s="71" t="s">
        <v>96</v>
      </c>
      <c r="AZ19" s="72">
        <v>0</v>
      </c>
      <c r="BA19" s="77"/>
      <c r="BB19" s="73"/>
      <c r="BC19" s="72">
        <v>0</v>
      </c>
      <c r="BD19" s="71"/>
      <c r="BE19" s="75">
        <v>8085</v>
      </c>
      <c r="BF19" s="75">
        <v>7350</v>
      </c>
      <c r="BG19" s="77"/>
      <c r="BH19" s="73"/>
      <c r="BI19" s="73"/>
      <c r="BJ19" s="72">
        <v>105</v>
      </c>
      <c r="BK19" s="72">
        <v>0</v>
      </c>
      <c r="BL19" s="73"/>
      <c r="BM19" s="71" t="s">
        <v>30</v>
      </c>
      <c r="BN19" s="77"/>
      <c r="BO19" s="71" t="s">
        <v>27</v>
      </c>
      <c r="BP19" s="72">
        <v>7.5</v>
      </c>
      <c r="BQ19" s="72">
        <v>7.1428571428570994E-2</v>
      </c>
      <c r="BR19" s="72">
        <v>0</v>
      </c>
      <c r="BS19" s="71" t="s">
        <v>88</v>
      </c>
      <c r="BT19" s="71" t="s">
        <v>26</v>
      </c>
      <c r="BU19" s="72">
        <v>0</v>
      </c>
      <c r="BV19" s="72">
        <v>10</v>
      </c>
      <c r="BW19" s="72">
        <v>10</v>
      </c>
      <c r="BX19" s="72">
        <v>9.5238095238094997E-2</v>
      </c>
      <c r="BY19" s="73"/>
      <c r="BZ19" s="73"/>
      <c r="CA19" s="73"/>
      <c r="CB19" s="73"/>
      <c r="CC19" s="73"/>
      <c r="CD19" s="73"/>
      <c r="CE19" s="76">
        <v>43872</v>
      </c>
      <c r="CF19" s="71"/>
      <c r="CG19" s="72"/>
      <c r="CH19" s="71" t="s">
        <v>24</v>
      </c>
      <c r="CI19" s="71" t="s">
        <v>82</v>
      </c>
      <c r="CJ19" s="72">
        <v>0</v>
      </c>
      <c r="CK19" s="71" t="s">
        <v>89</v>
      </c>
      <c r="CL19" s="72"/>
      <c r="CM19" s="71" t="s">
        <v>26</v>
      </c>
    </row>
    <row r="20" spans="1:91" ht="15.75" customHeight="1" x14ac:dyDescent="0.25">
      <c r="A20" s="5"/>
      <c r="B20" s="71" t="s">
        <v>98</v>
      </c>
      <c r="C20" s="71"/>
      <c r="D20" s="72"/>
      <c r="E20" s="72">
        <v>105</v>
      </c>
      <c r="F20" s="71"/>
      <c r="G20" s="71" t="s">
        <v>86</v>
      </c>
      <c r="H20" s="72">
        <v>0</v>
      </c>
      <c r="I20" s="72">
        <v>0</v>
      </c>
      <c r="J20" s="72"/>
      <c r="K20" s="72">
        <v>60.5</v>
      </c>
      <c r="L20" s="72">
        <v>55</v>
      </c>
      <c r="M20" s="73"/>
      <c r="N20" s="71"/>
      <c r="O20" s="71"/>
      <c r="P20" s="73"/>
      <c r="Q20" s="72"/>
      <c r="R20" s="72">
        <v>0</v>
      </c>
      <c r="S20" s="71" t="s">
        <v>95</v>
      </c>
      <c r="T20" s="72">
        <v>2.5</v>
      </c>
      <c r="U20" s="72">
        <v>2.3809523809523999E-2</v>
      </c>
      <c r="V20" s="71" t="s">
        <v>87</v>
      </c>
      <c r="W20" s="72"/>
      <c r="X20" s="72"/>
      <c r="Y20" s="71"/>
      <c r="Z20" s="71" t="s">
        <v>30</v>
      </c>
      <c r="AB20" s="73"/>
      <c r="AC20" s="72"/>
      <c r="AD20" s="71"/>
      <c r="AE20" s="72">
        <v>105</v>
      </c>
      <c r="AG20" s="74"/>
      <c r="AH20" s="71" t="s">
        <v>21</v>
      </c>
      <c r="AI20" s="72">
        <v>1.1000000000000001</v>
      </c>
      <c r="AJ20" s="71" t="s">
        <v>46</v>
      </c>
      <c r="AL20" s="73"/>
      <c r="AM20" s="73"/>
      <c r="AN20" s="71"/>
      <c r="AO20" s="71"/>
      <c r="AP20" s="71"/>
      <c r="AQ20" s="73"/>
      <c r="AR20" s="71"/>
      <c r="AS20" s="72"/>
      <c r="AT20" s="75">
        <v>6341.5</v>
      </c>
      <c r="AU20" s="75">
        <v>5765</v>
      </c>
      <c r="AV20" s="77"/>
      <c r="AW20" s="72">
        <v>0</v>
      </c>
      <c r="AX20" s="72">
        <v>0</v>
      </c>
      <c r="AY20" s="71" t="s">
        <v>96</v>
      </c>
      <c r="AZ20" s="72">
        <v>0</v>
      </c>
      <c r="BA20" s="77"/>
      <c r="BB20" s="73"/>
      <c r="BC20" s="72">
        <v>0</v>
      </c>
      <c r="BD20" s="71"/>
      <c r="BE20" s="75">
        <v>6352.5</v>
      </c>
      <c r="BF20" s="75">
        <v>5775</v>
      </c>
      <c r="BG20" s="77"/>
      <c r="BH20" s="73"/>
      <c r="BI20" s="73"/>
      <c r="BJ20" s="72">
        <v>105</v>
      </c>
      <c r="BK20" s="72">
        <v>0</v>
      </c>
      <c r="BL20" s="73"/>
      <c r="BM20" s="71" t="s">
        <v>30</v>
      </c>
      <c r="BN20" s="77"/>
      <c r="BO20" s="71" t="s">
        <v>27</v>
      </c>
      <c r="BP20" s="72">
        <v>7.5</v>
      </c>
      <c r="BQ20" s="72">
        <v>7.1428571428570994E-2</v>
      </c>
      <c r="BR20" s="72">
        <v>0</v>
      </c>
      <c r="BS20" s="71" t="s">
        <v>88</v>
      </c>
      <c r="BT20" s="71" t="s">
        <v>39</v>
      </c>
      <c r="BU20" s="72">
        <v>0</v>
      </c>
      <c r="BV20" s="72">
        <v>10</v>
      </c>
      <c r="BW20" s="72">
        <v>10</v>
      </c>
      <c r="BX20" s="72">
        <v>9.5238095238094997E-2</v>
      </c>
      <c r="BY20" s="73"/>
      <c r="BZ20" s="73"/>
      <c r="CA20" s="73"/>
      <c r="CB20" s="73"/>
      <c r="CC20" s="73"/>
      <c r="CD20" s="73"/>
      <c r="CE20" s="76">
        <v>43872</v>
      </c>
      <c r="CF20" s="71"/>
      <c r="CG20" s="72"/>
      <c r="CH20" s="71" t="s">
        <v>24</v>
      </c>
      <c r="CI20" s="71" t="s">
        <v>82</v>
      </c>
      <c r="CJ20" s="72">
        <v>0</v>
      </c>
      <c r="CK20" s="71" t="s">
        <v>89</v>
      </c>
      <c r="CL20" s="72"/>
      <c r="CM20" s="71" t="s">
        <v>39</v>
      </c>
    </row>
    <row r="21" spans="1:91" ht="15.75" customHeight="1" x14ac:dyDescent="0.25">
      <c r="A21" s="5"/>
      <c r="B21" s="71" t="s">
        <v>98</v>
      </c>
      <c r="C21" s="71"/>
      <c r="D21" s="72"/>
      <c r="E21" s="72">
        <v>55</v>
      </c>
      <c r="F21" s="71"/>
      <c r="G21" s="71" t="s">
        <v>86</v>
      </c>
      <c r="H21" s="72">
        <v>0</v>
      </c>
      <c r="I21" s="72">
        <v>0</v>
      </c>
      <c r="J21" s="72"/>
      <c r="K21" s="72">
        <v>77</v>
      </c>
      <c r="L21" s="72">
        <v>70</v>
      </c>
      <c r="M21" s="71" t="s">
        <v>94</v>
      </c>
      <c r="N21" s="71"/>
      <c r="O21" s="71"/>
      <c r="P21" s="73"/>
      <c r="Q21" s="72"/>
      <c r="R21" s="72">
        <v>0</v>
      </c>
      <c r="S21" s="71" t="s">
        <v>99</v>
      </c>
      <c r="T21" s="72">
        <v>0</v>
      </c>
      <c r="U21" s="72">
        <v>0</v>
      </c>
      <c r="V21" s="71" t="s">
        <v>26</v>
      </c>
      <c r="W21" s="72"/>
      <c r="X21" s="72"/>
      <c r="Y21" s="71"/>
      <c r="Z21" s="71" t="s">
        <v>30</v>
      </c>
      <c r="AB21" s="73"/>
      <c r="AC21" s="72"/>
      <c r="AD21" s="71"/>
      <c r="AE21" s="72">
        <v>55</v>
      </c>
      <c r="AG21" s="74"/>
      <c r="AH21" s="71" t="s">
        <v>21</v>
      </c>
      <c r="AI21" s="72">
        <v>1.1000000000000001</v>
      </c>
      <c r="AJ21" s="71" t="s">
        <v>46</v>
      </c>
      <c r="AL21" s="73"/>
      <c r="AM21" s="73"/>
      <c r="AN21" s="71"/>
      <c r="AO21" s="71"/>
      <c r="AP21" s="71"/>
      <c r="AQ21" s="73"/>
      <c r="AR21" s="71"/>
      <c r="AS21" s="72"/>
      <c r="AT21" s="75">
        <v>4235</v>
      </c>
      <c r="AU21" s="75">
        <v>3850</v>
      </c>
      <c r="AV21" s="77"/>
      <c r="AW21" s="72">
        <v>0</v>
      </c>
      <c r="AX21" s="72">
        <v>0</v>
      </c>
      <c r="AY21" s="71" t="s">
        <v>96</v>
      </c>
      <c r="AZ21" s="72">
        <v>0</v>
      </c>
      <c r="BA21" s="77"/>
      <c r="BB21" s="73"/>
      <c r="BC21" s="72">
        <v>0</v>
      </c>
      <c r="BD21" s="71"/>
      <c r="BE21" s="75">
        <v>4235</v>
      </c>
      <c r="BF21" s="75">
        <v>3850</v>
      </c>
      <c r="BG21" s="77"/>
      <c r="BH21" s="73"/>
      <c r="BI21" s="73"/>
      <c r="BJ21" s="72">
        <v>55</v>
      </c>
      <c r="BK21" s="72">
        <v>0</v>
      </c>
      <c r="BL21" s="73"/>
      <c r="BM21" s="71" t="s">
        <v>30</v>
      </c>
      <c r="BN21" s="77"/>
      <c r="BO21" s="71" t="s">
        <v>40</v>
      </c>
      <c r="BP21" s="72">
        <v>0</v>
      </c>
      <c r="BQ21" s="72">
        <v>0</v>
      </c>
      <c r="BR21" s="72">
        <v>0</v>
      </c>
      <c r="BS21" s="71" t="s">
        <v>88</v>
      </c>
      <c r="BT21" s="71" t="s">
        <v>26</v>
      </c>
      <c r="BU21" s="72">
        <v>0</v>
      </c>
      <c r="BV21" s="72">
        <v>0</v>
      </c>
      <c r="BW21" s="72">
        <v>0</v>
      </c>
      <c r="BX21" s="72">
        <v>0</v>
      </c>
      <c r="BY21" s="73"/>
      <c r="BZ21" s="73"/>
      <c r="CA21" s="73"/>
      <c r="CB21" s="73"/>
      <c r="CC21" s="73"/>
      <c r="CD21" s="73"/>
      <c r="CE21" s="76">
        <v>43872</v>
      </c>
      <c r="CF21" s="71"/>
      <c r="CG21" s="72"/>
      <c r="CH21" s="71" t="s">
        <v>24</v>
      </c>
      <c r="CI21" s="71" t="s">
        <v>83</v>
      </c>
      <c r="CJ21" s="72">
        <v>0</v>
      </c>
      <c r="CK21" s="71" t="s">
        <v>89</v>
      </c>
      <c r="CL21" s="72"/>
      <c r="CM21" s="71" t="s">
        <v>26</v>
      </c>
    </row>
    <row r="22" spans="1:91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91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91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91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91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91" ht="15.75" customHeight="1" x14ac:dyDescent="0.2"/>
    <row r="28" spans="1:91" ht="15.75" customHeight="1" x14ac:dyDescent="0.2"/>
    <row r="29" spans="1:91" ht="15.75" customHeight="1" x14ac:dyDescent="0.2"/>
    <row r="30" spans="1:91" ht="15.75" customHeight="1" x14ac:dyDescent="0.2"/>
    <row r="31" spans="1:91" ht="15.75" customHeight="1" x14ac:dyDescent="0.2"/>
    <row r="32" spans="1:9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_Modules</vt:lpstr>
      <vt:lpstr>_Settings</vt:lpstr>
      <vt:lpstr>_MasterData</vt:lpstr>
      <vt:lpstr>GetNonTradingTransaction</vt:lpstr>
      <vt:lpstr>AddNonTradingTransaction</vt:lpstr>
      <vt:lpstr>AddNonTradingTransaction1</vt:lpstr>
      <vt:lpstr>CreateDoneAwayOrder</vt:lpstr>
      <vt:lpstr>GetForexConversion</vt:lpstr>
      <vt:lpstr>UpdateForexConversion</vt:lpstr>
      <vt:lpstr>GetMarkPriceData</vt:lpstr>
      <vt:lpstr>UpdateMarkPrice</vt:lpstr>
      <vt:lpstr>GetDayEndCash</vt:lpstr>
      <vt:lpstr>GetAccountBalance</vt:lpstr>
      <vt:lpstr>CreateDoneAwayOrder1</vt:lpstr>
      <vt:lpstr>GetDataClosing</vt:lpstr>
      <vt:lpstr>AutomaticClosing</vt:lpstr>
      <vt:lpstr>GetForexConversion1</vt:lpstr>
      <vt:lpstr>UpdateForexConversion1</vt:lpstr>
      <vt:lpstr>GetMarkPriceData1</vt:lpstr>
      <vt:lpstr>UpdateMarkPrice1</vt:lpstr>
      <vt:lpstr>GetDayEndCash1</vt:lpstr>
      <vt:lpstr>GetAccountBalance1</vt:lpstr>
      <vt:lpstr>GetRevaluationData</vt:lpstr>
      <vt:lpstr>VerifyRevaluationData</vt:lpstr>
      <vt:lpstr>VerifyTradingTransaction</vt:lpstr>
      <vt:lpstr>GetActivityData</vt:lpstr>
      <vt:lpstr>VerifyActivity</vt:lpstr>
      <vt:lpstr>OpenSpinOff</vt:lpstr>
      <vt:lpstr>SpinOff</vt:lpstr>
      <vt:lpstr>VerifyAndApplyCorpAction</vt:lpstr>
      <vt:lpstr>GetForexConversion2</vt:lpstr>
      <vt:lpstr>UpdateForexConversion2</vt:lpstr>
      <vt:lpstr>GetMarkPriceData2</vt:lpstr>
      <vt:lpstr>UpdateMarkPrice2</vt:lpstr>
      <vt:lpstr>GetAccountBalance2</vt:lpstr>
      <vt:lpstr>GetRevaluationData1</vt:lpstr>
      <vt:lpstr>VerifyRevaluationData1</vt:lpstr>
      <vt:lpstr>VerifyTradingTransaction1</vt:lpstr>
      <vt:lpstr>GetActivityData1</vt:lpstr>
      <vt:lpstr>VerifyActivity1</vt:lpstr>
      <vt:lpstr>GetDataClosing1</vt:lpstr>
      <vt:lpstr>VerifyShortPositionsGrid</vt:lpstr>
      <vt:lpstr>GetDataAllocation</vt:lpstr>
      <vt:lpstr>CheckAllocatedGroups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2020-07-24T10:46:22Z</dcterms:modified>
</cp:coreProperties>
</file>