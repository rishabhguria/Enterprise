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roupTrades" sheetId="5" r:id="rId7"/>
    <sheet state="visible" name="SelectUnallocatedGroup" sheetId="6" r:id="rId8"/>
    <sheet state="visible" name="EditUnallocatedGroupSidePanel" sheetId="7" r:id="rId9"/>
    <sheet state="visible" name="GroupTrades1" sheetId="8" r:id="rId10"/>
    <sheet state="visible" name="SelectUnallocatedGroup1" sheetId="9" r:id="rId11"/>
    <sheet state="visible" name="EnterAccountValuesToAllocate" sheetId="10" r:id="rId12"/>
    <sheet state="visible" name="GetAccountBalance" sheetId="11" r:id="rId13"/>
    <sheet state="visible" name="CheckAllocatedGroups" sheetId="12" r:id="rId14"/>
    <sheet state="visible" name="VerifyAccountBalances" sheetId="13" r:id="rId15"/>
    <sheet state="visible" name="CheckPortfolioManagement" sheetId="14" r:id="rId16"/>
  </sheets>
  <calcPr fullCalcOnLoad="1" fullPrecision="1"/>
</workbook>
</file>

<file path=xl/sharedStrings.xml><?xml version="1.0" encoding="utf-8"?>
<sst xmlns="http://schemas.openxmlformats.org/spreadsheetml/2006/main" count="420" uniqueCount="420">
  <si>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</si>
  <si>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</si>
  <si>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</si>
  <si>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</si>
  <si>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</si>
  <si>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</si>
  <si>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</si>
  <si>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</si>
  <si>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</si>
  <si>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</si>
  <si>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</si>
  <si>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</si>
  <si>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</si>
  <si>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</si>
  <si>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</si>
  <si>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</si>
  <si>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</si>
  <si>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</si>
  <si>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</si>
  <si>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</si>
  <si>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</si>
  <si>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</si>
  <si>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</si>
  <si>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</si>
  <si>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</si>
  <si>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</si>
  <si>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</si>
  <si>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</si>
  <si>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</si>
  <si>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</si>
  <si>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</si>
  <si>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</si>
  <si>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</si>
  <si>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</si>
  <si>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</si>
  <si>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</si>
  <si>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</si>
  <si>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</si>
  <si>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</si>
  <si>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</si>
  <si>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</si>
  <si>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</si>
  <si>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</si>
  <si>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</si>
  <si>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</si>
  <si>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</si>
  <si>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</si>
  <si>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</si>
  <si>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</si>
  <si>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</si>
  <si>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</si>
  <si>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</si>
  <si>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</si>
  <si>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</si>
  <si>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</si>
  <si>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</si>
  <si>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</si>
  <si>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</si>
  <si>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</si>
  <si>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</si>
  <si>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</si>
  <si>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</si>
  <si>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</si>
  <si>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</si>
  <si>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</si>
  <si>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</si>
  <si>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</si>
  <si>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</si>
  <si>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</si>
  <si>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</si>
  <si>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</si>
  <si>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</si>
  <si>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</si>
  <si>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</si>
  <si>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</si>
  <si>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</si>
  <si>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</si>
  <si>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</si>
  <si>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</si>
  <si>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O:MSFT 16M24.00D15</t>
  </si>
  <si>
    <t>Buy to Open</t>
  </si>
  <si>
    <t>Unallocated</t>
  </si>
  <si>
    <t>Buy to Close</t>
  </si>
  <si>
    <t>Allocation</t>
  </si>
  <si>
    <t>GroupTrades</t>
  </si>
  <si>
    <t>Side</t>
  </si>
  <si>
    <t>SelectUnallocatedGroup</t>
  </si>
  <si>
    <t>Executed Qty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</si>
  <si>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</si>
  <si>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</si>
  <si>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</si>
  <si>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</si>
  <si>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</si>
  <si>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</si>
  <si>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</si>
  <si>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</si>
  <si>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</si>
  <si>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FX Rate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</si>
  <si>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</si>
  <si>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</si>
  <si>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</si>
  <si>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</si>
  <si>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</si>
  <si>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</si>
  <si>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</si>
  <si>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</si>
  <si>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</si>
  <si>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</si>
  <si>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</si>
  <si>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</si>
  <si>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</si>
  <si>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</si>
  <si>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</si>
  <si>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</si>
  <si>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</si>
  <si>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</si>
  <si>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</si>
  <si>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</si>
  <si>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</si>
  <si>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</si>
  <si>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</si>
  <si>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</si>
  <si>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</si>
  <si>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</si>
  <si>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</si>
  <si>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</si>
  <si>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</si>
  <si>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</si>
  <si>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</si>
  <si>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</si>
  <si>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</si>
  <si>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</si>
  <si>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</si>
  <si>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</si>
  <si>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</si>
  <si>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</si>
  <si>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</si>
  <si>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</si>
  <si>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</si>
  <si>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</si>
  <si>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</si>
  <si>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</si>
  <si>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Underlying</t>
  </si>
  <si>
    <t>Exchange</t>
  </si>
  <si>
    <t>Currency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</si>
  <si>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</si>
  <si>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</si>
  <si>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</si>
  <si>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</si>
  <si>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</si>
  <si>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</si>
  <si>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</si>
  <si>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</si>
  <si>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</si>
  <si>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</si>
  <si>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</si>
  <si>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</si>
  <si>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</si>
  <si>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</si>
  <si>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</si>
  <si>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</si>
  <si>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</si>
  <si>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</si>
  <si>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</si>
  <si>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</si>
  <si>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</si>
  <si>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</si>
  <si>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</si>
  <si>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</si>
  <si>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</si>
  <si>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</si>
  <si>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</si>
  <si>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</si>
  <si>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Master Fund</t>
  </si>
  <si>
    <t>Client</t>
  </si>
  <si>
    <t>BuytoOpen</t>
  </si>
  <si>
    <t>GCCAP1</t>
  </si>
  <si>
    <t>MS</t>
  </si>
  <si>
    <t>NASDAQ</t>
  </si>
  <si>
    <t>M</t>
  </si>
  <si>
    <t>jpearce</t>
  </si>
  <si>
    <t>EquityOption</t>
  </si>
  <si>
    <t>P</t>
  </si>
  <si>
    <t>Market</t>
  </si>
  <si>
    <t>US</t>
  </si>
  <si>
    <t>OPTS</t>
  </si>
  <si>
    <t>USD</t>
  </si>
  <si>
    <t>BrokerNotes</t>
  </si>
  <si>
    <t>MSFT</t>
  </si>
  <si>
    <t>EditUnallocatedGroupSidePanel</t>
  </si>
  <si>
    <t>ExecutedQty</t>
  </si>
  <si>
    <t>AvgPrice</t>
  </si>
  <si>
    <t>TradeDate</t>
  </si>
  <si>
    <t>ProcessDate</t>
  </si>
  <si>
    <t>OriginalPurchaseDate</t>
  </si>
  <si>
    <t>SettlementDate</t>
  </si>
  <si>
    <t>SoftCommission</t>
  </si>
  <si>
    <t>OtherBrokerFees</t>
  </si>
  <si>
    <t>ClearingBrokerFees</t>
  </si>
  <si>
    <t>StampDuty</t>
  </si>
  <si>
    <t>TransactionLevy</t>
  </si>
  <si>
    <t>AUECFee1</t>
  </si>
  <si>
    <t>TaxOnCommissions</t>
  </si>
  <si>
    <t>AUECFee2</t>
  </si>
  <si>
    <t>SecFee</t>
  </si>
  <si>
    <t>OccFee</t>
  </si>
  <si>
    <t>OrfFee</t>
  </si>
  <si>
    <t>InternalComments</t>
  </si>
  <si>
    <t>FXRate</t>
  </si>
  <si>
    <t>FxConvOperator</t>
  </si>
  <si>
    <t>AccruedInterest</t>
  </si>
  <si>
    <t>BuytoClose</t>
  </si>
  <si>
    <t>EnterAccountValuesToAllocate</t>
  </si>
  <si>
    <t>Account Name</t>
  </si>
  <si>
    <t>Account Percentage</t>
  </si>
  <si>
    <t>Account Quantity</t>
  </si>
  <si>
    <t>Allocation1</t>
  </si>
  <si>
    <t>GeneralLedger</t>
  </si>
  <si>
    <t>GetAccountBalance</t>
  </si>
  <si>
    <t>MasterFund</t>
  </si>
  <si>
    <t>Accounts</t>
  </si>
  <si>
    <t>Balances as on date</t>
  </si>
  <si>
    <t>IsRunRevalOnGetAccountBalances</t>
  </si>
  <si>
    <t>CheckAllocatedGroups</t>
  </si>
  <si>
    <t>Exceution Time</t>
  </si>
  <si>
    <t>Strategy Name</t>
  </si>
  <si>
    <t>Borrow Broker</t>
  </si>
  <si>
    <t>ACTIV Symbol</t>
  </si>
  <si>
    <t>Borrower Id</t>
  </si>
  <si>
    <t>Borrow Rate(%)</t>
  </si>
  <si>
    <t>MandatoryColumn</t>
  </si>
  <si>
    <t>Testing Type</t>
  </si>
  <si>
    <t>Testing Column</t>
  </si>
  <si>
    <t>Testing Col Value</t>
  </si>
  <si>
    <t>DuplicateRow</t>
  </si>
  <si>
    <t>DuplicateCountOnUI</t>
  </si>
  <si>
    <t>Manual</t>
  </si>
  <si>
    <t>Open</t>
  </si>
  <si>
    <t>None</t>
  </si>
  <si>
    <t>VerifyAccountBalances</t>
  </si>
  <si>
    <t>A/c</t>
  </si>
  <si>
    <t>Master A/c</t>
  </si>
  <si>
    <t>A/c Type</t>
  </si>
  <si>
    <t>Closing Balance (Dr)</t>
  </si>
  <si>
    <t>Closing Balance (Cr)</t>
  </si>
  <si>
    <t>Closing Balance Base (Dr)</t>
  </si>
  <si>
    <t>Closing Balance Base (Cr)</t>
  </si>
  <si>
    <t>SubCategory A/c</t>
  </si>
  <si>
    <t>Opening Balance Date</t>
  </si>
  <si>
    <t>TransactionDate</t>
  </si>
  <si>
    <t>Opening Balance (Dr)</t>
  </si>
  <si>
    <t>Opening Balance (Cr)</t>
  </si>
  <si>
    <t>Day Balance (Dr)</t>
  </si>
  <si>
    <t>Day Balance (Cr)</t>
  </si>
  <si>
    <t>Opening Balance Base (Dr)</t>
  </si>
  <si>
    <t>Opening Balance Base (Cr)</t>
  </si>
  <si>
    <t>Day Balance Base (Dr)</t>
  </si>
  <si>
    <t>Day Balance Base (Cr)</t>
  </si>
  <si>
    <t>Base Currency</t>
  </si>
  <si>
    <t>Cash</t>
  </si>
  <si>
    <t>Investment - Short Equity Option</t>
  </si>
  <si>
    <t>Liability</t>
  </si>
  <si>
    <t>Trade Transaction</t>
  </si>
  <si>
    <t>Equity Option UnRealized Profit And Loss</t>
  </si>
  <si>
    <t>Income</t>
  </si>
  <si>
    <t>Equity Option Short Revaluation</t>
  </si>
  <si>
    <t>Asset</t>
  </si>
  <si>
    <t>PortfolioManagement</t>
  </si>
  <si>
    <t>CheckPortfolioManagement</t>
  </si>
  <si>
    <t>Position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</si>
  <si>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</si>
  <si>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</si>
  <si>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</si>
  <si>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</si>
  <si>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</si>
  <si>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</si>
  <si>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</si>
  <si>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</si>
  <si>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</si>
  <si>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</si>
  <si>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</si>
  <si>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</si>
  <si>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Asset Class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</si>
  <si>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</si>
  <si>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</si>
  <si>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</si>
  <si>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</si>
  <si>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</si>
  <si>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</si>
  <si>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</si>
  <si>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</si>
  <si>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</si>
  <si>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</si>
  <si>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</si>
  <si>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</si>
  <si>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</si>
  <si>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</si>
  <si>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</si>
  <si>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</si>
  <si>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</si>
  <si>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</si>
  <si>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</si>
  <si>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</si>
  <si>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</si>
  <si>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</si>
  <si>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</si>
  <si>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</si>
  <si>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</si>
  <si>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</si>
  <si>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</si>
  <si>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</si>
  <si>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</si>
  <si>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</si>
  <si>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</si>
  <si>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</si>
  <si>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</si>
  <si>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</si>
  <si>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</si>
  <si>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</si>
  <si>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</si>
  <si>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</si>
  <si>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</si>
  <si>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</si>
  <si>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</si>
  <si>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</si>
  <si>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</si>
  <si>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</si>
  <si>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</si>
  <si>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</si>
  <si>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</si>
  <si>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</si>
  <si>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</si>
  <si>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</si>
  <si>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</si>
  <si>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</si>
  <si>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</si>
  <si>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</si>
  <si>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</si>
  <si>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</si>
  <si>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</si>
  <si>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</si>
  <si>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</si>
  <si>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</si>
  <si>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</si>
  <si>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</si>
  <si>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</si>
  <si>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</si>
  <si>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</si>
  <si>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</si>
  <si>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</si>
  <si>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</si>
  <si>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</si>
  <si>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</si>
  <si>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</si>
  <si>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</si>
  <si>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</si>
  <si>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</si>
  <si>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</si>
  <si>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</si>
  <si>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</si>
  <si>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</si>
  <si>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</si>
  <si>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</si>
  <si>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</si>
  <si>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</si>
  <si>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</si>
  <si>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</si>
  <si>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</si>
  <si>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</si>
  <si>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</si>
  <si>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</si>
  <si>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</si>
  <si>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</si>
  <si>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</si>
  <si>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</si>
  <si>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</si>
  <si>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</si>
  <si>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</si>
  <si>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</si>
  <si>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</si>
  <si>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</si>
  <si>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</si>
  <si>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</si>
  <si>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</si>
  <si>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</si>
  <si>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</si>
  <si>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</si>
  <si>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</si>
  <si>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</si>
  <si>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</si>
  <si>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</si>
  <si>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</si>
  <si>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</si>
  <si>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</si>
  <si>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</si>
  <si>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</si>
  <si>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</si>
  <si>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IsCustomViewTab</t>
  </si>
  <si>
    <t>ITM/OTM</t>
  </si>
  <si>
    <t>Days to Expiry</t>
  </si>
  <si>
    <t>% of Underlying Price</t>
  </si>
  <si>
    <t>Intrinsic value</t>
  </si>
  <si>
    <t>Gain/Loss if Ex./Assign</t>
  </si>
  <si>
    <t>Day Traded Position</t>
  </si>
  <si>
    <t>isRowCountCheck</t>
  </si>
  <si>
    <t>IsAccountBlank</t>
  </si>
  <si>
    <t>Px Last</t>
  </si>
  <si>
    <t>Px Ask</t>
  </si>
  <si>
    <t>Px Bid</t>
  </si>
  <si>
    <t>Px Mid</t>
  </si>
  <si>
    <t>Closing Price</t>
  </si>
  <si>
    <t>Total Volume</t>
  </si>
  <si>
    <t>Custom UDA8</t>
  </si>
  <si>
    <t>Custom UDA9</t>
  </si>
  <si>
    <t>Custom UDA10</t>
  </si>
  <si>
    <t>Custom UDA11</t>
  </si>
  <si>
    <t>Custom UDA12</t>
  </si>
  <si>
    <t>NewMF</t>
  </si>
  <si>
    <t>Long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</si>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</sst>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7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auto="0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Inconsolata"/>
    </font>
    <font>
      <sz val="11"/>
      <color rgb="FF000000"/>
      <name val="Calibri"/>
    </font>
    <font>
      <sz val="9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applyFont="1" fillId="0" borderId="0" applyAlignment="1"/>
  </cellStyleXfs>
  <cellXfs count="43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7" applyFont="1" fillId="0" borderId="0" xfId="0" applyAlignment="1"/>
    <xf numFmtId="0" fontId="4" applyFont="1" fillId="3" applyFill="1" borderId="4" applyBorder="1" xfId="0" applyAlignment="1"/>
    <xf numFmtId="0" fontId="5" applyFont="1" fillId="0" borderId="0" xfId="0" applyAlignment="1"/>
    <xf numFmtId="0" fontId="8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9" applyFont="1" fillId="3" applyFill="1" borderId="4" applyBorder="1" xfId="0" applyAlignment="1"/>
    <xf numFmtId="0" fontId="9" applyFont="1" fillId="3" applyFill="1" borderId="4" applyBorder="1" xfId="0" applyAlignment="1"/>
    <xf numFmtId="0" fontId="10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8" applyFont="1" fillId="0" borderId="0" xfId="0" applyAlignment="1"/>
    <xf numFmtId="0" fontId="4" applyFont="1" fillId="3" applyFill="1" borderId="0" xfId="0" applyAlignment="1"/>
    <xf numFmtId="0" fontId="8" applyFont="1" fillId="3" applyFill="1" borderId="4" applyBorder="1" xfId="0" applyAlignment="1"/>
    <xf numFmtId="0" fontId="11" applyFont="1" fillId="3" applyFill="1" borderId="0" xfId="0"/>
    <xf numFmtId="0" fontId="12" applyFont="1" fillId="4" applyFill="1" borderId="0" xfId="0" applyAlignment="1"/>
    <xf numFmtId="0" fontId="13" applyFont="1" fillId="4" applyFill="1" borderId="0" xfId="0"/>
    <xf numFmtId="0" fontId="5" applyFont="1" fillId="0" borderId="0" xfId="0" applyAlignment="1"/>
    <xf numFmtId="14" applyNumberFormat="1" fontId="14" applyFont="1" fillId="5" applyFill="1" borderId="0" xfId="0" applyAlignment="1">
      <alignment horizontal="right"/>
    </xf>
    <xf numFmtId="4" applyNumberFormat="1" fontId="15" applyFont="1" fillId="0" borderId="0" xfId="0" applyAlignment="1">
      <alignment horizontal="right"/>
    </xf>
    <xf numFmtId="0" fontId="15" applyFont="1" fillId="0" borderId="0" xfId="0" applyAlignment="1"/>
    <xf numFmtId="0" fontId="15" applyFont="1" fillId="0" borderId="0" xfId="0" applyAlignment="1">
      <alignment horizontal="right"/>
    </xf>
    <xf numFmtId="0" fontId="15" applyFont="1" fillId="0" borderId="0" xfId="0" applyAlignment="1"/>
    <xf numFmtId="0" fontId="16" applyFont="1" fillId="6" applyFill="1" borderId="5" applyBorder="1" xfId="0" applyAlignment="1">
      <alignment horizontal="right"/>
    </xf>
    <xf numFmtId="0" fontId="16" applyFont="1" fillId="7" applyFill="1" borderId="5" applyBorder="1" xfId="0" applyAlignment="1">
      <alignment horizontal="right"/>
    </xf>
    <xf numFmtId="0" fontId="16" applyFont="1" fillId="7" applyFill="1" borderId="6" applyBorder="1" xfId="0" applyAlignment="1">
      <alignment horizontal="right"/>
    </xf>
    <xf numFmtId="0" fontId="3" applyFont="1" fillId="0" borderId="0" xfId="0" applyAlignment="1"/>
    <xf numFmtId="0" fontId="3" applyFont="1" fillId="0" borderId="0" xfId="0" applyAlignment="1"/>
    <xf numFmtId="0" fontId="5" applyFont="1" fillId="0" borderId="0" xfId="0" applyAlignment="1">
      <alignment horizontal="right"/>
    </xf>
    <xf numFmtId="0" fontId="15" applyFont="1" fillId="0" borderId="0" xfId="0" applyAlignment="1"/>
    <xf numFmtId="0" fontId="15" applyFont="1" fillId="0" borderId="0" xfId="0" applyAlignment="1">
      <alignment horizontal="right"/>
    </xf>
    <xf numFmtId="3" applyNumberFormat="1" fontId="3" applyFont="1" fillId="0" borderId="0" xfId="0" applyAlignment="1"/>
    <xf numFmtId="0" fontId="3" applyFont="1" fillId="0" borderId="0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11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IFERROR(__xludf.DUMMYFUNCTION("IMPORTRANGE('_Settings'!B3,""Modules!A4:L1000"")"),"#REF!")</f>
        <v>#REF!</v>
      </c>
      <c r="B4" s="4"/>
      <c r="C4" s="4"/>
      <c r="D4" s="4"/>
      <c r="E4" s="4"/>
      <c r="F4" s="4"/>
    </row>
    <row r="5" ht="15.75" customHeight="1">
      <c r="A5" s="8"/>
      <c r="B5" s="4"/>
      <c r="C5" s="4"/>
      <c r="D5" s="4"/>
      <c r="E5" s="4"/>
      <c r="F5" s="4"/>
    </row>
    <row r="6" ht="15.75" customHeight="1">
      <c r="A6" s="4"/>
      <c r="B6" s="4"/>
      <c r="C6" s="4"/>
      <c r="D6" s="4"/>
      <c r="E6" s="4"/>
      <c r="F6" s="4"/>
    </row>
    <row r="7" ht="15.75" customHeight="1">
      <c r="A7" s="4"/>
      <c r="B7" s="4"/>
      <c r="C7" s="4"/>
      <c r="D7" s="4"/>
      <c r="E7" s="4"/>
      <c r="F7" s="4"/>
    </row>
    <row r="8" ht="15.75" customHeight="1">
      <c r="A8" s="4"/>
      <c r="B8" s="4"/>
      <c r="C8" s="4"/>
      <c r="D8" s="4"/>
      <c r="E8" s="4"/>
      <c r="F8" s="4"/>
    </row>
    <row r="9" ht="15.75" customHeight="1">
      <c r="A9" s="4"/>
      <c r="B9" s="4"/>
      <c r="C9" s="4"/>
      <c r="D9" s="4"/>
      <c r="E9" s="4"/>
      <c r="F9" s="4"/>
    </row>
    <row r="10" ht="15.75" customHeight="1">
      <c r="A10" s="4"/>
      <c r="B10" s="4"/>
      <c r="C10" s="4"/>
      <c r="D10" s="4"/>
      <c r="E10" s="4"/>
      <c r="F10" s="4"/>
    </row>
    <row r="11" ht="15.75" customHeight="1">
      <c r="A11" s="4"/>
      <c r="B11" s="4"/>
      <c r="C11" s="4"/>
      <c r="D11" s="4"/>
      <c r="E11" s="4"/>
      <c r="F11" s="4"/>
    </row>
    <row r="12" ht="15.75" customHeight="1">
      <c r="A12" s="4"/>
      <c r="B12" s="4"/>
      <c r="C12" s="4"/>
      <c r="D12" s="4"/>
      <c r="E12" s="4"/>
      <c r="F12" s="4"/>
    </row>
    <row r="13" ht="15.75" customHeight="1">
      <c r="A13" s="4"/>
      <c r="B13" s="4"/>
      <c r="C13" s="4"/>
      <c r="D13" s="4"/>
      <c r="E13" s="4"/>
      <c r="F13" s="4"/>
    </row>
    <row r="14" ht="15.75" customHeight="1">
      <c r="A14" s="4"/>
      <c r="B14" s="4"/>
      <c r="C14" s="4"/>
      <c r="D14" s="4"/>
      <c r="E14" s="4"/>
      <c r="F14" s="4"/>
    </row>
    <row r="15" ht="15.75" customHeight="1">
      <c r="A15" s="4"/>
      <c r="B15" s="4"/>
      <c r="C15" s="4"/>
      <c r="D15" s="4"/>
      <c r="E15" s="4"/>
      <c r="F15" s="4"/>
    </row>
    <row r="16" ht="15.75" customHeight="1">
      <c r="A16" s="4"/>
      <c r="B16" s="4"/>
      <c r="C16" s="4"/>
      <c r="D16" s="4"/>
      <c r="E16" s="4"/>
      <c r="F16" s="4"/>
    </row>
    <row r="17" ht="15.75" customHeight="1">
      <c r="A17" s="4"/>
      <c r="B17" s="4"/>
      <c r="C17" s="4"/>
      <c r="D17" s="4"/>
      <c r="E17" s="4"/>
      <c r="F17" s="4"/>
    </row>
    <row r="18" ht="15.75" customHeight="1">
      <c r="A18" s="4"/>
      <c r="B18" s="4"/>
      <c r="C18" s="4"/>
      <c r="D18" s="4"/>
      <c r="E18" s="4"/>
      <c r="F18" s="4"/>
    </row>
    <row r="19" ht="15.75" customHeight="1">
      <c r="A19" s="4"/>
      <c r="B19" s="4"/>
      <c r="C19" s="4"/>
      <c r="D19" s="4"/>
      <c r="E19" s="4"/>
      <c r="F19" s="4"/>
    </row>
    <row r="20" ht="15.75" customHeight="1">
      <c r="A20" s="4"/>
      <c r="B20" s="4"/>
      <c r="C20" s="4"/>
      <c r="D20" s="4"/>
      <c r="E20" s="4"/>
      <c r="F20" s="4"/>
    </row>
    <row r="21" ht="15.75" customHeight="1">
      <c r="A21" s="4"/>
      <c r="B21" s="4"/>
      <c r="C21" s="4"/>
      <c r="D21" s="4"/>
      <c r="E21" s="4"/>
      <c r="F21" s="4"/>
    </row>
    <row r="22" ht="15.75" customHeight="1">
      <c r="A22" s="4"/>
      <c r="B22" s="4"/>
      <c r="C22" s="4"/>
      <c r="D22" s="4"/>
      <c r="E22" s="4"/>
      <c r="F22" s="4"/>
    </row>
    <row r="23" ht="15.75" customHeight="1">
      <c r="A23" s="4"/>
      <c r="B23" s="4"/>
      <c r="C23" s="4"/>
      <c r="D23" s="4"/>
      <c r="E23" s="4"/>
      <c r="F23" s="4"/>
    </row>
    <row r="24" ht="15.75" customHeight="1">
      <c r="A24" s="4"/>
      <c r="B24" s="4"/>
      <c r="C24" s="4"/>
      <c r="D24" s="4"/>
      <c r="E24" s="4"/>
      <c r="F24" s="4"/>
    </row>
    <row r="25" ht="15.75" customHeight="1">
      <c r="A25" s="4"/>
      <c r="B25" s="4"/>
      <c r="C25" s="4"/>
      <c r="D25" s="4"/>
      <c r="E25" s="4"/>
      <c r="F25" s="4"/>
    </row>
    <row r="26" ht="15.75" customHeight="1">
      <c r="A26" s="4"/>
      <c r="B26" s="4"/>
      <c r="C26" s="4"/>
      <c r="D26" s="4"/>
      <c r="E26" s="4"/>
      <c r="F26" s="4"/>
    </row>
    <row r="27" ht="15.75" customHeight="1">
      <c r="A27" s="4"/>
      <c r="B27" s="4"/>
      <c r="C27" s="4"/>
      <c r="D27" s="4"/>
      <c r="E27" s="4"/>
      <c r="F27" s="4"/>
    </row>
    <row r="28" ht="15.75" customHeight="1">
      <c r="A28" s="4"/>
      <c r="B28" s="4"/>
      <c r="C28" s="4"/>
      <c r="D28" s="4"/>
      <c r="E28" s="4"/>
      <c r="F28" s="4"/>
    </row>
    <row r="29" ht="15.75" customHeight="1">
      <c r="A29" s="4"/>
      <c r="B29" s="4"/>
      <c r="C29" s="4"/>
      <c r="D29" s="4"/>
      <c r="E29" s="4"/>
      <c r="F29" s="4"/>
    </row>
    <row r="30" ht="15.75" customHeight="1">
      <c r="A30" s="4"/>
      <c r="B30" s="4"/>
      <c r="C30" s="4"/>
      <c r="D30" s="4"/>
      <c r="E30" s="4"/>
      <c r="F30" s="4"/>
    </row>
    <row r="31" ht="15.75" customHeight="1">
      <c r="A31" s="4"/>
      <c r="B31" s="4"/>
      <c r="C31" s="4"/>
      <c r="D31" s="4"/>
      <c r="E31" s="4"/>
      <c r="F31" s="4"/>
    </row>
    <row r="32" ht="15.75" customHeight="1">
      <c r="A32" s="4"/>
      <c r="B32" s="4"/>
      <c r="C32" s="4"/>
      <c r="D32" s="4"/>
      <c r="E32" s="4"/>
      <c r="F32" s="4"/>
    </row>
    <row r="33" ht="15.75" customHeight="1">
      <c r="A33" s="4"/>
      <c r="B33" s="4"/>
      <c r="C33" s="4"/>
      <c r="D33" s="4"/>
      <c r="E33" s="4"/>
      <c r="F33" s="4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>
      <c r="A118" s="9"/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16</v>
      </c>
      <c r="C5" s="0" t="s">
        <v>17</v>
      </c>
      <c r="D5" s="0" t="s">
        <v>18</v>
      </c>
      <c r="E5" s="0" t="s">
        <v>19</v>
      </c>
      <c r="F5" s="0" t="s">
        <v>20</v>
      </c>
      <c r="G5" s="0" t="s">
        <v>21</v>
      </c>
      <c r="H5" s="0" t="s">
        <v>22</v>
      </c>
      <c r="I5" s="0" t="s">
        <v>23</v>
      </c>
      <c r="J5" s="0" t="s">
        <v>24</v>
      </c>
      <c r="K5" s="0" t="s">
        <v>25</v>
      </c>
      <c r="L5" s="0" t="s">
        <v>26</v>
      </c>
      <c r="M5" s="0" t="s">
        <v>27</v>
      </c>
      <c r="N5" s="0" t="s">
        <v>28</v>
      </c>
      <c r="O5" s="0" t="s">
        <v>29</v>
      </c>
      <c r="P5" s="0" t="s">
        <v>30</v>
      </c>
      <c r="Q5" s="0" t="s">
        <v>31</v>
      </c>
      <c r="R5" s="0" t="s">
        <v>32</v>
      </c>
      <c r="S5" s="0" t="s">
        <v>33</v>
      </c>
      <c r="T5" s="0" t="s">
        <v>34</v>
      </c>
      <c r="U5" s="0" t="s">
        <v>35</v>
      </c>
      <c r="V5" s="0" t="s">
        <v>36</v>
      </c>
      <c r="W5" s="0" t="s">
        <v>37</v>
      </c>
      <c r="X5" s="0" t="s">
        <v>38</v>
      </c>
      <c r="Y5" s="0" t="s">
        <v>39</v>
      </c>
      <c r="Z5" s="0" t="s">
        <v>40</v>
      </c>
      <c r="AA5" s="0" t="s">
        <v>41</v>
      </c>
      <c r="AB5" s="0" t="s">
        <v>42</v>
      </c>
      <c r="AC5" s="0" t="s">
        <v>43</v>
      </c>
      <c r="AD5" s="0" t="s">
        <v>44</v>
      </c>
      <c r="AE5" s="0" t="s">
        <v>45</v>
      </c>
      <c r="AF5" s="0" t="s">
        <v>46</v>
      </c>
      <c r="AG5" s="0" t="s">
        <v>47</v>
      </c>
      <c r="AH5" s="0" t="s">
        <v>48</v>
      </c>
      <c r="AI5" s="0" t="s">
        <v>49</v>
      </c>
      <c r="AJ5" s="0" t="s">
        <v>50</v>
      </c>
      <c r="AK5" s="0" t="s">
        <v>51</v>
      </c>
      <c r="AL5" s="0" t="s">
        <v>52</v>
      </c>
      <c r="AM5" s="0" t="s">
        <v>53</v>
      </c>
      <c r="AN5" s="0" t="s">
        <v>54</v>
      </c>
      <c r="AO5" s="0" t="s">
        <v>55</v>
      </c>
      <c r="AP5" s="0" t="s">
        <v>56</v>
      </c>
      <c r="AQ5" s="0" t="s">
        <v>57</v>
      </c>
      <c r="AR5" s="0" t="s">
        <v>58</v>
      </c>
      <c r="AS5" s="0" t="s">
        <v>59</v>
      </c>
      <c r="AT5" s="0" t="s">
        <v>60</v>
      </c>
      <c r="AU5" s="0" t="s">
        <v>61</v>
      </c>
      <c r="AV5" s="0" t="s">
        <v>62</v>
      </c>
      <c r="AW5" s="0" t="s">
        <v>63</v>
      </c>
      <c r="AX5" s="0" t="s">
        <v>64</v>
      </c>
      <c r="AY5" s="0" t="s">
        <v>65</v>
      </c>
      <c r="AZ5" s="0" t="s">
        <v>66</v>
      </c>
      <c r="BA5" s="0" t="s">
        <v>67</v>
      </c>
      <c r="BB5" s="0" t="s">
        <v>68</v>
      </c>
      <c r="BC5" s="0" t="s">
        <v>69</v>
      </c>
      <c r="BD5" s="0" t="s">
        <v>70</v>
      </c>
      <c r="BE5" s="0" t="s">
        <v>71</v>
      </c>
      <c r="BF5" s="0" t="s">
        <v>72</v>
      </c>
      <c r="BG5" s="0" t="s">
        <v>73</v>
      </c>
      <c r="BH5" s="0" t="s">
        <v>74</v>
      </c>
      <c r="BI5" s="0" t="s">
        <v>75</v>
      </c>
      <c r="BJ5" s="0" t="s">
        <v>76</v>
      </c>
      <c r="BK5" s="0" t="s">
        <v>77</v>
      </c>
      <c r="BL5" s="0" t="s">
        <v>78</v>
      </c>
    </row>
    <row r="6" ht="15.75" customHeight="1">
      <c r="A6" s="13"/>
      <c r="B6" s="13" t="s">
        <v>79</v>
      </c>
      <c r="C6" s="13" t="s">
        <v>80</v>
      </c>
      <c r="D6" s="13">
        <v>1</v>
      </c>
      <c r="E6" s="27"/>
      <c r="F6" s="13" t="s">
        <v>81</v>
      </c>
      <c r="G6" s="8"/>
      <c r="H6" s="8"/>
      <c r="I6" s="8"/>
      <c r="J6" s="13">
        <v>5</v>
      </c>
      <c r="K6" s="8"/>
      <c r="L6" s="8"/>
      <c r="M6" s="8"/>
      <c r="N6" s="28">
        <f ref="N6:N8" t="shared" si="1">TODAY()</f>
        <v>45855</v>
      </c>
      <c r="O6" s="8"/>
    </row>
    <row r="7" ht="15.75" customHeight="1">
      <c r="A7" s="8"/>
      <c r="B7" s="13" t="s">
        <v>79</v>
      </c>
      <c r="C7" s="13" t="s">
        <v>80</v>
      </c>
      <c r="D7" s="13">
        <v>2</v>
      </c>
      <c r="E7" s="8"/>
      <c r="F7" s="13" t="s">
        <v>81</v>
      </c>
      <c r="G7" s="8"/>
      <c r="H7" s="8"/>
      <c r="I7" s="8"/>
      <c r="J7" s="13">
        <v>5</v>
      </c>
      <c r="K7" s="8"/>
      <c r="L7" s="8"/>
      <c r="M7" s="8"/>
      <c r="N7" s="28">
        <f t="shared" si="1"/>
        <v>45855</v>
      </c>
      <c r="O7" s="8"/>
    </row>
    <row r="8" ht="15.75" customHeight="1">
      <c r="A8" s="8"/>
      <c r="B8" s="13" t="s">
        <v>79</v>
      </c>
      <c r="C8" s="13" t="s">
        <v>82</v>
      </c>
      <c r="D8" s="13">
        <v>100</v>
      </c>
      <c r="E8" s="8"/>
      <c r="F8" s="13" t="s">
        <v>81</v>
      </c>
      <c r="G8" s="8"/>
      <c r="H8" s="8"/>
      <c r="I8" s="8"/>
      <c r="J8" s="13">
        <v>5</v>
      </c>
      <c r="K8" s="8"/>
      <c r="L8" s="8"/>
      <c r="M8" s="8"/>
      <c r="N8" s="28">
        <f t="shared" si="1"/>
        <v>45855</v>
      </c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55A8805-531B-4142-84A8-C15253AA6A5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7E9F06CE-0117-41F7-946F-25FAA408F13B}">
          <x14:formula1>
            <xm:f>CreateDoneAwayOrder!$4:$4</xm:f>
          </x14:formula1>
          <xm:sqref>E3</xm:sqref>
        </x14:dataValidation>
        <x14:dataValidation type="list" allowBlank="1" showInputMessage="1" showErrorMessage="1" prompt="Choose an available module" xr:uid="{2B9AC15C-6FA2-42B0-A2AC-C84A3F33878E}">
          <x14:formula1>
            <xm:f>'_Modules'!$A$4:$A$1000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83</v>
      </c>
      <c r="D3" s="5" t="s">
        <v>9</v>
      </c>
      <c r="E3" s="23" t="s">
        <v>84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16</v>
      </c>
      <c r="C5" s="0" t="s">
        <v>85</v>
      </c>
    </row>
    <row r="6" ht="15.75" customHeight="1">
      <c r="A6" s="13"/>
      <c r="B6" s="13" t="s">
        <v>79</v>
      </c>
      <c r="C6" s="13" t="s">
        <v>80</v>
      </c>
      <c r="D6" s="13"/>
      <c r="E6" s="2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8083E07-9B83-4C73-A79F-86A2D6BB9C7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865F6057-429C-4059-A34D-C5A56ED90FEE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0AE3B310-88B9-423F-9B54-4154CDF88A17}">
          <x14:formula1>
            <xm:f>GroupTrades!$4:$4</xm:f>
          </x14:formula1>
          <xm:sqref>E3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83</v>
      </c>
      <c r="D3" s="5" t="s">
        <v>9</v>
      </c>
      <c r="E3" s="23" t="s">
        <v>86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16</v>
      </c>
      <c r="C5" s="0" t="s">
        <v>85</v>
      </c>
      <c r="D5" s="0" t="s">
        <v>18</v>
      </c>
      <c r="E5" s="0" t="s">
        <v>87</v>
      </c>
      <c r="F5" s="0" t="s">
        <v>28</v>
      </c>
      <c r="G5" s="0" t="s">
        <v>88</v>
      </c>
      <c r="H5" s="0" t="s">
        <v>89</v>
      </c>
      <c r="I5" s="0" t="s">
        <v>90</v>
      </c>
      <c r="J5" s="0" t="s">
        <v>91</v>
      </c>
      <c r="K5" s="0" t="s">
        <v>92</v>
      </c>
      <c r="L5" s="0" t="s">
        <v>93</v>
      </c>
      <c r="M5" s="0" t="s">
        <v>94</v>
      </c>
      <c r="N5" s="0" t="s">
        <v>95</v>
      </c>
      <c r="O5" s="0" t="s">
        <v>96</v>
      </c>
      <c r="P5" s="0" t="s">
        <v>21</v>
      </c>
      <c r="Q5" s="0" t="s">
        <v>97</v>
      </c>
      <c r="R5" s="0" t="s">
        <v>42</v>
      </c>
      <c r="S5" s="0" t="s">
        <v>98</v>
      </c>
      <c r="T5" s="0" t="s">
        <v>99</v>
      </c>
      <c r="U5" s="0" t="s">
        <v>100</v>
      </c>
      <c r="V5" s="0" t="s">
        <v>101</v>
      </c>
      <c r="W5" s="0" t="s">
        <v>102</v>
      </c>
      <c r="X5" s="0" t="s">
        <v>103</v>
      </c>
      <c r="Y5" s="0" t="s">
        <v>104</v>
      </c>
      <c r="Z5" s="0" t="s">
        <v>105</v>
      </c>
      <c r="AA5" s="0" t="s">
        <v>106</v>
      </c>
      <c r="AB5" s="0" t="s">
        <v>107</v>
      </c>
      <c r="AC5" s="0" t="s">
        <v>108</v>
      </c>
      <c r="AD5" s="0" t="s">
        <v>109</v>
      </c>
      <c r="AE5" s="0" t="s">
        <v>110</v>
      </c>
      <c r="AF5" s="0" t="s">
        <v>111</v>
      </c>
      <c r="AG5" s="0" t="s">
        <v>112</v>
      </c>
      <c r="AH5" s="0" t="s">
        <v>113</v>
      </c>
      <c r="AI5" s="0" t="s">
        <v>114</v>
      </c>
      <c r="AJ5" s="0" t="s">
        <v>115</v>
      </c>
      <c r="AK5" s="0" t="s">
        <v>116</v>
      </c>
      <c r="AL5" s="0" t="s">
        <v>117</v>
      </c>
      <c r="AM5" s="0" t="s">
        <v>118</v>
      </c>
      <c r="AN5" s="0" t="s">
        <v>119</v>
      </c>
      <c r="AO5" s="0" t="s">
        <v>120</v>
      </c>
      <c r="AP5" s="0" t="s">
        <v>121</v>
      </c>
      <c r="AQ5" s="0" t="s">
        <v>122</v>
      </c>
      <c r="AR5" s="0" t="s">
        <v>123</v>
      </c>
      <c r="AS5" s="0" t="s">
        <v>124</v>
      </c>
      <c r="AT5" s="0" t="s">
        <v>125</v>
      </c>
      <c r="AU5" s="0" t="s">
        <v>126</v>
      </c>
      <c r="AV5" s="0" t="s">
        <v>127</v>
      </c>
      <c r="AW5" s="0" t="s">
        <v>128</v>
      </c>
      <c r="AX5" s="0" t="s">
        <v>129</v>
      </c>
      <c r="AY5" s="0" t="s">
        <v>130</v>
      </c>
      <c r="AZ5" s="0" t="s">
        <v>131</v>
      </c>
      <c r="BA5" s="0" t="s">
        <v>132</v>
      </c>
      <c r="BB5" s="0" t="s">
        <v>133</v>
      </c>
      <c r="BC5" s="0" t="s">
        <v>134</v>
      </c>
      <c r="BD5" s="0" t="s">
        <v>135</v>
      </c>
      <c r="BE5" s="0" t="s">
        <v>136</v>
      </c>
      <c r="BF5" s="0" t="s">
        <v>137</v>
      </c>
      <c r="BG5" s="0" t="s">
        <v>138</v>
      </c>
      <c r="BH5" s="0" t="s">
        <v>139</v>
      </c>
      <c r="BI5" s="0" t="s">
        <v>140</v>
      </c>
      <c r="BJ5" s="0" t="s">
        <v>141</v>
      </c>
      <c r="BK5" s="0" t="s">
        <v>23</v>
      </c>
      <c r="BL5" s="0" t="s">
        <v>142</v>
      </c>
      <c r="BM5" s="0" t="s">
        <v>143</v>
      </c>
      <c r="BN5" s="0" t="s">
        <v>144</v>
      </c>
      <c r="BO5" s="0" t="s">
        <v>145</v>
      </c>
      <c r="BP5" s="0" t="s">
        <v>146</v>
      </c>
      <c r="BQ5" s="0" t="s">
        <v>147</v>
      </c>
      <c r="BR5" s="0" t="s">
        <v>148</v>
      </c>
      <c r="BS5" s="0" t="s">
        <v>149</v>
      </c>
      <c r="BT5" s="0" t="s">
        <v>150</v>
      </c>
      <c r="BU5" s="0" t="s">
        <v>151</v>
      </c>
      <c r="BV5" s="0" t="s">
        <v>152</v>
      </c>
      <c r="BW5" s="0" t="s">
        <v>153</v>
      </c>
      <c r="BX5" s="0" t="s">
        <v>154</v>
      </c>
      <c r="BY5" s="0" t="s">
        <v>155</v>
      </c>
      <c r="BZ5" s="0" t="s">
        <v>156</v>
      </c>
      <c r="CA5" s="0" t="s">
        <v>157</v>
      </c>
      <c r="CB5" s="0" t="s">
        <v>158</v>
      </c>
      <c r="CC5" s="0" t="s">
        <v>159</v>
      </c>
      <c r="CD5" s="0" t="s">
        <v>160</v>
      </c>
      <c r="CE5" s="0" t="s">
        <v>161</v>
      </c>
      <c r="CF5" s="0" t="s">
        <v>162</v>
      </c>
      <c r="CG5" s="0" t="s">
        <v>163</v>
      </c>
      <c r="CH5" s="0" t="s">
        <v>164</v>
      </c>
      <c r="CI5" s="0" t="s">
        <v>165</v>
      </c>
      <c r="CJ5" s="0" t="s">
        <v>166</v>
      </c>
      <c r="CK5" s="0" t="s">
        <v>167</v>
      </c>
      <c r="CL5" s="0" t="s">
        <v>168</v>
      </c>
      <c r="CM5" s="0" t="s">
        <v>169</v>
      </c>
      <c r="CN5" s="0" t="s">
        <v>170</v>
      </c>
      <c r="CO5" s="0" t="s">
        <v>171</v>
      </c>
      <c r="CP5" s="0" t="s">
        <v>172</v>
      </c>
      <c r="CQ5" s="0" t="s">
        <v>173</v>
      </c>
      <c r="CR5" s="0" t="s">
        <v>174</v>
      </c>
    </row>
    <row r="6" ht="15.75" customHeight="1">
      <c r="A6" s="13"/>
      <c r="B6" s="13" t="s">
        <v>79</v>
      </c>
      <c r="C6" s="13" t="s">
        <v>80</v>
      </c>
      <c r="D6" s="13">
        <v>3</v>
      </c>
      <c r="E6" s="27"/>
      <c r="F6" s="8"/>
      <c r="G6" s="29">
        <v>1500</v>
      </c>
      <c r="H6" s="29">
        <v>1500</v>
      </c>
      <c r="I6" s="29">
        <v>1500</v>
      </c>
      <c r="J6" s="30" t="s">
        <v>175</v>
      </c>
      <c r="K6" s="29">
        <v>1500</v>
      </c>
      <c r="L6" s="8"/>
      <c r="M6" s="30" t="s">
        <v>176</v>
      </c>
      <c r="N6" s="13">
        <v>5</v>
      </c>
      <c r="O6" s="13">
        <v>5</v>
      </c>
      <c r="P6" s="9" t="s">
        <v>177</v>
      </c>
      <c r="Q6" s="9">
        <v>1</v>
      </c>
      <c r="R6" s="30" t="s">
        <v>178</v>
      </c>
      <c r="S6" s="9" t="s">
        <v>179</v>
      </c>
      <c r="T6" s="30" t="s">
        <v>180</v>
      </c>
      <c r="U6" s="30" t="s">
        <v>181</v>
      </c>
      <c r="AL6" s="30" t="s">
        <v>182</v>
      </c>
      <c r="AN6" s="31">
        <v>3</v>
      </c>
      <c r="BK6" s="9" t="s">
        <v>183</v>
      </c>
      <c r="BL6" s="30" t="s">
        <v>184</v>
      </c>
      <c r="BM6" s="30" t="s">
        <v>185</v>
      </c>
      <c r="BN6" s="30" t="s">
        <v>186</v>
      </c>
      <c r="BY6" s="30" t="s">
        <v>187</v>
      </c>
      <c r="BZ6" s="30" t="s">
        <v>188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FE5C1025-FF85-4F67-A194-44CB910D464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8D3C4A01-5D2C-4CEE-8717-5983C56B48FD}">
          <x14:formula1>
            <xm:f>SelectUnallocatedGroup!$4:$4</xm:f>
          </x14:formula1>
          <xm:sqref>E3</xm:sqref>
        </x14:dataValidation>
        <x14:dataValidation type="list" allowBlank="1" showInputMessage="1" showErrorMessage="1" prompt="Choose an available module" xr:uid="{FE4A5612-9FBC-4FA7-9D75-1DBE11C84732}">
          <x14:formula1>
            <xm:f>'_Modules'!$A$4:$A$1000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83</v>
      </c>
      <c r="D3" s="5" t="s">
        <v>9</v>
      </c>
      <c r="E3" s="23" t="s">
        <v>189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190</v>
      </c>
      <c r="C5" s="0" t="s">
        <v>191</v>
      </c>
      <c r="D5" s="0" t="s">
        <v>85</v>
      </c>
      <c r="E5" s="0" t="s">
        <v>192</v>
      </c>
      <c r="F5" s="0" t="s">
        <v>193</v>
      </c>
      <c r="G5" s="0" t="s">
        <v>194</v>
      </c>
      <c r="H5" s="0" t="s">
        <v>195</v>
      </c>
      <c r="I5" s="0" t="s">
        <v>121</v>
      </c>
      <c r="J5" s="0" t="s">
        <v>196</v>
      </c>
      <c r="K5" s="0" t="s">
        <v>197</v>
      </c>
      <c r="L5" s="0" t="s">
        <v>198</v>
      </c>
      <c r="M5" s="0" t="s">
        <v>199</v>
      </c>
      <c r="N5" s="0" t="s">
        <v>200</v>
      </c>
      <c r="O5" s="0" t="s">
        <v>201</v>
      </c>
      <c r="P5" s="0" t="s">
        <v>202</v>
      </c>
      <c r="Q5" s="0" t="s">
        <v>203</v>
      </c>
      <c r="R5" s="0" t="s">
        <v>204</v>
      </c>
      <c r="S5" s="0" t="s">
        <v>205</v>
      </c>
      <c r="T5" s="0" t="s">
        <v>206</v>
      </c>
      <c r="U5" s="0" t="s">
        <v>21</v>
      </c>
      <c r="V5" s="0" t="s">
        <v>42</v>
      </c>
      <c r="W5" s="0" t="s">
        <v>155</v>
      </c>
      <c r="X5" s="0" t="s">
        <v>207</v>
      </c>
      <c r="Y5" s="0" t="s">
        <v>208</v>
      </c>
      <c r="Z5" s="0" t="s">
        <v>209</v>
      </c>
      <c r="AA5" s="0" t="s">
        <v>210</v>
      </c>
      <c r="AB5" s="0" t="s">
        <v>36</v>
      </c>
      <c r="AC5" s="0" t="s">
        <v>37</v>
      </c>
      <c r="AD5" s="0" t="s">
        <v>38</v>
      </c>
      <c r="AE5" s="0" t="s">
        <v>39</v>
      </c>
      <c r="AF5" s="0" t="s">
        <v>40</v>
      </c>
      <c r="AG5" s="0" t="s">
        <v>41</v>
      </c>
    </row>
    <row r="6" ht="15.75" customHeight="1">
      <c r="A6" s="13"/>
      <c r="B6" s="13"/>
      <c r="C6" s="8"/>
      <c r="D6" s="13" t="s">
        <v>82</v>
      </c>
      <c r="E6" s="2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8E3D6F9-8ABC-4C9C-BB6B-91EAFC3BB9D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CE7F902B-177D-42F9-9F81-499211652B01}">
          <x14:formula1>
            <xm:f>EditUnallocatedGroupSidePanel!$4:$4</xm:f>
          </x14:formula1>
          <xm:sqref>E3</xm:sqref>
        </x14:dataValidation>
        <x14:dataValidation type="list" allowBlank="1" showInputMessage="1" showErrorMessage="1" prompt="Choose an available module" xr:uid="{A77AAEE9-2D22-4C4A-9B58-46B68F77C1CE}">
          <x14:formula1>
            <xm:f>'_Modules'!$A$4:$A$1000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83</v>
      </c>
      <c r="D3" s="5" t="s">
        <v>9</v>
      </c>
      <c r="E3" s="23" t="s">
        <v>84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16</v>
      </c>
      <c r="C5" s="0" t="s">
        <v>85</v>
      </c>
    </row>
    <row r="6" ht="15.75" customHeight="1">
      <c r="A6" s="13"/>
      <c r="B6" s="13" t="s">
        <v>79</v>
      </c>
      <c r="C6" s="13" t="s">
        <v>82</v>
      </c>
      <c r="D6" s="13"/>
      <c r="E6" s="2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EEA41CF-A097-44B9-9344-86BB326A145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7B6E8E3F-5B03-4EE3-B230-216AA502183E}">
          <x14:formula1>
            <xm:f>GroupTrades1!$4:$4</xm:f>
          </x14:formula1>
          <xm:sqref>E3</xm:sqref>
        </x14:dataValidation>
        <x14:dataValidation type="list" allowBlank="1" showInputMessage="1" showErrorMessage="1" prompt="Choose an available module" xr:uid="{21D78E45-08DE-4BC1-BC31-E46928C756E0}">
          <x14:formula1>
            <xm:f>'_Modules'!$A$4:$A$1000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83</v>
      </c>
      <c r="D3" s="5" t="s">
        <v>9</v>
      </c>
      <c r="E3" s="23" t="s">
        <v>86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16</v>
      </c>
      <c r="C5" s="0" t="s">
        <v>85</v>
      </c>
      <c r="D5" s="0" t="s">
        <v>18</v>
      </c>
      <c r="E5" s="0" t="s">
        <v>87</v>
      </c>
      <c r="F5" s="0" t="s">
        <v>28</v>
      </c>
      <c r="G5" s="0" t="s">
        <v>88</v>
      </c>
      <c r="H5" s="0" t="s">
        <v>89</v>
      </c>
      <c r="I5" s="0" t="s">
        <v>90</v>
      </c>
      <c r="J5" s="0" t="s">
        <v>91</v>
      </c>
      <c r="K5" s="0" t="s">
        <v>92</v>
      </c>
      <c r="L5" s="0" t="s">
        <v>93</v>
      </c>
      <c r="M5" s="0" t="s">
        <v>94</v>
      </c>
      <c r="N5" s="0" t="s">
        <v>95</v>
      </c>
      <c r="O5" s="0" t="s">
        <v>96</v>
      </c>
      <c r="P5" s="0" t="s">
        <v>21</v>
      </c>
      <c r="Q5" s="0" t="s">
        <v>97</v>
      </c>
      <c r="R5" s="0" t="s">
        <v>42</v>
      </c>
      <c r="S5" s="0" t="s">
        <v>98</v>
      </c>
      <c r="T5" s="0" t="s">
        <v>99</v>
      </c>
      <c r="U5" s="0" t="s">
        <v>100</v>
      </c>
      <c r="V5" s="0" t="s">
        <v>101</v>
      </c>
      <c r="W5" s="0" t="s">
        <v>102</v>
      </c>
      <c r="X5" s="0" t="s">
        <v>103</v>
      </c>
      <c r="Y5" s="0" t="s">
        <v>104</v>
      </c>
      <c r="Z5" s="0" t="s">
        <v>105</v>
      </c>
      <c r="AA5" s="0" t="s">
        <v>106</v>
      </c>
      <c r="AB5" s="0" t="s">
        <v>107</v>
      </c>
      <c r="AC5" s="0" t="s">
        <v>108</v>
      </c>
      <c r="AD5" s="0" t="s">
        <v>109</v>
      </c>
      <c r="AE5" s="0" t="s">
        <v>110</v>
      </c>
      <c r="AF5" s="0" t="s">
        <v>111</v>
      </c>
      <c r="AG5" s="0" t="s">
        <v>112</v>
      </c>
      <c r="AH5" s="0" t="s">
        <v>113</v>
      </c>
      <c r="AI5" s="0" t="s">
        <v>114</v>
      </c>
      <c r="AJ5" s="0" t="s">
        <v>115</v>
      </c>
      <c r="AK5" s="0" t="s">
        <v>116</v>
      </c>
      <c r="AL5" s="0" t="s">
        <v>117</v>
      </c>
      <c r="AM5" s="0" t="s">
        <v>118</v>
      </c>
      <c r="AN5" s="0" t="s">
        <v>119</v>
      </c>
      <c r="AO5" s="0" t="s">
        <v>120</v>
      </c>
      <c r="AP5" s="0" t="s">
        <v>121</v>
      </c>
      <c r="AQ5" s="0" t="s">
        <v>122</v>
      </c>
      <c r="AR5" s="0" t="s">
        <v>123</v>
      </c>
      <c r="AS5" s="0" t="s">
        <v>124</v>
      </c>
      <c r="AT5" s="0" t="s">
        <v>125</v>
      </c>
      <c r="AU5" s="0" t="s">
        <v>126</v>
      </c>
      <c r="AV5" s="0" t="s">
        <v>127</v>
      </c>
      <c r="AW5" s="0" t="s">
        <v>128</v>
      </c>
      <c r="AX5" s="0" t="s">
        <v>129</v>
      </c>
      <c r="AY5" s="0" t="s">
        <v>130</v>
      </c>
      <c r="AZ5" s="0" t="s">
        <v>131</v>
      </c>
      <c r="BA5" s="0" t="s">
        <v>132</v>
      </c>
      <c r="BB5" s="0" t="s">
        <v>133</v>
      </c>
      <c r="BC5" s="0" t="s">
        <v>134</v>
      </c>
      <c r="BD5" s="0" t="s">
        <v>135</v>
      </c>
      <c r="BE5" s="0" t="s">
        <v>136</v>
      </c>
      <c r="BF5" s="0" t="s">
        <v>137</v>
      </c>
      <c r="BG5" s="0" t="s">
        <v>138</v>
      </c>
      <c r="BH5" s="0" t="s">
        <v>139</v>
      </c>
      <c r="BI5" s="0" t="s">
        <v>140</v>
      </c>
      <c r="BJ5" s="0" t="s">
        <v>141</v>
      </c>
      <c r="BK5" s="0" t="s">
        <v>23</v>
      </c>
      <c r="BL5" s="0" t="s">
        <v>142</v>
      </c>
      <c r="BM5" s="0" t="s">
        <v>143</v>
      </c>
      <c r="BN5" s="0" t="s">
        <v>144</v>
      </c>
      <c r="BO5" s="0" t="s">
        <v>145</v>
      </c>
      <c r="BP5" s="0" t="s">
        <v>146</v>
      </c>
      <c r="BQ5" s="0" t="s">
        <v>147</v>
      </c>
      <c r="BR5" s="0" t="s">
        <v>148</v>
      </c>
      <c r="BS5" s="0" t="s">
        <v>149</v>
      </c>
      <c r="BT5" s="0" t="s">
        <v>150</v>
      </c>
      <c r="BU5" s="0" t="s">
        <v>151</v>
      </c>
      <c r="BV5" s="0" t="s">
        <v>152</v>
      </c>
      <c r="BW5" s="0" t="s">
        <v>153</v>
      </c>
      <c r="BX5" s="0" t="s">
        <v>154</v>
      </c>
      <c r="BY5" s="0" t="s">
        <v>155</v>
      </c>
      <c r="BZ5" s="0" t="s">
        <v>156</v>
      </c>
      <c r="CA5" s="0" t="s">
        <v>157</v>
      </c>
      <c r="CB5" s="0" t="s">
        <v>158</v>
      </c>
      <c r="CC5" s="0" t="s">
        <v>159</v>
      </c>
      <c r="CD5" s="0" t="s">
        <v>160</v>
      </c>
      <c r="CE5" s="0" t="s">
        <v>161</v>
      </c>
      <c r="CF5" s="0" t="s">
        <v>162</v>
      </c>
      <c r="CG5" s="0" t="s">
        <v>163</v>
      </c>
      <c r="CH5" s="0" t="s">
        <v>164</v>
      </c>
      <c r="CI5" s="0" t="s">
        <v>165</v>
      </c>
      <c r="CJ5" s="0" t="s">
        <v>166</v>
      </c>
      <c r="CK5" s="0" t="s">
        <v>167</v>
      </c>
      <c r="CL5" s="0" t="s">
        <v>168</v>
      </c>
      <c r="CM5" s="0" t="s">
        <v>169</v>
      </c>
      <c r="CN5" s="0" t="s">
        <v>170</v>
      </c>
      <c r="CO5" s="0" t="s">
        <v>171</v>
      </c>
      <c r="CP5" s="0" t="s">
        <v>172</v>
      </c>
      <c r="CQ5" s="0" t="s">
        <v>173</v>
      </c>
      <c r="CR5" s="0" t="s">
        <v>174</v>
      </c>
    </row>
    <row r="6" ht="15.75" customHeight="1">
      <c r="A6" s="13"/>
      <c r="B6" s="13" t="s">
        <v>79</v>
      </c>
      <c r="C6" s="13" t="s">
        <v>82</v>
      </c>
      <c r="D6" s="13">
        <v>103</v>
      </c>
      <c r="E6" s="27"/>
      <c r="F6" s="8"/>
      <c r="G6" s="29">
        <v>51500</v>
      </c>
      <c r="H6" s="29">
        <v>51500</v>
      </c>
      <c r="I6" s="29">
        <v>51500</v>
      </c>
      <c r="J6" s="30" t="s">
        <v>211</v>
      </c>
      <c r="K6" s="29">
        <v>51500</v>
      </c>
      <c r="L6" s="8"/>
      <c r="M6" s="30" t="s">
        <v>176</v>
      </c>
      <c r="N6" s="13">
        <v>5</v>
      </c>
      <c r="O6" s="13">
        <v>5</v>
      </c>
      <c r="P6" s="9" t="s">
        <v>177</v>
      </c>
      <c r="Q6" s="9">
        <v>1</v>
      </c>
      <c r="R6" s="30" t="s">
        <v>178</v>
      </c>
      <c r="S6" s="9" t="s">
        <v>179</v>
      </c>
      <c r="T6" s="30" t="s">
        <v>180</v>
      </c>
      <c r="U6" s="30" t="s">
        <v>181</v>
      </c>
      <c r="AL6" s="30" t="s">
        <v>182</v>
      </c>
      <c r="AN6" s="31">
        <v>103</v>
      </c>
      <c r="BK6" s="9" t="s">
        <v>183</v>
      </c>
      <c r="BL6" s="30" t="s">
        <v>184</v>
      </c>
      <c r="BM6" s="30" t="s">
        <v>185</v>
      </c>
      <c r="BN6" s="30" t="s">
        <v>186</v>
      </c>
      <c r="BY6" s="30" t="s">
        <v>187</v>
      </c>
      <c r="BZ6" s="30" t="s">
        <v>188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F8686B8E-7C71-4821-9306-60416D2CB75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9330366B-BF06-4DFF-BAF3-909EDE242D0B}">
          <x14:formula1>
            <xm:f>SelectUnallocatedGroup1!$4:$4</xm:f>
          </x14:formula1>
          <xm:sqref>E3</xm:sqref>
        </x14:dataValidation>
        <x14:dataValidation type="list" allowBlank="1" showInputMessage="1" showErrorMessage="1" prompt="Choose an available module" xr:uid="{EF46A36E-A523-4C50-85C5-2AD314EF4898}">
          <x14:formula1>
            <xm:f>'_Modules'!$A$4:$A$1000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83</v>
      </c>
      <c r="D3" s="5" t="s">
        <v>9</v>
      </c>
      <c r="E3" s="23" t="s">
        <v>212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213</v>
      </c>
      <c r="C5" s="0" t="s">
        <v>214</v>
      </c>
      <c r="D5" s="0" t="s">
        <v>215</v>
      </c>
    </row>
    <row r="6" ht="15.75" customHeight="1">
      <c r="A6" s="13"/>
      <c r="B6" s="13" t="s">
        <v>216</v>
      </c>
      <c r="C6" s="13">
        <v>100</v>
      </c>
      <c r="D6" s="13"/>
      <c r="E6" s="2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86E64A1-01DB-41A6-AC39-BCB11AEF65C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4453C6CD-3B91-41C9-8739-31D81AD24096}">
          <x14:formula1>
            <xm:f>EnterAccountValuesToAllocate!$4:$4</xm:f>
          </x14:formula1>
          <xm:sqref>E3</xm:sqref>
        </x14:dataValidation>
        <x14:dataValidation type="list" allowBlank="1" showInputMessage="1" showErrorMessage="1" prompt="Choose an available module" xr:uid="{EAC10F9D-0454-4EF5-ABB9-89BC53DCB93C}">
          <x14:formula1>
            <xm:f>'_Modules'!$A$4:$A$1000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217</v>
      </c>
      <c r="D3" s="5" t="s">
        <v>9</v>
      </c>
      <c r="E3" s="23" t="s">
        <v>218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219</v>
      </c>
      <c r="C5" s="0" t="s">
        <v>220</v>
      </c>
      <c r="D5" s="0" t="s">
        <v>221</v>
      </c>
      <c r="E5" s="0" t="s">
        <v>222</v>
      </c>
    </row>
    <row r="6" ht="15.75" customHeight="1">
      <c r="A6" s="13"/>
      <c r="B6" s="13"/>
      <c r="C6" s="13" t="s">
        <v>216</v>
      </c>
      <c r="D6" s="28">
        <f>TODAY()</f>
        <v>45855</v>
      </c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CF71997-F9AA-4BF0-AB2F-33D4CDB9C3A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F120888E-9B7F-4E49-BC29-C9A41B3A9609}">
          <x14:formula1>
            <xm:f>GetAccountBalance!$4:$4</xm:f>
          </x14:formula1>
          <xm:sqref>E3</xm:sqref>
        </x14:dataValidation>
        <x14:dataValidation type="list" allowBlank="1" showInputMessage="1" showErrorMessage="1" prompt="Choose an available module" xr:uid="{FFF85B5C-7A75-4E2F-88F3-9A1BC975C347}">
          <x14:formula1>
            <xm:f>'_Modules'!$A$4:$A$1000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83</v>
      </c>
      <c r="D3" s="5" t="s">
        <v>9</v>
      </c>
      <c r="E3" s="23" t="s">
        <v>223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213</v>
      </c>
      <c r="C5" s="0" t="s">
        <v>158</v>
      </c>
      <c r="D5" s="0" t="s">
        <v>157</v>
      </c>
      <c r="E5" s="0" t="s">
        <v>120</v>
      </c>
      <c r="F5" s="0" t="s">
        <v>140</v>
      </c>
      <c r="G5" s="0" t="s">
        <v>100</v>
      </c>
      <c r="H5" s="0" t="s">
        <v>128</v>
      </c>
      <c r="I5" s="0" t="s">
        <v>130</v>
      </c>
      <c r="J5" s="0" t="s">
        <v>145</v>
      </c>
      <c r="K5" s="0" t="s">
        <v>96</v>
      </c>
      <c r="L5" s="0" t="s">
        <v>95</v>
      </c>
      <c r="M5" s="0" t="s">
        <v>162</v>
      </c>
      <c r="N5" s="0" t="s">
        <v>159</v>
      </c>
      <c r="O5" s="0" t="s">
        <v>21</v>
      </c>
      <c r="P5" s="0" t="s">
        <v>141</v>
      </c>
      <c r="Q5" s="0" t="s">
        <v>105</v>
      </c>
      <c r="R5" s="0" t="s">
        <v>124</v>
      </c>
      <c r="S5" s="0" t="s">
        <v>137</v>
      </c>
      <c r="T5" s="0" t="s">
        <v>121</v>
      </c>
      <c r="U5" s="0" t="s">
        <v>102</v>
      </c>
      <c r="V5" s="0" t="s">
        <v>148</v>
      </c>
      <c r="W5" s="0" t="s">
        <v>147</v>
      </c>
      <c r="X5" s="0" t="s">
        <v>160</v>
      </c>
      <c r="Y5" s="0" t="s">
        <v>146</v>
      </c>
      <c r="Z5" s="0" t="s">
        <v>144</v>
      </c>
      <c r="AA5" s="0" t="s">
        <v>164</v>
      </c>
      <c r="AB5" s="0" t="s">
        <v>161</v>
      </c>
      <c r="AC5" s="0" t="s">
        <v>155</v>
      </c>
      <c r="AD5" s="0" t="s">
        <v>143</v>
      </c>
      <c r="AE5" s="0" t="s">
        <v>87</v>
      </c>
      <c r="AF5" s="0" t="s">
        <v>224</v>
      </c>
      <c r="AG5" s="0" t="s">
        <v>154</v>
      </c>
      <c r="AH5" s="0" t="s">
        <v>98</v>
      </c>
      <c r="AI5" s="0" t="s">
        <v>97</v>
      </c>
      <c r="AJ5" s="0" t="s">
        <v>139</v>
      </c>
      <c r="AK5" s="0" t="s">
        <v>167</v>
      </c>
      <c r="AL5" s="0" t="s">
        <v>172</v>
      </c>
      <c r="AM5" s="0" t="s">
        <v>169</v>
      </c>
      <c r="AN5" s="0" t="s">
        <v>114</v>
      </c>
      <c r="AO5" s="0" t="s">
        <v>165</v>
      </c>
      <c r="AP5" s="0" t="s">
        <v>113</v>
      </c>
      <c r="AQ5" s="0" t="s">
        <v>115</v>
      </c>
      <c r="AR5" s="0" t="s">
        <v>112</v>
      </c>
      <c r="AS5" s="0" t="s">
        <v>116</v>
      </c>
      <c r="AT5" s="0" t="s">
        <v>89</v>
      </c>
      <c r="AU5" s="0" t="s">
        <v>88</v>
      </c>
      <c r="AV5" s="0" t="s">
        <v>149</v>
      </c>
      <c r="AW5" s="0" t="s">
        <v>132</v>
      </c>
      <c r="AX5" s="0" t="s">
        <v>134</v>
      </c>
      <c r="AY5" s="0" t="s">
        <v>23</v>
      </c>
      <c r="AZ5" s="0" t="s">
        <v>133</v>
      </c>
      <c r="BA5" s="0" t="s">
        <v>151</v>
      </c>
      <c r="BB5" s="0" t="s">
        <v>166</v>
      </c>
      <c r="BC5" s="0" t="s">
        <v>123</v>
      </c>
      <c r="BD5" s="0" t="s">
        <v>135</v>
      </c>
      <c r="BE5" s="0" t="s">
        <v>92</v>
      </c>
      <c r="BF5" s="0" t="s">
        <v>90</v>
      </c>
      <c r="BG5" s="0" t="s">
        <v>150</v>
      </c>
      <c r="BH5" s="0" t="s">
        <v>170</v>
      </c>
      <c r="BI5" s="0" t="s">
        <v>117</v>
      </c>
      <c r="BJ5" s="0" t="s">
        <v>18</v>
      </c>
      <c r="BK5" s="0" t="s">
        <v>131</v>
      </c>
      <c r="BL5" s="0" t="s">
        <v>163</v>
      </c>
      <c r="BM5" s="0" t="s">
        <v>101</v>
      </c>
      <c r="BN5" s="0" t="s">
        <v>153</v>
      </c>
      <c r="BO5" s="0" t="s">
        <v>85</v>
      </c>
      <c r="BP5" s="0" t="s">
        <v>122</v>
      </c>
      <c r="BQ5" s="0" t="s">
        <v>103</v>
      </c>
      <c r="BR5" s="0" t="s">
        <v>127</v>
      </c>
      <c r="BS5" s="0" t="s">
        <v>225</v>
      </c>
      <c r="BT5" s="0" t="s">
        <v>16</v>
      </c>
      <c r="BU5" s="0" t="s">
        <v>129</v>
      </c>
      <c r="BV5" s="0" t="s">
        <v>136</v>
      </c>
      <c r="BW5" s="0" t="s">
        <v>125</v>
      </c>
      <c r="BX5" s="0" t="s">
        <v>104</v>
      </c>
      <c r="BY5" s="0" t="s">
        <v>106</v>
      </c>
      <c r="BZ5" s="0" t="s">
        <v>107</v>
      </c>
      <c r="CA5" s="0" t="s">
        <v>108</v>
      </c>
      <c r="CB5" s="0" t="s">
        <v>109</v>
      </c>
      <c r="CC5" s="0" t="s">
        <v>110</v>
      </c>
      <c r="CD5" s="0" t="s">
        <v>111</v>
      </c>
      <c r="CE5" s="0" t="s">
        <v>28</v>
      </c>
      <c r="CF5" s="0" t="s">
        <v>94</v>
      </c>
      <c r="CG5" s="0" t="s">
        <v>126</v>
      </c>
      <c r="CH5" s="0" t="s">
        <v>171</v>
      </c>
      <c r="CI5" s="0" t="s">
        <v>91</v>
      </c>
      <c r="CJ5" s="0" t="s">
        <v>119</v>
      </c>
      <c r="CK5" s="0" t="s">
        <v>142</v>
      </c>
      <c r="CL5" s="0" t="s">
        <v>168</v>
      </c>
      <c r="CM5" s="0" t="s">
        <v>156</v>
      </c>
      <c r="CN5" s="0" t="s">
        <v>99</v>
      </c>
      <c r="CO5" s="0" t="s">
        <v>42</v>
      </c>
      <c r="CP5" s="0" t="s">
        <v>138</v>
      </c>
      <c r="CQ5" s="0" t="s">
        <v>152</v>
      </c>
      <c r="CR5" s="0" t="s">
        <v>118</v>
      </c>
      <c r="CS5" s="0" t="s">
        <v>174</v>
      </c>
      <c r="CT5" s="0" t="s">
        <v>226</v>
      </c>
      <c r="CU5" s="0" t="s">
        <v>227</v>
      </c>
      <c r="CV5" s="0" t="s">
        <v>228</v>
      </c>
      <c r="CW5" s="0" t="s">
        <v>229</v>
      </c>
      <c r="CX5" s="0" t="s">
        <v>173</v>
      </c>
      <c r="CY5" s="0" t="s">
        <v>230</v>
      </c>
      <c r="CZ5" s="0" t="s">
        <v>231</v>
      </c>
      <c r="DA5" s="0" t="s">
        <v>232</v>
      </c>
      <c r="DB5" s="0" t="s">
        <v>233</v>
      </c>
      <c r="DC5" s="0" t="s">
        <v>234</v>
      </c>
      <c r="DD5" s="0" t="s">
        <v>235</v>
      </c>
    </row>
    <row r="6" ht="15.75" customHeight="1">
      <c r="A6" s="13"/>
      <c r="B6" s="13" t="s">
        <v>216</v>
      </c>
      <c r="C6" s="8"/>
      <c r="D6" s="13"/>
      <c r="E6" s="31">
        <v>103</v>
      </c>
      <c r="F6" s="30" t="s">
        <v>236</v>
      </c>
      <c r="G6" s="30" t="s">
        <v>181</v>
      </c>
      <c r="H6" s="8"/>
      <c r="I6" s="8"/>
      <c r="J6" s="31">
        <v>12</v>
      </c>
      <c r="K6" s="31">
        <v>5</v>
      </c>
      <c r="L6" s="31">
        <v>5</v>
      </c>
      <c r="M6" s="32"/>
      <c r="N6" s="8"/>
      <c r="O6" s="30" t="s">
        <v>177</v>
      </c>
      <c r="P6" s="32"/>
      <c r="Q6" s="31"/>
      <c r="R6" s="31">
        <v>0</v>
      </c>
      <c r="S6" s="30" t="s">
        <v>237</v>
      </c>
      <c r="W6" s="31">
        <v>100</v>
      </c>
      <c r="Z6" s="30" t="s">
        <v>186</v>
      </c>
      <c r="AA6" s="32"/>
      <c r="AB6" s="31">
        <v>1</v>
      </c>
      <c r="AC6" s="30" t="s">
        <v>187</v>
      </c>
      <c r="AD6" s="30" t="s">
        <v>185</v>
      </c>
      <c r="AE6" s="31">
        <v>103</v>
      </c>
      <c r="AH6" s="9" t="s">
        <v>179</v>
      </c>
      <c r="AI6" s="9">
        <v>1</v>
      </c>
      <c r="AT6" s="29">
        <v>51500</v>
      </c>
      <c r="AU6" s="29">
        <v>51500</v>
      </c>
      <c r="AY6" s="30" t="s">
        <v>183</v>
      </c>
      <c r="BE6" s="29">
        <v>51500</v>
      </c>
      <c r="BF6" s="29">
        <v>51500</v>
      </c>
      <c r="BI6" s="30" t="s">
        <v>182</v>
      </c>
      <c r="BJ6" s="31">
        <v>103</v>
      </c>
      <c r="BM6" s="30" t="s">
        <v>186</v>
      </c>
      <c r="BO6" s="9" t="s">
        <v>82</v>
      </c>
      <c r="BT6" s="13" t="s">
        <v>79</v>
      </c>
      <c r="CF6" s="30" t="s">
        <v>176</v>
      </c>
      <c r="CH6" s="30" t="s">
        <v>238</v>
      </c>
      <c r="CI6" s="30" t="s">
        <v>211</v>
      </c>
      <c r="CK6" s="30" t="s">
        <v>184</v>
      </c>
      <c r="CL6" s="31">
        <v>1</v>
      </c>
      <c r="CM6" s="30" t="s">
        <v>188</v>
      </c>
      <c r="CN6" s="30" t="s">
        <v>180</v>
      </c>
      <c r="CO6" s="30" t="s">
        <v>178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E7398A5-854C-43E3-8E1F-703F474C353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131909FB-0E11-4DCE-A815-D95AFDC6B7CD}">
          <x14:formula1>
            <xm:f>CheckAllocatedGroups!$4:$4</xm:f>
          </x14:formula1>
          <xm:sqref>E3</xm:sqref>
        </x14:dataValidation>
        <x14:dataValidation type="list" allowBlank="1" showInputMessage="1" showErrorMessage="1" prompt="Choose an available module" xr:uid="{DCFD1342-4634-40FF-8B28-A1F28D4280DE}">
          <x14:formula1>
            <xm:f>'_Modules'!$A$4:$A$1000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217</v>
      </c>
      <c r="D3" s="5" t="s">
        <v>9</v>
      </c>
      <c r="E3" s="23" t="s">
        <v>239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51</v>
      </c>
      <c r="C5" s="0" t="s">
        <v>240</v>
      </c>
      <c r="D5" s="0" t="s">
        <v>241</v>
      </c>
      <c r="E5" s="0" t="s">
        <v>242</v>
      </c>
      <c r="F5" s="0" t="s">
        <v>144</v>
      </c>
      <c r="G5" s="0" t="s">
        <v>243</v>
      </c>
      <c r="H5" s="0" t="s">
        <v>244</v>
      </c>
      <c r="I5" s="0" t="s">
        <v>245</v>
      </c>
      <c r="J5" s="0" t="s">
        <v>246</v>
      </c>
      <c r="K5" s="0" t="s">
        <v>247</v>
      </c>
      <c r="L5" s="0" t="s">
        <v>248</v>
      </c>
      <c r="M5" s="0" t="s">
        <v>249</v>
      </c>
      <c r="N5" s="0" t="s">
        <v>250</v>
      </c>
      <c r="O5" s="0" t="s">
        <v>251</v>
      </c>
      <c r="P5" s="0" t="s">
        <v>252</v>
      </c>
      <c r="Q5" s="0" t="s">
        <v>253</v>
      </c>
      <c r="R5" s="0" t="s">
        <v>254</v>
      </c>
      <c r="S5" s="0" t="s">
        <v>255</v>
      </c>
      <c r="T5" s="0" t="s">
        <v>256</v>
      </c>
      <c r="U5" s="0" t="s">
        <v>257</v>
      </c>
      <c r="V5" s="0" t="s">
        <v>258</v>
      </c>
    </row>
    <row r="6" ht="15.75" customHeight="1">
      <c r="A6" s="13"/>
      <c r="B6" s="33" t="s">
        <v>216</v>
      </c>
      <c r="C6" s="33" t="s">
        <v>259</v>
      </c>
      <c r="D6" s="33" t="s">
        <v>259</v>
      </c>
      <c r="E6" s="33" t="s">
        <v>259</v>
      </c>
      <c r="F6" s="33" t="s">
        <v>186</v>
      </c>
      <c r="G6" s="33">
        <v>0</v>
      </c>
      <c r="H6" s="33">
        <v>51500</v>
      </c>
      <c r="I6" s="33">
        <v>0</v>
      </c>
      <c r="J6" s="33">
        <v>51500</v>
      </c>
      <c r="K6" s="8"/>
      <c r="L6" s="8"/>
      <c r="M6" s="8"/>
      <c r="N6" s="8"/>
      <c r="O6" s="8"/>
    </row>
    <row r="7" ht="15.75" customHeight="1">
      <c r="A7" s="8"/>
      <c r="B7" s="34" t="s">
        <v>216</v>
      </c>
      <c r="C7" s="34" t="s">
        <v>260</v>
      </c>
      <c r="D7" s="34" t="s">
        <v>261</v>
      </c>
      <c r="E7" s="34" t="s">
        <v>262</v>
      </c>
      <c r="F7" s="34" t="s">
        <v>186</v>
      </c>
      <c r="G7" s="34">
        <v>51500</v>
      </c>
      <c r="H7" s="34">
        <v>0</v>
      </c>
      <c r="I7" s="34">
        <v>51500</v>
      </c>
      <c r="J7" s="34">
        <v>0</v>
      </c>
      <c r="K7" s="8"/>
      <c r="L7" s="8"/>
      <c r="M7" s="8"/>
      <c r="N7" s="8"/>
      <c r="O7" s="8"/>
    </row>
    <row r="8" ht="15.75" customHeight="1">
      <c r="A8" s="8"/>
      <c r="B8" s="33" t="s">
        <v>216</v>
      </c>
      <c r="C8" s="33" t="s">
        <v>263</v>
      </c>
      <c r="D8" s="33" t="s">
        <v>264</v>
      </c>
      <c r="E8" s="33" t="s">
        <v>262</v>
      </c>
      <c r="F8" s="33" t="s">
        <v>186</v>
      </c>
      <c r="G8" s="33">
        <v>51500</v>
      </c>
      <c r="H8" s="33">
        <v>0</v>
      </c>
      <c r="I8" s="33">
        <v>51500</v>
      </c>
      <c r="J8" s="33">
        <v>0</v>
      </c>
      <c r="K8" s="8"/>
      <c r="L8" s="8"/>
      <c r="M8" s="8"/>
      <c r="N8" s="8"/>
      <c r="O8" s="8"/>
    </row>
    <row r="9" ht="15.75" customHeight="1">
      <c r="A9" s="8"/>
      <c r="B9" s="35" t="s">
        <v>216</v>
      </c>
      <c r="C9" s="35" t="s">
        <v>265</v>
      </c>
      <c r="D9" s="35" t="s">
        <v>266</v>
      </c>
      <c r="E9" s="35" t="s">
        <v>262</v>
      </c>
      <c r="F9" s="35" t="s">
        <v>186</v>
      </c>
      <c r="G9" s="35">
        <v>0</v>
      </c>
      <c r="H9" s="35">
        <v>51500</v>
      </c>
      <c r="I9" s="35">
        <v>0</v>
      </c>
      <c r="J9" s="35">
        <v>51500</v>
      </c>
      <c r="K9" s="8"/>
      <c r="L9" s="8"/>
      <c r="M9" s="8"/>
      <c r="N9" s="8"/>
      <c r="O9" s="8"/>
    </row>
    <row r="10" ht="15.75" customHeight="1">
      <c r="A10" s="8"/>
      <c r="B10" s="13"/>
      <c r="C10" s="13"/>
      <c r="D10" s="13"/>
      <c r="E10" s="13"/>
      <c r="F10" s="13"/>
      <c r="G10" s="13"/>
      <c r="H10" s="13"/>
      <c r="I10" s="13"/>
      <c r="J10" s="13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E4C78C09-B3A4-4BF9-B303-778388F9B01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70C31A42-A98D-4C33-A828-BEF1E30EBE85}">
          <x14:formula1>
            <xm:f>VerifyAccountBalances!$4:$4</xm:f>
          </x14:formula1>
          <xm:sqref>E3</xm:sqref>
        </x14:dataValidation>
        <x14:dataValidation type="list" allowBlank="1" showInputMessage="1" showErrorMessage="1" prompt="Choose an available module" xr:uid="{D373ED70-35DF-45F6-B1F0-08133D6E05B0}">
          <x14:formula1>
            <xm:f>'_Modules'!$A$4:$A$1000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W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267</v>
      </c>
      <c r="D3" s="5" t="s">
        <v>9</v>
      </c>
      <c r="E3" s="23" t="s">
        <v>268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B5" s="0" t="s">
        <v>28</v>
      </c>
      <c r="C5" s="0" t="s">
        <v>16</v>
      </c>
      <c r="D5" s="0" t="s">
        <v>269</v>
      </c>
      <c r="E5" s="0" t="s">
        <v>51</v>
      </c>
      <c r="F5" s="0" t="s">
        <v>219</v>
      </c>
      <c r="G5" s="0" t="s">
        <v>270</v>
      </c>
      <c r="H5" s="0" t="s">
        <v>271</v>
      </c>
      <c r="I5" s="0" t="s">
        <v>272</v>
      </c>
      <c r="J5" s="0" t="s">
        <v>273</v>
      </c>
      <c r="K5" s="0" t="s">
        <v>274</v>
      </c>
      <c r="L5" s="0" t="s">
        <v>275</v>
      </c>
      <c r="M5" s="0" t="s">
        <v>276</v>
      </c>
      <c r="N5" s="0" t="s">
        <v>277</v>
      </c>
      <c r="O5" s="0" t="s">
        <v>278</v>
      </c>
      <c r="P5" s="0" t="s">
        <v>279</v>
      </c>
      <c r="Q5" s="0" t="s">
        <v>280</v>
      </c>
      <c r="R5" s="0" t="s">
        <v>281</v>
      </c>
      <c r="S5" s="0" t="s">
        <v>27</v>
      </c>
      <c r="T5" s="0" t="s">
        <v>282</v>
      </c>
      <c r="U5" s="0" t="s">
        <v>142</v>
      </c>
      <c r="V5" s="0" t="s">
        <v>143</v>
      </c>
      <c r="W5" s="0" t="s">
        <v>283</v>
      </c>
      <c r="X5" s="0" t="s">
        <v>284</v>
      </c>
      <c r="Y5" s="0" t="s">
        <v>97</v>
      </c>
      <c r="Z5" s="0" t="s">
        <v>285</v>
      </c>
      <c r="AA5" s="0" t="s">
        <v>286</v>
      </c>
      <c r="AB5" s="0" t="s">
        <v>287</v>
      </c>
      <c r="AC5" s="0" t="s">
        <v>288</v>
      </c>
      <c r="AD5" s="0" t="s">
        <v>289</v>
      </c>
      <c r="AE5" s="0" t="s">
        <v>290</v>
      </c>
      <c r="AF5" s="0" t="s">
        <v>291</v>
      </c>
      <c r="AG5" s="0" t="s">
        <v>292</v>
      </c>
      <c r="AH5" s="0" t="s">
        <v>293</v>
      </c>
      <c r="AI5" s="0" t="s">
        <v>294</v>
      </c>
      <c r="AJ5" s="0" t="s">
        <v>295</v>
      </c>
      <c r="AK5" s="0" t="s">
        <v>296</v>
      </c>
      <c r="AL5" s="0" t="s">
        <v>161</v>
      </c>
      <c r="AM5" s="0" t="s">
        <v>297</v>
      </c>
      <c r="AN5" s="0" t="s">
        <v>17</v>
      </c>
      <c r="AO5" s="0" t="s">
        <v>298</v>
      </c>
      <c r="AP5" s="0" t="s">
        <v>299</v>
      </c>
      <c r="AQ5" s="0" t="s">
        <v>156</v>
      </c>
      <c r="AR5" s="0" t="s">
        <v>300</v>
      </c>
      <c r="AS5" s="0" t="s">
        <v>301</v>
      </c>
      <c r="AT5" s="0" t="s">
        <v>155</v>
      </c>
      <c r="AU5" s="0" t="s">
        <v>169</v>
      </c>
      <c r="AV5" s="0" t="s">
        <v>302</v>
      </c>
      <c r="AW5" s="0" t="s">
        <v>303</v>
      </c>
      <c r="AX5" s="0" t="s">
        <v>304</v>
      </c>
      <c r="AY5" s="0" t="s">
        <v>305</v>
      </c>
      <c r="AZ5" s="0" t="s">
        <v>306</v>
      </c>
      <c r="BA5" s="0" t="s">
        <v>307</v>
      </c>
      <c r="BB5" s="0" t="s">
        <v>308</v>
      </c>
      <c r="BC5" s="0" t="s">
        <v>309</v>
      </c>
      <c r="BD5" s="0" t="s">
        <v>310</v>
      </c>
      <c r="BE5" s="0" t="s">
        <v>311</v>
      </c>
      <c r="BF5" s="0" t="s">
        <v>312</v>
      </c>
      <c r="BG5" s="0" t="s">
        <v>313</v>
      </c>
      <c r="BH5" s="0" t="s">
        <v>314</v>
      </c>
      <c r="BI5" s="0" t="s">
        <v>315</v>
      </c>
      <c r="BJ5" s="0" t="s">
        <v>316</v>
      </c>
      <c r="BK5" s="0" t="s">
        <v>317</v>
      </c>
      <c r="BL5" s="0" t="s">
        <v>318</v>
      </c>
      <c r="BM5" s="0" t="s">
        <v>319</v>
      </c>
      <c r="BN5" s="0" t="s">
        <v>320</v>
      </c>
      <c r="BO5" s="0" t="s">
        <v>321</v>
      </c>
      <c r="BP5" s="0" t="s">
        <v>322</v>
      </c>
      <c r="BQ5" s="0" t="s">
        <v>99</v>
      </c>
      <c r="BR5" s="0" t="s">
        <v>21</v>
      </c>
      <c r="BS5" s="0" t="s">
        <v>323</v>
      </c>
      <c r="BT5" s="0" t="s">
        <v>324</v>
      </c>
      <c r="BU5" s="0" t="s">
        <v>325</v>
      </c>
      <c r="BV5" s="0" t="s">
        <v>154</v>
      </c>
      <c r="BW5" s="0" t="s">
        <v>326</v>
      </c>
      <c r="BX5" s="0" t="s">
        <v>327</v>
      </c>
      <c r="BY5" s="0" t="s">
        <v>328</v>
      </c>
      <c r="BZ5" s="0" t="s">
        <v>329</v>
      </c>
      <c r="CA5" s="0" t="s">
        <v>330</v>
      </c>
      <c r="CB5" s="0" t="s">
        <v>153</v>
      </c>
      <c r="CC5" s="0" t="s">
        <v>331</v>
      </c>
      <c r="CD5" s="0" t="s">
        <v>332</v>
      </c>
      <c r="CE5" s="0" t="s">
        <v>333</v>
      </c>
      <c r="CF5" s="0" t="s">
        <v>334</v>
      </c>
      <c r="CG5" s="0" t="s">
        <v>335</v>
      </c>
      <c r="CH5" s="0" t="s">
        <v>336</v>
      </c>
      <c r="CI5" s="0" t="s">
        <v>337</v>
      </c>
      <c r="CJ5" s="0" t="s">
        <v>338</v>
      </c>
      <c r="CK5" s="0" t="s">
        <v>339</v>
      </c>
      <c r="CL5" s="0" t="s">
        <v>340</v>
      </c>
      <c r="CM5" s="0" t="s">
        <v>341</v>
      </c>
      <c r="CN5" s="0" t="s">
        <v>342</v>
      </c>
      <c r="CO5" s="0" t="s">
        <v>343</v>
      </c>
      <c r="CP5" s="0" t="s">
        <v>162</v>
      </c>
      <c r="CQ5" s="0" t="s">
        <v>165</v>
      </c>
      <c r="CR5" s="0" t="s">
        <v>344</v>
      </c>
      <c r="CS5" s="0" t="s">
        <v>345</v>
      </c>
      <c r="CT5" s="0" t="s">
        <v>108</v>
      </c>
      <c r="CU5" s="0" t="s">
        <v>109</v>
      </c>
      <c r="CV5" s="0" t="s">
        <v>110</v>
      </c>
      <c r="CW5" s="0" t="s">
        <v>111</v>
      </c>
      <c r="CX5" s="0" t="s">
        <v>170</v>
      </c>
      <c r="CY5" s="0" t="s">
        <v>346</v>
      </c>
      <c r="CZ5" s="0" t="s">
        <v>347</v>
      </c>
      <c r="DA5" s="0" t="s">
        <v>348</v>
      </c>
      <c r="DB5" s="0" t="s">
        <v>349</v>
      </c>
      <c r="DC5" s="0" t="s">
        <v>350</v>
      </c>
      <c r="DD5" s="0" t="s">
        <v>351</v>
      </c>
      <c r="DE5" s="0" t="s">
        <v>352</v>
      </c>
      <c r="DF5" s="0" t="s">
        <v>353</v>
      </c>
      <c r="DG5" s="0" t="s">
        <v>354</v>
      </c>
      <c r="DH5" s="0" t="s">
        <v>355</v>
      </c>
      <c r="DI5" s="0" t="s">
        <v>356</v>
      </c>
      <c r="DJ5" s="0" t="s">
        <v>91</v>
      </c>
      <c r="DK5" s="0" t="s">
        <v>357</v>
      </c>
      <c r="DL5" s="0" t="s">
        <v>358</v>
      </c>
      <c r="DM5" s="0" t="s">
        <v>359</v>
      </c>
      <c r="DN5" s="0" t="s">
        <v>360</v>
      </c>
      <c r="DO5" s="0" t="s">
        <v>361</v>
      </c>
      <c r="DP5" s="0" t="s">
        <v>362</v>
      </c>
      <c r="DQ5" s="0" t="s">
        <v>363</v>
      </c>
      <c r="DR5" s="0" t="s">
        <v>364</v>
      </c>
      <c r="DS5" s="0" t="s">
        <v>365</v>
      </c>
      <c r="DT5" s="0" t="s">
        <v>366</v>
      </c>
      <c r="DU5" s="0" t="s">
        <v>367</v>
      </c>
      <c r="DV5" s="0" t="s">
        <v>368</v>
      </c>
      <c r="DW5" s="0" t="s">
        <v>369</v>
      </c>
      <c r="DX5" s="0" t="s">
        <v>370</v>
      </c>
      <c r="DY5" s="0" t="s">
        <v>371</v>
      </c>
      <c r="DZ5" s="0" t="s">
        <v>372</v>
      </c>
      <c r="EA5" s="0" t="s">
        <v>373</v>
      </c>
      <c r="EB5" s="0" t="s">
        <v>374</v>
      </c>
      <c r="EC5" s="0" t="s">
        <v>375</v>
      </c>
      <c r="ED5" s="0" t="s">
        <v>376</v>
      </c>
      <c r="EE5" s="0" t="s">
        <v>377</v>
      </c>
      <c r="EF5" s="0" t="s">
        <v>378</v>
      </c>
      <c r="EG5" s="0" t="s">
        <v>379</v>
      </c>
      <c r="EH5" s="0" t="s">
        <v>380</v>
      </c>
      <c r="EI5" s="0" t="s">
        <v>381</v>
      </c>
      <c r="EJ5" s="0" t="s">
        <v>382</v>
      </c>
      <c r="EK5" s="0" t="s">
        <v>383</v>
      </c>
      <c r="EL5" s="0" t="s">
        <v>384</v>
      </c>
      <c r="EM5" s="0" t="s">
        <v>385</v>
      </c>
      <c r="EN5" s="0" t="s">
        <v>386</v>
      </c>
      <c r="EO5" s="0" t="s">
        <v>387</v>
      </c>
      <c r="EP5" s="0" t="s">
        <v>388</v>
      </c>
      <c r="EQ5" s="0" t="s">
        <v>389</v>
      </c>
      <c r="ER5" s="0" t="s">
        <v>390</v>
      </c>
      <c r="ES5" s="0" t="s">
        <v>391</v>
      </c>
      <c r="ET5" s="0" t="s">
        <v>392</v>
      </c>
      <c r="EU5" s="0" t="s">
        <v>393</v>
      </c>
      <c r="EV5" s="0" t="s">
        <v>394</v>
      </c>
      <c r="EW5" s="0" t="s">
        <v>395</v>
      </c>
      <c r="EX5" s="0" t="s">
        <v>396</v>
      </c>
      <c r="EY5" s="0" t="s">
        <v>106</v>
      </c>
      <c r="EZ5" s="0" t="s">
        <v>107</v>
      </c>
      <c r="FA5" s="0" t="s">
        <v>174</v>
      </c>
      <c r="FB5" s="0" t="s">
        <v>397</v>
      </c>
      <c r="FC5" s="0" t="s">
        <v>398</v>
      </c>
      <c r="FD5" s="0" t="s">
        <v>399</v>
      </c>
      <c r="FE5" s="0" t="s">
        <v>400</v>
      </c>
      <c r="FF5" s="0" t="s">
        <v>401</v>
      </c>
      <c r="FG5" s="0" t="s">
        <v>402</v>
      </c>
      <c r="FH5" s="0" t="s">
        <v>403</v>
      </c>
      <c r="FI5" s="0" t="s">
        <v>404</v>
      </c>
      <c r="FJ5" s="0" t="s">
        <v>227</v>
      </c>
      <c r="FK5" s="0" t="s">
        <v>405</v>
      </c>
      <c r="FL5" s="0" t="s">
        <v>230</v>
      </c>
      <c r="FM5" s="0" t="s">
        <v>406</v>
      </c>
      <c r="FN5" s="0" t="s">
        <v>407</v>
      </c>
      <c r="FO5" s="0" t="s">
        <v>408</v>
      </c>
      <c r="FP5" s="0" t="s">
        <v>409</v>
      </c>
      <c r="FQ5" s="0" t="s">
        <v>410</v>
      </c>
      <c r="FR5" s="0" t="s">
        <v>411</v>
      </c>
      <c r="FS5" s="0" t="s">
        <v>412</v>
      </c>
      <c r="FT5" s="0" t="s">
        <v>413</v>
      </c>
      <c r="FU5" s="0" t="s">
        <v>414</v>
      </c>
      <c r="FV5" s="0" t="s">
        <v>415</v>
      </c>
      <c r="FW5" s="0" t="s">
        <v>416</v>
      </c>
    </row>
    <row r="6" ht="15.75" customHeight="1">
      <c r="A6" s="36"/>
      <c r="B6" s="36"/>
      <c r="C6" s="37" t="s">
        <v>79</v>
      </c>
      <c r="D6" s="38">
        <v>103</v>
      </c>
      <c r="E6" s="39" t="s">
        <v>216</v>
      </c>
      <c r="F6" s="39" t="s">
        <v>417</v>
      </c>
      <c r="G6" s="40"/>
      <c r="H6" s="39" t="s">
        <v>418</v>
      </c>
      <c r="I6" s="37"/>
      <c r="J6" s="37"/>
      <c r="K6" s="37"/>
      <c r="L6" s="37"/>
      <c r="M6" s="37"/>
      <c r="N6" s="41"/>
      <c r="O6" s="37"/>
      <c r="P6" s="37"/>
      <c r="Q6" s="41"/>
      <c r="R6" s="39" t="s">
        <v>419</v>
      </c>
      <c r="S6" s="39"/>
      <c r="T6" s="39" t="s">
        <v>181</v>
      </c>
      <c r="U6" s="39" t="s">
        <v>184</v>
      </c>
      <c r="V6" s="39" t="s">
        <v>185</v>
      </c>
      <c r="W6" s="39" t="s">
        <v>186</v>
      </c>
      <c r="X6" s="40">
        <v>100</v>
      </c>
      <c r="Y6" s="40">
        <v>1</v>
      </c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 t="s">
        <v>82</v>
      </c>
      <c r="AO6" s="37"/>
      <c r="AP6" s="39" t="s">
        <v>418</v>
      </c>
      <c r="AQ6" s="39" t="s">
        <v>188</v>
      </c>
      <c r="AR6" s="37"/>
      <c r="AS6" s="40">
        <v>1</v>
      </c>
      <c r="AT6" s="39"/>
      <c r="AU6" s="37"/>
      <c r="AV6" s="40"/>
      <c r="AW6" s="41"/>
      <c r="AX6" s="37"/>
      <c r="AY6" s="37"/>
      <c r="AZ6" s="37"/>
      <c r="BA6" s="37"/>
      <c r="BB6" s="37"/>
      <c r="BC6" s="37"/>
      <c r="BD6" s="37"/>
      <c r="BE6" s="39"/>
      <c r="BF6" s="39"/>
      <c r="BG6" s="39"/>
      <c r="BH6" s="39"/>
      <c r="BI6" s="37"/>
      <c r="BJ6" s="37"/>
      <c r="BK6" s="37"/>
      <c r="BL6" s="37"/>
      <c r="BM6" s="37"/>
      <c r="BN6" s="37"/>
      <c r="BO6" s="37"/>
      <c r="BP6" s="37"/>
      <c r="BQ6" s="39"/>
      <c r="BR6" s="39"/>
      <c r="BS6" s="37"/>
      <c r="BT6" s="37"/>
      <c r="BU6" s="39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9"/>
      <c r="DK6" s="37"/>
      <c r="DL6" s="37"/>
      <c r="DM6" s="40"/>
      <c r="DN6" s="37"/>
      <c r="DO6" s="37"/>
      <c r="DP6" s="39"/>
      <c r="DQ6" s="39"/>
      <c r="DR6" s="39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41"/>
      <c r="ET6" s="40"/>
      <c r="EU6" s="40"/>
      <c r="EV6" s="39"/>
      <c r="EW6" s="41"/>
      <c r="EX6" s="37"/>
      <c r="EY6" s="37"/>
      <c r="EZ6" s="37"/>
      <c r="FA6" s="37"/>
      <c r="FB6" s="37"/>
      <c r="FC6" s="37"/>
      <c r="FD6" s="37"/>
      <c r="FE6" s="37"/>
      <c r="FF6" s="37"/>
      <c r="FG6" s="37"/>
      <c r="FH6" s="42">
        <v>103</v>
      </c>
      <c r="FI6" s="37"/>
      <c r="FJ6" s="37"/>
      <c r="FK6" s="37"/>
      <c r="FL6" s="37"/>
      <c r="FM6" s="37"/>
      <c r="FN6" s="37"/>
      <c r="FO6" s="37"/>
      <c r="FP6" s="37"/>
      <c r="FQ6" s="37"/>
      <c r="FR6" s="37"/>
      <c r="FS6" s="37"/>
      <c r="FT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08B2849-DC84-4E8B-80BA-8E70C6A2976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E4016031-CA53-468C-898E-85F6CDDA6314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426295A5-A49F-4B65-95BC-1B849D5482A6}">
          <x14:formula1>
            <xm:f>CheckPortfolioManagement!$4:$4</xm:f>
          </x14:formula1>
          <xm:sqref>E3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