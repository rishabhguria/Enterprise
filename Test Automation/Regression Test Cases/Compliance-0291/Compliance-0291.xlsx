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AddTabBlott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SelectTradeOnOrderGrid" sheetId="10" r:id="rId12"/>
    <sheet state="visible" name="ReplaceSubOrder" sheetId="11" r:id="rId13"/>
    <sheet state="visible" name="CreateReplaceLiveOrder" sheetId="12" r:id="rId14"/>
    <sheet state="visible" name="CancelWorkingSubs" sheetId="13" r:id="rId15"/>
    <sheet state="visible" name="RejectTrade" sheetId="14" r:id="rId16"/>
    <sheet state="visible" name="CancelAllSubs" sheetId="15" r:id="rId17"/>
    <sheet state="visible" name="VerifyOrder" sheetId="16" r:id="rId18"/>
    <sheet state="visible" name="VerifySubOrder" sheetId="17" r:id="rId19"/>
    <sheet state="visible" name="RefreshBlotter" sheetId="18" r:id="rId20"/>
  </sheets>
  <definedNames/>
  <calcPr/>
</workbook>
</file>

<file path=xl/sharedStrings.xml><?xml version="1.0" encoding="utf-8"?>
<sst xmlns="http://schemas.openxmlformats.org/spreadsheetml/2006/main" count="170" uniqueCount="49">
  <si>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</si>
  <si>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</si>
  <si>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</si>
  <si>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</si>
  <si>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</si>
  <si>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</si>
  <si>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</si>
  <si>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</si>
  <si>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</si>
  <si>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</si>
  <si>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</si>
  <si>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</si>
  <si>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</si>
  <si>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</si>
  <si>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</si>
  <si>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</si>
  <si>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TradeQuantity100</t>
  </si>
  <si>
    <t>REQUIRES APPROVAL</t>
  </si>
  <si>
    <t>Blotter</t>
  </si>
  <si>
    <t>AddTabBlotter</t>
  </si>
  <si>
    <t>WorkingABC</t>
  </si>
  <si>
    <t>Add Tab(Working)</t>
  </si>
  <si>
    <t>TradingTicket</t>
  </si>
  <si>
    <t>CreateLiveOrder</t>
  </si>
  <si>
    <t>AAPL</t>
  </si>
  <si>
    <t>Buy</t>
  </si>
  <si>
    <t>Allocation1</t>
  </si>
  <si>
    <t>MS</t>
  </si>
  <si>
    <t>Day</t>
  </si>
  <si>
    <t>Market</t>
  </si>
  <si>
    <t>Yes</t>
  </si>
  <si>
    <t>Simulator</t>
  </si>
  <si>
    <t>SelectTrade</t>
  </si>
  <si>
    <t>AcknowledgeTrade</t>
  </si>
  <si>
    <t>ExecuteTrade</t>
  </si>
  <si>
    <t>SelectTradeOnOrderGrid</t>
  </si>
  <si>
    <t>PartiallyFilled</t>
  </si>
  <si>
    <t>ReplaceSubOrder</t>
  </si>
  <si>
    <t>CreateReplaceLiveOrder</t>
  </si>
  <si>
    <t>No</t>
  </si>
  <si>
    <t>CancelWorkingSubs</t>
  </si>
  <si>
    <t>RejectTrade</t>
  </si>
  <si>
    <t>CancelAllSubs</t>
  </si>
  <si>
    <t>VerifyOrder</t>
  </si>
  <si>
    <t>VerifySubOrder</t>
  </si>
  <si>
    <t>Cancelled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</si>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</sst>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32">
        <v>17.0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24</v>
      </c>
      <c r="C6" s="36" t="s">
        <v>25</v>
      </c>
      <c r="D6" s="32">
        <v>100.0</v>
      </c>
      <c r="E6" s="37">
        <v>100.0</v>
      </c>
      <c r="F6" s="36" t="s">
        <v>26</v>
      </c>
      <c r="G6" s="36" t="s">
        <v>27</v>
      </c>
      <c r="H6" s="36" t="s">
        <v>28</v>
      </c>
      <c r="I6" s="36" t="s">
        <v>29</v>
      </c>
      <c r="J6" s="37">
        <v>2.0</v>
      </c>
      <c r="K6" s="33"/>
      <c r="L6" s="33"/>
      <c r="M6" s="33"/>
      <c r="N6" s="38">
        <f>today()</f>
        <v>45285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9" t="s">
        <v>30</v>
      </c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9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25</v>
      </c>
      <c r="C6" s="36" t="s">
        <v>24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25</v>
      </c>
      <c r="C6" s="36" t="s">
        <v>24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5" t="s">
        <v>24</v>
      </c>
      <c r="E6" s="33"/>
      <c r="F6" s="36" t="s">
        <v>25</v>
      </c>
      <c r="G6" s="36" t="s">
        <v>36</v>
      </c>
      <c r="H6" s="33"/>
      <c r="I6" s="33"/>
      <c r="J6" s="33"/>
      <c r="K6" s="33"/>
      <c r="L6" s="33"/>
      <c r="M6" s="33"/>
      <c r="N6" s="33"/>
      <c r="O6" s="33"/>
      <c r="P6" s="33"/>
      <c r="Q6" s="33" t="s">
        <v>27</v>
      </c>
      <c r="R6" s="33" t="s">
        <v>26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 t="s">
        <v>24</v>
      </c>
      <c r="AK6" s="33" t="s">
        <v>25</v>
      </c>
      <c r="AL6" s="33" t="s">
        <v>36</v>
      </c>
      <c r="AM6" s="33"/>
      <c r="AN6" s="33"/>
      <c r="AO6" s="33"/>
      <c r="AP6" s="33"/>
      <c r="AQ6" s="33"/>
      <c r="AR6" s="33"/>
      <c r="AS6" s="33"/>
      <c r="AT6" s="33" t="s">
        <v>27</v>
      </c>
      <c r="AU6" s="33" t="s">
        <v>26</v>
      </c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IFERROR(__xludf.DUMMYFUNCTION("""COMPUTED_VALUE"""),"TRVAccountName")</f>
        <v>TRVAccountName</v>
      </c>
      <c r="AR5" s="29" t="str">
        <f>IFERROR(__xludf.DUMMYFUNCTION("""COMPUTED_VALUE"""),"TRVTradeQuantity")</f>
        <v>TRVTradeQuantity</v>
      </c>
      <c r="AS5" s="29" t="str">
        <f>IFERROR(__xludf.DUMMYFUNCTION("""COMPUTED_VALUE"""),"TRVCurrentPosition")</f>
        <v>TRVCurrentPosition</v>
      </c>
      <c r="AT5" s="29" t="str">
        <f>IFERROR(__xludf.DUMMYFUNCTION("""COMPUTED_VALUE"""),"TRVNav")</f>
        <v>TRVNav</v>
      </c>
      <c r="AU5" s="29" t="str">
        <f>IFERROR(__xludf.DUMMYFUNCTION("""COMPUTED_VALUE"""),"PendingApprovalPopUp")</f>
        <v>PendingApprovalPopUp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2">
        <v>1000.0</v>
      </c>
      <c r="E6" s="33"/>
      <c r="F6" s="33"/>
      <c r="G6" s="33"/>
      <c r="H6" s="33"/>
      <c r="I6" s="33"/>
      <c r="J6" s="37">
        <v>2.0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9" t="s">
        <v>30</v>
      </c>
      <c r="AP6" s="33"/>
      <c r="AQ6" s="33"/>
      <c r="AR6" s="33"/>
      <c r="AS6" s="33"/>
      <c r="AT6" s="33"/>
      <c r="AU6" s="39" t="s">
        <v>39</v>
      </c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CreateReplaceLiveOrder!$4:$4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IFERROR(__xludf.DUMMYFUNCTION("""COMPUTED_VALUE"""),"Remaining Qty")</f>
        <v>Remaining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IFERROR(__xludf.DUMMYFUNCTION("""COMPUTED_VALUE"""),"Status (With Rollover)")</f>
        <v>Status (With Rollover)</v>
      </c>
      <c r="AY5" s="29" t="str">
        <f>IFERROR(__xludf.DUMMYFUNCTION("""COMPUTED_VALUE"""),"CustomTabName")</f>
        <v>CustomTabName</v>
      </c>
      <c r="AZ5" s="29" t="str">
        <f>IFERROR(__xludf.DUMMYFUNCTION("""COMPUTED_VALUE"""),"CancelAllSubsOnHeader")</f>
        <v>CancelAllSubsOnHeader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5" t="s">
        <v>24</v>
      </c>
      <c r="E6" s="33"/>
      <c r="F6" s="36" t="s">
        <v>25</v>
      </c>
      <c r="G6" s="36" t="s">
        <v>36</v>
      </c>
      <c r="H6" s="33"/>
      <c r="I6" s="33"/>
      <c r="J6" s="33"/>
      <c r="K6" s="33"/>
      <c r="L6" s="33"/>
      <c r="M6" s="33"/>
      <c r="N6" s="33"/>
      <c r="O6" s="33"/>
      <c r="P6" s="33"/>
      <c r="Q6" s="33" t="s">
        <v>27</v>
      </c>
      <c r="R6" s="33" t="s">
        <v>26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9" t="s">
        <v>20</v>
      </c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25</v>
      </c>
      <c r="C6" s="36" t="s">
        <v>24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IFERROR(__xludf.DUMMYFUNCTION("""COMPUTED_VALUE"""),"CustomTabName")</f>
        <v>CustomTabName</v>
      </c>
      <c r="BA5" s="29" t="str">
        <f>IFERROR(__xludf.DUMMYFUNCTION("""COMPUTED_VALUE"""),"CancelAllSubsOnHeader")</f>
        <v>CancelAllSubsOnHeader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25</v>
      </c>
      <c r="AK6" s="9" t="s">
        <v>36</v>
      </c>
      <c r="AL6" s="9">
        <v>100.0</v>
      </c>
      <c r="AS6" s="9" t="s">
        <v>27</v>
      </c>
      <c r="AT6" s="9" t="s">
        <v>26</v>
      </c>
      <c r="AZ6" s="9" t="s">
        <v>20</v>
      </c>
      <c r="BA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CancelAllSubs!$4:$4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24</v>
      </c>
      <c r="AJ6" s="33" t="s">
        <v>25</v>
      </c>
      <c r="AK6" s="33" t="s">
        <v>36</v>
      </c>
      <c r="AL6" s="40">
        <v>100.0</v>
      </c>
      <c r="AM6" s="33"/>
      <c r="AN6" s="33"/>
      <c r="AO6" s="33"/>
      <c r="AP6" s="33"/>
      <c r="AQ6" s="33"/>
      <c r="AR6" s="33"/>
      <c r="AS6" s="33" t="s">
        <v>27</v>
      </c>
      <c r="AT6" s="33" t="s">
        <v>26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24</v>
      </c>
      <c r="AJ6" s="33" t="s">
        <v>25</v>
      </c>
      <c r="AK6" s="33" t="s">
        <v>45</v>
      </c>
      <c r="AL6" s="40">
        <v>100.0</v>
      </c>
      <c r="AM6" s="33"/>
      <c r="AN6" s="33"/>
      <c r="AO6" s="33"/>
      <c r="AP6" s="33"/>
      <c r="AQ6" s="33" t="s">
        <v>27</v>
      </c>
      <c r="AR6" s="33" t="s">
        <v>26</v>
      </c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47</v>
      </c>
      <c r="C6" s="8"/>
      <c r="D6" s="12" t="s">
        <v>48</v>
      </c>
      <c r="E6" s="34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RefreshBlotter!$4:$4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