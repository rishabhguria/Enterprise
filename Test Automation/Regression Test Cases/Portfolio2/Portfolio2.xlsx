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reateDoneAwayOrder1" sheetId="7" r:id="rId9"/>
    <sheet state="visible" name="CustomOrderTT" sheetId="8" r:id="rId10"/>
    <sheet state="visible" name="PricingInput" sheetId="9" r:id="rId11"/>
    <sheet state="visible" name="GetForexConversion" sheetId="10" r:id="rId12"/>
    <sheet state="visible" name="UpdateForexConversion" sheetId="11" r:id="rId13"/>
    <sheet state="visible" name="GetDataAllocation" sheetId="12" r:id="rId14"/>
    <sheet state="visible" name="SelectAllocatedGroup" sheetId="13" r:id="rId15"/>
    <sheet state="visible" name="BookOrUpdateSwap" sheetId="14" r:id="rId16"/>
    <sheet state="visible" name="SelectAllocatedGroup1" sheetId="15" r:id="rId17"/>
    <sheet state="visible" name="BookOrUpdateSwap1" sheetId="16" r:id="rId18"/>
    <sheet state="visible" name="SelectAllocatedGroup2" sheetId="17" r:id="rId19"/>
    <sheet state="visible" name="BookOrUpdateSwap2" sheetId="18" r:id="rId20"/>
    <sheet state="visible" name="SelectAllocatedGroup3" sheetId="19" r:id="rId21"/>
    <sheet state="visible" name="BookOrUpdateSwap3" sheetId="20" r:id="rId22"/>
    <sheet state="visible" name="CreateDoneAwayOrder" sheetId="21" r:id="rId23"/>
    <sheet state="visible" name="CustomOrderTT1" sheetId="22" r:id="rId24"/>
    <sheet state="visible" name="PricingInput1" sheetId="23" r:id="rId25"/>
    <sheet state="visible" name="GetDailyCash" sheetId="24" r:id="rId26"/>
    <sheet state="visible" name="UpdateMultipleDailyCash" sheetId="25" r:id="rId27"/>
    <sheet state="visible" name="GetCashTransaction" sheetId="26" r:id="rId28"/>
    <sheet state="visible" name="AddCashTransaction" sheetId="27" r:id="rId29"/>
    <sheet state="visible" name="RunRevaluation" sheetId="28" r:id="rId30"/>
    <sheet state="visible" name="GetCashTransaction1" sheetId="29" r:id="rId31"/>
    <sheet state="visible" name="AddCashTransaction1" sheetId="30" r:id="rId32"/>
    <sheet state="visible" name="RunRevaluation1" sheetId="31" r:id="rId33"/>
  </sheets>
  <definedNames/>
  <calcPr/>
</workbook>
</file>

<file path=xl/sharedStrings.xml><?xml version="1.0" encoding="utf-8"?>
<sst xmlns="http://schemas.openxmlformats.org/spreadsheetml/2006/main" count="435" uniqueCount="75">
  <si>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</si>
  <si>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</si>
  <si>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</si>
  <si>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</si>
  <si>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</si>
  <si>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</si>
  <si>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</si>
  <si>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</si>
  <si>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</si>
  <si>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</si>
  <si>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</si>
  <si>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</si>
  <si>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</si>
  <si>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</si>
  <si>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</si>
  <si>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</si>
  <si>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</si>
  <si>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</si>
  <si>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</si>
  <si>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</si>
  <si>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</si>
  <si>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</si>
  <si>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</si>
  <si>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</si>
  <si>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</si>
  <si>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</si>
  <si>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</si>
  <si>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</si>
  <si>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</si>
  <si>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</si>
  <si>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CreateDoneAwayOrder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</si>
  <si>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</si>
  <si>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</si>
  <si>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</si>
  <si>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</si>
  <si>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</si>
  <si>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</si>
  <si>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</si>
  <si>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</si>
  <si>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Allocation3</t>
  </si>
  <si>
    <t>CustomOrderTT</t>
  </si>
  <si>
    <t>DoneAway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</si>
  <si>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</si>
  <si>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</si>
  <si>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</si>
  <si>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</si>
  <si>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</si>
  <si>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</si>
  <si>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</si>
  <si>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</si>
  <si>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</si>
  <si>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</si>
  <si>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</si>
  <si>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</si>
  <si>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</si>
  <si>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Allocation1</t>
  </si>
  <si>
    <t>BookOrUpdateSwap</t>
  </si>
  <si>
    <t xml:space="preserve"> ES H4</t>
  </si>
  <si>
    <t xml:space="preserve"> ES U5</t>
  </si>
  <si>
    <t>GetDailyCash</t>
  </si>
  <si>
    <t>UpdateMultipleDailyCash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</si>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</sst>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24</v>
      </c>
      <c r="C6" s="32" t="s">
        <v>31</v>
      </c>
      <c r="D6" s="33">
        <v>100.0</v>
      </c>
      <c r="E6" s="36"/>
      <c r="F6" s="8"/>
      <c r="G6" s="8"/>
      <c r="H6" s="8"/>
      <c r="I6" s="8"/>
      <c r="J6" s="37">
        <v>26.47</v>
      </c>
      <c r="K6" s="8"/>
      <c r="L6" s="8"/>
      <c r="M6" s="8"/>
      <c r="N6" s="38">
        <f t="shared" ref="N6:N25" si="1">TODAY()-1</f>
        <v>45869</v>
      </c>
      <c r="O6" s="8"/>
    </row>
    <row r="7" ht="15.75" customHeight="1">
      <c r="A7" s="8"/>
      <c r="B7" s="32" t="s">
        <v>28</v>
      </c>
      <c r="C7" s="32" t="s">
        <v>31</v>
      </c>
      <c r="D7" s="33">
        <v>100.0</v>
      </c>
      <c r="E7" s="8"/>
      <c r="F7" s="8"/>
      <c r="G7" s="8"/>
      <c r="H7" s="8"/>
      <c r="I7" s="8"/>
      <c r="J7" s="33">
        <v>10.0</v>
      </c>
      <c r="K7" s="8"/>
      <c r="L7" s="8"/>
      <c r="M7" s="8"/>
      <c r="N7" s="38">
        <f t="shared" si="1"/>
        <v>45869</v>
      </c>
      <c r="O7" s="8"/>
    </row>
    <row r="8" ht="15.75" customHeight="1">
      <c r="A8" s="8"/>
      <c r="B8" s="33">
        <v>1.23456789E8</v>
      </c>
      <c r="C8" s="32" t="s">
        <v>31</v>
      </c>
      <c r="D8" s="33">
        <v>12000.0</v>
      </c>
      <c r="E8" s="8"/>
      <c r="F8" s="8"/>
      <c r="G8" s="8"/>
      <c r="H8" s="8"/>
      <c r="I8" s="8"/>
      <c r="J8" s="33">
        <v>25.0</v>
      </c>
      <c r="K8" s="8"/>
      <c r="L8" s="8"/>
      <c r="M8" s="8"/>
      <c r="N8" s="38">
        <f t="shared" si="1"/>
        <v>45869</v>
      </c>
      <c r="O8" s="8"/>
    </row>
    <row r="9" ht="15.75" customHeight="1">
      <c r="A9" s="8"/>
      <c r="B9" s="32" t="s">
        <v>27</v>
      </c>
      <c r="C9" s="32" t="s">
        <v>32</v>
      </c>
      <c r="D9" s="33">
        <v>10.0</v>
      </c>
      <c r="E9" s="8"/>
      <c r="F9" s="8"/>
      <c r="G9" s="8"/>
      <c r="H9" s="8"/>
      <c r="I9" s="8"/>
      <c r="J9" s="33">
        <v>20.0</v>
      </c>
      <c r="K9" s="8"/>
      <c r="L9" s="8"/>
      <c r="M9" s="8"/>
      <c r="N9" s="38">
        <f t="shared" si="1"/>
        <v>45869</v>
      </c>
      <c r="O9" s="8"/>
    </row>
    <row r="10" ht="15.75" customHeight="1">
      <c r="A10" s="8"/>
      <c r="B10" s="32" t="s">
        <v>26</v>
      </c>
      <c r="C10" s="32" t="s">
        <v>33</v>
      </c>
      <c r="D10" s="33">
        <v>100.0</v>
      </c>
      <c r="E10" s="8"/>
      <c r="F10" s="8"/>
      <c r="G10" s="8"/>
      <c r="H10" s="8"/>
      <c r="I10" s="8"/>
      <c r="J10" s="33">
        <v>10.0</v>
      </c>
      <c r="K10" s="8"/>
      <c r="L10" s="8"/>
      <c r="M10" s="8"/>
      <c r="N10" s="38">
        <f t="shared" si="1"/>
        <v>45869</v>
      </c>
      <c r="O10" s="8"/>
    </row>
    <row r="11" ht="15.75" customHeight="1">
      <c r="A11" s="8"/>
      <c r="B11" s="32" t="s">
        <v>25</v>
      </c>
      <c r="C11" s="32" t="s">
        <v>33</v>
      </c>
      <c r="D11" s="33">
        <v>10.0</v>
      </c>
      <c r="E11" s="8"/>
      <c r="F11" s="8"/>
      <c r="G11" s="8"/>
      <c r="H11" s="8"/>
      <c r="I11" s="8"/>
      <c r="J11" s="33">
        <v>36.6</v>
      </c>
      <c r="K11" s="8"/>
      <c r="L11" s="8"/>
      <c r="M11" s="8"/>
      <c r="N11" s="38">
        <f t="shared" si="1"/>
        <v>45869</v>
      </c>
      <c r="O11" s="8"/>
    </row>
    <row r="12" ht="15.75" customHeight="1">
      <c r="A12" s="8"/>
      <c r="B12" s="32" t="s">
        <v>23</v>
      </c>
      <c r="C12" s="32" t="s">
        <v>31</v>
      </c>
      <c r="D12" s="33">
        <v>100.0</v>
      </c>
      <c r="E12" s="8"/>
      <c r="F12" s="8"/>
      <c r="G12" s="8"/>
      <c r="H12" s="8"/>
      <c r="I12" s="8"/>
      <c r="J12" s="33">
        <v>8.0</v>
      </c>
      <c r="K12" s="8"/>
      <c r="L12" s="8"/>
      <c r="M12" s="8"/>
      <c r="N12" s="38">
        <f t="shared" si="1"/>
        <v>45869</v>
      </c>
      <c r="O12" s="8"/>
    </row>
    <row r="13" ht="15.75" customHeight="1">
      <c r="A13" s="8"/>
      <c r="B13" s="32" t="s">
        <v>34</v>
      </c>
      <c r="C13" s="32" t="s">
        <v>32</v>
      </c>
      <c r="D13" s="33">
        <v>20000.0</v>
      </c>
      <c r="E13" s="8"/>
      <c r="F13" s="8"/>
      <c r="G13" s="8"/>
      <c r="H13" s="8"/>
      <c r="I13" s="8"/>
      <c r="J13" s="33">
        <v>5.0</v>
      </c>
      <c r="K13" s="8"/>
      <c r="L13" s="8"/>
      <c r="M13" s="8"/>
      <c r="N13" s="38">
        <f t="shared" si="1"/>
        <v>45869</v>
      </c>
      <c r="O13" s="8"/>
    </row>
    <row r="14" ht="15.75" customHeight="1">
      <c r="A14" s="8"/>
      <c r="B14" s="31" t="s">
        <v>35</v>
      </c>
      <c r="C14" s="32" t="s">
        <v>36</v>
      </c>
      <c r="D14" s="33">
        <v>100.0</v>
      </c>
      <c r="E14" s="8"/>
      <c r="F14" s="8"/>
      <c r="G14" s="8"/>
      <c r="H14" s="8"/>
      <c r="I14" s="8"/>
      <c r="J14" s="33">
        <v>8.0</v>
      </c>
      <c r="K14" s="8"/>
      <c r="L14" s="8"/>
      <c r="M14" s="8"/>
      <c r="N14" s="38">
        <f t="shared" si="1"/>
        <v>45869</v>
      </c>
      <c r="O14" s="8"/>
    </row>
    <row r="15" ht="15.75" customHeight="1">
      <c r="A15" s="8"/>
      <c r="B15" s="32" t="s">
        <v>37</v>
      </c>
      <c r="C15" s="32" t="s">
        <v>38</v>
      </c>
      <c r="D15" s="33">
        <v>10.0</v>
      </c>
      <c r="E15" s="8"/>
      <c r="F15" s="8"/>
      <c r="G15" s="8"/>
      <c r="H15" s="8"/>
      <c r="I15" s="8"/>
      <c r="J15" s="33">
        <v>5.0</v>
      </c>
      <c r="K15" s="8"/>
      <c r="L15" s="8"/>
      <c r="M15" s="8"/>
      <c r="N15" s="38">
        <f t="shared" si="1"/>
        <v>45869</v>
      </c>
      <c r="O15" s="8"/>
    </row>
    <row r="16" ht="15.75" customHeight="1">
      <c r="A16" s="8"/>
      <c r="B16" s="32" t="s">
        <v>24</v>
      </c>
      <c r="C16" s="32" t="s">
        <v>31</v>
      </c>
      <c r="D16" s="33">
        <v>100.0</v>
      </c>
      <c r="E16" s="8"/>
      <c r="F16" s="39" t="s">
        <v>39</v>
      </c>
      <c r="G16" s="8"/>
      <c r="H16" s="8"/>
      <c r="I16" s="8"/>
      <c r="J16" s="37">
        <v>26.47</v>
      </c>
      <c r="K16" s="8"/>
      <c r="L16" s="8"/>
      <c r="M16" s="8"/>
      <c r="N16" s="38">
        <f t="shared" si="1"/>
        <v>45869</v>
      </c>
      <c r="O16" s="8"/>
    </row>
    <row r="17" ht="15.75" customHeight="1">
      <c r="A17" s="8"/>
      <c r="B17" s="32" t="s">
        <v>28</v>
      </c>
      <c r="C17" s="32" t="s">
        <v>31</v>
      </c>
      <c r="D17" s="33">
        <v>100.0</v>
      </c>
      <c r="E17" s="8"/>
      <c r="F17" s="39" t="s">
        <v>39</v>
      </c>
      <c r="G17" s="8"/>
      <c r="H17" s="8"/>
      <c r="I17" s="8"/>
      <c r="J17" s="33">
        <v>10.0</v>
      </c>
      <c r="K17" s="8"/>
      <c r="L17" s="8"/>
      <c r="M17" s="8"/>
      <c r="N17" s="38">
        <f t="shared" si="1"/>
        <v>45869</v>
      </c>
      <c r="O17" s="8"/>
    </row>
    <row r="18" ht="15.75" customHeight="1">
      <c r="A18" s="8"/>
      <c r="B18" s="33">
        <v>1.23456789E8</v>
      </c>
      <c r="C18" s="32" t="s">
        <v>31</v>
      </c>
      <c r="D18" s="33">
        <v>12000.0</v>
      </c>
      <c r="E18" s="8"/>
      <c r="F18" s="39" t="s">
        <v>39</v>
      </c>
      <c r="G18" s="8"/>
      <c r="H18" s="8"/>
      <c r="I18" s="8"/>
      <c r="J18" s="33">
        <v>25.0</v>
      </c>
      <c r="K18" s="8"/>
      <c r="L18" s="8"/>
      <c r="M18" s="8"/>
      <c r="N18" s="38">
        <f t="shared" si="1"/>
        <v>45869</v>
      </c>
      <c r="O18" s="8"/>
    </row>
    <row r="19" ht="15.75" customHeight="1">
      <c r="A19" s="8"/>
      <c r="B19" s="32" t="s">
        <v>27</v>
      </c>
      <c r="C19" s="32" t="s">
        <v>32</v>
      </c>
      <c r="D19" s="33">
        <v>10.0</v>
      </c>
      <c r="E19" s="8"/>
      <c r="F19" s="39" t="s">
        <v>39</v>
      </c>
      <c r="G19" s="8"/>
      <c r="H19" s="8"/>
      <c r="I19" s="8"/>
      <c r="J19" s="33">
        <v>20.0</v>
      </c>
      <c r="K19" s="8"/>
      <c r="L19" s="8"/>
      <c r="M19" s="8"/>
      <c r="N19" s="38">
        <f t="shared" si="1"/>
        <v>45869</v>
      </c>
      <c r="O19" s="8"/>
    </row>
    <row r="20" ht="15.75" customHeight="1">
      <c r="A20" s="8"/>
      <c r="B20" s="32" t="s">
        <v>26</v>
      </c>
      <c r="C20" s="32" t="s">
        <v>33</v>
      </c>
      <c r="D20" s="33">
        <v>100.0</v>
      </c>
      <c r="E20" s="8"/>
      <c r="F20" s="39" t="s">
        <v>39</v>
      </c>
      <c r="G20" s="8"/>
      <c r="H20" s="8"/>
      <c r="I20" s="8"/>
      <c r="J20" s="33">
        <v>10.0</v>
      </c>
      <c r="K20" s="8"/>
      <c r="L20" s="8"/>
      <c r="M20" s="8"/>
      <c r="N20" s="38">
        <f t="shared" si="1"/>
        <v>45869</v>
      </c>
      <c r="O20" s="8"/>
    </row>
    <row r="21" ht="15.75" customHeight="1">
      <c r="A21" s="8"/>
      <c r="B21" s="32" t="s">
        <v>25</v>
      </c>
      <c r="C21" s="32" t="s">
        <v>33</v>
      </c>
      <c r="D21" s="33">
        <v>10.0</v>
      </c>
      <c r="E21" s="8"/>
      <c r="F21" s="39" t="s">
        <v>39</v>
      </c>
      <c r="G21" s="8"/>
      <c r="H21" s="8"/>
      <c r="I21" s="8"/>
      <c r="J21" s="33">
        <v>36.6</v>
      </c>
      <c r="K21" s="8"/>
      <c r="L21" s="8"/>
      <c r="M21" s="8"/>
      <c r="N21" s="38">
        <f t="shared" si="1"/>
        <v>45869</v>
      </c>
      <c r="O21" s="8"/>
    </row>
    <row r="22" ht="15.75" customHeight="1">
      <c r="A22" s="8"/>
      <c r="B22" s="32" t="s">
        <v>23</v>
      </c>
      <c r="C22" s="32" t="s">
        <v>31</v>
      </c>
      <c r="D22" s="33">
        <v>100.0</v>
      </c>
      <c r="E22" s="8"/>
      <c r="F22" s="39" t="s">
        <v>39</v>
      </c>
      <c r="G22" s="8"/>
      <c r="H22" s="8"/>
      <c r="I22" s="8"/>
      <c r="J22" s="33">
        <v>8.0</v>
      </c>
      <c r="K22" s="8"/>
      <c r="L22" s="8"/>
      <c r="M22" s="8"/>
      <c r="N22" s="38">
        <f t="shared" si="1"/>
        <v>45869</v>
      </c>
      <c r="O22" s="8"/>
    </row>
    <row r="23" ht="15.75" customHeight="1">
      <c r="A23" s="8"/>
      <c r="B23" s="32" t="s">
        <v>34</v>
      </c>
      <c r="C23" s="32" t="s">
        <v>32</v>
      </c>
      <c r="D23" s="33">
        <v>20000.0</v>
      </c>
      <c r="E23" s="8"/>
      <c r="F23" s="39" t="s">
        <v>39</v>
      </c>
      <c r="G23" s="8"/>
      <c r="H23" s="8"/>
      <c r="I23" s="8"/>
      <c r="J23" s="33">
        <v>5.0</v>
      </c>
      <c r="K23" s="8"/>
      <c r="L23" s="8"/>
      <c r="M23" s="8"/>
      <c r="N23" s="38">
        <f t="shared" si="1"/>
        <v>45869</v>
      </c>
      <c r="O23" s="8"/>
    </row>
    <row r="24" ht="15.75" customHeight="1">
      <c r="A24" s="8"/>
      <c r="B24" s="31" t="s">
        <v>35</v>
      </c>
      <c r="C24" s="32" t="s">
        <v>36</v>
      </c>
      <c r="D24" s="33">
        <v>100.0</v>
      </c>
      <c r="E24" s="8"/>
      <c r="F24" s="39" t="s">
        <v>39</v>
      </c>
      <c r="G24" s="8"/>
      <c r="H24" s="8"/>
      <c r="I24" s="8"/>
      <c r="J24" s="33">
        <v>8.0</v>
      </c>
      <c r="K24" s="8"/>
      <c r="L24" s="8"/>
      <c r="M24" s="8"/>
      <c r="N24" s="38">
        <f t="shared" si="1"/>
        <v>45869</v>
      </c>
      <c r="O24" s="8"/>
    </row>
    <row r="25" ht="15.75" customHeight="1">
      <c r="A25" s="8"/>
      <c r="B25" s="32" t="s">
        <v>37</v>
      </c>
      <c r="C25" s="32" t="s">
        <v>38</v>
      </c>
      <c r="D25" s="33">
        <v>10.0</v>
      </c>
      <c r="E25" s="8"/>
      <c r="F25" s="39" t="s">
        <v>39</v>
      </c>
      <c r="G25" s="8"/>
      <c r="H25" s="8"/>
      <c r="I25" s="8"/>
      <c r="J25" s="33">
        <v>5.0</v>
      </c>
      <c r="K25" s="8"/>
      <c r="L25" s="8"/>
      <c r="M25" s="8"/>
      <c r="N25" s="38">
        <f t="shared" si="1"/>
        <v>45869</v>
      </c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7">
        <v>26.47</v>
      </c>
      <c r="E6" s="31" t="s">
        <v>41</v>
      </c>
      <c r="F6" s="31"/>
      <c r="G6" s="31"/>
      <c r="H6" s="31"/>
      <c r="I6" s="39"/>
      <c r="J6" s="32" t="s">
        <v>31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8">
        <f t="shared" ref="Z6:Z25" si="1">TODAY()-1</f>
        <v>45869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41</v>
      </c>
      <c r="F7" s="31"/>
      <c r="G7" s="31"/>
      <c r="H7" s="31"/>
      <c r="I7" s="39"/>
      <c r="J7" s="32" t="s">
        <v>31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8">
        <f t="shared" si="1"/>
        <v>45869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41</v>
      </c>
      <c r="F8" s="31"/>
      <c r="G8" s="31"/>
      <c r="H8" s="31"/>
      <c r="I8" s="39"/>
      <c r="J8" s="32" t="s">
        <v>31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8">
        <f t="shared" si="1"/>
        <v>45869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41</v>
      </c>
      <c r="F9" s="31"/>
      <c r="G9" s="31"/>
      <c r="H9" s="31"/>
      <c r="I9" s="39"/>
      <c r="J9" s="32" t="s">
        <v>32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8">
        <f t="shared" si="1"/>
        <v>45869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41</v>
      </c>
      <c r="F10" s="31"/>
      <c r="G10" s="31"/>
      <c r="H10" s="31"/>
      <c r="I10" s="39"/>
      <c r="J10" s="32" t="s">
        <v>33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8">
        <f t="shared" si="1"/>
        <v>45869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41</v>
      </c>
      <c r="F11" s="31"/>
      <c r="G11" s="31"/>
      <c r="H11" s="31"/>
      <c r="I11" s="39"/>
      <c r="J11" s="32" t="s">
        <v>33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8">
        <f t="shared" si="1"/>
        <v>45869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41</v>
      </c>
      <c r="F12" s="31"/>
      <c r="G12" s="31"/>
      <c r="H12" s="31"/>
      <c r="I12" s="39"/>
      <c r="J12" s="32" t="s">
        <v>31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8">
        <f t="shared" si="1"/>
        <v>45869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34</v>
      </c>
      <c r="C13" s="33">
        <v>20000.0</v>
      </c>
      <c r="D13" s="33">
        <v>5.0</v>
      </c>
      <c r="E13" s="31" t="s">
        <v>41</v>
      </c>
      <c r="F13" s="31"/>
      <c r="G13" s="31"/>
      <c r="H13" s="31"/>
      <c r="I13" s="39"/>
      <c r="J13" s="32" t="s">
        <v>32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8">
        <f t="shared" si="1"/>
        <v>45869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35</v>
      </c>
      <c r="C14" s="33">
        <v>100.0</v>
      </c>
      <c r="D14" s="33">
        <v>8.0</v>
      </c>
      <c r="E14" s="31" t="s">
        <v>41</v>
      </c>
      <c r="F14" s="31"/>
      <c r="G14" s="31"/>
      <c r="H14" s="31"/>
      <c r="I14" s="39"/>
      <c r="J14" s="32" t="s">
        <v>36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8">
        <f t="shared" si="1"/>
        <v>45869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37</v>
      </c>
      <c r="C15" s="33">
        <v>10.0</v>
      </c>
      <c r="D15" s="33">
        <v>5.0</v>
      </c>
      <c r="E15" s="31" t="s">
        <v>41</v>
      </c>
      <c r="F15" s="31"/>
      <c r="G15" s="31"/>
      <c r="H15" s="31"/>
      <c r="I15" s="39"/>
      <c r="J15" s="32" t="s">
        <v>38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8">
        <f t="shared" si="1"/>
        <v>45869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0"/>
      <c r="B16" s="34" t="s">
        <v>24</v>
      </c>
      <c r="C16" s="33">
        <v>100.0</v>
      </c>
      <c r="D16" s="37">
        <v>26.47</v>
      </c>
      <c r="E16" s="31" t="s">
        <v>41</v>
      </c>
      <c r="F16" s="31"/>
      <c r="G16" s="31"/>
      <c r="H16" s="31"/>
      <c r="I16" s="39" t="s">
        <v>39</v>
      </c>
      <c r="J16" s="32" t="s">
        <v>31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8">
        <f t="shared" si="1"/>
        <v>45869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2" t="s">
        <v>28</v>
      </c>
      <c r="C17" s="33">
        <v>100.0</v>
      </c>
      <c r="D17" s="33">
        <v>10.0</v>
      </c>
      <c r="E17" s="31" t="s">
        <v>41</v>
      </c>
      <c r="F17" s="31"/>
      <c r="G17" s="31"/>
      <c r="H17" s="31"/>
      <c r="I17" s="39" t="s">
        <v>39</v>
      </c>
      <c r="J17" s="32" t="s">
        <v>31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8">
        <f t="shared" si="1"/>
        <v>45869</v>
      </c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3">
        <v>1.23456789E8</v>
      </c>
      <c r="C18" s="33">
        <v>12000.0</v>
      </c>
      <c r="D18" s="33">
        <v>25.0</v>
      </c>
      <c r="E18" s="31" t="s">
        <v>41</v>
      </c>
      <c r="F18" s="31"/>
      <c r="G18" s="31"/>
      <c r="H18" s="31"/>
      <c r="I18" s="39" t="s">
        <v>39</v>
      </c>
      <c r="J18" s="32" t="s">
        <v>31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8">
        <f t="shared" si="1"/>
        <v>45869</v>
      </c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1"/>
      <c r="B19" s="32" t="s">
        <v>27</v>
      </c>
      <c r="C19" s="33">
        <v>10.0</v>
      </c>
      <c r="D19" s="33">
        <v>20.0</v>
      </c>
      <c r="E19" s="31" t="s">
        <v>41</v>
      </c>
      <c r="F19" s="31"/>
      <c r="G19" s="31"/>
      <c r="H19" s="31"/>
      <c r="I19" s="39" t="s">
        <v>39</v>
      </c>
      <c r="J19" s="32" t="s">
        <v>32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8">
        <f t="shared" si="1"/>
        <v>45869</v>
      </c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31"/>
      <c r="B20" s="32" t="s">
        <v>26</v>
      </c>
      <c r="C20" s="33">
        <v>100.0</v>
      </c>
      <c r="D20" s="33">
        <v>10.0</v>
      </c>
      <c r="E20" s="31" t="s">
        <v>41</v>
      </c>
      <c r="F20" s="31"/>
      <c r="G20" s="31"/>
      <c r="H20" s="31"/>
      <c r="I20" s="39" t="s">
        <v>39</v>
      </c>
      <c r="J20" s="32" t="s">
        <v>33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8">
        <f t="shared" si="1"/>
        <v>45869</v>
      </c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</row>
    <row r="21" ht="15.75" customHeight="1">
      <c r="A21" s="31"/>
      <c r="B21" s="32" t="s">
        <v>25</v>
      </c>
      <c r="C21" s="33">
        <v>10.0</v>
      </c>
      <c r="D21" s="33">
        <v>36.6</v>
      </c>
      <c r="E21" s="31" t="s">
        <v>41</v>
      </c>
      <c r="F21" s="31"/>
      <c r="G21" s="31"/>
      <c r="H21" s="31"/>
      <c r="I21" s="39" t="s">
        <v>39</v>
      </c>
      <c r="J21" s="32" t="s">
        <v>33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8">
        <f t="shared" si="1"/>
        <v>45869</v>
      </c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</row>
    <row r="22" ht="15.75" customHeight="1">
      <c r="A22" s="31"/>
      <c r="B22" s="32" t="s">
        <v>23</v>
      </c>
      <c r="C22" s="33">
        <v>100.0</v>
      </c>
      <c r="D22" s="33">
        <v>8.0</v>
      </c>
      <c r="E22" s="31" t="s">
        <v>41</v>
      </c>
      <c r="F22" s="31"/>
      <c r="G22" s="31"/>
      <c r="H22" s="31"/>
      <c r="I22" s="39" t="s">
        <v>39</v>
      </c>
      <c r="J22" s="32" t="s">
        <v>31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8">
        <f t="shared" si="1"/>
        <v>45869</v>
      </c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</row>
    <row r="23" ht="15.75" customHeight="1">
      <c r="A23" s="31"/>
      <c r="B23" s="32" t="s">
        <v>34</v>
      </c>
      <c r="C23" s="33">
        <v>20000.0</v>
      </c>
      <c r="D23" s="33">
        <v>5.0</v>
      </c>
      <c r="E23" s="31" t="s">
        <v>41</v>
      </c>
      <c r="F23" s="31"/>
      <c r="G23" s="31"/>
      <c r="H23" s="31"/>
      <c r="I23" s="39" t="s">
        <v>39</v>
      </c>
      <c r="J23" s="32" t="s">
        <v>32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8">
        <f t="shared" si="1"/>
        <v>45869</v>
      </c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</row>
    <row r="24" ht="15.75" customHeight="1">
      <c r="A24" s="31"/>
      <c r="B24" s="31" t="s">
        <v>35</v>
      </c>
      <c r="C24" s="33">
        <v>100.0</v>
      </c>
      <c r="D24" s="33">
        <v>8.0</v>
      </c>
      <c r="E24" s="31" t="s">
        <v>41</v>
      </c>
      <c r="F24" s="31"/>
      <c r="G24" s="31"/>
      <c r="H24" s="31"/>
      <c r="I24" s="39" t="s">
        <v>39</v>
      </c>
      <c r="J24" s="32" t="s">
        <v>36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8">
        <f t="shared" si="1"/>
        <v>45869</v>
      </c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</row>
    <row r="25" ht="15.75" customHeight="1">
      <c r="A25" s="31"/>
      <c r="B25" s="32" t="s">
        <v>37</v>
      </c>
      <c r="C25" s="33">
        <v>10.0</v>
      </c>
      <c r="D25" s="33">
        <v>5.0</v>
      </c>
      <c r="E25" s="31" t="s">
        <v>41</v>
      </c>
      <c r="F25" s="31"/>
      <c r="G25" s="31"/>
      <c r="H25" s="31"/>
      <c r="I25" s="39" t="s">
        <v>39</v>
      </c>
      <c r="J25" s="32" t="s">
        <v>38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8">
        <f t="shared" si="1"/>
        <v>45869</v>
      </c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34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35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37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45869</v>
      </c>
      <c r="C6" s="38">
        <f>TODAY()</f>
        <v>45870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46</v>
      </c>
      <c r="C6" s="40" t="s">
        <v>47</v>
      </c>
      <c r="D6" s="34" t="s">
        <v>48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49</v>
      </c>
      <c r="C7" s="32" t="s">
        <v>47</v>
      </c>
      <c r="D7" s="32" t="s">
        <v>50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53</v>
      </c>
      <c r="C6" s="38">
        <f>TODAY()-1</f>
        <v>45869</v>
      </c>
      <c r="D6" s="38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12" t="s">
        <v>55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12" t="s">
        <v>55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12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12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57</v>
      </c>
      <c r="C6" s="32" t="s">
        <v>32</v>
      </c>
      <c r="D6" s="33">
        <v>10.0</v>
      </c>
      <c r="E6" s="36"/>
      <c r="F6" s="8"/>
      <c r="G6" s="8"/>
      <c r="H6" s="8"/>
      <c r="I6" s="8"/>
      <c r="J6" s="33">
        <v>5.0</v>
      </c>
      <c r="K6" s="8"/>
      <c r="L6" s="8"/>
      <c r="M6" s="8"/>
      <c r="N6" s="8"/>
      <c r="O6" s="8"/>
    </row>
    <row r="7" ht="15.75" customHeight="1">
      <c r="A7" s="8"/>
      <c r="B7" s="32" t="s">
        <v>57</v>
      </c>
      <c r="C7" s="32" t="s">
        <v>32</v>
      </c>
      <c r="D7" s="33">
        <v>10.0</v>
      </c>
      <c r="E7" s="8"/>
      <c r="F7" s="39" t="s">
        <v>39</v>
      </c>
      <c r="G7" s="8"/>
      <c r="H7" s="8"/>
      <c r="I7" s="8"/>
      <c r="J7" s="33">
        <v>5.0</v>
      </c>
      <c r="K7" s="8"/>
      <c r="L7" s="8"/>
      <c r="M7" s="8"/>
      <c r="N7" s="8"/>
      <c r="O7" s="8"/>
    </row>
    <row r="8" ht="15.75" customHeight="1">
      <c r="A8" s="8"/>
      <c r="B8" s="34" t="s">
        <v>58</v>
      </c>
      <c r="C8" s="32" t="s">
        <v>31</v>
      </c>
      <c r="D8" s="33">
        <v>100.0</v>
      </c>
      <c r="E8" s="8"/>
      <c r="F8" s="8"/>
      <c r="G8" s="8"/>
      <c r="H8" s="8"/>
      <c r="I8" s="8"/>
      <c r="J8" s="37">
        <v>50.0</v>
      </c>
      <c r="K8" s="8"/>
      <c r="L8" s="8"/>
      <c r="M8" s="8"/>
      <c r="N8" s="8"/>
      <c r="O8" s="8"/>
    </row>
    <row r="9" ht="15.75" customHeight="1">
      <c r="A9" s="8"/>
      <c r="B9" s="32" t="s">
        <v>58</v>
      </c>
      <c r="C9" s="32" t="s">
        <v>32</v>
      </c>
      <c r="D9" s="33">
        <v>1.0</v>
      </c>
      <c r="E9" s="8"/>
      <c r="F9" s="8"/>
      <c r="G9" s="8"/>
      <c r="H9" s="8"/>
      <c r="I9" s="8"/>
      <c r="J9" s="33">
        <v>50.0</v>
      </c>
      <c r="K9" s="8"/>
      <c r="L9" s="8"/>
      <c r="M9" s="8"/>
      <c r="N9" s="8"/>
      <c r="O9" s="8"/>
    </row>
    <row r="10" ht="15.75" customHeight="1">
      <c r="A10" s="8"/>
      <c r="B10" s="32" t="s">
        <v>58</v>
      </c>
      <c r="C10" s="32" t="s">
        <v>32</v>
      </c>
      <c r="D10" s="33">
        <v>98.0</v>
      </c>
      <c r="E10" s="8"/>
      <c r="F10" s="8"/>
      <c r="G10" s="8"/>
      <c r="H10" s="8"/>
      <c r="I10" s="8"/>
      <c r="J10" s="33">
        <v>50.0</v>
      </c>
      <c r="K10" s="8"/>
      <c r="L10" s="8"/>
      <c r="M10" s="8"/>
      <c r="N10" s="8"/>
      <c r="O10" s="8"/>
    </row>
    <row r="11" ht="15.75" customHeight="1">
      <c r="A11" s="8"/>
      <c r="B11" s="34" t="s">
        <v>58</v>
      </c>
      <c r="C11" s="32" t="s">
        <v>31</v>
      </c>
      <c r="D11" s="33">
        <v>100.0</v>
      </c>
      <c r="E11" s="8"/>
      <c r="F11" s="39" t="s">
        <v>39</v>
      </c>
      <c r="G11" s="8"/>
      <c r="H11" s="8"/>
      <c r="I11" s="8"/>
      <c r="J11" s="37">
        <v>50.0</v>
      </c>
      <c r="K11" s="8"/>
      <c r="L11" s="8"/>
      <c r="M11" s="8"/>
      <c r="N11" s="8"/>
      <c r="O11" s="8"/>
    </row>
    <row r="12" ht="15.75" customHeight="1">
      <c r="A12" s="8"/>
      <c r="B12" s="32" t="s">
        <v>58</v>
      </c>
      <c r="C12" s="32" t="s">
        <v>32</v>
      </c>
      <c r="D12" s="33">
        <v>1.0</v>
      </c>
      <c r="E12" s="8"/>
      <c r="F12" s="39" t="s">
        <v>39</v>
      </c>
      <c r="G12" s="8"/>
      <c r="H12" s="8"/>
      <c r="I12" s="8"/>
      <c r="J12" s="33">
        <v>50.0</v>
      </c>
      <c r="K12" s="8"/>
      <c r="L12" s="8"/>
      <c r="M12" s="8"/>
      <c r="N12" s="8"/>
      <c r="O12" s="8"/>
    </row>
    <row r="13" ht="15.75" customHeight="1">
      <c r="A13" s="8"/>
      <c r="B13" s="32" t="s">
        <v>58</v>
      </c>
      <c r="C13" s="32" t="s">
        <v>32</v>
      </c>
      <c r="D13" s="33">
        <v>98.0</v>
      </c>
      <c r="E13" s="8"/>
      <c r="F13" s="39" t="s">
        <v>39</v>
      </c>
      <c r="G13" s="8"/>
      <c r="H13" s="8"/>
      <c r="I13" s="8"/>
      <c r="J13" s="33">
        <v>50.0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3">
        <v>100.0</v>
      </c>
      <c r="D6" s="37">
        <v>50.0</v>
      </c>
      <c r="E6" s="31" t="s">
        <v>41</v>
      </c>
      <c r="F6" s="31"/>
      <c r="G6" s="31"/>
      <c r="H6" s="31"/>
      <c r="I6" s="31"/>
      <c r="J6" s="32" t="s">
        <v>31</v>
      </c>
      <c r="K6" s="31"/>
      <c r="L6" s="31"/>
      <c r="M6" s="31"/>
      <c r="N6" s="4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58</v>
      </c>
      <c r="C7" s="33">
        <v>1.0</v>
      </c>
      <c r="D7" s="33">
        <v>50.0</v>
      </c>
      <c r="E7" s="31" t="s">
        <v>41</v>
      </c>
      <c r="F7" s="31"/>
      <c r="G7" s="31"/>
      <c r="H7" s="31"/>
      <c r="I7" s="31"/>
      <c r="J7" s="32" t="s">
        <v>32</v>
      </c>
      <c r="K7" s="31"/>
      <c r="L7" s="31"/>
      <c r="M7" s="31"/>
      <c r="N7" s="4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58</v>
      </c>
      <c r="C8" s="33">
        <v>98.0</v>
      </c>
      <c r="D8" s="33">
        <v>50.0</v>
      </c>
      <c r="E8" s="31" t="s">
        <v>41</v>
      </c>
      <c r="F8" s="31"/>
      <c r="G8" s="31"/>
      <c r="H8" s="31"/>
      <c r="I8" s="31"/>
      <c r="J8" s="32" t="s">
        <v>32</v>
      </c>
      <c r="K8" s="31"/>
      <c r="L8" s="31"/>
      <c r="M8" s="31"/>
      <c r="N8" s="4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0"/>
      <c r="B9" s="34" t="s">
        <v>58</v>
      </c>
      <c r="C9" s="33">
        <v>100.0</v>
      </c>
      <c r="D9" s="37">
        <v>50.0</v>
      </c>
      <c r="E9" s="31" t="s">
        <v>41</v>
      </c>
      <c r="F9" s="31"/>
      <c r="G9" s="31"/>
      <c r="H9" s="31"/>
      <c r="I9" s="39" t="s">
        <v>39</v>
      </c>
      <c r="J9" s="32" t="s">
        <v>31</v>
      </c>
      <c r="K9" s="31"/>
      <c r="L9" s="31"/>
      <c r="M9" s="31"/>
      <c r="N9" s="4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58</v>
      </c>
      <c r="C10" s="33">
        <v>1.0</v>
      </c>
      <c r="D10" s="33">
        <v>50.0</v>
      </c>
      <c r="E10" s="31" t="s">
        <v>41</v>
      </c>
      <c r="F10" s="31"/>
      <c r="G10" s="31"/>
      <c r="H10" s="31"/>
      <c r="I10" s="39" t="s">
        <v>39</v>
      </c>
      <c r="J10" s="32" t="s">
        <v>32</v>
      </c>
      <c r="K10" s="31"/>
      <c r="L10" s="31"/>
      <c r="M10" s="31"/>
      <c r="N10" s="4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58</v>
      </c>
      <c r="C11" s="33">
        <v>98.0</v>
      </c>
      <c r="D11" s="33">
        <v>50.0</v>
      </c>
      <c r="E11" s="31" t="s">
        <v>41</v>
      </c>
      <c r="F11" s="31"/>
      <c r="G11" s="31"/>
      <c r="H11" s="31"/>
      <c r="I11" s="39" t="s">
        <v>39</v>
      </c>
      <c r="J11" s="32" t="s">
        <v>32</v>
      </c>
      <c r="K11" s="31"/>
      <c r="L11" s="31"/>
      <c r="M11" s="31"/>
      <c r="N11" s="4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57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 t="shared" ref="B6:C6" si="1">TODAY()-1</f>
        <v>45869</v>
      </c>
      <c r="C6" s="38">
        <f t="shared" si="1"/>
        <v>45869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55</v>
      </c>
      <c r="C6" s="32" t="s">
        <v>47</v>
      </c>
      <c r="D6" s="42">
        <v>4662.5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0"/>
      <c r="B7" s="43" t="s">
        <v>39</v>
      </c>
      <c r="C7" s="32" t="s">
        <v>47</v>
      </c>
      <c r="D7" s="42">
        <v>4662.5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55</v>
      </c>
      <c r="C6" s="31" t="s">
        <v>63</v>
      </c>
      <c r="D6" s="44">
        <f t="shared" ref="D6:E6" si="1">TODAY()</f>
        <v>45870</v>
      </c>
      <c r="E6" s="44">
        <f t="shared" si="1"/>
        <v>45870</v>
      </c>
      <c r="F6" s="31"/>
      <c r="G6" s="31" t="s">
        <v>64</v>
      </c>
      <c r="H6" s="31" t="s">
        <v>65</v>
      </c>
      <c r="I6" s="31" t="s">
        <v>64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67</v>
      </c>
      <c r="D6" s="34" t="s">
        <v>68</v>
      </c>
      <c r="E6" s="31" t="s">
        <v>69</v>
      </c>
      <c r="F6" s="32" t="s">
        <v>55</v>
      </c>
      <c r="G6" s="32" t="s">
        <v>47</v>
      </c>
      <c r="H6" s="33">
        <v>1500.0</v>
      </c>
      <c r="I6" s="38">
        <f>TODAY()-1</f>
        <v>45869</v>
      </c>
      <c r="J6" s="38">
        <f>TODAY()+2</f>
        <v>45872</v>
      </c>
      <c r="K6" s="38">
        <f>TODAY()</f>
        <v>45870</v>
      </c>
      <c r="L6" s="31"/>
      <c r="M6" s="45" t="s">
        <v>70</v>
      </c>
      <c r="N6" s="45" t="s">
        <v>47</v>
      </c>
      <c r="O6" s="46">
        <v>1.0</v>
      </c>
      <c r="P6" s="45" t="s">
        <v>71</v>
      </c>
      <c r="Q6" s="47" t="s">
        <v>72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74</v>
      </c>
      <c r="C6" s="32" t="s">
        <v>55</v>
      </c>
      <c r="D6" s="38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39</v>
      </c>
      <c r="C6" s="31" t="s">
        <v>63</v>
      </c>
      <c r="D6" s="44">
        <f t="shared" ref="D6:E6" si="1">TODAY()</f>
        <v>45870</v>
      </c>
      <c r="E6" s="44">
        <f t="shared" si="1"/>
        <v>45870</v>
      </c>
      <c r="F6" s="31"/>
      <c r="G6" s="31" t="s">
        <v>64</v>
      </c>
      <c r="H6" s="31" t="s">
        <v>65</v>
      </c>
      <c r="I6" s="31" t="s">
        <v>64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67</v>
      </c>
      <c r="D6" s="34" t="s">
        <v>68</v>
      </c>
      <c r="E6" s="31" t="s">
        <v>69</v>
      </c>
      <c r="F6" s="43" t="s">
        <v>39</v>
      </c>
      <c r="G6" s="32" t="s">
        <v>47</v>
      </c>
      <c r="H6" s="33">
        <v>1500.0</v>
      </c>
      <c r="I6" s="38">
        <f>TODAY()-1</f>
        <v>45869</v>
      </c>
      <c r="J6" s="38">
        <f>TODAY()+2</f>
        <v>45872</v>
      </c>
      <c r="K6" s="38">
        <f>TODAY()</f>
        <v>45870</v>
      </c>
      <c r="L6" s="31"/>
      <c r="M6" s="45" t="s">
        <v>70</v>
      </c>
      <c r="N6" s="45" t="s">
        <v>47</v>
      </c>
      <c r="O6" s="46">
        <v>1.0</v>
      </c>
      <c r="P6" s="45" t="s">
        <v>71</v>
      </c>
      <c r="Q6" s="47" t="s">
        <v>72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74</v>
      </c>
      <c r="C6" s="43" t="s">
        <v>39</v>
      </c>
      <c r="D6" s="38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