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SymbolToWatchlist" sheetId="4" r:id="rId6"/>
    <sheet state="visible" name="TradeFromWatchlist" sheetId="5" r:id="rId7"/>
    <sheet state="visible" name="SelectTradeUsingMTT" sheetId="6" r:id="rId8"/>
    <sheet state="visible" name="EditTradeUsingMTT" sheetId="7" r:id="rId9"/>
    <sheet state="visible" name="SelectTradeUsingMTT1" sheetId="8" r:id="rId10"/>
    <sheet state="visible" name="EditTradeUsingMTT1" sheetId="9" r:id="rId11"/>
    <sheet state="visible" name="DoneAwayUsingMTT" sheetId="10" r:id="rId12"/>
    <sheet state="visible" name="CreateDoneAwayOrder" sheetId="11" r:id="rId13"/>
    <sheet state="visible" name="MergeOrder" sheetId="12" r:id="rId14"/>
    <sheet state="visible" name="VerifyOrder" sheetId="13" r:id="rId15"/>
  </sheets>
  <definedNames/>
  <calcPr/>
</workbook>
</file>

<file path=xl/sharedStrings.xml><?xml version="1.0" encoding="utf-8"?>
<sst xmlns="http://schemas.openxmlformats.org/spreadsheetml/2006/main" count="235" uniqueCount="48">
  <si>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</si>
  <si>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</si>
  <si>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</si>
  <si>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</si>
  <si>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</si>
  <si>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</si>
  <si>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</si>
  <si>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</si>
  <si>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</si>
  <si>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</si>
  <si>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</si>
  <si>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</si>
  <si>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Watchlist</t>
  </si>
  <si>
    <t>AddSymbolToWatchlist</t>
  </si>
  <si>
    <t>Data Format</t>
  </si>
  <si>
    <t>Input Format</t>
  </si>
  <si>
    <t>AAPL</t>
  </si>
  <si>
    <t>SAP</t>
  </si>
  <si>
    <t>TradeFromWatchlist</t>
  </si>
  <si>
    <t>Buy</t>
  </si>
  <si>
    <t>MultiTradingTicket</t>
  </si>
  <si>
    <t>SelectTradeUsingMTT</t>
  </si>
  <si>
    <t>EditTradeUsingMTT</t>
  </si>
  <si>
    <t>DoneAwayUsingMTT</t>
  </si>
  <si>
    <t>TradingTicket</t>
  </si>
  <si>
    <t>CreateDoneAwayOrder</t>
  </si>
  <si>
    <t>Blotter</t>
  </si>
  <si>
    <t>MergeOrder</t>
  </si>
  <si>
    <t>Yes</t>
  </si>
  <si>
    <t>VerifyOrder</t>
  </si>
  <si>
    <t/>
  </si>
  <si>
    <t>AAPL US EQUITY</t>
  </si>
  <si>
    <t>NASDAQ</t>
  </si>
  <si>
    <t>jpearce</t>
  </si>
  <si>
    <t>US</t>
  </si>
  <si>
    <t>GCCAP1</t>
  </si>
  <si>
    <t>USD</t>
  </si>
  <si>
    <t>NONE</t>
  </si>
  <si>
    <t>NewMF</t>
  </si>
  <si>
    <t>M</t>
  </si>
  <si>
    <t>Equity</t>
  </si>
  <si>
    <t>Filled</t>
  </si>
  <si>
    <t>MS</t>
  </si>
  <si>
    <t>Allocation1</t>
  </si>
  <si>
    <t>Market</t>
  </si>
  <si>
    <t>Manual</t>
  </si>
  <si>
    <t>None</t>
  </si>
  <si>
    <t>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</si>
</sst>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13" numFmtId="0" xfId="0" applyAlignment="1" applyFont="1">
      <alignment readingOrder="0" shrinkToFit="0" vertical="bottom" wrapText="0"/>
    </xf>
    <xf borderId="0" fillId="0" fontId="3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IFERROR(__xludf.DUMMYFUNCTION("IF(C3="""","""",Transpose(IMPORTRANGE('_Settings'!$B$3,C3&amp;""!A4:A1000"")))"),"AddTabOnWatchlist")</f>
        <v>AddTabOnWatchlist</v>
      </c>
      <c r="C4" s="24" t="str">
        <f>IFERROR(__xludf.DUMMYFUNCTION("""COMPUTED_VALUE"""),"DeleteTabOnWatchlist")</f>
        <v>DeleteTabOnWatchlist</v>
      </c>
      <c r="D4" s="24" t="str">
        <f>IFERROR(__xludf.DUMMYFUNCTION("""COMPUTED_VALUE"""),"AddSymbolToWatchlist")</f>
        <v>AddSymbolToWatchlist</v>
      </c>
      <c r="E4" s="24" t="str">
        <f>IFERROR(__xludf.DUMMYFUNCTION("""COMPUTED_VALUE"""),"TradeFromWatchlist")</f>
        <v>TradeFromWatchlist</v>
      </c>
      <c r="F4" s="24" t="str">
        <f>IFERROR(__xludf.DUMMYFUNCTION("""COMPUTED_VALUE"""),"MultiTradeFromWatchlist")</f>
        <v>MultiTradeFromWatchlist</v>
      </c>
      <c r="G4" s="24" t="str">
        <f>IFERROR(__xludf.DUMMYFUNCTION("""COMPUTED_VALUE"""),"DeleteSymbolFromWatchlist")</f>
        <v>DeleteSymbolFromWatchlist</v>
      </c>
      <c r="H4" s="24" t="str">
        <f>IFERROR(__xludf.DUMMYFUNCTION("""COMPUTED_VALUE"""),"VerifySymbolsOnWatchlist")</f>
        <v>VerifySymbolsOnWatchlist</v>
      </c>
      <c r="I4" s="24" t="str">
        <f>IFERROR(__xludf.DUMMYFUNCTION("""COMPUTED_VALUE"""),"OpenPTTFromWatchlist")</f>
        <v>OpenPTTFromWatchlist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/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3" t="s">
        <v>17</v>
      </c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AddSymbolToWatchlist!$4:$4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IFERROR(__xludf.DUMMYFUNCTION("IF(C3="""","""",Transpose(IMPORTRANGE('_Settings'!$B$3,C3&amp;""!A4:A1000"")))"),"AddTabOnWatchlist")</f>
        <v>AddTabOnWatchlist</v>
      </c>
      <c r="C4" s="24" t="str">
        <f>IFERROR(__xludf.DUMMYFUNCTION("""COMPUTED_VALUE"""),"DeleteTabOnWatchlist")</f>
        <v>DeleteTabOnWatchlist</v>
      </c>
      <c r="D4" s="24" t="str">
        <f>IFERROR(__xludf.DUMMYFUNCTION("""COMPUTED_VALUE"""),"AddSymbolToWatchlist")</f>
        <v>AddSymbolToWatchlist</v>
      </c>
      <c r="E4" s="24" t="str">
        <f>IFERROR(__xludf.DUMMYFUNCTION("""COMPUTED_VALUE"""),"TradeFromWatchlist")</f>
        <v>TradeFromWatchlist</v>
      </c>
      <c r="F4" s="24" t="str">
        <f>IFERROR(__xludf.DUMMYFUNCTION("""COMPUTED_VALUE"""),"MultiTradeFromWatchlist")</f>
        <v>MultiTradeFromWatchlist</v>
      </c>
      <c r="G4" s="24" t="str">
        <f>IFERROR(__xludf.DUMMYFUNCTION("""COMPUTED_VALUE"""),"DeleteSymbolFromWatchlist")</f>
        <v>DeleteSymbolFromWatchlist</v>
      </c>
      <c r="H4" s="24" t="str">
        <f>IFERROR(__xludf.DUMMYFUNCTION("""COMPUTED_VALUE"""),"VerifySymbolsOnWatchlist")</f>
        <v>VerifySymbolsOnWatchlist</v>
      </c>
      <c r="I4" s="24" t="str">
        <f>IFERROR(__xludf.DUMMYFUNCTION("""COMPUTED_VALUE"""),"OpenPTTFromWatchlist")</f>
        <v>OpenPTTFromWatchlist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4" t="s">
        <v>19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3" t="s">
        <v>17</v>
      </c>
      <c r="C7" s="34" t="s">
        <v>19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TradeFromWatchlist!$4:$4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/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3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IFERROR(__xludf.DUMMYFUNCTION("""COMPUTED_VALUE"""),"FX Operator")</f>
        <v>FX Operator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19</v>
      </c>
      <c r="D6" s="12">
        <v>100.0</v>
      </c>
      <c r="E6" s="35"/>
      <c r="F6" s="8"/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8"/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IFERROR(__xludf.DUMMYFUNCTION("""COMPUTED_VALUE"""),"FX Operator")</f>
        <v>FX Operator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19</v>
      </c>
      <c r="D6" s="12">
        <v>100.0</v>
      </c>
      <c r="E6" s="35"/>
      <c r="F6" s="8"/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IFERROR(__xludf.DUMMYFUNCTION("""COMPUTED_VALUE"""),"SharesOutstandingPopUp")</f>
        <v>SharesOutstandingPopUp</v>
      </c>
      <c r="AL5" s="29" t="str">
        <f>IFERROR(__xludf.DUMMYFUNCTION("""COMPUTED_VALUE"""),"PopUpQuantity")</f>
        <v>PopUpQuantity</v>
      </c>
      <c r="AM5" s="29" t="str">
        <f>IFERROR(__xludf.DUMMYFUNCTION("""COMPUTED_VALUE"""),"ResAllowedListPopUp")</f>
        <v>ResAllowedListPopUp</v>
      </c>
      <c r="AN5" s="29" t="str">
        <f>IFERROR(__xludf.DUMMYFUNCTION("""COMPUTED_VALUE"""),"INFORMATIONRELATEDPOPUP_YESORNO")</f>
        <v>INFORMATIONRELATEDPOPUP_YESORNO</v>
      </c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17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DoneAwayUsingMTT!$4:$4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19</v>
      </c>
      <c r="D6" s="12">
        <v>200.0</v>
      </c>
      <c r="E6" s="35"/>
      <c r="F6" s="8"/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IFERROR(__xludf.DUMMYFUNCTION("""COMPUTED_VALUE"""),"Allow Merge")</f>
        <v>Allow Merge</v>
      </c>
      <c r="BB5" s="29" t="str">
        <f>IFERROR(__xludf.DUMMYFUNCTION("""COMPUTED_VALUE"""),"ButtonClick")</f>
        <v>ButtonClick</v>
      </c>
      <c r="BC5" s="29" t="str">
        <f>IFERROR(__xludf.DUMMYFUNCTION("""COMPUTED_VALUE"""),"checkBox")</f>
        <v>checkBox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5"/>
      <c r="F6" s="8"/>
      <c r="G6" s="8"/>
      <c r="H6" s="12">
        <v>100.0</v>
      </c>
      <c r="I6" s="8"/>
      <c r="J6" s="8"/>
      <c r="K6" s="8"/>
      <c r="L6" s="8"/>
      <c r="M6" s="8"/>
      <c r="N6" s="8"/>
      <c r="O6" s="8"/>
      <c r="BA6" s="9" t="s">
        <v>28</v>
      </c>
    </row>
    <row r="7" ht="15.75" customHeight="1">
      <c r="A7" s="8"/>
      <c r="B7" s="8"/>
      <c r="C7" s="8"/>
      <c r="D7" s="12" t="s">
        <v>16</v>
      </c>
      <c r="E7" s="8"/>
      <c r="F7" s="8"/>
      <c r="G7" s="8"/>
      <c r="H7" s="12">
        <v>200.0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MergeOrder!$4:$4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 t="s">
        <v>30</v>
      </c>
      <c r="B6" s="30"/>
      <c r="C6" s="32"/>
      <c r="D6" s="36">
        <v>2.0</v>
      </c>
      <c r="E6" s="33" t="s">
        <v>31</v>
      </c>
      <c r="F6" s="32"/>
      <c r="G6" s="32"/>
      <c r="H6" s="33" t="s">
        <v>32</v>
      </c>
      <c r="I6" s="33" t="s">
        <v>33</v>
      </c>
      <c r="J6" s="33" t="s">
        <v>16</v>
      </c>
      <c r="K6" s="33" t="s">
        <v>34</v>
      </c>
      <c r="L6" s="33" t="s">
        <v>35</v>
      </c>
      <c r="M6" s="32"/>
      <c r="N6" s="32"/>
      <c r="O6" s="32"/>
      <c r="P6" s="32"/>
      <c r="Q6" s="32"/>
      <c r="R6" s="32"/>
      <c r="S6" s="32"/>
      <c r="T6" s="32"/>
      <c r="U6" s="32" t="s">
        <v>36</v>
      </c>
      <c r="V6" s="32" t="s">
        <v>37</v>
      </c>
      <c r="W6" s="32"/>
      <c r="X6" s="32"/>
      <c r="Y6" s="32"/>
      <c r="Z6" s="32"/>
      <c r="AA6" s="32" t="s">
        <v>38</v>
      </c>
      <c r="AB6" s="37">
        <v>200.0</v>
      </c>
      <c r="AC6" s="32"/>
      <c r="AD6" s="37">
        <v>1.0</v>
      </c>
      <c r="AE6" s="32"/>
      <c r="AF6" s="32" t="s">
        <v>39</v>
      </c>
      <c r="AG6" s="37">
        <v>2.0</v>
      </c>
      <c r="AH6" s="32" t="s">
        <v>40</v>
      </c>
      <c r="AI6" s="32" t="s">
        <v>16</v>
      </c>
      <c r="AJ6" s="32" t="s">
        <v>19</v>
      </c>
      <c r="AK6" s="32" t="s">
        <v>41</v>
      </c>
      <c r="AL6" s="37">
        <v>200.0</v>
      </c>
      <c r="AM6" s="37">
        <v>200.0</v>
      </c>
      <c r="AN6" s="37">
        <v>100.0</v>
      </c>
      <c r="AO6" s="37">
        <v>200.0</v>
      </c>
      <c r="AP6" s="32"/>
      <c r="AQ6" s="37">
        <v>2.0</v>
      </c>
      <c r="AR6" s="37">
        <v>2.0</v>
      </c>
      <c r="AS6" s="32" t="s">
        <v>42</v>
      </c>
      <c r="AT6" s="32" t="s">
        <v>43</v>
      </c>
      <c r="AU6" s="32" t="s">
        <v>44</v>
      </c>
      <c r="AV6" s="37">
        <v>400.0</v>
      </c>
      <c r="AW6" s="37">
        <v>400.0</v>
      </c>
      <c r="AX6" s="32" t="s">
        <v>45</v>
      </c>
      <c r="AY6" s="32" t="s">
        <v>30</v>
      </c>
      <c r="AZ6" s="32"/>
      <c r="BA6" s="32" t="s">
        <v>33</v>
      </c>
      <c r="BB6" s="32" t="s">
        <v>30</v>
      </c>
      <c r="BC6" s="32" t="s">
        <v>30</v>
      </c>
      <c r="BD6" s="32" t="s">
        <v>30</v>
      </c>
      <c r="BE6" s="32" t="s">
        <v>30</v>
      </c>
      <c r="BF6" s="32" t="s">
        <v>30</v>
      </c>
      <c r="BG6" s="38" t="s">
        <v>46</v>
      </c>
      <c r="BH6" s="32" t="s">
        <v>47</v>
      </c>
      <c r="BI6" s="32"/>
      <c r="BJ6" s="32"/>
      <c r="BK6" s="32" t="s">
        <v>30</v>
      </c>
      <c r="BL6" s="32"/>
      <c r="BM6" s="32"/>
      <c r="BN6" s="32"/>
      <c r="BO6" s="32"/>
      <c r="BP6" s="32" t="s">
        <v>30</v>
      </c>
      <c r="BQ6" s="32" t="s">
        <v>30</v>
      </c>
      <c r="BR6" s="32" t="s">
        <v>30</v>
      </c>
      <c r="BS6" s="32" t="s">
        <v>30</v>
      </c>
      <c r="BT6" s="32" t="s">
        <v>30</v>
      </c>
      <c r="BU6" s="32" t="s">
        <v>30</v>
      </c>
      <c r="BV6" s="32" t="s">
        <v>30</v>
      </c>
      <c r="BW6" s="32" t="s">
        <v>30</v>
      </c>
      <c r="BX6" s="32" t="s">
        <v>30</v>
      </c>
      <c r="BY6" s="32" t="s">
        <v>30</v>
      </c>
      <c r="BZ6" s="32" t="s">
        <v>30</v>
      </c>
      <c r="CA6" s="32" t="s">
        <v>30</v>
      </c>
      <c r="CB6" s="32" t="s">
        <v>30</v>
      </c>
      <c r="CC6" s="32" t="s">
        <v>30</v>
      </c>
      <c r="CD6" s="32" t="s">
        <v>30</v>
      </c>
      <c r="CE6" s="32" t="s">
        <v>30</v>
      </c>
      <c r="CF6" s="32" t="s">
        <v>30</v>
      </c>
      <c r="CG6" s="32" t="s">
        <v>30</v>
      </c>
      <c r="CH6" s="32" t="s">
        <v>30</v>
      </c>
      <c r="CI6" s="32" t="s">
        <v>30</v>
      </c>
      <c r="CJ6" s="32" t="s">
        <v>30</v>
      </c>
      <c r="CK6" s="32" t="s">
        <v>30</v>
      </c>
      <c r="CL6" s="32" t="s">
        <v>30</v>
      </c>
      <c r="CM6" s="32" t="s">
        <v>30</v>
      </c>
      <c r="CN6" s="32" t="s">
        <v>30</v>
      </c>
      <c r="CO6" s="32" t="s">
        <v>30</v>
      </c>
      <c r="CP6" s="32" t="s">
        <v>30</v>
      </c>
      <c r="CQ6" s="32" t="s">
        <v>30</v>
      </c>
      <c r="CR6" s="32" t="s">
        <v>30</v>
      </c>
      <c r="CS6" s="32" t="s">
        <v>30</v>
      </c>
      <c r="CT6" s="32" t="s">
        <v>30</v>
      </c>
      <c r="CU6" s="32" t="s">
        <v>30</v>
      </c>
      <c r="CV6" s="32" t="s">
        <v>30</v>
      </c>
      <c r="CW6" s="32" t="s">
        <v>30</v>
      </c>
      <c r="CX6" s="32" t="s">
        <v>30</v>
      </c>
      <c r="CY6" s="32" t="s">
        <v>30</v>
      </c>
      <c r="CZ6" s="32" t="s">
        <v>30</v>
      </c>
      <c r="DA6" s="32" t="s">
        <v>30</v>
      </c>
      <c r="DB6" s="32" t="s">
        <v>30</v>
      </c>
      <c r="DC6" s="32" t="s">
        <v>30</v>
      </c>
      <c r="DD6" s="32" t="s">
        <v>30</v>
      </c>
      <c r="DE6" s="32" t="s">
        <v>30</v>
      </c>
      <c r="DF6" s="32" t="s">
        <v>30</v>
      </c>
      <c r="DG6" s="32" t="s">
        <v>30</v>
      </c>
      <c r="DH6" s="32" t="s">
        <v>30</v>
      </c>
      <c r="DI6" s="32" t="s">
        <v>30</v>
      </c>
      <c r="DJ6" s="32" t="s">
        <v>30</v>
      </c>
      <c r="DK6" s="32" t="s">
        <v>30</v>
      </c>
      <c r="DL6" s="32" t="s">
        <v>30</v>
      </c>
      <c r="DM6" s="32" t="s">
        <v>30</v>
      </c>
      <c r="DN6" s="32" t="s">
        <v>30</v>
      </c>
      <c r="DO6" s="32" t="s">
        <v>30</v>
      </c>
      <c r="DP6" s="32" t="s">
        <v>30</v>
      </c>
      <c r="DQ6" s="32" t="s">
        <v>30</v>
      </c>
      <c r="DR6" s="32" t="s">
        <v>30</v>
      </c>
      <c r="DS6" s="32" t="s">
        <v>30</v>
      </c>
      <c r="DT6" s="32" t="s">
        <v>30</v>
      </c>
      <c r="DU6" s="32" t="s">
        <v>30</v>
      </c>
      <c r="DV6" s="32" t="s">
        <v>30</v>
      </c>
      <c r="DW6" s="32" t="s">
        <v>30</v>
      </c>
      <c r="DX6" s="32" t="s">
        <v>30</v>
      </c>
      <c r="DY6" s="32" t="s">
        <v>30</v>
      </c>
      <c r="DZ6" s="32" t="s">
        <v>30</v>
      </c>
      <c r="EA6" s="32" t="s">
        <v>30</v>
      </c>
      <c r="EB6" s="32" t="s">
        <v>30</v>
      </c>
      <c r="EC6" s="32" t="s">
        <v>30</v>
      </c>
      <c r="ED6" s="32" t="s">
        <v>30</v>
      </c>
      <c r="EE6" s="32" t="s">
        <v>30</v>
      </c>
      <c r="EF6" s="32" t="s">
        <v>30</v>
      </c>
      <c r="EG6" s="32" t="s">
        <v>30</v>
      </c>
      <c r="EH6" s="32" t="s">
        <v>30</v>
      </c>
      <c r="EI6" s="32" t="s">
        <v>30</v>
      </c>
      <c r="EJ6" s="32" t="s">
        <v>30</v>
      </c>
      <c r="EK6" s="32" t="s">
        <v>30</v>
      </c>
      <c r="EL6" s="32" t="s">
        <v>30</v>
      </c>
      <c r="EM6" s="32" t="s">
        <v>30</v>
      </c>
      <c r="EN6" s="32" t="s">
        <v>30</v>
      </c>
      <c r="EO6" s="32" t="s">
        <v>30</v>
      </c>
      <c r="EP6" s="32" t="s">
        <v>30</v>
      </c>
      <c r="EQ6" s="32" t="s">
        <v>30</v>
      </c>
      <c r="ER6" s="32" t="s">
        <v>30</v>
      </c>
      <c r="ES6" s="32" t="s">
        <v>30</v>
      </c>
      <c r="ET6" s="32" t="s">
        <v>30</v>
      </c>
      <c r="EU6" s="32" t="s">
        <v>30</v>
      </c>
      <c r="EV6" s="32" t="s">
        <v>30</v>
      </c>
      <c r="EW6" s="32" t="s">
        <v>30</v>
      </c>
      <c r="EX6" s="32" t="s">
        <v>30</v>
      </c>
      <c r="EY6" s="32" t="s">
        <v>30</v>
      </c>
      <c r="EZ6" s="32" t="s">
        <v>30</v>
      </c>
      <c r="FA6" s="32" t="s">
        <v>30</v>
      </c>
      <c r="FB6" s="32" t="s">
        <v>30</v>
      </c>
      <c r="FC6" s="32" t="s">
        <v>30</v>
      </c>
      <c r="FD6" s="32" t="s">
        <v>30</v>
      </c>
      <c r="FE6" s="32" t="s">
        <v>30</v>
      </c>
      <c r="FF6" s="32" t="s">
        <v>30</v>
      </c>
      <c r="FG6" s="32" t="s">
        <v>30</v>
      </c>
      <c r="FH6" s="32" t="s">
        <v>30</v>
      </c>
      <c r="FI6" s="32" t="s">
        <v>30</v>
      </c>
      <c r="FJ6" s="32" t="s">
        <v>30</v>
      </c>
      <c r="FK6" s="32" t="s">
        <v>30</v>
      </c>
      <c r="FL6" s="32" t="s">
        <v>30</v>
      </c>
      <c r="FM6" s="32" t="s">
        <v>30</v>
      </c>
      <c r="FN6" s="32" t="s">
        <v>30</v>
      </c>
      <c r="FO6" s="32" t="s">
        <v>30</v>
      </c>
      <c r="FP6" s="32" t="s">
        <v>30</v>
      </c>
      <c r="FQ6" s="32" t="s">
        <v>30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  <c r="AML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