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OpeningBalanceData" sheetId="6" r:id="rId8"/>
    <sheet state="visible" name="VerifyOpeningBalanceData" sheetId="7" r:id="rId9"/>
  </sheets>
  <definedNames/>
  <calcPr/>
</workbook>
</file>

<file path=xl/sharedStrings.xml><?xml version="1.0" encoding="utf-8"?>
<sst xmlns="http://schemas.openxmlformats.org/spreadsheetml/2006/main" count="133" uniqueCount="34">
  <si>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</si>
  <si>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</si>
  <si>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</si>
  <si>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</si>
  <si>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</si>
  <si>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</si>
  <si>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</si>
  <si>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</si>
  <si>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</si>
  <si>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</si>
  <si>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</si>
  <si>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</si>
  <si>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</si>
  <si>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</si>
  <si>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</si>
  <si>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</si>
  <si>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Cases\Multileg_EntryID.csv</t>
  </si>
  <si>
    <t>BNY</t>
  </si>
  <si>
    <t>Multileg Journal Import</t>
  </si>
  <si>
    <t>SelectAllOnImport</t>
  </si>
  <si>
    <t>GeneralLedger</t>
  </si>
  <si>
    <t>GetOpeningBalanceData</t>
  </si>
  <si>
    <t>VerifyOpeningBalanceData</t>
  </si>
  <si>
    <t>USD</t>
  </si>
  <si>
    <t>Dividend - Income [Income]</t>
  </si>
  <si>
    <t>DR</t>
  </si>
  <si>
    <t>WIRE TO NORTHERN TRUST INTL BKG. CORP. OTTER POINT FUND, LP</t>
  </si>
  <si>
    <t>jpearce</t>
  </si>
  <si>
    <t>M</t>
  </si>
  <si>
    <t>Importable &amp; Editable Data</t>
  </si>
  <si>
    <t>Dividend - Receivable [Asset]</t>
  </si>
  <si>
    <t>CR</t>
  </si>
  <si>
    <t>Dividend - Expense [Expenses]</t>
  </si>
  <si>
    <t>Cash [Cash]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</si>
</sst>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000000"/>
      <name val="Arial"/>
    </font>
    <font>
      <sz val="9.0"/>
      <color rgb="FF868686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4" xfId="0" applyAlignment="1" applyFont="1" applyNumberForma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7" fontId="14" numFmtId="164" xfId="0" applyAlignment="1" applyFill="1" applyFont="1" applyNumberFormat="1">
      <alignment horizontal="right" readingOrder="0" shrinkToFit="0" wrapText="0"/>
    </xf>
    <xf borderId="0" fillId="7" fontId="14" numFmtId="0" xfId="0" applyAlignment="1" applyFont="1">
      <alignment horizontal="right" readingOrder="0" shrinkToFit="0" wrapText="0"/>
    </xf>
    <xf borderId="0" fillId="7" fontId="14" numFmtId="0" xfId="0" applyAlignment="1" applyFont="1">
      <alignment horizontal="right" shrinkToFit="0" wrapText="0"/>
    </xf>
    <xf borderId="0" fillId="7" fontId="15" numFmtId="0" xfId="0" applyAlignment="1" applyFont="1">
      <alignment horizontal="right" readingOrder="0" shrinkToFit="0" wrapText="0"/>
    </xf>
    <xf borderId="5" fillId="7" fontId="16" numFmtId="0" xfId="0" applyAlignment="1" applyBorder="1" applyFont="1">
      <alignment horizontal="right" vertical="bottom"/>
    </xf>
    <xf borderId="5" fillId="7" fontId="14" numFmtId="0" xfId="0" applyAlignment="1" applyBorder="1" applyFont="1">
      <alignment horizontal="right" vertical="bottom"/>
    </xf>
    <xf borderId="0" fillId="7" fontId="14" numFmtId="0" xfId="0" applyAlignment="1" applyFont="1">
      <alignment horizontal="right" shrinkToFit="0" wrapText="0"/>
    </xf>
    <xf borderId="0" fillId="8" fontId="14" numFmtId="0" xfId="0" applyAlignment="1" applyFill="1" applyFont="1">
      <alignment horizontal="right" readingOrder="0" shrinkToFit="0" wrapText="0"/>
    </xf>
    <xf borderId="0" fillId="8" fontId="17" numFmtId="0" xfId="0" applyAlignment="1" applyFont="1">
      <alignment horizontal="right" readingOrder="0" shrinkToFit="0" wrapText="0"/>
    </xf>
    <xf borderId="0" fillId="8" fontId="14" numFmtId="0" xfId="0" applyAlignment="1" applyFont="1">
      <alignment horizontal="right" vertical="bottom"/>
    </xf>
    <xf borderId="0" fillId="7" fontId="14" numFmtId="0" xfId="0" applyAlignment="1" applyFont="1">
      <alignment horizontal="right" vertical="bottom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45.14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15</v>
      </c>
      <c r="C6" s="32" t="b">
        <v>0</v>
      </c>
      <c r="D6" s="31"/>
      <c r="E6" s="33" t="s">
        <v>16</v>
      </c>
      <c r="F6" s="34" t="s">
        <v>17</v>
      </c>
      <c r="G6" s="35" t="s">
        <v>18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18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6" t="s">
        <v>15</v>
      </c>
      <c r="D6" s="39">
        <v>43695.0</v>
      </c>
      <c r="E6" s="40">
        <v>44426.0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GetOpeningBalanceData!$4:$4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IFERROR(__xludf.DUMMYFUNCTION("""COMPUTED_VALUE"""),"Description")</f>
        <v>Description</v>
      </c>
      <c r="K5" s="27" t="str">
        <f>IFERROR(__xludf.DUMMYFUNCTION("""COMPUTED_VALUE"""),"Modify Date")</f>
        <v>Modify Date</v>
      </c>
      <c r="L5" s="27" t="str">
        <f>IFERROR(__xludf.DUMMYFUNCTION("""COMPUTED_VALUE"""),"Entry Date")</f>
        <v>Entry Date</v>
      </c>
      <c r="M5" s="27" t="str">
        <f>IFERROR(__xludf.DUMMYFUNCTION("""COMPUTED_VALUE"""),"User")</f>
        <v>User</v>
      </c>
      <c r="N5" s="27" t="str">
        <f>IFERROR(__xludf.DUMMYFUNCTION("""COMPUTED_VALUE"""),"Fx Rate")</f>
        <v>Fx Rate</v>
      </c>
      <c r="O5" s="27" t="str">
        <f>IFERROR(__xludf.DUMMYFUNCTION("""COMPUTED_VALUE"""),"FX Conversion Method Operator")</f>
        <v>FX Conversion Method Operator</v>
      </c>
      <c r="P5" s="27" t="str">
        <f>IFERROR(__xludf.DUMMYFUNCTION("""COMPUTED_VALUE"""),"TransactionID")</f>
        <v>TransactionID</v>
      </c>
      <c r="Q5" s="27" t="str">
        <f>IFERROR(__xludf.DUMMYFUNCTION("""COMPUTED_VALUE"""),"TransactionSource")</f>
        <v>TransactionSource</v>
      </c>
      <c r="R5" s="27" t="str">
        <f>IFERROR(__xludf.DUMMYFUNCTION("""COMPUTED_VALUE"""),"TaxLotId")</f>
        <v>TaxLotId</v>
      </c>
      <c r="S5" s="27" t="str">
        <f>IFERROR(__xludf.DUMMYFUNCTION("""COMPUTED_VALUE"""),"Base Currency")</f>
        <v>Base Currency</v>
      </c>
      <c r="T5" s="29" t="str">
        <f>IFERROR(__xludf.DUMMYFUNCTION("""COMPUTED_VALUE"""),"DR (Base)")</f>
        <v>DR (Base)</v>
      </c>
      <c r="U5" s="29" t="str">
        <f>IFERROR(__xludf.DUMMYFUNCTION("""COMPUTED_VALUE"""),"CR (Base)")</f>
        <v>CR (Base)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43707.0</v>
      </c>
      <c r="C6" s="42" t="s">
        <v>15</v>
      </c>
      <c r="D6" s="43"/>
      <c r="E6" s="42" t="s">
        <v>23</v>
      </c>
      <c r="F6" s="42" t="s">
        <v>24</v>
      </c>
      <c r="G6" s="42" t="s">
        <v>25</v>
      </c>
      <c r="H6" s="42">
        <v>15000.0</v>
      </c>
      <c r="I6" s="44">
        <v>0.0</v>
      </c>
      <c r="J6" s="42" t="s">
        <v>26</v>
      </c>
      <c r="K6" s="8"/>
      <c r="L6" s="8"/>
      <c r="M6" s="42" t="s">
        <v>27</v>
      </c>
      <c r="N6" s="42">
        <v>1.0</v>
      </c>
      <c r="O6" s="42" t="s">
        <v>28</v>
      </c>
      <c r="Q6" s="45" t="s">
        <v>29</v>
      </c>
      <c r="S6" s="46" t="s">
        <v>23</v>
      </c>
      <c r="T6" s="42">
        <v>15000.0</v>
      </c>
      <c r="U6" s="42">
        <v>0.0</v>
      </c>
    </row>
    <row r="7" ht="15.75" customHeight="1">
      <c r="A7" s="8"/>
      <c r="B7" s="41">
        <v>43707.0</v>
      </c>
      <c r="C7" s="42" t="s">
        <v>15</v>
      </c>
      <c r="D7" s="47"/>
      <c r="E7" s="42" t="s">
        <v>23</v>
      </c>
      <c r="F7" s="48" t="s">
        <v>30</v>
      </c>
      <c r="G7" s="48" t="s">
        <v>31</v>
      </c>
      <c r="H7" s="49">
        <v>0.0</v>
      </c>
      <c r="I7" s="48">
        <v>55000.0</v>
      </c>
      <c r="J7" s="42" t="s">
        <v>26</v>
      </c>
      <c r="K7" s="8"/>
      <c r="L7" s="8"/>
      <c r="M7" s="48" t="s">
        <v>27</v>
      </c>
      <c r="N7" s="48">
        <v>1.0</v>
      </c>
      <c r="O7" s="48" t="s">
        <v>28</v>
      </c>
      <c r="Q7" s="50" t="s">
        <v>29</v>
      </c>
      <c r="S7" s="50" t="s">
        <v>23</v>
      </c>
      <c r="T7" s="48">
        <v>0.0</v>
      </c>
      <c r="U7" s="48">
        <v>55000.0</v>
      </c>
    </row>
    <row r="8" ht="15.75" customHeight="1">
      <c r="A8" s="8"/>
      <c r="B8" s="41">
        <v>43707.0</v>
      </c>
      <c r="C8" s="42" t="s">
        <v>15</v>
      </c>
      <c r="D8" s="47"/>
      <c r="E8" s="42" t="s">
        <v>23</v>
      </c>
      <c r="F8" s="47"/>
      <c r="G8" s="42" t="s">
        <v>25</v>
      </c>
      <c r="H8" s="42">
        <v>10000.0</v>
      </c>
      <c r="I8" s="44">
        <v>0.0</v>
      </c>
      <c r="J8" s="42" t="s">
        <v>26</v>
      </c>
      <c r="K8" s="8"/>
      <c r="L8" s="8"/>
      <c r="M8" s="42" t="s">
        <v>27</v>
      </c>
      <c r="N8" s="42">
        <v>1.0</v>
      </c>
      <c r="O8" s="42" t="s">
        <v>28</v>
      </c>
      <c r="Q8" s="51" t="s">
        <v>29</v>
      </c>
      <c r="S8" s="51" t="s">
        <v>23</v>
      </c>
      <c r="T8" s="42">
        <v>10000.0</v>
      </c>
      <c r="U8" s="42">
        <v>0.0</v>
      </c>
    </row>
    <row r="9" ht="15.75" customHeight="1">
      <c r="A9" s="8"/>
      <c r="B9" s="41">
        <v>43707.0</v>
      </c>
      <c r="C9" s="42" t="s">
        <v>15</v>
      </c>
      <c r="D9" s="47"/>
      <c r="E9" s="42" t="s">
        <v>23</v>
      </c>
      <c r="F9" s="42" t="s">
        <v>32</v>
      </c>
      <c r="G9" s="42" t="s">
        <v>25</v>
      </c>
      <c r="H9" s="42">
        <v>20000.0</v>
      </c>
      <c r="I9" s="44">
        <v>0.0</v>
      </c>
      <c r="J9" s="42" t="s">
        <v>26</v>
      </c>
      <c r="K9" s="8"/>
      <c r="L9" s="8"/>
      <c r="M9" s="42" t="s">
        <v>27</v>
      </c>
      <c r="N9" s="42">
        <v>1.0</v>
      </c>
      <c r="O9" s="42" t="s">
        <v>28</v>
      </c>
      <c r="Q9" s="51" t="s">
        <v>29</v>
      </c>
      <c r="S9" s="51" t="s">
        <v>23</v>
      </c>
      <c r="T9" s="42">
        <v>20000.0</v>
      </c>
      <c r="U9" s="42">
        <v>0.0</v>
      </c>
    </row>
    <row r="10" ht="15.75" customHeight="1">
      <c r="A10" s="8"/>
      <c r="B10" s="41">
        <v>43707.0</v>
      </c>
      <c r="C10" s="42" t="s">
        <v>15</v>
      </c>
      <c r="D10" s="47"/>
      <c r="E10" s="42" t="s">
        <v>23</v>
      </c>
      <c r="F10" s="42" t="s">
        <v>33</v>
      </c>
      <c r="G10" s="42" t="s">
        <v>25</v>
      </c>
      <c r="H10" s="42">
        <v>10000.0</v>
      </c>
      <c r="I10" s="44">
        <v>0.0</v>
      </c>
      <c r="J10" s="42" t="s">
        <v>26</v>
      </c>
      <c r="K10" s="8"/>
      <c r="L10" s="8"/>
      <c r="M10" s="42" t="s">
        <v>27</v>
      </c>
      <c r="N10" s="42">
        <v>1.0</v>
      </c>
      <c r="O10" s="42" t="s">
        <v>28</v>
      </c>
      <c r="Q10" s="51" t="s">
        <v>29</v>
      </c>
      <c r="S10" s="51" t="s">
        <v>23</v>
      </c>
      <c r="T10" s="42">
        <v>10000.0</v>
      </c>
      <c r="U10" s="42">
        <v>0.0</v>
      </c>
    </row>
    <row r="11" ht="15.75" customHeight="1">
      <c r="A11" s="8"/>
      <c r="B11" s="41">
        <v>43707.0</v>
      </c>
      <c r="C11" s="42" t="s">
        <v>15</v>
      </c>
      <c r="D11" s="47"/>
      <c r="E11" s="42" t="s">
        <v>23</v>
      </c>
      <c r="F11" s="42" t="s">
        <v>24</v>
      </c>
      <c r="G11" s="42" t="s">
        <v>25</v>
      </c>
      <c r="H11" s="42">
        <v>15000.0</v>
      </c>
      <c r="I11" s="44">
        <v>0.0</v>
      </c>
      <c r="J11" s="42" t="s">
        <v>26</v>
      </c>
      <c r="K11" s="8"/>
      <c r="L11" s="8"/>
      <c r="M11" s="42" t="s">
        <v>27</v>
      </c>
      <c r="N11" s="42">
        <v>1.0</v>
      </c>
      <c r="O11" s="42" t="s">
        <v>28</v>
      </c>
      <c r="Q11" s="51" t="s">
        <v>29</v>
      </c>
      <c r="S11" s="51" t="s">
        <v>23</v>
      </c>
      <c r="T11" s="42">
        <v>15000.0</v>
      </c>
      <c r="U11" s="42">
        <v>0.0</v>
      </c>
    </row>
    <row r="12" ht="15.75" customHeight="1">
      <c r="A12" s="8"/>
      <c r="B12" s="41">
        <v>43707.0</v>
      </c>
      <c r="C12" s="42" t="s">
        <v>15</v>
      </c>
      <c r="D12" s="47"/>
      <c r="E12" s="42" t="s">
        <v>23</v>
      </c>
      <c r="F12" s="48" t="s">
        <v>30</v>
      </c>
      <c r="G12" s="48" t="s">
        <v>31</v>
      </c>
      <c r="H12" s="49">
        <v>0.0</v>
      </c>
      <c r="I12" s="48">
        <v>10000.0</v>
      </c>
      <c r="J12" s="42" t="s">
        <v>26</v>
      </c>
      <c r="K12" s="8"/>
      <c r="L12" s="8"/>
      <c r="M12" s="48" t="s">
        <v>27</v>
      </c>
      <c r="N12" s="48">
        <v>1.0</v>
      </c>
      <c r="O12" s="48" t="s">
        <v>28</v>
      </c>
      <c r="Q12" s="50" t="s">
        <v>29</v>
      </c>
      <c r="S12" s="50" t="s">
        <v>23</v>
      </c>
      <c r="T12" s="48">
        <v>0.0</v>
      </c>
      <c r="U12" s="48">
        <v>10000.0</v>
      </c>
    </row>
    <row r="13" ht="15.75" customHeight="1">
      <c r="A13" s="8"/>
      <c r="B13" s="41">
        <v>43707.0</v>
      </c>
      <c r="C13" s="42" t="s">
        <v>15</v>
      </c>
      <c r="D13" s="47"/>
      <c r="E13" s="42" t="s">
        <v>23</v>
      </c>
      <c r="F13" s="47"/>
      <c r="G13" s="42" t="s">
        <v>25</v>
      </c>
      <c r="H13" s="42">
        <v>10000.0</v>
      </c>
      <c r="I13" s="44">
        <v>0.0</v>
      </c>
      <c r="J13" s="42" t="s">
        <v>26</v>
      </c>
      <c r="K13" s="8"/>
      <c r="L13" s="8"/>
      <c r="M13" s="42" t="s">
        <v>27</v>
      </c>
      <c r="N13" s="42">
        <v>1.0</v>
      </c>
      <c r="O13" s="42" t="s">
        <v>28</v>
      </c>
      <c r="Q13" s="51" t="s">
        <v>29</v>
      </c>
      <c r="S13" s="51" t="s">
        <v>23</v>
      </c>
      <c r="T13" s="42">
        <v>10000.0</v>
      </c>
      <c r="U13" s="42">
        <v>0.0</v>
      </c>
    </row>
    <row r="14" ht="15.75" customHeight="1">
      <c r="A14" s="8"/>
      <c r="B14" s="41">
        <v>43707.0</v>
      </c>
      <c r="C14" s="42" t="s">
        <v>15</v>
      </c>
      <c r="D14" s="47"/>
      <c r="E14" s="42" t="s">
        <v>23</v>
      </c>
      <c r="F14" s="48" t="s">
        <v>32</v>
      </c>
      <c r="G14" s="48" t="s">
        <v>31</v>
      </c>
      <c r="H14" s="49">
        <v>0.0</v>
      </c>
      <c r="I14" s="48">
        <v>20000.0</v>
      </c>
      <c r="J14" s="42" t="s">
        <v>26</v>
      </c>
      <c r="K14" s="8"/>
      <c r="L14" s="8"/>
      <c r="M14" s="48" t="s">
        <v>27</v>
      </c>
      <c r="N14" s="48">
        <v>1.0</v>
      </c>
      <c r="O14" s="48" t="s">
        <v>28</v>
      </c>
      <c r="Q14" s="50" t="s">
        <v>29</v>
      </c>
      <c r="S14" s="50" t="s">
        <v>23</v>
      </c>
      <c r="T14" s="48">
        <v>0.0</v>
      </c>
      <c r="U14" s="48">
        <v>20000.0</v>
      </c>
    </row>
    <row r="15" ht="15.75" customHeight="1">
      <c r="A15" s="8"/>
      <c r="B15" s="41">
        <v>43707.0</v>
      </c>
      <c r="C15" s="42" t="s">
        <v>15</v>
      </c>
      <c r="D15" s="47"/>
      <c r="E15" s="42" t="s">
        <v>23</v>
      </c>
      <c r="F15" s="42" t="s">
        <v>33</v>
      </c>
      <c r="G15" s="42" t="s">
        <v>25</v>
      </c>
      <c r="H15" s="42">
        <v>5000.0</v>
      </c>
      <c r="I15" s="44">
        <v>0.0</v>
      </c>
      <c r="J15" s="42" t="s">
        <v>26</v>
      </c>
      <c r="K15" s="8"/>
      <c r="L15" s="8"/>
      <c r="M15" s="42" t="s">
        <v>27</v>
      </c>
      <c r="N15" s="42">
        <v>1.0</v>
      </c>
      <c r="O15" s="42" t="s">
        <v>28</v>
      </c>
      <c r="Q15" s="51" t="s">
        <v>29</v>
      </c>
      <c r="S15" s="51" t="s">
        <v>23</v>
      </c>
      <c r="T15" s="42">
        <v>5000.0</v>
      </c>
      <c r="U15" s="42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52"/>
      <c r="K16" s="8"/>
      <c r="L16" s="8"/>
      <c r="M16" s="8"/>
      <c r="N16" s="8"/>
      <c r="O16" s="8"/>
      <c r="Q16" s="37"/>
      <c r="T16" s="52"/>
      <c r="U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52"/>
      <c r="K17" s="8"/>
      <c r="L17" s="8"/>
      <c r="M17" s="8"/>
      <c r="N17" s="8"/>
      <c r="O17" s="8"/>
      <c r="Q17" s="37"/>
      <c r="T17" s="52"/>
      <c r="U17" s="5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Q18" s="3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VerifyOpeningBalanceData!$4:$4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