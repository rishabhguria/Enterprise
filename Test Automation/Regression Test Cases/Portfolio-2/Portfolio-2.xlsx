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ditSMGridUi" sheetId="4" r:id="rId6"/>
    <sheet state="visible" name="UpdateExpnlConfig" sheetId="5" r:id="rId7"/>
    <sheet state="visible" name="UpdateRoundLot" sheetId="6" r:id="rId8"/>
    <sheet state="visible" name="CreateDoneAwayOrder1" sheetId="7" r:id="rId9"/>
    <sheet state="visible" name="PricingInput" sheetId="8" r:id="rId10"/>
    <sheet state="visible" name="GetForexConversion" sheetId="9" r:id="rId11"/>
    <sheet state="visible" name="UpdateForexConversion" sheetId="10" r:id="rId12"/>
    <sheet state="visible" name="GetDataAllocation" sheetId="11" r:id="rId13"/>
    <sheet state="visible" name="SelectAllocatedGroup" sheetId="12" r:id="rId14"/>
    <sheet state="visible" name="BookOrUpdateSwap" sheetId="13" r:id="rId15"/>
    <sheet state="visible" name="SelectAllocatedGroup1" sheetId="14" r:id="rId16"/>
    <sheet state="visible" name="BookOrUpdateSwap1" sheetId="15" r:id="rId17"/>
    <sheet state="visible" name="SelectAllocatedGroup2" sheetId="16" r:id="rId18"/>
    <sheet state="visible" name="BookOrUpdateSwap2" sheetId="17" r:id="rId19"/>
    <sheet state="visible" name="SelectAllocatedGroup3" sheetId="18" r:id="rId20"/>
    <sheet state="visible" name="CustomOrderTT" sheetId="19" r:id="rId21"/>
    <sheet state="visible" name="BookOrUpdateSwap3" sheetId="20" r:id="rId22"/>
    <sheet state="visible" name="CreateDoneAwayOrder" sheetId="21" r:id="rId23"/>
    <sheet state="visible" name="PricingInput1" sheetId="22" r:id="rId24"/>
    <sheet state="visible" name="GetDailyCash" sheetId="23" r:id="rId25"/>
    <sheet state="visible" name="UpdateMultipleDailyCash" sheetId="24" r:id="rId26"/>
    <sheet state="visible" name="CustomOrderTT1" sheetId="25" r:id="rId27"/>
    <sheet state="visible" name="GetCashTransaction" sheetId="26" r:id="rId28"/>
    <sheet state="visible" name="AddCashTransaction" sheetId="27" r:id="rId29"/>
    <sheet state="visible" name="RunRevaluation" sheetId="28" r:id="rId30"/>
    <sheet state="visible" name="GetCashTransaction1" sheetId="29" r:id="rId31"/>
    <sheet state="visible" name="AddCashTransaction1" sheetId="30" r:id="rId32"/>
    <sheet state="visible" name="RunRevaluation1" sheetId="31" r:id="rId33"/>
    <sheet state="visible" name="CheckDashboardPM" sheetId="32" r:id="rId34"/>
  </sheets>
  <definedNames/>
  <calcPr/>
</workbook>
</file>

<file path=xl/sharedStrings.xml><?xml version="1.0" encoding="utf-8"?>
<sst xmlns="http://schemas.openxmlformats.org/spreadsheetml/2006/main" count="442" uniqueCount="77">
  <si>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</si>
  <si>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</si>
  <si>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</si>
  <si>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</si>
  <si>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</si>
  <si>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</si>
  <si>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</si>
  <si>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</si>
  <si>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</si>
  <si>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</si>
  <si>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</si>
  <si>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</si>
  <si>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SymbolLookup</t>
  </si>
  <si>
    <t>EditSMGridUi</t>
  </si>
  <si>
    <t>Data Format</t>
  </si>
  <si>
    <t>Input Format</t>
  </si>
  <si>
    <t>ES H4</t>
  </si>
  <si>
    <t>Yes</t>
  </si>
  <si>
    <t>Expnl</t>
  </si>
  <si>
    <t>UpdateExpnlConfig</t>
  </si>
  <si>
    <t>EquitySwapsMarketValueAsEquity</t>
  </si>
  <si>
    <t>Admin</t>
  </si>
  <si>
    <t>UpdateRoundLot</t>
  </si>
  <si>
    <t>AMZN</t>
  </si>
  <si>
    <t>FRA-FRA</t>
  </si>
  <si>
    <t>GLE-LON</t>
  </si>
  <si>
    <t>INFY</t>
  </si>
  <si>
    <t>KO</t>
  </si>
  <si>
    <t>SAP</t>
  </si>
  <si>
    <t>TradingTicket</t>
  </si>
  <si>
    <t>CreateDoneAwayOrder</t>
  </si>
  <si>
    <t>Buy</t>
  </si>
  <si>
    <t>Sell</t>
  </si>
  <si>
    <t>Sell short</t>
  </si>
  <si>
    <t>912828WJ5</t>
  </si>
  <si>
    <t>O:AAPL 14C545.00</t>
  </si>
  <si>
    <t>Buy to Open</t>
  </si>
  <si>
    <t>O:MSFT 14K29.00</t>
  </si>
  <si>
    <t>Sell to Close</t>
  </si>
  <si>
    <t>Allocation3</t>
  </si>
  <si>
    <t>PricingInput</t>
  </si>
  <si>
    <t>DailyValuation</t>
  </si>
  <si>
    <t>GetForexConversion</t>
  </si>
  <si>
    <t>UpdateForexConversion</t>
  </si>
  <si>
    <t>EUR</t>
  </si>
  <si>
    <t>USD</t>
  </si>
  <si>
    <t>USD A0-FX</t>
  </si>
  <si>
    <t>GBP</t>
  </si>
  <si>
    <t>GBP A0-FX</t>
  </si>
  <si>
    <t>Allocation</t>
  </si>
  <si>
    <t>GetDataAllocation</t>
  </si>
  <si>
    <t>Historical</t>
  </si>
  <si>
    <t>SelectAllocatedGroup</t>
  </si>
  <si>
    <t>Allocation1</t>
  </si>
  <si>
    <t>BookOrUpdateSwap</t>
  </si>
  <si>
    <t>CustomOrderTT</t>
  </si>
  <si>
    <t>DoneAway</t>
  </si>
  <si>
    <t xml:space="preserve"> ES H4</t>
  </si>
  <si>
    <t xml:space="preserve"> ES U5</t>
  </si>
  <si>
    <t>GetDailyCash</t>
  </si>
  <si>
    <t>UpdateMultipleDailyCash</t>
  </si>
  <si>
    <t>GeneralLedger</t>
  </si>
  <si>
    <t>GetCashTransaction</t>
  </si>
  <si>
    <t>ExDate</t>
  </si>
  <si>
    <t>No</t>
  </si>
  <si>
    <t>Exact</t>
  </si>
  <si>
    <t>AddCashTransaction</t>
  </si>
  <si>
    <t>DividendIncome</t>
  </si>
  <si>
    <t>GOOG</t>
  </si>
  <si>
    <t>Long</t>
  </si>
  <si>
    <t>mgmt fees</t>
  </si>
  <si>
    <t>M</t>
  </si>
  <si>
    <t>Cash Transaction</t>
  </si>
  <si>
    <t>RunRevaluation</t>
  </si>
  <si>
    <t>NewMF</t>
  </si>
  <si>
    <t>PortfolioManagement</t>
  </si>
  <si>
    <t>CheckDashboardPM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</si>
</sst>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FFFFFF"/>
      <name val="Arial"/>
    </font>
    <font>
      <sz val="11.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readingOrder="0" vertical="bottom"/>
    </xf>
    <xf borderId="4" fillId="5" fontId="4" numFmtId="0" xfId="0" applyAlignment="1" applyBorder="1" applyFont="1">
      <alignment vertical="bottom"/>
    </xf>
    <xf borderId="4" fillId="5" fontId="4" numFmtId="0" xfId="0" applyAlignment="1" applyBorder="1" applyFont="1">
      <alignment vertical="bottom"/>
    </xf>
    <xf borderId="0" fillId="5" fontId="13" numFmtId="0" xfId="0" applyAlignment="1" applyFont="1">
      <alignment vertical="bottom"/>
    </xf>
    <xf borderId="0" fillId="0" fontId="5" numFmtId="14" xfId="0" applyAlignment="1" applyFont="1" applyNumberForma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vertical="bottom"/>
    </xf>
    <xf borderId="0" fillId="0" fontId="3" numFmtId="14" xfId="0" applyAlignment="1" applyFont="1" applyNumberFormat="1">
      <alignment vertical="bottom"/>
    </xf>
    <xf borderId="0" fillId="0" fontId="3" numFmtId="164" xfId="0" applyAlignment="1" applyFont="1" applyNumberFormat="1">
      <alignment horizontal="right" vertical="bottom"/>
    </xf>
    <xf borderId="0" fillId="6" fontId="14" numFmtId="0" xfId="0" applyAlignment="1" applyFill="1" applyFont="1">
      <alignment vertical="bottom"/>
    </xf>
    <xf borderId="0" fillId="6" fontId="14" numFmtId="0" xfId="0" applyAlignment="1" applyFont="1">
      <alignment horizontal="right" vertical="bottom"/>
    </xf>
    <xf borderId="0" fillId="6" fontId="1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IFERROR(__xludf.DUMMYFUNCTION("IF(C3="""","""",Transpose(IMPORTRANGE('_Settings'!$B$3,C3&amp;""!A4:A1000"")))"),"VerifySymbolLookUp")</f>
        <v>VerifySymbolLookUp</v>
      </c>
      <c r="C4" s="24" t="str">
        <f>IFERROR(__xludf.DUMMYFUNCTION("""COMPUTED_VALUE"""),"SymbolLookupFromTT")</f>
        <v>SymbolLookupFromTT</v>
      </c>
      <c r="D4" s="24" t="str">
        <f>IFERROR(__xludf.DUMMYFUNCTION("""COMPUTED_VALUE"""),"UpdateUDA")</f>
        <v>UpdateUDA</v>
      </c>
      <c r="E4" s="24" t="str">
        <f>IFERROR(__xludf.DUMMYFUNCTION("""COMPUTED_VALUE"""),"GetSymbol")</f>
        <v>GetSymbol</v>
      </c>
      <c r="F4" s="24" t="str">
        <f>IFERROR(__xludf.DUMMYFUNCTION("""COMPUTED_VALUE"""),"GetDataSymbolLookup")</f>
        <v>GetDataSymbolLookup</v>
      </c>
      <c r="G4" s="24" t="str">
        <f>IFERROR(__xludf.DUMMYFUNCTION("""COMPUTED_VALUE"""),"DeleteValidateSymbol")</f>
        <v>DeleteValidateSymbol</v>
      </c>
      <c r="H4" s="24" t="str">
        <f>IFERROR(__xludf.DUMMYFUNCTION("""COMPUTED_VALUE"""),"EnterEquity")</f>
        <v>EnterEquity</v>
      </c>
      <c r="I4" s="24" t="str">
        <f>IFERROR(__xludf.DUMMYFUNCTION("""COMPUTED_VALUE"""),"UpdateSecurityInfoOnSM")</f>
        <v>UpdateSecurityInfoOnSM</v>
      </c>
      <c r="J4" s="24" t="str">
        <f>IFERROR(__xludf.DUMMYFUNCTION("""COMPUTED_VALUE"""),"TradeSymbolFromSM")</f>
        <v>TradeSymbolFromSM</v>
      </c>
      <c r="K4" s="24" t="str">
        <f>IFERROR(__xludf.DUMMYFUNCTION("""COMPUTED_VALUE"""),"AddSymbol")</f>
        <v>AddSymbol</v>
      </c>
      <c r="L4" s="24" t="str">
        <f>IFERROR(__xludf.DUMMYFUNCTION("""COMPUTED_VALUE"""),"SelectFromSMGridUI")</f>
        <v>SelectFromSMGridUI</v>
      </c>
      <c r="M4" s="24" t="str">
        <f>IFERROR(__xludf.DUMMYFUNCTION("""COMPUTED_VALUE"""),"EditSMGridUi")</f>
        <v>EditSMGridUi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IFERROR(__xludf.DUMMYFUNCTION("""COMPUTED_VALUE"""),"UseUDAFromUnderlyingOrRoot")</f>
        <v>UseUDAFromUnderlyingOrRoot</v>
      </c>
      <c r="C5" s="27" t="str">
        <f>IFERROR(__xludf.DUMMYFUNCTION("""COMPUTED_VALUE"""),"Is NDF")</f>
        <v>Is NDF</v>
      </c>
      <c r="D5" s="27" t="str">
        <f>IFERROR(__xludf.DUMMYFUNCTION("""COMPUTED_VALUE"""),"IsZero")</f>
        <v>IsZero</v>
      </c>
      <c r="E5" s="27" t="str">
        <f>IFERROR(__xludf.DUMMYFUNCTION("""COMPUTED_VALUE"""),"IsSecApproved")</f>
        <v>IsSecApproved</v>
      </c>
      <c r="F5" s="28" t="str">
        <f>IFERROR(__xludf.DUMMYFUNCTION("""COMPUTED_VALUE"""),"Strike Price")</f>
        <v>Strike Price</v>
      </c>
      <c r="G5" s="27" t="str">
        <f>IFERROR(__xludf.DUMMYFUNCTION("""COMPUTED_VALUE"""),"Search Type")</f>
        <v>Search Type</v>
      </c>
      <c r="H5" s="27" t="str">
        <f>IFERROR(__xludf.DUMMYFUNCTION("""COMPUTED_VALUE"""),"Symbol")</f>
        <v>Symbol</v>
      </c>
      <c r="I5" s="27" t="str">
        <f>IFERROR(__xludf.DUMMYFUNCTION("""COMPUTED_VALUE"""),"SearchBeforeEdit")</f>
        <v>SearchBeforeEdit</v>
      </c>
      <c r="J5" s="27" t="str">
        <f>IFERROR(__xludf.DUMMYFUNCTION("""COMPUTED_VALUE"""),"BB Code")</f>
        <v>BB Code</v>
      </c>
      <c r="K5" s="27" t="str">
        <f>IFERROR(__xludf.DUMMYFUNCTION("""COMPUTED_VALUE"""),"Underlying Symbol")</f>
        <v>Underlying Symbol</v>
      </c>
      <c r="L5" s="27" t="str">
        <f>IFERROR(__xludf.DUMMYFUNCTION("""COMPUTED_VALUE"""),"Multiplier")</f>
        <v>Multiplier</v>
      </c>
      <c r="M5" s="27" t="str">
        <f>IFERROR(__xludf.DUMMYFUNCTION("""COMPUTED_VALUE"""),"CUSIP")</f>
        <v>CUSIP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0"/>
      <c r="E6" s="31"/>
      <c r="F6" s="31"/>
      <c r="G6" s="31"/>
      <c r="H6" s="32" t="s">
        <v>16</v>
      </c>
      <c r="I6" s="32" t="s">
        <v>17</v>
      </c>
      <c r="J6" s="31"/>
      <c r="K6" s="31"/>
      <c r="L6" s="33">
        <v>1.0</v>
      </c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EditSMGridUi!$4:$4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IFERROR(__xludf.DUMMYFUNCTION("IF(C3="""","""",Transpose(IMPORTRANGE('_Settings'!$B$3,C3&amp;""!A4:A1000"")))"),"RestartExpnl")</f>
        <v>RestartExpnl</v>
      </c>
      <c r="C4" s="24" t="str">
        <f>IFERROR(__xludf.DUMMYFUNCTION("""COMPUTED_VALUE"""),"UpdateExpnlConfig")</f>
        <v>UpdateExpnlConfig</v>
      </c>
      <c r="D4" s="24" t="str">
        <f>IFERROR(__xludf.DUMMYFUNCTION("""COMPUTED_VALUE"""),"RefreshExpnlUi")</f>
        <v>RefreshExpnlUi</v>
      </c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20</v>
      </c>
      <c r="C6" s="35" t="b">
        <v>1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UpdateExpnlConfig!$4:$4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 Update")</f>
        <v>Symbol Update</v>
      </c>
      <c r="C5" s="27" t="str">
        <f>IFERROR(__xludf.DUMMYFUNCTION("""COMPUTED_VALUE"""),"RoundLot")</f>
        <v>RoundLot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23</v>
      </c>
      <c r="C6" s="33">
        <v>100.0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24</v>
      </c>
      <c r="C7" s="33">
        <v>200.0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2" t="s">
        <v>25</v>
      </c>
      <c r="C8" s="33">
        <v>400.0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32" t="s">
        <v>26</v>
      </c>
      <c r="C9" s="33">
        <v>500.0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1"/>
      <c r="B10" s="32" t="s">
        <v>27</v>
      </c>
      <c r="C10" s="33">
        <v>600.0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31"/>
      <c r="B11" s="32" t="s">
        <v>28</v>
      </c>
      <c r="C11" s="33">
        <v>300.0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5.63"/>
    <col customWidth="1" min="3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24</v>
      </c>
      <c r="C6" s="32" t="s">
        <v>31</v>
      </c>
      <c r="D6" s="33">
        <v>100.0</v>
      </c>
      <c r="E6" s="36"/>
      <c r="F6" s="8"/>
      <c r="G6" s="8"/>
      <c r="H6" s="8"/>
      <c r="I6" s="8"/>
      <c r="J6" s="37">
        <v>26.47</v>
      </c>
      <c r="K6" s="8"/>
      <c r="L6" s="8"/>
      <c r="M6" s="8"/>
      <c r="N6" s="38">
        <f t="shared" ref="N6:N25" si="1">TODAY()-1</f>
        <v>45896</v>
      </c>
      <c r="O6" s="8"/>
    </row>
    <row r="7" ht="15.75" customHeight="1">
      <c r="A7" s="8"/>
      <c r="B7" s="32" t="s">
        <v>28</v>
      </c>
      <c r="C7" s="32" t="s">
        <v>31</v>
      </c>
      <c r="D7" s="33">
        <v>100.0</v>
      </c>
      <c r="E7" s="8"/>
      <c r="F7" s="8"/>
      <c r="G7" s="8"/>
      <c r="H7" s="8"/>
      <c r="I7" s="8"/>
      <c r="J7" s="33">
        <v>10.0</v>
      </c>
      <c r="K7" s="8"/>
      <c r="L7" s="8"/>
      <c r="M7" s="8"/>
      <c r="N7" s="38">
        <f t="shared" si="1"/>
        <v>45896</v>
      </c>
      <c r="O7" s="8"/>
    </row>
    <row r="8" ht="15.75" customHeight="1">
      <c r="A8" s="8"/>
      <c r="B8" s="33">
        <v>1.23456789E8</v>
      </c>
      <c r="C8" s="32" t="s">
        <v>31</v>
      </c>
      <c r="D8" s="33">
        <v>12000.0</v>
      </c>
      <c r="E8" s="8"/>
      <c r="F8" s="8"/>
      <c r="G8" s="8"/>
      <c r="H8" s="8"/>
      <c r="I8" s="8"/>
      <c r="J8" s="33">
        <v>25.0</v>
      </c>
      <c r="K8" s="8"/>
      <c r="L8" s="8"/>
      <c r="M8" s="8"/>
      <c r="N8" s="38">
        <f t="shared" si="1"/>
        <v>45896</v>
      </c>
      <c r="O8" s="8"/>
    </row>
    <row r="9" ht="15.75" customHeight="1">
      <c r="A9" s="8"/>
      <c r="B9" s="32" t="s">
        <v>27</v>
      </c>
      <c r="C9" s="32" t="s">
        <v>32</v>
      </c>
      <c r="D9" s="33">
        <v>10.0</v>
      </c>
      <c r="E9" s="8"/>
      <c r="F9" s="8"/>
      <c r="G9" s="8"/>
      <c r="H9" s="8"/>
      <c r="I9" s="8"/>
      <c r="J9" s="33">
        <v>20.0</v>
      </c>
      <c r="K9" s="8"/>
      <c r="L9" s="8"/>
      <c r="M9" s="8"/>
      <c r="N9" s="38">
        <f t="shared" si="1"/>
        <v>45896</v>
      </c>
      <c r="O9" s="8"/>
    </row>
    <row r="10" ht="15.75" customHeight="1">
      <c r="A10" s="8"/>
      <c r="B10" s="32" t="s">
        <v>26</v>
      </c>
      <c r="C10" s="32" t="s">
        <v>33</v>
      </c>
      <c r="D10" s="33">
        <v>100.0</v>
      </c>
      <c r="E10" s="8"/>
      <c r="F10" s="8"/>
      <c r="G10" s="8"/>
      <c r="H10" s="8"/>
      <c r="I10" s="8"/>
      <c r="J10" s="33">
        <v>10.0</v>
      </c>
      <c r="K10" s="8"/>
      <c r="L10" s="8"/>
      <c r="M10" s="8"/>
      <c r="N10" s="38">
        <f t="shared" si="1"/>
        <v>45896</v>
      </c>
      <c r="O10" s="8"/>
    </row>
    <row r="11" ht="15.75" customHeight="1">
      <c r="A11" s="8"/>
      <c r="B11" s="32" t="s">
        <v>25</v>
      </c>
      <c r="C11" s="32" t="s">
        <v>33</v>
      </c>
      <c r="D11" s="33">
        <v>10.0</v>
      </c>
      <c r="E11" s="8"/>
      <c r="F11" s="8"/>
      <c r="G11" s="8"/>
      <c r="H11" s="8"/>
      <c r="I11" s="8"/>
      <c r="J11" s="33">
        <v>36.6</v>
      </c>
      <c r="K11" s="8"/>
      <c r="L11" s="8"/>
      <c r="M11" s="8"/>
      <c r="N11" s="38">
        <f t="shared" si="1"/>
        <v>45896</v>
      </c>
      <c r="O11" s="8"/>
    </row>
    <row r="12" ht="15.75" customHeight="1">
      <c r="A12" s="8"/>
      <c r="B12" s="32" t="s">
        <v>23</v>
      </c>
      <c r="C12" s="32" t="s">
        <v>31</v>
      </c>
      <c r="D12" s="33">
        <v>100.0</v>
      </c>
      <c r="E12" s="8"/>
      <c r="F12" s="8"/>
      <c r="G12" s="8"/>
      <c r="H12" s="8"/>
      <c r="I12" s="8"/>
      <c r="J12" s="33">
        <v>8.0</v>
      </c>
      <c r="K12" s="8"/>
      <c r="L12" s="8"/>
      <c r="M12" s="8"/>
      <c r="N12" s="38">
        <f t="shared" si="1"/>
        <v>45896</v>
      </c>
      <c r="O12" s="8"/>
    </row>
    <row r="13" ht="15.75" customHeight="1">
      <c r="A13" s="8"/>
      <c r="B13" s="32" t="s">
        <v>34</v>
      </c>
      <c r="C13" s="32" t="s">
        <v>32</v>
      </c>
      <c r="D13" s="33">
        <v>20000.0</v>
      </c>
      <c r="E13" s="8"/>
      <c r="F13" s="8"/>
      <c r="G13" s="8"/>
      <c r="H13" s="8"/>
      <c r="I13" s="8"/>
      <c r="J13" s="33">
        <v>5.0</v>
      </c>
      <c r="K13" s="8"/>
      <c r="L13" s="8"/>
      <c r="M13" s="8"/>
      <c r="N13" s="38">
        <f t="shared" si="1"/>
        <v>45896</v>
      </c>
      <c r="O13" s="8"/>
    </row>
    <row r="14" ht="15.75" customHeight="1">
      <c r="A14" s="8"/>
      <c r="B14" s="31" t="s">
        <v>35</v>
      </c>
      <c r="C14" s="32" t="s">
        <v>36</v>
      </c>
      <c r="D14" s="33">
        <v>100.0</v>
      </c>
      <c r="E14" s="8"/>
      <c r="F14" s="8"/>
      <c r="G14" s="8"/>
      <c r="H14" s="8"/>
      <c r="I14" s="8"/>
      <c r="J14" s="33">
        <v>8.0</v>
      </c>
      <c r="K14" s="8"/>
      <c r="L14" s="8"/>
      <c r="M14" s="8"/>
      <c r="N14" s="38">
        <f t="shared" si="1"/>
        <v>45896</v>
      </c>
      <c r="O14" s="8"/>
    </row>
    <row r="15" ht="15.75" customHeight="1">
      <c r="A15" s="8"/>
      <c r="B15" s="32" t="s">
        <v>37</v>
      </c>
      <c r="C15" s="32" t="s">
        <v>38</v>
      </c>
      <c r="D15" s="33">
        <v>10.0</v>
      </c>
      <c r="E15" s="8"/>
      <c r="F15" s="8"/>
      <c r="G15" s="8"/>
      <c r="H15" s="8"/>
      <c r="I15" s="8"/>
      <c r="J15" s="33">
        <v>5.0</v>
      </c>
      <c r="K15" s="8"/>
      <c r="L15" s="8"/>
      <c r="M15" s="8"/>
      <c r="N15" s="38">
        <f t="shared" si="1"/>
        <v>45896</v>
      </c>
      <c r="O15" s="8"/>
    </row>
    <row r="16" ht="15.75" customHeight="1">
      <c r="A16" s="8"/>
      <c r="B16" s="32" t="s">
        <v>24</v>
      </c>
      <c r="C16" s="32" t="s">
        <v>31</v>
      </c>
      <c r="D16" s="33">
        <v>100.0</v>
      </c>
      <c r="E16" s="8"/>
      <c r="F16" s="39" t="s">
        <v>39</v>
      </c>
      <c r="G16" s="8"/>
      <c r="H16" s="8"/>
      <c r="I16" s="8"/>
      <c r="J16" s="37">
        <v>26.47</v>
      </c>
      <c r="K16" s="8"/>
      <c r="L16" s="8"/>
      <c r="M16" s="8"/>
      <c r="N16" s="38">
        <f t="shared" si="1"/>
        <v>45896</v>
      </c>
      <c r="O16" s="8"/>
    </row>
    <row r="17" ht="15.75" customHeight="1">
      <c r="A17" s="8"/>
      <c r="B17" s="32" t="s">
        <v>28</v>
      </c>
      <c r="C17" s="32" t="s">
        <v>31</v>
      </c>
      <c r="D17" s="33">
        <v>100.0</v>
      </c>
      <c r="E17" s="8"/>
      <c r="F17" s="39" t="s">
        <v>39</v>
      </c>
      <c r="G17" s="8"/>
      <c r="H17" s="8"/>
      <c r="I17" s="8"/>
      <c r="J17" s="33">
        <v>10.0</v>
      </c>
      <c r="K17" s="8"/>
      <c r="L17" s="8"/>
      <c r="M17" s="8"/>
      <c r="N17" s="38">
        <f t="shared" si="1"/>
        <v>45896</v>
      </c>
      <c r="O17" s="8"/>
    </row>
    <row r="18" ht="15.75" customHeight="1">
      <c r="A18" s="8"/>
      <c r="B18" s="33">
        <v>1.23456789E8</v>
      </c>
      <c r="C18" s="32" t="s">
        <v>31</v>
      </c>
      <c r="D18" s="33">
        <v>12000.0</v>
      </c>
      <c r="E18" s="8"/>
      <c r="F18" s="39" t="s">
        <v>39</v>
      </c>
      <c r="G18" s="8"/>
      <c r="H18" s="8"/>
      <c r="I18" s="8"/>
      <c r="J18" s="33">
        <v>25.0</v>
      </c>
      <c r="K18" s="8"/>
      <c r="L18" s="8"/>
      <c r="M18" s="8"/>
      <c r="N18" s="38">
        <f t="shared" si="1"/>
        <v>45896</v>
      </c>
      <c r="O18" s="8"/>
    </row>
    <row r="19" ht="15.75" customHeight="1">
      <c r="A19" s="8"/>
      <c r="B19" s="32" t="s">
        <v>27</v>
      </c>
      <c r="C19" s="32" t="s">
        <v>32</v>
      </c>
      <c r="D19" s="33">
        <v>10.0</v>
      </c>
      <c r="E19" s="8"/>
      <c r="F19" s="39" t="s">
        <v>39</v>
      </c>
      <c r="G19" s="8"/>
      <c r="H19" s="8"/>
      <c r="I19" s="8"/>
      <c r="J19" s="33">
        <v>20.0</v>
      </c>
      <c r="K19" s="8"/>
      <c r="L19" s="8"/>
      <c r="M19" s="8"/>
      <c r="N19" s="38">
        <f t="shared" si="1"/>
        <v>45896</v>
      </c>
      <c r="O19" s="8"/>
    </row>
    <row r="20" ht="15.75" customHeight="1">
      <c r="A20" s="8"/>
      <c r="B20" s="32" t="s">
        <v>26</v>
      </c>
      <c r="C20" s="32" t="s">
        <v>33</v>
      </c>
      <c r="D20" s="33">
        <v>100.0</v>
      </c>
      <c r="E20" s="8"/>
      <c r="F20" s="39" t="s">
        <v>39</v>
      </c>
      <c r="G20" s="8"/>
      <c r="H20" s="8"/>
      <c r="I20" s="8"/>
      <c r="J20" s="33">
        <v>10.0</v>
      </c>
      <c r="K20" s="8"/>
      <c r="L20" s="8"/>
      <c r="M20" s="8"/>
      <c r="N20" s="38">
        <f t="shared" si="1"/>
        <v>45896</v>
      </c>
      <c r="O20" s="8"/>
    </row>
    <row r="21" ht="15.75" customHeight="1">
      <c r="A21" s="8"/>
      <c r="B21" s="32" t="s">
        <v>25</v>
      </c>
      <c r="C21" s="32" t="s">
        <v>33</v>
      </c>
      <c r="D21" s="33">
        <v>10.0</v>
      </c>
      <c r="E21" s="8"/>
      <c r="F21" s="39" t="s">
        <v>39</v>
      </c>
      <c r="G21" s="8"/>
      <c r="H21" s="8"/>
      <c r="I21" s="8"/>
      <c r="J21" s="33">
        <v>36.6</v>
      </c>
      <c r="K21" s="8"/>
      <c r="L21" s="8"/>
      <c r="M21" s="8"/>
      <c r="N21" s="38">
        <f t="shared" si="1"/>
        <v>45896</v>
      </c>
      <c r="O21" s="8"/>
    </row>
    <row r="22" ht="15.75" customHeight="1">
      <c r="A22" s="8"/>
      <c r="B22" s="32" t="s">
        <v>23</v>
      </c>
      <c r="C22" s="32" t="s">
        <v>31</v>
      </c>
      <c r="D22" s="33">
        <v>100.0</v>
      </c>
      <c r="E22" s="8"/>
      <c r="F22" s="39" t="s">
        <v>39</v>
      </c>
      <c r="G22" s="8"/>
      <c r="H22" s="8"/>
      <c r="I22" s="8"/>
      <c r="J22" s="33">
        <v>8.0</v>
      </c>
      <c r="K22" s="8"/>
      <c r="L22" s="8"/>
      <c r="M22" s="8"/>
      <c r="N22" s="38">
        <f t="shared" si="1"/>
        <v>45896</v>
      </c>
      <c r="O22" s="8"/>
    </row>
    <row r="23" ht="15.75" customHeight="1">
      <c r="A23" s="8"/>
      <c r="B23" s="32" t="s">
        <v>34</v>
      </c>
      <c r="C23" s="32" t="s">
        <v>32</v>
      </c>
      <c r="D23" s="33">
        <v>20000.0</v>
      </c>
      <c r="E23" s="8"/>
      <c r="F23" s="39" t="s">
        <v>39</v>
      </c>
      <c r="G23" s="8"/>
      <c r="H23" s="8"/>
      <c r="I23" s="8"/>
      <c r="J23" s="33">
        <v>5.0</v>
      </c>
      <c r="K23" s="8"/>
      <c r="L23" s="8"/>
      <c r="M23" s="8"/>
      <c r="N23" s="38">
        <f t="shared" si="1"/>
        <v>45896</v>
      </c>
      <c r="O23" s="8"/>
    </row>
    <row r="24" ht="15.75" customHeight="1">
      <c r="A24" s="8"/>
      <c r="B24" s="31" t="s">
        <v>35</v>
      </c>
      <c r="C24" s="32" t="s">
        <v>36</v>
      </c>
      <c r="D24" s="33">
        <v>100.0</v>
      </c>
      <c r="E24" s="8"/>
      <c r="F24" s="39" t="s">
        <v>39</v>
      </c>
      <c r="G24" s="8"/>
      <c r="H24" s="8"/>
      <c r="I24" s="8"/>
      <c r="J24" s="33">
        <v>8.0</v>
      </c>
      <c r="K24" s="8"/>
      <c r="L24" s="8"/>
      <c r="M24" s="8"/>
      <c r="N24" s="38">
        <f t="shared" si="1"/>
        <v>45896</v>
      </c>
      <c r="O24" s="8"/>
    </row>
    <row r="25" ht="15.75" customHeight="1">
      <c r="A25" s="8"/>
      <c r="B25" s="32" t="s">
        <v>37</v>
      </c>
      <c r="C25" s="32" t="s">
        <v>38</v>
      </c>
      <c r="D25" s="33">
        <v>10.0</v>
      </c>
      <c r="E25" s="8"/>
      <c r="F25" s="39" t="s">
        <v>39</v>
      </c>
      <c r="G25" s="8"/>
      <c r="H25" s="8"/>
      <c r="I25" s="8"/>
      <c r="J25" s="33">
        <v>5.0</v>
      </c>
      <c r="K25" s="8"/>
      <c r="L25" s="8"/>
      <c r="M25" s="8"/>
      <c r="N25" s="38">
        <f t="shared" si="1"/>
        <v>45896</v>
      </c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40" t="str">
        <f>IFERROR(__xludf.DUMMYFUNCTION("""COMPUTED_VALUE"""),"Symbol")</f>
        <v>Symbol</v>
      </c>
      <c r="C5" s="40" t="str">
        <f>IFERROR(__xludf.DUMMYFUNCTION("""COMPUTED_VALUE"""),"User Px")</f>
        <v>User Px</v>
      </c>
      <c r="D5" s="40" t="str">
        <f>IFERROR(__xludf.DUMMYFUNCTION("""COMPUTED_VALUE"""),"Asset Class")</f>
        <v>Asset Class</v>
      </c>
      <c r="E5" s="40" t="str">
        <f>IFERROR(__xludf.DUMMYFUNCTION("""COMPUTED_VALUE"""),"Volatility(%)")</f>
        <v>Volatility(%)</v>
      </c>
      <c r="F5" s="41" t="str">
        <f>IFERROR(__xludf.DUMMYFUNCTION("""COMPUTED_VALUE"""),"Historical Volatility")</f>
        <v>Historical Volatility</v>
      </c>
      <c r="G5" s="40" t="str">
        <f>IFERROR(__xludf.DUMMYFUNCTION("""COMPUTED_VALUE"""),"User Volatility")</f>
        <v>User Volatility</v>
      </c>
      <c r="H5" s="40" t="str">
        <f>IFERROR(__xludf.DUMMYFUNCTION("""COMPUTED_VALUE"""),"Interest Rate")</f>
        <v>Interest Rate</v>
      </c>
      <c r="I5" s="40" t="str">
        <f>IFERROR(__xludf.DUMMYFUNCTION("""COMPUTED_VALUE"""),"User Interest Rate")</f>
        <v>User Interest Rate</v>
      </c>
      <c r="J5" s="40" t="str">
        <f>IFERROR(__xludf.DUMMYFUNCTION("""COMPUTED_VALUE"""),"Dividend Yield")</f>
        <v>Dividend Yield</v>
      </c>
      <c r="K5" s="40" t="str">
        <f>IFERROR(__xludf.DUMMYFUNCTION("""COMPUTED_VALUE"""),"User Dividend Yield")</f>
        <v>User Dividend Yield</v>
      </c>
      <c r="L5" s="40" t="str">
        <f>IFERROR(__xludf.DUMMYFUNCTION("""COMPUTED_VALUE"""),"Actual Delta")</f>
        <v>Actual Delta</v>
      </c>
      <c r="M5" s="40" t="str">
        <f>IFERROR(__xludf.DUMMYFUNCTION("""COMPUTED_VALUE"""),"User Delta")</f>
        <v>User Delta</v>
      </c>
      <c r="N5" s="40" t="str">
        <f>IFERROR(__xludf.DUMMYFUNCTION("""COMPUTED_VALUE"""),"Selected Px")</f>
        <v>Selected Px</v>
      </c>
      <c r="O5" s="40" t="str">
        <f>IFERROR(__xludf.DUMMYFUNCTION("""COMPUTED_VALUE"""),"Forward Points")</f>
        <v>Forward Points</v>
      </c>
      <c r="P5" s="40" t="str">
        <f>IFERROR(__xludf.DUMMYFUNCTION("""COMPUTED_VALUE"""),"Shares Outstanding")</f>
        <v>Shares Outstanding</v>
      </c>
      <c r="Q5" s="40" t="str">
        <f>IFERROR(__xludf.DUMMYFUNCTION("""COMPUTED_VALUE"""),"User Shares Outstanding")</f>
        <v>User Shares Outstanding</v>
      </c>
      <c r="R5" s="40" t="str">
        <f>IFERROR(__xludf.DUMMYFUNCTION("""COMPUTED_VALUE"""),"LastPriceUsed")</f>
        <v>LastPriceUsed</v>
      </c>
      <c r="S5" s="40" t="str">
        <f>IFERROR(__xludf.DUMMYFUNCTION("""COMPUTED_VALUE"""),"VolatilityUsed")</f>
        <v>VolatilityUsed</v>
      </c>
      <c r="T5" s="42" t="str">
        <f>IFERROR(__xludf.DUMMYFUNCTION("""COMPUTED_VALUE"""),"IntRateUsed")</f>
        <v>IntRateUsed</v>
      </c>
      <c r="U5" s="42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24</v>
      </c>
      <c r="C6" s="33">
        <v>25.0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28</v>
      </c>
      <c r="C7" s="33">
        <v>10.0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3">
        <v>1.23456789E8</v>
      </c>
      <c r="C8" s="33">
        <v>25.0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32" t="s">
        <v>27</v>
      </c>
      <c r="C9" s="33">
        <v>20.0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1"/>
      <c r="B10" s="32" t="s">
        <v>26</v>
      </c>
      <c r="C10" s="33">
        <v>10.0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31"/>
      <c r="B11" s="32" t="s">
        <v>25</v>
      </c>
      <c r="C11" s="33">
        <v>30.0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</row>
    <row r="12" ht="15.75" customHeight="1">
      <c r="A12" s="31"/>
      <c r="B12" s="32" t="s">
        <v>23</v>
      </c>
      <c r="C12" s="33">
        <v>8.0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  <c r="CW12" s="31"/>
      <c r="CX12" s="31"/>
      <c r="CY12" s="31"/>
      <c r="CZ12" s="31"/>
      <c r="DA12" s="31"/>
      <c r="DB12" s="31"/>
      <c r="DC12" s="31"/>
      <c r="DD12" s="31"/>
      <c r="DE12" s="31"/>
      <c r="DF12" s="31"/>
      <c r="DG12" s="31"/>
      <c r="DH12" s="31"/>
      <c r="DI12" s="31"/>
      <c r="DJ12" s="31"/>
      <c r="DK12" s="31"/>
      <c r="DL12" s="31"/>
      <c r="DM12" s="31"/>
      <c r="DN12" s="31"/>
      <c r="DO12" s="31"/>
      <c r="DP12" s="31"/>
      <c r="DQ12" s="31"/>
      <c r="DR12" s="31"/>
      <c r="DS12" s="31"/>
      <c r="DT12" s="31"/>
      <c r="DU12" s="31"/>
      <c r="DV12" s="31"/>
      <c r="DW12" s="31"/>
      <c r="DX12" s="31"/>
      <c r="DY12" s="31"/>
      <c r="DZ12" s="31"/>
      <c r="EA12" s="31"/>
      <c r="EB12" s="31"/>
      <c r="EC12" s="31"/>
      <c r="ED12" s="31"/>
      <c r="EE12" s="31"/>
      <c r="EF12" s="31"/>
      <c r="EG12" s="31"/>
      <c r="EH12" s="31"/>
      <c r="EI12" s="31"/>
      <c r="EJ12" s="31"/>
      <c r="EK12" s="31"/>
      <c r="EL12" s="31"/>
      <c r="EM12" s="31"/>
      <c r="EN12" s="31"/>
      <c r="EO12" s="31"/>
      <c r="EP12" s="31"/>
      <c r="EQ12" s="31"/>
      <c r="ER12" s="31"/>
      <c r="ES12" s="31"/>
      <c r="ET12" s="31"/>
      <c r="EU12" s="31"/>
      <c r="EV12" s="31"/>
      <c r="EW12" s="31"/>
      <c r="EX12" s="31"/>
    </row>
    <row r="13" ht="15.75" customHeight="1">
      <c r="A13" s="31"/>
      <c r="B13" s="32" t="s">
        <v>34</v>
      </c>
      <c r="C13" s="33">
        <v>5.0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  <c r="CD13" s="31"/>
      <c r="CE13" s="31"/>
      <c r="CF13" s="31"/>
      <c r="CG13" s="31"/>
      <c r="CH13" s="31"/>
      <c r="CI13" s="31"/>
      <c r="CJ13" s="31"/>
      <c r="CK13" s="31"/>
      <c r="CL13" s="31"/>
      <c r="CM13" s="31"/>
      <c r="CN13" s="31"/>
      <c r="CO13" s="31"/>
      <c r="CP13" s="31"/>
      <c r="CQ13" s="31"/>
      <c r="CR13" s="31"/>
      <c r="CS13" s="31"/>
      <c r="CT13" s="31"/>
      <c r="CU13" s="31"/>
      <c r="CV13" s="31"/>
      <c r="CW13" s="31"/>
      <c r="CX13" s="31"/>
      <c r="CY13" s="31"/>
      <c r="CZ13" s="31"/>
      <c r="DA13" s="31"/>
      <c r="DB13" s="31"/>
      <c r="DC13" s="31"/>
      <c r="DD13" s="31"/>
      <c r="DE13" s="31"/>
      <c r="DF13" s="31"/>
      <c r="DG13" s="31"/>
      <c r="DH13" s="31"/>
      <c r="DI13" s="31"/>
      <c r="DJ13" s="31"/>
      <c r="DK13" s="31"/>
      <c r="DL13" s="31"/>
      <c r="DM13" s="31"/>
      <c r="DN13" s="31"/>
      <c r="DO13" s="31"/>
      <c r="DP13" s="31"/>
      <c r="DQ13" s="31"/>
      <c r="DR13" s="31"/>
      <c r="DS13" s="31"/>
      <c r="DT13" s="31"/>
      <c r="DU13" s="31"/>
      <c r="DV13" s="31"/>
      <c r="DW13" s="31"/>
      <c r="DX13" s="31"/>
      <c r="DY13" s="31"/>
      <c r="DZ13" s="31"/>
      <c r="EA13" s="31"/>
      <c r="EB13" s="31"/>
      <c r="EC13" s="31"/>
      <c r="ED13" s="31"/>
      <c r="EE13" s="31"/>
      <c r="EF13" s="31"/>
      <c r="EG13" s="31"/>
      <c r="EH13" s="31"/>
      <c r="EI13" s="31"/>
      <c r="EJ13" s="31"/>
      <c r="EK13" s="31"/>
      <c r="EL13" s="31"/>
      <c r="EM13" s="31"/>
      <c r="EN13" s="31"/>
      <c r="EO13" s="31"/>
      <c r="EP13" s="31"/>
      <c r="EQ13" s="31"/>
      <c r="ER13" s="31"/>
      <c r="ES13" s="31"/>
      <c r="ET13" s="31"/>
      <c r="EU13" s="31"/>
      <c r="EV13" s="31"/>
      <c r="EW13" s="31"/>
      <c r="EX13" s="31"/>
    </row>
    <row r="14" ht="15.75" customHeight="1">
      <c r="A14" s="31"/>
      <c r="B14" s="31" t="s">
        <v>35</v>
      </c>
      <c r="C14" s="33">
        <v>25.0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  <c r="CA14" s="31"/>
      <c r="CB14" s="31"/>
      <c r="CC14" s="31"/>
      <c r="CD14" s="31"/>
      <c r="CE14" s="31"/>
      <c r="CF14" s="31"/>
      <c r="CG14" s="31"/>
      <c r="CH14" s="31"/>
      <c r="CI14" s="31"/>
      <c r="CJ14" s="31"/>
      <c r="CK14" s="31"/>
      <c r="CL14" s="31"/>
      <c r="CM14" s="31"/>
      <c r="CN14" s="31"/>
      <c r="CO14" s="31"/>
      <c r="CP14" s="31"/>
      <c r="CQ14" s="31"/>
      <c r="CR14" s="31"/>
      <c r="CS14" s="31"/>
      <c r="CT14" s="31"/>
      <c r="CU14" s="31"/>
      <c r="CV14" s="31"/>
      <c r="CW14" s="31"/>
      <c r="CX14" s="31"/>
      <c r="CY14" s="31"/>
      <c r="CZ14" s="31"/>
      <c r="DA14" s="31"/>
      <c r="DB14" s="31"/>
      <c r="DC14" s="31"/>
      <c r="DD14" s="31"/>
      <c r="DE14" s="31"/>
      <c r="DF14" s="31"/>
      <c r="DG14" s="31"/>
      <c r="DH14" s="31"/>
      <c r="DI14" s="31"/>
      <c r="DJ14" s="31"/>
      <c r="DK14" s="31"/>
      <c r="DL14" s="31"/>
      <c r="DM14" s="31"/>
      <c r="DN14" s="31"/>
      <c r="DO14" s="31"/>
      <c r="DP14" s="31"/>
      <c r="DQ14" s="31"/>
      <c r="DR14" s="31"/>
      <c r="DS14" s="31"/>
      <c r="DT14" s="31"/>
      <c r="DU14" s="31"/>
      <c r="DV14" s="31"/>
      <c r="DW14" s="31"/>
      <c r="DX14" s="31"/>
      <c r="DY14" s="31"/>
      <c r="DZ14" s="31"/>
      <c r="EA14" s="31"/>
      <c r="EB14" s="31"/>
      <c r="EC14" s="31"/>
      <c r="ED14" s="31"/>
      <c r="EE14" s="31"/>
      <c r="EF14" s="31"/>
      <c r="EG14" s="31"/>
      <c r="EH14" s="31"/>
      <c r="EI14" s="31"/>
      <c r="EJ14" s="31"/>
      <c r="EK14" s="31"/>
      <c r="EL14" s="31"/>
      <c r="EM14" s="31"/>
      <c r="EN14" s="31"/>
      <c r="EO14" s="31"/>
      <c r="EP14" s="31"/>
      <c r="EQ14" s="31"/>
      <c r="ER14" s="31"/>
      <c r="ES14" s="31"/>
      <c r="ET14" s="31"/>
      <c r="EU14" s="31"/>
      <c r="EV14" s="31"/>
      <c r="EW14" s="31"/>
      <c r="EX14" s="31"/>
    </row>
    <row r="15" ht="15.75" customHeight="1">
      <c r="A15" s="31"/>
      <c r="B15" s="32" t="s">
        <v>37</v>
      </c>
      <c r="C15" s="33">
        <v>15.0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1"/>
      <c r="CC15" s="31"/>
      <c r="CD15" s="31"/>
      <c r="CE15" s="31"/>
      <c r="CF15" s="31"/>
      <c r="CG15" s="31"/>
      <c r="CH15" s="31"/>
      <c r="CI15" s="31"/>
      <c r="CJ15" s="31"/>
      <c r="CK15" s="31"/>
      <c r="CL15" s="31"/>
      <c r="CM15" s="31"/>
      <c r="CN15" s="31"/>
      <c r="CO15" s="31"/>
      <c r="CP15" s="31"/>
      <c r="CQ15" s="31"/>
      <c r="CR15" s="31"/>
      <c r="CS15" s="31"/>
      <c r="CT15" s="31"/>
      <c r="CU15" s="31"/>
      <c r="CV15" s="31"/>
      <c r="CW15" s="31"/>
      <c r="CX15" s="31"/>
      <c r="CY15" s="31"/>
      <c r="CZ15" s="31"/>
      <c r="DA15" s="31"/>
      <c r="DB15" s="31"/>
      <c r="DC15" s="31"/>
      <c r="DD15" s="31"/>
      <c r="DE15" s="31"/>
      <c r="DF15" s="31"/>
      <c r="DG15" s="31"/>
      <c r="DH15" s="31"/>
      <c r="DI15" s="31"/>
      <c r="DJ15" s="31"/>
      <c r="DK15" s="31"/>
      <c r="DL15" s="31"/>
      <c r="DM15" s="31"/>
      <c r="DN15" s="31"/>
      <c r="DO15" s="31"/>
      <c r="DP15" s="31"/>
      <c r="DQ15" s="31"/>
      <c r="DR15" s="31"/>
      <c r="DS15" s="31"/>
      <c r="DT15" s="31"/>
      <c r="DU15" s="31"/>
      <c r="DV15" s="31"/>
      <c r="DW15" s="31"/>
      <c r="DX15" s="31"/>
      <c r="DY15" s="31"/>
      <c r="DZ15" s="31"/>
      <c r="EA15" s="31"/>
      <c r="EB15" s="31"/>
      <c r="EC15" s="31"/>
      <c r="ED15" s="31"/>
      <c r="EE15" s="31"/>
      <c r="EF15" s="31"/>
      <c r="EG15" s="31"/>
      <c r="EH15" s="31"/>
      <c r="EI15" s="31"/>
      <c r="EJ15" s="31"/>
      <c r="EK15" s="31"/>
      <c r="EL15" s="31"/>
      <c r="EM15" s="31"/>
      <c r="EN15" s="31"/>
      <c r="EO15" s="31"/>
      <c r="EP15" s="31"/>
      <c r="EQ15" s="31"/>
      <c r="ER15" s="31"/>
      <c r="ES15" s="31"/>
      <c r="ET15" s="31"/>
      <c r="EU15" s="31"/>
      <c r="EV15" s="31"/>
      <c r="EW15" s="31"/>
      <c r="EX15" s="31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8">
        <f>TODAY()-1</f>
        <v>45896</v>
      </c>
      <c r="C6" s="38">
        <f>TODAY()</f>
        <v>45897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3" t="s">
        <v>44</v>
      </c>
      <c r="C6" s="43" t="s">
        <v>45</v>
      </c>
      <c r="D6" s="34" t="s">
        <v>46</v>
      </c>
      <c r="E6" s="33">
        <v>1.0588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47</v>
      </c>
      <c r="C7" s="32" t="s">
        <v>45</v>
      </c>
      <c r="D7" s="32" t="s">
        <v>48</v>
      </c>
      <c r="E7" s="33">
        <v>1.22</v>
      </c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51</v>
      </c>
      <c r="C6" s="38">
        <f>TODAY()-1</f>
        <v>45896</v>
      </c>
      <c r="D6" s="38">
        <f>TODAY()</f>
        <v>45897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26</v>
      </c>
      <c r="C6" s="31"/>
      <c r="D6" s="30"/>
      <c r="E6" s="12" t="s">
        <v>53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IFERROR(__xludf.DUMMYFUNCTION("""COMPUTED_VALUE"""),"NotionalValue")</f>
        <v>NotionalValue</v>
      </c>
      <c r="C5" s="27" t="str">
        <f>IFERROR(__xludf.DUMMYFUNCTION("""COMPUTED_VALUE"""),"Interest Rate")</f>
        <v>Interest Rate</v>
      </c>
      <c r="D5" s="27" t="str">
        <f>IFERROR(__xludf.DUMMYFUNCTION("""COMPUTED_VALUE"""),"Spread(B.P)")</f>
        <v>Spread(B.P)</v>
      </c>
      <c r="E5" s="27" t="str">
        <f>IFERROR(__xludf.DUMMYFUNCTION("""COMPUTED_VALUE"""),"First Reset Date")</f>
        <v>First Reset Date</v>
      </c>
      <c r="F5" s="28" t="str">
        <f>IFERROR(__xludf.DUMMYFUNCTION("""COMPUTED_VALUE"""),"DayCount")</f>
        <v>DayCount</v>
      </c>
      <c r="G5" s="27" t="str">
        <f>IFERROR(__xludf.DUMMYFUNCTION("""COMPUTED_VALUE"""),"Original T.Date")</f>
        <v>Original T.Date</v>
      </c>
      <c r="H5" s="27" t="str">
        <f>IFERROR(__xludf.DUMMYFUNCTION("""COMPUTED_VALUE"""),"OriginalCostBasis")</f>
        <v>OriginalCostBasis</v>
      </c>
      <c r="I5" s="27" t="str">
        <f>IFERROR(__xludf.DUMMYFUNCTION("""COMPUTED_VALUE"""),"SwapDescription")</f>
        <v>SwapDescription</v>
      </c>
      <c r="J5" s="27" t="str">
        <f>IFERROR(__xludf.DUMMYFUNCTION("""COMPUTED_VALUE"""),"CommissionChange")</f>
        <v>CommissionChange</v>
      </c>
      <c r="K5" s="27" t="str">
        <f>IFERROR(__xludf.DUMMYFUNCTION("""COMPUTED_VALUE"""),"CommissionRuleRecalculate")</f>
        <v>CommissionRuleRecalculate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>
        <v>720.0</v>
      </c>
      <c r="C6" s="31"/>
      <c r="D6" s="30"/>
      <c r="E6" s="31"/>
      <c r="F6" s="33">
        <v>365.0</v>
      </c>
      <c r="G6" s="31"/>
      <c r="H6" s="33">
        <v>8.0</v>
      </c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BookOrUpdateSwap!$4:$4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23</v>
      </c>
      <c r="C6" s="31"/>
      <c r="D6" s="30"/>
      <c r="E6" s="12" t="s">
        <v>53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SelectAllocatedGroup1!$4:$4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IFERROR(__xludf.DUMMYFUNCTION("""COMPUTED_VALUE"""),"NotionalValue")</f>
        <v>NotionalValue</v>
      </c>
      <c r="C5" s="27" t="str">
        <f>IFERROR(__xludf.DUMMYFUNCTION("""COMPUTED_VALUE"""),"Interest Rate")</f>
        <v>Interest Rate</v>
      </c>
      <c r="D5" s="27" t="str">
        <f>IFERROR(__xludf.DUMMYFUNCTION("""COMPUTED_VALUE"""),"Spread(B.P)")</f>
        <v>Spread(B.P)</v>
      </c>
      <c r="E5" s="27" t="str">
        <f>IFERROR(__xludf.DUMMYFUNCTION("""COMPUTED_VALUE"""),"First Reset Date")</f>
        <v>First Reset Date</v>
      </c>
      <c r="F5" s="28" t="str">
        <f>IFERROR(__xludf.DUMMYFUNCTION("""COMPUTED_VALUE"""),"DayCount")</f>
        <v>DayCount</v>
      </c>
      <c r="G5" s="27" t="str">
        <f>IFERROR(__xludf.DUMMYFUNCTION("""COMPUTED_VALUE"""),"Original T.Date")</f>
        <v>Original T.Date</v>
      </c>
      <c r="H5" s="27" t="str">
        <f>IFERROR(__xludf.DUMMYFUNCTION("""COMPUTED_VALUE"""),"OriginalCostBasis")</f>
        <v>OriginalCostBasis</v>
      </c>
      <c r="I5" s="27" t="str">
        <f>IFERROR(__xludf.DUMMYFUNCTION("""COMPUTED_VALUE"""),"SwapDescription")</f>
        <v>SwapDescription</v>
      </c>
      <c r="J5" s="27" t="str">
        <f>IFERROR(__xludf.DUMMYFUNCTION("""COMPUTED_VALUE"""),"CommissionChange")</f>
        <v>CommissionChange</v>
      </c>
      <c r="K5" s="27" t="str">
        <f>IFERROR(__xludf.DUMMYFUNCTION("""COMPUTED_VALUE"""),"CommissionRuleRecalculate")</f>
        <v>CommissionRuleRecalculate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>
        <v>50.0</v>
      </c>
      <c r="C6" s="31"/>
      <c r="D6" s="30"/>
      <c r="E6" s="31"/>
      <c r="F6" s="33">
        <v>365.0</v>
      </c>
      <c r="G6" s="31"/>
      <c r="H6" s="33">
        <v>5.0</v>
      </c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BookOrUpdateSwap1!$4:$4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26</v>
      </c>
      <c r="C6" s="8"/>
      <c r="D6" s="12"/>
      <c r="E6" s="12" t="s">
        <v>39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IFERROR(__xludf.DUMMYFUNCTION("""COMPUTED_VALUE"""),"NotionalValue")</f>
        <v>NotionalValue</v>
      </c>
      <c r="C5" s="27" t="str">
        <f>IFERROR(__xludf.DUMMYFUNCTION("""COMPUTED_VALUE"""),"Interest Rate")</f>
        <v>Interest Rate</v>
      </c>
      <c r="D5" s="27" t="str">
        <f>IFERROR(__xludf.DUMMYFUNCTION("""COMPUTED_VALUE"""),"Spread(B.P)")</f>
        <v>Spread(B.P)</v>
      </c>
      <c r="E5" s="27" t="str">
        <f>IFERROR(__xludf.DUMMYFUNCTION("""COMPUTED_VALUE"""),"First Reset Date")</f>
        <v>First Reset Date</v>
      </c>
      <c r="F5" s="28" t="str">
        <f>IFERROR(__xludf.DUMMYFUNCTION("""COMPUTED_VALUE"""),"DayCount")</f>
        <v>DayCount</v>
      </c>
      <c r="G5" s="27" t="str">
        <f>IFERROR(__xludf.DUMMYFUNCTION("""COMPUTED_VALUE"""),"Original T.Date")</f>
        <v>Original T.Date</v>
      </c>
      <c r="H5" s="27" t="str">
        <f>IFERROR(__xludf.DUMMYFUNCTION("""COMPUTED_VALUE"""),"OriginalCostBasis")</f>
        <v>OriginalCostBasis</v>
      </c>
      <c r="I5" s="27" t="str">
        <f>IFERROR(__xludf.DUMMYFUNCTION("""COMPUTED_VALUE"""),"SwapDescription")</f>
        <v>SwapDescription</v>
      </c>
      <c r="J5" s="27" t="str">
        <f>IFERROR(__xludf.DUMMYFUNCTION("""COMPUTED_VALUE"""),"CommissionChange")</f>
        <v>CommissionChange</v>
      </c>
      <c r="K5" s="27" t="str">
        <f>IFERROR(__xludf.DUMMYFUNCTION("""COMPUTED_VALUE"""),"CommissionRuleRecalculate")</f>
        <v>CommissionRuleRecalculate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>
        <v>720.0</v>
      </c>
      <c r="C6" s="31"/>
      <c r="D6" s="30"/>
      <c r="E6" s="31"/>
      <c r="F6" s="33">
        <v>365.0</v>
      </c>
      <c r="G6" s="31"/>
      <c r="H6" s="33">
        <v>8.0</v>
      </c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BookOrUpdateSwap2!$4:$4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8"/>
      <c r="D6" s="12"/>
      <c r="E6" s="12" t="s">
        <v>39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SelectAllocatedGroup3!$4:$4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40" t="str">
        <f>IFERROR(__xludf.DUMMYFUNCTION("""COMPUTED_VALUE"""),"Symbol")</f>
        <v>Symbol</v>
      </c>
      <c r="C5" s="40" t="str">
        <f>IFERROR(__xludf.DUMMYFUNCTION("""COMPUTED_VALUE"""),"Quantity")</f>
        <v>Quantity</v>
      </c>
      <c r="D5" s="40" t="str">
        <f>IFERROR(__xludf.DUMMYFUNCTION("""COMPUTED_VALUE"""),"Price")</f>
        <v>Price</v>
      </c>
      <c r="E5" s="40" t="str">
        <f>IFERROR(__xludf.DUMMYFUNCTION("""COMPUTED_VALUE"""),"Order type button")</f>
        <v>Order type button</v>
      </c>
      <c r="F5" s="41" t="str">
        <f>IFERROR(__xludf.DUMMYFUNCTION("""COMPUTED_VALUE"""),"SharesOutstandingPopUp")</f>
        <v>SharesOutstandingPopUp</v>
      </c>
      <c r="G5" s="40" t="str">
        <f>IFERROR(__xludf.DUMMYFUNCTION("""COMPUTED_VALUE"""),"TT_Open")</f>
        <v>TT_Open</v>
      </c>
      <c r="H5" s="40" t="str">
        <f>IFERROR(__xludf.DUMMYFUNCTION("""COMPUTED_VALUE"""),"SharesOutstandingPopUpQty")</f>
        <v>SharesOutstandingPopUpQty</v>
      </c>
      <c r="I5" s="40" t="str">
        <f>IFERROR(__xludf.DUMMYFUNCTION("""COMPUTED_VALUE"""),"AllocationMethod")</f>
        <v>AllocationMethod</v>
      </c>
      <c r="J5" s="40" t="str">
        <f>IFERROR(__xludf.DUMMYFUNCTION("""COMPUTED_VALUE"""),"Order Side")</f>
        <v>Order Side</v>
      </c>
      <c r="K5" s="40" t="str">
        <f>IFERROR(__xludf.DUMMYFUNCTION("""COMPUTED_VALUE"""),"DB_Check")</f>
        <v>DB_Check</v>
      </c>
      <c r="L5" s="40" t="str">
        <f>IFERROR(__xludf.DUMMYFUNCTION("""COMPUTED_VALUE"""),"CommissionBasis")</f>
        <v>CommissionBasis</v>
      </c>
      <c r="M5" s="40" t="str">
        <f>IFERROR(__xludf.DUMMYFUNCTION("""COMPUTED_VALUE"""),"CommissionRate")</f>
        <v>CommissionRate</v>
      </c>
      <c r="N5" s="40" t="str">
        <f>IFERROR(__xludf.DUMMYFUNCTION("""COMPUTED_VALUE"""),"SoftBasis")</f>
        <v>SoftBasis</v>
      </c>
      <c r="O5" s="40" t="str">
        <f>IFERROR(__xludf.DUMMYFUNCTION("""COMPUTED_VALUE"""),"SoftRate")</f>
        <v>SoftRate</v>
      </c>
      <c r="P5" s="40" t="str">
        <f>IFERROR(__xludf.DUMMYFUNCTION("""COMPUTED_VALUE"""),"Account")</f>
        <v>Account</v>
      </c>
      <c r="Q5" s="40" t="str">
        <f>IFERROR(__xludf.DUMMYFUNCTION("""COMPUTED_VALUE"""),"Account %")</f>
        <v>Account %</v>
      </c>
      <c r="R5" s="40" t="str">
        <f>IFERROR(__xludf.DUMMYFUNCTION("""COMPUTED_VALUE"""),"VerifySuggestions")</f>
        <v>VerifySuggestions</v>
      </c>
      <c r="S5" s="40" t="str">
        <f>IFERROR(__xludf.DUMMYFUNCTION("""COMPUTED_VALUE"""),"SymbolToPickFromSuggesstions")</f>
        <v>SymbolToPickFromSuggesstions</v>
      </c>
      <c r="T5" s="42" t="str">
        <f>IFERROR(__xludf.DUMMYFUNCTION("""COMPUTED_VALUE"""),"TypedSymbolAvailableOnSuggestion")</f>
        <v>TypedSymbolAvailableOnSuggestion</v>
      </c>
      <c r="U5" s="42" t="str">
        <f>IFERROR(__xludf.DUMMYFUNCTION("""COMPUTED_VALUE"""),"TIF")</f>
        <v>TIF</v>
      </c>
      <c r="V5" s="42" t="str">
        <f>IFERROR(__xludf.DUMMYFUNCTION("""COMPUTED_VALUE"""),"Order Type")</f>
        <v>Order Type</v>
      </c>
      <c r="W5" s="42" t="str">
        <f>IFERROR(__xludf.DUMMYFUNCTION("""COMPUTED_VALUE"""),"Stop")</f>
        <v>Stop</v>
      </c>
      <c r="X5" s="42" t="str">
        <f>IFERROR(__xludf.DUMMYFUNCTION("""COMPUTED_VALUE"""),"Limit")</f>
        <v>Limit</v>
      </c>
      <c r="Y5" s="42" t="str">
        <f>IFERROR(__xludf.DUMMYFUNCTION("""COMPUTED_VALUE"""),"Expiration Date")</f>
        <v>Expiration Date</v>
      </c>
      <c r="Z5" s="42" t="str">
        <f>IFERROR(__xludf.DUMMYFUNCTION("""COMPUTED_VALUE"""),"Trade Date")</f>
        <v>Trade Date</v>
      </c>
      <c r="AA5" s="42" t="str">
        <f>IFERROR(__xludf.DUMMYFUNCTION("""COMPUTED_VALUE"""),"Broker")</f>
        <v>Broker</v>
      </c>
      <c r="AB5" s="42" t="str">
        <f>IFERROR(__xludf.DUMMYFUNCTION("""COMPUTED_VALUE"""),"Padlock Visiblity")</f>
        <v>Padlock Visiblity</v>
      </c>
      <c r="AC5" s="42" t="str">
        <f>IFERROR(__xludf.DUMMYFUNCTION("""COMPUTED_VALUE"""),"Padlock Unlock")</f>
        <v>Padlock Unlock</v>
      </c>
      <c r="AD5" s="42" t="str">
        <f>IFERROR(__xludf.DUMMYFUNCTION("""COMPUTED_VALUE"""),"Venue")</f>
        <v>Venue</v>
      </c>
      <c r="AE5" s="42" t="str">
        <f>IFERROR(__xludf.DUMMYFUNCTION("""COMPUTED_VALUE"""),"Fx Rate")</f>
        <v>Fx Rate</v>
      </c>
      <c r="AF5" s="42" t="str">
        <f>IFERROR(__xludf.DUMMYFUNCTION("""COMPUTED_VALUE"""),"Fx Operator")</f>
        <v>Fx Operator</v>
      </c>
      <c r="AG5" s="42" t="str">
        <f>IFERROR(__xludf.DUMMYFUNCTION("""COMPUTED_VALUE"""),"PendingApprovalPopUp")</f>
        <v>PendingApprovalPopUp</v>
      </c>
      <c r="AH5" s="42" t="str">
        <f>IFERROR(__xludf.DUMMYFUNCTION("""COMPUTED_VALUE"""),"TradeBy")</f>
        <v>TradeBy</v>
      </c>
      <c r="AI5" s="42" t="str">
        <f>IFERROR(__xludf.DUMMYFUNCTION("""COMPUTED_VALUE"""),"BookAsSwap")</f>
        <v>BookAsSwap</v>
      </c>
      <c r="AJ5" s="42" t="str">
        <f>IFERROR(__xludf.DUMMYFUNCTION("""COMPUTED_VALUE"""),"RoundLot")</f>
        <v>RoundLot</v>
      </c>
      <c r="AK5" s="42" t="str">
        <f>IFERROR(__xludf.DUMMYFUNCTION("""COMPUTED_VALUE"""),"Increment")</f>
        <v>Increment</v>
      </c>
      <c r="AL5" s="42" t="str">
        <f>IFERROR(__xludf.DUMMYFUNCTION("""COMPUTED_VALUE"""),"Decrement")</f>
        <v>Decrement</v>
      </c>
      <c r="AM5" s="42" t="str">
        <f>IFERROR(__xludf.DUMMYFUNCTION("""COMPUTED_VALUE"""),"Trade Attribute 01")</f>
        <v>Trade Attribute 01</v>
      </c>
      <c r="AN5" s="42" t="str">
        <f>IFERROR(__xludf.DUMMYFUNCTION("""COMPUTED_VALUE"""),"Trade Attribute 02")</f>
        <v>Trade Attribute 02</v>
      </c>
      <c r="AO5" s="42" t="str">
        <f>IFERROR(__xludf.DUMMYFUNCTION("""COMPUTED_VALUE"""),"Trade Attribute 03")</f>
        <v>Trade Attribute 03</v>
      </c>
      <c r="AP5" s="42" t="str">
        <f>IFERROR(__xludf.DUMMYFUNCTION("""COMPUTED_VALUE"""),"Trade Attribute 04")</f>
        <v>Trade Attribute 04</v>
      </c>
      <c r="AQ5" s="42" t="str">
        <f>IFERROR(__xludf.DUMMYFUNCTION("""COMPUTED_VALUE"""),"Trade Attribute 05")</f>
        <v>Trade Attribute 05</v>
      </c>
      <c r="AR5" s="42" t="str">
        <f>IFERROR(__xludf.DUMMYFUNCTION("""COMPUTED_VALUE"""),"Trade Attribute 06")</f>
        <v>Trade Attribute 06</v>
      </c>
      <c r="AS5" s="42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24</v>
      </c>
      <c r="C6" s="33">
        <v>100.0</v>
      </c>
      <c r="D6" s="37">
        <v>26.47</v>
      </c>
      <c r="E6" s="31" t="s">
        <v>56</v>
      </c>
      <c r="F6" s="31"/>
      <c r="G6" s="31"/>
      <c r="H6" s="31"/>
      <c r="I6" s="39"/>
      <c r="J6" s="32" t="s">
        <v>31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8">
        <f t="shared" ref="Z6:Z25" si="1">TODAY()-1</f>
        <v>45896</v>
      </c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28</v>
      </c>
      <c r="C7" s="33">
        <v>100.0</v>
      </c>
      <c r="D7" s="33">
        <v>10.0</v>
      </c>
      <c r="E7" s="31" t="s">
        <v>56</v>
      </c>
      <c r="F7" s="31"/>
      <c r="G7" s="31"/>
      <c r="H7" s="31"/>
      <c r="I7" s="39"/>
      <c r="J7" s="32" t="s">
        <v>31</v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8">
        <f t="shared" si="1"/>
        <v>45896</v>
      </c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3">
        <v>1.23456789E8</v>
      </c>
      <c r="C8" s="33">
        <v>12000.0</v>
      </c>
      <c r="D8" s="33">
        <v>25.0</v>
      </c>
      <c r="E8" s="31" t="s">
        <v>56</v>
      </c>
      <c r="F8" s="31"/>
      <c r="G8" s="31"/>
      <c r="H8" s="31"/>
      <c r="I8" s="39"/>
      <c r="J8" s="32" t="s">
        <v>31</v>
      </c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8">
        <f t="shared" si="1"/>
        <v>45896</v>
      </c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32" t="s">
        <v>27</v>
      </c>
      <c r="C9" s="33">
        <v>10.0</v>
      </c>
      <c r="D9" s="33">
        <v>20.0</v>
      </c>
      <c r="E9" s="31" t="s">
        <v>56</v>
      </c>
      <c r="F9" s="31"/>
      <c r="G9" s="31"/>
      <c r="H9" s="31"/>
      <c r="I9" s="39"/>
      <c r="J9" s="32" t="s">
        <v>32</v>
      </c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8">
        <f t="shared" si="1"/>
        <v>45896</v>
      </c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1"/>
      <c r="B10" s="32" t="s">
        <v>26</v>
      </c>
      <c r="C10" s="33">
        <v>100.0</v>
      </c>
      <c r="D10" s="33">
        <v>10.0</v>
      </c>
      <c r="E10" s="31" t="s">
        <v>56</v>
      </c>
      <c r="F10" s="31"/>
      <c r="G10" s="31"/>
      <c r="H10" s="31"/>
      <c r="I10" s="39"/>
      <c r="J10" s="32" t="s">
        <v>33</v>
      </c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8">
        <f t="shared" si="1"/>
        <v>45896</v>
      </c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31"/>
      <c r="B11" s="32" t="s">
        <v>25</v>
      </c>
      <c r="C11" s="33">
        <v>10.0</v>
      </c>
      <c r="D11" s="33">
        <v>36.6</v>
      </c>
      <c r="E11" s="31" t="s">
        <v>56</v>
      </c>
      <c r="F11" s="31"/>
      <c r="G11" s="31"/>
      <c r="H11" s="31"/>
      <c r="I11" s="39"/>
      <c r="J11" s="32" t="s">
        <v>33</v>
      </c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8">
        <f t="shared" si="1"/>
        <v>45896</v>
      </c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</row>
    <row r="12" ht="15.75" customHeight="1">
      <c r="A12" s="31"/>
      <c r="B12" s="32" t="s">
        <v>23</v>
      </c>
      <c r="C12" s="33">
        <v>100.0</v>
      </c>
      <c r="D12" s="33">
        <v>8.0</v>
      </c>
      <c r="E12" s="31" t="s">
        <v>56</v>
      </c>
      <c r="F12" s="31"/>
      <c r="G12" s="31"/>
      <c r="H12" s="31"/>
      <c r="I12" s="39"/>
      <c r="J12" s="32" t="s">
        <v>31</v>
      </c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8">
        <f t="shared" si="1"/>
        <v>45896</v>
      </c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  <c r="CW12" s="31"/>
      <c r="CX12" s="31"/>
      <c r="CY12" s="31"/>
      <c r="CZ12" s="31"/>
      <c r="DA12" s="31"/>
      <c r="DB12" s="31"/>
      <c r="DC12" s="31"/>
      <c r="DD12" s="31"/>
      <c r="DE12" s="31"/>
      <c r="DF12" s="31"/>
      <c r="DG12" s="31"/>
      <c r="DH12" s="31"/>
      <c r="DI12" s="31"/>
      <c r="DJ12" s="31"/>
      <c r="DK12" s="31"/>
      <c r="DL12" s="31"/>
      <c r="DM12" s="31"/>
      <c r="DN12" s="31"/>
      <c r="DO12" s="31"/>
      <c r="DP12" s="31"/>
      <c r="DQ12" s="31"/>
      <c r="DR12" s="31"/>
      <c r="DS12" s="31"/>
      <c r="DT12" s="31"/>
      <c r="DU12" s="31"/>
      <c r="DV12" s="31"/>
      <c r="DW12" s="31"/>
      <c r="DX12" s="31"/>
      <c r="DY12" s="31"/>
      <c r="DZ12" s="31"/>
      <c r="EA12" s="31"/>
      <c r="EB12" s="31"/>
      <c r="EC12" s="31"/>
      <c r="ED12" s="31"/>
      <c r="EE12" s="31"/>
      <c r="EF12" s="31"/>
      <c r="EG12" s="31"/>
      <c r="EH12" s="31"/>
      <c r="EI12" s="31"/>
      <c r="EJ12" s="31"/>
      <c r="EK12" s="31"/>
      <c r="EL12" s="31"/>
      <c r="EM12" s="31"/>
      <c r="EN12" s="31"/>
      <c r="EO12" s="31"/>
      <c r="EP12" s="31"/>
      <c r="EQ12" s="31"/>
      <c r="ER12" s="31"/>
      <c r="ES12" s="31"/>
      <c r="ET12" s="31"/>
      <c r="EU12" s="31"/>
      <c r="EV12" s="31"/>
      <c r="EW12" s="31"/>
      <c r="EX12" s="31"/>
    </row>
    <row r="13" ht="15.75" customHeight="1">
      <c r="A13" s="31"/>
      <c r="B13" s="32" t="s">
        <v>34</v>
      </c>
      <c r="C13" s="33">
        <v>20000.0</v>
      </c>
      <c r="D13" s="33">
        <v>5.0</v>
      </c>
      <c r="E13" s="31" t="s">
        <v>56</v>
      </c>
      <c r="F13" s="31"/>
      <c r="G13" s="31"/>
      <c r="H13" s="31"/>
      <c r="I13" s="39"/>
      <c r="J13" s="32" t="s">
        <v>32</v>
      </c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8">
        <f t="shared" si="1"/>
        <v>45896</v>
      </c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  <c r="CD13" s="31"/>
      <c r="CE13" s="31"/>
      <c r="CF13" s="31"/>
      <c r="CG13" s="31"/>
      <c r="CH13" s="31"/>
      <c r="CI13" s="31"/>
      <c r="CJ13" s="31"/>
      <c r="CK13" s="31"/>
      <c r="CL13" s="31"/>
      <c r="CM13" s="31"/>
      <c r="CN13" s="31"/>
      <c r="CO13" s="31"/>
      <c r="CP13" s="31"/>
      <c r="CQ13" s="31"/>
      <c r="CR13" s="31"/>
      <c r="CS13" s="31"/>
      <c r="CT13" s="31"/>
      <c r="CU13" s="31"/>
      <c r="CV13" s="31"/>
      <c r="CW13" s="31"/>
      <c r="CX13" s="31"/>
      <c r="CY13" s="31"/>
      <c r="CZ13" s="31"/>
      <c r="DA13" s="31"/>
      <c r="DB13" s="31"/>
      <c r="DC13" s="31"/>
      <c r="DD13" s="31"/>
      <c r="DE13" s="31"/>
      <c r="DF13" s="31"/>
      <c r="DG13" s="31"/>
      <c r="DH13" s="31"/>
      <c r="DI13" s="31"/>
      <c r="DJ13" s="31"/>
      <c r="DK13" s="31"/>
      <c r="DL13" s="31"/>
      <c r="DM13" s="31"/>
      <c r="DN13" s="31"/>
      <c r="DO13" s="31"/>
      <c r="DP13" s="31"/>
      <c r="DQ13" s="31"/>
      <c r="DR13" s="31"/>
      <c r="DS13" s="31"/>
      <c r="DT13" s="31"/>
      <c r="DU13" s="31"/>
      <c r="DV13" s="31"/>
      <c r="DW13" s="31"/>
      <c r="DX13" s="31"/>
      <c r="DY13" s="31"/>
      <c r="DZ13" s="31"/>
      <c r="EA13" s="31"/>
      <c r="EB13" s="31"/>
      <c r="EC13" s="31"/>
      <c r="ED13" s="31"/>
      <c r="EE13" s="31"/>
      <c r="EF13" s="31"/>
      <c r="EG13" s="31"/>
      <c r="EH13" s="31"/>
      <c r="EI13" s="31"/>
      <c r="EJ13" s="31"/>
      <c r="EK13" s="31"/>
      <c r="EL13" s="31"/>
      <c r="EM13" s="31"/>
      <c r="EN13" s="31"/>
      <c r="EO13" s="31"/>
      <c r="EP13" s="31"/>
      <c r="EQ13" s="31"/>
      <c r="ER13" s="31"/>
      <c r="ES13" s="31"/>
      <c r="ET13" s="31"/>
      <c r="EU13" s="31"/>
      <c r="EV13" s="31"/>
      <c r="EW13" s="31"/>
      <c r="EX13" s="31"/>
    </row>
    <row r="14" ht="15.75" customHeight="1">
      <c r="A14" s="31"/>
      <c r="B14" s="31" t="s">
        <v>35</v>
      </c>
      <c r="C14" s="33">
        <v>100.0</v>
      </c>
      <c r="D14" s="33">
        <v>8.0</v>
      </c>
      <c r="E14" s="31" t="s">
        <v>56</v>
      </c>
      <c r="F14" s="31"/>
      <c r="G14" s="31"/>
      <c r="H14" s="31"/>
      <c r="I14" s="39"/>
      <c r="J14" s="32" t="s">
        <v>36</v>
      </c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8">
        <f t="shared" si="1"/>
        <v>45896</v>
      </c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  <c r="CA14" s="31"/>
      <c r="CB14" s="31"/>
      <c r="CC14" s="31"/>
      <c r="CD14" s="31"/>
      <c r="CE14" s="31"/>
      <c r="CF14" s="31"/>
      <c r="CG14" s="31"/>
      <c r="CH14" s="31"/>
      <c r="CI14" s="31"/>
      <c r="CJ14" s="31"/>
      <c r="CK14" s="31"/>
      <c r="CL14" s="31"/>
      <c r="CM14" s="31"/>
      <c r="CN14" s="31"/>
      <c r="CO14" s="31"/>
      <c r="CP14" s="31"/>
      <c r="CQ14" s="31"/>
      <c r="CR14" s="31"/>
      <c r="CS14" s="31"/>
      <c r="CT14" s="31"/>
      <c r="CU14" s="31"/>
      <c r="CV14" s="31"/>
      <c r="CW14" s="31"/>
      <c r="CX14" s="31"/>
      <c r="CY14" s="31"/>
      <c r="CZ14" s="31"/>
      <c r="DA14" s="31"/>
      <c r="DB14" s="31"/>
      <c r="DC14" s="31"/>
      <c r="DD14" s="31"/>
      <c r="DE14" s="31"/>
      <c r="DF14" s="31"/>
      <c r="DG14" s="31"/>
      <c r="DH14" s="31"/>
      <c r="DI14" s="31"/>
      <c r="DJ14" s="31"/>
      <c r="DK14" s="31"/>
      <c r="DL14" s="31"/>
      <c r="DM14" s="31"/>
      <c r="DN14" s="31"/>
      <c r="DO14" s="31"/>
      <c r="DP14" s="31"/>
      <c r="DQ14" s="31"/>
      <c r="DR14" s="31"/>
      <c r="DS14" s="31"/>
      <c r="DT14" s="31"/>
      <c r="DU14" s="31"/>
      <c r="DV14" s="31"/>
      <c r="DW14" s="31"/>
      <c r="DX14" s="31"/>
      <c r="DY14" s="31"/>
      <c r="DZ14" s="31"/>
      <c r="EA14" s="31"/>
      <c r="EB14" s="31"/>
      <c r="EC14" s="31"/>
      <c r="ED14" s="31"/>
      <c r="EE14" s="31"/>
      <c r="EF14" s="31"/>
      <c r="EG14" s="31"/>
      <c r="EH14" s="31"/>
      <c r="EI14" s="31"/>
      <c r="EJ14" s="31"/>
      <c r="EK14" s="31"/>
      <c r="EL14" s="31"/>
      <c r="EM14" s="31"/>
      <c r="EN14" s="31"/>
      <c r="EO14" s="31"/>
      <c r="EP14" s="31"/>
      <c r="EQ14" s="31"/>
      <c r="ER14" s="31"/>
      <c r="ES14" s="31"/>
      <c r="ET14" s="31"/>
      <c r="EU14" s="31"/>
      <c r="EV14" s="31"/>
      <c r="EW14" s="31"/>
      <c r="EX14" s="31"/>
    </row>
    <row r="15" ht="15.75" customHeight="1">
      <c r="A15" s="31"/>
      <c r="B15" s="32" t="s">
        <v>37</v>
      </c>
      <c r="C15" s="33">
        <v>10.0</v>
      </c>
      <c r="D15" s="33">
        <v>5.0</v>
      </c>
      <c r="E15" s="31" t="s">
        <v>56</v>
      </c>
      <c r="F15" s="31"/>
      <c r="G15" s="31"/>
      <c r="H15" s="31"/>
      <c r="I15" s="39"/>
      <c r="J15" s="32" t="s">
        <v>38</v>
      </c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8">
        <f t="shared" si="1"/>
        <v>45896</v>
      </c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1"/>
      <c r="CC15" s="31"/>
      <c r="CD15" s="31"/>
      <c r="CE15" s="31"/>
      <c r="CF15" s="31"/>
      <c r="CG15" s="31"/>
      <c r="CH15" s="31"/>
      <c r="CI15" s="31"/>
      <c r="CJ15" s="31"/>
      <c r="CK15" s="31"/>
      <c r="CL15" s="31"/>
      <c r="CM15" s="31"/>
      <c r="CN15" s="31"/>
      <c r="CO15" s="31"/>
      <c r="CP15" s="31"/>
      <c r="CQ15" s="31"/>
      <c r="CR15" s="31"/>
      <c r="CS15" s="31"/>
      <c r="CT15" s="31"/>
      <c r="CU15" s="31"/>
      <c r="CV15" s="31"/>
      <c r="CW15" s="31"/>
      <c r="CX15" s="31"/>
      <c r="CY15" s="31"/>
      <c r="CZ15" s="31"/>
      <c r="DA15" s="31"/>
      <c r="DB15" s="31"/>
      <c r="DC15" s="31"/>
      <c r="DD15" s="31"/>
      <c r="DE15" s="31"/>
      <c r="DF15" s="31"/>
      <c r="DG15" s="31"/>
      <c r="DH15" s="31"/>
      <c r="DI15" s="31"/>
      <c r="DJ15" s="31"/>
      <c r="DK15" s="31"/>
      <c r="DL15" s="31"/>
      <c r="DM15" s="31"/>
      <c r="DN15" s="31"/>
      <c r="DO15" s="31"/>
      <c r="DP15" s="31"/>
      <c r="DQ15" s="31"/>
      <c r="DR15" s="31"/>
      <c r="DS15" s="31"/>
      <c r="DT15" s="31"/>
      <c r="DU15" s="31"/>
      <c r="DV15" s="31"/>
      <c r="DW15" s="31"/>
      <c r="DX15" s="31"/>
      <c r="DY15" s="31"/>
      <c r="DZ15" s="31"/>
      <c r="EA15" s="31"/>
      <c r="EB15" s="31"/>
      <c r="EC15" s="31"/>
      <c r="ED15" s="31"/>
      <c r="EE15" s="31"/>
      <c r="EF15" s="31"/>
      <c r="EG15" s="31"/>
      <c r="EH15" s="31"/>
      <c r="EI15" s="31"/>
      <c r="EJ15" s="31"/>
      <c r="EK15" s="31"/>
      <c r="EL15" s="31"/>
      <c r="EM15" s="31"/>
      <c r="EN15" s="31"/>
      <c r="EO15" s="31"/>
      <c r="EP15" s="31"/>
      <c r="EQ15" s="31"/>
      <c r="ER15" s="31"/>
      <c r="ES15" s="31"/>
      <c r="ET15" s="31"/>
      <c r="EU15" s="31"/>
      <c r="EV15" s="31"/>
      <c r="EW15" s="31"/>
      <c r="EX15" s="31"/>
    </row>
    <row r="16" ht="15.75" customHeight="1">
      <c r="A16" s="30"/>
      <c r="B16" s="34" t="s">
        <v>24</v>
      </c>
      <c r="C16" s="33">
        <v>100.0</v>
      </c>
      <c r="D16" s="37">
        <v>26.47</v>
      </c>
      <c r="E16" s="31" t="s">
        <v>56</v>
      </c>
      <c r="F16" s="31"/>
      <c r="G16" s="31"/>
      <c r="H16" s="31"/>
      <c r="I16" s="39" t="s">
        <v>39</v>
      </c>
      <c r="J16" s="32" t="s">
        <v>31</v>
      </c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8">
        <f t="shared" si="1"/>
        <v>45896</v>
      </c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31"/>
      <c r="BJ16" s="31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1"/>
      <c r="CE16" s="31"/>
      <c r="CF16" s="31"/>
      <c r="CG16" s="31"/>
      <c r="CH16" s="31"/>
      <c r="CI16" s="31"/>
      <c r="CJ16" s="31"/>
      <c r="CK16" s="31"/>
      <c r="CL16" s="31"/>
      <c r="CM16" s="31"/>
      <c r="CN16" s="31"/>
      <c r="CO16" s="31"/>
      <c r="CP16" s="31"/>
      <c r="CQ16" s="31"/>
      <c r="CR16" s="31"/>
      <c r="CS16" s="31"/>
      <c r="CT16" s="31"/>
      <c r="CU16" s="31"/>
      <c r="CV16" s="31"/>
      <c r="CW16" s="31"/>
      <c r="CX16" s="31"/>
      <c r="CY16" s="31"/>
      <c r="CZ16" s="31"/>
      <c r="DA16" s="31"/>
      <c r="DB16" s="31"/>
      <c r="DC16" s="31"/>
      <c r="DD16" s="31"/>
      <c r="DE16" s="31"/>
      <c r="DF16" s="31"/>
      <c r="DG16" s="31"/>
      <c r="DH16" s="31"/>
      <c r="DI16" s="31"/>
      <c r="DJ16" s="31"/>
      <c r="DK16" s="31"/>
      <c r="DL16" s="31"/>
      <c r="DM16" s="31"/>
      <c r="DN16" s="31"/>
      <c r="DO16" s="31"/>
      <c r="DP16" s="31"/>
      <c r="DQ16" s="31"/>
      <c r="DR16" s="31"/>
      <c r="DS16" s="31"/>
      <c r="DT16" s="31"/>
      <c r="DU16" s="31"/>
      <c r="DV16" s="31"/>
      <c r="DW16" s="31"/>
      <c r="DX16" s="31"/>
      <c r="DY16" s="31"/>
      <c r="DZ16" s="31"/>
      <c r="EA16" s="31"/>
      <c r="EB16" s="31"/>
      <c r="EC16" s="31"/>
      <c r="ED16" s="31"/>
      <c r="EE16" s="31"/>
      <c r="EF16" s="31"/>
      <c r="EG16" s="31"/>
      <c r="EH16" s="31"/>
      <c r="EI16" s="31"/>
      <c r="EJ16" s="31"/>
      <c r="EK16" s="31"/>
      <c r="EL16" s="31"/>
      <c r="EM16" s="31"/>
      <c r="EN16" s="31"/>
      <c r="EO16" s="31"/>
      <c r="EP16" s="31"/>
      <c r="EQ16" s="31"/>
      <c r="ER16" s="31"/>
      <c r="ES16" s="31"/>
      <c r="ET16" s="31"/>
      <c r="EU16" s="31"/>
      <c r="EV16" s="31"/>
      <c r="EW16" s="31"/>
      <c r="EX16" s="31"/>
    </row>
    <row r="17" ht="15.75" customHeight="1">
      <c r="A17" s="31"/>
      <c r="B17" s="32" t="s">
        <v>28</v>
      </c>
      <c r="C17" s="33">
        <v>100.0</v>
      </c>
      <c r="D17" s="33">
        <v>10.0</v>
      </c>
      <c r="E17" s="31" t="s">
        <v>56</v>
      </c>
      <c r="F17" s="31"/>
      <c r="G17" s="31"/>
      <c r="H17" s="31"/>
      <c r="I17" s="39" t="s">
        <v>39</v>
      </c>
      <c r="J17" s="32" t="s">
        <v>31</v>
      </c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8">
        <f t="shared" si="1"/>
        <v>45896</v>
      </c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1"/>
      <c r="BK17" s="31"/>
      <c r="BL17" s="31"/>
      <c r="BM17" s="31"/>
      <c r="BN17" s="31"/>
      <c r="BO17" s="31"/>
      <c r="BP17" s="31"/>
      <c r="BQ17" s="31"/>
      <c r="BR17" s="31"/>
      <c r="BS17" s="31"/>
      <c r="BT17" s="31"/>
      <c r="BU17" s="31"/>
      <c r="BV17" s="31"/>
      <c r="BW17" s="31"/>
      <c r="BX17" s="31"/>
      <c r="BY17" s="31"/>
      <c r="BZ17" s="31"/>
      <c r="CA17" s="31"/>
      <c r="CB17" s="31"/>
      <c r="CC17" s="31"/>
      <c r="CD17" s="31"/>
      <c r="CE17" s="31"/>
      <c r="CF17" s="31"/>
      <c r="CG17" s="31"/>
      <c r="CH17" s="31"/>
      <c r="CI17" s="31"/>
      <c r="CJ17" s="31"/>
      <c r="CK17" s="31"/>
      <c r="CL17" s="31"/>
      <c r="CM17" s="31"/>
      <c r="CN17" s="31"/>
      <c r="CO17" s="31"/>
      <c r="CP17" s="31"/>
      <c r="CQ17" s="31"/>
      <c r="CR17" s="31"/>
      <c r="CS17" s="31"/>
      <c r="CT17" s="31"/>
      <c r="CU17" s="31"/>
      <c r="CV17" s="31"/>
      <c r="CW17" s="31"/>
      <c r="CX17" s="31"/>
      <c r="CY17" s="31"/>
      <c r="CZ17" s="31"/>
      <c r="DA17" s="31"/>
      <c r="DB17" s="31"/>
      <c r="DC17" s="31"/>
      <c r="DD17" s="31"/>
      <c r="DE17" s="31"/>
      <c r="DF17" s="31"/>
      <c r="DG17" s="31"/>
      <c r="DH17" s="31"/>
      <c r="DI17" s="31"/>
      <c r="DJ17" s="31"/>
      <c r="DK17" s="31"/>
      <c r="DL17" s="31"/>
      <c r="DM17" s="31"/>
      <c r="DN17" s="31"/>
      <c r="DO17" s="31"/>
      <c r="DP17" s="31"/>
      <c r="DQ17" s="31"/>
      <c r="DR17" s="31"/>
      <c r="DS17" s="31"/>
      <c r="DT17" s="31"/>
      <c r="DU17" s="31"/>
      <c r="DV17" s="31"/>
      <c r="DW17" s="31"/>
      <c r="DX17" s="31"/>
      <c r="DY17" s="31"/>
      <c r="DZ17" s="31"/>
      <c r="EA17" s="31"/>
      <c r="EB17" s="31"/>
      <c r="EC17" s="31"/>
      <c r="ED17" s="31"/>
      <c r="EE17" s="31"/>
      <c r="EF17" s="31"/>
      <c r="EG17" s="31"/>
      <c r="EH17" s="31"/>
      <c r="EI17" s="31"/>
      <c r="EJ17" s="31"/>
      <c r="EK17" s="31"/>
      <c r="EL17" s="31"/>
      <c r="EM17" s="31"/>
      <c r="EN17" s="31"/>
      <c r="EO17" s="31"/>
      <c r="EP17" s="31"/>
      <c r="EQ17" s="31"/>
      <c r="ER17" s="31"/>
      <c r="ES17" s="31"/>
      <c r="ET17" s="31"/>
      <c r="EU17" s="31"/>
      <c r="EV17" s="31"/>
      <c r="EW17" s="31"/>
      <c r="EX17" s="31"/>
    </row>
    <row r="18" ht="15.75" customHeight="1">
      <c r="A18" s="31"/>
      <c r="B18" s="33">
        <v>1.23456789E8</v>
      </c>
      <c r="C18" s="33">
        <v>12000.0</v>
      </c>
      <c r="D18" s="33">
        <v>25.0</v>
      </c>
      <c r="E18" s="31" t="s">
        <v>56</v>
      </c>
      <c r="F18" s="31"/>
      <c r="G18" s="31"/>
      <c r="H18" s="31"/>
      <c r="I18" s="39" t="s">
        <v>39</v>
      </c>
      <c r="J18" s="32" t="s">
        <v>31</v>
      </c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8">
        <f t="shared" si="1"/>
        <v>45896</v>
      </c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31"/>
      <c r="BL18" s="31"/>
      <c r="BM18" s="31"/>
      <c r="BN18" s="31"/>
      <c r="BO18" s="31"/>
      <c r="BP18" s="31"/>
      <c r="BQ18" s="31"/>
      <c r="BR18" s="31"/>
      <c r="BS18" s="31"/>
      <c r="BT18" s="31"/>
      <c r="BU18" s="31"/>
      <c r="BV18" s="31"/>
      <c r="BW18" s="31"/>
      <c r="BX18" s="31"/>
      <c r="BY18" s="31"/>
      <c r="BZ18" s="31"/>
      <c r="CA18" s="31"/>
      <c r="CB18" s="31"/>
      <c r="CC18" s="31"/>
      <c r="CD18" s="31"/>
      <c r="CE18" s="31"/>
      <c r="CF18" s="31"/>
      <c r="CG18" s="31"/>
      <c r="CH18" s="31"/>
      <c r="CI18" s="31"/>
      <c r="CJ18" s="31"/>
      <c r="CK18" s="31"/>
      <c r="CL18" s="31"/>
      <c r="CM18" s="31"/>
      <c r="CN18" s="31"/>
      <c r="CO18" s="31"/>
      <c r="CP18" s="31"/>
      <c r="CQ18" s="31"/>
      <c r="CR18" s="31"/>
      <c r="CS18" s="31"/>
      <c r="CT18" s="31"/>
      <c r="CU18" s="31"/>
      <c r="CV18" s="31"/>
      <c r="CW18" s="31"/>
      <c r="CX18" s="31"/>
      <c r="CY18" s="31"/>
      <c r="CZ18" s="31"/>
      <c r="DA18" s="31"/>
      <c r="DB18" s="31"/>
      <c r="DC18" s="31"/>
      <c r="DD18" s="31"/>
      <c r="DE18" s="31"/>
      <c r="DF18" s="31"/>
      <c r="DG18" s="31"/>
      <c r="DH18" s="31"/>
      <c r="DI18" s="31"/>
      <c r="DJ18" s="31"/>
      <c r="DK18" s="31"/>
      <c r="DL18" s="31"/>
      <c r="DM18" s="31"/>
      <c r="DN18" s="31"/>
      <c r="DO18" s="31"/>
      <c r="DP18" s="31"/>
      <c r="DQ18" s="31"/>
      <c r="DR18" s="31"/>
      <c r="DS18" s="31"/>
      <c r="DT18" s="31"/>
      <c r="DU18" s="31"/>
      <c r="DV18" s="31"/>
      <c r="DW18" s="31"/>
      <c r="DX18" s="31"/>
      <c r="DY18" s="31"/>
      <c r="DZ18" s="31"/>
      <c r="EA18" s="31"/>
      <c r="EB18" s="31"/>
      <c r="EC18" s="31"/>
      <c r="ED18" s="31"/>
      <c r="EE18" s="31"/>
      <c r="EF18" s="31"/>
      <c r="EG18" s="31"/>
      <c r="EH18" s="31"/>
      <c r="EI18" s="31"/>
      <c r="EJ18" s="31"/>
      <c r="EK18" s="31"/>
      <c r="EL18" s="31"/>
      <c r="EM18" s="31"/>
      <c r="EN18" s="31"/>
      <c r="EO18" s="31"/>
      <c r="EP18" s="31"/>
      <c r="EQ18" s="31"/>
      <c r="ER18" s="31"/>
      <c r="ES18" s="31"/>
      <c r="ET18" s="31"/>
      <c r="EU18" s="31"/>
      <c r="EV18" s="31"/>
      <c r="EW18" s="31"/>
      <c r="EX18" s="31"/>
    </row>
    <row r="19" ht="15.75" customHeight="1">
      <c r="A19" s="31"/>
      <c r="B19" s="32" t="s">
        <v>27</v>
      </c>
      <c r="C19" s="33">
        <v>10.0</v>
      </c>
      <c r="D19" s="33">
        <v>20.0</v>
      </c>
      <c r="E19" s="31" t="s">
        <v>56</v>
      </c>
      <c r="F19" s="31"/>
      <c r="G19" s="31"/>
      <c r="H19" s="31"/>
      <c r="I19" s="39" t="s">
        <v>39</v>
      </c>
      <c r="J19" s="32" t="s">
        <v>32</v>
      </c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8">
        <f t="shared" si="1"/>
        <v>45896</v>
      </c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31"/>
      <c r="BJ19" s="31"/>
      <c r="BK19" s="31"/>
      <c r="BL19" s="31"/>
      <c r="BM19" s="31"/>
      <c r="BN19" s="31"/>
      <c r="BO19" s="31"/>
      <c r="BP19" s="31"/>
      <c r="BQ19" s="31"/>
      <c r="BR19" s="31"/>
      <c r="BS19" s="31"/>
      <c r="BT19" s="31"/>
      <c r="BU19" s="31"/>
      <c r="BV19" s="31"/>
      <c r="BW19" s="31"/>
      <c r="BX19" s="31"/>
      <c r="BY19" s="31"/>
      <c r="BZ19" s="31"/>
      <c r="CA19" s="31"/>
      <c r="CB19" s="31"/>
      <c r="CC19" s="31"/>
      <c r="CD19" s="31"/>
      <c r="CE19" s="31"/>
      <c r="CF19" s="31"/>
      <c r="CG19" s="31"/>
      <c r="CH19" s="31"/>
      <c r="CI19" s="31"/>
      <c r="CJ19" s="31"/>
      <c r="CK19" s="31"/>
      <c r="CL19" s="31"/>
      <c r="CM19" s="31"/>
      <c r="CN19" s="31"/>
      <c r="CO19" s="31"/>
      <c r="CP19" s="31"/>
      <c r="CQ19" s="31"/>
      <c r="CR19" s="31"/>
      <c r="CS19" s="31"/>
      <c r="CT19" s="31"/>
      <c r="CU19" s="31"/>
      <c r="CV19" s="31"/>
      <c r="CW19" s="31"/>
      <c r="CX19" s="31"/>
      <c r="CY19" s="31"/>
      <c r="CZ19" s="31"/>
      <c r="DA19" s="31"/>
      <c r="DB19" s="31"/>
      <c r="DC19" s="31"/>
      <c r="DD19" s="31"/>
      <c r="DE19" s="31"/>
      <c r="DF19" s="31"/>
      <c r="DG19" s="31"/>
      <c r="DH19" s="31"/>
      <c r="DI19" s="31"/>
      <c r="DJ19" s="31"/>
      <c r="DK19" s="31"/>
      <c r="DL19" s="31"/>
      <c r="DM19" s="31"/>
      <c r="DN19" s="31"/>
      <c r="DO19" s="31"/>
      <c r="DP19" s="31"/>
      <c r="DQ19" s="31"/>
      <c r="DR19" s="31"/>
      <c r="DS19" s="31"/>
      <c r="DT19" s="31"/>
      <c r="DU19" s="31"/>
      <c r="DV19" s="31"/>
      <c r="DW19" s="31"/>
      <c r="DX19" s="31"/>
      <c r="DY19" s="31"/>
      <c r="DZ19" s="31"/>
      <c r="EA19" s="31"/>
      <c r="EB19" s="31"/>
      <c r="EC19" s="31"/>
      <c r="ED19" s="31"/>
      <c r="EE19" s="31"/>
      <c r="EF19" s="31"/>
      <c r="EG19" s="31"/>
      <c r="EH19" s="31"/>
      <c r="EI19" s="31"/>
      <c r="EJ19" s="31"/>
      <c r="EK19" s="31"/>
      <c r="EL19" s="31"/>
      <c r="EM19" s="31"/>
      <c r="EN19" s="31"/>
      <c r="EO19" s="31"/>
      <c r="EP19" s="31"/>
      <c r="EQ19" s="31"/>
      <c r="ER19" s="31"/>
      <c r="ES19" s="31"/>
      <c r="ET19" s="31"/>
      <c r="EU19" s="31"/>
      <c r="EV19" s="31"/>
      <c r="EW19" s="31"/>
      <c r="EX19" s="31"/>
    </row>
    <row r="20" ht="15.75" customHeight="1">
      <c r="A20" s="31"/>
      <c r="B20" s="32" t="s">
        <v>26</v>
      </c>
      <c r="C20" s="33">
        <v>100.0</v>
      </c>
      <c r="D20" s="33">
        <v>10.0</v>
      </c>
      <c r="E20" s="31" t="s">
        <v>56</v>
      </c>
      <c r="F20" s="31"/>
      <c r="G20" s="31"/>
      <c r="H20" s="31"/>
      <c r="I20" s="39" t="s">
        <v>39</v>
      </c>
      <c r="J20" s="32" t="s">
        <v>33</v>
      </c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8">
        <f t="shared" si="1"/>
        <v>45896</v>
      </c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31"/>
      <c r="BJ20" s="31"/>
      <c r="BK20" s="31"/>
      <c r="BL20" s="31"/>
      <c r="BM20" s="31"/>
      <c r="BN20" s="31"/>
      <c r="BO20" s="31"/>
      <c r="BP20" s="31"/>
      <c r="BQ20" s="31"/>
      <c r="BR20" s="31"/>
      <c r="BS20" s="31"/>
      <c r="BT20" s="31"/>
      <c r="BU20" s="31"/>
      <c r="BV20" s="31"/>
      <c r="BW20" s="31"/>
      <c r="BX20" s="31"/>
      <c r="BY20" s="31"/>
      <c r="BZ20" s="31"/>
      <c r="CA20" s="31"/>
      <c r="CB20" s="31"/>
      <c r="CC20" s="31"/>
      <c r="CD20" s="31"/>
      <c r="CE20" s="31"/>
      <c r="CF20" s="31"/>
      <c r="CG20" s="31"/>
      <c r="CH20" s="31"/>
      <c r="CI20" s="31"/>
      <c r="CJ20" s="31"/>
      <c r="CK20" s="31"/>
      <c r="CL20" s="31"/>
      <c r="CM20" s="31"/>
      <c r="CN20" s="31"/>
      <c r="CO20" s="31"/>
      <c r="CP20" s="31"/>
      <c r="CQ20" s="31"/>
      <c r="CR20" s="31"/>
      <c r="CS20" s="31"/>
      <c r="CT20" s="31"/>
      <c r="CU20" s="31"/>
      <c r="CV20" s="31"/>
      <c r="CW20" s="31"/>
      <c r="CX20" s="31"/>
      <c r="CY20" s="31"/>
      <c r="CZ20" s="31"/>
      <c r="DA20" s="31"/>
      <c r="DB20" s="31"/>
      <c r="DC20" s="31"/>
      <c r="DD20" s="31"/>
      <c r="DE20" s="31"/>
      <c r="DF20" s="31"/>
      <c r="DG20" s="31"/>
      <c r="DH20" s="31"/>
      <c r="DI20" s="31"/>
      <c r="DJ20" s="31"/>
      <c r="DK20" s="31"/>
      <c r="DL20" s="31"/>
      <c r="DM20" s="31"/>
      <c r="DN20" s="31"/>
      <c r="DO20" s="31"/>
      <c r="DP20" s="31"/>
      <c r="DQ20" s="31"/>
      <c r="DR20" s="31"/>
      <c r="DS20" s="31"/>
      <c r="DT20" s="31"/>
      <c r="DU20" s="31"/>
      <c r="DV20" s="31"/>
      <c r="DW20" s="31"/>
      <c r="DX20" s="31"/>
      <c r="DY20" s="31"/>
      <c r="DZ20" s="31"/>
      <c r="EA20" s="31"/>
      <c r="EB20" s="31"/>
      <c r="EC20" s="31"/>
      <c r="ED20" s="31"/>
      <c r="EE20" s="31"/>
      <c r="EF20" s="31"/>
      <c r="EG20" s="31"/>
      <c r="EH20" s="31"/>
      <c r="EI20" s="31"/>
      <c r="EJ20" s="31"/>
      <c r="EK20" s="31"/>
      <c r="EL20" s="31"/>
      <c r="EM20" s="31"/>
      <c r="EN20" s="31"/>
      <c r="EO20" s="31"/>
      <c r="EP20" s="31"/>
      <c r="EQ20" s="31"/>
      <c r="ER20" s="31"/>
      <c r="ES20" s="31"/>
      <c r="ET20" s="31"/>
      <c r="EU20" s="31"/>
      <c r="EV20" s="31"/>
      <c r="EW20" s="31"/>
      <c r="EX20" s="31"/>
    </row>
    <row r="21" ht="15.75" customHeight="1">
      <c r="A21" s="31"/>
      <c r="B21" s="32" t="s">
        <v>25</v>
      </c>
      <c r="C21" s="33">
        <v>10.0</v>
      </c>
      <c r="D21" s="33">
        <v>36.6</v>
      </c>
      <c r="E21" s="31" t="s">
        <v>56</v>
      </c>
      <c r="F21" s="31"/>
      <c r="G21" s="31"/>
      <c r="H21" s="31"/>
      <c r="I21" s="39" t="s">
        <v>39</v>
      </c>
      <c r="J21" s="32" t="s">
        <v>33</v>
      </c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8">
        <f t="shared" si="1"/>
        <v>45896</v>
      </c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31"/>
      <c r="BJ21" s="31"/>
      <c r="BK21" s="31"/>
      <c r="BL21" s="31"/>
      <c r="BM21" s="31"/>
      <c r="BN21" s="31"/>
      <c r="BO21" s="31"/>
      <c r="BP21" s="31"/>
      <c r="BQ21" s="31"/>
      <c r="BR21" s="31"/>
      <c r="BS21" s="31"/>
      <c r="BT21" s="31"/>
      <c r="BU21" s="31"/>
      <c r="BV21" s="31"/>
      <c r="BW21" s="31"/>
      <c r="BX21" s="31"/>
      <c r="BY21" s="31"/>
      <c r="BZ21" s="31"/>
      <c r="CA21" s="31"/>
      <c r="CB21" s="31"/>
      <c r="CC21" s="31"/>
      <c r="CD21" s="31"/>
      <c r="CE21" s="31"/>
      <c r="CF21" s="31"/>
      <c r="CG21" s="31"/>
      <c r="CH21" s="31"/>
      <c r="CI21" s="31"/>
      <c r="CJ21" s="31"/>
      <c r="CK21" s="31"/>
      <c r="CL21" s="31"/>
      <c r="CM21" s="31"/>
      <c r="CN21" s="31"/>
      <c r="CO21" s="31"/>
      <c r="CP21" s="31"/>
      <c r="CQ21" s="31"/>
      <c r="CR21" s="31"/>
      <c r="CS21" s="31"/>
      <c r="CT21" s="31"/>
      <c r="CU21" s="31"/>
      <c r="CV21" s="31"/>
      <c r="CW21" s="31"/>
      <c r="CX21" s="31"/>
      <c r="CY21" s="31"/>
      <c r="CZ21" s="31"/>
      <c r="DA21" s="31"/>
      <c r="DB21" s="31"/>
      <c r="DC21" s="31"/>
      <c r="DD21" s="31"/>
      <c r="DE21" s="31"/>
      <c r="DF21" s="31"/>
      <c r="DG21" s="31"/>
      <c r="DH21" s="31"/>
      <c r="DI21" s="31"/>
      <c r="DJ21" s="31"/>
      <c r="DK21" s="31"/>
      <c r="DL21" s="31"/>
      <c r="DM21" s="31"/>
      <c r="DN21" s="31"/>
      <c r="DO21" s="31"/>
      <c r="DP21" s="31"/>
      <c r="DQ21" s="31"/>
      <c r="DR21" s="31"/>
      <c r="DS21" s="31"/>
      <c r="DT21" s="31"/>
      <c r="DU21" s="31"/>
      <c r="DV21" s="31"/>
      <c r="DW21" s="31"/>
      <c r="DX21" s="31"/>
      <c r="DY21" s="31"/>
      <c r="DZ21" s="31"/>
      <c r="EA21" s="31"/>
      <c r="EB21" s="31"/>
      <c r="EC21" s="31"/>
      <c r="ED21" s="31"/>
      <c r="EE21" s="31"/>
      <c r="EF21" s="31"/>
      <c r="EG21" s="31"/>
      <c r="EH21" s="31"/>
      <c r="EI21" s="31"/>
      <c r="EJ21" s="31"/>
      <c r="EK21" s="31"/>
      <c r="EL21" s="31"/>
      <c r="EM21" s="31"/>
      <c r="EN21" s="31"/>
      <c r="EO21" s="31"/>
      <c r="EP21" s="31"/>
      <c r="EQ21" s="31"/>
      <c r="ER21" s="31"/>
      <c r="ES21" s="31"/>
      <c r="ET21" s="31"/>
      <c r="EU21" s="31"/>
      <c r="EV21" s="31"/>
      <c r="EW21" s="31"/>
      <c r="EX21" s="31"/>
    </row>
    <row r="22" ht="15.75" customHeight="1">
      <c r="A22" s="31"/>
      <c r="B22" s="32" t="s">
        <v>23</v>
      </c>
      <c r="C22" s="33">
        <v>100.0</v>
      </c>
      <c r="D22" s="33">
        <v>8.0</v>
      </c>
      <c r="E22" s="31" t="s">
        <v>56</v>
      </c>
      <c r="F22" s="31"/>
      <c r="G22" s="31"/>
      <c r="H22" s="31"/>
      <c r="I22" s="39" t="s">
        <v>39</v>
      </c>
      <c r="J22" s="32" t="s">
        <v>31</v>
      </c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8">
        <f t="shared" si="1"/>
        <v>45896</v>
      </c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31"/>
      <c r="BO22" s="31"/>
      <c r="BP22" s="31"/>
      <c r="BQ22" s="31"/>
      <c r="BR22" s="31"/>
      <c r="BS22" s="31"/>
      <c r="BT22" s="31"/>
      <c r="BU22" s="31"/>
      <c r="BV22" s="31"/>
      <c r="BW22" s="31"/>
      <c r="BX22" s="31"/>
      <c r="BY22" s="31"/>
      <c r="BZ22" s="31"/>
      <c r="CA22" s="31"/>
      <c r="CB22" s="31"/>
      <c r="CC22" s="31"/>
      <c r="CD22" s="31"/>
      <c r="CE22" s="31"/>
      <c r="CF22" s="31"/>
      <c r="CG22" s="31"/>
      <c r="CH22" s="31"/>
      <c r="CI22" s="31"/>
      <c r="CJ22" s="31"/>
      <c r="CK22" s="31"/>
      <c r="CL22" s="31"/>
      <c r="CM22" s="31"/>
      <c r="CN22" s="31"/>
      <c r="CO22" s="31"/>
      <c r="CP22" s="31"/>
      <c r="CQ22" s="31"/>
      <c r="CR22" s="31"/>
      <c r="CS22" s="31"/>
      <c r="CT22" s="31"/>
      <c r="CU22" s="31"/>
      <c r="CV22" s="31"/>
      <c r="CW22" s="31"/>
      <c r="CX22" s="31"/>
      <c r="CY22" s="31"/>
      <c r="CZ22" s="31"/>
      <c r="DA22" s="31"/>
      <c r="DB22" s="31"/>
      <c r="DC22" s="31"/>
      <c r="DD22" s="31"/>
      <c r="DE22" s="31"/>
      <c r="DF22" s="31"/>
      <c r="DG22" s="31"/>
      <c r="DH22" s="31"/>
      <c r="DI22" s="31"/>
      <c r="DJ22" s="31"/>
      <c r="DK22" s="31"/>
      <c r="DL22" s="31"/>
      <c r="DM22" s="31"/>
      <c r="DN22" s="31"/>
      <c r="DO22" s="31"/>
      <c r="DP22" s="31"/>
      <c r="DQ22" s="31"/>
      <c r="DR22" s="31"/>
      <c r="DS22" s="31"/>
      <c r="DT22" s="31"/>
      <c r="DU22" s="31"/>
      <c r="DV22" s="31"/>
      <c r="DW22" s="31"/>
      <c r="DX22" s="31"/>
      <c r="DY22" s="31"/>
      <c r="DZ22" s="31"/>
      <c r="EA22" s="31"/>
      <c r="EB22" s="31"/>
      <c r="EC22" s="31"/>
      <c r="ED22" s="31"/>
      <c r="EE22" s="31"/>
      <c r="EF22" s="31"/>
      <c r="EG22" s="31"/>
      <c r="EH22" s="31"/>
      <c r="EI22" s="31"/>
      <c r="EJ22" s="31"/>
      <c r="EK22" s="31"/>
      <c r="EL22" s="31"/>
      <c r="EM22" s="31"/>
      <c r="EN22" s="31"/>
      <c r="EO22" s="31"/>
      <c r="EP22" s="31"/>
      <c r="EQ22" s="31"/>
      <c r="ER22" s="31"/>
      <c r="ES22" s="31"/>
      <c r="ET22" s="31"/>
      <c r="EU22" s="31"/>
      <c r="EV22" s="31"/>
      <c r="EW22" s="31"/>
      <c r="EX22" s="31"/>
    </row>
    <row r="23" ht="15.75" customHeight="1">
      <c r="A23" s="31"/>
      <c r="B23" s="32" t="s">
        <v>34</v>
      </c>
      <c r="C23" s="33">
        <v>20000.0</v>
      </c>
      <c r="D23" s="33">
        <v>5.0</v>
      </c>
      <c r="E23" s="31" t="s">
        <v>56</v>
      </c>
      <c r="F23" s="31"/>
      <c r="G23" s="31"/>
      <c r="H23" s="31"/>
      <c r="I23" s="39" t="s">
        <v>39</v>
      </c>
      <c r="J23" s="32" t="s">
        <v>32</v>
      </c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8">
        <f t="shared" si="1"/>
        <v>45896</v>
      </c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1"/>
      <c r="BK23" s="31"/>
      <c r="BL23" s="31"/>
      <c r="BM23" s="31"/>
      <c r="BN23" s="31"/>
      <c r="BO23" s="31"/>
      <c r="BP23" s="31"/>
      <c r="BQ23" s="31"/>
      <c r="BR23" s="31"/>
      <c r="BS23" s="31"/>
      <c r="BT23" s="31"/>
      <c r="BU23" s="31"/>
      <c r="BV23" s="31"/>
      <c r="BW23" s="31"/>
      <c r="BX23" s="31"/>
      <c r="BY23" s="31"/>
      <c r="BZ23" s="31"/>
      <c r="CA23" s="31"/>
      <c r="CB23" s="31"/>
      <c r="CC23" s="31"/>
      <c r="CD23" s="31"/>
      <c r="CE23" s="31"/>
      <c r="CF23" s="31"/>
      <c r="CG23" s="31"/>
      <c r="CH23" s="31"/>
      <c r="CI23" s="31"/>
      <c r="CJ23" s="31"/>
      <c r="CK23" s="31"/>
      <c r="CL23" s="31"/>
      <c r="CM23" s="31"/>
      <c r="CN23" s="31"/>
      <c r="CO23" s="31"/>
      <c r="CP23" s="31"/>
      <c r="CQ23" s="31"/>
      <c r="CR23" s="31"/>
      <c r="CS23" s="31"/>
      <c r="CT23" s="31"/>
      <c r="CU23" s="31"/>
      <c r="CV23" s="31"/>
      <c r="CW23" s="31"/>
      <c r="CX23" s="31"/>
      <c r="CY23" s="31"/>
      <c r="CZ23" s="31"/>
      <c r="DA23" s="31"/>
      <c r="DB23" s="31"/>
      <c r="DC23" s="31"/>
      <c r="DD23" s="31"/>
      <c r="DE23" s="31"/>
      <c r="DF23" s="31"/>
      <c r="DG23" s="31"/>
      <c r="DH23" s="31"/>
      <c r="DI23" s="31"/>
      <c r="DJ23" s="31"/>
      <c r="DK23" s="31"/>
      <c r="DL23" s="31"/>
      <c r="DM23" s="31"/>
      <c r="DN23" s="31"/>
      <c r="DO23" s="31"/>
      <c r="DP23" s="31"/>
      <c r="DQ23" s="31"/>
      <c r="DR23" s="31"/>
      <c r="DS23" s="31"/>
      <c r="DT23" s="31"/>
      <c r="DU23" s="31"/>
      <c r="DV23" s="31"/>
      <c r="DW23" s="31"/>
      <c r="DX23" s="31"/>
      <c r="DY23" s="31"/>
      <c r="DZ23" s="31"/>
      <c r="EA23" s="31"/>
      <c r="EB23" s="31"/>
      <c r="EC23" s="31"/>
      <c r="ED23" s="31"/>
      <c r="EE23" s="31"/>
      <c r="EF23" s="31"/>
      <c r="EG23" s="31"/>
      <c r="EH23" s="31"/>
      <c r="EI23" s="31"/>
      <c r="EJ23" s="31"/>
      <c r="EK23" s="31"/>
      <c r="EL23" s="31"/>
      <c r="EM23" s="31"/>
      <c r="EN23" s="31"/>
      <c r="EO23" s="31"/>
      <c r="EP23" s="31"/>
      <c r="EQ23" s="31"/>
      <c r="ER23" s="31"/>
      <c r="ES23" s="31"/>
      <c r="ET23" s="31"/>
      <c r="EU23" s="31"/>
      <c r="EV23" s="31"/>
      <c r="EW23" s="31"/>
      <c r="EX23" s="31"/>
    </row>
    <row r="24" ht="15.75" customHeight="1">
      <c r="A24" s="31"/>
      <c r="B24" s="31" t="s">
        <v>35</v>
      </c>
      <c r="C24" s="33">
        <v>100.0</v>
      </c>
      <c r="D24" s="33">
        <v>8.0</v>
      </c>
      <c r="E24" s="31" t="s">
        <v>56</v>
      </c>
      <c r="F24" s="31"/>
      <c r="G24" s="31"/>
      <c r="H24" s="31"/>
      <c r="I24" s="39" t="s">
        <v>39</v>
      </c>
      <c r="J24" s="32" t="s">
        <v>36</v>
      </c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8">
        <f t="shared" si="1"/>
        <v>45896</v>
      </c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31"/>
      <c r="BJ24" s="31"/>
      <c r="BK24" s="31"/>
      <c r="BL24" s="31"/>
      <c r="BM24" s="31"/>
      <c r="BN24" s="31"/>
      <c r="BO24" s="31"/>
      <c r="BP24" s="31"/>
      <c r="BQ24" s="31"/>
      <c r="BR24" s="31"/>
      <c r="BS24" s="31"/>
      <c r="BT24" s="31"/>
      <c r="BU24" s="31"/>
      <c r="BV24" s="31"/>
      <c r="BW24" s="31"/>
      <c r="BX24" s="31"/>
      <c r="BY24" s="31"/>
      <c r="BZ24" s="31"/>
      <c r="CA24" s="31"/>
      <c r="CB24" s="31"/>
      <c r="CC24" s="31"/>
      <c r="CD24" s="31"/>
      <c r="CE24" s="31"/>
      <c r="CF24" s="31"/>
      <c r="CG24" s="31"/>
      <c r="CH24" s="31"/>
      <c r="CI24" s="31"/>
      <c r="CJ24" s="31"/>
      <c r="CK24" s="31"/>
      <c r="CL24" s="31"/>
      <c r="CM24" s="31"/>
      <c r="CN24" s="31"/>
      <c r="CO24" s="31"/>
      <c r="CP24" s="31"/>
      <c r="CQ24" s="31"/>
      <c r="CR24" s="31"/>
      <c r="CS24" s="31"/>
      <c r="CT24" s="31"/>
      <c r="CU24" s="31"/>
      <c r="CV24" s="31"/>
      <c r="CW24" s="31"/>
      <c r="CX24" s="31"/>
      <c r="CY24" s="31"/>
      <c r="CZ24" s="31"/>
      <c r="DA24" s="31"/>
      <c r="DB24" s="31"/>
      <c r="DC24" s="31"/>
      <c r="DD24" s="31"/>
      <c r="DE24" s="31"/>
      <c r="DF24" s="31"/>
      <c r="DG24" s="31"/>
      <c r="DH24" s="31"/>
      <c r="DI24" s="31"/>
      <c r="DJ24" s="31"/>
      <c r="DK24" s="31"/>
      <c r="DL24" s="31"/>
      <c r="DM24" s="31"/>
      <c r="DN24" s="31"/>
      <c r="DO24" s="31"/>
      <c r="DP24" s="31"/>
      <c r="DQ24" s="31"/>
      <c r="DR24" s="31"/>
      <c r="DS24" s="31"/>
      <c r="DT24" s="31"/>
      <c r="DU24" s="31"/>
      <c r="DV24" s="31"/>
      <c r="DW24" s="31"/>
      <c r="DX24" s="31"/>
      <c r="DY24" s="31"/>
      <c r="DZ24" s="31"/>
      <c r="EA24" s="31"/>
      <c r="EB24" s="31"/>
      <c r="EC24" s="31"/>
      <c r="ED24" s="31"/>
      <c r="EE24" s="31"/>
      <c r="EF24" s="31"/>
      <c r="EG24" s="31"/>
      <c r="EH24" s="31"/>
      <c r="EI24" s="31"/>
      <c r="EJ24" s="31"/>
      <c r="EK24" s="31"/>
      <c r="EL24" s="31"/>
      <c r="EM24" s="31"/>
      <c r="EN24" s="31"/>
      <c r="EO24" s="31"/>
      <c r="EP24" s="31"/>
      <c r="EQ24" s="31"/>
      <c r="ER24" s="31"/>
      <c r="ES24" s="31"/>
      <c r="ET24" s="31"/>
      <c r="EU24" s="31"/>
      <c r="EV24" s="31"/>
      <c r="EW24" s="31"/>
      <c r="EX24" s="31"/>
    </row>
    <row r="25" ht="15.75" customHeight="1">
      <c r="A25" s="31"/>
      <c r="B25" s="32" t="s">
        <v>37</v>
      </c>
      <c r="C25" s="33">
        <v>10.0</v>
      </c>
      <c r="D25" s="33">
        <v>5.0</v>
      </c>
      <c r="E25" s="31" t="s">
        <v>56</v>
      </c>
      <c r="F25" s="31"/>
      <c r="G25" s="31"/>
      <c r="H25" s="31"/>
      <c r="I25" s="39" t="s">
        <v>39</v>
      </c>
      <c r="J25" s="32" t="s">
        <v>38</v>
      </c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8">
        <f t="shared" si="1"/>
        <v>45896</v>
      </c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  <c r="BN25" s="31"/>
      <c r="BO25" s="31"/>
      <c r="BP25" s="31"/>
      <c r="BQ25" s="31"/>
      <c r="BR25" s="31"/>
      <c r="BS25" s="31"/>
      <c r="BT25" s="31"/>
      <c r="BU25" s="31"/>
      <c r="BV25" s="31"/>
      <c r="BW25" s="31"/>
      <c r="BX25" s="31"/>
      <c r="BY25" s="31"/>
      <c r="BZ25" s="31"/>
      <c r="CA25" s="31"/>
      <c r="CB25" s="31"/>
      <c r="CC25" s="31"/>
      <c r="CD25" s="31"/>
      <c r="CE25" s="31"/>
      <c r="CF25" s="31"/>
      <c r="CG25" s="31"/>
      <c r="CH25" s="31"/>
      <c r="CI25" s="31"/>
      <c r="CJ25" s="31"/>
      <c r="CK25" s="31"/>
      <c r="CL25" s="31"/>
      <c r="CM25" s="31"/>
      <c r="CN25" s="31"/>
      <c r="CO25" s="31"/>
      <c r="CP25" s="31"/>
      <c r="CQ25" s="31"/>
      <c r="CR25" s="31"/>
      <c r="CS25" s="31"/>
      <c r="CT25" s="31"/>
      <c r="CU25" s="31"/>
      <c r="CV25" s="31"/>
      <c r="CW25" s="31"/>
      <c r="CX25" s="31"/>
      <c r="CY25" s="31"/>
      <c r="CZ25" s="31"/>
      <c r="DA25" s="31"/>
      <c r="DB25" s="31"/>
      <c r="DC25" s="31"/>
      <c r="DD25" s="31"/>
      <c r="DE25" s="31"/>
      <c r="DF25" s="31"/>
      <c r="DG25" s="31"/>
      <c r="DH25" s="31"/>
      <c r="DI25" s="31"/>
      <c r="DJ25" s="31"/>
      <c r="DK25" s="31"/>
      <c r="DL25" s="31"/>
      <c r="DM25" s="31"/>
      <c r="DN25" s="31"/>
      <c r="DO25" s="31"/>
      <c r="DP25" s="31"/>
      <c r="DQ25" s="31"/>
      <c r="DR25" s="31"/>
      <c r="DS25" s="31"/>
      <c r="DT25" s="31"/>
      <c r="DU25" s="31"/>
      <c r="DV25" s="31"/>
      <c r="DW25" s="31"/>
      <c r="DX25" s="31"/>
      <c r="DY25" s="31"/>
      <c r="DZ25" s="31"/>
      <c r="EA25" s="31"/>
      <c r="EB25" s="31"/>
      <c r="EC25" s="31"/>
      <c r="ED25" s="31"/>
      <c r="EE25" s="31"/>
      <c r="EF25" s="31"/>
      <c r="EG25" s="31"/>
      <c r="EH25" s="31"/>
      <c r="EI25" s="31"/>
      <c r="EJ25" s="31"/>
      <c r="EK25" s="31"/>
      <c r="EL25" s="31"/>
      <c r="EM25" s="31"/>
      <c r="EN25" s="31"/>
      <c r="EO25" s="31"/>
      <c r="EP25" s="31"/>
      <c r="EQ25" s="31"/>
      <c r="ER25" s="31"/>
      <c r="ES25" s="31"/>
      <c r="ET25" s="31"/>
      <c r="EU25" s="31"/>
      <c r="EV25" s="31"/>
      <c r="EW25" s="31"/>
      <c r="EX25" s="31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IFERROR(__xludf.DUMMYFUNCTION("""COMPUTED_VALUE"""),"NotionalValue")</f>
        <v>NotionalValue</v>
      </c>
      <c r="C5" s="27" t="str">
        <f>IFERROR(__xludf.DUMMYFUNCTION("""COMPUTED_VALUE"""),"Interest Rate")</f>
        <v>Interest Rate</v>
      </c>
      <c r="D5" s="27" t="str">
        <f>IFERROR(__xludf.DUMMYFUNCTION("""COMPUTED_VALUE"""),"Spread(B.P)")</f>
        <v>Spread(B.P)</v>
      </c>
      <c r="E5" s="27" t="str">
        <f>IFERROR(__xludf.DUMMYFUNCTION("""COMPUTED_VALUE"""),"First Reset Date")</f>
        <v>First Reset Date</v>
      </c>
      <c r="F5" s="28" t="str">
        <f>IFERROR(__xludf.DUMMYFUNCTION("""COMPUTED_VALUE"""),"DayCount")</f>
        <v>DayCount</v>
      </c>
      <c r="G5" s="27" t="str">
        <f>IFERROR(__xludf.DUMMYFUNCTION("""COMPUTED_VALUE"""),"Original T.Date")</f>
        <v>Original T.Date</v>
      </c>
      <c r="H5" s="27" t="str">
        <f>IFERROR(__xludf.DUMMYFUNCTION("""COMPUTED_VALUE"""),"OriginalCostBasis")</f>
        <v>OriginalCostBasis</v>
      </c>
      <c r="I5" s="27" t="str">
        <f>IFERROR(__xludf.DUMMYFUNCTION("""COMPUTED_VALUE"""),"SwapDescription")</f>
        <v>SwapDescription</v>
      </c>
      <c r="J5" s="27" t="str">
        <f>IFERROR(__xludf.DUMMYFUNCTION("""COMPUTED_VALUE"""),"CommissionChange")</f>
        <v>CommissionChange</v>
      </c>
      <c r="K5" s="27" t="str">
        <f>IFERROR(__xludf.DUMMYFUNCTION("""COMPUTED_VALUE"""),"CommissionRuleRecalculate")</f>
        <v>CommissionRuleRecalculate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>
        <v>50.0</v>
      </c>
      <c r="C6" s="31"/>
      <c r="D6" s="30"/>
      <c r="E6" s="31"/>
      <c r="F6" s="33">
        <v>365.0</v>
      </c>
      <c r="G6" s="31"/>
      <c r="H6" s="33">
        <v>5.0</v>
      </c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BookOrUpdateSwap3!$4:$4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2" t="s">
        <v>57</v>
      </c>
      <c r="C6" s="32" t="s">
        <v>32</v>
      </c>
      <c r="D6" s="33">
        <v>10.0</v>
      </c>
      <c r="E6" s="36"/>
      <c r="F6" s="8"/>
      <c r="G6" s="8"/>
      <c r="H6" s="8"/>
      <c r="I6" s="8"/>
      <c r="J6" s="33">
        <v>5.0</v>
      </c>
      <c r="K6" s="8"/>
      <c r="L6" s="8"/>
      <c r="M6" s="8"/>
      <c r="N6" s="8"/>
      <c r="O6" s="8"/>
    </row>
    <row r="7" ht="15.75" customHeight="1">
      <c r="A7" s="8"/>
      <c r="B7" s="32" t="s">
        <v>57</v>
      </c>
      <c r="C7" s="32" t="s">
        <v>32</v>
      </c>
      <c r="D7" s="33">
        <v>10.0</v>
      </c>
      <c r="E7" s="8"/>
      <c r="F7" s="39" t="s">
        <v>39</v>
      </c>
      <c r="G7" s="8"/>
      <c r="H7" s="8"/>
      <c r="I7" s="8"/>
      <c r="J7" s="33">
        <v>5.0</v>
      </c>
      <c r="K7" s="8"/>
      <c r="L7" s="8"/>
      <c r="M7" s="8"/>
      <c r="N7" s="8"/>
      <c r="O7" s="8"/>
    </row>
    <row r="8" ht="15.75" customHeight="1">
      <c r="A8" s="8"/>
      <c r="B8" s="34" t="s">
        <v>58</v>
      </c>
      <c r="C8" s="32" t="s">
        <v>31</v>
      </c>
      <c r="D8" s="33">
        <v>100.0</v>
      </c>
      <c r="E8" s="8"/>
      <c r="F8" s="8"/>
      <c r="G8" s="8"/>
      <c r="H8" s="8"/>
      <c r="I8" s="8"/>
      <c r="J8" s="37">
        <v>50.0</v>
      </c>
      <c r="K8" s="8"/>
      <c r="L8" s="8"/>
      <c r="M8" s="8"/>
      <c r="N8" s="8"/>
      <c r="O8" s="8"/>
    </row>
    <row r="9" ht="15.75" customHeight="1">
      <c r="A9" s="8"/>
      <c r="B9" s="32" t="s">
        <v>58</v>
      </c>
      <c r="C9" s="32" t="s">
        <v>32</v>
      </c>
      <c r="D9" s="33">
        <v>1.0</v>
      </c>
      <c r="E9" s="8"/>
      <c r="F9" s="8"/>
      <c r="G9" s="8"/>
      <c r="H9" s="8"/>
      <c r="I9" s="8"/>
      <c r="J9" s="33">
        <v>50.0</v>
      </c>
      <c r="K9" s="8"/>
      <c r="L9" s="8"/>
      <c r="M9" s="8"/>
      <c r="N9" s="8"/>
      <c r="O9" s="8"/>
    </row>
    <row r="10" ht="15.75" customHeight="1">
      <c r="A10" s="8"/>
      <c r="B10" s="32" t="s">
        <v>58</v>
      </c>
      <c r="C10" s="32" t="s">
        <v>32</v>
      </c>
      <c r="D10" s="33">
        <v>98.0</v>
      </c>
      <c r="E10" s="8"/>
      <c r="F10" s="8"/>
      <c r="G10" s="8"/>
      <c r="H10" s="8"/>
      <c r="I10" s="8"/>
      <c r="J10" s="33">
        <v>50.0</v>
      </c>
      <c r="K10" s="8"/>
      <c r="L10" s="8"/>
      <c r="M10" s="8"/>
      <c r="N10" s="8"/>
      <c r="O10" s="8"/>
    </row>
    <row r="11" ht="15.75" customHeight="1">
      <c r="A11" s="8"/>
      <c r="B11" s="34" t="s">
        <v>58</v>
      </c>
      <c r="C11" s="32" t="s">
        <v>31</v>
      </c>
      <c r="D11" s="33">
        <v>100.0</v>
      </c>
      <c r="E11" s="8"/>
      <c r="F11" s="39" t="s">
        <v>39</v>
      </c>
      <c r="G11" s="8"/>
      <c r="H11" s="8"/>
      <c r="I11" s="8"/>
      <c r="J11" s="37">
        <v>50.0</v>
      </c>
      <c r="K11" s="8"/>
      <c r="L11" s="8"/>
      <c r="M11" s="8"/>
      <c r="N11" s="8"/>
      <c r="O11" s="8"/>
    </row>
    <row r="12" ht="15.75" customHeight="1">
      <c r="A12" s="8"/>
      <c r="B12" s="32" t="s">
        <v>58</v>
      </c>
      <c r="C12" s="32" t="s">
        <v>32</v>
      </c>
      <c r="D12" s="33">
        <v>1.0</v>
      </c>
      <c r="E12" s="8"/>
      <c r="F12" s="39" t="s">
        <v>39</v>
      </c>
      <c r="G12" s="8"/>
      <c r="H12" s="8"/>
      <c r="I12" s="8"/>
      <c r="J12" s="33">
        <v>50.0</v>
      </c>
      <c r="K12" s="8"/>
      <c r="L12" s="8"/>
      <c r="M12" s="8"/>
      <c r="N12" s="8"/>
      <c r="O12" s="8"/>
    </row>
    <row r="13" ht="15.75" customHeight="1">
      <c r="A13" s="8"/>
      <c r="B13" s="32" t="s">
        <v>58</v>
      </c>
      <c r="C13" s="32" t="s">
        <v>32</v>
      </c>
      <c r="D13" s="33">
        <v>98.0</v>
      </c>
      <c r="E13" s="8"/>
      <c r="F13" s="39" t="s">
        <v>39</v>
      </c>
      <c r="G13" s="8"/>
      <c r="H13" s="8"/>
      <c r="I13" s="8"/>
      <c r="J13" s="33">
        <v>50.0</v>
      </c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40" t="str">
        <f>IFERROR(__xludf.DUMMYFUNCTION("""COMPUTED_VALUE"""),"Symbol")</f>
        <v>Symbol</v>
      </c>
      <c r="C5" s="40" t="str">
        <f>IFERROR(__xludf.DUMMYFUNCTION("""COMPUTED_VALUE"""),"User Px")</f>
        <v>User Px</v>
      </c>
      <c r="D5" s="40" t="str">
        <f>IFERROR(__xludf.DUMMYFUNCTION("""COMPUTED_VALUE"""),"Asset Class")</f>
        <v>Asset Class</v>
      </c>
      <c r="E5" s="40" t="str">
        <f>IFERROR(__xludf.DUMMYFUNCTION("""COMPUTED_VALUE"""),"Volatility(%)")</f>
        <v>Volatility(%)</v>
      </c>
      <c r="F5" s="41" t="str">
        <f>IFERROR(__xludf.DUMMYFUNCTION("""COMPUTED_VALUE"""),"Historical Volatility")</f>
        <v>Historical Volatility</v>
      </c>
      <c r="G5" s="40" t="str">
        <f>IFERROR(__xludf.DUMMYFUNCTION("""COMPUTED_VALUE"""),"User Volatility")</f>
        <v>User Volatility</v>
      </c>
      <c r="H5" s="40" t="str">
        <f>IFERROR(__xludf.DUMMYFUNCTION("""COMPUTED_VALUE"""),"Interest Rate")</f>
        <v>Interest Rate</v>
      </c>
      <c r="I5" s="40" t="str">
        <f>IFERROR(__xludf.DUMMYFUNCTION("""COMPUTED_VALUE"""),"User Interest Rate")</f>
        <v>User Interest Rate</v>
      </c>
      <c r="J5" s="40" t="str">
        <f>IFERROR(__xludf.DUMMYFUNCTION("""COMPUTED_VALUE"""),"Dividend Yield")</f>
        <v>Dividend Yield</v>
      </c>
      <c r="K5" s="40" t="str">
        <f>IFERROR(__xludf.DUMMYFUNCTION("""COMPUTED_VALUE"""),"User Dividend Yield")</f>
        <v>User Dividend Yield</v>
      </c>
      <c r="L5" s="40" t="str">
        <f>IFERROR(__xludf.DUMMYFUNCTION("""COMPUTED_VALUE"""),"Actual Delta")</f>
        <v>Actual Delta</v>
      </c>
      <c r="M5" s="40" t="str">
        <f>IFERROR(__xludf.DUMMYFUNCTION("""COMPUTED_VALUE"""),"User Delta")</f>
        <v>User Delta</v>
      </c>
      <c r="N5" s="40" t="str">
        <f>IFERROR(__xludf.DUMMYFUNCTION("""COMPUTED_VALUE"""),"Selected Px")</f>
        <v>Selected Px</v>
      </c>
      <c r="O5" s="40" t="str">
        <f>IFERROR(__xludf.DUMMYFUNCTION("""COMPUTED_VALUE"""),"Forward Points")</f>
        <v>Forward Points</v>
      </c>
      <c r="P5" s="40" t="str">
        <f>IFERROR(__xludf.DUMMYFUNCTION("""COMPUTED_VALUE"""),"Shares Outstanding")</f>
        <v>Shares Outstanding</v>
      </c>
      <c r="Q5" s="40" t="str">
        <f>IFERROR(__xludf.DUMMYFUNCTION("""COMPUTED_VALUE"""),"User Shares Outstanding")</f>
        <v>User Shares Outstanding</v>
      </c>
      <c r="R5" s="40" t="str">
        <f>IFERROR(__xludf.DUMMYFUNCTION("""COMPUTED_VALUE"""),"LastPriceUsed")</f>
        <v>LastPriceUsed</v>
      </c>
      <c r="S5" s="40" t="str">
        <f>IFERROR(__xludf.DUMMYFUNCTION("""COMPUTED_VALUE"""),"VolatilityUsed")</f>
        <v>VolatilityUsed</v>
      </c>
      <c r="T5" s="42" t="str">
        <f>IFERROR(__xludf.DUMMYFUNCTION("""COMPUTED_VALUE"""),"IntRateUsed")</f>
        <v>IntRateUsed</v>
      </c>
      <c r="U5" s="42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58</v>
      </c>
      <c r="C6" s="33">
        <v>15.0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57</v>
      </c>
      <c r="C7" s="33">
        <v>20.0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59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8">
        <f t="shared" ref="B6:C6" si="1">TODAY()-1</f>
        <v>45896</v>
      </c>
      <c r="C6" s="38">
        <f t="shared" si="1"/>
        <v>45896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60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53</v>
      </c>
      <c r="C6" s="32" t="s">
        <v>45</v>
      </c>
      <c r="D6" s="44">
        <v>4662.5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0"/>
      <c r="B7" s="45" t="s">
        <v>39</v>
      </c>
      <c r="C7" s="32" t="s">
        <v>45</v>
      </c>
      <c r="D7" s="44">
        <v>4662.5</v>
      </c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58</v>
      </c>
      <c r="C6" s="33">
        <v>100.0</v>
      </c>
      <c r="D6" s="37">
        <v>50.0</v>
      </c>
      <c r="E6" s="31" t="s">
        <v>56</v>
      </c>
      <c r="F6" s="31"/>
      <c r="G6" s="31"/>
      <c r="H6" s="31"/>
      <c r="I6" s="31"/>
      <c r="J6" s="32" t="s">
        <v>31</v>
      </c>
      <c r="K6" s="31"/>
      <c r="L6" s="31"/>
      <c r="M6" s="31"/>
      <c r="N6" s="46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58</v>
      </c>
      <c r="C7" s="33">
        <v>1.0</v>
      </c>
      <c r="D7" s="33">
        <v>50.0</v>
      </c>
      <c r="E7" s="31" t="s">
        <v>56</v>
      </c>
      <c r="F7" s="31"/>
      <c r="G7" s="31"/>
      <c r="H7" s="31"/>
      <c r="I7" s="31"/>
      <c r="J7" s="32" t="s">
        <v>32</v>
      </c>
      <c r="K7" s="31"/>
      <c r="L7" s="31"/>
      <c r="M7" s="31"/>
      <c r="N7" s="46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2" t="s">
        <v>58</v>
      </c>
      <c r="C8" s="33">
        <v>98.0</v>
      </c>
      <c r="D8" s="33">
        <v>50.0</v>
      </c>
      <c r="E8" s="31" t="s">
        <v>56</v>
      </c>
      <c r="F8" s="31"/>
      <c r="G8" s="31"/>
      <c r="H8" s="31"/>
      <c r="I8" s="31"/>
      <c r="J8" s="32" t="s">
        <v>32</v>
      </c>
      <c r="K8" s="31"/>
      <c r="L8" s="31"/>
      <c r="M8" s="31"/>
      <c r="N8" s="46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0"/>
      <c r="B9" s="34" t="s">
        <v>58</v>
      </c>
      <c r="C9" s="33">
        <v>100.0</v>
      </c>
      <c r="D9" s="37">
        <v>50.0</v>
      </c>
      <c r="E9" s="31" t="s">
        <v>56</v>
      </c>
      <c r="F9" s="31"/>
      <c r="G9" s="31"/>
      <c r="H9" s="31"/>
      <c r="I9" s="39" t="s">
        <v>39</v>
      </c>
      <c r="J9" s="32" t="s">
        <v>31</v>
      </c>
      <c r="K9" s="31"/>
      <c r="L9" s="31"/>
      <c r="M9" s="31"/>
      <c r="N9" s="46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1"/>
      <c r="B10" s="32" t="s">
        <v>58</v>
      </c>
      <c r="C10" s="33">
        <v>1.0</v>
      </c>
      <c r="D10" s="33">
        <v>50.0</v>
      </c>
      <c r="E10" s="31" t="s">
        <v>56</v>
      </c>
      <c r="F10" s="31"/>
      <c r="G10" s="31"/>
      <c r="H10" s="31"/>
      <c r="I10" s="39" t="s">
        <v>39</v>
      </c>
      <c r="J10" s="32" t="s">
        <v>32</v>
      </c>
      <c r="K10" s="31"/>
      <c r="L10" s="31"/>
      <c r="M10" s="31"/>
      <c r="N10" s="46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31"/>
      <c r="B11" s="32" t="s">
        <v>58</v>
      </c>
      <c r="C11" s="33">
        <v>98.0</v>
      </c>
      <c r="D11" s="33">
        <v>50.0</v>
      </c>
      <c r="E11" s="31" t="s">
        <v>56</v>
      </c>
      <c r="F11" s="31"/>
      <c r="G11" s="31"/>
      <c r="H11" s="31"/>
      <c r="I11" s="39" t="s">
        <v>39</v>
      </c>
      <c r="J11" s="32" t="s">
        <v>32</v>
      </c>
      <c r="K11" s="31"/>
      <c r="L11" s="31"/>
      <c r="M11" s="31"/>
      <c r="N11" s="46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CustomOrderTT1!$4:$4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61</v>
      </c>
      <c r="D3" s="5" t="s">
        <v>9</v>
      </c>
      <c r="E3" s="22" t="s">
        <v>62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IFERROR(__xludf.DUMMYFUNCTION("""COMPUTED_VALUE"""),"VerifyAccountBalances")</f>
        <v>VerifyAccountBalances</v>
      </c>
      <c r="BA4" s="25" t="str">
        <f>IFERROR(__xludf.DUMMYFUNCTION("""COMPUTED_VALUE"""),"AddMultipleOpeningBalTranItem")</f>
        <v>AddMultipleOpeningBalTranItem</v>
      </c>
      <c r="BB4" s="25" t="str">
        <f>IFERROR(__xludf.DUMMYFUNCTION("""COMPUTED_VALUE"""),"FilterCashTransactionGrid")</f>
        <v>FilterCashTransactionGrid</v>
      </c>
      <c r="BC4" s="25" t="str">
        <f>IFERROR(__xludf.DUMMYFUNCTION("""COMPUTED_VALUE"""),"EditGridCashTransactions")</f>
        <v>EditGridCashTransactions</v>
      </c>
      <c r="BD4" s="25" t="str">
        <f>IFERROR(__xludf.DUMMYFUNCTION("""COMPUTED_VALUE"""),"SaveCashTransaction")</f>
        <v>SaveCashTransaction</v>
      </c>
      <c r="BE4" s="25" t="str">
        <f>IFERROR(__xludf.DUMMYFUNCTION("""COMPUTED_VALUE"""),"RunManualRevaluation")</f>
        <v>RunManualRevaluation</v>
      </c>
      <c r="BF4" s="25" t="str">
        <f>IFERROR(__xludf.DUMMYFUNCTION("""COMPUTED_VALUE"""),"VerifyGLNavLockPopup")</f>
        <v>VerifyGLNavLockPopup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IFERROR(__xludf.DUMMYFUNCTION("""COMPUTED_VALUE"""),"Date Type")</f>
        <v>Date Type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IFERROR(__xludf.DUMMYFUNCTION("""COMPUTED_VALUE"""),"Symbol")</f>
        <v>Symbol</v>
      </c>
      <c r="G5" s="27" t="str">
        <f>IFERROR(__xludf.DUMMYFUNCTION("""COMPUTED_VALUE"""),"Contains")</f>
        <v>Contains</v>
      </c>
      <c r="H5" s="27" t="str">
        <f>IFERROR(__xludf.DUMMYFUNCTION("""COMPUTED_VALUE"""),"Exact")</f>
        <v>Exact</v>
      </c>
      <c r="I5" s="27" t="str">
        <f>IFERROR(__xludf.DUMMYFUNCTION("""COMPUTED_VALUE"""),"Starts With")</f>
        <v>Starts With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53</v>
      </c>
      <c r="C6" s="31" t="s">
        <v>63</v>
      </c>
      <c r="D6" s="47">
        <f t="shared" ref="D6:E6" si="1">TODAY()</f>
        <v>45897</v>
      </c>
      <c r="E6" s="47">
        <f t="shared" si="1"/>
        <v>45897</v>
      </c>
      <c r="F6" s="31"/>
      <c r="G6" s="31" t="s">
        <v>64</v>
      </c>
      <c r="H6" s="31" t="s">
        <v>65</v>
      </c>
      <c r="I6" s="31" t="s">
        <v>64</v>
      </c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GetCashTransaction!$4:$4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61</v>
      </c>
      <c r="D3" s="5" t="s">
        <v>9</v>
      </c>
      <c r="E3" s="22" t="s">
        <v>66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IFERROR(__xludf.DUMMYFUNCTION("""COMPUTED_VALUE"""),"VerifyAccountBalances")</f>
        <v>VerifyAccountBalances</v>
      </c>
      <c r="BA4" s="25" t="str">
        <f>IFERROR(__xludf.DUMMYFUNCTION("""COMPUTED_VALUE"""),"AddMultipleOpeningBalTranItem")</f>
        <v>AddMultipleOpeningBalTranItem</v>
      </c>
      <c r="BB4" s="25" t="str">
        <f>IFERROR(__xludf.DUMMYFUNCTION("""COMPUTED_VALUE"""),"FilterCashTransactionGrid")</f>
        <v>FilterCashTransactionGrid</v>
      </c>
      <c r="BC4" s="25" t="str">
        <f>IFERROR(__xludf.DUMMYFUNCTION("""COMPUTED_VALUE"""),"EditGridCashTransactions")</f>
        <v>EditGridCashTransactions</v>
      </c>
      <c r="BD4" s="25" t="str">
        <f>IFERROR(__xludf.DUMMYFUNCTION("""COMPUTED_VALUE"""),"SaveCashTransaction")</f>
        <v>SaveCashTransaction</v>
      </c>
      <c r="BE4" s="25" t="str">
        <f>IFERROR(__xludf.DUMMYFUNCTION("""COMPUTED_VALUE"""),"RunManualRevaluation")</f>
        <v>RunManualRevaluation</v>
      </c>
      <c r="BF4" s="25" t="str">
        <f>IFERROR(__xludf.DUMMYFUNCTION("""COMPUTED_VALUE"""),"VerifyGLNavLockPopup")</f>
        <v>VerifyGLNavLockPopup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IFERROR(__xludf.DUMMYFUNCTION("""COMPUTED_VALUE"""),"CashTransactionId")</f>
        <v>CashTransactionId</v>
      </c>
      <c r="C5" s="27" t="str">
        <f>IFERROR(__xludf.DUMMYFUNCTION("""COMPUTED_VALUE"""),"Activity Type")</f>
        <v>Activity Type</v>
      </c>
      <c r="D5" s="27" t="str">
        <f>IFERROR(__xludf.DUMMYFUNCTION("""COMPUTED_VALUE"""),"Symbol")</f>
        <v>Symbol</v>
      </c>
      <c r="E5" s="27" t="str">
        <f>IFERROR(__xludf.DUMMYFUNCTION("""COMPUTED_VALUE"""),"Strategy")</f>
        <v>Strategy</v>
      </c>
      <c r="F5" s="28" t="str">
        <f>IFERROR(__xludf.DUMMYFUNCTION("""COMPUTED_VALUE"""),"Account")</f>
        <v>Account</v>
      </c>
      <c r="G5" s="27" t="str">
        <f>IFERROR(__xludf.DUMMYFUNCTION("""COMPUTED_VALUE"""),"Currency")</f>
        <v>Currency</v>
      </c>
      <c r="H5" s="27" t="str">
        <f>IFERROR(__xludf.DUMMYFUNCTION("""COMPUTED_VALUE"""),"Amount")</f>
        <v>Amount</v>
      </c>
      <c r="I5" s="27" t="str">
        <f>IFERROR(__xludf.DUMMYFUNCTION("""COMPUTED_VALUE"""),"Ex Date")</f>
        <v>Ex Date</v>
      </c>
      <c r="J5" s="27" t="str">
        <f>IFERROR(__xludf.DUMMYFUNCTION("""COMPUTED_VALUE"""),"Payout Date")</f>
        <v>Payout Date</v>
      </c>
      <c r="K5" s="27" t="str">
        <f>IFERROR(__xludf.DUMMYFUNCTION("""COMPUTED_VALUE"""),"Record Date")</f>
        <v>Record Date</v>
      </c>
      <c r="L5" s="27" t="str">
        <f>IFERROR(__xludf.DUMMYFUNCTION("""COMPUTED_VALUE"""),"Declaration Date")</f>
        <v>Declaration Date</v>
      </c>
      <c r="M5" s="27" t="str">
        <f>IFERROR(__xludf.DUMMYFUNCTION("""COMPUTED_VALUE"""),"Description")</f>
        <v>Description</v>
      </c>
      <c r="N5" s="27" t="str">
        <f>IFERROR(__xludf.DUMMYFUNCTION("""COMPUTED_VALUE"""),"Other Currency")</f>
        <v>Other Currency</v>
      </c>
      <c r="O5" s="27" t="str">
        <f>IFERROR(__xludf.DUMMYFUNCTION("""COMPUTED_VALUE"""),"FXRate")</f>
        <v>FXRate</v>
      </c>
      <c r="P5" s="27" t="str">
        <f>IFERROR(__xludf.DUMMYFUNCTION("""COMPUTED_VALUE"""),"FXConversionMethodOperator")</f>
        <v>FXConversionMethodOperator</v>
      </c>
      <c r="Q5" s="27" t="str">
        <f>IFERROR(__xludf.DUMMYFUNCTION("""COMPUTED_VALUE"""),"Transaction Source")</f>
        <v>Transaction Source</v>
      </c>
      <c r="R5" s="27" t="str">
        <f>IFERROR(__xludf.DUMMYFUNCTION("""COMPUTED_VALUE"""),"Entry Date")</f>
        <v>Entry Date</v>
      </c>
      <c r="S5" s="27" t="str">
        <f>IFERROR(__xludf.DUMMYFUNCTION("""COMPUTED_VALUE"""),"Modify Date")</f>
        <v>Modify Date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 t="s">
        <v>67</v>
      </c>
      <c r="D6" s="34" t="s">
        <v>68</v>
      </c>
      <c r="E6" s="31" t="s">
        <v>69</v>
      </c>
      <c r="F6" s="32" t="s">
        <v>53</v>
      </c>
      <c r="G6" s="32" t="s">
        <v>45</v>
      </c>
      <c r="H6" s="33">
        <v>1500.0</v>
      </c>
      <c r="I6" s="38">
        <f>TODAY()-1</f>
        <v>45896</v>
      </c>
      <c r="J6" s="38">
        <f>TODAY()+2</f>
        <v>45899</v>
      </c>
      <c r="K6" s="38">
        <f>TODAY()</f>
        <v>45897</v>
      </c>
      <c r="L6" s="31"/>
      <c r="M6" s="48" t="s">
        <v>70</v>
      </c>
      <c r="N6" s="48" t="s">
        <v>45</v>
      </c>
      <c r="O6" s="49">
        <v>1.0</v>
      </c>
      <c r="P6" s="48" t="s">
        <v>71</v>
      </c>
      <c r="Q6" s="50" t="s">
        <v>72</v>
      </c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AddCashTransaction!$4:$4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61</v>
      </c>
      <c r="D3" s="5" t="s">
        <v>9</v>
      </c>
      <c r="E3" s="22" t="s">
        <v>73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IFERROR(__xludf.DUMMYFUNCTION("""COMPUTED_VALUE"""),"VerifyAccountBalances")</f>
        <v>VerifyAccountBalances</v>
      </c>
      <c r="BA4" s="25" t="str">
        <f>IFERROR(__xludf.DUMMYFUNCTION("""COMPUTED_VALUE"""),"AddMultipleOpeningBalTranItem")</f>
        <v>AddMultipleOpeningBalTranItem</v>
      </c>
      <c r="BB4" s="25" t="str">
        <f>IFERROR(__xludf.DUMMYFUNCTION("""COMPUTED_VALUE"""),"FilterCashTransactionGrid")</f>
        <v>FilterCashTransactionGrid</v>
      </c>
      <c r="BC4" s="25" t="str">
        <f>IFERROR(__xludf.DUMMYFUNCTION("""COMPUTED_VALUE"""),"EditGridCashTransactions")</f>
        <v>EditGridCashTransactions</v>
      </c>
      <c r="BD4" s="25" t="str">
        <f>IFERROR(__xludf.DUMMYFUNCTION("""COMPUTED_VALUE"""),"SaveCashTransaction")</f>
        <v>SaveCashTransaction</v>
      </c>
      <c r="BE4" s="25" t="str">
        <f>IFERROR(__xludf.DUMMYFUNCTION("""COMPUTED_VALUE"""),"RunManualRevaluation")</f>
        <v>RunManualRevaluation</v>
      </c>
      <c r="BF4" s="25" t="str">
        <f>IFERROR(__xludf.DUMMYFUNCTION("""COMPUTED_VALUE"""),"VerifyGLNavLockPopup")</f>
        <v>VerifyGLNavLockPopup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74</v>
      </c>
      <c r="C6" s="32" t="s">
        <v>53</v>
      </c>
      <c r="D6" s="38">
        <f>TODAY()</f>
        <v>45897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RunRevaluation!$4:$4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61</v>
      </c>
      <c r="D3" s="5" t="s">
        <v>9</v>
      </c>
      <c r="E3" s="22" t="s">
        <v>62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IFERROR(__xludf.DUMMYFUNCTION("""COMPUTED_VALUE"""),"VerifyAccountBalances")</f>
        <v>VerifyAccountBalances</v>
      </c>
      <c r="BA4" s="25" t="str">
        <f>IFERROR(__xludf.DUMMYFUNCTION("""COMPUTED_VALUE"""),"AddMultipleOpeningBalTranItem")</f>
        <v>AddMultipleOpeningBalTranItem</v>
      </c>
      <c r="BB4" s="25" t="str">
        <f>IFERROR(__xludf.DUMMYFUNCTION("""COMPUTED_VALUE"""),"FilterCashTransactionGrid")</f>
        <v>FilterCashTransactionGrid</v>
      </c>
      <c r="BC4" s="25" t="str">
        <f>IFERROR(__xludf.DUMMYFUNCTION("""COMPUTED_VALUE"""),"EditGridCashTransactions")</f>
        <v>EditGridCashTransactions</v>
      </c>
      <c r="BD4" s="25" t="str">
        <f>IFERROR(__xludf.DUMMYFUNCTION("""COMPUTED_VALUE"""),"SaveCashTransaction")</f>
        <v>SaveCashTransaction</v>
      </c>
      <c r="BE4" s="25" t="str">
        <f>IFERROR(__xludf.DUMMYFUNCTION("""COMPUTED_VALUE"""),"RunManualRevaluation")</f>
        <v>RunManualRevaluation</v>
      </c>
      <c r="BF4" s="25" t="str">
        <f>IFERROR(__xludf.DUMMYFUNCTION("""COMPUTED_VALUE"""),"VerifyGLNavLockPopup")</f>
        <v>VerifyGLNavLockPopup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IFERROR(__xludf.DUMMYFUNCTION("""COMPUTED_VALUE"""),"Date Type")</f>
        <v>Date Type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IFERROR(__xludf.DUMMYFUNCTION("""COMPUTED_VALUE"""),"Symbol")</f>
        <v>Symbol</v>
      </c>
      <c r="G5" s="27" t="str">
        <f>IFERROR(__xludf.DUMMYFUNCTION("""COMPUTED_VALUE"""),"Contains")</f>
        <v>Contains</v>
      </c>
      <c r="H5" s="27" t="str">
        <f>IFERROR(__xludf.DUMMYFUNCTION("""COMPUTED_VALUE"""),"Exact")</f>
        <v>Exact</v>
      </c>
      <c r="I5" s="27" t="str">
        <f>IFERROR(__xludf.DUMMYFUNCTION("""COMPUTED_VALUE"""),"Starts With")</f>
        <v>Starts With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5" t="s">
        <v>39</v>
      </c>
      <c r="C6" s="31" t="s">
        <v>63</v>
      </c>
      <c r="D6" s="47">
        <f t="shared" ref="D6:E6" si="1">TODAY()</f>
        <v>45897</v>
      </c>
      <c r="E6" s="47">
        <f t="shared" si="1"/>
        <v>45897</v>
      </c>
      <c r="F6" s="31"/>
      <c r="G6" s="31" t="s">
        <v>64</v>
      </c>
      <c r="H6" s="31" t="s">
        <v>65</v>
      </c>
      <c r="I6" s="31" t="s">
        <v>64</v>
      </c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GetCashTransaction1!$4:$4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61</v>
      </c>
      <c r="D3" s="5" t="s">
        <v>9</v>
      </c>
      <c r="E3" s="22" t="s">
        <v>66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IFERROR(__xludf.DUMMYFUNCTION("""COMPUTED_VALUE"""),"VerifyAccountBalances")</f>
        <v>VerifyAccountBalances</v>
      </c>
      <c r="BA4" s="25" t="str">
        <f>IFERROR(__xludf.DUMMYFUNCTION("""COMPUTED_VALUE"""),"AddMultipleOpeningBalTranItem")</f>
        <v>AddMultipleOpeningBalTranItem</v>
      </c>
      <c r="BB4" s="25" t="str">
        <f>IFERROR(__xludf.DUMMYFUNCTION("""COMPUTED_VALUE"""),"FilterCashTransactionGrid")</f>
        <v>FilterCashTransactionGrid</v>
      </c>
      <c r="BC4" s="25" t="str">
        <f>IFERROR(__xludf.DUMMYFUNCTION("""COMPUTED_VALUE"""),"EditGridCashTransactions")</f>
        <v>EditGridCashTransactions</v>
      </c>
      <c r="BD4" s="25" t="str">
        <f>IFERROR(__xludf.DUMMYFUNCTION("""COMPUTED_VALUE"""),"SaveCashTransaction")</f>
        <v>SaveCashTransaction</v>
      </c>
      <c r="BE4" s="25" t="str">
        <f>IFERROR(__xludf.DUMMYFUNCTION("""COMPUTED_VALUE"""),"RunManualRevaluation")</f>
        <v>RunManualRevaluation</v>
      </c>
      <c r="BF4" s="25" t="str">
        <f>IFERROR(__xludf.DUMMYFUNCTION("""COMPUTED_VALUE"""),"VerifyGLNavLockPopup")</f>
        <v>VerifyGLNavLockPopup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IFERROR(__xludf.DUMMYFUNCTION("""COMPUTED_VALUE"""),"CashTransactionId")</f>
        <v>CashTransactionId</v>
      </c>
      <c r="C5" s="27" t="str">
        <f>IFERROR(__xludf.DUMMYFUNCTION("""COMPUTED_VALUE"""),"Activity Type")</f>
        <v>Activity Type</v>
      </c>
      <c r="D5" s="27" t="str">
        <f>IFERROR(__xludf.DUMMYFUNCTION("""COMPUTED_VALUE"""),"Symbol")</f>
        <v>Symbol</v>
      </c>
      <c r="E5" s="27" t="str">
        <f>IFERROR(__xludf.DUMMYFUNCTION("""COMPUTED_VALUE"""),"Strategy")</f>
        <v>Strategy</v>
      </c>
      <c r="F5" s="28" t="str">
        <f>IFERROR(__xludf.DUMMYFUNCTION("""COMPUTED_VALUE"""),"Account")</f>
        <v>Account</v>
      </c>
      <c r="G5" s="27" t="str">
        <f>IFERROR(__xludf.DUMMYFUNCTION("""COMPUTED_VALUE"""),"Currency")</f>
        <v>Currency</v>
      </c>
      <c r="H5" s="27" t="str">
        <f>IFERROR(__xludf.DUMMYFUNCTION("""COMPUTED_VALUE"""),"Amount")</f>
        <v>Amount</v>
      </c>
      <c r="I5" s="27" t="str">
        <f>IFERROR(__xludf.DUMMYFUNCTION("""COMPUTED_VALUE"""),"Ex Date")</f>
        <v>Ex Date</v>
      </c>
      <c r="J5" s="27" t="str">
        <f>IFERROR(__xludf.DUMMYFUNCTION("""COMPUTED_VALUE"""),"Payout Date")</f>
        <v>Payout Date</v>
      </c>
      <c r="K5" s="27" t="str">
        <f>IFERROR(__xludf.DUMMYFUNCTION("""COMPUTED_VALUE"""),"Record Date")</f>
        <v>Record Date</v>
      </c>
      <c r="L5" s="27" t="str">
        <f>IFERROR(__xludf.DUMMYFUNCTION("""COMPUTED_VALUE"""),"Declaration Date")</f>
        <v>Declaration Date</v>
      </c>
      <c r="M5" s="27" t="str">
        <f>IFERROR(__xludf.DUMMYFUNCTION("""COMPUTED_VALUE"""),"Description")</f>
        <v>Description</v>
      </c>
      <c r="N5" s="27" t="str">
        <f>IFERROR(__xludf.DUMMYFUNCTION("""COMPUTED_VALUE"""),"Other Currency")</f>
        <v>Other Currency</v>
      </c>
      <c r="O5" s="27" t="str">
        <f>IFERROR(__xludf.DUMMYFUNCTION("""COMPUTED_VALUE"""),"FXRate")</f>
        <v>FXRate</v>
      </c>
      <c r="P5" s="27" t="str">
        <f>IFERROR(__xludf.DUMMYFUNCTION("""COMPUTED_VALUE"""),"FXConversionMethodOperator")</f>
        <v>FXConversionMethodOperator</v>
      </c>
      <c r="Q5" s="27" t="str">
        <f>IFERROR(__xludf.DUMMYFUNCTION("""COMPUTED_VALUE"""),"Transaction Source")</f>
        <v>Transaction Source</v>
      </c>
      <c r="R5" s="27" t="str">
        <f>IFERROR(__xludf.DUMMYFUNCTION("""COMPUTED_VALUE"""),"Entry Date")</f>
        <v>Entry Date</v>
      </c>
      <c r="S5" s="27" t="str">
        <f>IFERROR(__xludf.DUMMYFUNCTION("""COMPUTED_VALUE"""),"Modify Date")</f>
        <v>Modify Date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 t="s">
        <v>67</v>
      </c>
      <c r="D6" s="34" t="s">
        <v>68</v>
      </c>
      <c r="E6" s="31" t="s">
        <v>69</v>
      </c>
      <c r="F6" s="45" t="s">
        <v>39</v>
      </c>
      <c r="G6" s="32" t="s">
        <v>45</v>
      </c>
      <c r="H6" s="33">
        <v>1500.0</v>
      </c>
      <c r="I6" s="38">
        <f>TODAY()-1</f>
        <v>45896</v>
      </c>
      <c r="J6" s="38">
        <f>TODAY()+2</f>
        <v>45899</v>
      </c>
      <c r="K6" s="38">
        <f>TODAY()</f>
        <v>45897</v>
      </c>
      <c r="L6" s="31"/>
      <c r="M6" s="48" t="s">
        <v>70</v>
      </c>
      <c r="N6" s="48" t="s">
        <v>45</v>
      </c>
      <c r="O6" s="49">
        <v>1.0</v>
      </c>
      <c r="P6" s="48" t="s">
        <v>71</v>
      </c>
      <c r="Q6" s="50" t="s">
        <v>72</v>
      </c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AddCashTransaction1!$4:$4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61</v>
      </c>
      <c r="D3" s="5" t="s">
        <v>9</v>
      </c>
      <c r="E3" s="22" t="s">
        <v>73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IFERROR(__xludf.DUMMYFUNCTION("""COMPUTED_VALUE"""),"VerifyAccountBalances")</f>
        <v>VerifyAccountBalances</v>
      </c>
      <c r="BA4" s="25" t="str">
        <f>IFERROR(__xludf.DUMMYFUNCTION("""COMPUTED_VALUE"""),"AddMultipleOpeningBalTranItem")</f>
        <v>AddMultipleOpeningBalTranItem</v>
      </c>
      <c r="BB4" s="25" t="str">
        <f>IFERROR(__xludf.DUMMYFUNCTION("""COMPUTED_VALUE"""),"FilterCashTransactionGrid")</f>
        <v>FilterCashTransactionGrid</v>
      </c>
      <c r="BC4" s="25" t="str">
        <f>IFERROR(__xludf.DUMMYFUNCTION("""COMPUTED_VALUE"""),"EditGridCashTransactions")</f>
        <v>EditGridCashTransactions</v>
      </c>
      <c r="BD4" s="25" t="str">
        <f>IFERROR(__xludf.DUMMYFUNCTION("""COMPUTED_VALUE"""),"SaveCashTransaction")</f>
        <v>SaveCashTransaction</v>
      </c>
      <c r="BE4" s="25" t="str">
        <f>IFERROR(__xludf.DUMMYFUNCTION("""COMPUTED_VALUE"""),"RunManualRevaluation")</f>
        <v>RunManualRevaluation</v>
      </c>
      <c r="BF4" s="25" t="str">
        <f>IFERROR(__xludf.DUMMYFUNCTION("""COMPUTED_VALUE"""),"VerifyGLNavLockPopup")</f>
        <v>VerifyGLNavLockPopup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74</v>
      </c>
      <c r="C6" s="45" t="s">
        <v>39</v>
      </c>
      <c r="D6" s="38">
        <f>TODAY()</f>
        <v>45897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RunRevaluation1!$4:$4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75</v>
      </c>
      <c r="D3" s="5" t="s">
        <v>9</v>
      </c>
      <c r="E3" s="22" t="s">
        <v>76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IFERROR(__xludf.DUMMYFUNCTION("""COMPUTED_VALUE"""),"Start Of Day Cash")</f>
        <v>Start Of Day Cash</v>
      </c>
      <c r="C5" s="27" t="str">
        <f>IFERROR(__xludf.DUMMYFUNCTION("""COMPUTED_VALUE"""),"Start Of Day Accruals")</f>
        <v>Start Of Day Accruals</v>
      </c>
      <c r="D5" s="27" t="str">
        <f>IFERROR(__xludf.DUMMYFUNCTION("""COMPUTED_VALUE"""),"Day Accruals")</f>
        <v>Day Accruals</v>
      </c>
      <c r="E5" s="27" t="str">
        <f>IFERROR(__xludf.DUMMYFUNCTION("""COMPUTED_VALUE"""),"Cash Inflow")</f>
        <v>Cash Inflow</v>
      </c>
      <c r="F5" s="28" t="str">
        <f>IFERROR(__xludf.DUMMYFUNCTION("""COMPUTED_VALUE"""),"Cash Outflow")</f>
        <v>Cash Outflow</v>
      </c>
      <c r="G5" s="27" t="str">
        <f>IFERROR(__xludf.DUMMYFUNCTION("""COMPUTED_VALUE"""),"Day P&amp;L (Long)")</f>
        <v>Day P&amp;L (Long)</v>
      </c>
      <c r="H5" s="27" t="str">
        <f>IFERROR(__xludf.DUMMYFUNCTION("""COMPUTED_VALUE"""),"Day P&amp;L (Short)")</f>
        <v>Day P&amp;L (Short)</v>
      </c>
      <c r="I5" s="27" t="str">
        <f>IFERROR(__xludf.DUMMYFUNCTION("""COMPUTED_VALUE"""),"Day P&amp;L")</f>
        <v>Day P&amp;L</v>
      </c>
      <c r="J5" s="27" t="str">
        <f>IFERROR(__xludf.DUMMYFUNCTION("""COMPUTED_VALUE"""),"LongExposure")</f>
        <v>LongExposure</v>
      </c>
      <c r="K5" s="27" t="str">
        <f>IFERROR(__xludf.DUMMYFUNCTION("""COMPUTED_VALUE"""),"ShortExposure")</f>
        <v>ShortExposure</v>
      </c>
      <c r="L5" s="27" t="str">
        <f>IFERROR(__xludf.DUMMYFUNCTION("""COMPUTED_VALUE"""),"Net Exposure")</f>
        <v>Net Exposure</v>
      </c>
      <c r="M5" s="27" t="str">
        <f>IFERROR(__xludf.DUMMYFUNCTION("""COMPUTED_VALUE"""),"NAV")</f>
        <v>NAV</v>
      </c>
      <c r="N5" s="27" t="str">
        <f>IFERROR(__xludf.DUMMYFUNCTION("""COMPUTED_VALUE"""),"Underlying Value (Options)")</f>
        <v>Underlying Value (Options)</v>
      </c>
      <c r="O5" s="27" t="str">
        <f>IFERROR(__xludf.DUMMYFUNCTION("""COMPUTED_VALUE"""),"Level1ID")</f>
        <v>Level1ID</v>
      </c>
      <c r="P5" s="27" t="str">
        <f>IFERROR(__xludf.DUMMYFUNCTION("""COMPUTED_VALUE"""),"UnderlyingSymbol")</f>
        <v>UnderlyingSymbol</v>
      </c>
      <c r="Q5" s="27" t="str">
        <f>IFERROR(__xludf.DUMMYFUNCTION("""COMPUTED_VALUE"""),"Symbol")</f>
        <v>Symbol</v>
      </c>
      <c r="R5" s="27" t="str">
        <f>IFERROR(__xludf.DUMMYFUNCTION("""COMPUTED_VALUE"""),"P&amp;L Contribution")</f>
        <v>P&amp;L Contribution</v>
      </c>
      <c r="S5" s="27" t="str">
        <f>IFERROR(__xludf.DUMMYFUNCTION("""COMPUTED_VALUE"""),"Long Market Value")</f>
        <v>Long Market Value</v>
      </c>
      <c r="T5" s="29" t="str">
        <f>IFERROR(__xludf.DUMMYFUNCTION("""COMPUTED_VALUE"""),"Short Market Value")</f>
        <v>Short Market Value</v>
      </c>
      <c r="U5" s="29" t="str">
        <f>IFERROR(__xludf.DUMMYFUNCTION("""COMPUTED_VALUE"""),"Net Market Value")</f>
        <v>Net Market Value</v>
      </c>
      <c r="V5" s="29" t="str">
        <f>IFERROR(__xludf.DUMMYFUNCTION("""COMPUTED_VALUE"""),"Cash Value")</f>
        <v>Cash Value</v>
      </c>
      <c r="W5" s="29" t="str">
        <f>IFERROR(__xludf.DUMMYFUNCTION("""COMPUTED_VALUE"""),"Closing Market Value")</f>
        <v>Closing Market Value</v>
      </c>
      <c r="X5" s="29" t="str">
        <f>IFERROR(__xludf.DUMMYFUNCTION("""COMPUTED_VALUE"""),"NetPosition")</f>
        <v>NetPosition</v>
      </c>
      <c r="Y5" s="29" t="str">
        <f>IFERROR(__xludf.DUMMYFUNCTION("""COMPUTED_VALUE"""),"PositionSideMV")</f>
        <v>PositionSideMV</v>
      </c>
      <c r="Z5" s="29" t="str">
        <f>IFERROR(__xludf.DUMMYFUNCTION("""COMPUTED_VALUE"""),"PositionSideExposure")</f>
        <v>PositionSideExposure</v>
      </c>
      <c r="AA5" s="29" t="str">
        <f>IFERROR(__xludf.DUMMYFUNCTION("""COMPUTED_VALUE"""),"NAVString")</f>
        <v>NAVString</v>
      </c>
      <c r="AB5" s="29" t="str">
        <f>IFERROR(__xludf.DUMMYFUNCTION("""COMPUTED_VALUE"""),"Net Exposure %")</f>
        <v>Net Exposure %</v>
      </c>
      <c r="AC5" s="29" t="str">
        <f>IFERROR(__xludf.DUMMYFUNCTION("""COMPUTED_VALUE"""),"Beta Adj. Exposure %")</f>
        <v>Beta Adj. Exposure %</v>
      </c>
      <c r="AD5" s="29" t="str">
        <f>IFERROR(__xludf.DUMMYFUNCTION("""COMPUTED_VALUE"""),"Cash Value %")</f>
        <v>Cash Value %</v>
      </c>
      <c r="AE5" s="29" t="str">
        <f>IFERROR(__xludf.DUMMYFUNCTION("""COMPUTED_VALUE"""),"Gross Market Value %")</f>
        <v>Gross Market Value %</v>
      </c>
      <c r="AF5" s="29" t="str">
        <f>IFERROR(__xludf.DUMMYFUNCTION("""COMPUTED_VALUE"""),"Long Market Value %")</f>
        <v>Long Market Value %</v>
      </c>
      <c r="AG5" s="29" t="str">
        <f>IFERROR(__xludf.DUMMYFUNCTION("""COMPUTED_VALUE"""),"Net Exposure % (Gross Exposure)")</f>
        <v>Net Exposure % (Gross Exposure)</v>
      </c>
      <c r="AH5" s="29" t="str">
        <f>IFERROR(__xludf.DUMMYFUNCTION("""COMPUTED_VALUE"""),"Short Market Value %")</f>
        <v>Short Market Value %</v>
      </c>
      <c r="AI5" s="29" t="str">
        <f>IFERROR(__xludf.DUMMYFUNCTION("""COMPUTED_VALUE"""),"Cost Basis P&amp;L")</f>
        <v>Cost Basis P&amp;L</v>
      </c>
      <c r="AJ5" s="29" t="str">
        <f>IFERROR(__xludf.DUMMYFUNCTION("""COMPUTED_VALUE"""),"Start of Day NAV")</f>
        <v>Start of Day NAV</v>
      </c>
      <c r="AK5" s="29" t="str">
        <f>IFERROR(__xludf.DUMMYFUNCTION("""COMPUTED_VALUE"""),"Day Return")</f>
        <v>Day Return</v>
      </c>
      <c r="AL5" s="29" t="str">
        <f>IFERROR(__xludf.DUMMYFUNCTION("""COMPUTED_VALUE"""),"Beta Adj. Exposure")</f>
        <v>Beta Adj. Exposure</v>
      </c>
      <c r="AM5" s="29" t="str">
        <f>IFERROR(__xludf.DUMMYFUNCTION("""COMPUTED_VALUE"""),"Earned Dividend Base")</f>
        <v>Earned Dividend Base</v>
      </c>
      <c r="AN5" s="29" t="str">
        <f>IFERROR(__xludf.DUMMYFUNCTION("""COMPUTED_VALUE"""),"YTD Return")</f>
        <v>YTD Return</v>
      </c>
      <c r="AO5" s="29" t="str">
        <f>IFERROR(__xludf.DUMMYFUNCTION("""COMPUTED_VALUE"""),"QTD Return")</f>
        <v>QTD Return</v>
      </c>
      <c r="AP5" s="29" t="str">
        <f>IFERROR(__xludf.DUMMYFUNCTION("""COMPUTED_VALUE"""),"MTD Return")</f>
        <v>MTD Return</v>
      </c>
      <c r="AQ5" s="29" t="str">
        <f>IFERROR(__xludf.DUMMYFUNCTION("""COMPUTED_VALUE"""),"Gross Market Value")</f>
        <v>Gross Market Value</v>
      </c>
      <c r="AR5" s="29" t="str">
        <f>IFERROR(__xludf.DUMMYFUNCTION("""COMPUTED_VALUE"""),"GrossExposure")</f>
        <v>GrossExposure</v>
      </c>
      <c r="AS5" s="29" t="str">
        <f>IFERROR(__xludf.DUMMYFUNCTION("""COMPUTED_VALUE"""),"Net Market Value %")</f>
        <v>Net Market Value %</v>
      </c>
      <c r="AT5" s="29" t="str">
        <f>IFERROR(__xludf.DUMMYFUNCTION("""COMPUTED_VALUE"""),"Net Market Value % (Gross MV)")</f>
        <v>Net Market Value % (Gross MV)</v>
      </c>
      <c r="AU5" s="29" t="str">
        <f>IFERROR(__xludf.DUMMYFUNCTION("""COMPUTED_VALUE"""),"Day Return % (Gross MV)")</f>
        <v>Day Return % (Gross MV)</v>
      </c>
      <c r="AV5" s="29" t="str">
        <f>IFERROR(__xludf.DUMMYFUNCTION("""COMPUTED_VALUE"""),"Gross Exposure")</f>
        <v>Gross Exposure</v>
      </c>
      <c r="AW5" s="29" t="str">
        <f>IFERROR(__xludf.DUMMYFUNCTION("""COMPUTED_VALUE"""),"Gross Exposure %")</f>
        <v>Gross Exposure %</v>
      </c>
      <c r="AX5" s="29" t="str">
        <f>IFERROR(__xludf.DUMMYFUNCTION("""COMPUTED_VALUE"""),"Long Debit Limit")</f>
        <v>Long Debit Limit</v>
      </c>
      <c r="AY5" s="29" t="str">
        <f>IFERROR(__xludf.DUMMYFUNCTION("""COMPUTED_VALUE"""),"Short Credit Limit")</f>
        <v>Short Credit Limit</v>
      </c>
      <c r="AZ5" s="29" t="str">
        <f>IFERROR(__xludf.DUMMYFUNCTION("""COMPUTED_VALUE"""),"Long Debit Balance")</f>
        <v>Long Debit Balance</v>
      </c>
      <c r="BA5" s="29" t="str">
        <f>IFERROR(__xludf.DUMMYFUNCTION("""COMPUTED_VALUE"""),"Short Credit Balance")</f>
        <v>Short Credit Balance</v>
      </c>
      <c r="BB5" s="29" t="str">
        <f>IFERROR(__xludf.DUMMYFUNCTION("""COMPUTED_VALUE"""),"Long Exposure")</f>
        <v>Long Exposure</v>
      </c>
      <c r="BC5" s="29" t="str">
        <f>IFERROR(__xludf.DUMMYFUNCTION("""COMPUTED_VALUE"""),"Long Exposure %")</f>
        <v>Long Exposure %</v>
      </c>
      <c r="BD5" s="29" t="str">
        <f>IFERROR(__xludf.DUMMYFUNCTION("""COMPUTED_VALUE"""),"Short Exposure")</f>
        <v>Short Exposure</v>
      </c>
      <c r="BE5" s="29" t="str">
        <f>IFERROR(__xludf.DUMMYFUNCTION("""COMPUTED_VALUE"""),"Short Exposure %")</f>
        <v>Short Exposure %</v>
      </c>
      <c r="BF5" s="29" t="str">
        <f>IFERROR(__xludf.DUMMYFUNCTION("""COMPUTED_VALUE"""),"BetaAdjustedGrossExposure")</f>
        <v>BetaAdjustedGrossExposure</v>
      </c>
      <c r="BG5" s="29" t="str">
        <f>IFERROR(__xludf.DUMMYFUNCTION("""COMPUTED_VALUE"""),"BetaAdjustedLongExposure")</f>
        <v>BetaAdjustedLongExposure</v>
      </c>
      <c r="BH5" s="29" t="str">
        <f>IFERROR(__xludf.DUMMYFUNCTION("""COMPUTED_VALUE"""),"BetaAdjustedShortExposure")</f>
        <v>BetaAdjustedShortExposure</v>
      </c>
      <c r="BI5" s="29" t="str">
        <f>IFERROR(__xludf.DUMMYFUNCTION("""COMPUTED_VALUE"""),"Beta")</f>
        <v>Beta</v>
      </c>
      <c r="BJ5" s="29" t="str">
        <f>IFERROR(__xludf.DUMMYFUNCTION("""COMPUTED_VALUE"""),"Beta Adj. Gross Exposure")</f>
        <v>Beta Adj. Gross Exposure</v>
      </c>
      <c r="BK5" s="29" t="str">
        <f>IFERROR(__xludf.DUMMYFUNCTION("""COMPUTED_VALUE"""),"Beta Adj. Gross Exposure %")</f>
        <v>Beta Adj. Gross Exposure %</v>
      </c>
      <c r="BL5" s="29" t="str">
        <f>IFERROR(__xludf.DUMMYFUNCTION("""COMPUTED_VALUE"""),"Beta Adj. Long Exposure")</f>
        <v>Beta Adj. Long Exposure</v>
      </c>
      <c r="BM5" s="29" t="str">
        <f>IFERROR(__xludf.DUMMYFUNCTION("""COMPUTED_VALUE"""),"Beta Adj. Long Exposure %")</f>
        <v>Beta Adj. Long Exposure %</v>
      </c>
      <c r="BN5" s="29" t="str">
        <f>IFERROR(__xludf.DUMMYFUNCTION("""COMPUTED_VALUE"""),"Beta Adj. Short Exposure")</f>
        <v>Beta Adj. Short Exposure</v>
      </c>
      <c r="BO5" s="29" t="str">
        <f>IFERROR(__xludf.DUMMYFUNCTION("""COMPUTED_VALUE"""),"Beta Adj. Short Exposure %")</f>
        <v>Beta Adj. Short Exposure %</v>
      </c>
      <c r="BP5" s="29" t="str">
        <f>IFERROR(__xludf.DUMMYFUNCTION("""COMPUTED_VALUE"""),"MTD P&amp;L")</f>
        <v>MTD P&amp;L</v>
      </c>
      <c r="BQ5" s="29" t="str">
        <f>IFERROR(__xludf.DUMMYFUNCTION("""COMPUTED_VALUE"""),"QTD P&amp;L")</f>
        <v>QTD P&amp;L</v>
      </c>
      <c r="BR5" s="29" t="str">
        <f>IFERROR(__xludf.DUMMYFUNCTION("""COMPUTED_VALUE"""),"YTD P&amp;L")</f>
        <v>YTD P&amp;L</v>
      </c>
      <c r="BS5" s="29" t="str">
        <f>IFERROR(__xludf.DUMMYFUNCTION("""COMPUTED_VALUE"""),"MasterfundID")</f>
        <v>MasterfundID</v>
      </c>
      <c r="BT5" s="29" t="str">
        <f>IFERROR(__xludf.DUMMYFUNCTION("""COMPUTED_VALUE"""),"NetExposureLocal")</f>
        <v>NetExposureLocal</v>
      </c>
      <c r="BU5" s="29" t="str">
        <f>IFERROR(__xludf.DUMMYFUNCTION("""COMPUTED_VALUE"""),"GrossExposureLocal")</f>
        <v>GrossExposureLocal</v>
      </c>
      <c r="BV5" s="29" t="str">
        <f>IFERROR(__xludf.DUMMYFUNCTION("""COMPUTED_VALUE"""),"BetaAdjustedGrossExposureLocal")</f>
        <v>BetaAdjustedGrossExposureLocal</v>
      </c>
      <c r="BW5" s="29" t="str">
        <f>IFERROR(__xludf.DUMMYFUNCTION("""COMPUTED_VALUE"""),"AssetCategory")</f>
        <v>AssetCategory</v>
      </c>
      <c r="BX5" s="29" t="str">
        <f>IFERROR(__xludf.DUMMYFUNCTION("""COMPUTED_VALUE"""),"Day P&amp;L (FX)")</f>
        <v>Day P&amp;L (FX)</v>
      </c>
      <c r="BY5" s="29" t="str">
        <f>IFERROR(__xludf.DUMMYFUNCTION("""COMPUTED_VALUE"""),"Day P&amp;L (Short) %")</f>
        <v>Day P&amp;L (Short) %</v>
      </c>
      <c r="BZ5" s="29" t="str">
        <f>IFERROR(__xludf.DUMMYFUNCTION("""COMPUTED_VALUE"""),"Day P&amp;L (Long) %")</f>
        <v>Day P&amp;L (Long) %</v>
      </c>
      <c r="CA5" s="29" t="str">
        <f>IFERROR(__xludf.DUMMYFUNCTION("""COMPUTED_VALUE"""),"Day P&amp;L (FX) %")</f>
        <v>Day P&amp;L (FX) %</v>
      </c>
      <c r="CB5" s="29" t="str">
        <f>IFERROR(__xludf.DUMMYFUNCTION("""COMPUTED_VALUE"""),"Long/Short Ratio")</f>
        <v>Long/Short Ratio</v>
      </c>
      <c r="CC5" s="29" t="str">
        <f>IFERROR(__xludf.DUMMYFUNCTION("""COMPUTED_VALUE"""),"LeverageFactor")</f>
        <v>LeverageFactor</v>
      </c>
      <c r="CD5" s="29" t="str">
        <f>IFERROR(__xludf.DUMMYFUNCTION("""COMPUTED_VALUE"""),"AllocatedSymbolWiseQuantity")</f>
        <v>AllocatedSymbolWiseQuantity</v>
      </c>
      <c r="CE5" s="29" t="str">
        <f>IFERROR(__xludf.DUMMYFUNCTION("""COMPUTED_VALUE"""),"CurrencyID")</f>
        <v>CurrencyID</v>
      </c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12">
        <v>489180.0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CheckDashboardPM!$4:$4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