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ReplaceSubOrder" sheetId="5" r:id="rId7"/>
    <sheet state="visible" name="CreateReplaceOrder" sheetId="6" r:id="rId8"/>
    <sheet state="visible" name="AddFillsSubOrder" sheetId="7" r:id="rId9"/>
    <sheet state="visible" name="EditAddFillsDetails" sheetId="8" r:id="rId10"/>
    <sheet state="visible" name="VerifySubOrder" sheetId="9" r:id="rId11"/>
    <sheet state="visible" name="VerifyRowCalculationBaseWindow" sheetId="10" r:id="rId12"/>
    <sheet state="visible" name="CheckPortfolioManagement" sheetId="11" r:id="rId13"/>
    <sheet state="visible" name="CheckAllocatedGroups" sheetId="12" r:id="rId14"/>
    <sheet state="visible" name="ReplaceSubOrder1" sheetId="13" r:id="rId15"/>
    <sheet state="visible" name="CreateReplaceOrder1" sheetId="14" r:id="rId16"/>
    <sheet state="visible" name="AddFillsSubOrder1" sheetId="15" r:id="rId17"/>
    <sheet state="visible" name="EditAddFillsDetails1" sheetId="16" r:id="rId18"/>
    <sheet state="visible" name="VerifySubOrder1" sheetId="17" r:id="rId19"/>
    <sheet state="visible" name="CheckAllocatedGroups1" sheetId="18" r:id="rId20"/>
    <sheet state="visible" name="CheckPortfolioManagement1" sheetId="19" r:id="rId21"/>
    <sheet state="visible" name="VerifyRowCalculationBaseWindow1" sheetId="20" r:id="rId22"/>
    <sheet state="visible" name="VerifyRowCalculationBaseWindow2" sheetId="21" r:id="rId23"/>
    <sheet state="visible" name="SelectTradeOnOrderGrid" sheetId="22" r:id="rId24"/>
  </sheets>
  <definedNames/>
  <calcPr/>
</workbook>
</file>

<file path=xl/sharedStrings.xml><?xml version="1.0" encoding="utf-8"?>
<sst xmlns="http://schemas.openxmlformats.org/spreadsheetml/2006/main" count="396" uniqueCount="67">
  <si>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</si>
  <si>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</si>
  <si>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</si>
  <si>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</si>
  <si>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</si>
  <si>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</si>
  <si>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</si>
  <si>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</si>
  <si>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</si>
  <si>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</si>
  <si>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</si>
  <si>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</si>
  <si>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</si>
  <si>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</si>
  <si>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</si>
  <si>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</si>
  <si>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</si>
  <si>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</si>
  <si>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</si>
  <si>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MS</t>
  </si>
  <si>
    <t xml:space="preserve">Yes </t>
  </si>
  <si>
    <t>Blotter</t>
  </si>
  <si>
    <t>ReplaceSubOrder</t>
  </si>
  <si>
    <t>AAPL US EQUITY</t>
  </si>
  <si>
    <t>NASDAQ</t>
  </si>
  <si>
    <t>jpearce</t>
  </si>
  <si>
    <t>US</t>
  </si>
  <si>
    <t>GCCAP1</t>
  </si>
  <si>
    <t>Equity</t>
  </si>
  <si>
    <t>Filled</t>
  </si>
  <si>
    <t>CreateReplaceOrder</t>
  </si>
  <si>
    <t>Yes</t>
  </si>
  <si>
    <t>AddFillsSubOrder</t>
  </si>
  <si>
    <t>Replaced</t>
  </si>
  <si>
    <t>EditAddFillsDetails</t>
  </si>
  <si>
    <t>VerifySubOrder</t>
  </si>
  <si>
    <t>USD</t>
  </si>
  <si>
    <t>NONE</t>
  </si>
  <si>
    <t>DefaultNotes</t>
  </si>
  <si>
    <t>M</t>
  </si>
  <si>
    <t>PartiallyFilled</t>
  </si>
  <si>
    <t>Compliance</t>
  </si>
  <si>
    <t>VerifyRowCalculationBaseWindow</t>
  </si>
  <si>
    <t>Post</t>
  </si>
  <si>
    <t>NewMF</t>
  </si>
  <si>
    <t>InTradeMarket</t>
  </si>
  <si>
    <t>PortfolioManagement</t>
  </si>
  <si>
    <t>CheckPortfolioManagement</t>
  </si>
  <si>
    <t>Long</t>
  </si>
  <si>
    <t>Undefined</t>
  </si>
  <si>
    <t>FIMAT</t>
  </si>
  <si>
    <t>Strategy Unallocated</t>
  </si>
  <si>
    <t>New Hedge</t>
  </si>
  <si>
    <t>Small Cap</t>
  </si>
  <si>
    <t>None</t>
  </si>
  <si>
    <t>Default</t>
  </si>
  <si>
    <t>test1</t>
  </si>
  <si>
    <t>india</t>
  </si>
  <si>
    <t>test 1</t>
  </si>
  <si>
    <t>APPLE</t>
  </si>
  <si>
    <t>Allocation</t>
  </si>
  <si>
    <t>CheckAllocatedGroups</t>
  </si>
  <si>
    <t>Manual</t>
  </si>
  <si>
    <t>Open</t>
  </si>
  <si>
    <t>Market</t>
  </si>
  <si>
    <t>InternalOrder</t>
  </si>
  <si>
    <t>SelectTradeOnOrderGrid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</si>
</sst>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/d/yyyy h:mm:ss am/pm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  <font>
      <sz val="9.0"/>
      <color rgb="FFFF8000"/>
      <name val="&quot;Segoe UI&quot;"/>
    </font>
    <font>
      <sz val="9.0"/>
      <color rgb="FFFF8000"/>
      <name val="Verdana"/>
    </font>
    <font>
      <sz val="9.0"/>
      <color rgb="FF000000"/>
      <name val="Verdana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6" fontId="13" numFmtId="0" xfId="0" applyAlignment="1" applyFill="1" applyFont="1">
      <alignment horizontal="right" readingOrder="0" shrinkToFit="0" vertical="top" wrapText="0"/>
    </xf>
    <xf borderId="5" fillId="6" fontId="14" numFmtId="0" xfId="0" applyAlignment="1" applyBorder="1" applyFont="1">
      <alignment horizontal="right" vertical="top"/>
    </xf>
    <xf borderId="0" fillId="6" fontId="14" numFmtId="0" xfId="0" applyAlignment="1" applyFont="1">
      <alignment horizontal="right" vertical="top"/>
    </xf>
    <xf borderId="0" fillId="6" fontId="14" numFmtId="0" xfId="0" applyAlignment="1" applyFont="1">
      <alignment horizontal="right" vertical="top"/>
    </xf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ont="1">
      <alignment horizontal="right" readingOrder="0" vertical="top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0" fillId="6" fontId="15" numFmtId="0" xfId="0" applyAlignment="1" applyFont="1">
      <alignment horizontal="right" vertical="top"/>
    </xf>
    <xf borderId="0" fillId="6" fontId="16" numFmtId="0" xfId="0" applyAlignment="1" applyFont="1">
      <alignment horizontal="right" vertical="top"/>
    </xf>
    <xf borderId="0" fillId="6" fontId="3" numFmtId="164" xfId="0" applyAlignment="1" applyFont="1" applyNumberFormat="1">
      <alignment vertical="top"/>
    </xf>
    <xf borderId="0" fillId="6" fontId="3" numFmtId="0" xfId="0" applyAlignment="1" applyFont="1">
      <alignment vertical="top"/>
    </xf>
    <xf borderId="0" fillId="6" fontId="13" numFmtId="0" xfId="0" applyAlignment="1" applyFont="1">
      <alignment horizontal="right" readingOrder="0" vertical="top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  <xf borderId="0" fillId="6" fontId="13" numFmtId="0" xfId="0" applyAlignment="1" applyFont="1">
      <alignment horizontal="right" vertical="top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6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17" numFmtId="164" xfId="0" applyAlignment="1" applyFont="1" applyNumberFormat="1">
      <alignment horizontal="right" readingOrder="0" shrinkToFit="0" vertical="bottom" wrapText="0"/>
    </xf>
    <xf borderId="0" fillId="0" fontId="17" numFmtId="0" xfId="0" applyAlignment="1" applyFont="1">
      <alignment readingOrder="0" shrinkToFit="0" vertical="bottom" wrapText="0"/>
    </xf>
    <xf borderId="0" fillId="0" fontId="17" numFmtId="3" xfId="0" applyAlignment="1" applyFont="1" applyNumberFormat="1">
      <alignment horizontal="right"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165" xfId="0" applyAlignment="1" applyFont="1" applyNumberFormat="1">
      <alignment readingOrder="0" shrinkToFit="0" vertical="bottom" wrapText="0"/>
    </xf>
    <xf borderId="0" fillId="0" fontId="17" numFmtId="4" xfId="0" applyAlignment="1" applyFont="1" applyNumberFormat="1">
      <alignment horizontal="right" readingOrder="0" shrinkToFit="0" vertical="bottom" wrapText="0"/>
    </xf>
    <xf borderId="5" fillId="0" fontId="17" numFmtId="0" xfId="0" applyAlignment="1" applyBorder="1" applyFont="1">
      <alignment vertical="bottom"/>
    </xf>
    <xf borderId="5" fillId="0" fontId="17" numFmtId="4" xfId="0" applyAlignment="1" applyBorder="1" applyFont="1" applyNumberFormat="1">
      <alignment horizontal="right" vertical="bottom"/>
    </xf>
    <xf borderId="0" fillId="0" fontId="17" numFmtId="0" xfId="0" applyAlignment="1" applyFont="1">
      <alignment vertical="bottom"/>
    </xf>
    <xf borderId="0" fillId="0" fontId="17" numFmtId="4" xfId="0" applyAlignment="1" applyFont="1" applyNumberFormat="1">
      <alignment horizontal="right" vertical="bottom"/>
    </xf>
    <xf borderId="0" fillId="0" fontId="3" numFmtId="165" xfId="0" applyAlignment="1" applyFont="1" applyNumberFormat="1">
      <alignment vertical="bottom"/>
    </xf>
    <xf borderId="0" fillId="0" fontId="17" numFmtId="0" xfId="0" applyAlignment="1" applyFont="1">
      <alignment horizontal="center" vertical="bottom"/>
    </xf>
    <xf borderId="0" fillId="0" fontId="3" numFmtId="164" xfId="0" applyAlignment="1" applyFont="1" applyNumberFormat="1">
      <alignment vertical="bottom"/>
    </xf>
    <xf borderId="0" fillId="6" fontId="3" numFmtId="0" xfId="0" applyAlignment="1" applyFont="1">
      <alignment vertical="top"/>
    </xf>
    <xf borderId="5" fillId="0" fontId="3" numFmtId="164" xfId="0" applyAlignment="1" applyBorder="1" applyFont="1" applyNumberFormat="1">
      <alignment vertical="bottom"/>
    </xf>
    <xf borderId="5" fillId="0" fontId="17" numFmtId="3" xfId="0" applyAlignment="1" applyBorder="1" applyFont="1" applyNumberFormat="1">
      <alignment horizontal="right" vertical="bottom"/>
    </xf>
    <xf borderId="5" fillId="0" fontId="17" numFmtId="0" xfId="0" applyAlignment="1" applyBorder="1" applyFont="1">
      <alignment horizontal="right" vertical="bottom"/>
    </xf>
    <xf borderId="0" fillId="0" fontId="17" numFmtId="0" xfId="0" applyAlignment="1" applyFont="1">
      <alignment horizontal="right" vertical="bottom"/>
    </xf>
    <xf borderId="0" fillId="0" fontId="17" numFmtId="3" xfId="0" applyAlignment="1" applyFont="1" applyNumberFormat="1">
      <alignment horizontal="right" vertical="bottom"/>
    </xf>
    <xf borderId="6" fillId="0" fontId="5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18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2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8.png"/><Relationship Id="rId2" Type="http://schemas.openxmlformats.org/officeDocument/2006/relationships/image" Target="../media/image28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4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3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IFERROR(__xludf.DUMMYFUNCTION("""COMPUTED_VALUE"""),"Rate(%)")</f>
        <v>Rate(%)</v>
      </c>
      <c r="AS5" s="30" t="str">
        <f>IFERROR(__xludf.DUMMYFUNCTION("""COMPUTED_VALUE"""),"SharesOutstandingPopUpQty")</f>
        <v>SharesOutstandingPopUpQty</v>
      </c>
      <c r="AT5" s="30" t="str">
        <f>IFERROR(__xludf.DUMMYFUNCTION("""COMPUTED_VALUE"""),"SharesOutstandingPopUp")</f>
        <v>SharesOutstandingPopUp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 t="s">
        <v>17</v>
      </c>
      <c r="D6" s="34">
        <v>1000.0</v>
      </c>
      <c r="E6" s="35">
        <v>1000.0</v>
      </c>
      <c r="F6" s="33" t="s">
        <v>18</v>
      </c>
      <c r="G6" s="33" t="s">
        <v>19</v>
      </c>
      <c r="H6" s="33"/>
      <c r="I6" s="33"/>
      <c r="J6" s="35">
        <v>1.0</v>
      </c>
      <c r="K6" s="33"/>
      <c r="L6" s="33"/>
      <c r="M6" s="33"/>
      <c r="N6" s="36">
        <f>today()</f>
        <v>44544</v>
      </c>
      <c r="O6" s="33"/>
      <c r="P6" s="33"/>
      <c r="Q6" s="33"/>
      <c r="R6" s="33"/>
      <c r="S6" s="33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 t="s">
        <v>20</v>
      </c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38" t="s">
        <v>23</v>
      </c>
      <c r="F6" s="8"/>
      <c r="H6" s="39" t="s">
        <v>24</v>
      </c>
      <c r="I6" s="39" t="s">
        <v>25</v>
      </c>
      <c r="J6" s="39" t="s">
        <v>16</v>
      </c>
      <c r="K6" s="39" t="s">
        <v>26</v>
      </c>
      <c r="L6" s="39" t="s">
        <v>27</v>
      </c>
      <c r="M6" s="8"/>
      <c r="N6" s="8"/>
      <c r="O6" s="8"/>
      <c r="AI6" s="40" t="s">
        <v>28</v>
      </c>
      <c r="AJ6" s="41" t="s">
        <v>16</v>
      </c>
      <c r="AK6" s="41" t="s">
        <v>17</v>
      </c>
      <c r="AL6" s="41" t="s">
        <v>29</v>
      </c>
      <c r="AM6" s="41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2000.0</v>
      </c>
      <c r="E6" s="42"/>
      <c r="F6" s="8"/>
      <c r="G6" s="8"/>
      <c r="H6" s="8"/>
      <c r="I6" s="8"/>
      <c r="J6" s="13">
        <v>1.0</v>
      </c>
      <c r="K6" s="8"/>
      <c r="L6" s="8"/>
      <c r="M6" s="8"/>
      <c r="N6" s="8"/>
      <c r="O6" s="8"/>
      <c r="AO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8"/>
      <c r="D6" s="13" t="s">
        <v>16</v>
      </c>
      <c r="E6" s="38"/>
      <c r="F6" s="13" t="s">
        <v>17</v>
      </c>
      <c r="G6" s="43" t="s">
        <v>33</v>
      </c>
      <c r="H6" s="43">
        <v>1000.0</v>
      </c>
      <c r="I6" s="39"/>
      <c r="J6" s="39"/>
      <c r="K6" s="39"/>
      <c r="L6" s="8"/>
      <c r="M6" s="8"/>
      <c r="N6" s="8"/>
      <c r="O6" s="8"/>
      <c r="AI6" s="40"/>
      <c r="AJ6" s="41"/>
      <c r="AK6" s="41"/>
      <c r="AL6" s="41"/>
      <c r="AM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AddFillsSubOrder!$4:$4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1200.0</v>
      </c>
      <c r="C6" s="13">
        <v>1.0</v>
      </c>
      <c r="D6" s="13" t="b">
        <v>0</v>
      </c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>
        <v>200.0</v>
      </c>
      <c r="C7" s="13">
        <v>1.0</v>
      </c>
      <c r="D7" s="13" t="b">
        <v>1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EditAddFillsDetails!$4:$4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4">
        <v>1.0</v>
      </c>
      <c r="E6" s="39" t="s">
        <v>23</v>
      </c>
      <c r="F6" s="33"/>
      <c r="G6" s="44">
        <v>600.0</v>
      </c>
      <c r="H6" s="39" t="s">
        <v>24</v>
      </c>
      <c r="I6" s="39" t="s">
        <v>25</v>
      </c>
      <c r="J6" s="39" t="s">
        <v>16</v>
      </c>
      <c r="K6" s="39" t="s">
        <v>26</v>
      </c>
      <c r="L6" s="39" t="s">
        <v>27</v>
      </c>
      <c r="M6" s="33"/>
      <c r="N6" s="33"/>
      <c r="O6" s="33"/>
      <c r="P6" s="33"/>
      <c r="Q6" s="33"/>
      <c r="R6" s="33"/>
      <c r="S6" s="45">
        <v>0.0</v>
      </c>
      <c r="T6" s="41">
        <v>0.0</v>
      </c>
      <c r="U6" s="46" t="s">
        <v>36</v>
      </c>
      <c r="V6" s="47" t="s">
        <v>37</v>
      </c>
      <c r="W6" s="41"/>
      <c r="X6" s="41">
        <v>0.0</v>
      </c>
      <c r="Y6" s="41"/>
      <c r="Z6" s="41"/>
      <c r="AA6" s="41"/>
      <c r="AB6" s="41"/>
      <c r="AC6" s="41" t="s">
        <v>38</v>
      </c>
      <c r="AD6" s="41">
        <v>1.0</v>
      </c>
      <c r="AE6" s="48"/>
      <c r="AF6" s="41" t="s">
        <v>39</v>
      </c>
      <c r="AG6" s="41"/>
      <c r="AH6" s="41" t="s">
        <v>28</v>
      </c>
      <c r="AI6" s="41" t="s">
        <v>16</v>
      </c>
      <c r="AJ6" s="41" t="s">
        <v>17</v>
      </c>
      <c r="AK6" s="49" t="s">
        <v>40</v>
      </c>
      <c r="AL6" s="50">
        <v>2000.0</v>
      </c>
      <c r="AM6" s="50">
        <v>1400.0</v>
      </c>
      <c r="AN6" s="37"/>
      <c r="AO6" s="37"/>
      <c r="AP6" s="37"/>
      <c r="AQ6" s="51"/>
      <c r="AR6" s="37" t="s">
        <v>18</v>
      </c>
      <c r="AS6" s="37"/>
      <c r="AT6" s="50">
        <v>1400.0</v>
      </c>
      <c r="AU6" s="50">
        <v>1400.0</v>
      </c>
      <c r="AV6" s="37"/>
      <c r="AW6" s="37"/>
      <c r="AX6" s="52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3"/>
      <c r="B8" s="33"/>
      <c r="C8" s="33"/>
      <c r="D8" s="35"/>
      <c r="E8" s="39"/>
      <c r="F8" s="33"/>
      <c r="G8" s="45"/>
      <c r="H8" s="39"/>
      <c r="I8" s="39"/>
      <c r="J8" s="39"/>
      <c r="K8" s="39"/>
      <c r="L8" s="39"/>
      <c r="M8" s="33"/>
      <c r="N8" s="33"/>
      <c r="O8" s="33"/>
      <c r="P8" s="33"/>
      <c r="Q8" s="33"/>
      <c r="R8" s="33"/>
      <c r="S8" s="45"/>
      <c r="T8" s="41"/>
      <c r="U8" s="46"/>
      <c r="V8" s="47"/>
      <c r="W8" s="41"/>
      <c r="X8" s="41"/>
      <c r="Y8" s="41"/>
      <c r="Z8" s="41"/>
      <c r="AA8" s="41"/>
      <c r="AB8" s="41"/>
      <c r="AC8" s="41"/>
      <c r="AD8" s="41"/>
      <c r="AE8" s="48"/>
      <c r="AF8" s="41"/>
      <c r="AG8" s="41"/>
      <c r="AH8" s="41"/>
      <c r="AI8" s="41"/>
      <c r="AJ8" s="41"/>
      <c r="AK8" s="49"/>
      <c r="AL8" s="53"/>
      <c r="AM8" s="53"/>
      <c r="AN8" s="37"/>
      <c r="AO8" s="37"/>
      <c r="AP8" s="37"/>
      <c r="AQ8" s="37"/>
      <c r="AR8" s="37"/>
      <c r="AS8" s="37"/>
      <c r="AT8" s="53"/>
      <c r="AU8" s="53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2"/>
      <c r="E6" s="33"/>
      <c r="F6" s="33"/>
      <c r="G6" s="33"/>
      <c r="H6" s="33" t="s">
        <v>16</v>
      </c>
      <c r="I6" s="35">
        <v>0.0</v>
      </c>
      <c r="J6" s="54">
        <v>1400.0</v>
      </c>
      <c r="K6" s="54">
        <v>1400.0</v>
      </c>
      <c r="L6" s="54">
        <v>1400.0</v>
      </c>
      <c r="M6" s="33" t="s">
        <v>43</v>
      </c>
      <c r="N6" s="33"/>
      <c r="O6" s="33" t="s">
        <v>17</v>
      </c>
      <c r="P6" s="33"/>
      <c r="Q6" s="33"/>
      <c r="R6" s="33" t="s">
        <v>44</v>
      </c>
      <c r="S6" s="33"/>
      <c r="T6" s="37" t="s">
        <v>18</v>
      </c>
      <c r="U6" s="37" t="s">
        <v>18</v>
      </c>
      <c r="V6" s="37"/>
      <c r="W6" s="37"/>
      <c r="X6" s="37"/>
      <c r="Y6" s="37"/>
      <c r="Z6" s="37"/>
      <c r="AA6" s="37"/>
      <c r="AB6" s="35">
        <v>1400.0</v>
      </c>
      <c r="AC6" s="37"/>
      <c r="AD6" s="35">
        <v>1400.0</v>
      </c>
      <c r="AE6" s="55">
        <v>0.0</v>
      </c>
      <c r="AF6" s="37"/>
      <c r="AG6" s="35">
        <v>1400.0</v>
      </c>
      <c r="AH6" s="35">
        <v>1400.0</v>
      </c>
      <c r="AI6" s="37"/>
      <c r="AJ6" s="37" t="s">
        <v>28</v>
      </c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55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55"/>
      <c r="BR6" s="55"/>
      <c r="BS6" s="37"/>
      <c r="BT6" s="55"/>
      <c r="BU6" s="37"/>
      <c r="BV6" s="55">
        <v>1.0</v>
      </c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3"/>
      <c r="C7" s="33"/>
      <c r="D7" s="33"/>
      <c r="E7" s="33"/>
      <c r="F7" s="33"/>
      <c r="G7" s="33"/>
      <c r="H7" s="33" t="s">
        <v>16</v>
      </c>
      <c r="I7" s="35">
        <v>0.0</v>
      </c>
      <c r="J7" s="54">
        <v>600.0</v>
      </c>
      <c r="K7" s="54">
        <v>600.0</v>
      </c>
      <c r="L7" s="54">
        <v>600.0</v>
      </c>
      <c r="M7" s="13" t="s">
        <v>45</v>
      </c>
      <c r="N7" s="33"/>
      <c r="O7" s="33" t="s">
        <v>17</v>
      </c>
      <c r="P7" s="33"/>
      <c r="Q7" s="33"/>
      <c r="R7" s="33" t="s">
        <v>44</v>
      </c>
      <c r="S7" s="33"/>
      <c r="T7" s="37" t="s">
        <v>18</v>
      </c>
      <c r="U7" s="37" t="s">
        <v>18</v>
      </c>
      <c r="V7" s="37"/>
      <c r="W7" s="37"/>
      <c r="X7" s="37"/>
      <c r="Y7" s="37"/>
      <c r="Z7" s="37"/>
      <c r="AA7" s="37"/>
      <c r="AB7" s="56">
        <v>600.0</v>
      </c>
      <c r="AC7" s="37"/>
      <c r="AD7" s="56">
        <v>600.0</v>
      </c>
      <c r="AE7" s="55">
        <v>0.0</v>
      </c>
      <c r="AF7" s="37"/>
      <c r="AG7" s="56">
        <v>600.0</v>
      </c>
      <c r="AH7" s="56">
        <v>600.0</v>
      </c>
      <c r="AI7" s="37"/>
      <c r="AJ7" s="37" t="s">
        <v>28</v>
      </c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55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55"/>
      <c r="BR7" s="55"/>
      <c r="BS7" s="37"/>
      <c r="BT7" s="55"/>
      <c r="BU7" s="37"/>
      <c r="BV7" s="55">
        <v>1.0</v>
      </c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33"/>
      <c r="B10" s="33"/>
      <c r="C10" s="33"/>
      <c r="D10" s="33"/>
      <c r="E10" s="33"/>
      <c r="F10" s="33"/>
      <c r="G10" s="33"/>
      <c r="H10" s="33"/>
      <c r="I10" s="35"/>
      <c r="J10" s="35"/>
      <c r="K10" s="35"/>
      <c r="L10" s="35"/>
      <c r="M10" s="57"/>
      <c r="N10" s="33"/>
      <c r="O10" s="33"/>
      <c r="P10" s="33"/>
      <c r="Q10" s="33"/>
      <c r="R10" s="33"/>
      <c r="S10" s="33"/>
      <c r="T10" s="37"/>
      <c r="U10" s="37"/>
      <c r="V10" s="37"/>
      <c r="W10" s="37"/>
      <c r="X10" s="37"/>
      <c r="Y10" s="37"/>
      <c r="Z10" s="37"/>
      <c r="AA10" s="33"/>
      <c r="AB10" s="35"/>
      <c r="AC10" s="33"/>
      <c r="AD10" s="35"/>
      <c r="AE10" s="55"/>
      <c r="AF10" s="33"/>
      <c r="AG10" s="35"/>
      <c r="AH10" s="35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55"/>
      <c r="AZ10" s="37"/>
      <c r="BA10" s="37"/>
      <c r="BB10" s="37"/>
      <c r="BC10" s="37"/>
      <c r="BD10" s="37"/>
      <c r="BE10" s="37"/>
      <c r="BF10" s="37"/>
      <c r="BG10" s="37"/>
      <c r="BH10" s="37"/>
      <c r="BI10" s="37"/>
      <c r="BJ10" s="37"/>
      <c r="BK10" s="37"/>
      <c r="BL10" s="37"/>
      <c r="BM10" s="37"/>
      <c r="BN10" s="37"/>
      <c r="BO10" s="37"/>
      <c r="BP10" s="37"/>
      <c r="BQ10" s="55"/>
      <c r="BR10" s="55"/>
      <c r="BS10" s="37"/>
      <c r="BT10" s="55"/>
      <c r="BU10" s="37"/>
      <c r="BV10" s="55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37"/>
      <c r="ET10" s="37"/>
      <c r="EU10" s="37"/>
      <c r="EV10" s="37"/>
      <c r="EW10" s="37"/>
      <c r="EX10" s="37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ITM/OTM")</f>
        <v>% of ITM/OTM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13"/>
      <c r="B6" s="58"/>
      <c r="C6" s="59" t="s">
        <v>16</v>
      </c>
      <c r="D6" s="60">
        <v>1400.0</v>
      </c>
      <c r="E6" s="59" t="s">
        <v>18</v>
      </c>
      <c r="F6" s="59" t="s">
        <v>44</v>
      </c>
      <c r="G6" s="61">
        <v>1.0</v>
      </c>
      <c r="H6" s="59" t="s">
        <v>48</v>
      </c>
      <c r="I6" s="61">
        <v>0.0</v>
      </c>
      <c r="J6" s="61">
        <v>0.0</v>
      </c>
      <c r="K6" s="61">
        <v>0.0</v>
      </c>
      <c r="L6" s="61">
        <v>0.0</v>
      </c>
      <c r="M6" s="61">
        <v>0.0</v>
      </c>
      <c r="N6" s="60">
        <v>-1400.0</v>
      </c>
      <c r="O6" s="59"/>
      <c r="P6" s="59" t="s">
        <v>49</v>
      </c>
      <c r="Q6" s="60">
        <v>-1400.0</v>
      </c>
      <c r="R6" s="59" t="s">
        <v>50</v>
      </c>
      <c r="S6" s="59" t="s">
        <v>51</v>
      </c>
      <c r="T6" s="59" t="s">
        <v>28</v>
      </c>
      <c r="U6" s="59" t="s">
        <v>26</v>
      </c>
      <c r="V6" s="59" t="s">
        <v>24</v>
      </c>
      <c r="W6" s="59" t="s">
        <v>36</v>
      </c>
      <c r="X6" s="61">
        <v>1.0</v>
      </c>
      <c r="Y6" s="61">
        <v>1.0</v>
      </c>
      <c r="Z6" s="62"/>
      <c r="AA6" s="62"/>
      <c r="AB6" s="61">
        <v>0.0</v>
      </c>
      <c r="AC6" s="61">
        <v>0.0</v>
      </c>
      <c r="AD6" s="61">
        <v>0.0</v>
      </c>
      <c r="AE6" s="61">
        <v>0.0</v>
      </c>
      <c r="AF6" s="60">
        <v>1400.0</v>
      </c>
      <c r="AG6" s="61">
        <v>0.0</v>
      </c>
      <c r="AH6" s="61">
        <v>0.0</v>
      </c>
      <c r="AI6" s="61">
        <v>0.0</v>
      </c>
      <c r="AJ6" s="61">
        <v>0.0</v>
      </c>
      <c r="AK6" s="60">
        <v>-1400.0</v>
      </c>
      <c r="AL6" s="61">
        <v>1.0</v>
      </c>
      <c r="AM6" s="61">
        <v>1.0</v>
      </c>
      <c r="AN6" s="59" t="s">
        <v>17</v>
      </c>
      <c r="AO6" s="62"/>
      <c r="AP6" s="59" t="s">
        <v>48</v>
      </c>
      <c r="AQ6" s="59" t="s">
        <v>16</v>
      </c>
      <c r="AR6" s="61">
        <v>0.0</v>
      </c>
      <c r="AS6" s="61">
        <v>1.0</v>
      </c>
      <c r="AT6" s="62"/>
      <c r="AU6" s="59" t="s">
        <v>38</v>
      </c>
      <c r="AV6" s="61">
        <v>1.0</v>
      </c>
      <c r="AW6" s="60">
        <v>-1400.0</v>
      </c>
      <c r="AX6" s="61">
        <v>0.0</v>
      </c>
      <c r="AY6" s="61">
        <v>0.0</v>
      </c>
      <c r="AZ6" s="61">
        <v>0.0</v>
      </c>
      <c r="BA6" s="61">
        <v>-100.0</v>
      </c>
      <c r="BB6" s="63"/>
      <c r="BC6" s="61">
        <v>1.0</v>
      </c>
      <c r="BD6" s="60">
        <v>-1400.0</v>
      </c>
      <c r="BE6" s="59" t="s">
        <v>28</v>
      </c>
      <c r="BF6" s="59" t="s">
        <v>52</v>
      </c>
      <c r="BG6" s="59" t="s">
        <v>53</v>
      </c>
      <c r="BH6" s="59" t="s">
        <v>49</v>
      </c>
      <c r="BI6" s="61">
        <v>5.0</v>
      </c>
      <c r="BJ6" s="61">
        <v>0.0</v>
      </c>
      <c r="BK6" s="61">
        <v>0.0</v>
      </c>
      <c r="BL6" s="61">
        <v>0.0</v>
      </c>
      <c r="BM6" s="61">
        <v>0.0</v>
      </c>
      <c r="BN6" s="63"/>
      <c r="BO6" s="60">
        <v>-1400.0</v>
      </c>
      <c r="BP6" s="61">
        <v>0.0</v>
      </c>
      <c r="BQ6" s="59" t="s">
        <v>25</v>
      </c>
      <c r="BR6" s="59" t="s">
        <v>19</v>
      </c>
      <c r="BS6" s="61">
        <v>0.0</v>
      </c>
      <c r="BT6" s="61">
        <v>0.0</v>
      </c>
      <c r="BU6" s="59" t="s">
        <v>28</v>
      </c>
      <c r="BV6" s="61"/>
      <c r="BW6" s="61">
        <v>0.0</v>
      </c>
      <c r="BX6" s="61">
        <v>0.0</v>
      </c>
      <c r="BY6" s="61">
        <v>0.0</v>
      </c>
      <c r="BZ6" s="61">
        <v>0.0</v>
      </c>
      <c r="CA6" s="61">
        <v>0.0</v>
      </c>
      <c r="CB6" s="58"/>
      <c r="CC6" s="61">
        <v>0.0</v>
      </c>
      <c r="CD6" s="60">
        <v>-1400.0</v>
      </c>
      <c r="CE6" s="61">
        <v>0.0</v>
      </c>
      <c r="CF6" s="61">
        <v>0.0</v>
      </c>
      <c r="CG6" s="60">
        <v>-1400.0</v>
      </c>
      <c r="CH6" s="61">
        <v>-100.0</v>
      </c>
      <c r="CI6" s="61">
        <v>0.0</v>
      </c>
      <c r="CJ6" s="61">
        <v>0.0</v>
      </c>
      <c r="CK6" s="59" t="b">
        <v>0</v>
      </c>
      <c r="CL6" s="62"/>
      <c r="CM6" s="62"/>
      <c r="CN6" s="59" t="s">
        <v>16</v>
      </c>
      <c r="CO6" s="59" t="s">
        <v>16</v>
      </c>
      <c r="CP6" s="59" t="s">
        <v>23</v>
      </c>
      <c r="CQ6" s="62"/>
      <c r="CR6" s="58"/>
      <c r="CS6" s="61">
        <v>1.0</v>
      </c>
      <c r="CT6" s="62"/>
      <c r="CU6" s="62"/>
      <c r="CV6" s="62"/>
      <c r="CW6" s="62"/>
      <c r="CX6" s="62"/>
      <c r="CY6" s="59" t="s">
        <v>54</v>
      </c>
      <c r="CZ6" s="59" t="s">
        <v>55</v>
      </c>
      <c r="DA6" s="61">
        <v>0.0</v>
      </c>
      <c r="DB6" s="61">
        <v>0.0</v>
      </c>
      <c r="DC6" s="63"/>
      <c r="DD6" s="60">
        <v>1400.0</v>
      </c>
      <c r="DE6" s="61">
        <v>0.0</v>
      </c>
      <c r="DF6" s="61">
        <v>0.0</v>
      </c>
      <c r="DG6" s="61">
        <v>0.0</v>
      </c>
      <c r="DH6" s="59" t="s">
        <v>49</v>
      </c>
      <c r="DI6" s="61">
        <v>0.0</v>
      </c>
      <c r="DJ6" s="59" t="s">
        <v>17</v>
      </c>
      <c r="DK6" s="61">
        <v>0.0</v>
      </c>
      <c r="DL6" s="61">
        <v>0.0</v>
      </c>
      <c r="DM6" s="61">
        <v>1.0</v>
      </c>
      <c r="DN6" s="61">
        <v>0.0</v>
      </c>
      <c r="DO6" s="62"/>
      <c r="DP6" s="59" t="s">
        <v>48</v>
      </c>
      <c r="DQ6" s="59" t="s">
        <v>56</v>
      </c>
      <c r="DR6" s="59" t="s">
        <v>57</v>
      </c>
      <c r="DS6" s="59" t="s">
        <v>56</v>
      </c>
      <c r="DT6" s="59" t="s">
        <v>56</v>
      </c>
      <c r="DU6" s="59" t="s">
        <v>58</v>
      </c>
      <c r="DV6" s="59" t="s">
        <v>56</v>
      </c>
      <c r="DW6" s="59" t="s">
        <v>56</v>
      </c>
      <c r="DX6" s="59" t="s">
        <v>56</v>
      </c>
      <c r="DY6" s="59" t="s">
        <v>56</v>
      </c>
      <c r="DZ6" s="59" t="s">
        <v>59</v>
      </c>
      <c r="EA6" s="59" t="s">
        <v>58</v>
      </c>
      <c r="EB6" s="59" t="s">
        <v>56</v>
      </c>
      <c r="EC6" s="59" t="s">
        <v>56</v>
      </c>
      <c r="ED6" s="59" t="s">
        <v>36</v>
      </c>
      <c r="EE6" s="59" t="s">
        <v>31</v>
      </c>
      <c r="EF6" s="61">
        <v>0.0</v>
      </c>
      <c r="EG6" s="61">
        <v>0.0</v>
      </c>
      <c r="EH6" s="61">
        <v>0.0</v>
      </c>
      <c r="EI6" s="61">
        <v>0.0</v>
      </c>
      <c r="EJ6" s="61">
        <v>0.0</v>
      </c>
      <c r="EK6" s="61">
        <v>0.0</v>
      </c>
      <c r="EL6" s="59" t="s">
        <v>48</v>
      </c>
      <c r="EM6" s="61">
        <v>0.0</v>
      </c>
      <c r="EN6" s="61">
        <v>0.0</v>
      </c>
      <c r="EO6" s="61">
        <v>0.0</v>
      </c>
      <c r="EP6" s="61">
        <v>0.0</v>
      </c>
      <c r="EQ6" s="61">
        <v>0.0</v>
      </c>
      <c r="ER6" s="61">
        <v>0.0</v>
      </c>
      <c r="ES6" s="60">
        <v>-1400.0</v>
      </c>
      <c r="ET6" s="61">
        <v>0.0</v>
      </c>
      <c r="EU6" s="61">
        <v>0.0</v>
      </c>
      <c r="EV6" s="59" t="s">
        <v>48</v>
      </c>
      <c r="EW6" s="60">
        <v>-1400.0</v>
      </c>
      <c r="EX6" s="59" t="b">
        <v>0</v>
      </c>
      <c r="EY6" s="59"/>
      <c r="EZ6" s="61"/>
      <c r="FA6" s="61"/>
      <c r="FB6" s="6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9" t="s">
        <v>18</v>
      </c>
      <c r="C6" s="59"/>
      <c r="D6" s="61"/>
      <c r="E6" s="64">
        <v>1400.0</v>
      </c>
      <c r="F6" s="59" t="s">
        <v>62</v>
      </c>
      <c r="G6" s="59" t="s">
        <v>28</v>
      </c>
      <c r="H6" s="61">
        <v>4.0</v>
      </c>
      <c r="I6" s="61">
        <v>5.0</v>
      </c>
      <c r="J6" s="61">
        <v>1.0</v>
      </c>
      <c r="K6" s="61">
        <v>1.0</v>
      </c>
      <c r="L6" s="61">
        <v>1.0</v>
      </c>
      <c r="M6" s="59" t="s">
        <v>23</v>
      </c>
      <c r="N6" s="59"/>
      <c r="O6" s="59" t="s">
        <v>19</v>
      </c>
      <c r="P6" s="62"/>
      <c r="Q6" s="61">
        <v>3.0</v>
      </c>
      <c r="R6" s="61">
        <v>0.0</v>
      </c>
      <c r="S6" s="59" t="s">
        <v>63</v>
      </c>
      <c r="T6" s="61">
        <v>0.0</v>
      </c>
      <c r="U6" s="61">
        <v>0.0</v>
      </c>
      <c r="V6" s="59"/>
      <c r="W6" s="61"/>
      <c r="X6" s="61"/>
      <c r="Y6" s="62"/>
      <c r="Z6" s="59" t="s">
        <v>36</v>
      </c>
      <c r="AA6" s="59"/>
      <c r="AB6" s="61">
        <v>1.0</v>
      </c>
      <c r="AC6" s="62"/>
      <c r="AD6" s="59" t="s">
        <v>24</v>
      </c>
      <c r="AE6" s="64">
        <v>1400.0</v>
      </c>
      <c r="AF6" s="63"/>
      <c r="AG6" s="63"/>
      <c r="AH6" s="59" t="s">
        <v>39</v>
      </c>
      <c r="AI6" s="61">
        <v>1.0</v>
      </c>
      <c r="AJ6" s="59" t="s">
        <v>54</v>
      </c>
      <c r="AK6" s="62"/>
      <c r="AL6" s="62"/>
      <c r="AM6" s="59" t="s">
        <v>38</v>
      </c>
      <c r="AN6" s="59" t="b">
        <v>0</v>
      </c>
      <c r="AO6" s="62"/>
      <c r="AP6" s="59" t="b">
        <v>1</v>
      </c>
      <c r="AQ6" s="59" t="b">
        <v>0</v>
      </c>
      <c r="AR6" s="59" t="b">
        <v>1</v>
      </c>
      <c r="AS6" s="61"/>
      <c r="AT6" s="64">
        <v>1414.0012</v>
      </c>
      <c r="AU6" s="64">
        <v>1414.0012</v>
      </c>
      <c r="AV6" s="58"/>
      <c r="AW6" s="61"/>
      <c r="AX6" s="61"/>
      <c r="AY6" s="59" t="s">
        <v>64</v>
      </c>
      <c r="AZ6" s="61">
        <v>0.0</v>
      </c>
      <c r="BA6" s="58"/>
      <c r="BB6" s="62"/>
      <c r="BC6" s="61">
        <v>0.0</v>
      </c>
      <c r="BD6" s="59" t="s">
        <v>65</v>
      </c>
      <c r="BE6" s="64">
        <v>1400.0</v>
      </c>
      <c r="BF6" s="64">
        <v>1400.0</v>
      </c>
      <c r="BG6" s="58"/>
      <c r="BH6" s="62"/>
      <c r="BI6" s="62"/>
      <c r="BJ6" s="64">
        <v>2000.0</v>
      </c>
      <c r="BK6" s="61">
        <v>0.0</v>
      </c>
      <c r="BL6" s="59"/>
      <c r="BM6" s="59" t="s">
        <v>36</v>
      </c>
      <c r="BN6" s="58"/>
      <c r="BO6" s="59" t="s">
        <v>17</v>
      </c>
      <c r="BP6" s="61">
        <v>0.0</v>
      </c>
      <c r="BR6" s="61">
        <v>0.0012</v>
      </c>
      <c r="BS6" s="59" t="s">
        <v>51</v>
      </c>
      <c r="BT6" s="59" t="s">
        <v>16</v>
      </c>
      <c r="BU6" s="61">
        <v>3.0</v>
      </c>
      <c r="BV6" s="61">
        <v>0.0</v>
      </c>
      <c r="BW6" s="61">
        <v>14.0012</v>
      </c>
      <c r="BX6" s="61">
        <v>0.0</v>
      </c>
      <c r="CF6" s="59" t="s">
        <v>27</v>
      </c>
      <c r="CG6" s="61">
        <v>2.0</v>
      </c>
      <c r="CH6" s="59" t="s">
        <v>12</v>
      </c>
      <c r="CI6" s="59" t="s">
        <v>17</v>
      </c>
      <c r="CJ6" s="61">
        <v>0.0</v>
      </c>
      <c r="CK6" s="59" t="s">
        <v>26</v>
      </c>
      <c r="CL6" s="61">
        <v>1.0</v>
      </c>
      <c r="CM6" s="59" t="s">
        <v>16</v>
      </c>
      <c r="CN6" s="59" t="s">
        <v>25</v>
      </c>
      <c r="CO6" s="59" t="s">
        <v>24</v>
      </c>
      <c r="CP6" s="59" t="s">
        <v>37</v>
      </c>
      <c r="CQ6" s="62"/>
      <c r="CR6" s="62"/>
      <c r="CS6" s="61"/>
      <c r="CT6" s="62"/>
      <c r="CU6" s="62"/>
      <c r="CV6" s="58"/>
      <c r="CW6" s="63"/>
      <c r="CX6" s="62"/>
      <c r="CY6" s="62"/>
      <c r="CZ6" s="61"/>
      <c r="DA6" s="62"/>
      <c r="DB6" s="61"/>
      <c r="DC6" s="62"/>
      <c r="DD6" s="5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7"/>
      <c r="B8" s="65"/>
      <c r="C8" s="65"/>
      <c r="D8" s="33"/>
      <c r="E8" s="66"/>
      <c r="F8" s="65"/>
      <c r="G8" s="65"/>
      <c r="H8" s="33"/>
      <c r="I8" s="33"/>
      <c r="J8" s="33"/>
      <c r="K8" s="33"/>
      <c r="L8" s="33"/>
      <c r="M8" s="65"/>
      <c r="N8" s="65"/>
      <c r="O8" s="65"/>
      <c r="P8" s="33"/>
      <c r="Q8" s="33"/>
      <c r="R8" s="33"/>
      <c r="S8" s="65"/>
      <c r="T8" s="37"/>
      <c r="U8" s="37"/>
      <c r="V8" s="67"/>
      <c r="W8" s="37"/>
      <c r="X8" s="37"/>
      <c r="Y8" s="37"/>
      <c r="Z8" s="67"/>
      <c r="AA8" s="67"/>
      <c r="AB8" s="37"/>
      <c r="AC8" s="67"/>
      <c r="AD8" s="67"/>
      <c r="AE8" s="68"/>
      <c r="AF8" s="69"/>
      <c r="AG8" s="69"/>
      <c r="AH8" s="67"/>
      <c r="AI8" s="37"/>
      <c r="AJ8" s="67"/>
      <c r="AK8" s="37"/>
      <c r="AL8" s="37"/>
      <c r="AM8" s="67"/>
      <c r="AN8" s="70"/>
      <c r="AO8" s="37"/>
      <c r="AP8" s="70"/>
      <c r="AQ8" s="70"/>
      <c r="AR8" s="70"/>
      <c r="AS8" s="37"/>
      <c r="AT8" s="68"/>
      <c r="AU8" s="68"/>
      <c r="AV8" s="71"/>
      <c r="AW8" s="37"/>
      <c r="AX8" s="37"/>
      <c r="AY8" s="67"/>
      <c r="AZ8" s="37"/>
      <c r="BA8" s="71"/>
      <c r="BB8" s="37"/>
      <c r="BC8" s="37"/>
      <c r="BD8" s="67"/>
      <c r="BE8" s="68"/>
      <c r="BF8" s="68"/>
      <c r="BG8" s="71"/>
      <c r="BH8" s="37"/>
      <c r="BI8" s="37"/>
      <c r="BJ8" s="68"/>
      <c r="BK8" s="37"/>
      <c r="BL8" s="67"/>
      <c r="BM8" s="67"/>
      <c r="BN8" s="71"/>
      <c r="BO8" s="67"/>
      <c r="BP8" s="37"/>
      <c r="BQ8" s="37"/>
      <c r="BR8" s="37"/>
      <c r="BS8" s="67"/>
      <c r="BT8" s="6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67"/>
      <c r="CG8" s="37"/>
      <c r="CH8" s="67"/>
      <c r="CI8" s="67"/>
      <c r="CJ8" s="37"/>
      <c r="CK8" s="67"/>
      <c r="CL8" s="37"/>
      <c r="CM8" s="67"/>
      <c r="CN8" s="67"/>
      <c r="CO8" s="67"/>
      <c r="CP8" s="67"/>
      <c r="CQ8" s="37"/>
      <c r="CR8" s="37"/>
      <c r="CS8" s="37"/>
      <c r="CT8" s="37"/>
      <c r="CU8" s="37"/>
      <c r="CV8" s="71"/>
      <c r="CW8" s="69"/>
      <c r="CX8" s="37"/>
      <c r="CY8" s="37"/>
      <c r="CZ8" s="37"/>
      <c r="DA8" s="37"/>
      <c r="DB8" s="37"/>
      <c r="DC8" s="37"/>
      <c r="DD8" s="6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FxRate Operator")</f>
        <v>Settlement FxRate Operator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IFERROR(__xludf.DUMMYFUNCTION("""COMPUTED_VALUE"""),"Put/Call")</f>
        <v>Put/Call</v>
      </c>
      <c r="X5" s="30" t="str">
        <f>IFERROR(__xludf.DUMMYFUNCTION("""COMPUTED_VALUE"""),"Process Date")</f>
        <v>Process Date</v>
      </c>
      <c r="Y5" s="30" t="str">
        <f>IFERROR(__xludf.DUMMYFUNCTION("""COMPUTED_VALUE"""),"Peg")</f>
        <v>Peg</v>
      </c>
      <c r="Z5" s="30" t="str">
        <f>IFERROR(__xludf.DUMMYFUNCTION("""COMPUTED_VALUE"""),"ParentClOrderID")</f>
        <v>ParentClOrderID</v>
      </c>
      <c r="AA5" s="30" t="str">
        <f>IFERROR(__xludf.DUMMYFUNCTION("""COMPUTED_VALUE"""),"OrderID")</f>
        <v>OrderID</v>
      </c>
      <c r="AB5" s="30" t="str">
        <f>IFERROR(__xludf.DUMMYFUNCTION("""COMPUTED_VALUE"""),"Master Fund")</f>
        <v>Master Fund</v>
      </c>
      <c r="AC5" s="30" t="str">
        <f>IFERROR(__xludf.DUMMYFUNCTION("""COMPUTED_VALUE"""),"Last Shares")</f>
        <v>Last Shares</v>
      </c>
      <c r="AD5" s="30" t="str">
        <f>IFERROR(__xludf.DUMMYFUNCTION("""COMPUTED_VALUE"""),"Internal Comments")</f>
        <v>Internal Comments</v>
      </c>
      <c r="AE5" s="30" t="str">
        <f>IFERROR(__xludf.DUMMYFUNCTION("""COMPUTED_VALUE"""),"FX Rate")</f>
        <v>FX Rate</v>
      </c>
      <c r="AF5" s="30" t="str">
        <f>IFERROR(__xludf.DUMMYFUNCTION("""COMPUTED_VALUE"""),"Imported File Name")</f>
        <v>Imported File Name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IFERROR(__xludf.DUMMYFUNCTION("""COMPUTED_VALUE"""),"Day Average Price")</f>
        <v>Day Average Price</v>
      </c>
      <c r="AI5" s="30" t="str">
        <f>IFERROR(__xludf.DUMMYFUNCTION("""COMPUTED_VALUE"""),"Asset Class")</f>
        <v>Asset Class</v>
      </c>
      <c r="AJ5" s="30" t="str">
        <f>IFERROR(__xludf.DUMMYFUNCTION("""COMPUTED_VALUE"""),"Symbol")</f>
        <v>Symbol</v>
      </c>
      <c r="AK5" s="30" t="str">
        <f>IFERROR(__xludf.DUMMYFUNCTION("""COMPUTED_VALUE"""),"Side")</f>
        <v>Side</v>
      </c>
      <c r="AL5" s="30" t="str">
        <f>IFERROR(__xludf.DUMMYFUNCTION("""COMPUTED_VALUE"""),"Status")</f>
        <v>Status</v>
      </c>
      <c r="AM5" s="30" t="str">
        <f>IFERROR(__xludf.DUMMYFUNCTION("""COMPUTED_VALUE"""),"Quantity")</f>
        <v>Quantity</v>
      </c>
      <c r="AN5" s="30" t="str">
        <f>IFERROR(__xludf.DUMMYFUNCTION("""COMPUTED_VALUE"""),"Executed Qty")</f>
        <v>Executed Qty</v>
      </c>
      <c r="AO5" s="30" t="str">
        <f>IFERROR(__xludf.DUMMYFUNCTION("""COMPUTED_VALUE"""),"% Executed")</f>
        <v>% Executed</v>
      </c>
      <c r="AP5" s="30" t="str">
        <f>IFERROR(__xludf.DUMMYFUNCTION("""COMPUTED_VALUE"""),"Day Executed Qty")</f>
        <v>Day Executed Qty</v>
      </c>
      <c r="AQ5" s="30" t="str">
        <f>IFERROR(__xludf.DUMMYFUNCTION("""COMPUTED_VALUE"""),"Remaining Qty")</f>
        <v>Remaining Qty</v>
      </c>
      <c r="AR5" s="30" t="str">
        <f>IFERROR(__xludf.DUMMYFUNCTION("""COMPUTED_VALUE"""),"Last Fill Price (Local)")</f>
        <v>Last Fill Price (Local)</v>
      </c>
      <c r="AS5" s="30" t="str">
        <f>IFERROR(__xludf.DUMMYFUNCTION("""COMPUTED_VALUE"""),"Avg Fill Price (Local)")</f>
        <v>Avg Fill Price (Local)</v>
      </c>
      <c r="AT5" s="30" t="str">
        <f>IFERROR(__xludf.DUMMYFUNCTION("""COMPUTED_VALUE"""),"Broker")</f>
        <v>Broker</v>
      </c>
      <c r="AU5" s="30" t="str">
        <f>IFERROR(__xludf.DUMMYFUNCTION("""COMPUTED_VALUE"""),"Account")</f>
        <v>Account</v>
      </c>
      <c r="AV5" s="30" t="str">
        <f>IFERROR(__xludf.DUMMYFUNCTION("""COMPUTED_VALUE"""),"Order Type")</f>
        <v>Order Type</v>
      </c>
      <c r="AW5" s="30" t="str">
        <f>IFERROR(__xludf.DUMMYFUNCTION("""COMPUTED_VALUE"""),"Principal Amount (Local)")</f>
        <v>Principal Amount (Local)</v>
      </c>
      <c r="AX5" s="30" t="str">
        <f>IFERROR(__xludf.DUMMYFUNCTION("""COMPUTED_VALUE"""),"Principal Amount (Base)")</f>
        <v>Principal Amount (Base)</v>
      </c>
      <c r="AY5" s="30" t="str">
        <f>IFERROR(__xludf.DUMMYFUNCTION("""COMPUTED_VALUE"""),"Settlement FxRate")</f>
        <v>Settlement FxRate</v>
      </c>
      <c r="AZ5" s="30" t="str">
        <f>IFERROR(__xludf.DUMMYFUNCTION("""COMPUTED_VALUE"""),"Settlement Price")</f>
        <v>Settlement Price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38" t="s">
        <v>23</v>
      </c>
      <c r="F6" s="8"/>
      <c r="G6" s="39" t="s">
        <v>24</v>
      </c>
      <c r="H6" s="39" t="s">
        <v>25</v>
      </c>
      <c r="I6" s="39" t="s">
        <v>16</v>
      </c>
      <c r="J6" s="39" t="s">
        <v>26</v>
      </c>
      <c r="K6" s="39" t="s">
        <v>27</v>
      </c>
      <c r="L6" s="8"/>
      <c r="M6" s="8"/>
      <c r="N6" s="8"/>
      <c r="O6" s="8"/>
      <c r="AI6" s="40" t="s">
        <v>28</v>
      </c>
      <c r="AJ6" s="41" t="s">
        <v>16</v>
      </c>
      <c r="AK6" s="41" t="s">
        <v>17</v>
      </c>
      <c r="AL6" s="50" t="s">
        <v>33</v>
      </c>
      <c r="AM6" s="50">
        <v>2000.0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IFERROR(__xludf.DUMMYFUNCTION("""COMPUTED_VALUE"""),"ShowMasterFundOnTT")</f>
        <v>ShowMasterFundOnTT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IFERROR(__xludf.DUMMYFUNCTION("""COMPUTED_VALUE"""),"CreateDoneAway")</f>
        <v>CreateDoneAway</v>
      </c>
      <c r="AB4" s="26" t="str">
        <f>IFERROR(__xludf.DUMMYFUNCTION("""COMPUTED_VALUE"""),"CreateDoneAwayOrder")</f>
        <v>CreateDoneAwayOrder</v>
      </c>
      <c r="AC4" s="26" t="str">
        <f>IFERROR(__xludf.DUMMYFUNCTION("""COMPUTED_VALUE"""),"SendLiveBloomberg")</f>
        <v>SendLiveBloomberg</v>
      </c>
      <c r="AD4" s="26" t="str">
        <f>IFERROR(__xludf.DUMMYFUNCTION("""COMPUTED_VALUE"""),"AddOptionTrade")</f>
        <v>AddOptionTrade</v>
      </c>
      <c r="AE4" s="26" t="str">
        <f>IFERROR(__xludf.DUMMYFUNCTION("""COMPUTED_VALUE"""),"ViewAllocation")</f>
        <v>ViewAllocation</v>
      </c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4000.0</v>
      </c>
      <c r="E6" s="42"/>
      <c r="F6" s="8"/>
      <c r="G6" s="8"/>
      <c r="H6" s="8"/>
      <c r="I6" s="8"/>
      <c r="J6" s="13">
        <v>1.0</v>
      </c>
      <c r="K6" s="8"/>
      <c r="L6" s="8"/>
      <c r="M6" s="8"/>
      <c r="N6" s="8"/>
      <c r="O6" s="8"/>
      <c r="AO6" s="9" t="s">
        <v>31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1.0</v>
      </c>
      <c r="C6" s="8"/>
      <c r="D6" s="13" t="s">
        <v>16</v>
      </c>
      <c r="E6" s="38"/>
      <c r="F6" s="13" t="s">
        <v>17</v>
      </c>
      <c r="G6" s="43"/>
      <c r="H6" s="43">
        <v>4000.0</v>
      </c>
      <c r="I6" s="39"/>
      <c r="J6" s="39"/>
      <c r="K6" s="39"/>
      <c r="L6" s="8"/>
      <c r="M6" s="8"/>
      <c r="N6" s="8"/>
      <c r="O6" s="8"/>
      <c r="AI6" s="40"/>
      <c r="AJ6" s="41"/>
      <c r="AK6" s="41"/>
      <c r="AL6" s="41"/>
      <c r="AM6" s="4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AddFillsSubOrder1!$4:$4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2000.0</v>
      </c>
      <c r="C6" s="13">
        <v>1.0</v>
      </c>
      <c r="D6" s="13" t="b">
        <v>0</v>
      </c>
      <c r="E6" s="4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EditAddFillsDetails1!$4:$4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4">
        <v>1.0</v>
      </c>
      <c r="E6" s="39" t="s">
        <v>23</v>
      </c>
      <c r="F6" s="33"/>
      <c r="G6" s="52">
        <v>1800.0</v>
      </c>
      <c r="H6" s="39" t="s">
        <v>24</v>
      </c>
      <c r="I6" s="39" t="s">
        <v>25</v>
      </c>
      <c r="J6" s="39" t="s">
        <v>16</v>
      </c>
      <c r="K6" s="39" t="s">
        <v>26</v>
      </c>
      <c r="L6" s="39" t="s">
        <v>27</v>
      </c>
      <c r="M6" s="33"/>
      <c r="N6" s="33"/>
      <c r="O6" s="33"/>
      <c r="P6" s="33"/>
      <c r="Q6" s="33"/>
      <c r="R6" s="33"/>
      <c r="S6" s="45">
        <v>0.0</v>
      </c>
      <c r="T6" s="41">
        <v>0.0</v>
      </c>
      <c r="U6" s="46" t="s">
        <v>36</v>
      </c>
      <c r="V6" s="47" t="s">
        <v>37</v>
      </c>
      <c r="W6" s="41"/>
      <c r="X6" s="41">
        <v>0.0</v>
      </c>
      <c r="Y6" s="41"/>
      <c r="Z6" s="41"/>
      <c r="AA6" s="41"/>
      <c r="AB6" s="41"/>
      <c r="AC6" s="41" t="s">
        <v>38</v>
      </c>
      <c r="AD6" s="41">
        <v>1.0</v>
      </c>
      <c r="AE6" s="48"/>
      <c r="AF6" s="41" t="s">
        <v>39</v>
      </c>
      <c r="AG6" s="41"/>
      <c r="AH6" s="41" t="s">
        <v>28</v>
      </c>
      <c r="AI6" s="41" t="s">
        <v>16</v>
      </c>
      <c r="AJ6" s="41" t="s">
        <v>17</v>
      </c>
      <c r="AK6" s="72" t="s">
        <v>40</v>
      </c>
      <c r="AL6" s="50">
        <v>4000.0</v>
      </c>
      <c r="AM6" s="50">
        <v>2200.0</v>
      </c>
      <c r="AN6" s="37"/>
      <c r="AO6" s="37"/>
      <c r="AP6" s="37"/>
      <c r="AQ6" s="51" t="s">
        <v>19</v>
      </c>
      <c r="AR6" s="37" t="s">
        <v>18</v>
      </c>
      <c r="AS6" s="37"/>
      <c r="AT6" s="41"/>
      <c r="AU6" s="41"/>
      <c r="AV6" s="37"/>
      <c r="AW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60</v>
      </c>
      <c r="D3" s="5" t="s">
        <v>9</v>
      </c>
      <c r="E3" s="23" t="s">
        <v>61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IFERROR(__xludf.DUMMYFUNCTION("""COMPUTED_VALUE"""),"Unallocate")</f>
        <v>Unallocate</v>
      </c>
      <c r="E4" s="25" t="str">
        <f>IFERROR(__xludf.DUMMYFUNCTION("""COMPUTED_VALUE"""),"GetDataAllocation")</f>
        <v>GetDataAllocation</v>
      </c>
      <c r="F4" s="25" t="str">
        <f>IFERROR(__xludf.DUMMYFUNCTION("""COMPUTED_VALUE"""),"SelectAllocatedGroup")</f>
        <v>SelectAllocatedGroup</v>
      </c>
      <c r="G4" s="25" t="str">
        <f>IFERROR(__xludf.DUMMYFUNCTION("""COMPUTED_VALUE"""),"EditTradesAllocated")</f>
        <v>EditTradesAllocated</v>
      </c>
      <c r="H4" s="25" t="str">
        <f>IFERROR(__xludf.DUMMYFUNCTION("""COMPUTED_VALUE"""),"EditTradesUnallocated")</f>
        <v>EditTradesUnallocated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IFERROR(__xludf.DUMMYFUNCTION("""COMPUTED_VALUE"""),"CopyCalculatedPreferenceToolbar")</f>
        <v>CopyCalculatedPreferenceToolbar</v>
      </c>
      <c r="CX4" s="26" t="str">
        <f>IFERROR(__xludf.DUMMYFUNCTION("""COMPUTED_VALUE"""),"CloseOrder")</f>
        <v>CloseOrder</v>
      </c>
      <c r="CY4" s="26" t="str">
        <f>IFERROR(__xludf.DUMMYFUNCTION("""COMPUTED_VALUE"""),"DisableChecksideForAsset")</f>
        <v>DisableChecksideForAsset</v>
      </c>
      <c r="CZ4" s="26" t="str">
        <f>IFERROR(__xludf.DUMMYFUNCTION("""COMPUTED_VALUE"""),"DisableChecksideForAccount")</f>
        <v>DisableChecksideForAccount</v>
      </c>
      <c r="DA4" s="26" t="str">
        <f>IFERROR(__xludf.DUMMYFUNCTION("""COMPUTED_VALUE"""),"DisableChecksideForCounterParty")</f>
        <v>DisableChecksideForCounterParty</v>
      </c>
      <c r="DB4" s="26" t="str">
        <f>IFERROR(__xludf.DUMMYFUNCTION("""COMPUTED_VALUE"""),"DisableCheckside")</f>
        <v>DisableCheckside</v>
      </c>
      <c r="DC4" s="26" t="str">
        <f>IFERROR(__xludf.DUMMYFUNCTION("""COMPUTED_VALUE"""),"ApplyMasterFundFilter")</f>
        <v>ApplyMasterFundFilter</v>
      </c>
      <c r="DD4" s="26" t="str">
        <f>IFERROR(__xludf.DUMMYFUNCTION("""COMPUTED_VALUE"""),"ShowMasterFundOnTT")</f>
        <v>ShowMasterFundOnTT</v>
      </c>
      <c r="DE4" s="26" t="str">
        <f>IFERROR(__xludf.DUMMYFUNCTION("""COMPUTED_VALUE"""),"ShowMasterFundAsClient")</f>
        <v>ShowMasterFundAsClient</v>
      </c>
      <c r="DF4" s="26" t="str">
        <f>IFERROR(__xludf.DUMMYFUNCTION("""COMPUTED_VALUE"""),"SetBrokerAccountMapping")</f>
        <v>SetBrokerAccountMapping</v>
      </c>
      <c r="DG4" s="26" t="str">
        <f>IFERROR(__xludf.DUMMYFUNCTION("""COMPUTED_VALUE"""),"EditUnallocatedGridWPF")</f>
        <v>EditUnallocatedGridWPF</v>
      </c>
      <c r="DH4" s="26" t="str">
        <f>IFERROR(__xludf.DUMMYFUNCTION("""COMPUTED_VALUE"""),"EditAllocatedGridWPF")</f>
        <v>EditAllocatedGridWPF</v>
      </c>
      <c r="DI4" s="26" t="str">
        <f>IFERROR(__xludf.DUMMYFUNCTION("""COMPUTED_VALUE"""),"EditAllocatedGridTaxlot")</f>
        <v>EditAllocatedGridTaxlot</v>
      </c>
      <c r="DJ4" s="26" t="str">
        <f>IFERROR(__xludf.DUMMYFUNCTION("""COMPUTED_VALUE"""),"ExpandCollapseAllocatedGrid")</f>
        <v>ExpandCollapseAllocatedGrid</v>
      </c>
      <c r="DK4" s="26" t="str">
        <f>IFERROR(__xludf.DUMMYFUNCTION("""COMPUTED_VALUE"""),"ExpandCollapseUnallocatedGrid")</f>
        <v>ExpandCollapseUnallocatedGrid</v>
      </c>
      <c r="DL4" s="26" t="str">
        <f>IFERROR(__xludf.DUMMYFUNCTION("""COMPUTED_VALUE"""),"SetTradeAttributePreferences")</f>
        <v>SetTradeAttributePreferences</v>
      </c>
      <c r="DM4" s="26" t="str">
        <f>IFERROR(__xludf.DUMMYFUNCTION("""COMPUTED_VALUE"""),"EnterCustomAllocatePreference")</f>
        <v>EnterCustomAllocatePreference</v>
      </c>
      <c r="DN4" s="26" t="str">
        <f>IFERROR(__xludf.DUMMYFUNCTION("""COMPUTED_VALUE"""),"SetAutoGroupingPreferences")</f>
        <v>SetAutoGroupingPreferences</v>
      </c>
      <c r="DO4" s="26" t="str">
        <f>IFERROR(__xludf.DUMMYFUNCTION("""COMPUTED_VALUE"""),"SetAutoGroupingAccount")</f>
        <v>SetAutoGroupingAccount</v>
      </c>
      <c r="DP4" s="26" t="str">
        <f>IFERROR(__xludf.DUMMYFUNCTION("""COMPUTED_VALUE"""),"SetAvgPriceRounding")</f>
        <v>SetAvgPriceRounding</v>
      </c>
      <c r="DQ4" s="26" t="str">
        <f>IFERROR(__xludf.DUMMYFUNCTION("""COMPUTED_VALUE"""),"IsAllocationOpen")</f>
        <v>IsAllocationOpen</v>
      </c>
      <c r="DR4" s="26" t="str">
        <f>IFERROR(__xludf.DUMMYFUNCTION("""COMPUTED_VALUE"""),"CheckPreferences")</f>
        <v>CheckPreferences</v>
      </c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9" t="s">
        <v>18</v>
      </c>
      <c r="C6" s="59"/>
      <c r="D6" s="61"/>
      <c r="E6" s="64">
        <v>2200.0</v>
      </c>
      <c r="F6" s="59" t="s">
        <v>62</v>
      </c>
      <c r="G6" s="59" t="s">
        <v>28</v>
      </c>
      <c r="H6" s="61">
        <v>4.0</v>
      </c>
      <c r="I6" s="61">
        <v>5.0</v>
      </c>
      <c r="J6" s="61">
        <v>1.0</v>
      </c>
      <c r="K6" s="61">
        <v>1.0</v>
      </c>
      <c r="L6" s="61">
        <v>1.0</v>
      </c>
      <c r="M6" s="59" t="s">
        <v>23</v>
      </c>
      <c r="N6" s="59"/>
      <c r="O6" s="59" t="s">
        <v>19</v>
      </c>
      <c r="P6" s="62"/>
      <c r="Q6" s="61">
        <v>3.0</v>
      </c>
      <c r="R6" s="61">
        <v>0.0</v>
      </c>
      <c r="S6" s="59" t="s">
        <v>63</v>
      </c>
      <c r="T6" s="61">
        <v>0.0</v>
      </c>
      <c r="U6" s="61">
        <v>0.0</v>
      </c>
      <c r="V6" s="59"/>
      <c r="W6" s="61"/>
      <c r="X6" s="61"/>
      <c r="Y6" s="62"/>
      <c r="Z6" s="59" t="s">
        <v>36</v>
      </c>
      <c r="AA6" s="59"/>
      <c r="AB6" s="61">
        <v>1.0</v>
      </c>
      <c r="AC6" s="62"/>
      <c r="AD6" s="59" t="s">
        <v>24</v>
      </c>
      <c r="AE6" s="64">
        <v>2200.0</v>
      </c>
      <c r="AF6" s="63"/>
      <c r="AG6" s="63"/>
      <c r="AH6" s="59" t="s">
        <v>39</v>
      </c>
      <c r="AI6" s="61">
        <v>1.0</v>
      </c>
      <c r="AJ6" s="59" t="s">
        <v>54</v>
      </c>
      <c r="AK6" s="62"/>
      <c r="AL6" s="62"/>
      <c r="AM6" s="59" t="s">
        <v>38</v>
      </c>
      <c r="AN6" s="59" t="b">
        <v>0</v>
      </c>
      <c r="AO6" s="62"/>
      <c r="AP6" s="59" t="b">
        <v>1</v>
      </c>
      <c r="AQ6" s="59" t="b">
        <v>0</v>
      </c>
      <c r="AR6" s="59" t="b">
        <v>1</v>
      </c>
      <c r="AS6" s="61"/>
      <c r="AT6" s="64">
        <v>2214.0012</v>
      </c>
      <c r="AU6" s="64">
        <v>2214.0012</v>
      </c>
      <c r="AV6" s="58"/>
      <c r="AW6" s="61"/>
      <c r="AX6" s="61"/>
      <c r="AY6" s="59" t="s">
        <v>64</v>
      </c>
      <c r="AZ6" s="61">
        <v>0.0</v>
      </c>
      <c r="BA6" s="58"/>
      <c r="BB6" s="62"/>
      <c r="BC6" s="61">
        <v>0.0</v>
      </c>
      <c r="BD6" s="59" t="s">
        <v>65</v>
      </c>
      <c r="BE6" s="64">
        <v>2200.0</v>
      </c>
      <c r="BF6" s="64">
        <v>2200.0</v>
      </c>
      <c r="BG6" s="58"/>
      <c r="BH6" s="62"/>
      <c r="BI6" s="62"/>
      <c r="BJ6" s="64">
        <v>4000.0</v>
      </c>
      <c r="BK6" s="61">
        <v>0.0</v>
      </c>
      <c r="BL6" s="59"/>
      <c r="BM6" s="59" t="s">
        <v>36</v>
      </c>
      <c r="BN6" s="58"/>
      <c r="BO6" s="59" t="s">
        <v>17</v>
      </c>
      <c r="BP6" s="61">
        <v>0.0</v>
      </c>
      <c r="BQ6" s="61">
        <v>0.0</v>
      </c>
      <c r="BR6" s="61">
        <v>0.0012</v>
      </c>
      <c r="BS6" s="59" t="s">
        <v>51</v>
      </c>
      <c r="BT6" s="59" t="s">
        <v>16</v>
      </c>
      <c r="BU6" s="61">
        <v>3.0</v>
      </c>
      <c r="BV6" s="61">
        <v>0.0</v>
      </c>
      <c r="BW6" s="61">
        <v>14.0012</v>
      </c>
      <c r="BX6" s="61">
        <v>0.0</v>
      </c>
      <c r="CF6" s="59" t="s">
        <v>27</v>
      </c>
      <c r="CG6" s="61">
        <v>2.0</v>
      </c>
      <c r="CH6" s="59" t="s">
        <v>12</v>
      </c>
      <c r="CI6" s="59" t="s">
        <v>17</v>
      </c>
      <c r="CJ6" s="61">
        <v>0.0</v>
      </c>
      <c r="CK6" s="59" t="s">
        <v>26</v>
      </c>
      <c r="CL6" s="61">
        <v>1.0</v>
      </c>
      <c r="CM6" s="59" t="s">
        <v>16</v>
      </c>
      <c r="CN6" s="59" t="s">
        <v>25</v>
      </c>
      <c r="CO6" s="59" t="s">
        <v>24</v>
      </c>
      <c r="CP6" s="59" t="s">
        <v>37</v>
      </c>
      <c r="CR6" s="62"/>
      <c r="CS6" s="61"/>
      <c r="CT6" s="62"/>
      <c r="CU6" s="62"/>
      <c r="CV6" s="58"/>
      <c r="CW6" s="63"/>
      <c r="CX6" s="62"/>
      <c r="CY6" s="62"/>
      <c r="CZ6" s="61"/>
      <c r="DA6" s="62"/>
      <c r="DB6" s="61"/>
      <c r="DC6" s="62"/>
      <c r="DD6" s="5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13"/>
      <c r="B8" s="59"/>
      <c r="C8" s="59"/>
      <c r="D8" s="61"/>
      <c r="E8" s="64"/>
      <c r="F8" s="59"/>
      <c r="G8" s="59"/>
      <c r="H8" s="61"/>
      <c r="I8" s="61"/>
      <c r="J8" s="61"/>
      <c r="K8" s="61"/>
      <c r="L8" s="61"/>
      <c r="M8" s="59"/>
      <c r="N8" s="59"/>
      <c r="O8" s="59"/>
      <c r="P8" s="62"/>
      <c r="Q8" s="61"/>
      <c r="R8" s="61"/>
      <c r="S8" s="59"/>
      <c r="T8" s="61"/>
      <c r="U8" s="61"/>
      <c r="V8" s="59"/>
      <c r="W8" s="61"/>
      <c r="X8" s="61"/>
      <c r="Y8" s="62"/>
      <c r="Z8" s="59"/>
      <c r="AA8" s="59"/>
      <c r="AB8" s="61"/>
      <c r="AC8" s="62"/>
      <c r="AD8" s="59"/>
      <c r="AE8" s="64"/>
      <c r="AF8" s="63"/>
      <c r="AG8" s="63"/>
      <c r="AH8" s="59"/>
      <c r="AI8" s="61"/>
      <c r="AJ8" s="59"/>
      <c r="AK8" s="62"/>
      <c r="AL8" s="62"/>
      <c r="AM8" s="59"/>
      <c r="AN8" s="59"/>
      <c r="AO8" s="62"/>
      <c r="AP8" s="59"/>
      <c r="AQ8" s="59"/>
      <c r="AR8" s="59"/>
      <c r="AS8" s="61"/>
      <c r="AT8" s="64"/>
      <c r="AU8" s="64"/>
      <c r="AV8" s="58"/>
      <c r="AW8" s="61"/>
      <c r="AX8" s="61"/>
      <c r="AY8" s="59"/>
      <c r="AZ8" s="61"/>
      <c r="BA8" s="58"/>
      <c r="BB8" s="62"/>
      <c r="BC8" s="61"/>
      <c r="BD8" s="59"/>
      <c r="BE8" s="64"/>
      <c r="BF8" s="64"/>
      <c r="BG8" s="58"/>
      <c r="BH8" s="62"/>
      <c r="BI8" s="62"/>
      <c r="BJ8" s="64"/>
      <c r="BK8" s="61"/>
      <c r="BL8" s="59"/>
      <c r="BM8" s="59"/>
      <c r="BN8" s="58"/>
      <c r="BO8" s="59"/>
      <c r="BP8" s="61"/>
      <c r="BR8" s="61"/>
      <c r="BS8" s="59"/>
      <c r="BT8" s="59"/>
      <c r="BU8" s="61"/>
      <c r="BV8" s="61"/>
      <c r="BW8" s="61"/>
      <c r="BX8" s="61"/>
      <c r="CF8" s="59"/>
      <c r="CG8" s="61"/>
      <c r="CH8" s="59"/>
      <c r="CI8" s="59"/>
      <c r="CJ8" s="61"/>
      <c r="CK8" s="59"/>
      <c r="CL8" s="61"/>
      <c r="CM8" s="59"/>
      <c r="CN8" s="59"/>
      <c r="CO8" s="59"/>
      <c r="CP8" s="59"/>
      <c r="CQ8" s="62"/>
      <c r="CR8" s="62"/>
      <c r="CS8" s="61"/>
      <c r="CT8" s="62"/>
      <c r="CU8" s="62"/>
      <c r="CV8" s="58"/>
      <c r="CW8" s="63"/>
      <c r="CX8" s="62"/>
      <c r="CY8" s="62"/>
      <c r="CZ8" s="61"/>
      <c r="DA8" s="62"/>
      <c r="DB8" s="61"/>
      <c r="DC8" s="62"/>
      <c r="DD8" s="59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46</v>
      </c>
      <c r="D3" s="5" t="s">
        <v>9</v>
      </c>
      <c r="E3" s="23" t="s">
        <v>47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ITM/OTM")</f>
        <v>% of ITM/OTM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/>
      <c r="FI5" s="30"/>
      <c r="FJ5" s="30"/>
      <c r="FK5" s="30"/>
      <c r="FL5" s="30"/>
      <c r="FM5" s="30"/>
      <c r="FN5" s="30"/>
      <c r="FO5" s="30"/>
      <c r="FP5" s="30"/>
      <c r="FQ5" s="30"/>
    </row>
    <row r="6" ht="15.75" customHeight="1">
      <c r="A6" s="13"/>
      <c r="B6" s="58"/>
      <c r="C6" s="59" t="s">
        <v>16</v>
      </c>
      <c r="D6" s="60">
        <v>2200.0</v>
      </c>
      <c r="E6" s="59" t="s">
        <v>18</v>
      </c>
      <c r="F6" s="59" t="s">
        <v>44</v>
      </c>
      <c r="G6" s="61">
        <v>1.0</v>
      </c>
      <c r="H6" s="59" t="s">
        <v>48</v>
      </c>
      <c r="I6" s="61">
        <v>0.0</v>
      </c>
      <c r="J6" s="61">
        <v>0.0</v>
      </c>
      <c r="K6" s="61">
        <v>0.0</v>
      </c>
      <c r="L6" s="61">
        <v>0.0</v>
      </c>
      <c r="M6" s="61">
        <v>0.0</v>
      </c>
      <c r="N6" s="60">
        <v>-2200.0</v>
      </c>
      <c r="O6" s="59"/>
      <c r="P6" s="59" t="s">
        <v>49</v>
      </c>
      <c r="Q6" s="60">
        <v>-2200.0</v>
      </c>
      <c r="R6" s="59" t="s">
        <v>50</v>
      </c>
      <c r="S6" s="59" t="s">
        <v>51</v>
      </c>
      <c r="T6" s="59" t="s">
        <v>28</v>
      </c>
      <c r="U6" s="59" t="s">
        <v>26</v>
      </c>
      <c r="V6" s="59" t="s">
        <v>24</v>
      </c>
      <c r="W6" s="59" t="s">
        <v>36</v>
      </c>
      <c r="X6" s="61">
        <v>1.0</v>
      </c>
      <c r="Y6" s="61">
        <v>1.0</v>
      </c>
      <c r="Z6" s="62"/>
      <c r="AA6" s="62"/>
      <c r="AB6" s="61">
        <v>0.0</v>
      </c>
      <c r="AC6" s="61">
        <v>0.0</v>
      </c>
      <c r="AD6" s="61">
        <v>0.0</v>
      </c>
      <c r="AE6" s="61">
        <v>0.0</v>
      </c>
      <c r="AF6" s="60">
        <v>2200.0</v>
      </c>
      <c r="AG6" s="61">
        <v>0.0</v>
      </c>
      <c r="AH6" s="61">
        <v>0.0</v>
      </c>
      <c r="AI6" s="61">
        <v>0.0</v>
      </c>
      <c r="AJ6" s="61">
        <v>0.0</v>
      </c>
      <c r="AK6" s="60">
        <v>-2200.0</v>
      </c>
      <c r="AL6" s="61">
        <v>1.0</v>
      </c>
      <c r="AM6" s="61">
        <v>1.0</v>
      </c>
      <c r="AN6" s="59" t="s">
        <v>17</v>
      </c>
      <c r="AO6" s="62"/>
      <c r="AP6" s="59" t="s">
        <v>48</v>
      </c>
      <c r="AQ6" s="59" t="s">
        <v>16</v>
      </c>
      <c r="AR6" s="61">
        <v>0.0</v>
      </c>
      <c r="AS6" s="61">
        <v>1.0</v>
      </c>
      <c r="AT6" s="62"/>
      <c r="AU6" s="59" t="s">
        <v>38</v>
      </c>
      <c r="AV6" s="61">
        <v>1.0</v>
      </c>
      <c r="AW6" s="60">
        <v>-2200.0</v>
      </c>
      <c r="AX6" s="61">
        <v>0.0</v>
      </c>
      <c r="AY6" s="61">
        <v>0.0</v>
      </c>
      <c r="AZ6" s="61">
        <v>0.0</v>
      </c>
      <c r="BA6" s="61">
        <v>-100.0</v>
      </c>
      <c r="BB6" s="63"/>
      <c r="BC6" s="61">
        <v>1.0</v>
      </c>
      <c r="BD6" s="60">
        <v>-2200.0</v>
      </c>
      <c r="BE6" s="59" t="s">
        <v>28</v>
      </c>
      <c r="BF6" s="59" t="s">
        <v>52</v>
      </c>
      <c r="BG6" s="59" t="s">
        <v>53</v>
      </c>
      <c r="BH6" s="59" t="s">
        <v>49</v>
      </c>
      <c r="BI6" s="61">
        <v>5.0</v>
      </c>
      <c r="BJ6" s="61">
        <v>0.0</v>
      </c>
      <c r="BK6" s="61">
        <v>0.0</v>
      </c>
      <c r="BL6" s="61">
        <v>0.0</v>
      </c>
      <c r="BM6" s="61">
        <v>0.0</v>
      </c>
      <c r="BN6" s="63"/>
      <c r="BO6" s="60">
        <v>-2200.0</v>
      </c>
      <c r="BP6" s="61">
        <v>0.0</v>
      </c>
      <c r="BQ6" s="59" t="s">
        <v>25</v>
      </c>
      <c r="BR6" s="59" t="s">
        <v>19</v>
      </c>
      <c r="BS6" s="61">
        <v>0.0</v>
      </c>
      <c r="BT6" s="61">
        <v>0.0</v>
      </c>
      <c r="BU6" s="59" t="s">
        <v>28</v>
      </c>
      <c r="BV6" s="61"/>
      <c r="BW6" s="61">
        <v>0.0</v>
      </c>
      <c r="BX6" s="61">
        <v>0.0</v>
      </c>
      <c r="BY6" s="61">
        <v>0.0</v>
      </c>
      <c r="BZ6" s="61">
        <v>0.0</v>
      </c>
      <c r="CA6" s="61">
        <v>0.0</v>
      </c>
      <c r="CB6" s="58"/>
      <c r="CC6" s="61">
        <v>0.0</v>
      </c>
      <c r="CD6" s="60">
        <v>-2200.0</v>
      </c>
      <c r="CE6" s="61">
        <v>0.0</v>
      </c>
      <c r="CF6" s="61">
        <v>0.0</v>
      </c>
      <c r="CG6" s="60">
        <v>-2200.0</v>
      </c>
      <c r="CH6" s="61">
        <v>-100.0</v>
      </c>
      <c r="CI6" s="61">
        <v>0.0</v>
      </c>
      <c r="CJ6" s="61">
        <v>0.0</v>
      </c>
      <c r="CK6" s="59" t="b">
        <v>0</v>
      </c>
      <c r="CL6" s="62"/>
      <c r="CM6" s="62"/>
      <c r="CN6" s="59" t="s">
        <v>16</v>
      </c>
      <c r="CO6" s="59" t="s">
        <v>16</v>
      </c>
      <c r="CP6" s="59" t="s">
        <v>23</v>
      </c>
      <c r="CQ6" s="62"/>
      <c r="CR6" s="58"/>
      <c r="CS6" s="61">
        <v>1.0</v>
      </c>
      <c r="CT6" s="62"/>
      <c r="CU6" s="62"/>
      <c r="CV6" s="62"/>
      <c r="CW6" s="62"/>
      <c r="CX6" s="62"/>
      <c r="CY6" s="59" t="s">
        <v>54</v>
      </c>
      <c r="CZ6" s="59" t="s">
        <v>55</v>
      </c>
      <c r="DA6" s="61">
        <v>0.0</v>
      </c>
      <c r="DB6" s="61">
        <v>0.0</v>
      </c>
      <c r="DC6" s="63"/>
      <c r="DD6" s="60">
        <v>2200.0</v>
      </c>
      <c r="DE6" s="61">
        <v>0.0</v>
      </c>
      <c r="DF6" s="61">
        <v>0.0</v>
      </c>
      <c r="DG6" s="61">
        <v>0.0</v>
      </c>
      <c r="DH6" s="59" t="s">
        <v>49</v>
      </c>
      <c r="DI6" s="61">
        <v>0.0</v>
      </c>
      <c r="DJ6" s="59" t="s">
        <v>17</v>
      </c>
      <c r="DK6" s="61">
        <v>0.0</v>
      </c>
      <c r="DL6" s="61">
        <v>0.0</v>
      </c>
      <c r="DM6" s="61">
        <v>1.0</v>
      </c>
      <c r="DN6" s="61">
        <v>0.0</v>
      </c>
      <c r="DO6" s="62"/>
      <c r="DP6" s="59" t="s">
        <v>48</v>
      </c>
      <c r="DQ6" s="59" t="s">
        <v>56</v>
      </c>
      <c r="DR6" s="59" t="s">
        <v>57</v>
      </c>
      <c r="DS6" s="59" t="s">
        <v>56</v>
      </c>
      <c r="DT6" s="59" t="s">
        <v>56</v>
      </c>
      <c r="DU6" s="59" t="s">
        <v>58</v>
      </c>
      <c r="DV6" s="59" t="s">
        <v>56</v>
      </c>
      <c r="DW6" s="59" t="s">
        <v>56</v>
      </c>
      <c r="DX6" s="59" t="s">
        <v>56</v>
      </c>
      <c r="DY6" s="59" t="s">
        <v>56</v>
      </c>
      <c r="DZ6" s="59" t="s">
        <v>59</v>
      </c>
      <c r="EA6" s="59" t="s">
        <v>58</v>
      </c>
      <c r="EB6" s="59" t="s">
        <v>56</v>
      </c>
      <c r="EC6" s="59" t="s">
        <v>56</v>
      </c>
      <c r="ED6" s="59" t="s">
        <v>36</v>
      </c>
      <c r="EE6" s="59" t="s">
        <v>31</v>
      </c>
      <c r="EF6" s="61">
        <v>0.0</v>
      </c>
      <c r="EG6" s="61">
        <v>0.0</v>
      </c>
      <c r="EH6" s="61">
        <v>0.0</v>
      </c>
      <c r="EI6" s="61">
        <v>0.0</v>
      </c>
      <c r="EJ6" s="61">
        <v>0.0</v>
      </c>
      <c r="EK6" s="61">
        <v>0.0</v>
      </c>
      <c r="EL6" s="59" t="s">
        <v>48</v>
      </c>
      <c r="EM6" s="61">
        <v>0.0</v>
      </c>
      <c r="EN6" s="61">
        <v>0.0</v>
      </c>
      <c r="EO6" s="61">
        <v>0.0</v>
      </c>
      <c r="EP6" s="61">
        <v>0.0</v>
      </c>
      <c r="EQ6" s="61">
        <v>0.0</v>
      </c>
      <c r="ER6" s="61">
        <v>0.0</v>
      </c>
      <c r="ES6" s="60">
        <v>-2200.0</v>
      </c>
      <c r="ET6" s="61">
        <v>0.0</v>
      </c>
      <c r="EU6" s="61">
        <v>0.0</v>
      </c>
      <c r="EV6" s="59" t="s">
        <v>48</v>
      </c>
      <c r="EW6" s="60">
        <v>-2200.0</v>
      </c>
      <c r="EX6" s="59" t="b">
        <v>0</v>
      </c>
      <c r="EY6" s="59"/>
      <c r="EZ6" s="61"/>
      <c r="FA6" s="61"/>
      <c r="FB6" s="6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7"/>
      <c r="B8" s="73"/>
      <c r="C8" s="65"/>
      <c r="D8" s="74"/>
      <c r="E8" s="65"/>
      <c r="F8" s="65"/>
      <c r="G8" s="75"/>
      <c r="H8" s="65"/>
      <c r="I8" s="75"/>
      <c r="J8" s="75"/>
      <c r="K8" s="75"/>
      <c r="L8" s="75"/>
      <c r="M8" s="75"/>
      <c r="N8" s="74"/>
      <c r="O8" s="65"/>
      <c r="P8" s="65"/>
      <c r="Q8" s="74"/>
      <c r="R8" s="65"/>
      <c r="S8" s="65"/>
      <c r="T8" s="67"/>
      <c r="U8" s="67"/>
      <c r="V8" s="67"/>
      <c r="W8" s="67"/>
      <c r="X8" s="76"/>
      <c r="Y8" s="76"/>
      <c r="Z8" s="37"/>
      <c r="AA8" s="37"/>
      <c r="AB8" s="76"/>
      <c r="AC8" s="76"/>
      <c r="AD8" s="76"/>
      <c r="AE8" s="76"/>
      <c r="AF8" s="77"/>
      <c r="AG8" s="76"/>
      <c r="AH8" s="76"/>
      <c r="AI8" s="76"/>
      <c r="AJ8" s="76"/>
      <c r="AK8" s="77"/>
      <c r="AL8" s="76"/>
      <c r="AM8" s="76"/>
      <c r="AN8" s="67"/>
      <c r="AO8" s="37"/>
      <c r="AP8" s="67"/>
      <c r="AQ8" s="67"/>
      <c r="AR8" s="76"/>
      <c r="AS8" s="76"/>
      <c r="AT8" s="67"/>
      <c r="AU8" s="67"/>
      <c r="AV8" s="76"/>
      <c r="AW8" s="77"/>
      <c r="AX8" s="76"/>
      <c r="AY8" s="76"/>
      <c r="AZ8" s="76"/>
      <c r="BA8" s="76"/>
      <c r="BB8" s="69"/>
      <c r="BC8" s="76"/>
      <c r="BD8" s="77"/>
      <c r="BE8" s="67"/>
      <c r="BF8" s="67"/>
      <c r="BG8" s="67"/>
      <c r="BH8" s="67"/>
      <c r="BI8" s="76"/>
      <c r="BJ8" s="76"/>
      <c r="BK8" s="76"/>
      <c r="BL8" s="76"/>
      <c r="BM8" s="76"/>
      <c r="BN8" s="69"/>
      <c r="BO8" s="77"/>
      <c r="BP8" s="76"/>
      <c r="BQ8" s="67"/>
      <c r="BR8" s="67"/>
      <c r="BS8" s="76"/>
      <c r="BT8" s="76"/>
      <c r="BU8" s="67"/>
      <c r="BV8" s="76"/>
      <c r="BW8" s="76"/>
      <c r="BX8" s="76"/>
      <c r="BY8" s="76"/>
      <c r="BZ8" s="76"/>
      <c r="CA8" s="76"/>
      <c r="CB8" s="71"/>
      <c r="CC8" s="76"/>
      <c r="CD8" s="77"/>
      <c r="CE8" s="76"/>
      <c r="CF8" s="76"/>
      <c r="CG8" s="77"/>
      <c r="CH8" s="76"/>
      <c r="CI8" s="76"/>
      <c r="CJ8" s="76"/>
      <c r="CK8" s="70"/>
      <c r="CL8" s="37"/>
      <c r="CM8" s="37"/>
      <c r="CN8" s="67"/>
      <c r="CO8" s="67"/>
      <c r="CP8" s="67"/>
      <c r="CQ8" s="37"/>
      <c r="CR8" s="71"/>
      <c r="CS8" s="76"/>
      <c r="CT8" s="37"/>
      <c r="CU8" s="37"/>
      <c r="CV8" s="37"/>
      <c r="CW8" s="37"/>
      <c r="CX8" s="37"/>
      <c r="CY8" s="67"/>
      <c r="CZ8" s="67"/>
      <c r="DA8" s="76"/>
      <c r="DB8" s="76"/>
      <c r="DC8" s="69"/>
      <c r="DD8" s="77"/>
      <c r="DE8" s="76"/>
      <c r="DF8" s="76"/>
      <c r="DG8" s="76"/>
      <c r="DH8" s="67"/>
      <c r="DI8" s="76"/>
      <c r="DJ8" s="67"/>
      <c r="DK8" s="76"/>
      <c r="DL8" s="76"/>
      <c r="DM8" s="76"/>
      <c r="DN8" s="76"/>
      <c r="DO8" s="37"/>
      <c r="DP8" s="67"/>
      <c r="DQ8" s="67"/>
      <c r="DR8" s="67"/>
      <c r="DS8" s="67"/>
      <c r="DT8" s="67"/>
      <c r="DU8" s="67"/>
      <c r="DV8" s="67"/>
      <c r="DW8" s="67"/>
      <c r="DX8" s="67"/>
      <c r="DY8" s="67"/>
      <c r="DZ8" s="67"/>
      <c r="EA8" s="67"/>
      <c r="EB8" s="67"/>
      <c r="EC8" s="67"/>
      <c r="ED8" s="67"/>
      <c r="EE8" s="67"/>
      <c r="EF8" s="76"/>
      <c r="EG8" s="76"/>
      <c r="EH8" s="76"/>
      <c r="EI8" s="76"/>
      <c r="EJ8" s="76"/>
      <c r="EK8" s="76"/>
      <c r="EL8" s="67"/>
      <c r="EM8" s="76"/>
      <c r="EN8" s="76"/>
      <c r="EO8" s="76"/>
      <c r="EP8" s="76"/>
      <c r="EQ8" s="76"/>
      <c r="ER8" s="76"/>
      <c r="ES8" s="77"/>
      <c r="ET8" s="76"/>
      <c r="EU8" s="76"/>
      <c r="EV8" s="67"/>
      <c r="EW8" s="77"/>
      <c r="EX8" s="70"/>
      <c r="EY8" s="67"/>
      <c r="EZ8" s="76"/>
      <c r="FA8" s="76"/>
      <c r="FB8" s="76"/>
      <c r="FC8" s="37"/>
      <c r="FD8" s="37"/>
      <c r="FE8" s="37"/>
      <c r="FF8" s="37"/>
      <c r="FG8" s="37"/>
      <c r="FH8" s="37"/>
      <c r="FI8" s="37"/>
      <c r="FJ8" s="37"/>
      <c r="FK8" s="37"/>
      <c r="FL8" s="37"/>
      <c r="FM8" s="37"/>
      <c r="FN8" s="37"/>
      <c r="FO8" s="37"/>
      <c r="FP8" s="37"/>
      <c r="FQ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2"/>
      <c r="E6" s="33"/>
      <c r="F6" s="33"/>
      <c r="G6" s="33"/>
      <c r="H6" s="33" t="s">
        <v>16</v>
      </c>
      <c r="I6" s="35">
        <v>0.0</v>
      </c>
      <c r="J6" s="34">
        <v>2200.0</v>
      </c>
      <c r="K6" s="34">
        <v>2200.0</v>
      </c>
      <c r="L6" s="54">
        <v>2200.0</v>
      </c>
      <c r="M6" s="33" t="s">
        <v>43</v>
      </c>
      <c r="N6" s="33"/>
      <c r="O6" s="33" t="s">
        <v>17</v>
      </c>
      <c r="P6" s="33"/>
      <c r="Q6" s="33"/>
      <c r="R6" s="33" t="s">
        <v>44</v>
      </c>
      <c r="S6" s="33"/>
      <c r="T6" s="37" t="s">
        <v>18</v>
      </c>
      <c r="U6" s="37" t="s">
        <v>18</v>
      </c>
      <c r="V6" s="37"/>
      <c r="W6" s="37"/>
      <c r="X6" s="37"/>
      <c r="Y6" s="37"/>
      <c r="Z6" s="37"/>
      <c r="AA6" s="37"/>
      <c r="AB6" s="34">
        <v>2200.0</v>
      </c>
      <c r="AC6" s="37"/>
      <c r="AD6" s="34">
        <v>2200.0</v>
      </c>
      <c r="AE6" s="55">
        <v>0.0</v>
      </c>
      <c r="AF6" s="37"/>
      <c r="AG6" s="34">
        <v>2200.0</v>
      </c>
      <c r="AH6" s="34">
        <v>2200.0</v>
      </c>
      <c r="AI6" s="37"/>
      <c r="AJ6" s="37" t="s">
        <v>28</v>
      </c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55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55"/>
      <c r="BR6" s="55"/>
      <c r="BS6" s="37"/>
      <c r="BT6" s="55"/>
      <c r="BU6" s="37"/>
      <c r="BV6" s="55">
        <v>1.0</v>
      </c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3"/>
      <c r="C7" s="33"/>
      <c r="D7" s="33"/>
      <c r="E7" s="33"/>
      <c r="F7" s="33"/>
      <c r="G7" s="33"/>
      <c r="H7" s="33" t="s">
        <v>16</v>
      </c>
      <c r="I7" s="35">
        <v>0.0</v>
      </c>
      <c r="J7" s="78">
        <v>1800.0</v>
      </c>
      <c r="K7" s="78">
        <v>1800.0</v>
      </c>
      <c r="L7" s="54">
        <v>1800.0</v>
      </c>
      <c r="M7" s="13" t="s">
        <v>45</v>
      </c>
      <c r="N7" s="33"/>
      <c r="O7" s="33" t="s">
        <v>17</v>
      </c>
      <c r="P7" s="33"/>
      <c r="Q7" s="33"/>
      <c r="R7" s="33" t="s">
        <v>44</v>
      </c>
      <c r="S7" s="33"/>
      <c r="T7" s="37" t="s">
        <v>18</v>
      </c>
      <c r="U7" s="37" t="s">
        <v>18</v>
      </c>
      <c r="V7" s="37"/>
      <c r="W7" s="37"/>
      <c r="X7" s="37"/>
      <c r="Y7" s="37"/>
      <c r="Z7" s="37"/>
      <c r="AA7" s="37"/>
      <c r="AB7" s="78">
        <v>1800.0</v>
      </c>
      <c r="AC7" s="37"/>
      <c r="AD7" s="78">
        <v>1800.0</v>
      </c>
      <c r="AE7" s="55">
        <v>0.0</v>
      </c>
      <c r="AF7" s="37"/>
      <c r="AG7" s="78">
        <v>1800.0</v>
      </c>
      <c r="AH7" s="78">
        <v>1800.0</v>
      </c>
      <c r="AI7" s="37"/>
      <c r="AJ7" s="37" t="s">
        <v>28</v>
      </c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55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55"/>
      <c r="BR7" s="55"/>
      <c r="BS7" s="37"/>
      <c r="BT7" s="55"/>
      <c r="BU7" s="37"/>
      <c r="BV7" s="55">
        <v>1.0</v>
      </c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41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IFERROR(__xludf.DUMMYFUNCTION("IF(C3="""","""",Transpose(IMPORTRANGE('_Settings'!$B$3,C3&amp;""!A4:A1000"")))"),"CheckCompliance")</f>
        <v>CheckCompliance</v>
      </c>
      <c r="C4" s="25" t="str">
        <f>IFERROR(__xludf.DUMMYFUNCTION("""COMPUTED_VALUE"""),"VerifyAccountDivisorWindow")</f>
        <v>VerifyAccountDivisorWindow</v>
      </c>
      <c r="D4" s="25" t="str">
        <f>IFERROR(__xludf.DUMMYFUNCTION("""COMPUTED_VALUE"""),"VerifyAccountSymbolDivisorWindow")</f>
        <v>VerifyAccountSymbolDivisorWindow</v>
      </c>
      <c r="E4" s="25" t="str">
        <f>IFERROR(__xludf.DUMMYFUNCTION("""COMPUTED_VALUE"""),"VerifyAggregationAccountSymbolWithNav")</f>
        <v>VerifyAggregationAccountSymbolWithNav</v>
      </c>
      <c r="F4" s="25" t="str">
        <f>IFERROR(__xludf.DUMMYFUNCTION("""COMPUTED_VALUE"""),"VerifyAggregationAccountWithNav")</f>
        <v>VerifyAggregationAccountWithNav</v>
      </c>
      <c r="G4" s="25" t="str">
        <f>IFERROR(__xludf.DUMMYFUNCTION("""COMPUTED_VALUE"""),"VerifyAggregationMasterFundSymbolWithNav")</f>
        <v>VerifyAggregationMasterFundSymbolWithNav</v>
      </c>
      <c r="H4" s="25" t="str">
        <f>IFERROR(__xludf.DUMMYFUNCTION("""COMPUTED_VALUE"""),"VerifyAggregationMasterFundUnderlyingSymbolWithNav")</f>
        <v>VerifyAggregationMasterFundUnderlyingSymbolWithNav</v>
      </c>
      <c r="I4" s="25" t="str">
        <f>IFERROR(__xludf.DUMMYFUNCTION("""COMPUTED_VALUE"""),"VerifyAggregationMasterFundWithNav")</f>
        <v>VerifyAggregationMasterFundWithNav</v>
      </c>
      <c r="J4" s="25" t="str">
        <f>IFERROR(__xludf.DUMMYFUNCTION("""COMPUTED_VALUE"""),"VerifyAggregationSectorWithNav")</f>
        <v>VerifyAggregationSectorWithNav</v>
      </c>
      <c r="K4" s="25" t="str">
        <f>IFERROR(__xludf.DUMMYFUNCTION("""COMPUTED_VALUE"""),"VerifyAggregationUnderlyingSymbolWithNav")</f>
        <v>VerifyAggregationUnderlyingSymbolWithNav</v>
      </c>
      <c r="L4" s="25" t="str">
        <f>IFERROR(__xludf.DUMMYFUNCTION("""COMPUTED_VALUE"""),"VerifyAuecWindow")</f>
        <v>VerifyAuecWindow</v>
      </c>
      <c r="M4" s="25" t="str">
        <f>IFERROR(__xludf.DUMMYFUNCTION("""COMPUTED_VALUE"""),"VerifyBetaWindow")</f>
        <v>VerifyBetaWindow</v>
      </c>
      <c r="N4" s="25" t="str">
        <f>IFERROR(__xludf.DUMMYFUNCTION("""COMPUTED_VALUE"""),"VerifyCustomSymbolDataWindow")</f>
        <v>VerifyCustomSymbolDataWindow</v>
      </c>
      <c r="O4" s="25" t="str">
        <f>IFERROR(__xludf.DUMMYFUNCTION("""COMPUTED_VALUE"""),"VerifyDayEndCashAccountWindow")</f>
        <v>VerifyDayEndCashAccountWindow</v>
      </c>
      <c r="P4" s="26" t="str">
        <f>IFERROR(__xludf.DUMMYFUNCTION("""COMPUTED_VALUE"""),"VerifyDbNavWindow")</f>
        <v>VerifyDbNavWindow</v>
      </c>
      <c r="Q4" s="26" t="str">
        <f>IFERROR(__xludf.DUMMYFUNCTION("""COMPUTED_VALUE"""),"VerifyGlobalDivisorWindow")</f>
        <v>VerifyGlobalDivisorWindow</v>
      </c>
      <c r="R4" s="26" t="str">
        <f>IFERROR(__xludf.DUMMYFUNCTION("""COMPUTED_VALUE"""),"VerifyPmCalculationPreferenceWindow")</f>
        <v>VerifyPmCalculationPreferenceWindow</v>
      </c>
      <c r="S4" s="26" t="str">
        <f>IFERROR(__xludf.DUMMYFUNCTION("""COMPUTED_VALUE"""),"VerifyRowCalculationBaseWindow")</f>
        <v>VerifyRowCalculationBaseWindow</v>
      </c>
      <c r="T4" s="26" t="str">
        <f>IFERROR(__xludf.DUMMYFUNCTION("""COMPUTED_VALUE"""),"VerifySecurityWindow")</f>
        <v>VerifySecurityWindow</v>
      </c>
      <c r="U4" s="26" t="str">
        <f>IFERROR(__xludf.DUMMYFUNCTION("""COMPUTED_VALUE"""),"VerifySymbolDataWindow")</f>
        <v>VerifySymbolDataWindow</v>
      </c>
      <c r="V4" s="26" t="str">
        <f>IFERROR(__xludf.DUMMYFUNCTION("""COMPUTED_VALUE"""),"VerifySymbolDivisorWindow")</f>
        <v>VerifySymbolDivisorWindow</v>
      </c>
      <c r="W4" s="26" t="str">
        <f>IFERROR(__xludf.DUMMYFUNCTION("""COMPUTED_VALUE"""),"VerifyTaxlotWindow")</f>
        <v>VerifyTaxlotWindow</v>
      </c>
      <c r="X4" s="26" t="str">
        <f>IFERROR(__xludf.DUMMYFUNCTION("""COMPUTED_VALUE"""),"RestartEsper")</f>
        <v>RestartEsper</v>
      </c>
      <c r="Y4" s="26" t="str">
        <f>IFERROR(__xludf.DUMMYFUNCTION("""COMPUTED_VALUE"""),"VerifyAccountNavPreferenceWindow")</f>
        <v>VerifyAccountNavPreferenceWindow</v>
      </c>
      <c r="Z4" s="26" t="str">
        <f>IFERROR(__xludf.DUMMYFUNCTION("""COMPUTED_VALUE"""),"VerifyAggregationAccountUnderlyingSymbolWithNav")</f>
        <v>VerifyAggregationAccountUnderlyingSymbolWithNav</v>
      </c>
      <c r="AA4" s="26" t="str">
        <f>IFERROR(__xludf.DUMMYFUNCTION("""COMPUTED_VALUE"""),"VerifyAggregationAssetWithNav")</f>
        <v>VerifyAggregationAssetWithNav</v>
      </c>
      <c r="AB4" s="26" t="str">
        <f>IFERROR(__xludf.DUMMYFUNCTION("""COMPUTED_VALUE"""),"VerifyAggregationSymbolWithNav")</f>
        <v>VerifyAggregationSymbolWithNav</v>
      </c>
      <c r="AC4" s="26" t="str">
        <f>IFERROR(__xludf.DUMMYFUNCTION("""COMPUTED_VALUE"""),"VerifyAggregationSubSectorWithNav")</f>
        <v>VerifyAggregationSubSectorWithNav</v>
      </c>
      <c r="AD4" s="26" t="str">
        <f>IFERROR(__xludf.DUMMYFUNCTION("""COMPUTED_VALUE"""),"VerifyAggregationGlobalWithNav")</f>
        <v>VerifyAggregationGlobalWithNav</v>
      </c>
      <c r="AE4" s="26" t="str">
        <f>IFERROR(__xludf.DUMMYFUNCTION("""COMPUTED_VALUE"""),"VerifyAggregationGlobalWithNav")</f>
        <v>VerifyAggregationGlobalWithNav</v>
      </c>
      <c r="AF4" s="26" t="str">
        <f>IFERROR(__xludf.DUMMYFUNCTION("""COMPUTED_VALUE"""),"VerifyGlobalDivisorWindow")</f>
        <v>VerifyGlobalDivisorWindow</v>
      </c>
      <c r="AG4" s="26" t="str">
        <f>IFERROR(__xludf.DUMMYFUNCTION("""COMPUTED_VALUE"""),"VerifyAccrualForAccountWindow")</f>
        <v>VerifyAccrualForAccountWindow</v>
      </c>
      <c r="AH4" s="26" t="str">
        <f>IFERROR(__xludf.DUMMYFUNCTION("""COMPUTED_VALUE"""),"VerifyGlobalDivisorWindow")</f>
        <v>VerifyGlobalDivisorWindow</v>
      </c>
      <c r="AI4" s="26" t="str">
        <f>IFERROR(__xludf.DUMMYFUNCTION("""COMPUTED_VALUE"""),"VerifyMasterFundDivisorWindow")</f>
        <v>VerifyMasterFundDivisorWindow</v>
      </c>
      <c r="AJ4" s="26" t="str">
        <f>IFERROR(__xludf.DUMMYFUNCTION("""COMPUTED_VALUE"""),"VerifyMasterFundSymbolDivisorWindow")</f>
        <v>VerifyMasterFundSymbolDivisorWindow</v>
      </c>
      <c r="AK4" s="26" t="str">
        <f>IFERROR(__xludf.DUMMYFUNCTION("""COMPUTED_VALUE"""),"VerifyAggAccountSymbolWithNav")</f>
        <v>VerifyAggAccountSymbolWithNav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IFERROR(__xludf.DUMMYFUNCTION("""COMPUTED_VALUE"""),"basketId")</f>
        <v>basketId</v>
      </c>
      <c r="C5" s="28" t="str">
        <f>IFERROR(__xludf.DUMMYFUNCTION("""COMPUTED_VALUE"""),"tradeDate")</f>
        <v>tradeDate</v>
      </c>
      <c r="D5" s="28" t="str">
        <f>IFERROR(__xludf.DUMMYFUNCTION("""COMPUTED_VALUE"""),"taxlotState")</f>
        <v>taxlotState</v>
      </c>
      <c r="E5" s="28" t="str">
        <f>IFERROR(__xludf.DUMMYFUNCTION("""COMPUTED_VALUE"""),"taxlotId")</f>
        <v>taxlotId</v>
      </c>
      <c r="F5" s="29" t="str">
        <f>IFERROR(__xludf.DUMMYFUNCTION("""COMPUTED_VALUE"""),"userId")</f>
        <v>userId</v>
      </c>
      <c r="G5" s="28" t="str">
        <f>IFERROR(__xludf.DUMMYFUNCTION("""COMPUTED_VALUE"""),"clOrderId")</f>
        <v>clOrderId</v>
      </c>
      <c r="H5" s="28" t="str">
        <f>IFERROR(__xludf.DUMMYFUNCTION("""COMPUTED_VALUE"""),"symbol")</f>
        <v>symbol</v>
      </c>
      <c r="I5" s="28" t="str">
        <f>IFERROR(__xludf.DUMMYFUNCTION("""COMPUTED_VALUE"""),"todayShortTradeQuantity")</f>
        <v>todayShortTradeQuantity</v>
      </c>
      <c r="J5" s="28" t="str">
        <f>IFERROR(__xludf.DUMMYFUNCTION("""COMPUTED_VALUE"""),"todayLongTradeQuantity")</f>
        <v>todayLongTradeQuantity</v>
      </c>
      <c r="K5" s="28" t="str">
        <f>IFERROR(__xludf.DUMMYFUNCTION("""COMPUTED_VALUE"""),"todayAbsTradeQuantity")</f>
        <v>todayAbsTradeQuantity</v>
      </c>
      <c r="L5" s="28" t="str">
        <f>IFERROR(__xludf.DUMMYFUNCTION("""COMPUTED_VALUE"""),"quantity")</f>
        <v>quantity</v>
      </c>
      <c r="M5" s="28" t="str">
        <f>IFERROR(__xludf.DUMMYFUNCTION("""COMPUTED_VALUE"""),"taxlotType")</f>
        <v>taxlotType</v>
      </c>
      <c r="N5" s="28" t="str">
        <f>IFERROR(__xludf.DUMMYFUNCTION("""COMPUTED_VALUE"""),"accountId")</f>
        <v>accountId</v>
      </c>
      <c r="O5" s="28" t="str">
        <f>IFERROR(__xludf.DUMMYFUNCTION("""COMPUTED_VALUE"""),"orderSide")</f>
        <v>orderSide</v>
      </c>
      <c r="P5" s="28" t="str">
        <f>IFERROR(__xludf.DUMMYFUNCTION("""COMPUTED_VALUE"""),"masterFundId")</f>
        <v>masterFundId</v>
      </c>
      <c r="Q5" s="28" t="str">
        <f>IFERROR(__xludf.DUMMYFUNCTION("""COMPUTED_VALUE"""),"underlyingSymbol")</f>
        <v>underlyingSymbol</v>
      </c>
      <c r="R5" s="28" t="str">
        <f>IFERROR(__xludf.DUMMYFUNCTION("""COMPUTED_VALUE"""),"masterFundName")</f>
        <v>masterFundName</v>
      </c>
      <c r="S5" s="28" t="str">
        <f>IFERROR(__xludf.DUMMYFUNCTION("""COMPUTED_VALUE"""),"multiplier")</f>
        <v>multiplier</v>
      </c>
      <c r="T5" s="30" t="str">
        <f>IFERROR(__xludf.DUMMYFUNCTION("""COMPUTED_VALUE"""),"accountShortName")</f>
        <v>accountShortName</v>
      </c>
      <c r="U5" s="30" t="str">
        <f>IFERROR(__xludf.DUMMYFUNCTION("""COMPUTED_VALUE"""),"accountLongName")</f>
        <v>accountLongName</v>
      </c>
      <c r="V5" s="30" t="str">
        <f>IFERROR(__xludf.DUMMYFUNCTION("""COMPUTED_VALUE"""),"isSwapped")</f>
        <v>isSwapped</v>
      </c>
      <c r="W5" s="30" t="str">
        <f>IFERROR(__xludf.DUMMYFUNCTION("""COMPUTED_VALUE"""),"masterStrategyId")</f>
        <v>masterStrategyId</v>
      </c>
      <c r="X5" s="30" t="str">
        <f>IFERROR(__xludf.DUMMYFUNCTION("""COMPUTED_VALUE"""),"isTodayTrade")</f>
        <v>isTodayTrade</v>
      </c>
      <c r="Y5" s="30" t="str">
        <f>IFERROR(__xludf.DUMMYFUNCTION("""COMPUTED_VALUE"""),"masterStrategyName")</f>
        <v>masterStrategyName</v>
      </c>
      <c r="Z5" s="30" t="str">
        <f>IFERROR(__xludf.DUMMYFUNCTION("""COMPUTED_VALUE"""),"strategyId")</f>
        <v>strategyId</v>
      </c>
      <c r="AA5" s="30" t="str">
        <f>IFERROR(__xludf.DUMMYFUNCTION("""COMPUTED_VALUE"""),"strategyName")</f>
        <v>strategyName</v>
      </c>
      <c r="AB5" s="30" t="str">
        <f>IFERROR(__xludf.DUMMYFUNCTION("""COMPUTED_VALUE"""),"todayNetNotionalBase")</f>
        <v>todayNetNotionalBase</v>
      </c>
      <c r="AC5" s="30" t="str">
        <f>IFERROR(__xludf.DUMMYFUNCTION("""COMPUTED_VALUE"""),"strategyFullName")</f>
        <v>strategyFullName</v>
      </c>
      <c r="AD5" s="30" t="str">
        <f>IFERROR(__xludf.DUMMYFUNCTION("""COMPUTED_VALUE"""),"todayLongNotionalBase")</f>
        <v>todayLongNotionalBase</v>
      </c>
      <c r="AE5" s="30" t="str">
        <f>IFERROR(__xludf.DUMMYFUNCTION("""COMPUTED_VALUE"""),"todayShortNotionalBase")</f>
        <v>todayShortNotionalBase</v>
      </c>
      <c r="AF5" s="30" t="str">
        <f>IFERROR(__xludf.DUMMYFUNCTION("""COMPUTED_VALUE"""),"isMonthTrade")</f>
        <v>isMonthTrade</v>
      </c>
      <c r="AG5" s="30" t="str">
        <f>IFERROR(__xludf.DUMMYFUNCTION("""COMPUTED_VALUE"""),"monthAbsQuantity")</f>
        <v>monthAbsQuantity</v>
      </c>
      <c r="AH5" s="30" t="str">
        <f>IFERROR(__xludf.DUMMYFUNCTION("""COMPUTED_VALUE"""),"monthNetNotional")</f>
        <v>monthNetNotional</v>
      </c>
      <c r="AI5" s="30" t="str">
        <f>IFERROR(__xludf.DUMMYFUNCTION("""COMPUTED_VALUE"""),"modificationType")</f>
        <v>modificationType</v>
      </c>
      <c r="AJ5" s="30" t="str">
        <f>IFERROR(__xludf.DUMMYFUNCTION("""COMPUTED_VALUE"""),"asset")</f>
        <v>asset</v>
      </c>
      <c r="AK5" s="30" t="str">
        <f>IFERROR(__xludf.DUMMYFUNCTION("""COMPUTED_VALUE"""),"underlyingAsset")</f>
        <v>underlyingAsset</v>
      </c>
      <c r="AL5" s="30" t="str">
        <f>IFERROR(__xludf.DUMMYFUNCTION("""COMPUTED_VALUE"""),"assetId")</f>
        <v>assetId</v>
      </c>
      <c r="AM5" s="30" t="str">
        <f>IFERROR(__xludf.DUMMYFUNCTION("""COMPUTED_VALUE"""),"auecId")</f>
        <v>auecId</v>
      </c>
      <c r="AN5" s="30" t="str">
        <f>IFERROR(__xludf.DUMMYFUNCTION("""COMPUTED_VALUE"""),"fxSymbol")</f>
        <v>fxSymbol</v>
      </c>
      <c r="AO5" s="30" t="str">
        <f>IFERROR(__xludf.DUMMYFUNCTION("""COMPUTED_VALUE"""),"sector")</f>
        <v>sector</v>
      </c>
      <c r="AP5" s="30" t="str">
        <f>IFERROR(__xludf.DUMMYFUNCTION("""COMPUTED_VALUE"""),"subSector")</f>
        <v>subSector</v>
      </c>
      <c r="AQ5" s="30" t="str">
        <f>IFERROR(__xludf.DUMMYFUNCTION("""COMPUTED_VALUE"""),"udaAsset")</f>
        <v>udaAsset</v>
      </c>
      <c r="AR5" s="30" t="str">
        <f>IFERROR(__xludf.DUMMYFUNCTION("""COMPUTED_VALUE"""),"udaSecurityType")</f>
        <v>udaSecurityType</v>
      </c>
      <c r="AS5" s="30" t="str">
        <f>IFERROR(__xludf.DUMMYFUNCTION("""COMPUTED_VALUE"""),"udaCountry")</f>
        <v>udaCountry</v>
      </c>
      <c r="AT5" s="30" t="str">
        <f>IFERROR(__xludf.DUMMYFUNCTION("""COMPUTED_VALUE"""),"underlyingCountry")</f>
        <v>underlyingCountry</v>
      </c>
      <c r="AU5" s="30" t="str">
        <f>IFERROR(__xludf.DUMMYFUNCTION("""COMPUTED_VALUE"""),"exchange")</f>
        <v>exchange</v>
      </c>
      <c r="AV5" s="30" t="str">
        <f>IFERROR(__xludf.DUMMYFUNCTION("""COMPUTED_VALUE"""),"orderType")</f>
        <v>orderType</v>
      </c>
      <c r="AW5" s="30" t="str">
        <f>IFERROR(__xludf.DUMMYFUNCTION("""COMPUTED_VALUE"""),"currency")</f>
        <v>currency</v>
      </c>
      <c r="AX5" s="30" t="str">
        <f>IFERROR(__xludf.DUMMYFUNCTION("""COMPUTED_VALUE"""),"putOrCall")</f>
        <v>putOrCall</v>
      </c>
      <c r="AY5" s="30" t="str">
        <f>IFERROR(__xludf.DUMMYFUNCTION("""COMPUTED_VALUE"""),"strikePrice")</f>
        <v>strikePrice</v>
      </c>
      <c r="AZ5" s="30" t="str">
        <f>IFERROR(__xludf.DUMMYFUNCTION("""COMPUTED_VALUE"""),"venue")</f>
        <v>venue</v>
      </c>
      <c r="BA5" s="30" t="str">
        <f>IFERROR(__xludf.DUMMYFUNCTION("""COMPUTED_VALUE"""),"riskCurrency")</f>
        <v>riskCurrency</v>
      </c>
      <c r="BB5" s="30" t="str">
        <f>IFERROR(__xludf.DUMMYFUNCTION("""COMPUTED_VALUE"""),"issuer")</f>
        <v>issuer</v>
      </c>
      <c r="BC5" s="30" t="str">
        <f>IFERROR(__xludf.DUMMYFUNCTION("""COMPUTED_VALUE"""),"countryOfRisk")</f>
        <v>countryOfRisk</v>
      </c>
      <c r="BD5" s="30" t="str">
        <f>IFERROR(__xludf.DUMMYFUNCTION("""COMPUTED_VALUE"""),"region")</f>
        <v>region</v>
      </c>
      <c r="BE5" s="30" t="str">
        <f>IFERROR(__xludf.DUMMYFUNCTION("""COMPUTED_VALUE"""),"analyst")</f>
        <v>analyst</v>
      </c>
      <c r="BF5" s="30" t="str">
        <f>IFERROR(__xludf.DUMMYFUNCTION("""COMPUTED_VALUE"""),"ucitsEligibleTag")</f>
        <v>ucitsEligibleTag</v>
      </c>
      <c r="BG5" s="30" t="str">
        <f>IFERROR(__xludf.DUMMYFUNCTION("""COMPUTED_VALUE"""),"liquidTag")</f>
        <v>liquidTag</v>
      </c>
      <c r="BH5" s="30" t="str">
        <f>IFERROR(__xludf.DUMMYFUNCTION("""COMPUTED_VALUE"""),"marketCap")</f>
        <v>marketCap</v>
      </c>
      <c r="BI5" s="30" t="str">
        <f>IFERROR(__xludf.DUMMYFUNCTION("""COMPUTED_VALUE"""),"customUDA1")</f>
        <v>customUDA1</v>
      </c>
      <c r="BJ5" s="30" t="str">
        <f>IFERROR(__xludf.DUMMYFUNCTION("""COMPUTED_VALUE"""),"customUDA2")</f>
        <v>customUDA2</v>
      </c>
      <c r="BK5" s="30" t="str">
        <f>IFERROR(__xludf.DUMMYFUNCTION("""COMPUTED_VALUE"""),"customUDA3")</f>
        <v>customUDA3</v>
      </c>
      <c r="BL5" s="30" t="str">
        <f>IFERROR(__xludf.DUMMYFUNCTION("""COMPUTED_VALUE"""),"counterParty")</f>
        <v>counterParty</v>
      </c>
      <c r="BM5" s="30" t="str">
        <f>IFERROR(__xludf.DUMMYFUNCTION("""COMPUTED_VALUE"""),"customUDA4")</f>
        <v>customUDA4</v>
      </c>
      <c r="BN5" s="30" t="str">
        <f>IFERROR(__xludf.DUMMYFUNCTION("""COMPUTED_VALUE"""),"customUDA5")</f>
        <v>customUDA5</v>
      </c>
      <c r="BO5" s="30" t="str">
        <f>IFERROR(__xludf.DUMMYFUNCTION("""COMPUTED_VALUE"""),"customUDA6")</f>
        <v>customUDA6</v>
      </c>
      <c r="BP5" s="30" t="str">
        <f>IFERROR(__xludf.DUMMYFUNCTION("""COMPUTED_VALUE"""),"customUDA7")</f>
        <v>customUDA7</v>
      </c>
      <c r="BQ5" s="30" t="str">
        <f>IFERROR(__xludf.DUMMYFUNCTION("""COMPUTED_VALUE"""),"currentFxRate")</f>
        <v>currentFxRate</v>
      </c>
      <c r="BR5" s="30" t="str">
        <f>IFERROR(__xludf.DUMMYFUNCTION("""COMPUTED_VALUE"""),"yesterdayFxRate")</f>
        <v>yesterdayFxRate</v>
      </c>
      <c r="BS5" s="30" t="str">
        <f>IFERROR(__xludf.DUMMYFUNCTION("""COMPUTED_VALUE"""),"fxConversionMethod")</f>
        <v>fxConversionMethod</v>
      </c>
      <c r="BT5" s="30" t="str">
        <f>IFERROR(__xludf.DUMMYFUNCTION("""COMPUTED_VALUE"""),"taxlotFxRate")</f>
        <v>taxlotFxRate</v>
      </c>
      <c r="BU5" s="30" t="str">
        <f>IFERROR(__xludf.DUMMYFUNCTION("""COMPUTED_VALUE"""),"taxlotFxConversionMethod")</f>
        <v>taxlotFxConversionMethod</v>
      </c>
      <c r="BV5" s="30" t="str">
        <f>IFERROR(__xludf.DUMMYFUNCTION("""COMPUTED_VALUE"""),"avgPrice")</f>
        <v>avgPrice</v>
      </c>
      <c r="BW5" s="30" t="str">
        <f>IFERROR(__xludf.DUMMYFUNCTION("""COMPUTED_VALUE"""),"askPrice")</f>
        <v>askPrice</v>
      </c>
      <c r="BX5" s="30" t="str">
        <f>IFERROR(__xludf.DUMMYFUNCTION("""COMPUTED_VALUE"""),"bidPrice")</f>
        <v>bidPrice</v>
      </c>
      <c r="BY5" s="30" t="str">
        <f>IFERROR(__xludf.DUMMYFUNCTION("""COMPUTED_VALUE"""),"lowPrice")</f>
        <v>lowPrice</v>
      </c>
      <c r="BZ5" s="30" t="str">
        <f>IFERROR(__xludf.DUMMYFUNCTION("""COMPUTED_VALUE"""),"highPrice")</f>
        <v>highPrice</v>
      </c>
      <c r="CA5" s="30" t="str">
        <f>IFERROR(__xludf.DUMMYFUNCTION("""COMPUTED_VALUE"""),"openPrice")</f>
        <v>openPrice</v>
      </c>
      <c r="CB5" s="30" t="str">
        <f>IFERROR(__xludf.DUMMYFUNCTION("""COMPUTED_VALUE"""),"closePrice")</f>
        <v>closePrice</v>
      </c>
      <c r="CC5" s="30" t="str">
        <f>IFERROR(__xludf.DUMMYFUNCTION("""COMPUTED_VALUE"""),"lastPrice")</f>
        <v>lastPrice</v>
      </c>
      <c r="CD5" s="30" t="str">
        <f>IFERROR(__xludf.DUMMYFUNCTION("""COMPUTED_VALUE"""),"markPrice")</f>
        <v>markPrice</v>
      </c>
      <c r="CE5" s="30" t="str">
        <f>IFERROR(__xludf.DUMMYFUNCTION("""COMPUTED_VALUE"""),"delta")</f>
        <v>delta</v>
      </c>
      <c r="CF5" s="30" t="str">
        <f>IFERROR(__xludf.DUMMYFUNCTION("""COMPUTED_VALUE"""),"leveragedFactor")</f>
        <v>leveragedFactor</v>
      </c>
      <c r="CG5" s="30" t="str">
        <f>IFERROR(__xludf.DUMMYFUNCTION("""COMPUTED_VALUE"""),"beta5YearMonthly")</f>
        <v>beta5YearMonthly</v>
      </c>
      <c r="CH5" s="30" t="str">
        <f>IFERROR(__xludf.DUMMYFUNCTION("""COMPUTED_VALUE"""),"selectedFeedPrice")</f>
        <v>selectedFeedPrice</v>
      </c>
      <c r="CI5" s="30" t="str">
        <f>IFERROR(__xludf.DUMMYFUNCTION("""COMPUTED_VALUE"""),"openInterest")</f>
        <v>openInterest</v>
      </c>
      <c r="CJ5" s="30" t="str">
        <f>IFERROR(__xludf.DUMMYFUNCTION("""COMPUTED_VALUE"""),"underlyingPrice")</f>
        <v>underlyingPrice</v>
      </c>
      <c r="CK5" s="30" t="str">
        <f>IFERROR(__xludf.DUMMYFUNCTION("""COMPUTED_VALUE"""),"avgVolume20Days")</f>
        <v>avgVolume20Days</v>
      </c>
      <c r="CL5" s="30" t="str">
        <f>IFERROR(__xludf.DUMMYFUNCTION("""COMPUTED_VALUE"""),"sharesOutstanding")</f>
        <v>sharesOutstanding</v>
      </c>
      <c r="CM5" s="30" t="str">
        <f>IFERROR(__xludf.DUMMYFUNCTION("""COMPUTED_VALUE"""),"underlyingSharesOutstanding")</f>
        <v>underlyingSharesOutstanding</v>
      </c>
      <c r="CN5" s="30" t="str">
        <f>IFERROR(__xludf.DUMMYFUNCTION("""COMPUTED_VALUE"""),"marketCapitalization")</f>
        <v>marketCapitalization</v>
      </c>
      <c r="CO5" s="30" t="str">
        <f>IFERROR(__xludf.DUMMYFUNCTION("""COMPUTED_VALUE"""),"underlyingMarketCapitalization")</f>
        <v>underlyingMarketCapitalization</v>
      </c>
      <c r="CP5" s="30" t="str">
        <f>IFERROR(__xludf.DUMMYFUNCTION("""COMPUTED_VALUE"""),"avgVolume")</f>
        <v>avgVolume</v>
      </c>
      <c r="CQ5" s="30" t="str">
        <f>IFERROR(__xludf.DUMMYFUNCTION("""COMPUTED_VALUE"""),"netMarketValueLocal")</f>
        <v>netMarketValueLocal</v>
      </c>
      <c r="CR5" s="30" t="str">
        <f>IFERROR(__xludf.DUMMYFUNCTION("""COMPUTED_VALUE"""),"yesterdayMarketValueLocal")</f>
        <v>yesterdayMarketValueLocal</v>
      </c>
      <c r="CS5" s="30" t="str">
        <f>IFERROR(__xludf.DUMMYFUNCTION("""COMPUTED_VALUE"""),"grossMarketValueLocal")</f>
        <v>grossMarketValueLocal</v>
      </c>
      <c r="CT5" s="30" t="str">
        <f>IFERROR(__xludf.DUMMYFUNCTION("""COMPUTED_VALUE"""),"netMarketValueBase")</f>
        <v>netMarketValueBase</v>
      </c>
      <c r="CU5" s="30" t="str">
        <f>IFERROR(__xludf.DUMMYFUNCTION("""COMPUTED_VALUE"""),"yesterdayMarketValueBase")</f>
        <v>yesterdayMarketValueBase</v>
      </c>
      <c r="CV5" s="30" t="str">
        <f>IFERROR(__xludf.DUMMYFUNCTION("""COMPUTED_VALUE"""),"grossMarketValueBase")</f>
        <v>grossMarketValueBase</v>
      </c>
      <c r="CW5" s="30" t="str">
        <f>IFERROR(__xludf.DUMMYFUNCTION("""COMPUTED_VALUE"""),"notionalLocal")</f>
        <v>notionalLocal</v>
      </c>
      <c r="CX5" s="30" t="str">
        <f>IFERROR(__xludf.DUMMYFUNCTION("""COMPUTED_VALUE"""),"cashImpactLocal")</f>
        <v>cashImpactLocal</v>
      </c>
      <c r="CY5" s="30" t="str">
        <f>IFERROR(__xludf.DUMMYFUNCTION("""COMPUTED_VALUE"""),"cashInflowLocal")</f>
        <v>cashInflowLocal</v>
      </c>
      <c r="CZ5" s="30" t="str">
        <f>IFERROR(__xludf.DUMMYFUNCTION("""COMPUTED_VALUE"""),"cashOutflowLocal")</f>
        <v>cashOutflowLocal</v>
      </c>
      <c r="DA5" s="30" t="str">
        <f>IFERROR(__xludf.DUMMYFUNCTION("""COMPUTED_VALUE"""),"equityHaircutLocal")</f>
        <v>equityHaircutLocal</v>
      </c>
      <c r="DB5" s="30" t="str">
        <f>IFERROR(__xludf.DUMMYFUNCTION("""COMPUTED_VALUE"""),"indexHaircutLocal")</f>
        <v>indexHaircutLocal</v>
      </c>
      <c r="DC5" s="30" t="str">
        <f>IFERROR(__xludf.DUMMYFUNCTION("""COMPUTED_VALUE"""),"notionalBase")</f>
        <v>notionalBase</v>
      </c>
      <c r="DD5" s="30" t="str">
        <f>IFERROR(__xludf.DUMMYFUNCTION("""COMPUTED_VALUE"""),"cashImpactBase")</f>
        <v>cashImpactBase</v>
      </c>
      <c r="DE5" s="30" t="str">
        <f>IFERROR(__xludf.DUMMYFUNCTION("""COMPUTED_VALUE"""),"cashInflowBase")</f>
        <v>cashInflowBase</v>
      </c>
      <c r="DF5" s="30" t="str">
        <f>IFERROR(__xludf.DUMMYFUNCTION("""COMPUTED_VALUE"""),"cashOutflowBase")</f>
        <v>cashOutflowBase</v>
      </c>
      <c r="DG5" s="30" t="str">
        <f>IFERROR(__xludf.DUMMYFUNCTION("""COMPUTED_VALUE"""),"equityHaircutBase")</f>
        <v>equityHaircutBase</v>
      </c>
      <c r="DH5" s="30" t="str">
        <f>IFERROR(__xludf.DUMMYFUNCTION("""COMPUTED_VALUE"""),"indexHaircutBase")</f>
        <v>indexHaircutBase</v>
      </c>
      <c r="DI5" s="30" t="str">
        <f>IFERROR(__xludf.DUMMYFUNCTION("""COMPUTED_VALUE"""),"underlyingValueForOptionsLocal")</f>
        <v>underlyingValueForOptionsLocal</v>
      </c>
      <c r="DJ5" s="30" t="str">
        <f>IFERROR(__xludf.DUMMYFUNCTION("""COMPUTED_VALUE"""),"dayPnLLocal")</f>
        <v>dayPnLLocal</v>
      </c>
      <c r="DK5" s="30" t="str">
        <f>IFERROR(__xludf.DUMMYFUNCTION("""COMPUTED_VALUE"""),"costBasisPnLLocal")</f>
        <v>costBasisPnLLocal</v>
      </c>
      <c r="DL5" s="30" t="str">
        <f>IFERROR(__xludf.DUMMYFUNCTION("""COMPUTED_VALUE"""),"liquidationPnlLocal")</f>
        <v>liquidationPnlLocal</v>
      </c>
      <c r="DM5" s="30" t="str">
        <f>IFERROR(__xludf.DUMMYFUNCTION("""COMPUTED_VALUE"""),"underlyingValueForOptionsBase")</f>
        <v>underlyingValueForOptionsBase</v>
      </c>
      <c r="DN5" s="30" t="str">
        <f>IFERROR(__xludf.DUMMYFUNCTION("""COMPUTED_VALUE"""),"dayPnLBase")</f>
        <v>dayPnLBase</v>
      </c>
      <c r="DO5" s="30" t="str">
        <f>IFERROR(__xludf.DUMMYFUNCTION("""COMPUTED_VALUE"""),"costBasisPnLBase")</f>
        <v>costBasisPnLBase</v>
      </c>
      <c r="DP5" s="30" t="str">
        <f>IFERROR(__xludf.DUMMYFUNCTION("""COMPUTED_VALUE"""),"liquidationPnlBase")</f>
        <v>liquidationPnlBase</v>
      </c>
      <c r="DQ5" s="30" t="str">
        <f>IFERROR(__xludf.DUMMYFUNCTION("""COMPUTED_VALUE"""),"netExposureLocal")</f>
        <v>netExposureLocal</v>
      </c>
      <c r="DR5" s="30" t="str">
        <f>IFERROR(__xludf.DUMMYFUNCTION("""COMPUTED_VALUE"""),"grossExposureLocal")</f>
        <v>grossExposureLocal</v>
      </c>
      <c r="DS5" s="30" t="str">
        <f>IFERROR(__xludf.DUMMYFUNCTION("""COMPUTED_VALUE"""),"betaAdjustedExposureLocal")</f>
        <v>betaAdjustedExposureLocal</v>
      </c>
      <c r="DT5" s="30" t="str">
        <f>IFERROR(__xludf.DUMMYFUNCTION("""COMPUTED_VALUE"""),"netExposureBase")</f>
        <v>netExposureBase</v>
      </c>
      <c r="DU5" s="30" t="str">
        <f>IFERROR(__xludf.DUMMYFUNCTION("""COMPUTED_VALUE"""),"grossExposureBase")</f>
        <v>grossExposureBase</v>
      </c>
      <c r="DV5" s="30" t="str">
        <f>IFERROR(__xludf.DUMMYFUNCTION("""COMPUTED_VALUE"""),"betaAdjustedExposureBase")</f>
        <v>betaAdjustedExposureBase</v>
      </c>
      <c r="DW5" s="30" t="str">
        <f>IFERROR(__xludf.DUMMYFUNCTION("""COMPUTED_VALUE"""),"deltaAdjPosition")</f>
        <v>deltaAdjPosition</v>
      </c>
      <c r="DX5" s="30" t="str">
        <f>IFERROR(__xludf.DUMMYFUNCTION("""COMPUTED_VALUE"""),"dayDiff")</f>
        <v>dayDiff</v>
      </c>
      <c r="DY5" s="30" t="str">
        <f>IFERROR(__xludf.DUMMYFUNCTION("""COMPUTED_VALUE"""),"dayInterestLocal")</f>
        <v>dayInterestLocal</v>
      </c>
      <c r="DZ5" s="30" t="str">
        <f>IFERROR(__xludf.DUMMYFUNCTION("""COMPUTED_VALUE"""),"totalInterestLocal")</f>
        <v>totalInterestLocal</v>
      </c>
      <c r="EA5" s="30" t="str">
        <f>IFERROR(__xludf.DUMMYFUNCTION("""COMPUTED_VALUE"""),"dayInterestBase")</f>
        <v>dayInterestBase</v>
      </c>
      <c r="EB5" s="30" t="str">
        <f>IFERROR(__xludf.DUMMYFUNCTION("""COMPUTED_VALUE"""),"totalInterestBase")</f>
        <v>totalInterestBase</v>
      </c>
      <c r="EC5" s="30" t="str">
        <f>IFERROR(__xludf.DUMMYFUNCTION("""COMPUTED_VALUE"""),"percentAvgVolume")</f>
        <v>percentAvgVolume</v>
      </c>
      <c r="ED5" s="30" t="str">
        <f>IFERROR(__xludf.DUMMYFUNCTION("""COMPUTED_VALUE"""),"businessDaysToExpire")</f>
        <v>businessDaysToExpire</v>
      </c>
      <c r="EE5" s="30" t="str">
        <f>IFERROR(__xludf.DUMMYFUNCTION("""COMPUTED_VALUE"""),"actualDaysToExpire")</f>
        <v>actualDaysToExpire</v>
      </c>
      <c r="EF5" s="30" t="str">
        <f>IFERROR(__xludf.DUMMYFUNCTION("""COMPUTED_VALUE"""),"longDebitBalance")</f>
        <v>longDebitBalance</v>
      </c>
      <c r="EG5" s="30" t="str">
        <f>IFERROR(__xludf.DUMMYFUNCTION("""COMPUTED_VALUE"""),"shortCreditBalance")</f>
        <v>shortCreditBalance</v>
      </c>
      <c r="EH5" s="30" t="str">
        <f>IFERROR(__xludf.DUMMYFUNCTION("""COMPUTED_VALUE"""),"roundLot")</f>
        <v>roundLot</v>
      </c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/>
      <c r="C6" s="33"/>
      <c r="D6" s="32"/>
      <c r="E6" s="33"/>
      <c r="F6" s="33"/>
      <c r="G6" s="33"/>
      <c r="H6" s="33" t="s">
        <v>16</v>
      </c>
      <c r="I6" s="35">
        <v>0.0</v>
      </c>
      <c r="J6" s="54">
        <v>1400.0</v>
      </c>
      <c r="K6" s="54">
        <v>1400.0</v>
      </c>
      <c r="L6" s="54">
        <v>1400.0</v>
      </c>
      <c r="M6" s="33" t="s">
        <v>43</v>
      </c>
      <c r="N6" s="33"/>
      <c r="O6" s="33" t="s">
        <v>17</v>
      </c>
      <c r="P6" s="33"/>
      <c r="Q6" s="33"/>
      <c r="R6" s="33" t="s">
        <v>44</v>
      </c>
      <c r="S6" s="33"/>
      <c r="T6" s="37" t="s">
        <v>18</v>
      </c>
      <c r="U6" s="37" t="s">
        <v>18</v>
      </c>
      <c r="V6" s="37"/>
      <c r="W6" s="37"/>
      <c r="X6" s="37"/>
      <c r="Y6" s="37"/>
      <c r="Z6" s="37"/>
      <c r="AA6" s="37"/>
      <c r="AB6" s="54">
        <v>1400.0</v>
      </c>
      <c r="AC6" s="37"/>
      <c r="AD6" s="54">
        <v>1400.0</v>
      </c>
      <c r="AE6" s="55">
        <v>0.0</v>
      </c>
      <c r="AF6" s="37"/>
      <c r="AG6" s="54">
        <v>1400.0</v>
      </c>
      <c r="AH6" s="54">
        <v>1400.0</v>
      </c>
      <c r="AI6" s="37"/>
      <c r="AJ6" s="37" t="s">
        <v>28</v>
      </c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55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55"/>
      <c r="BR6" s="55"/>
      <c r="BS6" s="37"/>
      <c r="BT6" s="55"/>
      <c r="BU6" s="37"/>
      <c r="BV6" s="55">
        <v>1.0</v>
      </c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3"/>
      <c r="C7" s="33"/>
      <c r="D7" s="33"/>
      <c r="E7" s="33"/>
      <c r="F7" s="33"/>
      <c r="G7" s="33"/>
      <c r="H7" s="33" t="s">
        <v>16</v>
      </c>
      <c r="I7" s="35">
        <v>0.0</v>
      </c>
      <c r="J7" s="54">
        <v>2600.0</v>
      </c>
      <c r="K7" s="54">
        <v>2600.0</v>
      </c>
      <c r="L7" s="54">
        <v>2600.0</v>
      </c>
      <c r="M7" s="13" t="s">
        <v>45</v>
      </c>
      <c r="N7" s="33"/>
      <c r="O7" s="33" t="s">
        <v>17</v>
      </c>
      <c r="P7" s="33"/>
      <c r="Q7" s="33"/>
      <c r="R7" s="33" t="s">
        <v>44</v>
      </c>
      <c r="S7" s="33"/>
      <c r="T7" s="37" t="s">
        <v>18</v>
      </c>
      <c r="U7" s="37" t="s">
        <v>18</v>
      </c>
      <c r="V7" s="37"/>
      <c r="W7" s="37"/>
      <c r="X7" s="37"/>
      <c r="Y7" s="37"/>
      <c r="Z7" s="37"/>
      <c r="AA7" s="37"/>
      <c r="AB7" s="54">
        <v>2600.0</v>
      </c>
      <c r="AC7" s="37"/>
      <c r="AD7" s="54">
        <v>2600.0</v>
      </c>
      <c r="AE7" s="55">
        <v>0.0</v>
      </c>
      <c r="AF7" s="37"/>
      <c r="AG7" s="54">
        <v>2600.0</v>
      </c>
      <c r="AH7" s="54">
        <v>2600.0</v>
      </c>
      <c r="AI7" s="37"/>
      <c r="AJ7" s="37" t="s">
        <v>28</v>
      </c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55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55"/>
      <c r="BR7" s="55"/>
      <c r="BS7" s="37"/>
      <c r="BT7" s="55"/>
      <c r="BU7" s="37"/>
      <c r="BV7" s="55">
        <v>1.0</v>
      </c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IFERROR(__xludf.DUMMYFUNCTION("""COMPUTED_VALUE"""),"OpenBlotter")</f>
        <v>OpenBlotter</v>
      </c>
      <c r="AW4" s="26" t="str">
        <f>IFERROR(__xludf.DUMMYFUNCTION("""COMPUTED_VALUE"""),"RemoveManualExecution")</f>
        <v>RemoveManualExecution</v>
      </c>
      <c r="AX4" s="26" t="str">
        <f>IFERROR(__xludf.DUMMYFUNCTION("""COMPUTED_VALUE"""),"RemoveExecutionWorkingSubs")</f>
        <v>RemoveExecutionWorkingSubs</v>
      </c>
      <c r="AY4" s="26" t="str">
        <f>IFERROR(__xludf.DUMMYFUNCTION("""COMPUTED_VALUE"""),"GetExecutionReportOrders")</f>
        <v>GetExecutionReportOrders</v>
      </c>
      <c r="AZ4" s="26" t="str">
        <f>IFERROR(__xludf.DUMMYFUNCTION("""COMPUTED_VALUE"""),"GetExecutionReportDetails")</f>
        <v>GetExecutionReportDetails</v>
      </c>
      <c r="BA4" s="26" t="str">
        <f>IFERROR(__xludf.DUMMYFUNCTION("""COMPUTED_VALUE"""),"ExportExecutionReportData")</f>
        <v>ExportExecutionReportData</v>
      </c>
      <c r="BB4" s="26" t="str">
        <f>IFERROR(__xludf.DUMMYFUNCTION("""COMPUTED_VALUE"""),"VerifyExecutionReport")</f>
        <v>VerifyExecutionReport</v>
      </c>
      <c r="BC4" s="26" t="str">
        <f>IFERROR(__xludf.DUMMYFUNCTION("""COMPUTED_VALUE"""),"BlotterExecutionReportSnapshot")</f>
        <v>BlotterExecutionReportSnapshot</v>
      </c>
      <c r="BD4" s="26" t="str">
        <f>IFERROR(__xludf.DUMMYFUNCTION("""COMPUTED_VALUE"""),"MultipleTradeTransferToUser")</f>
        <v>MultipleTradeTransferToUser</v>
      </c>
      <c r="BE4" s="26" t="str">
        <f>IFERROR(__xludf.DUMMYFUNCTION("""COMPUTED_VALUE"""),"AllocateFromBlotter")</f>
        <v>AllocateFromBlotter</v>
      </c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42"/>
      <c r="F6" s="13" t="s">
        <v>17</v>
      </c>
      <c r="G6" s="8"/>
      <c r="H6" s="8"/>
      <c r="I6" s="8"/>
      <c r="J6" s="8"/>
      <c r="K6" s="8"/>
      <c r="L6" s="8"/>
      <c r="M6" s="8"/>
      <c r="N6" s="8"/>
      <c r="O6" s="8"/>
      <c r="R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