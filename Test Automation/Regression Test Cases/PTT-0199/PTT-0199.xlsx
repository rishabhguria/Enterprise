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SetUIPreferencesTT" sheetId="6" r:id="rId8"/>
    <sheet state="visible" name="CreateDoneAwayOrder" sheetId="7" r:id="rId9"/>
    <sheet state="visible" name="PricingInput" sheetId="8" r:id="rId10"/>
    <sheet state="visible" name="VerifyPTT" sheetId="9" r:id="rId11"/>
    <sheet state="visible" name="CalculatePTT" sheetId="10" r:id="rId12"/>
    <sheet state="visible" name="CalculatePTT1" sheetId="11" r:id="rId13"/>
    <sheet state="visible" name="SetUIPreferencesTT1" sheetId="12" r:id="rId14"/>
    <sheet state="visible" name="VerifyPTT1" sheetId="13" r:id="rId15"/>
    <sheet state="visible" name="UpdateRoundLot" sheetId="14" r:id="rId16"/>
  </sheets>
  <definedNames/>
  <calcPr/>
</workbook>
</file>

<file path=xl/sharedStrings.xml><?xml version="1.0" encoding="utf-8"?>
<sst xmlns="http://schemas.openxmlformats.org/spreadsheetml/2006/main" count="267" uniqueCount="34">
  <si>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</si>
  <si>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</si>
  <si>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</si>
  <si>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</si>
  <si>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</si>
  <si>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</si>
  <si>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</si>
  <si>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</si>
  <si>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</si>
  <si>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</si>
  <si>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</si>
  <si>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</si>
  <si>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</si>
  <si>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</si>
  <si>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</si>
  <si>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</si>
  <si>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</si>
  <si>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</si>
  <si>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</si>
  <si>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TradingTicket</t>
  </si>
  <si>
    <t>SetUIPreferencesTT</t>
  </si>
  <si>
    <t>No</t>
  </si>
  <si>
    <t>CreateDoneAwayOrder</t>
  </si>
  <si>
    <t>AAPL</t>
  </si>
  <si>
    <t>Buy</t>
  </si>
  <si>
    <t>PricingInput</t>
  </si>
  <si>
    <t>PTT</t>
  </si>
  <si>
    <t>VerifyPTT</t>
  </si>
  <si>
    <t/>
  </si>
  <si>
    <t>CalculatePTT</t>
  </si>
  <si>
    <t>Increase</t>
  </si>
  <si>
    <t>Yes</t>
  </si>
  <si>
    <t>Admin</t>
  </si>
  <si>
    <t>UpdateRoundLot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</si>
</sst>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164" xfId="0" applyAlignment="1" applyFont="1" applyNumberFormat="1">
      <alignment vertical="bottom"/>
    </xf>
    <xf borderId="5" fillId="0" fontId="3" numFmtId="164" xfId="0" applyAlignment="1" applyBorder="1" applyFont="1" applyNumberForma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>TODAY() - 1</f>
        <v>45124</v>
      </c>
      <c r="C6" s="32">
        <f>TODAY()</f>
        <v>45125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18</v>
      </c>
      <c r="D6" s="13">
        <v>100000.0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IFERROR(__xludf.DUMMYFUNCTION("""COMPUTED_VALUE"""),"Order Type")</f>
        <v>Order Type</v>
      </c>
      <c r="E5" s="28" t="str">
        <f>IFERROR(__xludf.DUMMYFUNCTION("""COMPUTED_VALUE"""),"TIF")</f>
        <v>TIF</v>
      </c>
      <c r="F5" s="29" t="str">
        <f>IFERROR(__xludf.DUMMYFUNCTION("""COMPUTED_VALUE"""),"Handling Instruction")</f>
        <v>Handling Instruction</v>
      </c>
      <c r="G5" s="28" t="str">
        <f>IFERROR(__xludf.DUMMYFUNCTION("""COMPUTED_VALUE"""),"Execution Instruction")</f>
        <v>Execution Instruction</v>
      </c>
      <c r="H5" s="28" t="str">
        <f>IFERROR(__xludf.DUMMYFUNCTION("""COMPUTED_VALUE"""),"Strategy")</f>
        <v>Strategy</v>
      </c>
      <c r="I5" s="28" t="str">
        <f>IFERROR(__xludf.DUMMYFUNCTION("""COMPUTED_VALUE"""),"Account")</f>
        <v>Account</v>
      </c>
      <c r="J5" s="28" t="str">
        <f>IFERROR(__xludf.DUMMYFUNCTION("""COMPUTED_VALUE"""),"Settlement Currency")</f>
        <v>Settlement Currency</v>
      </c>
      <c r="K5" s="28" t="str">
        <f>IFERROR(__xludf.DUMMYFUNCTION("""COMPUTED_VALUE"""),"Trader")</f>
        <v>Trader</v>
      </c>
      <c r="L5" s="28" t="str">
        <f>IFERROR(__xludf.DUMMYFUNCTION("""COMPUTED_VALUE"""),"Default Quantity")</f>
        <v>Default Quantity</v>
      </c>
      <c r="M5" s="28" t="str">
        <f>IFERROR(__xludf.DUMMYFUNCTION("""COMPUTED_VALUE"""),"Apply Round Lots")</f>
        <v>Apply Round Lots</v>
      </c>
      <c r="N5" s="28" t="str">
        <f>IFERROR(__xludf.DUMMYFUNCTION("""COMPUTED_VALUE"""),"Quantity")</f>
        <v>Quantity</v>
      </c>
      <c r="O5" s="28" t="str">
        <f>IFERROR(__xludf.DUMMYFUNCTION("""COMPUTED_VALUE"""),"Increase On Quantity")</f>
        <v>Increase On Quantity</v>
      </c>
      <c r="P5" s="28" t="str">
        <f>IFERROR(__xludf.DUMMYFUNCTION("""COMPUTED_VALUE"""),"Increase On Stop")</f>
        <v>Increase On Stop</v>
      </c>
      <c r="Q5" s="28" t="str">
        <f>IFERROR(__xludf.DUMMYFUNCTION("""COMPUTED_VALUE"""),"Increase On Limit")</f>
        <v>Increase On Limit</v>
      </c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13" t="s">
        <v>21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SetUIPreferencesTT!$4:$4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>
        <v>100.0</v>
      </c>
      <c r="E6" s="33"/>
      <c r="F6" s="8"/>
      <c r="G6" s="8"/>
      <c r="H6" s="8"/>
      <c r="I6" s="8"/>
      <c r="J6" s="13">
        <v>10.0</v>
      </c>
      <c r="K6" s="8"/>
      <c r="L6" s="8"/>
      <c r="M6" s="8"/>
      <c r="N6" s="32">
        <f>TODAY()-1</f>
        <v>45124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>
        <v>10.0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4" t="s">
        <v>28</v>
      </c>
      <c r="B6" s="34"/>
      <c r="C6" s="35"/>
      <c r="D6" s="36"/>
      <c r="E6" s="35"/>
      <c r="F6" s="35"/>
      <c r="G6" s="35">
        <v>5.0</v>
      </c>
      <c r="H6" s="35"/>
      <c r="I6" s="35"/>
      <c r="J6" s="35"/>
      <c r="K6" s="35"/>
      <c r="L6" s="35">
        <v>100.0</v>
      </c>
      <c r="M6" s="35">
        <v>1.0</v>
      </c>
      <c r="N6" s="37" t="s">
        <v>28</v>
      </c>
      <c r="O6" s="37" t="s">
        <v>28</v>
      </c>
      <c r="P6" s="37" t="s">
        <v>28</v>
      </c>
      <c r="Q6" s="37" t="s">
        <v>28</v>
      </c>
      <c r="R6" s="37" t="s">
        <v>24</v>
      </c>
      <c r="S6" s="37" t="s">
        <v>28</v>
      </c>
      <c r="T6" s="38" t="s">
        <v>21</v>
      </c>
      <c r="U6" s="37" t="s">
        <v>28</v>
      </c>
      <c r="V6" s="37" t="s">
        <v>28</v>
      </c>
      <c r="W6" s="37" t="s">
        <v>28</v>
      </c>
      <c r="X6" s="37" t="s">
        <v>28</v>
      </c>
      <c r="Y6" s="37" t="s">
        <v>28</v>
      </c>
      <c r="Z6" s="37" t="s">
        <v>28</v>
      </c>
      <c r="AA6" s="37" t="s">
        <v>28</v>
      </c>
      <c r="AB6" s="37" t="s">
        <v>28</v>
      </c>
      <c r="AC6" s="37" t="s">
        <v>28</v>
      </c>
      <c r="AD6" s="37" t="s">
        <v>28</v>
      </c>
      <c r="AE6" s="37" t="s">
        <v>28</v>
      </c>
      <c r="AF6" s="37" t="s">
        <v>28</v>
      </c>
      <c r="AG6" s="37" t="s">
        <v>28</v>
      </c>
      <c r="AH6" s="37" t="s">
        <v>28</v>
      </c>
      <c r="AI6" s="37" t="s">
        <v>28</v>
      </c>
      <c r="AJ6" s="37" t="s">
        <v>28</v>
      </c>
      <c r="AK6" s="37" t="s">
        <v>28</v>
      </c>
      <c r="AL6" s="37" t="s">
        <v>28</v>
      </c>
      <c r="AM6" s="37" t="s">
        <v>28</v>
      </c>
      <c r="AN6" s="37" t="s">
        <v>28</v>
      </c>
      <c r="AO6" s="37" t="s">
        <v>28</v>
      </c>
      <c r="AP6" s="37" t="s">
        <v>28</v>
      </c>
      <c r="AQ6" s="37" t="s">
        <v>28</v>
      </c>
      <c r="AR6" s="37" t="s">
        <v>28</v>
      </c>
      <c r="AS6" s="37" t="s">
        <v>28</v>
      </c>
      <c r="AT6" s="37" t="s">
        <v>28</v>
      </c>
      <c r="AU6" s="37" t="s">
        <v>28</v>
      </c>
      <c r="AV6" s="37" t="s">
        <v>28</v>
      </c>
      <c r="AW6" s="37" t="s">
        <v>28</v>
      </c>
      <c r="AX6" s="37" t="s">
        <v>28</v>
      </c>
      <c r="AY6" s="37" t="s">
        <v>28</v>
      </c>
      <c r="AZ6" s="37" t="s">
        <v>28</v>
      </c>
      <c r="BA6" s="37" t="s">
        <v>28</v>
      </c>
      <c r="BB6" s="37" t="s">
        <v>28</v>
      </c>
      <c r="BC6" s="37" t="s">
        <v>28</v>
      </c>
      <c r="BD6" s="37" t="s">
        <v>28</v>
      </c>
      <c r="BE6" s="37" t="s">
        <v>28</v>
      </c>
      <c r="BF6" s="37" t="s">
        <v>28</v>
      </c>
      <c r="BG6" s="37" t="s">
        <v>28</v>
      </c>
      <c r="BH6" s="37" t="s">
        <v>28</v>
      </c>
      <c r="BI6" s="37" t="s">
        <v>28</v>
      </c>
      <c r="BJ6" s="37" t="s">
        <v>28</v>
      </c>
      <c r="BK6" s="37" t="s">
        <v>28</v>
      </c>
      <c r="BL6" s="37" t="s">
        <v>28</v>
      </c>
      <c r="BM6" s="37" t="s">
        <v>28</v>
      </c>
      <c r="BN6" s="37" t="s">
        <v>28</v>
      </c>
      <c r="BO6" s="37" t="s">
        <v>28</v>
      </c>
      <c r="BP6" s="37" t="s">
        <v>28</v>
      </c>
      <c r="BQ6" s="37" t="s">
        <v>28</v>
      </c>
      <c r="BR6" s="37" t="s">
        <v>28</v>
      </c>
      <c r="BS6" s="37" t="s">
        <v>28</v>
      </c>
      <c r="BT6" s="37" t="s">
        <v>28</v>
      </c>
      <c r="BU6" s="37" t="s">
        <v>28</v>
      </c>
      <c r="BV6" s="37" t="s">
        <v>28</v>
      </c>
      <c r="BW6" s="37" t="s">
        <v>28</v>
      </c>
      <c r="BX6" s="37" t="s">
        <v>28</v>
      </c>
      <c r="BY6" s="37" t="s">
        <v>28</v>
      </c>
      <c r="BZ6" s="37" t="s">
        <v>28</v>
      </c>
      <c r="CA6" s="37" t="s">
        <v>28</v>
      </c>
      <c r="CB6" s="37" t="s">
        <v>28</v>
      </c>
      <c r="CC6" s="37" t="s">
        <v>28</v>
      </c>
      <c r="CD6" s="37" t="s">
        <v>28</v>
      </c>
      <c r="CE6" s="37" t="s">
        <v>28</v>
      </c>
      <c r="CF6" s="37" t="s">
        <v>28</v>
      </c>
      <c r="CG6" s="37" t="s">
        <v>28</v>
      </c>
      <c r="CH6" s="37" t="s">
        <v>28</v>
      </c>
      <c r="CI6" s="37" t="s">
        <v>28</v>
      </c>
      <c r="CJ6" s="37" t="s">
        <v>28</v>
      </c>
      <c r="CK6" s="37" t="s">
        <v>28</v>
      </c>
      <c r="CL6" s="37" t="s">
        <v>28</v>
      </c>
      <c r="CM6" s="37" t="s">
        <v>28</v>
      </c>
      <c r="CN6" s="37" t="s">
        <v>28</v>
      </c>
      <c r="CO6" s="37" t="s">
        <v>28</v>
      </c>
      <c r="CP6" s="37" t="s">
        <v>28</v>
      </c>
      <c r="CQ6" s="37" t="s">
        <v>28</v>
      </c>
      <c r="CR6" s="37" t="s">
        <v>28</v>
      </c>
      <c r="CS6" s="37" t="s">
        <v>28</v>
      </c>
      <c r="CT6" s="37" t="s">
        <v>28</v>
      </c>
      <c r="CU6" s="37" t="s">
        <v>28</v>
      </c>
      <c r="CV6" s="37" t="s">
        <v>28</v>
      </c>
      <c r="CW6" s="37" t="s">
        <v>28</v>
      </c>
      <c r="CX6" s="37" t="s">
        <v>28</v>
      </c>
      <c r="CY6" s="37" t="s">
        <v>28</v>
      </c>
      <c r="CZ6" s="37" t="s">
        <v>28</v>
      </c>
      <c r="DA6" s="37" t="s">
        <v>28</v>
      </c>
      <c r="DB6" s="37" t="s">
        <v>28</v>
      </c>
      <c r="DC6" s="37" t="s">
        <v>28</v>
      </c>
      <c r="DD6" s="37" t="s">
        <v>28</v>
      </c>
      <c r="DE6" s="37" t="s">
        <v>28</v>
      </c>
      <c r="DF6" s="37" t="s">
        <v>28</v>
      </c>
      <c r="DG6" s="37" t="s">
        <v>28</v>
      </c>
      <c r="DH6" s="37" t="s">
        <v>28</v>
      </c>
      <c r="DI6" s="37" t="s">
        <v>28</v>
      </c>
      <c r="DJ6" s="37" t="s">
        <v>28</v>
      </c>
      <c r="DK6" s="37" t="s">
        <v>28</v>
      </c>
      <c r="DL6" s="37" t="s">
        <v>28</v>
      </c>
      <c r="DM6" s="37" t="s">
        <v>28</v>
      </c>
      <c r="DN6" s="37" t="s">
        <v>28</v>
      </c>
      <c r="DO6" s="37" t="s">
        <v>28</v>
      </c>
      <c r="DP6" s="37" t="s">
        <v>28</v>
      </c>
      <c r="DQ6" s="37" t="s">
        <v>28</v>
      </c>
      <c r="DR6" s="37" t="s">
        <v>28</v>
      </c>
      <c r="DS6" s="37" t="s">
        <v>28</v>
      </c>
      <c r="DT6" s="37" t="s">
        <v>28</v>
      </c>
      <c r="DU6" s="37" t="s">
        <v>28</v>
      </c>
      <c r="DV6" s="37" t="s">
        <v>28</v>
      </c>
      <c r="DW6" s="37" t="s">
        <v>28</v>
      </c>
      <c r="DX6" s="37" t="s">
        <v>28</v>
      </c>
      <c r="DY6" s="37" t="s">
        <v>28</v>
      </c>
      <c r="DZ6" s="37" t="s">
        <v>28</v>
      </c>
      <c r="EA6" s="37" t="s">
        <v>28</v>
      </c>
      <c r="EB6" s="37" t="s">
        <v>28</v>
      </c>
      <c r="EC6" s="37" t="s">
        <v>28</v>
      </c>
      <c r="ED6" s="37" t="s">
        <v>28</v>
      </c>
      <c r="EE6" s="37" t="s">
        <v>28</v>
      </c>
      <c r="EF6" s="37" t="s">
        <v>28</v>
      </c>
      <c r="EG6" s="37" t="s">
        <v>28</v>
      </c>
      <c r="EH6" s="37" t="s">
        <v>28</v>
      </c>
      <c r="EI6" s="37" t="s">
        <v>28</v>
      </c>
      <c r="EJ6" s="37" t="s">
        <v>28</v>
      </c>
      <c r="EK6" s="37" t="s">
        <v>28</v>
      </c>
      <c r="EL6" s="37" t="s">
        <v>28</v>
      </c>
      <c r="EM6" s="37" t="s">
        <v>28</v>
      </c>
      <c r="EN6" s="37" t="s">
        <v>28</v>
      </c>
      <c r="EO6" s="37" t="s">
        <v>28</v>
      </c>
      <c r="EP6" s="37" t="s">
        <v>28</v>
      </c>
      <c r="EQ6" s="37" t="s">
        <v>28</v>
      </c>
      <c r="ER6" s="37" t="s">
        <v>28</v>
      </c>
      <c r="ES6" s="37" t="s">
        <v>28</v>
      </c>
      <c r="ET6" s="37" t="s">
        <v>28</v>
      </c>
      <c r="EU6" s="37" t="s">
        <v>28</v>
      </c>
      <c r="EV6" s="37" t="s">
        <v>28</v>
      </c>
      <c r="EW6" s="37" t="s">
        <v>28</v>
      </c>
      <c r="EX6" s="37" t="s">
        <v>28</v>
      </c>
      <c r="EY6" s="37" t="s">
        <v>28</v>
      </c>
      <c r="EZ6" s="37" t="s">
        <v>28</v>
      </c>
      <c r="FA6" s="37" t="s">
        <v>28</v>
      </c>
      <c r="FB6" s="37" t="s">
        <v>28</v>
      </c>
      <c r="FC6" s="37" t="s">
        <v>28</v>
      </c>
      <c r="FD6" s="37" t="s">
        <v>28</v>
      </c>
      <c r="FE6" s="37" t="s">
        <v>28</v>
      </c>
      <c r="FF6" s="37" t="s">
        <v>28</v>
      </c>
      <c r="FG6" s="37" t="s">
        <v>28</v>
      </c>
      <c r="FH6" s="37" t="s">
        <v>28</v>
      </c>
      <c r="FI6" s="37" t="s">
        <v>28</v>
      </c>
      <c r="FJ6" s="37" t="s">
        <v>28</v>
      </c>
      <c r="FK6" s="37" t="s">
        <v>28</v>
      </c>
      <c r="FL6" s="37" t="s">
        <v>28</v>
      </c>
      <c r="FM6" s="37" t="s">
        <v>28</v>
      </c>
      <c r="FN6" s="37" t="s">
        <v>28</v>
      </c>
      <c r="FO6" s="37" t="s">
        <v>28</v>
      </c>
      <c r="FP6" s="37" t="s">
        <v>28</v>
      </c>
      <c r="FQ6" s="37" t="s">
        <v>28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40"/>
      <c r="LO6" s="39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40"/>
      <c r="RW6" s="39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40"/>
      <c r="YE6" s="39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40"/>
      <c r="AEM6" s="39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40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23</v>
      </c>
      <c r="C6" s="37" t="s">
        <v>30</v>
      </c>
      <c r="D6" s="34"/>
      <c r="E6" s="41">
        <v>5.0</v>
      </c>
      <c r="F6" s="37"/>
      <c r="G6" s="37"/>
      <c r="H6" s="37"/>
      <c r="I6" s="37" t="s">
        <v>17</v>
      </c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30</v>
      </c>
      <c r="D6" s="13"/>
      <c r="E6" s="13">
        <v>5.0</v>
      </c>
      <c r="F6" s="8"/>
      <c r="G6" s="13" t="s">
        <v>21</v>
      </c>
      <c r="H6" s="8"/>
      <c r="I6" s="13" t="s">
        <v>17</v>
      </c>
      <c r="J6" s="8"/>
      <c r="K6" s="13" t="s">
        <v>31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IFERROR(__xludf.DUMMYFUNCTION("""COMPUTED_VALUE"""),"Order Type")</f>
        <v>Order Type</v>
      </c>
      <c r="E5" s="28" t="str">
        <f>IFERROR(__xludf.DUMMYFUNCTION("""COMPUTED_VALUE"""),"TIF")</f>
        <v>TIF</v>
      </c>
      <c r="F5" s="29" t="str">
        <f>IFERROR(__xludf.DUMMYFUNCTION("""COMPUTED_VALUE"""),"Handling Instruction")</f>
        <v>Handling Instruction</v>
      </c>
      <c r="G5" s="28" t="str">
        <f>IFERROR(__xludf.DUMMYFUNCTION("""COMPUTED_VALUE"""),"Execution Instruction")</f>
        <v>Execution Instruction</v>
      </c>
      <c r="H5" s="28" t="str">
        <f>IFERROR(__xludf.DUMMYFUNCTION("""COMPUTED_VALUE"""),"Strategy")</f>
        <v>Strategy</v>
      </c>
      <c r="I5" s="28" t="str">
        <f>IFERROR(__xludf.DUMMYFUNCTION("""COMPUTED_VALUE"""),"Account")</f>
        <v>Account</v>
      </c>
      <c r="J5" s="28" t="str">
        <f>IFERROR(__xludf.DUMMYFUNCTION("""COMPUTED_VALUE"""),"Settlement Currency")</f>
        <v>Settlement Currency</v>
      </c>
      <c r="K5" s="28" t="str">
        <f>IFERROR(__xludf.DUMMYFUNCTION("""COMPUTED_VALUE"""),"Trader")</f>
        <v>Trader</v>
      </c>
      <c r="L5" s="28" t="str">
        <f>IFERROR(__xludf.DUMMYFUNCTION("""COMPUTED_VALUE"""),"Default Quantity")</f>
        <v>Default Quantity</v>
      </c>
      <c r="M5" s="28" t="str">
        <f>IFERROR(__xludf.DUMMYFUNCTION("""COMPUTED_VALUE"""),"Apply Round Lots")</f>
        <v>Apply Round Lots</v>
      </c>
      <c r="N5" s="28" t="str">
        <f>IFERROR(__xludf.DUMMYFUNCTION("""COMPUTED_VALUE"""),"Quantity")</f>
        <v>Quantity</v>
      </c>
      <c r="O5" s="28" t="str">
        <f>IFERROR(__xludf.DUMMYFUNCTION("""COMPUTED_VALUE"""),"Increase On Quantity")</f>
        <v>Increase On Quantity</v>
      </c>
      <c r="P5" s="28" t="str">
        <f>IFERROR(__xludf.DUMMYFUNCTION("""COMPUTED_VALUE"""),"Increase On Stop")</f>
        <v>Increase On Stop</v>
      </c>
      <c r="Q5" s="28" t="str">
        <f>IFERROR(__xludf.DUMMYFUNCTION("""COMPUTED_VALUE"""),"Increase On Limit")</f>
        <v>Increase On Limit</v>
      </c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13" t="s">
        <v>31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SetUIPreferencesTT1!$4:$4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42"/>
      <c r="C6" s="8"/>
      <c r="D6" s="42"/>
      <c r="E6" s="8"/>
      <c r="F6" s="8"/>
      <c r="G6" s="8">
        <v>5.0</v>
      </c>
      <c r="H6" s="8"/>
      <c r="I6" s="8"/>
      <c r="J6" s="8"/>
      <c r="K6" s="8"/>
      <c r="L6" s="8">
        <v>100.0</v>
      </c>
      <c r="M6" s="8">
        <v>1.0</v>
      </c>
      <c r="N6" s="8"/>
      <c r="O6" s="8"/>
      <c r="R6" t="s">
        <v>24</v>
      </c>
      <c r="S6">
        <v>1.0</v>
      </c>
      <c r="T6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>
        <v>1.0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