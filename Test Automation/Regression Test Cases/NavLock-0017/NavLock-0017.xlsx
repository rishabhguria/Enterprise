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ustomOrderTT" sheetId="5" r:id="rId7"/>
    <sheet state="visible" name="AddNavLock" sheetId="6" r:id="rId8"/>
    <sheet state="visible" name="GetDataClosing" sheetId="7" r:id="rId9"/>
    <sheet state="visible" name="AutomaticClosing" sheetId="8" r:id="rId10"/>
    <sheet state="visible" name="UnwindClosing" sheetId="9" r:id="rId11"/>
    <sheet state="visible" name="VerifyNavLockPopup" sheetId="10" r:id="rId12"/>
    <sheet state="visible" name="GetDataClosing1" sheetId="11" r:id="rId13"/>
    <sheet state="visible" name="AutomaticClosing1" sheetId="12" r:id="rId14"/>
    <sheet state="visible" name="UnwindClosing1" sheetId="13" r:id="rId15"/>
  </sheets>
  <definedNames/>
  <calcPr/>
</workbook>
</file>

<file path=xl/sharedStrings.xml><?xml version="1.0" encoding="utf-8"?>
<sst xmlns="http://schemas.openxmlformats.org/spreadsheetml/2006/main" count="103" uniqueCount="36">
  <si>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</si>
  <si>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</si>
  <si>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</si>
  <si>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</si>
  <si>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</si>
  <si>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</si>
  <si>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</si>
  <si>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</si>
  <si>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</si>
  <si>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</si>
  <si>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</si>
  <si>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</si>
  <si>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</si>
  <si>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</si>
  <si>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</si>
  <si>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</si>
  <si>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</si>
  <si>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TradingTicket</t>
  </si>
  <si>
    <t>CustomOrderTT</t>
  </si>
  <si>
    <t>AAPL</t>
  </si>
  <si>
    <t>DoneAway</t>
  </si>
  <si>
    <t>Buy</t>
  </si>
  <si>
    <t>Sell</t>
  </si>
  <si>
    <t>IBM</t>
  </si>
  <si>
    <t>NavLock</t>
  </si>
  <si>
    <t>AddNavLock</t>
  </si>
  <si>
    <t>Closing</t>
  </si>
  <si>
    <t>GetDataClosing</t>
  </si>
  <si>
    <t>Historical</t>
  </si>
  <si>
    <t>AutomaticClosing</t>
  </si>
  <si>
    <t>None</t>
  </si>
  <si>
    <t>Default</t>
  </si>
  <si>
    <t>UnwindClosing</t>
  </si>
  <si>
    <t>VerifyNavLockPopup</t>
  </si>
  <si>
    <t>Unwind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</si>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</sst>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14" xfId="0" applyAlignment="1" applyFill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200.0</v>
      </c>
      <c r="D6" s="12">
        <v>10.0</v>
      </c>
      <c r="E6" s="12" t="s">
        <v>20</v>
      </c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Z6" s="34">
        <f t="shared" ref="Z6:Z7" si="1">TODAY()-1</f>
        <v>45477</v>
      </c>
    </row>
    <row r="7" ht="15.75" customHeight="1">
      <c r="A7" s="12"/>
      <c r="B7" s="12" t="s">
        <v>19</v>
      </c>
      <c r="C7" s="12">
        <v>200.0</v>
      </c>
      <c r="D7" s="12">
        <v>10.0</v>
      </c>
      <c r="E7" s="12" t="s">
        <v>20</v>
      </c>
      <c r="F7" s="8"/>
      <c r="G7" s="8"/>
      <c r="H7" s="8"/>
      <c r="I7" s="8"/>
      <c r="J7" s="12" t="s">
        <v>22</v>
      </c>
      <c r="K7" s="8"/>
      <c r="L7" s="8"/>
      <c r="M7" s="8"/>
      <c r="N7" s="8"/>
      <c r="O7" s="8"/>
      <c r="Z7" s="34">
        <f t="shared" si="1"/>
        <v>45477</v>
      </c>
    </row>
    <row r="8" ht="15.75" customHeight="1">
      <c r="A8" s="12"/>
      <c r="B8" s="12" t="s">
        <v>23</v>
      </c>
      <c r="C8" s="12">
        <v>100.0</v>
      </c>
      <c r="D8" s="12">
        <v>2.0</v>
      </c>
      <c r="E8" s="12" t="s">
        <v>20</v>
      </c>
      <c r="F8" s="8"/>
      <c r="G8" s="8"/>
      <c r="H8" s="8"/>
      <c r="I8" s="8"/>
      <c r="J8" s="12" t="s">
        <v>21</v>
      </c>
      <c r="K8" s="8"/>
      <c r="L8" s="8"/>
      <c r="M8" s="8"/>
      <c r="N8" s="8"/>
      <c r="O8" s="8"/>
      <c r="Z8" s="34">
        <f t="shared" ref="Z8:Z9" si="2">TODAY()</f>
        <v>45478</v>
      </c>
    </row>
    <row r="9" ht="15.75" customHeight="1">
      <c r="A9" s="12"/>
      <c r="B9" s="12" t="s">
        <v>23</v>
      </c>
      <c r="C9" s="12">
        <v>100.0</v>
      </c>
      <c r="D9" s="12">
        <v>2.0</v>
      </c>
      <c r="E9" s="12" t="s">
        <v>20</v>
      </c>
      <c r="F9" s="8"/>
      <c r="G9" s="8"/>
      <c r="H9" s="8"/>
      <c r="I9" s="8"/>
      <c r="J9" s="12" t="s">
        <v>22</v>
      </c>
      <c r="K9" s="8"/>
      <c r="L9" s="8"/>
      <c r="M9" s="8"/>
      <c r="N9" s="8"/>
      <c r="O9" s="8"/>
      <c r="Z9" s="34">
        <f t="shared" si="2"/>
        <v>45478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TODAY()-1</f>
        <v>45477</v>
      </c>
      <c r="C6" s="12" t="b">
        <v>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28</v>
      </c>
      <c r="C6" s="34">
        <f t="shared" ref="C6:D6" si="1">TODAY()-1</f>
        <v>45477</v>
      </c>
      <c r="D6" s="34">
        <f t="shared" si="1"/>
        <v>45477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b">
        <v>0</v>
      </c>
      <c r="C6" s="37" t="b">
        <v>0</v>
      </c>
      <c r="D6" s="38"/>
      <c r="E6" s="32" t="s">
        <v>30</v>
      </c>
      <c r="F6" s="32" t="s">
        <v>31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12" t="s">
        <v>19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tr">
        <f>"The date you’ve chosen for this action precedes your NAV Lock date (" &amp; MONTH(TODAY()-1) &amp; "/" &amp; DAY(TODAY()-1) &amp; "/" &amp; YEAR(TODAY()-1) &amp; "). Please reach out to your Support Team for further assistance"</f>
        <v>The date you’ve chosen for this action precedes your NAV Lock date (7/4/2024). Please reach out to your Support Team for further assistance</v>
      </c>
      <c r="C6" s="12" t="s">
        <v>34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VerifyNavLockPopup!$4:$4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b">
        <v>0</v>
      </c>
      <c r="C6" s="37" t="b">
        <v>0</v>
      </c>
      <c r="D6" s="38"/>
      <c r="E6" s="32" t="s">
        <v>30</v>
      </c>
      <c r="F6" s="32" t="s">
        <v>31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12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UnwindClosing1!$4:$4</formula1>
    </dataValidation>
  </dataValidations>
  <drawing r:id="rId1"/>
</worksheet>
</file>