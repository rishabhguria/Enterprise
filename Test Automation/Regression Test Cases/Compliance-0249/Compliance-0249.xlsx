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CreateComplianceOrder" sheetId="11" r:id="rId13"/>
    <sheet state="visible" name="SelectTrade" sheetId="12" r:id="rId14"/>
    <sheet state="visible" name="VerifyComplianceOrder" sheetId="13" r:id="rId15"/>
    <sheet state="visible" name="AcknowledgeTrade" sheetId="14" r:id="rId16"/>
    <sheet state="visible" name="ExecuteTrade" sheetId="15" r:id="rId17"/>
    <sheet state="visible" name="SelectTradeOnOrderGrid" sheetId="16" r:id="rId18"/>
    <sheet state="visible" name="ReplaceSubOrder" sheetId="17" r:id="rId19"/>
    <sheet state="visible" name="CreateComplianceOrder1" sheetId="18" r:id="rId20"/>
    <sheet state="visible" name="VerifyComplianceOrder1" sheetId="19" r:id="rId21"/>
    <sheet state="visible" name="CancelSubOrder" sheetId="20" r:id="rId22"/>
    <sheet state="visible" name="VerifyComplianceOrder2" sheetId="21" r:id="rId23"/>
    <sheet state="visible" name="OpenRTPNL" sheetId="22" r:id="rId24"/>
    <sheet state="visible" name="CheckRealTimeSymAccountMonitor" sheetId="23" r:id="rId25"/>
  </sheets>
  <definedNames/>
  <calcPr/>
</workbook>
</file>

<file path=xl/sharedStrings.xml><?xml version="1.0" encoding="utf-8"?>
<sst xmlns="http://schemas.openxmlformats.org/spreadsheetml/2006/main" count="273" uniqueCount="66">
  <si>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</si>
  <si>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</si>
  <si>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</si>
  <si>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</si>
  <si>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</si>
  <si>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</si>
  <si>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</si>
  <si>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</si>
  <si>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</si>
  <si>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</si>
  <si>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</si>
  <si>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</si>
  <si>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</si>
  <si>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</si>
  <si>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</si>
  <si>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</si>
  <si>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</si>
  <si>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</si>
  <si>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</si>
  <si>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</si>
  <si>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</si>
  <si>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O:COP 14O62.50</t>
  </si>
  <si>
    <t>Buy to Open</t>
  </si>
  <si>
    <t>Allocation1</t>
  </si>
  <si>
    <t>ES U2</t>
  </si>
  <si>
    <t>Buy</t>
  </si>
  <si>
    <t>CreateStageOrder</t>
  </si>
  <si>
    <t>PricingInput</t>
  </si>
  <si>
    <t>DailyValuation</t>
  </si>
  <si>
    <t>GetDailyCash</t>
  </si>
  <si>
    <t>UpdateMultipleDailyCash</t>
  </si>
  <si>
    <t>USD</t>
  </si>
  <si>
    <t>Allocation3</t>
  </si>
  <si>
    <t>CreateComplianceOrder</t>
  </si>
  <si>
    <t>New</t>
  </si>
  <si>
    <t>Send</t>
  </si>
  <si>
    <t>Simulator</t>
  </si>
  <si>
    <t>SelectTrade</t>
  </si>
  <si>
    <t>VerifyComplianceOrder</t>
  </si>
  <si>
    <t>Soft</t>
  </si>
  <si>
    <t>Rule_Set</t>
  </si>
  <si>
    <t>Enter Summary</t>
  </si>
  <si>
    <t>Allocation1-O:COP 14O62.50</t>
  </si>
  <si>
    <t>Multiple</t>
  </si>
  <si>
    <t>percentNetMarketValueAccount: 102.1277, percentGrossMarketValueAccount: 102.1277, percentNetExposureAccount: 0.00, percentGrossExposureAccount: 0.00, AccountShortName: Allocation1, Symbol: O:COP 14O62.50</t>
  </si>
  <si>
    <t>RuleSet_Global</t>
  </si>
  <si>
    <t>Global</t>
  </si>
  <si>
    <t>percentNetExposureGlobal: 59.7015, percentNetMarketValueGlobal: 101.4925, percentGrossExposureGlobal: 59.7015, percentGrossMarketValueGlobal: 101.4925</t>
  </si>
  <si>
    <t>RuleSet_MF</t>
  </si>
  <si>
    <t>NewMF</t>
  </si>
  <si>
    <t>percentNetMarketValueMasterFund: 101.4925, percentNetExposureMasterFund: 59.7015, percentGrossExposureMasterFund: 59.7015, percentGrossMarketValueMasterFund: 101.4925, MasterFundName: NewMF</t>
  </si>
  <si>
    <t>AcknowledgeTrade</t>
  </si>
  <si>
    <t>ExecuteTrade</t>
  </si>
  <si>
    <t>Blotter</t>
  </si>
  <si>
    <t>SelectTradeOnOrderGrid</t>
  </si>
  <si>
    <t>ReplaceSubOrder</t>
  </si>
  <si>
    <t>Replace</t>
  </si>
  <si>
    <t>percentNetMarketValueAccount: 187.234, percentGrossMarketValueAccount: 187.234, percentNetExposureAccount: 0.00, percentGrossExposureAccount: 0.00, AccountShortName: Allocation1, Symbol: O:COP 14O62.50</t>
  </si>
  <si>
    <t>percentNetExposureGlobal: 59.7015, percentNetMarketValueGlobal: 161.194, percentGrossExposureGlobal: 59.7015, percentGrossMarketValueGlobal: 161.194</t>
  </si>
  <si>
    <t>percentNetMarketValueMasterFund: 161.194, percentNetExposureMasterFund: 59.7015, percentGrossExposureMasterFund: 59.7015, percentGrossMarketValueMasterFund: 161.194, MasterFundName: NewMF</t>
  </si>
  <si>
    <t>CancelSubOrder</t>
  </si>
  <si>
    <t>RTPNL</t>
  </si>
  <si>
    <t>OpenRTPNL</t>
  </si>
  <si>
    <t>Nirvana,PM</t>
  </si>
  <si>
    <t>SummaryDashboard</t>
  </si>
  <si>
    <t>CheckRealTimeSymAccountMonitor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</si>
</sst>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1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535353"/>
      </right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  <border>
      <left style="thin">
        <color rgb="FF535353"/>
      </left>
      <right style="thin">
        <color rgb="FF535353"/>
      </right>
      <bottom style="thin">
        <color rgb="FF535353"/>
      </bottom>
    </border>
    <border>
      <right style="thin">
        <color rgb="FF535353"/>
      </right>
      <bottom style="thin">
        <color rgb="FF535353"/>
      </bottom>
    </border>
    <border>
      <bottom style="thin">
        <color rgb="FF535353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4" xfId="0" applyAlignment="1" applyBorder="1" applyFont="1" applyNumberFormat="1">
      <alignment horizontal="right" readingOrder="0" vertical="bottom"/>
    </xf>
    <xf borderId="6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3" numFmtId="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10" fillId="0" fontId="3" numFmtId="0" xfId="0" applyAlignment="1" applyBorder="1" applyFont="1">
      <alignment vertical="bottom"/>
    </xf>
    <xf borderId="11" fillId="6" fontId="13" numFmtId="0" xfId="0" applyAlignment="1" applyBorder="1" applyFill="1" applyFont="1">
      <alignment vertical="top"/>
    </xf>
    <xf borderId="12" fillId="7" fontId="14" numFmtId="0" xfId="0" applyAlignment="1" applyBorder="1" applyFill="1" applyFont="1">
      <alignment vertical="top"/>
    </xf>
    <xf borderId="13" fillId="7" fontId="14" numFmtId="0" xfId="0" applyAlignment="1" applyBorder="1" applyFont="1">
      <alignment shrinkToFit="0" vertical="top" wrapText="0"/>
    </xf>
    <xf borderId="0" fillId="0" fontId="5" numFmtId="0" xfId="0" applyAlignment="1" applyFont="1">
      <alignment readingOrder="0" vertical="bottom"/>
    </xf>
    <xf borderId="10" fillId="0" fontId="3" numFmtId="0" xfId="0" applyAlignment="1" applyBorder="1" applyFont="1">
      <alignment vertical="bottom"/>
    </xf>
    <xf borderId="14" fillId="6" fontId="13" numFmtId="0" xfId="0" applyAlignment="1" applyBorder="1" applyFont="1">
      <alignment vertical="top"/>
    </xf>
    <xf borderId="15" fillId="8" fontId="14" numFmtId="0" xfId="0" applyAlignment="1" applyBorder="1" applyFill="1" applyFont="1">
      <alignment vertical="top"/>
    </xf>
    <xf borderId="16" fillId="8" fontId="14" numFmtId="0" xfId="0" applyAlignment="1" applyBorder="1" applyFont="1">
      <alignment shrinkToFit="0" vertical="top" wrapText="0"/>
    </xf>
    <xf borderId="15" fillId="7" fontId="14" numFmtId="0" xfId="0" applyAlignment="1" applyBorder="1" applyFont="1">
      <alignment vertical="top"/>
    </xf>
    <xf borderId="16" fillId="7" fontId="14" numFmtId="0" xfId="0" applyAlignment="1" applyBorder="1" applyFont="1">
      <alignment shrinkToFit="0" vertical="top" wrapText="0"/>
    </xf>
    <xf borderId="17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right" vertical="bottom"/>
    </xf>
    <xf borderId="14" fillId="6" fontId="13" numFmtId="0" xfId="0" applyAlignment="1" applyBorder="1" applyFont="1">
      <alignment vertical="top"/>
    </xf>
    <xf borderId="15" fillId="8" fontId="14" numFmtId="0" xfId="0" applyAlignment="1" applyBorder="1" applyFont="1">
      <alignment vertical="top"/>
    </xf>
    <xf borderId="16" fillId="8" fontId="14" numFmtId="0" xfId="0" applyAlignment="1" applyBorder="1" applyFont="1">
      <alignment shrinkToFit="0" vertical="top" wrapText="0"/>
    </xf>
    <xf borderId="15" fillId="7" fontId="14" numFmtId="0" xfId="0" applyAlignment="1" applyBorder="1" applyFont="1">
      <alignment vertical="top"/>
    </xf>
    <xf borderId="16" fillId="7" fontId="14" numFmtId="0" xfId="0" applyAlignment="1" applyBorder="1" applyFont="1">
      <alignment shrinkToFit="0" vertical="top" wrapText="0"/>
    </xf>
    <xf borderId="0" fillId="0" fontId="3" numFmtId="0" xfId="0" applyAlignment="1" applyFont="1">
      <alignment horizontal="right" readingOrder="0" vertical="bottom"/>
    </xf>
    <xf borderId="11" fillId="6" fontId="13" numFmtId="0" xfId="0" applyAlignment="1" applyBorder="1" applyFont="1">
      <alignment readingOrder="0" vertical="top"/>
    </xf>
    <xf borderId="12" fillId="7" fontId="14" numFmtId="0" xfId="0" applyAlignment="1" applyBorder="1" applyFont="1">
      <alignment readingOrder="0" vertical="top"/>
    </xf>
    <xf borderId="13" fillId="7" fontId="14" numFmtId="0" xfId="0" applyAlignment="1" applyBorder="1" applyFont="1">
      <alignment readingOrder="0" shrinkToFit="0" vertical="top" wrapText="0"/>
    </xf>
    <xf borderId="14" fillId="6" fontId="13" numFmtId="0" xfId="0" applyAlignment="1" applyBorder="1" applyFont="1">
      <alignment readingOrder="0" vertical="top"/>
    </xf>
    <xf borderId="15" fillId="8" fontId="14" numFmtId="0" xfId="0" applyAlignment="1" applyBorder="1" applyFont="1">
      <alignment readingOrder="0" vertical="top"/>
    </xf>
    <xf borderId="16" fillId="8" fontId="14" numFmtId="0" xfId="0" applyAlignment="1" applyBorder="1" applyFont="1">
      <alignment readingOrder="0" shrinkToFit="0" vertical="top" wrapText="0"/>
    </xf>
    <xf borderId="15" fillId="7" fontId="14" numFmtId="0" xfId="0" applyAlignment="1" applyBorder="1" applyFont="1">
      <alignment readingOrder="0" vertical="top"/>
    </xf>
    <xf borderId="16" fillId="7" fontId="14" numFmtId="0" xfId="0" applyAlignment="1" applyBorder="1" applyFont="1">
      <alignment readingOrder="0" shrinkToFit="0" vertical="top" wrapText="0"/>
    </xf>
    <xf borderId="0" fillId="0" fontId="1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0</v>
      </c>
      <c r="E6" s="32" t="b">
        <v>1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22</v>
      </c>
      <c r="D6" s="38">
        <v>10.0</v>
      </c>
      <c r="E6" s="39">
        <v>0.0</v>
      </c>
      <c r="F6" s="37" t="s">
        <v>23</v>
      </c>
      <c r="G6" s="31"/>
      <c r="H6" s="31"/>
      <c r="I6" s="31"/>
      <c r="J6" s="39">
        <v>10.0</v>
      </c>
      <c r="K6" s="31"/>
      <c r="L6" s="31"/>
      <c r="M6" s="31"/>
      <c r="N6" s="40">
        <f t="shared" ref="N6:N9" si="1">TODAY()-1</f>
        <v>45878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1"/>
      <c r="B7" s="42" t="s">
        <v>21</v>
      </c>
      <c r="C7" s="37" t="s">
        <v>22</v>
      </c>
      <c r="D7" s="39">
        <v>10.0</v>
      </c>
      <c r="E7" s="31"/>
      <c r="F7" s="37" t="s">
        <v>23</v>
      </c>
      <c r="G7" s="31"/>
      <c r="H7" s="31"/>
      <c r="I7" s="31"/>
      <c r="J7" s="39">
        <v>10.0</v>
      </c>
      <c r="K7" s="31"/>
      <c r="L7" s="31"/>
      <c r="M7" s="31"/>
      <c r="N7" s="40">
        <f t="shared" si="1"/>
        <v>45878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18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41"/>
      <c r="B8" s="42" t="s">
        <v>24</v>
      </c>
      <c r="C8" s="37" t="s">
        <v>25</v>
      </c>
      <c r="D8" s="39">
        <v>100.0</v>
      </c>
      <c r="E8" s="39">
        <v>0.0</v>
      </c>
      <c r="F8" s="37" t="s">
        <v>23</v>
      </c>
      <c r="G8" s="31"/>
      <c r="H8" s="31"/>
      <c r="I8" s="31"/>
      <c r="J8" s="39">
        <v>10.0</v>
      </c>
      <c r="K8" s="31"/>
      <c r="L8" s="31"/>
      <c r="M8" s="31"/>
      <c r="N8" s="40">
        <f t="shared" si="1"/>
        <v>45878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18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41"/>
      <c r="B9" s="42" t="s">
        <v>24</v>
      </c>
      <c r="C9" s="37" t="s">
        <v>25</v>
      </c>
      <c r="D9" s="39">
        <v>100.0</v>
      </c>
      <c r="E9" s="31"/>
      <c r="F9" s="37" t="s">
        <v>23</v>
      </c>
      <c r="G9" s="31"/>
      <c r="H9" s="31"/>
      <c r="I9" s="31"/>
      <c r="J9" s="39">
        <v>10.0</v>
      </c>
      <c r="K9" s="31"/>
      <c r="L9" s="31"/>
      <c r="M9" s="31"/>
      <c r="N9" s="40">
        <f t="shared" si="1"/>
        <v>45878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18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22</v>
      </c>
      <c r="D6" s="38">
        <v>10.0</v>
      </c>
      <c r="E6" s="31"/>
      <c r="F6" s="37" t="s">
        <v>23</v>
      </c>
      <c r="G6" s="31"/>
      <c r="H6" s="31"/>
      <c r="I6" s="31"/>
      <c r="J6" s="39">
        <v>10.0</v>
      </c>
      <c r="K6" s="31"/>
      <c r="L6" s="31"/>
      <c r="M6" s="31"/>
      <c r="N6" s="40">
        <f t="shared" ref="N6:N7" si="1">TODAY()-1</f>
        <v>45878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1"/>
      <c r="B7" s="42" t="s">
        <v>24</v>
      </c>
      <c r="C7" s="37" t="s">
        <v>25</v>
      </c>
      <c r="D7" s="39">
        <v>100.0</v>
      </c>
      <c r="E7" s="31"/>
      <c r="F7" s="37" t="s">
        <v>23</v>
      </c>
      <c r="G7" s="31"/>
      <c r="H7" s="31"/>
      <c r="I7" s="31"/>
      <c r="J7" s="39">
        <v>10.0</v>
      </c>
      <c r="K7" s="31"/>
      <c r="L7" s="31"/>
      <c r="M7" s="31"/>
      <c r="N7" s="40">
        <f t="shared" si="1"/>
        <v>45878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43" t="s">
        <v>21</v>
      </c>
      <c r="C6" s="39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1"/>
      <c r="B7" s="44" t="s">
        <v>24</v>
      </c>
      <c r="C7" s="39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>
        <f t="shared" ref="B6:C6" si="1">today()-1</f>
        <v>45878</v>
      </c>
      <c r="C6" s="46">
        <f t="shared" si="1"/>
        <v>45878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 t="s">
        <v>23</v>
      </c>
      <c r="C6" s="48" t="s">
        <v>31</v>
      </c>
      <c r="D6" s="49">
        <v>115000.0</v>
      </c>
      <c r="E6" s="50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51" t="s">
        <v>32</v>
      </c>
      <c r="C7" s="52" t="s">
        <v>31</v>
      </c>
      <c r="D7" s="53">
        <v>100000.0</v>
      </c>
      <c r="E7" s="42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22</v>
      </c>
      <c r="D6" s="38">
        <v>100.0</v>
      </c>
      <c r="E6" s="31"/>
      <c r="F6" s="37" t="s">
        <v>23</v>
      </c>
      <c r="G6" s="31"/>
      <c r="H6" s="31"/>
      <c r="I6" s="31"/>
      <c r="J6" s="39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54" t="s">
        <v>34</v>
      </c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0" t="s">
        <v>35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6" t="s">
        <v>21</v>
      </c>
      <c r="D6" s="12"/>
      <c r="E6" s="5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6"/>
      <c r="B6" s="57" t="s">
        <v>39</v>
      </c>
      <c r="C6" s="58" t="s">
        <v>40</v>
      </c>
      <c r="D6" s="58" t="s">
        <v>41</v>
      </c>
      <c r="E6" s="58" t="s">
        <v>42</v>
      </c>
      <c r="F6" s="58" t="s">
        <v>43</v>
      </c>
      <c r="G6" s="58" t="s">
        <v>43</v>
      </c>
      <c r="H6" s="59" t="s">
        <v>44</v>
      </c>
      <c r="I6" s="31"/>
      <c r="J6" s="31"/>
      <c r="K6" s="37" t="s">
        <v>18</v>
      </c>
      <c r="L6" s="31"/>
      <c r="M6" s="60" t="s">
        <v>35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61"/>
      <c r="B7" s="62" t="s">
        <v>39</v>
      </c>
      <c r="C7" s="63" t="s">
        <v>45</v>
      </c>
      <c r="D7" s="63" t="s">
        <v>41</v>
      </c>
      <c r="E7" s="63" t="s">
        <v>46</v>
      </c>
      <c r="F7" s="63" t="s">
        <v>43</v>
      </c>
      <c r="G7" s="63" t="s">
        <v>43</v>
      </c>
      <c r="H7" s="64" t="s">
        <v>47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61"/>
      <c r="B8" s="62" t="s">
        <v>39</v>
      </c>
      <c r="C8" s="65" t="s">
        <v>48</v>
      </c>
      <c r="D8" s="65" t="s">
        <v>41</v>
      </c>
      <c r="E8" s="65" t="s">
        <v>49</v>
      </c>
      <c r="F8" s="65" t="s">
        <v>43</v>
      </c>
      <c r="G8" s="65" t="s">
        <v>43</v>
      </c>
      <c r="H8" s="66" t="s">
        <v>50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6" t="s">
        <v>21</v>
      </c>
      <c r="D6" s="12"/>
      <c r="E6" s="5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100.0</v>
      </c>
      <c r="D6" s="12"/>
      <c r="E6" s="5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4"/>
      <c r="C6" s="41"/>
      <c r="D6" s="67" t="s">
        <v>21</v>
      </c>
      <c r="E6" s="31"/>
      <c r="F6" s="37" t="s">
        <v>22</v>
      </c>
      <c r="G6" s="60" t="s">
        <v>34</v>
      </c>
      <c r="H6" s="39">
        <v>100.0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54" t="s">
        <v>34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8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67" t="s">
        <v>21</v>
      </c>
      <c r="AK6" s="31"/>
      <c r="AL6" s="54" t="s">
        <v>34</v>
      </c>
      <c r="AM6" s="68">
        <v>100.0</v>
      </c>
      <c r="AN6" s="31"/>
      <c r="AO6" s="31"/>
      <c r="AP6" s="31"/>
      <c r="AQ6" s="31"/>
      <c r="AR6" s="31"/>
      <c r="AS6" s="68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67" t="s">
        <v>21</v>
      </c>
      <c r="C6" s="37" t="s">
        <v>22</v>
      </c>
      <c r="D6" s="38">
        <v>200.0</v>
      </c>
      <c r="E6" s="31"/>
      <c r="F6" s="31"/>
      <c r="G6" s="31"/>
      <c r="H6" s="31"/>
      <c r="I6" s="31"/>
      <c r="J6" s="39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 t="s">
        <v>56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6"/>
      <c r="B6" s="57" t="s">
        <v>39</v>
      </c>
      <c r="C6" s="58" t="s">
        <v>40</v>
      </c>
      <c r="D6" s="58" t="s">
        <v>41</v>
      </c>
      <c r="E6" s="58" t="s">
        <v>42</v>
      </c>
      <c r="F6" s="58" t="s">
        <v>43</v>
      </c>
      <c r="G6" s="58" t="s">
        <v>43</v>
      </c>
      <c r="H6" s="59" t="s">
        <v>57</v>
      </c>
      <c r="I6" s="31"/>
      <c r="J6" s="31"/>
      <c r="K6" s="37" t="s">
        <v>18</v>
      </c>
      <c r="L6" s="31"/>
      <c r="M6" s="37" t="s">
        <v>56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69" t="s">
        <v>39</v>
      </c>
      <c r="C7" s="70" t="s">
        <v>45</v>
      </c>
      <c r="D7" s="70" t="s">
        <v>41</v>
      </c>
      <c r="E7" s="70" t="s">
        <v>46</v>
      </c>
      <c r="F7" s="70" t="s">
        <v>43</v>
      </c>
      <c r="G7" s="70" t="s">
        <v>43</v>
      </c>
      <c r="H7" s="71" t="s">
        <v>58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69" t="s">
        <v>39</v>
      </c>
      <c r="C8" s="72" t="s">
        <v>48</v>
      </c>
      <c r="D8" s="72" t="s">
        <v>41</v>
      </c>
      <c r="E8" s="72" t="s">
        <v>49</v>
      </c>
      <c r="F8" s="72" t="s">
        <v>43</v>
      </c>
      <c r="G8" s="72" t="s">
        <v>43</v>
      </c>
      <c r="H8" s="73" t="s">
        <v>59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8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67" t="s">
        <v>21</v>
      </c>
      <c r="AJ6" s="31"/>
      <c r="AK6" s="31"/>
      <c r="AL6" s="74">
        <v>200.0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6"/>
      <c r="B6" s="75" t="s">
        <v>39</v>
      </c>
      <c r="C6" s="76" t="s">
        <v>40</v>
      </c>
      <c r="D6" s="76" t="s">
        <v>41</v>
      </c>
      <c r="E6" s="76" t="s">
        <v>42</v>
      </c>
      <c r="F6" s="76" t="s">
        <v>43</v>
      </c>
      <c r="G6" s="76" t="s">
        <v>43</v>
      </c>
      <c r="H6" s="77" t="s">
        <v>57</v>
      </c>
      <c r="I6" s="31"/>
      <c r="J6" s="31"/>
      <c r="K6" s="37" t="s">
        <v>18</v>
      </c>
      <c r="L6" s="31"/>
      <c r="M6" s="60" t="s">
        <v>35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61"/>
      <c r="B7" s="78" t="s">
        <v>39</v>
      </c>
      <c r="C7" s="79" t="s">
        <v>45</v>
      </c>
      <c r="D7" s="79" t="s">
        <v>41</v>
      </c>
      <c r="E7" s="79" t="s">
        <v>46</v>
      </c>
      <c r="F7" s="79" t="s">
        <v>43</v>
      </c>
      <c r="G7" s="79" t="s">
        <v>43</v>
      </c>
      <c r="H7" s="80" t="s">
        <v>58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61"/>
      <c r="B8" s="78" t="s">
        <v>39</v>
      </c>
      <c r="C8" s="81" t="s">
        <v>48</v>
      </c>
      <c r="D8" s="81" t="s">
        <v>41</v>
      </c>
      <c r="E8" s="81" t="s">
        <v>49</v>
      </c>
      <c r="F8" s="81" t="s">
        <v>43</v>
      </c>
      <c r="G8" s="81" t="s">
        <v>43</v>
      </c>
      <c r="H8" s="82" t="s">
        <v>59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IFERROR(__xludf.DUMMYFUNCTION("""COMPUTED_VALUE"""),"OpenRTPNL")</f>
        <v>OpenRTPNL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63</v>
      </c>
      <c r="C6" s="37" t="s">
        <v>64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IFERROR(__xludf.DUMMYFUNCTION("""COMPUTED_VALUE"""),"OpenRTPNL")</f>
        <v>OpenRTPNL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67" t="s">
        <v>21</v>
      </c>
      <c r="C6" s="31"/>
      <c r="D6" s="34" t="s">
        <v>49</v>
      </c>
      <c r="E6" s="83" t="s">
        <v>23</v>
      </c>
      <c r="F6" s="31"/>
      <c r="G6" s="84">
        <v>10.0</v>
      </c>
      <c r="H6" s="31"/>
      <c r="I6" s="39">
        <v>20.0</v>
      </c>
      <c r="J6" s="39">
        <v>20.0</v>
      </c>
      <c r="K6" s="31"/>
      <c r="L6" s="31"/>
      <c r="M6" s="31"/>
      <c r="N6" s="31"/>
      <c r="O6" s="54">
        <v>20000.0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CheckRealTimeSymAccountMonitor!$4:$4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