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ApplyFilterOnImport" sheetId="5" r:id="rId7"/>
    <sheet state="visible" name="SelectAllOnImport" sheetId="6" r:id="rId8"/>
    <sheet state="visible" name="GetDataAllocation" sheetId="7" r:id="rId9"/>
    <sheet state="visible" name="CheckAllocatedGroups" sheetId="8" r:id="rId10"/>
    <sheet state="visible" name="Unallocate" sheetId="9" r:id="rId11"/>
    <sheet state="visible" name="GroupTrades" sheetId="10" r:id="rId12"/>
    <sheet state="visible" name="SelectUnallocatedGroup1" sheetId="11" r:id="rId13"/>
    <sheet state="visible" name="EnterAccountValuesToAllocate" sheetId="12" r:id="rId14"/>
    <sheet state="visible" name="CheckAllocatedGroups1" sheetId="13" r:id="rId15"/>
    <sheet state="visible" name="VerifyLongPositionsGrid" sheetId="14" r:id="rId16"/>
    <sheet state="visible" name="VerifyShortPositionsGrid" sheetId="15" r:id="rId17"/>
    <sheet state="visible" name="CheckPortfolioManagement" sheetId="16" r:id="rId18"/>
    <sheet state="visible" name="SelectUnallocatedGroup" sheetId="17" r:id="rId19"/>
  </sheets>
  <definedNames/>
  <calcPr/>
</workbook>
</file>

<file path=xl/sharedStrings.xml><?xml version="1.0" encoding="utf-8"?>
<sst xmlns="http://schemas.openxmlformats.org/spreadsheetml/2006/main" count="182" uniqueCount="48">
  <si>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</si>
  <si>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</si>
  <si>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</si>
  <si>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</si>
  <si>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</si>
  <si>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</si>
  <si>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</si>
  <si>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</si>
  <si>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</si>
  <si>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</si>
  <si>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</si>
  <si>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</si>
  <si>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</si>
  <si>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</si>
  <si>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</si>
  <si>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 xml:space="preserve">Allocation1        </t>
  </si>
  <si>
    <t>\\192.168.2.108\DistributedAutomation_Master\Import Cases\Transaction_Import1.csv</t>
  </si>
  <si>
    <t>Cameron</t>
  </si>
  <si>
    <t>Transaction</t>
  </si>
  <si>
    <t>ApplyFilterOnImport</t>
  </si>
  <si>
    <t xml:space="preserve">Trade Date       </t>
  </si>
  <si>
    <t>SelectAllOnImport</t>
  </si>
  <si>
    <t>Allocation</t>
  </si>
  <si>
    <t>GetDataAllocation</t>
  </si>
  <si>
    <t>Historical</t>
  </si>
  <si>
    <t>CheckAllocatedGroups</t>
  </si>
  <si>
    <t>Allocation1</t>
  </si>
  <si>
    <t>Equity</t>
  </si>
  <si>
    <t>Open</t>
  </si>
  <si>
    <t>Buy</t>
  </si>
  <si>
    <t>GOOG</t>
  </si>
  <si>
    <t>Sell</t>
  </si>
  <si>
    <t>Unallocate</t>
  </si>
  <si>
    <t>GroupTrades</t>
  </si>
  <si>
    <t>SelectUnallocatedGroup</t>
  </si>
  <si>
    <t>EnterAccountValuesToAllocate</t>
  </si>
  <si>
    <t xml:space="preserve">Allocation1	</t>
  </si>
  <si>
    <t>Closing</t>
  </si>
  <si>
    <t>VerifyLongPositionsGrid</t>
  </si>
  <si>
    <t>USD</t>
  </si>
  <si>
    <t>VerifyShortPositionsGrid</t>
  </si>
  <si>
    <t>PortfolioManagement</t>
  </si>
  <si>
    <t>CheckPortfolioManagement</t>
  </si>
  <si>
    <t>Long</t>
  </si>
  <si>
    <t>TradingTicket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</si>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</sst>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readingOrder="0" shrinkToFit="0" vertical="bottom" wrapText="0"/>
    </xf>
    <xf borderId="4" fillId="5" fontId="4" numFmtId="164" xfId="0" applyAlignment="1" applyBorder="1" applyFont="1" applyNumberFormat="1">
      <alignment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right" readingOrder="0"/>
    </xf>
    <xf borderId="0" fillId="6" fontId="14" numFmtId="0" xfId="0" applyAlignment="1" applyFont="1">
      <alignment horizontal="left" readingOrder="0"/>
    </xf>
    <xf borderId="4" fillId="5" fontId="4" numFmtId="164" xfId="0" applyAlignment="1" applyBorder="1" applyFont="1" applyNumberFormat="1">
      <alignment readingOrder="0" shrinkToFit="0" wrapText="0"/>
    </xf>
    <xf borderId="0" fillId="5" fontId="10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IFERROR(__xludf.DUMMYFUNCTION("""COMPUTED_VALUE"""),"SelectAllOnImport")</f>
        <v>SelectAllOnImport</v>
      </c>
      <c r="D4" s="25" t="str">
        <f>IFERROR(__xludf.DUMMYFUNCTION("""COMPUTED_VALUE"""),"SelectTransactionImportType")</f>
        <v>SelectTransactionImportType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15</v>
      </c>
      <c r="C6" s="13" t="b">
        <v>0</v>
      </c>
      <c r="D6" s="13"/>
      <c r="E6" s="31" t="s">
        <v>16</v>
      </c>
      <c r="F6" s="13" t="s">
        <v>17</v>
      </c>
      <c r="G6" s="13" t="s">
        <v>18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IFERROR(__xludf.DUMMYFUNCTION("""COMPUTED_VALUE"""),"SelectAllOnImport")</f>
        <v>SelectAllOnImport</v>
      </c>
      <c r="D4" s="25" t="str">
        <f>IFERROR(__xludf.DUMMYFUNCTION("""COMPUTED_VALUE"""),"SelectTransactionImportType")</f>
        <v>SelectTransactionImportType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32" t="str">
        <f>IFERROR(__xludf.DUMMYFUNCTION("""COMPUTED_VALUE"""),"FilterList")</f>
        <v>FilterList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33">
        <v>44091.0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ApplyFilterOnImport!$4:$4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IFERROR(__xludf.DUMMYFUNCTION("""COMPUTED_VALUE"""),"SelectAllOnImport")</f>
        <v>SelectAllOnImport</v>
      </c>
      <c r="D4" s="25" t="str">
        <f>IFERROR(__xludf.DUMMYFUNCTION("""COMPUTED_VALUE"""),"SelectTransactionImportType")</f>
        <v>SelectTransactionImportType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32" t="str">
        <f>IFERROR(__xludf.DUMMYFUNCTION("""COMPUTED_VALUE"""),"From")</f>
        <v>From</v>
      </c>
      <c r="D5" s="32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33">
        <v>44091.0</v>
      </c>
      <c r="D6" s="33">
        <v>44091.0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5" width="12.63"/>
    <col customWidth="1" min="46" max="46" width="15.13"/>
    <col customWidth="1" min="47" max="56" width="12.63"/>
    <col customWidth="1" min="57" max="57" width="21.38"/>
    <col customWidth="1" min="58" max="58" width="15.63"/>
    <col customWidth="1" min="59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IFERROR(__xludf.DUMMYFUNCTION("""COMPUTED_VALUE"""),"isRowCountCheck")</f>
        <v>isRowCountCheck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13">
        <v>2000.0</v>
      </c>
      <c r="F6" s="8"/>
      <c r="G6" s="13" t="s">
        <v>27</v>
      </c>
      <c r="H6" s="13">
        <v>4.0</v>
      </c>
      <c r="I6" s="13">
        <v>5.0</v>
      </c>
      <c r="J6" s="8"/>
      <c r="K6" s="13">
        <v>25.0</v>
      </c>
      <c r="L6" s="13">
        <v>25.0</v>
      </c>
      <c r="M6" s="8"/>
      <c r="N6" s="8"/>
      <c r="O6" s="8"/>
      <c r="S6" s="9" t="s">
        <v>28</v>
      </c>
      <c r="AE6" s="9">
        <v>2000.0</v>
      </c>
      <c r="AT6" s="9">
        <v>50024.36</v>
      </c>
      <c r="AU6" s="9">
        <v>50024.36</v>
      </c>
      <c r="BE6" s="9">
        <v>50000.0</v>
      </c>
      <c r="BF6" s="9">
        <v>50000.0</v>
      </c>
      <c r="BJ6" s="9">
        <v>2000.0</v>
      </c>
      <c r="BO6" s="9" t="s">
        <v>29</v>
      </c>
      <c r="BT6" s="9" t="s">
        <v>30</v>
      </c>
    </row>
    <row r="7" ht="15.75" customHeight="1">
      <c r="A7" s="8"/>
      <c r="B7" s="13" t="s">
        <v>26</v>
      </c>
      <c r="C7" s="8"/>
      <c r="D7" s="8"/>
      <c r="E7" s="13">
        <v>2000.0</v>
      </c>
      <c r="F7" s="8"/>
      <c r="G7" s="13" t="s">
        <v>27</v>
      </c>
      <c r="H7" s="13">
        <v>4.0</v>
      </c>
      <c r="I7" s="35">
        <v>5.0</v>
      </c>
      <c r="J7" s="8"/>
      <c r="K7" s="13">
        <v>22.0</v>
      </c>
      <c r="L7" s="13">
        <v>22.0</v>
      </c>
      <c r="M7" s="8"/>
      <c r="N7" s="8"/>
      <c r="O7" s="8"/>
      <c r="S7" s="9" t="s">
        <v>28</v>
      </c>
      <c r="AE7" s="9">
        <v>2000.0</v>
      </c>
      <c r="AT7" s="9">
        <v>44024.36</v>
      </c>
      <c r="AU7" s="9">
        <v>44024.36</v>
      </c>
      <c r="BE7" s="9">
        <v>44000.0</v>
      </c>
      <c r="BF7" s="9">
        <v>44000.0</v>
      </c>
      <c r="BJ7" s="9">
        <v>2000.0</v>
      </c>
      <c r="BO7" s="9" t="s">
        <v>29</v>
      </c>
      <c r="BT7" s="9" t="s">
        <v>30</v>
      </c>
    </row>
    <row r="8" ht="15.75" customHeight="1">
      <c r="A8" s="8"/>
      <c r="B8" s="13" t="s">
        <v>26</v>
      </c>
      <c r="C8" s="8"/>
      <c r="D8" s="8"/>
      <c r="E8" s="13">
        <v>2000.0</v>
      </c>
      <c r="F8" s="8"/>
      <c r="G8" s="13" t="s">
        <v>27</v>
      </c>
      <c r="H8" s="13">
        <v>4.0</v>
      </c>
      <c r="I8" s="35">
        <v>5.0</v>
      </c>
      <c r="J8" s="8"/>
      <c r="K8" s="13">
        <v>22.0</v>
      </c>
      <c r="L8" s="13">
        <v>22.0</v>
      </c>
      <c r="M8" s="8"/>
      <c r="N8" s="8"/>
      <c r="O8" s="8"/>
      <c r="S8" s="9" t="s">
        <v>28</v>
      </c>
      <c r="AE8" s="9">
        <v>2000.0</v>
      </c>
      <c r="AT8" s="9">
        <v>43975.64</v>
      </c>
      <c r="AU8" s="9">
        <v>43975.64</v>
      </c>
      <c r="BE8" s="9">
        <v>44000.0</v>
      </c>
      <c r="BF8" s="9">
        <v>44000.0</v>
      </c>
      <c r="BJ8" s="9">
        <v>2000.0</v>
      </c>
      <c r="BO8" s="9" t="s">
        <v>31</v>
      </c>
      <c r="BT8" s="9" t="s">
        <v>30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32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2000.0</v>
      </c>
      <c r="D6" s="33">
        <v>44091.0</v>
      </c>
      <c r="E6" s="13" t="s">
        <v>26</v>
      </c>
      <c r="F6" s="13" t="s">
        <v>29</v>
      </c>
      <c r="G6" s="8"/>
      <c r="H6" s="13"/>
      <c r="I6" s="8"/>
      <c r="J6" s="8"/>
      <c r="K6" s="8"/>
      <c r="L6" s="8"/>
      <c r="M6" s="8"/>
      <c r="N6" s="8"/>
      <c r="O6" s="8"/>
      <c r="AT6" s="9">
        <v>50024.36</v>
      </c>
    </row>
    <row r="7" ht="15.75" customHeight="1">
      <c r="A7" s="8"/>
      <c r="B7" s="13" t="s">
        <v>30</v>
      </c>
      <c r="C7" s="13">
        <v>2000.0</v>
      </c>
      <c r="D7" s="33">
        <v>44091.0</v>
      </c>
      <c r="E7" s="36" t="s">
        <v>26</v>
      </c>
      <c r="F7" s="13" t="s">
        <v>29</v>
      </c>
      <c r="G7" s="8"/>
      <c r="H7" s="13"/>
      <c r="I7" s="8"/>
      <c r="J7" s="8"/>
      <c r="K7" s="8"/>
      <c r="L7" s="8"/>
      <c r="M7" s="8"/>
      <c r="N7" s="8"/>
      <c r="O7" s="8"/>
      <c r="AT7" s="9">
        <v>44024.36</v>
      </c>
    </row>
    <row r="8" ht="15.75" customHeight="1">
      <c r="A8" s="8"/>
      <c r="B8" s="13" t="s">
        <v>30</v>
      </c>
      <c r="C8" s="13">
        <v>2000.0</v>
      </c>
      <c r="D8" s="33">
        <v>44091.0</v>
      </c>
      <c r="E8" s="36" t="s">
        <v>26</v>
      </c>
      <c r="F8" s="13" t="s">
        <v>31</v>
      </c>
      <c r="G8" s="8"/>
      <c r="H8" s="13"/>
      <c r="I8" s="8"/>
      <c r="J8" s="8"/>
      <c r="K8" s="8"/>
      <c r="L8" s="8"/>
      <c r="M8" s="8"/>
      <c r="N8" s="8"/>
      <c r="O8" s="8"/>
      <c r="AT8" s="9">
        <v>43975.64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GroupTrades!$4:$4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37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>
        <v>2000.0</v>
      </c>
      <c r="E6" s="13">
        <v>2000.0</v>
      </c>
      <c r="F6" s="33">
        <v>44091.0</v>
      </c>
      <c r="G6" s="13">
        <v>43975.64</v>
      </c>
      <c r="H6" s="13">
        <v>43975.64</v>
      </c>
      <c r="I6" s="13">
        <v>44000.0</v>
      </c>
      <c r="J6" s="8"/>
      <c r="K6" s="13">
        <v>44000.0</v>
      </c>
      <c r="L6" s="8"/>
      <c r="M6" s="8"/>
      <c r="N6" s="8"/>
      <c r="O6" s="8"/>
    </row>
    <row r="7" ht="15.75" customHeight="1">
      <c r="A7" s="8"/>
      <c r="B7" s="13" t="s">
        <v>30</v>
      </c>
      <c r="C7" s="13" t="s">
        <v>29</v>
      </c>
      <c r="D7" s="13">
        <v>4000.0</v>
      </c>
      <c r="E7" s="13">
        <v>4000.0</v>
      </c>
      <c r="F7" s="33">
        <v>44091.0</v>
      </c>
      <c r="G7" s="13">
        <v>94048.72</v>
      </c>
      <c r="H7" s="13">
        <v>94048.72</v>
      </c>
      <c r="I7" s="13">
        <v>94000.0</v>
      </c>
      <c r="J7" s="8"/>
      <c r="K7" s="13">
        <v>94000.0</v>
      </c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35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>
        <v>100.0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5" width="12.63"/>
    <col customWidth="1" min="46" max="46" width="16.75"/>
    <col customWidth="1" min="47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8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IFERROR(__xludf.DUMMYFUNCTION("""COMPUTED_VALUE"""),"isRowCountCheck")</f>
        <v>isRowCountCheck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13">
        <v>2000.0</v>
      </c>
      <c r="F6" s="8"/>
      <c r="G6" s="13" t="s">
        <v>27</v>
      </c>
      <c r="H6" s="13">
        <v>4.0</v>
      </c>
      <c r="I6" s="13">
        <v>5.0</v>
      </c>
      <c r="J6" s="8"/>
      <c r="K6" s="13">
        <v>22.0</v>
      </c>
      <c r="L6" s="13">
        <v>22.0</v>
      </c>
      <c r="M6" s="8"/>
      <c r="N6" s="8"/>
      <c r="O6" s="8"/>
      <c r="S6" s="9" t="s">
        <v>28</v>
      </c>
      <c r="AT6" s="9">
        <v>43985.9754</v>
      </c>
      <c r="AU6" s="9">
        <v>43985.9754</v>
      </c>
      <c r="BE6" s="9">
        <v>44000.0</v>
      </c>
      <c r="BF6" s="9">
        <v>44000.0</v>
      </c>
      <c r="BJ6" s="9">
        <v>2000.0</v>
      </c>
      <c r="BO6" s="9" t="s">
        <v>31</v>
      </c>
      <c r="BT6" s="9" t="s">
        <v>30</v>
      </c>
      <c r="CE6" s="39">
        <v>44091.0</v>
      </c>
    </row>
    <row r="7" ht="15.75" customHeight="1">
      <c r="A7" s="8"/>
      <c r="B7" s="13" t="s">
        <v>26</v>
      </c>
      <c r="C7" s="8"/>
      <c r="D7" s="8"/>
      <c r="E7" s="13">
        <v>4000.0</v>
      </c>
      <c r="F7" s="8"/>
      <c r="G7" s="13" t="s">
        <v>27</v>
      </c>
      <c r="H7" s="13">
        <v>4.0</v>
      </c>
      <c r="I7" s="13">
        <v>5.0</v>
      </c>
      <c r="J7" s="8"/>
      <c r="K7" s="13">
        <v>23.5</v>
      </c>
      <c r="L7" s="13">
        <v>23.5</v>
      </c>
      <c r="M7" s="8"/>
      <c r="N7" s="8"/>
      <c r="O7" s="8"/>
      <c r="S7" s="9" t="s">
        <v>28</v>
      </c>
      <c r="AT7" s="9">
        <v>94014.0526</v>
      </c>
      <c r="AU7" s="9">
        <v>94014.0526</v>
      </c>
      <c r="BE7" s="9">
        <v>94000.0</v>
      </c>
      <c r="BF7" s="9">
        <v>94000.0</v>
      </c>
      <c r="BJ7" s="9">
        <v>4000.0</v>
      </c>
      <c r="BO7" s="9" t="s">
        <v>29</v>
      </c>
      <c r="BT7" s="9" t="s">
        <v>30</v>
      </c>
      <c r="CE7" s="39">
        <v>44091.0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IFERROR(__xludf.DUMMYFUNCTION("""COMPUTED_VALUE"""),"FilterLongPositionGrid")</f>
        <v>FilterLongPositionGrid</v>
      </c>
      <c r="AF4" s="26" t="str">
        <f>IFERROR(__xludf.DUMMYFUNCTION("""COMPUTED_VALUE"""),"FilterShortPositionGrid")</f>
        <v>FilterShortPositionGrid</v>
      </c>
      <c r="AG4" s="26" t="str">
        <f>IFERROR(__xludf.DUMMYFUNCTION("""COMPUTED_VALUE"""),"FilterClosingGrid")</f>
        <v>FilterClosingGrid</v>
      </c>
      <c r="AH4" s="26" t="str">
        <f>IFERROR(__xludf.DUMMYFUNCTION("""COMPUTED_VALUE"""),"FilterUnexpiredGrid")</f>
        <v>FilterUnexpiredGrid</v>
      </c>
      <c r="AI4" s="26" t="str">
        <f>IFERROR(__xludf.DUMMYFUNCTION("""COMPUTED_VALUE"""),"FilterExpiredGrid")</f>
        <v>FilterExpiredGrid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8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/>
      <c r="E6" s="34"/>
      <c r="F6" s="8"/>
      <c r="G6" s="8"/>
      <c r="H6" s="13">
        <v>94014.0526</v>
      </c>
      <c r="I6" s="13">
        <v>23.5</v>
      </c>
      <c r="J6" s="8"/>
      <c r="K6" s="8"/>
      <c r="L6" s="8"/>
      <c r="M6" s="13">
        <v>4000.0</v>
      </c>
      <c r="N6" s="8"/>
      <c r="O6" s="13" t="s">
        <v>39</v>
      </c>
      <c r="P6" s="9" t="s">
        <v>29</v>
      </c>
      <c r="R6" s="9" t="s">
        <v>30</v>
      </c>
      <c r="U6" s="39">
        <v>44091.0</v>
      </c>
      <c r="X6" s="9">
        <v>23.50351315</v>
      </c>
      <c r="Y6" s="9">
        <v>23.5035</v>
      </c>
      <c r="Z6" s="9">
        <v>23.5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IFERROR(__xludf.DUMMYFUNCTION("""COMPUTED_VALUE"""),"FilterLongPositionGrid")</f>
        <v>FilterLongPositionGrid</v>
      </c>
      <c r="AF4" s="26" t="str">
        <f>IFERROR(__xludf.DUMMYFUNCTION("""COMPUTED_VALUE"""),"FilterShortPositionGrid")</f>
        <v>FilterShortPositionGrid</v>
      </c>
      <c r="AG4" s="26" t="str">
        <f>IFERROR(__xludf.DUMMYFUNCTION("""COMPUTED_VALUE"""),"FilterClosingGrid")</f>
        <v>FilterClosingGrid</v>
      </c>
      <c r="AH4" s="26" t="str">
        <f>IFERROR(__xludf.DUMMYFUNCTION("""COMPUTED_VALUE"""),"FilterUnexpiredGrid")</f>
        <v>FilterUnexpiredGrid</v>
      </c>
      <c r="AI4" s="26" t="str">
        <f>IFERROR(__xludf.DUMMYFUNCTION("""COMPUTED_VALUE"""),"FilterExpiredGrid")</f>
        <v>FilterExpiredGrid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8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/>
      <c r="E6" s="34"/>
      <c r="F6" s="8"/>
      <c r="G6" s="8"/>
      <c r="H6" s="13">
        <v>43985.9754</v>
      </c>
      <c r="I6" s="13">
        <v>22.0</v>
      </c>
      <c r="J6" s="8"/>
      <c r="K6" s="8"/>
      <c r="L6" s="8"/>
      <c r="M6" s="13">
        <v>2000.0</v>
      </c>
      <c r="N6" s="8"/>
      <c r="O6" s="13" t="s">
        <v>39</v>
      </c>
      <c r="P6" s="9" t="s">
        <v>31</v>
      </c>
      <c r="R6" s="9" t="s">
        <v>30</v>
      </c>
      <c r="U6" s="39">
        <v>44091.0</v>
      </c>
      <c r="X6" s="9">
        <v>21.9929877</v>
      </c>
      <c r="Y6" s="9">
        <v>21.993</v>
      </c>
      <c r="Z6" s="9">
        <v>22.0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" width="12.63"/>
    <col customWidth="1" min="17" max="17" width="17.0"/>
    <col customWidth="1" min="18" max="85" width="12.63"/>
    <col customWidth="1" min="86" max="86" width="15.13"/>
    <col customWidth="1" min="87" max="16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8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IFERROR(__xludf.DUMMYFUNCTION("""COMPUTED_VALUE"""),"isRowCountCheck")</f>
        <v>isRowCountCheck</v>
      </c>
      <c r="FI5" s="30"/>
      <c r="FJ5" s="30"/>
      <c r="FK5" s="30"/>
    </row>
    <row r="6" ht="15.75" customHeight="1">
      <c r="A6" s="13"/>
      <c r="B6" s="13"/>
      <c r="C6" s="13" t="s">
        <v>30</v>
      </c>
      <c r="D6" s="13">
        <v>-2000.0</v>
      </c>
      <c r="E6" s="13" t="s">
        <v>26</v>
      </c>
      <c r="F6" s="8"/>
      <c r="G6" s="13">
        <v>22.0</v>
      </c>
      <c r="H6" s="13" t="s">
        <v>43</v>
      </c>
      <c r="I6" s="8"/>
      <c r="J6" s="8"/>
      <c r="K6" s="8"/>
      <c r="L6" s="8"/>
      <c r="M6" s="8"/>
      <c r="N6" s="8"/>
      <c r="O6" s="8"/>
      <c r="Q6" s="40">
        <v>44000.0</v>
      </c>
      <c r="T6" s="9" t="s">
        <v>27</v>
      </c>
      <c r="AF6" s="40">
        <v>-2000.0</v>
      </c>
      <c r="AN6" s="9" t="s">
        <v>31</v>
      </c>
      <c r="AP6" s="9" t="s">
        <v>43</v>
      </c>
      <c r="AQ6" s="9" t="s">
        <v>30</v>
      </c>
      <c r="CH6" s="9">
        <v>100.0</v>
      </c>
      <c r="CR6" s="39">
        <v>44091.0</v>
      </c>
    </row>
    <row r="7" ht="15.75" customHeight="1">
      <c r="A7" s="8"/>
      <c r="B7" s="8"/>
      <c r="C7" s="13" t="s">
        <v>30</v>
      </c>
      <c r="D7" s="13">
        <v>4000.0</v>
      </c>
      <c r="E7" s="13" t="s">
        <v>26</v>
      </c>
      <c r="F7" s="8"/>
      <c r="G7" s="13">
        <v>23.5</v>
      </c>
      <c r="H7" s="13" t="s">
        <v>43</v>
      </c>
      <c r="I7" s="8"/>
      <c r="J7" s="8"/>
      <c r="K7" s="8"/>
      <c r="L7" s="8"/>
      <c r="M7" s="8"/>
      <c r="N7" s="8"/>
      <c r="O7" s="8"/>
      <c r="Q7" s="40">
        <v>-94000.0</v>
      </c>
      <c r="T7" s="9" t="s">
        <v>27</v>
      </c>
      <c r="AF7" s="40">
        <v>4000.0</v>
      </c>
      <c r="AN7" s="9" t="s">
        <v>29</v>
      </c>
      <c r="AP7" s="9" t="s">
        <v>43</v>
      </c>
      <c r="AQ7" s="9" t="s">
        <v>30</v>
      </c>
      <c r="CH7" s="9">
        <v>-100.0</v>
      </c>
      <c r="CR7" s="39">
        <v>44091.0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 t="s">
        <v>47</v>
      </c>
      <c r="E6" s="34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