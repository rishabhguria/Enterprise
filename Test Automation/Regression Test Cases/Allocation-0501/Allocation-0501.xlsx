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AddCalculatedPreferences" sheetId="4" r:id="rId6"/>
    <sheet state="visible" name="SetAccountValueCalculatedPref" sheetId="5" r:id="rId7"/>
    <sheet state="visible" name="SetDefaultRuleCalculatedPref" sheetId="6" r:id="rId8"/>
    <sheet state="visible" name="CreateDoneAwayOrder" sheetId="7" r:id="rId9"/>
    <sheet state="visible" name="PricingInput" sheetId="8" r:id="rId10"/>
    <sheet state="visible" name="GetDailyCash" sheetId="9" r:id="rId11"/>
    <sheet state="visible" name="UpdateMultipleDailyCash" sheetId="10" r:id="rId12"/>
    <sheet state="visible" name="UpdateRoundLot" sheetId="11" r:id="rId13"/>
    <sheet state="visible" name="CreateLiveOrder" sheetId="12" r:id="rId14"/>
    <sheet state="visible" name="SelectTrade" sheetId="13" r:id="rId15"/>
    <sheet state="visible" name="AcknowledgeTrade" sheetId="14" r:id="rId16"/>
    <sheet state="visible" name="ExecuteTrade" sheetId="15" r:id="rId17"/>
    <sheet state="visible" name="CheckPortfolioManagement" sheetId="16" r:id="rId18"/>
    <sheet state="visible" name="SelectTrade1" sheetId="17" r:id="rId19"/>
    <sheet state="visible" name="ExecuteTrade1" sheetId="18" r:id="rId20"/>
    <sheet state="visible" name="CheckPortfolioManagement1" sheetId="19" r:id="rId21"/>
    <sheet state="visible" name="SelectTrade2" sheetId="20" r:id="rId22"/>
    <sheet state="visible" name="ExecuteTrade2" sheetId="21" r:id="rId23"/>
    <sheet state="visible" name="CheckPortfolioManagement2" sheetId="22" r:id="rId24"/>
    <sheet state="visible" name="GetDataAllocation" sheetId="23" r:id="rId25"/>
    <sheet state="visible" name="Unallocate" sheetId="24" r:id="rId26"/>
    <sheet state="visible" name="CheckPortfolioManagement3" sheetId="25" r:id="rId27"/>
    <sheet state="visible" name="GetDataAllocation1" sheetId="26" r:id="rId28"/>
    <sheet state="visible" name="SelectUnallocatedGroup" sheetId="27" r:id="rId29"/>
    <sheet state="visible" name="EnterAllocatePreference" sheetId="28" r:id="rId30"/>
    <sheet state="visible" name="CheckPortfolioManagement4" sheetId="29" r:id="rId31"/>
  </sheets>
  <definedNames/>
  <calcPr/>
</workbook>
</file>

<file path=xl/sharedStrings.xml><?xml version="1.0" encoding="utf-8"?>
<sst xmlns="http://schemas.openxmlformats.org/spreadsheetml/2006/main" count="409" uniqueCount="56">
  <si>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</si>
  <si>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</si>
  <si>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</si>
  <si>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</si>
  <si>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</si>
  <si>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</si>
  <si>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</si>
  <si>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</si>
  <si>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</si>
  <si>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</si>
  <si>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</si>
  <si>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</si>
  <si>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Allocation</t>
  </si>
  <si>
    <t>AddCalculatedPreferences</t>
  </si>
  <si>
    <t>Data Format</t>
  </si>
  <si>
    <t>Input Format</t>
  </si>
  <si>
    <t>leveling</t>
  </si>
  <si>
    <t>SetAccountValueCalculatedPref</t>
  </si>
  <si>
    <t>Allocation2</t>
  </si>
  <si>
    <t>Allocation3</t>
  </si>
  <si>
    <t>SetDefaultRuleCalculatedPref</t>
  </si>
  <si>
    <t>Leveling</t>
  </si>
  <si>
    <t>Allocation2,Allocation3</t>
  </si>
  <si>
    <t>TradingTicket</t>
  </si>
  <si>
    <t>CreateDoneAwayOrder</t>
  </si>
  <si>
    <t>AAPL</t>
  </si>
  <si>
    <t>Buy</t>
  </si>
  <si>
    <t>PricingInput</t>
  </si>
  <si>
    <t>DailyValuation</t>
  </si>
  <si>
    <t>GetDailyCash</t>
  </si>
  <si>
    <t>UpdateMultipleDailyCash</t>
  </si>
  <si>
    <t>USD</t>
  </si>
  <si>
    <t>Admin</t>
  </si>
  <si>
    <t>UpdateRoundLot</t>
  </si>
  <si>
    <t>CreateLiveOrder</t>
  </si>
  <si>
    <t>Simulator</t>
  </si>
  <si>
    <t>SelectTrade</t>
  </si>
  <si>
    <t>AcknowledgeTrade</t>
  </si>
  <si>
    <t>ExecuteTrade</t>
  </si>
  <si>
    <t>PortfolioManagement</t>
  </si>
  <si>
    <t>CheckPortfolioManagement</t>
  </si>
  <si>
    <t>NewMF1</t>
  </si>
  <si>
    <t>Long</t>
  </si>
  <si>
    <t>MS</t>
  </si>
  <si>
    <t>Strategy Unallocated</t>
  </si>
  <si>
    <t>Equity</t>
  </si>
  <si>
    <t>US</t>
  </si>
  <si>
    <t>NASDAQ</t>
  </si>
  <si>
    <t>NewMF</t>
  </si>
  <si>
    <t>GetDataAllocation</t>
  </si>
  <si>
    <t>Current</t>
  </si>
  <si>
    <t>Unallocate</t>
  </si>
  <si>
    <t>Multiple</t>
  </si>
  <si>
    <t>SelectUnallocatedGroup</t>
  </si>
  <si>
    <t>EnterAllocatePreference</t>
  </si>
  <si>
    <t>Calculated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</si>
</sst>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000000"/>
      <name val="&quot;Google Sans Mono&quot;"/>
    </font>
    <font>
      <sz val="11.0"/>
      <color rgb="FF000000"/>
      <name val="Calibri"/>
    </font>
    <font>
      <b/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14" xfId="0" applyAlignment="1" applyFont="1" applyNumberFormat="1">
      <alignment horizontal="right" vertical="bottom"/>
    </xf>
    <xf borderId="0" fillId="6" fontId="14" numFmtId="14" xfId="0" applyAlignment="1" applyFill="1" applyFont="1" applyNumberFormat="1">
      <alignment vertical="bottom"/>
    </xf>
    <xf borderId="0" fillId="0" fontId="3" numFmtId="0" xfId="0" applyAlignment="1" applyFont="1">
      <alignment readingOrder="0" vertical="bottom"/>
    </xf>
    <xf borderId="0" fillId="0" fontId="15" numFmtId="0" xfId="0" applyAlignment="1" applyFont="1">
      <alignment readingOrder="0" shrinkToFit="0" vertical="bottom" wrapText="0"/>
    </xf>
    <xf borderId="0" fillId="0" fontId="15" numFmtId="0" xfId="0" applyAlignment="1" applyFont="1">
      <alignment horizontal="right" readingOrder="0" shrinkToFit="0" vertical="bottom" wrapText="0"/>
    </xf>
    <xf borderId="0" fillId="0" fontId="16" numFmtId="0" xfId="0" applyAlignment="1" applyFont="1">
      <alignment readingOrder="0" shrinkToFit="0" vertical="bottom" wrapText="0"/>
    </xf>
    <xf borderId="0" fillId="0" fontId="15" numFmtId="3" xfId="0" applyAlignment="1" applyFont="1" applyNumberFormat="1">
      <alignment horizontal="right" readingOrder="0" shrinkToFit="0" vertical="bottom" wrapText="0"/>
    </xf>
    <xf borderId="0" fillId="0" fontId="15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8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8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8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8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8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8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8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8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8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8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8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8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8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8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8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8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8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8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8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8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8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8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8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8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8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AddCalculatedPreferences!$4:$4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IFERROR(__xludf.DUMMYFUNCTION("""COMPUTED_VALUE"""),"AccountName")</f>
        <v>AccountName</v>
      </c>
      <c r="D5" s="28" t="str">
        <f>IFERROR(__xludf.DUMMYFUNCTION("""COMPUTED_VALUE"""),"Percentage")</f>
        <v>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 t="s">
        <v>16</v>
      </c>
      <c r="C6" s="33" t="s">
        <v>18</v>
      </c>
      <c r="D6" s="34">
        <v>50.0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16</v>
      </c>
      <c r="C7" s="33" t="s">
        <v>19</v>
      </c>
      <c r="D7" s="35">
        <v>50.0</v>
      </c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SetAccountValueCalculatedPref!$4:$4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IFERROR(__xludf.DUMMYFUNCTION("""COMPUTED_VALUE"""),"AllocationMethod")</f>
        <v>AllocationMethod</v>
      </c>
      <c r="C5" s="28" t="str">
        <f>IFERROR(__xludf.DUMMYFUNCTION("""COMPUTED_VALUE"""),"RemainderAllocationTo")</f>
        <v>RemainderAllocationTo</v>
      </c>
      <c r="D5" s="28" t="str">
        <f>IFERROR(__xludf.DUMMYFUNCTION("""COMPUTED_VALUE"""),"Target%AsOf")</f>
        <v>Target%AsOf</v>
      </c>
      <c r="E5" s="28" t="str">
        <f>IFERROR(__xludf.DUMMYFUNCTION("""COMPUTED_VALUE"""),"ProrataAccounts")</f>
        <v>ProrataAccounts</v>
      </c>
      <c r="F5" s="29" t="str">
        <f>IFERROR(__xludf.DUMMYFUNCTION("""COMPUTED_VALUE"""),"DateUptoDays")</f>
        <v>DateUptoDays</v>
      </c>
      <c r="G5" s="28" t="str">
        <f>IFERROR(__xludf.DUMMYFUNCTION("""COMPUTED_VALUE"""),"MatchClosingTransactions")</f>
        <v>MatchClosingTransactions</v>
      </c>
      <c r="H5" s="28" t="str">
        <f>IFERROR(__xludf.DUMMYFUNCTION("""COMPUTED_VALUE"""),"PreferenceName")</f>
        <v>PreferenceName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/>
      <c r="C6" s="33"/>
      <c r="D6" s="32" t="s">
        <v>21</v>
      </c>
      <c r="E6" s="33" t="s">
        <v>22</v>
      </c>
      <c r="F6" s="33"/>
      <c r="G6" s="33"/>
      <c r="H6" s="33" t="s">
        <v>16</v>
      </c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SetDefaultRuleCalculatedPref!$4:$4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 t="s">
        <v>25</v>
      </c>
      <c r="C6" s="33" t="s">
        <v>26</v>
      </c>
      <c r="D6" s="34">
        <v>100.0</v>
      </c>
      <c r="E6" s="33"/>
      <c r="F6" s="33" t="s">
        <v>18</v>
      </c>
      <c r="G6" s="33"/>
      <c r="H6" s="33"/>
      <c r="I6" s="33"/>
      <c r="J6" s="35">
        <v>10.0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25</v>
      </c>
      <c r="C7" s="33" t="s">
        <v>26</v>
      </c>
      <c r="D7" s="35">
        <v>1000.0</v>
      </c>
      <c r="E7" s="33"/>
      <c r="F7" s="33" t="s">
        <v>19</v>
      </c>
      <c r="G7" s="33"/>
      <c r="H7" s="33"/>
      <c r="I7" s="33"/>
      <c r="J7" s="35">
        <v>10.0</v>
      </c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 t="s">
        <v>25</v>
      </c>
      <c r="C6" s="35">
        <v>175.0</v>
      </c>
      <c r="D6" s="32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6">
        <f>TODAY()-1</f>
        <v>45200</v>
      </c>
      <c r="C6" s="37">
        <f>TODAY()</f>
        <v>45201</v>
      </c>
      <c r="D6" s="32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 t="s">
        <v>18</v>
      </c>
      <c r="C6" s="33" t="s">
        <v>31</v>
      </c>
      <c r="D6" s="34">
        <v>7500.0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19</v>
      </c>
      <c r="C7" s="33" t="s">
        <v>31</v>
      </c>
      <c r="D7" s="35">
        <v>75000.0</v>
      </c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 t="str">
        <f>IFERROR(__xludf.DUMMYFUNCTION("""COMPUTED_VALUE"""),"SetAllocationPreferences")</f>
        <v>SetAllocationPreferences</v>
      </c>
      <c r="AD4" s="26" t="str">
        <f>IFERROR(__xludf.DUMMYFUNCTION("""COMPUTED_VALUE"""),"SetRegularCompliancePermission")</f>
        <v>SetRegularCompliancePermission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 Update")</f>
        <v>Symbol Update</v>
      </c>
      <c r="C5" s="28" t="str">
        <f>IFERROR(__xludf.DUMMYFUNCTION("""COMPUTED_VALUE"""),"RoundLot")</f>
        <v>RoundLot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 t="s">
        <v>25</v>
      </c>
      <c r="C6" s="35">
        <v>5.0</v>
      </c>
      <c r="D6" s="32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UpdateRoundLot!$4:$4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 t="str">
        <f>IFERROR(__xludf.DUMMYFUNCTION("""COMPUTED_VALUE"""),"OrderPendingNewPopup")</f>
        <v>OrderPendingNewPopup</v>
      </c>
      <c r="AV5" s="30" t="str">
        <f>IFERROR(__xludf.DUMMYFUNCTION("""COMPUTED_VALUE"""),"Master Funds")</f>
        <v>Master Funds</v>
      </c>
      <c r="AW5" s="30" t="str">
        <f>IFERROR(__xludf.DUMMYFUNCTION("""COMPUTED_VALUE"""),"Allow Duplicate Trade")</f>
        <v>Allow Duplicate Trade</v>
      </c>
      <c r="AX5" s="30" t="str">
        <f>IFERROR(__xludf.DUMMYFUNCTION("""COMPUTED_VALUE"""),"TRVAccountName")</f>
        <v>TRVAccountName</v>
      </c>
      <c r="AY5" s="30" t="str">
        <f>IFERROR(__xludf.DUMMYFUNCTION("""COMPUTED_VALUE"""),"TRVTradeQuantity")</f>
        <v>TRVTradeQuantity</v>
      </c>
      <c r="AZ5" s="30" t="str">
        <f>IFERROR(__xludf.DUMMYFUNCTION("""COMPUTED_VALUE"""),"TRVCurrentPosition")</f>
        <v>TRVCurrentPosition</v>
      </c>
      <c r="BA5" s="30" t="str">
        <f>IFERROR(__xludf.DUMMYFUNCTION("""COMPUTED_VALUE"""),"TRVNav")</f>
        <v>TRVNav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 t="s">
        <v>25</v>
      </c>
      <c r="C6" s="38" t="s">
        <v>26</v>
      </c>
      <c r="D6" s="34">
        <v>1000.0</v>
      </c>
      <c r="E6" s="33"/>
      <c r="F6" s="33" t="s">
        <v>16</v>
      </c>
      <c r="G6" s="33"/>
      <c r="H6" s="33"/>
      <c r="I6" s="33"/>
      <c r="J6" s="35">
        <v>10.0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35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8" t="s">
        <v>26</v>
      </c>
      <c r="C6" s="33" t="s">
        <v>25</v>
      </c>
      <c r="D6" s="32"/>
      <c r="E6" s="33"/>
      <c r="F6" s="33"/>
      <c r="G6" s="35">
        <v>1000.0</v>
      </c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35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8" t="s">
        <v>26</v>
      </c>
      <c r="C6" s="33" t="s">
        <v>25</v>
      </c>
      <c r="D6" s="32"/>
      <c r="E6" s="33"/>
      <c r="F6" s="33"/>
      <c r="G6" s="35">
        <v>1000.0</v>
      </c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35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4">
        <v>10.0</v>
      </c>
      <c r="C6" s="35">
        <v>10.0</v>
      </c>
      <c r="D6" s="32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7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39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IFERROR(__xludf.DUMMYFUNCTION("""COMPUTED_VALUE"""),"ClosePM")</f>
        <v>ClosePM</v>
      </c>
      <c r="G4" s="25" t="str">
        <f>IFERROR(__xludf.DUMMYFUNCTION("""COMPUTED_VALUE"""),"FilterPM")</f>
        <v>FilterPM</v>
      </c>
      <c r="H4" s="25" t="str">
        <f>IFERROR(__xludf.DUMMYFUNCTION("""COMPUTED_VALUE"""),"GroupRowPM")</f>
        <v>GroupRowPM</v>
      </c>
      <c r="I4" s="25" t="str">
        <f>IFERROR(__xludf.DUMMYFUNCTION("""COMPUTED_VALUE"""),"CheckDashboardWithPM")</f>
        <v>CheckDashboardWithPM</v>
      </c>
      <c r="J4" s="25" t="str">
        <f>IFERROR(__xludf.DUMMYFUNCTION("""COMPUTED_VALUE"""),"RemoveFilterPM")</f>
        <v>RemoveFilterPM</v>
      </c>
      <c r="K4" s="25" t="str">
        <f>IFERROR(__xludf.DUMMYFUNCTION("""COMPUTED_VALUE"""),"CheckSummaryRowsPM")</f>
        <v>CheckSummaryRowsPM</v>
      </c>
      <c r="L4" s="25" t="str">
        <f>IFERROR(__xludf.DUMMYFUNCTION("""COMPUTED_VALUE"""),"OpenPTTFromPM")</f>
        <v>OpenPTTFromPM</v>
      </c>
      <c r="M4" s="25" t="str">
        <f>IFERROR(__xludf.DUMMYFUNCTION("""COMPUTED_VALUE"""),"OpenClosingFromPM")</f>
        <v>OpenClosingFromPM</v>
      </c>
      <c r="N4" s="25" t="str">
        <f>IFERROR(__xludf.DUMMYFUNCTION("""COMPUTED_VALUE"""),"OpenCorporateActionFromPM")</f>
        <v>OpenCorporateActionFromPM</v>
      </c>
      <c r="O4" s="25" t="str">
        <f>IFERROR(__xludf.DUMMYFUNCTION("""COMPUTED_VALUE"""),"OpenDailyValuationFromPM")</f>
        <v>OpenDailyValuationFromPM</v>
      </c>
      <c r="P4" s="26" t="str">
        <f>IFERROR(__xludf.DUMMYFUNCTION("""COMPUTED_VALUE"""),"ClosePositionFromPM")</f>
        <v>ClosePositionFromPM</v>
      </c>
      <c r="Q4" s="26" t="str">
        <f>IFERROR(__xludf.DUMMYFUNCTION("""COMPUTED_VALUE"""),"ShowSummaryToolFromPM")</f>
        <v>ShowSummaryToolFromPM</v>
      </c>
      <c r="R4" s="26" t="str">
        <f>IFERROR(__xludf.DUMMYFUNCTION("""COMPUTED_VALUE"""),"HideSummaryToolFromPM")</f>
        <v>HideSummaryToolFromPM</v>
      </c>
      <c r="S4" s="26" t="str">
        <f>IFERROR(__xludf.DUMMYFUNCTION("""COMPUTED_VALUE"""),"CloseAccountPositionFromPM")</f>
        <v>CloseAccountPositionFromPM</v>
      </c>
      <c r="T4" s="26" t="str">
        <f>IFERROR(__xludf.DUMMYFUNCTION("""COMPUTED_VALUE"""),"CloseSelectedTaxlotsFromPM")</f>
        <v>CloseSelectedTaxlotsFromPM</v>
      </c>
      <c r="U4" s="26" t="str">
        <f>IFERROR(__xludf.DUMMYFUNCTION("""COMPUTED_VALUE"""),"ExpandCollapsePM")</f>
        <v>ExpandCollapsePM</v>
      </c>
      <c r="V4" s="26" t="str">
        <f>IFERROR(__xludf.DUMMYFUNCTION("""COMPUTED_VALUE"""),"AddCustomViewPM")</f>
        <v>AddCustomViewPM</v>
      </c>
      <c r="W4" s="26" t="str">
        <f>IFERROR(__xludf.DUMMYFUNCTION("""COMPUTED_VALUE"""),"AddCustomViewRightClickPM")</f>
        <v>AddCustomViewRightClickPM</v>
      </c>
      <c r="X4" s="26" t="str">
        <f>IFERROR(__xludf.DUMMYFUNCTION("""COMPUTED_VALUE"""),"RenameCustomViewPM")</f>
        <v>RenameCustomViewPM</v>
      </c>
      <c r="Y4" s="26" t="str">
        <f>IFERROR(__xludf.DUMMYFUNCTION("""COMPUTED_VALUE"""),"DeleteCustomViewPM")</f>
        <v>DeleteCustomViewPM</v>
      </c>
      <c r="Z4" s="26" t="str">
        <f>IFERROR(__xludf.DUMMYFUNCTION("""COMPUTED_VALUE"""),"OpenCreateTransactionFromPM")</f>
        <v>OpenCreateTransactionFromPM</v>
      </c>
      <c r="AA4" s="26" t="str">
        <f>IFERROR(__xludf.DUMMYFUNCTION("""COMPUTED_VALUE"""),"RemoveGroupingFromPM")</f>
        <v>RemoveGroupingFromPM</v>
      </c>
      <c r="AB4" s="26" t="str">
        <f>IFERROR(__xludf.DUMMYFUNCTION("""COMPUTED_VALUE"""),"IncreasePositionFromPM")</f>
        <v>IncreasePositionFromPM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 t="str">
        <f>IFERROR(__xludf.DUMMYFUNCTION("""COMPUTED_VALUE"""),"IsAccountBlank")</f>
        <v>IsAccountBlank</v>
      </c>
      <c r="FL5" s="30"/>
      <c r="FM5" s="30"/>
      <c r="FN5" s="30"/>
      <c r="FO5" s="30"/>
      <c r="FP5" s="30"/>
      <c r="FQ5" s="30"/>
      <c r="FR5" s="30"/>
      <c r="FS5" s="30"/>
      <c r="FT5" s="30"/>
      <c r="FU5" s="30"/>
    </row>
    <row r="6" ht="15.75" customHeight="1">
      <c r="A6" s="32"/>
      <c r="B6" s="32"/>
      <c r="C6" s="39" t="s">
        <v>25</v>
      </c>
      <c r="D6" s="40">
        <v>100.0</v>
      </c>
      <c r="E6" s="39" t="s">
        <v>18</v>
      </c>
      <c r="F6" s="39" t="s">
        <v>41</v>
      </c>
      <c r="G6" s="40"/>
      <c r="H6" s="39" t="s">
        <v>42</v>
      </c>
      <c r="I6" s="33"/>
      <c r="J6" s="33"/>
      <c r="K6" s="33"/>
      <c r="L6" s="33"/>
      <c r="M6" s="33"/>
      <c r="N6" s="33"/>
      <c r="O6" s="33"/>
      <c r="P6" s="33"/>
      <c r="Q6" s="33"/>
      <c r="R6" s="39" t="s">
        <v>43</v>
      </c>
      <c r="S6" s="39" t="s">
        <v>44</v>
      </c>
      <c r="T6" s="39" t="s">
        <v>45</v>
      </c>
      <c r="U6" s="39" t="s">
        <v>46</v>
      </c>
      <c r="V6" s="39" t="s">
        <v>47</v>
      </c>
      <c r="W6" s="41" t="s">
        <v>31</v>
      </c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9" t="s">
        <v>26</v>
      </c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  <c r="EY6" s="33"/>
      <c r="EZ6" s="33"/>
      <c r="FA6" s="33"/>
      <c r="FB6" s="33"/>
      <c r="FC6" s="33"/>
      <c r="FD6" s="33"/>
      <c r="FE6" s="33"/>
      <c r="FF6" s="33"/>
      <c r="FG6" s="33"/>
      <c r="FH6" s="33"/>
      <c r="FI6" s="33"/>
      <c r="FJ6" s="33"/>
      <c r="FK6" s="33"/>
      <c r="FL6" s="33"/>
      <c r="FM6" s="33"/>
      <c r="FN6" s="33"/>
      <c r="FO6" s="33"/>
      <c r="FP6" s="33"/>
      <c r="FQ6" s="33"/>
      <c r="FR6" s="33"/>
      <c r="FS6" s="33"/>
      <c r="FT6" s="33"/>
      <c r="FU6" s="33"/>
    </row>
    <row r="7" ht="15.75" customHeight="1">
      <c r="A7" s="33"/>
      <c r="B7" s="33"/>
      <c r="C7" s="39" t="s">
        <v>25</v>
      </c>
      <c r="D7" s="42">
        <v>1000.0</v>
      </c>
      <c r="E7" s="39" t="s">
        <v>19</v>
      </c>
      <c r="F7" s="39" t="s">
        <v>48</v>
      </c>
      <c r="G7" s="40"/>
      <c r="H7" s="39" t="s">
        <v>42</v>
      </c>
      <c r="I7" s="33"/>
      <c r="J7" s="33"/>
      <c r="K7" s="33"/>
      <c r="L7" s="33"/>
      <c r="M7" s="33"/>
      <c r="N7" s="33"/>
      <c r="O7" s="33"/>
      <c r="P7" s="33"/>
      <c r="Q7" s="33"/>
      <c r="R7" s="39" t="s">
        <v>43</v>
      </c>
      <c r="S7" s="39" t="s">
        <v>44</v>
      </c>
      <c r="T7" s="39" t="s">
        <v>45</v>
      </c>
      <c r="U7" s="39" t="s">
        <v>46</v>
      </c>
      <c r="V7" s="39" t="s">
        <v>47</v>
      </c>
      <c r="W7" s="39" t="s">
        <v>31</v>
      </c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9" t="s">
        <v>26</v>
      </c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  <c r="EY7" s="33"/>
      <c r="EZ7" s="33"/>
      <c r="FA7" s="33"/>
      <c r="FB7" s="33"/>
      <c r="FC7" s="33"/>
      <c r="FD7" s="33"/>
      <c r="FE7" s="33"/>
      <c r="FF7" s="33"/>
      <c r="FG7" s="33"/>
      <c r="FH7" s="33"/>
      <c r="FI7" s="33"/>
      <c r="FJ7" s="33"/>
      <c r="FK7" s="33"/>
      <c r="FL7" s="33"/>
      <c r="FM7" s="33"/>
      <c r="FN7" s="33"/>
      <c r="FO7" s="33"/>
      <c r="FP7" s="33"/>
      <c r="FQ7" s="33"/>
      <c r="FR7" s="33"/>
      <c r="FS7" s="33"/>
      <c r="FT7" s="33"/>
      <c r="FU7" s="33"/>
    </row>
    <row r="8" ht="15.75" customHeight="1">
      <c r="A8" s="33"/>
      <c r="B8" s="33"/>
      <c r="C8" s="39"/>
      <c r="D8" s="40"/>
      <c r="E8" s="39"/>
      <c r="F8" s="39"/>
      <c r="G8" s="40"/>
      <c r="H8" s="39"/>
      <c r="I8" s="33"/>
      <c r="J8" s="33"/>
      <c r="K8" s="33"/>
      <c r="L8" s="33"/>
      <c r="M8" s="33"/>
      <c r="N8" s="33"/>
      <c r="O8" s="33"/>
      <c r="P8" s="33"/>
      <c r="Q8" s="33"/>
      <c r="R8" s="39"/>
      <c r="S8" s="39"/>
      <c r="T8" s="39"/>
      <c r="U8" s="39"/>
      <c r="V8" s="39"/>
      <c r="W8" s="39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9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  <c r="EY8" s="33"/>
      <c r="EZ8" s="33"/>
      <c r="FA8" s="33"/>
      <c r="FB8" s="33"/>
      <c r="FC8" s="33"/>
      <c r="FD8" s="33"/>
      <c r="FE8" s="33"/>
      <c r="FF8" s="33"/>
      <c r="FG8" s="33"/>
      <c r="FH8" s="33"/>
      <c r="FI8" s="33"/>
      <c r="FJ8" s="33"/>
      <c r="FK8" s="33"/>
      <c r="FL8" s="33"/>
      <c r="FM8" s="33"/>
      <c r="FN8" s="33"/>
      <c r="FO8" s="33"/>
      <c r="FP8" s="33"/>
      <c r="FQ8" s="33"/>
      <c r="FR8" s="33"/>
      <c r="FS8" s="33"/>
      <c r="FT8" s="33"/>
      <c r="FU8" s="33"/>
    </row>
    <row r="9" ht="15.75" customHeight="1">
      <c r="A9" s="8"/>
      <c r="B9" s="8"/>
      <c r="C9" s="43"/>
      <c r="D9" s="43"/>
      <c r="E9" s="43"/>
      <c r="F9" s="43"/>
      <c r="G9" s="43"/>
      <c r="H9" s="43"/>
      <c r="I9" s="8"/>
      <c r="J9" s="8"/>
      <c r="K9" s="8"/>
      <c r="L9" s="8"/>
      <c r="M9" s="8"/>
      <c r="N9" s="8"/>
      <c r="O9" s="8"/>
      <c r="R9" s="43"/>
      <c r="S9" s="43"/>
      <c r="T9" s="43"/>
      <c r="U9" s="43"/>
      <c r="V9" s="43"/>
      <c r="W9" s="39"/>
      <c r="AN9" s="43"/>
    </row>
    <row r="10" ht="15.75" customHeight="1">
      <c r="A10" s="8"/>
      <c r="B10" s="8"/>
      <c r="C10" s="43"/>
      <c r="D10" s="43"/>
      <c r="E10" s="43"/>
      <c r="F10" s="43"/>
      <c r="G10" s="43"/>
      <c r="H10" s="43"/>
      <c r="I10" s="8"/>
      <c r="J10" s="8"/>
      <c r="K10" s="8"/>
      <c r="L10" s="8"/>
      <c r="M10" s="8"/>
      <c r="N10" s="8"/>
      <c r="O10" s="8"/>
      <c r="W10" s="43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35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8" t="s">
        <v>26</v>
      </c>
      <c r="C6" s="33" t="s">
        <v>25</v>
      </c>
      <c r="D6" s="32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35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4">
        <v>10.0</v>
      </c>
      <c r="C6" s="35">
        <v>90.0</v>
      </c>
      <c r="D6" s="32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7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39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IFERROR(__xludf.DUMMYFUNCTION("""COMPUTED_VALUE"""),"ClosePM")</f>
        <v>ClosePM</v>
      </c>
      <c r="G4" s="25" t="str">
        <f>IFERROR(__xludf.DUMMYFUNCTION("""COMPUTED_VALUE"""),"FilterPM")</f>
        <v>FilterPM</v>
      </c>
      <c r="H4" s="25" t="str">
        <f>IFERROR(__xludf.DUMMYFUNCTION("""COMPUTED_VALUE"""),"GroupRowPM")</f>
        <v>GroupRowPM</v>
      </c>
      <c r="I4" s="25" t="str">
        <f>IFERROR(__xludf.DUMMYFUNCTION("""COMPUTED_VALUE"""),"CheckDashboardWithPM")</f>
        <v>CheckDashboardWithPM</v>
      </c>
      <c r="J4" s="25" t="str">
        <f>IFERROR(__xludf.DUMMYFUNCTION("""COMPUTED_VALUE"""),"RemoveFilterPM")</f>
        <v>RemoveFilterPM</v>
      </c>
      <c r="K4" s="25" t="str">
        <f>IFERROR(__xludf.DUMMYFUNCTION("""COMPUTED_VALUE"""),"CheckSummaryRowsPM")</f>
        <v>CheckSummaryRowsPM</v>
      </c>
      <c r="L4" s="25" t="str">
        <f>IFERROR(__xludf.DUMMYFUNCTION("""COMPUTED_VALUE"""),"OpenPTTFromPM")</f>
        <v>OpenPTTFromPM</v>
      </c>
      <c r="M4" s="25" t="str">
        <f>IFERROR(__xludf.DUMMYFUNCTION("""COMPUTED_VALUE"""),"OpenClosingFromPM")</f>
        <v>OpenClosingFromPM</v>
      </c>
      <c r="N4" s="25" t="str">
        <f>IFERROR(__xludf.DUMMYFUNCTION("""COMPUTED_VALUE"""),"OpenCorporateActionFromPM")</f>
        <v>OpenCorporateActionFromPM</v>
      </c>
      <c r="O4" s="25" t="str">
        <f>IFERROR(__xludf.DUMMYFUNCTION("""COMPUTED_VALUE"""),"OpenDailyValuationFromPM")</f>
        <v>OpenDailyValuationFromPM</v>
      </c>
      <c r="P4" s="26" t="str">
        <f>IFERROR(__xludf.DUMMYFUNCTION("""COMPUTED_VALUE"""),"ClosePositionFromPM")</f>
        <v>ClosePositionFromPM</v>
      </c>
      <c r="Q4" s="26" t="str">
        <f>IFERROR(__xludf.DUMMYFUNCTION("""COMPUTED_VALUE"""),"ShowSummaryToolFromPM")</f>
        <v>ShowSummaryToolFromPM</v>
      </c>
      <c r="R4" s="26" t="str">
        <f>IFERROR(__xludf.DUMMYFUNCTION("""COMPUTED_VALUE"""),"HideSummaryToolFromPM")</f>
        <v>HideSummaryToolFromPM</v>
      </c>
      <c r="S4" s="26" t="str">
        <f>IFERROR(__xludf.DUMMYFUNCTION("""COMPUTED_VALUE"""),"CloseAccountPositionFromPM")</f>
        <v>CloseAccountPositionFromPM</v>
      </c>
      <c r="T4" s="26" t="str">
        <f>IFERROR(__xludf.DUMMYFUNCTION("""COMPUTED_VALUE"""),"CloseSelectedTaxlotsFromPM")</f>
        <v>CloseSelectedTaxlotsFromPM</v>
      </c>
      <c r="U4" s="26" t="str">
        <f>IFERROR(__xludf.DUMMYFUNCTION("""COMPUTED_VALUE"""),"ExpandCollapsePM")</f>
        <v>ExpandCollapsePM</v>
      </c>
      <c r="V4" s="26" t="str">
        <f>IFERROR(__xludf.DUMMYFUNCTION("""COMPUTED_VALUE"""),"AddCustomViewPM")</f>
        <v>AddCustomViewPM</v>
      </c>
      <c r="W4" s="26" t="str">
        <f>IFERROR(__xludf.DUMMYFUNCTION("""COMPUTED_VALUE"""),"AddCustomViewRightClickPM")</f>
        <v>AddCustomViewRightClickPM</v>
      </c>
      <c r="X4" s="26" t="str">
        <f>IFERROR(__xludf.DUMMYFUNCTION("""COMPUTED_VALUE"""),"RenameCustomViewPM")</f>
        <v>RenameCustomViewPM</v>
      </c>
      <c r="Y4" s="26" t="str">
        <f>IFERROR(__xludf.DUMMYFUNCTION("""COMPUTED_VALUE"""),"DeleteCustomViewPM")</f>
        <v>DeleteCustomViewPM</v>
      </c>
      <c r="Z4" s="26" t="str">
        <f>IFERROR(__xludf.DUMMYFUNCTION("""COMPUTED_VALUE"""),"OpenCreateTransactionFromPM")</f>
        <v>OpenCreateTransactionFromPM</v>
      </c>
      <c r="AA4" s="26" t="str">
        <f>IFERROR(__xludf.DUMMYFUNCTION("""COMPUTED_VALUE"""),"RemoveGroupingFromPM")</f>
        <v>RemoveGroupingFromPM</v>
      </c>
      <c r="AB4" s="26" t="str">
        <f>IFERROR(__xludf.DUMMYFUNCTION("""COMPUTED_VALUE"""),"IncreasePositionFromPM")</f>
        <v>IncreasePositionFromPM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 t="str">
        <f>IFERROR(__xludf.DUMMYFUNCTION("""COMPUTED_VALUE"""),"IsAccountBlank")</f>
        <v>IsAccountBlank</v>
      </c>
      <c r="FL5" s="30"/>
      <c r="FM5" s="30"/>
      <c r="FN5" s="30"/>
      <c r="FO5" s="30"/>
      <c r="FP5" s="30"/>
      <c r="FQ5" s="30"/>
      <c r="FR5" s="30"/>
      <c r="FS5" s="30"/>
      <c r="FT5" s="30"/>
      <c r="FU5" s="30"/>
    </row>
    <row r="6" ht="15.75" customHeight="1">
      <c r="A6" s="32"/>
      <c r="B6" s="32"/>
      <c r="C6" s="39" t="s">
        <v>25</v>
      </c>
      <c r="D6" s="40">
        <v>100.0</v>
      </c>
      <c r="E6" s="39" t="s">
        <v>18</v>
      </c>
      <c r="F6" s="39" t="s">
        <v>41</v>
      </c>
      <c r="G6" s="40"/>
      <c r="H6" s="39" t="s">
        <v>42</v>
      </c>
      <c r="I6" s="33"/>
      <c r="J6" s="33"/>
      <c r="K6" s="33"/>
      <c r="L6" s="33"/>
      <c r="M6" s="33"/>
      <c r="N6" s="33"/>
      <c r="O6" s="33"/>
      <c r="P6" s="33"/>
      <c r="Q6" s="33"/>
      <c r="R6" s="39" t="s">
        <v>43</v>
      </c>
      <c r="S6" s="39" t="s">
        <v>44</v>
      </c>
      <c r="T6" s="39" t="s">
        <v>45</v>
      </c>
      <c r="U6" s="39" t="s">
        <v>46</v>
      </c>
      <c r="V6" s="39" t="s">
        <v>47</v>
      </c>
      <c r="W6" s="39" t="s">
        <v>31</v>
      </c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9" t="s">
        <v>26</v>
      </c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  <c r="EY6" s="33"/>
      <c r="EZ6" s="33"/>
      <c r="FA6" s="33"/>
      <c r="FB6" s="33"/>
      <c r="FC6" s="33"/>
      <c r="FD6" s="33"/>
      <c r="FE6" s="33"/>
      <c r="FF6" s="33"/>
      <c r="FG6" s="33"/>
      <c r="FH6" s="33"/>
      <c r="FI6" s="33"/>
      <c r="FJ6" s="33"/>
      <c r="FK6" s="33"/>
      <c r="FL6" s="33"/>
      <c r="FM6" s="33"/>
      <c r="FN6" s="33"/>
      <c r="FO6" s="33"/>
      <c r="FP6" s="33"/>
      <c r="FQ6" s="33"/>
      <c r="FR6" s="33"/>
      <c r="FS6" s="33"/>
      <c r="FT6" s="33"/>
      <c r="FU6" s="33"/>
    </row>
    <row r="7" ht="15.75" customHeight="1">
      <c r="A7" s="33"/>
      <c r="B7" s="33"/>
      <c r="C7" s="39" t="s">
        <v>25</v>
      </c>
      <c r="D7" s="40">
        <v>8.0</v>
      </c>
      <c r="E7" s="39" t="s">
        <v>18</v>
      </c>
      <c r="F7" s="39" t="s">
        <v>41</v>
      </c>
      <c r="G7" s="40"/>
      <c r="H7" s="39" t="s">
        <v>42</v>
      </c>
      <c r="I7" s="33"/>
      <c r="J7" s="33"/>
      <c r="K7" s="33"/>
      <c r="L7" s="33"/>
      <c r="M7" s="33"/>
      <c r="N7" s="33"/>
      <c r="O7" s="33"/>
      <c r="P7" s="33"/>
      <c r="Q7" s="33"/>
      <c r="R7" s="39" t="s">
        <v>43</v>
      </c>
      <c r="S7" s="39" t="s">
        <v>44</v>
      </c>
      <c r="T7" s="39" t="s">
        <v>45</v>
      </c>
      <c r="U7" s="39" t="s">
        <v>46</v>
      </c>
      <c r="V7" s="39" t="s">
        <v>47</v>
      </c>
      <c r="W7" s="39" t="s">
        <v>31</v>
      </c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9" t="s">
        <v>26</v>
      </c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  <c r="EY7" s="33"/>
      <c r="EZ7" s="33"/>
      <c r="FA7" s="33"/>
      <c r="FB7" s="33"/>
      <c r="FC7" s="33"/>
      <c r="FD7" s="33"/>
      <c r="FE7" s="33"/>
      <c r="FF7" s="33"/>
      <c r="FG7" s="33"/>
      <c r="FH7" s="33"/>
      <c r="FI7" s="33"/>
      <c r="FJ7" s="33"/>
      <c r="FK7" s="33"/>
      <c r="FL7" s="33"/>
      <c r="FM7" s="33"/>
      <c r="FN7" s="33"/>
      <c r="FO7" s="33"/>
      <c r="FP7" s="33"/>
      <c r="FQ7" s="33"/>
      <c r="FR7" s="33"/>
      <c r="FS7" s="33"/>
      <c r="FT7" s="33"/>
      <c r="FU7" s="33"/>
    </row>
    <row r="8" ht="15.75" customHeight="1">
      <c r="A8" s="33"/>
      <c r="B8" s="33"/>
      <c r="C8" s="39" t="s">
        <v>25</v>
      </c>
      <c r="D8" s="42">
        <v>1000.0</v>
      </c>
      <c r="E8" s="39" t="s">
        <v>19</v>
      </c>
      <c r="F8" s="39" t="s">
        <v>48</v>
      </c>
      <c r="G8" s="40"/>
      <c r="H8" s="39" t="s">
        <v>42</v>
      </c>
      <c r="I8" s="33"/>
      <c r="J8" s="33"/>
      <c r="K8" s="33"/>
      <c r="L8" s="33"/>
      <c r="M8" s="33"/>
      <c r="N8" s="33"/>
      <c r="O8" s="33"/>
      <c r="P8" s="33"/>
      <c r="Q8" s="33"/>
      <c r="R8" s="39" t="s">
        <v>43</v>
      </c>
      <c r="S8" s="39" t="s">
        <v>44</v>
      </c>
      <c r="T8" s="39" t="s">
        <v>45</v>
      </c>
      <c r="U8" s="39" t="s">
        <v>46</v>
      </c>
      <c r="V8" s="39" t="s">
        <v>47</v>
      </c>
      <c r="W8" s="39" t="s">
        <v>31</v>
      </c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9" t="s">
        <v>26</v>
      </c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  <c r="EY8" s="33"/>
      <c r="EZ8" s="33"/>
      <c r="FA8" s="33"/>
      <c r="FB8" s="33"/>
      <c r="FC8" s="33"/>
      <c r="FD8" s="33"/>
      <c r="FE8" s="33"/>
      <c r="FF8" s="33"/>
      <c r="FG8" s="33"/>
      <c r="FH8" s="33"/>
      <c r="FI8" s="33"/>
      <c r="FJ8" s="33"/>
      <c r="FK8" s="33"/>
      <c r="FL8" s="33"/>
      <c r="FM8" s="33"/>
      <c r="FN8" s="33"/>
      <c r="FO8" s="33"/>
      <c r="FP8" s="33"/>
      <c r="FQ8" s="33"/>
      <c r="FR8" s="33"/>
      <c r="FS8" s="33"/>
      <c r="FT8" s="33"/>
      <c r="FU8" s="33"/>
    </row>
    <row r="9" ht="15.75" customHeight="1">
      <c r="A9" s="33"/>
      <c r="B9" s="33"/>
      <c r="C9" s="39" t="s">
        <v>25</v>
      </c>
      <c r="D9" s="40">
        <v>92.0</v>
      </c>
      <c r="E9" s="39" t="s">
        <v>19</v>
      </c>
      <c r="F9" s="39" t="s">
        <v>48</v>
      </c>
      <c r="G9" s="40"/>
      <c r="H9" s="39" t="s">
        <v>42</v>
      </c>
      <c r="I9" s="33"/>
      <c r="J9" s="33"/>
      <c r="K9" s="33"/>
      <c r="L9" s="33"/>
      <c r="M9" s="33"/>
      <c r="N9" s="33"/>
      <c r="O9" s="33"/>
      <c r="P9" s="33"/>
      <c r="Q9" s="33"/>
      <c r="R9" s="39" t="s">
        <v>43</v>
      </c>
      <c r="S9" s="39" t="s">
        <v>44</v>
      </c>
      <c r="T9" s="39" t="s">
        <v>45</v>
      </c>
      <c r="U9" s="39" t="s">
        <v>46</v>
      </c>
      <c r="V9" s="39" t="s">
        <v>47</v>
      </c>
      <c r="W9" s="39" t="s">
        <v>31</v>
      </c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9" t="s">
        <v>26</v>
      </c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  <c r="EY9" s="33"/>
      <c r="EZ9" s="33"/>
      <c r="FA9" s="33"/>
      <c r="FB9" s="33"/>
      <c r="FC9" s="33"/>
      <c r="FD9" s="33"/>
      <c r="FE9" s="33"/>
      <c r="FF9" s="33"/>
      <c r="FG9" s="33"/>
      <c r="FH9" s="33"/>
      <c r="FI9" s="33"/>
      <c r="FJ9" s="33"/>
      <c r="FK9" s="33"/>
      <c r="FL9" s="33"/>
      <c r="FM9" s="33"/>
      <c r="FN9" s="33"/>
      <c r="FO9" s="33"/>
      <c r="FP9" s="33"/>
      <c r="FQ9" s="33"/>
      <c r="FR9" s="33"/>
      <c r="FS9" s="33"/>
      <c r="FT9" s="33"/>
      <c r="FU9" s="33"/>
    </row>
    <row r="10" ht="15.75" customHeight="1">
      <c r="A10" s="8"/>
      <c r="B10" s="8"/>
      <c r="C10" s="43"/>
      <c r="D10" s="43"/>
      <c r="E10" s="43"/>
      <c r="F10" s="43"/>
      <c r="G10" s="43"/>
      <c r="H10" s="43"/>
      <c r="I10" s="8"/>
      <c r="J10" s="8"/>
      <c r="K10" s="8"/>
      <c r="L10" s="8"/>
      <c r="M10" s="8"/>
      <c r="N10" s="8"/>
      <c r="O10" s="8"/>
      <c r="R10" s="43"/>
      <c r="S10" s="43"/>
      <c r="T10" s="43"/>
      <c r="U10" s="43"/>
      <c r="V10" s="43"/>
      <c r="W10" s="43"/>
      <c r="AN10" s="43"/>
    </row>
    <row r="11" ht="15.75" customHeight="1">
      <c r="A11" s="8"/>
      <c r="B11" s="8"/>
      <c r="C11" s="43"/>
      <c r="D11" s="43"/>
      <c r="E11" s="8"/>
      <c r="F11" s="8"/>
      <c r="G11" s="43"/>
      <c r="H11" s="43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35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8" t="s">
        <v>26</v>
      </c>
      <c r="C6" s="33" t="s">
        <v>25</v>
      </c>
      <c r="D6" s="32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SelectTrade2!$4:$4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35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4">
        <v>10.0</v>
      </c>
      <c r="C6" s="35">
        <v>900.0</v>
      </c>
      <c r="D6" s="32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7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39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IFERROR(__xludf.DUMMYFUNCTION("""COMPUTED_VALUE"""),"ClosePM")</f>
        <v>ClosePM</v>
      </c>
      <c r="G4" s="25" t="str">
        <f>IFERROR(__xludf.DUMMYFUNCTION("""COMPUTED_VALUE"""),"FilterPM")</f>
        <v>FilterPM</v>
      </c>
      <c r="H4" s="25" t="str">
        <f>IFERROR(__xludf.DUMMYFUNCTION("""COMPUTED_VALUE"""),"GroupRowPM")</f>
        <v>GroupRowPM</v>
      </c>
      <c r="I4" s="25" t="str">
        <f>IFERROR(__xludf.DUMMYFUNCTION("""COMPUTED_VALUE"""),"CheckDashboardWithPM")</f>
        <v>CheckDashboardWithPM</v>
      </c>
      <c r="J4" s="25" t="str">
        <f>IFERROR(__xludf.DUMMYFUNCTION("""COMPUTED_VALUE"""),"RemoveFilterPM")</f>
        <v>RemoveFilterPM</v>
      </c>
      <c r="K4" s="25" t="str">
        <f>IFERROR(__xludf.DUMMYFUNCTION("""COMPUTED_VALUE"""),"CheckSummaryRowsPM")</f>
        <v>CheckSummaryRowsPM</v>
      </c>
      <c r="L4" s="25" t="str">
        <f>IFERROR(__xludf.DUMMYFUNCTION("""COMPUTED_VALUE"""),"OpenPTTFromPM")</f>
        <v>OpenPTTFromPM</v>
      </c>
      <c r="M4" s="25" t="str">
        <f>IFERROR(__xludf.DUMMYFUNCTION("""COMPUTED_VALUE"""),"OpenClosingFromPM")</f>
        <v>OpenClosingFromPM</v>
      </c>
      <c r="N4" s="25" t="str">
        <f>IFERROR(__xludf.DUMMYFUNCTION("""COMPUTED_VALUE"""),"OpenCorporateActionFromPM")</f>
        <v>OpenCorporateActionFromPM</v>
      </c>
      <c r="O4" s="25" t="str">
        <f>IFERROR(__xludf.DUMMYFUNCTION("""COMPUTED_VALUE"""),"OpenDailyValuationFromPM")</f>
        <v>OpenDailyValuationFromPM</v>
      </c>
      <c r="P4" s="26" t="str">
        <f>IFERROR(__xludf.DUMMYFUNCTION("""COMPUTED_VALUE"""),"ClosePositionFromPM")</f>
        <v>ClosePositionFromPM</v>
      </c>
      <c r="Q4" s="26" t="str">
        <f>IFERROR(__xludf.DUMMYFUNCTION("""COMPUTED_VALUE"""),"ShowSummaryToolFromPM")</f>
        <v>ShowSummaryToolFromPM</v>
      </c>
      <c r="R4" s="26" t="str">
        <f>IFERROR(__xludf.DUMMYFUNCTION("""COMPUTED_VALUE"""),"HideSummaryToolFromPM")</f>
        <v>HideSummaryToolFromPM</v>
      </c>
      <c r="S4" s="26" t="str">
        <f>IFERROR(__xludf.DUMMYFUNCTION("""COMPUTED_VALUE"""),"CloseAccountPositionFromPM")</f>
        <v>CloseAccountPositionFromPM</v>
      </c>
      <c r="T4" s="26" t="str">
        <f>IFERROR(__xludf.DUMMYFUNCTION("""COMPUTED_VALUE"""),"CloseSelectedTaxlotsFromPM")</f>
        <v>CloseSelectedTaxlotsFromPM</v>
      </c>
      <c r="U4" s="26" t="str">
        <f>IFERROR(__xludf.DUMMYFUNCTION("""COMPUTED_VALUE"""),"ExpandCollapsePM")</f>
        <v>ExpandCollapsePM</v>
      </c>
      <c r="V4" s="26" t="str">
        <f>IFERROR(__xludf.DUMMYFUNCTION("""COMPUTED_VALUE"""),"AddCustomViewPM")</f>
        <v>AddCustomViewPM</v>
      </c>
      <c r="W4" s="26" t="str">
        <f>IFERROR(__xludf.DUMMYFUNCTION("""COMPUTED_VALUE"""),"AddCustomViewRightClickPM")</f>
        <v>AddCustomViewRightClickPM</v>
      </c>
      <c r="X4" s="26" t="str">
        <f>IFERROR(__xludf.DUMMYFUNCTION("""COMPUTED_VALUE"""),"RenameCustomViewPM")</f>
        <v>RenameCustomViewPM</v>
      </c>
      <c r="Y4" s="26" t="str">
        <f>IFERROR(__xludf.DUMMYFUNCTION("""COMPUTED_VALUE"""),"DeleteCustomViewPM")</f>
        <v>DeleteCustomViewPM</v>
      </c>
      <c r="Z4" s="26" t="str">
        <f>IFERROR(__xludf.DUMMYFUNCTION("""COMPUTED_VALUE"""),"OpenCreateTransactionFromPM")</f>
        <v>OpenCreateTransactionFromPM</v>
      </c>
      <c r="AA4" s="26" t="str">
        <f>IFERROR(__xludf.DUMMYFUNCTION("""COMPUTED_VALUE"""),"RemoveGroupingFromPM")</f>
        <v>RemoveGroupingFromPM</v>
      </c>
      <c r="AB4" s="26" t="str">
        <f>IFERROR(__xludf.DUMMYFUNCTION("""COMPUTED_VALUE"""),"IncreasePositionFromPM")</f>
        <v>IncreasePositionFromPM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 t="str">
        <f>IFERROR(__xludf.DUMMYFUNCTION("""COMPUTED_VALUE"""),"IsAccountBlank")</f>
        <v>IsAccountBlank</v>
      </c>
      <c r="FL5" s="30"/>
      <c r="FM5" s="30"/>
      <c r="FN5" s="30"/>
      <c r="FO5" s="30"/>
      <c r="FP5" s="30"/>
      <c r="FQ5" s="30"/>
      <c r="FR5" s="30"/>
      <c r="FS5" s="30"/>
      <c r="FT5" s="30"/>
      <c r="FU5" s="30"/>
    </row>
    <row r="6" ht="15.75" customHeight="1">
      <c r="A6" s="32"/>
      <c r="B6" s="32"/>
      <c r="C6" s="39" t="s">
        <v>25</v>
      </c>
      <c r="D6" s="40">
        <v>100.0</v>
      </c>
      <c r="E6" s="39" t="s">
        <v>18</v>
      </c>
      <c r="F6" s="39" t="s">
        <v>41</v>
      </c>
      <c r="G6" s="40"/>
      <c r="H6" s="39" t="s">
        <v>42</v>
      </c>
      <c r="I6" s="33"/>
      <c r="J6" s="33"/>
      <c r="K6" s="33"/>
      <c r="L6" s="33"/>
      <c r="M6" s="33"/>
      <c r="N6" s="33"/>
      <c r="O6" s="33"/>
      <c r="P6" s="33"/>
      <c r="Q6" s="33"/>
      <c r="R6" s="39" t="s">
        <v>43</v>
      </c>
      <c r="S6" s="39" t="s">
        <v>44</v>
      </c>
      <c r="T6" s="39" t="s">
        <v>45</v>
      </c>
      <c r="U6" s="39" t="s">
        <v>46</v>
      </c>
      <c r="V6" s="39" t="s">
        <v>47</v>
      </c>
      <c r="W6" s="39" t="s">
        <v>31</v>
      </c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9" t="s">
        <v>26</v>
      </c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  <c r="EY6" s="33"/>
      <c r="EZ6" s="33"/>
      <c r="FA6" s="33"/>
      <c r="FB6" s="33"/>
      <c r="FC6" s="33"/>
      <c r="FD6" s="33"/>
      <c r="FE6" s="33"/>
      <c r="FF6" s="33"/>
      <c r="FG6" s="33"/>
      <c r="FH6" s="33"/>
      <c r="FI6" s="33"/>
      <c r="FJ6" s="33"/>
      <c r="FK6" s="33"/>
      <c r="FL6" s="33"/>
      <c r="FM6" s="33"/>
      <c r="FN6" s="33"/>
      <c r="FO6" s="33"/>
      <c r="FP6" s="33"/>
      <c r="FQ6" s="33"/>
      <c r="FR6" s="33"/>
      <c r="FS6" s="33"/>
      <c r="FT6" s="33"/>
      <c r="FU6" s="33"/>
    </row>
    <row r="7" ht="15.75" customHeight="1">
      <c r="A7" s="33"/>
      <c r="B7" s="33"/>
      <c r="C7" s="39" t="s">
        <v>25</v>
      </c>
      <c r="D7" s="40">
        <v>89.0</v>
      </c>
      <c r="E7" s="39" t="s">
        <v>18</v>
      </c>
      <c r="F7" s="39" t="s">
        <v>41</v>
      </c>
      <c r="G7" s="40"/>
      <c r="H7" s="39" t="s">
        <v>42</v>
      </c>
      <c r="I7" s="33"/>
      <c r="J7" s="33"/>
      <c r="K7" s="33"/>
      <c r="L7" s="33"/>
      <c r="M7" s="33"/>
      <c r="N7" s="33"/>
      <c r="O7" s="33"/>
      <c r="P7" s="33"/>
      <c r="Q7" s="33"/>
      <c r="R7" s="39" t="s">
        <v>43</v>
      </c>
      <c r="S7" s="39" t="s">
        <v>44</v>
      </c>
      <c r="T7" s="39" t="s">
        <v>45</v>
      </c>
      <c r="U7" s="39" t="s">
        <v>46</v>
      </c>
      <c r="V7" s="39" t="s">
        <v>47</v>
      </c>
      <c r="W7" s="39" t="s">
        <v>31</v>
      </c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9" t="s">
        <v>26</v>
      </c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  <c r="EY7" s="33"/>
      <c r="EZ7" s="33"/>
      <c r="FA7" s="33"/>
      <c r="FB7" s="33"/>
      <c r="FC7" s="33"/>
      <c r="FD7" s="33"/>
      <c r="FE7" s="33"/>
      <c r="FF7" s="33"/>
      <c r="FG7" s="33"/>
      <c r="FH7" s="33"/>
      <c r="FI7" s="33"/>
      <c r="FJ7" s="33"/>
      <c r="FK7" s="33"/>
      <c r="FL7" s="33"/>
      <c r="FM7" s="33"/>
      <c r="FN7" s="33"/>
      <c r="FO7" s="33"/>
      <c r="FP7" s="33"/>
      <c r="FQ7" s="33"/>
      <c r="FR7" s="33"/>
      <c r="FS7" s="33"/>
      <c r="FT7" s="33"/>
      <c r="FU7" s="33"/>
    </row>
    <row r="8" ht="15.75" customHeight="1">
      <c r="A8" s="33"/>
      <c r="B8" s="33"/>
      <c r="C8" s="39" t="s">
        <v>25</v>
      </c>
      <c r="D8" s="42">
        <v>1000.0</v>
      </c>
      <c r="E8" s="39" t="s">
        <v>19</v>
      </c>
      <c r="F8" s="39" t="s">
        <v>48</v>
      </c>
      <c r="G8" s="40"/>
      <c r="H8" s="39" t="s">
        <v>42</v>
      </c>
      <c r="I8" s="33"/>
      <c r="J8" s="33"/>
      <c r="K8" s="33"/>
      <c r="L8" s="33"/>
      <c r="M8" s="33"/>
      <c r="N8" s="33"/>
      <c r="O8" s="33"/>
      <c r="P8" s="33"/>
      <c r="Q8" s="33"/>
      <c r="R8" s="39" t="s">
        <v>43</v>
      </c>
      <c r="S8" s="39" t="s">
        <v>44</v>
      </c>
      <c r="T8" s="39" t="s">
        <v>45</v>
      </c>
      <c r="U8" s="39" t="s">
        <v>46</v>
      </c>
      <c r="V8" s="39" t="s">
        <v>47</v>
      </c>
      <c r="W8" s="39" t="s">
        <v>31</v>
      </c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9" t="s">
        <v>26</v>
      </c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  <c r="EY8" s="33"/>
      <c r="EZ8" s="33"/>
      <c r="FA8" s="33"/>
      <c r="FB8" s="33"/>
      <c r="FC8" s="33"/>
      <c r="FD8" s="33"/>
      <c r="FE8" s="33"/>
      <c r="FF8" s="33"/>
      <c r="FG8" s="33"/>
      <c r="FH8" s="33"/>
      <c r="FI8" s="33"/>
      <c r="FJ8" s="33"/>
      <c r="FK8" s="33"/>
      <c r="FL8" s="33"/>
      <c r="FM8" s="33"/>
      <c r="FN8" s="33"/>
      <c r="FO8" s="33"/>
      <c r="FP8" s="33"/>
      <c r="FQ8" s="33"/>
      <c r="FR8" s="33"/>
      <c r="FS8" s="33"/>
      <c r="FT8" s="33"/>
      <c r="FU8" s="33"/>
    </row>
    <row r="9" ht="15.75" customHeight="1">
      <c r="A9" s="33"/>
      <c r="B9" s="33"/>
      <c r="C9" s="39" t="s">
        <v>25</v>
      </c>
      <c r="D9" s="40">
        <v>911.0</v>
      </c>
      <c r="E9" s="39" t="s">
        <v>19</v>
      </c>
      <c r="F9" s="39" t="s">
        <v>48</v>
      </c>
      <c r="G9" s="40"/>
      <c r="H9" s="39" t="s">
        <v>42</v>
      </c>
      <c r="I9" s="33"/>
      <c r="J9" s="33"/>
      <c r="K9" s="33"/>
      <c r="L9" s="33"/>
      <c r="M9" s="33"/>
      <c r="N9" s="33"/>
      <c r="O9" s="33"/>
      <c r="P9" s="33"/>
      <c r="Q9" s="33"/>
      <c r="R9" s="39" t="s">
        <v>43</v>
      </c>
      <c r="S9" s="39" t="s">
        <v>44</v>
      </c>
      <c r="T9" s="39" t="s">
        <v>45</v>
      </c>
      <c r="U9" s="39" t="s">
        <v>46</v>
      </c>
      <c r="V9" s="39" t="s">
        <v>47</v>
      </c>
      <c r="W9" s="39" t="s">
        <v>31</v>
      </c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9" t="s">
        <v>26</v>
      </c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  <c r="EY9" s="33"/>
      <c r="EZ9" s="33"/>
      <c r="FA9" s="33"/>
      <c r="FB9" s="33"/>
      <c r="FC9" s="33"/>
      <c r="FD9" s="33"/>
      <c r="FE9" s="33"/>
      <c r="FF9" s="33"/>
      <c r="FG9" s="33"/>
      <c r="FH9" s="33"/>
      <c r="FI9" s="33"/>
      <c r="FJ9" s="33"/>
      <c r="FK9" s="33"/>
      <c r="FL9" s="33"/>
      <c r="FM9" s="33"/>
      <c r="FN9" s="33"/>
      <c r="FO9" s="33"/>
      <c r="FP9" s="33"/>
      <c r="FQ9" s="33"/>
      <c r="FR9" s="33"/>
      <c r="FS9" s="33"/>
      <c r="FT9" s="33"/>
      <c r="FU9" s="33"/>
    </row>
    <row r="10" ht="15.75" customHeight="1">
      <c r="A10" s="8"/>
      <c r="B10" s="8"/>
      <c r="C10" s="43"/>
      <c r="D10" s="43"/>
      <c r="E10" s="43"/>
      <c r="F10" s="43"/>
      <c r="G10" s="43"/>
      <c r="H10" s="43"/>
      <c r="I10" s="8"/>
      <c r="J10" s="8"/>
      <c r="K10" s="8"/>
      <c r="L10" s="8"/>
      <c r="M10" s="8"/>
      <c r="N10" s="8"/>
      <c r="O10" s="8"/>
      <c r="R10" s="43"/>
      <c r="S10" s="43"/>
      <c r="T10" s="43"/>
      <c r="U10" s="43"/>
      <c r="V10" s="43"/>
      <c r="W10" s="43"/>
      <c r="AN10" s="43"/>
    </row>
    <row r="11" ht="15.75" customHeight="1">
      <c r="A11" s="8"/>
      <c r="B11" s="8"/>
      <c r="C11" s="8"/>
      <c r="D11" s="8"/>
      <c r="E11" s="8"/>
      <c r="F11" s="43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CheckPortfolioManagement2!$4:$4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49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 t="s">
        <v>50</v>
      </c>
      <c r="C6" s="33"/>
      <c r="D6" s="32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51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IFERROR(__xludf.DUMMYFUNCTION("""COMPUTED_VALUE"""),"Trade Date")</f>
        <v>Trade Date</v>
      </c>
      <c r="E5" s="28" t="str">
        <f>IFERROR(__xludf.DUMMYFUNCTION("""COMPUTED_VALUE"""),"Account Name")</f>
        <v>Account Name</v>
      </c>
      <c r="F5" s="29" t="str">
        <f>IFERROR(__xludf.DUMMYFUNCTION("""COMPUTED_VALUE"""),"Side")</f>
        <v>Side</v>
      </c>
      <c r="G5" s="28" t="str">
        <f>IFERROR(__xludf.DUMMYFUNCTION("""COMPUTED_VALUE"""),"Group Status")</f>
        <v>Group Status</v>
      </c>
      <c r="H5" s="28" t="str">
        <f>IFERROR(__xludf.DUMMYFUNCTION("""COMPUTED_VALUE"""),"Avg Price(Base)")</f>
        <v>Avg Price(Base)</v>
      </c>
      <c r="I5" s="28" t="str">
        <f>IFERROR(__xludf.DUMMYFUNCTION("""COMPUTED_VALUE"""),"Execution Time")</f>
        <v>Execution Time</v>
      </c>
      <c r="J5" s="28" t="str">
        <f>IFERROR(__xludf.DUMMYFUNCTION("""COMPUTED_VALUE"""),"Trade Attribute 1")</f>
        <v>Trade Attribute 1</v>
      </c>
      <c r="K5" s="28" t="str">
        <f>IFERROR(__xludf.DUMMYFUNCTION("""COMPUTED_VALUE"""),"Avg Price(Local)")</f>
        <v>Avg Price(Local)</v>
      </c>
      <c r="L5" s="28" t="str">
        <f>IFERROR(__xludf.DUMMYFUNCTION("""COMPUTED_VALUE"""),"Trade Attribute 2")</f>
        <v>Trade Attribute 2</v>
      </c>
      <c r="M5" s="28" t="str">
        <f>IFERROR(__xludf.DUMMYFUNCTION("""COMPUTED_VALUE"""),"Accrued Interest")</f>
        <v>Accrued Interest</v>
      </c>
      <c r="N5" s="28" t="str">
        <f>IFERROR(__xludf.DUMMYFUNCTION("""COMPUTED_VALUE"""),"Commission")</f>
        <v>Commission</v>
      </c>
      <c r="O5" s="28" t="str">
        <f>IFERROR(__xludf.DUMMYFUNCTION("""COMPUTED_VALUE"""),"Soft Commission")</f>
        <v>Soft Commission</v>
      </c>
      <c r="P5" s="28" t="str">
        <f>IFERROR(__xludf.DUMMYFUNCTION("""COMPUTED_VALUE"""),"Broker")</f>
        <v>Broker</v>
      </c>
      <c r="Q5" s="28" t="str">
        <f>IFERROR(__xludf.DUMMYFUNCTION("""COMPUTED_VALUE"""),"Transaction Type")</f>
        <v>Transaction Type</v>
      </c>
      <c r="R5" s="28" t="str">
        <f>IFERROR(__xludf.DUMMYFUNCTION("""COMPUTED_VALUE"""),"AUEC Fee1")</f>
        <v>AUEC Fee1</v>
      </c>
      <c r="S5" s="28" t="str">
        <f>IFERROR(__xludf.DUMMYFUNCTION("""COMPUTED_VALUE"""),"AUEC Fee2")</f>
        <v>AUEC Fee2</v>
      </c>
      <c r="T5" s="30" t="str">
        <f>IFERROR(__xludf.DUMMYFUNCTION("""COMPUTED_VALUE"""),"Clearing Broker Fee")</f>
        <v>Clearing Broker Fee</v>
      </c>
      <c r="U5" s="30" t="str">
        <f>IFERROR(__xludf.DUMMYFUNCTION("""COMPUTED_VALUE"""),"Other Broker Fees")</f>
        <v>Other Broker Fees</v>
      </c>
      <c r="V5" s="30" t="str">
        <f>IFERROR(__xludf.DUMMYFUNCTION("""COMPUTED_VALUE"""),"OCC Fee")</f>
        <v>OCC Fee</v>
      </c>
      <c r="W5" s="30" t="str">
        <f>IFERROR(__xludf.DUMMYFUNCTION("""COMPUTED_VALUE"""),"SEC Fee")</f>
        <v>SEC Fee</v>
      </c>
      <c r="X5" s="30" t="str">
        <f>IFERROR(__xludf.DUMMYFUNCTION("""COMPUTED_VALUE"""),"ORF Fee")</f>
        <v>ORF Fee</v>
      </c>
      <c r="Y5" s="30" t="str">
        <f>IFERROR(__xludf.DUMMYFUNCTION("""COMPUTED_VALUE"""),"IsPreAllocated")</f>
        <v>IsPreAllocated</v>
      </c>
      <c r="Z5" s="30" t="str">
        <f>IFERROR(__xludf.DUMMYFUNCTION("""COMPUTED_VALUE"""),"Stamp Duty")</f>
        <v>Stamp Duty</v>
      </c>
      <c r="AA5" s="30" t="str">
        <f>IFERROR(__xludf.DUMMYFUNCTION("""COMPUTED_VALUE"""),"IsManual Group")</f>
        <v>IsManual Group</v>
      </c>
      <c r="AB5" s="30" t="str">
        <f>IFERROR(__xludf.DUMMYFUNCTION("""COMPUTED_VALUE"""),"Tax On Commissions")</f>
        <v>Tax On Commissions</v>
      </c>
      <c r="AC5" s="30" t="str">
        <f>IFERROR(__xludf.DUMMYFUNCTION("""COMPUTED_VALUE"""),"IsAnotherTaxlotAttributesUpdated")</f>
        <v>IsAnotherTaxlotAttributesUpdated</v>
      </c>
      <c r="AD5" s="30" t="str">
        <f>IFERROR(__xludf.DUMMYFUNCTION("""COMPUTED_VALUE"""),"ISNDF")</f>
        <v>ISNDF</v>
      </c>
      <c r="AE5" s="30" t="str">
        <f>IFERROR(__xludf.DUMMYFUNCTION("""COMPUTED_VALUE"""),"Transaction Levy")</f>
        <v>Transaction Levy</v>
      </c>
      <c r="AF5" s="30" t="str">
        <f>IFERROR(__xludf.DUMMYFUNCTION("""COMPUTED_VALUE"""),"Description")</f>
        <v>Description</v>
      </c>
      <c r="AG5" s="30" t="str">
        <f>IFERROR(__xludf.DUMMYFUNCTION("""COMPUTED_VALUE"""),"GroupID")</f>
        <v>GroupID</v>
      </c>
      <c r="AH5" s="30" t="str">
        <f>IFERROR(__xludf.DUMMYFUNCTION("""COMPUTED_VALUE"""),"Internal Comments")</f>
        <v>Internal Comments</v>
      </c>
      <c r="AI5" s="30" t="str">
        <f>IFERROR(__xludf.DUMMYFUNCTION("""COMPUTED_VALUE"""),"M2MProfitLoss")</f>
        <v>M2MProfitLoss</v>
      </c>
      <c r="AJ5" s="30" t="str">
        <f>IFERROR(__xludf.DUMMYFUNCTION("""COMPUTED_VALUE"""),"FX Rate")</f>
        <v>FX Rate</v>
      </c>
      <c r="AK5" s="30" t="str">
        <f>IFERROR(__xludf.DUMMYFUNCTION("""COMPUTED_VALUE"""),"FX Conversion Operator")</f>
        <v>FX Conversion Operator</v>
      </c>
      <c r="AL5" s="30" t="str">
        <f>IFERROR(__xludf.DUMMYFUNCTION("""COMPUTED_VALUE"""),"Trade Attribute 3")</f>
        <v>Trade Attribute 3</v>
      </c>
      <c r="AM5" s="30" t="str">
        <f>IFERROR(__xludf.DUMMYFUNCTION("""COMPUTED_VALUE"""),"Trade Attribute 4")</f>
        <v>Trade Attribute 4</v>
      </c>
      <c r="AN5" s="30" t="str">
        <f>IFERROR(__xludf.DUMMYFUNCTION("""COMPUTED_VALUE"""),"Trade Attribute 5")</f>
        <v>Trade Attribute 5</v>
      </c>
      <c r="AO5" s="30" t="str">
        <f>IFERROR(__xludf.DUMMYFUNCTION("""COMPUTED_VALUE"""),"Trade Attribute 6")</f>
        <v>Trade Attribute 6</v>
      </c>
      <c r="AP5" s="30" t="str">
        <f>IFERROR(__xludf.DUMMYFUNCTION("""COMPUTED_VALUE"""),"Put Or Call")</f>
        <v>Put Or Call</v>
      </c>
      <c r="AQ5" s="30" t="str">
        <f>IFERROR(__xludf.DUMMYFUNCTION("""COMPUTED_VALUE"""),"Allocated Qty")</f>
        <v>Allocated Qty</v>
      </c>
      <c r="AR5" s="30" t="str">
        <f>IFERROR(__xludf.DUMMYFUNCTION("""COMPUTED_VALUE"""),"Total Commission And Fee")</f>
        <v>Total Commission And Fee</v>
      </c>
      <c r="AS5" s="30" t="str">
        <f>IFERROR(__xludf.DUMMYFUNCTION("""COMPUTED_VALUE"""),"Executed Qty")</f>
        <v>Executed Qty</v>
      </c>
      <c r="AT5" s="30" t="str">
        <f>IFERROR(__xludf.DUMMYFUNCTION("""COMPUTED_VALUE"""),"Net Amount( Local)")</f>
        <v>Net Amount( Local)</v>
      </c>
      <c r="AU5" s="30" t="str">
        <f>IFERROR(__xludf.DUMMYFUNCTION("""COMPUTED_VALUE"""),"Net Amount( Base)")</f>
        <v>Net Amount( Base)</v>
      </c>
      <c r="AV5" s="30" t="str">
        <f>IFERROR(__xludf.DUMMYFUNCTION("""COMPUTED_VALUE"""),"UnAllocatedQty")</f>
        <v>UnAllocatedQty</v>
      </c>
      <c r="AW5" s="30" t="str">
        <f>IFERROR(__xludf.DUMMYFUNCTION("""COMPUTED_VALUE"""),"Option Premium Adjustment")</f>
        <v>Option Premium Adjustment</v>
      </c>
      <c r="AX5" s="30" t="str">
        <f>IFERROR(__xludf.DUMMYFUNCTION("""COMPUTED_VALUE"""),"Principal Amount( Local)")</f>
        <v>Principal Amount( Local)</v>
      </c>
      <c r="AY5" s="30" t="str">
        <f>IFERROR(__xludf.DUMMYFUNCTION("""COMPUTED_VALUE"""),"Principal Amount( Base)")</f>
        <v>Principal Amount( Base)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IFERROR(__xludf.DUMMYFUNCTION("""COMPUTED_VALUE"""),"User")</f>
        <v>User</v>
      </c>
      <c r="BB5" s="30" t="str">
        <f>IFERROR(__xludf.DUMMYFUNCTION("""COMPUTED_VALUE"""),"Asset Category")</f>
        <v>Asset Category</v>
      </c>
      <c r="BC5" s="30" t="str">
        <f>IFERROR(__xludf.DUMMYFUNCTION("""COMPUTED_VALUE"""),"Change Type")</f>
        <v>Change Type</v>
      </c>
      <c r="BD5" s="30" t="str">
        <f>IFERROR(__xludf.DUMMYFUNCTION("""COMPUTED_VALUE"""),"Strategy Name")</f>
        <v>Strategy Name</v>
      </c>
      <c r="BE5" s="30" t="str">
        <f>IFERROR(__xludf.DUMMYFUNCTION("""COMPUTED_VALUE"""),"Prana Msg Type")</f>
        <v>Prana Msg Type</v>
      </c>
      <c r="BF5" s="30" t="str">
        <f>IFERROR(__xludf.DUMMYFUNCTION("""COMPUTED_VALUE"""),"Total Commission")</f>
        <v>Total Commission</v>
      </c>
      <c r="BG5" s="30" t="str">
        <f>IFERROR(__xludf.DUMMYFUNCTION("""COMPUTED_VALUE"""),"Commission Per Share")</f>
        <v>Commission Per Share</v>
      </c>
      <c r="BH5" s="30" t="str">
        <f>IFERROR(__xludf.DUMMYFUNCTION("""COMPUTED_VALUE"""),"Soft Commission Per Share")</f>
        <v>Soft Commission Per Share</v>
      </c>
      <c r="BI5" s="30" t="str">
        <f>IFERROR(__xludf.DUMMYFUNCTION("""COMPUTED_VALUE"""),"Total Commission Per Share")</f>
        <v>Total Commission Per Share</v>
      </c>
      <c r="BJ5" s="30" t="str">
        <f>IFERROR(__xludf.DUMMYFUNCTION("""COMPUTED_VALUE"""),"Closing Status")</f>
        <v>Closing Status</v>
      </c>
      <c r="BK5" s="30" t="str">
        <f>IFERROR(__xludf.DUMMYFUNCTION("""COMPUTED_VALUE"""),"Closing Method")</f>
        <v>Closing Method</v>
      </c>
      <c r="BL5" s="30" t="str">
        <f>IFERROR(__xludf.DUMMYFUNCTION("""COMPUTED_VALUE"""),"Allocation Scheme Name")</f>
        <v>Allocation Scheme Name</v>
      </c>
      <c r="BM5" s="30" t="str">
        <f>IFERROR(__xludf.DUMMYFUNCTION("""COMPUTED_VALUE"""),"Change Comment")</f>
        <v>Change Comment</v>
      </c>
      <c r="BN5" s="30" t="str">
        <f>IFERROR(__xludf.DUMMYFUNCTION("""COMPUTED_VALUE"""),"Order Type")</f>
        <v>Order Type</v>
      </c>
      <c r="BO5" s="30" t="str">
        <f>IFERROR(__xludf.DUMMYFUNCTION("""COMPUTED_VALUE"""),"Underlying")</f>
        <v>Underlying</v>
      </c>
      <c r="BP5" s="30" t="str">
        <f>IFERROR(__xludf.DUMMYFUNCTION("""COMPUTED_VALUE"""),"Exchange")</f>
        <v>Exchange</v>
      </c>
      <c r="BQ5" s="30" t="str">
        <f>IFERROR(__xludf.DUMMYFUNCTION("""COMPUTED_VALUE"""),"Currency")</f>
        <v>Currency</v>
      </c>
      <c r="BR5" s="30" t="str">
        <f>IFERROR(__xludf.DUMMYFUNCTION("""COMPUTED_VALUE"""),"AUECID")</f>
        <v>AUECID</v>
      </c>
      <c r="BS5" s="30" t="str">
        <f>IFERROR(__xludf.DUMMYFUNCTION("""COMPUTED_VALUE"""),"Trading Account")</f>
        <v>Trading Account</v>
      </c>
      <c r="BT5" s="30" t="str">
        <f>IFERROR(__xludf.DUMMYFUNCTION("""COMPUTED_VALUE"""),"Venue")</f>
        <v>Venue</v>
      </c>
      <c r="BU5" s="30" t="str">
        <f>IFERROR(__xludf.DUMMYFUNCTION("""COMPUTED_VALUE"""),"Cum Qty For Sub Order")</f>
        <v>Cum Qty For Sub Order</v>
      </c>
      <c r="BV5" s="30" t="str">
        <f>IFERROR(__xludf.DUMMYFUNCTION("""COMPUTED_VALUE"""),"Contract Multiplier")</f>
        <v>Contract Multiplier</v>
      </c>
      <c r="BW5" s="30" t="str">
        <f>IFERROR(__xludf.DUMMYFUNCTION("""COMPUTED_VALUE"""),"Company")</f>
        <v>Company</v>
      </c>
      <c r="BX5" s="30" t="str">
        <f>IFERROR(__xludf.DUMMYFUNCTION("""COMPUTED_VALUE"""),"Nirvana Process Date")</f>
        <v>Nirvana Process Date</v>
      </c>
      <c r="BY5" s="30" t="str">
        <f>IFERROR(__xludf.DUMMYFUNCTION("""COMPUTED_VALUE"""),"Process Date")</f>
        <v>Process Date</v>
      </c>
      <c r="BZ5" s="30" t="str">
        <f>IFERROR(__xludf.DUMMYFUNCTION("""COMPUTED_VALUE"""),"Original Purchase Date")</f>
        <v>Original Purchase Date</v>
      </c>
      <c r="CA5" s="30" t="str">
        <f>IFERROR(__xludf.DUMMYFUNCTION("""COMPUTED_VALUE"""),"Closing Date")</f>
        <v>Closing Date</v>
      </c>
      <c r="CB5" s="30" t="str">
        <f>IFERROR(__xludf.DUMMYFUNCTION("""COMPUTED_VALUE"""),"Settlement Date")</f>
        <v>Settlement Date</v>
      </c>
      <c r="CC5" s="30" t="str">
        <f>IFERROR(__xludf.DUMMYFUNCTION("""COMPUTED_VALUE"""),"Expiration Date")</f>
        <v>Expiration Date</v>
      </c>
      <c r="CD5" s="30" t="str">
        <f>IFERROR(__xludf.DUMMYFUNCTION("""COMPUTED_VALUE"""),"Underlying Symbol")</f>
        <v>Underlying Symbol</v>
      </c>
      <c r="CE5" s="30" t="str">
        <f>IFERROR(__xludf.DUMMYFUNCTION("""COMPUTED_VALUE"""),"Accrual Basis")</f>
        <v>Accrual Basis</v>
      </c>
      <c r="CF5" s="30" t="str">
        <f>IFERROR(__xludf.DUMMYFUNCTION("""COMPUTED_VALUE"""),"Bond Type")</f>
        <v>Bond Type</v>
      </c>
      <c r="CG5" s="30" t="str">
        <f>IFERROR(__xludf.DUMMYFUNCTION("""COMPUTED_VALUE"""),"Coupon Rate")</f>
        <v>Coupon Rate</v>
      </c>
      <c r="CH5" s="30" t="str">
        <f>IFERROR(__xludf.DUMMYFUNCTION("""COMPUTED_VALUE"""),"Delta")</f>
        <v>Delta</v>
      </c>
      <c r="CI5" s="30" t="str">
        <f>IFERROR(__xludf.DUMMYFUNCTION("""COMPUTED_VALUE"""),"Bloomberg")</f>
        <v>Bloomberg</v>
      </c>
      <c r="CJ5" s="30" t="str">
        <f>IFERROR(__xludf.DUMMYFUNCTION("""COMPUTED_VALUE"""),"Sedol Symbol")</f>
        <v>Sedol Symbol</v>
      </c>
      <c r="CK5" s="30" t="str">
        <f>IFERROR(__xludf.DUMMYFUNCTION("""COMPUTED_VALUE"""),"Cusip Symbol")</f>
        <v>Cusip Symbol</v>
      </c>
      <c r="CL5" s="30" t="str">
        <f>IFERROR(__xludf.DUMMYFUNCTION("""COMPUTED_VALUE"""),"ISIN")</f>
        <v>ISIN</v>
      </c>
      <c r="CM5" s="30" t="str">
        <f>IFERROR(__xludf.DUMMYFUNCTION("""COMPUTED_VALUE"""),"OSISSymbol")</f>
        <v>OSISSymbol</v>
      </c>
      <c r="CN5" s="30" t="str">
        <f>IFERROR(__xludf.DUMMYFUNCTION("""COMPUTED_VALUE"""),"IDCOSymbol")</f>
        <v>IDCOSymbol</v>
      </c>
      <c r="CO5" s="30" t="str">
        <f>IFERROR(__xludf.DUMMYFUNCTION("""COMPUTED_VALUE"""),"Underlying Delta")</f>
        <v>Underlying Delta</v>
      </c>
      <c r="CP5" s="30" t="str">
        <f>IFERROR(__xludf.DUMMYFUNCTION("""COMPUTED_VALUE"""),"Proxy Symbol")</f>
        <v>Proxy Symbol</v>
      </c>
      <c r="CQ5" s="30" t="str">
        <f>IFERROR(__xludf.DUMMYFUNCTION("""COMPUTED_VALUE"""),"Transaction Source")</f>
        <v>Transaction Source</v>
      </c>
      <c r="CR5" s="30" t="str">
        <f>IFERROR(__xludf.DUMMYFUNCTION("""COMPUTED_VALUE"""),"Import File Name")</f>
        <v>Import File Name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 t="s">
        <v>25</v>
      </c>
      <c r="C6" s="35">
        <v>1000.0</v>
      </c>
      <c r="D6" s="32"/>
      <c r="E6" s="33" t="s">
        <v>52</v>
      </c>
      <c r="F6" s="38" t="s">
        <v>26</v>
      </c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Unallocate!$4:$4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7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39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IFERROR(__xludf.DUMMYFUNCTION("""COMPUTED_VALUE"""),"ClosePM")</f>
        <v>ClosePM</v>
      </c>
      <c r="G4" s="25" t="str">
        <f>IFERROR(__xludf.DUMMYFUNCTION("""COMPUTED_VALUE"""),"FilterPM")</f>
        <v>FilterPM</v>
      </c>
      <c r="H4" s="25" t="str">
        <f>IFERROR(__xludf.DUMMYFUNCTION("""COMPUTED_VALUE"""),"GroupRowPM")</f>
        <v>GroupRowPM</v>
      </c>
      <c r="I4" s="25" t="str">
        <f>IFERROR(__xludf.DUMMYFUNCTION("""COMPUTED_VALUE"""),"CheckDashboardWithPM")</f>
        <v>CheckDashboardWithPM</v>
      </c>
      <c r="J4" s="25" t="str">
        <f>IFERROR(__xludf.DUMMYFUNCTION("""COMPUTED_VALUE"""),"RemoveFilterPM")</f>
        <v>RemoveFilterPM</v>
      </c>
      <c r="K4" s="25" t="str">
        <f>IFERROR(__xludf.DUMMYFUNCTION("""COMPUTED_VALUE"""),"CheckSummaryRowsPM")</f>
        <v>CheckSummaryRowsPM</v>
      </c>
      <c r="L4" s="25" t="str">
        <f>IFERROR(__xludf.DUMMYFUNCTION("""COMPUTED_VALUE"""),"OpenPTTFromPM")</f>
        <v>OpenPTTFromPM</v>
      </c>
      <c r="M4" s="25" t="str">
        <f>IFERROR(__xludf.DUMMYFUNCTION("""COMPUTED_VALUE"""),"OpenClosingFromPM")</f>
        <v>OpenClosingFromPM</v>
      </c>
      <c r="N4" s="25" t="str">
        <f>IFERROR(__xludf.DUMMYFUNCTION("""COMPUTED_VALUE"""),"OpenCorporateActionFromPM")</f>
        <v>OpenCorporateActionFromPM</v>
      </c>
      <c r="O4" s="25" t="str">
        <f>IFERROR(__xludf.DUMMYFUNCTION("""COMPUTED_VALUE"""),"OpenDailyValuationFromPM")</f>
        <v>OpenDailyValuationFromPM</v>
      </c>
      <c r="P4" s="26" t="str">
        <f>IFERROR(__xludf.DUMMYFUNCTION("""COMPUTED_VALUE"""),"ClosePositionFromPM")</f>
        <v>ClosePositionFromPM</v>
      </c>
      <c r="Q4" s="26" t="str">
        <f>IFERROR(__xludf.DUMMYFUNCTION("""COMPUTED_VALUE"""),"ShowSummaryToolFromPM")</f>
        <v>ShowSummaryToolFromPM</v>
      </c>
      <c r="R4" s="26" t="str">
        <f>IFERROR(__xludf.DUMMYFUNCTION("""COMPUTED_VALUE"""),"HideSummaryToolFromPM")</f>
        <v>HideSummaryToolFromPM</v>
      </c>
      <c r="S4" s="26" t="str">
        <f>IFERROR(__xludf.DUMMYFUNCTION("""COMPUTED_VALUE"""),"CloseAccountPositionFromPM")</f>
        <v>CloseAccountPositionFromPM</v>
      </c>
      <c r="T4" s="26" t="str">
        <f>IFERROR(__xludf.DUMMYFUNCTION("""COMPUTED_VALUE"""),"CloseSelectedTaxlotsFromPM")</f>
        <v>CloseSelectedTaxlotsFromPM</v>
      </c>
      <c r="U4" s="26" t="str">
        <f>IFERROR(__xludf.DUMMYFUNCTION("""COMPUTED_VALUE"""),"ExpandCollapsePM")</f>
        <v>ExpandCollapsePM</v>
      </c>
      <c r="V4" s="26" t="str">
        <f>IFERROR(__xludf.DUMMYFUNCTION("""COMPUTED_VALUE"""),"AddCustomViewPM")</f>
        <v>AddCustomViewPM</v>
      </c>
      <c r="W4" s="26" t="str">
        <f>IFERROR(__xludf.DUMMYFUNCTION("""COMPUTED_VALUE"""),"AddCustomViewRightClickPM")</f>
        <v>AddCustomViewRightClickPM</v>
      </c>
      <c r="X4" s="26" t="str">
        <f>IFERROR(__xludf.DUMMYFUNCTION("""COMPUTED_VALUE"""),"RenameCustomViewPM")</f>
        <v>RenameCustomViewPM</v>
      </c>
      <c r="Y4" s="26" t="str">
        <f>IFERROR(__xludf.DUMMYFUNCTION("""COMPUTED_VALUE"""),"DeleteCustomViewPM")</f>
        <v>DeleteCustomViewPM</v>
      </c>
      <c r="Z4" s="26" t="str">
        <f>IFERROR(__xludf.DUMMYFUNCTION("""COMPUTED_VALUE"""),"OpenCreateTransactionFromPM")</f>
        <v>OpenCreateTransactionFromPM</v>
      </c>
      <c r="AA4" s="26" t="str">
        <f>IFERROR(__xludf.DUMMYFUNCTION("""COMPUTED_VALUE"""),"RemoveGroupingFromPM")</f>
        <v>RemoveGroupingFromPM</v>
      </c>
      <c r="AB4" s="26" t="str">
        <f>IFERROR(__xludf.DUMMYFUNCTION("""COMPUTED_VALUE"""),"IncreasePositionFromPM")</f>
        <v>IncreasePositionFromPM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 t="str">
        <f>IFERROR(__xludf.DUMMYFUNCTION("""COMPUTED_VALUE"""),"IsAccountBlank")</f>
        <v>IsAccountBlank</v>
      </c>
      <c r="FL5" s="30"/>
      <c r="FM5" s="30"/>
      <c r="FN5" s="30"/>
      <c r="FO5" s="30"/>
      <c r="FP5" s="30"/>
      <c r="FQ5" s="30"/>
      <c r="FR5" s="30"/>
      <c r="FS5" s="30"/>
      <c r="FT5" s="30"/>
      <c r="FU5" s="30"/>
    </row>
    <row r="6" ht="15.75" customHeight="1">
      <c r="A6" s="32"/>
      <c r="B6" s="32"/>
      <c r="C6" s="39" t="s">
        <v>25</v>
      </c>
      <c r="D6" s="40">
        <v>100.0</v>
      </c>
      <c r="E6" s="39" t="s">
        <v>18</v>
      </c>
      <c r="F6" s="39" t="s">
        <v>41</v>
      </c>
      <c r="G6" s="40">
        <v>10.0</v>
      </c>
      <c r="H6" s="39" t="s">
        <v>42</v>
      </c>
      <c r="I6" s="33"/>
      <c r="J6" s="33"/>
      <c r="K6" s="33"/>
      <c r="L6" s="33"/>
      <c r="M6" s="33"/>
      <c r="N6" s="33"/>
      <c r="O6" s="33"/>
      <c r="P6" s="33"/>
      <c r="Q6" s="33"/>
      <c r="R6" s="39" t="s">
        <v>43</v>
      </c>
      <c r="S6" s="39" t="s">
        <v>44</v>
      </c>
      <c r="T6" s="39" t="s">
        <v>45</v>
      </c>
      <c r="U6" s="39" t="s">
        <v>46</v>
      </c>
      <c r="V6" s="39" t="s">
        <v>47</v>
      </c>
      <c r="W6" s="39" t="s">
        <v>31</v>
      </c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9" t="s">
        <v>26</v>
      </c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  <c r="EY6" s="33"/>
      <c r="EZ6" s="33"/>
      <c r="FA6" s="33"/>
      <c r="FB6" s="33"/>
      <c r="FC6" s="33"/>
      <c r="FD6" s="33"/>
      <c r="FE6" s="33"/>
      <c r="FF6" s="33"/>
      <c r="FG6" s="33"/>
      <c r="FH6" s="33"/>
      <c r="FI6" s="33"/>
      <c r="FJ6" s="33"/>
      <c r="FK6" s="33"/>
      <c r="FL6" s="33"/>
      <c r="FM6" s="33"/>
      <c r="FN6" s="33"/>
      <c r="FO6" s="33"/>
      <c r="FP6" s="33"/>
      <c r="FQ6" s="33"/>
      <c r="FR6" s="33"/>
      <c r="FS6" s="33"/>
      <c r="FT6" s="33"/>
      <c r="FU6" s="33"/>
    </row>
    <row r="7" ht="15.75" customHeight="1">
      <c r="A7" s="33"/>
      <c r="B7" s="33"/>
      <c r="C7" s="39" t="s">
        <v>25</v>
      </c>
      <c r="D7" s="42">
        <v>1000.0</v>
      </c>
      <c r="E7" s="39" t="s">
        <v>19</v>
      </c>
      <c r="F7" s="39" t="s">
        <v>48</v>
      </c>
      <c r="G7" s="40">
        <v>10.0</v>
      </c>
      <c r="H7" s="39" t="s">
        <v>42</v>
      </c>
      <c r="I7" s="33"/>
      <c r="J7" s="33"/>
      <c r="K7" s="33"/>
      <c r="L7" s="33"/>
      <c r="M7" s="33"/>
      <c r="N7" s="33"/>
      <c r="O7" s="33"/>
      <c r="P7" s="33"/>
      <c r="Q7" s="33"/>
      <c r="R7" s="39" t="s">
        <v>43</v>
      </c>
      <c r="S7" s="39" t="s">
        <v>44</v>
      </c>
      <c r="T7" s="39" t="s">
        <v>45</v>
      </c>
      <c r="U7" s="39" t="s">
        <v>46</v>
      </c>
      <c r="V7" s="39" t="s">
        <v>47</v>
      </c>
      <c r="W7" s="39" t="s">
        <v>31</v>
      </c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9" t="s">
        <v>26</v>
      </c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  <c r="EY7" s="33"/>
      <c r="EZ7" s="33"/>
      <c r="FA7" s="33"/>
      <c r="FB7" s="33"/>
      <c r="FC7" s="33"/>
      <c r="FD7" s="33"/>
      <c r="FE7" s="33"/>
      <c r="FF7" s="33"/>
      <c r="FG7" s="33"/>
      <c r="FH7" s="33"/>
      <c r="FI7" s="33"/>
      <c r="FJ7" s="33"/>
      <c r="FK7" s="33"/>
      <c r="FL7" s="33"/>
      <c r="FM7" s="33"/>
      <c r="FN7" s="33"/>
      <c r="FO7" s="33"/>
      <c r="FP7" s="33"/>
      <c r="FQ7" s="33"/>
      <c r="FR7" s="33"/>
      <c r="FS7" s="33"/>
      <c r="FT7" s="33"/>
      <c r="FU7" s="33"/>
    </row>
    <row r="8" ht="15.75" customHeight="1">
      <c r="A8" s="8"/>
      <c r="B8" s="8"/>
      <c r="C8" s="39"/>
      <c r="D8" s="42"/>
      <c r="E8" s="43"/>
      <c r="F8" s="43"/>
      <c r="G8" s="40"/>
      <c r="H8" s="39"/>
      <c r="I8" s="8"/>
      <c r="J8" s="8"/>
      <c r="K8" s="8"/>
      <c r="L8" s="8"/>
      <c r="M8" s="8"/>
      <c r="N8" s="8"/>
      <c r="O8" s="8"/>
      <c r="R8" s="43"/>
      <c r="S8" s="39"/>
      <c r="T8" s="39"/>
      <c r="U8" s="39"/>
      <c r="V8" s="39"/>
      <c r="W8" s="39"/>
      <c r="AN8" s="39"/>
    </row>
    <row r="9" ht="15.75" customHeight="1">
      <c r="A9" s="8"/>
      <c r="B9" s="8"/>
      <c r="C9" s="43"/>
      <c r="D9" s="43"/>
      <c r="E9" s="43"/>
      <c r="F9" s="8"/>
      <c r="G9" s="43"/>
      <c r="H9" s="43"/>
      <c r="I9" s="8"/>
      <c r="J9" s="8"/>
      <c r="K9" s="8"/>
      <c r="L9" s="8"/>
      <c r="M9" s="8"/>
      <c r="N9" s="8"/>
      <c r="O9" s="8"/>
      <c r="S9" s="43"/>
      <c r="T9" s="43"/>
      <c r="V9" s="43"/>
      <c r="W9" s="43"/>
      <c r="AN9" s="43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T10" s="43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CheckPortfolioManagement3!$4:$4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49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</row>
    <row r="6" ht="15.75" customHeight="1">
      <c r="A6" s="32"/>
      <c r="B6" s="32" t="s">
        <v>50</v>
      </c>
      <c r="C6" s="33"/>
      <c r="D6" s="32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  <c r="EY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GetDataAllocation1!$4:$4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53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IFERROR(__xludf.DUMMYFUNCTION("""COMPUTED_VALUE"""),"Trade Date")</f>
        <v>Trade Date</v>
      </c>
      <c r="G5" s="28" t="str">
        <f>IFERROR(__xludf.DUMMYFUNCTION("""COMPUTED_VALUE"""),"Net Amount( Local)")</f>
        <v>Net Amount( Local)</v>
      </c>
      <c r="H5" s="28" t="str">
        <f>IFERROR(__xludf.DUMMYFUNCTION("""COMPUTED_VALUE"""),"Net Amount( Base)")</f>
        <v>Net Amount( Base)</v>
      </c>
      <c r="I5" s="28" t="str">
        <f>IFERROR(__xludf.DUMMYFUNCTION("""COMPUTED_VALUE"""),"Principal Amount( Local)")</f>
        <v>Principal Amount( Local)</v>
      </c>
      <c r="J5" s="28" t="str">
        <f>IFERROR(__xludf.DUMMYFUNCTION("""COMPUTED_VALUE"""),"Transaction Type")</f>
        <v>Transaction Type</v>
      </c>
      <c r="K5" s="28" t="str">
        <f>IFERROR(__xludf.DUMMYFUNCTION("""COMPUTED_VALUE"""),"Principal Amount( Base)")</f>
        <v>Principal Amount( Base)</v>
      </c>
      <c r="L5" s="28" t="str">
        <f>IFERROR(__xludf.DUMMYFUNCTION("""COMPUTED_VALUE"""),"Execution Time")</f>
        <v>Execution Time</v>
      </c>
      <c r="M5" s="28" t="str">
        <f>IFERROR(__xludf.DUMMYFUNCTION("""COMPUTED_VALUE"""),"Trading Account")</f>
        <v>Trading Account</v>
      </c>
      <c r="N5" s="28" t="str">
        <f>IFERROR(__xludf.DUMMYFUNCTION("""COMPUTED_VALUE"""),"Avg Price(Local)")</f>
        <v>Avg Price(Local)</v>
      </c>
      <c r="O5" s="28" t="str">
        <f>IFERROR(__xludf.DUMMYFUNCTION("""COMPUTED_VALUE"""),"Avg Price(Base)")</f>
        <v>Avg Price(Base)</v>
      </c>
      <c r="P5" s="28" t="str">
        <f>IFERROR(__xludf.DUMMYFUNCTION("""COMPUTED_VALUE"""),"Broker")</f>
        <v>Broker</v>
      </c>
      <c r="Q5" s="28" t="str">
        <f>IFERROR(__xludf.DUMMYFUNCTION("""COMPUTED_VALUE"""),"FX Rate")</f>
        <v>FX Rate</v>
      </c>
      <c r="R5" s="28" t="str">
        <f>IFERROR(__xludf.DUMMYFUNCTION("""COMPUTED_VALUE"""),"Venue")</f>
        <v>Venue</v>
      </c>
      <c r="S5" s="28" t="str">
        <f>IFERROR(__xludf.DUMMYFUNCTION("""COMPUTED_VALUE"""),"FX Conversion Operator")</f>
        <v>FX Conversion Operator</v>
      </c>
      <c r="T5" s="30" t="str">
        <f>IFERROR(__xludf.DUMMYFUNCTION("""COMPUTED_VALUE"""),"User")</f>
        <v>User</v>
      </c>
      <c r="U5" s="30" t="str">
        <f>IFERROR(__xludf.DUMMYFUNCTION("""COMPUTED_VALUE"""),"Asset Category")</f>
        <v>Asset Category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IFERROR(__xludf.DUMMYFUNCTION("""COMPUTED_VALUE"""),"Commission Per Share")</f>
        <v>Commission Per Share</v>
      </c>
      <c r="X5" s="30" t="str">
        <f>IFERROR(__xludf.DUMMYFUNCTION("""COMPUTED_VALUE"""),"Soft Commission Per Share")</f>
        <v>Soft Commission Per Share</v>
      </c>
      <c r="Y5" s="30" t="str">
        <f>IFERROR(__xludf.DUMMYFUNCTION("""COMPUTED_VALUE"""),"Total Commission Per Share")</f>
        <v>Total Commission Per Share</v>
      </c>
      <c r="Z5" s="30" t="str">
        <f>IFERROR(__xludf.DUMMYFUNCTION("""COMPUTED_VALUE"""),"Change Type")</f>
        <v>Change Type</v>
      </c>
      <c r="AA5" s="30" t="str">
        <f>IFERROR(__xludf.DUMMYFUNCTION("""COMPUTED_VALUE"""),"Trade Attribute 1")</f>
        <v>Trade Attribute 1</v>
      </c>
      <c r="AB5" s="30" t="str">
        <f>IFERROR(__xludf.DUMMYFUNCTION("""COMPUTED_VALUE"""),"Trade Attribute 2")</f>
        <v>Trade Attribute 2</v>
      </c>
      <c r="AC5" s="30" t="str">
        <f>IFERROR(__xludf.DUMMYFUNCTION("""COMPUTED_VALUE"""),"Trade Attribute 3")</f>
        <v>Trade Attribute 3</v>
      </c>
      <c r="AD5" s="30" t="str">
        <f>IFERROR(__xludf.DUMMYFUNCTION("""COMPUTED_VALUE"""),"Trade Attribute 4")</f>
        <v>Trade Attribute 4</v>
      </c>
      <c r="AE5" s="30" t="str">
        <f>IFERROR(__xludf.DUMMYFUNCTION("""COMPUTED_VALUE"""),"Trade Attribute 5")</f>
        <v>Trade Attribute 5</v>
      </c>
      <c r="AF5" s="30" t="str">
        <f>IFERROR(__xludf.DUMMYFUNCTION("""COMPUTED_VALUE"""),"Trade Attribute 6")</f>
        <v>Trade Attribute 6</v>
      </c>
      <c r="AG5" s="30" t="str">
        <f>IFERROR(__xludf.DUMMYFUNCTION("""COMPUTED_VALUE"""),"IsPreAllocated")</f>
        <v>IsPreAllocated</v>
      </c>
      <c r="AH5" s="30" t="str">
        <f>IFERROR(__xludf.DUMMYFUNCTION("""COMPUTED_VALUE"""),"IsManual Group")</f>
        <v>IsManual Group</v>
      </c>
      <c r="AI5" s="30" t="str">
        <f>IFERROR(__xludf.DUMMYFUNCTION("""COMPUTED_VALUE"""),"IsAnotherTaxlotAttributesUpdated")</f>
        <v>IsAnotherTaxlotAttributesUpdated</v>
      </c>
      <c r="AJ5" s="30" t="str">
        <f>IFERROR(__xludf.DUMMYFUNCTION("""COMPUTED_VALUE"""),"ISNDF")</f>
        <v>ISNDF</v>
      </c>
      <c r="AK5" s="30" t="str">
        <f>IFERROR(__xludf.DUMMYFUNCTION("""COMPUTED_VALUE"""),"M2MProfitLoss")</f>
        <v>M2MProfitLoss</v>
      </c>
      <c r="AL5" s="30" t="str">
        <f>IFERROR(__xludf.DUMMYFUNCTION("""COMPUTED_VALUE"""),"Put Or Call")</f>
        <v>Put Or Call</v>
      </c>
      <c r="AM5" s="30" t="str">
        <f>IFERROR(__xludf.DUMMYFUNCTION("""COMPUTED_VALUE"""),"GroupID")</f>
        <v>GroupID</v>
      </c>
      <c r="AN5" s="30" t="str">
        <f>IFERROR(__xludf.DUMMYFUNCTION("""COMPUTED_VALUE"""),"UnAllocatedQty")</f>
        <v>UnAllocatedQty</v>
      </c>
      <c r="AO5" s="30" t="str">
        <f>IFERROR(__xludf.DUMMYFUNCTION("""COMPUTED_VALUE"""),"Allocated Qty")</f>
        <v>Allocated Qty</v>
      </c>
      <c r="AP5" s="30" t="str">
        <f>IFERROR(__xludf.DUMMYFUNCTION("""COMPUTED_VALUE"""),"Commission")</f>
        <v>Commission</v>
      </c>
      <c r="AQ5" s="30" t="str">
        <f>IFERROR(__xludf.DUMMYFUNCTION("""COMPUTED_VALUE"""),"Soft Commission")</f>
        <v>Soft Commission</v>
      </c>
      <c r="AR5" s="30" t="str">
        <f>IFERROR(__xludf.DUMMYFUNCTION("""COMPUTED_VALUE"""),"Other Broker Fees")</f>
        <v>Other Broker Fees</v>
      </c>
      <c r="AS5" s="30" t="str">
        <f>IFERROR(__xludf.DUMMYFUNCTION("""COMPUTED_VALUE"""),"Clearing Broker Fee")</f>
        <v>Clearing Broker Fee</v>
      </c>
      <c r="AT5" s="30" t="str">
        <f>IFERROR(__xludf.DUMMYFUNCTION("""COMPUTED_VALUE"""),"Total Commission And Fee")</f>
        <v>Total Commission And Fee</v>
      </c>
      <c r="AU5" s="30" t="str">
        <f>IFERROR(__xludf.DUMMYFUNCTION("""COMPUTED_VALUE"""),"Transaction Levy")</f>
        <v>Transaction Levy</v>
      </c>
      <c r="AV5" s="30" t="str">
        <f>IFERROR(__xludf.DUMMYFUNCTION("""COMPUTED_VALUE"""),"Stamp Duty")</f>
        <v>Stamp Duty</v>
      </c>
      <c r="AW5" s="30" t="str">
        <f>IFERROR(__xludf.DUMMYFUNCTION("""COMPUTED_VALUE"""),"AUEC Fee1")</f>
        <v>AUEC Fee1</v>
      </c>
      <c r="AX5" s="30" t="str">
        <f>IFERROR(__xludf.DUMMYFUNCTION("""COMPUTED_VALUE"""),"Tax On Commissions")</f>
        <v>Tax On Commissions</v>
      </c>
      <c r="AY5" s="30" t="str">
        <f>IFERROR(__xludf.DUMMYFUNCTION("""COMPUTED_VALUE"""),"AUEC Fee2")</f>
        <v>AUEC Fee2</v>
      </c>
      <c r="AZ5" s="30" t="str">
        <f>IFERROR(__xludf.DUMMYFUNCTION("""COMPUTED_VALUE"""),"SEC Fee")</f>
        <v>SEC Fee</v>
      </c>
      <c r="BA5" s="30" t="str">
        <f>IFERROR(__xludf.DUMMYFUNCTION("""COMPUTED_VALUE"""),"OCC Fee")</f>
        <v>OCC Fee</v>
      </c>
      <c r="BB5" s="30" t="str">
        <f>IFERROR(__xludf.DUMMYFUNCTION("""COMPUTED_VALUE"""),"ORF Fee")</f>
        <v>ORF Fee</v>
      </c>
      <c r="BC5" s="30" t="str">
        <f>IFERROR(__xludf.DUMMYFUNCTION("""COMPUTED_VALUE"""),"Option Premium Adjustment")</f>
        <v>Option Premium Adjustment</v>
      </c>
      <c r="BD5" s="30" t="str">
        <f>IFERROR(__xludf.DUMMYFUNCTION("""COMPUTED_VALUE"""),"Prana Msg Type")</f>
        <v>Prana Msg Type</v>
      </c>
      <c r="BE5" s="30" t="str">
        <f>IFERROR(__xludf.DUMMYFUNCTION("""COMPUTED_VALUE"""),"Total Commission")</f>
        <v>Total Commission</v>
      </c>
      <c r="BF5" s="30" t="str">
        <f>IFERROR(__xludf.DUMMYFUNCTION("""COMPUTED_VALUE"""),"Closing Status")</f>
        <v>Closing Status</v>
      </c>
      <c r="BG5" s="30" t="str">
        <f>IFERROR(__xludf.DUMMYFUNCTION("""COMPUTED_VALUE"""),"Closing Method")</f>
        <v>Closing Method</v>
      </c>
      <c r="BH5" s="30" t="str">
        <f>IFERROR(__xludf.DUMMYFUNCTION("""COMPUTED_VALUE"""),"Group Status")</f>
        <v>Group Status</v>
      </c>
      <c r="BI5" s="30" t="str">
        <f>IFERROR(__xludf.DUMMYFUNCTION("""COMPUTED_VALUE"""),"Allocation Scheme Name")</f>
        <v>Allocation Scheme Name</v>
      </c>
      <c r="BJ5" s="30" t="str">
        <f>IFERROR(__xludf.DUMMYFUNCTION("""COMPUTED_VALUE"""),"Change Comment")</f>
        <v>Change Comment</v>
      </c>
      <c r="BK5" s="30" t="str">
        <f>IFERROR(__xludf.DUMMYFUNCTION("""COMPUTED_VALUE"""),"Order Type")</f>
        <v>Order Type</v>
      </c>
      <c r="BL5" s="30" t="str">
        <f>IFERROR(__xludf.DUMMYFUNCTION("""COMPUTED_VALUE"""),"Underlying")</f>
        <v>Underlying</v>
      </c>
      <c r="BM5" s="30" t="str">
        <f>IFERROR(__xludf.DUMMYFUNCTION("""COMPUTED_VALUE"""),"Exchange")</f>
        <v>Exchange</v>
      </c>
      <c r="BN5" s="30" t="str">
        <f>IFERROR(__xludf.DUMMYFUNCTION("""COMPUTED_VALUE"""),"Currency")</f>
        <v>Currency</v>
      </c>
      <c r="BO5" s="30" t="str">
        <f>IFERROR(__xludf.DUMMYFUNCTION("""COMPUTED_VALUE"""),"AUECID")</f>
        <v>AUECID</v>
      </c>
      <c r="BP5" s="30" t="str">
        <f>IFERROR(__xludf.DUMMYFUNCTION("""COMPUTED_VALUE"""),"Cum Qty For Sub Order")</f>
        <v>Cum Qty For Sub Order</v>
      </c>
      <c r="BQ5" s="30" t="str">
        <f>IFERROR(__xludf.DUMMYFUNCTION("""COMPUTED_VALUE"""),"Contract Multiplier")</f>
        <v>Contract Multiplier</v>
      </c>
      <c r="BR5" s="30" t="str">
        <f>IFERROR(__xludf.DUMMYFUNCTION("""COMPUTED_VALUE"""),"Company")</f>
        <v>Company</v>
      </c>
      <c r="BS5" s="30" t="str">
        <f>IFERROR(__xludf.DUMMYFUNCTION("""COMPUTED_VALUE"""),"Nirvana Process Date")</f>
        <v>Nirvana Process Date</v>
      </c>
      <c r="BT5" s="30" t="str">
        <f>IFERROR(__xludf.DUMMYFUNCTION("""COMPUTED_VALUE"""),"Process Date")</f>
        <v>Process Date</v>
      </c>
      <c r="BU5" s="30" t="str">
        <f>IFERROR(__xludf.DUMMYFUNCTION("""COMPUTED_VALUE"""),"Original Purchase Date")</f>
        <v>Original Purchase Date</v>
      </c>
      <c r="BV5" s="30" t="str">
        <f>IFERROR(__xludf.DUMMYFUNCTION("""COMPUTED_VALUE"""),"Closing Date")</f>
        <v>Closing Date</v>
      </c>
      <c r="BW5" s="30" t="str">
        <f>IFERROR(__xludf.DUMMYFUNCTION("""COMPUTED_VALUE"""),"Settlement Date")</f>
        <v>Settlement Date</v>
      </c>
      <c r="BX5" s="30" t="str">
        <f>IFERROR(__xludf.DUMMYFUNCTION("""COMPUTED_VALUE"""),"Expiration Date")</f>
        <v>Expiration Date</v>
      </c>
      <c r="BY5" s="30" t="str">
        <f>IFERROR(__xludf.DUMMYFUNCTION("""COMPUTED_VALUE"""),"Description")</f>
        <v>Description</v>
      </c>
      <c r="BZ5" s="30" t="str">
        <f>IFERROR(__xludf.DUMMYFUNCTION("""COMPUTED_VALUE"""),"Underlying Symbol")</f>
        <v>Underlying Symbol</v>
      </c>
      <c r="CA5" s="30" t="str">
        <f>IFERROR(__xludf.DUMMYFUNCTION("""COMPUTED_VALUE"""),"Accrued Interest")</f>
        <v>Accrued Interest</v>
      </c>
      <c r="CB5" s="30" t="str">
        <f>IFERROR(__xludf.DUMMYFUNCTION("""COMPUTED_VALUE"""),"Accrual Basis")</f>
        <v>Accrual Basis</v>
      </c>
      <c r="CC5" s="30" t="str">
        <f>IFERROR(__xludf.DUMMYFUNCTION("""COMPUTED_VALUE"""),"Bond Type")</f>
        <v>Bond Type</v>
      </c>
      <c r="CD5" s="30" t="str">
        <f>IFERROR(__xludf.DUMMYFUNCTION("""COMPUTED_VALUE"""),"Coupon Rate")</f>
        <v>Coupon Rate</v>
      </c>
      <c r="CE5" s="30" t="str">
        <f>IFERROR(__xludf.DUMMYFUNCTION("""COMPUTED_VALUE"""),"Delta")</f>
        <v>Delta</v>
      </c>
      <c r="CF5" s="30" t="str">
        <f>IFERROR(__xludf.DUMMYFUNCTION("""COMPUTED_VALUE"""),"Bloomberg")</f>
        <v>Bloomberg</v>
      </c>
      <c r="CG5" s="30" t="str">
        <f>IFERROR(__xludf.DUMMYFUNCTION("""COMPUTED_VALUE"""),"Sedol Symbol")</f>
        <v>Sedol Symbol</v>
      </c>
      <c r="CH5" s="30" t="str">
        <f>IFERROR(__xludf.DUMMYFUNCTION("""COMPUTED_VALUE"""),"Cusip Symbol")</f>
        <v>Cusip Symbol</v>
      </c>
      <c r="CI5" s="30" t="str">
        <f>IFERROR(__xludf.DUMMYFUNCTION("""COMPUTED_VALUE"""),"ISIN")</f>
        <v>ISIN</v>
      </c>
      <c r="CJ5" s="30" t="str">
        <f>IFERROR(__xludf.DUMMYFUNCTION("""COMPUTED_VALUE"""),"OSISSymbol")</f>
        <v>OSISSymbol</v>
      </c>
      <c r="CK5" s="30" t="str">
        <f>IFERROR(__xludf.DUMMYFUNCTION("""COMPUTED_VALUE"""),"IDCOSymbol")</f>
        <v>IDCOSymbol</v>
      </c>
      <c r="CL5" s="30" t="str">
        <f>IFERROR(__xludf.DUMMYFUNCTION("""COMPUTED_VALUE"""),"Underlying Delta")</f>
        <v>Underlying Delta</v>
      </c>
      <c r="CM5" s="30" t="str">
        <f>IFERROR(__xludf.DUMMYFUNCTION("""COMPUTED_VALUE"""),"Internal Comments")</f>
        <v>Internal Comments</v>
      </c>
      <c r="CN5" s="30" t="str">
        <f>IFERROR(__xludf.DUMMYFUNCTION("""COMPUTED_VALUE"""),"Proxy Symbol")</f>
        <v>Proxy Symbol</v>
      </c>
      <c r="CO5" s="30" t="str">
        <f>IFERROR(__xludf.DUMMYFUNCTION("""COMPUTED_VALUE"""),"Transaction Source")</f>
        <v>Transaction Source</v>
      </c>
      <c r="CP5" s="30" t="str">
        <f>IFERROR(__xludf.DUMMYFUNCTION("""COMPUTED_VALUE"""),"Import File Name")</f>
        <v>Import File Name</v>
      </c>
      <c r="CQ5" s="30" t="str">
        <f>IFERROR(__xludf.DUMMYFUNCTION("""COMPUTED_VALUE"""),"Master Fund")</f>
        <v>Master Fund</v>
      </c>
      <c r="CR5" s="30" t="str">
        <f>IFERROR(__xludf.DUMMYFUNCTION("""COMPUTED_VALUE"""),"Client")</f>
        <v>Client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25</v>
      </c>
      <c r="C6" s="13" t="s">
        <v>26</v>
      </c>
      <c r="D6" s="13">
        <v>1000.0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SelectUnallocatedGroup!$4:$4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54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IFERROR(__xludf.DUMMYFUNCTION("""COMPUTED_VALUE"""),"PreferenceType")</f>
        <v>PreferenceType</v>
      </c>
      <c r="C5" s="28" t="str">
        <f>IFERROR(__xludf.DUMMYFUNCTION("""COMPUTED_VALUE"""),"PreferenceName")</f>
        <v>PreferenceName</v>
      </c>
      <c r="D5" s="28" t="str">
        <f>IFERROR(__xludf.DUMMYFUNCTION("""COMPUTED_VALUE"""),"PTTPrefNeeded")</f>
        <v>PTTPrefNeeded</v>
      </c>
      <c r="E5" s="28" t="str">
        <f>IFERROR(__xludf.DUMMYFUNCTION("""COMPUTED_VALUE"""),"IsForceAllocation")</f>
        <v>IsForceAllocation</v>
      </c>
      <c r="F5" s="29" t="str">
        <f>IFERROR(__xludf.DUMMYFUNCTION("""COMPUTED_VALUE"""),"AllocationMethod")</f>
        <v>AllocationMethod</v>
      </c>
      <c r="G5" s="28" t="str">
        <f>IFERROR(__xludf.DUMMYFUNCTION("""COMPUTED_VALUE"""),"RemainderAllocationTo")</f>
        <v>RemainderAllocationTo</v>
      </c>
      <c r="H5" s="28" t="str">
        <f>IFERROR(__xludf.DUMMYFUNCTION("""COMPUTED_VALUE"""),"Target%AsOf")</f>
        <v>Target%AsOf</v>
      </c>
      <c r="I5" s="28" t="str">
        <f>IFERROR(__xludf.DUMMYFUNCTION("""COMPUTED_VALUE"""),"AccountsForProrata")</f>
        <v>AccountsForProrata</v>
      </c>
      <c r="J5" s="28" t="str">
        <f>IFERROR(__xludf.DUMMYFUNCTION("""COMPUTED_VALUE"""),"DateUptoDays")</f>
        <v>DateUptoDays</v>
      </c>
      <c r="K5" s="28" t="str">
        <f>IFERROR(__xludf.DUMMYFUNCTION("""COMPUTED_VALUE"""),"MatchClosingTransactions")</f>
        <v>MatchClosingTransactions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55</v>
      </c>
      <c r="C6" s="13" t="s">
        <v>16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EnterAllocatePreference!$4:$4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7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39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IFERROR(__xludf.DUMMYFUNCTION("""COMPUTED_VALUE"""),"ClosePM")</f>
        <v>ClosePM</v>
      </c>
      <c r="G4" s="25" t="str">
        <f>IFERROR(__xludf.DUMMYFUNCTION("""COMPUTED_VALUE"""),"FilterPM")</f>
        <v>FilterPM</v>
      </c>
      <c r="H4" s="25" t="str">
        <f>IFERROR(__xludf.DUMMYFUNCTION("""COMPUTED_VALUE"""),"GroupRowPM")</f>
        <v>GroupRowPM</v>
      </c>
      <c r="I4" s="25" t="str">
        <f>IFERROR(__xludf.DUMMYFUNCTION("""COMPUTED_VALUE"""),"CheckDashboardWithPM")</f>
        <v>CheckDashboardWithPM</v>
      </c>
      <c r="J4" s="25" t="str">
        <f>IFERROR(__xludf.DUMMYFUNCTION("""COMPUTED_VALUE"""),"RemoveFilterPM")</f>
        <v>RemoveFilterPM</v>
      </c>
      <c r="K4" s="25" t="str">
        <f>IFERROR(__xludf.DUMMYFUNCTION("""COMPUTED_VALUE"""),"CheckSummaryRowsPM")</f>
        <v>CheckSummaryRowsPM</v>
      </c>
      <c r="L4" s="25" t="str">
        <f>IFERROR(__xludf.DUMMYFUNCTION("""COMPUTED_VALUE"""),"OpenPTTFromPM")</f>
        <v>OpenPTTFromPM</v>
      </c>
      <c r="M4" s="25" t="str">
        <f>IFERROR(__xludf.DUMMYFUNCTION("""COMPUTED_VALUE"""),"OpenClosingFromPM")</f>
        <v>OpenClosingFromPM</v>
      </c>
      <c r="N4" s="25" t="str">
        <f>IFERROR(__xludf.DUMMYFUNCTION("""COMPUTED_VALUE"""),"OpenCorporateActionFromPM")</f>
        <v>OpenCorporateActionFromPM</v>
      </c>
      <c r="O4" s="25" t="str">
        <f>IFERROR(__xludf.DUMMYFUNCTION("""COMPUTED_VALUE"""),"OpenDailyValuationFromPM")</f>
        <v>OpenDailyValuationFromPM</v>
      </c>
      <c r="P4" s="26" t="str">
        <f>IFERROR(__xludf.DUMMYFUNCTION("""COMPUTED_VALUE"""),"ClosePositionFromPM")</f>
        <v>ClosePositionFromPM</v>
      </c>
      <c r="Q4" s="26" t="str">
        <f>IFERROR(__xludf.DUMMYFUNCTION("""COMPUTED_VALUE"""),"ShowSummaryToolFromPM")</f>
        <v>ShowSummaryToolFromPM</v>
      </c>
      <c r="R4" s="26" t="str">
        <f>IFERROR(__xludf.DUMMYFUNCTION("""COMPUTED_VALUE"""),"HideSummaryToolFromPM")</f>
        <v>HideSummaryToolFromPM</v>
      </c>
      <c r="S4" s="26" t="str">
        <f>IFERROR(__xludf.DUMMYFUNCTION("""COMPUTED_VALUE"""),"CloseAccountPositionFromPM")</f>
        <v>CloseAccountPositionFromPM</v>
      </c>
      <c r="T4" s="26" t="str">
        <f>IFERROR(__xludf.DUMMYFUNCTION("""COMPUTED_VALUE"""),"CloseSelectedTaxlotsFromPM")</f>
        <v>CloseSelectedTaxlotsFromPM</v>
      </c>
      <c r="U4" s="26" t="str">
        <f>IFERROR(__xludf.DUMMYFUNCTION("""COMPUTED_VALUE"""),"ExpandCollapsePM")</f>
        <v>ExpandCollapsePM</v>
      </c>
      <c r="V4" s="26" t="str">
        <f>IFERROR(__xludf.DUMMYFUNCTION("""COMPUTED_VALUE"""),"AddCustomViewPM")</f>
        <v>AddCustomViewPM</v>
      </c>
      <c r="W4" s="26" t="str">
        <f>IFERROR(__xludf.DUMMYFUNCTION("""COMPUTED_VALUE"""),"AddCustomViewRightClickPM")</f>
        <v>AddCustomViewRightClickPM</v>
      </c>
      <c r="X4" s="26" t="str">
        <f>IFERROR(__xludf.DUMMYFUNCTION("""COMPUTED_VALUE"""),"RenameCustomViewPM")</f>
        <v>RenameCustomViewPM</v>
      </c>
      <c r="Y4" s="26" t="str">
        <f>IFERROR(__xludf.DUMMYFUNCTION("""COMPUTED_VALUE"""),"DeleteCustomViewPM")</f>
        <v>DeleteCustomViewPM</v>
      </c>
      <c r="Z4" s="26" t="str">
        <f>IFERROR(__xludf.DUMMYFUNCTION("""COMPUTED_VALUE"""),"OpenCreateTransactionFromPM")</f>
        <v>OpenCreateTransactionFromPM</v>
      </c>
      <c r="AA4" s="26" t="str">
        <f>IFERROR(__xludf.DUMMYFUNCTION("""COMPUTED_VALUE"""),"RemoveGroupingFromPM")</f>
        <v>RemoveGroupingFromPM</v>
      </c>
      <c r="AB4" s="26" t="str">
        <f>IFERROR(__xludf.DUMMYFUNCTION("""COMPUTED_VALUE"""),"IncreasePositionFromPM")</f>
        <v>IncreasePositionFromPM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 t="str">
        <f>IFERROR(__xludf.DUMMYFUNCTION("""COMPUTED_VALUE"""),"IsAccountBlank")</f>
        <v>IsAccountBlank</v>
      </c>
      <c r="FL5" s="30"/>
      <c r="FM5" s="30"/>
      <c r="FN5" s="30"/>
      <c r="FO5" s="30"/>
      <c r="FP5" s="30"/>
      <c r="FQ5" s="30"/>
      <c r="FR5" s="30"/>
      <c r="FS5" s="30"/>
      <c r="FT5" s="30"/>
      <c r="FU5" s="30"/>
    </row>
    <row r="6" ht="15.75" customHeight="1">
      <c r="A6" s="32"/>
      <c r="B6" s="32"/>
      <c r="C6" s="39" t="s">
        <v>25</v>
      </c>
      <c r="D6" s="40">
        <v>100.0</v>
      </c>
      <c r="E6" s="39" t="s">
        <v>18</v>
      </c>
      <c r="F6" s="39" t="s">
        <v>41</v>
      </c>
      <c r="G6" s="40">
        <v>10.0</v>
      </c>
      <c r="H6" s="39" t="s">
        <v>42</v>
      </c>
      <c r="I6" s="33"/>
      <c r="J6" s="33"/>
      <c r="K6" s="33"/>
      <c r="L6" s="33"/>
      <c r="M6" s="33"/>
      <c r="N6" s="33"/>
      <c r="O6" s="33"/>
      <c r="P6" s="33"/>
      <c r="Q6" s="33"/>
      <c r="R6" s="39" t="s">
        <v>43</v>
      </c>
      <c r="S6" s="39" t="s">
        <v>44</v>
      </c>
      <c r="T6" s="39" t="s">
        <v>45</v>
      </c>
      <c r="U6" s="39" t="s">
        <v>46</v>
      </c>
      <c r="V6" s="39" t="s">
        <v>47</v>
      </c>
      <c r="W6" s="39" t="s">
        <v>31</v>
      </c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9" t="s">
        <v>26</v>
      </c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  <c r="EY6" s="33"/>
      <c r="EZ6" s="33"/>
      <c r="FA6" s="33"/>
      <c r="FB6" s="33"/>
      <c r="FC6" s="33"/>
      <c r="FD6" s="33"/>
      <c r="FE6" s="33"/>
      <c r="FF6" s="33"/>
      <c r="FG6" s="33"/>
      <c r="FH6" s="33"/>
      <c r="FI6" s="33"/>
      <c r="FJ6" s="33"/>
      <c r="FK6" s="33"/>
      <c r="FL6" s="33"/>
      <c r="FM6" s="33"/>
      <c r="FN6" s="33"/>
      <c r="FO6" s="33"/>
      <c r="FP6" s="33"/>
      <c r="FQ6" s="33"/>
      <c r="FR6" s="33"/>
      <c r="FS6" s="33"/>
      <c r="FT6" s="33"/>
      <c r="FU6" s="33"/>
    </row>
    <row r="7" ht="15.75" customHeight="1">
      <c r="A7" s="33"/>
      <c r="B7" s="33"/>
      <c r="C7" s="39" t="s">
        <v>25</v>
      </c>
      <c r="D7" s="42">
        <v>1000.0</v>
      </c>
      <c r="E7" s="39" t="s">
        <v>19</v>
      </c>
      <c r="F7" s="39" t="s">
        <v>48</v>
      </c>
      <c r="G7" s="40">
        <v>10.0</v>
      </c>
      <c r="H7" s="39" t="s">
        <v>42</v>
      </c>
      <c r="I7" s="33"/>
      <c r="J7" s="33"/>
      <c r="K7" s="33"/>
      <c r="L7" s="33"/>
      <c r="M7" s="33"/>
      <c r="N7" s="33"/>
      <c r="O7" s="33"/>
      <c r="P7" s="33"/>
      <c r="Q7" s="33"/>
      <c r="R7" s="39" t="s">
        <v>43</v>
      </c>
      <c r="S7" s="39" t="s">
        <v>44</v>
      </c>
      <c r="T7" s="39" t="s">
        <v>45</v>
      </c>
      <c r="U7" s="39" t="s">
        <v>46</v>
      </c>
      <c r="V7" s="39" t="s">
        <v>47</v>
      </c>
      <c r="W7" s="39" t="s">
        <v>31</v>
      </c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9" t="s">
        <v>26</v>
      </c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  <c r="EY7" s="33"/>
      <c r="EZ7" s="33"/>
      <c r="FA7" s="33"/>
      <c r="FB7" s="33"/>
      <c r="FC7" s="33"/>
      <c r="FD7" s="33"/>
      <c r="FE7" s="33"/>
      <c r="FF7" s="33"/>
      <c r="FG7" s="33"/>
      <c r="FH7" s="33"/>
      <c r="FI7" s="33"/>
      <c r="FJ7" s="33"/>
      <c r="FK7" s="33"/>
      <c r="FL7" s="33"/>
      <c r="FM7" s="33"/>
      <c r="FN7" s="33"/>
      <c r="FO7" s="33"/>
      <c r="FP7" s="33"/>
      <c r="FQ7" s="33"/>
      <c r="FR7" s="33"/>
      <c r="FS7" s="33"/>
      <c r="FT7" s="33"/>
      <c r="FU7" s="33"/>
    </row>
    <row r="8" ht="15.75" customHeight="1">
      <c r="A8" s="33"/>
      <c r="B8" s="33"/>
      <c r="C8" s="39" t="s">
        <v>25</v>
      </c>
      <c r="D8" s="42">
        <v>90.0</v>
      </c>
      <c r="E8" s="39" t="s">
        <v>18</v>
      </c>
      <c r="F8" s="39" t="s">
        <v>41</v>
      </c>
      <c r="G8" s="40">
        <v>10.0</v>
      </c>
      <c r="H8" s="39" t="s">
        <v>42</v>
      </c>
      <c r="I8" s="33"/>
      <c r="J8" s="33"/>
      <c r="K8" s="33"/>
      <c r="L8" s="33"/>
      <c r="M8" s="33"/>
      <c r="N8" s="33"/>
      <c r="O8" s="33"/>
      <c r="P8" s="33"/>
      <c r="Q8" s="33"/>
      <c r="R8" s="39" t="s">
        <v>43</v>
      </c>
      <c r="S8" s="39" t="s">
        <v>44</v>
      </c>
      <c r="T8" s="39" t="s">
        <v>45</v>
      </c>
      <c r="U8" s="39" t="s">
        <v>46</v>
      </c>
      <c r="V8" s="39" t="s">
        <v>47</v>
      </c>
      <c r="W8" s="39" t="s">
        <v>31</v>
      </c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9" t="s">
        <v>26</v>
      </c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  <c r="EY8" s="33"/>
      <c r="EZ8" s="33"/>
      <c r="FA8" s="33"/>
      <c r="FB8" s="33"/>
      <c r="FC8" s="33"/>
      <c r="FD8" s="33"/>
      <c r="FE8" s="33"/>
      <c r="FF8" s="33"/>
      <c r="FG8" s="33"/>
      <c r="FH8" s="33"/>
      <c r="FI8" s="33"/>
      <c r="FJ8" s="33"/>
      <c r="FK8" s="33"/>
      <c r="FL8" s="33"/>
      <c r="FM8" s="33"/>
      <c r="FN8" s="33"/>
      <c r="FO8" s="33"/>
      <c r="FP8" s="33"/>
      <c r="FQ8" s="33"/>
      <c r="FR8" s="33"/>
      <c r="FS8" s="33"/>
      <c r="FT8" s="33"/>
      <c r="FU8" s="33"/>
    </row>
    <row r="9" ht="15.75" customHeight="1">
      <c r="A9" s="33"/>
      <c r="B9" s="33"/>
      <c r="C9" s="39" t="s">
        <v>25</v>
      </c>
      <c r="D9" s="40">
        <v>910.0</v>
      </c>
      <c r="E9" s="39" t="s">
        <v>19</v>
      </c>
      <c r="F9" s="39" t="s">
        <v>48</v>
      </c>
      <c r="G9" s="40">
        <v>10.0</v>
      </c>
      <c r="H9" s="39" t="s">
        <v>42</v>
      </c>
      <c r="I9" s="33"/>
      <c r="J9" s="33"/>
      <c r="K9" s="33"/>
      <c r="L9" s="33"/>
      <c r="M9" s="33"/>
      <c r="N9" s="33"/>
      <c r="O9" s="33"/>
      <c r="P9" s="33"/>
      <c r="Q9" s="33"/>
      <c r="R9" s="39" t="s">
        <v>43</v>
      </c>
      <c r="S9" s="39" t="s">
        <v>44</v>
      </c>
      <c r="T9" s="39" t="s">
        <v>45</v>
      </c>
      <c r="U9" s="39" t="s">
        <v>46</v>
      </c>
      <c r="V9" s="39" t="s">
        <v>47</v>
      </c>
      <c r="W9" s="39" t="s">
        <v>31</v>
      </c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9" t="s">
        <v>26</v>
      </c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  <c r="EY9" s="33"/>
      <c r="EZ9" s="33"/>
      <c r="FA9" s="33"/>
      <c r="FB9" s="33"/>
      <c r="FC9" s="33"/>
      <c r="FD9" s="33"/>
      <c r="FE9" s="33"/>
      <c r="FF9" s="33"/>
      <c r="FG9" s="33"/>
      <c r="FH9" s="33"/>
      <c r="FI9" s="33"/>
      <c r="FJ9" s="33"/>
      <c r="FK9" s="33"/>
      <c r="FL9" s="33"/>
      <c r="FM9" s="33"/>
      <c r="FN9" s="33"/>
      <c r="FO9" s="33"/>
      <c r="FP9" s="33"/>
      <c r="FQ9" s="33"/>
      <c r="FR9" s="33"/>
      <c r="FS9" s="33"/>
      <c r="FT9" s="33"/>
      <c r="FU9" s="33"/>
    </row>
    <row r="10" ht="15.75" customHeight="1">
      <c r="A10" s="8"/>
      <c r="B10" s="8"/>
      <c r="C10" s="43"/>
      <c r="D10" s="43"/>
      <c r="E10" s="43"/>
      <c r="F10" s="43"/>
      <c r="G10" s="43"/>
      <c r="H10" s="43"/>
      <c r="I10" s="8"/>
      <c r="J10" s="8"/>
      <c r="K10" s="8"/>
      <c r="L10" s="8"/>
      <c r="M10" s="8"/>
      <c r="N10" s="8"/>
      <c r="O10" s="8"/>
      <c r="R10" s="43"/>
      <c r="S10" s="43"/>
      <c r="T10" s="43"/>
      <c r="U10" s="43"/>
      <c r="V10" s="43"/>
      <c r="W10" s="43"/>
      <c r="AN10" s="43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CheckPortfolioManagement4!$4:$4</formula1>
    </dataValidation>
  </dataValidations>
  <drawing r:id="rId1"/>
</worksheet>
</file>