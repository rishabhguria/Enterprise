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SetTTCompliancePreference" sheetId="5" r:id="rId7"/>
    <sheet state="visible" name="CustomOrderTT" sheetId="6" r:id="rId8"/>
    <sheet state="visible" name="ActionOnPrompt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ExecuteTrade1" sheetId="11" r:id="rId13"/>
    <sheet state="visible" name="ExecuteTrade2" sheetId="12" r:id="rId14"/>
    <sheet state="visible" name="ExecuteTrade3" sheetId="13" r:id="rId15"/>
    <sheet state="visible" name="VerifySubOrder" sheetId="14" r:id="rId16"/>
    <sheet state="visible" name="VerifySubOrder1" sheetId="15" r:id="rId17"/>
    <sheet state="visible" name="VerifySubOrder2" sheetId="16" r:id="rId18"/>
    <sheet state="visible" name="VerifySubOrder3" sheetId="17" r:id="rId19"/>
    <sheet state="visible" name="GetDataAllocation" sheetId="18" r:id="rId20"/>
    <sheet state="visible" name="CheckAllocatedGroups" sheetId="19" r:id="rId21"/>
    <sheet state="visible" name="CheckAllocatedGroups1" sheetId="20" r:id="rId22"/>
    <sheet state="visible" name="CheckAllocatedGroups2" sheetId="21" r:id="rId23"/>
    <sheet state="visible" name="CheckAllocatedGroups3" sheetId="22" r:id="rId24"/>
    <sheet state="visible" name="ChangeDate" sheetId="23" r:id="rId25"/>
    <sheet state="visible" name="RestartReleasesAndServices" sheetId="24" r:id="rId26"/>
    <sheet state="visible" name="ChangeDate1" sheetId="25" r:id="rId27"/>
  </sheets>
  <definedNames/>
  <calcPr/>
</workbook>
</file>

<file path=xl/sharedStrings.xml><?xml version="1.0" encoding="utf-8"?>
<sst xmlns="http://schemas.openxmlformats.org/spreadsheetml/2006/main" count="464" uniqueCount="70">
  <si>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</si>
  <si>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</si>
  <si>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</si>
  <si>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</si>
  <si>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</si>
  <si>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</si>
  <si>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</si>
  <si>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</si>
  <si>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</si>
  <si>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</si>
  <si>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</si>
  <si>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</si>
  <si>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</si>
  <si>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</si>
  <si>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</si>
  <si>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</si>
  <si>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</si>
  <si>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</si>
  <si>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SetTTCompliancePreference</t>
  </si>
  <si>
    <t>CustomOrderTT</t>
  </si>
  <si>
    <t>FRU-TC</t>
  </si>
  <si>
    <t>Send</t>
  </si>
  <si>
    <t>Buy</t>
  </si>
  <si>
    <t>Good Till Date</t>
  </si>
  <si>
    <t>Limit</t>
  </si>
  <si>
    <t>VerifyContainslblMsg</t>
  </si>
  <si>
    <t>TargetQuantity</t>
  </si>
  <si>
    <t>Continue</t>
  </si>
  <si>
    <t>Edit Order</t>
  </si>
  <si>
    <t>Simulator</t>
  </si>
  <si>
    <t>SelectTrade</t>
  </si>
  <si>
    <t>AcknowledgeTrade</t>
  </si>
  <si>
    <t>ExecuteTrade</t>
  </si>
  <si>
    <t>Blotter</t>
  </si>
  <si>
    <t>VerifySubOrder</t>
  </si>
  <si>
    <t>FRU CN EQUITY</t>
  </si>
  <si>
    <t>NASDAQ</t>
  </si>
  <si>
    <t>jpearce</t>
  </si>
  <si>
    <t>GCCAP1</t>
  </si>
  <si>
    <t>CAD</t>
  </si>
  <si>
    <t>NONE</t>
  </si>
  <si>
    <t>DefaultNotes</t>
  </si>
  <si>
    <t>D</t>
  </si>
  <si>
    <t>Equity</t>
  </si>
  <si>
    <t>PartiallyFilled</t>
  </si>
  <si>
    <t>MS</t>
  </si>
  <si>
    <t>Allocation1</t>
  </si>
  <si>
    <t>Manual</t>
  </si>
  <si>
    <t>Strategy Unallocated</t>
  </si>
  <si>
    <t>Allocation</t>
  </si>
  <si>
    <t>GetDataAllocation</t>
  </si>
  <si>
    <t>Historical</t>
  </si>
  <si>
    <t>CheckAllocatedGroups</t>
  </si>
  <si>
    <t>Actual_365</t>
  </si>
  <si>
    <t>Treasury</t>
  </si>
  <si>
    <t>Open</t>
  </si>
  <si>
    <t>FRU-TC.C</t>
  </si>
  <si>
    <t>TSX</t>
  </si>
  <si>
    <t>None</t>
  </si>
  <si>
    <t>InternalOrder</t>
  </si>
  <si>
    <t>US</t>
  </si>
  <si>
    <t>NewMF</t>
  </si>
  <si>
    <t>M</t>
  </si>
  <si>
    <t>FIX</t>
  </si>
  <si>
    <t>Admin</t>
  </si>
  <si>
    <t>ChangeDate</t>
  </si>
  <si>
    <t>Today()+1</t>
  </si>
  <si>
    <t>Compliance</t>
  </si>
  <si>
    <t>RestartReleasesAndServices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</si>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</sst>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14" xfId="0" applyFont="1" applyNumberFormat="1"/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6.0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IFERROR(__xludf.DUMMYFUNCTION("""COMPUTED_VALUE"""),"PopUpTargetQty")</f>
        <v>PopUpTargetQty</v>
      </c>
      <c r="C5" s="27" t="str">
        <f>IFERROR(__xludf.DUMMYFUNCTION("""COMPUTED_VALUE"""),"PopUpNewOrder")</f>
        <v>PopUpNewOrder</v>
      </c>
      <c r="D5" s="27" t="str">
        <f>IFERROR(__xludf.DUMMYFUNCTION("""COMPUTED_VALUE"""),"PopUpCXL")</f>
        <v>PopUpCXL</v>
      </c>
      <c r="E5" s="27" t="str">
        <f>IFERROR(__xludf.DUMMYFUNCTION("""COMPUTED_VALUE"""),"PopUpReplace")</f>
        <v>PopUpReplace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SetTTCompliancePreference!$4:$4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>
        <v>100.0</v>
      </c>
      <c r="D6" s="12"/>
      <c r="E6" s="12" t="s">
        <v>21</v>
      </c>
      <c r="F6" s="8"/>
      <c r="G6" s="8"/>
      <c r="H6" s="8"/>
      <c r="I6" s="8"/>
      <c r="J6" s="12" t="s">
        <v>22</v>
      </c>
      <c r="K6" s="8"/>
      <c r="L6" s="8"/>
      <c r="M6" s="8"/>
      <c r="N6" s="8"/>
      <c r="O6" s="8"/>
      <c r="U6" s="9" t="s">
        <v>23</v>
      </c>
      <c r="V6" s="9" t="s">
        <v>24</v>
      </c>
      <c r="X6" s="9">
        <v>100.0</v>
      </c>
      <c r="Y6" s="35">
        <f>TODAY()+2</f>
        <v>45869</v>
      </c>
      <c r="AE6" s="9">
        <v>3.0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/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25</v>
      </c>
      <c r="C5" s="28" t="s">
        <v>26</v>
      </c>
      <c r="D5" s="28" t="s">
        <v>27</v>
      </c>
      <c r="E5" s="28" t="s">
        <v>28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27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ActionOnPrompt!$4:$4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50.0</v>
      </c>
      <c r="C6" s="12">
        <v>10.0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60.0</v>
      </c>
      <c r="C6" s="12">
        <v>20.0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40.0</v>
      </c>
      <c r="C6" s="12">
        <v>10.0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30.0</v>
      </c>
      <c r="C6" s="12">
        <v>10.0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6"/>
      <c r="C6" s="33"/>
      <c r="D6" s="37">
        <v>16.6667</v>
      </c>
      <c r="E6" s="38" t="s">
        <v>35</v>
      </c>
      <c r="F6" s="39">
        <v>100.0</v>
      </c>
      <c r="G6" s="39">
        <v>90.0</v>
      </c>
      <c r="H6" s="33" t="s">
        <v>36</v>
      </c>
      <c r="I6" s="33" t="s">
        <v>37</v>
      </c>
      <c r="J6" s="38" t="s">
        <v>20</v>
      </c>
      <c r="K6" s="33"/>
      <c r="L6" s="33" t="s">
        <v>38</v>
      </c>
      <c r="M6" s="40"/>
      <c r="N6" s="33"/>
      <c r="O6" s="33"/>
      <c r="P6" s="33"/>
      <c r="Q6" s="33"/>
      <c r="R6" s="33"/>
      <c r="S6" s="36"/>
      <c r="T6" s="39"/>
      <c r="U6" s="38" t="s">
        <v>39</v>
      </c>
      <c r="V6" s="33" t="s">
        <v>40</v>
      </c>
      <c r="W6" s="33"/>
      <c r="X6" s="33"/>
      <c r="Y6" s="33"/>
      <c r="Z6" s="33"/>
      <c r="AA6" s="33"/>
      <c r="AB6" s="39">
        <v>10.0</v>
      </c>
      <c r="AC6" s="33" t="s">
        <v>41</v>
      </c>
      <c r="AD6" s="37">
        <v>3.0</v>
      </c>
      <c r="AE6" s="33"/>
      <c r="AF6" s="38" t="s">
        <v>42</v>
      </c>
      <c r="AG6" s="36"/>
      <c r="AH6" s="33" t="s">
        <v>43</v>
      </c>
      <c r="AI6" s="38" t="s">
        <v>20</v>
      </c>
      <c r="AJ6" s="33" t="s">
        <v>22</v>
      </c>
      <c r="AK6" s="33" t="s">
        <v>44</v>
      </c>
      <c r="AL6" s="39">
        <v>100.0</v>
      </c>
      <c r="AM6" s="39">
        <v>10.0</v>
      </c>
      <c r="AN6" s="39">
        <v>10.0</v>
      </c>
      <c r="AO6" s="39">
        <v>50.0</v>
      </c>
      <c r="AP6" s="39">
        <v>50.0</v>
      </c>
      <c r="AQ6" s="33" t="s">
        <v>45</v>
      </c>
      <c r="AR6" s="33" t="s">
        <v>46</v>
      </c>
      <c r="AS6" s="33" t="s">
        <v>24</v>
      </c>
      <c r="AT6" s="39">
        <v>500.0</v>
      </c>
      <c r="AU6" s="37">
        <v>166.6667</v>
      </c>
      <c r="AV6" s="33" t="s">
        <v>47</v>
      </c>
      <c r="AW6" s="33" t="s">
        <v>44</v>
      </c>
      <c r="AX6" s="39">
        <v>90.0</v>
      </c>
      <c r="AY6" s="33" t="s">
        <v>48</v>
      </c>
      <c r="AZ6" s="33" t="s">
        <v>37</v>
      </c>
      <c r="BA6" s="36"/>
      <c r="BB6" s="33"/>
      <c r="BC6" s="36"/>
      <c r="BD6" s="33"/>
      <c r="BE6" s="33"/>
      <c r="BF6" s="33"/>
      <c r="BG6" s="40"/>
      <c r="BH6" s="33"/>
      <c r="BI6" s="33"/>
      <c r="BJ6" s="33"/>
      <c r="BK6" s="33"/>
      <c r="BL6" s="33"/>
      <c r="BM6" s="33"/>
      <c r="BN6" s="40"/>
      <c r="BO6" s="33"/>
      <c r="BP6" s="33"/>
      <c r="BQ6" s="33"/>
      <c r="BR6" s="33"/>
      <c r="BS6" s="33"/>
      <c r="BT6" s="33"/>
      <c r="BU6" s="33"/>
      <c r="BV6" s="40"/>
      <c r="BW6" s="33"/>
      <c r="BX6" s="33"/>
      <c r="BY6" s="33"/>
      <c r="BZ6" s="33"/>
      <c r="CA6" s="33"/>
      <c r="CB6" s="40"/>
      <c r="CC6" s="33"/>
      <c r="CD6" s="33"/>
      <c r="CE6" s="40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40"/>
      <c r="CR6" s="40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40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0"/>
      <c r="B7" s="36"/>
      <c r="C7" s="33"/>
      <c r="D7" s="39"/>
      <c r="E7" s="38"/>
      <c r="F7" s="39"/>
      <c r="G7" s="39"/>
      <c r="H7" s="33"/>
      <c r="I7" s="33"/>
      <c r="J7" s="38"/>
      <c r="K7" s="33"/>
      <c r="L7" s="33"/>
      <c r="M7" s="33"/>
      <c r="N7" s="33"/>
      <c r="O7" s="33"/>
      <c r="P7" s="33"/>
      <c r="Q7" s="33"/>
      <c r="R7" s="33"/>
      <c r="S7" s="39"/>
      <c r="T7" s="39"/>
      <c r="U7" s="38"/>
      <c r="V7" s="33"/>
      <c r="W7" s="33"/>
      <c r="X7" s="33"/>
      <c r="Y7" s="33"/>
      <c r="Z7" s="33"/>
      <c r="AA7" s="33"/>
      <c r="AB7" s="39"/>
      <c r="AC7" s="33"/>
      <c r="AD7" s="39"/>
      <c r="AE7" s="33"/>
      <c r="AF7" s="38"/>
      <c r="AG7" s="36"/>
      <c r="AH7" s="33"/>
      <c r="AI7" s="38"/>
      <c r="AJ7" s="33"/>
      <c r="AK7" s="33"/>
      <c r="AL7" s="39"/>
      <c r="AM7" s="39"/>
      <c r="AN7" s="39"/>
      <c r="AO7" s="39"/>
      <c r="AP7" s="39"/>
      <c r="AQ7" s="33"/>
      <c r="AR7" s="33"/>
      <c r="AS7" s="33"/>
      <c r="AT7" s="39"/>
      <c r="AU7" s="39"/>
      <c r="AV7" s="33"/>
      <c r="AW7" s="33"/>
      <c r="AX7" s="39"/>
      <c r="AY7" s="33"/>
      <c r="AZ7" s="33"/>
      <c r="BA7" s="36"/>
      <c r="BB7" s="33"/>
      <c r="BC7" s="36"/>
      <c r="BD7" s="33"/>
      <c r="BE7" s="33"/>
      <c r="BF7" s="33"/>
      <c r="BG7" s="40"/>
      <c r="BH7" s="33"/>
      <c r="BI7" s="33"/>
      <c r="BJ7" s="33"/>
      <c r="BK7" s="33"/>
      <c r="BL7" s="33"/>
      <c r="BM7" s="33"/>
      <c r="BN7" s="40"/>
      <c r="BO7" s="33"/>
      <c r="BP7" s="33"/>
      <c r="BQ7" s="33"/>
      <c r="BR7" s="33"/>
      <c r="BS7" s="33"/>
      <c r="BT7" s="33"/>
      <c r="BU7" s="33"/>
      <c r="BV7" s="40"/>
      <c r="BW7" s="33"/>
      <c r="BX7" s="33"/>
      <c r="BY7" s="33"/>
      <c r="BZ7" s="33"/>
      <c r="CA7" s="33"/>
      <c r="CB7" s="40"/>
      <c r="CC7" s="33"/>
      <c r="CD7" s="33"/>
      <c r="CE7" s="40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40"/>
      <c r="CR7" s="40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40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30"/>
      <c r="B8" s="36"/>
      <c r="C8" s="33"/>
      <c r="D8" s="39"/>
      <c r="E8" s="38"/>
      <c r="F8" s="39"/>
      <c r="G8" s="39"/>
      <c r="H8" s="33"/>
      <c r="I8" s="33"/>
      <c r="J8" s="38"/>
      <c r="K8" s="33"/>
      <c r="L8" s="33"/>
      <c r="M8" s="33"/>
      <c r="N8" s="33"/>
      <c r="O8" s="33"/>
      <c r="P8" s="33"/>
      <c r="Q8" s="33"/>
      <c r="R8" s="33"/>
      <c r="S8" s="39"/>
      <c r="T8" s="39"/>
      <c r="U8" s="38"/>
      <c r="V8" s="33"/>
      <c r="W8" s="33"/>
      <c r="X8" s="33"/>
      <c r="Y8" s="33"/>
      <c r="Z8" s="33"/>
      <c r="AA8" s="33"/>
      <c r="AB8" s="39"/>
      <c r="AC8" s="33"/>
      <c r="AD8" s="39"/>
      <c r="AE8" s="33"/>
      <c r="AF8" s="38"/>
      <c r="AG8" s="36"/>
      <c r="AH8" s="33"/>
      <c r="AI8" s="38"/>
      <c r="AJ8" s="33"/>
      <c r="AK8" s="33"/>
      <c r="AL8" s="39"/>
      <c r="AM8" s="39"/>
      <c r="AN8" s="39"/>
      <c r="AO8" s="39"/>
      <c r="AP8" s="39"/>
      <c r="AQ8" s="33"/>
      <c r="AR8" s="33"/>
      <c r="AS8" s="33"/>
      <c r="AT8" s="39"/>
      <c r="AU8" s="39"/>
      <c r="AV8" s="33"/>
      <c r="AW8" s="33"/>
      <c r="AX8" s="39"/>
      <c r="AY8" s="33"/>
      <c r="AZ8" s="33"/>
      <c r="BA8" s="36"/>
      <c r="BB8" s="33"/>
      <c r="BC8" s="36"/>
      <c r="BD8" s="33"/>
      <c r="BE8" s="33"/>
      <c r="BF8" s="33"/>
      <c r="BG8" s="40"/>
      <c r="BH8" s="33"/>
      <c r="BI8" s="33"/>
      <c r="BJ8" s="33"/>
      <c r="BK8" s="33"/>
      <c r="BL8" s="33"/>
      <c r="BM8" s="33"/>
      <c r="BN8" s="40"/>
      <c r="BO8" s="33"/>
      <c r="BP8" s="33"/>
      <c r="BQ8" s="33"/>
      <c r="BR8" s="33"/>
      <c r="BS8" s="33"/>
      <c r="BT8" s="33"/>
      <c r="BU8" s="33"/>
      <c r="BV8" s="40"/>
      <c r="BW8" s="33"/>
      <c r="BX8" s="33"/>
      <c r="BY8" s="33"/>
      <c r="BZ8" s="33"/>
      <c r="CA8" s="33"/>
      <c r="CB8" s="40"/>
      <c r="CC8" s="33"/>
      <c r="CD8" s="33"/>
      <c r="CE8" s="40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40"/>
      <c r="CR8" s="40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40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6"/>
      <c r="C6" s="33"/>
      <c r="D6" s="39">
        <v>18.8889</v>
      </c>
      <c r="E6" s="38" t="s">
        <v>35</v>
      </c>
      <c r="F6" s="39">
        <v>100.0</v>
      </c>
      <c r="G6" s="39">
        <v>70.0</v>
      </c>
      <c r="H6" s="33" t="s">
        <v>36</v>
      </c>
      <c r="I6" s="33" t="s">
        <v>37</v>
      </c>
      <c r="J6" s="38" t="s">
        <v>20</v>
      </c>
      <c r="K6" s="33"/>
      <c r="L6" s="33" t="s">
        <v>38</v>
      </c>
      <c r="M6" s="33"/>
      <c r="N6" s="33"/>
      <c r="O6" s="33"/>
      <c r="P6" s="33"/>
      <c r="Q6" s="33"/>
      <c r="R6" s="33"/>
      <c r="S6" s="39"/>
      <c r="T6" s="39"/>
      <c r="U6" s="38" t="s">
        <v>39</v>
      </c>
      <c r="V6" s="33" t="s">
        <v>40</v>
      </c>
      <c r="W6" s="33"/>
      <c r="X6" s="33"/>
      <c r="Y6" s="33"/>
      <c r="Z6" s="33"/>
      <c r="AA6" s="33"/>
      <c r="AB6" s="39">
        <v>20.0</v>
      </c>
      <c r="AC6" s="33" t="s">
        <v>41</v>
      </c>
      <c r="AD6" s="37">
        <v>3.0</v>
      </c>
      <c r="AE6" s="33"/>
      <c r="AF6" s="38" t="s">
        <v>42</v>
      </c>
      <c r="AG6" s="36"/>
      <c r="AH6" s="33" t="s">
        <v>43</v>
      </c>
      <c r="AI6" s="38" t="s">
        <v>20</v>
      </c>
      <c r="AJ6" s="33" t="s">
        <v>22</v>
      </c>
      <c r="AK6" s="33" t="s">
        <v>44</v>
      </c>
      <c r="AL6" s="39">
        <v>100.0</v>
      </c>
      <c r="AM6" s="39">
        <v>30.0</v>
      </c>
      <c r="AN6" s="39">
        <v>30.0</v>
      </c>
      <c r="AO6" s="39">
        <v>60.0</v>
      </c>
      <c r="AP6" s="39">
        <v>56.6667</v>
      </c>
      <c r="AQ6" s="33" t="s">
        <v>45</v>
      </c>
      <c r="AR6" s="33" t="s">
        <v>46</v>
      </c>
      <c r="AS6" s="33" t="s">
        <v>24</v>
      </c>
      <c r="AT6" s="39">
        <v>1700.0</v>
      </c>
      <c r="AU6" s="37">
        <v>566.6667</v>
      </c>
      <c r="AV6" s="33" t="s">
        <v>47</v>
      </c>
      <c r="AW6" s="33" t="s">
        <v>44</v>
      </c>
      <c r="AX6" s="39">
        <v>70.0</v>
      </c>
      <c r="AY6" s="33" t="s">
        <v>48</v>
      </c>
      <c r="AZ6" s="33" t="s">
        <v>37</v>
      </c>
      <c r="BA6" s="36"/>
      <c r="BB6" s="33"/>
      <c r="BC6" s="36"/>
      <c r="BD6" s="33"/>
      <c r="BE6" s="33"/>
      <c r="BF6" s="33"/>
      <c r="BG6" s="40"/>
      <c r="BH6" s="33"/>
      <c r="BI6" s="33"/>
      <c r="BJ6" s="33"/>
      <c r="BK6" s="33"/>
      <c r="BL6" s="33"/>
      <c r="BM6" s="33"/>
      <c r="BN6" s="40"/>
      <c r="BO6" s="33"/>
      <c r="BP6" s="33"/>
      <c r="BQ6" s="33"/>
      <c r="BR6" s="33"/>
      <c r="BS6" s="33"/>
      <c r="BT6" s="33"/>
      <c r="BU6" s="33"/>
      <c r="BV6" s="40"/>
      <c r="BW6" s="33"/>
      <c r="BX6" s="33"/>
      <c r="BY6" s="33"/>
      <c r="BZ6" s="33"/>
      <c r="CA6" s="33"/>
      <c r="CB6" s="40"/>
      <c r="CC6" s="33"/>
      <c r="CD6" s="33"/>
      <c r="CE6" s="40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40"/>
      <c r="CR6" s="40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40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6"/>
      <c r="C6" s="33"/>
      <c r="D6" s="39">
        <v>17.5</v>
      </c>
      <c r="E6" s="38" t="s">
        <v>35</v>
      </c>
      <c r="F6" s="39">
        <v>100.0</v>
      </c>
      <c r="G6" s="39">
        <v>60.0</v>
      </c>
      <c r="H6" s="33" t="s">
        <v>36</v>
      </c>
      <c r="I6" s="33" t="s">
        <v>37</v>
      </c>
      <c r="J6" s="38" t="s">
        <v>20</v>
      </c>
      <c r="K6" s="33"/>
      <c r="L6" s="33" t="s">
        <v>38</v>
      </c>
      <c r="M6" s="33"/>
      <c r="N6" s="33"/>
      <c r="O6" s="33"/>
      <c r="P6" s="33"/>
      <c r="Q6" s="33"/>
      <c r="R6" s="33"/>
      <c r="S6" s="39"/>
      <c r="T6" s="39"/>
      <c r="U6" s="38" t="s">
        <v>39</v>
      </c>
      <c r="V6" s="33" t="s">
        <v>40</v>
      </c>
      <c r="W6" s="33"/>
      <c r="X6" s="33"/>
      <c r="Y6" s="33"/>
      <c r="Z6" s="33"/>
      <c r="AA6" s="33"/>
      <c r="AB6" s="39">
        <v>10.0</v>
      </c>
      <c r="AC6" s="33" t="s">
        <v>41</v>
      </c>
      <c r="AD6" s="37">
        <v>3.0</v>
      </c>
      <c r="AE6" s="33"/>
      <c r="AF6" s="38" t="s">
        <v>42</v>
      </c>
      <c r="AG6" s="36"/>
      <c r="AH6" s="33" t="s">
        <v>43</v>
      </c>
      <c r="AI6" s="38" t="s">
        <v>20</v>
      </c>
      <c r="AJ6" s="33" t="s">
        <v>22</v>
      </c>
      <c r="AK6" s="33" t="s">
        <v>44</v>
      </c>
      <c r="AL6" s="39">
        <v>100.0</v>
      </c>
      <c r="AM6" s="39">
        <v>40.0</v>
      </c>
      <c r="AN6" s="39">
        <v>10.0</v>
      </c>
      <c r="AO6" s="39">
        <v>40.0</v>
      </c>
      <c r="AP6" s="39">
        <v>52.5</v>
      </c>
      <c r="AQ6" s="33" t="s">
        <v>45</v>
      </c>
      <c r="AR6" s="33" t="s">
        <v>46</v>
      </c>
      <c r="AS6" s="33" t="s">
        <v>24</v>
      </c>
      <c r="AT6" s="39">
        <v>2100.0</v>
      </c>
      <c r="AU6" s="39">
        <v>700.0</v>
      </c>
      <c r="AV6" s="33" t="s">
        <v>47</v>
      </c>
      <c r="AW6" s="33" t="s">
        <v>44</v>
      </c>
      <c r="AX6" s="39">
        <v>60.0</v>
      </c>
      <c r="AY6" s="33" t="s">
        <v>48</v>
      </c>
      <c r="AZ6" s="33" t="s">
        <v>37</v>
      </c>
      <c r="BA6" s="36"/>
      <c r="BB6" s="33"/>
      <c r="BC6" s="36"/>
      <c r="BD6" s="33"/>
      <c r="BE6" s="33"/>
      <c r="BF6" s="33"/>
      <c r="BG6" s="40"/>
      <c r="BH6" s="33"/>
      <c r="BI6" s="33"/>
      <c r="BJ6" s="33"/>
      <c r="BK6" s="33"/>
      <c r="BL6" s="33"/>
      <c r="BM6" s="33"/>
      <c r="BN6" s="40"/>
      <c r="BO6" s="33"/>
      <c r="BP6" s="33"/>
      <c r="BQ6" s="33"/>
      <c r="BR6" s="33"/>
      <c r="BS6" s="33"/>
      <c r="BT6" s="33"/>
      <c r="BU6" s="33"/>
      <c r="BV6" s="40"/>
      <c r="BW6" s="33"/>
      <c r="BX6" s="33"/>
      <c r="BY6" s="33"/>
      <c r="BZ6" s="33"/>
      <c r="CA6" s="33"/>
      <c r="CB6" s="40"/>
      <c r="CC6" s="33"/>
      <c r="CD6" s="33"/>
      <c r="CE6" s="40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40"/>
      <c r="CR6" s="40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40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6"/>
      <c r="C6" s="33"/>
      <c r="D6" s="39">
        <v>16.0</v>
      </c>
      <c r="E6" s="38" t="s">
        <v>35</v>
      </c>
      <c r="F6" s="39">
        <v>100.0</v>
      </c>
      <c r="G6" s="39">
        <v>50.0</v>
      </c>
      <c r="H6" s="33" t="s">
        <v>36</v>
      </c>
      <c r="I6" s="33" t="s">
        <v>37</v>
      </c>
      <c r="J6" s="38" t="s">
        <v>20</v>
      </c>
      <c r="K6" s="33"/>
      <c r="L6" s="33" t="s">
        <v>38</v>
      </c>
      <c r="M6" s="33"/>
      <c r="N6" s="33"/>
      <c r="O6" s="33"/>
      <c r="P6" s="33"/>
      <c r="Q6" s="33"/>
      <c r="R6" s="33"/>
      <c r="S6" s="39"/>
      <c r="T6" s="39"/>
      <c r="U6" s="38" t="s">
        <v>39</v>
      </c>
      <c r="V6" s="33" t="s">
        <v>40</v>
      </c>
      <c r="W6" s="33"/>
      <c r="X6" s="33"/>
      <c r="Y6" s="33"/>
      <c r="Z6" s="33"/>
      <c r="AA6" s="33"/>
      <c r="AB6" s="39">
        <v>10.0</v>
      </c>
      <c r="AC6" s="33" t="s">
        <v>41</v>
      </c>
      <c r="AD6" s="37">
        <v>3.0</v>
      </c>
      <c r="AE6" s="33"/>
      <c r="AF6" s="38" t="s">
        <v>42</v>
      </c>
      <c r="AG6" s="36"/>
      <c r="AH6" s="33" t="s">
        <v>43</v>
      </c>
      <c r="AI6" s="38" t="s">
        <v>20</v>
      </c>
      <c r="AJ6" s="33" t="s">
        <v>22</v>
      </c>
      <c r="AK6" s="33" t="s">
        <v>44</v>
      </c>
      <c r="AL6" s="39">
        <v>100.0</v>
      </c>
      <c r="AM6" s="39">
        <v>50.0</v>
      </c>
      <c r="AN6" s="39">
        <v>10.0</v>
      </c>
      <c r="AO6" s="39">
        <v>30.0</v>
      </c>
      <c r="AP6" s="39">
        <v>48.0</v>
      </c>
      <c r="AQ6" s="33" t="s">
        <v>45</v>
      </c>
      <c r="AR6" s="33" t="s">
        <v>46</v>
      </c>
      <c r="AS6" s="33" t="s">
        <v>24</v>
      </c>
      <c r="AT6" s="39">
        <v>2400.0</v>
      </c>
      <c r="AU6" s="39">
        <v>800.0</v>
      </c>
      <c r="AV6" s="33" t="s">
        <v>47</v>
      </c>
      <c r="AW6" s="33" t="s">
        <v>44</v>
      </c>
      <c r="AX6" s="39">
        <v>50.0</v>
      </c>
      <c r="AY6" s="33" t="s">
        <v>48</v>
      </c>
      <c r="AZ6" s="33" t="s">
        <v>37</v>
      </c>
      <c r="BA6" s="36"/>
      <c r="BB6" s="33"/>
      <c r="BC6" s="36"/>
      <c r="BD6" s="33"/>
      <c r="BE6" s="33"/>
      <c r="BF6" s="33"/>
      <c r="BG6" s="40"/>
      <c r="BH6" s="33"/>
      <c r="BI6" s="33"/>
      <c r="BJ6" s="33"/>
      <c r="BK6" s="33"/>
      <c r="BL6" s="33"/>
      <c r="BM6" s="33"/>
      <c r="BN6" s="40"/>
      <c r="BO6" s="33"/>
      <c r="BP6" s="33"/>
      <c r="BQ6" s="33"/>
      <c r="BR6" s="33"/>
      <c r="BS6" s="33"/>
      <c r="BT6" s="33"/>
      <c r="BU6" s="33"/>
      <c r="BV6" s="40"/>
      <c r="BW6" s="33"/>
      <c r="BX6" s="33"/>
      <c r="BY6" s="33"/>
      <c r="BZ6" s="33"/>
      <c r="CA6" s="33"/>
      <c r="CB6" s="40"/>
      <c r="CC6" s="33"/>
      <c r="CD6" s="33"/>
      <c r="CE6" s="40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40"/>
      <c r="CR6" s="40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40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VerifySubOrder3!$4:$4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51</v>
      </c>
      <c r="C6" s="42">
        <f>TODAY()-5</f>
        <v>45862</v>
      </c>
      <c r="D6" s="42">
        <f>TODAY()+5</f>
        <v>45872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46</v>
      </c>
      <c r="C6" s="33" t="s">
        <v>53</v>
      </c>
      <c r="D6" s="43">
        <v>0.0</v>
      </c>
      <c r="E6" s="39">
        <v>10.0</v>
      </c>
      <c r="F6" s="33" t="s">
        <v>47</v>
      </c>
      <c r="G6" s="33" t="s">
        <v>43</v>
      </c>
      <c r="H6" s="39">
        <v>0.0</v>
      </c>
      <c r="I6" s="39">
        <v>0.0</v>
      </c>
      <c r="J6" s="39">
        <v>73.0</v>
      </c>
      <c r="K6" s="39">
        <v>16.6666666666667</v>
      </c>
      <c r="L6" s="39">
        <v>50.0</v>
      </c>
      <c r="M6" s="30" t="s">
        <v>35</v>
      </c>
      <c r="N6" s="33" t="s">
        <v>54</v>
      </c>
      <c r="O6" s="33" t="s">
        <v>45</v>
      </c>
      <c r="P6" s="33"/>
      <c r="Q6" s="39">
        <v>3.0</v>
      </c>
      <c r="R6" s="39">
        <v>0.0</v>
      </c>
      <c r="S6" s="33" t="s">
        <v>55</v>
      </c>
      <c r="T6" s="39">
        <v>0.0</v>
      </c>
      <c r="U6" s="39">
        <v>0.0</v>
      </c>
      <c r="V6" s="33" t="s">
        <v>20</v>
      </c>
      <c r="W6" s="39">
        <v>1.0</v>
      </c>
      <c r="X6" s="39">
        <v>0.0</v>
      </c>
      <c r="Y6" s="33"/>
      <c r="Z6" s="33" t="s">
        <v>39</v>
      </c>
      <c r="AA6" s="30" t="s">
        <v>56</v>
      </c>
      <c r="AB6" s="39">
        <v>1.0</v>
      </c>
      <c r="AC6" s="33"/>
      <c r="AD6" s="33" t="s">
        <v>57</v>
      </c>
      <c r="AE6" s="39">
        <v>10.0</v>
      </c>
      <c r="AF6" s="33"/>
      <c r="AG6" s="40"/>
      <c r="AH6" s="33" t="s">
        <v>42</v>
      </c>
      <c r="AI6" s="43">
        <v>3.0</v>
      </c>
      <c r="AJ6" s="33" t="s">
        <v>58</v>
      </c>
      <c r="AK6" s="33"/>
      <c r="AL6" s="33"/>
      <c r="AM6" s="33" t="s">
        <v>41</v>
      </c>
      <c r="AN6" s="44"/>
      <c r="AO6" s="33"/>
      <c r="AP6" s="44"/>
      <c r="AQ6" s="44"/>
      <c r="AR6" s="44"/>
      <c r="AS6" s="39">
        <v>0.0</v>
      </c>
      <c r="AT6" s="39">
        <v>166.666666666667</v>
      </c>
      <c r="AU6" s="39">
        <v>500.0</v>
      </c>
      <c r="AV6" s="40"/>
      <c r="AW6" s="39">
        <v>0.0</v>
      </c>
      <c r="AX6" s="39">
        <v>0.0</v>
      </c>
      <c r="AY6" s="33" t="s">
        <v>24</v>
      </c>
      <c r="AZ6" s="39">
        <v>0.0</v>
      </c>
      <c r="BA6" s="40"/>
      <c r="BB6" s="40"/>
      <c r="BC6" s="36"/>
      <c r="BD6" s="33" t="s">
        <v>59</v>
      </c>
      <c r="BE6" s="39">
        <v>166.666666666667</v>
      </c>
      <c r="BF6" s="39">
        <v>500.0</v>
      </c>
      <c r="BG6" s="40"/>
      <c r="BH6" s="33"/>
      <c r="BI6" s="33"/>
      <c r="BJ6" s="39">
        <v>100.0</v>
      </c>
      <c r="BK6" s="39">
        <v>0.0</v>
      </c>
      <c r="BL6" s="33"/>
      <c r="BM6" s="33" t="s">
        <v>39</v>
      </c>
      <c r="BN6" s="40"/>
      <c r="BO6" s="33" t="s">
        <v>22</v>
      </c>
      <c r="BP6" s="39">
        <v>0.0</v>
      </c>
      <c r="BQ6" s="39">
        <v>0.0</v>
      </c>
      <c r="BR6" s="39">
        <v>0.0</v>
      </c>
      <c r="BS6" s="33" t="s">
        <v>48</v>
      </c>
      <c r="BT6" s="30" t="s">
        <v>20</v>
      </c>
      <c r="BU6" s="39"/>
      <c r="BV6" s="36"/>
      <c r="BW6" s="39"/>
      <c r="BX6" s="39"/>
      <c r="BY6" s="33"/>
      <c r="BZ6" s="33"/>
      <c r="CA6" s="33"/>
      <c r="CB6" s="40"/>
      <c r="CC6" s="33"/>
      <c r="CD6" s="33"/>
      <c r="CE6" s="40"/>
      <c r="CF6" s="33" t="s">
        <v>38</v>
      </c>
      <c r="CG6" s="39">
        <v>0.0</v>
      </c>
      <c r="CH6" s="33" t="s">
        <v>17</v>
      </c>
      <c r="CI6" s="33" t="s">
        <v>22</v>
      </c>
      <c r="CJ6" s="39">
        <v>0.0</v>
      </c>
      <c r="CK6" s="33" t="s">
        <v>60</v>
      </c>
      <c r="CL6" s="39">
        <v>1.0</v>
      </c>
      <c r="CM6" s="30" t="s">
        <v>20</v>
      </c>
      <c r="CN6" s="33" t="s">
        <v>37</v>
      </c>
      <c r="CO6" s="33" t="s">
        <v>36</v>
      </c>
      <c r="CP6" s="33" t="s">
        <v>40</v>
      </c>
      <c r="CQ6" s="40"/>
      <c r="CR6" s="40"/>
      <c r="CS6" s="33"/>
      <c r="CT6" s="33"/>
      <c r="CU6" s="33"/>
      <c r="CV6" s="33"/>
      <c r="CW6" s="39">
        <v>0.0</v>
      </c>
      <c r="CX6" s="33" t="s">
        <v>61</v>
      </c>
      <c r="CY6" s="33"/>
      <c r="CZ6" s="33"/>
      <c r="DA6" s="33"/>
      <c r="DB6" s="33"/>
      <c r="DC6" s="40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46</v>
      </c>
      <c r="C6" s="33" t="s">
        <v>53</v>
      </c>
      <c r="D6" s="43">
        <v>0.0</v>
      </c>
      <c r="E6" s="39">
        <v>30.0</v>
      </c>
      <c r="F6" s="33" t="s">
        <v>47</v>
      </c>
      <c r="G6" s="33" t="s">
        <v>43</v>
      </c>
      <c r="H6" s="39">
        <v>0.0</v>
      </c>
      <c r="I6" s="39">
        <v>0.0</v>
      </c>
      <c r="J6" s="39">
        <v>73.0</v>
      </c>
      <c r="K6" s="39">
        <v>170.0000001</v>
      </c>
      <c r="L6" s="39">
        <v>56.6666667</v>
      </c>
      <c r="M6" s="30" t="s">
        <v>35</v>
      </c>
      <c r="N6" s="33" t="s">
        <v>54</v>
      </c>
      <c r="O6" s="33" t="s">
        <v>45</v>
      </c>
      <c r="P6" s="33"/>
      <c r="Q6" s="39">
        <v>3.0</v>
      </c>
      <c r="R6" s="39">
        <v>0.0</v>
      </c>
      <c r="S6" s="33" t="s">
        <v>55</v>
      </c>
      <c r="T6" s="39">
        <v>0.0</v>
      </c>
      <c r="U6" s="39">
        <v>0.0</v>
      </c>
      <c r="V6" s="33" t="s">
        <v>20</v>
      </c>
      <c r="W6" s="39">
        <v>1.0</v>
      </c>
      <c r="X6" s="39">
        <v>0.0</v>
      </c>
      <c r="Y6" s="33"/>
      <c r="Z6" s="33" t="s">
        <v>39</v>
      </c>
      <c r="AA6" s="30" t="s">
        <v>56</v>
      </c>
      <c r="AB6" s="39">
        <v>1.0</v>
      </c>
      <c r="AC6" s="33"/>
      <c r="AD6" s="33" t="s">
        <v>57</v>
      </c>
      <c r="AE6" s="39">
        <v>30.0</v>
      </c>
      <c r="AF6" s="33"/>
      <c r="AG6" s="40"/>
      <c r="AH6" s="33" t="s">
        <v>62</v>
      </c>
      <c r="AI6" s="43">
        <v>3.0</v>
      </c>
      <c r="AJ6" s="33" t="s">
        <v>58</v>
      </c>
      <c r="AK6" s="33"/>
      <c r="AL6" s="33"/>
      <c r="AM6" s="33"/>
      <c r="AN6" s="44"/>
      <c r="AO6" s="33"/>
      <c r="AP6" s="44"/>
      <c r="AQ6" s="44"/>
      <c r="AR6" s="44"/>
      <c r="AS6" s="39">
        <v>0.0</v>
      </c>
      <c r="AT6" s="39">
        <v>5100.000003</v>
      </c>
      <c r="AU6" s="39">
        <v>1700.000001</v>
      </c>
      <c r="AV6" s="40"/>
      <c r="AW6" s="39">
        <v>0.0</v>
      </c>
      <c r="AX6" s="39">
        <v>0.0</v>
      </c>
      <c r="AY6" s="33" t="s">
        <v>24</v>
      </c>
      <c r="AZ6" s="39">
        <v>0.0</v>
      </c>
      <c r="BA6" s="40"/>
      <c r="BB6" s="33"/>
      <c r="BC6" s="36"/>
      <c r="BD6" s="33" t="s">
        <v>59</v>
      </c>
      <c r="BE6" s="39">
        <v>5100.000003</v>
      </c>
      <c r="BF6" s="39">
        <v>1700.000001</v>
      </c>
      <c r="BG6" s="40"/>
      <c r="BH6" s="33"/>
      <c r="BI6" s="33"/>
      <c r="BJ6" s="39">
        <v>100.0</v>
      </c>
      <c r="BK6" s="39">
        <v>0.0</v>
      </c>
      <c r="BL6" s="33"/>
      <c r="BM6" s="33" t="s">
        <v>39</v>
      </c>
      <c r="BN6" s="40"/>
      <c r="BO6" s="33" t="s">
        <v>22</v>
      </c>
      <c r="BP6" s="39">
        <v>0.0</v>
      </c>
      <c r="BQ6" s="39">
        <v>0.0</v>
      </c>
      <c r="BR6" s="39">
        <v>0.0</v>
      </c>
      <c r="BS6" s="33" t="s">
        <v>48</v>
      </c>
      <c r="BT6" s="30" t="s">
        <v>20</v>
      </c>
      <c r="BU6" s="39"/>
      <c r="BV6" s="36"/>
      <c r="BW6" s="39"/>
      <c r="BX6" s="39"/>
      <c r="BY6" s="33"/>
      <c r="BZ6" s="33"/>
      <c r="CA6" s="33"/>
      <c r="CB6" s="40"/>
      <c r="CC6" s="33"/>
      <c r="CD6" s="33"/>
      <c r="CE6" s="40"/>
      <c r="CF6" s="33" t="s">
        <v>38</v>
      </c>
      <c r="CG6" s="39">
        <v>0.0</v>
      </c>
      <c r="CH6" s="33" t="s">
        <v>63</v>
      </c>
      <c r="CI6" s="33" t="s">
        <v>22</v>
      </c>
      <c r="CJ6" s="39">
        <v>0.0</v>
      </c>
      <c r="CK6" s="33" t="s">
        <v>60</v>
      </c>
      <c r="CL6" s="39">
        <v>1.0</v>
      </c>
      <c r="CM6" s="30" t="s">
        <v>20</v>
      </c>
      <c r="CN6" s="33" t="s">
        <v>37</v>
      </c>
      <c r="CO6" s="33" t="s">
        <v>36</v>
      </c>
      <c r="CP6" s="33" t="s">
        <v>40</v>
      </c>
      <c r="CQ6" s="40"/>
      <c r="CR6" s="40"/>
      <c r="CS6" s="33"/>
      <c r="CT6" s="33"/>
      <c r="CU6" s="33"/>
      <c r="CV6" s="33"/>
      <c r="CW6" s="39">
        <v>0.0</v>
      </c>
      <c r="CX6" s="33" t="s">
        <v>61</v>
      </c>
      <c r="CY6" s="33"/>
      <c r="CZ6" s="33"/>
      <c r="DA6" s="33"/>
      <c r="DB6" s="33"/>
      <c r="DC6" s="40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46</v>
      </c>
      <c r="C6" s="33" t="s">
        <v>53</v>
      </c>
      <c r="D6" s="43">
        <v>0.0</v>
      </c>
      <c r="E6" s="39">
        <v>30.0</v>
      </c>
      <c r="F6" s="33" t="s">
        <v>47</v>
      </c>
      <c r="G6" s="33" t="s">
        <v>43</v>
      </c>
      <c r="H6" s="39">
        <v>0.0</v>
      </c>
      <c r="I6" s="39">
        <v>0.0</v>
      </c>
      <c r="J6" s="39">
        <v>73.0</v>
      </c>
      <c r="K6" s="39">
        <v>170.0000001</v>
      </c>
      <c r="L6" s="39">
        <v>56.6666667</v>
      </c>
      <c r="M6" s="30" t="s">
        <v>35</v>
      </c>
      <c r="N6" s="33" t="s">
        <v>54</v>
      </c>
      <c r="O6" s="33" t="s">
        <v>45</v>
      </c>
      <c r="P6" s="33"/>
      <c r="Q6" s="39">
        <v>3.0</v>
      </c>
      <c r="R6" s="39">
        <v>0.0</v>
      </c>
      <c r="S6" s="33" t="s">
        <v>55</v>
      </c>
      <c r="T6" s="39">
        <v>0.0</v>
      </c>
      <c r="U6" s="39">
        <v>0.0</v>
      </c>
      <c r="V6" s="33" t="s">
        <v>20</v>
      </c>
      <c r="W6" s="39">
        <v>1.0</v>
      </c>
      <c r="X6" s="39">
        <v>0.0</v>
      </c>
      <c r="Y6" s="33"/>
      <c r="Z6" s="33" t="s">
        <v>39</v>
      </c>
      <c r="AA6" s="30" t="s">
        <v>56</v>
      </c>
      <c r="AB6" s="39">
        <v>1.0</v>
      </c>
      <c r="AC6" s="33"/>
      <c r="AD6" s="33" t="s">
        <v>57</v>
      </c>
      <c r="AE6" s="39">
        <v>30.0</v>
      </c>
      <c r="AF6" s="33"/>
      <c r="AG6" s="40"/>
      <c r="AH6" s="33" t="s">
        <v>62</v>
      </c>
      <c r="AI6" s="43">
        <v>3.0</v>
      </c>
      <c r="AJ6" s="33" t="s">
        <v>58</v>
      </c>
      <c r="AK6" s="33"/>
      <c r="AL6" s="33"/>
      <c r="AM6" s="33"/>
      <c r="AN6" s="44"/>
      <c r="AO6" s="33"/>
      <c r="AP6" s="44"/>
      <c r="AQ6" s="44"/>
      <c r="AR6" s="44"/>
      <c r="AS6" s="39">
        <v>0.0</v>
      </c>
      <c r="AT6" s="39">
        <v>5100.000003</v>
      </c>
      <c r="AU6" s="39">
        <v>1700.000001</v>
      </c>
      <c r="AV6" s="40"/>
      <c r="AW6" s="39">
        <v>0.0</v>
      </c>
      <c r="AX6" s="39">
        <v>0.0</v>
      </c>
      <c r="AY6" s="33" t="s">
        <v>24</v>
      </c>
      <c r="AZ6" s="39">
        <v>0.0</v>
      </c>
      <c r="BA6" s="40"/>
      <c r="BB6" s="33"/>
      <c r="BC6" s="36"/>
      <c r="BD6" s="33" t="s">
        <v>59</v>
      </c>
      <c r="BE6" s="39">
        <v>5100.000003</v>
      </c>
      <c r="BF6" s="39">
        <v>1700.000001</v>
      </c>
      <c r="BG6" s="40"/>
      <c r="BH6" s="33"/>
      <c r="BI6" s="33"/>
      <c r="BJ6" s="39">
        <v>100.0</v>
      </c>
      <c r="BK6" s="39">
        <v>0.0</v>
      </c>
      <c r="BL6" s="33"/>
      <c r="BM6" s="33" t="s">
        <v>39</v>
      </c>
      <c r="BN6" s="40"/>
      <c r="BO6" s="33" t="s">
        <v>22</v>
      </c>
      <c r="BP6" s="39">
        <v>0.0</v>
      </c>
      <c r="BQ6" s="39">
        <v>0.0</v>
      </c>
      <c r="BR6" s="39">
        <v>0.0</v>
      </c>
      <c r="BS6" s="33" t="s">
        <v>48</v>
      </c>
      <c r="BT6" s="30" t="s">
        <v>20</v>
      </c>
      <c r="BU6" s="39"/>
      <c r="BV6" s="36"/>
      <c r="BW6" s="39"/>
      <c r="BX6" s="39"/>
      <c r="BY6" s="33"/>
      <c r="BZ6" s="33"/>
      <c r="CA6" s="33"/>
      <c r="CB6" s="40"/>
      <c r="CC6" s="33"/>
      <c r="CD6" s="33"/>
      <c r="CE6" s="40"/>
      <c r="CF6" s="33" t="s">
        <v>38</v>
      </c>
      <c r="CG6" s="39">
        <v>0.0</v>
      </c>
      <c r="CH6" s="33" t="s">
        <v>63</v>
      </c>
      <c r="CI6" s="33" t="s">
        <v>22</v>
      </c>
      <c r="CJ6" s="39">
        <v>0.0</v>
      </c>
      <c r="CK6" s="33" t="s">
        <v>60</v>
      </c>
      <c r="CL6" s="39">
        <v>1.0</v>
      </c>
      <c r="CM6" s="30" t="s">
        <v>20</v>
      </c>
      <c r="CN6" s="33" t="s">
        <v>37</v>
      </c>
      <c r="CO6" s="33" t="s">
        <v>36</v>
      </c>
      <c r="CP6" s="33" t="s">
        <v>40</v>
      </c>
      <c r="CQ6" s="40"/>
      <c r="CR6" s="40"/>
      <c r="CS6" s="33"/>
      <c r="CT6" s="33"/>
      <c r="CU6" s="33"/>
      <c r="CV6" s="33"/>
      <c r="CW6" s="39">
        <v>0.0</v>
      </c>
      <c r="CX6" s="33" t="s">
        <v>61</v>
      </c>
      <c r="CY6" s="33"/>
      <c r="CZ6" s="33"/>
      <c r="DA6" s="33"/>
      <c r="DB6" s="33"/>
      <c r="DC6" s="40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33" t="s">
        <v>46</v>
      </c>
      <c r="C7" s="33" t="s">
        <v>53</v>
      </c>
      <c r="D7" s="39">
        <v>0.0</v>
      </c>
      <c r="E7" s="39">
        <v>10.0</v>
      </c>
      <c r="F7" s="33" t="s">
        <v>47</v>
      </c>
      <c r="G7" s="33" t="s">
        <v>43</v>
      </c>
      <c r="H7" s="39">
        <v>0.0</v>
      </c>
      <c r="I7" s="39">
        <v>0.0</v>
      </c>
      <c r="J7" s="39">
        <v>73.0</v>
      </c>
      <c r="K7" s="39">
        <v>119.9999997</v>
      </c>
      <c r="L7" s="39">
        <v>39.9999999</v>
      </c>
      <c r="M7" s="30" t="s">
        <v>35</v>
      </c>
      <c r="N7" s="33" t="s">
        <v>54</v>
      </c>
      <c r="O7" s="33" t="s">
        <v>45</v>
      </c>
      <c r="P7" s="33"/>
      <c r="Q7" s="39">
        <v>3.0</v>
      </c>
      <c r="R7" s="39">
        <v>0.0</v>
      </c>
      <c r="S7" s="33" t="s">
        <v>55</v>
      </c>
      <c r="T7" s="39">
        <v>0.0</v>
      </c>
      <c r="U7" s="39">
        <v>0.0</v>
      </c>
      <c r="V7" s="33" t="s">
        <v>20</v>
      </c>
      <c r="W7" s="39">
        <v>1.0</v>
      </c>
      <c r="X7" s="39">
        <v>0.0</v>
      </c>
      <c r="Y7" s="33"/>
      <c r="Z7" s="33" t="s">
        <v>39</v>
      </c>
      <c r="AA7" s="30" t="s">
        <v>56</v>
      </c>
      <c r="AB7" s="39">
        <v>1.0</v>
      </c>
      <c r="AC7" s="33"/>
      <c r="AD7" s="33" t="s">
        <v>57</v>
      </c>
      <c r="AE7" s="39">
        <v>10.0</v>
      </c>
      <c r="AF7" s="33"/>
      <c r="AG7" s="40"/>
      <c r="AH7" s="33" t="s">
        <v>62</v>
      </c>
      <c r="AI7" s="43">
        <v>3.0</v>
      </c>
      <c r="AJ7" s="33" t="s">
        <v>58</v>
      </c>
      <c r="AK7" s="33"/>
      <c r="AL7" s="33"/>
      <c r="AM7" s="33"/>
      <c r="AN7" s="44"/>
      <c r="AO7" s="33"/>
      <c r="AP7" s="44"/>
      <c r="AQ7" s="44"/>
      <c r="AR7" s="44"/>
      <c r="AS7" s="39">
        <v>0.0</v>
      </c>
      <c r="AT7" s="39">
        <v>1199.999997</v>
      </c>
      <c r="AU7" s="39">
        <v>399.999999</v>
      </c>
      <c r="AV7" s="40"/>
      <c r="AW7" s="39">
        <v>0.0</v>
      </c>
      <c r="AX7" s="39">
        <v>0.0</v>
      </c>
      <c r="AY7" s="33" t="s">
        <v>24</v>
      </c>
      <c r="AZ7" s="39">
        <v>0.0</v>
      </c>
      <c r="BA7" s="40"/>
      <c r="BB7" s="33"/>
      <c r="BC7" s="39"/>
      <c r="BD7" s="33" t="s">
        <v>59</v>
      </c>
      <c r="BE7" s="39">
        <v>1199.999997</v>
      </c>
      <c r="BF7" s="39">
        <v>399.999999</v>
      </c>
      <c r="BG7" s="40"/>
      <c r="BH7" s="33"/>
      <c r="BI7" s="33"/>
      <c r="BJ7" s="39">
        <v>100.0</v>
      </c>
      <c r="BK7" s="39">
        <v>0.0</v>
      </c>
      <c r="BL7" s="33"/>
      <c r="BM7" s="33" t="s">
        <v>39</v>
      </c>
      <c r="BN7" s="40"/>
      <c r="BO7" s="33" t="s">
        <v>22</v>
      </c>
      <c r="BP7" s="39">
        <v>0.0</v>
      </c>
      <c r="BQ7" s="39">
        <v>0.0</v>
      </c>
      <c r="BR7" s="39">
        <v>0.0</v>
      </c>
      <c r="BS7" s="33" t="s">
        <v>48</v>
      </c>
      <c r="BT7" s="30" t="s">
        <v>20</v>
      </c>
      <c r="BU7" s="39"/>
      <c r="BV7" s="39"/>
      <c r="BW7" s="39"/>
      <c r="BX7" s="39"/>
      <c r="BY7" s="33"/>
      <c r="BZ7" s="33"/>
      <c r="CA7" s="33"/>
      <c r="CB7" s="33"/>
      <c r="CC7" s="33"/>
      <c r="CD7" s="33"/>
      <c r="CE7" s="40"/>
      <c r="CF7" s="33" t="s">
        <v>38</v>
      </c>
      <c r="CG7" s="39">
        <v>0.0</v>
      </c>
      <c r="CH7" s="33" t="s">
        <v>63</v>
      </c>
      <c r="CI7" s="33" t="s">
        <v>22</v>
      </c>
      <c r="CJ7" s="39">
        <v>0.0</v>
      </c>
      <c r="CK7" s="33" t="s">
        <v>60</v>
      </c>
      <c r="CL7" s="39">
        <v>1.0</v>
      </c>
      <c r="CM7" s="30" t="s">
        <v>20</v>
      </c>
      <c r="CN7" s="33" t="s">
        <v>37</v>
      </c>
      <c r="CO7" s="33" t="s">
        <v>36</v>
      </c>
      <c r="CP7" s="33" t="s">
        <v>40</v>
      </c>
      <c r="CQ7" s="40"/>
      <c r="CR7" s="33"/>
      <c r="CS7" s="33"/>
      <c r="CT7" s="33"/>
      <c r="CU7" s="33"/>
      <c r="CV7" s="33"/>
      <c r="CW7" s="39">
        <v>0.0</v>
      </c>
      <c r="CX7" s="33" t="s">
        <v>61</v>
      </c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46</v>
      </c>
      <c r="C6" s="33" t="s">
        <v>53</v>
      </c>
      <c r="D6" s="43">
        <v>0.0</v>
      </c>
      <c r="E6" s="39">
        <v>10.0</v>
      </c>
      <c r="F6" s="33" t="s">
        <v>47</v>
      </c>
      <c r="G6" s="33" t="s">
        <v>43</v>
      </c>
      <c r="H6" s="39">
        <v>0.0</v>
      </c>
      <c r="I6" s="39">
        <v>0.0</v>
      </c>
      <c r="J6" s="39">
        <v>73.0</v>
      </c>
      <c r="K6" s="39">
        <v>119.9999997</v>
      </c>
      <c r="L6" s="39">
        <v>39.9999999</v>
      </c>
      <c r="M6" s="30" t="s">
        <v>35</v>
      </c>
      <c r="N6" s="33" t="s">
        <v>54</v>
      </c>
      <c r="O6" s="33" t="s">
        <v>45</v>
      </c>
      <c r="P6" s="33"/>
      <c r="Q6" s="39">
        <v>3.0</v>
      </c>
      <c r="R6" s="39">
        <v>0.0</v>
      </c>
      <c r="S6" s="33" t="s">
        <v>55</v>
      </c>
      <c r="T6" s="39">
        <v>0.0</v>
      </c>
      <c r="U6" s="39">
        <v>0.0</v>
      </c>
      <c r="V6" s="33" t="s">
        <v>20</v>
      </c>
      <c r="W6" s="39">
        <v>1.0</v>
      </c>
      <c r="X6" s="39">
        <v>0.0</v>
      </c>
      <c r="Y6" s="33"/>
      <c r="Z6" s="33" t="s">
        <v>39</v>
      </c>
      <c r="AA6" s="30" t="s">
        <v>56</v>
      </c>
      <c r="AB6" s="39">
        <v>1.0</v>
      </c>
      <c r="AC6" s="33"/>
      <c r="AD6" s="33" t="s">
        <v>57</v>
      </c>
      <c r="AE6" s="39">
        <v>10.0</v>
      </c>
      <c r="AF6" s="33"/>
      <c r="AG6" s="40"/>
      <c r="AH6" s="33" t="s">
        <v>62</v>
      </c>
      <c r="AI6" s="43">
        <v>3.0</v>
      </c>
      <c r="AJ6" s="33" t="s">
        <v>58</v>
      </c>
      <c r="AK6" s="33"/>
      <c r="AL6" s="33"/>
      <c r="AM6" s="33"/>
      <c r="AN6" s="44"/>
      <c r="AO6" s="33"/>
      <c r="AP6" s="44"/>
      <c r="AQ6" s="44"/>
      <c r="AR6" s="44"/>
      <c r="AS6" s="39">
        <v>0.0</v>
      </c>
      <c r="AT6" s="39">
        <v>1199.999997</v>
      </c>
      <c r="AU6" s="39">
        <v>399.999999</v>
      </c>
      <c r="AV6" s="40"/>
      <c r="AW6" s="39">
        <v>0.0</v>
      </c>
      <c r="AX6" s="39">
        <v>0.0</v>
      </c>
      <c r="AY6" s="33" t="s">
        <v>24</v>
      </c>
      <c r="AZ6" s="39">
        <v>0.0</v>
      </c>
      <c r="BA6" s="40"/>
      <c r="BB6" s="33"/>
      <c r="BC6" s="36"/>
      <c r="BD6" s="33" t="s">
        <v>59</v>
      </c>
      <c r="BE6" s="39">
        <v>1199.999997</v>
      </c>
      <c r="BF6" s="39">
        <v>399.999999</v>
      </c>
      <c r="BG6" s="40"/>
      <c r="BH6" s="33"/>
      <c r="BI6" s="33"/>
      <c r="BJ6" s="39">
        <v>100.0</v>
      </c>
      <c r="BK6" s="39">
        <v>0.0</v>
      </c>
      <c r="BL6" s="33"/>
      <c r="BM6" s="33" t="s">
        <v>39</v>
      </c>
      <c r="BN6" s="40"/>
      <c r="BO6" s="33" t="s">
        <v>22</v>
      </c>
      <c r="BP6" s="39">
        <v>0.0</v>
      </c>
      <c r="BQ6" s="39">
        <v>0.0</v>
      </c>
      <c r="BR6" s="39">
        <v>0.0</v>
      </c>
      <c r="BS6" s="33" t="s">
        <v>48</v>
      </c>
      <c r="BT6" s="30" t="s">
        <v>20</v>
      </c>
      <c r="BU6" s="39"/>
      <c r="BV6" s="36"/>
      <c r="BW6" s="39"/>
      <c r="BX6" s="39"/>
      <c r="BY6" s="33"/>
      <c r="BZ6" s="33"/>
      <c r="CA6" s="33"/>
      <c r="CB6" s="40"/>
      <c r="CC6" s="33"/>
      <c r="CD6" s="33"/>
      <c r="CE6" s="40"/>
      <c r="CF6" s="33" t="s">
        <v>38</v>
      </c>
      <c r="CG6" s="39">
        <v>0.0</v>
      </c>
      <c r="CH6" s="33" t="s">
        <v>63</v>
      </c>
      <c r="CI6" s="33" t="s">
        <v>22</v>
      </c>
      <c r="CJ6" s="39">
        <v>0.0</v>
      </c>
      <c r="CK6" s="33" t="s">
        <v>60</v>
      </c>
      <c r="CL6" s="39">
        <v>1.0</v>
      </c>
      <c r="CM6" s="30" t="s">
        <v>20</v>
      </c>
      <c r="CN6" s="33" t="s">
        <v>37</v>
      </c>
      <c r="CO6" s="33" t="s">
        <v>36</v>
      </c>
      <c r="CP6" s="33" t="s">
        <v>40</v>
      </c>
      <c r="CQ6" s="40"/>
      <c r="CR6" s="40"/>
      <c r="CS6" s="33"/>
      <c r="CT6" s="33"/>
      <c r="CU6" s="33"/>
      <c r="CV6" s="33"/>
      <c r="CW6" s="39">
        <v>0.0</v>
      </c>
      <c r="CX6" s="33" t="s">
        <v>61</v>
      </c>
      <c r="CY6" s="33"/>
      <c r="CZ6" s="33"/>
      <c r="DA6" s="33"/>
      <c r="DB6" s="33"/>
      <c r="DC6" s="40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33" t="s">
        <v>46</v>
      </c>
      <c r="C7" s="33" t="s">
        <v>53</v>
      </c>
      <c r="D7" s="39">
        <v>0.0</v>
      </c>
      <c r="E7" s="39">
        <v>30.0</v>
      </c>
      <c r="F7" s="33" t="s">
        <v>47</v>
      </c>
      <c r="G7" s="33" t="s">
        <v>43</v>
      </c>
      <c r="H7" s="39">
        <v>0.0</v>
      </c>
      <c r="I7" s="39">
        <v>0.0</v>
      </c>
      <c r="J7" s="39">
        <v>73.0</v>
      </c>
      <c r="K7" s="39">
        <v>170.0000001</v>
      </c>
      <c r="L7" s="39">
        <v>56.6666667</v>
      </c>
      <c r="M7" s="30" t="s">
        <v>35</v>
      </c>
      <c r="N7" s="33" t="s">
        <v>54</v>
      </c>
      <c r="O7" s="33" t="s">
        <v>45</v>
      </c>
      <c r="P7" s="33"/>
      <c r="Q7" s="39">
        <v>3.0</v>
      </c>
      <c r="R7" s="39">
        <v>0.0</v>
      </c>
      <c r="S7" s="33" t="s">
        <v>55</v>
      </c>
      <c r="T7" s="39">
        <v>0.0</v>
      </c>
      <c r="U7" s="39">
        <v>0.0</v>
      </c>
      <c r="V7" s="33" t="s">
        <v>20</v>
      </c>
      <c r="W7" s="39">
        <v>1.0</v>
      </c>
      <c r="X7" s="39">
        <v>0.0</v>
      </c>
      <c r="Y7" s="33"/>
      <c r="Z7" s="33" t="s">
        <v>39</v>
      </c>
      <c r="AA7" s="30" t="s">
        <v>56</v>
      </c>
      <c r="AB7" s="39">
        <v>1.0</v>
      </c>
      <c r="AC7" s="33"/>
      <c r="AD7" s="33" t="s">
        <v>57</v>
      </c>
      <c r="AE7" s="39">
        <v>30.0</v>
      </c>
      <c r="AF7" s="33"/>
      <c r="AG7" s="40"/>
      <c r="AH7" s="33" t="s">
        <v>62</v>
      </c>
      <c r="AI7" s="43">
        <v>3.0</v>
      </c>
      <c r="AJ7" s="33" t="s">
        <v>58</v>
      </c>
      <c r="AK7" s="33"/>
      <c r="AL7" s="33"/>
      <c r="AM7" s="33"/>
      <c r="AN7" s="44"/>
      <c r="AO7" s="33"/>
      <c r="AP7" s="44"/>
      <c r="AQ7" s="44"/>
      <c r="AR7" s="44"/>
      <c r="AS7" s="39">
        <v>0.0</v>
      </c>
      <c r="AT7" s="39">
        <v>5100.000003</v>
      </c>
      <c r="AU7" s="39">
        <v>1700.000001</v>
      </c>
      <c r="AV7" s="40"/>
      <c r="AW7" s="39">
        <v>0.0</v>
      </c>
      <c r="AX7" s="39">
        <v>0.0</v>
      </c>
      <c r="AY7" s="33" t="s">
        <v>24</v>
      </c>
      <c r="AZ7" s="39">
        <v>0.0</v>
      </c>
      <c r="BA7" s="40"/>
      <c r="BB7" s="33"/>
      <c r="BC7" s="39"/>
      <c r="BD7" s="33" t="s">
        <v>59</v>
      </c>
      <c r="BE7" s="39">
        <v>5100.000003</v>
      </c>
      <c r="BF7" s="39">
        <v>1700.000001</v>
      </c>
      <c r="BG7" s="40"/>
      <c r="BH7" s="33"/>
      <c r="BI7" s="33"/>
      <c r="BJ7" s="39">
        <v>100.0</v>
      </c>
      <c r="BK7" s="39">
        <v>0.0</v>
      </c>
      <c r="BL7" s="33"/>
      <c r="BM7" s="33" t="s">
        <v>39</v>
      </c>
      <c r="BN7" s="40"/>
      <c r="BO7" s="33" t="s">
        <v>22</v>
      </c>
      <c r="BP7" s="39">
        <v>0.0</v>
      </c>
      <c r="BQ7" s="39">
        <v>0.0</v>
      </c>
      <c r="BR7" s="39">
        <v>0.0</v>
      </c>
      <c r="BS7" s="33" t="s">
        <v>48</v>
      </c>
      <c r="BT7" s="30" t="s">
        <v>20</v>
      </c>
      <c r="BU7" s="39"/>
      <c r="BV7" s="39"/>
      <c r="BW7" s="39"/>
      <c r="BX7" s="39"/>
      <c r="BY7" s="33"/>
      <c r="BZ7" s="33"/>
      <c r="CA7" s="33"/>
      <c r="CB7" s="33"/>
      <c r="CC7" s="33"/>
      <c r="CD7" s="33"/>
      <c r="CE7" s="40"/>
      <c r="CF7" s="33" t="s">
        <v>38</v>
      </c>
      <c r="CG7" s="39">
        <v>0.0</v>
      </c>
      <c r="CH7" s="33" t="s">
        <v>63</v>
      </c>
      <c r="CI7" s="33" t="s">
        <v>22</v>
      </c>
      <c r="CJ7" s="39">
        <v>0.0</v>
      </c>
      <c r="CK7" s="33" t="s">
        <v>60</v>
      </c>
      <c r="CL7" s="39">
        <v>1.0</v>
      </c>
      <c r="CM7" s="30" t="s">
        <v>20</v>
      </c>
      <c r="CN7" s="33" t="s">
        <v>37</v>
      </c>
      <c r="CO7" s="33" t="s">
        <v>36</v>
      </c>
      <c r="CP7" s="33" t="s">
        <v>40</v>
      </c>
      <c r="CQ7" s="40"/>
      <c r="CR7" s="33"/>
      <c r="CS7" s="33"/>
      <c r="CT7" s="33"/>
      <c r="CU7" s="33"/>
      <c r="CV7" s="33"/>
      <c r="CW7" s="39">
        <v>0.0</v>
      </c>
      <c r="CX7" s="33" t="s">
        <v>61</v>
      </c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33"/>
      <c r="B8" s="33" t="s">
        <v>46</v>
      </c>
      <c r="C8" s="33" t="s">
        <v>53</v>
      </c>
      <c r="D8" s="39">
        <v>0.0</v>
      </c>
      <c r="E8" s="39">
        <v>10.0</v>
      </c>
      <c r="F8" s="33" t="s">
        <v>47</v>
      </c>
      <c r="G8" s="33" t="s">
        <v>43</v>
      </c>
      <c r="H8" s="39">
        <v>0.0</v>
      </c>
      <c r="I8" s="39">
        <v>0.0</v>
      </c>
      <c r="J8" s="39">
        <v>73.0</v>
      </c>
      <c r="K8" s="39">
        <v>90.0</v>
      </c>
      <c r="L8" s="39">
        <v>30.0</v>
      </c>
      <c r="M8" s="30" t="s">
        <v>35</v>
      </c>
      <c r="N8" s="33" t="s">
        <v>54</v>
      </c>
      <c r="O8" s="33" t="s">
        <v>45</v>
      </c>
      <c r="P8" s="33"/>
      <c r="Q8" s="39">
        <v>3.0</v>
      </c>
      <c r="R8" s="39">
        <v>0.0</v>
      </c>
      <c r="S8" s="33" t="s">
        <v>55</v>
      </c>
      <c r="T8" s="39">
        <v>0.0</v>
      </c>
      <c r="U8" s="39">
        <v>0.0</v>
      </c>
      <c r="V8" s="33" t="s">
        <v>20</v>
      </c>
      <c r="W8" s="39">
        <v>1.0</v>
      </c>
      <c r="X8" s="39">
        <v>0.0</v>
      </c>
      <c r="Y8" s="33"/>
      <c r="Z8" s="33" t="s">
        <v>39</v>
      </c>
      <c r="AA8" s="30" t="s">
        <v>56</v>
      </c>
      <c r="AB8" s="39">
        <v>1.0</v>
      </c>
      <c r="AC8" s="33"/>
      <c r="AD8" s="33" t="s">
        <v>57</v>
      </c>
      <c r="AE8" s="39">
        <v>10.0</v>
      </c>
      <c r="AF8" s="33"/>
      <c r="AG8" s="40"/>
      <c r="AH8" s="33" t="s">
        <v>62</v>
      </c>
      <c r="AI8" s="43">
        <v>3.0</v>
      </c>
      <c r="AJ8" s="33" t="s">
        <v>58</v>
      </c>
      <c r="AK8" s="33"/>
      <c r="AL8" s="33"/>
      <c r="AM8" s="33"/>
      <c r="AN8" s="44"/>
      <c r="AO8" s="33"/>
      <c r="AP8" s="44"/>
      <c r="AQ8" s="44"/>
      <c r="AR8" s="44"/>
      <c r="AS8" s="39">
        <v>0.0</v>
      </c>
      <c r="AT8" s="39">
        <v>900.0</v>
      </c>
      <c r="AU8" s="39">
        <v>300.0</v>
      </c>
      <c r="AV8" s="40"/>
      <c r="AW8" s="39">
        <v>0.0</v>
      </c>
      <c r="AX8" s="39">
        <v>0.0</v>
      </c>
      <c r="AY8" s="33" t="s">
        <v>24</v>
      </c>
      <c r="AZ8" s="39">
        <v>0.0</v>
      </c>
      <c r="BA8" s="40"/>
      <c r="BB8" s="33"/>
      <c r="BC8" s="39"/>
      <c r="BD8" s="33" t="s">
        <v>59</v>
      </c>
      <c r="BE8" s="39">
        <v>900.0</v>
      </c>
      <c r="BF8" s="39">
        <v>300.0</v>
      </c>
      <c r="BG8" s="40"/>
      <c r="BH8" s="33"/>
      <c r="BI8" s="33"/>
      <c r="BJ8" s="39">
        <v>100.0</v>
      </c>
      <c r="BK8" s="39">
        <v>0.0</v>
      </c>
      <c r="BL8" s="33"/>
      <c r="BM8" s="33" t="s">
        <v>39</v>
      </c>
      <c r="BN8" s="40"/>
      <c r="BO8" s="33" t="s">
        <v>22</v>
      </c>
      <c r="BP8" s="39">
        <v>0.0</v>
      </c>
      <c r="BQ8" s="39">
        <v>0.0</v>
      </c>
      <c r="BR8" s="39">
        <v>0.0</v>
      </c>
      <c r="BS8" s="33" t="s">
        <v>48</v>
      </c>
      <c r="BT8" s="30" t="s">
        <v>20</v>
      </c>
      <c r="BU8" s="39"/>
      <c r="BV8" s="39"/>
      <c r="BW8" s="39"/>
      <c r="BX8" s="39"/>
      <c r="BY8" s="33"/>
      <c r="BZ8" s="33"/>
      <c r="CA8" s="33"/>
      <c r="CB8" s="33"/>
      <c r="CC8" s="33"/>
      <c r="CD8" s="33"/>
      <c r="CE8" s="40"/>
      <c r="CF8" s="33" t="s">
        <v>38</v>
      </c>
      <c r="CG8" s="39">
        <v>0.0</v>
      </c>
      <c r="CH8" s="33" t="s">
        <v>63</v>
      </c>
      <c r="CI8" s="33" t="s">
        <v>22</v>
      </c>
      <c r="CJ8" s="39">
        <v>0.0</v>
      </c>
      <c r="CK8" s="33" t="s">
        <v>60</v>
      </c>
      <c r="CL8" s="39">
        <v>1.0</v>
      </c>
      <c r="CM8" s="30" t="s">
        <v>20</v>
      </c>
      <c r="CN8" s="33" t="s">
        <v>37</v>
      </c>
      <c r="CO8" s="33" t="s">
        <v>36</v>
      </c>
      <c r="CP8" s="33" t="s">
        <v>40</v>
      </c>
      <c r="CQ8" s="40"/>
      <c r="CR8" s="33"/>
      <c r="CS8" s="33"/>
      <c r="CT8" s="33"/>
      <c r="CU8" s="33"/>
      <c r="CV8" s="33"/>
      <c r="CW8" s="39">
        <v>0.0</v>
      </c>
      <c r="CX8" s="33" t="s">
        <v>61</v>
      </c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66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5" t="s">
        <v>69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