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CreateDoneAwayOrder" sheetId="5" r:id="rId7"/>
    <sheet state="visible" name="GetMarkPriceData" sheetId="6" r:id="rId8"/>
    <sheet state="visible" name="UpdateMarkPrice" sheetId="7" r:id="rId9"/>
    <sheet state="visible" name="GetDataClosing" sheetId="8" r:id="rId10"/>
    <sheet state="visible" name="AutoExercise" sheetId="9" r:id="rId11"/>
    <sheet state="visible" name="VerifyExpiredSettledGrid" sheetId="10" r:id="rId12"/>
    <sheet state="visible" name="GetDataAllocation" sheetId="11" r:id="rId13"/>
    <sheet state="visible" name="CheckAllocatedGroups" sheetId="12" r:id="rId14"/>
    <sheet state="visible" name="CheckPortfolioManagement" sheetId="13" r:id="rId15"/>
    <sheet state="visible" name="UnwindClosing" sheetId="14" r:id="rId16"/>
    <sheet state="visible" name="SelectTradeUnexpiredUnsettled" sheetId="15" r:id="rId17"/>
    <sheet state="visible" name="ExerciseAssignment" sheetId="16" r:id="rId18"/>
    <sheet state="visible" name="VerifyExpiredSettledGrid1" sheetId="17" r:id="rId19"/>
    <sheet state="visible" name="GetDataAllocation1" sheetId="18" r:id="rId20"/>
    <sheet state="visible" name="CheckAllocatedGroups1" sheetId="19" r:id="rId21"/>
    <sheet state="visible" name="CheckPortfolioManagement1" sheetId="20" r:id="rId22"/>
    <sheet state="visible" name="SetClosingPreference" sheetId="21" r:id="rId23"/>
  </sheets>
  <definedNames/>
  <calcPr/>
</workbook>
</file>

<file path=xl/sharedStrings.xml><?xml version="1.0" encoding="utf-8"?>
<sst xmlns="http://schemas.openxmlformats.org/spreadsheetml/2006/main" count="434" uniqueCount="70">
  <si>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</si>
  <si>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</si>
  <si>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</si>
  <si>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</si>
  <si>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</si>
  <si>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</si>
  <si>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</si>
  <si>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</si>
  <si>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</si>
  <si>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</si>
  <si>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</si>
  <si>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</si>
  <si>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</si>
  <si>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</si>
  <si>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</si>
  <si>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</si>
  <si>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O:XLE 10R52.00</t>
  </si>
  <si>
    <t>TradingTicket</t>
  </si>
  <si>
    <t>CreateDoneAwayOrder</t>
  </si>
  <si>
    <t>XLE</t>
  </si>
  <si>
    <t>Buy</t>
  </si>
  <si>
    <t>Allocation2</t>
  </si>
  <si>
    <t>Market</t>
  </si>
  <si>
    <t>Sell short</t>
  </si>
  <si>
    <t>Allocation1</t>
  </si>
  <si>
    <t>Sell to Open</t>
  </si>
  <si>
    <t>DailyValuation</t>
  </si>
  <si>
    <t>GetMarkPriceData</t>
  </si>
  <si>
    <t>UpdateMarkPrice</t>
  </si>
  <si>
    <t>Closing</t>
  </si>
  <si>
    <t>GetDataClosing</t>
  </si>
  <si>
    <t>Historical</t>
  </si>
  <si>
    <t>1/1/1800</t>
  </si>
  <si>
    <t>AutoExercise</t>
  </si>
  <si>
    <t>EquityOption</t>
  </si>
  <si>
    <t>VerifyExpiredSettledGrid</t>
  </si>
  <si>
    <t>Exercise</t>
  </si>
  <si>
    <t>Long</t>
  </si>
  <si>
    <t>USD</t>
  </si>
  <si>
    <t>OPTS</t>
  </si>
  <si>
    <t>Short</t>
  </si>
  <si>
    <t>Strategy Unallocated</t>
  </si>
  <si>
    <t>US</t>
  </si>
  <si>
    <t>Allocation</t>
  </si>
  <si>
    <t>GetDataAllocation</t>
  </si>
  <si>
    <t>CheckAllocatedGroups</t>
  </si>
  <si>
    <t>Equity</t>
  </si>
  <si>
    <t>Open</t>
  </si>
  <si>
    <t>M</t>
  </si>
  <si>
    <t>None</t>
  </si>
  <si>
    <t>SellShort</t>
  </si>
  <si>
    <t>Closed</t>
  </si>
  <si>
    <t>IsExercised</t>
  </si>
  <si>
    <t>P</t>
  </si>
  <si>
    <t>SelltoOpen</t>
  </si>
  <si>
    <t>Buy to Close</t>
  </si>
  <si>
    <t>Assignment</t>
  </si>
  <si>
    <t>D</t>
  </si>
  <si>
    <t>Exercise/Assign</t>
  </si>
  <si>
    <t>PortfolioManagement</t>
  </si>
  <si>
    <t>CheckPortfolioManagement</t>
  </si>
  <si>
    <t>NewMF1</t>
  </si>
  <si>
    <t>NewMF</t>
  </si>
  <si>
    <t>UnwindClosing</t>
  </si>
  <si>
    <t>SelectTradeUnexpiredUnsettled</t>
  </si>
  <si>
    <t>ExerciseAssignment</t>
  </si>
  <si>
    <t/>
  </si>
  <si>
    <t>Manual</t>
  </si>
  <si>
    <t>Undefined</t>
  </si>
  <si>
    <t>SetClosingPreference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</si>
</sst>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/d/yyyy h:mm:ss am/pm"/>
    <numFmt numFmtId="166" formatCode="m/d/yyyy h:mm"/>
  </numFmts>
  <fonts count="19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Calibri"/>
    </font>
    <font>
      <color rgb="FF000000"/>
      <name val="Docs-Calibri"/>
    </font>
    <font>
      <sz val="11.0"/>
      <color rgb="FF000000"/>
      <name val="Calibri"/>
    </font>
    <font>
      <u/>
      <color rgb="FFD9D9D9"/>
    </font>
    <font>
      <color rgb="FF000000"/>
      <name val="Arial"/>
    </font>
    <font>
      <b/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164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6" fontId="13" numFmtId="0" xfId="0" applyAlignment="1" applyFill="1" applyFont="1">
      <alignment vertical="bottom"/>
    </xf>
    <xf borderId="0" fillId="6" fontId="13" numFmtId="164" xfId="0" applyAlignment="1" applyFont="1" applyNumberFormat="1">
      <alignment horizontal="right" vertical="bottom"/>
    </xf>
    <xf borderId="0" fillId="6" fontId="14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14" xfId="0" applyAlignment="1" applyBorder="1" applyFont="1" applyNumberFormat="1">
      <alignment horizontal="right" vertical="bottom"/>
    </xf>
    <xf borderId="0" fillId="0" fontId="3" numFmtId="0" xfId="0" applyAlignment="1" applyFont="1">
      <alignment horizontal="right" readingOrder="0" vertical="bottom"/>
    </xf>
    <xf borderId="5" fillId="0" fontId="3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5" fillId="0" fontId="15" numFmtId="0" xfId="0" applyAlignment="1" applyBorder="1" applyFont="1">
      <alignment vertical="bottom"/>
    </xf>
    <xf borderId="0" fillId="4" fontId="16" numFmtId="0" xfId="0" applyFont="1"/>
    <xf borderId="5" fillId="0" fontId="15" numFmtId="0" xfId="0" applyAlignment="1" applyBorder="1" applyFont="1">
      <alignment horizontal="right" vertical="bottom"/>
    </xf>
    <xf borderId="0" fillId="0" fontId="15" numFmtId="0" xfId="0" applyAlignment="1" applyFont="1">
      <alignment vertical="bottom"/>
    </xf>
    <xf borderId="0" fillId="0" fontId="15" numFmtId="4" xfId="0" applyAlignment="1" applyFont="1" applyNumberFormat="1">
      <alignment horizontal="right" vertical="bottom"/>
    </xf>
    <xf borderId="0" fillId="0" fontId="15" numFmtId="0" xfId="0" applyAlignment="1" applyFont="1">
      <alignment horizontal="right" vertical="bottom"/>
    </xf>
    <xf borderId="0" fillId="6" fontId="17" numFmtId="0" xfId="0" applyAlignment="1" applyFont="1">
      <alignment vertical="bottom"/>
    </xf>
    <xf borderId="0" fillId="6" fontId="13" numFmtId="0" xfId="0" applyAlignment="1" applyFont="1">
      <alignment readingOrder="0" vertical="bottom"/>
    </xf>
    <xf borderId="0" fillId="0" fontId="15" numFmtId="0" xfId="0" applyAlignment="1" applyFont="1">
      <alignment horizontal="right" readingOrder="0" vertical="bottom"/>
    </xf>
    <xf borderId="0" fillId="0" fontId="5" numFmtId="0" xfId="0" applyAlignment="1" applyFont="1">
      <alignment horizontal="right" readingOrder="0" vertical="bottom"/>
    </xf>
    <xf borderId="0" fillId="0" fontId="15" numFmtId="4" xfId="0" applyAlignment="1" applyFont="1" applyNumberFormat="1">
      <alignment horizontal="right" readingOrder="0" vertical="bottom"/>
    </xf>
    <xf borderId="5" fillId="0" fontId="15" numFmtId="0" xfId="0" applyAlignment="1" applyBorder="1" applyFont="1">
      <alignment vertical="bottom"/>
    </xf>
    <xf borderId="5" fillId="0" fontId="15" numFmtId="0" xfId="0" applyAlignment="1" applyBorder="1" applyFont="1">
      <alignment horizontal="right" vertical="bottom"/>
    </xf>
    <xf borderId="0" fillId="0" fontId="1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6" fontId="14" numFmtId="0" xfId="0" applyAlignment="1" applyFont="1">
      <alignment vertical="bottom"/>
    </xf>
    <xf borderId="5" fillId="0" fontId="3" numFmtId="0" xfId="0" applyAlignment="1" applyBorder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3" numFmtId="4" xfId="0" applyAlignment="1" applyFont="1" applyNumberFormat="1">
      <alignment horizontal="right" vertical="bottom"/>
    </xf>
    <xf borderId="0" fillId="0" fontId="18" numFmtId="0" xfId="0" applyAlignment="1" applyFont="1">
      <alignment readingOrder="0" shrinkToFit="0" vertical="bottom" wrapText="0"/>
    </xf>
    <xf borderId="0" fillId="0" fontId="15" numFmtId="4" xfId="0" applyAlignment="1" applyFont="1" applyNumberFormat="1">
      <alignment horizontal="right" readingOrder="0" shrinkToFit="0" vertical="bottom" wrapText="0"/>
    </xf>
    <xf borderId="0" fillId="0" fontId="15" numFmtId="0" xfId="0" applyAlignment="1" applyFont="1">
      <alignment shrinkToFit="0" vertical="bottom" wrapText="0"/>
    </xf>
    <xf borderId="0" fillId="0" fontId="15" numFmtId="165" xfId="0" applyAlignment="1" applyFont="1" applyNumberFormat="1">
      <alignment readingOrder="0" shrinkToFit="0" vertical="bottom" wrapText="0"/>
    </xf>
    <xf borderId="0" fillId="0" fontId="15" numFmtId="0" xfId="0" applyAlignment="1" applyFont="1">
      <alignment readingOrder="0" shrinkToFit="0" vertical="bottom" wrapText="0"/>
    </xf>
    <xf borderId="0" fillId="0" fontId="15" numFmtId="0" xfId="0" applyAlignment="1" applyFont="1">
      <alignment horizontal="right" readingOrder="0" shrinkToFit="0" vertical="bottom" wrapText="0"/>
    </xf>
    <xf borderId="0" fillId="0" fontId="15" numFmtId="166" xfId="0" applyAlignment="1" applyFont="1" applyNumberFormat="1">
      <alignment horizontal="right" readingOrder="0" shrinkToFit="0" vertical="bottom" wrapText="0"/>
    </xf>
    <xf borderId="0" fillId="0" fontId="15" numFmtId="164" xfId="0" applyAlignment="1" applyFont="1" applyNumberFormat="1">
      <alignment horizontal="right" readingOrder="0" shrinkToFit="0" vertical="bottom" wrapText="0"/>
    </xf>
    <xf borderId="5" fillId="0" fontId="5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1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0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2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6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7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9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5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30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3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3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3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IFERROR(__xludf.DUMMYFUNCTION("""COMPUTED_VALUE"""),"PricingInput")</f>
        <v>PricingInput</v>
      </c>
      <c r="B29" s="4" t="str">
        <f>IFERROR(__xludf.DUMMYFUNCTION("""COMPUTED_VALUE"""),"PricingInput")</f>
        <v>PricingInput</v>
      </c>
      <c r="C29" s="4" t="str">
        <f>IFERROR(__xludf.DUMMYFUNCTION("""COMPUTED_VALUE"""),"16EMowOhNWCoGHg3C_AEEGTB-3SXFMg5x63-S3irnai0")</f>
        <v>16EMowOhNWCoGHg3C_AEEGTB-3SXFMg5x63-S3irnai0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IFERROR(__xludf.DUMMYFUNCTION("""COMPUTED_VALUE"""),"UpdateSharesOutstanding")</f>
        <v>UpdateSharesOutstanding</v>
      </c>
      <c r="C30" s="4" t="str">
        <f>IFERROR(__xludf.DUMMYFUNCTION("""COMPUTED_VALUE"""),"1q9dRSKiXfUcfgc5w_m-vMSRuUWcHC5mxzB_SFqqFzJk")</f>
        <v>1q9dRSKiXfUcfgc5w_m-vMSRuUWcHC5mxzB_SFqqFzJk</v>
      </c>
      <c r="D30" s="4"/>
      <c r="E30" s="4"/>
      <c r="F30" s="4"/>
    </row>
    <row r="31" ht="15.75" customHeight="1">
      <c r="A31" s="4" t="str">
        <f>IFERROR(__xludf.DUMMYFUNCTION("""COMPUTED_VALUE"""),"SymbolLookup")</f>
        <v>SymbolLookup</v>
      </c>
      <c r="B31" s="4" t="str">
        <f>IFERROR(__xludf.DUMMYFUNCTION("""COMPUTED_VALUE"""),"VerifySymbolLookUp")</f>
        <v>VerifySymbolLookUp</v>
      </c>
      <c r="C31" s="4" t="str">
        <f>IFERROR(__xludf.DUMMYFUNCTION("""COMPUTED_VALUE"""),"1lP1jJVwyLgSReroORPW2qHMX-c1ylMBmX8jxb7m4wfI")</f>
        <v>1lP1jJVwyLgSReroORPW2qHMX-c1ylMBmX8jxb7m4wfI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IFERROR(__xludf.DUMMYFUNCTION("""COMPUTED_VALUE"""),"SymbolLookupFromTT")</f>
        <v>SymbolLookupFromTT</v>
      </c>
      <c r="C32" s="4" t="str">
        <f>IFERROR(__xludf.DUMMYFUNCTION("""COMPUTED_VALUE"""),"1Ws0Hw39H3ULaKM5Cl_p6p-caLwRm8T0L43ngVqjHMnM")</f>
        <v>1Ws0Hw39H3ULaKM5Cl_p6p-caLwRm8T0L43ngVqjHMnM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IFERROR(__xludf.DUMMYFUNCTION("""COMPUTED_VALUE"""),"UpdateUDA")</f>
        <v>UpdateUDA</v>
      </c>
      <c r="C33" s="4" t="str">
        <f>IFERROR(__xludf.DUMMYFUNCTION("""COMPUTED_VALUE"""),"18ZefsYffctRJZetWSPUYeTMEPqefQ72fJ-dT_WrQO6E")</f>
        <v>18ZefsYffctRJZetWSPUYeTMEPqefQ72fJ-dT_WrQO6E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IFERROR(__xludf.DUMMYFUNCTION("""COMPUTED_VALUE"""),"GetSymbol")</f>
        <v>GetSymbol</v>
      </c>
      <c r="C34" t="str">
        <f>IFERROR(__xludf.DUMMYFUNCTION("""COMPUTED_VALUE"""),"1dif0H2pSx6MyuJJaFo3yMy9Wk3FCmwjhqFUYJ2ddE_U")</f>
        <v>1dif0H2pSx6MyuJJaFo3yMy9Wk3FCmwjhqFUYJ2ddE_U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IFERROR(__xludf.DUMMYFUNCTION("""COMPUTED_VALUE"""),"GetDataSymbolLookup")</f>
        <v>GetDataSymbolLookup</v>
      </c>
      <c r="C35" t="str">
        <f>IFERROR(__xludf.DUMMYFUNCTION("""COMPUTED_VALUE"""),"1yyYt9T19EoP8LoCWHfuC6030yvu3xeuFdL76BzHEg-w")</f>
        <v>1yyYt9T19EoP8LoCWHfuC6030yvu3xeuFdL76BzHEg-w</v>
      </c>
    </row>
    <row r="36" ht="15.75" customHeight="1">
      <c r="A36" t="str">
        <f>IFERROR(__xludf.DUMMYFUNCTION("""COMPUTED_VALUE"""),"ThirdParty")</f>
        <v>ThirdParty</v>
      </c>
      <c r="B36" t="str">
        <f>IFERROR(__xludf.DUMMYFUNCTION("""COMPUTED_VALUE"""),"GenerateThirdParty")</f>
        <v>GenerateThirdParty</v>
      </c>
      <c r="C36" t="str">
        <f>IFERROR(__xludf.DUMMYFUNCTION("""COMPUTED_VALUE"""),"1HZrcr_WdBT1EQ4GhHDXyM17ms7JDfsPpIGlJKkgrmq8")</f>
        <v>1HZrcr_WdBT1EQ4GhHDXyM17ms7JDfsPpIGlJKkgrmq8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IFERROR(__xludf.DUMMYFUNCTION("""COMPUTED_VALUE"""),"SendThirdParty")</f>
        <v>SendThirdParty</v>
      </c>
      <c r="C37" t="str">
        <f>IFERROR(__xludf.DUMMYFUNCTION("""COMPUTED_VALUE"""),"1cffrrRSmuiuoUyakOnIguFzrQ7nNvPrbSqLosFmTWwE")</f>
        <v>1cffrrRSmuiuoUyakOnIguFzrQ7nNvPrbSqLosFmTWwE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IFERROR(__xludf.DUMMYFUNCTION("""COMPUTED_VALUE"""),"ViewThirdParty")</f>
        <v>ViewThirdParty</v>
      </c>
      <c r="C38" t="str">
        <f>IFERROR(__xludf.DUMMYFUNCTION("""COMPUTED_VALUE"""),"1ZfIgMPS9NpuMtE47suVwo-kA1KXMaKf-ADsjK3-OiFk")</f>
        <v>1ZfIgMPS9NpuMtE47suVwo-kA1KXMaKf-ADsjK3-OiFk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IFERROR(__xludf.DUMMYFUNCTION("""COMPUTED_VALUE"""),"SelectThirdPartyName")</f>
        <v>SelectThirdPartyName</v>
      </c>
      <c r="C39" t="str">
        <f>IFERROR(__xludf.DUMMYFUNCTION("""COMPUTED_VALUE"""),"1lg0qbs6p5xqUSr7LDug4K3vG1m9N739nMZUVLjObX4A")</f>
        <v>1lg0qbs6p5xqUSr7LDug4K3vG1m9N739nMZUVLjObX4A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IFERROR(__xludf.DUMMYFUNCTION("""COMPUTED_VALUE"""),"VerifyThirdPartyData")</f>
        <v>VerifyThirdPartyData</v>
      </c>
      <c r="C40" t="str">
        <f>IFERROR(__xludf.DUMMYFUNCTION("""COMPUTED_VALUE"""),"1jAOYY9bW9KnKph1c40HVkfDUBh6ICZ5j3laR_Nfw-EY")</f>
        <v>1jAOYY9bW9KnKph1c40HVkfDUBh6ICZ5j3laR_Nfw-EY</v>
      </c>
    </row>
    <row r="41" ht="15.75" customHeight="1">
      <c r="A41" t="str">
        <f>IFERROR(__xludf.DUMMYFUNCTION("""COMPUTED_VALUE"""),"CorporateAction")</f>
        <v>CorporateAction</v>
      </c>
      <c r="B41" t="str">
        <f>IFERROR(__xludf.DUMMYFUNCTION("""COMPUTED_VALUE"""),"CleanUp")</f>
        <v>CleanUp</v>
      </c>
      <c r="C41" t="str">
        <f>IFERROR(__xludf.DUMMYFUNCTION("""COMPUTED_VALUE"""),"undefined")</f>
        <v>undefined</v>
      </c>
    </row>
    <row r="42" ht="15.75" customHeight="1">
      <c r="A42" t="str">
        <f>IFERROR(__xludf.DUMMYFUNCTION("""COMPUTED_VALUE"""),"PST")</f>
        <v>PST</v>
      </c>
      <c r="B42" t="str">
        <f>IFERROR(__xludf.DUMMYFUNCTION("""COMPUTED_VALUE"""),"RunPST")</f>
        <v>RunPST</v>
      </c>
      <c r="C42" t="str">
        <f>IFERROR(__xludf.DUMMYFUNCTION("""COMPUTED_VALUE"""),"1A0xAaBFDf7biWsKuUhbcuji1EhTqQ4YA19pe1eIhgPQ")</f>
        <v>1A0xAaBFDf7biWsKuUhbcuji1EhTqQ4YA19pe1eIhgPQ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IFERROR(__xludf.DUMMYFUNCTION("""COMPUTED_VALUE"""),"PSTInputData")</f>
        <v>PSTInputData</v>
      </c>
      <c r="C43" t="str">
        <f>IFERROR(__xludf.DUMMYFUNCTION("""COMPUTED_VALUE"""),"1AjthyKZG60SFOO_oG5D4uAVdcMlvnmNeOIBuZzfu9Zc")</f>
        <v>1AjthyKZG60SFOO_oG5D4uAVdcMlvnmNeOIBuZzfu9Zc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IFERROR(__xludf.DUMMYFUNCTION("""COMPUTED_VALUE"""),"PSTVerifyData")</f>
        <v>PSTVerifyData</v>
      </c>
      <c r="C44" t="str">
        <f>IFERROR(__xludf.DUMMYFUNCTION("""COMPUTED_VALUE"""),"1hwVNf3Bz_kRxkr47npaHLD4RFYfHlCWjpAVEp3p0Tv0")</f>
        <v>1hwVNf3Bz_kRxkr47npaHLD4RFYfHlCWjpAVEp3p0Tv0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IFERROR(__xludf.DUMMYFUNCTION("""COMPUTED_VALUE"""),"PSTFunctionalities")</f>
        <v>PSTFunctionalities</v>
      </c>
      <c r="C45" t="str">
        <f>IFERROR(__xludf.DUMMYFUNCTION("""COMPUTED_VALUE"""),"1YNyk8pT-yjAygOSu8ntnhSz0mlyLVTKf5ZElZkGlRAk")</f>
        <v>1YNyk8pT-yjAygOSu8ntnhSz0mlyLVTKf5ZElZkGlRAk</v>
      </c>
    </row>
    <row r="46" ht="15.75" customHeight="1">
      <c r="A46" t="str">
        <f>IFERROR(__xludf.DUMMYFUNCTION("""COMPUTED_VALUE"""),"PortfolioManagement")</f>
        <v>PortfolioManagement</v>
      </c>
      <c r="B46" t="str">
        <f>IFERROR(__xludf.DUMMYFUNCTION("""COMPUTED_VALUE"""),"OpenPSTFromPM")</f>
        <v>OpenPSTFromPM</v>
      </c>
      <c r="C46" t="str">
        <f>IFERROR(__xludf.DUMMYFUNCTION("""COMPUTED_VALUE"""),"1e_Wdtbtw83ryT5L0L8pewVQPI8LIJvnU1qbvQEuQTWA")</f>
        <v>1e_Wdtbtw83ryT5L0L8pewVQPI8LIJvnU1qbvQEuQTWA</v>
      </c>
    </row>
    <row r="47" ht="15.75" customHeight="1">
      <c r="A47" t="str">
        <f>IFERROR(__xludf.DUMMYFUNCTION("""COMPUTED_VALUE"""),"TradingTicket")</f>
        <v>TradingTicket</v>
      </c>
      <c r="B47" t="str">
        <f>IFERROR(__xludf.DUMMYFUNCTION("""COMPUTED_VALUE"""),"OpenTTFromPST")</f>
        <v>OpenTTFromPST</v>
      </c>
      <c r="C47" t="str">
        <f>IFERROR(__xludf.DUMMYFUNCTION("""COMPUTED_VALUE"""),"1s-2AvOwlucwT40O8TI72EGsH95mesUqNXS7T87p_cjk")</f>
        <v>1s-2AvOwlucwT40O8TI72EGsH95mesUqNXS7T87p_cjk</v>
      </c>
    </row>
    <row r="48" ht="15.75" customHeight="1">
      <c r="A48" t="str">
        <f>IFERROR(__xludf.DUMMYFUNCTION("""COMPUTED_VALUE"""),"CorporateAction")</f>
        <v>CorporateAction</v>
      </c>
      <c r="B48" t="str">
        <f>IFERROR(__xludf.DUMMYFUNCTION("""COMPUTED_VALUE"""),"CashDividend")</f>
        <v>CashDividend</v>
      </c>
      <c r="C48" t="str">
        <f>IFERROR(__xludf.DUMMYFUNCTION("""COMPUTED_VALUE"""),"undefined")</f>
        <v>undefined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IFERROR(__xludf.DUMMYFUNCTION("""COMPUTED_VALUE"""),"Exchange")</f>
        <v>Exchange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IFERROR(__xludf.DUMMYFUNCTION("""COMPUTED_VALUE"""),"Merger")</f>
        <v>Merger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IFERROR(__xludf.DUMMYFUNCTION("""COMPUTED_VALUE"""),"NameChange")</f>
        <v>NameChange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IFERROR(__xludf.DUMMYFUNCTION("""COMPUTED_VALUE"""),"SpinOff")</f>
        <v>SpinOff</v>
      </c>
      <c r="C52" t="str">
        <f>IFERROR(__xludf.DUMMYFUNCTION("""COMPUTED_VALUE"""),"12NHD4_EIq5g0C_fIQVy3RpmKC95ayNQ1iXyceR4Wo-I")</f>
        <v>12NHD4_EIq5g0C_fIQVy3RpmKC95ayNQ1iXyceR4Wo-I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IFERROR(__xludf.DUMMYFUNCTION("""COMPUTED_VALUE"""),"Split")</f>
        <v>Split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IFERROR(__xludf.DUMMYFUNCTION("""COMPUTED_VALUE"""),"StockDividend")</f>
        <v>StockDividend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IFERROR(__xludf.DUMMYFUNCTION("""COMPUTED_VALUE"""),"TradingTicket")</f>
        <v>TradingTicket</v>
      </c>
      <c r="B55" t="str">
        <f>IFERROR(__xludf.DUMMYFUNCTION("""COMPUTED_VALUE"""),"EnterDetailsOnTT")</f>
        <v>EnterDetailsOnTT</v>
      </c>
      <c r="C55" t="str">
        <f>IFERROR(__xludf.DUMMYFUNCTION("""COMPUTED_VALUE"""),"1MmUcBXbxfb38HOE1cHEKyuIz8n3EosbGD7Apj5fCCyI")</f>
        <v>1MmUcBXbxfb38HOE1cHEKyuIz8n3EosbGD7Apj5fCCyI</v>
      </c>
    </row>
    <row r="56" ht="15.75" customHeight="1">
      <c r="A56" t="str">
        <f>IFERROR(__xludf.DUMMYFUNCTION("""COMPUTED_VALUE"""),"DailyValuation")</f>
        <v>DailyValuation</v>
      </c>
      <c r="B56" t="str">
        <f>IFERROR(__xludf.DUMMYFUNCTION("""COMPUTED_VALUE"""),"CleanUp")</f>
        <v>CleanUp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IFERROR(__xludf.DUMMYFUNCTION("""COMPUTED_VALUE"""),"Allocation")</f>
        <v>Allocation</v>
      </c>
      <c r="B57" t="str">
        <f>IFERROR(__xludf.DUMMYFUNCTION("""COMPUTED_VALUE"""),"EditUnallocatedGroupSidePanel")</f>
        <v>EditUnallocatedGroupSidePanel</v>
      </c>
      <c r="C57" t="str">
        <f>IFERROR(__xludf.DUMMYFUNCTION("""COMPUTED_VALUE"""),"1I3vKgbFVmpKcE4CquiIjVUNQQng6mCvIX8Nb6O3tYSM")</f>
        <v>1I3vKgbFVmpKcE4CquiIjVUNQQng6mCvIX8Nb6O3tYSM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IFERROR(__xludf.DUMMYFUNCTION("""COMPUTED_VALUE"""),"TradeAttributeBulkChange")</f>
        <v>TradeAttributeBulkChange</v>
      </c>
      <c r="C58" t="str">
        <f>IFERROR(__xludf.DUMMYFUNCTION("""COMPUTED_VALUE"""),"1X1pt4p00mNPwCJcz91pYRbRgzeh7fysIjHER0IOdjZc")</f>
        <v>1X1pt4p00mNPwCJcz91pYRbRgzeh7fysIjHER0IOdjZc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IFERROR(__xludf.DUMMYFUNCTION("""COMPUTED_VALUE"""),"ApplyBulkUpdateOnGroups")</f>
        <v>ApplyBulkUpdateOnGroups</v>
      </c>
      <c r="C59" t="str">
        <f>IFERROR(__xludf.DUMMYFUNCTION("""COMPUTED_VALUE"""),"1EXHDEnb-AqeKckyKJ2AQIPPFYOz1qJ0NXgdSnRlwd_8")</f>
        <v>1EXHDEnb-AqeKckyKJ2AQIPPFYOz1qJ0NXgdSnRlwd_8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IFERROR(__xludf.DUMMYFUNCTION("""COMPUTED_VALUE"""),"ApplyPrefetchFilters")</f>
        <v>ApplyPrefetchFilters</v>
      </c>
      <c r="C60" t="str">
        <f>IFERROR(__xludf.DUMMYFUNCTION("""COMPUTED_VALUE"""),"1NbR7ZH2mQ_UhhsVJW1kvt8h2b6ar1yEiIRP11pLNMCA")</f>
        <v>1NbR7ZH2mQ_UhhsVJW1kvt8h2b6ar1yEiIRP11pLNMCA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IFERROR(__xludf.DUMMYFUNCTION("""COMPUTED_VALUE"""),"GeneralPreferencesDefaultRule")</f>
        <v>GeneralPreferencesDefaultRule</v>
      </c>
      <c r="C61" t="str">
        <f>IFERROR(__xludf.DUMMYFUNCTION("""COMPUTED_VALUE"""),"1X6zGMIbPMGDNJBFVyEbhy8JzB-DF3VL8Ecx1KZsTvww")</f>
        <v>1X6zGMIbPMGDNJBFVyEbhy8JzB-DF3VL8Ecx1KZsTvww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IFERROR(__xludf.DUMMYFUNCTION("""COMPUTED_VALUE"""),"GeneralPrefCompanyUserWise")</f>
        <v>GeneralPrefCompanyUserWise</v>
      </c>
      <c r="C62" t="str">
        <f>IFERROR(__xludf.DUMMYFUNCTION("""COMPUTED_VALUE"""),"1DwoiiMTfEI25sIuSyzjcNHieJZZSgvmRbbztMJektzw")</f>
        <v>1DwoiiMTfEI25sIuSyzjcNHieJZZSgvmRbbztMJektzw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IFERROR(__xludf.DUMMYFUNCTION("""COMPUTED_VALUE"""),"RenameTradeAttributes")</f>
        <v>RenameTradeAttributes</v>
      </c>
      <c r="C63" t="str">
        <f>IFERROR(__xludf.DUMMYFUNCTION("""COMPUTED_VALUE"""),"10Wi9aLWsES9e12Jsk7J5zbAdCX0LcFslEPqxr6NuGao")</f>
        <v>10Wi9aLWsES9e12Jsk7J5zbAdCX0LcFslEPqxr6NuGao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IFERROR(__xludf.DUMMYFUNCTION("""COMPUTED_VALUE"""),"SetGroupingRules")</f>
        <v>SetGroupingRules</v>
      </c>
      <c r="C64" t="str">
        <f>IFERROR(__xludf.DUMMYFUNCTION("""COMPUTED_VALUE"""),"1BpgmUI6OY9ROYfJW7yhtd3v_H2DoCND4DfDkif1fTnE")</f>
        <v>1BpgmUI6OY9ROYfJW7yhtd3v_H2DoCND4DfDkif1fTnE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IFERROR(__xludf.DUMMYFUNCTION("""COMPUTED_VALUE"""),"SetMasterFundRatio")</f>
        <v>SetMasterFundRatio</v>
      </c>
      <c r="C65" t="str">
        <f>IFERROR(__xludf.DUMMYFUNCTION("""COMPUTED_VALUE"""),"1A4Zcxi0xYN4fi6cUaxJyYATjWcFN9ph5TOCiIwYlDx4")</f>
        <v>1A4Zcxi0xYN4fi6cUaxJyYATjWcFN9ph5TOCiIwYlDx4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IFERROR(__xludf.DUMMYFUNCTION("""COMPUTED_VALUE"""),"CheckFixedPreference")</f>
        <v>CheckFixedPreference</v>
      </c>
      <c r="C66" t="str">
        <f>IFERROR(__xludf.DUMMYFUNCTION("""COMPUTED_VALUE"""),"1d74faC5HiET8v5WuA0k4mDVxwUlRgwb7jwKIuaw0hrA")</f>
        <v>1d74faC5HiET8v5WuA0k4mDVxwUlRgwb7jwKIuaw0hrA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IFERROR(__xludf.DUMMYFUNCTION("""COMPUTED_VALUE"""),"GetFixedPreference")</f>
        <v>GetFixedPreference</v>
      </c>
      <c r="C67" t="str">
        <f>IFERROR(__xludf.DUMMYFUNCTION("""COMPUTED_VALUE"""),"1DAAkn_hOGEgqSEZMlHZCgTAE2AkAscU0wBpmiODj7LM")</f>
        <v>1DAAkn_hOGEgqSEZMlHZCgTAE2AkAscU0wBpmiODj7LM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IFERROR(__xludf.DUMMYFUNCTION("""COMPUTED_VALUE"""),"AddCalculatedPreferences")</f>
        <v>AddCalculatedPreferences</v>
      </c>
      <c r="C68" t="str">
        <f>IFERROR(__xludf.DUMMYFUNCTION("""COMPUTED_VALUE"""),"1AaR_RyCJodiVQTw2a8Tr7ixTHn3k5JcJErdCIP0TnWU")</f>
        <v>1AaR_RyCJodiVQTw2a8Tr7ixTHn3k5JcJErdCIP0TnWU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IFERROR(__xludf.DUMMYFUNCTION("""COMPUTED_VALUE"""),"BulkChangeCalculatedPreferences")</f>
        <v>BulkChangeCalculatedPreferences</v>
      </c>
      <c r="C69" t="str">
        <f>IFERROR(__xludf.DUMMYFUNCTION("""COMPUTED_VALUE"""),"1Bn5ufuuddBVWtP0XJckkEgs1Q8qPNBXf3Q3UoOlAdmo")</f>
        <v>1Bn5ufuuddBVWtP0XJckkEgs1Q8qPNBXf3Q3UoOlAdmo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IFERROR(__xludf.DUMMYFUNCTION("""COMPUTED_VALUE"""),"DeleteCalculatedPreferences")</f>
        <v>DeleteCalculatedPreferences</v>
      </c>
      <c r="C70" t="str">
        <f>IFERROR(__xludf.DUMMYFUNCTION("""COMPUTED_VALUE"""),"1oScszM1N5AICz6efQqqcZ9rMBX6viS3Dv4Ye34RXN78")</f>
        <v>1oScszM1N5AICz6efQqqcZ9rMBX6viS3Dv4Ye34RXN78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IFERROR(__xludf.DUMMYFUNCTION("""COMPUTED_VALUE"""),"RenameCalculatedPreferences")</f>
        <v>RenameCalculatedPreferences</v>
      </c>
      <c r="C71" t="str">
        <f>IFERROR(__xludf.DUMMYFUNCTION("""COMPUTED_VALUE"""),"1DfGmIk1AC9u6iD7HJ5eoIhkH2zXKH6qkYG72ke3Qm8s")</f>
        <v>1DfGmIk1AC9u6iD7HJ5eoIhkH2zXKH6qkYG72ke3Qm8s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IFERROR(__xludf.DUMMYFUNCTION("""COMPUTED_VALUE"""),"CopyCalculatedPreferences")</f>
        <v>CopyCalculatedPreferences</v>
      </c>
      <c r="C72" t="str">
        <f>IFERROR(__xludf.DUMMYFUNCTION("""COMPUTED_VALUE"""),"1camqMJj9T6DujVoKWjLCRM_t5c9Gjas2RvonTiEIeqc")</f>
        <v>1camqMJj9T6DujVoKWjLCRM_t5c9Gjas2RvonTiEIeqc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IFERROR(__xludf.DUMMYFUNCTION("""COMPUTED_VALUE"""),"RunAutoGroup")</f>
        <v>RunAutoGroup</v>
      </c>
      <c r="C73" t="str">
        <f>IFERROR(__xludf.DUMMYFUNCTION("""COMPUTED_VALUE"""),"15eV6FwmLzaX2dpXX8JvKiyeHioNqbWSErNbij1TUs3U")</f>
        <v>15eV6FwmLzaX2dpXX8JvKiyeHioNqbWSErNbij1TUs3U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IFERROR(__xludf.DUMMYFUNCTION("""COMPUTED_VALUE"""),"BookOrUpdateSwap")</f>
        <v>BookOrUpdateSwap</v>
      </c>
      <c r="C74" t="str">
        <f>IFERROR(__xludf.DUMMYFUNCTION("""COMPUTED_VALUE"""),"1WGyYC9JD2kkJ7R-DfYfXWJbxk7gGthQxpZL5FZDts-Y")</f>
        <v>1WGyYC9JD2kkJ7R-DfYfXWJbxk7gGthQxpZL5FZDts-Y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IFERROR(__xludf.DUMMYFUNCTION("""COMPUTED_VALUE"""),"RunProrata")</f>
        <v>RunProrata</v>
      </c>
      <c r="C75" t="str">
        <f>IFERROR(__xludf.DUMMYFUNCTION("""COMPUTED_VALUE"""),"1-1uFNoTRPBEA8enYV9Nnn2-zdmLXS4X3BoS5v7Ex68Q")</f>
        <v>1-1uFNoTRPBEA8enYV9Nnn2-zdmLXS4X3BoS5v7Ex68Q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IFERROR(__xludf.DUMMYFUNCTION("""COMPUTED_VALUE"""),"SetDefaultRuleCalculatedPref")</f>
        <v>SetDefaultRuleCalculatedPref</v>
      </c>
      <c r="C76" t="str">
        <f>IFERROR(__xludf.DUMMYFUNCTION("""COMPUTED_VALUE"""),"1NuKdFiqCo2nzr6TUap0D2JZ2tFl3idlS8OadDR3jAoA")</f>
        <v>1NuKdFiqCo2nzr6TUap0D2JZ2tFl3idlS8OadDR3jAoA</v>
      </c>
    </row>
    <row r="77" ht="15.75" customHeight="1">
      <c r="A77" t="str">
        <f>IFERROR(__xludf.DUMMYFUNCTION("""COMPUTED_VALUE"""),"Admin")</f>
        <v>Admin</v>
      </c>
      <c r="B77" t="str">
        <f>IFERROR(__xludf.DUMMYFUNCTION("""COMPUTED_VALUE"""),"SetTTUIPreferences")</f>
        <v>SetTTUIPreferences</v>
      </c>
      <c r="C77" t="str">
        <f>IFERROR(__xludf.DUMMYFUNCTION("""COMPUTED_VALUE"""),"1gDmo_2KemfqbOwUv5B7uMrGycNq8KZk_nAt9ZH3GqFc")</f>
        <v>1gDmo_2KemfqbOwUv5B7uMrGycNq8KZk_nAt9ZH3GqFc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IFERROR(__xludf.DUMMYFUNCTION("""COMPUTED_VALUE"""),"TTPermissionLevel")</f>
        <v>TTPermissionLevel</v>
      </c>
      <c r="C78" t="str">
        <f>IFERROR(__xludf.DUMMYFUNCTION("""COMPUTED_VALUE"""),"1Wlib1X9xwZWLV6LdliEcdluK6uREPBsHMLu5IpRcpNU")</f>
        <v>1Wlib1X9xwZWLV6LdliEcdluK6uREPBsHMLu5IpRcpNU</v>
      </c>
    </row>
    <row r="79" ht="15.75" customHeight="1">
      <c r="A79" t="str">
        <f>IFERROR(__xludf.DUMMYFUNCTION("""COMPUTED_VALUE"""),"TradingTicket")</f>
        <v>TradingTicket</v>
      </c>
      <c r="B79" t="str">
        <f>IFERROR(__xludf.DUMMYFUNCTION("""COMPUTED_VALUE"""),"ValidateSymbolTT")</f>
        <v>ValidateSymbolTT</v>
      </c>
      <c r="C79" t="str">
        <f>IFERROR(__xludf.DUMMYFUNCTION("""COMPUTED_VALUE"""),"1qKU4yNOCU3BJyg8bfwbgEKR_FyiCXmF0ZgLSrokFASY")</f>
        <v>1qKU4yNOCU3BJyg8bfwbgEKR_FyiCXmF0ZgLSrokFASY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IFERROR(__xludf.DUMMYFUNCTION("""COMPUTED_VALUE"""),"VerifyDataTT")</f>
        <v>VerifyDataTT</v>
      </c>
      <c r="C80" t="str">
        <f>IFERROR(__xludf.DUMMYFUNCTION("""COMPUTED_VALUE"""),"undefined")</f>
        <v>undefined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IFERROR(__xludf.DUMMYFUNCTION("""COMPUTED_VALUE"""),"SetUIPreferencesTT")</f>
        <v>SetUIPreferencesTT</v>
      </c>
      <c r="C81" t="str">
        <f>IFERROR(__xludf.DUMMYFUNCTION("""COMPUTED_VALUE"""),"15PfVFcRxvxjCBZUN8HsjX4ev7xsG4SuA5Qr4_S-nChE")</f>
        <v>15PfVFcRxvxjCBZUN8HsjX4ev7xsG4SuA5Qr4_S-nChE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IFERROR(__xludf.DUMMYFUNCTION("""COMPUTED_VALUE"""),"SetBrokerWisePreferencesTT")</f>
        <v>SetBrokerWisePreferencesTT</v>
      </c>
      <c r="C82" t="str">
        <f>IFERROR(__xludf.DUMMYFUNCTION("""COMPUTED_VALUE"""),"1NJR9Eau1YPKGjqptQlj-xOtU0oQWuvCcy7rkAGtHcZA")</f>
        <v>1NJR9Eau1YPKGjqptQlj-xOtU0oQWuvCcy7rkAGtHcZA</v>
      </c>
    </row>
    <row r="83" ht="15.75" customHeight="1">
      <c r="A83" t="str">
        <f>IFERROR(__xludf.DUMMYFUNCTION("""COMPUTED_VALUE"""),"Blotter")</f>
        <v>Blotter</v>
      </c>
      <c r="B83" t="str">
        <f>IFERROR(__xludf.DUMMYFUNCTION("""COMPUTED_VALUE"""),"BlotterFunctionalities")</f>
        <v>BlotterFunctionalities</v>
      </c>
      <c r="C83" t="str">
        <f>IFERROR(__xludf.DUMMYFUNCTION("""COMPUTED_VALUE"""),"1RevbrhSlj1b6tvF2zO-7JRLXGmCZ8Amkw_CKqIoz_f4")</f>
        <v>1RevbrhSlj1b6tvF2zO-7JRLXGmCZ8Amkw_CKqIoz_f4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IFERROR(__xludf.DUMMYFUNCTION("""COMPUTED_VALUE"""),"TradeNewSub")</f>
        <v>TradeNewSub</v>
      </c>
      <c r="C84" t="str">
        <f>IFERROR(__xludf.DUMMYFUNCTION("""COMPUTED_VALUE"""),"1MSOnvrmTBiNZezoksqc-GDtZpuomkT2J8b0SHsautEA")</f>
        <v>1MSOnvrmTBiNZezoksqc-GDtZpuomkT2J8b0SHsautEA</v>
      </c>
    </row>
    <row r="85" ht="15.75" customHeight="1">
      <c r="A85" t="str">
        <f>IFERROR(__xludf.DUMMYFUNCTION("""COMPUTED_VALUE"""),"GeneralLedger")</f>
        <v>GeneralLedger</v>
      </c>
      <c r="B85" t="str">
        <f>IFERROR(__xludf.DUMMYFUNCTION("""COMPUTED_VALUE"""),"GetTradingTransaction")</f>
        <v>GetTradingTransaction</v>
      </c>
      <c r="C85" t="str">
        <f>IFERROR(__xludf.DUMMYFUNCTION("""COMPUTED_VALUE"""),"109Go2V2YwfSKfHYvonDAK1uj_VR1VOufaT_bCzMIvzo")</f>
        <v>109Go2V2YwfSKfHYvonDAK1uj_VR1VOufaT_bCzMIvzo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IFERROR(__xludf.DUMMYFUNCTION("""COMPUTED_VALUE"""),"GetActivityData")</f>
        <v>GetActivityData</v>
      </c>
      <c r="C86" t="str">
        <f>IFERROR(__xludf.DUMMYFUNCTION("""COMPUTED_VALUE"""),"1Ln-U03mETPrqNnkYuxQ6h11p3QV_Z1JnLi1E4j-w3NA")</f>
        <v>1Ln-U03mETPrqNnkYuxQ6h11p3QV_Z1JnLi1E4j-w3NA</v>
      </c>
    </row>
    <row r="87" ht="15.75" customHeight="1">
      <c r="A87" t="str">
        <f>IFERROR(__xludf.DUMMYFUNCTION("""COMPUTED_VALUE"""),"Allocation")</f>
        <v>Allocation</v>
      </c>
      <c r="B87" t="str">
        <f>IFERROR(__xludf.DUMMYFUNCTION("""COMPUTED_VALUE"""),"SetAccountValueCalculatedPref")</f>
        <v>SetAccountValueCalculatedPref</v>
      </c>
      <c r="C87" t="str">
        <f>IFERROR(__xludf.DUMMYFUNCTION("""COMPUTED_VALUE"""),"1XKiYhfC16nqn0tutfxlX4Z1y5h_i5-gFnMM1Bf2O5tQ")</f>
        <v>1XKiYhfC16nqn0tutfxlX4Z1y5h_i5-gFnMM1Bf2O5tQ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IFERROR(__xludf.DUMMYFUNCTION("""COMPUTED_VALUE"""),"TradeAttributeBulkChangeGroups")</f>
        <v>TradeAttributeBulkChangeGroups</v>
      </c>
      <c r="C88" t="str">
        <f>IFERROR(__xludf.DUMMYFUNCTION("""COMPUTED_VALUE"""),"1rGT3yXke_M8OcDUPaTifbDDANsxMS_IVwXClwqyIWkk")</f>
        <v>1rGT3yXke_M8OcDUPaTifbDDANsxMS_IVwXClwqyIWkk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IFERROR(__xludf.DUMMYFUNCTION("""COMPUTED_VALUE"""),"TradeAttributeBulkChangeTaxlots")</f>
        <v>TradeAttributeBulkChangeTaxlots</v>
      </c>
      <c r="C89" t="str">
        <f>IFERROR(__xludf.DUMMYFUNCTION("""COMPUTED_VALUE"""),"1aUOpv7tAA0Tsw-vGOZVTd6Huv3VM_XnIj2_z2iXivNw")</f>
        <v>1aUOpv7tAA0Tsw-vGOZVTd6Huv3VM_XnIj2_z2iXivNw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IFERROR(__xludf.DUMMYFUNCTION("""COMPUTED_VALUE"""),"AddCalculatedPreferenceToolbar")</f>
        <v>AddCalculatedPreferenceToolbar</v>
      </c>
      <c r="C90" t="str">
        <f>IFERROR(__xludf.DUMMYFUNCTION("""COMPUTED_VALUE"""),"18EbIbeJ3rxi7HxmLURD_Cvf8ojc3lGGfTxVrpwYiWl0")</f>
        <v>18EbIbeJ3rxi7HxmLURD_Cvf8ojc3lGGfTxVrpwYiWl0</v>
      </c>
    </row>
    <row r="91" ht="15.75" customHeight="1">
      <c r="A91" t="str">
        <f>IFERROR(__xludf.DUMMYFUNCTION("""COMPUTED_VALUE"""),"GeneralLedger")</f>
        <v>GeneralLedger</v>
      </c>
      <c r="B91" t="str">
        <f>IFERROR(__xludf.DUMMYFUNCTION("""COMPUTED_VALUE"""),"GetRevaluationData")</f>
        <v>GetRevaluationData</v>
      </c>
      <c r="C91" t="str">
        <f>IFERROR(__xludf.DUMMYFUNCTION("""COMPUTED_VALUE"""),"1Falj7RLDHYNIdqRp7f6PqgSPQ2YuSu2fiBV79INXS5w")</f>
        <v>1Falj7RLDHYNIdqRp7f6PqgSPQ2YuSu2fiBV79INXS5w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IFERROR(__xludf.DUMMYFUNCTION("""COMPUTED_VALUE"""),"SetStrategyValueCalculatedPref")</f>
        <v>SetStrategyValueCalculatedPref</v>
      </c>
      <c r="C92" t="str">
        <f>IFERROR(__xludf.DUMMYFUNCTION("""COMPUTED_VALUE"""),"1_JOfNQ-ZrOdSeM3rD-_yZHrf2uNlO2rttEJ1uHh18Xc")</f>
        <v>1_JOfNQ-ZrOdSeM3rD-_yZHrf2uNlO2rttEJ1uHh18Xc</v>
      </c>
    </row>
    <row r="93" ht="15.75" customHeight="1">
      <c r="A93" t="str">
        <f>IFERROR(__xludf.DUMMYFUNCTION("""COMPUTED_VALUE"""),"GeneralLedger")</f>
        <v>GeneralLedger</v>
      </c>
      <c r="B93" t="str">
        <f>IFERROR(__xludf.DUMMYFUNCTION("""COMPUTED_VALUE"""),"GetAccountDetails")</f>
        <v>GetAccountDetails</v>
      </c>
      <c r="C93" t="str">
        <f>IFERROR(__xludf.DUMMYFUNCTION("""COMPUTED_VALUE"""),"1x2kiQWm0s39VQr6bQ-OVrzt3FcLQTY2DLkVd69g27u0")</f>
        <v>1x2kiQWm0s39VQr6bQ-OVrzt3FcLQTY2DLkVd69g27u0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IFERROR(__xludf.DUMMYFUNCTION("""COMPUTED_VALUE"""),"ApplyBulkUpdateOnTaxlots")</f>
        <v>ApplyBulkUpdateOnTaxlots</v>
      </c>
      <c r="C94" t="str">
        <f>IFERROR(__xludf.DUMMYFUNCTION("""COMPUTED_VALUE"""),"1lFN67Trddb_gO0N5EMToTpn1Xc1W8qN9I2LPO6sj00c")</f>
        <v>1lFN67Trddb_gO0N5EMToTpn1Xc1W8qN9I2LPO6sj00c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IFERROR(__xludf.DUMMYFUNCTION("""COMPUTED_VALUE"""),"GetNonTradingTransaction")</f>
        <v>GetNonTradingTransaction</v>
      </c>
      <c r="C95" t="str">
        <f>IFERROR(__xludf.DUMMYFUNCTION("""COMPUTED_VALUE"""),"1iBu56wQyfSyw3QYU3BXabV7ZYAC_HtWKcOfyFdtHsbQ")</f>
        <v>1iBu56wQyfSyw3QYU3BXabV7ZYAC_HtWKcOfyFdtHsbQ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IFERROR(__xludf.DUMMYFUNCTION("""COMPUTED_VALUE"""),"CommissionBulkChangeOnGroups")</f>
        <v>CommissionBulkChangeOnGroups</v>
      </c>
      <c r="C96" t="str">
        <f>IFERROR(__xludf.DUMMYFUNCTION("""COMPUTED_VALUE"""),"1LUyDKHoCZOWXqpzm3WjlGPHceDFNX86Y30-jd1ZjMuc")</f>
        <v>1LUyDKHoCZOWXqpzm3WjlGPHceDFNX86Y30-jd1ZjMuc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IFERROR(__xludf.DUMMYFUNCTION("""COMPUTED_VALUE"""),"GetDividendData")</f>
        <v>GetDividendData</v>
      </c>
      <c r="C97" t="str">
        <f>IFERROR(__xludf.DUMMYFUNCTION("""COMPUTED_VALUE"""),"1zrbru5N141eVCqtHIZr12j2foO7MIasWPLZK3i5Q1Vo")</f>
        <v>1zrbru5N141eVCqtHIZr12j2foO7MIasWPLZK3i5Q1Vo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IFERROR(__xludf.DUMMYFUNCTION("""COMPUTED_VALUE"""),"CommissionBulkChangeOnTaxlots")</f>
        <v>CommissionBulkChangeOnTaxlots</v>
      </c>
      <c r="C98" t="str">
        <f>IFERROR(__xludf.DUMMYFUNCTION("""COMPUTED_VALUE"""),"1Sy9_GuITxTVwRhLFyTVa06wA5il658xOrEEqX_satKM")</f>
        <v>1Sy9_GuITxTVwRhLFyTVa06wA5il658xOrEEqX_satKM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IFERROR(__xludf.DUMMYFUNCTION("""COMPUTED_VALUE"""),"VerifyNonTradingTransaction")</f>
        <v>VerifyNonTradingTransaction</v>
      </c>
      <c r="C99" t="str">
        <f>IFERROR(__xludf.DUMMYFUNCTION("""COMPUTED_VALUE"""),"1HmbyBzi3LJNAYcYyEuR5dCc7c2551Lq78DrEgBDWmlQ")</f>
        <v>1HmbyBzi3LJNAYcYyEuR5dCc7c2551Lq78DrEgBDWmlQ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IFERROR(__xludf.DUMMYFUNCTION("""COMPUTED_VALUE"""),"SelectUnallocatedGroup")</f>
        <v>SelectUnallocatedGroup</v>
      </c>
      <c r="C100" t="str">
        <f>IFERROR(__xludf.DUMMYFUNCTION("""COMPUTED_VALUE"""),"1qZ0PLkGqvsAvGy_byCEHcoZ5j19-2TqZ7lUj_ZMWp2Y")</f>
        <v>1qZ0PLkGqvsAvGy_byCEHcoZ5j19-2TqZ7lUj_ZMWp2Y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IFERROR(__xludf.DUMMYFUNCTION("""COMPUTED_VALUE"""),"VerifyDividend")</f>
        <v>VerifyDividend</v>
      </c>
      <c r="C101" t="str">
        <f>IFERROR(__xludf.DUMMYFUNCTION("""COMPUTED_VALUE"""),"183aFv-FjM5kO1GZzBKJEnefZpvKTD2al_8jxj57A74I")</f>
        <v>183aFv-FjM5kO1GZzBKJEnefZpvKTD2al_8jxj57A74I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IFERROR(__xludf.DUMMYFUNCTION("""COMPUTED_VALUE"""),"EnterAccountValuesToAllocate")</f>
        <v>EnterAccountValuesToAllocate</v>
      </c>
      <c r="C102" t="str">
        <f>IFERROR(__xludf.DUMMYFUNCTION("""COMPUTED_VALUE"""),"1zvUXhUtasv68F_5jqPPfi5PZjybFsZtVFeNt7Wcbak0")</f>
        <v>1zvUXhUtasv68F_5jqPPfi5PZjybFsZtVFeNt7Wcbak0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IFERROR(__xludf.DUMMYFUNCTION("""COMPUTED_VALUE"""),"GetOpeningBalanceData")</f>
        <v>GetOpeningBalanceData</v>
      </c>
      <c r="C103" t="str">
        <f>IFERROR(__xludf.DUMMYFUNCTION("""COMPUTED_VALUE"""),"13JxrHcuIEL34cY8bWhcwkysiatDmxBrbggzvueoDRpA")</f>
        <v>13JxrHcuIEL34cY8bWhcwkysiatDmxBrbggzvueoDRpA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IFERROR(__xludf.DUMMYFUNCTION("""COMPUTED_VALUE"""),"EnterAllocatePreference")</f>
        <v>EnterAllocatePreference</v>
      </c>
      <c r="C104" t="str">
        <f>IFERROR(__xludf.DUMMYFUNCTION("""COMPUTED_VALUE"""),"1ueJPlmKs0VCty9rqy3bof7OwkTE6pIF5M06JcL_bc-8")</f>
        <v>1ueJPlmKs0VCty9rqy3bof7OwkTE6pIF5M06JcL_bc-8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IFERROR(__xludf.DUMMYFUNCTION("""COMPUTED_VALUE"""),"GetAccountBalance")</f>
        <v>GetAccountBalance</v>
      </c>
      <c r="C105" t="str">
        <f>IFERROR(__xludf.DUMMYFUNCTION("""COMPUTED_VALUE"""),"1yuc7DZkXEgHVIHU4UmYY87IPbtWqR3MjoIMrjfrGfas")</f>
        <v>1yuc7DZkXEgHVIHU4UmYY87IPbtWqR3MjoIMrjfrGfas</v>
      </c>
    </row>
    <row r="106" ht="15.75" customHeight="1">
      <c r="A106" t="str">
        <f>IFERROR(__xludf.DUMMYFUNCTION("""COMPUTED_VALUE"""),"Expnl")</f>
        <v>Expnl</v>
      </c>
      <c r="B106" t="str">
        <f>IFERROR(__xludf.DUMMYFUNCTION("""COMPUTED_VALUE"""),"RestartExpnl")</f>
        <v>RestartExpnl</v>
      </c>
      <c r="C106" t="str">
        <f>IFERROR(__xludf.DUMMYFUNCTION("""COMPUTED_VALUE"""),"19BOmuUEhcyH_577PjpNKNdTn_MisNEkIkn9rDB9B_WM")</f>
        <v>19BOmuUEhcyH_577PjpNKNdTn_MisNEkIkn9rDB9B_WM</v>
      </c>
    </row>
    <row r="107" ht="15.75" customHeight="1">
      <c r="A107" t="str">
        <f>IFERROR(__xludf.DUMMYFUNCTION("""COMPUTED_VALUE"""),"PortfolioManagement")</f>
        <v>PortfolioManagement</v>
      </c>
      <c r="B107" t="str">
        <f>IFERROR(__xludf.DUMMYFUNCTION("""COMPUTED_VALUE"""),"ClosePM")</f>
        <v>ClosePM</v>
      </c>
      <c r="C107" t="str">
        <f>IFERROR(__xludf.DUMMYFUNCTION("""COMPUTED_VALUE"""),"undefined")</f>
        <v>undefined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IFERROR(__xludf.DUMMYFUNCTION("""COMPUTED_VALUE"""),"EnterStrategyValuesToAllocate")</f>
        <v>EnterStrategyValuesToAllocate</v>
      </c>
      <c r="C108" t="str">
        <f>IFERROR(__xludf.DUMMYFUNCTION("""COMPUTED_VALUE"""),"1rYld2OwIVg_rNpqCSkF4qBjswgUc0VyMTMBp_Fby-BQ")</f>
        <v>1rYld2OwIVg_rNpqCSkF4qBjswgUc0VyMTMBp_Fby-BQ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IFERROR(__xludf.DUMMYFUNCTION("""COMPUTED_VALUE"""),"SelectNonTradingTransaction")</f>
        <v>SelectNonTradingTransaction</v>
      </c>
      <c r="C109" t="str">
        <f>IFERROR(__xludf.DUMMYFUNCTION("""COMPUTED_VALUE"""),"156kazERWxtkEF970K6P2WK7faWBTZ-C0sOqejHpzIx4")</f>
        <v>156kazERWxtkEF970K6P2WK7faWBTZ-C0sOqejHpzIx4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IFERROR(__xludf.DUMMYFUNCTION("""COMPUTED_VALUE"""),"SelectNonTradingTranItem")</f>
        <v>SelectNonTradingTranItem</v>
      </c>
      <c r="C110" t="str">
        <f>IFERROR(__xludf.DUMMYFUNCTION("""COMPUTED_VALUE"""),"1iEACuwmKMC6ArJAAAaSMwW0omralf4T3B9CCBWEN4rI")</f>
        <v>1iEACuwmKMC6ArJAAAaSMwW0omralf4T3B9CCBWEN4rI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IFERROR(__xludf.DUMMYFUNCTION("""COMPUTED_VALUE"""),"CopyCalculatedPreferenceToolbar")</f>
        <v>CopyCalculatedPreferenceToolbar</v>
      </c>
      <c r="C111" t="str">
        <f>IFERROR(__xludf.DUMMYFUNCTION("""COMPUTED_VALUE"""),"1wykeQebkUjjXVgIljYXtFNMq64V4Q7hecCH_Nwn9t-8")</f>
        <v>1wykeQebkUjjXVgIljYXtFNMq64V4Q7hecCH_Nwn9t-8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IFERROR(__xludf.DUMMYFUNCTION("""COMPUTED_VALUE"""),"SetGeneralRuleCalculatedPref")</f>
        <v>SetGeneralRuleCalculatedPref</v>
      </c>
      <c r="C112" t="str">
        <f>IFERROR(__xludf.DUMMYFUNCTION("""COMPUTED_VALUE"""),"1kSDMTHsH0NdwDZXP8SX7lbTFzx3hjjjUfAhRUG8vOtM")</f>
        <v>1kSDMTHsH0NdwDZXP8SX7lbTFzx3hjjjUfAhRUG8vOtM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IFERROR(__xludf.DUMMYFUNCTION("""COMPUTED_VALUE"""),"DeleteNonTradingTransaction")</f>
        <v>DeleteNonTradingTransaction</v>
      </c>
      <c r="C113" t="str">
        <f>IFERROR(__xludf.DUMMYFUNCTION("""COMPUTED_VALUE"""),"19ZFvXx_RoHoOsSB6TeydqIKZBiC2XS1c5e_oEpNdp1c")</f>
        <v>19ZFvXx_RoHoOsSB6TeydqIKZBiC2XS1c5e_oEpNdp1c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IFERROR(__xludf.DUMMYFUNCTION("""COMPUTED_VALUE"""),"DeleteNonTradingTranItem")</f>
        <v>DeleteNonTradingTranItem</v>
      </c>
      <c r="C114" t="str">
        <f>IFERROR(__xludf.DUMMYFUNCTION("""COMPUTED_VALUE"""),"1bImpGl2YZz3w_D5Fl_EkwuQUAufBZpjwndJVqWd_JNs")</f>
        <v>1bImpGl2YZz3w_D5Fl_EkwuQUAufBZpjwndJVqWd_JNs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IFERROR(__xludf.DUMMYFUNCTION("""COMPUTED_VALUE"""),"ExportAllCalculatedPreferences")</f>
        <v>ExportAllCalculatedPreferences</v>
      </c>
      <c r="C115" t="str">
        <f>IFERROR(__xludf.DUMMYFUNCTION("""COMPUTED_VALUE"""),"1akCKlMIVAD1ZKQkcud9brqjjb1oKR18AWsFwWat-RD4")</f>
        <v>1akCKlMIVAD1ZKQkcud9brqjjb1oKR18AWsFwWat-RD4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IFERROR(__xludf.DUMMYFUNCTION("""COMPUTED_VALUE"""),"AddNonTradingTransaction")</f>
        <v>AddNonTradingTransaction</v>
      </c>
      <c r="C116" t="str">
        <f>IFERROR(__xludf.DUMMYFUNCTION("""COMPUTED_VALUE"""),"1651Q6t8B_K2B_3NiVnMG8yw2HgQ1FHfSIxFGnGFWArM")</f>
        <v>1651Q6t8B_K2B_3NiVnMG8yw2HgQ1FHfSIxFGnGFWArM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IFERROR(__xludf.DUMMYFUNCTION("""COMPUTED_VALUE"""),"AddNonTradingTranItem")</f>
        <v>AddNonTradingTranItem</v>
      </c>
      <c r="C117" t="str">
        <f>IFERROR(__xludf.DUMMYFUNCTION("""COMPUTED_VALUE"""),"1uXPSsuhLCXvRYEK8X7lvRfV-oeKYWAM5Q5YKhAktY1k")</f>
        <v>1uXPSsuhLCXvRYEK8X7lvRfV-oeKYWAM5Q5YKhAktY1k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IFERROR(__xludf.DUMMYFUNCTION("""COMPUTED_VALUE"""),"SaveCalculatedPreferences")</f>
        <v>SaveCalculatedPreferences</v>
      </c>
      <c r="C118" t="str">
        <f>IFERROR(__xludf.DUMMYFUNCTION("""COMPUTED_VALUE"""),"udefined")</f>
        <v>udefined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IFERROR(__xludf.DUMMYFUNCTION("""COMPUTED_VALUE"""),"VerifyOpeningBalanceData")</f>
        <v>VerifyOpeningBalanceData</v>
      </c>
      <c r="C119" t="str">
        <f>IFERROR(__xludf.DUMMYFUNCTION("""COMPUTED_VALUE"""),"1I1BEPw4MXvOJiKqrL7gZCYickKmcFPcTWcI3aTuykAM")</f>
        <v>1I1BEPw4MXvOJiKqrL7gZCYickKmcFPcTWcI3aTuykAM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IFERROR(__xludf.DUMMYFUNCTION("""COMPUTED_VALUE"""),"SelectOpeningBalanceTransaction")</f>
        <v>SelectOpeningBalanceTransaction</v>
      </c>
      <c r="C120" t="str">
        <f>IFERROR(__xludf.DUMMYFUNCTION("""COMPUTED_VALUE"""),"1-8gtRm7KdwXxY17qAqiHpJVHZ2RNImft-xqX_LrF1dc")</f>
        <v>1-8gtRm7KdwXxY17qAqiHpJVHZ2RNImft-xqX_LrF1dc</v>
      </c>
    </row>
    <row r="121" ht="15.75" customHeight="1">
      <c r="A121" t="str">
        <f>IFERROR(__xludf.DUMMYFUNCTION("""COMPUTED_VALUE"""),"TradingTicket")</f>
        <v>TradingTicket</v>
      </c>
      <c r="B121" t="str">
        <f>IFERROR(__xludf.DUMMYFUNCTION("""COMPUTED_VALUE"""),"CreateStageOrder ")</f>
        <v>CreateStageOrder </v>
      </c>
      <c r="C121" t="str">
        <f>IFERROR(__xludf.DUMMYFUNCTION("""COMPUTED_VALUE"""),"19pPwXNzv9n5s3VxqHrFkTa5-sTx9CsDdmcEpXBg_h-E")</f>
        <v>19pPwXNzv9n5s3VxqHrFkTa5-sTx9CsDdmcEpXBg_h-E</v>
      </c>
    </row>
    <row r="122" ht="15.75" customHeight="1">
      <c r="A122" t="str">
        <f>IFERROR(__xludf.DUMMYFUNCTION("""COMPUTED_VALUE"""),"Blotter")</f>
        <v>Blotter</v>
      </c>
      <c r="B122" t="str">
        <f>IFERROR(__xludf.DUMMYFUNCTION("""COMPUTED_VALUE"""),"TransferToUserWorkingSubs")</f>
        <v>TransferToUserWorkingSubs</v>
      </c>
      <c r="C122" t="str">
        <f>IFERROR(__xludf.DUMMYFUNCTION("""COMPUTED_VALUE"""),"1CUK_ZAXi6kJC96I3_00exdznJ4Oeo2U-xkOPfNnEZ8M")</f>
        <v>1CUK_ZAXi6kJC96I3_00exdznJ4Oeo2U-xkOPfNnEZ8M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IFERROR(__xludf.DUMMYFUNCTION("""COMPUTED_VALUE"""),"CancelWorkingSubs")</f>
        <v>CancelWorkingSubs</v>
      </c>
      <c r="C123" t="str">
        <f>IFERROR(__xludf.DUMMYFUNCTION("""COMPUTED_VALUE"""),"1Fh4UjwxY8P8SUCZ4If7xTCvJ-n5eluHKowOpmnufius")</f>
        <v>1Fh4UjwxY8P8SUCZ4If7xTCvJ-n5eluHKowOpmnufius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IFERROR(__xludf.DUMMYFUNCTION("""COMPUTED_VALUE"""),"ReplaceWorkingSubs")</f>
        <v>ReplaceWorkingSubs</v>
      </c>
      <c r="C124" t="str">
        <f>IFERROR(__xludf.DUMMYFUNCTION("""COMPUTED_VALUE"""),"19CQJlgjKT5Lwtf6Dbm862WLoOU4cUuDcsuWNOK_3KM0")</f>
        <v>19CQJlgjKT5Lwtf6Dbm862WLoOU4cUuDcsuWNOK_3KM0</v>
      </c>
    </row>
    <row r="125" ht="15.75" customHeight="1">
      <c r="A125" t="str">
        <f>IFERROR(__xludf.DUMMYFUNCTION("""COMPUTED_VALUE"""),"Expnl")</f>
        <v>Expnl</v>
      </c>
      <c r="B125" t="str">
        <f>IFERROR(__xludf.DUMMYFUNCTION("""COMPUTED_VALUE"""),"UpdateExpnlConfig")</f>
        <v>UpdateExpnlConfig</v>
      </c>
      <c r="C125" t="str">
        <f>IFERROR(__xludf.DUMMYFUNCTION("""COMPUTED_VALUE"""),"1ALtyniAAP6ahYROdYlvK0FprtGuU8NbeHdecFNpHnow")</f>
        <v>1ALtyniAAP6ahYROdYlvK0FprtGuU8NbeHdecFNpHnow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IFERROR(__xludf.DUMMYFUNCTION("""COMPUTED_VALUE"""),"1hhoDSGwPzwNc_Ry_yrM3PRgBE8omobwG-cC28I4a8E4")</f>
        <v>1hhoDSGwPzwNc_Ry_yrM3PRgBE8omobwG-cC28I4a8E4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IFERROR(__xludf.DUMMYFUNCTION("""COMPUTED_VALUE"""),"1WzMWGdAjFGlmoqlWMu9CkwyjPz5rsP4p9iM2TrdSYAg")</f>
        <v>1WzMWGdAjFGlmoqlWMu9CkwyjPz5rsP4p9iM2TrdSYAg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IFERROR(__xludf.DUMMYFUNCTION("""COMPUTED_VALUE"""),"162Te7eWeyaqrl5jT2DPhynk193PZ4hkFEO4DJKzrLfY")</f>
        <v>162Te7eWeyaqrl5jT2DPhynk193PZ4hkFEO4DJKzrLfY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IFERROR(__xludf.DUMMYFUNCTION("""COMPUTED_VALUE"""),"146-eh2wv-YJ49kR7Vy_mnqUYnl9sBIflrTQV86OVEs4")</f>
        <v>146-eh2wv-YJ49kR7Vy_mnqUYnl9sBIflrTQV86OVEs4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IFERROR(__xludf.DUMMYFUNCTION("""COMPUTED_VALUE"""),"1mMQYKI9Rq6DghoV4QOgsQKOk1BLLKkoJGiMO3Pw1Btg")</f>
        <v>1mMQYKI9Rq6DghoV4QOgsQKOk1BLLKkoJGiMO3Pw1Btg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IFERROR(__xludf.DUMMYFUNCTION("""COMPUTED_VALUE"""),"1F034atMzxswvWV7pPfWfg9ZIq9rYRAjVEefWj9gTyQ0")</f>
        <v>1F034atMzxswvWV7pPfWfg9ZIq9rYRAjVEefWj9gTyQ0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IFERROR(__xludf.DUMMYFUNCTION("""COMPUTED_VALUE"""),"1PeaZgjNk8-BscnMVhu7EP0Uzyt8QTKcKu7GDaccohos")</f>
        <v>1PeaZgjNk8-BscnMVhu7EP0Uzyt8QTKcKu7GDaccohos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IFERROR(__xludf.DUMMYFUNCTION("""COMPUTED_VALUE"""),"1OH-wAFF1VTun24XmawHlbGMs8NMsZ4gsFJ8tDgp1nf0")</f>
        <v>1OH-wAFF1VTun24XmawHlbGMs8NMsZ4gsFJ8tDgp1nf0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IFERROR(__xludf.DUMMYFUNCTION("""COMPUTED_VALUE"""),"1G8HIOu40_hEJG25rfuFgS_G3uI_qoZIqaByaKZkVX_8")</f>
        <v>1G8HIOu40_hEJG25rfuFgS_G3uI_qoZIqaByaKZkVX_8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IFERROR(__xludf.DUMMYFUNCTION("""COMPUTED_VALUE"""),"1XLfQF5jY1GeCeWu1dE9N6E-lCCAKF16dNYVxt4k-9SQ")</f>
        <v>1XLfQF5jY1GeCeWu1dE9N6E-lCCAKF16dNYVxt4k-9SQ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IFERROR(__xludf.DUMMYFUNCTION("""COMPUTED_VALUE"""),"1gT2hqZeR3HgAGbNHrjwN8GmMPivOMw3R0wwaTW-99qE")</f>
        <v>1gT2hqZeR3HgAGbNHrjwN8GmMPivOMw3R0wwaTW-99qE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IFERROR(__xludf.DUMMYFUNCTION("""COMPUTED_VALUE"""),"1DIHr63KqB-VKKsxO2wiLpMaw8FAcbACS3u1E1Ucz8xg")</f>
        <v>1DIHr63KqB-VKKsxO2wiLpMaw8FAcbACS3u1E1Ucz8xg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IFERROR(__xludf.DUMMYFUNCTION("""COMPUTED_VALUE"""),"12aieBZMCqRWerKf-xThc6PG3oj2Rm2oAyptjWtEwUgs")</f>
        <v>12aieBZMCqRWerKf-xThc6PG3oj2Rm2oAyptjWtEwUgs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IFERROR(__xludf.DUMMYFUNCTION("""COMPUTED_VALUE"""),"1PujhuHm_Ni9-h5rvdjQ0PChoeQgEf8ApNJCHwrLFWyo")</f>
        <v>1PujhuHm_Ni9-h5rvdjQ0PChoeQgEf8ApNJCHwrLFWyo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IFERROR(__xludf.DUMMYFUNCTION("""COMPUTED_VALUE"""),"1LCM4yYwJP8UcMl_W1k3gqYt4JkfaRT3lrxr1JZGE0dM")</f>
        <v>1LCM4yYwJP8UcMl_W1k3gqYt4JkfaRT3lrxr1JZGE0dM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IFERROR(__xludf.DUMMYFUNCTION("""COMPUTED_VALUE"""),"1RWF2vERO_DfivxtOLg-qwAs6YxUWhjTevj3Q2ApUh5U")</f>
        <v>1RWF2vERO_DfivxtOLg-qwAs6YxUWhjTevj3Q2ApUh5U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IFERROR(__xludf.DUMMYFUNCTION("""COMPUTED_VALUE"""),"1ttF9_OgGg0I0s5BgdggXAjal4yM9TMHLF5f7X_OjoEQ")</f>
        <v>1ttF9_OgGg0I0s5BgdggXAjal4yM9TMHLF5f7X_OjoEQ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IFERROR(__xludf.DUMMYFUNCTION("""COMPUTED_VALUE"""),"16ipwj8pbJt24RtrNN8bsR1AZllKtUVKCGm7OpBdellA")</f>
        <v>16ipwj8pbJt24RtrNN8bsR1AZllKtUVKCGm7OpBdellA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IFERROR(__xludf.DUMMYFUNCTION("""COMPUTED_VALUE"""),"1REdqPHZcn4KjjichOPdYyfZ9PNOGx-yj5JIu39q3F0M")</f>
        <v>1REdqPHZcn4KjjichOPdYyfZ9PNOGx-yj5JIu39q3F0M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IFERROR(__xludf.DUMMYFUNCTION("""COMPUTED_VALUE"""),"10sXWgGgwNLwtfX1Izn43lW5IWP07nYKkOgaq4wnul1o")</f>
        <v>10sXWgGgwNLwtfX1Izn43lW5IWP07nYKkOgaq4wnul1o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IFERROR(__xludf.DUMMYFUNCTION("""COMPUTED_VALUE"""),"1C1s1dZvfkap4gEVdqoyWEefNpGlTxSjB80YjX3dhMEY")</f>
        <v>1C1s1dZvfkap4gEVdqoyWEefNpGlTxSjB80YjX3dhMEY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IFERROR(__xludf.DUMMYFUNCTION("""COMPUTED_VALUE"""),"1OPvnSFT_UcRWLGqoiNFpgkKfrE_GpmFrGf5oa5NFQbI")</f>
        <v>1OPvnSFT_UcRWLGqoiNFpgkKfrE_GpmFrGf5oa5NFQbI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IFERROR(__xludf.DUMMYFUNCTION("""COMPUTED_VALUE"""),"1qnQIRYilqvNrQbduql5shmM4EKluNEJzN-F5EGvjhzc")</f>
        <v>1qnQIRYilqvNrQbduql5shmM4EKluNEJzN-F5EGvjhzc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IFERROR(__xludf.DUMMYFUNCTION("""COMPUTED_VALUE"""),"1xRsjH1dcas95tYR5xbXxJWOuz4qSQltdNVA7-kAD9_U")</f>
        <v>1xRsjH1dcas95tYR5xbXxJWOuz4qSQltdNVA7-kAD9_U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IFERROR(__xludf.DUMMYFUNCTION("""COMPUTED_VALUE"""),"1dtaca-dYNMx68u2lPJtT-3SViaJ76nx1xP860PAe9O0")</f>
        <v>1dtaca-dYNMx68u2lPJtT-3SViaJ76nx1xP860PAe9O0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IFERROR(__xludf.DUMMYFUNCTION("""COMPUTED_VALUE"""),"1LqTlqz6ZfT46HKwdIZ9c8a7aoq67zGcpdX6bfGQABC8")</f>
        <v>1LqTlqz6ZfT46HKwdIZ9c8a7aoq67zGcpdX6bfGQABC8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IFERROR(__xludf.DUMMYFUNCTION("""COMPUTED_VALUE"""),"17NCXtORBQGdjGYNhahTMN3GSh7mEEiivMzuhqXyJikc")</f>
        <v>17NCXtORBQGdjGYNhahTMN3GSh7mEEiivMzuhqXyJikc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IFERROR(__xludf.DUMMYFUNCTION("""COMPUTED_VALUE"""),"1aymZC-yz-Pr8sJFx-ScFtHoADtIbKIjEJUYy_cNJvT8")</f>
        <v>1aymZC-yz-Pr8sJFx-ScFtHoADtIbKIjEJUYy_cNJvT8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IFERROR(__xludf.DUMMYFUNCTION("""COMPUTED_VALUE"""),"1xZZW2LMilqZbN_SkzEV1JqOH-IFtsJukrfBTBGYTcF4")</f>
        <v>1xZZW2LMilqZbN_SkzEV1JqOH-IFtsJukrfBTBGYTcF4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IFERROR(__xludf.DUMMYFUNCTION("""COMPUTED_VALUE"""),"1VU_8LrBFmn3xYuy2dig4kP2zAm2ach8NXEt3fHHR9UY")</f>
        <v>1VU_8LrBFmn3xYuy2dig4kP2zAm2ach8NXEt3fHHR9UY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IFERROR(__xludf.DUMMYFUNCTION("""COMPUTED_VALUE"""),"1p1Ooj_bnGAhvfN4FINxkIOeO3DupwY8P6ELvUAHEriE")</f>
        <v>1p1Ooj_bnGAhvfN4FINxkIOeO3DupwY8P6ELvUAHEriE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IFERROR(__xludf.DUMMYFUNCTION("""COMPUTED_VALUE"""),"1spreJhh5qxmL8zMnI0JR2xnqRsk3_D2LLfmQUs6czpE")</f>
        <v>1spreJhh5qxmL8zMnI0JR2xnqRsk3_D2LLfmQUs6czpE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IFERROR(__xludf.DUMMYFUNCTION("""COMPUTED_VALUE"""),"1tkOwJ5iAMKkvaeCTlOGhcNpoFYbV8oVuu2VWMSIlHcg")</f>
        <v>1tkOwJ5iAMKkvaeCTlOGhcNpoFYbV8oVuu2VWMSIlHcg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IFERROR(__xludf.DUMMYFUNCTION("""COMPUTED_VALUE"""),"1Y0k7om8CfyJDAVaQny6RJM2FOaczI_9_CeMmKLHXEPs")</f>
        <v>1Y0k7om8CfyJDAVaQny6RJM2FOaczI_9_CeMmKLHXEPs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IFERROR(__xludf.DUMMYFUNCTION("""COMPUTED_VALUE"""),"1Zf1vOB3JXSBJLqOKJFUHHcDurDxRn5wJ-0Dscz38M_0")</f>
        <v>1Zf1vOB3JXSBJLqOKJFUHHcDurDxRn5wJ-0Dscz38M_0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IFERROR(__xludf.DUMMYFUNCTION("""COMPUTED_VALUE"""),"1cE4Njh1GV5ltDh3an8b9LC6j3j2CFoqyxA71Ppa6r6Q")</f>
        <v>1cE4Njh1GV5ltDh3an8b9LC6j3j2CFoqyxA71Ppa6r6Q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IFERROR(__xludf.DUMMYFUNCTION("""COMPUTED_VALUE"""),"1jzfiPUeEshd-5NkNUXsy-7PEcse4TglcSbsrp_Dc8HU")</f>
        <v>1jzfiPUeEshd-5NkNUXsy-7PEcse4TglcSbsrp_Dc8HU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IFERROR(__xludf.DUMMYFUNCTION("""COMPUTED_VALUE"""),"1euE_u3GY1blYYXNf6RKZVwdD8spyRt853jsUlIwTOw0")</f>
        <v>1euE_u3GY1blYYXNf6RKZVwdD8spyRt853jsUlIwTOw0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IFERROR(__xludf.DUMMYFUNCTION("""COMPUTED_VALUE"""),"10xkvvILLWxjyviOPnf_WK9ROWAqVGeSQkCOEpeJmvUg")</f>
        <v>10xkvvILLWxjyviOPnf_WK9ROWAqVGeSQkCOEpeJmvUg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IFERROR(__xludf.DUMMYFUNCTION("""COMPUTED_VALUE"""),"1P5R2FYDlwHaxxt12yp5VDCc9rtTrQYox51Q8B9lAEwE")</f>
        <v>1P5R2FYDlwHaxxt12yp5VDCc9rtTrQYox51Q8B9lAEwE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IFERROR(__xludf.DUMMYFUNCTION("""COMPUTED_VALUE"""),"1dWiU5yiJ45sV3M7GzO2U5fuFeWx4uZYWFc3g69wicCM")</f>
        <v>1dWiU5yiJ45sV3M7GzO2U5fuFeWx4uZYWFc3g69wicCM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IFERROR(__xludf.DUMMYFUNCTION("""COMPUTED_VALUE"""),"10Fv19cOj3bnosZSwoQYrQSqzJX3hkCYv9DMeIiNaNJU")</f>
        <v>10Fv19cOj3bnosZSwoQYrQSqzJX3hkCYv9DMeIiNaNJU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IFERROR(__xludf.DUMMYFUNCTION("""COMPUTED_VALUE"""),"15-OVgVqDG2Em79pxq7YJDAL6-d6MUtFGTzENqQCiVMc")</f>
        <v>15-OVgVqDG2Em79pxq7YJDAL6-d6MUtFGTzENqQCiVMc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IFERROR(__xludf.DUMMYFUNCTION("""COMPUTED_VALUE"""),"1ck3szsOznKcX8uczcNnuD3FUMd9fJohIehaAkka70h8")</f>
        <v>1ck3szsOznKcX8uczcNnuD3FUMd9fJohIehaAkka70h8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IFERROR(__xludf.DUMMYFUNCTION("""COMPUTED_VALUE"""),"1MT54QWk68ppoZlAmPewiWRHmLvfcjAI7PC5aw2W3UVo")</f>
        <v>1MT54QWk68ppoZlAmPewiWRHmLvfcjAI7PC5aw2W3UVo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IFERROR(__xludf.DUMMYFUNCTION("""COMPUTED_VALUE"""),"1Lkr5MAwp3hErcyNYcw1_ShXvs11WPRHNEssVy9zfi_w")</f>
        <v>1Lkr5MAwp3hErcyNYcw1_ShXvs11WPRHNEssVy9zfi_w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IFERROR(__xludf.DUMMYFUNCTION("""COMPUTED_VALUE"""),"1gWsZu6P8fdTeLcSwKqEpKs23oukXfrI2NnDFhQJ5SL8")</f>
        <v>1gWsZu6P8fdTeLcSwKqEpKs23oukXfrI2NnDFhQJ5SL8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IFERROR(__xludf.DUMMYFUNCTION("""COMPUTED_VALUE"""),"1iCsiy6EsAlpJ4AhDasW2XCUMA8sqkhY1YKL6VFO-mik")</f>
        <v>1iCsiy6EsAlpJ4AhDasW2XCUMA8sqkhY1YKL6VFO-mik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IFERROR(__xludf.DUMMYFUNCTION("""COMPUTED_VALUE"""),"1p5zM_6V1jp6W72AjDncDlcjNCGEydWFHE9Q6C7_UNJs")</f>
        <v>1p5zM_6V1jp6W72AjDncDlcjNCGEydWFHE9Q6C7_UNJs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IFERROR(__xludf.DUMMYFUNCTION("""COMPUTED_VALUE"""),"1Fj5RI9KJs9fyvxlJ-x5CLX7Me-Y8JRBPLaKMbkGbJP4")</f>
        <v>1Fj5RI9KJs9fyvxlJ-x5CLX7Me-Y8JRBPLaKMbkGbJP4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IFERROR(__xludf.DUMMYFUNCTION("""COMPUTED_VALUE"""),"1UJAijL5ov_iwtuasZZT7bxW5X_n9tcQvSAdHL9noFr4")</f>
        <v>1UJAijL5ov_iwtuasZZT7bxW5X_n9tcQvSAdHL9noFr4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IFERROR(__xludf.DUMMYFUNCTION("""COMPUTED_VALUE"""),"1n9BXSuRyrVvzLYXquxBPqlqIEEVaTzV-_x_w3e-i5Ls")</f>
        <v>1n9BXSuRyrVvzLYXquxBPqlqIEEVaTzV-_x_w3e-i5Ls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IFERROR(__xludf.DUMMYFUNCTION("""COMPUTED_VALUE"""),"1YeFHGDFK4nbHi9Rs47h9AAx2lalv9HhsD69zV3csGy8")</f>
        <v>1YeFHGDFK4nbHi9Rs47h9AAx2lalv9HhsD69zV3csGy8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IFERROR(__xludf.DUMMYFUNCTION("""COMPUTED_VALUE"""),"1MiGrZTSXutmd7cujyYNd0UqnGibLOPyRrnLMgP4Sr6o")</f>
        <v>1MiGrZTSXutmd7cujyYNd0UqnGibLOPyRrnLMgP4Sr6o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IFERROR(__xludf.DUMMYFUNCTION("""COMPUTED_VALUE"""),"13YvpTYbNmo3NThVihGZE2Kw0PUae2MHq-qjJOu3wxvU")</f>
        <v>13YvpTYbNmo3NThVihGZE2Kw0PUae2MHq-qjJOu3wxvU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IFERROR(__xludf.DUMMYFUNCTION("""COMPUTED_VALUE"""),"1KKxuPcmDmDXhFUPaCFFbPF6RwxycCavtqm7S16KEg5Y")</f>
        <v>1KKxuPcmDmDXhFUPaCFFbPF6RwxycCavtqm7S16KEg5Y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IFERROR(__xludf.DUMMYFUNCTION("""COMPUTED_VALUE"""),"17Zycs069RWng1ieYt4n6O_NZ6ceVd43tU8G9g0-fN8I")</f>
        <v>17Zycs069RWng1ieYt4n6O_NZ6ceVd43tU8G9g0-fN8I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IFERROR(__xludf.DUMMYFUNCTION("""COMPUTED_VALUE"""),"1j0MZKaTBHe2pQDFZ05nHEEGvfvlI52Alywtq5yhH70s")</f>
        <v>1j0MZKaTBHe2pQDFZ05nHEEGvfvlI52Alywtq5yhH70s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IFERROR(__xludf.DUMMYFUNCTION("""COMPUTED_VALUE"""),"1oKO0dtODYJio_gXq_EzmSE6Q2rkYTxWRmQ7IN0CHRa4")</f>
        <v>1oKO0dtODYJio_gXq_EzmSE6Q2rkYTxWRmQ7IN0CHRa4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IFERROR(__xludf.DUMMYFUNCTION("""COMPUTED_VALUE"""),"18W3DK31N2RdU0CYRRdvWw5nNRe3GaSCO0hU0sxw-H4U")</f>
        <v>18W3DK31N2RdU0CYRRdvWw5nNRe3GaSCO0hU0sxw-H4U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IFERROR(__xludf.DUMMYFUNCTION("""COMPUTED_VALUE"""),"175lBA_MAWFmudJaoBeId0gWkm7igxqbkXeb1PtlSDoA")</f>
        <v>175lBA_MAWFmudJaoBeId0gWkm7igxqbkXeb1PtlSDoA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IFERROR(__xludf.DUMMYFUNCTION("""COMPUTED_VALUE"""),"1sQKTr-JDOFjue2JmgR8y8eR2IEjTDxZjM1tRp8rfVZ4")</f>
        <v>1sQKTr-JDOFjue2JmgR8y8eR2IEjTDxZjM1tRp8rfVZ4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IFERROR(__xludf.DUMMYFUNCTION("""COMPUTED_VALUE"""),"18LZI70z0zRkOHzZ-aFNo6pUkePW7ThyhbXRWqCIG-N8")</f>
        <v>18LZI70z0zRkOHzZ-aFNo6pUkePW7ThyhbXRWqCIG-N8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IFERROR(__xludf.DUMMYFUNCTION("""COMPUTED_VALUE"""),"1gQFPTtbtlQbHtL6Y-Dbb7k0ZWw6IOVgkyG0cQHk3P1k")</f>
        <v>1gQFPTtbtlQbHtL6Y-Dbb7k0ZWw6IOVgkyG0cQHk3P1k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IFERROR(__xludf.DUMMYFUNCTION("""COMPUTED_VALUE"""),"1P2ZvDCpcJTPA7yutZIal5f3PGC6e6_xYvPjsIIfGwno")</f>
        <v>1P2ZvDCpcJTPA7yutZIal5f3PGC6e6_xYvPjsIIfGwno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IFERROR(__xludf.DUMMYFUNCTION("""COMPUTED_VALUE"""),"1DVVPwFtUbivhOmLl_-Ke87upmLsIjYCmPCpyqQQL7GE")</f>
        <v>1DVVPwFtUbivhOmLl_-Ke87upmLsIjYCmPCpyqQQL7GE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IFERROR(__xludf.DUMMYFUNCTION("""COMPUTED_VALUE"""),"14uwsyYP_hNAmpjAa9P4MPLYLein3u1E10CkcVdFlJ-s")</f>
        <v>14uwsyYP_hNAmpjAa9P4MPLYLein3u1E10CkcVdFlJ-s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IFERROR(__xludf.DUMMYFUNCTION("""COMPUTED_VALUE"""),"13QtG3gZH45PkqubENv0lSqP68CbF05IB4dM27NtKl3o")</f>
        <v>13QtG3gZH45PkqubENv0lSqP68CbF05IB4dM27NtKl3o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IFERROR(__xludf.DUMMYFUNCTION("""COMPUTED_VALUE"""),"18xh-lBAS89YQ--EIjTatfp-D1Kwq9U4UxJNZyYDZGtc")</f>
        <v>18xh-lBAS89YQ--EIjTatfp-D1Kwq9U4UxJNZyYDZGtc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IFERROR(__xludf.DUMMYFUNCTION("""COMPUTED_VALUE"""),"1U4wXJzuxI444D3KBBkErR3jujPNFIeOXqzTcjs7uFk4")</f>
        <v>1U4wXJzuxI444D3KBBkErR3jujPNFIeOXqzTcjs7uFk4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IFERROR(__xludf.DUMMYFUNCTION("""COMPUTED_VALUE"""),"1EvVjoTD032TySfzJXw9gVNA5t-mn99j3tqeMXnXxoLo")</f>
        <v>1EvVjoTD032TySfzJXw9gVNA5t-mn99j3tqeMXnXxoLo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IFERROR(__xludf.DUMMYFUNCTION("""COMPUTED_VALUE"""),"1uo0qBFSjypCkvQFFO_xyPzzor9bEFiGOx2kCB7eZtc0")</f>
        <v>1uo0qBFSjypCkvQFFO_xyPzzor9bEFiGOx2kCB7eZtc0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IFERROR(__xludf.DUMMYFUNCTION("""COMPUTED_VALUE"""),"15lt-nTUfSNjgvlEflxa4N8HdBSjUq2aSfcorYolBUAs")</f>
        <v>15lt-nTUfSNjgvlEflxa4N8HdBSjUq2aSfcorYolBUAs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IFERROR(__xludf.DUMMYFUNCTION("""COMPUTED_VALUE"""),"1DH8m8i4Qq1FRMeP1xeY5NPN2003TNy7bMleHo7w9vpI")</f>
        <v>1DH8m8i4Qq1FRMeP1xeY5NPN2003TNy7bMleHo7w9vpI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IFERROR(__xludf.DUMMYFUNCTION("""COMPUTED_VALUE"""),"1bYjRsTDybpFVpmrR8hrMTWz443Y9xS0smrogdLmz8jU")</f>
        <v>1bYjRsTDybpFVpmrR8hrMTWz443Y9xS0smrogdLmz8jU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IFERROR(__xludf.DUMMYFUNCTION("""COMPUTED_VALUE"""),"1Aog2FKNXledg-NmWJRe94eWJeWxyZa9CMG3_TwF2hSA")</f>
        <v>1Aog2FKNXledg-NmWJRe94eWJeWxyZa9CMG3_TwF2hSA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IFERROR(__xludf.DUMMYFUNCTION("""COMPUTED_VALUE"""),"1Q75ZXDUBIQ-EYCXJzcayoOZnyEvR7Te7R6YiiBrn4Fw")</f>
        <v>1Q75ZXDUBIQ-EYCXJzcayoOZnyEvR7Te7R6YiiBrn4Fw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IFERROR(__xludf.DUMMYFUNCTION("""COMPUTED_VALUE"""),"17VYB1TUXW6ptwR8v_a2tyrxMyJYSdLT3E20OaTqLis4")</f>
        <v>17VYB1TUXW6ptwR8v_a2tyrxMyJYSdLT3E20OaTqLis4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IFERROR(__xludf.DUMMYFUNCTION("""COMPUTED_VALUE"""),"1zuz4WFM4veTzlIk0hPFaED7NShVVtV3M3H96aH707tk")</f>
        <v>1zuz4WFM4veTzlIk0hPFaED7NShVVtV3M3H96aH707tk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IFERROR(__xludf.DUMMYFUNCTION("""COMPUTED_VALUE"""),"1_GQFckcT00jBYdR7a8rSRFHMJjWiv0KEDGAeJ-jcKKE")</f>
        <v>1_GQFckcT00jBYdR7a8rSRFHMJjWiv0KEDGAeJ-jcKKE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IFERROR(__xludf.DUMMYFUNCTION("""COMPUTED_VALUE"""),"1KXa8gITpSjwlX1JvvOAW0jDfGIy5UnQx3sJN6gJrcBg")</f>
        <v>1KXa8gITpSjwlX1JvvOAW0jDfGIy5UnQx3sJN6gJrcBg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IFERROR(__xludf.DUMMYFUNCTION("""COMPUTED_VALUE"""),"1jB8z3I5yMthH4XtX4HbKhklvniCAeFbyrWTpzZ9XKvc")</f>
        <v>1jB8z3I5yMthH4XtX4HbKhklvniCAeFbyrWTpzZ9XKvc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IFERROR(__xludf.DUMMYFUNCTION("""COMPUTED_VALUE"""),"1fq83kzKCDhFT0Fi9dgsfQKMuNpAc3v4gV1Qbsldz3h8")</f>
        <v>1fq83kzKCDhFT0Fi9dgsfQKMuNpAc3v4gV1Qbsldz3h8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IFERROR(__xludf.DUMMYFUNCTION("""COMPUTED_VALUE"""),"1JYODO_uKPLBSeaxw5rmQVcUuWB2imU7o869smQvOuxU")</f>
        <v>1JYODO_uKPLBSeaxw5rmQVcUuWB2imU7o869smQvOuxU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IFERROR(__xludf.DUMMYFUNCTION("""COMPUTED_VALUE"""),"1weOZeHVOJsLyIZM3dZs2ACjYrRO49tWQkWIQsAU8fTE")</f>
        <v>1weOZeHVOJsLyIZM3dZs2ACjYrRO49tWQkWIQsAU8fTE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IFERROR(__xludf.DUMMYFUNCTION("""COMPUTED_VALUE"""),"1ZESR_kMepfUvTmpE2qynJgfXoxake4l0VcC4pNO8LzA")</f>
        <v>1ZESR_kMepfUvTmpE2qynJgfXoxake4l0VcC4pNO8LzA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IFERROR(__xludf.DUMMYFUNCTION("""COMPUTED_VALUE"""),"1r0PvMKr873S1yfp9cHKySnwrldippMPMVoZdf43rqK8")</f>
        <v>1r0PvMKr873S1yfp9cHKySnwrldippMPMVoZdf43rqK8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IFERROR(__xludf.DUMMYFUNCTION("""COMPUTED_VALUE"""),"1SnAbZP1_-LHY3PpvSSjTJMIbe_8gsQXRLKEyiUygPg4")</f>
        <v>1SnAbZP1_-LHY3PpvSSjTJMIbe_8gsQXRLKEyiUygPg4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IFERROR(__xludf.DUMMYFUNCTION("""COMPUTED_VALUE"""),"1fXCOGRVd7ctz9NiTkQBLLoiX3nSlZKgoic2xkW0v684")</f>
        <v>1fXCOGRVd7ctz9NiTkQBLLoiX3nSlZKgoic2xkW0v684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IFERROR(__xludf.DUMMYFUNCTION("""COMPUTED_VALUE"""),"1V4YXKd8h8921rDajwTrmF9IS6TyYiIfoXghpclUszxk")</f>
        <v>1V4YXKd8h8921rDajwTrmF9IS6TyYiIfoXghpclUszxk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IFERROR(__xludf.DUMMYFUNCTION("""COMPUTED_VALUE"""),"11Fj2b-qpUUOR9FXVXVEd8W6NpSSLN1xH3ue_KLVLUXE")</f>
        <v>11Fj2b-qpUUOR9FXVXVEd8W6NpSSLN1xH3ue_KLVLUXE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IFERROR(__xludf.DUMMYFUNCTION("""COMPUTED_VALUE"""),"1fWFBM-fAcfCHGLGmZ05e7b-33SZ0WHV69e-2UjgnGew")</f>
        <v>1fWFBM-fAcfCHGLGmZ05e7b-33SZ0WHV69e-2UjgnGew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IFERROR(__xludf.DUMMYFUNCTION("""COMPUTED_VALUE"""),"1ukV644mYAZQ5cCmM_xHU1TlCSxw7YhF_op2JRldIO1Y")</f>
        <v>1ukV644mYAZQ5cCmM_xHU1TlCSxw7YhF_op2JRldIO1Y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IFERROR(__xludf.DUMMYFUNCTION("""COMPUTED_VALUE"""),"1ejWWHYHX79GNeqnpEIv1pY3fHEtH3w2SxCklunau7pU")</f>
        <v>1ejWWHYHX79GNeqnpEIv1pY3fHEtH3w2SxCklunau7pU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IFERROR(__xludf.DUMMYFUNCTION("""COMPUTED_VALUE"""),"1C9nr9UaSw19k3RlZOh6C32ihCaOsw9e8EzB5exzVqdI")</f>
        <v>1C9nr9UaSw19k3RlZOh6C32ihCaOsw9e8EzB5exzVqdI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IFERROR(__xludf.DUMMYFUNCTION("""COMPUTED_VALUE"""),"1zpJ5COKg0t3DKjAupe3b9VWJWwFOshN0jcUXXcmwOCY")</f>
        <v>1zpJ5COKg0t3DKjAupe3b9VWJWwFOshN0jcUXXcmwOCY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IFERROR(__xludf.DUMMYFUNCTION("""COMPUTED_VALUE"""),"1BRf1AxKf-ZXo6cETDcf1qs9hsphlkZWn3nC_UQ8uulE")</f>
        <v>1BRf1AxKf-ZXo6cETDcf1qs9hsphlkZWn3nC_UQ8uulE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IFERROR(__xludf.DUMMYFUNCTION("""COMPUTED_VALUE"""),"1Z1Ooq9Bs8nqmf2xqnglXRlccDJnbGAIOB06M9ekj2rs")</f>
        <v>1Z1Ooq9Bs8nqmf2xqnglXRlccDJnbGAIOB06M9ekj2rs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IFERROR(__xludf.DUMMYFUNCTION("""COMPUTED_VALUE"""),"1g2BlDzMuPLqY5xVnCrcfbtfe9kWQV3CgE6JfSKlxSzg")</f>
        <v>1g2BlDzMuPLqY5xVnCrcfbtfe9kWQV3CgE6JfSKlxSzg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IFERROR(__xludf.DUMMYFUNCTION("""COMPUTED_VALUE"""),"1desQWnGI98GIc1vxX0YFAvK6eM6Up2OfO7mDBlu8DyE")</f>
        <v>1desQWnGI98GIc1vxX0YFAvK6eM6Up2OfO7mDBlu8DyE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IFERROR(__xludf.DUMMYFUNCTION("""COMPUTED_VALUE"""),"1VWFe_7Bzpo4sOh0lngtoR43fbAhailkC7sT-1MShuLo")</f>
        <v>1VWFe_7Bzpo4sOh0lngtoR43fbAhailkC7sT-1MShuLo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IFERROR(__xludf.DUMMYFUNCTION("""COMPUTED_VALUE"""),"1DQNjGNN_8R1Id_RNxpiXZmk1V3qnXnTg-7JWhtLHIOM")</f>
        <v>1DQNjGNN_8R1Id_RNxpiXZmk1V3qnXnTg-7JWhtLHIOM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IFERROR(__xludf.DUMMYFUNCTION("""COMPUTED_VALUE"""),"1UCVBiqZ-hQHZCTT2TvmNRmPPUYAp6soMftJvf3IJb-U")</f>
        <v>1UCVBiqZ-hQHZCTT2TvmNRmPPUYAp6soMftJvf3IJb-U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IFERROR(__xludf.DUMMYFUNCTION("""COMPUTED_VALUE"""),"1Wys20XtOSKAzbhZ6D_ru6oNOCYqcpyBFkLMGVYyy2WM")</f>
        <v>1Wys20XtOSKAzbhZ6D_ru6oNOCYqcpyBFkLMGVYyy2WM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IFERROR(__xludf.DUMMYFUNCTION("""COMPUTED_VALUE"""),"1OH-wAFF1VTun24XmawHlbGMs8NMsZ4gsFJ8tDgp1nf0")</f>
        <v>1OH-wAFF1VTun24XmawHlbGMs8NMsZ4gsFJ8tDgp1nf0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IFERROR(__xludf.DUMMYFUNCTION("""COMPUTED_VALUE"""),"1u62Kj38ddSce6mjA7g4i_1lPA5fUScW985zdMGo3BYA")</f>
        <v>1u62Kj38ddSce6mjA7g4i_1lPA5fUScW985zdMGo3BYA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IFERROR(__xludf.DUMMYFUNCTION("""COMPUTED_VALUE"""),"1G__9tJvjvOtaGer3XqVAzGCQYG07hudOPpD60H34Zy8")</f>
        <v>1G__9tJvjvOtaGer3XqVAzGCQYG07hudOPpD60H34Zy8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IFERROR(__xludf.DUMMYFUNCTION("""COMPUTED_VALUE"""),"1-9bwCgsl5N95i-RvKiMEwupZhEFD-V_V4UhaUwW08HM")</f>
        <v>1-9bwCgsl5N95i-RvKiMEwupZhEFD-V_V4UhaUwW08HM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IFERROR(__xludf.DUMMYFUNCTION("""COMPUTED_VALUE"""),"1VvSSs3QJ14ONF-H8UJY0IQjVFEXjPDyORsnnG-MIOVQ")</f>
        <v>1VvSSs3QJ14ONF-H8UJY0IQjVFEXjPDyORsnnG-MIOVQ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IFERROR(__xludf.DUMMYFUNCTION("""COMPUTED_VALUE"""),"1VpvDYDtLzzQKU6zRrnt43oSdSe1jDGhYuKyFkWXgl0M")</f>
        <v>1VpvDYDtLzzQKU6zRrnt43oSdSe1jDGhYuKyFkWXgl0M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IFERROR(__xludf.DUMMYFUNCTION("""COMPUTED_VALUE"""),"1xwDU0wEY5ygG38Ymyteoy-b7VhKEgDgPur5SneK5DOc")</f>
        <v>1xwDU0wEY5ygG38Ymyteoy-b7VhKEgDgPur5SneK5DOc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IFERROR(__xludf.DUMMYFUNCTION("""COMPUTED_VALUE"""),"1rhbgybK8UToNxMXDOZxwk3lnAdVPNaXMj69toF42Xwo")</f>
        <v>1rhbgybK8UToNxMXDOZxwk3lnAdVPNaXMj69toF42Xwo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IFERROR(__xludf.DUMMYFUNCTION("""COMPUTED_VALUE"""),"11yE3pKzcv-wtNP-iR3X7bRfy6MLIOsu-qcNla8FkfvE")</f>
        <v>11yE3pKzcv-wtNP-iR3X7bRfy6MLIOsu-qcNla8FkfvE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IFERROR(__xludf.DUMMYFUNCTION("""COMPUTED_VALUE"""),"1RGxd6BFK5bdonfIWcSSPdrNFPAQirhzZqSCkmKziVHc")</f>
        <v>1RGxd6BFK5bdonfIWcSSPdrNFPAQirhzZqSCkmKziVHc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IFERROR(__xludf.DUMMYFUNCTION("""COMPUTED_VALUE"""),"185FY-wExfE4jMT_4yTVjOUr49VHzbH6ICdX9HndSaTM")</f>
        <v>185FY-wExfE4jMT_4yTVjOUr49VHzbH6ICdX9HndSaTM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IFERROR(__xludf.DUMMYFUNCTION("""COMPUTED_VALUE"""),"1JQ1sH3BSkeS63QmSdGmR2uX_wHxLSUJdkAtqU0BIVl4")</f>
        <v>1JQ1sH3BSkeS63QmSdGmR2uX_wHxLSUJdkAtqU0BIVl4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IFERROR(__xludf.DUMMYFUNCTION("""COMPUTED_VALUE"""),"1e5P2Fpj6vybIn_paB2b7Fy1UWvvzM_QLBcFFEnG_Sog")</f>
        <v>1e5P2Fpj6vybIn_paB2b7Fy1UWvvzM_QLBcFFEnG_Sog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IFERROR(__xludf.DUMMYFUNCTION("""COMPUTED_VALUE"""),"1Hl-bDiK5QR2zP8Xl8o2qKBLjoh6RGDS1UZGDYAqP4oQ")</f>
        <v>1Hl-bDiK5QR2zP8Xl8o2qKBLjoh6RGDS1UZGDYAqP4oQ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IFERROR(__xludf.DUMMYFUNCTION("""COMPUTED_VALUE"""),"17wP7K35BVS-mcToVvypH9kFnKwLPjhX5cgZessf5L3U")</f>
        <v>17wP7K35BVS-mcToVvypH9kFnKwLPjhX5cgZessf5L3U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IFERROR(__xludf.DUMMYFUNCTION("""COMPUTED_VALUE"""),"1-ih35UufsuBdP0hoxZ-4l-12Rq-zYst8RspaOVUizJc")</f>
        <v>1-ih35UufsuBdP0hoxZ-4l-12Rq-zYst8RspaOVUizJc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IFERROR(__xludf.DUMMYFUNCTION("""COMPUTED_VALUE"""),"1xyZdNq5NSQNp450_Gc1FWk1hVNNJBJwHxsqN70MtZLU")</f>
        <v>1xyZdNq5NSQNp450_Gc1FWk1hVNNJBJwHxsqN70MtZLU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IFERROR(__xludf.DUMMYFUNCTION("""COMPUTED_VALUE"""),"1EvfgveHhX8XFzsj7Fy7Yi6C9pY-aewJRJyPh3yuRejY")</f>
        <v>1EvfgveHhX8XFzsj7Fy7Yi6C9pY-aewJRJyPh3yuRejY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IFERROR(__xludf.DUMMYFUNCTION("""COMPUTED_VALUE"""),"1k7xJ6kz4kMqQWK18SURBsIq7RJIBYbtYRz2nKI4obIs")</f>
        <v>1k7xJ6kz4kMqQWK18SURBsIq7RJIBYbtYRz2nKI4obIs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IFERROR(__xludf.DUMMYFUNCTION("""COMPUTED_VALUE"""),"1h4gMGiy1GVAsiDN_3s7laxEQ8QIiMM11jjlepyiWEFw")</f>
        <v>1h4gMGiy1GVAsiDN_3s7laxEQ8QIiMM11jjlepyiWEFw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IFERROR(__xludf.DUMMYFUNCTION("""COMPUTED_VALUE"""),"1555eBTfW3pZgygX6zpaPQiMcmfrnNsubsj7N0H4mAzE")</f>
        <v>1555eBTfW3pZgygX6zpaPQiMcmfrnNsubsj7N0H4mAzE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IFERROR(__xludf.DUMMYFUNCTION("""COMPUTED_VALUE"""),"13SBB21Z9FVCuAXFJukuoDKtIn_jkAQg7H8URkrwJeeI")</f>
        <v>13SBB21Z9FVCuAXFJukuoDKtIn_jkAQg7H8URkrwJeeI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IFERROR(__xludf.DUMMYFUNCTION("""COMPUTED_VALUE"""),"1QYD14pNRFunvjaSxygVhv7DYj8TvS2fjXDJc9Zg9Mw8")</f>
        <v>1QYD14pNRFunvjaSxygVhv7DYj8TvS2fjXDJc9Zg9Mw8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IFERROR(__xludf.DUMMYFUNCTION("""COMPUTED_VALUE"""),"1b8x6RjtQjtXxwQEPvkKbxuNrqT2um8DTratJi6LLMkE")</f>
        <v>1b8x6RjtQjtXxwQEPvkKbxuNrqT2um8DTratJi6LLMkE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IFERROR(__xludf.DUMMYFUNCTION("""COMPUTED_VALUE"""),"18ZLKMuYELpFF8igusiA1YPM1roRHrNcfmsVVoNq6h6s")</f>
        <v>18ZLKMuYELpFF8igusiA1YPM1roRHrNcfmsVVoNq6h6s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IFERROR(__xludf.DUMMYFUNCTION("""COMPUTED_VALUE"""),"1wguu6CJ1W1WXxjb_KxnFlOegfYbfanXuyO-oZAt2m7U")</f>
        <v>1wguu6CJ1W1WXxjb_KxnFlOegfYbfanXuyO-oZAt2m7U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IFERROR(__xludf.DUMMYFUNCTION("""COMPUTED_VALUE"""),"1o-FBBuQHxjtFK6FrVr69erSNvwKFefznt7EpoR-TUMo")</f>
        <v>1o-FBBuQHxjtFK6FrVr69erSNvwKFefznt7EpoR-TUMo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IFERROR(__xludf.DUMMYFUNCTION("""COMPUTED_VALUE"""),"1NPaQ5SsIbAw-Qf-hqCpOtIXsinQoikQedLQjmpcEf2w")</f>
        <v>1NPaQ5SsIbAw-Qf-hqCpOtIXsinQoikQedLQjmpcEf2w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IFERROR(__xludf.DUMMYFUNCTION("""COMPUTED_VALUE"""),"1oRJt2apb45iHCVxOMoKsVCBE0tayi72K_dpkArgaYNI")</f>
        <v>1oRJt2apb45iHCVxOMoKsVCBE0tayi72K_dpkArgaYNI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IFERROR(__xludf.DUMMYFUNCTION("""COMPUTED_VALUE"""),"1agqTy8ODsUfNuR8A2GzGp3_Gb5oKxa04ZxPCTZ4jQEE")</f>
        <v>1agqTy8ODsUfNuR8A2GzGp3_Gb5oKxa04ZxPCTZ4jQEE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IFERROR(__xludf.DUMMYFUNCTION("""COMPUTED_VALUE"""),"1bxIll2-_r6nIdBU5BDupSdTWZM-4ZIgSxN2lDwPlyV0")</f>
        <v>1bxIll2-_r6nIdBU5BDupSdTWZM-4ZIgSxN2lDwPlyV0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IFERROR(__xludf.DUMMYFUNCTION("""COMPUTED_VALUE"""),"1VbNnoezmSIsbkZrumDKpPBQV7dd2w_tXh_5KZD1fS1g")</f>
        <v>1VbNnoezmSIsbkZrumDKpPBQV7dd2w_tXh_5KZD1fS1g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IFERROR(__xludf.DUMMYFUNCTION("""COMPUTED_VALUE"""),"1nlzyKt77FsFAQVk5JnD-eRJd0GhkFyyq22Np46z4LBQ")</f>
        <v>1nlzyKt77FsFAQVk5JnD-eRJd0GhkFyyq22Np46z4LBQ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IFERROR(__xludf.DUMMYFUNCTION("""COMPUTED_VALUE"""),"10dzEbmMqSEFoyEQpGvfRBGkGUrZT9nMgCEU9mLlrjXc")</f>
        <v>10dzEbmMqSEFoyEQpGvfRBGkGUrZT9nMgCEU9mLlrjXc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IFERROR(__xludf.DUMMYFUNCTION("""COMPUTED_VALUE"""),"1QiPkyR6XoPva-Y8Gr2o5tuIKxzA8YGA-Bi26TT3QwUM")</f>
        <v>1QiPkyR6XoPva-Y8Gr2o5tuIKxzA8YGA-Bi26TT3QwUM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IFERROR(__xludf.DUMMYFUNCTION("""COMPUTED_VALUE"""),"1_H_v-FL2GL1VYRQfF102TJK8lcPuFLC2dcFfpVsrOyA")</f>
        <v>1_H_v-FL2GL1VYRQfF102TJK8lcPuFLC2dcFfpVsrOyA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IFERROR(__xludf.DUMMYFUNCTION("""COMPUTED_VALUE"""),"1_FK3luW0u1bVUl_-uuhjD3pjwJIEAlKxRSV9t7lDgUU")</f>
        <v>1_FK3luW0u1bVUl_-uuhjD3pjwJIEAlKxRSV9t7lDgUU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IFERROR(__xludf.DUMMYFUNCTION("""COMPUTED_VALUE"""),"12dAzLg9OkaQ3A4alK8t63FnQc47Y0DtLXmwjEZn8CSw")</f>
        <v>12dAzLg9OkaQ3A4alK8t63FnQc47Y0DtLXmwjEZn8CSw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IFERROR(__xludf.DUMMYFUNCTION("""COMPUTED_VALUE"""),"19v7mgj_xrXR2b9J5hjpqub6H625ytQdJy5zpbsnIFH4")</f>
        <v>19v7mgj_xrXR2b9J5hjpqub6H625ytQdJy5zpbsnIFH4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IFERROR(__xludf.DUMMYFUNCTION("""COMPUTED_VALUE"""),"1ZIFQW7-ZFHpYjXIplTSB3w5c7JkPAmMEZWZbDpwxjZo")</f>
        <v>1ZIFQW7-ZFHpYjXIplTSB3w5c7JkPAmMEZWZbDpwxjZo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IFERROR(__xludf.DUMMYFUNCTION("""COMPUTED_VALUE"""),"1JjHe2mZGs8SAE4eN3h87nS9KazhAoVJpI6j0AX_oubY")</f>
        <v>1JjHe2mZGs8SAE4eN3h87nS9KazhAoVJpI6j0AX_oubY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IFERROR(__xludf.DUMMYFUNCTION("""COMPUTED_VALUE"""),"1ykZ4MIm4DO4OhMcn3zzi6zmFtHasVXbVlOjaDs3-tq4")</f>
        <v>1ykZ4MIm4DO4OhMcn3zzi6zmFtHasVXbVlOjaDs3-tq4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IFERROR(__xludf.DUMMYFUNCTION("""COMPUTED_VALUE"""),"16apla3tEdh0I55JbktufeygtzLD6sU2RLBlpNGPo6jU")</f>
        <v>16apla3tEdh0I55JbktufeygtzLD6sU2RLBlpNGPo6jU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IFERROR(__xludf.DUMMYFUNCTION("""COMPUTED_VALUE"""),"1XPVuFci2z8Xs5bHgq7R4GP5O-nMmceuB3GqwX3XUbMs")</f>
        <v>1XPVuFci2z8Xs5bHgq7R4GP5O-nMmceuB3GqwX3XUbMs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IFERROR(__xludf.DUMMYFUNCTION("""COMPUTED_VALUE"""),"1ykMuKT7G3fZay84WDR96P4BQAMkqahw_GnQUsNX6CUs")</f>
        <v>1ykMuKT7G3fZay84WDR96P4BQAMkqahw_GnQUsNX6CUs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IFERROR(__xludf.DUMMYFUNCTION("""COMPUTED_VALUE"""),"12Jx4NXByLH6uo6cPIxdMtXDCyjjQWME89tyeXROMOEI")</f>
        <v>12Jx4NXByLH6uo6cPIxdMtXDCyjjQWME89tyeXROMOEI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IFERROR(__xludf.DUMMYFUNCTION("""COMPUTED_VALUE"""),"15lHiiD5KNoqjZ_E7zX2pdw18IuAiYsL-UDVc6jfQ3XA")</f>
        <v>15lHiiD5KNoqjZ_E7zX2pdw18IuAiYsL-UDVc6jfQ3XA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IFERROR(__xludf.DUMMYFUNCTION("""COMPUTED_VALUE"""),"1ziZg3lBx_aPu8TPjMl_etXMuscnllJoJ-hKOa19ozD8")</f>
        <v>1ziZg3lBx_aPu8TPjMl_etXMuscnllJoJ-hKOa19ozD8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IFERROR(__xludf.DUMMYFUNCTION("""COMPUTED_VALUE"""),"1deZMQypRUScM3WPe16oDMBJHXNPOEE6OdOQVZzCgqlg")</f>
        <v>1deZMQypRUScM3WPe16oDMBJHXNPOEE6OdOQVZzCgqlg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IFERROR(__xludf.DUMMYFUNCTION("""COMPUTED_VALUE"""),"1m8KITORxMaLAk_kTE9RoRrZGpX_RqAvqHaJaPvAMN1k")</f>
        <v>1m8KITORxMaLAk_kTE9RoRrZGpX_RqAvqHaJaPvAMN1k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IFERROR(__xludf.DUMMYFUNCTION("""COMPUTED_VALUE"""),"1pBql_NGTQ6e2Tp98WnKsZdd2-EmEgzai_fwgSes2nfA")</f>
        <v>1pBql_NGTQ6e2Tp98WnKsZdd2-EmEgzai_fwgSes2nfA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IFERROR(__xludf.DUMMYFUNCTION("""COMPUTED_VALUE"""),"1el2vWtad5wFUgZD-G2vhj_JEQpXWHjJ20TsLR5e5LPs")</f>
        <v>1el2vWtad5wFUgZD-G2vhj_JEQpXWHjJ20TsLR5e5LPs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IFERROR(__xludf.DUMMYFUNCTION("""COMPUTED_VALUE"""),"1gOBL7LK5RLxmH5-hs1IHMpTADwDAYXAONJ6KgNVLtDs")</f>
        <v>1gOBL7LK5RLxmH5-hs1IHMpTADwDAYXAONJ6KgNVLtDs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IFERROR(__xludf.DUMMYFUNCTION("""COMPUTED_VALUE"""),"1yg-Xv6suVFcIrKHhZALMgS9t4msvFsDbvs7wNuoGR3I")</f>
        <v>1yg-Xv6suVFcIrKHhZALMgS9t4msvFsDbvs7wNuoGR3I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IFERROR(__xludf.DUMMYFUNCTION("""COMPUTED_VALUE"""),"1-cH_lnOgKQ1kVk7m6ulPrC1FoXeCqZ4vubHVYxrwQpk")</f>
        <v>1-cH_lnOgKQ1kVk7m6ulPrC1FoXeCqZ4vubHVYxrwQpk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IFERROR(__xludf.DUMMYFUNCTION("""COMPUTED_VALUE"""),"14mYs8ZnER2nYec1-jsXJ6oDp-Vw4B_Jq1BBaYBTraJQ")</f>
        <v>14mYs8ZnER2nYec1-jsXJ6oDp-Vw4B_Jq1BBaYBTraJQ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IFERROR(__xludf.DUMMYFUNCTION("""COMPUTED_VALUE"""),"1p2gNYBHk_zK7IVosy1KF26530YQABTpkgHuzRoHEtrE")</f>
        <v>1p2gNYBHk_zK7IVosy1KF26530YQABTpkgHuzRoHEtrE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IFERROR(__xludf.DUMMYFUNCTION("""COMPUTED_VALUE"""),"1-fTs6_RktuYpTbjZRrT_FVnPuHToyVZ28RezlVOilDQ")</f>
        <v>1-fTs6_RktuYpTbjZRrT_FVnPuHToyVZ28RezlVOilDQ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IFERROR(__xludf.DUMMYFUNCTION("""COMPUTED_VALUE"""),"1fsW3FLBLQSnAB1FTWbZOYZ1c8y_T0pXdchJoJKojQ5U")</f>
        <v>1fsW3FLBLQSnAB1FTWbZOYZ1c8y_T0pXdchJoJKojQ5U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IFERROR(__xludf.DUMMYFUNCTION("""COMPUTED_VALUE"""),"1RdLSqhBlKnI7H96oYs9VsGECGlykHpR2OqPkN9FwCpA")</f>
        <v>1RdLSqhBlKnI7H96oYs9VsGECGlykHpR2OqPkN9FwCpA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IFERROR(__xludf.DUMMYFUNCTION("""COMPUTED_VALUE"""),"1IJ0ITE6kAXc0SGfd95PYFTvX-K-fjbi9rjfbaVF_8_o")</f>
        <v>1IJ0ITE6kAXc0SGfd95PYFTvX-K-fjbi9rjfbaVF_8_o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IFERROR(__xludf.DUMMYFUNCTION("""COMPUTED_VALUE"""),"1JXgefFxiOZYiu3nvqHgqGC5961DevvA1p-zE8Q1gFmQ")</f>
        <v>1JXgefFxiOZYiu3nvqHgqGC5961DevvA1p-zE8Q1gFmQ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IFERROR(__xludf.DUMMYFUNCTION("""COMPUTED_VALUE"""),"1FaRUR8eAdOKdosN0J6gNT494O3LIUjOW6UENL8-QaqI")</f>
        <v>1FaRUR8eAdOKdosN0J6gNT494O3LIUjOW6UENL8-QaqI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IFERROR(__xludf.DUMMYFUNCTION("""COMPUTED_VALUE"""),"1aTAOxKd-OKfDMtOkbD2qjNA7heK3JaL80oWOPJWR-m4")</f>
        <v>1aTAOxKd-OKfDMtOkbD2qjNA7heK3JaL80oWOPJWR-m4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IFERROR(__xludf.DUMMYFUNCTION("""COMPUTED_VALUE"""),"1iC5h3lmVz1lkFi3hXF5Nay_GLbs1D6oy7-RHYXL-GIo")</f>
        <v>1iC5h3lmVz1lkFi3hXF5Nay_GLbs1D6oy7-RHYXL-GIo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IFERROR(__xludf.DUMMYFUNCTION("""COMPUTED_VALUE"""),"1aaU_cMiBcryIk1mv61Bk8nzw1uuGyeojYzruzun4vn4")</f>
        <v>1aaU_cMiBcryIk1mv61Bk8nzw1uuGyeojYzruzun4vn4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IFERROR(__xludf.DUMMYFUNCTION("""COMPUTED_VALUE"""),"15Ue38beZCcRwHWaVV0RfQpiUhL8BQtHdJOWFk8Vn8nU")</f>
        <v>15Ue38beZCcRwHWaVV0RfQpiUhL8BQtHdJOWFk8Vn8nU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IFERROR(__xludf.DUMMYFUNCTION("""COMPUTED_VALUE"""),"17KJQ2JG3exSQFsCEREc0fo3OlCzwQ87QrIrxDvJOTL0")</f>
        <v>17KJQ2JG3exSQFsCEREc0fo3OlCzwQ87QrIrxDvJOTL0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IFERROR(__xludf.DUMMYFUNCTION("""COMPUTED_VALUE"""),"1BBuNgcMvzUvD-gZVr3XXF6T3_SSkXRMD323rt_wpPKQ")</f>
        <v>1BBuNgcMvzUvD-gZVr3XXF6T3_SSkXRMD323rt_wpPKQ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IFERROR(__xludf.DUMMYFUNCTION("""COMPUTED_VALUE"""),"1MPicLh4_cRx3ynhn68KNyk7US2TRsT--AJ1FJ5xfra0")</f>
        <v>1MPicLh4_cRx3ynhn68KNyk7US2TRsT--AJ1FJ5xfra0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IFERROR(__xludf.DUMMYFUNCTION("""COMPUTED_VALUE"""),"1zJpo_fvgHnAOKIroxu4Yg4YOEDG9ihIiNdRpdZkyouY")</f>
        <v>1zJpo_fvgHnAOKIroxu4Yg4YOEDG9ihIiNdRpdZkyouY</v>
      </c>
    </row>
    <row r="314" ht="15.75" customHeight="1">
      <c r="A314" t="str">
        <f>IFERROR(__xludf.DUMMYFUNCTION("""COMPUTED_VALUE"""),"PranaClient")</f>
        <v>PranaClient</v>
      </c>
      <c r="B314" t="str">
        <f>IFERROR(__xludf.DUMMYFUNCTION("""COMPUTED_VALUE"""),"UpdateClientConfig")</f>
        <v>UpdateClientConfig</v>
      </c>
      <c r="C314" t="str">
        <f>IFERROR(__xludf.DUMMYFUNCTION("""COMPUTED_VALUE"""),"1rclWjN3ooT5nL8wJDLv7VJcrOapNKjyFsXn1lWIijgU")</f>
        <v>1rclWjN3ooT5nL8wJDLv7VJcrOapNKjyFsXn1lWIijgU</v>
      </c>
    </row>
    <row r="315" ht="15.75" customHeight="1">
      <c r="A315" t="str">
        <f>IFERROR(__xludf.DUMMYFUNCTION("""COMPUTED_VALUE"""),"PortfolioManagement")</f>
        <v>PortfolioManagement</v>
      </c>
      <c r="B315" t="str">
        <f>IFERROR(__xludf.DUMMYFUNCTION("""COMPUTED_VALUE"""),"OpenClosingFromPM")</f>
        <v>OpenClosingFromPM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IFERROR(__xludf.DUMMYFUNCTION("""COMPUTED_VALUE"""),"OpenCorporateActionFromPM")</f>
        <v>OpenCorporateActionFromPM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IFERROR(__xludf.DUMMYFUNCTION("""COMPUTED_VALUE"""),"OpenDailyValuationFromPM")</f>
        <v>OpenDailyValuationFromPM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IFERROR(__xludf.DUMMYFUNCTION("""COMPUTED_VALUE"""),"ClosePositionFromPM")</f>
        <v>ClosePositionFromPM</v>
      </c>
      <c r="C318" t="str">
        <f>IFERROR(__xludf.DUMMYFUNCTION("""COMPUTED_VALUE"""),"1eVMpcX298QLEFSZ68GvnaqAVsPnc1_WsBBr6lGLL_xk")</f>
        <v>1eVMpcX298QLEFSZ68GvnaqAVsPnc1_WsBBr6lGLL_xk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IFERROR(__xludf.DUMMYFUNCTION("""COMPUTED_VALUE"""),"ShowSummaryToolFromPM")</f>
        <v>ShowSummaryToolFromPM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IFERROR(__xludf.DUMMYFUNCTION("""COMPUTED_VALUE"""),"HideSummaryToolFromPM")</f>
        <v>HideSummaryToolFromPM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IFERROR(__xludf.DUMMYFUNCTION("""COMPUTED_VALUE"""),"CloseAccountPositionFromPM")</f>
        <v>CloseAccountPositionFromPM</v>
      </c>
      <c r="C321" t="str">
        <f>IFERROR(__xludf.DUMMYFUNCTION("""COMPUTED_VALUE"""),"1G7aw6OsfKe48YJ4wZlpaiwUF7EyEmGjzKmTHSnLwsjM")</f>
        <v>1G7aw6OsfKe48YJ4wZlpaiwUF7EyEmGjzKmTHSnLwsjM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IFERROR(__xludf.DUMMYFUNCTION("""COMPUTED_VALUE"""),"CloseSelectedTaxlotsFromPM")</f>
        <v>CloseSelectedTaxlotsFromPM</v>
      </c>
      <c r="C322" t="str">
        <f>IFERROR(__xludf.DUMMYFUNCTION("""COMPUTED_VALUE"""),"1YDZT2-LkX-MtNExlMwysopJtKzIHr8GDRqmX7oNqceY")</f>
        <v>1YDZT2-LkX-MtNExlMwysopJtKzIHr8GDRqmX7oNqceY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IFERROR(__xludf.DUMMYFUNCTION("""COMPUTED_VALUE"""),"ExpandCollapsePM")</f>
        <v>ExpandCollapsePM</v>
      </c>
      <c r="C323" t="str">
        <f>IFERROR(__xludf.DUMMYFUNCTION("""COMPUTED_VALUE"""),"1M7t0Pc0QArtvID6fnn4iOri5a5SS5W6RhUNxDg4qxyM")</f>
        <v>1M7t0Pc0QArtvID6fnn4iOri5a5SS5W6RhUNxDg4qxyM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IFERROR(__xludf.DUMMYFUNCTION("""COMPUTED_VALUE"""),"AddCustomViewPM")</f>
        <v>AddCustomViewPM</v>
      </c>
      <c r="C324" t="str">
        <f>IFERROR(__xludf.DUMMYFUNCTION("""COMPUTED_VALUE"""),"13piHoSaVK7A8I4KAXLsA5Men3ngoqvqpTG-lZD_1KUo")</f>
        <v>13piHoSaVK7A8I4KAXLsA5Men3ngoqvqpTG-lZD_1KUo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IFERROR(__xludf.DUMMYFUNCTION("""COMPUTED_VALUE"""),"AddCustomViewRightClickPM")</f>
        <v>AddCustomViewRightClickPM</v>
      </c>
      <c r="C325" t="str">
        <f>IFERROR(__xludf.DUMMYFUNCTION("""COMPUTED_VALUE"""),"1k8C-LBwz3GlNV3C5E3QvzqBFewYG5vG9ugiipS-_zD4")</f>
        <v>1k8C-LBwz3GlNV3C5E3QvzqBFewYG5vG9ugiipS-_zD4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IFERROR(__xludf.DUMMYFUNCTION("""COMPUTED_VALUE"""),"RenameCustomViewPM")</f>
        <v>RenameCustomViewPM</v>
      </c>
      <c r="C326" t="str">
        <f>IFERROR(__xludf.DUMMYFUNCTION("""COMPUTED_VALUE"""),"1ncl7te4f_dGYzCuZzxcRCwr4yZrX3tLKvh23s23mlUQ")</f>
        <v>1ncl7te4f_dGYzCuZzxcRCwr4yZrX3tLKvh23s23mlUQ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IFERROR(__xludf.DUMMYFUNCTION("""COMPUTED_VALUE"""),"DeleteCustomViewPM")</f>
        <v>DeleteCustomViewPM</v>
      </c>
      <c r="C327" t="str">
        <f>IFERROR(__xludf.DUMMYFUNCTION("""COMPUTED_VALUE"""),"1vAN2zxByVTbuFRgUg-THlwpw7k28QMwQHGoxf_n8Ges")</f>
        <v>1vAN2zxByVTbuFRgUg-THlwpw7k28QMwQHGoxf_n8Ges</v>
      </c>
    </row>
    <row r="328" ht="15.75" customHeight="1">
      <c r="A328" t="str">
        <f>IFERROR(__xludf.DUMMYFUNCTION("""COMPUTED_VALUE"""),"Closing")</f>
        <v>Closing</v>
      </c>
      <c r="B328" t="str">
        <f>IFERROR(__xludf.DUMMYFUNCTION("""COMPUTED_VALUE"""),"SetClosingPreference")</f>
        <v>SetClosingPreference</v>
      </c>
      <c r="C328" t="str">
        <f>IFERROR(__xludf.DUMMYFUNCTION("""COMPUTED_VALUE"""),"1oTTQbLhHic8oL_svmQ0qdjBVLpJCcQnyu-u9b8rHbtE")</f>
        <v>1oTTQbLhHic8oL_svmQ0qdjBVLpJCcQnyu-u9b8rHbtE</v>
      </c>
    </row>
    <row r="329" ht="15.75" customHeight="1">
      <c r="A329" t="str">
        <f>IFERROR(__xludf.DUMMYFUNCTION("""COMPUTED_VALUE"""),"CreateTransaction")</f>
        <v>CreateTransaction</v>
      </c>
      <c r="B329" t="str">
        <f>IFERROR(__xludf.DUMMYFUNCTION("""COMPUTED_VALUE"""),"SaveTransaction")</f>
        <v>SaveTransaction</v>
      </c>
      <c r="C329" t="str">
        <f>IFERROR(__xludf.DUMMYFUNCTION("""COMPUTED_VALUE"""),"undefined")</f>
        <v>undefined</v>
      </c>
    </row>
    <row r="330" ht="15.75" customHeight="1">
      <c r="A330" t="str">
        <f>IFERROR(__xludf.DUMMYFUNCTION("""COMPUTED_VALUE"""),"Allocation")</f>
        <v>Allocation</v>
      </c>
      <c r="B330" t="str">
        <f>IFERROR(__xludf.DUMMYFUNCTION("""COMPUTED_VALUE"""),"EditUnallocatedGrid")</f>
        <v>EditUnallocatedGrid</v>
      </c>
      <c r="C330" t="str">
        <f>IFERROR(__xludf.DUMMYFUNCTION("""COMPUTED_VALUE"""),"1Eg48tr0_jcvY-tLu_SbsvR2u64NRBp2N6ZODjJbPWF0")</f>
        <v>1Eg48tr0_jcvY-tLu_SbsvR2u64NRBp2N6ZODjJbPWF0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IFERROR(__xludf.DUMMYFUNCTION("""COMPUTED_VALUE"""),"EditAllocatedGrid")</f>
        <v>EditAllocatedGrid</v>
      </c>
      <c r="C331" t="str">
        <f>IFERROR(__xludf.DUMMYFUNCTION("""COMPUTED_VALUE"""),"1jumsAa4jYebpWTdXyCrsYPMpgMy3AAAb0E6m3pq9zfQ")</f>
        <v>1jumsAa4jYebpWTdXyCrsYPMpgMy3AAAb0E6m3pq9zfQ</v>
      </c>
    </row>
    <row r="332" ht="15.75" customHeight="1">
      <c r="A332" t="str">
        <f>IFERROR(__xludf.DUMMYFUNCTION("""COMPUTED_VALUE"""),"PTT")</f>
        <v>PTT</v>
      </c>
      <c r="B332" t="str">
        <f>IFERROR(__xludf.DUMMYFUNCTION("""COMPUTED_VALUE"""),"SetPTTPreference")</f>
        <v>SetPTTPreference</v>
      </c>
      <c r="C332" t="str">
        <f>IFERROR(__xludf.DUMMYFUNCTION("""COMPUTED_VALUE"""),"1IWThU1tr1c83LHshXuPtQhnsEDrVfBxHlVdCTs3_gI0")</f>
        <v>1IWThU1tr1c83LHshXuPtQhnsEDrVfBxHlVdCTs3_gI0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IFERROR(__xludf.DUMMYFUNCTION("""COMPUTED_VALUE"""),"SetLongShortPTTPreference")</f>
        <v>SetLongShortPTTPreference</v>
      </c>
      <c r="C333" t="str">
        <f>IFERROR(__xludf.DUMMYFUNCTION("""COMPUTED_VALUE"""),"18YN65KpXjKBHvfHbcTAJVt8VQ29ANoekyOrzV_UinlU")</f>
        <v>18YN65KpXjKBHvfHbcTAJVt8VQ29ANoekyOrzV_UinlU</v>
      </c>
    </row>
    <row r="334" ht="15.75" customHeight="1">
      <c r="A334" t="str">
        <f>IFERROR(__xludf.DUMMYFUNCTION("""COMPUTED_VALUE"""),"TradingTicket")</f>
        <v>TradingTicket</v>
      </c>
      <c r="B334" t="str">
        <f>IFERROR(__xludf.DUMMYFUNCTION("""COMPUTED_VALUE"""),"VerifyTT")</f>
        <v>VerifyTT</v>
      </c>
      <c r="C334" t="str">
        <f>IFERROR(__xludf.DUMMYFUNCTION("""COMPUTED_VALUE"""),"1aAKrLLBUkdPmY-u1TvvBjiwsLoIqEjpaZv0vuuwgDXc")</f>
        <v>1aAKrLLBUkdPmY-u1TvvBjiwsLoIqEjpaZv0vuuwgDXc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IFERROR(__xludf.DUMMYFUNCTION("""COMPUTED_VALUE"""),"SaveLayoutAllocatedGrid")</f>
        <v>SaveLayoutAllocatedGrid</v>
      </c>
      <c r="C335" t="str">
        <f>IFERROR(__xludf.DUMMYFUNCTION("""COMPUTED_VALUE"""),"1STRhvXDmA77-EUfXkerb9M6KavHQa6ufPlKbKQFnacs")</f>
        <v>1STRhvXDmA77-EUfXkerb9M6KavHQa6ufPlKbKQFnacs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IFERROR(__xludf.DUMMYFUNCTION("""COMPUTED_VALUE"""),"SaveLayoutUnallocatedGrid")</f>
        <v>SaveLayoutUnallocatedGrid</v>
      </c>
      <c r="C336" t="str">
        <f>IFERROR(__xludf.DUMMYFUNCTION("""COMPUTED_VALUE"""),"1eQ3bSd8sNOPS2QEo6_h1dSmrCHItkDjuQE6HDsmi2A4")</f>
        <v>1eQ3bSd8sNOPS2QEo6_h1dSmrCHItkDjuQE6HDsmi2A4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IFERROR(__xludf.DUMMYFUNCTION("""COMPUTED_VALUE"""),"SaveLayoutAllocationUI")</f>
        <v>SaveLayoutAllocationUI</v>
      </c>
      <c r="C337" t="str">
        <f>IFERROR(__xludf.DUMMYFUNCTION("""COMPUTED_VALUE"""),"12FTcBcbaShH13w8bkrZeiFv_kNMJJP9FHGmxLKHRaus")</f>
        <v>12FTcBcbaShH13w8bkrZeiFv_kNMJJP9FHGmxLKHRaus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IFERROR(__xludf.DUMMYFUNCTION("""COMPUTED_VALUE"""),"ClearFiltersAllocatedGrid")</f>
        <v>ClearFiltersAllocatedGrid</v>
      </c>
      <c r="C338" t="str">
        <f>IFERROR(__xludf.DUMMYFUNCTION("""COMPUTED_VALUE"""),"undefined")</f>
        <v>undefined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IFERROR(__xludf.DUMMYFUNCTION("""COMPUTED_VALUE"""),"ClearFiltersUnallocatedGrid")</f>
        <v>ClearFiltersUnallocatedGrid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IFERROR(__xludf.DUMMYFUNCTION("""COMPUTED_VALUE"""),"VerifyLayoutAllocatedGrid")</f>
        <v>VerifyLayoutAllocatedGrid</v>
      </c>
      <c r="C340" t="str">
        <f>IFERROR(__xludf.DUMMYFUNCTION("""COMPUTED_VALUE"""),"1CwPykEk7zMYYVBkEvkTfslvYso3Klr69YGyT7h7jC8g")</f>
        <v>1CwPykEk7zMYYVBkEvkTfslvYso3Klr69YGyT7h7jC8g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IFERROR(__xludf.DUMMYFUNCTION("""COMPUTED_VALUE"""),"VerifyLayoutUnallocatedGrid")</f>
        <v>VerifyLayoutUnallocatedGrid</v>
      </c>
      <c r="C341" t="str">
        <f>IFERROR(__xludf.DUMMYFUNCTION("""COMPUTED_VALUE"""),"1yX-FUpbSMuYg2jkSUK8wa37Ri2EzHCqLAyUV1GkKGxQ")</f>
        <v>1yX-FUpbSMuYg2jkSUK8wa37Ri2EzHCqLAyUV1GkKGxQ</v>
      </c>
    </row>
    <row r="342" ht="15.75" customHeight="1">
      <c r="A342" t="str">
        <f>IFERROR(__xludf.DUMMYFUNCTION("""COMPUTED_VALUE"""),"DailyValuation")</f>
        <v>DailyValuation</v>
      </c>
      <c r="B342" t="str">
        <f>IFERROR(__xludf.DUMMYFUNCTION("""COMPUTED_VALUE"""),"UpdateForexConversionMonthly")</f>
        <v>UpdateForexConversionMonthly</v>
      </c>
      <c r="C342" t="str">
        <f>IFERROR(__xludf.DUMMYFUNCTION("""COMPUTED_VALUE"""),"1AUGavKEtSuKHgAjuYtsiF071G0-SoUFfzD6Y42IYV7g")</f>
        <v>1AUGavKEtSuKHgAjuYtsiF071G0-SoUFfzD6Y42IYV7g</v>
      </c>
    </row>
    <row r="343" ht="15.75" customHeight="1">
      <c r="A343" t="str">
        <f>IFERROR(__xludf.DUMMYFUNCTION("""COMPUTED_VALUE"""),"GeneralLedger")</f>
        <v>GeneralLedger</v>
      </c>
      <c r="B343" t="str">
        <f>IFERROR(__xludf.DUMMYFUNCTION("""COMPUTED_VALUE"""),"SaveTransaction")</f>
        <v>SaveTransaction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IFERROR(__xludf.DUMMYFUNCTION("""COMPUTED_VALUE"""),"UpdateMarkPriceMonthly")</f>
        <v>UpdateMarkPriceMonthly</v>
      </c>
      <c r="C344" t="str">
        <f>IFERROR(__xludf.DUMMYFUNCTION("""COMPUTED_VALUE"""),"1bdWChE4lhNkRFvBKdaIRusR869a1vAjS5u0gpQB83gg")</f>
        <v>1bdWChE4lhNkRFvBKdaIRusR869a1vAjS5u0gpQB83gg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IFERROR(__xludf.DUMMYFUNCTION("""COMPUTED_VALUE"""),"CleanUp")</f>
        <v>CleanUp</v>
      </c>
      <c r="C345" t="str">
        <f>IFERROR(__xludf.DUMMYFUNCTION("""COMPUTED_VALUE"""),"1wpP_Any4jtABxcsXGPSKAO7xmt0PgI3SAKvkYdj0XNk")</f>
        <v>1wpP_Any4jtABxcsXGPSKAO7xmt0PgI3SAKvkYdj0XNk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IFERROR(__xludf.DUMMYFUNCTION("""COMPUTED_VALUE"""),"CheckAllocatedTaxlots")</f>
        <v>CheckAllocatedTaxlots</v>
      </c>
      <c r="C346" t="str">
        <f>IFERROR(__xludf.DUMMYFUNCTION("""COMPUTED_VALUE"""),"1YqC1JbdGvSDN-uKdsTx8E6wcPDlCy33jsQ4uTHe1Ea0")</f>
        <v>1YqC1JbdGvSDN-uKdsTx8E6wcPDlCy33jsQ4uTHe1Ea0</v>
      </c>
    </row>
    <row r="347" ht="15.75" customHeight="1">
      <c r="A347" t="str">
        <f>IFERROR(__xludf.DUMMYFUNCTION("""COMPUTED_VALUE"""),"Closing")</f>
        <v>Closing</v>
      </c>
      <c r="B347" t="str">
        <f>IFERROR(__xludf.DUMMYFUNCTION("""COMPUTED_VALUE"""),"EditTradeUnexpiredUnsettled")</f>
        <v>EditTradeUnexpiredUnsettled</v>
      </c>
      <c r="C347" t="str">
        <f>IFERROR(__xludf.DUMMYFUNCTION("""COMPUTED_VALUE"""),"1BgKv-LW3Zj48Qo2Ee7DjbP2A-k7zRQ6Y25DwtcXod04")</f>
        <v>1BgKv-LW3Zj48Qo2Ee7DjbP2A-k7zRQ6Y25DwtcXod04</v>
      </c>
    </row>
    <row r="348" ht="15.75" customHeight="1">
      <c r="A348" t="str">
        <f>IFERROR(__xludf.DUMMYFUNCTION("""COMPUTED_VALUE"""),"ThirdParty")</f>
        <v>ThirdParty</v>
      </c>
      <c r="B348" t="str">
        <f>IFERROR(__xludf.DUMMYFUNCTION("""COMPUTED_VALUE"""),"VerifyThirdPartyView")</f>
        <v>VerifyThirdPartyView</v>
      </c>
      <c r="C348" t="str">
        <f>IFERROR(__xludf.DUMMYFUNCTION("""COMPUTED_VALUE"""),"1Bhq-a_LzI2roHS4ah4FyrUJ2yYXN7T16HEPh2paEGp8")</f>
        <v>1Bhq-a_LzI2roHS4ah4FyrUJ2yYXN7T16HEPh2paEGp8</v>
      </c>
    </row>
    <row r="349" ht="15.75" customHeight="1">
      <c r="A349" t="str">
        <f>IFERROR(__xludf.DUMMYFUNCTION("""COMPUTED_VALUE"""),"Compliance")</f>
        <v>Compliance</v>
      </c>
      <c r="B349" t="str">
        <f>IFERROR(__xludf.DUMMYFUNCTION("""COMPUTED_VALUE"""),"CheckCompliance")</f>
        <v>CheckCompliance</v>
      </c>
      <c r="C349" t="str">
        <f>IFERROR(__xludf.DUMMYFUNCTION("""COMPUTED_VALUE"""),"1y0uDmVZUA0KssyJ6ayaDJLLsFJ-XstBpZASkuWd6Kvw")</f>
        <v>1y0uDmVZUA0KssyJ6ayaDJLLsFJ-XstBpZASkuWd6Kvw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IFERROR(__xludf.DUMMYFUNCTION("""COMPUTED_VALUE"""),"VerifyAccountDivisorWindow")</f>
        <v>VerifyAccountDivisorWindow</v>
      </c>
      <c r="C350" t="str">
        <f>IFERROR(__xludf.DUMMYFUNCTION("""COMPUTED_VALUE"""),"1wA9--G72aVEWqaqmqr86HqJaqyM523Pt40dw38mxM0I")</f>
        <v>1wA9--G72aVEWqaqmqr86HqJaqyM523Pt40dw38mxM0I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IFERROR(__xludf.DUMMYFUNCTION("""COMPUTED_VALUE"""),"VerifyAccountSymbolDivisorWindow")</f>
        <v>VerifyAccountSymbolDivisorWindow</v>
      </c>
      <c r="C351" t="str">
        <f>IFERROR(__xludf.DUMMYFUNCTION("""COMPUTED_VALUE"""),"1z0feEuKarwoE0a0VhYLSs24xA2zNHnyVITHLS2bPy7c")</f>
        <v>1z0feEuKarwoE0a0VhYLSs24xA2zNHnyVITHLS2bPy7c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IFERROR(__xludf.DUMMYFUNCTION("""COMPUTED_VALUE"""),"VerifyAggregationAccountSymbolWithNav")</f>
        <v>VerifyAggregationAccountSymbolWithNav</v>
      </c>
      <c r="C352" t="str">
        <f>IFERROR(__xludf.DUMMYFUNCTION("""COMPUTED_VALUE"""),"1xCLqu3szSvwk7DiskB14PZD-kHv3CU4mXgzWmrhfoTU")</f>
        <v>1xCLqu3szSvwk7DiskB14PZD-kHv3CU4mXgzWmrhfoTU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IFERROR(__xludf.DUMMYFUNCTION("""COMPUTED_VALUE"""),"VerifyAggregationAccountWithNav")</f>
        <v>VerifyAggregationAccountWithNav</v>
      </c>
      <c r="C353" t="str">
        <f>IFERROR(__xludf.DUMMYFUNCTION("""COMPUTED_VALUE"""),"1G_Uk8JTVlSprGyR-gsarPm44MVSB-m__w9gx5dz8g3s")</f>
        <v>1G_Uk8JTVlSprGyR-gsarPm44MVSB-m__w9gx5dz8g3s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IFERROR(__xludf.DUMMYFUNCTION("""COMPUTED_VALUE"""),"VerifyAggregationMasterFundSymbolWithNav")</f>
        <v>VerifyAggregationMasterFundSymbolWithNav</v>
      </c>
      <c r="C354" t="str">
        <f>IFERROR(__xludf.DUMMYFUNCTION("""COMPUTED_VALUE"""),"1b8KJ45vuNWv0h-8vF72b3PqTJGjKgmQdgVHyXoLISM8")</f>
        <v>1b8KJ45vuNWv0h-8vF72b3PqTJGjKgmQdgVHyXoLISM8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IFERROR(__xludf.DUMMYFUNCTION("""COMPUTED_VALUE"""),"VerifyAggregationMasterFundUnderlyingSymbolWithNav")</f>
        <v>VerifyAggregationMasterFundUnderlyingSymbolWithNav</v>
      </c>
      <c r="C355" t="str">
        <f>IFERROR(__xludf.DUMMYFUNCTION("""COMPUTED_VALUE"""),"1jbQw_xeWwzEkaaG_HDlLasp2Ti0S1Fb7R8MXW7PQWjY")</f>
        <v>1jbQw_xeWwzEkaaG_HDlLasp2Ti0S1Fb7R8MXW7PQWjY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IFERROR(__xludf.DUMMYFUNCTION("""COMPUTED_VALUE"""),"VerifyAggregationMasterFundWithNav")</f>
        <v>VerifyAggregationMasterFundWithNav</v>
      </c>
      <c r="C356" t="str">
        <f>IFERROR(__xludf.DUMMYFUNCTION("""COMPUTED_VALUE"""),"1tpmrgkVmPSPSg99RKo6LwLAhQ8M3eONGctKXc_537qE")</f>
        <v>1tpmrgkVmPSPSg99RKo6LwLAhQ8M3eONGctKXc_537qE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IFERROR(__xludf.DUMMYFUNCTION("""COMPUTED_VALUE"""),"VerifyAggregationSectorWithNav")</f>
        <v>VerifyAggregationSectorWithNav</v>
      </c>
      <c r="C357" t="str">
        <f>IFERROR(__xludf.DUMMYFUNCTION("""COMPUTED_VALUE"""),"1Ps79IPxJ5FGHg7xZORovz5nFqA4B-gG5zxYXyju8o0Y")</f>
        <v>1Ps79IPxJ5FGHg7xZORovz5nFqA4B-gG5zxYXyju8o0Y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IFERROR(__xludf.DUMMYFUNCTION("""COMPUTED_VALUE"""),"VerifyAggregationUnderlyingSymbolWithNav")</f>
        <v>VerifyAggregationUnderlyingSymbolWithNav</v>
      </c>
      <c r="C358" t="str">
        <f>IFERROR(__xludf.DUMMYFUNCTION("""COMPUTED_VALUE"""),"1MKg6U1zZlssS3MzoDjqF0yoSDf9NnReKcSlKOdmPSa0")</f>
        <v>1MKg6U1zZlssS3MzoDjqF0yoSDf9NnReKcSlKOdmPSa0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IFERROR(__xludf.DUMMYFUNCTION("""COMPUTED_VALUE"""),"VerifyAuecWindow")</f>
        <v>VerifyAuecWindow</v>
      </c>
      <c r="C359" t="str">
        <f>IFERROR(__xludf.DUMMYFUNCTION("""COMPUTED_VALUE"""),"13uphyNpV-lIcdnnRCDD0ufiubKQK77lTDMmRb4aZUH8")</f>
        <v>13uphyNpV-lIcdnnRCDD0ufiubKQK77lTDMmRb4aZUH8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IFERROR(__xludf.DUMMYFUNCTION("""COMPUTED_VALUE"""),"VerifyBetaWindow")</f>
        <v>VerifyBetaWindow</v>
      </c>
      <c r="C360" t="str">
        <f>IFERROR(__xludf.DUMMYFUNCTION("""COMPUTED_VALUE"""),"1G7Ye63Sk3lyG-vcaryo0GGGqUkzHGGzGt2O3FNdECro")</f>
        <v>1G7Ye63Sk3lyG-vcaryo0GGGqUkzHGGzGt2O3FNdECro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IFERROR(__xludf.DUMMYFUNCTION("""COMPUTED_VALUE"""),"VerifyCustomSymbolDataWindow")</f>
        <v>VerifyCustomSymbolDataWindow</v>
      </c>
      <c r="C361" t="str">
        <f>IFERROR(__xludf.DUMMYFUNCTION("""COMPUTED_VALUE"""),"1X9ZLs6zkOiyry8bzRkBLkxA8dDiRH1dhu8licsT5kTk")</f>
        <v>1X9ZLs6zkOiyry8bzRkBLkxA8dDiRH1dhu8licsT5kTk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IFERROR(__xludf.DUMMYFUNCTION("""COMPUTED_VALUE"""),"VerifyDayEndCashAccountWindow")</f>
        <v>VerifyDayEndCashAccountWindow</v>
      </c>
      <c r="C362" t="str">
        <f>IFERROR(__xludf.DUMMYFUNCTION("""COMPUTED_VALUE"""),"1eZXt6er6ekDW3vEUci-S-LNDowWjzf-SH9znUNtFyzg")</f>
        <v>1eZXt6er6ekDW3vEUci-S-LNDowWjzf-SH9znUNtFyzg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IFERROR(__xludf.DUMMYFUNCTION("""COMPUTED_VALUE"""),"VerifyDbNavWindow")</f>
        <v>VerifyDbNavWindow</v>
      </c>
      <c r="C363" t="str">
        <f>IFERROR(__xludf.DUMMYFUNCTION("""COMPUTED_VALUE"""),"1Z7OOAb9FwPIKp3RjfxeFrnTdJVfMLbCrmS-3obeYxxg")</f>
        <v>1Z7OOAb9FwPIKp3RjfxeFrnTdJVfMLbCrmS-3obeYxxg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IFERROR(__xludf.DUMMYFUNCTION("""COMPUTED_VALUE"""),"VerifyGlobalDivisorWindow")</f>
        <v>VerifyGlobalDivisorWindow</v>
      </c>
      <c r="C364" t="str">
        <f>IFERROR(__xludf.DUMMYFUNCTION("""COMPUTED_VALUE"""),"18xmdZqLW5pnA6FkxzF2PF2hG7bGqwTKhy-Mn_UAyi2w")</f>
        <v>18xmdZqLW5pnA6FkxzF2PF2hG7bGqwTKhy-Mn_UAyi2w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IFERROR(__xludf.DUMMYFUNCTION("""COMPUTED_VALUE"""),"VerifyPmCalculationPreferenceWindow")</f>
        <v>VerifyPmCalculationPreferenceWindow</v>
      </c>
      <c r="C365" t="str">
        <f>IFERROR(__xludf.DUMMYFUNCTION("""COMPUTED_VALUE"""),"1KwYK5wCdNK4x9Nb2ODpwqlIRF15bF5lm33yF-rE0E88")</f>
        <v>1KwYK5wCdNK4x9Nb2ODpwqlIRF15bF5lm33yF-rE0E88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IFERROR(__xludf.DUMMYFUNCTION("""COMPUTED_VALUE"""),"VerifyRowCalculationBaseWindow")</f>
        <v>VerifyRowCalculationBaseWindow</v>
      </c>
      <c r="C366" t="str">
        <f>IFERROR(__xludf.DUMMYFUNCTION("""COMPUTED_VALUE"""),"1EYkSaFCb1-cfMdhGTqVQ93F1B1fAGibLJGFBaO4IKK8")</f>
        <v>1EYkSaFCb1-cfMdhGTqVQ93F1B1fAGibLJGFBaO4IKK8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IFERROR(__xludf.DUMMYFUNCTION("""COMPUTED_VALUE"""),"VerifySecurityWindow")</f>
        <v>VerifySecurityWindow</v>
      </c>
      <c r="C367" t="str">
        <f>IFERROR(__xludf.DUMMYFUNCTION("""COMPUTED_VALUE"""),"1NTrrGa3uWN4TviPU6osMMGTU2_Pzk0cTaF7B9fuF1Zc")</f>
        <v>1NTrrGa3uWN4TviPU6osMMGTU2_Pzk0cTaF7B9fuF1Zc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IFERROR(__xludf.DUMMYFUNCTION("""COMPUTED_VALUE"""),"VerifySymbolDataWindow")</f>
        <v>VerifySymbolDataWindow</v>
      </c>
      <c r="C368" t="str">
        <f>IFERROR(__xludf.DUMMYFUNCTION("""COMPUTED_VALUE"""),"1Jz-1DjEIXVhNWL1-97QH77oH1Zaxtvi3jXe39t48nXM")</f>
        <v>1Jz-1DjEIXVhNWL1-97QH77oH1Zaxtvi3jXe39t48nXM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IFERROR(__xludf.DUMMYFUNCTION("""COMPUTED_VALUE"""),"VerifySymbolDivisorWindow")</f>
        <v>VerifySymbolDivisorWindow</v>
      </c>
      <c r="C369" t="str">
        <f>IFERROR(__xludf.DUMMYFUNCTION("""COMPUTED_VALUE"""),"1_BAhdKmc47MhjFQ82axBd5g9A4h_olwLQzwkxxBFlSA")</f>
        <v>1_BAhdKmc47MhjFQ82axBd5g9A4h_olwLQzwkxxBFlSA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IFERROR(__xludf.DUMMYFUNCTION("""COMPUTED_VALUE"""),"VerifyTaxlotWindow")</f>
        <v>VerifyTaxlotWindow</v>
      </c>
      <c r="C370" t="str">
        <f>IFERROR(__xludf.DUMMYFUNCTION("""COMPUTED_VALUE"""),"1NLRYNwnDa02qeea2mvWlimsdnr_FnF-9zA3yQfPGpNk")</f>
        <v>1NLRYNwnDa02qeea2mvWlimsdnr_FnF-9zA3yQfPGpNk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IFERROR(__xludf.DUMMYFUNCTION("""COMPUTED_VALUE"""),"RestartEsper")</f>
        <v>RestartEsper</v>
      </c>
      <c r="C371" t="str">
        <f>IFERROR(__xludf.DUMMYFUNCTION("""COMPUTED_VALUE"""),"undefined")</f>
        <v>undefined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IFERROR(__xludf.DUMMYFUNCTION("""COMPUTED_VALUE"""),"VerifyAccountNavPreferenceWindow")</f>
        <v>VerifyAccountNavPreferenceWindow</v>
      </c>
      <c r="C372" t="str">
        <f>IFERROR(__xludf.DUMMYFUNCTION("""COMPUTED_VALUE"""),"19w_Ks_xSuyS2DhQ4ueygTaw8a-fX6Zv_NRtSNtkeJcw")</f>
        <v>19w_Ks_xSuyS2DhQ4ueygTaw8a-fX6Zv_NRtSNtkeJcw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 VerifyAggregationAccountUnderlyingSymbolWithNav")</f>
        <v> VerifyAggregationAccountUnderlyingSymbolWithNav</v>
      </c>
      <c r="C373" t="str">
        <f>IFERROR(__xludf.DUMMYFUNCTION("""COMPUTED_VALUE"""),"1UYQAxEz0yKJ_n6eK0MJTVwXlv21-STgSHETQUy3An8w")</f>
        <v>1UYQAxEz0yKJ_n6eK0MJTVwXlv21-STgSHETQUy3An8w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IFERROR(__xludf.DUMMYFUNCTION("""COMPUTED_VALUE"""),"VerifyAggregationAssetWithNav")</f>
        <v>VerifyAggregationAssetWithNav</v>
      </c>
      <c r="C374" t="str">
        <f>IFERROR(__xludf.DUMMYFUNCTION("""COMPUTED_VALUE"""),"1dKfTnjNHlB-imf6ZI2iECsJdz-r-aLBTFIKoPO_nLU8")</f>
        <v>1dKfTnjNHlB-imf6ZI2iECsJdz-r-aLBTFIKoPO_nLU8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IFERROR(__xludf.DUMMYFUNCTION("""COMPUTED_VALUE"""),"VerifyAggregationSymbolWithNav")</f>
        <v>VerifyAggregationSymbolWithNav</v>
      </c>
      <c r="C375" t="str">
        <f>IFERROR(__xludf.DUMMYFUNCTION("""COMPUTED_VALUE"""),"17wpuicUWWz3ldMURoDLDbJRohRCnjcpTGhocntZfKsc")</f>
        <v>17wpuicUWWz3ldMURoDLDbJRohRCnjcpTGhocntZfKsc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IFERROR(__xludf.DUMMYFUNCTION("""COMPUTED_VALUE"""),"VerifyAggregationSubSectorWithNav")</f>
        <v>VerifyAggregationSubSectorWithNav</v>
      </c>
      <c r="C376" t="str">
        <f>IFERROR(__xludf.DUMMYFUNCTION("""COMPUTED_VALUE"""),"1QfJsdf4NGj4Dj0YIxbSTXTjhynFG2X_qswbZp4VEBo4")</f>
        <v>1QfJsdf4NGj4Dj0YIxbSTXTjhynFG2X_qswbZp4VEBo4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IFERROR(__xludf.DUMMYFUNCTION("""COMPUTED_VALUE"""),"VerifyAggregationGlobalWithNav")</f>
        <v>VerifyAggregationGlobalWithNav</v>
      </c>
      <c r="C377" t="str">
        <f>IFERROR(__xludf.DUMMYFUNCTION("""COMPUTED_VALUE"""),"10ZNA5DvAU__HVHWvyAxsJMI8GemQ7y3ryoI2yFrCc5s")</f>
        <v>10ZNA5DvAU__HVHWvyAxsJMI8GemQ7y3ryoI2yFrCc5s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VerifyAggregationGlobalWithNav")</f>
        <v> 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IFERROR(__xludf.DUMMYFUNCTION("""COMPUTED_VALUE"""),"VerifyGlobalDivisorWindow")</f>
        <v>VerifyGlobalDivisorWindow</v>
      </c>
      <c r="C379" t="str">
        <f>IFERROR(__xludf.DUMMYFUNCTION("""COMPUTED_VALUE"""),"18xmdZqLW5pnA6FkxzF2PF2hG7bGqwTKhy-Mn_UAyi2w")</f>
        <v>18xmdZqLW5pnA6FkxzF2PF2hG7bGqwTKhy-Mn_UAyi2w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VerifyAccrualForAccountWindow")</f>
        <v> VerifyAccrualForAccountWindow</v>
      </c>
      <c r="C380" t="str">
        <f>IFERROR(__xludf.DUMMYFUNCTION("""COMPUTED_VALUE"""),"15sEcD0nSlwM0bIlhN_Z36hpeQYWbVL5d5AK5kVqm1m8")</f>
        <v>15sEcD0nSlwM0bIlhN_Z36hpeQYWbVL5d5AK5kVqm1m8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IFERROR(__xludf.DUMMYFUNCTION("""COMPUTED_VALUE"""),"18xmdZqLW5pnA6FkxzF2PF2hG7bGqwTKhy-Mn_UAyi2w")</f>
        <v>18xmdZqLW5pnA6FkxzF2PF2hG7bGqwTKhy-Mn_UAyi2w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IFERROR(__xludf.DUMMYFUNCTION("""COMPUTED_VALUE"""),"VerifyMasterFundDivisorWindow")</f>
        <v>VerifyMasterFundDivisorWindow</v>
      </c>
      <c r="C382" t="str">
        <f>IFERROR(__xludf.DUMMYFUNCTION("""COMPUTED_VALUE"""),"1eShiZeHy6PMki2w9zAroJwtcU8DJAD3rGlyetDKwNsQ")</f>
        <v>1eShiZeHy6PMki2w9zAroJwtcU8DJAD3rGlyetDKwNsQ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IFERROR(__xludf.DUMMYFUNCTION("""COMPUTED_VALUE"""),"VerifyMasterFundSymbolDivisorWindow")</f>
        <v>VerifyMasterFundSymbolDivisorWindow</v>
      </c>
      <c r="C383" t="str">
        <f>IFERROR(__xludf.DUMMYFUNCTION("""COMPUTED_VALUE"""),"1--BWTsPeHeaUWrFxnJJ4Hxg1RMHz7TMg9PNL6IG--bQ")</f>
        <v>1--BWTsPeHeaUWrFxnJJ4Hxg1RMHz7TMg9PNL6IG--bQ</v>
      </c>
    </row>
    <row r="384" ht="15.75" customHeight="1">
      <c r="A384" t="str">
        <f>IFERROR(__xludf.DUMMYFUNCTION("""COMPUTED_VALUE"""),"Rebalancer")</f>
        <v>Rebalancer</v>
      </c>
      <c r="B384" t="str">
        <f>IFERROR(__xludf.DUMMYFUNCTION("""COMPUTED_VALUE"""),"FetchAccountPositions")</f>
        <v>FetchAccountPositions</v>
      </c>
      <c r="C384" t="str">
        <f>IFERROR(__xludf.DUMMYFUNCTION("""COMPUTED_VALUE"""),"1XcSN66s5Sbt3BBDBESO_MzCX19JEubK7C7JEhc1P6Dg")</f>
        <v>1XcSN66s5Sbt3BBDBESO_MzCX19JEubK7C7JEhc1P6Dg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IFERROR(__xludf.DUMMYFUNCTION("""COMPUTED_VALUE"""),"AddCash")</f>
        <v>AddCash</v>
      </c>
      <c r="C385" t="str">
        <f>IFERROR(__xludf.DUMMYFUNCTION("""COMPUTED_VALUE"""),"1Hsk7z4Hl0qfkVqTQ-ho4nDmWzTS7QuBrYDmVZp2fyfU")</f>
        <v>1Hsk7z4Hl0qfkVqTQ-ho4nDmWzTS7QuBrYDmVZp2fyfU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IFERROR(__xludf.DUMMYFUNCTION("""COMPUTED_VALUE"""),"VerifyGridData")</f>
        <v>VerifyGridData</v>
      </c>
      <c r="C386" t="str">
        <f>IFERROR(__xludf.DUMMYFUNCTION("""COMPUTED_VALUE"""),"1kZ0HZFDzYAoCBydDBtPNqvOI-eyPeqVxEOYYndrkOKY")</f>
        <v>1kZ0HZFDzYAoCBydDBtPNqvOI-eyPeqVxEOYYndrkOKY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IFERROR(__xludf.DUMMYFUNCTION("""COMPUTED_VALUE"""),"RunRebalance")</f>
        <v>RunRebalance</v>
      </c>
      <c r="C387" t="str">
        <f>IFERROR(__xludf.DUMMYFUNCTION("""COMPUTED_VALUE"""),"1PYDvpEzlMfU1DsvGlSfmKshHxHyMHpl_Zb58SSDakb8")</f>
        <v>1PYDvpEzlMfU1DsvGlSfmKshHxHyMHpl_Zb58SSDakb8</v>
      </c>
    </row>
    <row r="388" ht="15.75" customHeight="1">
      <c r="A388" t="str">
        <f>IFERROR(__xludf.DUMMYFUNCTION("""COMPUTED_VALUE"""),"Simulator")</f>
        <v>Simulator</v>
      </c>
      <c r="B388" t="str">
        <f>IFERROR(__xludf.DUMMYFUNCTION("""COMPUTED_VALUE"""),"SelectTrade")</f>
        <v>SelectTrade</v>
      </c>
      <c r="C388" t="str">
        <f>IFERROR(__xludf.DUMMYFUNCTION("""COMPUTED_VALUE"""),"1cNt_QPH0xThwJY57mw3JMlkf6u0xY_Xhs2hcsg54wKs")</f>
        <v>1cNt_QPH0xThwJY57mw3JMlkf6u0xY_Xhs2hcsg54wKs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IFERROR(__xludf.DUMMYFUNCTION("""COMPUTED_VALUE"""),"AcknowledgeTrade")</f>
        <v>AcknowledgeTrade</v>
      </c>
      <c r="C389" t="str">
        <f>IFERROR(__xludf.DUMMYFUNCTION("""COMPUTED_VALUE"""),"1kgv7MgVOFU-SgqnnvM5c1KY2c35xLXsCrPpr7YcOqvA")</f>
        <v>1kgv7MgVOFU-SgqnnvM5c1KY2c35xLXsCrPpr7YcOqvA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IFERROR(__xludf.DUMMYFUNCTION("""COMPUTED_VALUE"""),"RejectTrade")</f>
        <v>RejectTrade</v>
      </c>
      <c r="C390" t="str">
        <f>IFERROR(__xludf.DUMMYFUNCTION("""COMPUTED_VALUE"""),"1BFMeTTBAJUjY8UWwoGYx5d_suxQqoXCu2AtVXDs2DI8")</f>
        <v>1BFMeTTBAJUjY8UWwoGYx5d_suxQqoXCu2AtVXDs2DI8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IFERROR(__xludf.DUMMYFUNCTION("""COMPUTED_VALUE"""),"ExecuteTrade")</f>
        <v>ExecuteTrade</v>
      </c>
      <c r="C391" t="str">
        <f>IFERROR(__xludf.DUMMYFUNCTION("""COMPUTED_VALUE"""),"1CJZHfIxDvKYXPM4TcwOIjmKY8kzg4_zJFRj4pZloBg0")</f>
        <v>1CJZHfIxDvKYXPM4TcwOIjmKY8kzg4_zJFRj4pZloBg0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IFERROR(__xludf.DUMMYFUNCTION("""COMPUTED_VALUE"""),"CancelTrade")</f>
        <v>CancelTrade</v>
      </c>
      <c r="C392" t="str">
        <f>IFERROR(__xludf.DUMMYFUNCTION("""COMPUTED_VALUE"""),"1Ec0_nwlu5YKn069vknmktkFStzY4YdPEFRwMqViwG-k")</f>
        <v>1Ec0_nwlu5YKn069vknmktkFStzY4YdPEFRwMqViwG-k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IFERROR(__xludf.DUMMYFUNCTION("""COMPUTED_VALUE"""),"OpenLiveTT")</f>
        <v>OpenLiveTT</v>
      </c>
      <c r="C393" t="str">
        <f>IFERROR(__xludf.DUMMYFUNCTION("""COMPUTED_VALUE"""),"1Y8No6h6-FS0LbyDQM9oxk7_oi9yfsEmLLN_JqCjSctE")</f>
        <v>1Y8No6h6-FS0LbyDQM9oxk7_oi9yfsEmLLN_JqCjSctE</v>
      </c>
    </row>
    <row r="394" ht="15.75" customHeight="1">
      <c r="A394" t="str">
        <f>IFERROR(__xludf.DUMMYFUNCTION("""COMPUTED_VALUE"""),"TradingTicket")</f>
        <v>TradingTicket</v>
      </c>
      <c r="B394" t="str">
        <f>IFERROR(__xludf.DUMMYFUNCTION("""COMPUTED_VALUE"""),"CreateLiveOrder")</f>
        <v>CreateLiveOrder</v>
      </c>
      <c r="C394" t="str">
        <f>IFERROR(__xludf.DUMMYFUNCTION("""COMPUTED_VALUE"""),"10BNZLMtk4R3em8SD0JoDVdQl_KjTinG0m3lpnUVi1yw")</f>
        <v>10BNZLMtk4R3em8SD0JoDVdQl_KjTinG0m3lpnUVi1yw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IFERROR(__xludf.DUMMYFUNCTION("""COMPUTED_VALUE"""),"SetManualResponse ")</f>
        <v>SetManualResponse </v>
      </c>
      <c r="C395" t="str">
        <f>IFERROR(__xludf.DUMMYFUNCTION("""COMPUTED_VALUE"""),"11NutoTY7szRH7Ii8fI1SJm0EiZnCQW4E_GzEoR2IX7g")</f>
        <v>11NutoTY7szRH7Ii8fI1SJm0EiZnCQW4E_GzEoR2IX7g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IFERROR(__xludf.DUMMYFUNCTION("""COMPUTED_VALUE"""),"ClearUI")</f>
        <v>ClearUI</v>
      </c>
      <c r="C396" t="str">
        <f>IFERROR(__xludf.DUMMYFUNCTION("""COMPUTED_VALUE"""),"1OWSBdhy6y8XGJ0saWSWhIG9VTKIREEL_6c14b5Suo8s")</f>
        <v>1OWSBdhy6y8XGJ0saWSWhIG9VTKIREEL_6c14b5Suo8s</v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IFERROR(__xludf.DUMMYFUNCTION("""COMPUTED_VALUE"""),"RebalanceAcrossSecurities")</f>
        <v>RebalanceAcrossSecurities</v>
      </c>
      <c r="C397" t="str">
        <f>IFERROR(__xludf.DUMMYFUNCTION("""COMPUTED_VALUE"""),"1j62jfW0WnlPy6Si0tJH2NI89M1AlLAIFxvhoySEfcNA")</f>
        <v>1j62jfW0WnlPy6Si0tJH2NI89M1AlLAIFxvhoySEfcNA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IFERROR(__xludf.DUMMYFUNCTION("""COMPUTED_VALUE"""),"ClearCalculations")</f>
        <v>ClearCalculations</v>
      </c>
      <c r="C398" t="str">
        <f>IFERROR(__xludf.DUMMYFUNCTION("""COMPUTED_VALUE"""),"1oMi0q843iNKIPgczycexiZ4cleEBD7cCoDEyD8lNclE")</f>
        <v>1oMi0q843iNKIPgczycexiZ4cleEBD7cCoDEyD8lNclE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IFERROR(__xludf.DUMMYFUNCTION("""COMPUTED_VALUE"""),"ModifyRebalance")</f>
        <v>ModifyRebalance</v>
      </c>
      <c r="C399" t="str">
        <f>IFERROR(__xludf.DUMMYFUNCTION("""COMPUTED_VALUE"""),"124Iufd2K3SWQjqbZ8ImMaHsn7IVbVolzLSUNj2xuCag")</f>
        <v>124Iufd2K3SWQjqbZ8ImMaHsn7IVbVolzLSUNj2xuCag</v>
      </c>
    </row>
    <row r="400" ht="15.75" customHeight="1">
      <c r="A400" t="str">
        <f>IFERROR(__xludf.DUMMYFUNCTION("""COMPUTED_VALUE"""),"ThirdParty")</f>
        <v>ThirdParty</v>
      </c>
      <c r="B400" t="str">
        <f>IFERROR(__xludf.DUMMYFUNCTION("""COMPUTED_VALUE"""),"SelectThirdParty")</f>
        <v>SelectThirdParty</v>
      </c>
      <c r="C400" t="str">
        <f>IFERROR(__xludf.DUMMYFUNCTION("""COMPUTED_VALUE"""),"17RhtcYRrs_YN-vBidOyMUbbAxKnGeQ-2JIt8vs9rE5o")</f>
        <v>17RhtcYRrs_YN-vBidOyMUbbAxKnGeQ-2JIt8vs9rE5o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IFERROR(__xludf.DUMMYFUNCTION("""COMPUTED_VALUE"""),"ViewThirdParty")</f>
        <v>ViewThirdParty</v>
      </c>
      <c r="C401" t="str">
        <f>IFERROR(__xludf.DUMMYFUNCTION("""COMPUTED_VALUE"""),"1ZfIgMPS9NpuMtE47suVwo-kA1KXMaKf-ADsjK3-OiFk")</f>
        <v>1ZfIgMPS9NpuMtE47suVwo-kA1KXMaKf-ADsjK3-OiFk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IFERROR(__xludf.DUMMYFUNCTION("""COMPUTED_VALUE"""),"ThirdPartyGenerate")</f>
        <v>ThirdPartyGenerate</v>
      </c>
      <c r="C402" t="str">
        <f>IFERROR(__xludf.DUMMYFUNCTION("""COMPUTED_VALUE"""),"18YSGcykX6msu9uJFtoPx85HXHvQ-faE6GL1h89yp0fE")</f>
        <v>18YSGcykX6msu9uJFtoPx85HXHvQ-faE6GL1h89yp0fE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IFERROR(__xludf.DUMMYFUNCTION("""COMPUTED_VALUE"""),"VerifyThirdPartyView")</f>
        <v>VerifyThirdPartyView</v>
      </c>
      <c r="C403" t="str">
        <f>IFERROR(__xludf.DUMMYFUNCTION("""COMPUTED_VALUE"""),"1Bhq-a_LzI2roHS4ah4FyrUJ2yYXN7T16HEPh2paEGp8")</f>
        <v>1Bhq-a_LzI2roHS4ah4FyrUJ2yYXN7T16HEPh2paEGp8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IFERROR(__xludf.DUMMYFUNCTION("""COMPUTED_VALUE"""),"VerifyThirdPartyGenerate")</f>
        <v>VerifyThirdPartyGenerate</v>
      </c>
      <c r="C404" t="str">
        <f>IFERROR(__xludf.DUMMYFUNCTION("""COMPUTED_VALUE"""),"1KiJe0t8f-Z3sMbprzhIS2_jGwhE9yeai46VmZqqyF84")</f>
        <v>1KiJe0t8f-Z3sMbprzhIS2_jGwhE9yeai46VmZqqyF84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IFERROR(__xludf.DUMMYFUNCTION("""COMPUTED_VALUE"""),"VerifyThirdPartySend")</f>
        <v>VerifyThirdPartySend</v>
      </c>
      <c r="C405" t="str">
        <f>IFERROR(__xludf.DUMMYFUNCTION("""COMPUTED_VALUE"""),"1ZMM3Z5j3worIFB7Wt8pYTm9vtKAiVyUiBNGIHZsfUVU")</f>
        <v>1ZMM3Z5j3worIFB7Wt8pYTm9vtKAiVyUiBNGIHZsfUVU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IFERROR(__xludf.DUMMYFUNCTION("""COMPUTED_VALUE"""),"ThirdPartySend")</f>
        <v>ThirdPartySend</v>
      </c>
      <c r="C406" t="str">
        <f>IFERROR(__xludf.DUMMYFUNCTION("""COMPUTED_VALUE"""),"1fwDymVh1YPwRLS0OVzxhYbkeKbRpUl4prFO7SRyV_hA")</f>
        <v>1fwDymVh1YPwRLS0OVzxhYbkeKbRpUl4prFO7SRyV_hA</v>
      </c>
    </row>
    <row r="407" ht="15.75" customHeight="1">
      <c r="A407" t="str">
        <f>IFERROR(__xludf.DUMMYFUNCTION("""COMPUTED_VALUE"""),"Blotter")</f>
        <v>Blotter</v>
      </c>
      <c r="B407" t="str">
        <f>IFERROR(__xludf.DUMMYFUNCTION("""COMPUTED_VALUE"""),"VerifyViewAllocationDetails")</f>
        <v>VerifyViewAllocationDetails</v>
      </c>
      <c r="C407" t="str">
        <f>IFERROR(__xludf.DUMMYFUNCTION("""COMPUTED_VALUE"""),"1bam3UDAybELVmpnYwPQATi99nl9DpQ99A7IjE7vdsi8")</f>
        <v>1bam3UDAybELVmpnYwPQATi99nl9DpQ99A7IjE7vdsi8</v>
      </c>
    </row>
    <row r="408" ht="15.75" customHeight="1">
      <c r="A408" t="str">
        <f>IFERROR(__xludf.DUMMYFUNCTION("""COMPUTED_VALUE"""),"PTT")</f>
        <v>PTT</v>
      </c>
      <c r="B408" t="str">
        <f>IFERROR(__xludf.DUMMYFUNCTION("""COMPUTED_VALUE"""),"SelectPTTRecord")</f>
        <v>SelectPTTRecord</v>
      </c>
      <c r="C408" t="str">
        <f>IFERROR(__xludf.DUMMYFUNCTION("""COMPUTED_VALUE"""),"1xJ7gTQfVMeCflKCHTwKYrNQ-Tcf0AYboaATXwHNAslk")</f>
        <v>1xJ7gTQfVMeCflKCHTwKYrNQ-Tcf0AYboaATXwHNAslk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IFERROR(__xludf.DUMMYFUNCTION("""COMPUTED_VALUE"""),"EditPTTRecord")</f>
        <v>EditPTTRecord</v>
      </c>
      <c r="C409" t="str">
        <f>IFERROR(__xludf.DUMMYFUNCTION("""COMPUTED_VALUE"""),"1WdCxXHsuQ3erH24MGTT104a5o2YheSROQebMeF3i0aI")</f>
        <v>1WdCxXHsuQ3erH24MGTT104a5o2YheSROQebMeF3i0aI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IFERROR(__xludf.DUMMYFUNCTION("""COMPUTED_VALUE"""),"GoToAllocation")</f>
        <v>GoToAllocation</v>
      </c>
      <c r="C410" t="str">
        <f>IFERROR(__xludf.DUMMYFUNCTION("""COMPUTED_VALUE"""),"1daWmaCLtl5-u8RrR38duUYZoUwwRdmQNmQUk-UFSbh8")</f>
        <v>1daWmaCLtl5-u8RrR38duUYZoUwwRdmQNmQUk-UFSbh8</v>
      </c>
    </row>
    <row r="411" ht="15.75" customHeight="1">
      <c r="A411" t="str">
        <f>IFERROR(__xludf.DUMMYFUNCTION("""COMPUTED_VALUE"""),"Simulator")</f>
        <v>Simulator</v>
      </c>
      <c r="B411" t="str">
        <f>IFERROR(__xludf.DUMMYFUNCTION("""COMPUTED_VALUE"""),"CloseSimulator")</f>
        <v>CloseSimulator</v>
      </c>
      <c r="C411" t="str">
        <f>IFERROR(__xludf.DUMMYFUNCTION("""COMPUTED_VALUE"""),"undefined")</f>
        <v>undefined</v>
      </c>
    </row>
    <row r="412" ht="15.75" customHeight="1">
      <c r="A412" t="str">
        <f>IFERROR(__xludf.DUMMYFUNCTION("""COMPUTED_VALUE"""),"GeneralLedger")</f>
        <v>GeneralLedger</v>
      </c>
      <c r="B412" t="str">
        <f>IFERROR(__xludf.DUMMYFUNCTION("""COMPUTED_VALUE"""),"VerifyCashTransaction")</f>
        <v>VerifyCashTransaction</v>
      </c>
      <c r="C412" t="str">
        <f>IFERROR(__xludf.DUMMYFUNCTION("""COMPUTED_VALUE"""),"1gPMin1udTRZeqwLV9tSHt5nU8vpqc3NVx2Q0Tg0-p7Y")</f>
        <v>1gPMin1udTRZeqwLV9tSHt5nU8vpqc3NVx2Q0Tg0-p7Y</v>
      </c>
    </row>
    <row r="413" ht="15.75" customHeight="1">
      <c r="A413" t="str">
        <f>IFERROR(__xludf.DUMMYFUNCTION("""COMPUTED_VALUE"""),"Rebalancer")</f>
        <v>Rebalancer</v>
      </c>
      <c r="B413" t="str">
        <f>IFERROR(__xludf.DUMMYFUNCTION("""COMPUTED_VALUE"""),"ModelPortfolio")</f>
        <v>ModelPortfolio</v>
      </c>
      <c r="C413" t="str">
        <f>IFERROR(__xludf.DUMMYFUNCTION("""COMPUTED_VALUE"""),"12-zLeaphbhmHtw8rRK5ThIs7me8PklDclwlNwfPbXK4")</f>
        <v>12-zLeaphbhmHtw8rRK5ThIs7me8PklDclwlNwfPbXK4</v>
      </c>
    </row>
    <row r="414" ht="15.75" customHeight="1">
      <c r="A414" t="str">
        <f>IFERROR(__xludf.DUMMYFUNCTION("""COMPUTED_VALUE"""),"DailyValuation")</f>
        <v>DailyValuation</v>
      </c>
      <c r="B414" t="str">
        <f>IFERROR(__xludf.DUMMYFUNCTION("""COMPUTED_VALUE"""),"VerifyDailyCash")</f>
        <v>VerifyDailyCash</v>
      </c>
      <c r="C414" t="str">
        <f>IFERROR(__xludf.DUMMYFUNCTION("""COMPUTED_VALUE"""),"1PQwArcRUuaOQiz5S2jeaenwj9qNZTWgzfhAlHT-Pd1E")</f>
        <v>1PQwArcRUuaOQiz5S2jeaenwj9qNZTWgzfhAlHT-Pd1E</v>
      </c>
    </row>
    <row r="415" ht="15.75" customHeight="1">
      <c r="A415" t="str">
        <f>IFERROR(__xludf.DUMMYFUNCTION("""COMPUTED_VALUE"""),"Admin")</f>
        <v>Admin</v>
      </c>
      <c r="B415" t="str">
        <f>IFERROR(__xludf.DUMMYFUNCTION("""COMPUTED_VALUE"""),"SetCheckSide")</f>
        <v>SetCheckSide</v>
      </c>
      <c r="C415" t="str">
        <f>IFERROR(__xludf.DUMMYFUNCTION("""COMPUTED_VALUE"""),"18KFx8YJjXeehMrsrxPVrAlsqv5cDNM4sL10WRca5NKM")</f>
        <v>18KFx8YJjXeehMrsrxPVrAlsqv5cDNM4sL10WRca5NKM</v>
      </c>
    </row>
    <row r="416" ht="15.75" customHeight="1">
      <c r="A416" t="str">
        <f>IFERROR(__xludf.DUMMYFUNCTION("""COMPUTED_VALUE"""),"CorporateAction")</f>
        <v>CorporateAction</v>
      </c>
      <c r="B416" t="str">
        <f>IFERROR(__xludf.DUMMYFUNCTION("""COMPUTED_VALUE"""),"OpenSpinOff")</f>
        <v>OpenSpinOff</v>
      </c>
      <c r="C416" t="str">
        <f>IFERROR(__xludf.DUMMYFUNCTION("""COMPUTED_VALUE"""),"1rmMKHzR6LMbriTLpSwsWo5h7qfkUwKO5MIi-cWWx8-k")</f>
        <v>1rmMKHzR6LMbriTLpSwsWo5h7qfkUwKO5MIi-cWWx8-k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IFERROR(__xludf.DUMMYFUNCTION("""COMPUTED_VALUE"""),"VerifyAndApplyCorpAction")</f>
        <v>VerifyAndApplyCorpAction</v>
      </c>
      <c r="C417" t="str">
        <f>IFERROR(__xludf.DUMMYFUNCTION("""COMPUTED_VALUE"""),"1QwZRlBhhx0osi-B1PdxvO3P3W3BAXkDzM2yrJmnO__c")</f>
        <v>1QwZRlBhhx0osi-B1PdxvO3P3W3BAXkDzM2yrJmnO__c</v>
      </c>
    </row>
    <row r="418" ht="15.75" customHeight="1">
      <c r="A418" t="str">
        <f>IFERROR(__xludf.DUMMYFUNCTION("""COMPUTED_VALUE"""),"CorporateAction ")</f>
        <v>CorporateAction </v>
      </c>
      <c r="B418" t="str">
        <f>IFERROR(__xludf.DUMMYFUNCTION("""COMPUTED_VALUE"""),"VerifyAndSaveCorpAction")</f>
        <v>VerifyAndSaveCorpAction</v>
      </c>
      <c r="C418" t="str">
        <f>IFERROR(__xludf.DUMMYFUNCTION("""COMPUTED_VALUE"""),"146PST8sP3dOm_SLLf4EP05WMQk8v95fnGk_VMEIiZeQ")</f>
        <v>146PST8sP3dOm_SLLf4EP05WMQk8v95fnGk_VMEIiZeQ</v>
      </c>
    </row>
    <row r="419" ht="15.75" customHeight="1">
      <c r="A419" t="str">
        <f>IFERROR(__xludf.DUMMYFUNCTION("""COMPUTED_VALUE"""),"Allocation")</f>
        <v>Allocation</v>
      </c>
      <c r="B419" t="str">
        <f>IFERROR(__xludf.DUMMYFUNCTION("""COMPUTED_VALUE"""),"DisableChecksideForAsset")</f>
        <v>DisableChecksideForAsset</v>
      </c>
      <c r="C419" t="str">
        <f>IFERROR(__xludf.DUMMYFUNCTION("""COMPUTED_VALUE"""),"17MMLrGtrNy7Qk2KDYSM_5mxeBqL4fj27RTyoqb753r4")</f>
        <v>17MMLrGtrNy7Qk2KDYSM_5mxeBqL4fj27RTyoqb753r4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IFERROR(__xludf.DUMMYFUNCTION("""COMPUTED_VALUE"""),"DisableChecksideForAccount")</f>
        <v>DisableChecksideForAccount</v>
      </c>
      <c r="C420" t="str">
        <f>IFERROR(__xludf.DUMMYFUNCTION("""COMPUTED_VALUE"""),"12YzpBbctXJ7tt5Rs3yVMyYiFexSCsLCSFZxRmOTGAnA")</f>
        <v>12YzpBbctXJ7tt5Rs3yVMyYiFexSCsLCSFZxRmOTGAnA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IFERROR(__xludf.DUMMYFUNCTION("""COMPUTED_VALUE"""),"DisableChecksideForCounterParty")</f>
        <v>DisableChecksideForCounterParty</v>
      </c>
      <c r="C421" t="str">
        <f>IFERROR(__xludf.DUMMYFUNCTION("""COMPUTED_VALUE"""),"11h9NAV7B59X8ff2awrMfG6bGhrk-CohPIDGmN5O1Z0s")</f>
        <v>11h9NAV7B59X8ff2awrMfG6bGhrk-CohPIDGmN5O1Z0s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IFERROR(__xludf.DUMMYFUNCTION("""COMPUTED_VALUE"""),"DisableCheckside")</f>
        <v>DisableCheckside</v>
      </c>
      <c r="C422" t="str">
        <f>IFERROR(__xludf.DUMMYFUNCTION("""COMPUTED_VALUE"""),"1NIGFq7xyMD3dCAzBn7Aybj88-zVYS-uQkEl_uOTRFLk")</f>
        <v>1NIGFq7xyMD3dCAzBn7Aybj88-zVYS-uQkEl_uOTRFLk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IFERROR(__xludf.DUMMYFUNCTION("""COMPUTED_VALUE"""),"ApplyMasterFundFilter")</f>
        <v>ApplyMasterFundFilter</v>
      </c>
      <c r="C423" t="str">
        <f>IFERROR(__xludf.DUMMYFUNCTION("""COMPUTED_VALUE"""),"1uyEgk_IU7WhZZ2gCVbVNLBNZhgXB_2p-G9ibtBRvqYE")</f>
        <v>1uyEgk_IU7WhZZ2gCVbVNLBNZhgXB_2p-G9ibtBRvqYE</v>
      </c>
    </row>
    <row r="424" ht="15.75" customHeight="1">
      <c r="A424" t="str">
        <f>IFERROR(__xludf.DUMMYFUNCTION("""COMPUTED_VALUE"""),"TradingTicket")</f>
        <v>TradingTicket</v>
      </c>
      <c r="B424" t="str">
        <f>IFERROR(__xludf.DUMMYFUNCTION("""COMPUTED_VALUE"""),"UpdateMasterFundOnTT")</f>
        <v>UpdateMasterFundOnTT</v>
      </c>
      <c r="C424" t="str">
        <f>IFERROR(__xludf.DUMMYFUNCTION("""COMPUTED_VALUE"""),"15GaszFrxEJPxL05WiuB3JgAc-7Uig-iyDZRrmgpAvyQ")</f>
        <v>15GaszFrxEJPxL05WiuB3JgAc-7Uig-iyDZRrmgpAvyQ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IFERROR(__xludf.DUMMYFUNCTION("""COMPUTED_VALUE"""),"ShowMasterFundOnTT")</f>
        <v>ShowMasterFundOnTT</v>
      </c>
      <c r="C425" t="str">
        <f>IFERROR(__xludf.DUMMYFUNCTION("""COMPUTED_VALUE"""),"1H3NF3ekEB_jtnQ6nAPayaHaGtx_2kLuKvJ9qyzd2I2I")</f>
        <v>1H3NF3ekEB_jtnQ6nAPayaHaGtx_2kLuKvJ9qyzd2I2I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IFERROR(__xludf.DUMMYFUNCTION("""COMPUTED_VALUE"""),"ShowMasterFundAsClient")</f>
        <v>ShowMasterFundAsClient</v>
      </c>
      <c r="C426" t="str">
        <f>IFERROR(__xludf.DUMMYFUNCTION("""COMPUTED_VALUE"""),"1sBgTfLxjF-eLDEQovNIQXxVdy87Sx0Cb24sVDh10pXM")</f>
        <v>1sBgTfLxjF-eLDEQovNIQXxVdy87Sx0Cb24sVDh10pXM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IFERROR(__xludf.DUMMYFUNCTION("""COMPUTED_VALUE"""),"SetBrokerAccountMapping")</f>
        <v>SetBrokerAccountMapping</v>
      </c>
      <c r="C427" t="str">
        <f>IFERROR(__xludf.DUMMYFUNCTION("""COMPUTED_VALUE"""),"1n-h3PT-RQ62N_5RLlf__-_nBt6pX6gTeokAqyHCUydw")</f>
        <v>1n-h3PT-RQ62N_5RLlf__-_nBt6pX6gTeokAqyHCUydw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IFERROR(__xludf.DUMMYFUNCTION("""COMPUTED_VALUE"""),"EditUnallocatedGridWPF")</f>
        <v>EditUnallocatedGridWPF</v>
      </c>
      <c r="C428" t="str">
        <f>IFERROR(__xludf.DUMMYFUNCTION("""COMPUTED_VALUE"""),"1bL3Mc9ko2ABUfRaygcH05a75HlVgOJoZg1ZR8VFCx2s")</f>
        <v>1bL3Mc9ko2ABUfRaygcH05a75HlVgOJoZg1ZR8VFCx2s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IFERROR(__xludf.DUMMYFUNCTION("""COMPUTED_VALUE"""),"EditAllocatedGridWPF")</f>
        <v>EditAllocatedGridWPF</v>
      </c>
      <c r="C429" t="str">
        <f>IFERROR(__xludf.DUMMYFUNCTION("""COMPUTED_VALUE"""),"1p3N5fuIHZooLiXra7t901Un-5BX1Dub2GwRau5xmnzY")</f>
        <v>1p3N5fuIHZooLiXra7t901Un-5BX1Dub2GwRau5xmnzY</v>
      </c>
    </row>
    <row r="430" ht="15.75" customHeight="1">
      <c r="A430" t="str">
        <f>IFERROR(__xludf.DUMMYFUNCTION("""COMPUTED_VALUE"""),"Admin")</f>
        <v>Admin</v>
      </c>
      <c r="B430" t="str">
        <f>IFERROR(__xludf.DUMMYFUNCTION("""COMPUTED_VALUE"""),"SetRollover")</f>
        <v>SetRollover</v>
      </c>
      <c r="C430" t="str">
        <f>IFERROR(__xludf.DUMMYFUNCTION("""COMPUTED_VALUE"""),"1g8yHX3NgTZ69qR9sJuH4OwZDcdDQ4zNzTUIz8i9c8Wc")</f>
        <v>1g8yHX3NgTZ69qR9sJuH4OwZDcdDQ4zNzTUIz8i9c8Wc</v>
      </c>
    </row>
    <row r="431" ht="15.75" customHeight="1">
      <c r="A431" t="str">
        <f>IFERROR(__xludf.DUMMYFUNCTION("""COMPUTED_VALUE"""),"Blotter")</f>
        <v>Blotter</v>
      </c>
      <c r="B431" t="str">
        <f>IFERROR(__xludf.DUMMYFUNCTION("""COMPUTED_VALUE"""),"VerifyRollover")</f>
        <v>VerifyRollover</v>
      </c>
      <c r="C431" t="str">
        <f>IFERROR(__xludf.DUMMYFUNCTION("""COMPUTED_VALUE"""),"1YmNAq8VlKqlQdZW8Qb-4HKEvna5uWGWWZ257kBzZ3g8")</f>
        <v>1YmNAq8VlKqlQdZW8Qb-4HKEvna5uWGWWZ257kBzZ3g8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IFERROR(__xludf.DUMMYFUNCTION("""COMPUTED_VALUE"""),"EditAllocatedGridTaxlot")</f>
        <v>EditAllocatedGridTaxlot</v>
      </c>
      <c r="C432" t="str">
        <f>IFERROR(__xludf.DUMMYFUNCTION("""COMPUTED_VALUE"""),"1aoefQ2rn_ekQSQ5w1OA5dDn-kkC5Mhjygz9lUK_INpw")</f>
        <v>1aoefQ2rn_ekQSQ5w1OA5dDn-kkC5Mhjygz9lUK_INpw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IFERROR(__xludf.DUMMYFUNCTION("""COMPUTED_VALUE"""),"ExpandCollapseAllocatedGrid")</f>
        <v>ExpandCollapseAllocatedGrid</v>
      </c>
      <c r="C433" t="str">
        <f>IFERROR(__xludf.DUMMYFUNCTION("""COMPUTED_VALUE"""),"1zLKKBGrkdJnOK0je8SVf7FNy8N74M1Y58Ijeg4-2PoM")</f>
        <v>1zLKKBGrkdJnOK0je8SVf7FNy8N74M1Y58Ijeg4-2PoM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IFERROR(__xludf.DUMMYFUNCTION("""COMPUTED_VALUE"""),"ExpandCollapseUnallocatedGrid")</f>
        <v>ExpandCollapseUnallocatedGrid</v>
      </c>
      <c r="C434" t="str">
        <f>IFERROR(__xludf.DUMMYFUNCTION("""COMPUTED_VALUE"""),"1yl-Ggnzc6WlzcJkjk53PzqzifLSUFBSUWedGjO2j1sI")</f>
        <v>1yl-Ggnzc6WlzcJkjk53PzqzifLSUFBSUWedGjO2j1sI</v>
      </c>
    </row>
    <row r="435" ht="15.75" customHeight="1">
      <c r="A435" t="str">
        <f>IFERROR(__xludf.DUMMYFUNCTION("""COMPUTED_VALUE"""),"Blotter")</f>
        <v>Blotter</v>
      </c>
      <c r="B435" t="str">
        <f>IFERROR(__xludf.DUMMYFUNCTION("""COMPUTED_VALUE"""),"VerifySubOrderAfterRollover")</f>
        <v>VerifySubOrderAfterRollover</v>
      </c>
      <c r="C435" t="str">
        <f>IFERROR(__xludf.DUMMYFUNCTION("""COMPUTED_VALUE"""),"1BioDAFgRK9uBg8Ftw35Xfp5pj4WxwmmYzwIJBuO-DwQ")</f>
        <v>1BioDAFgRK9uBg8Ftw35Xfp5pj4WxwmmYzwIJBuO-DwQ</v>
      </c>
    </row>
    <row r="436" ht="15.75" customHeight="1">
      <c r="A436" t="str">
        <f>IFERROR(__xludf.DUMMYFUNCTION("""COMPUTED_VALUE"""),"Import")</f>
        <v>Import</v>
      </c>
      <c r="B436" t="str">
        <f>IFERROR(__xludf.DUMMYFUNCTION("""COMPUTED_VALUE"""),"SelectTransactionImportType")</f>
        <v>SelectTransactionImportType</v>
      </c>
      <c r="C436" t="str">
        <f>IFERROR(__xludf.DUMMYFUNCTION("""COMPUTED_VALUE"""),"16Qb8L4YsI0WqV4SeARzc48bRpwR2V4Z0MV8OYoCFGhk")</f>
        <v>16Qb8L4YsI0WqV4SeARzc48bRpwR2V4Z0MV8OYoCFGhk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IFERROR(__xludf.DUMMYFUNCTION("""COMPUTED_VALUE"""),"SelectAllOnImport")</f>
        <v>SelectAllOnImport</v>
      </c>
      <c r="C437" t="str">
        <f>IFERROR(__xludf.DUMMYFUNCTION("""COMPUTED_VALUE"""),"1DTWgrx0dU8hFuUe5pmBqyj4Lg5WTlhIj6qkrNZ9ICjk")</f>
        <v>1DTWgrx0dU8hFuUe5pmBqyj4Lg5WTlhIj6qkrNZ9ICjk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IFERROR(__xludf.DUMMYFUNCTION("""COMPUTED_VALUE"""),"SelectMarkPriceImportType")</f>
        <v>SelectMarkPriceImportType</v>
      </c>
      <c r="C438" t="str">
        <f>IFERROR(__xludf.DUMMYFUNCTION("""COMPUTED_VALUE"""),"15i1dY6hiW1m4QYwSjhx4JAOW2WLNuZU-m8pp-a1afIc")</f>
        <v>15i1dY6hiW1m4QYwSjhx4JAOW2WLNuZU-m8pp-a1afIc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IFERROR(__xludf.DUMMYFUNCTION("""COMPUTED_VALUE"""),"SelectForexImportType")</f>
        <v>SelectForexImportType</v>
      </c>
      <c r="C439" t="str">
        <f>IFERROR(__xludf.DUMMYFUNCTION("""COMPUTED_VALUE"""),"1FoMj8Y6YQKmNanRt2lm2Bh_abv6-z3QHsKHrSZf0fzk")</f>
        <v>1FoMj8Y6YQKmNanRt2lm2Bh_abv6-z3QHsKHrSZf0fzk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IFERROR(__xludf.DUMMYFUNCTION("""COMPUTED_VALUE"""),"SelectDoubleEntryCashImportType")</f>
        <v>SelectDoubleEntryCashImportType</v>
      </c>
      <c r="C440" t="str">
        <f>IFERROR(__xludf.DUMMYFUNCTION("""COMPUTED_VALUE"""),"1kJHggZBmha8GLtaL5ZV_B3BS4Gwe7Lz8xw9VxE7dOZo")</f>
        <v>1kJHggZBmha8GLtaL5ZV_B3BS4Gwe7Lz8xw9VxE7dOZo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IFERROR(__xludf.DUMMYFUNCTION("""COMPUTED_VALUE"""),"SelectActivitiesImportType")</f>
        <v>SelectActivitiesImportType</v>
      </c>
      <c r="C441" t="str">
        <f>IFERROR(__xludf.DUMMYFUNCTION("""COMPUTED_VALUE"""),"1oXhOfdNQe4jyRJ2C0rhWTdFRGTIOV39EEnimfabEDfg")</f>
        <v>1oXhOfdNQe4jyRJ2C0rhWTdFRGTIOV39EEnimfabEDfg</v>
      </c>
    </row>
    <row r="442" ht="15.75" customHeight="1">
      <c r="A442" t="str">
        <f>IFERROR(__xludf.DUMMYFUNCTION("""COMPUTED_VALUE"""),"TradingTicket")</f>
        <v>TradingTicket</v>
      </c>
      <c r="B442" t="str">
        <f>IFERROR(__xludf.DUMMYFUNCTION("""COMPUTED_VALUE"""),"SetTTCompliancePreference")</f>
        <v>SetTTCompliancePreference</v>
      </c>
      <c r="C442" t="str">
        <f>IFERROR(__xludf.DUMMYFUNCTION("""COMPUTED_VALUE"""),"1oCioVWRpfyuyVxfO16G2yJ720gXGkma0qGlK4ZyrYg4")</f>
        <v>1oCioVWRpfyuyVxfO16G2yJ720gXGkma0qGlK4ZyrYg4</v>
      </c>
    </row>
    <row r="443" ht="15.75" customHeight="1">
      <c r="A443" t="str">
        <f>IFERROR(__xludf.DUMMYFUNCTION("""COMPUTED_VALUE"""),"Rebalancer")</f>
        <v>Rebalancer</v>
      </c>
      <c r="B443" t="str">
        <f>IFERROR(__xludf.DUMMYFUNCTION("""COMPUTED_VALUE"""),"LockandUnlockGridData")</f>
        <v>LockandUnlockGridData</v>
      </c>
      <c r="C443" t="str">
        <f>IFERROR(__xludf.DUMMYFUNCTION("""COMPUTED_VALUE"""),"10uiIcQww3gObeTuZg8B6hz4zaM4MJICGafz7PPnEHAs")</f>
        <v>10uiIcQww3gObeTuZg8B6hz4zaM4MJICGafz7PPnEHAs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IFERROR(__xludf.DUMMYFUNCTION("""COMPUTED_VALUE"""),"SetTradeAttributePreferences")</f>
        <v>SetTradeAttributePreferences</v>
      </c>
      <c r="C444" t="str">
        <f>IFERROR(__xludf.DUMMYFUNCTION("""COMPUTED_VALUE"""),"18Q05MSktNTIHVgTsRKNrAGtMDLi69cwqazVhf_5vGUs")</f>
        <v>18Q05MSktNTIHVgTsRKNrAGtMDLi69cwqazVhf_5vGUs</v>
      </c>
    </row>
    <row r="445" ht="15.75" customHeight="1">
      <c r="A445" t="str">
        <f>IFERROR(__xludf.DUMMYFUNCTION("""COMPUTED_VALUE"""),"GeneralLedger")</f>
        <v>GeneralLedger</v>
      </c>
      <c r="B445" t="str">
        <f>IFERROR(__xludf.DUMMYFUNCTION("""COMPUTED_VALUE"""),"VerifyAccountBalances")</f>
        <v>VerifyAccountBalances</v>
      </c>
      <c r="C445" t="str">
        <f>IFERROR(__xludf.DUMMYFUNCTION("""COMPUTED_VALUE"""),"1lE_cU-tlZ7oe5H_dwFeCKyUTo0QAax5WNCxb0aT0h3k")</f>
        <v>1lE_cU-tlZ7oe5H_dwFeCKyUTo0QAax5WNCxb0aT0h3k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IFERROR(__xludf.DUMMYFUNCTION("""COMPUTED_VALUE"""),"RefreshGridData")</f>
        <v>RefreshGridData</v>
      </c>
      <c r="C446" t="str">
        <f>IFERROR(__xludf.DUMMYFUNCTION("""COMPUTED_VALUE"""),"1d_eucCmN5G9f8_NiLaxsLdEikfWW-iKoCQ7vev7O0zU")</f>
        <v>1d_eucCmN5G9f8_NiLaxsLdEikfWW-iKoCQ7vev7O0zU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IFERROR(__xludf.DUMMYFUNCTION("""COMPUTED_VALUE"""),"AddMultipleOpeningBalTranItem")</f>
        <v>AddMultipleOpeningBalTranItem</v>
      </c>
      <c r="C447" t="str">
        <f>IFERROR(__xludf.DUMMYFUNCTION("""COMPUTED_VALUE"""),"1o5yFjfxSDwUZg4TV7tpFK_WjNSoNTnfL0wboLVCUm1c")</f>
        <v>1o5yFjfxSDwUZg4TV7tpFK_WjNSoNTnfL0wboLVCUm1c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IFERROR(__xludf.DUMMYFUNCTION("""COMPUTED_VALUE"""),"ApplyFilterOnImport")</f>
        <v>ApplyFilterOnImport</v>
      </c>
      <c r="C448" t="str">
        <f>IFERROR(__xludf.DUMMYFUNCTION("""COMPUTED_VALUE"""),"1bucapBjYv7lpkviHI-0ZpKwEa06hE9XLTYxCAkiqv1Y")</f>
        <v>1bucapBjYv7lpkviHI-0ZpKwEa06hE9XLTYxCAkiqv1Y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IFERROR(__xludf.DUMMYFUNCTION("""COMPUTED_VALUE"""),"SendtoStaging")</f>
        <v>SendtoStaging</v>
      </c>
      <c r="C449" t="str">
        <f>IFERROR(__xludf.DUMMYFUNCTION("""COMPUTED_VALUE"""),"1wpKxeuT5ngykDq8oxD8v-gkl_lDsqPEk3FXZl1BBGNU")</f>
        <v>1wpKxeuT5ngykDq8oxD8v-gkl_lDsqPEk3FXZl1BBGNU</v>
      </c>
    </row>
    <row r="450" ht="15.75" customHeight="1">
      <c r="A450" t="str">
        <f>IFERROR(__xludf.DUMMYFUNCTION("""COMPUTED_VALUE"""),"PTT")</f>
        <v>PTT</v>
      </c>
      <c r="B450" t="str">
        <f>IFERROR(__xludf.DUMMYFUNCTION("""COMPUTED_VALUE"""),"SetDefaultSymbology")</f>
        <v>SetDefaultSymbology</v>
      </c>
      <c r="C450" t="str">
        <f>IFERROR(__xludf.DUMMYFUNCTION("""COMPUTED_VALUE"""),"1QjBxJ-nrJcTpAkTasi94_sVisBgMGti7OMQXSW2qseQ")</f>
        <v>1QjBxJ-nrJcTpAkTasi94_sVisBgMGti7OMQXSW2qseQ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IFERROR(__xludf.DUMMYFUNCTION("""COMPUTED_VALUE"""),"EnterCustomAllocatePreference")</f>
        <v>EnterCustomAllocatePreference</v>
      </c>
      <c r="C451" t="str">
        <f>IFERROR(__xludf.DUMMYFUNCTION("""COMPUTED_VALUE"""),"1AQwPv2q79wcTa3HlFCQkHG7umwMKlkwPJ1HUBORVfsc")</f>
        <v>1AQwPv2q79wcTa3HlFCQkHG7umwMKlkwPJ1HUBORVfsc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IFERROR(__xludf.DUMMYFUNCTION("""COMPUTED_VALUE"""),"EditPTTAccountLevelWPF")</f>
        <v>EditPTTAccountLevelWPF</v>
      </c>
      <c r="C452" t="str">
        <f>IFERROR(__xludf.DUMMYFUNCTION("""COMPUTED_VALUE"""),"1HyQP4Vrh5_w30EPDJEhjFufpoV-ySJfmHbrzDDK_XLA")</f>
        <v>1HyQP4Vrh5_w30EPDJEhjFufpoV-ySJfmHbrzDDK_XLA</v>
      </c>
    </row>
    <row r="453" ht="15.75" customHeight="1">
      <c r="A453" t="str">
        <f>IFERROR(__xludf.DUMMYFUNCTION("""COMPUTED_VALUE"""),"PortfolioManagement")</f>
        <v>PortfolioManagement</v>
      </c>
      <c r="B453" t="str">
        <f>IFERROR(__xludf.DUMMYFUNCTION("""COMPUTED_VALUE"""),"OpenCreateTransactionFromPM")</f>
        <v>OpenCreateTransactionFromPM</v>
      </c>
      <c r="C453" t="str">
        <f>IFERROR(__xludf.DUMMYFUNCTION("""COMPUTED_VALUE"""),"1-86nRBAwVMofYmwMdMDgXGJGcmif9ZGSu6dQcsjk8mA")</f>
        <v>1-86nRBAwVMofYmwMdMDgXGJGcmif9ZGSu6dQcsjk8mA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IFERROR(__xludf.DUMMYFUNCTION("""COMPUTED_VALUE"""),"SetAutoGroupingPreferences")</f>
        <v>SetAutoGroupingPreferences</v>
      </c>
      <c r="C454" t="str">
        <f>IFERROR(__xludf.DUMMYFUNCTION("""COMPUTED_VALUE"""),"1Te-cBRFv_FKkvhELasch4HdUPvbgmGvyaL6GSm8rfJ8")</f>
        <v>1Te-cBRFv_FKkvhELasch4HdUPvbgmGvyaL6GSm8rfJ8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IFERROR(__xludf.DUMMYFUNCTION("""COMPUTED_VALUE"""),"SetAutoGroupingAccount")</f>
        <v>SetAutoGroupingAccount</v>
      </c>
      <c r="C455" t="str">
        <f>IFERROR(__xludf.DUMMYFUNCTION("""COMPUTED_VALUE"""),"1dJTHiT90Stsu7bgBQnfHKxlF7IvmTIhNFC2w3EdJlw0")</f>
        <v>1dJTHiT90Stsu7bgBQnfHKxlF7IvmTIhNFC2w3EdJlw0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IFERROR(__xludf.DUMMYFUNCTION("""COMPUTED_VALUE"""),"SetAvgPriceRounding")</f>
        <v>SetAvgPriceRounding</v>
      </c>
      <c r="C456" t="str">
        <f>IFERROR(__xludf.DUMMYFUNCTION("""COMPUTED_VALUE"""),"1euGFLIds_3eA9FuJ69reigrp7frEDEtKK3dBvh99T0k")</f>
        <v>1euGFLIds_3eA9FuJ69reigrp7frEDEtKK3dBvh99T0k</v>
      </c>
    </row>
    <row r="457" ht="15.75" customHeight="1">
      <c r="A457" t="str">
        <f>IFERROR(__xludf.DUMMYFUNCTION("""COMPUTED_VALUE"""),"Admin")</f>
        <v>Admin</v>
      </c>
      <c r="B457" t="str">
        <f>IFERROR(__xludf.DUMMYFUNCTION("""COMPUTED_VALUE"""),"SetActive")</f>
        <v>SetActive</v>
      </c>
      <c r="C457" t="str">
        <f>IFERROR(__xludf.DUMMYFUNCTION("""COMPUTED_VALUE"""),"1wafvyb438EvqeluBWDpXJE8X9Q8gOn3Ijw3caT3wgio")</f>
        <v>1wafvyb438EvqeluBWDpXJE8X9Q8gOn3Ijw3caT3wgio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IFERROR(__xludf.DUMMYFUNCTION("""COMPUTED_VALUE"""),"SetThirdPartyFormat")</f>
        <v>SetThirdPartyFormat</v>
      </c>
      <c r="C458" t="str">
        <f>IFERROR(__xludf.DUMMYFUNCTION("""COMPUTED_VALUE"""),"1l4Egceegv_mDnvE4M_HcBbuAgQh8NhlmPu_10KloWAg")</f>
        <v>1l4Egceegv_mDnvE4M_HcBbuAgQh8NhlmPu_10KloWAg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IFERROR(__xludf.DUMMYFUNCTION("""COMPUTED_VALUE"""),"RebalanceViaBloomberg")</f>
        <v>RebalanceViaBloomberg</v>
      </c>
      <c r="C459" t="str">
        <f>IFERROR(__xludf.DUMMYFUNCTION("""COMPUTED_VALUE"""),"19Yxtc0mG-kYgx9XiMj2EmICwIzmI7MHhVW5H8sXjfqc")</f>
        <v>19Yxtc0mG-kYgx9XiMj2EmICwIzmI7MHhVW5H8sXjfqc</v>
      </c>
    </row>
    <row r="460" ht="15.75" customHeight="1">
      <c r="A460" t="str">
        <f>IFERROR(__xludf.DUMMYFUNCTION("""COMPUTED_VALUE"""),"ThirdParty")</f>
        <v>ThirdParty</v>
      </c>
      <c r="B460" t="str">
        <f>IFERROR(__xludf.DUMMYFUNCTION("""COMPUTED_VALUE"""),"RefreshThirdParty")</f>
        <v>RefreshThirdParty</v>
      </c>
      <c r="C460" t="str">
        <f>IFERROR(__xludf.DUMMYFUNCTION("""COMPUTED_VALUE"""),"1leOcJPhSPuUZuc26liYTUkBEgS0ZkyPgfsQ2q70vYYU")</f>
        <v>1leOcJPhSPuUZuc26liYTUkBEgS0ZkyPgfsQ2q70vYYU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IFERROR(__xludf.DUMMYFUNCTION("""COMPUTED_VALUE"""),"AddUserAdjustedNAV")</f>
        <v>AddUserAdjustedNAV</v>
      </c>
      <c r="C461" t="str">
        <f>IFERROR(__xludf.DUMMYFUNCTION("""COMPUTED_VALUE"""),"1EV6M1kdYbGffiAWDGUsHZDUm9EMHjyVnQif2Bq_w5YQ")</f>
        <v>1EV6M1kdYbGffiAWDGUsHZDUm9EMHjyVnQif2Bq_w5YQ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IFERROR(__xludf.DUMMYFUNCTION("""COMPUTED_VALUE"""),"IsAllocationOpen")</f>
        <v>IsAllocationOpen</v>
      </c>
      <c r="C462" t="str">
        <f>IFERROR(__xludf.DUMMYFUNCTION("""COMPUTED_VALUE"""),"1NWy1tNLHXUklTVeScryRsYAkdc5-LJ3oDBhQkv8WT8M")</f>
        <v>1NWy1tNLHXUklTVeScryRsYAkdc5-LJ3oDBhQkv8WT8M</v>
      </c>
    </row>
    <row r="463" ht="15.75" customHeight="1">
      <c r="A463" t="str">
        <f>IFERROR(__xludf.DUMMYFUNCTION("""COMPUTED_VALUE"""),"ShortLocate")</f>
        <v>ShortLocate</v>
      </c>
      <c r="B463" t="str">
        <f>IFERROR(__xludf.DUMMYFUNCTION("""COMPUTED_VALUE"""),"ImportOnShortLocate")</f>
        <v>ImportOnShortLocate</v>
      </c>
      <c r="C463" t="str">
        <f>IFERROR(__xludf.DUMMYFUNCTION("""COMPUTED_VALUE"""),"1bVPxA0zNj_p7pg9E8mTgLU7yGIrp_WO7jQMtzLb9etg")</f>
        <v>1bVPxA0zNj_p7pg9E8mTgLU7yGIrp_WO7jQMtzLb9etg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IFERROR(__xludf.DUMMYFUNCTION("""COMPUTED_VALUE"""),"ApplyFilterOnShortLocate")</f>
        <v>ApplyFilterOnShortLocate</v>
      </c>
      <c r="C464" t="str">
        <f>IFERROR(__xludf.DUMMYFUNCTION("""COMPUTED_VALUE"""),"1pI0OFiaN7-udDb32hud9I-wifPd3OsRMQPJXWrVRGYE")</f>
        <v>1pI0OFiaN7-udDb32hud9I-wifPd3OsRMQPJXWrVRGYE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IFERROR(__xludf.DUMMYFUNCTION("""COMPUTED_VALUE"""),"OpenTTFromShortLocate")</f>
        <v>OpenTTFromShortLocate</v>
      </c>
      <c r="C465" t="str">
        <f>IFERROR(__xludf.DUMMYFUNCTION("""COMPUTED_VALUE"""),"1MR0CqV87GTUrjVmW-u4lucv_hu_DKW9AesdoirhhPoE")</f>
        <v>1MR0CqV87GTUrjVmW-u4lucv_hu_DKW9AesdoirhhPoE</v>
      </c>
    </row>
    <row r="466" ht="15.75" customHeight="1">
      <c r="A466" t="str">
        <f>IFERROR(__xludf.DUMMYFUNCTION("""COMPUTED_VALUE"""),"PortfolioManagement")</f>
        <v>PortfolioManagement</v>
      </c>
      <c r="B466" t="str">
        <f>IFERROR(__xludf.DUMMYFUNCTION("""COMPUTED_VALUE"""),"RemoveGroupingFromPM")</f>
        <v>RemoveGroupingFromPM</v>
      </c>
      <c r="C466" t="str">
        <f>IFERROR(__xludf.DUMMYFUNCTION("""COMPUTED_VALUE"""),"1VZd-w4B9IFs_jtM2q4yseIyXmK7riLhK8i1YlvU3OJ4")</f>
        <v>1VZd-w4B9IFs_jtM2q4yseIyXmK7riLhK8i1YlvU3OJ4</v>
      </c>
    </row>
    <row r="467" ht="15.75" customHeight="1">
      <c r="A467" t="str">
        <f>IFERROR(__xludf.DUMMYFUNCTION("""COMPUTED_VALUE"""),"Watchlist")</f>
        <v>Watchlist</v>
      </c>
      <c r="B467" t="str">
        <f>IFERROR(__xludf.DUMMYFUNCTION("""COMPUTED_VALUE"""),"AddTabOnWatchlist")</f>
        <v>AddTabOnWatchlist</v>
      </c>
      <c r="C467" t="str">
        <f>IFERROR(__xludf.DUMMYFUNCTION("""COMPUTED_VALUE"""),"1kyDKqBSEYxIlVdn2RdP-ZHnw5fK3SeBCqbpEqQfktbQ")</f>
        <v>1kyDKqBSEYxIlVdn2RdP-ZHnw5fK3SeBCqbpEqQfktbQ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IFERROR(__xludf.DUMMYFUNCTION("""COMPUTED_VALUE"""),"DeleteTabOnWatchlist")</f>
        <v>DeleteTabOnWatchlist</v>
      </c>
      <c r="C468" t="str">
        <f>IFERROR(__xludf.DUMMYFUNCTION("""COMPUTED_VALUE"""),"1dFUyUk6aFrwRW0TKRMWTlK9vFTp49OVXBqXSHz95DkI")</f>
        <v>1dFUyUk6aFrwRW0TKRMWTlK9vFTp49OVXBqXSHz95DkI</v>
      </c>
    </row>
    <row r="469" ht="15.75" customHeight="1">
      <c r="A469" t="str">
        <f>IFERROR(__xludf.DUMMYFUNCTION("""COMPUTED_VALUE"""),"ShortLocate")</f>
        <v>ShortLocate</v>
      </c>
      <c r="B469" t="str">
        <f>IFERROR(__xludf.DUMMYFUNCTION("""COMPUTED_VALUE"""),"Upload")</f>
        <v>Upload</v>
      </c>
      <c r="C469" t="str">
        <f>IFERROR(__xludf.DUMMYFUNCTION("""COMPUTED_VALUE"""),"1-xB5jbzgNDsYwxNItM2igLx6ybosKhYJDG45Cf1B00s")</f>
        <v>1-xB5jbzgNDsYwxNItM2igLx6ybosKhYJDG45Cf1B00s</v>
      </c>
    </row>
    <row r="470" ht="15.75" customHeight="1">
      <c r="A470" t="str">
        <f>IFERROR(__xludf.DUMMYFUNCTION("""COMPUTED_VALUE"""),"Recon")</f>
        <v>Recon</v>
      </c>
      <c r="B470" t="str">
        <f>IFERROR(__xludf.DUMMYFUNCTION("""COMPUTED_VALUE"""),"ViewDataOnRecon")</f>
        <v>ViewDataOnRecon</v>
      </c>
      <c r="C470" t="str">
        <f>IFERROR(__xludf.DUMMYFUNCTION("""COMPUTED_VALUE"""),"1j3XobpWhCBX14E7l14SxsGfD41uorXKq0Dzi78xEAl0")</f>
        <v>1j3XobpWhCBX14E7l14SxsGfD41uorXKq0Dzi78xEAl0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IFERROR(__xludf.DUMMYFUNCTION("""COMPUTED_VALUE"""),"RunRecon")</f>
        <v>RunRecon</v>
      </c>
      <c r="C471" t="str">
        <f>IFERROR(__xludf.DUMMYFUNCTION("""COMPUTED_VALUE"""),"1CGteHSn0TR35mDibHM_mvLDac-OHhb53IYGxYOU4O8c")</f>
        <v>1CGteHSn0TR35mDibHM_mvLDac-OHhb53IYGxYOU4O8c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IFERROR(__xludf.DUMMYFUNCTION("""COMPUTED_VALUE"""),"GenerateExceptionReport")</f>
        <v>GenerateExceptionReport</v>
      </c>
      <c r="C472" t="str">
        <f>IFERROR(__xludf.DUMMYFUNCTION("""COMPUTED_VALUE"""),"1N8yfRgpk29yJ2RajAJrKlhzej1Vm_fg2kmJVyjXLrvg")</f>
        <v>1N8yfRgpk29yJ2RajAJrKlhzej1Vm_fg2kmJVyjXLrvg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IFERROR(__xludf.DUMMYFUNCTION("""COMPUTED_VALUE"""),"ImportDataOnRecon")</f>
        <v>ImportDataOnRecon</v>
      </c>
      <c r="C473" t="str">
        <f>IFERROR(__xludf.DUMMYFUNCTION("""COMPUTED_VALUE"""),"1cUNtTiujid_O-E1ZKZwAgG6FILaEpJPyU8e7KNenYXI")</f>
        <v>1cUNtTiujid_O-E1ZKZwAgG6FILaEpJPyU8e7KNenYXI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IFERROR(__xludf.DUMMYFUNCTION("""COMPUTED_VALUE"""),"VerifyShortLocateGrid")</f>
        <v>VerifyShortLocateGrid</v>
      </c>
      <c r="C474" t="str">
        <f>IFERROR(__xludf.DUMMYFUNCTION("""COMPUTED_VALUE"""),"1WxElTsVLEdnCe639nqI7szGn5lHG-xxKjGMKw890Nxs")</f>
        <v>1WxElTsVLEdnCe639nqI7szGn5lHG-xxKjGMKw890Nxs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IFERROR(__xludf.DUMMYFUNCTION("""COMPUTED_VALUE"""),"VerifyApplicationData")</f>
        <v>VerifyApplicationData</v>
      </c>
      <c r="C475" t="str">
        <f>IFERROR(__xludf.DUMMYFUNCTION("""COMPUTED_VALUE"""),"1gMSDalyxsP_enjWpKNvUKpnf9DVP87AgNzPibA-eyb0")</f>
        <v>1gMSDalyxsP_enjWpKNvUKpnf9DVP87AgNzPibA-eyb0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IFERROR(__xludf.DUMMYFUNCTION("""COMPUTED_VALUE"""),"VerifyExceptionReport")</f>
        <v>VerifyExceptionReport</v>
      </c>
      <c r="C476" t="str">
        <f>IFERROR(__xludf.DUMMYFUNCTION("""COMPUTED_VALUE"""),"1XgMq7YXIsXKsvwpomSkKrDlipk4Y-ffMAHhllAES020")</f>
        <v>1XgMq7YXIsXKsvwpomSkKrDlipk4Y-ffMAHhllAES020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IFERROR(__xludf.DUMMYFUNCTION("""COMPUTED_VALUE"""),"VerifyPrimeBrokerData")</f>
        <v>VerifyPrimeBrokerData</v>
      </c>
      <c r="C477" t="str">
        <f>IFERROR(__xludf.DUMMYFUNCTION("""COMPUTED_VALUE"""),"1Ovwt1TBMu4eX_5xPIErUMp0szT3pOQv-xpOMc_u8oTQ")</f>
        <v>1Ovwt1TBMu4eX_5xPIErUMp0szT3pOQv-xpOMc_u8oTQ</v>
      </c>
    </row>
    <row r="478" ht="15.75" customHeight="1">
      <c r="A478" t="str">
        <f>IFERROR(__xludf.DUMMYFUNCTION("""COMPUTED_VALUE"""),"Admin")</f>
        <v>Admin</v>
      </c>
      <c r="B478" t="str">
        <f>IFERROR(__xludf.DUMMYFUNCTION("""COMPUTED_VALUE"""),"SetTradingComplianceRules")</f>
        <v>SetTradingComplianceRules</v>
      </c>
      <c r="C478" t="str">
        <f>IFERROR(__xludf.DUMMYFUNCTION("""COMPUTED_VALUE"""),"1MffewIlf1S9vLrAIh3aiDyNp7gGbrYIPJ5afHeDrnVY")</f>
        <v>1MffewIlf1S9vLrAIh3aiDyNp7gGbrYIPJ5afHeDrnVY</v>
      </c>
    </row>
    <row r="479" ht="15.75" customHeight="1">
      <c r="A479" t="str">
        <f>IFERROR(__xludf.DUMMYFUNCTION("""COMPUTED_VALUE"""),"TradingTicket")</f>
        <v>TradingTicket</v>
      </c>
      <c r="B479" t="str">
        <f>IFERROR(__xludf.DUMMYFUNCTION("""COMPUTED_VALUE"""),"ImportSymbol")</f>
        <v>ImportSymbol</v>
      </c>
      <c r="C479" t="str">
        <f>IFERROR(__xludf.DUMMYFUNCTION("""COMPUTED_VALUE"""),"1g5KDLoyLmVz3yEiZzqea5rWpYDsJy0U5SKzio29JwFw")</f>
        <v>1g5KDLoyLmVz3yEiZzqea5rWpYDsJy0U5SKzio29JwFw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IFERROR(__xludf.DUMMYFUNCTION("""COMPUTED_VALUE"""),"ExportSymbolFromRAList")</f>
        <v>ExportSymbolFromRAList</v>
      </c>
      <c r="C480" t="str">
        <f>IFERROR(__xludf.DUMMYFUNCTION("""COMPUTED_VALUE"""),"1OmAaisxsenYaDlJ4dEuvm14OJefiALIjp5WHk5BiW4M")</f>
        <v>1OmAaisxsenYaDlJ4dEuvm14OJefiALIjp5WHk5BiW4M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 CheckPendingNewOrderAlert")</f>
        <v> CheckPendingNewOrderAlert</v>
      </c>
      <c r="C481" t="str">
        <f>IFERROR(__xludf.DUMMYFUNCTION("""COMPUTED_VALUE"""),"1u5co1GxTETT-t-Y-D0bp3gH4_470l1tV19b2Ge9cabM")</f>
        <v>1u5co1GxTETT-t-Y-D0bp3gH4_470l1tV19b2Ge9cabM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IFERROR(__xludf.DUMMYFUNCTION("""COMPUTED_VALUE"""),"AddSymbolOnRAList")</f>
        <v>AddSymbolOnRAList</v>
      </c>
      <c r="C482" t="str">
        <f>IFERROR(__xludf.DUMMYFUNCTION("""COMPUTED_VALUE"""),"1Q0qEAvdybmeczJnkPdgP8k0_TaW0HOeRFexMckMR-18")</f>
        <v>1Q0qEAvdybmeczJnkPdgP8k0_TaW0HOeRFexMckMR-18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IFERROR(__xludf.DUMMYFUNCTION("""COMPUTED_VALUE"""),"DeleteSymbolListFromRA")</f>
        <v>DeleteSymbolListFromRA</v>
      </c>
      <c r="C483" t="str">
        <f>IFERROR(__xludf.DUMMYFUNCTION("""COMPUTED_VALUE"""),"1_wE7yP7PUnttaLCmZoDnxxzk_PFNSFCOma_pC4ViU6E")</f>
        <v>1_wE7yP7PUnttaLCmZoDnxxzk_PFNSFCOma_pC4ViU6E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IFERROR(__xludf.DUMMYFUNCTION("""COMPUTED_VALUE"""),"RemoveSymbolFromRAList")</f>
        <v>RemoveSymbolFromRAList</v>
      </c>
      <c r="C484" t="str">
        <f>IFERROR(__xludf.DUMMYFUNCTION("""COMPUTED_VALUE"""),"1JxgHW7rNshltHJ_tYhcbx1WTeF-Ge0ipf7IzTYHWuGc")</f>
        <v>1JxgHW7rNshltHJ_tYhcbx1WTeF-Ge0ipf7IzTYHWuGc</v>
      </c>
    </row>
    <row r="485" ht="15.75" customHeight="1">
      <c r="A485" t="str">
        <f>IFERROR(__xludf.DUMMYFUNCTION("""COMPUTED_VALUE"""),"Report")</f>
        <v>Report</v>
      </c>
      <c r="B485" t="str">
        <f>IFERROR(__xludf.DUMMYFUNCTION("""COMPUTED_VALUE"""),"ReportMatching")</f>
        <v>ReportMatching</v>
      </c>
      <c r="C485" t="str">
        <f>IFERROR(__xludf.DUMMYFUNCTION("""COMPUTED_VALUE"""),"1EfN5-n0Flku86UC55Hrfb0fwDOOr0WS_pPckzAO-Nuk")</f>
        <v>1EfN5-n0Flku86UC55Hrfb0fwDOOr0WS_pPckzAO-Nuk</v>
      </c>
    </row>
    <row r="486" ht="15.75" customHeight="1">
      <c r="A486" t="str">
        <f>IFERROR(__xludf.DUMMYFUNCTION("""COMPUTED_VALUE"""),"Admin")</f>
        <v>Admin</v>
      </c>
      <c r="B486" t="str">
        <f>IFERROR(__xludf.DUMMYFUNCTION("""COMPUTED_VALUE"""),"EnableBreakdownRealizedPNL")</f>
        <v>EnableBreakdownRealizedPNL</v>
      </c>
      <c r="C486" t="str">
        <f>IFERROR(__xludf.DUMMYFUNCTION("""COMPUTED_VALUE"""),"1rtkxweRxmt7T-ctvx_6DrnlqP57bpTIP6Ieul7_mP6A")</f>
        <v>1rtkxweRxmt7T-ctvx_6DrnlqP57bpTIP6Ieul7_mP6A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IFERROR(__xludf.DUMMYFUNCTION("""COMPUTED_VALUE"""),"SetTTGeneralPreferences")</f>
        <v>SetTTGeneralPreferences</v>
      </c>
      <c r="C487" t="str">
        <f>IFERROR(__xludf.DUMMYFUNCTION("""COMPUTED_VALUE"""),"1bYrBAoKW9vS-yV7iY_o_bSeBsS4YGKCqurg8f5zUrJ8")</f>
        <v>1bYrBAoKW9vS-yV7iY_o_bSeBsS4YGKCqurg8f5zUrJ8</v>
      </c>
    </row>
    <row r="488" ht="15.75" customHeight="1">
      <c r="A488" t="str">
        <f>IFERROR(__xludf.DUMMYFUNCTION("""COMPUTED_VALUE"""),"Blotter")</f>
        <v>Blotter</v>
      </c>
      <c r="B488" t="str">
        <f>IFERROR(__xludf.DUMMYFUNCTION("""COMPUTED_VALUE"""),"OpenBlotter")</f>
        <v>OpenBlotter</v>
      </c>
      <c r="C488" t="str">
        <f>IFERROR(__xludf.DUMMYFUNCTION("""COMPUTED_VALUE"""),"1jh-uMffIi0EiSv0QmaxSeDY5pD0Bo-YUzVPlNlIB5sk")</f>
        <v>1jh-uMffIi0EiSv0QmaxSeDY5pD0Bo-YUzVPlNlIB5sk</v>
      </c>
    </row>
    <row r="489" ht="15.75" customHeight="1">
      <c r="A489" t="str">
        <f>IFERROR(__xludf.DUMMYFUNCTION("""COMPUTED_VALUE"""),"ExeExecutor")</f>
        <v>ExeExecutor</v>
      </c>
      <c r="B489" t="str">
        <f>IFERROR(__xludf.DUMMYFUNCTION("""COMPUTED_VALUE"""),"CallExeExecutor")</f>
        <v>CallExeExecutor</v>
      </c>
      <c r="C489" t="str">
        <f>IFERROR(__xludf.DUMMYFUNCTION("""COMPUTED_VALUE"""),"18prvJHsrb-rcZzLiFugnRouMTG2v1w23-4XsA6vdq28")</f>
        <v>18prvJHsrb-rcZzLiFugnRouMTG2v1w23-4XsA6vdq28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IFERROR(__xludf.DUMMYFUNCTION("""COMPUTED_VALUE"""),"ToggleBlombergOnRA")</f>
        <v>ToggleBlombergOnRA</v>
      </c>
      <c r="C490" t="str">
        <f>IFERROR(__xludf.DUMMYFUNCTION("""COMPUTED_VALUE"""),"10Qkq27hhdOEj1Wsc8HDmoaYNRjZvZz3hYs_g-o2srD4")</f>
        <v>10Qkq27hhdOEj1Wsc8HDmoaYNRjZvZz3hYs_g-o2srD4</v>
      </c>
    </row>
    <row r="491" ht="15.75" customHeight="1">
      <c r="A491" t="str">
        <f>IFERROR(__xludf.DUMMYFUNCTION("""COMPUTED_VALUE"""),"Blotter")</f>
        <v>Blotter</v>
      </c>
      <c r="B491" t="str">
        <f>IFERROR(__xludf.DUMMYFUNCTION("""COMPUTED_VALUE"""),"RemoveManualExecution")</f>
        <v>RemoveManualExecution</v>
      </c>
      <c r="C491" t="str">
        <f>IFERROR(__xludf.DUMMYFUNCTION("""COMPUTED_VALUE"""),"12JlWbwTibBQxTu6k-LfAtZm3Ge3zv_5pTxfwGMUw41Y")</f>
        <v>12JlWbwTibBQxTu6k-LfAtZm3Ge3zv_5pTxfwGMUw41Y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IFERROR(__xludf.DUMMYFUNCTION("""COMPUTED_VALUE"""),"RemoveExecutionWorkingSubs")</f>
        <v>RemoveExecutionWorkingSubs</v>
      </c>
      <c r="C492" t="str">
        <f>IFERROR(__xludf.DUMMYFUNCTION("""COMPUTED_VALUE"""),"1y-8IjqY0F-JaHDEQlN0WPEnzbLFvyaXbrTNH8_TVTks")</f>
        <v>1y-8IjqY0F-JaHDEQlN0WPEnzbLFvyaXbrTNH8_TVTks</v>
      </c>
    </row>
    <row r="493" ht="15.75" customHeight="1">
      <c r="A493" t="str">
        <f>IFERROR(__xludf.DUMMYFUNCTION("""COMPUTED_VALUE"""),"Dropcopy")</f>
        <v>Dropcopy</v>
      </c>
      <c r="B493" t="str">
        <f>IFERROR(__xludf.DUMMYFUNCTION("""COMPUTED_VALUE"""),"UploadDropcopyFile")</f>
        <v>UploadDropcopyFile</v>
      </c>
      <c r="C493" t="str">
        <f>IFERROR(__xludf.DUMMYFUNCTION("""COMPUTED_VALUE"""),"1nR5JdSa_bHe_xGX50gs4EzgjOu_OvNU3Jr03lpqD0xw")</f>
        <v>1nR5JdSa_bHe_xGX50gs4EzgjOu_OvNU3Jr03lpqD0xw</v>
      </c>
    </row>
    <row r="494" ht="15.75" customHeight="1">
      <c r="A494" t="str">
        <f>IFERROR(__xludf.DUMMYFUNCTION("""COMPUTED_VALUE"""),"TradeServer")</f>
        <v>TradeServer</v>
      </c>
      <c r="B494" t="str">
        <f>IFERROR(__xludf.DUMMYFUNCTION("""COMPUTED_VALUE"""),"StartTradeServer")</f>
        <v>StartTradeServer</v>
      </c>
      <c r="C494" t="str">
        <f>IFERROR(__xludf.DUMMYFUNCTION("""COMPUTED_VALUE"""),"1y76YUxz2PJo3dkDwBM0DtU6wDkbeltscHEvWIbis6PU")</f>
        <v>1y76YUxz2PJo3dkDwBM0DtU6wDkbeltscHEvWIbis6PU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IFERROR(__xludf.DUMMYFUNCTION("""COMPUTED_VALUE"""),"CloseTradeServer ")</f>
        <v>CloseTradeServer </v>
      </c>
      <c r="C495" t="str">
        <f>IFERROR(__xludf.DUMMYFUNCTION("""COMPUTED_VALUE"""),"1yt7YEJD5SbOmQGT4lGjpllft89GAxVsEpZGz0MjiwoE")</f>
        <v>1yt7YEJD5SbOmQGT4lGjpllft89GAxVsEpZGz0MjiwoE</v>
      </c>
    </row>
    <row r="496" ht="15.75" customHeight="1">
      <c r="A496" t="str">
        <f>IFERROR(__xludf.DUMMYFUNCTION("""COMPUTED_VALUE"""),"Blotter")</f>
        <v>Blotter</v>
      </c>
      <c r="B496" t="str">
        <f>IFERROR(__xludf.DUMMYFUNCTION("""COMPUTED_VALUE"""),"GetExecutionReportOrders")</f>
        <v>GetExecutionReportOrders</v>
      </c>
      <c r="C496" t="str">
        <f>IFERROR(__xludf.DUMMYFUNCTION("""COMPUTED_VALUE"""),"1NAb2WMfxxO3WY8IHkZpmM2CEoQJdLSaSUKkJGXbMhpM")</f>
        <v>1NAb2WMfxxO3WY8IHkZpmM2CEoQJdLSaSUKkJGXbMhpM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IFERROR(__xludf.DUMMYFUNCTION("""COMPUTED_VALUE"""),"GetExecutionReportDetails")</f>
        <v>GetExecutionReportDetails</v>
      </c>
      <c r="C497" t="str">
        <f>IFERROR(__xludf.DUMMYFUNCTION("""COMPUTED_VALUE"""),"1jzzm_gfQ-iQdhfat681yxboDYvsF3ICqvTE6xBuUuPw")</f>
        <v>1jzzm_gfQ-iQdhfat681yxboDYvsF3ICqvTE6xBuUuPw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IFERROR(__xludf.DUMMYFUNCTION("""COMPUTED_VALUE"""),"ExportExecutionReportData")</f>
        <v>ExportExecutionReportData</v>
      </c>
      <c r="C498" t="str">
        <f>IFERROR(__xludf.DUMMYFUNCTION("""COMPUTED_VALUE"""),"1QDVVpmU4OpSVy0QKxTmM6zg2QX4-s7c-SloWYxSfj2I")</f>
        <v>1QDVVpmU4OpSVy0QKxTmM6zg2QX4-s7c-SloWYxSfj2I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IFERROR(__xludf.DUMMYFUNCTION("""COMPUTED_VALUE"""),"VerifyExecutionReport")</f>
        <v>VerifyExecutionReport</v>
      </c>
      <c r="C499" t="str">
        <f>IFERROR(__xludf.DUMMYFUNCTION("""COMPUTED_VALUE"""),"1r_n-pmrLMgF_C8aeuNDr7tWOA0Y7GBcfWpC4prA7BYY")</f>
        <v>1r_n-pmrLMgF_C8aeuNDr7tWOA0Y7GBcfWpC4prA7BYY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IFERROR(__xludf.DUMMYFUNCTION("""COMPUTED_VALUE"""),"BlotterExecutionReportSnapshot")</f>
        <v>BlotterExecutionReportSnapshot</v>
      </c>
      <c r="C500" t="str">
        <f>IFERROR(__xludf.DUMMYFUNCTION("""COMPUTED_VALUE"""),"1CpQZAB4vlNmqvzO989xcBSpzc0NPLej2NvhLbdUyWTQ")</f>
        <v>1CpQZAB4vlNmqvzO989xcBSpzc0NPLej2NvhLbdUyWTQ</v>
      </c>
    </row>
    <row r="501" ht="15.75" customHeight="1">
      <c r="A501" t="str">
        <f>IFERROR(__xludf.DUMMYFUNCTION("""COMPUTED_VALUE"""),"Admin")</f>
        <v>Admin</v>
      </c>
      <c r="B501" t="str">
        <f>IFERROR(__xludf.DUMMYFUNCTION("""COMPUTED_VALUE"""),"SetDollarAmountPermission")</f>
        <v>SetDollarAmountPermission</v>
      </c>
      <c r="C501" t="str">
        <f>IFERROR(__xludf.DUMMYFUNCTION("""COMPUTED_VALUE"""),"14X5jPuAG23EQhbOfO3DylrVujon3mSElP-txsSkRnA8")</f>
        <v>14X5jPuAG23EQhbOfO3DylrVujon3mSElP-txsSkRnA8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IFERROR(__xludf.DUMMYFUNCTION("""COMPUTED_VALUE"""),"EnableDisableModule")</f>
        <v>EnableDisableModule</v>
      </c>
      <c r="C502" t="str">
        <f>IFERROR(__xludf.DUMMYFUNCTION("""COMPUTED_VALUE"""),"1Nhl_j0HYixYX2VQ1rak-5gFIBhJ4VoCwaftlalTj1bk")</f>
        <v>1Nhl_j0HYixYX2VQ1rak-5gFIBhJ4VoCwaftlalTj1bk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IFERROR(__xludf.DUMMYFUNCTION("""COMPUTED_VALUE"""),"MultipleTradeTransferToUser")</f>
        <v>MultipleTradeTransferToUser</v>
      </c>
      <c r="C503" t="str">
        <f>IFERROR(__xludf.DUMMYFUNCTION("""COMPUTED_VALUE"""),"18edwL6Y0tYzP2zrxa0QRcpYxjVV6krJxukXjossj_MM")</f>
        <v>18edwL6Y0tYzP2zrxa0QRcpYxjVV6krJxukXjossj_MM</v>
      </c>
    </row>
    <row r="504" ht="15.75" customHeight="1">
      <c r="A504" t="str">
        <f>IFERROR(__xludf.DUMMYFUNCTION("""COMPUTED_VALUE"""),"Admin")</f>
        <v>Admin</v>
      </c>
      <c r="B504" t="str">
        <f>IFERROR(__xludf.DUMMYFUNCTION("""COMPUTED_VALUE"""),"IsImportOverrideOnShortLocate")</f>
        <v>IsImportOverrideOnShortLocate</v>
      </c>
      <c r="C504" t="str">
        <f>IFERROR(__xludf.DUMMYFUNCTION("""COMPUTED_VALUE"""),"1rXpxTwvAlfhYJ9c_7pzI4e6qsq11B1glzjELJaxdM78")</f>
        <v>1rXpxTwvAlfhYJ9c_7pzI4e6qsq11B1glzjELJaxdM78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IFERROR(__xludf.DUMMYFUNCTION("""COMPUTED_VALUE"""),"SetShortLocateStructures")</f>
        <v>SetShortLocateStructures</v>
      </c>
      <c r="C505" t="str">
        <f>IFERROR(__xludf.DUMMYFUNCTION("""COMPUTED_VALUE"""),"1Ysz8uKnxRqT6F3_Q057BzV3ZZSVUtxBeQC04LlklMkA")</f>
        <v>1Ysz8uKnxRqT6F3_Q057BzV3ZZSVUtxBeQC04LlklMkA</v>
      </c>
    </row>
    <row r="506" ht="15.75" customHeight="1">
      <c r="A506" t="str">
        <f>IFERROR(__xludf.DUMMYFUNCTION("""COMPUTED_VALUE"""),"ShortLocate")</f>
        <v>ShortLocate</v>
      </c>
      <c r="B506" t="str">
        <f>IFERROR(__xludf.DUMMYFUNCTION("""COMPUTED_VALUE"""),"DownloadFile")</f>
        <v>DownloadFile</v>
      </c>
      <c r="C506" t="str">
        <f>IFERROR(__xludf.DUMMYFUNCTION("""COMPUTED_VALUE"""),"1Lo2aHDGLaNwTN4R8-xwG0BQ40lg7UQinHAGEpxz69js")</f>
        <v>1Lo2aHDGLaNwTN4R8-xwG0BQ40lg7UQinHAGEpxz69js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IFERROR(__xludf.DUMMYFUNCTION("""COMPUTED_VALUE"""),"SearchShortLocateUI")</f>
        <v>SearchShortLocateUI</v>
      </c>
      <c r="C507" t="str">
        <f>IFERROR(__xludf.DUMMYFUNCTION("""COMPUTED_VALUE"""),"1U6qgMqp1MPriWKxHsZuuHuHlmM-rJxqIxG5W7SUpFSg")</f>
        <v>1U6qgMqp1MPriWKxHsZuuHuHlmM-rJxqIxG5W7SUpFSg</v>
      </c>
    </row>
    <row r="508" ht="15.75" customHeight="1">
      <c r="A508" t="str">
        <f>IFERROR(__xludf.DUMMYFUNCTION("""COMPUTED_VALUE"""),"TradingTicket")</f>
        <v>TradingTicket</v>
      </c>
      <c r="B508" t="str">
        <f>IFERROR(__xludf.DUMMYFUNCTION("""COMPUTED_VALUE"""),"CreateDoneAwayOrder")</f>
        <v>CreateDoneAwayOrder</v>
      </c>
      <c r="C508" t="str">
        <f>IFERROR(__xludf.DUMMYFUNCTION("""COMPUTED_VALUE"""),"1PYf32wTc6i8YjkRz-Q53X6MYDiD5LoHyy9NsZwpOwGc")</f>
        <v>1PYf32wTc6i8YjkRz-Q53X6MYDiD5LoHyy9NsZwpOwGc</v>
      </c>
    </row>
    <row r="509" ht="15.75" customHeight="1">
      <c r="A509" t="str">
        <f>IFERROR(__xludf.DUMMYFUNCTION("""COMPUTED_VALUE"""),"Simulator")</f>
        <v>Simulator</v>
      </c>
      <c r="B509" t="str">
        <f>IFERROR(__xludf.DUMMYFUNCTION("""COMPUTED_VALUE"""),"VerifyTrades")</f>
        <v>VerifyTrades</v>
      </c>
      <c r="C509" t="str">
        <f>IFERROR(__xludf.DUMMYFUNCTION("""COMPUTED_VALUE"""),"1931c1Bd7mkuw8ktAOnJ1wXHqdWYL0uX2gQ9uIP2NnkI")</f>
        <v>1931c1Bd7mkuw8ktAOnJ1wXHqdWYL0uX2gQ9uIP2NnkI</v>
      </c>
    </row>
    <row r="510" ht="15.75" customHeight="1">
      <c r="A510" t="str">
        <f>IFERROR(__xludf.DUMMYFUNCTION("""COMPUTED_VALUE"""),"ShortLocate")</f>
        <v>ShortLocate</v>
      </c>
      <c r="B510" t="str">
        <f>IFERROR(__xludf.DUMMYFUNCTION("""COMPUTED_VALUE"""),"SetShortLocatePreferences")</f>
        <v>SetShortLocatePreferences</v>
      </c>
      <c r="C510" t="str">
        <f>IFERROR(__xludf.DUMMYFUNCTION("""COMPUTED_VALUE"""),"1nr3BA7Flp5cWiyNKfvlxJQEbl_IdNqrIInUcX8x159M")</f>
        <v>1nr3BA7Flp5cWiyNKfvlxJQEbl_IdNqrIInUcX8x159M</v>
      </c>
    </row>
    <row r="511" ht="15.75" customHeight="1">
      <c r="A511" t="str">
        <f>IFERROR(__xludf.DUMMYFUNCTION("""COMPUTED_VALUE"""),"SecurityMaster")</f>
        <v>SecurityMaster</v>
      </c>
      <c r="B511" t="str">
        <f>IFERROR(__xludf.DUMMYFUNCTION("""COMPUTED_VALUE"""),"GetSymbolData")</f>
        <v>GetSymbolData</v>
      </c>
      <c r="C511" t="str">
        <f>IFERROR(__xludf.DUMMYFUNCTION("""COMPUTED_VALUE"""),"1Jhbk5bZEf1nNxzsfiuLvF70SiNRDu-1THAWzNNwbi4Y")</f>
        <v>1Jhbk5bZEf1nNxzsfiuLvF70SiNRDu-1THAWzNNwbi4Y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IFERROR(__xludf.DUMMYFUNCTION("""COMPUTED_VALUE"""),"EditSMData")</f>
        <v>EditSMData</v>
      </c>
      <c r="C512" t="str">
        <f>IFERROR(__xludf.DUMMYFUNCTION("""COMPUTED_VALUE"""),"162dD8bZg-298j6PezrW145xv1_C6x4Isd0rGv85ZCII")</f>
        <v>162dD8bZg-298j6PezrW145xv1_C6x4Isd0rGv85ZCII</v>
      </c>
    </row>
    <row r="513" ht="15.75" customHeight="1">
      <c r="A513" t="str">
        <f>IFERROR(__xludf.DUMMYFUNCTION("""COMPUTED_VALUE"""),"Compliance")</f>
        <v>Compliance</v>
      </c>
      <c r="B513" t="str">
        <f>IFERROR(__xludf.DUMMYFUNCTION("""COMPUTED_VALUE"""),"RestartRuleMediator")</f>
        <v>RestartRuleMediator</v>
      </c>
      <c r="C513" t="str">
        <f>IFERROR(__xludf.DUMMYFUNCTION("""COMPUTED_VALUE"""),"1dZ1FWxsWVvPQ6jyA-ksyvErraF0tisehi5j1I2FOkRw")</f>
        <v>1dZ1FWxsWVvPQ6jyA-ksyvErraF0tisehi5j1I2FOkRw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IFERROR(__xludf.DUMMYFUNCTION("""COMPUTED_VALUE"""),"VerifyAggAccountSymbolWithNav")</f>
        <v>VerifyAggAccountSymbolWithNav</v>
      </c>
      <c r="C514" t="str">
        <f>IFERROR(__xludf.DUMMYFUNCTION("""COMPUTED_VALUE"""),"11jhyREfVfPzaKHLxIklzEiVpo7QOG5knwgpEA7Hkzto")</f>
        <v>11jhyREfVfPzaKHLxIklzEiVpo7QOG5knwgpEA7Hkzto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IFERROR(__xludf.DUMMYFUNCTION("""COMPUTED_VALUE"""),"SetComplianceAlert")</f>
        <v>SetComplianceAlert</v>
      </c>
      <c r="C515" t="str">
        <f>IFERROR(__xludf.DUMMYFUNCTION("""COMPUTED_VALUE"""),"12x8yk-qXOBJRoW8RyxDDfI4tsK-lzo85opA2CvzjQoA")</f>
        <v>12x8yk-qXOBJRoW8RyxDDfI4tsK-lzo85opA2CvzjQoA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IFERROR(__xludf.DUMMYFUNCTION("""COMPUTED_VALUE"""),"ReloadOrderFromBlotter")</f>
        <v>ReloadOrderFromBlotter</v>
      </c>
      <c r="C516" t="str">
        <f>IFERROR(__xludf.DUMMYFUNCTION("""COMPUTED_VALUE"""),"1KTgBgigwVrlQbk-675Krfsd2QqH49pqRvlWifYUtQ5g")</f>
        <v>1KTgBgigwVrlQbk-675Krfsd2QqH49pqRvlWifYUtQ5g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IFERROR(__xludf.DUMMYFUNCTION("""COMPUTED_VALUE"""),"ReloadOrderFromSubOrder")</f>
        <v>ReloadOrderFromSubOrder</v>
      </c>
      <c r="C517" t="str">
        <f>IFERROR(__xludf.DUMMYFUNCTION("""COMPUTED_VALUE"""),"1a8denPrrrZ6CU7m_5pyvuX8v3Z1WPbnkCQZRqkPZEj8")</f>
        <v>1a8denPrrrZ6CU7m_5pyvuX8v3Z1WPbnkCQZRqkPZEj8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IFERROR(__xludf.DUMMYFUNCTION("""COMPUTED_VALUE"""),"ReloadOrderFromWorkingSubs")</f>
        <v>ReloadOrderFromWorkingSubs</v>
      </c>
      <c r="C518" t="str">
        <f>IFERROR(__xludf.DUMMYFUNCTION("""COMPUTED_VALUE"""),"1Qy10BJ2vPY3GZqXNi1sf4HN4-VBeDTN2tZbIrlL9_tM")</f>
        <v>1Qy10BJ2vPY3GZqXNi1sf4HN4-VBeDTN2tZbIrlL9_tM</v>
      </c>
    </row>
    <row r="519" ht="15.75" customHeight="1">
      <c r="A519" t="str">
        <f>IFERROR(__xludf.DUMMYFUNCTION("""COMPUTED_VALUE"""),"Closing")</f>
        <v>Closing</v>
      </c>
      <c r="B519" t="str">
        <f>IFERROR(__xludf.DUMMYFUNCTION("""COMPUTED_VALUE"""),"AutoExercise")</f>
        <v>AutoExercise</v>
      </c>
      <c r="C519" t="str">
        <f>IFERROR(__xludf.DUMMYFUNCTION("""COMPUTED_VALUE"""),"1VkyCG4QZGXFJyz0uDReEN_PMiHJtUbU9MzJ18dR7djs")</f>
        <v>1VkyCG4QZGXFJyz0uDReEN_PMiHJtUbU9MzJ18dR7djs</v>
      </c>
    </row>
    <row r="520" ht="15.75" customHeight="1">
      <c r="A520" t="str">
        <f>IFERROR(__xludf.DUMMYFUNCTION("""COMPUTED_VALUE"""),"PortfolioManagement")</f>
        <v>PortfolioManagement</v>
      </c>
      <c r="B520" t="str">
        <f>IFERROR(__xludf.DUMMYFUNCTION("""COMPUTED_VALUE"""),"IncreasePositionFromPM")</f>
        <v>IncreasePositionFromPM</v>
      </c>
      <c r="C520" t="str">
        <f>IFERROR(__xludf.DUMMYFUNCTION("""COMPUTED_VALUE"""),"1xln3IHIAQBsFIP_BTRt6nFOFbhoLbe-sRdYWCguKd7k")</f>
        <v>1xln3IHIAQBsFIP_BTRt6nFOFbhoLbe-sRdYWCguKd7k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IFERROR(__xludf.DUMMYFUNCTION("""COMPUTED_VALUE"""),"AddOptionTrade")</f>
        <v>AddOptionTrade</v>
      </c>
      <c r="C521" t="str">
        <f>IFERROR(__xludf.DUMMYFUNCTION("""COMPUTED_VALUE"""),"1zk0UoVrMV0oINBkU2tXEcmh42lo2poOp5V2voemUQOc")</f>
        <v>1zk0UoVrMV0oINBkU2tXEcmh42lo2poOp5V2voemUQOc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IFERROR(__xludf.DUMMYFUNCTION("""COMPUTED_VALUE"""),"SendLiveBloomberg")</f>
        <v>SendLiveBloomberg</v>
      </c>
      <c r="C522" t="str">
        <f>IFERROR(__xludf.DUMMYFUNCTION("""COMPUTED_VALUE"""),"1YDY4PrQHIwjAVV7ZS5FxsT9X35VMSfx9lUFZ6KS0TT4")</f>
        <v>1YDY4PrQHIwjAVV7ZS5FxsT9X35VMSfx9lUFZ6KS0TT4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IFERROR(__xludf.DUMMYFUNCTION("""COMPUTED_VALUE"""),"UpdateExpirationDate")</f>
        <v>UpdateExpirationDate</v>
      </c>
      <c r="C523" t="str">
        <f>IFERROR(__xludf.DUMMYFUNCTION("""COMPUTED_VALUE"""),"1m5emwEeVJWl1_OB8Nsr7sbSKCTBM_edzEbP7vtPiImU")</f>
        <v>1m5emwEeVJWl1_OB8Nsr7sbSKCTBM_edzEbP7vtPiImU</v>
      </c>
    </row>
    <row r="524" ht="15.75" customHeight="1">
      <c r="A524" t="str">
        <f>IFERROR(__xludf.DUMMYFUNCTION("""COMPUTED_VALUE"""),"PricingInput")</f>
        <v>PricingInput</v>
      </c>
      <c r="B524" t="str">
        <f>IFERROR(__xludf.DUMMYFUNCTION("""COMPUTED_VALUE"""),"UncheckDividendYield")</f>
        <v>UncheckDividendYield</v>
      </c>
      <c r="C524" t="str">
        <f>IFERROR(__xludf.DUMMYFUNCTION("""COMPUTED_VALUE"""),"1siER4KgCo3rya7jG6bOEOQMJ5jolS_sgeWzVIaXVnOA")</f>
        <v>1siER4KgCo3rya7jG6bOEOQMJ5jolS_sgeWzVIaXVnOA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IFERROR(__xludf.DUMMYFUNCTION("""COMPUTED_VALUE"""),"RenameMasterStrategy")</f>
        <v>RenameMasterStrategy</v>
      </c>
      <c r="C525" t="str">
        <f>IFERROR(__xludf.DUMMYFUNCTION("""COMPUTED_VALUE"""),"17O0fiItP8De4QvAabOMWsJRuFVwYQ4vcaWY9LIrA4AM")</f>
        <v>17O0fiItP8De4QvAabOMWsJRuFVwYQ4vcaWY9LIrA4AM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IFERROR(__xludf.DUMMYFUNCTION("""COMPUTED_VALUE"""),"SelectFills")</f>
        <v>SelectFills</v>
      </c>
      <c r="C526" t="str">
        <f>IFERROR(__xludf.DUMMYFUNCTION("""COMPUTED_VALUE"""),"1KmDGWLo9fXILo47E7QiLk8PcgyXyPWDYLSmlv1U7OEI")</f>
        <v>1KmDGWLo9fXILo47E7QiLk8PcgyXyPWDYLSmlv1U7OEI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IFERROR(__xludf.DUMMYFUNCTION("""COMPUTED_VALUE"""),"ModifyFills")</f>
        <v>ModifyFills</v>
      </c>
      <c r="C527" t="str">
        <f>IFERROR(__xludf.DUMMYFUNCTION("""COMPUTED_VALUE"""),"1kjhDPh6h17F_qQ5SR_vaGjeQJ54-Cnj0LAluw9XRR9E")</f>
        <v>1kjhDPh6h17F_qQ5SR_vaGjeQJ54-Cnj0LAluw9XRR9E</v>
      </c>
    </row>
    <row r="528" ht="15.75" customHeight="1">
      <c r="A528" t="str">
        <f>IFERROR(__xludf.DUMMYFUNCTION("""COMPUTED_VALUE"""),"PranaClient")</f>
        <v>PranaClient</v>
      </c>
      <c r="B528" t="str">
        <f>IFERROR(__xludf.DUMMYFUNCTION("""COMPUTED_VALUE"""),"LoginClient")</f>
        <v>LoginClient</v>
      </c>
      <c r="C528" t="str">
        <f>IFERROR(__xludf.DUMMYFUNCTION("""COMPUTED_VALUE"""),"1oOEnrCswh1E2gMB7QLb7Kzwn1g_U9MdoUM8ZuU4xpqM")</f>
        <v>1oOEnrCswh1E2gMB7QLb7Kzwn1g_U9MdoUM8ZuU4xpqM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IFERROR(__xludf.DUMMYFUNCTION("""COMPUTED_VALUE"""),"EditMultipleCloseQuantity")</f>
        <v>EditMultipleCloseQuantity</v>
      </c>
      <c r="C529" t="str">
        <f>IFERROR(__xludf.DUMMYFUNCTION("""COMPUTED_VALUE"""),"1GFVJ-sKAde1ojd0Fe4n6uFMFg_t5ihjSGwIRBDNxnSQ")</f>
        <v>1GFVJ-sKAde1ojd0Fe4n6uFMFg_t5ihjSGwIRBDNxnSQ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IFERROR(__xludf.DUMMYFUNCTION("""COMPUTED_VALUE"""),"ManualCloseOrder")</f>
        <v>ManualCloseOrder</v>
      </c>
      <c r="C530" t="str">
        <f>IFERROR(__xludf.DUMMYFUNCTION("""COMPUTED_VALUE"""),"1fZ_P02eEi4GavSkUo3cpan_Jh4xz0OQjidMUwzCMms8")</f>
        <v>1fZ_P02eEi4GavSkUo3cpan_Jh4xz0OQjidMUwzCMms8</v>
      </c>
    </row>
    <row r="531" ht="15.75" customHeight="1">
      <c r="A531" t="str">
        <f>IFERROR(__xludf.DUMMYFUNCTION("""COMPUTED_VALUE"""),"Admin")</f>
        <v>Admin</v>
      </c>
      <c r="B531" t="str">
        <f>IFERROR(__xludf.DUMMYFUNCTION("""COMPUTED_VALUE"""),"SetTTUIAdminPreferences")</f>
        <v>SetTTUIAdminPreferences</v>
      </c>
      <c r="C531" t="str">
        <f>IFERROR(__xludf.DUMMYFUNCTION("""COMPUTED_VALUE"""),"1XGzqnk2nunw7F--MNGHLzH3F0YYmIumyegAncIZZB6k")</f>
        <v>1XGzqnk2nunw7F--MNGHLzH3F0YYmIumyegAncIZZB6k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IFERROR(__xludf.DUMMYFUNCTION("""COMPUTED_VALUE"""),"PreviewDataWithFilters")</f>
        <v>PreviewDataWithFilters</v>
      </c>
      <c r="C532" t="str">
        <f>IFERROR(__xludf.DUMMYFUNCTION("""COMPUTED_VALUE"""),"1QufyUdyJ0hiResW8bLzTI1qcoXAtWh2TTAg4KNj2kv4")</f>
        <v>1QufyUdyJ0hiResW8bLzTI1qcoXAtWh2TTAg4KNj2kv4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IFERROR(__xludf.DUMMYFUNCTION("""COMPUTED_VALUE"""),"ViewAllocation")</f>
        <v>ViewAllocation</v>
      </c>
      <c r="C533" t="str">
        <f>IFERROR(__xludf.DUMMYFUNCTION("""COMPUTED_VALUE"""),"1qQcdc8yQuKhwDznJZ6pFksOXC_DRFeEcZJNoYabCqoo")</f>
        <v>1qQcdc8yQuKhwDznJZ6pFksOXC_DRFeEcZJNoYabCqoo</v>
      </c>
    </row>
    <row r="534" ht="15.75" customHeight="1">
      <c r="A534" t="str">
        <f>IFERROR(__xludf.DUMMYFUNCTION("""COMPUTED_VALUE"""),"Admin")</f>
        <v>Admin</v>
      </c>
      <c r="B534" t="str">
        <f>IFERROR(__xludf.DUMMYFUNCTION("""COMPUTED_VALUE"""),"UpdateSecFee")</f>
        <v>UpdateSecFee</v>
      </c>
      <c r="C534" t="str">
        <f>IFERROR(__xludf.DUMMYFUNCTION("""COMPUTED_VALUE"""),"165ONyZgtypA9enxNYG1RIGJ0QQBpn60s9uk-ZFwfAQI")</f>
        <v>165ONyZgtypA9enxNYG1RIGJ0QQBpn60s9uk-ZFwfAQI</v>
      </c>
    </row>
    <row r="535" ht="15.75" customHeight="1">
      <c r="A535" t="str">
        <f>IFERROR(__xludf.DUMMYFUNCTION("""COMPUTED_VALUE"""),"Closing")</f>
        <v>Closing</v>
      </c>
      <c r="B535" t="str">
        <f>IFERROR(__xludf.DUMMYFUNCTION("""COMPUTED_VALUE"""),"CreateClosingTemplate")</f>
        <v>CreateClosingTemplate</v>
      </c>
      <c r="C535" t="str">
        <f>IFERROR(__xludf.DUMMYFUNCTION("""COMPUTED_VALUE"""),"1dO0ymjm2QUZjeMDVWKonhU6YqesW2cr7p8PLsR8JxaA")</f>
        <v>1dO0ymjm2QUZjeMDVWKonhU6YqesW2cr7p8PLsR8JxaA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IFERROR(__xludf.DUMMYFUNCTION("""COMPUTED_VALUE"""),"CreateUnwindingTemplate")</f>
        <v>CreateUnwindingTemplate</v>
      </c>
      <c r="C536" t="str">
        <f>IFERROR(__xludf.DUMMYFUNCTION("""COMPUTED_VALUE"""),"1elBNb12z0vBYbY9P3ZtJ0q2SWz7SHF34zwW-QQZxQH0")</f>
        <v>1elBNb12z0vBYbY9P3ZtJ0q2SWz7SHF34zwW-QQZxQH0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IFERROR(__xludf.DUMMYFUNCTION("""COMPUTED_VALUE"""),"EditTemplate")</f>
        <v>EditTemplate</v>
      </c>
      <c r="C537" t="str">
        <f>IFERROR(__xludf.DUMMYFUNCTION("""COMPUTED_VALUE"""),"1ZmcENUuCOmbgT4qA2jopXrJlm_NQ2yxiHmw457oO6Ks")</f>
        <v>1ZmcENUuCOmbgT4qA2jopXrJlm_NQ2yxiHmw457oO6Ks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IFERROR(__xludf.DUMMYFUNCTION("""COMPUTED_VALUE"""),"DeleteTemplate")</f>
        <v>DeleteTemplate</v>
      </c>
      <c r="C538" t="str">
        <f>IFERROR(__xludf.DUMMYFUNCTION("""COMPUTED_VALUE"""),"1kB5ouEy35PLGrGH3P7q6zhj1lAakSOshbaFfRSxUYuI")</f>
        <v>1kB5ouEy35PLGrGH3P7q6zhj1lAakSOshbaFfRSxUYuI</v>
      </c>
    </row>
    <row r="539" ht="15.75" customHeight="1">
      <c r="A539" t="str">
        <f>IFERROR(__xludf.DUMMYFUNCTION("""COMPUTED_VALUE"""),"Allocation")</f>
        <v>Allocation</v>
      </c>
      <c r="B539" t="str">
        <f>IFERROR(__xludf.DUMMYFUNCTION("""COMPUTED_VALUE"""),"AllocationAuditTrail")</f>
        <v>AllocationAuditTrail</v>
      </c>
      <c r="C539" t="str">
        <f>IFERROR(__xludf.DUMMYFUNCTION("""COMPUTED_VALUE"""),"1cWbQrLhcx-DBTt83fk27awIMhSdKtj7wh0dnffqkyEg")</f>
        <v>1cWbQrLhcx-DBTt83fk27awIMhSdKtj7wh0dnffqkyEg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IFERROR(__xludf.DUMMYFUNCTION("""COMPUTED_VALUE"""),"GetAuditTrailData")</f>
        <v>GetAuditTrailData</v>
      </c>
      <c r="C540" t="str">
        <f>IFERROR(__xludf.DUMMYFUNCTION("""COMPUTED_VALUE"""),"1atfQajSO79BpNABHuWDu-qwEpzSPXeTPKhLrVf3qAJQ")</f>
        <v>1atfQajSO79BpNABHuWDu-qwEpzSPXeTPKhLrVf3qAJQ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IFERROR(__xludf.DUMMYFUNCTION("""COMPUTED_VALUE"""),"CheckAuditTrailData")</f>
        <v>CheckAuditTrailData</v>
      </c>
      <c r="C541" t="str">
        <f>IFERROR(__xludf.DUMMYFUNCTION("""COMPUTED_VALUE"""),"1ynZmQFpgGOcXlnL_2G1gIugXpfbDTFt91dNyM50VdQI")</f>
        <v>1ynZmQFpgGOcXlnL_2G1gIugXpfbDTFt91dNyM50VdQI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IFERROR(__xludf.DUMMYFUNCTION("""COMPUTED_VALUE"""),"RunTemplate")</f>
        <v>RunTemplate</v>
      </c>
      <c r="C542" t="str">
        <f>IFERROR(__xludf.DUMMYFUNCTION("""COMPUTED_VALUE"""),"1iWCPXe0tXJ4PIDbwGLtBOVNSJ2s7YN4z8ZTJcr0Wuw4")</f>
        <v>1iWCPXe0tXJ4PIDbwGLtBOVNSJ2s7YN4z8ZTJcr0Wuw4</v>
      </c>
    </row>
    <row r="543" ht="15.75" customHeight="1">
      <c r="A543" t="str">
        <f>IFERROR(__xludf.DUMMYFUNCTION("""COMPUTED_VALUE"""),"SymbolLookup")</f>
        <v>SymbolLookup</v>
      </c>
      <c r="B543" t="str">
        <f>IFERROR(__xludf.DUMMYFUNCTION("""COMPUTED_VALUE"""),"EnterEquity")</f>
        <v>EnterEquity</v>
      </c>
      <c r="C543" t="str">
        <f>IFERROR(__xludf.DUMMYFUNCTION("""COMPUTED_VALUE"""),"1fz65nnl1EeQopbyOQst6wzPdLRIHU1-7mjW2sgFXCAo")</f>
        <v>1fz65nnl1EeQopbyOQst6wzPdLRIHU1-7mjW2sgFXCAo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IFERROR(__xludf.DUMMYFUNCTION("""COMPUTED_VALUE"""),"UpdateSecurityInfoOnSM")</f>
        <v>UpdateSecurityInfoOnSM</v>
      </c>
      <c r="C544" t="str">
        <f>IFERROR(__xludf.DUMMYFUNCTION("""COMPUTED_VALUE"""),"1I1mDhfrVnKfVAYMK9kcg_A-0IZoCrTMjPsHzeC_QRU8")</f>
        <v>1I1mDhfrVnKfVAYMK9kcg_A-0IZoCrTMjPsHzeC_QRU8</v>
      </c>
    </row>
    <row r="545" ht="15.75" customHeight="1">
      <c r="A545" t="str">
        <f>IFERROR(__xludf.DUMMYFUNCTION("""COMPUTED_VALUE"""),"Blotter")</f>
        <v>Blotter</v>
      </c>
      <c r="B545" t="str">
        <f>IFERROR(__xludf.DUMMYFUNCTION("""COMPUTED_VALUE"""),"AllocateFromBlotter")</f>
        <v>AllocateFromBlotter</v>
      </c>
      <c r="C545" t="str">
        <f>IFERROR(__xludf.DUMMYFUNCTION("""COMPUTED_VALUE"""),"1oly-GUleCLstbhsLqb5z_nrN6IcuRDzo7dau3mRro2g")</f>
        <v>1oly-GUleCLstbhsLqb5z_nrN6IcuRDzo7dau3mRro2g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IFERROR(__xludf.DUMMYFUNCTION("""COMPUTED_VALUE"""),"UpdateFee")</f>
        <v>UpdateFee</v>
      </c>
      <c r="C546" t="str">
        <f>IFERROR(__xludf.DUMMYFUNCTION("""COMPUTED_VALUE"""),"19Rcvs50oHXGL5FsIW3nGsIY2a3BShYxifQZnyCdj5YI")</f>
        <v>19Rcvs50oHXGL5FsIW3nGsIY2a3BShYxifQZnyCdj5YI</v>
      </c>
    </row>
    <row r="547" ht="15.75" customHeight="1">
      <c r="A547" t="str">
        <f>IFERROR(__xludf.DUMMYFUNCTION("""COMPUTED_VALUE"""),"Allocation")</f>
        <v>Allocation</v>
      </c>
      <c r="B547" t="str">
        <f>IFERROR(__xludf.DUMMYFUNCTION("""COMPUTED_VALUE"""),"DeleteGroupWithOutSave")</f>
        <v>DeleteGroupWithOutSave</v>
      </c>
      <c r="C547" t="str">
        <f>IFERROR(__xludf.DUMMYFUNCTION("""COMPUTED_VALUE"""),"1bAgsLuM31eH3FHZF-8cUfrnOajQpP_RsuaUUeL6eYHU")</f>
        <v>1bAgsLuM31eH3FHZF-8cUfrnOajQpP_RsuaUUeL6eYHU</v>
      </c>
    </row>
    <row r="548" ht="15.75" customHeight="1">
      <c r="A548" t="str">
        <f>IFERROR(__xludf.DUMMYFUNCTION("""COMPUTED_VALUE"""),"Allocation")</f>
        <v>Allocation</v>
      </c>
      <c r="B548" t="str">
        <f>IFERROR(__xludf.DUMMYFUNCTION("""COMPUTED_VALUE"""),"CheckPreferences")</f>
        <v>CheckPreferences</v>
      </c>
      <c r="C548" t="str">
        <f>IFERROR(__xludf.DUMMYFUNCTION("""COMPUTED_VALUE"""),"19LWAFgtJK8TJic3Bigl3vokyu1yraGt63a_sVpP1MUU")</f>
        <v>19LWAFgtJK8TJic3Bigl3vokyu1yraGt63a_sVpP1MUU</v>
      </c>
    </row>
    <row r="549" ht="15.75" customHeight="1">
      <c r="A549" t="str">
        <f>IFERROR(__xludf.DUMMYFUNCTION("""COMPUTED_VALUE"""),"Rebalancer")</f>
        <v>Rebalancer</v>
      </c>
      <c r="B549" t="str">
        <f>IFERROR(__xludf.DUMMYFUNCTION("""COMPUTED_VALUE"""),"SymbologyChangeRB")</f>
        <v>SymbologyChangeRB</v>
      </c>
      <c r="C549" t="str">
        <f>IFERROR(__xludf.DUMMYFUNCTION("""COMPUTED_VALUE"""),"Undefined")</f>
        <v>Undefined</v>
      </c>
    </row>
    <row r="550" ht="15.75" customHeight="1">
      <c r="A550" t="str">
        <f>IFERROR(__xludf.DUMMYFUNCTION("""COMPUTED_VALUE"""),"TradingTicket")</f>
        <v>TradingTicket</v>
      </c>
      <c r="B550" t="str">
        <f>IFERROR(__xludf.DUMMYFUNCTION("""COMPUTED_VALUE"""),"CreateReplaceLiveOrder")</f>
        <v>CreateReplaceLiveOrder</v>
      </c>
      <c r="C550" t="str">
        <f>IFERROR(__xludf.DUMMYFUNCTION("""COMPUTED_VALUE"""),"1WKdqwN3CzS__R4r-J0QXkrMVzdcNg8eJuijQ4dJIXSU")</f>
        <v>1WKdqwN3CzS__R4r-J0QXkrMVzdcNg8eJuijQ4dJIXSU</v>
      </c>
    </row>
    <row r="551" ht="15.75" customHeight="1">
      <c r="A551" t="str">
        <f>IFERROR(__xludf.DUMMYFUNCTION("""COMPUTED_VALUE"""),"Admin")</f>
        <v>Admin</v>
      </c>
      <c r="B551" t="str">
        <f>IFERROR(__xludf.DUMMYFUNCTION("""COMPUTED_VALUE"""),"RevertingSMSharesOutValue")</f>
        <v>RevertingSMSharesOutValue</v>
      </c>
      <c r="C551" t="str">
        <f>IFERROR(__xludf.DUMMYFUNCTION("""COMPUTED_VALUE"""),"1TMvyzuvaXNvx9qH4tERqEMaAM8IhUKVHedPNcqMqnso")</f>
        <v>1TMvyzuvaXNvx9qH4tERqEMaAM8IhUKVHedPNcqMqnso</v>
      </c>
    </row>
    <row r="552" ht="15.75" customHeight="1">
      <c r="A552" t="str">
        <f>IFERROR(__xludf.DUMMYFUNCTION("""COMPUTED_VALUE"""),"SymbolLookup")</f>
        <v>SymbolLookup</v>
      </c>
      <c r="B552" t="str">
        <f>IFERROR(__xludf.DUMMYFUNCTION("""COMPUTED_VALUE"""),"TradeSymbolFromSM")</f>
        <v>TradeSymbolFromSM</v>
      </c>
      <c r="C552" t="str">
        <f>IFERROR(__xludf.DUMMYFUNCTION("""COMPUTED_VALUE"""),"1-CEopEQMGMoXLU6RCzJz5EPF9dIkT0gUSqvavHcsYis")</f>
        <v>1-CEopEQMGMoXLU6RCzJz5EPF9dIkT0gUSqvavHcsYis</v>
      </c>
    </row>
    <row r="553" ht="15.75" customHeight="1">
      <c r="A553" t="str">
        <f>IFERROR(__xludf.DUMMYFUNCTION("""COMPUTED_VALUE"""),"Closing")</f>
        <v>Closing</v>
      </c>
      <c r="B553" t="str">
        <f>IFERROR(__xludf.DUMMYFUNCTION("""COMPUTED_VALUE"""),"SelectAccountWiseAsset")</f>
        <v>SelectAccountWiseAsset</v>
      </c>
      <c r="C553" t="str">
        <f>IFERROR(__xludf.DUMMYFUNCTION("""COMPUTED_VALUE"""),"1T8QT8BlZU5hSthOscwYVMb0pI8jbsslQ3q_iqR9NEvo")</f>
        <v>1T8QT8BlZU5hSthOscwYVMb0pI8jbsslQ3q_iqR9NEvo</v>
      </c>
    </row>
    <row r="554" ht="15.75" customHeight="1">
      <c r="A554" t="str">
        <f>IFERROR(__xludf.DUMMYFUNCTION("""COMPUTED_VALUE"""),"Closing")</f>
        <v>Closing</v>
      </c>
      <c r="B554" t="str">
        <f>IFERROR(__xludf.DUMMYFUNCTION("""COMPUTED_VALUE"""),"VerifyCTData")</f>
        <v>VerifyCTData</v>
      </c>
      <c r="C554" t="str">
        <f>IFERROR(__xludf.DUMMYFUNCTION("""COMPUTED_VALUE"""),"1_n2-hA1ZHyO0Vk19SbEjEAgktcqBciHeshI2fRJE9_c")</f>
        <v>1_n2-hA1ZHyO0Vk19SbEjEAgktcqBciHeshI2fRJE9_c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IFERROR(__xludf.DUMMYFUNCTION("""COMPUTED_VALUE"""),"ExerciseAssignmentWithOutSave")</f>
        <v>ExerciseAssignmentWithOutSave</v>
      </c>
      <c r="C555" t="str">
        <f>IFERROR(__xludf.DUMMYFUNCTION("""COMPUTED_VALUE"""),"1k7fmIQoUvoS3gScp7H0vdlqboqJE2NBh67-wxIIzjXI")</f>
        <v>1k7fmIQoUvoS3gScp7H0vdlqboqJE2NBh67-wxIIzjXI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IFERROR(__xludf.DUMMYFUNCTION("""COMPUTED_VALUE"""),"SaveCTData")</f>
        <v>SaveCTData</v>
      </c>
      <c r="C556" t="str">
        <f>IFERROR(__xludf.DUMMYFUNCTION("""COMPUTED_VALUE"""),"127jo001wzv8UVwRReX1UnxrYxQVoXUcKy8RlV0rBbzE")</f>
        <v>127jo001wzv8UVwRReX1UnxrYxQVoXUcKy8RlV0rBbzE</v>
      </c>
    </row>
    <row r="557" ht="15.75" customHeight="1">
      <c r="A557" t="str">
        <f>IFERROR(__xludf.DUMMYFUNCTION("""COMPUTED_VALUE"""),"Allocation")</f>
        <v>Allocation</v>
      </c>
      <c r="B557" t="str">
        <f>IFERROR(__xludf.DUMMYFUNCTION("""COMPUTED_VALUE"""),"AllocateWithPopUp")</f>
        <v>AllocateWithPopUp</v>
      </c>
      <c r="C557" t="str">
        <f>IFERROR(__xludf.DUMMYFUNCTION("""COMPUTED_VALUE"""),"1vUO7n9j897nT7StAOKwNOzllgpbb7S3kVwYUOxEdD1Y")</f>
        <v>1vUO7n9j897nT7StAOKwNOzllgpbb7S3kVwYUOxEdD1Y</v>
      </c>
    </row>
    <row r="558" ht="15.75" customHeight="1">
      <c r="A558" t="str">
        <f>IFERROR(__xludf.DUMMYFUNCTION("""COMPUTED_VALUE"""),"TradingTicket")</f>
        <v>TradingTicket</v>
      </c>
      <c r="B558" t="str">
        <f>IFERROR(__xludf.DUMMYFUNCTION("""COMPUTED_VALUE"""),"CreateNewSubLiveOrder")</f>
        <v>CreateNewSubLiveOrder</v>
      </c>
      <c r="C558" t="str">
        <f>IFERROR(__xludf.DUMMYFUNCTION("""COMPUTED_VALUE"""),"12zWky2LmOXrqIXPltYfxypKjuQf3ZHGv1mz-xQGxKTQ")</f>
        <v>12zWky2LmOXrqIXPltYfxypKjuQf3ZHGv1mz-xQGxKTQ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IFERROR(__xludf.DUMMYFUNCTION("""COMPUTED_VALUE"""),"ViewPTTAllocationDetails")</f>
        <v>ViewPTTAllocationDetails</v>
      </c>
      <c r="C559" t="str">
        <f>IFERROR(__xludf.DUMMYFUNCTION("""COMPUTED_VALUE"""),"1KoA0Wc5hAar-q0SNiFxHZv5O7_6Ub43E0Baobavff04")</f>
        <v>1KoA0Wc5hAar-q0SNiFxHZv5O7_6Ub43E0Baobavff04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IFERROR(__xludf.DUMMYFUNCTION("""COMPUTED_VALUE"""),"RestartSQL")</f>
        <v>RestartSQL</v>
      </c>
      <c r="C560" t="str">
        <f>IFERROR(__xludf.DUMMYFUNCTION("""COMPUTED_VALUE"""),"1vVUSxh3aheqbZRQq-3oJhAe8OKjNysk1JPVf_W8f5l0")</f>
        <v>1vVUSxh3aheqbZRQq-3oJhAe8OKjNysk1JPVf_W8f5l0</v>
      </c>
    </row>
    <row r="561" ht="15.75" customHeight="1">
      <c r="A561" t="str">
        <f>IFERROR(__xludf.DUMMYFUNCTION("""COMPUTED_VALUE"""),"Admin")</f>
        <v>Admin</v>
      </c>
      <c r="B561" t="str">
        <f>IFERROR(__xludf.DUMMYFUNCTION("""COMPUTED_VALUE"""),"TradeAuditCleanUp")</f>
        <v>TradeAuditCleanUp</v>
      </c>
      <c r="C561" t="str">
        <f>IFERROR(__xludf.DUMMYFUNCTION("""COMPUTED_VALUE"""),"1X5YzKAgrVFRed11iGwwlj-Wh1wAD0gvmGSkTbMQqBao")</f>
        <v>1X5YzKAgrVFRed11iGwwlj-Wh1wAD0gvmGSkTbMQqBao</v>
      </c>
    </row>
    <row r="562" ht="15.75" customHeight="1">
      <c r="A562" t="str">
        <f>IFERROR(__xludf.DUMMYFUNCTION("""COMPUTED_VALUE"""),"Import")</f>
        <v>Import</v>
      </c>
      <c r="B562" t="str">
        <f>IFERROR(__xludf.DUMMYFUNCTION("""COMPUTED_VALUE"""),"SelectTradeOnImport")</f>
        <v>SelectTradeOnImport</v>
      </c>
      <c r="C562" t="str">
        <f>IFERROR(__xludf.DUMMYFUNCTION("""COMPUTED_VALUE"""),"10cAOM3qnGaWW44q9z21WEIOpJdPIAth5hr8jecUfG6A")</f>
        <v>10cAOM3qnGaWW44q9z21WEIOpJdPIAth5hr8jecUfG6A</v>
      </c>
    </row>
    <row r="563" ht="15.75" customHeight="1">
      <c r="A563" t="str">
        <f>IFERROR(__xludf.DUMMYFUNCTION("""COMPUTED_VALUE"""),"Allocation")</f>
        <v>Allocation</v>
      </c>
      <c r="B563" t="str">
        <f>IFERROR(__xludf.DUMMYFUNCTION("""COMPUTED_VALUE"""),"SelectAllRowsAllocated")</f>
        <v>SelectAllRowsAllocated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IFERROR(__xludf.DUMMYFUNCTION("""COMPUTED_VALUE"""),"Closing")</f>
        <v>Closing</v>
      </c>
      <c r="B564" t="str">
        <f>IFERROR(__xludf.DUMMYFUNCTION("""COMPUTED_VALUE"""),"FilterLongPositionGrid")</f>
        <v>FilterLongPositionGrid</v>
      </c>
      <c r="C564" t="str">
        <f>IFERROR(__xludf.DUMMYFUNCTION("""COMPUTED_VALUE"""),"11V4DM1OMXH_V53PIsUZCW0QthHjB-hG0fn99Yo8Ry2c")</f>
        <v>11V4DM1OMXH_V53PIsUZCW0QthHjB-hG0fn99Yo8Ry2c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IFERROR(__xludf.DUMMYFUNCTION("""COMPUTED_VALUE"""),"FilterShortPositionGrid")</f>
        <v>FilterShortPositionGrid</v>
      </c>
      <c r="C565" t="str">
        <f>IFERROR(__xludf.DUMMYFUNCTION("""COMPUTED_VALUE"""),"1PD9u3XtwrJXt2fU5ghvPjJ7SpxcIKIIWrKF4YF7wZdo")</f>
        <v>1PD9u3XtwrJXt2fU5ghvPjJ7SpxcIKIIWrKF4YF7wZdo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IFERROR(__xludf.DUMMYFUNCTION("""COMPUTED_VALUE"""),"FilterClosingGrid")</f>
        <v>FilterClosingGrid</v>
      </c>
      <c r="C566" t="str">
        <f>IFERROR(__xludf.DUMMYFUNCTION("""COMPUTED_VALUE"""),"1zS4ALOAI4Qv9-imwrJ3P0juiFH5-Vvf_4yLE3c_77ww")</f>
        <v>1zS4ALOAI4Qv9-imwrJ3P0juiFH5-Vvf_4yLE3c_77ww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IFERROR(__xludf.DUMMYFUNCTION("""COMPUTED_VALUE"""),"FilterUnexpiredGrid")</f>
        <v>FilterUnexpiredGrid</v>
      </c>
      <c r="C567" t="str">
        <f>IFERROR(__xludf.DUMMYFUNCTION("""COMPUTED_VALUE"""),"1cf7V2VglYQWMxr9jI82Z1YFUP_Ufd3RrESoDhAX5nFQ")</f>
        <v>1cf7V2VglYQWMxr9jI82Z1YFUP_Ufd3RrESoDhAX5nFQ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IFERROR(__xludf.DUMMYFUNCTION("""COMPUTED_VALUE"""),"FilterExpiredGrid")</f>
        <v>FilterExpiredGrid</v>
      </c>
      <c r="C568" t="str">
        <f>IFERROR(__xludf.DUMMYFUNCTION("""COMPUTED_VALUE"""),"1pw8K3dcvVISd7jxODSx2U2PTzTKu53dxX_05mlkByK4")</f>
        <v>1pw8K3dcvVISd7jxODSx2U2PTzTKu53dxX_05mlkByK4</v>
      </c>
    </row>
    <row r="569" ht="15.75" customHeight="1">
      <c r="A569" t="str">
        <f>IFERROR(__xludf.DUMMYFUNCTION("""COMPUTED_VALUE"""),"GeneralLedger")</f>
        <v>GeneralLedger</v>
      </c>
      <c r="B569" t="str">
        <f>IFERROR(__xludf.DUMMYFUNCTION("""COMPUTED_VALUE"""),"FilterCashTransactionGrid")</f>
        <v>FilterCashTransactionGrid</v>
      </c>
      <c r="C569" t="str">
        <f>IFERROR(__xludf.DUMMYFUNCTION("""COMPUTED_VALUE"""),"1PqRBZQJtY5Oa2Uxs4vSRclsIlxPwyMvlrr2UUTSIb3Y")</f>
        <v>1PqRBZQJtY5Oa2Uxs4vSRclsIlxPwyMvlrr2UUTSIb3Y</v>
      </c>
    </row>
    <row r="570" ht="15.75" customHeight="1">
      <c r="A570" t="str">
        <f>IFERROR(__xludf.DUMMYFUNCTION("""COMPUTED_VALUE"""),"Recon")</f>
        <v>Recon</v>
      </c>
      <c r="B570" t="str">
        <f>IFERROR(__xludf.DUMMYFUNCTION("""COMPUTED_VALUE"""),"VerifyApplicationData")</f>
        <v>VerifyApplicationData</v>
      </c>
      <c r="C570" t="str">
        <f>IFERROR(__xludf.DUMMYFUNCTION("""COMPUTED_VALUE"""),"1gMSDalyxsP_enjWpKNvUKpnf9DVP87AgNzPibA-eyb0")</f>
        <v>1gMSDalyxsP_enjWpKNvUKpnf9DVP87AgNzPibA-eyb0</v>
      </c>
    </row>
    <row r="571" ht="15.75" customHeight="1">
      <c r="A571" t="str">
        <f>IFERROR(__xludf.DUMMYFUNCTION("""COMPUTED_VALUE"""),"GeneralLedger")</f>
        <v>GeneralLedger</v>
      </c>
      <c r="B571" t="str">
        <f>IFERROR(__xludf.DUMMYFUNCTION("""COMPUTED_VALUE"""),"EditGridCashTransactions")</f>
        <v>EditGridCashTransactions</v>
      </c>
      <c r="C571" t="str">
        <f>IFERROR(__xludf.DUMMYFUNCTION("""COMPUTED_VALUE"""),"1A9WP5K6T6_O4S-M78Jx1SEqevonRbthbPCskWXVzxtk")</f>
        <v>1A9WP5K6T6_O4S-M78Jx1SEqevonRbthbPCskWXVzxtk</v>
      </c>
    </row>
    <row r="572" ht="15.75" customHeight="1">
      <c r="A572" t="str">
        <f>IFERROR(__xludf.DUMMYFUNCTION("""COMPUTED_VALUE"""),"Closing")</f>
        <v>Closing</v>
      </c>
      <c r="B572" t="str">
        <f>IFERROR(__xludf.DUMMYFUNCTION("""COMPUTED_VALUE"""),"UnwindAllClosingData")</f>
        <v>UnwindAllClosingData</v>
      </c>
      <c r="C572" t="str">
        <f>IFERROR(__xludf.DUMMYFUNCTION("""COMPUTED_VALUE"""),"1W0sVWSXhitgjuC6P5w0kTp7TvFL-kAol4gyIX8lhd5w")</f>
        <v>1W0sVWSXhitgjuC6P5w0kTp7TvFL-kAol4gyIX8lhd5w</v>
      </c>
    </row>
    <row r="573" ht="15.75" customHeight="1">
      <c r="A573" t="str">
        <f>IFERROR(__xludf.DUMMYFUNCTION("""COMPUTED_VALUE"""),"GeneralLedger")</f>
        <v>GeneralLedger</v>
      </c>
      <c r="B573" t="str">
        <f>IFERROR(__xludf.DUMMYFUNCTION("""COMPUTED_VALUE"""),"SaveCashTransaction")</f>
        <v>SaveCashTransaction</v>
      </c>
      <c r="C573" t="str">
        <f>IFERROR(__xludf.DUMMYFUNCTION("""COMPUTED_VALUE"""),"1FAh4CFdlozjSlNDU3BUeaQu_1zckRBcWM8KQooONyxs")</f>
        <v>1FAh4CFdlozjSlNDU3BUeaQu_1zckRBcWM8KQooONyxs</v>
      </c>
    </row>
    <row r="574" ht="15.75" customHeight="1">
      <c r="A574" t="str">
        <f>IFERROR(__xludf.DUMMYFUNCTION("""COMPUTED_VALUE"""),"ThirdParty")</f>
        <v>ThirdParty</v>
      </c>
      <c r="B574" t="str">
        <f>IFERROR(__xludf.DUMMYFUNCTION("""COMPUTED_VALUE"""),"ChangeThirdpartyDate")</f>
        <v>ChangeThirdpartyDate</v>
      </c>
      <c r="C574" t="str">
        <f>IFERROR(__xludf.DUMMYFUNCTION("""COMPUTED_VALUE"""),"1F219wmX8xrFPgma8cjoUCm7q9nq-W9yFK7PTO5OggJw")</f>
        <v>1F219wmX8xrFPgma8cjoUCm7q9nq-W9yFK7PTO5OggJw</v>
      </c>
    </row>
    <row r="575" ht="15.75" customHeight="1">
      <c r="A575" t="str">
        <f>IFERROR(__xludf.DUMMYFUNCTION("""COMPUTED_VALUE"""),"GeneralLedger")</f>
        <v>GeneralLedger</v>
      </c>
      <c r="B575" t="str">
        <f>IFERROR(__xludf.DUMMYFUNCTION("""COMPUTED_VALUE"""),"RunManualRevaluation")</f>
        <v>RunManualRevaluation</v>
      </c>
      <c r="C575" t="str">
        <f>IFERROR(__xludf.DUMMYFUNCTION("""COMPUTED_VALUE"""),"1D5Y3RzzSSQaYL3n3QrXxry0SwVaG4gnMSCxFKtFszpQ")</f>
        <v>1D5Y3RzzSSQaYL3n3QrXxry0SwVaG4gnMSCxFKtFszpQ</v>
      </c>
    </row>
    <row r="576" ht="15.75" customHeight="1">
      <c r="A576" t="str">
        <f>IFERROR(__xludf.DUMMYFUNCTION("""COMPUTED_VALUE"""),"SymbolLookup")</f>
        <v>SymbolLookup</v>
      </c>
      <c r="B576" t="str">
        <f>IFERROR(__xludf.DUMMYFUNCTION("""COMPUTED_VALUE"""),"AddSymbol")</f>
        <v>AddSymbol</v>
      </c>
      <c r="C576" t="str">
        <f>IFERROR(__xludf.DUMMYFUNCTION("""COMPUTED_VALUE"""),"10HWI9Cc8RvROS5VcoYWQCiNm-ZMIi9mZRyugdSdwfao")</f>
        <v>10HWI9Cc8RvROS5VcoYWQCiNm-ZMIi9mZRyugdSdwfao</v>
      </c>
    </row>
    <row r="577" ht="15.75" customHeight="1">
      <c r="A577" t="str">
        <f>IFERROR(__xludf.DUMMYFUNCTION("""COMPUTED_VALUE"""),"Admin")</f>
        <v>Admin</v>
      </c>
      <c r="B577" t="str">
        <f>IFERROR(__xludf.DUMMYFUNCTION("""COMPUTED_VALUE"""),"DeleteSymbolFromSM")</f>
        <v>DeleteSymbolFromSM</v>
      </c>
      <c r="C577" t="str">
        <f>IFERROR(__xludf.DUMMYFUNCTION("""COMPUTED_VALUE"""),"16YNILloso-DtMjrvuLs9jjsIzEmPQxnFXrCt8yvHUNE")</f>
        <v>16YNILloso-DtMjrvuLs9jjsIzEmPQxnFXrCt8yvHUNE</v>
      </c>
    </row>
    <row r="578" ht="15.75" customHeight="1">
      <c r="A578" t="str">
        <f>IFERROR(__xludf.DUMMYFUNCTION("""COMPUTED_VALUE"""),"Watchlist")</f>
        <v>Watchlist</v>
      </c>
      <c r="B578" t="str">
        <f>IFERROR(__xludf.DUMMYFUNCTION("""COMPUTED_VALUE"""),"AddSymbolToWatchlist")</f>
        <v>AddSymbolToWatchlist</v>
      </c>
      <c r="C578" t="str">
        <f>IFERROR(__xludf.DUMMYFUNCTION("""COMPUTED_VALUE"""),"1uQiuSREeRIwO_nEU84cMzm9OFSYVLHU2rgcEaefXb2k")</f>
        <v>1uQiuSREeRIwO_nEU84cMzm9OFSYVLHU2rgcEaefXb2k</v>
      </c>
    </row>
    <row r="579" ht="15.75" customHeight="1">
      <c r="A579" t="str">
        <f>IFERROR(__xludf.DUMMYFUNCTION("""COMPUTED_VALUE"""),"Watchlist")</f>
        <v>Watchlist</v>
      </c>
      <c r="B579" t="str">
        <f>IFERROR(__xludf.DUMMYFUNCTION("""COMPUTED_VALUE"""),"TradeFromWatchlist")</f>
        <v>TradeFromWatchlist</v>
      </c>
      <c r="C579" t="str">
        <f>IFERROR(__xludf.DUMMYFUNCTION("""COMPUTED_VALUE"""),"1FKL2NTRmBSyITx5pyk6zHOKymU28NwrQwSuVbW4gNRg")</f>
        <v>1FKL2NTRmBSyITx5pyk6zHOKymU28NwrQwSuVbW4gNRg</v>
      </c>
    </row>
    <row r="580" ht="15.75" customHeight="1">
      <c r="A580" t="str">
        <f>IFERROR(__xludf.DUMMYFUNCTION("""COMPUTED_VALUE"""),"Watchlist")</f>
        <v>Watchlist</v>
      </c>
      <c r="B580" t="str">
        <f>IFERROR(__xludf.DUMMYFUNCTION("""COMPUTED_VALUE"""),"MultiTradeFromWatchlist")</f>
        <v>MultiTradeFromWatchlist</v>
      </c>
      <c r="C580" t="str">
        <f>IFERROR(__xludf.DUMMYFUNCTION("""COMPUTED_VALUE"""),"1nyCMJS4IH1BLXnFOr_FNoPH4XmaOIGdVjSJuJpNi2c8")</f>
        <v>1nyCMJS4IH1BLXnFOr_FNoPH4XmaOIGdVjSJuJpNi2c8</v>
      </c>
    </row>
    <row r="581" ht="15.75" customHeight="1">
      <c r="A581" t="str">
        <f>IFERROR(__xludf.DUMMYFUNCTION("""COMPUTED_VALUE"""),"Watchlist")</f>
        <v>Watchlist</v>
      </c>
      <c r="B581" t="str">
        <f>IFERROR(__xludf.DUMMYFUNCTION("""COMPUTED_VALUE"""),"DeleteSymbolFromWatchlist")</f>
        <v>DeleteSymbolFromWatchlist</v>
      </c>
      <c r="C581" t="str">
        <f>IFERROR(__xludf.DUMMYFUNCTION("""COMPUTED_VALUE"""),"1byaZalr_XhOG3LaxY-Riu8lHwQSFb098xHll__tkAtA")</f>
        <v>1byaZalr_XhOG3LaxY-Riu8lHwQSFb098xHll__tkAtA</v>
      </c>
    </row>
    <row r="582" ht="15.75" customHeight="1">
      <c r="A582" t="str">
        <f>IFERROR(__xludf.DUMMYFUNCTION("""COMPUTED_VALUE"""),"Watchlist")</f>
        <v>Watchlist</v>
      </c>
      <c r="B582" t="str">
        <f>IFERROR(__xludf.DUMMYFUNCTION("""COMPUTED_VALUE"""),"VerifySymbolsOnWatchlist")</f>
        <v>VerifySymbolsOnWatchlist</v>
      </c>
      <c r="C582" t="str">
        <f>IFERROR(__xludf.DUMMYFUNCTION("""COMPUTED_VALUE"""),"15PdvqcWBSttYjbzGBns1O_5cUV2nEVZ4r1YEe7ucwPs")</f>
        <v>15PdvqcWBSttYjbzGBns1O_5cUV2nEVZ4r1YEe7ucwPs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IFERROR(__xludf.DUMMYFUNCTION("""COMPUTED_VALUE"""),"VerifyAppMatchedData")</f>
        <v>VerifyAppMatchedData</v>
      </c>
      <c r="C583" t="str">
        <f>IFERROR(__xludf.DUMMYFUNCTION("""COMPUTED_VALUE"""),"197cwp2DCQ4L0B-G5b7CZAwGsgFZuiUTyD_BSwtc9wHA")</f>
        <v>197cwp2DCQ4L0B-G5b7CZAwGsgFZuiUTyD_BSwtc9wHA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IFERROR(__xludf.DUMMYFUNCTION("""COMPUTED_VALUE"""),"VerifyAppUnmatchedData")</f>
        <v>VerifyAppUnmatchedData</v>
      </c>
      <c r="C584" t="str">
        <f>IFERROR(__xludf.DUMMYFUNCTION("""COMPUTED_VALUE"""),"18fTZZkhP8PVk2zb3669RCgVH7l1lj74KOPGo3kRsFwA")</f>
        <v>18fTZZkhP8PVk2zb3669RCgVH7l1lj74KOPGo3kRsFwA</v>
      </c>
    </row>
    <row r="585" ht="15.75" customHeight="1">
      <c r="A585" t="str">
        <f>IFERROR(__xludf.DUMMYFUNCTION("""COMPUTED_VALUE"""),"Recon")</f>
        <v>Recon</v>
      </c>
      <c r="B585" t="str">
        <f>IFERROR(__xludf.DUMMYFUNCTION("""COMPUTED_VALUE"""),"VerifyPBMatchedData")</f>
        <v>VerifyPBMatchedData</v>
      </c>
      <c r="C585" t="str">
        <f>IFERROR(__xludf.DUMMYFUNCTION("""COMPUTED_VALUE"""),"1kM_UfqpK0PaHEHY4-JNdVXj1fPgIjBfWABlDaWsTh6o")</f>
        <v>1kM_UfqpK0PaHEHY4-JNdVXj1fPgIjBfWABlDaWsTh6o</v>
      </c>
    </row>
    <row r="586" ht="15.75" customHeight="1">
      <c r="A586" t="str">
        <f>IFERROR(__xludf.DUMMYFUNCTION("""COMPUTED_VALUE"""),"Recon")</f>
        <v>Recon</v>
      </c>
      <c r="B586" t="str">
        <f>IFERROR(__xludf.DUMMYFUNCTION("""COMPUTED_VALUE"""),"VerifyPBUnmatchedData")</f>
        <v>VerifyPBUnmatchedData</v>
      </c>
      <c r="C586" t="str">
        <f>IFERROR(__xludf.DUMMYFUNCTION("""COMPUTED_VALUE"""),"1kTWoOsrKD_0f_MBstD0yl6ly3CmvswKmK8GYKJUaSJY")</f>
        <v>1kTWoOsrKD_0f_MBstD0yl6ly3CmvswKmK8GYKJUaSJY</v>
      </c>
    </row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 t="str">
        <f>IFERROR(__xludf.DUMMYFUNCTION("""COMPUTED_VALUE"""),"RevertingSMSharesOutValue")</f>
        <v>RevertingSMSharesOutValue</v>
      </c>
      <c r="V4" s="26" t="str">
        <f>IFERROR(__xludf.DUMMYFUNCTION("""COMPUTED_VALUE"""),"SetTTUIAdminPreferences")</f>
        <v>SetTTUIAdminPreferences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>
        <v>44573.0</v>
      </c>
      <c r="D6" s="32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UpdateExpirationDate!$4:$4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19</v>
      </c>
      <c r="C6" s="34" t="s">
        <v>20</v>
      </c>
      <c r="D6" s="36">
        <v>100.0</v>
      </c>
      <c r="E6" s="37">
        <v>100.0</v>
      </c>
      <c r="F6" s="34" t="s">
        <v>21</v>
      </c>
      <c r="G6" s="34"/>
      <c r="H6" s="34"/>
      <c r="I6" s="34" t="s">
        <v>22</v>
      </c>
      <c r="J6" s="37">
        <v>10.0</v>
      </c>
      <c r="K6" s="34"/>
      <c r="L6" s="34"/>
      <c r="M6" s="34"/>
      <c r="N6" s="33">
        <v>44571.0</v>
      </c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 t="s">
        <v>19</v>
      </c>
      <c r="C7" s="35" t="s">
        <v>23</v>
      </c>
      <c r="D7" s="38">
        <v>100.0</v>
      </c>
      <c r="E7" s="38">
        <v>100.0</v>
      </c>
      <c r="F7" s="35" t="s">
        <v>24</v>
      </c>
      <c r="G7" s="35"/>
      <c r="H7" s="35"/>
      <c r="I7" s="39" t="s">
        <v>22</v>
      </c>
      <c r="J7" s="38">
        <v>10.0</v>
      </c>
      <c r="K7" s="35"/>
      <c r="L7" s="35"/>
      <c r="M7" s="35"/>
      <c r="N7" s="40">
        <v>44574.0</v>
      </c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 t="s">
        <v>16</v>
      </c>
      <c r="C8" s="35" t="s">
        <v>25</v>
      </c>
      <c r="D8" s="38">
        <v>10.0</v>
      </c>
      <c r="E8" s="38">
        <v>10.0</v>
      </c>
      <c r="F8" s="35" t="s">
        <v>24</v>
      </c>
      <c r="G8" s="35"/>
      <c r="H8" s="35"/>
      <c r="I8" s="41" t="s">
        <v>22</v>
      </c>
      <c r="J8" s="38">
        <v>10.0</v>
      </c>
      <c r="K8" s="35"/>
      <c r="L8" s="35"/>
      <c r="M8" s="35"/>
      <c r="N8" s="40">
        <v>44564.0</v>
      </c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3">
        <v>44573.0</v>
      </c>
      <c r="C6" s="33">
        <v>44575.0</v>
      </c>
      <c r="D6" s="32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19</v>
      </c>
      <c r="C6" s="37">
        <v>40.0</v>
      </c>
      <c r="D6" s="32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IFERROR(__xludf.DUMMYFUNCTION("""COMPUTED_VALUE"""),"SelectAccountWiseAsset")</f>
        <v>SelectAccountWiseAsset</v>
      </c>
      <c r="AN4" s="26" t="str">
        <f>IFERROR(__xludf.DUMMYFUNCTION("""COMPUTED_VALUE"""),"VerifyCTData")</f>
        <v>VerifyCTData</v>
      </c>
      <c r="AO4" s="26" t="str">
        <f>IFERROR(__xludf.DUMMYFUNCTION("""COMPUTED_VALUE"""),"ExerciseAssignmentWithOutSave")</f>
        <v>ExerciseAssignmentWithOutSave</v>
      </c>
      <c r="AP4" s="26" t="str">
        <f>IFERROR(__xludf.DUMMYFUNCTION("""COMPUTED_VALUE"""),"SaveCTData")</f>
        <v>SaveCTData</v>
      </c>
      <c r="AQ4" s="26" t="str">
        <f>IFERROR(__xludf.DUMMYFUNCTION("""COMPUTED_VALUE"""),"FilterLongPositionGrid")</f>
        <v>FilterLongPositionGrid</v>
      </c>
      <c r="AR4" s="26" t="str">
        <f>IFERROR(__xludf.DUMMYFUNCTION("""COMPUTED_VALUE"""),"FilterShortPositionGrid")</f>
        <v>FilterShortPositionGrid</v>
      </c>
      <c r="AS4" s="26" t="str">
        <f>IFERROR(__xludf.DUMMYFUNCTION("""COMPUTED_VALUE"""),"FilterClosingGrid")</f>
        <v>FilterClosingGrid</v>
      </c>
      <c r="AT4" s="26" t="str">
        <f>IFERROR(__xludf.DUMMYFUNCTION("""COMPUTED_VALUE"""),"FilterUnexpiredGrid")</f>
        <v>FilterUnexpiredGrid</v>
      </c>
      <c r="AU4" s="26" t="str">
        <f>IFERROR(__xludf.DUMMYFUNCTION("""COMPUTED_VALUE"""),"FilterExpiredGrid")</f>
        <v>FilterExpiredGrid</v>
      </c>
      <c r="AV4" s="26" t="str">
        <f>IFERROR(__xludf.DUMMYFUNCTION("""COMPUTED_VALUE"""),"UnwindAllClosingData")</f>
        <v>UnwindAllClosingData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42" t="s">
        <v>31</v>
      </c>
      <c r="C6" s="33" t="s">
        <v>32</v>
      </c>
      <c r="D6" s="43">
        <f>today()</f>
        <v>44679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IFERROR(__xludf.DUMMYFUNCTION("""COMPUTED_VALUE"""),"SelectAccountWiseAsset")</f>
        <v>SelectAccountWiseAsset</v>
      </c>
      <c r="AN4" s="26" t="str">
        <f>IFERROR(__xludf.DUMMYFUNCTION("""COMPUTED_VALUE"""),"VerifyCTData")</f>
        <v>VerifyCTData</v>
      </c>
      <c r="AO4" s="26" t="str">
        <f>IFERROR(__xludf.DUMMYFUNCTION("""COMPUTED_VALUE"""),"ExerciseAssignmentWithOutSave")</f>
        <v>ExerciseAssignmentWithOutSave</v>
      </c>
      <c r="AP4" s="26" t="str">
        <f>IFERROR(__xludf.DUMMYFUNCTION("""COMPUTED_VALUE"""),"SaveCTData")</f>
        <v>SaveCTData</v>
      </c>
      <c r="AQ4" s="26" t="str">
        <f>IFERROR(__xludf.DUMMYFUNCTION("""COMPUTED_VALUE"""),"FilterLongPositionGrid")</f>
        <v>FilterLongPositionGrid</v>
      </c>
      <c r="AR4" s="26" t="str">
        <f>IFERROR(__xludf.DUMMYFUNCTION("""COMPUTED_VALUE"""),"FilterShortPositionGrid")</f>
        <v>FilterShortPositionGrid</v>
      </c>
      <c r="AS4" s="26" t="str">
        <f>IFERROR(__xludf.DUMMYFUNCTION("""COMPUTED_VALUE"""),"FilterClosingGrid")</f>
        <v>FilterClosingGrid</v>
      </c>
      <c r="AT4" s="26" t="str">
        <f>IFERROR(__xludf.DUMMYFUNCTION("""COMPUTED_VALUE"""),"FilterUnexpiredGrid")</f>
        <v>FilterUnexpiredGrid</v>
      </c>
      <c r="AU4" s="26" t="str">
        <f>IFERROR(__xludf.DUMMYFUNCTION("""COMPUTED_VALUE"""),"FilterExpiredGrid")</f>
        <v>FilterExpiredGrid</v>
      </c>
      <c r="AV4" s="26" t="str">
        <f>IFERROR(__xludf.DUMMYFUNCTION("""COMPUTED_VALUE"""),"UnwindAllClosingData")</f>
        <v>UnwindAllClosingData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24</v>
      </c>
      <c r="C6" s="34"/>
      <c r="D6" s="32"/>
      <c r="E6" s="34" t="s">
        <v>34</v>
      </c>
      <c r="F6" s="34"/>
      <c r="G6" s="34"/>
      <c r="H6" s="34"/>
      <c r="I6" s="34"/>
      <c r="J6" s="37">
        <v>100.0</v>
      </c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44">
        <v>1000.0</v>
      </c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4"/>
      <c r="BL6" s="45" t="s">
        <v>16</v>
      </c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AutoExercise!$4:$4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IFERROR(__xludf.DUMMYFUNCTION("""COMPUTED_VALUE"""),"SelectAccountWiseAsset")</f>
        <v>SelectAccountWiseAsset</v>
      </c>
      <c r="AN4" s="26" t="str">
        <f>IFERROR(__xludf.DUMMYFUNCTION("""COMPUTED_VALUE"""),"VerifyCTData")</f>
        <v>VerifyCTData</v>
      </c>
      <c r="AO4" s="26" t="str">
        <f>IFERROR(__xludf.DUMMYFUNCTION("""COMPUTED_VALUE"""),"ExerciseAssignmentWithOutSave")</f>
        <v>ExerciseAssignmentWithOutSave</v>
      </c>
      <c r="AP4" s="26" t="str">
        <f>IFERROR(__xludf.DUMMYFUNCTION("""COMPUTED_VALUE"""),"SaveCTData")</f>
        <v>SaveCTData</v>
      </c>
      <c r="AQ4" s="26" t="str">
        <f>IFERROR(__xludf.DUMMYFUNCTION("""COMPUTED_VALUE"""),"FilterLongPositionGrid")</f>
        <v>FilterLongPositionGrid</v>
      </c>
      <c r="AR4" s="26" t="str">
        <f>IFERROR(__xludf.DUMMYFUNCTION("""COMPUTED_VALUE"""),"FilterShortPositionGrid")</f>
        <v>FilterShortPositionGrid</v>
      </c>
      <c r="AS4" s="26" t="str">
        <f>IFERROR(__xludf.DUMMYFUNCTION("""COMPUTED_VALUE"""),"FilterClosingGrid")</f>
        <v>FilterClosingGrid</v>
      </c>
      <c r="AT4" s="26" t="str">
        <f>IFERROR(__xludf.DUMMYFUNCTION("""COMPUTED_VALUE"""),"FilterUnexpiredGrid")</f>
        <v>FilterUnexpiredGrid</v>
      </c>
      <c r="AU4" s="26" t="str">
        <f>IFERROR(__xludf.DUMMYFUNCTION("""COMPUTED_VALUE"""),"FilterExpiredGrid")</f>
        <v>FilterExpiredGrid</v>
      </c>
      <c r="AV4" s="26" t="str">
        <f>IFERROR(__xludf.DUMMYFUNCTION("""COMPUTED_VALUE"""),"UnwindAllClosingData")</f>
        <v>UnwindAllClosingData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IFERROR(__xludf.DUMMYFUNCTION("""COMPUTED_VALUE"""),"Asset Class")</f>
        <v>Asset Class</v>
      </c>
      <c r="D5" s="28" t="str">
        <f>IFERROR(__xludf.DUMMYFUNCTION("""COMPUTED_VALUE"""),"checkBox")</f>
        <v>checkBox</v>
      </c>
      <c r="E5" s="28" t="str">
        <f>IFERROR(__xludf.DUMMYFUNCTION("""COMPUTED_VALUE"""),"Close Date")</f>
        <v>Close Date</v>
      </c>
      <c r="F5" s="29" t="str">
        <f>IFERROR(__xludf.DUMMYFUNCTION("""COMPUTED_VALUE"""),"ClosedAveragePrice")</f>
        <v>ClosedAveragePrice</v>
      </c>
      <c r="G5" s="28" t="str">
        <f>IFERROR(__xludf.DUMMYFUNCTION("""COMPUTED_VALUE"""),"ClosedQty")</f>
        <v>ClosedQty</v>
      </c>
      <c r="H5" s="28" t="str">
        <f>IFERROR(__xludf.DUMMYFUNCTION("""COMPUTED_VALUE"""),"Closing Method")</f>
        <v>Closing Method</v>
      </c>
      <c r="I5" s="28" t="str">
        <f>IFERROR(__xludf.DUMMYFUNCTION("""COMPUTED_VALUE"""),"ClosingID")</f>
        <v>ClosingID</v>
      </c>
      <c r="J5" s="28" t="str">
        <f>IFERROR(__xludf.DUMMYFUNCTION("""COMPUTED_VALUE"""),"ClosingMode")</f>
        <v>ClosingMode</v>
      </c>
      <c r="K5" s="28" t="str">
        <f>IFERROR(__xludf.DUMMYFUNCTION("""COMPUTED_VALUE"""),"ClosingPositionTag")</f>
        <v>ClosingPositionTag</v>
      </c>
      <c r="L5" s="28" t="str">
        <f>IFERROR(__xludf.DUMMYFUNCTION("""COMPUTED_VALUE"""),"ClosingSide")</f>
        <v>ClosingSide</v>
      </c>
      <c r="M5" s="28" t="str">
        <f>IFERROR(__xludf.DUMMYFUNCTION("""COMPUTED_VALUE"""),"ClosingTotalCommissionandFees")</f>
        <v>ClosingTotalCommissionandFees</v>
      </c>
      <c r="N5" s="28" t="str">
        <f>IFERROR(__xludf.DUMMYFUNCTION("""COMPUTED_VALUE"""),"Column1")</f>
        <v>Column1</v>
      </c>
      <c r="O5" s="28" t="str">
        <f>IFERROR(__xludf.DUMMYFUNCTION("""COMPUTED_VALUE"""),"CostBasisGrossPNL")</f>
        <v>CostBasisGrossPNL</v>
      </c>
      <c r="P5" s="28" t="str">
        <f>IFERROR(__xludf.DUMMYFUNCTION("""COMPUTED_VALUE"""),"Currency")</f>
        <v>Currency</v>
      </c>
      <c r="Q5" s="28" t="str">
        <f>IFERROR(__xludf.DUMMYFUNCTION("""COMPUTED_VALUE"""),"CurrencyID")</f>
        <v>CurrencyID</v>
      </c>
      <c r="R5" s="28" t="str">
        <f>IFERROR(__xludf.DUMMYFUNCTION("""COMPUTED_VALUE"""),"Exchange")</f>
        <v>Exchange</v>
      </c>
      <c r="S5" s="28" t="str">
        <f>IFERROR(__xludf.DUMMYFUNCTION("""COMPUTED_VALUE"""),"NotionalChange")</f>
        <v>NotionalChange</v>
      </c>
      <c r="T5" s="30" t="str">
        <f>IFERROR(__xludf.DUMMYFUNCTION("""COMPUTED_VALUE"""),"OpenAveragePrice")</f>
        <v>OpenAveragePrice</v>
      </c>
      <c r="U5" s="30" t="str">
        <f>IFERROR(__xludf.DUMMYFUNCTION("""COMPUTED_VALUE"""),"Original Purchase Date")</f>
        <v>Original Purchase Date</v>
      </c>
      <c r="V5" s="30" t="str">
        <f>IFERROR(__xludf.DUMMYFUNCTION("""COMPUTED_VALUE"""),"Position Type")</f>
        <v>Position Type</v>
      </c>
      <c r="W5" s="30" t="str">
        <f>IFERROR(__xludf.DUMMYFUNCTION("""COMPUTED_VALUE"""),"PositionSide")</f>
        <v>PositionSide</v>
      </c>
      <c r="X5" s="30" t="str">
        <f>IFERROR(__xludf.DUMMYFUNCTION("""COMPUTED_VALUE"""),"PositionTotalCommissionandFees")</f>
        <v>PositionTotalCommissionandFees</v>
      </c>
      <c r="Y5" s="30" t="str">
        <f>IFERROR(__xludf.DUMMYFUNCTION("""COMPUTED_VALUE"""),"Realized PNL(C.B.)")</f>
        <v>Realized PNL(C.B.)</v>
      </c>
      <c r="Z5" s="30" t="str">
        <f>IFERROR(__xludf.DUMMYFUNCTION("""COMPUTED_VALUE"""),"Side")</f>
        <v>Side</v>
      </c>
      <c r="AA5" s="30" t="str">
        <f>IFERROR(__xludf.DUMMYFUNCTION("""COMPUTED_VALUE"""),"Strategy")</f>
        <v>Strategy</v>
      </c>
      <c r="AB5" s="30" t="str">
        <f>IFERROR(__xludf.DUMMYFUNCTION("""COMPUTED_VALUE"""),"Symbol")</f>
        <v>Symbol</v>
      </c>
      <c r="AC5" s="30" t="str">
        <f>IFERROR(__xludf.DUMMYFUNCTION("""COMPUTED_VALUE"""),"Taxlot ID")</f>
        <v>Taxlot ID</v>
      </c>
      <c r="AD5" s="30" t="str">
        <f>IFERROR(__xludf.DUMMYFUNCTION("""COMPUTED_VALUE"""),"UnderlyingName")</f>
        <v>UnderlyingName</v>
      </c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24</v>
      </c>
      <c r="C6" s="34" t="s">
        <v>34</v>
      </c>
      <c r="D6" s="32"/>
      <c r="E6" s="34"/>
      <c r="F6" s="37">
        <v>0.0</v>
      </c>
      <c r="G6" s="37">
        <v>10.0</v>
      </c>
      <c r="H6" s="34"/>
      <c r="I6" s="34"/>
      <c r="J6" s="34" t="s">
        <v>36</v>
      </c>
      <c r="K6" s="34" t="s">
        <v>37</v>
      </c>
      <c r="L6" s="34"/>
      <c r="M6" s="46">
        <v>10000.0</v>
      </c>
      <c r="N6" s="34"/>
      <c r="O6" s="46">
        <v>10000.0</v>
      </c>
      <c r="P6" s="34" t="s">
        <v>38</v>
      </c>
      <c r="Q6" s="34"/>
      <c r="R6" s="34" t="s">
        <v>39</v>
      </c>
      <c r="S6" s="46">
        <v>0.0</v>
      </c>
      <c r="T6" s="47">
        <v>10.0</v>
      </c>
      <c r="U6" s="35"/>
      <c r="V6" s="35" t="s">
        <v>40</v>
      </c>
      <c r="W6" s="35" t="s">
        <v>40</v>
      </c>
      <c r="X6" s="47"/>
      <c r="Y6" s="47">
        <v>0.0</v>
      </c>
      <c r="Z6" s="48" t="s">
        <v>25</v>
      </c>
      <c r="AA6" s="34" t="s">
        <v>41</v>
      </c>
      <c r="AB6" s="49" t="s">
        <v>16</v>
      </c>
      <c r="AC6" s="35"/>
      <c r="AD6" s="35" t="s">
        <v>42</v>
      </c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VerifyExpiredSettledGrid!$4:$4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50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31</v>
      </c>
      <c r="C6" s="33" t="s">
        <v>32</v>
      </c>
      <c r="D6" s="43">
        <f>today()</f>
        <v>44679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hyperlinks>
    <hyperlink r:id="rId1" ref="DT4"/>
  </hyperlin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50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21</v>
      </c>
      <c r="C6" s="34"/>
      <c r="D6" s="32"/>
      <c r="E6" s="51">
        <v>100.0</v>
      </c>
      <c r="F6" s="34"/>
      <c r="G6" s="49" t="s">
        <v>46</v>
      </c>
      <c r="H6" s="34"/>
      <c r="I6" s="34"/>
      <c r="J6" s="34"/>
      <c r="K6" s="51">
        <v>10.0</v>
      </c>
      <c r="L6" s="51">
        <v>10.0</v>
      </c>
      <c r="M6" s="34"/>
      <c r="N6" s="34"/>
      <c r="O6" s="34"/>
      <c r="P6" s="34"/>
      <c r="Q6" s="34"/>
      <c r="R6" s="34"/>
      <c r="S6" s="49" t="s">
        <v>47</v>
      </c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8">
        <v>100.0</v>
      </c>
      <c r="AF6" s="35"/>
      <c r="AG6" s="35"/>
      <c r="AH6" s="35" t="s">
        <v>48</v>
      </c>
      <c r="AI6" s="47">
        <v>1.0</v>
      </c>
      <c r="AJ6" s="52" t="s">
        <v>49</v>
      </c>
      <c r="AK6" s="35"/>
      <c r="AL6" s="35"/>
      <c r="AM6" s="35"/>
      <c r="AN6" s="35"/>
      <c r="AO6" s="35"/>
      <c r="AP6" s="35"/>
      <c r="AQ6" s="35"/>
      <c r="AR6" s="35"/>
      <c r="AS6" s="35"/>
      <c r="AT6" s="53">
        <v>1000.0</v>
      </c>
      <c r="AU6" s="53">
        <v>1000.0</v>
      </c>
      <c r="AV6" s="35"/>
      <c r="AW6" s="35"/>
      <c r="AX6" s="35"/>
      <c r="AY6" s="35" t="s">
        <v>22</v>
      </c>
      <c r="AZ6" s="35"/>
      <c r="BA6" s="35"/>
      <c r="BB6" s="35"/>
      <c r="BC6" s="35"/>
      <c r="BD6" s="35"/>
      <c r="BE6" s="53">
        <v>1000.0</v>
      </c>
      <c r="BF6" s="53">
        <v>1000.0</v>
      </c>
      <c r="BG6" s="35"/>
      <c r="BH6" s="35"/>
      <c r="BI6" s="35"/>
      <c r="BJ6" s="47">
        <v>100.0</v>
      </c>
      <c r="BK6" s="35"/>
      <c r="BL6" s="35"/>
      <c r="BM6" s="35"/>
      <c r="BN6" s="35"/>
      <c r="BO6" s="52" t="s">
        <v>20</v>
      </c>
      <c r="BP6" s="35"/>
      <c r="BQ6" s="35"/>
      <c r="BR6" s="35"/>
      <c r="BS6" s="35"/>
      <c r="BT6" s="35" t="s">
        <v>19</v>
      </c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52" t="s">
        <v>20</v>
      </c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 t="s">
        <v>24</v>
      </c>
      <c r="C7" s="35"/>
      <c r="D7" s="35"/>
      <c r="E7" s="54">
        <v>100.0</v>
      </c>
      <c r="F7" s="35"/>
      <c r="G7" s="52" t="s">
        <v>46</v>
      </c>
      <c r="H7" s="35"/>
      <c r="I7" s="35"/>
      <c r="J7" s="35"/>
      <c r="K7" s="54">
        <v>10.0</v>
      </c>
      <c r="L7" s="54">
        <v>10.0</v>
      </c>
      <c r="M7" s="35"/>
      <c r="N7" s="35"/>
      <c r="O7" s="35"/>
      <c r="P7" s="35"/>
      <c r="Q7" s="35"/>
      <c r="R7" s="35"/>
      <c r="S7" s="52" t="s">
        <v>47</v>
      </c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8">
        <v>100.0</v>
      </c>
      <c r="AF7" s="35"/>
      <c r="AG7" s="35"/>
      <c r="AH7" s="35" t="s">
        <v>48</v>
      </c>
      <c r="AI7" s="47">
        <v>1.0</v>
      </c>
      <c r="AJ7" s="52" t="s">
        <v>49</v>
      </c>
      <c r="AK7" s="35"/>
      <c r="AL7" s="35"/>
      <c r="AM7" s="35"/>
      <c r="AN7" s="35"/>
      <c r="AO7" s="35"/>
      <c r="AP7" s="35"/>
      <c r="AQ7" s="35"/>
      <c r="AR7" s="35"/>
      <c r="AS7" s="35"/>
      <c r="AT7" s="53">
        <v>1000.0</v>
      </c>
      <c r="AU7" s="53">
        <v>1000.0</v>
      </c>
      <c r="AV7" s="35"/>
      <c r="AW7" s="35"/>
      <c r="AX7" s="35"/>
      <c r="AY7" s="35" t="s">
        <v>22</v>
      </c>
      <c r="AZ7" s="35"/>
      <c r="BA7" s="35"/>
      <c r="BB7" s="35"/>
      <c r="BC7" s="35"/>
      <c r="BD7" s="35"/>
      <c r="BE7" s="53">
        <v>1000.0</v>
      </c>
      <c r="BF7" s="53">
        <v>1000.0</v>
      </c>
      <c r="BG7" s="35"/>
      <c r="BH7" s="35"/>
      <c r="BI7" s="35"/>
      <c r="BJ7" s="47">
        <v>100.0</v>
      </c>
      <c r="BK7" s="35"/>
      <c r="BL7" s="35"/>
      <c r="BM7" s="35"/>
      <c r="BN7" s="35"/>
      <c r="BO7" s="52" t="s">
        <v>23</v>
      </c>
      <c r="BP7" s="35"/>
      <c r="BQ7" s="35"/>
      <c r="BR7" s="35"/>
      <c r="BS7" s="35"/>
      <c r="BT7" s="35" t="s">
        <v>19</v>
      </c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52" t="s">
        <v>50</v>
      </c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9" t="s">
        <v>24</v>
      </c>
      <c r="C8" s="35"/>
      <c r="D8" s="35"/>
      <c r="E8" s="54">
        <v>10.0</v>
      </c>
      <c r="F8" s="35"/>
      <c r="G8" s="52" t="s">
        <v>34</v>
      </c>
      <c r="H8" s="35"/>
      <c r="I8" s="35"/>
      <c r="J8" s="35"/>
      <c r="K8" s="54">
        <v>10.0</v>
      </c>
      <c r="L8" s="54">
        <v>10.0</v>
      </c>
      <c r="M8" s="35"/>
      <c r="N8" s="35"/>
      <c r="O8" s="35"/>
      <c r="P8" s="35"/>
      <c r="Q8" s="35"/>
      <c r="R8" s="35"/>
      <c r="S8" s="52" t="s">
        <v>51</v>
      </c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8">
        <v>10.0</v>
      </c>
      <c r="AF8" s="35"/>
      <c r="AG8" s="35"/>
      <c r="AH8" s="55" t="s">
        <v>48</v>
      </c>
      <c r="AI8" s="47">
        <v>1.0</v>
      </c>
      <c r="AJ8" s="52" t="s">
        <v>52</v>
      </c>
      <c r="AK8" s="35"/>
      <c r="AL8" s="35"/>
      <c r="AM8" s="35"/>
      <c r="AN8" s="35"/>
      <c r="AO8" s="35"/>
      <c r="AP8" s="35"/>
      <c r="AQ8" s="35"/>
      <c r="AR8" s="35"/>
      <c r="AS8" s="35"/>
      <c r="AT8" s="53">
        <v>10000.0</v>
      </c>
      <c r="AU8" s="53">
        <v>10000.0</v>
      </c>
      <c r="AV8" s="35"/>
      <c r="AW8" s="35"/>
      <c r="AX8" s="35"/>
      <c r="AY8" s="55" t="s">
        <v>22</v>
      </c>
      <c r="AZ8" s="35"/>
      <c r="BA8" s="35"/>
      <c r="BB8" s="35"/>
      <c r="BC8" s="35"/>
      <c r="BD8" s="35"/>
      <c r="BE8" s="53">
        <v>10000.0</v>
      </c>
      <c r="BF8" s="53">
        <v>10000.0</v>
      </c>
      <c r="BG8" s="35"/>
      <c r="BH8" s="35"/>
      <c r="BI8" s="35" t="s">
        <v>53</v>
      </c>
      <c r="BJ8" s="47">
        <v>10.0</v>
      </c>
      <c r="BK8" s="35"/>
      <c r="BL8" s="35"/>
      <c r="BM8" s="35"/>
      <c r="BN8" s="35"/>
      <c r="BO8" s="52" t="s">
        <v>25</v>
      </c>
      <c r="BP8" s="35"/>
      <c r="BQ8" s="35"/>
      <c r="BR8" s="35"/>
      <c r="BS8" s="35"/>
      <c r="BT8" s="45" t="s">
        <v>16</v>
      </c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52" t="s">
        <v>54</v>
      </c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41" t="s">
        <v>24</v>
      </c>
      <c r="C9" s="35"/>
      <c r="D9" s="35"/>
      <c r="E9" s="54">
        <v>10.0</v>
      </c>
      <c r="F9" s="35"/>
      <c r="G9" s="52" t="s">
        <v>34</v>
      </c>
      <c r="H9" s="35"/>
      <c r="I9" s="35"/>
      <c r="J9" s="35"/>
      <c r="K9" s="54">
        <v>0.0</v>
      </c>
      <c r="L9" s="54">
        <v>0.0</v>
      </c>
      <c r="M9" s="35"/>
      <c r="N9" s="35"/>
      <c r="O9" s="35"/>
      <c r="P9" s="35"/>
      <c r="Q9" s="35"/>
      <c r="R9" s="35"/>
      <c r="S9" s="52" t="s">
        <v>51</v>
      </c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8">
        <v>10.0</v>
      </c>
      <c r="AF9" s="35"/>
      <c r="AG9" s="35"/>
      <c r="AH9" s="55" t="s">
        <v>48</v>
      </c>
      <c r="AI9" s="47">
        <v>1.0</v>
      </c>
      <c r="AJ9" s="52" t="s">
        <v>52</v>
      </c>
      <c r="AK9" s="35"/>
      <c r="AL9" s="35"/>
      <c r="AM9" s="35"/>
      <c r="AN9" s="35"/>
      <c r="AO9" s="35"/>
      <c r="AP9" s="35"/>
      <c r="AQ9" s="35"/>
      <c r="AR9" s="35"/>
      <c r="AS9" s="35"/>
      <c r="AT9" s="53">
        <v>10000.0</v>
      </c>
      <c r="AU9" s="53">
        <v>10000.0</v>
      </c>
      <c r="AV9" s="35"/>
      <c r="AW9" s="35"/>
      <c r="AX9" s="35"/>
      <c r="AY9" s="55" t="s">
        <v>22</v>
      </c>
      <c r="AZ9" s="35"/>
      <c r="BA9" s="35"/>
      <c r="BB9" s="35"/>
      <c r="BC9" s="35"/>
      <c r="BD9" s="35"/>
      <c r="BE9" s="54">
        <v>0.0</v>
      </c>
      <c r="BF9" s="54">
        <v>0.0</v>
      </c>
      <c r="BG9" s="35"/>
      <c r="BH9" s="35"/>
      <c r="BI9" s="35" t="s">
        <v>53</v>
      </c>
      <c r="BJ9" s="47">
        <v>10.0</v>
      </c>
      <c r="BK9" s="35"/>
      <c r="BL9" s="35"/>
      <c r="BM9" s="35"/>
      <c r="BN9" s="35"/>
      <c r="BO9" s="52" t="s">
        <v>55</v>
      </c>
      <c r="BP9" s="35"/>
      <c r="BQ9" s="35"/>
      <c r="BR9" s="35"/>
      <c r="BS9" s="35"/>
      <c r="BT9" s="45" t="s">
        <v>16</v>
      </c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52" t="s">
        <v>56</v>
      </c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35"/>
      <c r="B10" s="41" t="s">
        <v>24</v>
      </c>
      <c r="C10" s="35"/>
      <c r="D10" s="35"/>
      <c r="E10" s="54">
        <v>100.0</v>
      </c>
      <c r="F10" s="35"/>
      <c r="G10" s="52" t="s">
        <v>46</v>
      </c>
      <c r="H10" s="35"/>
      <c r="I10" s="35"/>
      <c r="J10" s="35"/>
      <c r="K10" s="54">
        <v>100.0</v>
      </c>
      <c r="L10" s="54">
        <v>100.0</v>
      </c>
      <c r="M10" s="35"/>
      <c r="N10" s="35"/>
      <c r="O10" s="35"/>
      <c r="P10" s="35"/>
      <c r="Q10" s="35"/>
      <c r="R10" s="35"/>
      <c r="S10" s="52" t="s">
        <v>47</v>
      </c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8">
        <v>100.0</v>
      </c>
      <c r="AF10" s="35"/>
      <c r="AG10" s="35"/>
      <c r="AH10" s="35" t="s">
        <v>57</v>
      </c>
      <c r="AI10" s="47">
        <v>1.0</v>
      </c>
      <c r="AJ10" s="52" t="s">
        <v>58</v>
      </c>
      <c r="AK10" s="35"/>
      <c r="AL10" s="35"/>
      <c r="AM10" s="35"/>
      <c r="AN10" s="35"/>
      <c r="AO10" s="35"/>
      <c r="AP10" s="35"/>
      <c r="AQ10" s="35"/>
      <c r="AR10" s="35"/>
      <c r="AS10" s="35"/>
      <c r="AT10" s="53">
        <v>9000.0</v>
      </c>
      <c r="AU10" s="53">
        <v>9000.0</v>
      </c>
      <c r="AV10" s="35"/>
      <c r="AW10" s="35"/>
      <c r="AX10" s="35"/>
      <c r="AY10" s="55"/>
      <c r="AZ10" s="35"/>
      <c r="BA10" s="35"/>
      <c r="BB10" s="35"/>
      <c r="BC10" s="35"/>
      <c r="BD10" s="35"/>
      <c r="BE10" s="53">
        <v>10000.0</v>
      </c>
      <c r="BF10" s="53">
        <v>10000.0</v>
      </c>
      <c r="BG10" s="35"/>
      <c r="BH10" s="35"/>
      <c r="BI10" s="35"/>
      <c r="BJ10" s="47">
        <v>100.0</v>
      </c>
      <c r="BK10" s="35"/>
      <c r="BL10" s="35"/>
      <c r="BM10" s="35"/>
      <c r="BN10" s="35"/>
      <c r="BO10" s="52" t="s">
        <v>55</v>
      </c>
      <c r="BP10" s="35"/>
      <c r="BQ10" s="35"/>
      <c r="BR10" s="35"/>
      <c r="BS10" s="35"/>
      <c r="BT10" s="35" t="s">
        <v>19</v>
      </c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52" t="s">
        <v>56</v>
      </c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ht="15.75" customHeight="1">
      <c r="A11" s="35"/>
      <c r="B11" s="56" t="s">
        <v>24</v>
      </c>
      <c r="C11" s="35"/>
      <c r="D11" s="35"/>
      <c r="E11" s="57">
        <v>1000.0</v>
      </c>
      <c r="F11" s="35"/>
      <c r="G11" s="52" t="s">
        <v>46</v>
      </c>
      <c r="H11" s="35"/>
      <c r="I11" s="35"/>
      <c r="J11" s="35"/>
      <c r="K11" s="54">
        <v>100.0</v>
      </c>
      <c r="L11" s="54">
        <v>100.0</v>
      </c>
      <c r="M11" s="35"/>
      <c r="N11" s="35"/>
      <c r="O11" s="35"/>
      <c r="P11" s="35"/>
      <c r="Q11" s="35"/>
      <c r="R11" s="35"/>
      <c r="S11" s="52" t="s">
        <v>47</v>
      </c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58">
        <v>1000.0</v>
      </c>
      <c r="AF11" s="35"/>
      <c r="AG11" s="35"/>
      <c r="AH11" s="55" t="s">
        <v>48</v>
      </c>
      <c r="AI11" s="47">
        <v>1.0</v>
      </c>
      <c r="AJ11" s="52" t="s">
        <v>58</v>
      </c>
      <c r="AK11" s="35"/>
      <c r="AL11" s="35"/>
      <c r="AM11" s="35"/>
      <c r="AN11" s="35"/>
      <c r="AO11" s="35"/>
      <c r="AP11" s="35"/>
      <c r="AQ11" s="35"/>
      <c r="AR11" s="35"/>
      <c r="AS11" s="35"/>
      <c r="AT11" s="59">
        <v>90000.0</v>
      </c>
      <c r="AU11" s="59">
        <v>90000.0</v>
      </c>
      <c r="AV11" s="35"/>
      <c r="AW11" s="35"/>
      <c r="AX11" s="35"/>
      <c r="AY11" s="55"/>
      <c r="AZ11" s="35"/>
      <c r="BA11" s="35"/>
      <c r="BB11" s="35"/>
      <c r="BC11" s="35"/>
      <c r="BD11" s="35"/>
      <c r="BE11" s="59">
        <v>100000.0</v>
      </c>
      <c r="BF11" s="59">
        <v>100000.0</v>
      </c>
      <c r="BG11" s="35"/>
      <c r="BH11" s="35"/>
      <c r="BI11" s="35"/>
      <c r="BJ11" s="44">
        <v>1000.0</v>
      </c>
      <c r="BK11" s="35"/>
      <c r="BL11" s="35"/>
      <c r="BM11" s="35"/>
      <c r="BN11" s="35"/>
      <c r="BO11" s="52" t="s">
        <v>20</v>
      </c>
      <c r="BP11" s="35"/>
      <c r="BQ11" s="35"/>
      <c r="BR11" s="35"/>
      <c r="BS11" s="35"/>
      <c r="BT11" s="35" t="s">
        <v>19</v>
      </c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52" t="s">
        <v>56</v>
      </c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hyperlinks>
    <hyperlink r:id="rId1" ref="DT4"/>
  </hyperlin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59</v>
      </c>
      <c r="D3" s="5" t="s">
        <v>9</v>
      </c>
      <c r="E3" s="23" t="s">
        <v>60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/>
      <c r="FK5" s="30"/>
      <c r="FL5" s="30"/>
      <c r="FM5" s="30"/>
      <c r="FN5" s="30"/>
      <c r="FO5" s="30"/>
      <c r="FP5" s="30"/>
      <c r="FQ5" s="30"/>
      <c r="FR5" s="30"/>
    </row>
    <row r="6" ht="15.75" customHeight="1">
      <c r="A6" s="31"/>
      <c r="B6" s="32"/>
      <c r="C6" s="60" t="s">
        <v>19</v>
      </c>
      <c r="D6" s="61">
        <v>100.0</v>
      </c>
      <c r="E6" s="60" t="s">
        <v>21</v>
      </c>
      <c r="F6" s="60" t="s">
        <v>61</v>
      </c>
      <c r="G6" s="36">
        <v>10.0</v>
      </c>
      <c r="H6" s="32"/>
      <c r="I6" s="32"/>
      <c r="J6" s="32"/>
      <c r="K6" s="32"/>
      <c r="L6" s="32"/>
      <c r="M6" s="32"/>
      <c r="N6" s="32"/>
      <c r="O6" s="32"/>
      <c r="P6" s="32"/>
      <c r="Q6" s="34"/>
      <c r="R6" s="34"/>
      <c r="S6" s="32"/>
      <c r="T6" s="31"/>
      <c r="U6" s="31"/>
      <c r="V6" s="35"/>
      <c r="W6" s="31"/>
      <c r="X6" s="31"/>
      <c r="Y6" s="31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1" t="s">
        <v>20</v>
      </c>
      <c r="AO6" s="35"/>
      <c r="AP6" s="31"/>
      <c r="AQ6" s="31"/>
      <c r="AR6" s="35"/>
      <c r="AS6" s="35"/>
      <c r="AT6" s="35"/>
      <c r="AU6" s="35"/>
      <c r="AV6" s="31"/>
      <c r="AW6" s="35"/>
      <c r="AX6" s="35"/>
      <c r="AY6" s="35"/>
      <c r="AZ6" s="35"/>
      <c r="BA6" s="35"/>
      <c r="BB6" s="35"/>
      <c r="BC6" s="35"/>
      <c r="BD6" s="35"/>
      <c r="BE6" s="31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1"/>
      <c r="BS6" s="35"/>
      <c r="BT6" s="35"/>
      <c r="BU6" s="31"/>
      <c r="BV6" s="31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1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1"/>
      <c r="DI6" s="35"/>
      <c r="DJ6" s="62" t="s">
        <v>20</v>
      </c>
      <c r="DK6" s="35"/>
      <c r="DL6" s="35"/>
      <c r="DM6" s="35"/>
      <c r="DN6" s="35"/>
      <c r="DO6" s="35"/>
      <c r="DP6" s="31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1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  <c r="FR6" s="35"/>
    </row>
    <row r="7" ht="15.75" customHeight="1">
      <c r="A7" s="35"/>
      <c r="B7" s="31"/>
      <c r="C7" s="31" t="s">
        <v>19</v>
      </c>
      <c r="D7" s="63">
        <v>-100.0</v>
      </c>
      <c r="E7" s="31" t="s">
        <v>24</v>
      </c>
      <c r="F7" s="62" t="s">
        <v>62</v>
      </c>
      <c r="G7" s="63">
        <v>10.0</v>
      </c>
      <c r="H7" s="31"/>
      <c r="I7" s="31"/>
      <c r="J7" s="31"/>
      <c r="K7" s="31"/>
      <c r="L7" s="31"/>
      <c r="M7" s="31"/>
      <c r="N7" s="31"/>
      <c r="O7" s="31"/>
      <c r="P7" s="31"/>
      <c r="Q7" s="35"/>
      <c r="R7" s="35"/>
      <c r="S7" s="31"/>
      <c r="T7" s="31"/>
      <c r="U7" s="31"/>
      <c r="V7" s="35"/>
      <c r="W7" s="31"/>
      <c r="X7" s="31"/>
      <c r="Y7" s="31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1" t="s">
        <v>23</v>
      </c>
      <c r="AO7" s="35"/>
      <c r="AP7" s="31"/>
      <c r="AQ7" s="31"/>
      <c r="AR7" s="35"/>
      <c r="AS7" s="35"/>
      <c r="AT7" s="35"/>
      <c r="AU7" s="35"/>
      <c r="AV7" s="31"/>
      <c r="AW7" s="35"/>
      <c r="AX7" s="35"/>
      <c r="AY7" s="35"/>
      <c r="AZ7" s="35"/>
      <c r="BA7" s="35"/>
      <c r="BB7" s="35"/>
      <c r="BC7" s="35"/>
      <c r="BD7" s="35"/>
      <c r="BE7" s="31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1"/>
      <c r="BS7" s="35"/>
      <c r="BT7" s="35"/>
      <c r="BU7" s="31"/>
      <c r="BV7" s="31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1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1"/>
      <c r="DI7" s="35"/>
      <c r="DJ7" s="62" t="s">
        <v>23</v>
      </c>
      <c r="DK7" s="35"/>
      <c r="DL7" s="35"/>
      <c r="DM7" s="35"/>
      <c r="DN7" s="35"/>
      <c r="DO7" s="35"/>
      <c r="DP7" s="31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1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  <c r="FM7" s="35"/>
      <c r="FN7" s="35"/>
      <c r="FO7" s="35"/>
      <c r="FP7" s="35"/>
      <c r="FQ7" s="35"/>
      <c r="FR7" s="35"/>
    </row>
    <row r="8" ht="15.75" customHeight="1">
      <c r="A8" s="35"/>
      <c r="B8" s="31"/>
      <c r="C8" s="31" t="s">
        <v>19</v>
      </c>
      <c r="D8" s="63">
        <v>100.0</v>
      </c>
      <c r="E8" s="64" t="s">
        <v>24</v>
      </c>
      <c r="F8" s="62" t="s">
        <v>62</v>
      </c>
      <c r="G8" s="63">
        <v>100.0</v>
      </c>
      <c r="H8" s="31"/>
      <c r="I8" s="31"/>
      <c r="J8" s="31"/>
      <c r="K8" s="31"/>
      <c r="L8" s="31"/>
      <c r="M8" s="31"/>
      <c r="N8" s="31"/>
      <c r="O8" s="31"/>
      <c r="P8" s="31"/>
      <c r="Q8" s="35"/>
      <c r="R8" s="35"/>
      <c r="S8" s="31"/>
      <c r="T8" s="31"/>
      <c r="U8" s="31"/>
      <c r="V8" s="35"/>
      <c r="W8" s="31"/>
      <c r="X8" s="31"/>
      <c r="Y8" s="31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1" t="s">
        <v>55</v>
      </c>
      <c r="AO8" s="35"/>
      <c r="AP8" s="31"/>
      <c r="AQ8" s="31"/>
      <c r="AR8" s="35"/>
      <c r="AS8" s="35"/>
      <c r="AT8" s="35"/>
      <c r="AU8" s="35"/>
      <c r="AV8" s="31"/>
      <c r="AW8" s="35"/>
      <c r="AX8" s="35"/>
      <c r="AY8" s="35"/>
      <c r="AZ8" s="35"/>
      <c r="BA8" s="35"/>
      <c r="BB8" s="35"/>
      <c r="BC8" s="35"/>
      <c r="BD8" s="35"/>
      <c r="BE8" s="31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1"/>
      <c r="BS8" s="35"/>
      <c r="BT8" s="35"/>
      <c r="BU8" s="31"/>
      <c r="BV8" s="31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1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1"/>
      <c r="DI8" s="35"/>
      <c r="DJ8" s="62" t="s">
        <v>56</v>
      </c>
      <c r="DK8" s="35"/>
      <c r="DL8" s="35"/>
      <c r="DM8" s="35"/>
      <c r="DN8" s="35"/>
      <c r="DO8" s="35"/>
      <c r="DP8" s="31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1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  <c r="EY8" s="35"/>
      <c r="EZ8" s="35"/>
      <c r="FA8" s="35"/>
      <c r="FB8" s="35"/>
      <c r="FC8" s="35"/>
      <c r="FD8" s="35"/>
      <c r="FE8" s="35"/>
      <c r="FF8" s="35"/>
      <c r="FG8" s="35"/>
      <c r="FH8" s="35"/>
      <c r="FI8" s="35"/>
      <c r="FJ8" s="35"/>
      <c r="FK8" s="35"/>
      <c r="FL8" s="35"/>
      <c r="FM8" s="35"/>
      <c r="FN8" s="35"/>
      <c r="FO8" s="35"/>
      <c r="FP8" s="35"/>
      <c r="FQ8" s="35"/>
      <c r="FR8" s="35"/>
    </row>
    <row r="9" ht="15.75" customHeight="1">
      <c r="A9" s="35"/>
      <c r="B9" s="31"/>
      <c r="C9" s="31" t="s">
        <v>19</v>
      </c>
      <c r="D9" s="63">
        <v>900.0</v>
      </c>
      <c r="E9" s="64" t="s">
        <v>24</v>
      </c>
      <c r="F9" s="62" t="s">
        <v>62</v>
      </c>
      <c r="G9" s="63">
        <v>100.0</v>
      </c>
      <c r="H9" s="31"/>
      <c r="I9" s="31"/>
      <c r="J9" s="31"/>
      <c r="K9" s="31"/>
      <c r="L9" s="31"/>
      <c r="M9" s="31"/>
      <c r="N9" s="31"/>
      <c r="O9" s="31"/>
      <c r="P9" s="31"/>
      <c r="Q9" s="35"/>
      <c r="R9" s="35"/>
      <c r="S9" s="31"/>
      <c r="T9" s="31"/>
      <c r="U9" s="31"/>
      <c r="V9" s="35"/>
      <c r="W9" s="31"/>
      <c r="X9" s="31"/>
      <c r="Y9" s="31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1" t="s">
        <v>20</v>
      </c>
      <c r="AO9" s="35"/>
      <c r="AP9" s="31"/>
      <c r="AQ9" s="31"/>
      <c r="AR9" s="35"/>
      <c r="AS9" s="35"/>
      <c r="AT9" s="35"/>
      <c r="AU9" s="35"/>
      <c r="AV9" s="31"/>
      <c r="AW9" s="35"/>
      <c r="AX9" s="35"/>
      <c r="AY9" s="35"/>
      <c r="AZ9" s="35"/>
      <c r="BA9" s="35"/>
      <c r="BB9" s="35"/>
      <c r="BC9" s="35"/>
      <c r="BD9" s="35"/>
      <c r="BE9" s="31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1"/>
      <c r="BS9" s="35"/>
      <c r="BT9" s="35"/>
      <c r="BU9" s="31"/>
      <c r="BV9" s="31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1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1"/>
      <c r="DI9" s="35"/>
      <c r="DJ9" s="62" t="s">
        <v>56</v>
      </c>
      <c r="DK9" s="35"/>
      <c r="DL9" s="35"/>
      <c r="DM9" s="35"/>
      <c r="DN9" s="35"/>
      <c r="DO9" s="35"/>
      <c r="DP9" s="31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1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  <c r="EY9" s="35"/>
      <c r="EZ9" s="35"/>
      <c r="FA9" s="35"/>
      <c r="FB9" s="35"/>
      <c r="FC9" s="35"/>
      <c r="FD9" s="35"/>
      <c r="FE9" s="35"/>
      <c r="FF9" s="35"/>
      <c r="FG9" s="35"/>
      <c r="FH9" s="35"/>
      <c r="FI9" s="35"/>
      <c r="FJ9" s="35"/>
      <c r="FK9" s="35"/>
      <c r="FL9" s="35"/>
      <c r="FM9" s="35"/>
      <c r="FN9" s="35"/>
      <c r="FO9" s="35"/>
      <c r="FP9" s="35"/>
      <c r="FQ9" s="35"/>
      <c r="FR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63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IFERROR(__xludf.DUMMYFUNCTION("""COMPUTED_VALUE"""),"SelectAccountWiseAsset")</f>
        <v>SelectAccountWiseAsset</v>
      </c>
      <c r="AN4" s="26" t="str">
        <f>IFERROR(__xludf.DUMMYFUNCTION("""COMPUTED_VALUE"""),"VerifyCTData")</f>
        <v>VerifyCTData</v>
      </c>
      <c r="AO4" s="26" t="str">
        <f>IFERROR(__xludf.DUMMYFUNCTION("""COMPUTED_VALUE"""),"ExerciseAssignmentWithOutSave")</f>
        <v>ExerciseAssignmentWithOutSave</v>
      </c>
      <c r="AP4" s="26" t="str">
        <f>IFERROR(__xludf.DUMMYFUNCTION("""COMPUTED_VALUE"""),"SaveCTData")</f>
        <v>SaveCTData</v>
      </c>
      <c r="AQ4" s="26" t="str">
        <f>IFERROR(__xludf.DUMMYFUNCTION("""COMPUTED_VALUE"""),"FilterLongPositionGrid")</f>
        <v>FilterLongPositionGrid</v>
      </c>
      <c r="AR4" s="26" t="str">
        <f>IFERROR(__xludf.DUMMYFUNCTION("""COMPUTED_VALUE"""),"FilterShortPositionGrid")</f>
        <v>FilterShortPositionGrid</v>
      </c>
      <c r="AS4" s="26" t="str">
        <f>IFERROR(__xludf.DUMMYFUNCTION("""COMPUTED_VALUE"""),"FilterClosingGrid")</f>
        <v>FilterClosingGrid</v>
      </c>
      <c r="AT4" s="26" t="str">
        <f>IFERROR(__xludf.DUMMYFUNCTION("""COMPUTED_VALUE"""),"FilterUnexpiredGrid")</f>
        <v>FilterUnexpiredGrid</v>
      </c>
      <c r="AU4" s="26" t="str">
        <f>IFERROR(__xludf.DUMMYFUNCTION("""COMPUTED_VALUE"""),"FilterExpiredGrid")</f>
        <v>FilterExpiredGrid</v>
      </c>
      <c r="AV4" s="26" t="str">
        <f>IFERROR(__xludf.DUMMYFUNCTION("""COMPUTED_VALUE"""),"UnwindAllClosingData")</f>
        <v>UnwindAllClosingData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 ID")</f>
        <v>Taxlot ID</v>
      </c>
      <c r="C5" s="28" t="str">
        <f>IFERROR(__xludf.DUMMYFUNCTION("""COMPUTED_VALUE"""),"Closing Date")</f>
        <v>Closing Date</v>
      </c>
      <c r="D5" s="28" t="str">
        <f>IFERROR(__xludf.DUMMYFUNCTION("""COMPUTED_VALUE"""),"Account")</f>
        <v>Account</v>
      </c>
      <c r="E5" s="28" t="str">
        <f>IFERROR(__xludf.DUMMYFUNCTION("""COMPUTED_VALUE"""),"Strategy")</f>
        <v>Strategy</v>
      </c>
      <c r="F5" s="29" t="str">
        <f>IFERROR(__xludf.DUMMYFUNCTION("""COMPUTED_VALUE"""),"Position Type")</f>
        <v>Position Type</v>
      </c>
      <c r="G5" s="28" t="str">
        <f>IFERROR(__xludf.DUMMYFUNCTION("""COMPUTED_VALUE"""),"Asset Class")</f>
        <v>Asset Class</v>
      </c>
      <c r="H5" s="28" t="str">
        <f>IFERROR(__xludf.DUMMYFUNCTION("""COMPUTED_VALUE"""),"Symbol")</f>
        <v>Symbol</v>
      </c>
      <c r="I5" s="28" t="str">
        <f>IFERROR(__xludf.DUMMYFUNCTION("""COMPUTED_VALUE"""),"Qty Closed")</f>
        <v>Qty Closed</v>
      </c>
      <c r="J5" s="28" t="str">
        <f>IFERROR(__xludf.DUMMYFUNCTION("""COMPUTED_VALUE"""),"Opening Price")</f>
        <v>Opening Price</v>
      </c>
      <c r="K5" s="28" t="str">
        <f>IFERROR(__xludf.DUMMYFUNCTION("""COMPUTED_VALUE"""),"Closing Price")</f>
        <v>Closing Price</v>
      </c>
      <c r="L5" s="28" t="str">
        <f>IFERROR(__xludf.DUMMYFUNCTION("""COMPUTED_VALUE"""),"ClosingTotalCommissionandFees")</f>
        <v>ClosingTotalCommissionandFees</v>
      </c>
      <c r="M5" s="28" t="str">
        <f>IFERROR(__xludf.DUMMYFUNCTION("""COMPUTED_VALUE"""),"Realized PNL(C.B.)")</f>
        <v>Realized PNL(C.B.)</v>
      </c>
      <c r="N5" s="28" t="str">
        <f>IFERROR(__xludf.DUMMYFUNCTION("""COMPUTED_VALUE"""),"Exchange")</f>
        <v>Exchange</v>
      </c>
      <c r="O5" s="28" t="str">
        <f>IFERROR(__xludf.DUMMYFUNCTION("""COMPUTED_VALUE"""),"Opening Side")</f>
        <v>Opening Side</v>
      </c>
      <c r="P5" s="28" t="str">
        <f>IFERROR(__xludf.DUMMYFUNCTION("""COMPUTED_VALUE"""),"Opening Fees &amp; Commission")</f>
        <v>Opening Fees &amp; Commission</v>
      </c>
      <c r="Q5" s="28" t="str">
        <f>IFERROR(__xludf.DUMMYFUNCTION("""COMPUTED_VALUE"""),"Closing Side")</f>
        <v>Closing Side</v>
      </c>
      <c r="R5" s="28" t="str">
        <f>IFERROR(__xludf.DUMMYFUNCTION("""COMPUTED_VALUE"""),"Closing Method")</f>
        <v>Closing Method</v>
      </c>
      <c r="S5" s="28" t="str">
        <f>IFERROR(__xludf.DUMMYFUNCTION("""COMPUTED_VALUE"""),"ClosingID")</f>
        <v>ClosingID</v>
      </c>
      <c r="T5" s="30" t="str">
        <f>IFERROR(__xludf.DUMMYFUNCTION("""COMPUTED_VALUE"""),"Original Purchase Date")</f>
        <v>Original Purchase Date</v>
      </c>
      <c r="U5" s="30" t="str">
        <f>IFERROR(__xludf.DUMMYFUNCTION("""COMPUTED_VALUE"""),"Description")</f>
        <v>Description</v>
      </c>
      <c r="V5" s="30" t="str">
        <f>IFERROR(__xludf.DUMMYFUNCTION("""COMPUTED_VALUE"""),"AccountID")</f>
        <v>AccountID</v>
      </c>
      <c r="W5" s="30" t="str">
        <f>IFERROR(__xludf.DUMMYFUNCTION("""COMPUTED_VALUE"""),"IsExpired_Settled")</f>
        <v>IsExpired_Settled</v>
      </c>
      <c r="X5" s="30" t="str">
        <f>IFERROR(__xludf.DUMMYFUNCTION("""COMPUTED_VALUE"""),"Underlying")</f>
        <v>Underlying</v>
      </c>
      <c r="Y5" s="30" t="str">
        <f>IFERROR(__xludf.DUMMYFUNCTION("""COMPUTED_VALUE"""),"CurrencyID")</f>
        <v>CurrencyID</v>
      </c>
      <c r="Z5" s="30" t="str">
        <f>IFERROR(__xludf.DUMMYFUNCTION("""COMPUTED_VALUE"""),"Currency")</f>
        <v>Currency</v>
      </c>
      <c r="AA5" s="30" t="str">
        <f>IFERROR(__xludf.DUMMYFUNCTION("""COMPUTED_VALUE"""),"AUECID")</f>
        <v>AUECID</v>
      </c>
      <c r="AB5" s="30" t="str">
        <f>IFERROR(__xludf.DUMMYFUNCTION("""COMPUTED_VALUE"""),"NotionalValue")</f>
        <v>NotionalValue</v>
      </c>
      <c r="AC5" s="30" t="str">
        <f>IFERROR(__xludf.DUMMYFUNCTION("""COMPUTED_VALUE"""),"Multiplier")</f>
        <v>Multiplier</v>
      </c>
      <c r="AD5" s="30" t="str">
        <f>IFERROR(__xludf.DUMMYFUNCTION("""COMPUTED_VALUE"""),"TimeOfSaveUTC")</f>
        <v>TimeOfSaveUTC</v>
      </c>
      <c r="AE5" s="30" t="str">
        <f>IFERROR(__xludf.DUMMYFUNCTION("""COMPUTED_VALUE"""),"Closing Position Type")</f>
        <v>Closing Position Type</v>
      </c>
      <c r="AF5" s="30" t="str">
        <f>IFERROR(__xludf.DUMMYFUNCTION("""COMPUTED_VALUE"""),"Closing Mode")</f>
        <v>Closing Mode</v>
      </c>
      <c r="AG5" s="30" t="str">
        <f>IFERROR(__xludf.DUMMYFUNCTION("""COMPUTED_VALUE"""),"StrategyID")</f>
        <v>StrategyID</v>
      </c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/>
      <c r="C6" s="34"/>
      <c r="D6" s="32" t="s">
        <v>24</v>
      </c>
      <c r="E6" s="34"/>
      <c r="F6" s="34"/>
      <c r="G6" s="34" t="s">
        <v>34</v>
      </c>
      <c r="H6" s="34" t="s">
        <v>16</v>
      </c>
      <c r="I6" s="37"/>
      <c r="J6" s="34"/>
      <c r="K6" s="34"/>
      <c r="L6" s="34"/>
      <c r="M6" s="34"/>
      <c r="N6" s="34"/>
      <c r="O6" s="34"/>
      <c r="P6" s="34"/>
      <c r="Q6" s="65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UnwindClosing!$4:$4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64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IFERROR(__xludf.DUMMYFUNCTION("""COMPUTED_VALUE"""),"SelectAccountWiseAsset")</f>
        <v>SelectAccountWiseAsset</v>
      </c>
      <c r="AN4" s="26" t="str">
        <f>IFERROR(__xludf.DUMMYFUNCTION("""COMPUTED_VALUE"""),"VerifyCTData")</f>
        <v>VerifyCTData</v>
      </c>
      <c r="AO4" s="26" t="str">
        <f>IFERROR(__xludf.DUMMYFUNCTION("""COMPUTED_VALUE"""),"ExerciseAssignmentWithOutSave")</f>
        <v>ExerciseAssignmentWithOutSave</v>
      </c>
      <c r="AP4" s="26" t="str">
        <f>IFERROR(__xludf.DUMMYFUNCTION("""COMPUTED_VALUE"""),"SaveCTData")</f>
        <v>SaveCTData</v>
      </c>
      <c r="AQ4" s="26" t="str">
        <f>IFERROR(__xludf.DUMMYFUNCTION("""COMPUTED_VALUE"""),"FilterLongPositionGrid")</f>
        <v>FilterLongPositionGrid</v>
      </c>
      <c r="AR4" s="26" t="str">
        <f>IFERROR(__xludf.DUMMYFUNCTION("""COMPUTED_VALUE"""),"FilterShortPositionGrid")</f>
        <v>FilterShortPositionGrid</v>
      </c>
      <c r="AS4" s="26" t="str">
        <f>IFERROR(__xludf.DUMMYFUNCTION("""COMPUTED_VALUE"""),"FilterClosingGrid")</f>
        <v>FilterClosingGrid</v>
      </c>
      <c r="AT4" s="26" t="str">
        <f>IFERROR(__xludf.DUMMYFUNCTION("""COMPUTED_VALUE"""),"FilterUnexpiredGrid")</f>
        <v>FilterUnexpiredGrid</v>
      </c>
      <c r="AU4" s="26" t="str">
        <f>IFERROR(__xludf.DUMMYFUNCTION("""COMPUTED_VALUE"""),"FilterExpiredGrid")</f>
        <v>FilterExpiredGrid</v>
      </c>
      <c r="AV4" s="26" t="str">
        <f>IFERROR(__xludf.DUMMYFUNCTION("""COMPUTED_VALUE"""),"UnwindAllClosingData")</f>
        <v>UnwindAllClosingData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1"/>
      <c r="B6" s="32" t="s">
        <v>24</v>
      </c>
      <c r="C6" s="34"/>
      <c r="D6" s="32"/>
      <c r="E6" s="34" t="s">
        <v>34</v>
      </c>
      <c r="F6" s="34"/>
      <c r="G6" s="34"/>
      <c r="H6" s="34"/>
      <c r="I6" s="37">
        <v>10.0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47">
        <v>10.0</v>
      </c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66" t="s">
        <v>25</v>
      </c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47">
        <v>10.0</v>
      </c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 t="s">
        <v>16</v>
      </c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SelectTradeUnexpiredUnsettled!$4:$4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65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IFERROR(__xludf.DUMMYFUNCTION("""COMPUTED_VALUE"""),"SelectAccountWiseAsset")</f>
        <v>SelectAccountWiseAsset</v>
      </c>
      <c r="AN4" s="26" t="str">
        <f>IFERROR(__xludf.DUMMYFUNCTION("""COMPUTED_VALUE"""),"VerifyCTData")</f>
        <v>VerifyCTData</v>
      </c>
      <c r="AO4" s="26" t="str">
        <f>IFERROR(__xludf.DUMMYFUNCTION("""COMPUTED_VALUE"""),"ExerciseAssignmentWithOutSave")</f>
        <v>ExerciseAssignmentWithOutSave</v>
      </c>
      <c r="AP4" s="26" t="str">
        <f>IFERROR(__xludf.DUMMYFUNCTION("""COMPUTED_VALUE"""),"SaveCTData")</f>
        <v>SaveCTData</v>
      </c>
      <c r="AQ4" s="26" t="str">
        <f>IFERROR(__xludf.DUMMYFUNCTION("""COMPUTED_VALUE"""),"FilterLongPositionGrid")</f>
        <v>FilterLongPositionGrid</v>
      </c>
      <c r="AR4" s="26" t="str">
        <f>IFERROR(__xludf.DUMMYFUNCTION("""COMPUTED_VALUE"""),"FilterShortPositionGrid")</f>
        <v>FilterShortPositionGrid</v>
      </c>
      <c r="AS4" s="26" t="str">
        <f>IFERROR(__xludf.DUMMYFUNCTION("""COMPUTED_VALUE"""),"FilterClosingGrid")</f>
        <v>FilterClosingGrid</v>
      </c>
      <c r="AT4" s="26" t="str">
        <f>IFERROR(__xludf.DUMMYFUNCTION("""COMPUTED_VALUE"""),"FilterUnexpiredGrid")</f>
        <v>FilterUnexpiredGrid</v>
      </c>
      <c r="AU4" s="26" t="str">
        <f>IFERROR(__xludf.DUMMYFUNCTION("""COMPUTED_VALUE"""),"FilterExpiredGrid")</f>
        <v>FilterExpiredGrid</v>
      </c>
      <c r="AV4" s="26" t="str">
        <f>IFERROR(__xludf.DUMMYFUNCTION("""COMPUTED_VALUE"""),"UnwindAllClosingData")</f>
        <v>UnwindAllClosingData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24</v>
      </c>
      <c r="C6" s="34"/>
      <c r="D6" s="32"/>
      <c r="E6" s="34" t="s">
        <v>34</v>
      </c>
      <c r="F6" s="34"/>
      <c r="G6" s="34"/>
      <c r="H6" s="34"/>
      <c r="I6" s="34"/>
      <c r="J6" s="37">
        <v>100.0</v>
      </c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44">
        <v>100.0</v>
      </c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4"/>
      <c r="BL6" s="45" t="s">
        <v>16</v>
      </c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IFERROR(__xludf.DUMMYFUNCTION("""COMPUTED_VALUE"""),"SelectAccountWiseAsset")</f>
        <v>SelectAccountWiseAsset</v>
      </c>
      <c r="AN4" s="26" t="str">
        <f>IFERROR(__xludf.DUMMYFUNCTION("""COMPUTED_VALUE"""),"VerifyCTData")</f>
        <v>VerifyCTData</v>
      </c>
      <c r="AO4" s="26" t="str">
        <f>IFERROR(__xludf.DUMMYFUNCTION("""COMPUTED_VALUE"""),"ExerciseAssignmentWithOutSave")</f>
        <v>ExerciseAssignmentWithOutSave</v>
      </c>
      <c r="AP4" s="26" t="str">
        <f>IFERROR(__xludf.DUMMYFUNCTION("""COMPUTED_VALUE"""),"SaveCTData")</f>
        <v>SaveCTData</v>
      </c>
      <c r="AQ4" s="26" t="str">
        <f>IFERROR(__xludf.DUMMYFUNCTION("""COMPUTED_VALUE"""),"FilterLongPositionGrid")</f>
        <v>FilterLongPositionGrid</v>
      </c>
      <c r="AR4" s="26" t="str">
        <f>IFERROR(__xludf.DUMMYFUNCTION("""COMPUTED_VALUE"""),"FilterShortPositionGrid")</f>
        <v>FilterShortPositionGrid</v>
      </c>
      <c r="AS4" s="26" t="str">
        <f>IFERROR(__xludf.DUMMYFUNCTION("""COMPUTED_VALUE"""),"FilterClosingGrid")</f>
        <v>FilterClosingGrid</v>
      </c>
      <c r="AT4" s="26" t="str">
        <f>IFERROR(__xludf.DUMMYFUNCTION("""COMPUTED_VALUE"""),"FilterUnexpiredGrid")</f>
        <v>FilterUnexpiredGrid</v>
      </c>
      <c r="AU4" s="26" t="str">
        <f>IFERROR(__xludf.DUMMYFUNCTION("""COMPUTED_VALUE"""),"FilterExpiredGrid")</f>
        <v>FilterExpiredGrid</v>
      </c>
      <c r="AV4" s="26" t="str">
        <f>IFERROR(__xludf.DUMMYFUNCTION("""COMPUTED_VALUE"""),"UnwindAllClosingData")</f>
        <v>UnwindAllClosingData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IFERROR(__xludf.DUMMYFUNCTION("""COMPUTED_VALUE"""),"Asset Class")</f>
        <v>Asset Class</v>
      </c>
      <c r="D5" s="28" t="str">
        <f>IFERROR(__xludf.DUMMYFUNCTION("""COMPUTED_VALUE"""),"checkBox")</f>
        <v>checkBox</v>
      </c>
      <c r="E5" s="28" t="str">
        <f>IFERROR(__xludf.DUMMYFUNCTION("""COMPUTED_VALUE"""),"Close Date")</f>
        <v>Close Date</v>
      </c>
      <c r="F5" s="29" t="str">
        <f>IFERROR(__xludf.DUMMYFUNCTION("""COMPUTED_VALUE"""),"ClosedAveragePrice")</f>
        <v>ClosedAveragePrice</v>
      </c>
      <c r="G5" s="28" t="str">
        <f>IFERROR(__xludf.DUMMYFUNCTION("""COMPUTED_VALUE"""),"ClosedQty")</f>
        <v>ClosedQty</v>
      </c>
      <c r="H5" s="28" t="str">
        <f>IFERROR(__xludf.DUMMYFUNCTION("""COMPUTED_VALUE"""),"Closing Method")</f>
        <v>Closing Method</v>
      </c>
      <c r="I5" s="28" t="str">
        <f>IFERROR(__xludf.DUMMYFUNCTION("""COMPUTED_VALUE"""),"ClosingID")</f>
        <v>ClosingID</v>
      </c>
      <c r="J5" s="28" t="str">
        <f>IFERROR(__xludf.DUMMYFUNCTION("""COMPUTED_VALUE"""),"ClosingMode")</f>
        <v>ClosingMode</v>
      </c>
      <c r="K5" s="28" t="str">
        <f>IFERROR(__xludf.DUMMYFUNCTION("""COMPUTED_VALUE"""),"ClosingPositionTag")</f>
        <v>ClosingPositionTag</v>
      </c>
      <c r="L5" s="28" t="str">
        <f>IFERROR(__xludf.DUMMYFUNCTION("""COMPUTED_VALUE"""),"ClosingSide")</f>
        <v>ClosingSide</v>
      </c>
      <c r="M5" s="28" t="str">
        <f>IFERROR(__xludf.DUMMYFUNCTION("""COMPUTED_VALUE"""),"ClosingTotalCommissionandFees")</f>
        <v>ClosingTotalCommissionandFees</v>
      </c>
      <c r="N5" s="28" t="str">
        <f>IFERROR(__xludf.DUMMYFUNCTION("""COMPUTED_VALUE"""),"Column1")</f>
        <v>Column1</v>
      </c>
      <c r="O5" s="28" t="str">
        <f>IFERROR(__xludf.DUMMYFUNCTION("""COMPUTED_VALUE"""),"CostBasisGrossPNL")</f>
        <v>CostBasisGrossPNL</v>
      </c>
      <c r="P5" s="28" t="str">
        <f>IFERROR(__xludf.DUMMYFUNCTION("""COMPUTED_VALUE"""),"Currency")</f>
        <v>Currency</v>
      </c>
      <c r="Q5" s="28" t="str">
        <f>IFERROR(__xludf.DUMMYFUNCTION("""COMPUTED_VALUE"""),"CurrencyID")</f>
        <v>CurrencyID</v>
      </c>
      <c r="R5" s="28" t="str">
        <f>IFERROR(__xludf.DUMMYFUNCTION("""COMPUTED_VALUE"""),"Exchange")</f>
        <v>Exchange</v>
      </c>
      <c r="S5" s="28" t="str">
        <f>IFERROR(__xludf.DUMMYFUNCTION("""COMPUTED_VALUE"""),"NotionalChange")</f>
        <v>NotionalChange</v>
      </c>
      <c r="T5" s="30" t="str">
        <f>IFERROR(__xludf.DUMMYFUNCTION("""COMPUTED_VALUE"""),"OpenAveragePrice")</f>
        <v>OpenAveragePrice</v>
      </c>
      <c r="U5" s="30" t="str">
        <f>IFERROR(__xludf.DUMMYFUNCTION("""COMPUTED_VALUE"""),"Original Purchase Date")</f>
        <v>Original Purchase Date</v>
      </c>
      <c r="V5" s="30" t="str">
        <f>IFERROR(__xludf.DUMMYFUNCTION("""COMPUTED_VALUE"""),"Position Type")</f>
        <v>Position Type</v>
      </c>
      <c r="W5" s="30" t="str">
        <f>IFERROR(__xludf.DUMMYFUNCTION("""COMPUTED_VALUE"""),"PositionSide")</f>
        <v>PositionSide</v>
      </c>
      <c r="X5" s="30" t="str">
        <f>IFERROR(__xludf.DUMMYFUNCTION("""COMPUTED_VALUE"""),"PositionTotalCommissionandFees")</f>
        <v>PositionTotalCommissionandFees</v>
      </c>
      <c r="Y5" s="30" t="str">
        <f>IFERROR(__xludf.DUMMYFUNCTION("""COMPUTED_VALUE"""),"Realized PNL(C.B.)")</f>
        <v>Realized PNL(C.B.)</v>
      </c>
      <c r="Z5" s="30" t="str">
        <f>IFERROR(__xludf.DUMMYFUNCTION("""COMPUTED_VALUE"""),"Side")</f>
        <v>Side</v>
      </c>
      <c r="AA5" s="30" t="str">
        <f>IFERROR(__xludf.DUMMYFUNCTION("""COMPUTED_VALUE"""),"Strategy")</f>
        <v>Strategy</v>
      </c>
      <c r="AB5" s="30" t="str">
        <f>IFERROR(__xludf.DUMMYFUNCTION("""COMPUTED_VALUE"""),"Symbol")</f>
        <v>Symbol</v>
      </c>
      <c r="AC5" s="30" t="str">
        <f>IFERROR(__xludf.DUMMYFUNCTION("""COMPUTED_VALUE"""),"Taxlot ID")</f>
        <v>Taxlot ID</v>
      </c>
      <c r="AD5" s="30" t="str">
        <f>IFERROR(__xludf.DUMMYFUNCTION("""COMPUTED_VALUE"""),"UnderlyingName")</f>
        <v>UnderlyingName</v>
      </c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24</v>
      </c>
      <c r="C6" s="34" t="s">
        <v>34</v>
      </c>
      <c r="D6" s="32"/>
      <c r="E6" s="34"/>
      <c r="F6" s="37">
        <v>0.0</v>
      </c>
      <c r="G6" s="37">
        <v>10.0</v>
      </c>
      <c r="H6" s="34"/>
      <c r="I6" s="34"/>
      <c r="J6" s="34" t="s">
        <v>36</v>
      </c>
      <c r="K6" s="34" t="s">
        <v>37</v>
      </c>
      <c r="L6" s="34"/>
      <c r="M6" s="46">
        <v>10000.0</v>
      </c>
      <c r="N6" s="34"/>
      <c r="O6" s="46">
        <v>10000.0</v>
      </c>
      <c r="P6" s="34" t="s">
        <v>38</v>
      </c>
      <c r="Q6" s="34"/>
      <c r="R6" s="34" t="s">
        <v>39</v>
      </c>
      <c r="S6" s="46">
        <v>0.0</v>
      </c>
      <c r="T6" s="47">
        <v>10.0</v>
      </c>
      <c r="U6" s="35"/>
      <c r="V6" s="35" t="s">
        <v>40</v>
      </c>
      <c r="W6" s="35" t="s">
        <v>40</v>
      </c>
      <c r="X6" s="47"/>
      <c r="Y6" s="47">
        <v>0.0</v>
      </c>
      <c r="Z6" s="48" t="s">
        <v>25</v>
      </c>
      <c r="AA6" s="34" t="s">
        <v>41</v>
      </c>
      <c r="AB6" s="49" t="s">
        <v>16</v>
      </c>
      <c r="AC6" s="35"/>
      <c r="AD6" s="35" t="s">
        <v>42</v>
      </c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VerifyExpiredSettledGrid1!$4:$4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50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31</v>
      </c>
      <c r="C6" s="33" t="s">
        <v>32</v>
      </c>
      <c r="D6" s="43">
        <f>today()</f>
        <v>44679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50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1" t="s">
        <v>24</v>
      </c>
      <c r="C6" s="35" t="s">
        <v>66</v>
      </c>
      <c r="D6" s="31"/>
      <c r="E6" s="67">
        <v>100.0</v>
      </c>
      <c r="F6" s="35" t="s">
        <v>67</v>
      </c>
      <c r="G6" s="31" t="s">
        <v>46</v>
      </c>
      <c r="H6" s="35"/>
      <c r="I6" s="35"/>
      <c r="J6" s="35"/>
      <c r="K6" s="67">
        <v>100.0</v>
      </c>
      <c r="L6" s="67">
        <v>100.0</v>
      </c>
      <c r="M6" s="35"/>
      <c r="N6" s="35"/>
      <c r="O6" s="35"/>
      <c r="P6" s="35"/>
      <c r="Q6" s="47">
        <v>3.0</v>
      </c>
      <c r="R6" s="35"/>
      <c r="S6" s="31" t="s">
        <v>47</v>
      </c>
      <c r="T6" s="35"/>
      <c r="U6" s="35"/>
      <c r="V6" s="35"/>
      <c r="W6" s="35"/>
      <c r="X6" s="35"/>
      <c r="Y6" s="35" t="s">
        <v>66</v>
      </c>
      <c r="Z6" s="35" t="s">
        <v>38</v>
      </c>
      <c r="AA6" s="35"/>
      <c r="AB6" s="35"/>
      <c r="AC6" s="35"/>
      <c r="AD6" s="35"/>
      <c r="AE6" s="47">
        <v>100.0</v>
      </c>
      <c r="AF6" s="35" t="s">
        <v>66</v>
      </c>
      <c r="AG6" s="35"/>
      <c r="AH6" s="31" t="s">
        <v>57</v>
      </c>
      <c r="AI6" s="47">
        <v>1.0</v>
      </c>
      <c r="AJ6" s="31"/>
      <c r="AK6" s="35"/>
      <c r="AL6" s="35"/>
      <c r="AM6" s="35"/>
      <c r="AN6" s="35"/>
      <c r="AO6" s="35"/>
      <c r="AP6" s="35"/>
      <c r="AQ6" s="35"/>
      <c r="AR6" s="35"/>
      <c r="AS6" s="35"/>
      <c r="AT6" s="68">
        <v>9000.0</v>
      </c>
      <c r="AU6" s="68">
        <v>9000.0</v>
      </c>
      <c r="AV6" s="35"/>
      <c r="AW6" s="35"/>
      <c r="AX6" s="35"/>
      <c r="AY6" s="35"/>
      <c r="AZ6" s="35"/>
      <c r="BA6" s="35"/>
      <c r="BB6" s="35"/>
      <c r="BC6" s="35"/>
      <c r="BD6" s="35"/>
      <c r="BE6" s="68">
        <v>10000.0</v>
      </c>
      <c r="BF6" s="68">
        <v>10000.0</v>
      </c>
      <c r="BG6" s="35"/>
      <c r="BH6" s="35"/>
      <c r="BI6" s="35"/>
      <c r="BJ6" s="47">
        <v>100.0</v>
      </c>
      <c r="BK6" s="35"/>
      <c r="BL6" s="35"/>
      <c r="BM6" s="35" t="s">
        <v>38</v>
      </c>
      <c r="BN6" s="35"/>
      <c r="BO6" s="31" t="s">
        <v>55</v>
      </c>
      <c r="BP6" s="47">
        <v>0.0</v>
      </c>
      <c r="BQ6" s="35"/>
      <c r="BR6" s="35"/>
      <c r="BS6" s="35"/>
      <c r="BT6" s="35" t="s">
        <v>19</v>
      </c>
      <c r="BU6" s="35"/>
      <c r="BV6" s="35"/>
      <c r="BW6" s="47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 t="s">
        <v>29</v>
      </c>
      <c r="CI6" s="35" t="s">
        <v>56</v>
      </c>
      <c r="CJ6" s="35"/>
      <c r="CK6" s="35" t="s">
        <v>42</v>
      </c>
      <c r="CL6" s="35"/>
      <c r="CM6" s="35" t="s">
        <v>19</v>
      </c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1" t="s">
        <v>24</v>
      </c>
      <c r="C7" s="35" t="s">
        <v>66</v>
      </c>
      <c r="D7" s="35"/>
      <c r="E7" s="67">
        <v>900.0</v>
      </c>
      <c r="F7" s="35" t="s">
        <v>67</v>
      </c>
      <c r="G7" s="31" t="s">
        <v>46</v>
      </c>
      <c r="H7" s="35"/>
      <c r="I7" s="35"/>
      <c r="J7" s="35"/>
      <c r="K7" s="67">
        <v>100.0</v>
      </c>
      <c r="L7" s="67">
        <v>100.0</v>
      </c>
      <c r="M7" s="35"/>
      <c r="N7" s="35"/>
      <c r="O7" s="35"/>
      <c r="P7" s="35"/>
      <c r="Q7" s="47">
        <v>3.0</v>
      </c>
      <c r="R7" s="35"/>
      <c r="S7" s="31" t="s">
        <v>47</v>
      </c>
      <c r="T7" s="35"/>
      <c r="U7" s="35"/>
      <c r="V7" s="35"/>
      <c r="W7" s="35"/>
      <c r="X7" s="35"/>
      <c r="Y7" s="35" t="s">
        <v>66</v>
      </c>
      <c r="Z7" s="35" t="s">
        <v>38</v>
      </c>
      <c r="AA7" s="35"/>
      <c r="AB7" s="35"/>
      <c r="AC7" s="35"/>
      <c r="AD7" s="35"/>
      <c r="AE7" s="47">
        <v>900.0</v>
      </c>
      <c r="AF7" s="35" t="s">
        <v>66</v>
      </c>
      <c r="AG7" s="35"/>
      <c r="AH7" s="31" t="s">
        <v>48</v>
      </c>
      <c r="AI7" s="47">
        <v>1.0</v>
      </c>
      <c r="AJ7" s="31"/>
      <c r="AK7" s="35"/>
      <c r="AL7" s="35"/>
      <c r="AM7" s="35"/>
      <c r="AN7" s="35"/>
      <c r="AO7" s="35"/>
      <c r="AP7" s="35"/>
      <c r="AQ7" s="35"/>
      <c r="AR7" s="35"/>
      <c r="AS7" s="35"/>
      <c r="AT7" s="68">
        <v>81000.0</v>
      </c>
      <c r="AU7" s="68">
        <v>81000.0</v>
      </c>
      <c r="AV7" s="35"/>
      <c r="AW7" s="35"/>
      <c r="AX7" s="35"/>
      <c r="AY7" s="35"/>
      <c r="AZ7" s="35"/>
      <c r="BA7" s="35"/>
      <c r="BB7" s="35"/>
      <c r="BC7" s="35"/>
      <c r="BD7" s="35"/>
      <c r="BE7" s="68">
        <v>90000.0</v>
      </c>
      <c r="BF7" s="68">
        <v>90000.0</v>
      </c>
      <c r="BG7" s="35"/>
      <c r="BH7" s="35"/>
      <c r="BI7" s="35"/>
      <c r="BJ7" s="47">
        <v>900.0</v>
      </c>
      <c r="BK7" s="35"/>
      <c r="BL7" s="35"/>
      <c r="BM7" s="35" t="s">
        <v>38</v>
      </c>
      <c r="BN7" s="35"/>
      <c r="BO7" s="31" t="s">
        <v>20</v>
      </c>
      <c r="BP7" s="47">
        <v>0.0</v>
      </c>
      <c r="BQ7" s="35"/>
      <c r="BR7" s="35"/>
      <c r="BS7" s="35"/>
      <c r="BT7" s="35" t="s">
        <v>19</v>
      </c>
      <c r="BU7" s="35"/>
      <c r="BV7" s="35"/>
      <c r="BW7" s="47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 t="s">
        <v>29</v>
      </c>
      <c r="CI7" s="35" t="s">
        <v>56</v>
      </c>
      <c r="CJ7" s="35"/>
      <c r="CK7" s="35" t="s">
        <v>42</v>
      </c>
      <c r="CL7" s="35"/>
      <c r="CM7" s="35" t="s">
        <v>19</v>
      </c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1" t="s">
        <v>24</v>
      </c>
      <c r="C8" s="35" t="s">
        <v>66</v>
      </c>
      <c r="D8" s="35"/>
      <c r="E8" s="67">
        <v>100.0</v>
      </c>
      <c r="F8" s="35" t="s">
        <v>67</v>
      </c>
      <c r="G8" s="31" t="s">
        <v>46</v>
      </c>
      <c r="H8" s="35"/>
      <c r="I8" s="35"/>
      <c r="J8" s="35"/>
      <c r="K8" s="67">
        <v>10.0</v>
      </c>
      <c r="L8" s="67">
        <v>10.0</v>
      </c>
      <c r="M8" s="35"/>
      <c r="N8" s="35"/>
      <c r="O8" s="35"/>
      <c r="P8" s="35"/>
      <c r="Q8" s="47">
        <v>3.0</v>
      </c>
      <c r="R8" s="35"/>
      <c r="S8" s="31" t="s">
        <v>47</v>
      </c>
      <c r="T8" s="35"/>
      <c r="U8" s="35"/>
      <c r="V8" s="35"/>
      <c r="W8" s="35"/>
      <c r="X8" s="35"/>
      <c r="Y8" s="35" t="s">
        <v>66</v>
      </c>
      <c r="Z8" s="35" t="s">
        <v>38</v>
      </c>
      <c r="AA8" s="35"/>
      <c r="AB8" s="35"/>
      <c r="AC8" s="35"/>
      <c r="AD8" s="35"/>
      <c r="AE8" s="47">
        <v>100.0</v>
      </c>
      <c r="AF8" s="35" t="s">
        <v>66</v>
      </c>
      <c r="AG8" s="35"/>
      <c r="AH8" s="31" t="s">
        <v>48</v>
      </c>
      <c r="AI8" s="47">
        <v>1.0</v>
      </c>
      <c r="AJ8" s="31"/>
      <c r="AK8" s="35"/>
      <c r="AL8" s="35"/>
      <c r="AM8" s="35"/>
      <c r="AN8" s="35"/>
      <c r="AO8" s="35"/>
      <c r="AP8" s="35"/>
      <c r="AQ8" s="35"/>
      <c r="AR8" s="35"/>
      <c r="AS8" s="35"/>
      <c r="AT8" s="68">
        <v>1000.0</v>
      </c>
      <c r="AU8" s="68">
        <v>1000.0</v>
      </c>
      <c r="AV8" s="35"/>
      <c r="AW8" s="35"/>
      <c r="AX8" s="35"/>
      <c r="AY8" s="35"/>
      <c r="AZ8" s="35"/>
      <c r="BA8" s="35"/>
      <c r="BB8" s="35"/>
      <c r="BC8" s="35"/>
      <c r="BD8" s="35"/>
      <c r="BE8" s="68">
        <v>1000.0</v>
      </c>
      <c r="BF8" s="68">
        <v>1000.0</v>
      </c>
      <c r="BG8" s="35"/>
      <c r="BH8" s="35"/>
      <c r="BI8" s="31"/>
      <c r="BJ8" s="47">
        <v>100.0</v>
      </c>
      <c r="BK8" s="35"/>
      <c r="BL8" s="35"/>
      <c r="BM8" s="35" t="s">
        <v>38</v>
      </c>
      <c r="BN8" s="35"/>
      <c r="BO8" s="31" t="s">
        <v>23</v>
      </c>
      <c r="BP8" s="47">
        <v>0.0</v>
      </c>
      <c r="BQ8" s="35"/>
      <c r="BR8" s="35"/>
      <c r="BS8" s="35"/>
      <c r="BT8" s="35" t="s">
        <v>19</v>
      </c>
      <c r="BU8" s="35"/>
      <c r="BV8" s="35"/>
      <c r="BW8" s="47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 t="s">
        <v>17</v>
      </c>
      <c r="CI8" s="35" t="s">
        <v>50</v>
      </c>
      <c r="CJ8" s="35"/>
      <c r="CK8" s="35" t="s">
        <v>42</v>
      </c>
      <c r="CL8" s="35"/>
      <c r="CM8" s="35" t="s">
        <v>19</v>
      </c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1" t="s">
        <v>21</v>
      </c>
      <c r="C9" s="35" t="s">
        <v>66</v>
      </c>
      <c r="D9" s="35"/>
      <c r="E9" s="67">
        <v>100.0</v>
      </c>
      <c r="F9" s="35" t="s">
        <v>67</v>
      </c>
      <c r="G9" s="31" t="s">
        <v>46</v>
      </c>
      <c r="H9" s="35"/>
      <c r="I9" s="35"/>
      <c r="J9" s="35"/>
      <c r="K9" s="67">
        <v>10.0</v>
      </c>
      <c r="L9" s="67">
        <v>10.0</v>
      </c>
      <c r="M9" s="35"/>
      <c r="N9" s="35"/>
      <c r="O9" s="35"/>
      <c r="P9" s="35"/>
      <c r="Q9" s="47">
        <v>3.0</v>
      </c>
      <c r="R9" s="35"/>
      <c r="S9" s="31" t="s">
        <v>47</v>
      </c>
      <c r="T9" s="35"/>
      <c r="U9" s="35"/>
      <c r="V9" s="35"/>
      <c r="W9" s="35"/>
      <c r="X9" s="35"/>
      <c r="Y9" s="35" t="s">
        <v>66</v>
      </c>
      <c r="Z9" s="35" t="s">
        <v>38</v>
      </c>
      <c r="AA9" s="35"/>
      <c r="AB9" s="35"/>
      <c r="AC9" s="35"/>
      <c r="AD9" s="35"/>
      <c r="AE9" s="47">
        <v>100.0</v>
      </c>
      <c r="AF9" s="35" t="s">
        <v>66</v>
      </c>
      <c r="AG9" s="35"/>
      <c r="AH9" s="31" t="s">
        <v>48</v>
      </c>
      <c r="AI9" s="47">
        <v>1.0</v>
      </c>
      <c r="AJ9" s="31"/>
      <c r="AK9" s="35"/>
      <c r="AL9" s="35"/>
      <c r="AM9" s="35"/>
      <c r="AN9" s="35"/>
      <c r="AO9" s="35"/>
      <c r="AP9" s="35"/>
      <c r="AQ9" s="35"/>
      <c r="AR9" s="35"/>
      <c r="AS9" s="35"/>
      <c r="AT9" s="68">
        <v>1000.0</v>
      </c>
      <c r="AU9" s="68">
        <v>1000.0</v>
      </c>
      <c r="AV9" s="35"/>
      <c r="AW9" s="35"/>
      <c r="AX9" s="35"/>
      <c r="AY9" s="35"/>
      <c r="AZ9" s="35"/>
      <c r="BA9" s="35"/>
      <c r="BB9" s="35"/>
      <c r="BC9" s="35"/>
      <c r="BD9" s="35"/>
      <c r="BE9" s="67">
        <v>1000.0</v>
      </c>
      <c r="BF9" s="67">
        <v>1000.0</v>
      </c>
      <c r="BG9" s="35"/>
      <c r="BH9" s="35"/>
      <c r="BI9" s="31"/>
      <c r="BJ9" s="47">
        <v>100.0</v>
      </c>
      <c r="BK9" s="35"/>
      <c r="BL9" s="35"/>
      <c r="BM9" s="35" t="s">
        <v>38</v>
      </c>
      <c r="BN9" s="35"/>
      <c r="BO9" s="31" t="s">
        <v>20</v>
      </c>
      <c r="BP9" s="47">
        <v>0.0</v>
      </c>
      <c r="BQ9" s="35"/>
      <c r="BR9" s="35"/>
      <c r="BS9" s="35"/>
      <c r="BT9" s="35" t="s">
        <v>19</v>
      </c>
      <c r="BU9" s="35"/>
      <c r="BV9" s="35"/>
      <c r="BW9" s="47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 t="s">
        <v>17</v>
      </c>
      <c r="CI9" s="35" t="s">
        <v>20</v>
      </c>
      <c r="CJ9" s="35"/>
      <c r="CK9" s="35" t="s">
        <v>42</v>
      </c>
      <c r="CL9" s="35"/>
      <c r="CM9" s="35" t="s">
        <v>19</v>
      </c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35"/>
      <c r="B10" s="31" t="s">
        <v>24</v>
      </c>
      <c r="C10" s="35" t="s">
        <v>66</v>
      </c>
      <c r="D10" s="35"/>
      <c r="E10" s="67">
        <v>10.0</v>
      </c>
      <c r="F10" s="35" t="s">
        <v>67</v>
      </c>
      <c r="G10" s="31" t="s">
        <v>34</v>
      </c>
      <c r="H10" s="35"/>
      <c r="I10" s="35"/>
      <c r="J10" s="35"/>
      <c r="K10" s="67">
        <v>10.0</v>
      </c>
      <c r="L10" s="67">
        <v>10.0</v>
      </c>
      <c r="M10" s="35"/>
      <c r="N10" s="35"/>
      <c r="O10" s="35"/>
      <c r="P10" s="35"/>
      <c r="Q10" s="47">
        <v>3.0</v>
      </c>
      <c r="R10" s="35"/>
      <c r="S10" s="31" t="s">
        <v>51</v>
      </c>
      <c r="T10" s="35"/>
      <c r="U10" s="35"/>
      <c r="V10" s="35"/>
      <c r="W10" s="35"/>
      <c r="X10" s="35"/>
      <c r="Y10" s="35" t="s">
        <v>66</v>
      </c>
      <c r="Z10" s="35" t="s">
        <v>38</v>
      </c>
      <c r="AA10" s="35"/>
      <c r="AB10" s="35"/>
      <c r="AC10" s="35"/>
      <c r="AD10" s="35"/>
      <c r="AE10" s="47">
        <v>10.0</v>
      </c>
      <c r="AF10" s="35" t="s">
        <v>66</v>
      </c>
      <c r="AG10" s="35"/>
      <c r="AH10" s="31" t="s">
        <v>48</v>
      </c>
      <c r="AI10" s="47">
        <v>1.0</v>
      </c>
      <c r="AJ10" s="31"/>
      <c r="AK10" s="35"/>
      <c r="AL10" s="35"/>
      <c r="AM10" s="35"/>
      <c r="AN10" s="35"/>
      <c r="AO10" s="35"/>
      <c r="AP10" s="35"/>
      <c r="AQ10" s="35"/>
      <c r="AR10" s="35"/>
      <c r="AS10" s="35"/>
      <c r="AT10" s="68">
        <v>10000.0</v>
      </c>
      <c r="AU10" s="68">
        <v>10000.0</v>
      </c>
      <c r="AV10" s="35"/>
      <c r="AW10" s="35"/>
      <c r="AX10" s="35"/>
      <c r="AY10" s="35"/>
      <c r="AZ10" s="35"/>
      <c r="BA10" s="35"/>
      <c r="BB10" s="35"/>
      <c r="BC10" s="35"/>
      <c r="BD10" s="35"/>
      <c r="BE10" s="68">
        <v>10000.0</v>
      </c>
      <c r="BF10" s="68">
        <v>10000.0</v>
      </c>
      <c r="BG10" s="35"/>
      <c r="BH10" s="35"/>
      <c r="BI10" s="35" t="s">
        <v>53</v>
      </c>
      <c r="BJ10" s="47">
        <v>10.0</v>
      </c>
      <c r="BK10" s="35"/>
      <c r="BL10" s="35"/>
      <c r="BM10" s="35" t="s">
        <v>38</v>
      </c>
      <c r="BN10" s="35"/>
      <c r="BO10" s="31" t="s">
        <v>25</v>
      </c>
      <c r="BP10" s="47">
        <v>0.0</v>
      </c>
      <c r="BQ10" s="35"/>
      <c r="BR10" s="35"/>
      <c r="BS10" s="35"/>
      <c r="BT10" s="45" t="s">
        <v>16</v>
      </c>
      <c r="BU10" s="35"/>
      <c r="BV10" s="35"/>
      <c r="BW10" s="47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 t="s">
        <v>17</v>
      </c>
      <c r="CI10" s="35" t="s">
        <v>54</v>
      </c>
      <c r="CJ10" s="35"/>
      <c r="CK10" s="35" t="s">
        <v>42</v>
      </c>
      <c r="CL10" s="35"/>
      <c r="CM10" s="35" t="s">
        <v>19</v>
      </c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ht="15.75" customHeight="1">
      <c r="A11" s="35"/>
      <c r="B11" s="31" t="s">
        <v>24</v>
      </c>
      <c r="C11" s="35" t="s">
        <v>66</v>
      </c>
      <c r="D11" s="35"/>
      <c r="E11" s="67">
        <v>10.0</v>
      </c>
      <c r="F11" s="35" t="s">
        <v>67</v>
      </c>
      <c r="G11" s="31" t="s">
        <v>34</v>
      </c>
      <c r="H11" s="35"/>
      <c r="I11" s="35"/>
      <c r="J11" s="35"/>
      <c r="K11" s="67">
        <v>0.0</v>
      </c>
      <c r="L11" s="67">
        <v>0.0</v>
      </c>
      <c r="M11" s="35"/>
      <c r="N11" s="35"/>
      <c r="O11" s="35"/>
      <c r="P11" s="35"/>
      <c r="Q11" s="47">
        <v>3.0</v>
      </c>
      <c r="R11" s="35"/>
      <c r="S11" s="31" t="s">
        <v>51</v>
      </c>
      <c r="T11" s="35"/>
      <c r="U11" s="35"/>
      <c r="V11" s="35"/>
      <c r="W11" s="35"/>
      <c r="X11" s="35"/>
      <c r="Y11" s="35" t="s">
        <v>66</v>
      </c>
      <c r="Z11" s="35" t="s">
        <v>38</v>
      </c>
      <c r="AA11" s="35"/>
      <c r="AB11" s="35"/>
      <c r="AC11" s="35"/>
      <c r="AD11" s="35"/>
      <c r="AE11" s="47">
        <v>10.0</v>
      </c>
      <c r="AF11" s="35" t="s">
        <v>66</v>
      </c>
      <c r="AG11" s="35"/>
      <c r="AH11" s="31" t="s">
        <v>48</v>
      </c>
      <c r="AI11" s="47">
        <v>1.0</v>
      </c>
      <c r="AJ11" s="31"/>
      <c r="AK11" s="35"/>
      <c r="AL11" s="35"/>
      <c r="AM11" s="35"/>
      <c r="AN11" s="35"/>
      <c r="AO11" s="35"/>
      <c r="AP11" s="35"/>
      <c r="AQ11" s="35"/>
      <c r="AR11" s="35"/>
      <c r="AS11" s="35"/>
      <c r="AT11" s="68">
        <v>10000.0</v>
      </c>
      <c r="AU11" s="68">
        <v>10000.0</v>
      </c>
      <c r="AV11" s="35"/>
      <c r="AW11" s="35"/>
      <c r="AX11" s="35"/>
      <c r="AY11" s="35"/>
      <c r="AZ11" s="35"/>
      <c r="BA11" s="35"/>
      <c r="BB11" s="35"/>
      <c r="BC11" s="35"/>
      <c r="BD11" s="35"/>
      <c r="BE11" s="68">
        <v>0.0</v>
      </c>
      <c r="BF11" s="68">
        <v>0.0</v>
      </c>
      <c r="BG11" s="35"/>
      <c r="BH11" s="35"/>
      <c r="BI11" s="35" t="s">
        <v>53</v>
      </c>
      <c r="BJ11" s="47">
        <v>10.0</v>
      </c>
      <c r="BK11" s="35"/>
      <c r="BL11" s="35"/>
      <c r="BM11" s="35" t="s">
        <v>38</v>
      </c>
      <c r="BN11" s="35"/>
      <c r="BO11" s="31" t="s">
        <v>55</v>
      </c>
      <c r="BP11" s="47">
        <v>0.0</v>
      </c>
      <c r="BQ11" s="35"/>
      <c r="BR11" s="35"/>
      <c r="BS11" s="35"/>
      <c r="BT11" s="45" t="s">
        <v>16</v>
      </c>
      <c r="BU11" s="35"/>
      <c r="BV11" s="35"/>
      <c r="BW11" s="47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 t="s">
        <v>29</v>
      </c>
      <c r="CI11" s="35" t="s">
        <v>56</v>
      </c>
      <c r="CJ11" s="35"/>
      <c r="CK11" s="35" t="s">
        <v>42</v>
      </c>
      <c r="CL11" s="35"/>
      <c r="CM11" s="35" t="s">
        <v>19</v>
      </c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69"/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  <c r="AB13" s="69"/>
      <c r="AC13" s="69"/>
      <c r="AD13" s="69"/>
      <c r="AE13" s="69"/>
      <c r="AF13" s="69"/>
      <c r="AG13" s="69"/>
      <c r="AH13" s="69"/>
      <c r="AI13" s="69"/>
      <c r="AJ13" s="69"/>
      <c r="AK13" s="69"/>
      <c r="AL13" s="69"/>
      <c r="AM13" s="69"/>
      <c r="AN13" s="69"/>
      <c r="AO13" s="69"/>
      <c r="AP13" s="69"/>
      <c r="AQ13" s="69"/>
      <c r="AR13" s="69"/>
      <c r="AS13" s="69"/>
      <c r="AT13" s="69"/>
      <c r="AU13" s="69"/>
      <c r="AV13" s="69"/>
      <c r="AW13" s="69"/>
      <c r="AX13" s="69"/>
      <c r="AY13" s="69"/>
      <c r="AZ13" s="69"/>
      <c r="BA13" s="69"/>
      <c r="BB13" s="69"/>
      <c r="BC13" s="69"/>
      <c r="BD13" s="69"/>
      <c r="BE13" s="69"/>
      <c r="BF13" s="69"/>
      <c r="BG13" s="69"/>
      <c r="BH13" s="69"/>
      <c r="BI13" s="69"/>
      <c r="BJ13" s="69"/>
      <c r="BK13" s="69"/>
      <c r="BL13" s="69"/>
      <c r="BM13" s="69"/>
      <c r="BN13" s="69"/>
      <c r="BO13" s="69"/>
      <c r="BP13" s="69"/>
      <c r="BQ13" s="69"/>
      <c r="BR13" s="69"/>
      <c r="BS13" s="69"/>
      <c r="BT13" s="69"/>
      <c r="BU13" s="69"/>
      <c r="BV13" s="69"/>
      <c r="BW13" s="69"/>
      <c r="BX13" s="69"/>
      <c r="BY13" s="69"/>
      <c r="BZ13" s="69"/>
      <c r="CA13" s="69"/>
      <c r="CB13" s="69"/>
      <c r="CC13" s="69"/>
      <c r="CD13" s="69"/>
      <c r="CE13" s="69"/>
      <c r="CF13" s="69"/>
      <c r="CG13" s="69"/>
      <c r="CH13" s="69"/>
      <c r="CI13" s="69"/>
      <c r="CJ13" s="69"/>
      <c r="CK13" s="69"/>
      <c r="CL13" s="69"/>
      <c r="CM13" s="69"/>
      <c r="CN13" s="69"/>
      <c r="CO13" s="69"/>
      <c r="CP13" s="69"/>
      <c r="CQ13" s="69"/>
      <c r="CR13" s="69"/>
      <c r="CS13" s="69"/>
      <c r="CT13" s="69"/>
      <c r="CU13" s="69"/>
      <c r="CV13" s="69"/>
      <c r="CW13" s="69"/>
      <c r="CX13" s="69"/>
      <c r="CY13" s="69"/>
      <c r="CZ13" s="69"/>
    </row>
    <row r="14" ht="15.75" customHeight="1">
      <c r="A14" s="70"/>
      <c r="B14" s="70"/>
      <c r="C14" s="70"/>
      <c r="D14" s="70"/>
      <c r="E14" s="71"/>
      <c r="F14" s="71"/>
      <c r="G14" s="72"/>
      <c r="H14" s="71"/>
      <c r="I14" s="71"/>
      <c r="J14" s="73"/>
      <c r="K14" s="71"/>
      <c r="L14" s="73"/>
      <c r="M14" s="73"/>
      <c r="N14" s="71"/>
      <c r="O14" s="71"/>
      <c r="P14" s="71"/>
      <c r="Q14" s="71"/>
      <c r="R14" s="71"/>
      <c r="S14" s="71"/>
      <c r="T14" s="73"/>
      <c r="U14" s="73"/>
      <c r="V14" s="73"/>
      <c r="W14" s="73"/>
      <c r="X14" s="73"/>
      <c r="Y14" s="74"/>
      <c r="Z14" s="74"/>
      <c r="AA14" s="71"/>
      <c r="AB14" s="73"/>
      <c r="AC14" s="74"/>
      <c r="AD14" s="73"/>
      <c r="AE14" s="71"/>
      <c r="AF14" s="74"/>
      <c r="AG14" s="74"/>
      <c r="AH14" s="74"/>
      <c r="AI14" s="74"/>
      <c r="AJ14" s="74"/>
      <c r="AK14" s="74"/>
      <c r="AL14" s="74"/>
      <c r="AM14" s="74"/>
      <c r="AN14" s="74"/>
      <c r="AO14" s="74"/>
      <c r="AP14" s="74"/>
      <c r="AQ14" s="74"/>
      <c r="AR14" s="74"/>
      <c r="AS14" s="74"/>
      <c r="AT14" s="74"/>
      <c r="AU14" s="73"/>
      <c r="AV14" s="74"/>
      <c r="AW14" s="74"/>
      <c r="AX14" s="74"/>
      <c r="AY14" s="74"/>
      <c r="AZ14" s="73"/>
      <c r="BA14" s="73"/>
      <c r="BB14" s="73"/>
      <c r="BC14" s="71"/>
      <c r="BD14" s="73"/>
      <c r="BE14" s="73"/>
      <c r="BF14" s="73"/>
      <c r="BG14" s="74"/>
      <c r="BH14" s="74"/>
      <c r="BI14" s="74"/>
      <c r="BJ14" s="73"/>
      <c r="BK14" s="73"/>
      <c r="BL14" s="73"/>
      <c r="BM14" s="74"/>
      <c r="BN14" s="73"/>
      <c r="BO14" s="73"/>
      <c r="BP14" s="71"/>
      <c r="BQ14" s="73"/>
      <c r="BR14" s="74"/>
      <c r="BS14" s="74"/>
      <c r="BT14" s="73"/>
      <c r="BU14" s="75"/>
      <c r="BV14" s="75"/>
      <c r="BW14" s="75"/>
      <c r="BX14" s="75"/>
      <c r="BY14" s="72"/>
      <c r="BZ14" s="75"/>
      <c r="CA14" s="72"/>
      <c r="CB14" s="73"/>
      <c r="CC14" s="73"/>
      <c r="CD14" s="74"/>
      <c r="CE14" s="74"/>
      <c r="CF14" s="74"/>
      <c r="CG14" s="73"/>
      <c r="CH14" s="73"/>
      <c r="CI14" s="73"/>
      <c r="CJ14" s="73"/>
      <c r="CK14" s="71"/>
      <c r="CL14" s="71"/>
      <c r="CM14" s="74"/>
      <c r="CN14" s="73"/>
      <c r="CO14" s="71"/>
      <c r="CP14" s="73"/>
      <c r="CQ14" s="74"/>
      <c r="CR14" s="74"/>
      <c r="CS14" s="71"/>
      <c r="CT14" s="74"/>
      <c r="CU14" s="71"/>
      <c r="CV14" s="73"/>
      <c r="CW14" s="71"/>
      <c r="CX14" s="73"/>
      <c r="CY14" s="73"/>
      <c r="CZ14" s="73"/>
    </row>
    <row r="15" ht="15.75" customHeight="1">
      <c r="A15" s="70"/>
      <c r="B15" s="70"/>
      <c r="C15" s="70"/>
      <c r="D15" s="70"/>
      <c r="E15" s="71"/>
      <c r="F15" s="71"/>
      <c r="G15" s="72"/>
      <c r="H15" s="71"/>
      <c r="I15" s="71"/>
      <c r="J15" s="73"/>
      <c r="K15" s="71"/>
      <c r="L15" s="73"/>
      <c r="M15" s="73"/>
      <c r="N15" s="71"/>
      <c r="O15" s="71"/>
      <c r="P15" s="71"/>
      <c r="Q15" s="71"/>
      <c r="R15" s="71"/>
      <c r="S15" s="71"/>
      <c r="T15" s="73"/>
      <c r="U15" s="73"/>
      <c r="V15" s="73"/>
      <c r="W15" s="73"/>
      <c r="X15" s="73"/>
      <c r="Y15" s="74"/>
      <c r="Z15" s="74"/>
      <c r="AA15" s="71"/>
      <c r="AB15" s="73"/>
      <c r="AC15" s="74"/>
      <c r="AD15" s="73"/>
      <c r="AE15" s="71"/>
      <c r="AF15" s="74"/>
      <c r="AG15" s="74"/>
      <c r="AH15" s="74"/>
      <c r="AI15" s="74"/>
      <c r="AJ15" s="74"/>
      <c r="AK15" s="74"/>
      <c r="AL15" s="74"/>
      <c r="AM15" s="74"/>
      <c r="AN15" s="74"/>
      <c r="AO15" s="74"/>
      <c r="AP15" s="74"/>
      <c r="AQ15" s="74"/>
      <c r="AR15" s="74"/>
      <c r="AS15" s="74"/>
      <c r="AT15" s="74"/>
      <c r="AU15" s="73"/>
      <c r="AV15" s="74"/>
      <c r="AW15" s="74"/>
      <c r="AX15" s="74"/>
      <c r="AY15" s="74"/>
      <c r="AZ15" s="73"/>
      <c r="BA15" s="73"/>
      <c r="BB15" s="73"/>
      <c r="BC15" s="71"/>
      <c r="BD15" s="73"/>
      <c r="BE15" s="73"/>
      <c r="BF15" s="73"/>
      <c r="BG15" s="74"/>
      <c r="BH15" s="74"/>
      <c r="BI15" s="74"/>
      <c r="BJ15" s="73"/>
      <c r="BK15" s="73"/>
      <c r="BL15" s="73"/>
      <c r="BM15" s="74"/>
      <c r="BN15" s="73"/>
      <c r="BO15" s="73"/>
      <c r="BP15" s="71"/>
      <c r="BQ15" s="73"/>
      <c r="BR15" s="74"/>
      <c r="BS15" s="74"/>
      <c r="BT15" s="73"/>
      <c r="BU15" s="75"/>
      <c r="BV15" s="75"/>
      <c r="BW15" s="75"/>
      <c r="BX15" s="75"/>
      <c r="BY15" s="72"/>
      <c r="BZ15" s="75"/>
      <c r="CA15" s="72"/>
      <c r="CB15" s="73"/>
      <c r="CC15" s="73"/>
      <c r="CD15" s="74"/>
      <c r="CE15" s="74"/>
      <c r="CF15" s="74"/>
      <c r="CG15" s="73"/>
      <c r="CH15" s="73"/>
      <c r="CI15" s="73"/>
      <c r="CJ15" s="73"/>
      <c r="CK15" s="71"/>
      <c r="CL15" s="71"/>
      <c r="CM15" s="74"/>
      <c r="CN15" s="73"/>
      <c r="CO15" s="71"/>
      <c r="CP15" s="73"/>
      <c r="CQ15" s="74"/>
      <c r="CR15" s="74"/>
      <c r="CS15" s="71"/>
      <c r="CT15" s="74"/>
      <c r="CU15" s="71"/>
      <c r="CV15" s="73"/>
      <c r="CW15" s="71"/>
      <c r="CX15" s="73"/>
      <c r="CY15" s="73"/>
      <c r="CZ15" s="73"/>
    </row>
    <row r="16" ht="15.75" customHeight="1">
      <c r="A16" s="70"/>
      <c r="B16" s="70"/>
      <c r="C16" s="70"/>
      <c r="D16" s="70"/>
      <c r="E16" s="71"/>
      <c r="F16" s="71"/>
      <c r="G16" s="72"/>
      <c r="H16" s="71"/>
      <c r="I16" s="71"/>
      <c r="J16" s="73"/>
      <c r="K16" s="71"/>
      <c r="L16" s="73"/>
      <c r="M16" s="73"/>
      <c r="N16" s="71"/>
      <c r="O16" s="71"/>
      <c r="P16" s="71"/>
      <c r="Q16" s="71"/>
      <c r="R16" s="71"/>
      <c r="S16" s="71"/>
      <c r="T16" s="73"/>
      <c r="U16" s="73"/>
      <c r="V16" s="73"/>
      <c r="W16" s="73"/>
      <c r="X16" s="73"/>
      <c r="Y16" s="74"/>
      <c r="Z16" s="74"/>
      <c r="AA16" s="73"/>
      <c r="AB16" s="73"/>
      <c r="AC16" s="74"/>
      <c r="AD16" s="73"/>
      <c r="AE16" s="71"/>
      <c r="AF16" s="74"/>
      <c r="AG16" s="74"/>
      <c r="AH16" s="74"/>
      <c r="AI16" s="74"/>
      <c r="AJ16" s="74"/>
      <c r="AK16" s="74"/>
      <c r="AL16" s="74"/>
      <c r="AM16" s="74"/>
      <c r="AN16" s="74"/>
      <c r="AO16" s="74"/>
      <c r="AP16" s="74"/>
      <c r="AQ16" s="74"/>
      <c r="AR16" s="74"/>
      <c r="AS16" s="74"/>
      <c r="AT16" s="74"/>
      <c r="AU16" s="73"/>
      <c r="AV16" s="74"/>
      <c r="AW16" s="74"/>
      <c r="AX16" s="74"/>
      <c r="AY16" s="74"/>
      <c r="AZ16" s="73"/>
      <c r="BA16" s="73"/>
      <c r="BB16" s="73"/>
      <c r="BC16" s="71"/>
      <c r="BD16" s="73"/>
      <c r="BE16" s="73"/>
      <c r="BF16" s="73"/>
      <c r="BG16" s="74"/>
      <c r="BH16" s="74"/>
      <c r="BI16" s="74"/>
      <c r="BJ16" s="73"/>
      <c r="BK16" s="73"/>
      <c r="BL16" s="73"/>
      <c r="BM16" s="74"/>
      <c r="BN16" s="73"/>
      <c r="BO16" s="73"/>
      <c r="BP16" s="71"/>
      <c r="BQ16" s="73"/>
      <c r="BR16" s="74"/>
      <c r="BS16" s="74"/>
      <c r="BT16" s="73"/>
      <c r="BU16" s="75"/>
      <c r="BV16" s="75"/>
      <c r="BW16" s="75"/>
      <c r="BX16" s="75"/>
      <c r="BY16" s="72"/>
      <c r="BZ16" s="75"/>
      <c r="CA16" s="76"/>
      <c r="CB16" s="73"/>
      <c r="CC16" s="73"/>
      <c r="CD16" s="74"/>
      <c r="CE16" s="74"/>
      <c r="CF16" s="74"/>
      <c r="CG16" s="73"/>
      <c r="CH16" s="71"/>
      <c r="CI16" s="71"/>
      <c r="CJ16" s="71"/>
      <c r="CK16" s="73"/>
      <c r="CL16" s="73"/>
      <c r="CM16" s="74"/>
      <c r="CN16" s="73"/>
      <c r="CO16" s="71"/>
      <c r="CP16" s="73"/>
      <c r="CQ16" s="74"/>
      <c r="CR16" s="74"/>
      <c r="CS16" s="71"/>
      <c r="CT16" s="74"/>
      <c r="CU16" s="71"/>
      <c r="CV16" s="73"/>
      <c r="CW16" s="71"/>
      <c r="CX16" s="73"/>
      <c r="CY16" s="73"/>
      <c r="CZ16" s="73"/>
    </row>
    <row r="17" ht="15.75" customHeight="1">
      <c r="A17" s="70"/>
      <c r="B17" s="70"/>
      <c r="C17" s="74"/>
      <c r="D17" s="74"/>
      <c r="E17" s="71"/>
      <c r="F17" s="71"/>
      <c r="G17" s="72"/>
      <c r="H17" s="71"/>
      <c r="I17" s="71"/>
      <c r="J17" s="73"/>
      <c r="K17" s="71"/>
      <c r="L17" s="73"/>
      <c r="M17" s="73"/>
      <c r="N17" s="71"/>
      <c r="O17" s="71"/>
      <c r="P17" s="71"/>
      <c r="Q17" s="71"/>
      <c r="R17" s="71"/>
      <c r="S17" s="71"/>
      <c r="T17" s="73"/>
      <c r="U17" s="73"/>
      <c r="V17" s="73"/>
      <c r="W17" s="73"/>
      <c r="X17" s="73"/>
      <c r="Y17" s="74"/>
      <c r="Z17" s="74"/>
      <c r="AA17" s="73"/>
      <c r="AB17" s="73"/>
      <c r="AC17" s="74"/>
      <c r="AD17" s="73"/>
      <c r="AE17" s="71"/>
      <c r="AF17" s="74"/>
      <c r="AG17" s="74"/>
      <c r="AH17" s="74"/>
      <c r="AI17" s="74"/>
      <c r="AJ17" s="74"/>
      <c r="AK17" s="70"/>
      <c r="AL17" s="74"/>
      <c r="AM17" s="74"/>
      <c r="AN17" s="74"/>
      <c r="AO17" s="74"/>
      <c r="AP17" s="74"/>
      <c r="AQ17" s="74"/>
      <c r="AR17" s="74"/>
      <c r="AS17" s="74"/>
      <c r="AT17" s="70"/>
      <c r="AU17" s="73"/>
      <c r="AV17" s="74"/>
      <c r="AW17" s="74"/>
      <c r="AX17" s="74"/>
      <c r="AY17" s="74"/>
      <c r="AZ17" s="73"/>
      <c r="BA17" s="73"/>
      <c r="BB17" s="73"/>
      <c r="BC17" s="71"/>
      <c r="BD17" s="73"/>
      <c r="BE17" s="73"/>
      <c r="BF17" s="73"/>
      <c r="BG17" s="74"/>
      <c r="BH17" s="74"/>
      <c r="BI17" s="74"/>
      <c r="BJ17" s="73"/>
      <c r="BK17" s="73"/>
      <c r="BL17" s="73"/>
      <c r="BM17" s="74"/>
      <c r="BN17" s="71"/>
      <c r="BO17" s="73"/>
      <c r="BP17" s="71"/>
      <c r="BQ17" s="73"/>
      <c r="BR17" s="74"/>
      <c r="BS17" s="74"/>
      <c r="BT17" s="73"/>
      <c r="BU17" s="72"/>
      <c r="BV17" s="75"/>
      <c r="BW17" s="76"/>
      <c r="BX17" s="76"/>
      <c r="BY17" s="72"/>
      <c r="BZ17" s="76"/>
      <c r="CA17" s="76"/>
      <c r="CB17" s="71"/>
      <c r="CC17" s="73"/>
      <c r="CD17" s="74"/>
      <c r="CE17" s="74"/>
      <c r="CF17" s="74"/>
      <c r="CG17" s="73"/>
      <c r="CH17" s="71"/>
      <c r="CI17" s="71"/>
      <c r="CJ17" s="71"/>
      <c r="CK17" s="73"/>
      <c r="CL17" s="73"/>
      <c r="CM17" s="74"/>
      <c r="CN17" s="71"/>
      <c r="CO17" s="71"/>
      <c r="CP17" s="73"/>
      <c r="CQ17" s="74"/>
      <c r="CR17" s="74"/>
      <c r="CS17" s="71"/>
      <c r="CT17" s="74"/>
      <c r="CU17" s="71"/>
      <c r="CV17" s="73"/>
      <c r="CW17" s="71"/>
      <c r="CX17" s="73"/>
      <c r="CY17" s="73"/>
      <c r="CZ17" s="73"/>
    </row>
    <row r="18" ht="15.75" customHeight="1">
      <c r="A18" s="70"/>
      <c r="B18" s="70"/>
      <c r="C18" s="70"/>
      <c r="D18" s="70"/>
      <c r="E18" s="71"/>
      <c r="F18" s="71"/>
      <c r="G18" s="72"/>
      <c r="H18" s="71"/>
      <c r="I18" s="71"/>
      <c r="J18" s="73"/>
      <c r="K18" s="71"/>
      <c r="L18" s="73"/>
      <c r="M18" s="73"/>
      <c r="N18" s="71"/>
      <c r="O18" s="71"/>
      <c r="P18" s="71"/>
      <c r="Q18" s="71"/>
      <c r="R18" s="71"/>
      <c r="S18" s="71"/>
      <c r="T18" s="73"/>
      <c r="U18" s="73"/>
      <c r="V18" s="73"/>
      <c r="W18" s="73"/>
      <c r="X18" s="73"/>
      <c r="Y18" s="74"/>
      <c r="Z18" s="74"/>
      <c r="AA18" s="71"/>
      <c r="AB18" s="73"/>
      <c r="AC18" s="74"/>
      <c r="AD18" s="73"/>
      <c r="AE18" s="71"/>
      <c r="AF18" s="74"/>
      <c r="AG18" s="74"/>
      <c r="AH18" s="74"/>
      <c r="AI18" s="74"/>
      <c r="AJ18" s="74"/>
      <c r="AK18" s="70"/>
      <c r="AL18" s="74"/>
      <c r="AM18" s="74"/>
      <c r="AN18" s="74"/>
      <c r="AO18" s="74"/>
      <c r="AP18" s="74"/>
      <c r="AQ18" s="74"/>
      <c r="AR18" s="74"/>
      <c r="AS18" s="74"/>
      <c r="AT18" s="70"/>
      <c r="AU18" s="73"/>
      <c r="AV18" s="74"/>
      <c r="AW18" s="74"/>
      <c r="AX18" s="74"/>
      <c r="AY18" s="74"/>
      <c r="AZ18" s="73"/>
      <c r="BA18" s="73"/>
      <c r="BB18" s="73"/>
      <c r="BC18" s="71"/>
      <c r="BD18" s="73"/>
      <c r="BE18" s="71"/>
      <c r="BF18" s="73"/>
      <c r="BG18" s="74"/>
      <c r="BH18" s="74"/>
      <c r="BI18" s="74"/>
      <c r="BJ18" s="73"/>
      <c r="BK18" s="73"/>
      <c r="BL18" s="73"/>
      <c r="BM18" s="74"/>
      <c r="BN18" s="73"/>
      <c r="BO18" s="73"/>
      <c r="BP18" s="71"/>
      <c r="BQ18" s="73"/>
      <c r="BR18" s="74"/>
      <c r="BS18" s="74"/>
      <c r="BT18" s="73"/>
      <c r="BU18" s="76"/>
      <c r="BV18" s="76"/>
      <c r="BW18" s="76"/>
      <c r="BX18" s="76"/>
      <c r="BY18" s="72"/>
      <c r="BZ18" s="76"/>
      <c r="CA18" s="75"/>
      <c r="CB18" s="71"/>
      <c r="CC18" s="73"/>
      <c r="CD18" s="74"/>
      <c r="CE18" s="74"/>
      <c r="CF18" s="74"/>
      <c r="CG18" s="73"/>
      <c r="CH18" s="73"/>
      <c r="CI18" s="73"/>
      <c r="CJ18" s="73"/>
      <c r="CK18" s="71"/>
      <c r="CL18" s="71"/>
      <c r="CM18" s="74"/>
      <c r="CN18" s="71"/>
      <c r="CO18" s="71"/>
      <c r="CP18" s="73"/>
      <c r="CQ18" s="74"/>
      <c r="CR18" s="74"/>
      <c r="CS18" s="71"/>
      <c r="CT18" s="74"/>
      <c r="CU18" s="71"/>
      <c r="CV18" s="73"/>
      <c r="CW18" s="71"/>
      <c r="CX18" s="73"/>
      <c r="CY18" s="73"/>
      <c r="CZ18" s="73"/>
    </row>
    <row r="19" ht="15.75" customHeight="1">
      <c r="A19" s="70"/>
      <c r="B19" s="70"/>
      <c r="C19" s="70"/>
      <c r="D19" s="70"/>
      <c r="E19" s="71"/>
      <c r="F19" s="71"/>
      <c r="G19" s="72"/>
      <c r="H19" s="71"/>
      <c r="I19" s="71"/>
      <c r="J19" s="73"/>
      <c r="K19" s="71"/>
      <c r="L19" s="73"/>
      <c r="M19" s="73"/>
      <c r="N19" s="71"/>
      <c r="O19" s="71"/>
      <c r="P19" s="71"/>
      <c r="Q19" s="71"/>
      <c r="R19" s="71"/>
      <c r="S19" s="71"/>
      <c r="T19" s="73"/>
      <c r="U19" s="73"/>
      <c r="V19" s="73"/>
      <c r="W19" s="73"/>
      <c r="X19" s="73"/>
      <c r="Y19" s="74"/>
      <c r="Z19" s="74"/>
      <c r="AA19" s="71"/>
      <c r="AB19" s="73"/>
      <c r="AC19" s="74"/>
      <c r="AD19" s="73"/>
      <c r="AE19" s="71"/>
      <c r="AF19" s="74"/>
      <c r="AG19" s="74"/>
      <c r="AH19" s="74"/>
      <c r="AI19" s="74"/>
      <c r="AJ19" s="74"/>
      <c r="AK19" s="70"/>
      <c r="AL19" s="74"/>
      <c r="AM19" s="74"/>
      <c r="AN19" s="74"/>
      <c r="AO19" s="74"/>
      <c r="AP19" s="74"/>
      <c r="AQ19" s="74"/>
      <c r="AR19" s="74"/>
      <c r="AS19" s="74"/>
      <c r="AT19" s="70"/>
      <c r="AU19" s="73"/>
      <c r="AV19" s="74"/>
      <c r="AW19" s="74"/>
      <c r="AX19" s="74"/>
      <c r="AY19" s="74"/>
      <c r="AZ19" s="73"/>
      <c r="BA19" s="73"/>
      <c r="BB19" s="73"/>
      <c r="BC19" s="71"/>
      <c r="BD19" s="73"/>
      <c r="BE19" s="71"/>
      <c r="BF19" s="73"/>
      <c r="BG19" s="74"/>
      <c r="BH19" s="74"/>
      <c r="BI19" s="74"/>
      <c r="BJ19" s="73"/>
      <c r="BK19" s="73"/>
      <c r="BL19" s="73"/>
      <c r="BM19" s="74"/>
      <c r="BN19" s="73"/>
      <c r="BO19" s="73"/>
      <c r="BP19" s="71"/>
      <c r="BQ19" s="73"/>
      <c r="BR19" s="74"/>
      <c r="BS19" s="74"/>
      <c r="BT19" s="73"/>
      <c r="BU19" s="76"/>
      <c r="BV19" s="76"/>
      <c r="BW19" s="76"/>
      <c r="BX19" s="76"/>
      <c r="BY19" s="72"/>
      <c r="BZ19" s="76"/>
      <c r="CA19" s="75"/>
      <c r="CB19" s="71"/>
      <c r="CC19" s="73"/>
      <c r="CD19" s="74"/>
      <c r="CE19" s="74"/>
      <c r="CF19" s="74"/>
      <c r="CG19" s="73"/>
      <c r="CH19" s="73"/>
      <c r="CI19" s="73"/>
      <c r="CJ19" s="73"/>
      <c r="CK19" s="71"/>
      <c r="CL19" s="71"/>
      <c r="CM19" s="74"/>
      <c r="CN19" s="71"/>
      <c r="CO19" s="71"/>
      <c r="CP19" s="73"/>
      <c r="CQ19" s="74"/>
      <c r="CR19" s="74"/>
      <c r="CS19" s="71"/>
      <c r="CT19" s="74"/>
      <c r="CU19" s="71"/>
      <c r="CV19" s="73"/>
      <c r="CW19" s="71"/>
      <c r="CX19" s="73"/>
      <c r="CY19" s="73"/>
      <c r="CZ19" s="73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59</v>
      </c>
      <c r="D3" s="5" t="s">
        <v>9</v>
      </c>
      <c r="E3" s="23" t="s">
        <v>60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/>
      <c r="FK5" s="30"/>
      <c r="FL5" s="30"/>
      <c r="FM5" s="30"/>
      <c r="FN5" s="30"/>
      <c r="FO5" s="30"/>
      <c r="FP5" s="30"/>
      <c r="FQ5" s="30"/>
      <c r="FR5" s="30"/>
    </row>
    <row r="6" ht="15.75" customHeight="1">
      <c r="A6" s="32"/>
      <c r="B6" s="32"/>
      <c r="C6" s="35" t="s">
        <v>19</v>
      </c>
      <c r="D6" s="67">
        <v>100.0</v>
      </c>
      <c r="E6" s="35" t="s">
        <v>21</v>
      </c>
      <c r="F6" s="35" t="s">
        <v>61</v>
      </c>
      <c r="G6" s="47">
        <v>10.0</v>
      </c>
      <c r="H6" s="35" t="s">
        <v>37</v>
      </c>
      <c r="I6" s="35"/>
      <c r="J6" s="35"/>
      <c r="K6" s="35"/>
      <c r="L6" s="35"/>
      <c r="M6" s="35"/>
      <c r="N6" s="47">
        <v>-4000.0</v>
      </c>
      <c r="O6" s="35"/>
      <c r="P6" s="35"/>
      <c r="Q6" s="35"/>
      <c r="R6" s="35"/>
      <c r="S6" s="35"/>
      <c r="T6" s="35"/>
      <c r="U6" s="35" t="s">
        <v>42</v>
      </c>
      <c r="V6" s="35"/>
      <c r="W6" s="35" t="s">
        <v>38</v>
      </c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 t="s">
        <v>20</v>
      </c>
      <c r="AO6" s="35"/>
      <c r="AP6" s="35" t="s">
        <v>37</v>
      </c>
      <c r="AQ6" s="35" t="s">
        <v>19</v>
      </c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 t="s">
        <v>46</v>
      </c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47">
        <v>10.0</v>
      </c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 t="s">
        <v>20</v>
      </c>
      <c r="DK6" s="35"/>
      <c r="DL6" s="35"/>
      <c r="DM6" s="35"/>
      <c r="DN6" s="35"/>
      <c r="DO6" s="35"/>
      <c r="DP6" s="35" t="s">
        <v>37</v>
      </c>
      <c r="DQ6" s="35"/>
      <c r="DR6" s="35"/>
      <c r="DS6" s="35"/>
      <c r="DT6" s="35"/>
      <c r="DU6" s="35"/>
      <c r="DV6" s="35"/>
      <c r="DW6" s="35" t="s">
        <v>68</v>
      </c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 t="s">
        <v>37</v>
      </c>
      <c r="EM6" s="35"/>
      <c r="EN6" s="35"/>
      <c r="EO6" s="35"/>
      <c r="EP6" s="35"/>
      <c r="EQ6" s="35"/>
      <c r="ER6" s="35"/>
      <c r="ES6" s="35"/>
      <c r="ET6" s="35"/>
      <c r="EU6" s="35"/>
      <c r="EV6" s="35" t="s">
        <v>37</v>
      </c>
      <c r="EW6" s="35"/>
      <c r="EX6" s="35"/>
      <c r="EY6" s="35"/>
      <c r="EZ6" s="35"/>
      <c r="FA6" s="35" t="s">
        <v>66</v>
      </c>
      <c r="FB6" s="35" t="s">
        <v>66</v>
      </c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  <c r="FR6" s="35"/>
    </row>
    <row r="7" ht="15.75" customHeight="1">
      <c r="A7" s="35"/>
      <c r="B7" s="35"/>
      <c r="C7" s="35" t="s">
        <v>19</v>
      </c>
      <c r="D7" s="47">
        <v>100.0</v>
      </c>
      <c r="E7" s="35" t="s">
        <v>24</v>
      </c>
      <c r="F7" s="35" t="s">
        <v>62</v>
      </c>
      <c r="G7" s="47">
        <v>100.0</v>
      </c>
      <c r="H7" s="35" t="s">
        <v>37</v>
      </c>
      <c r="I7" s="35"/>
      <c r="J7" s="35"/>
      <c r="K7" s="35"/>
      <c r="L7" s="35"/>
      <c r="M7" s="35"/>
      <c r="N7" s="47">
        <v>-4000.0</v>
      </c>
      <c r="O7" s="35"/>
      <c r="P7" s="35"/>
      <c r="Q7" s="35"/>
      <c r="R7" s="35"/>
      <c r="S7" s="35"/>
      <c r="T7" s="35"/>
      <c r="U7" s="35" t="s">
        <v>42</v>
      </c>
      <c r="V7" s="35"/>
      <c r="W7" s="35" t="s">
        <v>38</v>
      </c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 t="s">
        <v>55</v>
      </c>
      <c r="AO7" s="35"/>
      <c r="AP7" s="35" t="s">
        <v>40</v>
      </c>
      <c r="AQ7" s="35" t="s">
        <v>19</v>
      </c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 t="s">
        <v>46</v>
      </c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47">
        <v>100.0</v>
      </c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 t="s">
        <v>56</v>
      </c>
      <c r="DK7" s="35"/>
      <c r="DL7" s="35"/>
      <c r="DM7" s="35"/>
      <c r="DN7" s="35"/>
      <c r="DO7" s="35"/>
      <c r="DP7" s="35" t="s">
        <v>40</v>
      </c>
      <c r="DQ7" s="35"/>
      <c r="DR7" s="35"/>
      <c r="DS7" s="35"/>
      <c r="DT7" s="35"/>
      <c r="DU7" s="35"/>
      <c r="DV7" s="35"/>
      <c r="DW7" s="35" t="s">
        <v>68</v>
      </c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 t="s">
        <v>37</v>
      </c>
      <c r="EM7" s="35"/>
      <c r="EN7" s="35"/>
      <c r="EO7" s="35"/>
      <c r="EP7" s="35"/>
      <c r="EQ7" s="35"/>
      <c r="ER7" s="35"/>
      <c r="ES7" s="35"/>
      <c r="ET7" s="35"/>
      <c r="EU7" s="35"/>
      <c r="EV7" s="35" t="s">
        <v>37</v>
      </c>
      <c r="EW7" s="35"/>
      <c r="EX7" s="35"/>
      <c r="EY7" s="35"/>
      <c r="EZ7" s="35"/>
      <c r="FA7" s="35" t="s">
        <v>66</v>
      </c>
      <c r="FB7" s="35" t="s">
        <v>66</v>
      </c>
      <c r="FC7" s="35"/>
      <c r="FD7" s="35"/>
      <c r="FE7" s="35"/>
      <c r="FF7" s="35"/>
      <c r="FG7" s="35"/>
      <c r="FH7" s="35"/>
      <c r="FI7" s="35"/>
      <c r="FJ7" s="35"/>
      <c r="FK7" s="35"/>
      <c r="FL7" s="35"/>
      <c r="FM7" s="35"/>
      <c r="FN7" s="35"/>
      <c r="FO7" s="35"/>
      <c r="FP7" s="35"/>
      <c r="FQ7" s="35"/>
      <c r="FR7" s="35"/>
    </row>
    <row r="8" ht="15.75" customHeight="1">
      <c r="A8" s="35"/>
      <c r="B8" s="35"/>
      <c r="C8" s="35" t="s">
        <v>19</v>
      </c>
      <c r="D8" s="47">
        <v>900.0</v>
      </c>
      <c r="E8" s="35" t="s">
        <v>24</v>
      </c>
      <c r="F8" s="35" t="s">
        <v>62</v>
      </c>
      <c r="G8" s="47">
        <v>100.0</v>
      </c>
      <c r="H8" s="35" t="s">
        <v>37</v>
      </c>
      <c r="I8" s="35"/>
      <c r="J8" s="35"/>
      <c r="K8" s="35"/>
      <c r="L8" s="35"/>
      <c r="M8" s="35"/>
      <c r="N8" s="47">
        <v>-36000.0</v>
      </c>
      <c r="O8" s="35"/>
      <c r="P8" s="35"/>
      <c r="Q8" s="35"/>
      <c r="R8" s="35"/>
      <c r="S8" s="35"/>
      <c r="T8" s="35"/>
      <c r="U8" s="35" t="s">
        <v>42</v>
      </c>
      <c r="V8" s="35"/>
      <c r="W8" s="35" t="s">
        <v>38</v>
      </c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 t="s">
        <v>20</v>
      </c>
      <c r="AO8" s="35"/>
      <c r="AP8" s="35" t="s">
        <v>37</v>
      </c>
      <c r="AQ8" s="35" t="s">
        <v>19</v>
      </c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 t="s">
        <v>46</v>
      </c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47">
        <v>100.0</v>
      </c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 t="s">
        <v>56</v>
      </c>
      <c r="DK8" s="35"/>
      <c r="DL8" s="35"/>
      <c r="DM8" s="35"/>
      <c r="DN8" s="35"/>
      <c r="DO8" s="35"/>
      <c r="DP8" s="35" t="s">
        <v>37</v>
      </c>
      <c r="DQ8" s="35"/>
      <c r="DR8" s="35"/>
      <c r="DS8" s="35"/>
      <c r="DT8" s="35"/>
      <c r="DU8" s="35"/>
      <c r="DV8" s="35"/>
      <c r="DW8" s="35" t="s">
        <v>68</v>
      </c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 t="s">
        <v>37</v>
      </c>
      <c r="EM8" s="35"/>
      <c r="EN8" s="35"/>
      <c r="EO8" s="35"/>
      <c r="EP8" s="35"/>
      <c r="EQ8" s="35"/>
      <c r="ER8" s="35"/>
      <c r="ES8" s="35"/>
      <c r="ET8" s="35"/>
      <c r="EU8" s="35"/>
      <c r="EV8" s="35" t="s">
        <v>37</v>
      </c>
      <c r="EW8" s="35"/>
      <c r="EX8" s="35"/>
      <c r="EY8" s="35"/>
      <c r="EZ8" s="35"/>
      <c r="FA8" s="35" t="s">
        <v>66</v>
      </c>
      <c r="FB8" s="35" t="s">
        <v>66</v>
      </c>
      <c r="FC8" s="35"/>
      <c r="FD8" s="35"/>
      <c r="FE8" s="35"/>
      <c r="FF8" s="35"/>
      <c r="FG8" s="35"/>
      <c r="FH8" s="35"/>
      <c r="FI8" s="35"/>
      <c r="FJ8" s="35"/>
      <c r="FK8" s="35"/>
      <c r="FL8" s="35"/>
      <c r="FM8" s="35"/>
      <c r="FN8" s="35"/>
      <c r="FO8" s="35"/>
      <c r="FP8" s="35"/>
      <c r="FQ8" s="35"/>
      <c r="FR8" s="35"/>
    </row>
    <row r="9" ht="15.75" customHeight="1">
      <c r="A9" s="35"/>
      <c r="B9" s="35"/>
      <c r="C9" s="35" t="s">
        <v>19</v>
      </c>
      <c r="D9" s="47">
        <v>-100.0</v>
      </c>
      <c r="E9" s="35" t="s">
        <v>24</v>
      </c>
      <c r="F9" s="35" t="s">
        <v>62</v>
      </c>
      <c r="G9" s="47">
        <v>10.0</v>
      </c>
      <c r="H9" s="35" t="s">
        <v>37</v>
      </c>
      <c r="I9" s="35"/>
      <c r="J9" s="35"/>
      <c r="K9" s="35"/>
      <c r="L9" s="35"/>
      <c r="M9" s="35"/>
      <c r="N9" s="47">
        <v>4000.0</v>
      </c>
      <c r="O9" s="35"/>
      <c r="P9" s="35"/>
      <c r="Q9" s="35"/>
      <c r="R9" s="35"/>
      <c r="S9" s="35"/>
      <c r="T9" s="35"/>
      <c r="U9" s="35" t="s">
        <v>42</v>
      </c>
      <c r="V9" s="35"/>
      <c r="W9" s="35" t="s">
        <v>38</v>
      </c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 t="s">
        <v>23</v>
      </c>
      <c r="AO9" s="35"/>
      <c r="AP9" s="35" t="s">
        <v>40</v>
      </c>
      <c r="AQ9" s="35" t="s">
        <v>19</v>
      </c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 t="s">
        <v>46</v>
      </c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47">
        <v>10.0</v>
      </c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 t="s">
        <v>23</v>
      </c>
      <c r="DK9" s="35"/>
      <c r="DL9" s="35"/>
      <c r="DM9" s="35"/>
      <c r="DN9" s="35"/>
      <c r="DO9" s="35"/>
      <c r="DP9" s="35" t="s">
        <v>40</v>
      </c>
      <c r="DQ9" s="35"/>
      <c r="DR9" s="35"/>
      <c r="DS9" s="35"/>
      <c r="DT9" s="35"/>
      <c r="DU9" s="35"/>
      <c r="DV9" s="35"/>
      <c r="DW9" s="35" t="s">
        <v>68</v>
      </c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 t="s">
        <v>37</v>
      </c>
      <c r="EM9" s="35"/>
      <c r="EN9" s="35"/>
      <c r="EO9" s="35"/>
      <c r="EP9" s="35"/>
      <c r="EQ9" s="35"/>
      <c r="ER9" s="35"/>
      <c r="ES9" s="35"/>
      <c r="ET9" s="35"/>
      <c r="EU9" s="35"/>
      <c r="EV9" s="35" t="s">
        <v>37</v>
      </c>
      <c r="EW9" s="35"/>
      <c r="EX9" s="35"/>
      <c r="EY9" s="35"/>
      <c r="EZ9" s="35"/>
      <c r="FA9" s="35" t="s">
        <v>66</v>
      </c>
      <c r="FB9" s="35" t="s">
        <v>66</v>
      </c>
      <c r="FC9" s="35"/>
      <c r="FD9" s="35"/>
      <c r="FE9" s="35"/>
      <c r="FF9" s="35"/>
      <c r="FG9" s="35"/>
      <c r="FH9" s="35"/>
      <c r="FI9" s="35"/>
      <c r="FJ9" s="35"/>
      <c r="FK9" s="35"/>
      <c r="FL9" s="35"/>
      <c r="FM9" s="35"/>
      <c r="FN9" s="35"/>
      <c r="FO9" s="35"/>
      <c r="FP9" s="35"/>
      <c r="FQ9" s="35"/>
      <c r="FR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69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IFERROR(__xludf.DUMMYFUNCTION("""COMPUTED_VALUE"""),"SelectAccountWiseAsset")</f>
        <v>SelectAccountWiseAsset</v>
      </c>
      <c r="AN4" s="26" t="str">
        <f>IFERROR(__xludf.DUMMYFUNCTION("""COMPUTED_VALUE"""),"VerifyCTData")</f>
        <v>VerifyCTData</v>
      </c>
      <c r="AO4" s="26" t="str">
        <f>IFERROR(__xludf.DUMMYFUNCTION("""COMPUTED_VALUE"""),"ExerciseAssignmentWithOutSave")</f>
        <v>ExerciseAssignmentWithOutSave</v>
      </c>
      <c r="AP4" s="26" t="str">
        <f>IFERROR(__xludf.DUMMYFUNCTION("""COMPUTED_VALUE"""),"SaveCTData")</f>
        <v>SaveCTData</v>
      </c>
      <c r="AQ4" s="26" t="str">
        <f>IFERROR(__xludf.DUMMYFUNCTION("""COMPUTED_VALUE"""),"FilterLongPositionGrid")</f>
        <v>FilterLongPositionGrid</v>
      </c>
      <c r="AR4" s="26" t="str">
        <f>IFERROR(__xludf.DUMMYFUNCTION("""COMPUTED_VALUE"""),"FilterShortPositionGrid")</f>
        <v>FilterShortPositionGrid</v>
      </c>
      <c r="AS4" s="26" t="str">
        <f>IFERROR(__xludf.DUMMYFUNCTION("""COMPUTED_VALUE"""),"FilterClosingGrid")</f>
        <v>FilterClosingGrid</v>
      </c>
      <c r="AT4" s="26" t="str">
        <f>IFERROR(__xludf.DUMMYFUNCTION("""COMPUTED_VALUE"""),"FilterUnexpiredGrid")</f>
        <v>FilterUnexpiredGrid</v>
      </c>
      <c r="AU4" s="26" t="str">
        <f>IFERROR(__xludf.DUMMYFUNCTION("""COMPUTED_VALUE"""),"FilterExpiredGrid")</f>
        <v>FilterExpiredGrid</v>
      </c>
      <c r="AV4" s="26" t="str">
        <f>IFERROR(__xludf.DUMMYFUNCTION("""COMPUTED_VALUE"""),"UnwindAllClosingData")</f>
        <v>UnwindAllClosingData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/>
      <c r="C6" s="34"/>
      <c r="D6" s="32"/>
      <c r="E6" s="77" t="b">
        <v>1</v>
      </c>
      <c r="F6" s="34"/>
      <c r="G6" s="34"/>
      <c r="H6" s="34"/>
      <c r="I6" s="34"/>
      <c r="J6" s="77" t="b">
        <v>1</v>
      </c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SetClosingPreference!$4:$4</formula1>
    </dataValidation>
  </dataValidations>
  <drawing r:id="rId1"/>
</worksheet>
</file>