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SelectUnallocatedGroup" sheetId="5" r:id="rId7"/>
    <sheet state="visible" name="EnterAccountValuesToAllocate" sheetId="6" r:id="rId8"/>
    <sheet state="visible" name="SelectAllocatedGroup" sheetId="7" r:id="rId9"/>
    <sheet state="visible" name="EnterAccountValuesToAllocate1" sheetId="8" r:id="rId10"/>
    <sheet state="visible" name="SelectAllocatedGroup1" sheetId="9" r:id="rId11"/>
    <sheet state="visible" name="EnterAccountValuesToAllocate2" sheetId="10" r:id="rId12"/>
    <sheet state="visible" name="EnterStrategyValuesToAllocate" sheetId="11" r:id="rId13"/>
    <sheet state="visible" name="SelectUnallocatedGroup1" sheetId="12" r:id="rId14"/>
    <sheet state="visible" name="EnterAccountValuesToAllocate3" sheetId="13" r:id="rId15"/>
    <sheet state="visible" name="CheckAllocatedTaxlots" sheetId="14" r:id="rId16"/>
  </sheets>
  <definedNames/>
  <calcPr/>
</workbook>
</file>

<file path=xl/sharedStrings.xml><?xml version="1.0" encoding="utf-8"?>
<sst xmlns="http://schemas.openxmlformats.org/spreadsheetml/2006/main" count="181" uniqueCount="40">
  <si>
    <t>Modules Info</t>
  </si>
  <si>
    <t>Modules</t>
  </si>
  <si>
    <t>Settings</t>
  </si>
  <si>
    <t>Module Step Setting File</t>
  </si>
  <si>
    <t>1u6VmP5dKX2kI_ueCJIgCzs4uQx02ea0rMmwHyEmIAAM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</si>
  <si>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</si>
  <si>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</si>
  <si>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</si>
  <si>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</si>
  <si>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</si>
  <si>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</si>
  <si>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</si>
  <si>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</si>
  <si>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</si>
  <si>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</si>
  <si>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</si>
  <si>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MSFT</t>
  </si>
  <si>
    <t>Buy</t>
  </si>
  <si>
    <t>Unallocated</t>
  </si>
  <si>
    <t>AAPL</t>
  </si>
  <si>
    <t>Allocation1</t>
  </si>
  <si>
    <t>IBM</t>
  </si>
  <si>
    <t>GOOG</t>
  </si>
  <si>
    <t>Sell</t>
  </si>
  <si>
    <t>Allocation</t>
  </si>
  <si>
    <t>SelectUnallocatedGroup</t>
  </si>
  <si>
    <t>EnterAccountValuesToAllocate</t>
  </si>
  <si>
    <t>Allocation2</t>
  </si>
  <si>
    <t>Allocation3</t>
  </si>
  <si>
    <t>SelectAllocatedGroup</t>
  </si>
  <si>
    <t>EnterStrategyValuesToAllocate</t>
  </si>
  <si>
    <t>S1</t>
  </si>
  <si>
    <t>S2</t>
  </si>
  <si>
    <t>Long</t>
  </si>
  <si>
    <t>Short</t>
  </si>
  <si>
    <t>CheckAllocatedTaxlots</t>
  </si>
  <si>
    <t>M</t>
  </si>
  <si>
    <t>USD</t>
  </si>
  <si>
    <t>Strategy Unallocated</t>
  </si>
  <si>
    <t>Open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</si>
</sst>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readingOrder="0" vertical="bottom"/>
    </xf>
    <xf borderId="0" fillId="0" fontId="5" numFmtId="0" xfId="0" applyAlignment="1" applyFont="1">
      <alignment readingOrder="0" vertical="bottom"/>
    </xf>
    <xf borderId="0" fillId="0" fontId="5" numFmtId="4" xfId="0" applyAlignment="1" applyFont="1" applyNumberForma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4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4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4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4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4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4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4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IFERROR(__xludf.DUMMYFUNCTION("""COMPUTED_VALUE"""),"PTT")</f>
        <v>PTT</v>
      </c>
      <c r="B788" t="str">
        <f>IFERROR(__xludf.DUMMYFUNCTION("""COMPUTED_VALUE"""),"OperationsonPTT")</f>
        <v>OperationsonPTT</v>
      </c>
      <c r="C788" t="str">
        <f>IFERROR(__xludf.DUMMYFUNCTION("""COMPUTED_VALUE"""),"1J40rCXEDilLEF_x0Wkeeg1lwGfejucV1VSY9UcyeSlw")</f>
        <v>1J40rCXEDilLEF_x0Wkeeg1lwGfejucV1VSY9UcyeSlw</v>
      </c>
    </row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 t="str">
        <f>IFERROR(__xludf.DUMMYFUNCTION("""COMPUTED_VALUE"""),"DoneAwayClickOnNO")</f>
        <v>DoneAwayClickOnNO</v>
      </c>
      <c r="BF5" s="30" t="str">
        <f>IFERROR(__xludf.DUMMYFUNCTION("""COMPUTED_VALUE"""),"HotbuttonQty")</f>
        <v>HotbuttonQty</v>
      </c>
      <c r="BG5" s="30" t="str">
        <f>IFERROR(__xludf.DUMMYFUNCTION("""COMPUTED_VALUE"""),"HotButtonPrice")</f>
        <v>HotButtonPrice</v>
      </c>
      <c r="BH5" s="30" t="str">
        <f>IFERROR(__xludf.DUMMYFUNCTION("""COMPUTED_VALUE"""),"HotButtonLimit")</f>
        <v>HotButtonLimit</v>
      </c>
      <c r="BI5" s="30" t="str">
        <f>IFERROR(__xludf.DUMMYFUNCTION("""COMPUTED_VALUE"""),"HotButtonStop")</f>
        <v>HotButtonStop</v>
      </c>
      <c r="BJ5" s="30" t="str">
        <f>IFERROR(__xludf.DUMMYFUNCTION("""COMPUTED_VALUE"""),"Broker PadLock")</f>
        <v>Broker PadLock</v>
      </c>
      <c r="BK5" s="30" t="str">
        <f>IFERROR(__xludf.DUMMYFUNCTION("""COMPUTED_VALUE"""),"TradeBy")</f>
        <v>TradeBy</v>
      </c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500.0</v>
      </c>
      <c r="E6" s="31"/>
      <c r="F6" s="32" t="s">
        <v>18</v>
      </c>
      <c r="G6" s="8"/>
      <c r="H6" s="8"/>
      <c r="I6" s="8"/>
      <c r="J6" s="13">
        <v>12.0</v>
      </c>
      <c r="K6" s="8"/>
      <c r="L6" s="8"/>
      <c r="M6" s="8"/>
      <c r="N6" s="8"/>
      <c r="O6" s="8"/>
    </row>
    <row r="7" ht="15.75" customHeight="1">
      <c r="A7" s="8"/>
      <c r="B7" s="13" t="s">
        <v>19</v>
      </c>
      <c r="C7" s="13" t="s">
        <v>17</v>
      </c>
      <c r="D7" s="13">
        <v>500.0</v>
      </c>
      <c r="E7" s="31"/>
      <c r="F7" s="32" t="s">
        <v>20</v>
      </c>
      <c r="G7" s="8"/>
      <c r="H7" s="8"/>
      <c r="I7" s="8"/>
      <c r="J7" s="13">
        <v>12.0</v>
      </c>
      <c r="K7" s="8"/>
      <c r="L7" s="8"/>
      <c r="M7" s="8"/>
      <c r="N7" s="8"/>
      <c r="O7" s="8"/>
    </row>
    <row r="8" ht="15.75" customHeight="1">
      <c r="A8" s="8"/>
      <c r="B8" s="13" t="s">
        <v>21</v>
      </c>
      <c r="C8" s="13" t="s">
        <v>17</v>
      </c>
      <c r="D8" s="13">
        <v>256.0</v>
      </c>
      <c r="E8" s="31"/>
      <c r="F8" s="32" t="s">
        <v>20</v>
      </c>
      <c r="G8" s="8"/>
      <c r="H8" s="8"/>
      <c r="I8" s="8"/>
      <c r="J8" s="13">
        <v>12.0</v>
      </c>
      <c r="K8" s="8"/>
      <c r="L8" s="8"/>
      <c r="M8" s="8"/>
      <c r="N8" s="8"/>
      <c r="O8" s="8"/>
    </row>
    <row r="9" ht="15.75" customHeight="1">
      <c r="A9" s="8"/>
      <c r="B9" s="13" t="s">
        <v>22</v>
      </c>
      <c r="C9" s="13" t="s">
        <v>23</v>
      </c>
      <c r="D9" s="13">
        <v>500.0</v>
      </c>
      <c r="E9" s="31"/>
      <c r="F9" s="32" t="s">
        <v>18</v>
      </c>
      <c r="G9" s="8"/>
      <c r="H9" s="8"/>
      <c r="I9" s="8"/>
      <c r="J9" s="13">
        <v>12.0</v>
      </c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1-RJhOo2E5PhyqaiMEjsPi8RpfYBuiSqE9fj_-bRpkKw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IFERROR(__xludf.DUMMYFUNCTION("""COMPUTED_VALUE"""),"Trade Date")</f>
        <v>Trade Date</v>
      </c>
      <c r="G5" s="28" t="str">
        <f>IFERROR(__xludf.DUMMYFUNCTION("""COMPUTED_VALUE"""),"Net Amount( Local)")</f>
        <v>Net Amount( Local)</v>
      </c>
      <c r="H5" s="28" t="str">
        <f>IFERROR(__xludf.DUMMYFUNCTION("""COMPUTED_VALUE"""),"Net Amount( Base)")</f>
        <v>Net Amount( Base)</v>
      </c>
      <c r="I5" s="28" t="str">
        <f>IFERROR(__xludf.DUMMYFUNCTION("""COMPUTED_VALUE"""),"Principal Amount( Local)")</f>
        <v>Principal Amount( Local)</v>
      </c>
      <c r="J5" s="28" t="str">
        <f>IFERROR(__xludf.DUMMYFUNCTION("""COMPUTED_VALUE"""),"Transaction Type")</f>
        <v>Transaction Type</v>
      </c>
      <c r="K5" s="28" t="str">
        <f>IFERROR(__xludf.DUMMYFUNCTION("""COMPUTED_VALUE"""),"Principal Amount( Base)")</f>
        <v>Principal Amount( Base)</v>
      </c>
      <c r="L5" s="28" t="str">
        <f>IFERROR(__xludf.DUMMYFUNCTION("""COMPUTED_VALUE"""),"Execution Time")</f>
        <v>Execution Time</v>
      </c>
      <c r="M5" s="28" t="str">
        <f>IFERROR(__xludf.DUMMYFUNCTION("""COMPUTED_VALUE"""),"Trading Account")</f>
        <v>Trading Account</v>
      </c>
      <c r="N5" s="28" t="str">
        <f>IFERROR(__xludf.DUMMYFUNCTION("""COMPUTED_VALUE"""),"Avg Price(Local)")</f>
        <v>Avg Price(Local)</v>
      </c>
      <c r="O5" s="28" t="str">
        <f>IFERROR(__xludf.DUMMYFUNCTION("""COMPUTED_VALUE"""),"Avg Price(Base)")</f>
        <v>Avg Price(Base)</v>
      </c>
      <c r="P5" s="28" t="str">
        <f>IFERROR(__xludf.DUMMYFUNCTION("""COMPUTED_VALUE"""),"Broker")</f>
        <v>Broker</v>
      </c>
      <c r="Q5" s="28" t="str">
        <f>IFERROR(__xludf.DUMMYFUNCTION("""COMPUTED_VALUE"""),"FX Rate")</f>
        <v>FX Rate</v>
      </c>
      <c r="R5" s="28" t="str">
        <f>IFERROR(__xludf.DUMMYFUNCTION("""COMPUTED_VALUE"""),"Venue")</f>
        <v>Venue</v>
      </c>
      <c r="S5" s="28" t="str">
        <f>IFERROR(__xludf.DUMMYFUNCTION("""COMPUTED_VALUE"""),"FX Conversion Operator")</f>
        <v>FX Conversion Operator</v>
      </c>
      <c r="T5" s="30" t="str">
        <f>IFERROR(__xludf.DUMMYFUNCTION("""COMPUTED_VALUE"""),"User")</f>
        <v>User</v>
      </c>
      <c r="U5" s="30" t="str">
        <f>IFERROR(__xludf.DUMMYFUNCTION("""COMPUTED_VALUE"""),"Asset Category")</f>
        <v>Asset Category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IFERROR(__xludf.DUMMYFUNCTION("""COMPUTED_VALUE"""),"Commission Per Share")</f>
        <v>Commission Per Share</v>
      </c>
      <c r="X5" s="30" t="str">
        <f>IFERROR(__xludf.DUMMYFUNCTION("""COMPUTED_VALUE"""),"Soft Commission Per Share")</f>
        <v>Soft Commission Per Share</v>
      </c>
      <c r="Y5" s="30" t="str">
        <f>IFERROR(__xludf.DUMMYFUNCTION("""COMPUTED_VALUE"""),"Total Commission Per Share")</f>
        <v>Total Commission Per Share</v>
      </c>
      <c r="Z5" s="30" t="str">
        <f>IFERROR(__xludf.DUMMYFUNCTION("""COMPUTED_VALUE"""),"Change Type")</f>
        <v>Change Type</v>
      </c>
      <c r="AA5" s="30" t="str">
        <f>IFERROR(__xludf.DUMMYFUNCTION("""COMPUTED_VALUE"""),"Trade Attribute 1")</f>
        <v>Trade Attribute 1</v>
      </c>
      <c r="AB5" s="30" t="str">
        <f>IFERROR(__xludf.DUMMYFUNCTION("""COMPUTED_VALUE"""),"Trade Attribute 2")</f>
        <v>Trade Attribute 2</v>
      </c>
      <c r="AC5" s="30" t="str">
        <f>IFERROR(__xludf.DUMMYFUNCTION("""COMPUTED_VALUE"""),"Trade Attribute 3")</f>
        <v>Trade Attribute 3</v>
      </c>
      <c r="AD5" s="30" t="str">
        <f>IFERROR(__xludf.DUMMYFUNCTION("""COMPUTED_VALUE"""),"Trade Attribute 4")</f>
        <v>Trade Attribute 4</v>
      </c>
      <c r="AE5" s="30" t="str">
        <f>IFERROR(__xludf.DUMMYFUNCTION("""COMPUTED_VALUE"""),"Trade Attribute 5")</f>
        <v>Trade Attribute 5</v>
      </c>
      <c r="AF5" s="30" t="str">
        <f>IFERROR(__xludf.DUMMYFUNCTION("""COMPUTED_VALUE"""),"Trade Attribute 6")</f>
        <v>Trade Attribute 6</v>
      </c>
      <c r="AG5" s="30" t="str">
        <f>IFERROR(__xludf.DUMMYFUNCTION("""COMPUTED_VALUE"""),"IsPreAllocated")</f>
        <v>IsPreAllocated</v>
      </c>
      <c r="AH5" s="30" t="str">
        <f>IFERROR(__xludf.DUMMYFUNCTION("""COMPUTED_VALUE"""),"IsManual Group")</f>
        <v>IsManual Group</v>
      </c>
      <c r="AI5" s="30" t="str">
        <f>IFERROR(__xludf.DUMMYFUNCTION("""COMPUTED_VALUE"""),"IsAnotherTaxlotAttributesUpdated")</f>
        <v>IsAnotherTaxlotAttributesUpdated</v>
      </c>
      <c r="AJ5" s="30" t="str">
        <f>IFERROR(__xludf.DUMMYFUNCTION("""COMPUTED_VALUE"""),"ISNDF")</f>
        <v>ISNDF</v>
      </c>
      <c r="AK5" s="30" t="str">
        <f>IFERROR(__xludf.DUMMYFUNCTION("""COMPUTED_VALUE"""),"M2MProfitLoss")</f>
        <v>M2MProfitLoss</v>
      </c>
      <c r="AL5" s="30" t="str">
        <f>IFERROR(__xludf.DUMMYFUNCTION("""COMPUTED_VALUE"""),"Put Or Call")</f>
        <v>Put Or Call</v>
      </c>
      <c r="AM5" s="30" t="str">
        <f>IFERROR(__xludf.DUMMYFUNCTION("""COMPUTED_VALUE"""),"GroupID")</f>
        <v>GroupID</v>
      </c>
      <c r="AN5" s="30" t="str">
        <f>IFERROR(__xludf.DUMMYFUNCTION("""COMPUTED_VALUE"""),"UnAllocatedQty")</f>
        <v>UnAllocatedQty</v>
      </c>
      <c r="AO5" s="30" t="str">
        <f>IFERROR(__xludf.DUMMYFUNCTION("""COMPUTED_VALUE"""),"Allocated Qty")</f>
        <v>Allocated Qty</v>
      </c>
      <c r="AP5" s="30" t="str">
        <f>IFERROR(__xludf.DUMMYFUNCTION("""COMPUTED_VALUE"""),"Commission")</f>
        <v>Commission</v>
      </c>
      <c r="AQ5" s="30" t="str">
        <f>IFERROR(__xludf.DUMMYFUNCTION("""COMPUTED_VALUE"""),"Soft Commission")</f>
        <v>Soft Commission</v>
      </c>
      <c r="AR5" s="30" t="str">
        <f>IFERROR(__xludf.DUMMYFUNCTION("""COMPUTED_VALUE"""),"Other Broker Fees")</f>
        <v>Other Broker Fees</v>
      </c>
      <c r="AS5" s="30" t="str">
        <f>IFERROR(__xludf.DUMMYFUNCTION("""COMPUTED_VALUE"""),"Clearing Broker Fee")</f>
        <v>Clearing Broker Fee</v>
      </c>
      <c r="AT5" s="30" t="str">
        <f>IFERROR(__xludf.DUMMYFUNCTION("""COMPUTED_VALUE"""),"Total Commission And Fee")</f>
        <v>Total Commission And Fee</v>
      </c>
      <c r="AU5" s="30" t="str">
        <f>IFERROR(__xludf.DUMMYFUNCTION("""COMPUTED_VALUE"""),"Transaction Levy")</f>
        <v>Transaction Levy</v>
      </c>
      <c r="AV5" s="30" t="str">
        <f>IFERROR(__xludf.DUMMYFUNCTION("""COMPUTED_VALUE"""),"Stamp Duty")</f>
        <v>Stamp Duty</v>
      </c>
      <c r="AW5" s="30" t="str">
        <f>IFERROR(__xludf.DUMMYFUNCTION("""COMPUTED_VALUE"""),"AUEC Fee1")</f>
        <v>AUEC Fee1</v>
      </c>
      <c r="AX5" s="30" t="str">
        <f>IFERROR(__xludf.DUMMYFUNCTION("""COMPUTED_VALUE"""),"Tax On Commissions")</f>
        <v>Tax On Commissions</v>
      </c>
      <c r="AY5" s="30" t="str">
        <f>IFERROR(__xludf.DUMMYFUNCTION("""COMPUTED_VALUE"""),"AUEC Fee2")</f>
        <v>AUEC Fee2</v>
      </c>
      <c r="AZ5" s="30" t="str">
        <f>IFERROR(__xludf.DUMMYFUNCTION("""COMPUTED_VALUE"""),"SEC Fee")</f>
        <v>SEC Fee</v>
      </c>
      <c r="BA5" s="30" t="str">
        <f>IFERROR(__xludf.DUMMYFUNCTION("""COMPUTED_VALUE"""),"OCC Fee")</f>
        <v>OCC Fee</v>
      </c>
      <c r="BB5" s="30" t="str">
        <f>IFERROR(__xludf.DUMMYFUNCTION("""COMPUTED_VALUE"""),"ORF Fee")</f>
        <v>ORF Fee</v>
      </c>
      <c r="BC5" s="30" t="str">
        <f>IFERROR(__xludf.DUMMYFUNCTION("""COMPUTED_VALUE"""),"Option Premium Adjustment")</f>
        <v>Option Premium Adjustment</v>
      </c>
      <c r="BD5" s="30" t="str">
        <f>IFERROR(__xludf.DUMMYFUNCTION("""COMPUTED_VALUE"""),"Prana Msg Type")</f>
        <v>Prana Msg Type</v>
      </c>
      <c r="BE5" s="30" t="str">
        <f>IFERROR(__xludf.DUMMYFUNCTION("""COMPUTED_VALUE"""),"Total Commission")</f>
        <v>Total Commission</v>
      </c>
      <c r="BF5" s="30" t="str">
        <f>IFERROR(__xludf.DUMMYFUNCTION("""COMPUTED_VALUE"""),"Closing Status")</f>
        <v>Closing Status</v>
      </c>
      <c r="BG5" s="30" t="str">
        <f>IFERROR(__xludf.DUMMYFUNCTION("""COMPUTED_VALUE"""),"Closing Method")</f>
        <v>Closing Method</v>
      </c>
      <c r="BH5" s="30" t="str">
        <f>IFERROR(__xludf.DUMMYFUNCTION("""COMPUTED_VALUE"""),"Group Status")</f>
        <v>Group Status</v>
      </c>
      <c r="BI5" s="30" t="str">
        <f>IFERROR(__xludf.DUMMYFUNCTION("""COMPUTED_VALUE"""),"Allocation Scheme Name")</f>
        <v>Allocation Scheme Name</v>
      </c>
      <c r="BJ5" s="30" t="str">
        <f>IFERROR(__xludf.DUMMYFUNCTION("""COMPUTED_VALUE"""),"Change Comment")</f>
        <v>Change Comment</v>
      </c>
      <c r="BK5" s="30" t="str">
        <f>IFERROR(__xludf.DUMMYFUNCTION("""COMPUTED_VALUE"""),"Order Type")</f>
        <v>Order Type</v>
      </c>
      <c r="BL5" s="30" t="str">
        <f>IFERROR(__xludf.DUMMYFUNCTION("""COMPUTED_VALUE"""),"Underlying")</f>
        <v>Underlying</v>
      </c>
      <c r="BM5" s="30" t="str">
        <f>IFERROR(__xludf.DUMMYFUNCTION("""COMPUTED_VALUE"""),"Exchange")</f>
        <v>Exchange</v>
      </c>
      <c r="BN5" s="30" t="str">
        <f>IFERROR(__xludf.DUMMYFUNCTION("""COMPUTED_VALUE"""),"Currency")</f>
        <v>Currency</v>
      </c>
      <c r="BO5" s="30" t="str">
        <f>IFERROR(__xludf.DUMMYFUNCTION("""COMPUTED_VALUE"""),"AUECID")</f>
        <v>AUECID</v>
      </c>
      <c r="BP5" s="30" t="str">
        <f>IFERROR(__xludf.DUMMYFUNCTION("""COMPUTED_VALUE"""),"Cum Qty For Sub Order")</f>
        <v>Cum Qty For Sub Order</v>
      </c>
      <c r="BQ5" s="30" t="str">
        <f>IFERROR(__xludf.DUMMYFUNCTION("""COMPUTED_VALUE"""),"Contract Multiplier")</f>
        <v>Contract Multiplier</v>
      </c>
      <c r="BR5" s="30" t="str">
        <f>IFERROR(__xludf.DUMMYFUNCTION("""COMPUTED_VALUE"""),"Company")</f>
        <v>Company</v>
      </c>
      <c r="BS5" s="30" t="str">
        <f>IFERROR(__xludf.DUMMYFUNCTION("""COMPUTED_VALUE"""),"Nirvana Process Date")</f>
        <v>Nirvana Process Date</v>
      </c>
      <c r="BT5" s="30" t="str">
        <f>IFERROR(__xludf.DUMMYFUNCTION("""COMPUTED_VALUE"""),"Process Date")</f>
        <v>Process Date</v>
      </c>
      <c r="BU5" s="30" t="str">
        <f>IFERROR(__xludf.DUMMYFUNCTION("""COMPUTED_VALUE"""),"Original Purchase Date")</f>
        <v>Original Purchase Date</v>
      </c>
      <c r="BV5" s="30" t="str">
        <f>IFERROR(__xludf.DUMMYFUNCTION("""COMPUTED_VALUE"""),"Closing Date")</f>
        <v>Closing Date</v>
      </c>
      <c r="BW5" s="30" t="str">
        <f>IFERROR(__xludf.DUMMYFUNCTION("""COMPUTED_VALUE"""),"Settlement Date")</f>
        <v>Settlement Date</v>
      </c>
      <c r="BX5" s="30" t="str">
        <f>IFERROR(__xludf.DUMMYFUNCTION("""COMPUTED_VALUE"""),"Expiration Date")</f>
        <v>Expiration Date</v>
      </c>
      <c r="BY5" s="30" t="str">
        <f>IFERROR(__xludf.DUMMYFUNCTION("""COMPUTED_VALUE"""),"Description")</f>
        <v>Description</v>
      </c>
      <c r="BZ5" s="30" t="str">
        <f>IFERROR(__xludf.DUMMYFUNCTION("""COMPUTED_VALUE"""),"Underlying Symbol")</f>
        <v>Underlying Symbol</v>
      </c>
      <c r="CA5" s="30" t="str">
        <f>IFERROR(__xludf.DUMMYFUNCTION("""COMPUTED_VALUE"""),"Accrued Interest")</f>
        <v>Accrued Interest</v>
      </c>
      <c r="CB5" s="30" t="str">
        <f>IFERROR(__xludf.DUMMYFUNCTION("""COMPUTED_VALUE"""),"Accrual Basis")</f>
        <v>Accrual Basis</v>
      </c>
      <c r="CC5" s="30" t="str">
        <f>IFERROR(__xludf.DUMMYFUNCTION("""COMPUTED_VALUE"""),"Bond Type")</f>
        <v>Bond Type</v>
      </c>
      <c r="CD5" s="30" t="str">
        <f>IFERROR(__xludf.DUMMYFUNCTION("""COMPUTED_VALUE"""),"Coupon Rate")</f>
        <v>Coupon Rate</v>
      </c>
      <c r="CE5" s="30" t="str">
        <f>IFERROR(__xludf.DUMMYFUNCTION("""COMPUTED_VALUE"""),"Delta")</f>
        <v>Delta</v>
      </c>
      <c r="CF5" s="30" t="str">
        <f>IFERROR(__xludf.DUMMYFUNCTION("""COMPUTED_VALUE"""),"Bloomberg")</f>
        <v>Bloomberg</v>
      </c>
      <c r="CG5" s="30" t="str">
        <f>IFERROR(__xludf.DUMMYFUNCTION("""COMPUTED_VALUE"""),"Sedol Symbol")</f>
        <v>Sedol Symbol</v>
      </c>
      <c r="CH5" s="30" t="str">
        <f>IFERROR(__xludf.DUMMYFUNCTION("""COMPUTED_VALUE"""),"Cusip Symbol")</f>
        <v>Cusip Symbol</v>
      </c>
      <c r="CI5" s="30" t="str">
        <f>IFERROR(__xludf.DUMMYFUNCTION("""COMPUTED_VALUE"""),"ISIN")</f>
        <v>ISIN</v>
      </c>
      <c r="CJ5" s="30" t="str">
        <f>IFERROR(__xludf.DUMMYFUNCTION("""COMPUTED_VALUE"""),"OSISSymbol")</f>
        <v>OSISSymbol</v>
      </c>
      <c r="CK5" s="30" t="str">
        <f>IFERROR(__xludf.DUMMYFUNCTION("""COMPUTED_VALUE"""),"IDCOSymbol")</f>
        <v>IDCOSymbol</v>
      </c>
      <c r="CL5" s="30" t="str">
        <f>IFERROR(__xludf.DUMMYFUNCTION("""COMPUTED_VALUE"""),"Underlying Delta")</f>
        <v>Underlying Delta</v>
      </c>
      <c r="CM5" s="30" t="str">
        <f>IFERROR(__xludf.DUMMYFUNCTION("""COMPUTED_VALUE"""),"Internal Comments")</f>
        <v>Internal Comments</v>
      </c>
      <c r="CN5" s="30" t="str">
        <f>IFERROR(__xludf.DUMMYFUNCTION("""COMPUTED_VALUE"""),"Proxy Symbol")</f>
        <v>Proxy Symbol</v>
      </c>
      <c r="CO5" s="30" t="str">
        <f>IFERROR(__xludf.DUMMYFUNCTION("""COMPUTED_VALUE"""),"Transaction Source")</f>
        <v>Transaction Source</v>
      </c>
      <c r="CP5" s="30" t="str">
        <f>IFERROR(__xludf.DUMMYFUNCTION("""COMPUTED_VALUE"""),"Import File Name")</f>
        <v>Import File Name</v>
      </c>
      <c r="CQ5" s="30" t="str">
        <f>IFERROR(__xludf.DUMMYFUNCTION("""COMPUTED_VALUE"""),"Master Fund")</f>
        <v>Master Fund</v>
      </c>
      <c r="CR5" s="30" t="str">
        <f>IFERROR(__xludf.DUMMYFUNCTION("""COMPUTED_VALUE"""),"Client")</f>
        <v>Client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500.0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SelectUnallocatedGroup!$4:$4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1mOtszotVOdqHquQTLi-4CBnAUrtAF2MEABuvYJh_hzw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Percentage")</f>
        <v>Account Percentage</v>
      </c>
      <c r="D5" s="28" t="str">
        <f>IFERROR(__xludf.DUMMYFUNCTION("""COMPUTED_VALUE"""),"Account Quantity")</f>
        <v>Account Quantity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3" t="s">
        <v>20</v>
      </c>
      <c r="C6" s="34">
        <v>60.0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2" t="s">
        <v>27</v>
      </c>
      <c r="C7" s="34">
        <v>20.0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2" t="s">
        <v>28</v>
      </c>
      <c r="C8" s="13">
        <v>20.0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EnterAccountValuesToAllocate!$4:$4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1-RJhOo2E5PhyqaiMEjsPi8RpfYBuiSqE9fj_-bRpkKw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IFERROR(__xludf.DUMMYFUNCTION("""COMPUTED_VALUE"""),"Trade Date")</f>
        <v>Trade Date</v>
      </c>
      <c r="E5" s="28" t="str">
        <f>IFERROR(__xludf.DUMMYFUNCTION("""COMPUTED_VALUE"""),"Account Name")</f>
        <v>Account Name</v>
      </c>
      <c r="F5" s="29" t="str">
        <f>IFERROR(__xludf.DUMMYFUNCTION("""COMPUTED_VALUE"""),"Side")</f>
        <v>Side</v>
      </c>
      <c r="G5" s="28" t="str">
        <f>IFERROR(__xludf.DUMMYFUNCTION("""COMPUTED_VALUE"""),"Group Status")</f>
        <v>Group Status</v>
      </c>
      <c r="H5" s="28" t="str">
        <f>IFERROR(__xludf.DUMMYFUNCTION("""COMPUTED_VALUE"""),"Avg Price(Base)")</f>
        <v>Avg Price(Base)</v>
      </c>
      <c r="I5" s="28" t="str">
        <f>IFERROR(__xludf.DUMMYFUNCTION("""COMPUTED_VALUE"""),"Execution Time")</f>
        <v>Execution Time</v>
      </c>
      <c r="J5" s="28" t="str">
        <f>IFERROR(__xludf.DUMMYFUNCTION("""COMPUTED_VALUE"""),"Trade Attribute 1")</f>
        <v>Trade Attribute 1</v>
      </c>
      <c r="K5" s="28" t="str">
        <f>IFERROR(__xludf.DUMMYFUNCTION("""COMPUTED_VALUE"""),"Avg Price(Local)")</f>
        <v>Avg Price(Local)</v>
      </c>
      <c r="L5" s="28" t="str">
        <f>IFERROR(__xludf.DUMMYFUNCTION("""COMPUTED_VALUE"""),"Trade Attribute 2")</f>
        <v>Trade Attribute 2</v>
      </c>
      <c r="M5" s="28" t="str">
        <f>IFERROR(__xludf.DUMMYFUNCTION("""COMPUTED_VALUE"""),"Accrued Interest")</f>
        <v>Accrued Interest</v>
      </c>
      <c r="N5" s="28" t="str">
        <f>IFERROR(__xludf.DUMMYFUNCTION("""COMPUTED_VALUE"""),"Commission")</f>
        <v>Commission</v>
      </c>
      <c r="O5" s="28" t="str">
        <f>IFERROR(__xludf.DUMMYFUNCTION("""COMPUTED_VALUE"""),"Soft Commission")</f>
        <v>Soft Commission</v>
      </c>
      <c r="P5" s="28" t="str">
        <f>IFERROR(__xludf.DUMMYFUNCTION("""COMPUTED_VALUE"""),"Broker")</f>
        <v>Broker</v>
      </c>
      <c r="Q5" s="28" t="str">
        <f>IFERROR(__xludf.DUMMYFUNCTION("""COMPUTED_VALUE"""),"Transaction Type")</f>
        <v>Transaction Type</v>
      </c>
      <c r="R5" s="28" t="str">
        <f>IFERROR(__xludf.DUMMYFUNCTION("""COMPUTED_VALUE"""),"AUEC Fee1")</f>
        <v>AUEC Fee1</v>
      </c>
      <c r="S5" s="28" t="str">
        <f>IFERROR(__xludf.DUMMYFUNCTION("""COMPUTED_VALUE"""),"AUEC Fee2")</f>
        <v>AUEC Fee2</v>
      </c>
      <c r="T5" s="30" t="str">
        <f>IFERROR(__xludf.DUMMYFUNCTION("""COMPUTED_VALUE"""),"Clearing Broker Fee")</f>
        <v>Clearing Broker Fee</v>
      </c>
      <c r="U5" s="30" t="str">
        <f>IFERROR(__xludf.DUMMYFUNCTION("""COMPUTED_VALUE"""),"Other Broker Fees")</f>
        <v>Other Broker Fees</v>
      </c>
      <c r="V5" s="30" t="str">
        <f>IFERROR(__xludf.DUMMYFUNCTION("""COMPUTED_VALUE"""),"OCC Fee")</f>
        <v>OCC Fee</v>
      </c>
      <c r="W5" s="30" t="str">
        <f>IFERROR(__xludf.DUMMYFUNCTION("""COMPUTED_VALUE"""),"SEC Fee")</f>
        <v>SEC Fee</v>
      </c>
      <c r="X5" s="30" t="str">
        <f>IFERROR(__xludf.DUMMYFUNCTION("""COMPUTED_VALUE"""),"ORF Fee")</f>
        <v>ORF Fee</v>
      </c>
      <c r="Y5" s="30" t="str">
        <f>IFERROR(__xludf.DUMMYFUNCTION("""COMPUTED_VALUE"""),"IsPreAllocated")</f>
        <v>IsPreAllocated</v>
      </c>
      <c r="Z5" s="30" t="str">
        <f>IFERROR(__xludf.DUMMYFUNCTION("""COMPUTED_VALUE"""),"Stamp Duty")</f>
        <v>Stamp Duty</v>
      </c>
      <c r="AA5" s="30" t="str">
        <f>IFERROR(__xludf.DUMMYFUNCTION("""COMPUTED_VALUE"""),"IsManual Group")</f>
        <v>IsManual Group</v>
      </c>
      <c r="AB5" s="30" t="str">
        <f>IFERROR(__xludf.DUMMYFUNCTION("""COMPUTED_VALUE"""),"Tax On Commissions")</f>
        <v>Tax On Commissions</v>
      </c>
      <c r="AC5" s="30" t="str">
        <f>IFERROR(__xludf.DUMMYFUNCTION("""COMPUTED_VALUE"""),"IsAnotherTaxlotAttributesUpdated")</f>
        <v>IsAnotherTaxlotAttributesUpdated</v>
      </c>
      <c r="AD5" s="30" t="str">
        <f>IFERROR(__xludf.DUMMYFUNCTION("""COMPUTED_VALUE"""),"ISNDF")</f>
        <v>ISNDF</v>
      </c>
      <c r="AE5" s="30" t="str">
        <f>IFERROR(__xludf.DUMMYFUNCTION("""COMPUTED_VALUE"""),"Transaction Levy")</f>
        <v>Transaction Levy</v>
      </c>
      <c r="AF5" s="30" t="str">
        <f>IFERROR(__xludf.DUMMYFUNCTION("""COMPUTED_VALUE"""),"Description")</f>
        <v>Description</v>
      </c>
      <c r="AG5" s="30" t="str">
        <f>IFERROR(__xludf.DUMMYFUNCTION("""COMPUTED_VALUE"""),"GroupID")</f>
        <v>GroupID</v>
      </c>
      <c r="AH5" s="30" t="str">
        <f>IFERROR(__xludf.DUMMYFUNCTION("""COMPUTED_VALUE"""),"Internal Comments")</f>
        <v>Internal Comments</v>
      </c>
      <c r="AI5" s="30" t="str">
        <f>IFERROR(__xludf.DUMMYFUNCTION("""COMPUTED_VALUE"""),"M2MProfitLoss")</f>
        <v>M2MProfitLoss</v>
      </c>
      <c r="AJ5" s="30" t="str">
        <f>IFERROR(__xludf.DUMMYFUNCTION("""COMPUTED_VALUE"""),"FX Rate")</f>
        <v>FX Rate</v>
      </c>
      <c r="AK5" s="30" t="str">
        <f>IFERROR(__xludf.DUMMYFUNCTION("""COMPUTED_VALUE"""),"FX Conversion Operator")</f>
        <v>FX Conversion Operator</v>
      </c>
      <c r="AL5" s="30" t="str">
        <f>IFERROR(__xludf.DUMMYFUNCTION("""COMPUTED_VALUE"""),"Trade Attribute 3")</f>
        <v>Trade Attribute 3</v>
      </c>
      <c r="AM5" s="30" t="str">
        <f>IFERROR(__xludf.DUMMYFUNCTION("""COMPUTED_VALUE"""),"Trade Attribute 4")</f>
        <v>Trade Attribute 4</v>
      </c>
      <c r="AN5" s="30" t="str">
        <f>IFERROR(__xludf.DUMMYFUNCTION("""COMPUTED_VALUE"""),"Trade Attribute 5")</f>
        <v>Trade Attribute 5</v>
      </c>
      <c r="AO5" s="30" t="str">
        <f>IFERROR(__xludf.DUMMYFUNCTION("""COMPUTED_VALUE"""),"Trade Attribute 6")</f>
        <v>Trade Attribute 6</v>
      </c>
      <c r="AP5" s="30" t="str">
        <f>IFERROR(__xludf.DUMMYFUNCTION("""COMPUTED_VALUE"""),"Put Or Call")</f>
        <v>Put Or Call</v>
      </c>
      <c r="AQ5" s="30" t="str">
        <f>IFERROR(__xludf.DUMMYFUNCTION("""COMPUTED_VALUE"""),"Allocated Qty")</f>
        <v>Allocated Qty</v>
      </c>
      <c r="AR5" s="30" t="str">
        <f>IFERROR(__xludf.DUMMYFUNCTION("""COMPUTED_VALUE"""),"Total Commission And Fee")</f>
        <v>Total Commission And Fee</v>
      </c>
      <c r="AS5" s="30" t="str">
        <f>IFERROR(__xludf.DUMMYFUNCTION("""COMPUTED_VALUE"""),"Executed Qty")</f>
        <v>Executed Qty</v>
      </c>
      <c r="AT5" s="30" t="str">
        <f>IFERROR(__xludf.DUMMYFUNCTION("""COMPUTED_VALUE"""),"Net Amount( Local)")</f>
        <v>Net Amount( Local)</v>
      </c>
      <c r="AU5" s="30" t="str">
        <f>IFERROR(__xludf.DUMMYFUNCTION("""COMPUTED_VALUE"""),"Net Amount( Base)")</f>
        <v>Net Amount( Base)</v>
      </c>
      <c r="AV5" s="30" t="str">
        <f>IFERROR(__xludf.DUMMYFUNCTION("""COMPUTED_VALUE"""),"UnAllocatedQty")</f>
        <v>UnAllocatedQty</v>
      </c>
      <c r="AW5" s="30" t="str">
        <f>IFERROR(__xludf.DUMMYFUNCTION("""COMPUTED_VALUE"""),"Option Premium Adjustment")</f>
        <v>Option Premium Adjustment</v>
      </c>
      <c r="AX5" s="30" t="str">
        <f>IFERROR(__xludf.DUMMYFUNCTION("""COMPUTED_VALUE"""),"Principal Amount( Local)")</f>
        <v>Principal Amount( Local)</v>
      </c>
      <c r="AY5" s="30" t="str">
        <f>IFERROR(__xludf.DUMMYFUNCTION("""COMPUTED_VALUE"""),"Principal Amount( Base)")</f>
        <v>Principal Amount( Base)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IFERROR(__xludf.DUMMYFUNCTION("""COMPUTED_VALUE"""),"User")</f>
        <v>User</v>
      </c>
      <c r="BB5" s="30" t="str">
        <f>IFERROR(__xludf.DUMMYFUNCTION("""COMPUTED_VALUE"""),"Asset Category")</f>
        <v>Asset Category</v>
      </c>
      <c r="BC5" s="30" t="str">
        <f>IFERROR(__xludf.DUMMYFUNCTION("""COMPUTED_VALUE"""),"Change Type")</f>
        <v>Change Type</v>
      </c>
      <c r="BD5" s="30" t="str">
        <f>IFERROR(__xludf.DUMMYFUNCTION("""COMPUTED_VALUE"""),"Strategy Name")</f>
        <v>Strategy Name</v>
      </c>
      <c r="BE5" s="30" t="str">
        <f>IFERROR(__xludf.DUMMYFUNCTION("""COMPUTED_VALUE"""),"Prana Msg Type")</f>
        <v>Prana Msg Type</v>
      </c>
      <c r="BF5" s="30" t="str">
        <f>IFERROR(__xludf.DUMMYFUNCTION("""COMPUTED_VALUE"""),"Total Commission")</f>
        <v>Total Commission</v>
      </c>
      <c r="BG5" s="30" t="str">
        <f>IFERROR(__xludf.DUMMYFUNCTION("""COMPUTED_VALUE"""),"Commission Per Share")</f>
        <v>Commission Per Share</v>
      </c>
      <c r="BH5" s="30" t="str">
        <f>IFERROR(__xludf.DUMMYFUNCTION("""COMPUTED_VALUE"""),"Soft Commission Per Share")</f>
        <v>Soft Commission Per Share</v>
      </c>
      <c r="BI5" s="30" t="str">
        <f>IFERROR(__xludf.DUMMYFUNCTION("""COMPUTED_VALUE"""),"Total Commission Per Share")</f>
        <v>Total Commission Per Share</v>
      </c>
      <c r="BJ5" s="30" t="str">
        <f>IFERROR(__xludf.DUMMYFUNCTION("""COMPUTED_VALUE"""),"Closing Status")</f>
        <v>Closing Status</v>
      </c>
      <c r="BK5" s="30" t="str">
        <f>IFERROR(__xludf.DUMMYFUNCTION("""COMPUTED_VALUE"""),"Closing Method")</f>
        <v>Closing Method</v>
      </c>
      <c r="BL5" s="30" t="str">
        <f>IFERROR(__xludf.DUMMYFUNCTION("""COMPUTED_VALUE"""),"Allocation Scheme Name")</f>
        <v>Allocation Scheme Name</v>
      </c>
      <c r="BM5" s="30" t="str">
        <f>IFERROR(__xludf.DUMMYFUNCTION("""COMPUTED_VALUE"""),"Change Comment")</f>
        <v>Change Comment</v>
      </c>
      <c r="BN5" s="30" t="str">
        <f>IFERROR(__xludf.DUMMYFUNCTION("""COMPUTED_VALUE"""),"Order Type")</f>
        <v>Order Type</v>
      </c>
      <c r="BO5" s="30" t="str">
        <f>IFERROR(__xludf.DUMMYFUNCTION("""COMPUTED_VALUE"""),"Underlying")</f>
        <v>Underlying</v>
      </c>
      <c r="BP5" s="30" t="str">
        <f>IFERROR(__xludf.DUMMYFUNCTION("""COMPUTED_VALUE"""),"Exchange")</f>
        <v>Exchange</v>
      </c>
      <c r="BQ5" s="30" t="str">
        <f>IFERROR(__xludf.DUMMYFUNCTION("""COMPUTED_VALUE"""),"Currency")</f>
        <v>Currency</v>
      </c>
      <c r="BR5" s="30" t="str">
        <f>IFERROR(__xludf.DUMMYFUNCTION("""COMPUTED_VALUE"""),"AUECID")</f>
        <v>AUECID</v>
      </c>
      <c r="BS5" s="30" t="str">
        <f>IFERROR(__xludf.DUMMYFUNCTION("""COMPUTED_VALUE"""),"Trading Account")</f>
        <v>Trading Account</v>
      </c>
      <c r="BT5" s="30" t="str">
        <f>IFERROR(__xludf.DUMMYFUNCTION("""COMPUTED_VALUE"""),"Venue")</f>
        <v>Venue</v>
      </c>
      <c r="BU5" s="30" t="str">
        <f>IFERROR(__xludf.DUMMYFUNCTION("""COMPUTED_VALUE"""),"Cum Qty For Sub Order")</f>
        <v>Cum Qty For Sub Order</v>
      </c>
      <c r="BV5" s="30" t="str">
        <f>IFERROR(__xludf.DUMMYFUNCTION("""COMPUTED_VALUE"""),"Contract Multiplier")</f>
        <v>Contract Multiplier</v>
      </c>
      <c r="BW5" s="30" t="str">
        <f>IFERROR(__xludf.DUMMYFUNCTION("""COMPUTED_VALUE"""),"Company")</f>
        <v>Company</v>
      </c>
      <c r="BX5" s="30" t="str">
        <f>IFERROR(__xludf.DUMMYFUNCTION("""COMPUTED_VALUE"""),"Nirvana Process Date")</f>
        <v>Nirvana Process Date</v>
      </c>
      <c r="BY5" s="30" t="str">
        <f>IFERROR(__xludf.DUMMYFUNCTION("""COMPUTED_VALUE"""),"Process Date")</f>
        <v>Process Date</v>
      </c>
      <c r="BZ5" s="30" t="str">
        <f>IFERROR(__xludf.DUMMYFUNCTION("""COMPUTED_VALUE"""),"Original Purchase Date")</f>
        <v>Original Purchase Date</v>
      </c>
      <c r="CA5" s="30" t="str">
        <f>IFERROR(__xludf.DUMMYFUNCTION("""COMPUTED_VALUE"""),"Closing Date")</f>
        <v>Closing Date</v>
      </c>
      <c r="CB5" s="30" t="str">
        <f>IFERROR(__xludf.DUMMYFUNCTION("""COMPUTED_VALUE"""),"Settlement Date")</f>
        <v>Settlement Date</v>
      </c>
      <c r="CC5" s="30" t="str">
        <f>IFERROR(__xludf.DUMMYFUNCTION("""COMPUTED_VALUE"""),"Expiration Date")</f>
        <v>Expiration Date</v>
      </c>
      <c r="CD5" s="30" t="str">
        <f>IFERROR(__xludf.DUMMYFUNCTION("""COMPUTED_VALUE"""),"Underlying Symbol")</f>
        <v>Underlying Symbol</v>
      </c>
      <c r="CE5" s="30" t="str">
        <f>IFERROR(__xludf.DUMMYFUNCTION("""COMPUTED_VALUE"""),"Accrual Basis")</f>
        <v>Accrual Basis</v>
      </c>
      <c r="CF5" s="30" t="str">
        <f>IFERROR(__xludf.DUMMYFUNCTION("""COMPUTED_VALUE"""),"Bond Type")</f>
        <v>Bond Type</v>
      </c>
      <c r="CG5" s="30" t="str">
        <f>IFERROR(__xludf.DUMMYFUNCTION("""COMPUTED_VALUE"""),"Coupon Rate")</f>
        <v>Coupon Rate</v>
      </c>
      <c r="CH5" s="30" t="str">
        <f>IFERROR(__xludf.DUMMYFUNCTION("""COMPUTED_VALUE"""),"Delta")</f>
        <v>Delta</v>
      </c>
      <c r="CI5" s="30" t="str">
        <f>IFERROR(__xludf.DUMMYFUNCTION("""COMPUTED_VALUE"""),"Bloomberg")</f>
        <v>Bloomberg</v>
      </c>
      <c r="CJ5" s="30" t="str">
        <f>IFERROR(__xludf.DUMMYFUNCTION("""COMPUTED_VALUE"""),"Sedol Symbol")</f>
        <v>Sedol Symbol</v>
      </c>
      <c r="CK5" s="30" t="str">
        <f>IFERROR(__xludf.DUMMYFUNCTION("""COMPUTED_VALUE"""),"Cusip Symbol")</f>
        <v>Cusip Symbol</v>
      </c>
      <c r="CL5" s="30" t="str">
        <f>IFERROR(__xludf.DUMMYFUNCTION("""COMPUTED_VALUE"""),"ISIN")</f>
        <v>ISIN</v>
      </c>
      <c r="CM5" s="30" t="str">
        <f>IFERROR(__xludf.DUMMYFUNCTION("""COMPUTED_VALUE"""),"OSISSymbol")</f>
        <v>OSISSymbol</v>
      </c>
      <c r="CN5" s="30" t="str">
        <f>IFERROR(__xludf.DUMMYFUNCTION("""COMPUTED_VALUE"""),"IDCOSymbol")</f>
        <v>IDCOSymbol</v>
      </c>
      <c r="CO5" s="30" t="str">
        <f>IFERROR(__xludf.DUMMYFUNCTION("""COMPUTED_VALUE"""),"Underlying Delta")</f>
        <v>Underlying Delta</v>
      </c>
      <c r="CP5" s="30" t="str">
        <f>IFERROR(__xludf.DUMMYFUNCTION("""COMPUTED_VALUE"""),"Proxy Symbol")</f>
        <v>Proxy Symbol</v>
      </c>
      <c r="CQ5" s="30" t="str">
        <f>IFERROR(__xludf.DUMMYFUNCTION("""COMPUTED_VALUE"""),"Transaction Source")</f>
        <v>Transaction Source</v>
      </c>
      <c r="CR5" s="30" t="str">
        <f>IFERROR(__xludf.DUMMYFUNCTION("""COMPUTED_VALUE"""),"Import File Name")</f>
        <v>Import File Name</v>
      </c>
      <c r="CS5" s="30" t="str">
        <f>IFERROR(__xludf.DUMMYFUNCTION("""COMPUTED_VALUE"""),"MasterFund")</f>
        <v>MasterFund</v>
      </c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13">
        <v>500.0</v>
      </c>
      <c r="E6" s="13" t="s">
        <v>20</v>
      </c>
      <c r="F6" s="13" t="s">
        <v>17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SelectAllocatedGroup!$4:$4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1mOtszotVOdqHquQTLi-4CBnAUrtAF2MEABuvYJh_hzw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Percentage")</f>
        <v>Account Percentage</v>
      </c>
      <c r="D5" s="28" t="str">
        <f>IFERROR(__xludf.DUMMYFUNCTION("""COMPUTED_VALUE"""),"Account Quantity")</f>
        <v>Account Quantity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5" t="s">
        <v>27</v>
      </c>
      <c r="C6" s="34">
        <v>80.0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5" t="s">
        <v>28</v>
      </c>
      <c r="C7" s="34">
        <v>20.0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EnterAccountValuesToAllocate1!$4:$4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1-RJhOo2E5PhyqaiMEjsPi8RpfYBuiSqE9fj_-bRpkKw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IFERROR(__xludf.DUMMYFUNCTION("""COMPUTED_VALUE"""),"Trade Date")</f>
        <v>Trade Date</v>
      </c>
      <c r="E5" s="28" t="str">
        <f>IFERROR(__xludf.DUMMYFUNCTION("""COMPUTED_VALUE"""),"Account Name")</f>
        <v>Account Name</v>
      </c>
      <c r="F5" s="29" t="str">
        <f>IFERROR(__xludf.DUMMYFUNCTION("""COMPUTED_VALUE"""),"Side")</f>
        <v>Side</v>
      </c>
      <c r="G5" s="28" t="str">
        <f>IFERROR(__xludf.DUMMYFUNCTION("""COMPUTED_VALUE"""),"Group Status")</f>
        <v>Group Status</v>
      </c>
      <c r="H5" s="28" t="str">
        <f>IFERROR(__xludf.DUMMYFUNCTION("""COMPUTED_VALUE"""),"Avg Price(Base)")</f>
        <v>Avg Price(Base)</v>
      </c>
      <c r="I5" s="28" t="str">
        <f>IFERROR(__xludf.DUMMYFUNCTION("""COMPUTED_VALUE"""),"Execution Time")</f>
        <v>Execution Time</v>
      </c>
      <c r="J5" s="28" t="str">
        <f>IFERROR(__xludf.DUMMYFUNCTION("""COMPUTED_VALUE"""),"Trade Attribute 1")</f>
        <v>Trade Attribute 1</v>
      </c>
      <c r="K5" s="28" t="str">
        <f>IFERROR(__xludf.DUMMYFUNCTION("""COMPUTED_VALUE"""),"Avg Price(Local)")</f>
        <v>Avg Price(Local)</v>
      </c>
      <c r="L5" s="28" t="str">
        <f>IFERROR(__xludf.DUMMYFUNCTION("""COMPUTED_VALUE"""),"Trade Attribute 2")</f>
        <v>Trade Attribute 2</v>
      </c>
      <c r="M5" s="28" t="str">
        <f>IFERROR(__xludf.DUMMYFUNCTION("""COMPUTED_VALUE"""),"Accrued Interest")</f>
        <v>Accrued Interest</v>
      </c>
      <c r="N5" s="28" t="str">
        <f>IFERROR(__xludf.DUMMYFUNCTION("""COMPUTED_VALUE"""),"Commission")</f>
        <v>Commission</v>
      </c>
      <c r="O5" s="28" t="str">
        <f>IFERROR(__xludf.DUMMYFUNCTION("""COMPUTED_VALUE"""),"Soft Commission")</f>
        <v>Soft Commission</v>
      </c>
      <c r="P5" s="28" t="str">
        <f>IFERROR(__xludf.DUMMYFUNCTION("""COMPUTED_VALUE"""),"Broker")</f>
        <v>Broker</v>
      </c>
      <c r="Q5" s="28" t="str">
        <f>IFERROR(__xludf.DUMMYFUNCTION("""COMPUTED_VALUE"""),"Transaction Type")</f>
        <v>Transaction Type</v>
      </c>
      <c r="R5" s="28" t="str">
        <f>IFERROR(__xludf.DUMMYFUNCTION("""COMPUTED_VALUE"""),"AUEC Fee1")</f>
        <v>AUEC Fee1</v>
      </c>
      <c r="S5" s="28" t="str">
        <f>IFERROR(__xludf.DUMMYFUNCTION("""COMPUTED_VALUE"""),"AUEC Fee2")</f>
        <v>AUEC Fee2</v>
      </c>
      <c r="T5" s="30" t="str">
        <f>IFERROR(__xludf.DUMMYFUNCTION("""COMPUTED_VALUE"""),"Clearing Broker Fee")</f>
        <v>Clearing Broker Fee</v>
      </c>
      <c r="U5" s="30" t="str">
        <f>IFERROR(__xludf.DUMMYFUNCTION("""COMPUTED_VALUE"""),"Other Broker Fees")</f>
        <v>Other Broker Fees</v>
      </c>
      <c r="V5" s="30" t="str">
        <f>IFERROR(__xludf.DUMMYFUNCTION("""COMPUTED_VALUE"""),"OCC Fee")</f>
        <v>OCC Fee</v>
      </c>
      <c r="W5" s="30" t="str">
        <f>IFERROR(__xludf.DUMMYFUNCTION("""COMPUTED_VALUE"""),"SEC Fee")</f>
        <v>SEC Fee</v>
      </c>
      <c r="X5" s="30" t="str">
        <f>IFERROR(__xludf.DUMMYFUNCTION("""COMPUTED_VALUE"""),"ORF Fee")</f>
        <v>ORF Fee</v>
      </c>
      <c r="Y5" s="30" t="str">
        <f>IFERROR(__xludf.DUMMYFUNCTION("""COMPUTED_VALUE"""),"IsPreAllocated")</f>
        <v>IsPreAllocated</v>
      </c>
      <c r="Z5" s="30" t="str">
        <f>IFERROR(__xludf.DUMMYFUNCTION("""COMPUTED_VALUE"""),"Stamp Duty")</f>
        <v>Stamp Duty</v>
      </c>
      <c r="AA5" s="30" t="str">
        <f>IFERROR(__xludf.DUMMYFUNCTION("""COMPUTED_VALUE"""),"IsManual Group")</f>
        <v>IsManual Group</v>
      </c>
      <c r="AB5" s="30" t="str">
        <f>IFERROR(__xludf.DUMMYFUNCTION("""COMPUTED_VALUE"""),"Tax On Commissions")</f>
        <v>Tax On Commissions</v>
      </c>
      <c r="AC5" s="30" t="str">
        <f>IFERROR(__xludf.DUMMYFUNCTION("""COMPUTED_VALUE"""),"IsAnotherTaxlotAttributesUpdated")</f>
        <v>IsAnotherTaxlotAttributesUpdated</v>
      </c>
      <c r="AD5" s="30" t="str">
        <f>IFERROR(__xludf.DUMMYFUNCTION("""COMPUTED_VALUE"""),"ISNDF")</f>
        <v>ISNDF</v>
      </c>
      <c r="AE5" s="30" t="str">
        <f>IFERROR(__xludf.DUMMYFUNCTION("""COMPUTED_VALUE"""),"Transaction Levy")</f>
        <v>Transaction Levy</v>
      </c>
      <c r="AF5" s="30" t="str">
        <f>IFERROR(__xludf.DUMMYFUNCTION("""COMPUTED_VALUE"""),"Description")</f>
        <v>Description</v>
      </c>
      <c r="AG5" s="30" t="str">
        <f>IFERROR(__xludf.DUMMYFUNCTION("""COMPUTED_VALUE"""),"GroupID")</f>
        <v>GroupID</v>
      </c>
      <c r="AH5" s="30" t="str">
        <f>IFERROR(__xludf.DUMMYFUNCTION("""COMPUTED_VALUE"""),"Internal Comments")</f>
        <v>Internal Comments</v>
      </c>
      <c r="AI5" s="30" t="str">
        <f>IFERROR(__xludf.DUMMYFUNCTION("""COMPUTED_VALUE"""),"M2MProfitLoss")</f>
        <v>M2MProfitLoss</v>
      </c>
      <c r="AJ5" s="30" t="str">
        <f>IFERROR(__xludf.DUMMYFUNCTION("""COMPUTED_VALUE"""),"FX Rate")</f>
        <v>FX Rate</v>
      </c>
      <c r="AK5" s="30" t="str">
        <f>IFERROR(__xludf.DUMMYFUNCTION("""COMPUTED_VALUE"""),"FX Conversion Operator")</f>
        <v>FX Conversion Operator</v>
      </c>
      <c r="AL5" s="30" t="str">
        <f>IFERROR(__xludf.DUMMYFUNCTION("""COMPUTED_VALUE"""),"Trade Attribute 3")</f>
        <v>Trade Attribute 3</v>
      </c>
      <c r="AM5" s="30" t="str">
        <f>IFERROR(__xludf.DUMMYFUNCTION("""COMPUTED_VALUE"""),"Trade Attribute 4")</f>
        <v>Trade Attribute 4</v>
      </c>
      <c r="AN5" s="30" t="str">
        <f>IFERROR(__xludf.DUMMYFUNCTION("""COMPUTED_VALUE"""),"Trade Attribute 5")</f>
        <v>Trade Attribute 5</v>
      </c>
      <c r="AO5" s="30" t="str">
        <f>IFERROR(__xludf.DUMMYFUNCTION("""COMPUTED_VALUE"""),"Trade Attribute 6")</f>
        <v>Trade Attribute 6</v>
      </c>
      <c r="AP5" s="30" t="str">
        <f>IFERROR(__xludf.DUMMYFUNCTION("""COMPUTED_VALUE"""),"Put Or Call")</f>
        <v>Put Or Call</v>
      </c>
      <c r="AQ5" s="30" t="str">
        <f>IFERROR(__xludf.DUMMYFUNCTION("""COMPUTED_VALUE"""),"Allocated Qty")</f>
        <v>Allocated Qty</v>
      </c>
      <c r="AR5" s="30" t="str">
        <f>IFERROR(__xludf.DUMMYFUNCTION("""COMPUTED_VALUE"""),"Total Commission And Fee")</f>
        <v>Total Commission And Fee</v>
      </c>
      <c r="AS5" s="30" t="str">
        <f>IFERROR(__xludf.DUMMYFUNCTION("""COMPUTED_VALUE"""),"Executed Qty")</f>
        <v>Executed Qty</v>
      </c>
      <c r="AT5" s="30" t="str">
        <f>IFERROR(__xludf.DUMMYFUNCTION("""COMPUTED_VALUE"""),"Net Amount( Local)")</f>
        <v>Net Amount( Local)</v>
      </c>
      <c r="AU5" s="30" t="str">
        <f>IFERROR(__xludf.DUMMYFUNCTION("""COMPUTED_VALUE"""),"Net Amount( Base)")</f>
        <v>Net Amount( Base)</v>
      </c>
      <c r="AV5" s="30" t="str">
        <f>IFERROR(__xludf.DUMMYFUNCTION("""COMPUTED_VALUE"""),"UnAllocatedQty")</f>
        <v>UnAllocatedQty</v>
      </c>
      <c r="AW5" s="30" t="str">
        <f>IFERROR(__xludf.DUMMYFUNCTION("""COMPUTED_VALUE"""),"Option Premium Adjustment")</f>
        <v>Option Premium Adjustment</v>
      </c>
      <c r="AX5" s="30" t="str">
        <f>IFERROR(__xludf.DUMMYFUNCTION("""COMPUTED_VALUE"""),"Principal Amount( Local)")</f>
        <v>Principal Amount( Local)</v>
      </c>
      <c r="AY5" s="30" t="str">
        <f>IFERROR(__xludf.DUMMYFUNCTION("""COMPUTED_VALUE"""),"Principal Amount( Base)")</f>
        <v>Principal Amount( Base)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IFERROR(__xludf.DUMMYFUNCTION("""COMPUTED_VALUE"""),"User")</f>
        <v>User</v>
      </c>
      <c r="BB5" s="30" t="str">
        <f>IFERROR(__xludf.DUMMYFUNCTION("""COMPUTED_VALUE"""),"Asset Category")</f>
        <v>Asset Category</v>
      </c>
      <c r="BC5" s="30" t="str">
        <f>IFERROR(__xludf.DUMMYFUNCTION("""COMPUTED_VALUE"""),"Change Type")</f>
        <v>Change Type</v>
      </c>
      <c r="BD5" s="30" t="str">
        <f>IFERROR(__xludf.DUMMYFUNCTION("""COMPUTED_VALUE"""),"Strategy Name")</f>
        <v>Strategy Name</v>
      </c>
      <c r="BE5" s="30" t="str">
        <f>IFERROR(__xludf.DUMMYFUNCTION("""COMPUTED_VALUE"""),"Prana Msg Type")</f>
        <v>Prana Msg Type</v>
      </c>
      <c r="BF5" s="30" t="str">
        <f>IFERROR(__xludf.DUMMYFUNCTION("""COMPUTED_VALUE"""),"Total Commission")</f>
        <v>Total Commission</v>
      </c>
      <c r="BG5" s="30" t="str">
        <f>IFERROR(__xludf.DUMMYFUNCTION("""COMPUTED_VALUE"""),"Commission Per Share")</f>
        <v>Commission Per Share</v>
      </c>
      <c r="BH5" s="30" t="str">
        <f>IFERROR(__xludf.DUMMYFUNCTION("""COMPUTED_VALUE"""),"Soft Commission Per Share")</f>
        <v>Soft Commission Per Share</v>
      </c>
      <c r="BI5" s="30" t="str">
        <f>IFERROR(__xludf.DUMMYFUNCTION("""COMPUTED_VALUE"""),"Total Commission Per Share")</f>
        <v>Total Commission Per Share</v>
      </c>
      <c r="BJ5" s="30" t="str">
        <f>IFERROR(__xludf.DUMMYFUNCTION("""COMPUTED_VALUE"""),"Closing Status")</f>
        <v>Closing Status</v>
      </c>
      <c r="BK5" s="30" t="str">
        <f>IFERROR(__xludf.DUMMYFUNCTION("""COMPUTED_VALUE"""),"Closing Method")</f>
        <v>Closing Method</v>
      </c>
      <c r="BL5" s="30" t="str">
        <f>IFERROR(__xludf.DUMMYFUNCTION("""COMPUTED_VALUE"""),"Allocation Scheme Name")</f>
        <v>Allocation Scheme Name</v>
      </c>
      <c r="BM5" s="30" t="str">
        <f>IFERROR(__xludf.DUMMYFUNCTION("""COMPUTED_VALUE"""),"Change Comment")</f>
        <v>Change Comment</v>
      </c>
      <c r="BN5" s="30" t="str">
        <f>IFERROR(__xludf.DUMMYFUNCTION("""COMPUTED_VALUE"""),"Order Type")</f>
        <v>Order Type</v>
      </c>
      <c r="BO5" s="30" t="str">
        <f>IFERROR(__xludf.DUMMYFUNCTION("""COMPUTED_VALUE"""),"Underlying")</f>
        <v>Underlying</v>
      </c>
      <c r="BP5" s="30" t="str">
        <f>IFERROR(__xludf.DUMMYFUNCTION("""COMPUTED_VALUE"""),"Exchange")</f>
        <v>Exchange</v>
      </c>
      <c r="BQ5" s="30" t="str">
        <f>IFERROR(__xludf.DUMMYFUNCTION("""COMPUTED_VALUE"""),"Currency")</f>
        <v>Currency</v>
      </c>
      <c r="BR5" s="30" t="str">
        <f>IFERROR(__xludf.DUMMYFUNCTION("""COMPUTED_VALUE"""),"AUECID")</f>
        <v>AUECID</v>
      </c>
      <c r="BS5" s="30" t="str">
        <f>IFERROR(__xludf.DUMMYFUNCTION("""COMPUTED_VALUE"""),"Trading Account")</f>
        <v>Trading Account</v>
      </c>
      <c r="BT5" s="30" t="str">
        <f>IFERROR(__xludf.DUMMYFUNCTION("""COMPUTED_VALUE"""),"Venue")</f>
        <v>Venue</v>
      </c>
      <c r="BU5" s="30" t="str">
        <f>IFERROR(__xludf.DUMMYFUNCTION("""COMPUTED_VALUE"""),"Cum Qty For Sub Order")</f>
        <v>Cum Qty For Sub Order</v>
      </c>
      <c r="BV5" s="30" t="str">
        <f>IFERROR(__xludf.DUMMYFUNCTION("""COMPUTED_VALUE"""),"Contract Multiplier")</f>
        <v>Contract Multiplier</v>
      </c>
      <c r="BW5" s="30" t="str">
        <f>IFERROR(__xludf.DUMMYFUNCTION("""COMPUTED_VALUE"""),"Company")</f>
        <v>Company</v>
      </c>
      <c r="BX5" s="30" t="str">
        <f>IFERROR(__xludf.DUMMYFUNCTION("""COMPUTED_VALUE"""),"Nirvana Process Date")</f>
        <v>Nirvana Process Date</v>
      </c>
      <c r="BY5" s="30" t="str">
        <f>IFERROR(__xludf.DUMMYFUNCTION("""COMPUTED_VALUE"""),"Process Date")</f>
        <v>Process Date</v>
      </c>
      <c r="BZ5" s="30" t="str">
        <f>IFERROR(__xludf.DUMMYFUNCTION("""COMPUTED_VALUE"""),"Original Purchase Date")</f>
        <v>Original Purchase Date</v>
      </c>
      <c r="CA5" s="30" t="str">
        <f>IFERROR(__xludf.DUMMYFUNCTION("""COMPUTED_VALUE"""),"Closing Date")</f>
        <v>Closing Date</v>
      </c>
      <c r="CB5" s="30" t="str">
        <f>IFERROR(__xludf.DUMMYFUNCTION("""COMPUTED_VALUE"""),"Settlement Date")</f>
        <v>Settlement Date</v>
      </c>
      <c r="CC5" s="30" t="str">
        <f>IFERROR(__xludf.DUMMYFUNCTION("""COMPUTED_VALUE"""),"Expiration Date")</f>
        <v>Expiration Date</v>
      </c>
      <c r="CD5" s="30" t="str">
        <f>IFERROR(__xludf.DUMMYFUNCTION("""COMPUTED_VALUE"""),"Underlying Symbol")</f>
        <v>Underlying Symbol</v>
      </c>
      <c r="CE5" s="30" t="str">
        <f>IFERROR(__xludf.DUMMYFUNCTION("""COMPUTED_VALUE"""),"Accrual Basis")</f>
        <v>Accrual Basis</v>
      </c>
      <c r="CF5" s="30" t="str">
        <f>IFERROR(__xludf.DUMMYFUNCTION("""COMPUTED_VALUE"""),"Bond Type")</f>
        <v>Bond Type</v>
      </c>
      <c r="CG5" s="30" t="str">
        <f>IFERROR(__xludf.DUMMYFUNCTION("""COMPUTED_VALUE"""),"Coupon Rate")</f>
        <v>Coupon Rate</v>
      </c>
      <c r="CH5" s="30" t="str">
        <f>IFERROR(__xludf.DUMMYFUNCTION("""COMPUTED_VALUE"""),"Delta")</f>
        <v>Delta</v>
      </c>
      <c r="CI5" s="30" t="str">
        <f>IFERROR(__xludf.DUMMYFUNCTION("""COMPUTED_VALUE"""),"Bloomberg")</f>
        <v>Bloomberg</v>
      </c>
      <c r="CJ5" s="30" t="str">
        <f>IFERROR(__xludf.DUMMYFUNCTION("""COMPUTED_VALUE"""),"Sedol Symbol")</f>
        <v>Sedol Symbol</v>
      </c>
      <c r="CK5" s="30" t="str">
        <f>IFERROR(__xludf.DUMMYFUNCTION("""COMPUTED_VALUE"""),"Cusip Symbol")</f>
        <v>Cusip Symbol</v>
      </c>
      <c r="CL5" s="30" t="str">
        <f>IFERROR(__xludf.DUMMYFUNCTION("""COMPUTED_VALUE"""),"ISIN")</f>
        <v>ISIN</v>
      </c>
      <c r="CM5" s="30" t="str">
        <f>IFERROR(__xludf.DUMMYFUNCTION("""COMPUTED_VALUE"""),"OSISSymbol")</f>
        <v>OSISSymbol</v>
      </c>
      <c r="CN5" s="30" t="str">
        <f>IFERROR(__xludf.DUMMYFUNCTION("""COMPUTED_VALUE"""),"IDCOSymbol")</f>
        <v>IDCOSymbol</v>
      </c>
      <c r="CO5" s="30" t="str">
        <f>IFERROR(__xludf.DUMMYFUNCTION("""COMPUTED_VALUE"""),"Underlying Delta")</f>
        <v>Underlying Delta</v>
      </c>
      <c r="CP5" s="30" t="str">
        <f>IFERROR(__xludf.DUMMYFUNCTION("""COMPUTED_VALUE"""),"Proxy Symbol")</f>
        <v>Proxy Symbol</v>
      </c>
      <c r="CQ5" s="30" t="str">
        <f>IFERROR(__xludf.DUMMYFUNCTION("""COMPUTED_VALUE"""),"Transaction Source")</f>
        <v>Transaction Source</v>
      </c>
      <c r="CR5" s="30" t="str">
        <f>IFERROR(__xludf.DUMMYFUNCTION("""COMPUTED_VALUE"""),"Import File Name")</f>
        <v>Import File Name</v>
      </c>
      <c r="CS5" s="30" t="str">
        <f>IFERROR(__xludf.DUMMYFUNCTION("""COMPUTED_VALUE"""),"MasterFund")</f>
        <v>MasterFund</v>
      </c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21</v>
      </c>
      <c r="C6" s="13">
        <v>256.0</v>
      </c>
      <c r="E6" s="31"/>
      <c r="F6" s="13" t="s">
        <v>17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SelectAllocatedGroup1!$4:$4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1mOtszotVOdqHquQTLi-4CBnAUrtAF2MEABuvYJh_hzw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Percentage")</f>
        <v>Account Percentage</v>
      </c>
      <c r="D5" s="28" t="str">
        <f>IFERROR(__xludf.DUMMYFUNCTION("""COMPUTED_VALUE"""),"Account Quantity")</f>
        <v>Account Quantity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27</v>
      </c>
      <c r="D6" s="13">
        <v>156.0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28</v>
      </c>
      <c r="D7" s="13">
        <v>100.0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EnterAccountValuesToAllocate2!$4:$4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IFERROR(__xludf.DUMMYFUNCTION("""COMPUTED_VALUE"""),"Strategy Name")</f>
        <v>Strategy Name</v>
      </c>
      <c r="D5" s="28" t="str">
        <f>IFERROR(__xludf.DUMMYFUNCTION("""COMPUTED_VALUE"""),"Strategy Percentage")</f>
        <v>Strategy Percentage</v>
      </c>
      <c r="E5" s="28" t="str">
        <f>IFERROR(__xludf.DUMMYFUNCTION("""COMPUTED_VALUE"""),"Strategy Quantity")</f>
        <v>Strategy Quantity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5" t="s">
        <v>27</v>
      </c>
      <c r="C6" s="32" t="s">
        <v>31</v>
      </c>
      <c r="E6" s="34">
        <v>155.0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5" t="s">
        <v>27</v>
      </c>
      <c r="C7" s="32" t="s">
        <v>32</v>
      </c>
      <c r="E7" s="34">
        <v>1.0</v>
      </c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5" t="s">
        <v>28</v>
      </c>
      <c r="C8" s="33" t="s">
        <v>33</v>
      </c>
      <c r="E8" s="34">
        <v>56.0</v>
      </c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5" t="s">
        <v>28</v>
      </c>
      <c r="C9" s="32" t="s">
        <v>34</v>
      </c>
      <c r="E9" s="34">
        <v>44.0</v>
      </c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EnterStrategyValuesToAllocate!$4:$4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1-RJhOo2E5PhyqaiMEjsPi8RpfYBuiSqE9fj_-bRpkKw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IFERROR(__xludf.DUMMYFUNCTION("""COMPUTED_VALUE"""),"Trade Date")</f>
        <v>Trade Date</v>
      </c>
      <c r="G5" s="28" t="str">
        <f>IFERROR(__xludf.DUMMYFUNCTION("""COMPUTED_VALUE"""),"Net Amount( Local)")</f>
        <v>Net Amount( Local)</v>
      </c>
      <c r="H5" s="28" t="str">
        <f>IFERROR(__xludf.DUMMYFUNCTION("""COMPUTED_VALUE"""),"Net Amount( Base)")</f>
        <v>Net Amount( Base)</v>
      </c>
      <c r="I5" s="28" t="str">
        <f>IFERROR(__xludf.DUMMYFUNCTION("""COMPUTED_VALUE"""),"Principal Amount( Local)")</f>
        <v>Principal Amount( Local)</v>
      </c>
      <c r="J5" s="28" t="str">
        <f>IFERROR(__xludf.DUMMYFUNCTION("""COMPUTED_VALUE"""),"Transaction Type")</f>
        <v>Transaction Type</v>
      </c>
      <c r="K5" s="28" t="str">
        <f>IFERROR(__xludf.DUMMYFUNCTION("""COMPUTED_VALUE"""),"Principal Amount( Base)")</f>
        <v>Principal Amount( Base)</v>
      </c>
      <c r="L5" s="28" t="str">
        <f>IFERROR(__xludf.DUMMYFUNCTION("""COMPUTED_VALUE"""),"Execution Time")</f>
        <v>Execution Time</v>
      </c>
      <c r="M5" s="28" t="str">
        <f>IFERROR(__xludf.DUMMYFUNCTION("""COMPUTED_VALUE"""),"Trading Account")</f>
        <v>Trading Account</v>
      </c>
      <c r="N5" s="28" t="str">
        <f>IFERROR(__xludf.DUMMYFUNCTION("""COMPUTED_VALUE"""),"Avg Price(Local)")</f>
        <v>Avg Price(Local)</v>
      </c>
      <c r="O5" s="28" t="str">
        <f>IFERROR(__xludf.DUMMYFUNCTION("""COMPUTED_VALUE"""),"Avg Price(Base)")</f>
        <v>Avg Price(Base)</v>
      </c>
      <c r="P5" s="28" t="str">
        <f>IFERROR(__xludf.DUMMYFUNCTION("""COMPUTED_VALUE"""),"Broker")</f>
        <v>Broker</v>
      </c>
      <c r="Q5" s="28" t="str">
        <f>IFERROR(__xludf.DUMMYFUNCTION("""COMPUTED_VALUE"""),"FX Rate")</f>
        <v>FX Rate</v>
      </c>
      <c r="R5" s="28" t="str">
        <f>IFERROR(__xludf.DUMMYFUNCTION("""COMPUTED_VALUE"""),"Venue")</f>
        <v>Venue</v>
      </c>
      <c r="S5" s="28" t="str">
        <f>IFERROR(__xludf.DUMMYFUNCTION("""COMPUTED_VALUE"""),"FX Conversion Operator")</f>
        <v>FX Conversion Operator</v>
      </c>
      <c r="T5" s="30" t="str">
        <f>IFERROR(__xludf.DUMMYFUNCTION("""COMPUTED_VALUE"""),"User")</f>
        <v>User</v>
      </c>
      <c r="U5" s="30" t="str">
        <f>IFERROR(__xludf.DUMMYFUNCTION("""COMPUTED_VALUE"""),"Asset Category")</f>
        <v>Asset Category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IFERROR(__xludf.DUMMYFUNCTION("""COMPUTED_VALUE"""),"Commission Per Share")</f>
        <v>Commission Per Share</v>
      </c>
      <c r="X5" s="30" t="str">
        <f>IFERROR(__xludf.DUMMYFUNCTION("""COMPUTED_VALUE"""),"Soft Commission Per Share")</f>
        <v>Soft Commission Per Share</v>
      </c>
      <c r="Y5" s="30" t="str">
        <f>IFERROR(__xludf.DUMMYFUNCTION("""COMPUTED_VALUE"""),"Total Commission Per Share")</f>
        <v>Total Commission Per Share</v>
      </c>
      <c r="Z5" s="30" t="str">
        <f>IFERROR(__xludf.DUMMYFUNCTION("""COMPUTED_VALUE"""),"Change Type")</f>
        <v>Change Type</v>
      </c>
      <c r="AA5" s="30" t="str">
        <f>IFERROR(__xludf.DUMMYFUNCTION("""COMPUTED_VALUE"""),"Trade Attribute 1")</f>
        <v>Trade Attribute 1</v>
      </c>
      <c r="AB5" s="30" t="str">
        <f>IFERROR(__xludf.DUMMYFUNCTION("""COMPUTED_VALUE"""),"Trade Attribute 2")</f>
        <v>Trade Attribute 2</v>
      </c>
      <c r="AC5" s="30" t="str">
        <f>IFERROR(__xludf.DUMMYFUNCTION("""COMPUTED_VALUE"""),"Trade Attribute 3")</f>
        <v>Trade Attribute 3</v>
      </c>
      <c r="AD5" s="30" t="str">
        <f>IFERROR(__xludf.DUMMYFUNCTION("""COMPUTED_VALUE"""),"Trade Attribute 4")</f>
        <v>Trade Attribute 4</v>
      </c>
      <c r="AE5" s="30" t="str">
        <f>IFERROR(__xludf.DUMMYFUNCTION("""COMPUTED_VALUE"""),"Trade Attribute 5")</f>
        <v>Trade Attribute 5</v>
      </c>
      <c r="AF5" s="30" t="str">
        <f>IFERROR(__xludf.DUMMYFUNCTION("""COMPUTED_VALUE"""),"Trade Attribute 6")</f>
        <v>Trade Attribute 6</v>
      </c>
      <c r="AG5" s="30" t="str">
        <f>IFERROR(__xludf.DUMMYFUNCTION("""COMPUTED_VALUE"""),"IsPreAllocated")</f>
        <v>IsPreAllocated</v>
      </c>
      <c r="AH5" s="30" t="str">
        <f>IFERROR(__xludf.DUMMYFUNCTION("""COMPUTED_VALUE"""),"IsManual Group")</f>
        <v>IsManual Group</v>
      </c>
      <c r="AI5" s="30" t="str">
        <f>IFERROR(__xludf.DUMMYFUNCTION("""COMPUTED_VALUE"""),"IsAnotherTaxlotAttributesUpdated")</f>
        <v>IsAnotherTaxlotAttributesUpdated</v>
      </c>
      <c r="AJ5" s="30" t="str">
        <f>IFERROR(__xludf.DUMMYFUNCTION("""COMPUTED_VALUE"""),"ISNDF")</f>
        <v>ISNDF</v>
      </c>
      <c r="AK5" s="30" t="str">
        <f>IFERROR(__xludf.DUMMYFUNCTION("""COMPUTED_VALUE"""),"M2MProfitLoss")</f>
        <v>M2MProfitLoss</v>
      </c>
      <c r="AL5" s="30" t="str">
        <f>IFERROR(__xludf.DUMMYFUNCTION("""COMPUTED_VALUE"""),"Put Or Call")</f>
        <v>Put Or Call</v>
      </c>
      <c r="AM5" s="30" t="str">
        <f>IFERROR(__xludf.DUMMYFUNCTION("""COMPUTED_VALUE"""),"GroupID")</f>
        <v>GroupID</v>
      </c>
      <c r="AN5" s="30" t="str">
        <f>IFERROR(__xludf.DUMMYFUNCTION("""COMPUTED_VALUE"""),"UnAllocatedQty")</f>
        <v>UnAllocatedQty</v>
      </c>
      <c r="AO5" s="30" t="str">
        <f>IFERROR(__xludf.DUMMYFUNCTION("""COMPUTED_VALUE"""),"Allocated Qty")</f>
        <v>Allocated Qty</v>
      </c>
      <c r="AP5" s="30" t="str">
        <f>IFERROR(__xludf.DUMMYFUNCTION("""COMPUTED_VALUE"""),"Commission")</f>
        <v>Commission</v>
      </c>
      <c r="AQ5" s="30" t="str">
        <f>IFERROR(__xludf.DUMMYFUNCTION("""COMPUTED_VALUE"""),"Soft Commission")</f>
        <v>Soft Commission</v>
      </c>
      <c r="AR5" s="30" t="str">
        <f>IFERROR(__xludf.DUMMYFUNCTION("""COMPUTED_VALUE"""),"Other Broker Fees")</f>
        <v>Other Broker Fees</v>
      </c>
      <c r="AS5" s="30" t="str">
        <f>IFERROR(__xludf.DUMMYFUNCTION("""COMPUTED_VALUE"""),"Clearing Broker Fee")</f>
        <v>Clearing Broker Fee</v>
      </c>
      <c r="AT5" s="30" t="str">
        <f>IFERROR(__xludf.DUMMYFUNCTION("""COMPUTED_VALUE"""),"Total Commission And Fee")</f>
        <v>Total Commission And Fee</v>
      </c>
      <c r="AU5" s="30" t="str">
        <f>IFERROR(__xludf.DUMMYFUNCTION("""COMPUTED_VALUE"""),"Transaction Levy")</f>
        <v>Transaction Levy</v>
      </c>
      <c r="AV5" s="30" t="str">
        <f>IFERROR(__xludf.DUMMYFUNCTION("""COMPUTED_VALUE"""),"Stamp Duty")</f>
        <v>Stamp Duty</v>
      </c>
      <c r="AW5" s="30" t="str">
        <f>IFERROR(__xludf.DUMMYFUNCTION("""COMPUTED_VALUE"""),"AUEC Fee1")</f>
        <v>AUEC Fee1</v>
      </c>
      <c r="AX5" s="30" t="str">
        <f>IFERROR(__xludf.DUMMYFUNCTION("""COMPUTED_VALUE"""),"Tax On Commissions")</f>
        <v>Tax On Commissions</v>
      </c>
      <c r="AY5" s="30" t="str">
        <f>IFERROR(__xludf.DUMMYFUNCTION("""COMPUTED_VALUE"""),"AUEC Fee2")</f>
        <v>AUEC Fee2</v>
      </c>
      <c r="AZ5" s="30" t="str">
        <f>IFERROR(__xludf.DUMMYFUNCTION("""COMPUTED_VALUE"""),"SEC Fee")</f>
        <v>SEC Fee</v>
      </c>
      <c r="BA5" s="30" t="str">
        <f>IFERROR(__xludf.DUMMYFUNCTION("""COMPUTED_VALUE"""),"OCC Fee")</f>
        <v>OCC Fee</v>
      </c>
      <c r="BB5" s="30" t="str">
        <f>IFERROR(__xludf.DUMMYFUNCTION("""COMPUTED_VALUE"""),"ORF Fee")</f>
        <v>ORF Fee</v>
      </c>
      <c r="BC5" s="30" t="str">
        <f>IFERROR(__xludf.DUMMYFUNCTION("""COMPUTED_VALUE"""),"Option Premium Adjustment")</f>
        <v>Option Premium Adjustment</v>
      </c>
      <c r="BD5" s="30" t="str">
        <f>IFERROR(__xludf.DUMMYFUNCTION("""COMPUTED_VALUE"""),"Prana Msg Type")</f>
        <v>Prana Msg Type</v>
      </c>
      <c r="BE5" s="30" t="str">
        <f>IFERROR(__xludf.DUMMYFUNCTION("""COMPUTED_VALUE"""),"Total Commission")</f>
        <v>Total Commission</v>
      </c>
      <c r="BF5" s="30" t="str">
        <f>IFERROR(__xludf.DUMMYFUNCTION("""COMPUTED_VALUE"""),"Closing Status")</f>
        <v>Closing Status</v>
      </c>
      <c r="BG5" s="30" t="str">
        <f>IFERROR(__xludf.DUMMYFUNCTION("""COMPUTED_VALUE"""),"Closing Method")</f>
        <v>Closing Method</v>
      </c>
      <c r="BH5" s="30" t="str">
        <f>IFERROR(__xludf.DUMMYFUNCTION("""COMPUTED_VALUE"""),"Group Status")</f>
        <v>Group Status</v>
      </c>
      <c r="BI5" s="30" t="str">
        <f>IFERROR(__xludf.DUMMYFUNCTION("""COMPUTED_VALUE"""),"Allocation Scheme Name")</f>
        <v>Allocation Scheme Name</v>
      </c>
      <c r="BJ5" s="30" t="str">
        <f>IFERROR(__xludf.DUMMYFUNCTION("""COMPUTED_VALUE"""),"Change Comment")</f>
        <v>Change Comment</v>
      </c>
      <c r="BK5" s="30" t="str">
        <f>IFERROR(__xludf.DUMMYFUNCTION("""COMPUTED_VALUE"""),"Order Type")</f>
        <v>Order Type</v>
      </c>
      <c r="BL5" s="30" t="str">
        <f>IFERROR(__xludf.DUMMYFUNCTION("""COMPUTED_VALUE"""),"Underlying")</f>
        <v>Underlying</v>
      </c>
      <c r="BM5" s="30" t="str">
        <f>IFERROR(__xludf.DUMMYFUNCTION("""COMPUTED_VALUE"""),"Exchange")</f>
        <v>Exchange</v>
      </c>
      <c r="BN5" s="30" t="str">
        <f>IFERROR(__xludf.DUMMYFUNCTION("""COMPUTED_VALUE"""),"Currency")</f>
        <v>Currency</v>
      </c>
      <c r="BO5" s="30" t="str">
        <f>IFERROR(__xludf.DUMMYFUNCTION("""COMPUTED_VALUE"""),"AUECID")</f>
        <v>AUECID</v>
      </c>
      <c r="BP5" s="30" t="str">
        <f>IFERROR(__xludf.DUMMYFUNCTION("""COMPUTED_VALUE"""),"Cum Qty For Sub Order")</f>
        <v>Cum Qty For Sub Order</v>
      </c>
      <c r="BQ5" s="30" t="str">
        <f>IFERROR(__xludf.DUMMYFUNCTION("""COMPUTED_VALUE"""),"Contract Multiplier")</f>
        <v>Contract Multiplier</v>
      </c>
      <c r="BR5" s="30" t="str">
        <f>IFERROR(__xludf.DUMMYFUNCTION("""COMPUTED_VALUE"""),"Company")</f>
        <v>Company</v>
      </c>
      <c r="BS5" s="30" t="str">
        <f>IFERROR(__xludf.DUMMYFUNCTION("""COMPUTED_VALUE"""),"Nirvana Process Date")</f>
        <v>Nirvana Process Date</v>
      </c>
      <c r="BT5" s="30" t="str">
        <f>IFERROR(__xludf.DUMMYFUNCTION("""COMPUTED_VALUE"""),"Process Date")</f>
        <v>Process Date</v>
      </c>
      <c r="BU5" s="30" t="str">
        <f>IFERROR(__xludf.DUMMYFUNCTION("""COMPUTED_VALUE"""),"Original Purchase Date")</f>
        <v>Original Purchase Date</v>
      </c>
      <c r="BV5" s="30" t="str">
        <f>IFERROR(__xludf.DUMMYFUNCTION("""COMPUTED_VALUE"""),"Closing Date")</f>
        <v>Closing Date</v>
      </c>
      <c r="BW5" s="30" t="str">
        <f>IFERROR(__xludf.DUMMYFUNCTION("""COMPUTED_VALUE"""),"Settlement Date")</f>
        <v>Settlement Date</v>
      </c>
      <c r="BX5" s="30" t="str">
        <f>IFERROR(__xludf.DUMMYFUNCTION("""COMPUTED_VALUE"""),"Expiration Date")</f>
        <v>Expiration Date</v>
      </c>
      <c r="BY5" s="30" t="str">
        <f>IFERROR(__xludf.DUMMYFUNCTION("""COMPUTED_VALUE"""),"Description")</f>
        <v>Description</v>
      </c>
      <c r="BZ5" s="30" t="str">
        <f>IFERROR(__xludf.DUMMYFUNCTION("""COMPUTED_VALUE"""),"Underlying Symbol")</f>
        <v>Underlying Symbol</v>
      </c>
      <c r="CA5" s="30" t="str">
        <f>IFERROR(__xludf.DUMMYFUNCTION("""COMPUTED_VALUE"""),"Accrued Interest")</f>
        <v>Accrued Interest</v>
      </c>
      <c r="CB5" s="30" t="str">
        <f>IFERROR(__xludf.DUMMYFUNCTION("""COMPUTED_VALUE"""),"Accrual Basis")</f>
        <v>Accrual Basis</v>
      </c>
      <c r="CC5" s="30" t="str">
        <f>IFERROR(__xludf.DUMMYFUNCTION("""COMPUTED_VALUE"""),"Bond Type")</f>
        <v>Bond Type</v>
      </c>
      <c r="CD5" s="30" t="str">
        <f>IFERROR(__xludf.DUMMYFUNCTION("""COMPUTED_VALUE"""),"Coupon Rate")</f>
        <v>Coupon Rate</v>
      </c>
      <c r="CE5" s="30" t="str">
        <f>IFERROR(__xludf.DUMMYFUNCTION("""COMPUTED_VALUE"""),"Delta")</f>
        <v>Delta</v>
      </c>
      <c r="CF5" s="30" t="str">
        <f>IFERROR(__xludf.DUMMYFUNCTION("""COMPUTED_VALUE"""),"Bloomberg")</f>
        <v>Bloomberg</v>
      </c>
      <c r="CG5" s="30" t="str">
        <f>IFERROR(__xludf.DUMMYFUNCTION("""COMPUTED_VALUE"""),"Sedol Symbol")</f>
        <v>Sedol Symbol</v>
      </c>
      <c r="CH5" s="30" t="str">
        <f>IFERROR(__xludf.DUMMYFUNCTION("""COMPUTED_VALUE"""),"Cusip Symbol")</f>
        <v>Cusip Symbol</v>
      </c>
      <c r="CI5" s="30" t="str">
        <f>IFERROR(__xludf.DUMMYFUNCTION("""COMPUTED_VALUE"""),"ISIN")</f>
        <v>ISIN</v>
      </c>
      <c r="CJ5" s="30" t="str">
        <f>IFERROR(__xludf.DUMMYFUNCTION("""COMPUTED_VALUE"""),"OSISSymbol")</f>
        <v>OSISSymbol</v>
      </c>
      <c r="CK5" s="30" t="str">
        <f>IFERROR(__xludf.DUMMYFUNCTION("""COMPUTED_VALUE"""),"IDCOSymbol")</f>
        <v>IDCOSymbol</v>
      </c>
      <c r="CL5" s="30" t="str">
        <f>IFERROR(__xludf.DUMMYFUNCTION("""COMPUTED_VALUE"""),"Underlying Delta")</f>
        <v>Underlying Delta</v>
      </c>
      <c r="CM5" s="30" t="str">
        <f>IFERROR(__xludf.DUMMYFUNCTION("""COMPUTED_VALUE"""),"Internal Comments")</f>
        <v>Internal Comments</v>
      </c>
      <c r="CN5" s="30" t="str">
        <f>IFERROR(__xludf.DUMMYFUNCTION("""COMPUTED_VALUE"""),"Proxy Symbol")</f>
        <v>Proxy Symbol</v>
      </c>
      <c r="CO5" s="30" t="str">
        <f>IFERROR(__xludf.DUMMYFUNCTION("""COMPUTED_VALUE"""),"Transaction Source")</f>
        <v>Transaction Source</v>
      </c>
      <c r="CP5" s="30" t="str">
        <f>IFERROR(__xludf.DUMMYFUNCTION("""COMPUTED_VALUE"""),"Import File Name")</f>
        <v>Import File Name</v>
      </c>
      <c r="CQ5" s="30" t="str">
        <f>IFERROR(__xludf.DUMMYFUNCTION("""COMPUTED_VALUE"""),"Master Fund")</f>
        <v>Master Fund</v>
      </c>
      <c r="CR5" s="30" t="str">
        <f>IFERROR(__xludf.DUMMYFUNCTION("""COMPUTED_VALUE"""),"Client")</f>
        <v>Client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22</v>
      </c>
      <c r="C6" s="13" t="s">
        <v>23</v>
      </c>
      <c r="D6" s="13">
        <v>500.0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SelectUnallocatedGroup1!$4:$4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1mOtszotVOdqHquQTLi-4CBnAUrtAF2MEABuvYJh_hzw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Percentage")</f>
        <v>Account Percentage</v>
      </c>
      <c r="D5" s="28" t="str">
        <f>IFERROR(__xludf.DUMMYFUNCTION("""COMPUTED_VALUE"""),"Account Quantity")</f>
        <v>Account Quantity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20</v>
      </c>
      <c r="C6" s="13">
        <v>50.0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27</v>
      </c>
      <c r="C7" s="13">
        <v>50.0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EnterAccountValuesToAllocate3!$4:$4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 t="str">
        <f>IFERROR(__xludf.DUMMYFUNCTION("""COMPUTED_VALUE"""),"MandatoryColumn")</f>
        <v>MandatoryColumn</v>
      </c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6">
        <v>1202.80068</v>
      </c>
      <c r="C6" s="36">
        <v>1202.80068</v>
      </c>
      <c r="D6" s="36">
        <v>1200.0</v>
      </c>
      <c r="E6" s="36">
        <v>1200.0</v>
      </c>
      <c r="F6" s="13" t="s">
        <v>36</v>
      </c>
      <c r="G6" s="8"/>
      <c r="H6" s="13" t="s">
        <v>37</v>
      </c>
      <c r="I6" s="8"/>
      <c r="J6" s="8"/>
      <c r="K6" s="8"/>
      <c r="L6" s="8"/>
      <c r="M6" s="8"/>
      <c r="N6" s="8"/>
      <c r="O6" s="13" t="s">
        <v>27</v>
      </c>
      <c r="P6" s="9" t="s">
        <v>38</v>
      </c>
      <c r="Q6" s="9">
        <v>20.0</v>
      </c>
      <c r="R6" s="9">
        <v>100.0</v>
      </c>
      <c r="AF6" s="9" t="s">
        <v>39</v>
      </c>
      <c r="AI6" s="9">
        <v>12.0</v>
      </c>
      <c r="AJ6" s="9">
        <v>0.0</v>
      </c>
      <c r="AK6" s="9">
        <v>1.0</v>
      </c>
      <c r="AL6" s="9">
        <v>3.0</v>
      </c>
    </row>
    <row r="7" ht="15.75" customHeight="1">
      <c r="A7" s="8"/>
      <c r="B7" s="36">
        <v>1202.80068</v>
      </c>
      <c r="C7" s="36">
        <v>1202.80068</v>
      </c>
      <c r="D7" s="36">
        <v>1200.0</v>
      </c>
      <c r="E7" s="36">
        <v>1200.0</v>
      </c>
      <c r="F7" s="13" t="s">
        <v>36</v>
      </c>
      <c r="G7" s="8"/>
      <c r="H7" s="13" t="s">
        <v>37</v>
      </c>
      <c r="I7" s="8"/>
      <c r="J7" s="8"/>
      <c r="K7" s="8"/>
      <c r="L7" s="8"/>
      <c r="M7" s="8"/>
      <c r="N7" s="8"/>
      <c r="O7" s="13" t="s">
        <v>28</v>
      </c>
      <c r="P7" s="9" t="s">
        <v>38</v>
      </c>
      <c r="Q7" s="9">
        <v>20.0</v>
      </c>
      <c r="R7" s="9">
        <v>100.0</v>
      </c>
      <c r="AF7" s="9" t="s">
        <v>39</v>
      </c>
      <c r="AI7" s="9">
        <v>12.0</v>
      </c>
      <c r="AJ7" s="9">
        <v>0.0</v>
      </c>
      <c r="AK7" s="9">
        <v>1.0</v>
      </c>
      <c r="AL7" s="9">
        <v>3.0</v>
      </c>
    </row>
    <row r="8" ht="15.75" customHeight="1">
      <c r="A8" s="8"/>
      <c r="B8" s="36">
        <v>3608.40204</v>
      </c>
      <c r="C8" s="36">
        <v>3608.40204</v>
      </c>
      <c r="D8" s="36">
        <v>3600.0</v>
      </c>
      <c r="E8" s="36">
        <v>3600.0</v>
      </c>
      <c r="F8" s="13" t="s">
        <v>36</v>
      </c>
      <c r="G8" s="8"/>
      <c r="H8" s="13" t="s">
        <v>37</v>
      </c>
      <c r="I8" s="8"/>
      <c r="J8" s="8"/>
      <c r="K8" s="8"/>
      <c r="L8" s="8"/>
      <c r="M8" s="8"/>
      <c r="N8" s="8"/>
      <c r="O8" s="13" t="s">
        <v>20</v>
      </c>
      <c r="P8" s="9" t="s">
        <v>38</v>
      </c>
      <c r="Q8" s="9">
        <v>60.0</v>
      </c>
      <c r="R8" s="9">
        <v>300.0</v>
      </c>
      <c r="AF8" s="9" t="s">
        <v>39</v>
      </c>
      <c r="AI8" s="9">
        <v>12.0</v>
      </c>
      <c r="AJ8" s="9">
        <v>0.0</v>
      </c>
      <c r="AK8" s="9">
        <v>1.0</v>
      </c>
      <c r="AL8" s="9">
        <v>3.0</v>
      </c>
    </row>
    <row r="9" ht="15.75" customHeight="1">
      <c r="A9" s="8"/>
      <c r="B9" s="36">
        <v>4811.20272</v>
      </c>
      <c r="C9" s="36">
        <v>4811.20272</v>
      </c>
      <c r="D9" s="36">
        <v>4800.0</v>
      </c>
      <c r="E9" s="36">
        <v>4800.0</v>
      </c>
      <c r="F9" s="13" t="s">
        <v>36</v>
      </c>
      <c r="G9" s="8"/>
      <c r="H9" s="13" t="s">
        <v>37</v>
      </c>
      <c r="I9" s="8"/>
      <c r="J9" s="8"/>
      <c r="K9" s="8"/>
      <c r="L9" s="8"/>
      <c r="M9" s="8"/>
      <c r="N9" s="8"/>
      <c r="O9" s="13" t="s">
        <v>27</v>
      </c>
      <c r="P9" s="9" t="s">
        <v>38</v>
      </c>
      <c r="Q9" s="9">
        <v>80.0</v>
      </c>
      <c r="R9" s="9">
        <v>400.0</v>
      </c>
      <c r="AF9" s="9" t="s">
        <v>39</v>
      </c>
      <c r="AI9" s="9">
        <v>12.0</v>
      </c>
      <c r="AJ9" s="9">
        <v>0.0</v>
      </c>
      <c r="AK9" s="9">
        <v>1.0</v>
      </c>
      <c r="AL9" s="9">
        <v>3.0</v>
      </c>
    </row>
    <row r="10" ht="15.75" customHeight="1">
      <c r="A10" s="8"/>
      <c r="B10" s="36">
        <v>1202.80068</v>
      </c>
      <c r="C10" s="36">
        <v>1202.80068</v>
      </c>
      <c r="D10" s="36">
        <v>1200.0</v>
      </c>
      <c r="E10" s="36">
        <v>1200.0</v>
      </c>
      <c r="F10" s="13" t="s">
        <v>36</v>
      </c>
      <c r="G10" s="8"/>
      <c r="H10" s="13" t="s">
        <v>37</v>
      </c>
      <c r="I10" s="8"/>
      <c r="J10" s="8"/>
      <c r="K10" s="8"/>
      <c r="L10" s="8"/>
      <c r="M10" s="8"/>
      <c r="N10" s="8"/>
      <c r="O10" s="13" t="s">
        <v>28</v>
      </c>
      <c r="P10" s="9" t="s">
        <v>38</v>
      </c>
      <c r="Q10" s="9">
        <v>20.0</v>
      </c>
      <c r="R10" s="9">
        <v>100.0</v>
      </c>
      <c r="AF10" s="9" t="s">
        <v>39</v>
      </c>
      <c r="AI10" s="9">
        <v>12.0</v>
      </c>
      <c r="AJ10" s="9">
        <v>0.0</v>
      </c>
      <c r="AK10" s="9">
        <v>1.0</v>
      </c>
      <c r="AL10" s="9">
        <v>3.0</v>
      </c>
    </row>
    <row r="11" ht="15.75" customHeight="1">
      <c r="A11" s="8"/>
      <c r="B11" s="36">
        <v>1877.88409375</v>
      </c>
      <c r="C11" s="36">
        <v>1877.88409375</v>
      </c>
      <c r="D11" s="36">
        <v>1860.0</v>
      </c>
      <c r="E11" s="36">
        <v>1860.0</v>
      </c>
      <c r="F11" s="13" t="s">
        <v>36</v>
      </c>
      <c r="G11" s="8"/>
      <c r="H11" s="13" t="s">
        <v>37</v>
      </c>
      <c r="I11" s="8"/>
      <c r="J11" s="8"/>
      <c r="K11" s="8"/>
      <c r="L11" s="8"/>
      <c r="M11" s="8"/>
      <c r="N11" s="8"/>
      <c r="O11" s="13" t="s">
        <v>27</v>
      </c>
      <c r="P11" s="9" t="s">
        <v>31</v>
      </c>
      <c r="Q11" s="9">
        <v>60.9375</v>
      </c>
      <c r="R11" s="9">
        <v>155.0</v>
      </c>
      <c r="AF11" s="9" t="s">
        <v>39</v>
      </c>
      <c r="AI11" s="9">
        <v>12.0</v>
      </c>
      <c r="AJ11" s="9">
        <v>0.0</v>
      </c>
      <c r="AK11" s="9">
        <v>1.0</v>
      </c>
      <c r="AL11" s="9">
        <v>3.0</v>
      </c>
    </row>
    <row r="12" ht="15.75" customHeight="1">
      <c r="A12" s="8"/>
      <c r="B12" s="13">
        <v>12.11538125</v>
      </c>
      <c r="C12" s="13">
        <v>12.11538125</v>
      </c>
      <c r="D12" s="13">
        <v>12.0</v>
      </c>
      <c r="E12" s="13">
        <v>12.0</v>
      </c>
      <c r="F12" s="13" t="s">
        <v>36</v>
      </c>
      <c r="G12" s="8"/>
      <c r="H12" s="13" t="s">
        <v>37</v>
      </c>
      <c r="I12" s="8"/>
      <c r="J12" s="8"/>
      <c r="K12" s="8"/>
      <c r="L12" s="8"/>
      <c r="M12" s="8"/>
      <c r="N12" s="8"/>
      <c r="O12" s="13" t="s">
        <v>27</v>
      </c>
      <c r="P12" s="9" t="s">
        <v>32</v>
      </c>
      <c r="Q12" s="9">
        <v>60.9375</v>
      </c>
      <c r="R12" s="9">
        <v>1.0</v>
      </c>
      <c r="AF12" s="9" t="s">
        <v>39</v>
      </c>
      <c r="AI12" s="9">
        <v>12.0</v>
      </c>
      <c r="AJ12" s="9">
        <v>0.0</v>
      </c>
      <c r="AK12" s="9">
        <v>1.0</v>
      </c>
      <c r="AL12" s="9">
        <v>3.0</v>
      </c>
    </row>
    <row r="13" ht="15.75" customHeight="1">
      <c r="A13" s="8"/>
      <c r="B13" s="13">
        <v>678.46135</v>
      </c>
      <c r="C13" s="13">
        <v>678.46135</v>
      </c>
      <c r="D13" s="13">
        <v>672.0</v>
      </c>
      <c r="E13" s="13">
        <v>672.0</v>
      </c>
      <c r="F13" s="13" t="s">
        <v>36</v>
      </c>
      <c r="G13" s="8"/>
      <c r="H13" s="13" t="s">
        <v>37</v>
      </c>
      <c r="I13" s="8"/>
      <c r="J13" s="8"/>
      <c r="K13" s="8"/>
      <c r="L13" s="8"/>
      <c r="M13" s="8"/>
      <c r="N13" s="8"/>
      <c r="O13" s="13" t="s">
        <v>28</v>
      </c>
      <c r="P13" s="9" t="s">
        <v>33</v>
      </c>
      <c r="Q13" s="9">
        <v>39.0625</v>
      </c>
      <c r="R13" s="9">
        <v>56.0</v>
      </c>
      <c r="AF13" s="9" t="s">
        <v>39</v>
      </c>
      <c r="AI13" s="9">
        <v>12.0</v>
      </c>
      <c r="AJ13" s="9">
        <v>0.0</v>
      </c>
      <c r="AK13" s="9">
        <v>1.0</v>
      </c>
      <c r="AL13" s="9">
        <v>3.0</v>
      </c>
    </row>
    <row r="14" ht="15.75" customHeight="1">
      <c r="A14" s="8"/>
      <c r="B14" s="13">
        <v>533.076775</v>
      </c>
      <c r="C14" s="13">
        <v>533.076775</v>
      </c>
      <c r="D14" s="13">
        <v>528.0</v>
      </c>
      <c r="E14" s="13">
        <v>528.0</v>
      </c>
      <c r="F14" s="13" t="s">
        <v>36</v>
      </c>
      <c r="G14" s="8"/>
      <c r="H14" s="13" t="s">
        <v>37</v>
      </c>
      <c r="I14" s="8"/>
      <c r="J14" s="8"/>
      <c r="K14" s="8"/>
      <c r="L14" s="8"/>
      <c r="M14" s="8"/>
      <c r="N14" s="8"/>
      <c r="O14" s="13" t="s">
        <v>28</v>
      </c>
      <c r="P14" s="9" t="s">
        <v>34</v>
      </c>
      <c r="Q14" s="9">
        <v>39.0625</v>
      </c>
      <c r="R14" s="9">
        <v>44.0</v>
      </c>
      <c r="AF14" s="9" t="s">
        <v>39</v>
      </c>
      <c r="AI14" s="9">
        <v>12.0</v>
      </c>
      <c r="AJ14" s="9">
        <v>0.0</v>
      </c>
      <c r="AK14" s="9">
        <v>1.0</v>
      </c>
      <c r="AL14" s="9">
        <v>3.0</v>
      </c>
    </row>
    <row r="15" ht="15.75" customHeight="1">
      <c r="A15" s="8"/>
      <c r="B15" s="36">
        <v>2992.9983</v>
      </c>
      <c r="C15" s="36">
        <v>2992.9983</v>
      </c>
      <c r="D15" s="36">
        <v>3000.0</v>
      </c>
      <c r="E15" s="36">
        <v>3000.0</v>
      </c>
      <c r="F15" s="13" t="s">
        <v>36</v>
      </c>
      <c r="G15" s="8"/>
      <c r="H15" s="13" t="s">
        <v>37</v>
      </c>
      <c r="I15" s="8"/>
      <c r="J15" s="8"/>
      <c r="K15" s="8"/>
      <c r="L15" s="8"/>
      <c r="M15" s="8"/>
      <c r="N15" s="8"/>
      <c r="O15" s="13" t="s">
        <v>27</v>
      </c>
      <c r="P15" s="9" t="s">
        <v>38</v>
      </c>
      <c r="Q15" s="9">
        <v>50.0</v>
      </c>
      <c r="R15" s="9">
        <v>250.0</v>
      </c>
      <c r="AF15" s="9" t="s">
        <v>39</v>
      </c>
      <c r="AI15" s="9">
        <v>12.0</v>
      </c>
      <c r="AJ15" s="9">
        <v>0.0</v>
      </c>
      <c r="AK15" s="9">
        <v>1.0</v>
      </c>
      <c r="AL15" s="9">
        <v>3.0</v>
      </c>
    </row>
    <row r="16" ht="15.75" customHeight="1">
      <c r="A16" s="8"/>
      <c r="B16" s="36">
        <v>2992.9983</v>
      </c>
      <c r="C16" s="36">
        <v>2992.9983</v>
      </c>
      <c r="D16" s="36">
        <v>3000.0</v>
      </c>
      <c r="E16" s="36">
        <v>3000.0</v>
      </c>
      <c r="F16" s="13" t="s">
        <v>36</v>
      </c>
      <c r="G16" s="8"/>
      <c r="H16" s="13" t="s">
        <v>37</v>
      </c>
      <c r="I16" s="8"/>
      <c r="J16" s="8"/>
      <c r="K16" s="8"/>
      <c r="L16" s="8"/>
      <c r="M16" s="8"/>
      <c r="N16" s="8"/>
      <c r="O16" s="13" t="s">
        <v>20</v>
      </c>
      <c r="P16" s="9" t="s">
        <v>38</v>
      </c>
      <c r="Q16" s="9">
        <v>50.0</v>
      </c>
      <c r="R16" s="9">
        <v>250.0</v>
      </c>
      <c r="AF16" s="9" t="s">
        <v>39</v>
      </c>
      <c r="AI16" s="9">
        <v>12.0</v>
      </c>
      <c r="AJ16" s="9">
        <v>0.0</v>
      </c>
      <c r="AK16" s="9">
        <v>1.0</v>
      </c>
      <c r="AL16" s="9">
        <v>3.0</v>
      </c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CheckAllocatedTaxlots!$4:$4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