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SetShortLocateStructures" sheetId="5" r:id="rId7"/>
    <sheet state="visible" name="ImportOnShortLocate" sheetId="6" r:id="rId8"/>
    <sheet state="visible" name="VerifyShortLocateGrid" sheetId="7" r:id="rId9"/>
    <sheet state="visible" name="CustomOrderTT" sheetId="8" r:id="rId10"/>
    <sheet state="visible" name="UpdateShortLocateFromTT" sheetId="9" r:id="rId11"/>
    <sheet state="visible" name="VerifyShortLocateGrid1" sheetId="10" r:id="rId12"/>
    <sheet state="visible" name="SelectTradeOnOrderGrid" sheetId="11" r:id="rId13"/>
    <sheet state="visible" name="ReplaceSubOrder" sheetId="12" r:id="rId14"/>
    <sheet state="visible" name="CreateReplaceOrder" sheetId="13" r:id="rId15"/>
    <sheet state="visible" name="VerifyShortLocateGrid2" sheetId="14" r:id="rId16"/>
    <sheet state="visible" name="CustomOrderTT1" sheetId="15" r:id="rId17"/>
    <sheet state="visible" name="UpdateShortLocateFromTT1" sheetId="16" r:id="rId18"/>
    <sheet state="visible" name="VerifyShortLocateGrid3" sheetId="17" r:id="rId19"/>
    <sheet state="visible" name="SelectTradeOnOrderGrid1" sheetId="18" r:id="rId20"/>
    <sheet state="visible" name="ReplaceSubOrder1" sheetId="19" r:id="rId21"/>
    <sheet state="visible" name="CreateReplaceOrder1" sheetId="20" r:id="rId22"/>
    <sheet state="visible" name="VerifyShortLocateGrid4" sheetId="21" r:id="rId23"/>
    <sheet state="visible" name="SelectTrade" sheetId="22" r:id="rId24"/>
    <sheet state="visible" name="AcknowledgeTrade" sheetId="23" r:id="rId25"/>
    <sheet state="visible" name="ExecuteTrade" sheetId="24" r:id="rId26"/>
  </sheets>
  <definedNames/>
  <calcPr/>
</workbook>
</file>

<file path=xl/sharedStrings.xml><?xml version="1.0" encoding="utf-8"?>
<sst xmlns="http://schemas.openxmlformats.org/spreadsheetml/2006/main" count="212" uniqueCount="43">
  <si>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</si>
  <si>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</si>
  <si>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</si>
  <si>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</si>
  <si>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</si>
  <si>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</si>
  <si>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</si>
  <si>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</si>
  <si>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</si>
  <si>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</si>
  <si>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</si>
  <si>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</si>
  <si>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</si>
  <si>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</si>
  <si>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</si>
  <si>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</si>
  <si>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</si>
  <si>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SetShortLocateStructures</t>
  </si>
  <si>
    <t>ShortLocate</t>
  </si>
  <si>
    <t>ImportOnShortLocate</t>
  </si>
  <si>
    <t>MS</t>
  </si>
  <si>
    <t>\\192.168.2.108\DistributedAutomation_Master\Import Cases\ShortLocate - 0072.csv</t>
  </si>
  <si>
    <t>VerifyShortLocateGrid</t>
  </si>
  <si>
    <t>MSFT</t>
  </si>
  <si>
    <t>GS4566232</t>
  </si>
  <si>
    <t>API</t>
  </si>
  <si>
    <t>AAPL</t>
  </si>
  <si>
    <t>GS4566233</t>
  </si>
  <si>
    <t>TradingTicket</t>
  </si>
  <si>
    <t>CustomOrderTT</t>
  </si>
  <si>
    <t>DoneAway</t>
  </si>
  <si>
    <t>Sell short</t>
  </si>
  <si>
    <t>UpdateShortLocateFromTT</t>
  </si>
  <si>
    <t>MANUAL</t>
  </si>
  <si>
    <t>Blotter</t>
  </si>
  <si>
    <t>SelectTradeOnOrderGrid</t>
  </si>
  <si>
    <t>ReplaceSubOrder</t>
  </si>
  <si>
    <t>CreateReplaceOrder</t>
  </si>
  <si>
    <t>Send</t>
  </si>
  <si>
    <t>Simulator</t>
  </si>
  <si>
    <t>SelectTrade</t>
  </si>
  <si>
    <t>AcknowledgeTrade</t>
  </si>
  <si>
    <t>ExecuteTrade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</si>
</sst>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1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IFERROR(__xludf.DUMMYFUNCTION("""COMPUTED_VALUE"""),"isShowmasterFundOnShortLocate")</f>
        <v>isShowmasterFundOnShortLocate</v>
      </c>
      <c r="C5" s="27" t="str">
        <f>IFERROR(__xludf.DUMMYFUNCTION("""COMPUTED_VALUE"""),"IsImportOverrideOnShortLocate")</f>
        <v>IsImportOverrideOnShortLocate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SetShortLocateStructures!$4:$4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20</v>
      </c>
      <c r="C6" s="34" t="s">
        <v>21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5" t="s">
        <v>23</v>
      </c>
      <c r="C6" s="36" t="s">
        <v>20</v>
      </c>
      <c r="D6" s="37">
        <v>0.0</v>
      </c>
      <c r="E6" s="38">
        <v>0.0</v>
      </c>
      <c r="F6" s="39">
        <v>5000.0</v>
      </c>
      <c r="G6" s="38">
        <v>2.0</v>
      </c>
      <c r="H6" s="38">
        <v>0.0</v>
      </c>
      <c r="I6" s="40" t="s">
        <v>24</v>
      </c>
      <c r="J6" s="38">
        <v>0.0</v>
      </c>
      <c r="K6" s="38">
        <v>0.0</v>
      </c>
      <c r="L6" s="38">
        <v>0.0</v>
      </c>
      <c r="M6" s="39">
        <v>5000.0</v>
      </c>
      <c r="N6" s="38">
        <v>2.0</v>
      </c>
      <c r="O6" s="36" t="s">
        <v>25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6" t="s">
        <v>26</v>
      </c>
      <c r="C7" s="36" t="s">
        <v>20</v>
      </c>
      <c r="D7" s="38">
        <v>0.0</v>
      </c>
      <c r="E7" s="38">
        <v>0.0</v>
      </c>
      <c r="F7" s="39">
        <v>5000.0</v>
      </c>
      <c r="G7" s="38">
        <v>2.0</v>
      </c>
      <c r="H7" s="38">
        <v>0.0</v>
      </c>
      <c r="I7" s="40" t="s">
        <v>27</v>
      </c>
      <c r="J7" s="38">
        <v>0.0</v>
      </c>
      <c r="K7" s="38">
        <v>0.0</v>
      </c>
      <c r="L7" s="38">
        <v>0.0</v>
      </c>
      <c r="M7" s="39">
        <v>5000.0</v>
      </c>
      <c r="N7" s="38">
        <v>2.0</v>
      </c>
      <c r="O7" s="36" t="s">
        <v>25</v>
      </c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>
        <v>1000.0</v>
      </c>
      <c r="D6" s="12">
        <v>2.0</v>
      </c>
      <c r="E6" s="12" t="s">
        <v>30</v>
      </c>
      <c r="F6" s="8"/>
      <c r="G6" s="12" t="b">
        <v>1</v>
      </c>
      <c r="H6" s="8"/>
      <c r="I6" s="8"/>
      <c r="J6" s="12" t="s">
        <v>31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20</v>
      </c>
      <c r="C6" s="39">
        <v>5000.0</v>
      </c>
      <c r="D6" s="39">
        <v>1000.0</v>
      </c>
      <c r="E6" s="38">
        <v>2.0</v>
      </c>
      <c r="F6" s="36" t="s">
        <v>24</v>
      </c>
      <c r="G6" s="41" t="b">
        <v>1</v>
      </c>
      <c r="H6" s="31"/>
      <c r="I6" s="36" t="s">
        <v>33</v>
      </c>
      <c r="J6" s="39">
        <v>1000.0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UpdateShortLocateFromTT!$4:$4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>
      <c r="A6" s="31"/>
      <c r="B6" s="36" t="s">
        <v>23</v>
      </c>
      <c r="C6" s="36" t="s">
        <v>20</v>
      </c>
      <c r="D6" s="38">
        <v>0.0</v>
      </c>
      <c r="E6" s="38">
        <v>0.0</v>
      </c>
      <c r="F6" s="39">
        <v>4000.0</v>
      </c>
      <c r="G6" s="38">
        <v>2.0</v>
      </c>
      <c r="H6" s="38">
        <v>0.0</v>
      </c>
      <c r="I6" s="36" t="s">
        <v>24</v>
      </c>
      <c r="J6" s="39">
        <v>1000.0</v>
      </c>
      <c r="K6" s="39">
        <v>2.0</v>
      </c>
      <c r="L6" s="38">
        <v>0.0</v>
      </c>
      <c r="M6" s="39">
        <v>5000.0</v>
      </c>
      <c r="N6" s="38">
        <v>2.0</v>
      </c>
      <c r="O6" s="36" t="s">
        <v>25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23</v>
      </c>
      <c r="E6" s="32"/>
      <c r="F6" s="12" t="s">
        <v>31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23</v>
      </c>
      <c r="AK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31</v>
      </c>
      <c r="D6" s="12">
        <v>1200.0</v>
      </c>
      <c r="E6" s="32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23</v>
      </c>
      <c r="C6" s="36" t="s">
        <v>20</v>
      </c>
      <c r="D6" s="37">
        <v>0.0</v>
      </c>
      <c r="E6" s="38">
        <v>0.0</v>
      </c>
      <c r="F6" s="39">
        <v>3800.0</v>
      </c>
      <c r="G6" s="38">
        <v>2.0</v>
      </c>
      <c r="H6" s="38">
        <v>0.0</v>
      </c>
      <c r="I6" s="36" t="s">
        <v>24</v>
      </c>
      <c r="J6" s="39">
        <v>1200.0</v>
      </c>
      <c r="K6" s="39">
        <v>0.0</v>
      </c>
      <c r="L6" s="38">
        <v>0.0</v>
      </c>
      <c r="M6" s="39">
        <v>5000.0</v>
      </c>
      <c r="N6" s="38">
        <v>2.0</v>
      </c>
      <c r="O6" s="36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>
        <v>1000.0</v>
      </c>
      <c r="D6" s="12">
        <v>2.0</v>
      </c>
      <c r="E6" s="12" t="s">
        <v>38</v>
      </c>
      <c r="F6" s="8"/>
      <c r="G6" s="12" t="b">
        <v>1</v>
      </c>
      <c r="H6" s="8"/>
      <c r="I6" s="8"/>
      <c r="J6" s="12" t="s">
        <v>31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20</v>
      </c>
      <c r="C6" s="39">
        <v>5000.0</v>
      </c>
      <c r="D6" s="39">
        <v>1000.0</v>
      </c>
      <c r="E6" s="38">
        <v>2.0</v>
      </c>
      <c r="F6" s="42" t="s">
        <v>27</v>
      </c>
      <c r="G6" s="41" t="b">
        <v>1</v>
      </c>
      <c r="H6" s="31"/>
      <c r="I6" s="36"/>
      <c r="J6" s="39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UpdateShortLocateFromTT1!$4:$4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2" t="s">
        <v>26</v>
      </c>
      <c r="C6" s="36" t="s">
        <v>20</v>
      </c>
      <c r="D6" s="38">
        <v>0.0</v>
      </c>
      <c r="E6" s="38">
        <v>0.0</v>
      </c>
      <c r="F6" s="39">
        <v>4000.0</v>
      </c>
      <c r="G6" s="38">
        <v>2.0</v>
      </c>
      <c r="H6" s="38">
        <v>0.0</v>
      </c>
      <c r="I6" s="42" t="s">
        <v>27</v>
      </c>
      <c r="J6" s="39">
        <v>1000.0</v>
      </c>
      <c r="K6" s="39">
        <v>2.0</v>
      </c>
      <c r="L6" s="38">
        <v>0.0</v>
      </c>
      <c r="M6" s="39">
        <v>5000.0</v>
      </c>
      <c r="N6" s="38">
        <v>2.0</v>
      </c>
      <c r="O6" s="36" t="s">
        <v>25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26</v>
      </c>
      <c r="E6" s="32"/>
      <c r="F6" s="12" t="s">
        <v>31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26</v>
      </c>
      <c r="AK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31</v>
      </c>
      <c r="D6" s="12">
        <v>1200.0</v>
      </c>
      <c r="E6" s="32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26</v>
      </c>
      <c r="C6" s="36" t="s">
        <v>20</v>
      </c>
      <c r="D6" s="37">
        <v>0.0</v>
      </c>
      <c r="E6" s="38">
        <v>0.0</v>
      </c>
      <c r="F6" s="39">
        <v>3800.0</v>
      </c>
      <c r="G6" s="38">
        <v>2.0</v>
      </c>
      <c r="H6" s="38">
        <v>0.0</v>
      </c>
      <c r="I6" s="42" t="s">
        <v>27</v>
      </c>
      <c r="J6" s="39">
        <v>1200.0</v>
      </c>
      <c r="K6" s="39">
        <v>0.0</v>
      </c>
      <c r="L6" s="38">
        <v>0.0</v>
      </c>
      <c r="M6" s="39">
        <v>5000.0</v>
      </c>
      <c r="N6" s="38">
        <v>2.0</v>
      </c>
      <c r="O6" s="36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26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26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500.0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