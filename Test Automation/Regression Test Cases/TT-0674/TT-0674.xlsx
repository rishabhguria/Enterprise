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DoneAwayOrder" sheetId="6" r:id="rId8"/>
    <sheet state="visible" name="VerifyWorkingSubs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UnallocatedGroups" sheetId="11" r:id="rId13"/>
  </sheets>
  <definedNames/>
  <calcPr/>
</workbook>
</file>

<file path=xl/sharedStrings.xml><?xml version="1.0" encoding="utf-8"?>
<sst xmlns="http://schemas.openxmlformats.org/spreadsheetml/2006/main" count="1869" uniqueCount="81">
  <si>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</si>
  <si>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</si>
  <si>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</si>
  <si>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</si>
  <si>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</si>
  <si>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</si>
  <si>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</si>
  <si>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</si>
  <si>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</si>
  <si>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</si>
  <si>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</si>
  <si>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</si>
  <si>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</si>
  <si>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</si>
  <si>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</si>
  <si>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</si>
  <si>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</si>
  <si>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</si>
  <si>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</si>
  <si>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</si>
  <si>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TradingTicket</t>
  </si>
  <si>
    <t>CreateDoneAwayOrder</t>
  </si>
  <si>
    <t>INFY</t>
  </si>
  <si>
    <t>Buy</t>
  </si>
  <si>
    <t>Unallocated</t>
  </si>
  <si>
    <t>TA1</t>
  </si>
  <si>
    <t>TA2</t>
  </si>
  <si>
    <t>TA3</t>
  </si>
  <si>
    <t>FRU-TC</t>
  </si>
  <si>
    <t>USD</t>
  </si>
  <si>
    <t>AAPL</t>
  </si>
  <si>
    <t>Allocation1,Allocation2</t>
  </si>
  <si>
    <t>50,50</t>
  </si>
  <si>
    <t>AMZN</t>
  </si>
  <si>
    <t>MSFT</t>
  </si>
  <si>
    <t>Blotter</t>
  </si>
  <si>
    <t>VerifyWorkingSubs</t>
  </si>
  <si>
    <t/>
  </si>
  <si>
    <t>New</t>
  </si>
  <si>
    <t>MS</t>
  </si>
  <si>
    <t>Market</t>
  </si>
  <si>
    <t>jpearce</t>
  </si>
  <si>
    <t>INFY US EQUITY</t>
  </si>
  <si>
    <t>N.A.</t>
  </si>
  <si>
    <t>UNALLOCATED</t>
  </si>
  <si>
    <t>Equity</t>
  </si>
  <si>
    <t>M</t>
  </si>
  <si>
    <t>DefaultNotes</t>
  </si>
  <si>
    <t>NONE</t>
  </si>
  <si>
    <t>Manual</t>
  </si>
  <si>
    <t>GCCAP1</t>
  </si>
  <si>
    <t>US</t>
  </si>
  <si>
    <t>NASDAQ</t>
  </si>
  <si>
    <t>Filled</t>
  </si>
  <si>
    <t>FRU CN EQUITY</t>
  </si>
  <si>
    <t>ALLOCATED</t>
  </si>
  <si>
    <t>D</t>
  </si>
  <si>
    <t>Strategy Unallocated</t>
  </si>
  <si>
    <t>NewMF1</t>
  </si>
  <si>
    <t>Multiple</t>
  </si>
  <si>
    <t>AAPL US EQUITY</t>
  </si>
  <si>
    <t>AMZN US EQUITY</t>
  </si>
  <si>
    <t>MSFT US EQUITY</t>
  </si>
  <si>
    <t>VerifyOrder</t>
  </si>
  <si>
    <t>Day</t>
  </si>
  <si>
    <t>GetDataAllocation</t>
  </si>
  <si>
    <t>Historical</t>
  </si>
  <si>
    <t>CheckAllocatedGroups</t>
  </si>
  <si>
    <t>Actual_365</t>
  </si>
  <si>
    <t>Treasury</t>
  </si>
  <si>
    <t>Open</t>
  </si>
  <si>
    <t>CAD</t>
  </si>
  <si>
    <t>FRU-TC.C</t>
  </si>
  <si>
    <t>BrokerNotes</t>
  </si>
  <si>
    <t>TSX</t>
  </si>
  <si>
    <t>None</t>
  </si>
  <si>
    <t>InternalOrder</t>
  </si>
  <si>
    <t>APPLE</t>
  </si>
  <si>
    <t>CheckUnallocatedGroups</t>
  </si>
  <si>
    <t>AMAZON.COM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</si>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</sst>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40.0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1000.0</v>
      </c>
      <c r="E6" s="12">
        <v>0.0</v>
      </c>
      <c r="F6" s="12" t="s">
        <v>24</v>
      </c>
      <c r="G6" s="8"/>
      <c r="H6" s="8"/>
      <c r="I6" s="8"/>
      <c r="J6" s="8"/>
      <c r="K6" s="8"/>
      <c r="L6" s="8"/>
      <c r="M6" s="8"/>
      <c r="N6" s="31">
        <f t="shared" ref="N6:N7" si="1">TODAY()</f>
        <v>45805</v>
      </c>
      <c r="O6" s="8"/>
      <c r="V6" s="9" t="s">
        <v>25</v>
      </c>
      <c r="W6" s="9" t="s">
        <v>26</v>
      </c>
      <c r="X6" s="9" t="s">
        <v>27</v>
      </c>
    </row>
    <row r="7" ht="15.75" customHeight="1">
      <c r="A7" s="8"/>
      <c r="B7" s="12" t="s">
        <v>28</v>
      </c>
      <c r="C7" s="12" t="s">
        <v>23</v>
      </c>
      <c r="D7" s="12">
        <v>1000.0</v>
      </c>
      <c r="E7" s="12">
        <v>1000.0</v>
      </c>
      <c r="F7" s="12" t="s">
        <v>19</v>
      </c>
      <c r="G7" s="8"/>
      <c r="H7" s="8"/>
      <c r="I7" s="8"/>
      <c r="J7" s="12">
        <v>10.12</v>
      </c>
      <c r="K7" s="8"/>
      <c r="L7" s="8"/>
      <c r="M7" s="8"/>
      <c r="N7" s="31">
        <f t="shared" si="1"/>
        <v>45805</v>
      </c>
      <c r="O7" s="12">
        <v>1.2</v>
      </c>
      <c r="AF7" s="9" t="s">
        <v>29</v>
      </c>
    </row>
    <row r="8" ht="15.75" customHeight="1">
      <c r="A8" s="8"/>
      <c r="B8" s="12" t="s">
        <v>30</v>
      </c>
      <c r="C8" s="12" t="s">
        <v>23</v>
      </c>
      <c r="D8" s="12">
        <v>1000.0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K8" s="9" t="s">
        <v>31</v>
      </c>
      <c r="AL8" s="9" t="s">
        <v>32</v>
      </c>
    </row>
    <row r="9" ht="15.75" customHeight="1">
      <c r="A9" s="8"/>
      <c r="B9" s="12" t="s">
        <v>33</v>
      </c>
      <c r="C9" s="12" t="s">
        <v>23</v>
      </c>
      <c r="D9" s="12">
        <v>1000.0</v>
      </c>
      <c r="E9" s="8"/>
      <c r="F9" s="12" t="s">
        <v>16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34</v>
      </c>
      <c r="C10" s="12" t="s">
        <v>23</v>
      </c>
      <c r="D10" s="12">
        <v>1000.0</v>
      </c>
      <c r="E10" s="12"/>
      <c r="F10" s="12" t="s">
        <v>24</v>
      </c>
      <c r="G10" s="8"/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37</v>
      </c>
      <c r="B6" s="32" t="s">
        <v>22</v>
      </c>
      <c r="C6" s="8" t="s">
        <v>23</v>
      </c>
      <c r="D6" s="32">
        <v>1000.0</v>
      </c>
      <c r="E6" s="8"/>
      <c r="F6" s="8">
        <v>1000.0</v>
      </c>
      <c r="G6" s="8" t="s">
        <v>38</v>
      </c>
      <c r="H6" s="8"/>
      <c r="I6" s="8"/>
      <c r="J6" s="8"/>
      <c r="K6" s="8" t="s">
        <v>39</v>
      </c>
      <c r="L6" s="8"/>
      <c r="M6" s="8" t="s">
        <v>40</v>
      </c>
      <c r="N6" s="8" t="s">
        <v>37</v>
      </c>
      <c r="O6" s="8"/>
      <c r="R6" t="s">
        <v>41</v>
      </c>
      <c r="S6" t="s">
        <v>42</v>
      </c>
      <c r="T6" t="s">
        <v>43</v>
      </c>
      <c r="V6" t="s">
        <v>44</v>
      </c>
      <c r="W6" t="s">
        <v>45</v>
      </c>
      <c r="X6" t="s">
        <v>46</v>
      </c>
      <c r="Y6">
        <v>1.0</v>
      </c>
      <c r="AA6" t="s">
        <v>47</v>
      </c>
      <c r="AF6" t="s">
        <v>48</v>
      </c>
      <c r="AG6" t="s">
        <v>29</v>
      </c>
      <c r="AH6" t="s">
        <v>49</v>
      </c>
      <c r="AI6" t="s">
        <v>38</v>
      </c>
      <c r="AL6" t="s">
        <v>25</v>
      </c>
      <c r="AM6" t="s">
        <v>26</v>
      </c>
      <c r="AN6" t="s">
        <v>27</v>
      </c>
      <c r="AR6" t="s">
        <v>50</v>
      </c>
      <c r="AT6" t="s">
        <v>51</v>
      </c>
      <c r="AU6" t="s">
        <v>22</v>
      </c>
      <c r="AV6" t="s">
        <v>52</v>
      </c>
      <c r="AW6">
        <v>1000.0</v>
      </c>
      <c r="AX6" t="s">
        <v>37</v>
      </c>
      <c r="BB6" t="s">
        <v>41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25</v>
      </c>
      <c r="EZ6" t="s">
        <v>26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37</v>
      </c>
      <c r="B7" s="8" t="s">
        <v>28</v>
      </c>
      <c r="C7" s="8" t="s">
        <v>23</v>
      </c>
      <c r="D7" s="8">
        <v>1000.0</v>
      </c>
      <c r="E7" s="8">
        <v>1000.0</v>
      </c>
      <c r="F7" s="8"/>
      <c r="G7" s="8" t="s">
        <v>53</v>
      </c>
      <c r="H7" s="8">
        <v>1000.0</v>
      </c>
      <c r="I7" s="8">
        <v>10.12</v>
      </c>
      <c r="J7" s="8">
        <v>10.12</v>
      </c>
      <c r="K7" s="8" t="s">
        <v>39</v>
      </c>
      <c r="L7" s="8" t="s">
        <v>19</v>
      </c>
      <c r="M7" s="8" t="s">
        <v>40</v>
      </c>
      <c r="N7" s="8" t="s">
        <v>37</v>
      </c>
      <c r="O7" s="8">
        <v>8.4333</v>
      </c>
      <c r="R7" t="s">
        <v>41</v>
      </c>
      <c r="S7" t="s">
        <v>54</v>
      </c>
      <c r="T7" t="s">
        <v>43</v>
      </c>
      <c r="V7" t="s">
        <v>55</v>
      </c>
      <c r="W7" t="s">
        <v>45</v>
      </c>
      <c r="X7" t="s">
        <v>56</v>
      </c>
      <c r="Y7">
        <v>1.2</v>
      </c>
      <c r="AA7" t="s">
        <v>47</v>
      </c>
      <c r="AD7">
        <v>10120.0</v>
      </c>
      <c r="AF7" t="s">
        <v>48</v>
      </c>
      <c r="AG7" t="s">
        <v>29</v>
      </c>
      <c r="AH7" t="s">
        <v>49</v>
      </c>
      <c r="AI7" t="s">
        <v>53</v>
      </c>
      <c r="AJ7" t="s">
        <v>57</v>
      </c>
      <c r="AR7" t="s">
        <v>50</v>
      </c>
      <c r="AT7" t="s">
        <v>51</v>
      </c>
      <c r="AU7" t="s">
        <v>28</v>
      </c>
      <c r="AV7" t="s">
        <v>52</v>
      </c>
      <c r="AX7" t="s">
        <v>37</v>
      </c>
      <c r="BA7" t="s">
        <v>58</v>
      </c>
      <c r="BB7" t="s">
        <v>41</v>
      </c>
      <c r="BC7">
        <v>100.0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37</v>
      </c>
      <c r="B8" s="8" t="s">
        <v>30</v>
      </c>
      <c r="C8" s="8" t="s">
        <v>23</v>
      </c>
      <c r="D8" s="8">
        <v>1000.0</v>
      </c>
      <c r="E8" s="8">
        <v>1000.0</v>
      </c>
      <c r="F8" s="8"/>
      <c r="G8" s="8" t="s">
        <v>53</v>
      </c>
      <c r="H8" s="8">
        <v>1000.0</v>
      </c>
      <c r="I8" s="8"/>
      <c r="J8" s="8"/>
      <c r="K8" s="8" t="s">
        <v>39</v>
      </c>
      <c r="L8" s="8" t="s">
        <v>59</v>
      </c>
      <c r="M8" s="8" t="s">
        <v>40</v>
      </c>
      <c r="N8" s="8" t="s">
        <v>37</v>
      </c>
      <c r="O8" s="8"/>
      <c r="R8" t="s">
        <v>41</v>
      </c>
      <c r="S8" t="s">
        <v>60</v>
      </c>
      <c r="T8" t="s">
        <v>43</v>
      </c>
      <c r="V8" t="s">
        <v>55</v>
      </c>
      <c r="W8" t="s">
        <v>45</v>
      </c>
      <c r="X8" t="s">
        <v>46</v>
      </c>
      <c r="Y8">
        <v>1.0</v>
      </c>
      <c r="AA8" t="s">
        <v>47</v>
      </c>
      <c r="AF8" t="s">
        <v>48</v>
      </c>
      <c r="AG8" t="s">
        <v>29</v>
      </c>
      <c r="AH8" t="s">
        <v>49</v>
      </c>
      <c r="AI8" t="s">
        <v>53</v>
      </c>
      <c r="AJ8" t="s">
        <v>57</v>
      </c>
      <c r="AR8" t="s">
        <v>50</v>
      </c>
      <c r="AT8" t="s">
        <v>51</v>
      </c>
      <c r="AU8" t="s">
        <v>30</v>
      </c>
      <c r="AV8" t="s">
        <v>52</v>
      </c>
      <c r="AX8" t="s">
        <v>37</v>
      </c>
      <c r="BA8" t="s">
        <v>59</v>
      </c>
      <c r="BB8" t="s">
        <v>41</v>
      </c>
      <c r="BC8">
        <v>100.0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37</v>
      </c>
      <c r="B9" s="8" t="s">
        <v>33</v>
      </c>
      <c r="C9" s="8" t="s">
        <v>23</v>
      </c>
      <c r="D9" s="8">
        <v>1000.0</v>
      </c>
      <c r="E9" s="8">
        <v>1000.0</v>
      </c>
      <c r="F9" s="8"/>
      <c r="G9" s="8" t="s">
        <v>53</v>
      </c>
      <c r="H9" s="8">
        <v>1000.0</v>
      </c>
      <c r="I9" s="8"/>
      <c r="J9" s="8"/>
      <c r="K9" s="8" t="s">
        <v>39</v>
      </c>
      <c r="L9" s="8"/>
      <c r="M9" s="8" t="s">
        <v>40</v>
      </c>
      <c r="N9" s="8" t="s">
        <v>37</v>
      </c>
      <c r="O9" s="8"/>
      <c r="R9" t="s">
        <v>41</v>
      </c>
      <c r="S9" t="s">
        <v>61</v>
      </c>
      <c r="T9" t="s">
        <v>43</v>
      </c>
      <c r="V9" t="s">
        <v>44</v>
      </c>
      <c r="W9" t="s">
        <v>45</v>
      </c>
      <c r="X9" t="s">
        <v>46</v>
      </c>
      <c r="Y9">
        <v>1.0</v>
      </c>
      <c r="AA9" t="s">
        <v>47</v>
      </c>
      <c r="AF9" t="s">
        <v>48</v>
      </c>
      <c r="AG9" t="s">
        <v>29</v>
      </c>
      <c r="AH9" t="s">
        <v>49</v>
      </c>
      <c r="AI9" t="s">
        <v>53</v>
      </c>
      <c r="AR9" t="s">
        <v>50</v>
      </c>
      <c r="AT9" t="s">
        <v>51</v>
      </c>
      <c r="AU9" t="s">
        <v>33</v>
      </c>
      <c r="AV9" t="s">
        <v>52</v>
      </c>
      <c r="AX9" t="s">
        <v>37</v>
      </c>
      <c r="BB9" t="s">
        <v>41</v>
      </c>
      <c r="BC9">
        <v>100.0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37</v>
      </c>
      <c r="B10" s="8" t="s">
        <v>34</v>
      </c>
      <c r="C10" s="8" t="s">
        <v>23</v>
      </c>
      <c r="D10" s="8">
        <v>1000.0</v>
      </c>
      <c r="E10" s="8">
        <v>1000.0</v>
      </c>
      <c r="F10" s="8"/>
      <c r="G10" s="8" t="s">
        <v>53</v>
      </c>
      <c r="H10" s="8">
        <v>1000.0</v>
      </c>
      <c r="I10" s="8">
        <v>2.0</v>
      </c>
      <c r="J10" s="8">
        <v>2.0</v>
      </c>
      <c r="K10" s="8" t="s">
        <v>39</v>
      </c>
      <c r="L10" s="8"/>
      <c r="M10" s="8" t="s">
        <v>40</v>
      </c>
      <c r="N10" s="8" t="s">
        <v>37</v>
      </c>
      <c r="O10" s="8">
        <v>2.0</v>
      </c>
      <c r="R10" t="s">
        <v>41</v>
      </c>
      <c r="S10" t="s">
        <v>62</v>
      </c>
      <c r="T10" t="s">
        <v>43</v>
      </c>
      <c r="V10" t="s">
        <v>44</v>
      </c>
      <c r="W10" t="s">
        <v>45</v>
      </c>
      <c r="X10" t="s">
        <v>46</v>
      </c>
      <c r="Y10">
        <v>1.0</v>
      </c>
      <c r="AA10" t="s">
        <v>47</v>
      </c>
      <c r="AC10">
        <v>2000.0</v>
      </c>
      <c r="AD10">
        <v>2000.0</v>
      </c>
      <c r="AF10" t="s">
        <v>48</v>
      </c>
      <c r="AG10" t="s">
        <v>29</v>
      </c>
      <c r="AH10" t="s">
        <v>49</v>
      </c>
      <c r="AI10" t="s">
        <v>53</v>
      </c>
      <c r="AR10" t="s">
        <v>50</v>
      </c>
      <c r="AT10" t="s">
        <v>51</v>
      </c>
      <c r="AU10" t="s">
        <v>34</v>
      </c>
      <c r="AV10" t="s">
        <v>52</v>
      </c>
      <c r="AX10" t="s">
        <v>37</v>
      </c>
      <c r="BB10" t="s">
        <v>41</v>
      </c>
      <c r="BC10">
        <v>100.0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37</v>
      </c>
      <c r="B6" s="32"/>
      <c r="C6" s="8"/>
      <c r="D6" s="32"/>
      <c r="E6" s="8" t="s">
        <v>42</v>
      </c>
      <c r="F6" s="8"/>
      <c r="G6" s="8">
        <v>1000.0</v>
      </c>
      <c r="H6" s="8" t="s">
        <v>52</v>
      </c>
      <c r="I6" s="8" t="s">
        <v>41</v>
      </c>
      <c r="J6" s="8" t="s">
        <v>22</v>
      </c>
      <c r="K6" s="8" t="s">
        <v>51</v>
      </c>
      <c r="L6" s="8" t="s">
        <v>50</v>
      </c>
      <c r="M6" s="8"/>
      <c r="N6" s="8"/>
      <c r="O6" s="8"/>
      <c r="P6" t="s">
        <v>27</v>
      </c>
      <c r="Q6" t="s">
        <v>25</v>
      </c>
      <c r="R6" t="s">
        <v>26</v>
      </c>
      <c r="U6" t="s">
        <v>29</v>
      </c>
      <c r="V6" t="s">
        <v>48</v>
      </c>
      <c r="AC6" t="s">
        <v>47</v>
      </c>
      <c r="AD6">
        <v>1.0</v>
      </c>
      <c r="AF6" t="s">
        <v>46</v>
      </c>
      <c r="AG6">
        <v>0.0</v>
      </c>
      <c r="AH6" t="s">
        <v>45</v>
      </c>
      <c r="AI6" t="s">
        <v>22</v>
      </c>
      <c r="AJ6" t="s">
        <v>23</v>
      </c>
      <c r="AK6" t="s">
        <v>38</v>
      </c>
      <c r="AL6">
        <v>1000.0</v>
      </c>
      <c r="AS6" t="s">
        <v>39</v>
      </c>
      <c r="AU6" t="s">
        <v>40</v>
      </c>
      <c r="AY6" t="s">
        <v>37</v>
      </c>
      <c r="AZ6">
        <v>1000.0</v>
      </c>
      <c r="BA6" t="s">
        <v>41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H6" t="s">
        <v>64</v>
      </c>
      <c r="BK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25</v>
      </c>
      <c r="EZ6" t="s">
        <v>26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37</v>
      </c>
      <c r="B7" s="8"/>
      <c r="C7" s="8"/>
      <c r="D7" s="8"/>
      <c r="E7" s="8" t="s">
        <v>54</v>
      </c>
      <c r="F7" s="8"/>
      <c r="G7" s="8"/>
      <c r="H7" s="8" t="s">
        <v>52</v>
      </c>
      <c r="I7" s="8" t="s">
        <v>41</v>
      </c>
      <c r="J7" s="8" t="s">
        <v>28</v>
      </c>
      <c r="K7" s="8" t="s">
        <v>51</v>
      </c>
      <c r="L7" s="8" t="s">
        <v>50</v>
      </c>
      <c r="M7" s="8"/>
      <c r="N7" s="8"/>
      <c r="O7" s="8"/>
      <c r="U7" t="s">
        <v>29</v>
      </c>
      <c r="V7" t="s">
        <v>48</v>
      </c>
      <c r="AA7" t="s">
        <v>58</v>
      </c>
      <c r="AB7">
        <v>1000.0</v>
      </c>
      <c r="AC7" t="s">
        <v>47</v>
      </c>
      <c r="AD7">
        <v>1.2</v>
      </c>
      <c r="AF7" t="s">
        <v>56</v>
      </c>
      <c r="AG7">
        <v>10.12</v>
      </c>
      <c r="AH7" t="s">
        <v>45</v>
      </c>
      <c r="AI7" t="s">
        <v>28</v>
      </c>
      <c r="AJ7" t="s">
        <v>23</v>
      </c>
      <c r="AK7" t="s">
        <v>53</v>
      </c>
      <c r="AL7">
        <v>1000.0</v>
      </c>
      <c r="AM7">
        <v>1000.0</v>
      </c>
      <c r="AN7">
        <v>100.0</v>
      </c>
      <c r="AO7">
        <v>1000.0</v>
      </c>
      <c r="AQ7">
        <v>10.12</v>
      </c>
      <c r="AR7">
        <v>10.12</v>
      </c>
      <c r="AS7" t="s">
        <v>39</v>
      </c>
      <c r="AT7" t="s">
        <v>19</v>
      </c>
      <c r="AU7" t="s">
        <v>40</v>
      </c>
      <c r="AV7">
        <v>10120.0</v>
      </c>
      <c r="AW7">
        <v>8433.3333</v>
      </c>
      <c r="AX7" t="s">
        <v>49</v>
      </c>
      <c r="AY7" t="s">
        <v>37</v>
      </c>
      <c r="BA7" t="s">
        <v>41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H7" t="s">
        <v>64</v>
      </c>
      <c r="BK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37</v>
      </c>
      <c r="B8" s="8"/>
      <c r="C8" s="8"/>
      <c r="D8" s="8"/>
      <c r="E8" s="8" t="s">
        <v>60</v>
      </c>
      <c r="F8" s="8"/>
      <c r="G8" s="8"/>
      <c r="H8" s="8" t="s">
        <v>52</v>
      </c>
      <c r="I8" s="8" t="s">
        <v>41</v>
      </c>
      <c r="J8" s="8" t="s">
        <v>30</v>
      </c>
      <c r="K8" s="8" t="s">
        <v>51</v>
      </c>
      <c r="L8" s="8" t="s">
        <v>50</v>
      </c>
      <c r="M8" s="8"/>
      <c r="N8" s="8"/>
      <c r="O8" s="8"/>
      <c r="U8" t="s">
        <v>29</v>
      </c>
      <c r="V8" t="s">
        <v>48</v>
      </c>
      <c r="AA8" t="s">
        <v>59</v>
      </c>
      <c r="AB8">
        <v>1000.0</v>
      </c>
      <c r="AC8" t="s">
        <v>47</v>
      </c>
      <c r="AD8">
        <v>1.0</v>
      </c>
      <c r="AF8" t="s">
        <v>46</v>
      </c>
      <c r="AG8">
        <v>0.0</v>
      </c>
      <c r="AH8" t="s">
        <v>45</v>
      </c>
      <c r="AI8" t="s">
        <v>30</v>
      </c>
      <c r="AJ8" t="s">
        <v>23</v>
      </c>
      <c r="AK8" t="s">
        <v>53</v>
      </c>
      <c r="AL8">
        <v>1000.0</v>
      </c>
      <c r="AM8">
        <v>1000.0</v>
      </c>
      <c r="AN8">
        <v>100.0</v>
      </c>
      <c r="AO8">
        <v>1000.0</v>
      </c>
      <c r="AS8" t="s">
        <v>39</v>
      </c>
      <c r="AT8" t="s">
        <v>59</v>
      </c>
      <c r="AU8" t="s">
        <v>40</v>
      </c>
      <c r="AY8" t="s">
        <v>37</v>
      </c>
      <c r="BA8" t="s">
        <v>41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H8" t="s">
        <v>64</v>
      </c>
      <c r="BK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37</v>
      </c>
      <c r="B9" s="8"/>
      <c r="C9" s="8"/>
      <c r="D9" s="8"/>
      <c r="E9" s="8" t="s">
        <v>61</v>
      </c>
      <c r="F9" s="8"/>
      <c r="G9" s="8"/>
      <c r="H9" s="8" t="s">
        <v>52</v>
      </c>
      <c r="I9" s="8" t="s">
        <v>41</v>
      </c>
      <c r="J9" s="8" t="s">
        <v>33</v>
      </c>
      <c r="K9" s="8" t="s">
        <v>51</v>
      </c>
      <c r="L9" s="8" t="s">
        <v>50</v>
      </c>
      <c r="M9" s="8"/>
      <c r="N9" s="8"/>
      <c r="O9" s="8"/>
      <c r="U9" t="s">
        <v>29</v>
      </c>
      <c r="V9" t="s">
        <v>48</v>
      </c>
      <c r="AB9">
        <v>1000.0</v>
      </c>
      <c r="AC9" t="s">
        <v>47</v>
      </c>
      <c r="AD9">
        <v>1.0</v>
      </c>
      <c r="AF9" t="s">
        <v>46</v>
      </c>
      <c r="AG9">
        <v>0.0</v>
      </c>
      <c r="AH9" t="s">
        <v>45</v>
      </c>
      <c r="AI9" t="s">
        <v>33</v>
      </c>
      <c r="AJ9" t="s">
        <v>23</v>
      </c>
      <c r="AK9" t="s">
        <v>53</v>
      </c>
      <c r="AL9">
        <v>1000.0</v>
      </c>
      <c r="AM9">
        <v>1000.0</v>
      </c>
      <c r="AN9">
        <v>100.0</v>
      </c>
      <c r="AO9">
        <v>1000.0</v>
      </c>
      <c r="AS9" t="s">
        <v>39</v>
      </c>
      <c r="AU9" t="s">
        <v>40</v>
      </c>
      <c r="AY9" t="s">
        <v>37</v>
      </c>
      <c r="BA9" t="s">
        <v>41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H9" t="s">
        <v>64</v>
      </c>
      <c r="BK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 t="s">
        <v>37</v>
      </c>
      <c r="B10" s="8"/>
      <c r="C10" s="8"/>
      <c r="D10" s="8">
        <v>2.0</v>
      </c>
      <c r="E10" s="8" t="s">
        <v>62</v>
      </c>
      <c r="F10" s="8"/>
      <c r="G10" s="8"/>
      <c r="H10" s="8" t="s">
        <v>52</v>
      </c>
      <c r="I10" s="8" t="s">
        <v>41</v>
      </c>
      <c r="J10" s="8" t="s">
        <v>34</v>
      </c>
      <c r="K10" s="8" t="s">
        <v>51</v>
      </c>
      <c r="L10" s="8" t="s">
        <v>50</v>
      </c>
      <c r="M10" s="8"/>
      <c r="N10" s="8"/>
      <c r="O10" s="8"/>
      <c r="U10" t="s">
        <v>29</v>
      </c>
      <c r="V10" t="s">
        <v>48</v>
      </c>
      <c r="AB10">
        <v>1000.0</v>
      </c>
      <c r="AC10" t="s">
        <v>47</v>
      </c>
      <c r="AD10">
        <v>1.0</v>
      </c>
      <c r="AF10" t="s">
        <v>46</v>
      </c>
      <c r="AG10">
        <v>2.0</v>
      </c>
      <c r="AH10" t="s">
        <v>45</v>
      </c>
      <c r="AI10" t="s">
        <v>34</v>
      </c>
      <c r="AJ10" t="s">
        <v>23</v>
      </c>
      <c r="AK10" t="s">
        <v>53</v>
      </c>
      <c r="AL10">
        <v>1000.0</v>
      </c>
      <c r="AM10">
        <v>1000.0</v>
      </c>
      <c r="AN10">
        <v>100.0</v>
      </c>
      <c r="AO10">
        <v>1000.0</v>
      </c>
      <c r="AQ10">
        <v>2.0</v>
      </c>
      <c r="AR10">
        <v>2.0</v>
      </c>
      <c r="AS10" t="s">
        <v>39</v>
      </c>
      <c r="AU10" t="s">
        <v>40</v>
      </c>
      <c r="AV10">
        <v>2000.0</v>
      </c>
      <c r="AW10">
        <v>2000.0</v>
      </c>
      <c r="AY10" t="s">
        <v>37</v>
      </c>
      <c r="BA10" t="s">
        <v>41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H10" t="s">
        <v>64</v>
      </c>
      <c r="BK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31">
        <f>TODAY()-1</f>
        <v>45804</v>
      </c>
      <c r="D6" s="31">
        <f>TODAY()</f>
        <v>45805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37</v>
      </c>
      <c r="B6" s="32" t="s">
        <v>19</v>
      </c>
      <c r="C6" s="8" t="s">
        <v>68</v>
      </c>
      <c r="D6" s="32"/>
      <c r="E6" s="8">
        <v>1000.0</v>
      </c>
      <c r="F6" s="8" t="s">
        <v>49</v>
      </c>
      <c r="G6" s="8" t="s">
        <v>45</v>
      </c>
      <c r="H6" s="8"/>
      <c r="I6" s="8"/>
      <c r="J6" s="8">
        <v>73.0</v>
      </c>
      <c r="K6" s="8"/>
      <c r="L6" s="8">
        <v>10.12</v>
      </c>
      <c r="M6" s="8" t="s">
        <v>54</v>
      </c>
      <c r="N6" s="8" t="s">
        <v>69</v>
      </c>
      <c r="O6" s="8" t="s">
        <v>39</v>
      </c>
      <c r="Q6">
        <v>3.0</v>
      </c>
      <c r="S6" t="s">
        <v>70</v>
      </c>
      <c r="V6" t="s">
        <v>28</v>
      </c>
      <c r="W6">
        <v>1.0</v>
      </c>
      <c r="Y6" t="s">
        <v>37</v>
      </c>
      <c r="Z6" t="s">
        <v>71</v>
      </c>
      <c r="AA6" t="s">
        <v>72</v>
      </c>
      <c r="AB6">
        <v>1.0</v>
      </c>
      <c r="AC6" t="s">
        <v>73</v>
      </c>
      <c r="AD6" t="s">
        <v>74</v>
      </c>
      <c r="AE6">
        <v>1000.0</v>
      </c>
      <c r="AF6" t="s">
        <v>37</v>
      </c>
      <c r="AH6" t="s">
        <v>56</v>
      </c>
      <c r="AI6">
        <v>1.2</v>
      </c>
      <c r="AJ6" t="s">
        <v>75</v>
      </c>
      <c r="AM6" t="s">
        <v>47</v>
      </c>
      <c r="AN6" t="b">
        <v>0</v>
      </c>
      <c r="AP6" t="b">
        <v>1</v>
      </c>
      <c r="AQ6" t="b">
        <v>0</v>
      </c>
      <c r="AR6" t="b">
        <v>1</v>
      </c>
      <c r="AU6">
        <v>10120.0</v>
      </c>
      <c r="AY6" t="s">
        <v>40</v>
      </c>
      <c r="BD6" t="s">
        <v>76</v>
      </c>
      <c r="BF6">
        <v>10120.0</v>
      </c>
      <c r="BJ6">
        <v>1000.0</v>
      </c>
      <c r="BL6" t="s">
        <v>37</v>
      </c>
      <c r="BM6" t="s">
        <v>29</v>
      </c>
      <c r="BO6" t="s">
        <v>23</v>
      </c>
      <c r="BS6" t="s">
        <v>57</v>
      </c>
      <c r="BT6" t="s">
        <v>28</v>
      </c>
      <c r="CF6" t="s">
        <v>50</v>
      </c>
      <c r="CH6" t="s">
        <v>20</v>
      </c>
      <c r="CI6" t="s">
        <v>23</v>
      </c>
      <c r="CK6" t="s">
        <v>51</v>
      </c>
      <c r="CL6">
        <v>1.0</v>
      </c>
      <c r="CM6" t="s">
        <v>28</v>
      </c>
      <c r="CN6" t="s">
        <v>41</v>
      </c>
      <c r="CO6" t="s">
        <v>52</v>
      </c>
      <c r="CP6" t="s">
        <v>48</v>
      </c>
      <c r="CS6" t="s">
        <v>37</v>
      </c>
      <c r="CX6" t="s">
        <v>58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37</v>
      </c>
      <c r="B7" s="8" t="s">
        <v>59</v>
      </c>
      <c r="C7" s="8" t="s">
        <v>68</v>
      </c>
      <c r="D7" s="8"/>
      <c r="E7" s="8">
        <v>1000.0</v>
      </c>
      <c r="F7" s="8"/>
      <c r="G7" s="8" t="s">
        <v>45</v>
      </c>
      <c r="H7" s="8">
        <v>4.0</v>
      </c>
      <c r="I7" s="8">
        <v>5.0</v>
      </c>
      <c r="J7" s="8">
        <v>1.0</v>
      </c>
      <c r="K7" s="8"/>
      <c r="L7" s="8"/>
      <c r="M7" s="8" t="s">
        <v>60</v>
      </c>
      <c r="N7" s="8" t="s">
        <v>69</v>
      </c>
      <c r="O7" s="8" t="s">
        <v>39</v>
      </c>
      <c r="Q7">
        <v>3.0</v>
      </c>
      <c r="S7" t="s">
        <v>70</v>
      </c>
      <c r="V7" t="s">
        <v>77</v>
      </c>
      <c r="W7">
        <v>1.0</v>
      </c>
      <c r="Y7" t="s">
        <v>37</v>
      </c>
      <c r="Z7" t="s">
        <v>29</v>
      </c>
      <c r="AA7" t="s">
        <v>30</v>
      </c>
      <c r="AB7">
        <v>1.0</v>
      </c>
      <c r="AC7" t="s">
        <v>73</v>
      </c>
      <c r="AD7" t="s">
        <v>52</v>
      </c>
      <c r="AE7">
        <v>1000.0</v>
      </c>
      <c r="AF7" t="s">
        <v>37</v>
      </c>
      <c r="AH7" t="s">
        <v>46</v>
      </c>
      <c r="AI7">
        <v>1.0</v>
      </c>
      <c r="AJ7" t="s">
        <v>75</v>
      </c>
      <c r="AM7" t="s">
        <v>47</v>
      </c>
      <c r="AN7" t="b">
        <v>0</v>
      </c>
      <c r="AP7" t="b">
        <v>1</v>
      </c>
      <c r="AQ7" t="b">
        <v>0</v>
      </c>
      <c r="AR7" t="b">
        <v>1</v>
      </c>
      <c r="AT7">
        <v>14.0</v>
      </c>
      <c r="AU7">
        <v>14.0</v>
      </c>
      <c r="AY7" t="s">
        <v>40</v>
      </c>
      <c r="BD7" t="s">
        <v>76</v>
      </c>
      <c r="BJ7">
        <v>1000.0</v>
      </c>
      <c r="BL7" t="s">
        <v>37</v>
      </c>
      <c r="BM7" t="s">
        <v>29</v>
      </c>
      <c r="BO7" t="s">
        <v>23</v>
      </c>
      <c r="BS7" t="s">
        <v>57</v>
      </c>
      <c r="BT7" t="s">
        <v>30</v>
      </c>
      <c r="BU7">
        <v>3.0</v>
      </c>
      <c r="BW7">
        <v>14.0</v>
      </c>
      <c r="CF7" t="s">
        <v>50</v>
      </c>
      <c r="CG7">
        <v>2.0</v>
      </c>
      <c r="CH7" t="s">
        <v>20</v>
      </c>
      <c r="CI7" t="s">
        <v>23</v>
      </c>
      <c r="CK7" t="s">
        <v>51</v>
      </c>
      <c r="CL7">
        <v>1.0</v>
      </c>
      <c r="CM7" t="s">
        <v>30</v>
      </c>
      <c r="CN7" t="s">
        <v>41</v>
      </c>
      <c r="CO7" t="s">
        <v>52</v>
      </c>
      <c r="CP7" t="s">
        <v>48</v>
      </c>
      <c r="CS7" t="s">
        <v>37</v>
      </c>
      <c r="CX7" t="s">
        <v>59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37</v>
      </c>
      <c r="B6" s="32" t="s">
        <v>37</v>
      </c>
      <c r="C6" s="8"/>
      <c r="D6" s="32"/>
      <c r="E6" s="8"/>
      <c r="F6" s="8" t="s">
        <v>45</v>
      </c>
      <c r="G6" s="8">
        <v>4.0</v>
      </c>
      <c r="H6" s="8">
        <v>5.0</v>
      </c>
      <c r="I6" s="8">
        <v>1.0</v>
      </c>
      <c r="J6" s="8"/>
      <c r="K6" s="8"/>
      <c r="L6" s="8" t="s">
        <v>61</v>
      </c>
      <c r="M6" s="8" t="s">
        <v>37</v>
      </c>
      <c r="N6" s="8" t="s">
        <v>39</v>
      </c>
      <c r="O6" s="8"/>
      <c r="P6">
        <v>3.0</v>
      </c>
      <c r="R6" t="s">
        <v>48</v>
      </c>
      <c r="S6" t="s">
        <v>70</v>
      </c>
      <c r="V6" t="s">
        <v>79</v>
      </c>
      <c r="W6">
        <v>1.0</v>
      </c>
      <c r="X6" t="s">
        <v>37</v>
      </c>
      <c r="Y6" t="s">
        <v>37</v>
      </c>
      <c r="Z6" t="s">
        <v>29</v>
      </c>
      <c r="AA6">
        <v>2.3135106E7</v>
      </c>
      <c r="AB6">
        <v>1.0</v>
      </c>
      <c r="AC6" t="s">
        <v>73</v>
      </c>
      <c r="AD6" t="s">
        <v>52</v>
      </c>
      <c r="AE6">
        <v>1000.0</v>
      </c>
      <c r="AG6" t="s">
        <v>46</v>
      </c>
      <c r="AH6">
        <v>1.0</v>
      </c>
      <c r="AI6" t="s">
        <v>75</v>
      </c>
      <c r="AM6" t="s">
        <v>47</v>
      </c>
      <c r="AN6" t="b">
        <v>0</v>
      </c>
      <c r="AP6" t="b">
        <v>1</v>
      </c>
      <c r="AQ6" t="b">
        <v>0</v>
      </c>
      <c r="AR6" t="b">
        <v>0</v>
      </c>
      <c r="AT6">
        <v>14.0</v>
      </c>
      <c r="AU6">
        <v>14.0</v>
      </c>
      <c r="AY6" t="s">
        <v>40</v>
      </c>
      <c r="BD6" t="s">
        <v>76</v>
      </c>
      <c r="BE6">
        <v>0.0</v>
      </c>
      <c r="BF6">
        <v>0.0</v>
      </c>
      <c r="BJ6">
        <v>1000.0</v>
      </c>
      <c r="BL6" t="s">
        <v>37</v>
      </c>
      <c r="BM6" t="s">
        <v>29</v>
      </c>
      <c r="BO6" t="s">
        <v>23</v>
      </c>
      <c r="BS6" t="s">
        <v>33</v>
      </c>
      <c r="BT6">
        <v>3.0</v>
      </c>
      <c r="BV6">
        <v>14.0</v>
      </c>
      <c r="CE6" t="s">
        <v>50</v>
      </c>
      <c r="CF6">
        <v>2.0</v>
      </c>
      <c r="CG6" t="s">
        <v>20</v>
      </c>
      <c r="CH6" t="s">
        <v>23</v>
      </c>
      <c r="CI6">
        <v>1000.0</v>
      </c>
      <c r="CJ6" t="s">
        <v>51</v>
      </c>
      <c r="CK6">
        <v>1.0</v>
      </c>
      <c r="CL6" t="s">
        <v>33</v>
      </c>
      <c r="CM6" t="s">
        <v>41</v>
      </c>
      <c r="CN6" t="s">
        <v>52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37</v>
      </c>
      <c r="B7" s="8" t="s">
        <v>37</v>
      </c>
      <c r="C7" s="8"/>
      <c r="D7" s="8"/>
      <c r="E7" s="8"/>
      <c r="F7" s="8" t="s">
        <v>45</v>
      </c>
      <c r="G7" s="8">
        <v>4.0</v>
      </c>
      <c r="H7" s="8">
        <v>5.0</v>
      </c>
      <c r="I7" s="8">
        <v>1.0</v>
      </c>
      <c r="J7" s="8">
        <v>2.0</v>
      </c>
      <c r="K7" s="8">
        <v>2.0</v>
      </c>
      <c r="L7" s="8" t="s">
        <v>62</v>
      </c>
      <c r="M7" s="8" t="s">
        <v>37</v>
      </c>
      <c r="N7" s="8" t="s">
        <v>39</v>
      </c>
      <c r="O7" s="8"/>
      <c r="P7">
        <v>3.0</v>
      </c>
      <c r="R7" t="s">
        <v>48</v>
      </c>
      <c r="S7" t="s">
        <v>70</v>
      </c>
      <c r="V7" t="s">
        <v>80</v>
      </c>
      <c r="W7">
        <v>1.0</v>
      </c>
      <c r="X7" t="s">
        <v>37</v>
      </c>
      <c r="Y7" t="s">
        <v>37</v>
      </c>
      <c r="Z7" t="s">
        <v>29</v>
      </c>
      <c r="AA7">
        <v>5.94918104E8</v>
      </c>
      <c r="AB7">
        <v>1.0</v>
      </c>
      <c r="AC7" t="s">
        <v>73</v>
      </c>
      <c r="AD7" t="s">
        <v>52</v>
      </c>
      <c r="AE7">
        <v>1000.0</v>
      </c>
      <c r="AG7" t="s">
        <v>46</v>
      </c>
      <c r="AH7">
        <v>1.0</v>
      </c>
      <c r="AI7" t="s">
        <v>75</v>
      </c>
      <c r="AM7" t="s">
        <v>47</v>
      </c>
      <c r="AN7" t="b">
        <v>0</v>
      </c>
      <c r="AP7" t="b">
        <v>1</v>
      </c>
      <c r="AQ7" t="b">
        <v>0</v>
      </c>
      <c r="AR7" t="b">
        <v>0</v>
      </c>
      <c r="AT7">
        <v>2014.0011</v>
      </c>
      <c r="AU7">
        <v>2014.0011</v>
      </c>
      <c r="AY7" t="s">
        <v>40</v>
      </c>
      <c r="BD7" t="s">
        <v>76</v>
      </c>
      <c r="BE7">
        <v>2000.0</v>
      </c>
      <c r="BF7">
        <v>2000.0</v>
      </c>
      <c r="BJ7">
        <v>1000.0</v>
      </c>
      <c r="BL7" t="s">
        <v>37</v>
      </c>
      <c r="BM7" t="s">
        <v>29</v>
      </c>
      <c r="BO7" t="s">
        <v>23</v>
      </c>
      <c r="BS7" t="s">
        <v>34</v>
      </c>
      <c r="BT7">
        <v>3.0</v>
      </c>
      <c r="BV7">
        <v>14.0011</v>
      </c>
      <c r="CE7" t="s">
        <v>50</v>
      </c>
      <c r="CF7">
        <v>2.0</v>
      </c>
      <c r="CG7" t="s">
        <v>20</v>
      </c>
      <c r="CH7" t="s">
        <v>23</v>
      </c>
      <c r="CI7">
        <v>1000.0</v>
      </c>
      <c r="CJ7" t="s">
        <v>51</v>
      </c>
      <c r="CK7">
        <v>1.0</v>
      </c>
      <c r="CL7" t="s">
        <v>34</v>
      </c>
      <c r="CM7" t="s">
        <v>41</v>
      </c>
      <c r="CN7" t="s">
        <v>52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