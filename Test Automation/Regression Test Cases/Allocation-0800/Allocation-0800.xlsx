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1" sheetId="10" r:id="rId12"/>
    <sheet state="visible" name="AcknowledgeTrade1" sheetId="11" r:id="rId13"/>
    <sheet state="visible" name="ExecuteTrade1" sheetId="12" r:id="rId14"/>
    <sheet state="visible" name="SelectTrade2" sheetId="13" r:id="rId15"/>
    <sheet state="visible" name="AcknowledgeTrade2" sheetId="14" r:id="rId16"/>
    <sheet state="visible" name="ExecuteTrade2" sheetId="15" r:id="rId17"/>
    <sheet state="visible" name="GetDataAllocation" sheetId="16" r:id="rId18"/>
    <sheet state="visible" name="SelectAllocatedGroup" sheetId="17" r:id="rId19"/>
    <sheet state="visible" name="Unallocate" sheetId="18" r:id="rId20"/>
    <sheet state="visible" name="SelectUnallocatedGroup" sheetId="19" r:id="rId21"/>
    <sheet state="visible" name="GroupTrades" sheetId="20" r:id="rId22"/>
    <sheet state="visible" name="SelectUnallocatedGroup1" sheetId="21" r:id="rId23"/>
    <sheet state="visible" name="EnterAccountValuesToAllocate" sheetId="22" r:id="rId24"/>
    <sheet state="visible" name="SelectAllocatedGroup1" sheetId="23" r:id="rId25"/>
    <sheet state="visible" name="ReviewExistingPositions" sheetId="24" r:id="rId26"/>
    <sheet state="visible" name="Unallocate1" sheetId="25" r:id="rId27"/>
    <sheet state="visible" name="UngroupTrades" sheetId="26" r:id="rId28"/>
    <sheet state="visible" name="SelectUnallocatedGroup2" sheetId="27" r:id="rId29"/>
    <sheet state="visible" name="ReviewExistingPositions1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<sst xmlns="http://schemas.openxmlformats.org/spreadsheetml/2006/main" count="327" uniqueCount="51">
  <si>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</si>
  <si>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</si>
  <si>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</si>
  <si>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</si>
  <si>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</si>
  <si>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</si>
  <si>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</si>
  <si>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</si>
  <si>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</si>
  <si>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</si>
  <si>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</si>
  <si>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</si>
  <si>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</si>
  <si>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</si>
  <si>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</si>
  <si>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</si>
  <si>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</si>
  <si>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</si>
  <si>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</si>
  <si>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</si>
  <si>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</si>
  <si>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Yes</t>
  </si>
  <si>
    <t>CreateLiveOrder</t>
  </si>
  <si>
    <t>Buy to Close</t>
  </si>
  <si>
    <t>Simulator</t>
  </si>
  <si>
    <t>SelectTrade</t>
  </si>
  <si>
    <t>AcknowledgeTrade</t>
  </si>
  <si>
    <t>ExecuteTrade</t>
  </si>
  <si>
    <t>GetDataAllocation</t>
  </si>
  <si>
    <t>Current</t>
  </si>
  <si>
    <t>SelectAllocatedGroup</t>
  </si>
  <si>
    <t>Unallocate</t>
  </si>
  <si>
    <t>SelectUnallocatedGroup</t>
  </si>
  <si>
    <t>GroupTrades</t>
  </si>
  <si>
    <t>EnterAccountValuesToAllocate</t>
  </si>
  <si>
    <t>ReviewExistingPositions</t>
  </si>
  <si>
    <t>UngroupTrades</t>
  </si>
  <si>
    <t>PortfolioManagement</t>
  </si>
  <si>
    <t>CheckPortfolioManagement</t>
  </si>
  <si>
    <t>NewMF</t>
  </si>
  <si>
    <t>Short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</si>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</sst>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horizontal="right" readingOrder="0" shrinkToFit="0" vertical="bottom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37500.0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31">
        <f>TODAY()-1</f>
        <v>45875</v>
      </c>
      <c r="O6" s="8"/>
      <c r="A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37500.0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8"/>
      <c r="O6" s="8"/>
      <c r="AO6" s="9" t="s">
        <v>21</v>
      </c>
    </row>
    <row r="7" ht="15.75" customHeight="1">
      <c r="A7" s="8"/>
      <c r="B7" s="12" t="s">
        <v>18</v>
      </c>
      <c r="C7" s="12" t="s">
        <v>23</v>
      </c>
      <c r="D7" s="12">
        <v>5000.0</v>
      </c>
      <c r="E7" s="8"/>
      <c r="F7" s="12" t="s">
        <v>20</v>
      </c>
      <c r="G7" s="8"/>
      <c r="H7" s="8"/>
      <c r="I7" s="8"/>
      <c r="J7" s="12">
        <v>1.0</v>
      </c>
      <c r="K7" s="8"/>
      <c r="L7" s="8"/>
      <c r="M7" s="8"/>
      <c r="N7" s="8"/>
      <c r="O7" s="8"/>
      <c r="AO7" s="9" t="s">
        <v>21</v>
      </c>
    </row>
    <row r="8" ht="15.75" customHeight="1">
      <c r="A8" s="8"/>
      <c r="B8" s="12" t="s">
        <v>18</v>
      </c>
      <c r="C8" s="12" t="s">
        <v>23</v>
      </c>
      <c r="D8" s="12">
        <v>5000.0</v>
      </c>
      <c r="E8" s="8"/>
      <c r="F8" s="12" t="s">
        <v>20</v>
      </c>
      <c r="G8" s="8"/>
      <c r="H8" s="8"/>
      <c r="I8" s="8"/>
      <c r="J8" s="12">
        <v>10.0</v>
      </c>
      <c r="K8" s="8"/>
      <c r="L8" s="8"/>
      <c r="M8" s="8"/>
      <c r="N8" s="8"/>
      <c r="O8" s="8"/>
      <c r="AO8" s="9" t="s">
        <v>21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E6" s="30"/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18</v>
      </c>
      <c r="E6" s="30"/>
      <c r="F6" s="8"/>
      <c r="G6" s="12">
        <v>37500.0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37500.0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E6" s="9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E6" s="9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E6" s="9">
        <v>10.0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E6" s="9">
        <v>10.0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5000.0</v>
      </c>
      <c r="E6" s="12" t="s">
        <v>20</v>
      </c>
      <c r="F6" s="12" t="s">
        <v>23</v>
      </c>
      <c r="G6" s="12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>
        <v>5000.0</v>
      </c>
      <c r="E7" s="12" t="s">
        <v>20</v>
      </c>
      <c r="F7" s="12" t="s">
        <v>23</v>
      </c>
      <c r="G7" s="12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E8" s="12"/>
      <c r="F8" s="12"/>
      <c r="G8" s="12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12"/>
      <c r="C9" s="12"/>
      <c r="E9" s="12"/>
      <c r="F9" s="12"/>
      <c r="G9" s="12"/>
      <c r="H9" s="8"/>
      <c r="I9" s="8"/>
      <c r="J9" s="12"/>
      <c r="K9" s="8"/>
      <c r="L9" s="8"/>
      <c r="M9" s="8"/>
      <c r="N9" s="8"/>
      <c r="O9" s="8"/>
    </row>
    <row r="10" ht="15.75" customHeight="1">
      <c r="A10" s="8"/>
      <c r="B10" s="12"/>
      <c r="C10" s="12"/>
      <c r="E10" s="12"/>
      <c r="F10" s="12"/>
      <c r="G10" s="12"/>
      <c r="H10" s="8"/>
      <c r="I10" s="8"/>
      <c r="J10" s="12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18</v>
      </c>
      <c r="C6" s="12">
        <v>5000.0</v>
      </c>
      <c r="E6" s="12" t="s">
        <v>20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E7" s="12"/>
      <c r="F7" s="1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5000.0</v>
      </c>
      <c r="E6" s="12">
        <v>5000.0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10000.0</v>
      </c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-65000.0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10000.0</v>
      </c>
      <c r="D6" s="12"/>
      <c r="E6" s="12" t="s">
        <v>20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5000.0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-75000.0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8"/>
      <c r="B6" s="8"/>
      <c r="C6" s="32" t="s">
        <v>18</v>
      </c>
      <c r="D6" s="33">
        <v>-37500.0</v>
      </c>
      <c r="E6" s="12" t="s">
        <v>20</v>
      </c>
      <c r="F6" s="12" t="s">
        <v>39</v>
      </c>
      <c r="G6" s="12">
        <v>1.0</v>
      </c>
      <c r="H6" s="12" t="s">
        <v>40</v>
      </c>
      <c r="I6" s="8"/>
      <c r="J6" s="8"/>
      <c r="K6" s="8"/>
      <c r="L6" s="8"/>
      <c r="M6" s="8"/>
      <c r="N6" s="8"/>
      <c r="O6" s="8"/>
      <c r="Q6" s="34">
        <v>37500.0</v>
      </c>
      <c r="S6" s="32" t="s">
        <v>41</v>
      </c>
      <c r="T6" s="32" t="s">
        <v>42</v>
      </c>
      <c r="U6" s="32" t="s">
        <v>43</v>
      </c>
      <c r="V6" s="32" t="s">
        <v>44</v>
      </c>
      <c r="W6" s="32" t="s">
        <v>45</v>
      </c>
      <c r="X6" s="35">
        <v>1.0</v>
      </c>
      <c r="Y6" s="35">
        <v>1.0</v>
      </c>
      <c r="AC6" s="9">
        <v>0.0</v>
      </c>
      <c r="AD6" s="9">
        <v>0.0</v>
      </c>
      <c r="AE6" s="9">
        <v>0.0</v>
      </c>
      <c r="AF6" s="34">
        <v>-37500.0</v>
      </c>
      <c r="AL6" s="9">
        <v>1.0</v>
      </c>
      <c r="AM6" s="9">
        <v>1.0</v>
      </c>
      <c r="AN6" s="32" t="s">
        <v>19</v>
      </c>
      <c r="AP6" s="9" t="s">
        <v>40</v>
      </c>
      <c r="AQ6" s="9" t="s">
        <v>18</v>
      </c>
      <c r="AR6" s="9">
        <v>0.0</v>
      </c>
      <c r="AS6" s="9">
        <v>-1.0</v>
      </c>
      <c r="AW6" s="34">
        <v>37500.0</v>
      </c>
      <c r="BE6" s="9" t="s">
        <v>42</v>
      </c>
      <c r="BF6" s="9" t="s">
        <v>46</v>
      </c>
      <c r="BG6" s="9" t="s">
        <v>47</v>
      </c>
      <c r="BQ6" s="9" t="s">
        <v>48</v>
      </c>
      <c r="BR6" s="9" t="s">
        <v>49</v>
      </c>
      <c r="CN6" s="9" t="s">
        <v>18</v>
      </c>
      <c r="CO6" s="9" t="s">
        <v>18</v>
      </c>
      <c r="CP6" s="9" t="s">
        <v>50</v>
      </c>
      <c r="ES6" s="34">
        <v>27500.0</v>
      </c>
      <c r="EW6" s="34">
        <v>37500.0</v>
      </c>
      <c r="FH6" s="33">
        <v>-37500.0</v>
      </c>
    </row>
    <row r="7" ht="15.75" customHeight="1">
      <c r="A7" s="8"/>
      <c r="B7" s="8"/>
      <c r="C7" s="32" t="s">
        <v>18</v>
      </c>
      <c r="D7" s="33">
        <v>-37500.0</v>
      </c>
      <c r="E7" s="12" t="s">
        <v>20</v>
      </c>
      <c r="F7" s="12" t="s">
        <v>39</v>
      </c>
      <c r="G7" s="12">
        <v>1.0</v>
      </c>
      <c r="H7" s="12" t="s">
        <v>40</v>
      </c>
      <c r="I7" s="8"/>
      <c r="J7" s="8"/>
      <c r="K7" s="8"/>
      <c r="L7" s="8"/>
      <c r="M7" s="8"/>
      <c r="N7" s="8"/>
      <c r="O7" s="8"/>
      <c r="Q7" s="34">
        <v>37500.0</v>
      </c>
      <c r="S7" s="32" t="s">
        <v>41</v>
      </c>
      <c r="T7" s="32" t="s">
        <v>42</v>
      </c>
      <c r="U7" s="32" t="s">
        <v>43</v>
      </c>
      <c r="V7" s="32" t="s">
        <v>44</v>
      </c>
      <c r="W7" s="32" t="s">
        <v>45</v>
      </c>
      <c r="X7" s="35">
        <v>1.0</v>
      </c>
      <c r="Y7" s="35">
        <v>1.0</v>
      </c>
      <c r="AC7" s="9">
        <v>0.0</v>
      </c>
      <c r="AD7" s="9">
        <v>0.0</v>
      </c>
      <c r="AE7" s="9">
        <v>0.0</v>
      </c>
      <c r="AF7" s="34">
        <v>-37500.0</v>
      </c>
      <c r="AL7" s="9">
        <v>1.0</v>
      </c>
      <c r="AM7" s="9">
        <v>1.0</v>
      </c>
      <c r="AN7" s="32" t="s">
        <v>19</v>
      </c>
      <c r="AP7" s="9" t="s">
        <v>40</v>
      </c>
      <c r="AQ7" s="9" t="s">
        <v>18</v>
      </c>
      <c r="AR7" s="9">
        <v>0.0</v>
      </c>
      <c r="AS7" s="9">
        <v>-1.0</v>
      </c>
      <c r="AW7" s="34">
        <v>37500.0</v>
      </c>
      <c r="BE7" s="9" t="s">
        <v>42</v>
      </c>
      <c r="BF7" s="9" t="s">
        <v>46</v>
      </c>
      <c r="BG7" s="9" t="s">
        <v>47</v>
      </c>
      <c r="BQ7" s="9" t="s">
        <v>48</v>
      </c>
      <c r="BR7" s="9" t="s">
        <v>49</v>
      </c>
      <c r="CN7" s="9" t="s">
        <v>18</v>
      </c>
      <c r="CO7" s="9" t="s">
        <v>18</v>
      </c>
      <c r="CP7" s="9" t="s">
        <v>50</v>
      </c>
      <c r="ES7" s="34">
        <v>27500.0</v>
      </c>
      <c r="EW7" s="34">
        <v>37500.0</v>
      </c>
      <c r="FH7" s="33">
        <v>-37500.0</v>
      </c>
    </row>
    <row r="8" ht="15.75" customHeight="1">
      <c r="A8" s="8"/>
      <c r="B8" s="8"/>
      <c r="C8" s="12" t="s">
        <v>18</v>
      </c>
      <c r="D8" s="36">
        <v>5000.0</v>
      </c>
      <c r="E8" s="8"/>
      <c r="F8" s="8"/>
      <c r="G8" s="12">
        <v>1.0</v>
      </c>
      <c r="H8" s="12" t="s">
        <v>40</v>
      </c>
      <c r="I8" s="8"/>
      <c r="J8" s="8"/>
      <c r="K8" s="8"/>
      <c r="L8" s="8"/>
      <c r="M8" s="8"/>
      <c r="N8" s="8"/>
      <c r="O8" s="8"/>
      <c r="Q8" s="34">
        <v>-5000.0</v>
      </c>
      <c r="S8" s="32" t="s">
        <v>41</v>
      </c>
      <c r="T8" s="32" t="s">
        <v>42</v>
      </c>
      <c r="U8" s="32" t="s">
        <v>43</v>
      </c>
      <c r="V8" s="32" t="s">
        <v>44</v>
      </c>
      <c r="W8" s="32" t="s">
        <v>45</v>
      </c>
      <c r="X8" s="35">
        <v>1.0</v>
      </c>
      <c r="Y8" s="35">
        <v>1.0</v>
      </c>
      <c r="AC8" s="9">
        <v>0.0</v>
      </c>
      <c r="AD8" s="9">
        <v>0.0</v>
      </c>
      <c r="AE8" s="9">
        <v>0.0</v>
      </c>
      <c r="AF8" s="34">
        <v>5000.0</v>
      </c>
      <c r="AL8" s="9">
        <v>1.0</v>
      </c>
      <c r="AM8" s="9">
        <v>1.0</v>
      </c>
      <c r="AN8" s="9" t="s">
        <v>23</v>
      </c>
      <c r="AP8" s="9" t="s">
        <v>40</v>
      </c>
      <c r="AQ8" s="9" t="s">
        <v>18</v>
      </c>
      <c r="AR8" s="9">
        <v>0.0</v>
      </c>
      <c r="AS8" s="9">
        <v>1.0</v>
      </c>
      <c r="AW8" s="34">
        <v>-5000.0</v>
      </c>
      <c r="BE8" s="9" t="s">
        <v>42</v>
      </c>
      <c r="BF8" s="9" t="s">
        <v>46</v>
      </c>
      <c r="BG8" s="9" t="s">
        <v>47</v>
      </c>
      <c r="BQ8" s="9" t="s">
        <v>48</v>
      </c>
      <c r="BR8" s="9" t="s">
        <v>49</v>
      </c>
      <c r="CN8" s="9" t="s">
        <v>18</v>
      </c>
      <c r="CO8" s="9" t="s">
        <v>18</v>
      </c>
      <c r="CP8" s="9" t="s">
        <v>50</v>
      </c>
      <c r="ES8" s="34">
        <v>27500.0</v>
      </c>
      <c r="EW8" s="34">
        <v>-10000.0</v>
      </c>
      <c r="FH8" s="34">
        <v>10000.0</v>
      </c>
    </row>
    <row r="9" ht="15.75" customHeight="1">
      <c r="A9" s="8"/>
      <c r="B9" s="8"/>
      <c r="C9" s="12" t="s">
        <v>18</v>
      </c>
      <c r="D9" s="36">
        <v>5000.0</v>
      </c>
      <c r="E9" s="8"/>
      <c r="F9" s="8"/>
      <c r="G9" s="12">
        <v>1.0</v>
      </c>
      <c r="H9" s="12" t="s">
        <v>40</v>
      </c>
      <c r="I9" s="8"/>
      <c r="J9" s="8"/>
      <c r="K9" s="8"/>
      <c r="L9" s="8"/>
      <c r="M9" s="8"/>
      <c r="N9" s="8"/>
      <c r="O9" s="8"/>
      <c r="Q9" s="34">
        <v>-5000.0</v>
      </c>
      <c r="S9" s="32" t="s">
        <v>41</v>
      </c>
      <c r="T9" s="32" t="s">
        <v>42</v>
      </c>
      <c r="U9" s="32" t="s">
        <v>43</v>
      </c>
      <c r="V9" s="32" t="s">
        <v>44</v>
      </c>
      <c r="W9" s="32" t="s">
        <v>45</v>
      </c>
      <c r="X9" s="35">
        <v>1.0</v>
      </c>
      <c r="Y9" s="35">
        <v>1.0</v>
      </c>
      <c r="AC9" s="9">
        <v>0.0</v>
      </c>
      <c r="AD9" s="9">
        <v>0.0</v>
      </c>
      <c r="AE9" s="9">
        <v>0.0</v>
      </c>
      <c r="AF9" s="34">
        <v>5000.0</v>
      </c>
      <c r="AL9" s="9">
        <v>1.0</v>
      </c>
      <c r="AM9" s="9">
        <v>1.0</v>
      </c>
      <c r="AN9" s="9" t="s">
        <v>23</v>
      </c>
      <c r="AP9" s="9" t="s">
        <v>40</v>
      </c>
      <c r="AQ9" s="9" t="s">
        <v>18</v>
      </c>
      <c r="AR9" s="9">
        <v>0.0</v>
      </c>
      <c r="AS9" s="9">
        <v>1.0</v>
      </c>
      <c r="AW9" s="34">
        <v>-5000.0</v>
      </c>
      <c r="BE9" s="9" t="s">
        <v>42</v>
      </c>
      <c r="BF9" s="9" t="s">
        <v>46</v>
      </c>
      <c r="BG9" s="9" t="s">
        <v>47</v>
      </c>
      <c r="BQ9" s="9" t="s">
        <v>48</v>
      </c>
      <c r="BR9" s="9" t="s">
        <v>49</v>
      </c>
      <c r="CN9" s="9" t="s">
        <v>18</v>
      </c>
      <c r="CO9" s="9" t="s">
        <v>18</v>
      </c>
      <c r="CP9" s="9" t="s">
        <v>50</v>
      </c>
      <c r="ES9" s="34">
        <v>27500.0</v>
      </c>
      <c r="EW9" s="34">
        <v>-10000.0</v>
      </c>
      <c r="FH9" s="34">
        <v>10000.0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