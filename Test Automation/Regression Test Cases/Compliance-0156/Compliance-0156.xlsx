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CreateComplianceOrder" sheetId="6" r:id="rId8"/>
    <sheet state="visible" name="VerifyComplianceOrder" sheetId="7" r:id="rId9"/>
    <sheet state="visible" name="SelectTradeOnOrderGrid" sheetId="8" r:id="rId10"/>
    <sheet state="visible" name="ReplaceSubOrder" sheetId="9" r:id="rId11"/>
    <sheet state="visible" name="CreateReplaceOrder" sheetId="10" r:id="rId12"/>
    <sheet state="visible" name="CreateDoneAwayOrder1" sheetId="11" r:id="rId13"/>
    <sheet state="visible" name="EditInterceptorFile" sheetId="12" r:id="rId14"/>
  </sheets>
  <definedNames/>
  <calcPr/>
</workbook>
</file>

<file path=xl/sharedStrings.xml><?xml version="1.0" encoding="utf-8"?>
<sst xmlns="http://schemas.openxmlformats.org/spreadsheetml/2006/main" count="148" uniqueCount="57">
  <si>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</si>
  <si>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</si>
  <si>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</si>
  <si>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</si>
  <si>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</si>
  <si>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</si>
  <si>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</si>
  <si>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</si>
  <si>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</si>
  <si>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</si>
  <si>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</si>
  <si>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</si>
  <si>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</si>
  <si>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</si>
  <si>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</si>
  <si>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</si>
  <si>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</si>
  <si>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</si>
  <si>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Yes</t>
  </si>
  <si>
    <t>Sell</t>
  </si>
  <si>
    <t>PricingInput</t>
  </si>
  <si>
    <t>CreateComplianceOrder</t>
  </si>
  <si>
    <t>DoneAway</t>
  </si>
  <si>
    <t>VerifyComplianceOrder</t>
  </si>
  <si>
    <t>Soft</t>
  </si>
  <si>
    <t>Order Side Check</t>
  </si>
  <si>
    <t>The Order Side Sell is invalid for this trade</t>
  </si>
  <si>
    <t>Allocation1-AAPL</t>
  </si>
  <si>
    <t>Order Side: Sell, Symbol: AAPL, Account: Allocation1, Quantity before trade: 79.00, Order quantity: -101.00, Quantity if trade is executed: -22.00</t>
  </si>
  <si>
    <t>Shareoutstanding-mf-Aj</t>
  </si>
  <si>
    <t>If Master Fund Name matches " NewMF", Quantity greater than ( 0.015*n.shares Outstanding ) or quantity less than ( -0.015*n.shares Outstanding ) or shares Outstanding not equals to ( 0 ), Then block the trade.</t>
  </si>
  <si>
    <t>NewMF-AAPL</t>
  </si>
  <si>
    <t>masterFundName: NewMF, quantity: -22.00, sharesOutstanding: 0.00, Symbol: AAPL</t>
  </si>
  <si>
    <t>MasterFund-Aj</t>
  </si>
  <si>
    <t>If Quantity not equals to -100, Selected Feed Price not equals to -100, Day PnL Base not equals to -100, Day PnL Local not equals to -100, Cost Basis PnL Base not equals to -100, Cost Basis PnL Local not equals to -100, Net Market Value Base not equals to -100, Net Market Value Local not equals to -100, Gross Market Value Base not equals to -100, Gross Market Value Local not equals to -100, Then block the trade.</t>
  </si>
  <si>
    <t>Multiple</t>
  </si>
  <si>
    <t>quantity: -22.00, selectedFeedPrice: 20.00, dayPnLBase: -1,530.00, dayPnLLocal: -1,530.00, costBasisPnLBase: -1,530.00, costBasisPnLLocal: -1,530.00, netMarketValueBase: -440.00, netMarketValueLocal: -440.00, grossMarketValueBase: 440.00, grossMarketValueLocal: 440.00, MasterFundName: NewMF, Symbol: AAPL</t>
  </si>
  <si>
    <t>Account-sym-AJ</t>
  </si>
  <si>
    <t>If Quantity not equals to -100, Selected Feed Price not equals to -100, Day PnL Base not equals to -100, Day PnL Local not equals to -100, Cost Basis PnL Base not equals to -100, Cost Basis PnL Local not equals to -100, Net Market Value Base not equals to -100, Net Market Value Local not equals to -100, Gross Exposure Base not equals to -100, Gross Exposure Local not equals to -100, Then block the trade.</t>
  </si>
  <si>
    <t>quantity: -22.00, selectedFeedPrice: 20.00, dayPnLBase: -1,530.00, dayPnLLocal: -1,530.00, costBasisPnLBase: -1,530.00, costBasisPnLLocal: -1,530.00, netMarketValueBase: -440.00, netMarketValueLocal: -440.00, grossExposureBase: 440.00, grossExposureLocal: 440.00, AccountShortName: Allocation1, Symbol: AAPL</t>
  </si>
  <si>
    <t>Symbol-Aj</t>
  </si>
  <si>
    <t>quantity: -22.00, selectedFeedPrice: 20.00, dayPnLBase: -1,530.00, dayPnLLocal: -1,530.00, costBasisPnLBase: -1,530.00, costBasisPnLLocal: -1,530.00, netMarketValueBase: -440.00, netMarketValueLocal: -440.00, grossMarketValueBase: 440.00, grossMarketValueLocal: 440.00, Symbol: AAPL</t>
  </si>
  <si>
    <t>Trade level-AJ</t>
  </si>
  <si>
    <t>If Quantity not equals to -100, Avg Price not equals to -100, Selected Feed Price not equals to -100, Day PnL Base not equals to -100, Day PnL Local not equals to -100, Cost Basis PnL Base not equals to -100, Cost Basis PnL Local not equals to -100, Net Market Value Base not equals to -100, Net Market Value Local not equals to -100, Gross Exposure Base not equals to -100, Gross Exposure Local not equals to -100, Then block the trade.</t>
  </si>
  <si>
    <t>quantity: 101.00, avgPrice: 5.00, selectedFeedPrice: 20.00, dayPnLBase: -1,515.00, dayPnLLocal: -1,515.00, costBasisPnLBase: -1,515.00, costBasisPnLLocal: -1,515.00, netMarketValueBase: -2,020.00, netMarketValueLocal: -2,020.00, grossExposureBase: 2,020.00, grossExposureLocal: 2,020.00, Symbol: AAPL</t>
  </si>
  <si>
    <t>Restricted List-Aj</t>
  </si>
  <si>
    <t>If Symbol equals to "A" or symbol equals to "EC" or symbol equals to "AAPL" or symbol equals to "ZVZZT" or symbol equals to "FRU-TC" or symbol equals to "XYZ", Then block the trade.</t>
  </si>
  <si>
    <t>N/A</t>
  </si>
  <si>
    <t>symbol: AAPL</t>
  </si>
  <si>
    <t>Blotter</t>
  </si>
  <si>
    <t>SelectTradeOnOrderGrid</t>
  </si>
  <si>
    <t>PartiallyFilled</t>
  </si>
  <si>
    <t>ReplaceSubOrder</t>
  </si>
  <si>
    <t>CreateReplaceOrder</t>
  </si>
  <si>
    <t>Compliance</t>
  </si>
  <si>
    <t>EditInterceptorFile</t>
  </si>
  <si>
    <t>AAPL,,,,,,,,,,,,,,,,,0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</si>
</sst>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&quot;Segoe UI&quot;"/>
    </font>
    <font>
      <sz val="9.0"/>
      <color rgb="FF000000"/>
      <name val="&quot;Segoe UI&quot;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5" fillId="6" fontId="13" numFmtId="0" xfId="0" applyAlignment="1" applyBorder="1" applyFill="1" applyFont="1">
      <alignment horizontal="left" readingOrder="0" shrinkToFit="0" vertical="top" wrapText="0"/>
    </xf>
    <xf borderId="5" fillId="7" fontId="14" numFmtId="0" xfId="0" applyAlignment="1" applyBorder="1" applyFill="1" applyFont="1">
      <alignment horizontal="left" readingOrder="0" shrinkToFit="0" vertical="top" wrapText="0"/>
    </xf>
    <xf borderId="5" fillId="8" fontId="14" numFmtId="0" xfId="0" applyAlignment="1" applyBorder="1" applyFill="1" applyFont="1">
      <alignment horizontal="lef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13">
        <v>20.0</v>
      </c>
      <c r="F6" s="8"/>
      <c r="G6" s="8"/>
      <c r="H6" s="8"/>
      <c r="I6" s="8"/>
      <c r="J6" s="13">
        <v>5.0</v>
      </c>
      <c r="K6" s="8"/>
      <c r="L6" s="8"/>
      <c r="M6" s="8"/>
      <c r="N6" s="8"/>
      <c r="O6" s="8"/>
      <c r="AQ6" s="9" t="s">
        <v>18</v>
      </c>
    </row>
    <row r="7" ht="15.75" customHeight="1">
      <c r="A7" s="8"/>
      <c r="B7" s="13" t="s">
        <v>16</v>
      </c>
      <c r="C7" s="13" t="s">
        <v>19</v>
      </c>
      <c r="D7" s="13">
        <v>21.0</v>
      </c>
      <c r="E7" s="8"/>
      <c r="F7" s="8"/>
      <c r="G7" s="8"/>
      <c r="H7" s="8"/>
      <c r="I7" s="8"/>
      <c r="J7" s="13">
        <v>5.0</v>
      </c>
      <c r="K7" s="8"/>
      <c r="L7" s="8"/>
      <c r="M7" s="8"/>
      <c r="N7" s="8"/>
      <c r="O7" s="8"/>
      <c r="AQ7" s="9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20.0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19</v>
      </c>
      <c r="D6" s="13">
        <v>101.0</v>
      </c>
      <c r="E6" s="31"/>
      <c r="F6" s="8"/>
      <c r="G6" s="8"/>
      <c r="H6" s="8"/>
      <c r="I6" s="8"/>
      <c r="J6" s="13">
        <v>5.0</v>
      </c>
      <c r="K6" s="8"/>
      <c r="L6" s="8"/>
      <c r="M6" s="8"/>
      <c r="N6" s="8"/>
      <c r="O6" s="8"/>
      <c r="AX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24</v>
      </c>
      <c r="C6" s="33" t="s">
        <v>25</v>
      </c>
      <c r="D6" s="33" t="s">
        <v>26</v>
      </c>
      <c r="E6" s="33" t="s">
        <v>27</v>
      </c>
      <c r="F6" s="33">
        <v>79.0</v>
      </c>
      <c r="G6" s="33">
        <v>-22.0</v>
      </c>
      <c r="H6" s="33" t="s">
        <v>28</v>
      </c>
      <c r="I6" s="8"/>
      <c r="J6" s="8"/>
      <c r="K6" s="13" t="s">
        <v>18</v>
      </c>
      <c r="L6" s="8"/>
      <c r="M6" s="13" t="s">
        <v>22</v>
      </c>
      <c r="N6" s="8"/>
      <c r="O6" s="8"/>
    </row>
    <row r="7" ht="15.75" customHeight="1">
      <c r="A7" s="8"/>
      <c r="B7" s="32" t="s">
        <v>24</v>
      </c>
      <c r="C7" s="34" t="s">
        <v>29</v>
      </c>
      <c r="D7" s="34" t="s">
        <v>30</v>
      </c>
      <c r="E7" s="34" t="s">
        <v>31</v>
      </c>
      <c r="F7" s="34">
        <v>0.0</v>
      </c>
      <c r="G7" s="34">
        <v>-22.0</v>
      </c>
      <c r="H7" s="34" t="s">
        <v>32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32" t="s">
        <v>24</v>
      </c>
      <c r="C8" s="33" t="s">
        <v>33</v>
      </c>
      <c r="D8" s="33" t="s">
        <v>34</v>
      </c>
      <c r="E8" s="33" t="s">
        <v>31</v>
      </c>
      <c r="F8" s="33" t="s">
        <v>35</v>
      </c>
      <c r="G8" s="33" t="s">
        <v>35</v>
      </c>
      <c r="H8" s="33" t="s">
        <v>36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32" t="s">
        <v>24</v>
      </c>
      <c r="C9" s="34" t="s">
        <v>37</v>
      </c>
      <c r="D9" s="34" t="s">
        <v>38</v>
      </c>
      <c r="E9" s="34" t="s">
        <v>27</v>
      </c>
      <c r="F9" s="34" t="s">
        <v>35</v>
      </c>
      <c r="G9" s="34" t="s">
        <v>35</v>
      </c>
      <c r="H9" s="34" t="s">
        <v>39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32" t="s">
        <v>24</v>
      </c>
      <c r="C10" s="33" t="s">
        <v>40</v>
      </c>
      <c r="D10" s="33" t="s">
        <v>34</v>
      </c>
      <c r="E10" s="33" t="s">
        <v>16</v>
      </c>
      <c r="F10" s="33" t="s">
        <v>35</v>
      </c>
      <c r="G10" s="33" t="s">
        <v>35</v>
      </c>
      <c r="H10" s="33" t="s">
        <v>41</v>
      </c>
      <c r="I10" s="8"/>
      <c r="J10" s="8"/>
      <c r="K10" s="8"/>
      <c r="L10" s="8"/>
      <c r="M10" s="8"/>
      <c r="N10" s="8"/>
      <c r="O10" s="8"/>
    </row>
    <row r="11" ht="15.75" customHeight="1">
      <c r="A11" s="8"/>
      <c r="B11" s="32" t="s">
        <v>24</v>
      </c>
      <c r="C11" s="34" t="s">
        <v>42</v>
      </c>
      <c r="D11" s="34" t="s">
        <v>43</v>
      </c>
      <c r="E11" s="34" t="s">
        <v>16</v>
      </c>
      <c r="F11" s="34" t="s">
        <v>35</v>
      </c>
      <c r="G11" s="34" t="s">
        <v>35</v>
      </c>
      <c r="H11" s="34" t="s">
        <v>44</v>
      </c>
      <c r="I11" s="8"/>
      <c r="J11" s="8"/>
      <c r="K11" s="8"/>
      <c r="L11" s="8"/>
      <c r="M11" s="8"/>
      <c r="N11" s="8"/>
      <c r="O11" s="8"/>
    </row>
    <row r="12" ht="15.75" customHeight="1">
      <c r="A12" s="8"/>
      <c r="B12" s="32" t="s">
        <v>24</v>
      </c>
      <c r="C12" s="33" t="s">
        <v>45</v>
      </c>
      <c r="D12" s="33" t="s">
        <v>46</v>
      </c>
      <c r="E12" s="33" t="s">
        <v>16</v>
      </c>
      <c r="F12" s="33" t="s">
        <v>47</v>
      </c>
      <c r="G12" s="33" t="s">
        <v>47</v>
      </c>
      <c r="H12" s="33" t="s">
        <v>48</v>
      </c>
      <c r="I12" s="8"/>
      <c r="J12" s="8"/>
      <c r="K12" s="8"/>
      <c r="L12" s="8"/>
      <c r="M12" s="8"/>
      <c r="N12" s="8"/>
      <c r="O12" s="8"/>
    </row>
    <row r="13" ht="15.75" customHeight="1">
      <c r="A13" s="8"/>
      <c r="B13" s="32" t="s">
        <v>24</v>
      </c>
      <c r="C13" s="34" t="s">
        <v>45</v>
      </c>
      <c r="D13" s="34" t="s">
        <v>46</v>
      </c>
      <c r="E13" s="34" t="s">
        <v>16</v>
      </c>
      <c r="F13" s="34" t="s">
        <v>47</v>
      </c>
      <c r="G13" s="34" t="s">
        <v>47</v>
      </c>
      <c r="H13" s="34" t="s">
        <v>48</v>
      </c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5.0</v>
      </c>
      <c r="C6" s="8"/>
      <c r="D6" s="13"/>
      <c r="E6" s="31"/>
      <c r="F6" s="13" t="s">
        <v>17</v>
      </c>
      <c r="G6" s="13" t="s">
        <v>51</v>
      </c>
      <c r="H6" s="13">
        <v>100.0</v>
      </c>
      <c r="I6" s="13">
        <v>20.0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5.0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17</v>
      </c>
      <c r="AL6" s="9" t="s">
        <v>51</v>
      </c>
      <c r="AM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200.0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O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19</v>
      </c>
      <c r="D6" s="13">
        <v>101.0</v>
      </c>
      <c r="E6" s="31"/>
      <c r="F6" s="8"/>
      <c r="G6" s="8"/>
      <c r="H6" s="8"/>
      <c r="I6" s="8"/>
      <c r="J6" s="13">
        <v>5.0</v>
      </c>
      <c r="K6" s="8"/>
      <c r="L6" s="8"/>
      <c r="M6" s="8"/>
      <c r="N6" s="8"/>
      <c r="O6" s="8"/>
      <c r="AQ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IFERROR(__xludf.DUMMYFUNCTION("""COMPUTED_VALUE"""),"SetComplianceAlert")</f>
        <v>SetComplianceAlert</v>
      </c>
      <c r="AN4" s="26" t="str">
        <f>IFERROR(__xludf.DUMMYFUNCTION("""COMPUTED_VALUE"""),"Approvependingapproval")</f>
        <v>Approvependingapproval</v>
      </c>
      <c r="AO4" s="26" t="str">
        <f>IFERROR(__xludf.DUMMYFUNCTION("""COMPUTED_VALUE"""),"VerifyAlertHistory")</f>
        <v>VerifyAlertHistory</v>
      </c>
      <c r="AP4" s="26" t="str">
        <f>IFERROR(__xludf.DUMMYFUNCTION("""COMPUTED_VALUE"""),"ApproveorRejectpendingapproval")</f>
        <v>ApproveorRejectpendingapproval</v>
      </c>
      <c r="AQ4" s="26" t="str">
        <f>IFERROR(__xludf.DUMMYFUNCTION("""COMPUTED_VALUE"""),"EditInterceptorFile")</f>
        <v>EditInterceptorFile</v>
      </c>
      <c r="AR4" s="26" t="str">
        <f>IFERROR(__xludf.DUMMYFUNCTION("""COMPUTED_VALUE"""),"ReplaceInterceptorFile")</f>
        <v>ReplaceInterceptorFile</v>
      </c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IFERROR(__xludf.DUMMYFUNCTION("""COMPUTED_VALUE"""),"Interceptor Symbol Data")</f>
        <v>Interceptor Symbol Data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56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EditInterceptorFile!$4:$4</formula1>
    </dataValidation>
  </dataValidations>
  <drawing r:id="rId1"/>
</worksheet>
</file>