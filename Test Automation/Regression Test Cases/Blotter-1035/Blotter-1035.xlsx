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SortGridOnBlotter" sheetId="5" r:id="rId8"/>
    <sheet state="visible" name="VerifyOrder" sheetId="6" r:id="rId9"/>
    <sheet state="visible" name="SortGridOnBlotter1" sheetId="7" r:id="rId10"/>
    <sheet state="visible" name="VerifyOrder1" sheetId="8" r:id="rId11"/>
    <sheet state="visible" name="ApplyFilterOnBlotter" sheetId="9" r:id="rId12"/>
    <sheet state="visible" name="VerifyOrder2" sheetId="10" r:id="rId13"/>
  </sheets>
  <definedNames/>
  <calcPr/>
  <extLst>
    <ext uri="GoogleSheetsCustomDataVersion2">
      <go:sheetsCustomData xmlns:go="http://customooxmlschemas.google.com/" r:id="rId14" roundtripDataChecksum="8pO4eFr4NYl1m55LN4www7OYDH7jK9172+jAVbjvyI4="/>
    </ext>
  </extLst>
</workbook>
</file>

<file path=xl/sharedStrings.xml><?xml version="1.0" encoding="utf-8"?>
<sst xmlns="http://schemas.openxmlformats.org/spreadsheetml/2006/main" count="390" uniqueCount="122">
  <si>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</si>
  <si>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</si>
  <si>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</si>
  <si>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</si>
  <si>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</si>
  <si>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</si>
  <si>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</si>
  <si>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</si>
  <si>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</si>
  <si>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</si>
  <si>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</si>
  <si>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</si>
  <si>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</si>
  <si>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</si>
  <si>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</si>
  <si>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</si>
  <si>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</si>
  <si>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</si>
  <si>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</si>
  <si>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AAPLE INC</t>
  </si>
  <si>
    <t>iPHONE</t>
  </si>
  <si>
    <t>iPAD</t>
  </si>
  <si>
    <t>MAC</t>
  </si>
  <si>
    <t>MAC MINI</t>
  </si>
  <si>
    <t>MAC AIR</t>
  </si>
  <si>
    <t>MSFT</t>
  </si>
  <si>
    <t>INC</t>
  </si>
  <si>
    <t>Qwerty@123</t>
  </si>
  <si>
    <t>Market Open</t>
  </si>
  <si>
    <t>Closed Market</t>
  </si>
  <si>
    <t>Fully closed position</t>
  </si>
  <si>
    <t>Blotter</t>
  </si>
  <si>
    <t>SortGridOnBlotter</t>
  </si>
  <si>
    <t>Order</t>
  </si>
  <si>
    <t>SortByClick</t>
  </si>
  <si>
    <t>Trade Attribute 01</t>
  </si>
  <si>
    <t>Asc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</si>
  <si>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</si>
  <si>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</si>
  <si>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</si>
  <si>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</si>
  <si>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</si>
  <si>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</si>
  <si>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</si>
  <si>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</si>
  <si>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</si>
  <si>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</si>
  <si>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</si>
  <si>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</si>
  <si>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06</t>
  </si>
  <si>
    <t>Trade Attribute 05</t>
  </si>
  <si>
    <t>Trade Attribute 04</t>
  </si>
  <si>
    <t>Trade Attribute 03</t>
  </si>
  <si>
    <t>Trade Attribute 02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</si>
  <si>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</si>
  <si>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</si>
  <si>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</si>
  <si>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</si>
  <si>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</si>
  <si>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</si>
  <si>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</si>
  <si>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</si>
  <si>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</si>
  <si>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</si>
  <si>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</si>
  <si>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</si>
  <si>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</si>
  <si>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</si>
  <si>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</si>
  <si>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</si>
  <si>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</si>
  <si>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</si>
  <si>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</si>
  <si>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</si>
  <si>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</si>
  <si>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</si>
  <si>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</si>
  <si>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</si>
  <si>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</si>
  <si>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</si>
  <si>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</si>
  <si>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</si>
  <si>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</si>
  <si>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</si>
  <si>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</si>
  <si>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</si>
  <si>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</si>
  <si>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</si>
  <si>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</si>
  <si>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</si>
  <si>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</si>
  <si>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</si>
  <si>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</si>
  <si>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</si>
  <si>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</si>
  <si>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</si>
  <si>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</si>
  <si>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</si>
  <si>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</si>
  <si>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</si>
  <si>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</si>
  <si>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</si>
  <si>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</si>
  <si>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</si>
  <si>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AAPL US EQUITY</t>
  </si>
  <si>
    <t>NASDAQ</t>
  </si>
  <si>
    <t>Samsara</t>
  </si>
  <si>
    <t>US</t>
  </si>
  <si>
    <t>USD</t>
  </si>
  <si>
    <t>NewMF</t>
  </si>
  <si>
    <t>M</t>
  </si>
  <si>
    <t>Equity</t>
  </si>
  <si>
    <t>Filled</t>
  </si>
  <si>
    <t>MS</t>
  </si>
  <si>
    <t>Allocation1</t>
  </si>
  <si>
    <t>Market</t>
  </si>
  <si>
    <t>Manual</t>
  </si>
  <si>
    <t>Day</t>
  </si>
  <si>
    <t>Desc</t>
  </si>
  <si>
    <t>ApplyFilterOnBlotter</t>
  </si>
  <si>
    <t>Orders</t>
  </si>
  <si>
    <t>Apply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</si>
</sst>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Font="1"/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6" numFmtId="0" xfId="0" applyAlignment="1" applyFont="1">
      <alignment readingOrder="0"/>
    </xf>
    <xf borderId="3" fillId="3" fontId="9" numFmtId="0" xfId="0" applyAlignment="1" applyBorder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3" fillId="5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4.38"/>
    <col customWidth="1" min="40" max="40" width="14.0"/>
    <col customWidth="1" min="41" max="41" width="15.25"/>
    <col customWidth="1" min="42" max="42" width="17.5"/>
    <col customWidth="1" min="43" max="43" width="14.63"/>
    <col customWidth="1" min="44" max="44" width="15.88"/>
    <col customWidth="1" min="45" max="45" width="14.0"/>
    <col customWidth="1" min="46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16</v>
      </c>
      <c r="C6" s="6">
        <v>1000.0</v>
      </c>
      <c r="D6" s="6">
        <v>10.0</v>
      </c>
      <c r="E6" s="6" t="s">
        <v>17</v>
      </c>
      <c r="F6" s="6"/>
      <c r="G6" s="6"/>
      <c r="H6" s="6"/>
      <c r="I6" s="6"/>
      <c r="J6" s="6" t="s">
        <v>18</v>
      </c>
      <c r="K6" s="6"/>
      <c r="L6" s="6"/>
      <c r="M6" s="6"/>
      <c r="N6" s="6"/>
      <c r="O6" s="6"/>
      <c r="AM6" s="24" t="s">
        <v>19</v>
      </c>
      <c r="AN6" s="24" t="s">
        <v>20</v>
      </c>
      <c r="AO6" s="24" t="s">
        <v>21</v>
      </c>
      <c r="AP6" s="24" t="s">
        <v>22</v>
      </c>
      <c r="AQ6" s="24" t="s">
        <v>23</v>
      </c>
      <c r="AR6" s="24" t="s">
        <v>24</v>
      </c>
      <c r="AY6" s="8"/>
    </row>
    <row r="7" ht="15.75" customHeight="1">
      <c r="A7" s="6"/>
      <c r="B7" s="6" t="s">
        <v>25</v>
      </c>
      <c r="C7" s="6">
        <v>1000.0</v>
      </c>
      <c r="D7" s="6">
        <v>10.0</v>
      </c>
      <c r="E7" s="6" t="s">
        <v>17</v>
      </c>
      <c r="F7" s="6"/>
      <c r="G7" s="6"/>
      <c r="H7" s="6"/>
      <c r="I7" s="6"/>
      <c r="J7" s="6" t="s">
        <v>18</v>
      </c>
      <c r="K7" s="6"/>
      <c r="L7" s="6"/>
      <c r="M7" s="6"/>
      <c r="N7" s="6"/>
      <c r="O7" s="6"/>
      <c r="AM7" s="24" t="s">
        <v>26</v>
      </c>
      <c r="AN7" s="24">
        <v>1234.0</v>
      </c>
      <c r="AO7" s="24" t="s">
        <v>27</v>
      </c>
      <c r="AP7" s="24" t="s">
        <v>28</v>
      </c>
      <c r="AQ7" s="24" t="s">
        <v>29</v>
      </c>
      <c r="AR7" s="24" t="s">
        <v>30</v>
      </c>
      <c r="AY7" s="8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3" width="12.63"/>
    <col customWidth="1" min="4" max="4" width="15.88"/>
    <col customWidth="1" min="5" max="5" width="16.25"/>
    <col customWidth="1" min="6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31</v>
      </c>
      <c r="D3" s="4" t="s">
        <v>9</v>
      </c>
      <c r="E3" s="25" t="s">
        <v>32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 t="str">
        <f>IFERROR(__xludf.DUMMYFUNCTION("""COMPUTED_VALUE"""),"EditCloneButton")</f>
        <v>EditCloneButton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IFERROR(__xludf.DUMMYFUNCTION("""COMPUTED_VALUE"""),"GridType")</f>
        <v>GridType</v>
      </c>
      <c r="C5" s="22" t="str">
        <f>IFERROR(__xludf.DUMMYFUNCTION("""COMPUTED_VALUE"""),"Action")</f>
        <v>Action</v>
      </c>
      <c r="D5" s="22" t="str">
        <f>IFERROR(__xludf.DUMMYFUNCTION("""COMPUTED_VALUE"""),"ColumnsForSorting")</f>
        <v>ColumnsForSorting</v>
      </c>
      <c r="E5" s="22" t="str">
        <f>IFERROR(__xludf.DUMMYFUNCTION("""COMPUTED_VALUE"""),"SortType")</f>
        <v>SortType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</row>
    <row r="6" ht="15.75" customHeight="1">
      <c r="A6" s="26"/>
      <c r="B6" s="27" t="s">
        <v>33</v>
      </c>
      <c r="C6" s="27" t="s">
        <v>34</v>
      </c>
      <c r="D6" s="28" t="s">
        <v>35</v>
      </c>
      <c r="E6" s="28" t="s">
        <v>36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SortGridOnBlotter!$4:$4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12.63"/>
    <col customWidth="1" min="13" max="13" width="14.38"/>
    <col customWidth="1" min="14" max="14" width="14.75"/>
    <col customWidth="1" min="15" max="16" width="14.5"/>
    <col customWidth="1" min="17" max="17" width="15.63"/>
    <col customWidth="1" min="18" max="13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31</v>
      </c>
      <c r="D3" s="4" t="s">
        <v>9</v>
      </c>
      <c r="E3" s="25" t="s">
        <v>37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 t="str">
        <f>IFERROR(__xludf.DUMMYFUNCTION("""COMPUTED_VALUE"""),"EditCloneButton")</f>
        <v>EditCloneButton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</row>
    <row r="5" ht="15.75" customHeight="1">
      <c r="A5" s="21"/>
      <c r="B5" s="22" t="s">
        <v>38</v>
      </c>
      <c r="C5" s="22" t="s">
        <v>39</v>
      </c>
      <c r="D5" s="22" t="s">
        <v>40</v>
      </c>
      <c r="E5" s="22" t="s">
        <v>41</v>
      </c>
      <c r="F5" s="22" t="s">
        <v>42</v>
      </c>
      <c r="G5" s="22" t="s">
        <v>43</v>
      </c>
      <c r="H5" s="22" t="s">
        <v>44</v>
      </c>
      <c r="I5" s="22" t="s">
        <v>45</v>
      </c>
      <c r="J5" s="22" t="s">
        <v>46</v>
      </c>
      <c r="K5" s="22" t="s">
        <v>47</v>
      </c>
      <c r="L5" s="22" t="s">
        <v>48</v>
      </c>
      <c r="M5" s="29" t="s">
        <v>49</v>
      </c>
      <c r="N5" s="29" t="s">
        <v>50</v>
      </c>
      <c r="O5" s="29" t="s">
        <v>51</v>
      </c>
      <c r="P5" s="29" t="s">
        <v>52</v>
      </c>
      <c r="Q5" s="29" t="s">
        <v>35</v>
      </c>
      <c r="R5" s="29" t="s">
        <v>53</v>
      </c>
      <c r="S5" s="22" t="s">
        <v>54</v>
      </c>
      <c r="T5" s="23" t="s">
        <v>55</v>
      </c>
      <c r="U5" s="23" t="s">
        <v>56</v>
      </c>
      <c r="V5" s="23" t="s">
        <v>57</v>
      </c>
      <c r="W5" s="23" t="s">
        <v>58</v>
      </c>
      <c r="X5" s="23" t="s">
        <v>59</v>
      </c>
      <c r="Y5" s="23" t="s">
        <v>60</v>
      </c>
      <c r="Z5" s="23" t="s">
        <v>61</v>
      </c>
      <c r="AA5" s="23" t="s">
        <v>62</v>
      </c>
      <c r="AB5" s="23" t="s">
        <v>63</v>
      </c>
      <c r="AC5" s="23" t="s">
        <v>64</v>
      </c>
      <c r="AD5" s="23" t="s">
        <v>65</v>
      </c>
      <c r="AE5" s="23" t="s">
        <v>66</v>
      </c>
      <c r="AF5" s="23" t="s">
        <v>67</v>
      </c>
      <c r="AG5" s="23" t="s">
        <v>68</v>
      </c>
      <c r="AH5" s="23" t="s">
        <v>69</v>
      </c>
      <c r="AI5" s="23" t="s">
        <v>70</v>
      </c>
      <c r="AJ5" s="23" t="s">
        <v>71</v>
      </c>
      <c r="AK5" s="23" t="s">
        <v>72</v>
      </c>
      <c r="AL5" s="23" t="s">
        <v>73</v>
      </c>
      <c r="AM5" s="23" t="s">
        <v>74</v>
      </c>
      <c r="AN5" s="23" t="s">
        <v>75</v>
      </c>
      <c r="AO5" s="23" t="s">
        <v>76</v>
      </c>
      <c r="AP5" s="23" t="s">
        <v>77</v>
      </c>
      <c r="AQ5" s="23" t="s">
        <v>78</v>
      </c>
      <c r="AR5" s="23" t="s">
        <v>79</v>
      </c>
      <c r="AS5" s="23" t="s">
        <v>80</v>
      </c>
      <c r="AT5" s="23" t="s">
        <v>81</v>
      </c>
      <c r="AU5" s="23" t="s">
        <v>82</v>
      </c>
      <c r="AV5" s="23" t="s">
        <v>83</v>
      </c>
      <c r="AW5" s="23" t="s">
        <v>84</v>
      </c>
      <c r="AX5" s="23" t="s">
        <v>85</v>
      </c>
      <c r="AY5" s="23" t="s">
        <v>86</v>
      </c>
      <c r="AZ5" s="23" t="s">
        <v>87</v>
      </c>
      <c r="BA5" s="23" t="s">
        <v>88</v>
      </c>
      <c r="BB5" s="23" t="s">
        <v>89</v>
      </c>
      <c r="BC5" s="23" t="s">
        <v>90</v>
      </c>
      <c r="BD5" s="23" t="s">
        <v>91</v>
      </c>
      <c r="BE5" s="23" t="s">
        <v>92</v>
      </c>
      <c r="BF5" s="23" t="s">
        <v>93</v>
      </c>
      <c r="BG5" s="23" t="s">
        <v>94</v>
      </c>
      <c r="BH5" s="23" t="s">
        <v>95</v>
      </c>
      <c r="BI5" s="23" t="s">
        <v>96</v>
      </c>
      <c r="BJ5" s="23" t="s">
        <v>97</v>
      </c>
      <c r="BK5" s="23" t="s">
        <v>98</v>
      </c>
      <c r="BL5" s="23" t="s">
        <v>99</v>
      </c>
      <c r="BM5" s="23" t="s">
        <v>100</v>
      </c>
      <c r="BN5" s="23" t="s">
        <v>101</v>
      </c>
      <c r="BO5" s="23" t="s">
        <v>102</v>
      </c>
      <c r="BP5" s="23" t="s">
        <v>103</v>
      </c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</row>
    <row r="6" ht="15.75" customHeight="1">
      <c r="A6" s="6"/>
      <c r="B6" s="6"/>
      <c r="C6" s="6"/>
      <c r="D6" s="30">
        <v>10.0</v>
      </c>
      <c r="E6" s="30" t="s">
        <v>104</v>
      </c>
      <c r="F6" s="6"/>
      <c r="G6" s="6"/>
      <c r="H6" s="30" t="s">
        <v>105</v>
      </c>
      <c r="I6" s="24" t="s">
        <v>106</v>
      </c>
      <c r="J6" s="30" t="s">
        <v>16</v>
      </c>
      <c r="K6" s="30" t="s">
        <v>107</v>
      </c>
      <c r="L6" s="6"/>
      <c r="M6" s="24" t="s">
        <v>24</v>
      </c>
      <c r="N6" s="24" t="s">
        <v>23</v>
      </c>
      <c r="O6" s="24" t="s">
        <v>22</v>
      </c>
      <c r="P6" s="24" t="s">
        <v>21</v>
      </c>
      <c r="Q6" s="24" t="s">
        <v>19</v>
      </c>
      <c r="R6" s="24" t="s">
        <v>20</v>
      </c>
      <c r="U6" s="24" t="s">
        <v>108</v>
      </c>
      <c r="AA6" s="24" t="s">
        <v>109</v>
      </c>
      <c r="AD6" s="24">
        <v>1.0</v>
      </c>
      <c r="AF6" s="24" t="s">
        <v>110</v>
      </c>
      <c r="AH6" s="24" t="s">
        <v>111</v>
      </c>
      <c r="AI6" s="24" t="s">
        <v>16</v>
      </c>
      <c r="AJ6" s="24" t="s">
        <v>18</v>
      </c>
      <c r="AK6" s="24" t="s">
        <v>112</v>
      </c>
      <c r="AL6" s="24">
        <v>1000.0</v>
      </c>
      <c r="AM6" s="24">
        <v>1000.0</v>
      </c>
      <c r="AN6" s="24">
        <v>100.0</v>
      </c>
      <c r="AO6" s="31">
        <v>1000.0</v>
      </c>
      <c r="AQ6" s="24">
        <v>10.0</v>
      </c>
      <c r="AR6" s="24">
        <v>10.0</v>
      </c>
      <c r="AS6" s="24" t="s">
        <v>113</v>
      </c>
      <c r="AT6" s="24" t="s">
        <v>114</v>
      </c>
      <c r="AU6" s="24" t="s">
        <v>115</v>
      </c>
      <c r="AV6" s="24">
        <v>10000.0</v>
      </c>
      <c r="AW6" s="24">
        <v>10000.0</v>
      </c>
      <c r="AX6" s="24" t="s">
        <v>116</v>
      </c>
      <c r="BA6" s="24" t="s">
        <v>106</v>
      </c>
      <c r="BH6" s="24" t="s">
        <v>117</v>
      </c>
    </row>
    <row r="7" ht="15.75" customHeight="1">
      <c r="A7" s="6"/>
      <c r="B7" s="6"/>
      <c r="C7" s="6"/>
      <c r="D7" s="30">
        <v>10.0</v>
      </c>
      <c r="E7" s="6"/>
      <c r="F7" s="6"/>
      <c r="G7" s="6"/>
      <c r="H7" s="30" t="s">
        <v>105</v>
      </c>
      <c r="I7" s="24" t="s">
        <v>106</v>
      </c>
      <c r="J7" s="30" t="s">
        <v>25</v>
      </c>
      <c r="K7" s="30" t="s">
        <v>107</v>
      </c>
      <c r="L7" s="6"/>
      <c r="M7" s="24" t="s">
        <v>30</v>
      </c>
      <c r="N7" s="24" t="s">
        <v>29</v>
      </c>
      <c r="O7" s="24" t="s">
        <v>28</v>
      </c>
      <c r="P7" s="24" t="s">
        <v>27</v>
      </c>
      <c r="Q7" s="24" t="s">
        <v>26</v>
      </c>
      <c r="R7" s="24">
        <v>1234.0</v>
      </c>
      <c r="U7" s="24" t="s">
        <v>108</v>
      </c>
      <c r="AA7" s="24" t="s">
        <v>109</v>
      </c>
      <c r="AD7" s="24">
        <v>1.0</v>
      </c>
      <c r="AF7" s="24" t="s">
        <v>110</v>
      </c>
      <c r="AH7" s="24" t="s">
        <v>111</v>
      </c>
      <c r="AI7" s="24" t="s">
        <v>25</v>
      </c>
      <c r="AJ7" s="24" t="s">
        <v>18</v>
      </c>
      <c r="AK7" s="24" t="s">
        <v>112</v>
      </c>
      <c r="AL7" s="24">
        <v>1000.0</v>
      </c>
      <c r="AM7" s="24">
        <v>1000.0</v>
      </c>
      <c r="AN7" s="24">
        <v>100.0</v>
      </c>
      <c r="AO7" s="31">
        <v>1000.0</v>
      </c>
      <c r="AQ7" s="24">
        <v>10.0</v>
      </c>
      <c r="AR7" s="24">
        <v>10.0</v>
      </c>
      <c r="AS7" s="24" t="s">
        <v>113</v>
      </c>
      <c r="AT7" s="24" t="s">
        <v>114</v>
      </c>
      <c r="AU7" s="24" t="s">
        <v>115</v>
      </c>
      <c r="AV7" s="24">
        <v>10000.0</v>
      </c>
      <c r="AW7" s="24">
        <v>10000.0</v>
      </c>
      <c r="AX7" s="24" t="s">
        <v>116</v>
      </c>
      <c r="BA7" s="24" t="s">
        <v>106</v>
      </c>
      <c r="BH7" s="24" t="s">
        <v>117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31</v>
      </c>
      <c r="D3" s="4" t="s">
        <v>9</v>
      </c>
      <c r="E3" s="25" t="s">
        <v>32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 t="str">
        <f>IFERROR(__xludf.DUMMYFUNCTION("""COMPUTED_VALUE"""),"EditCloneButton")</f>
        <v>EditCloneButton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IFERROR(__xludf.DUMMYFUNCTION("""COMPUTED_VALUE"""),"GridType")</f>
        <v>GridType</v>
      </c>
      <c r="C5" s="22" t="str">
        <f>IFERROR(__xludf.DUMMYFUNCTION("""COMPUTED_VALUE"""),"Action")</f>
        <v>Action</v>
      </c>
      <c r="D5" s="22" t="str">
        <f>IFERROR(__xludf.DUMMYFUNCTION("""COMPUTED_VALUE"""),"ColumnsForSorting")</f>
        <v>ColumnsForSorting</v>
      </c>
      <c r="E5" s="22" t="str">
        <f>IFERROR(__xludf.DUMMYFUNCTION("""COMPUTED_VALUE"""),"SortType")</f>
        <v>SortType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</row>
    <row r="6" ht="15.75" customHeight="1">
      <c r="A6" s="26"/>
      <c r="B6" s="27" t="s">
        <v>33</v>
      </c>
      <c r="C6" s="27" t="s">
        <v>34</v>
      </c>
      <c r="D6" s="28" t="s">
        <v>35</v>
      </c>
      <c r="E6" s="28" t="s">
        <v>118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SortGridOnBlotter1!$4:$4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8"/>
      <c r="B5" s="8" t="s">
        <v>38</v>
      </c>
      <c r="C5" s="8" t="s">
        <v>39</v>
      </c>
      <c r="D5" s="8" t="s">
        <v>40</v>
      </c>
      <c r="E5" s="8" t="s">
        <v>41</v>
      </c>
      <c r="F5" s="8" t="s">
        <v>42</v>
      </c>
      <c r="G5" s="8" t="s">
        <v>43</v>
      </c>
      <c r="H5" s="8" t="s">
        <v>44</v>
      </c>
      <c r="I5" s="8" t="s">
        <v>45</v>
      </c>
      <c r="J5" s="8" t="s">
        <v>46</v>
      </c>
      <c r="K5" s="8" t="s">
        <v>47</v>
      </c>
      <c r="L5" s="8" t="s">
        <v>48</v>
      </c>
      <c r="M5" s="24" t="s">
        <v>49</v>
      </c>
      <c r="N5" s="24" t="s">
        <v>50</v>
      </c>
      <c r="O5" s="24" t="s">
        <v>51</v>
      </c>
      <c r="P5" s="24" t="s">
        <v>52</v>
      </c>
      <c r="Q5" s="24" t="s">
        <v>35</v>
      </c>
      <c r="R5" s="24" t="s">
        <v>53</v>
      </c>
      <c r="S5" s="8" t="s">
        <v>54</v>
      </c>
      <c r="T5" s="8" t="s">
        <v>55</v>
      </c>
      <c r="U5" s="8" t="s">
        <v>56</v>
      </c>
      <c r="V5" s="8" t="s">
        <v>57</v>
      </c>
      <c r="W5" s="8" t="s">
        <v>58</v>
      </c>
      <c r="X5" s="8" t="s">
        <v>59</v>
      </c>
      <c r="Y5" s="8" t="s">
        <v>60</v>
      </c>
      <c r="Z5" s="8" t="s">
        <v>61</v>
      </c>
      <c r="AA5" s="8" t="s">
        <v>62</v>
      </c>
      <c r="AB5" s="8" t="s">
        <v>63</v>
      </c>
      <c r="AC5" s="8" t="s">
        <v>64</v>
      </c>
      <c r="AD5" s="8" t="s">
        <v>65</v>
      </c>
      <c r="AE5" s="8" t="s">
        <v>66</v>
      </c>
      <c r="AF5" s="8" t="s">
        <v>67</v>
      </c>
      <c r="AG5" s="8" t="s">
        <v>68</v>
      </c>
      <c r="AH5" s="8" t="s">
        <v>69</v>
      </c>
      <c r="AI5" s="8" t="s">
        <v>70</v>
      </c>
      <c r="AJ5" s="8" t="s">
        <v>71</v>
      </c>
      <c r="AK5" s="8" t="s">
        <v>72</v>
      </c>
      <c r="AL5" s="8" t="s">
        <v>73</v>
      </c>
      <c r="AM5" s="8" t="s">
        <v>74</v>
      </c>
      <c r="AN5" s="8" t="s">
        <v>75</v>
      </c>
      <c r="AO5" s="8" t="s">
        <v>76</v>
      </c>
      <c r="AP5" s="8" t="s">
        <v>77</v>
      </c>
      <c r="AQ5" s="8" t="s">
        <v>78</v>
      </c>
      <c r="AR5" s="8" t="s">
        <v>79</v>
      </c>
      <c r="AS5" s="8" t="s">
        <v>80</v>
      </c>
      <c r="AT5" s="8" t="s">
        <v>81</v>
      </c>
      <c r="AU5" s="8" t="s">
        <v>82</v>
      </c>
      <c r="AV5" s="8" t="s">
        <v>83</v>
      </c>
      <c r="AW5" s="8" t="s">
        <v>84</v>
      </c>
      <c r="AX5" s="8" t="s">
        <v>85</v>
      </c>
      <c r="AY5" s="8" t="s">
        <v>86</v>
      </c>
      <c r="AZ5" s="8" t="s">
        <v>87</v>
      </c>
      <c r="BA5" s="8" t="s">
        <v>88</v>
      </c>
      <c r="BB5" s="8" t="s">
        <v>89</v>
      </c>
      <c r="BC5" s="8" t="s">
        <v>90</v>
      </c>
      <c r="BD5" s="8" t="s">
        <v>91</v>
      </c>
      <c r="BE5" s="8" t="s">
        <v>92</v>
      </c>
      <c r="BF5" s="8" t="s">
        <v>93</v>
      </c>
      <c r="BG5" s="8" t="s">
        <v>94</v>
      </c>
      <c r="BH5" s="8" t="s">
        <v>95</v>
      </c>
      <c r="BI5" s="8" t="s">
        <v>96</v>
      </c>
      <c r="BJ5" s="8" t="s">
        <v>97</v>
      </c>
      <c r="BK5" s="8" t="s">
        <v>98</v>
      </c>
      <c r="BL5" s="8" t="s">
        <v>99</v>
      </c>
      <c r="BM5" s="8" t="s">
        <v>100</v>
      </c>
      <c r="BN5" s="8" t="s">
        <v>101</v>
      </c>
      <c r="BO5" s="8" t="s">
        <v>102</v>
      </c>
      <c r="BP5" s="8" t="s">
        <v>103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</row>
    <row r="6" ht="15.75" customHeight="1">
      <c r="A6" s="6"/>
      <c r="B6" s="6"/>
      <c r="C6" s="6"/>
      <c r="D6" s="30">
        <v>10.0</v>
      </c>
      <c r="E6" s="6"/>
      <c r="F6" s="6"/>
      <c r="G6" s="6"/>
      <c r="H6" s="30" t="s">
        <v>105</v>
      </c>
      <c r="I6" s="24" t="s">
        <v>106</v>
      </c>
      <c r="J6" s="30" t="s">
        <v>25</v>
      </c>
      <c r="K6" s="30" t="s">
        <v>107</v>
      </c>
      <c r="L6" s="6"/>
      <c r="M6" s="24" t="s">
        <v>30</v>
      </c>
      <c r="N6" s="24" t="s">
        <v>29</v>
      </c>
      <c r="O6" s="24" t="s">
        <v>28</v>
      </c>
      <c r="P6" s="24" t="s">
        <v>27</v>
      </c>
      <c r="Q6" s="24" t="s">
        <v>26</v>
      </c>
      <c r="R6" s="24">
        <v>1234.0</v>
      </c>
      <c r="U6" s="24" t="s">
        <v>108</v>
      </c>
      <c r="AA6" s="24" t="s">
        <v>109</v>
      </c>
      <c r="AD6" s="24">
        <v>1.0</v>
      </c>
      <c r="AF6" s="24" t="s">
        <v>110</v>
      </c>
      <c r="AH6" s="24" t="s">
        <v>111</v>
      </c>
      <c r="AI6" s="24" t="s">
        <v>25</v>
      </c>
      <c r="AJ6" s="24" t="s">
        <v>18</v>
      </c>
      <c r="AK6" s="24" t="s">
        <v>112</v>
      </c>
      <c r="AL6" s="24">
        <v>1000.0</v>
      </c>
      <c r="AM6" s="24">
        <v>1000.0</v>
      </c>
      <c r="AN6" s="24">
        <v>100.0</v>
      </c>
      <c r="AO6" s="31">
        <v>1000.0</v>
      </c>
      <c r="AQ6" s="24">
        <v>10.0</v>
      </c>
      <c r="AR6" s="24">
        <v>10.0</v>
      </c>
      <c r="AS6" s="24" t="s">
        <v>113</v>
      </c>
      <c r="AT6" s="24" t="s">
        <v>114</v>
      </c>
      <c r="AU6" s="24" t="s">
        <v>115</v>
      </c>
      <c r="AV6" s="24">
        <v>10000.0</v>
      </c>
      <c r="AW6" s="24">
        <v>10000.0</v>
      </c>
      <c r="AX6" s="24" t="s">
        <v>116</v>
      </c>
      <c r="BA6" s="24" t="s">
        <v>106</v>
      </c>
      <c r="BH6" s="24" t="s">
        <v>117</v>
      </c>
    </row>
    <row r="7" ht="15.75" customHeight="1">
      <c r="A7" s="6"/>
      <c r="B7" s="6"/>
      <c r="C7" s="6"/>
      <c r="D7" s="30">
        <v>10.0</v>
      </c>
      <c r="E7" s="30" t="s">
        <v>104</v>
      </c>
      <c r="F7" s="6"/>
      <c r="G7" s="6"/>
      <c r="H7" s="30" t="s">
        <v>105</v>
      </c>
      <c r="I7" s="24" t="s">
        <v>106</v>
      </c>
      <c r="J7" s="30" t="s">
        <v>16</v>
      </c>
      <c r="K7" s="30" t="s">
        <v>107</v>
      </c>
      <c r="L7" s="6"/>
      <c r="M7" s="24" t="s">
        <v>24</v>
      </c>
      <c r="N7" s="24" t="s">
        <v>23</v>
      </c>
      <c r="O7" s="24" t="s">
        <v>22</v>
      </c>
      <c r="P7" s="24" t="s">
        <v>21</v>
      </c>
      <c r="Q7" s="24" t="s">
        <v>19</v>
      </c>
      <c r="R7" s="24" t="s">
        <v>20</v>
      </c>
      <c r="U7" s="24" t="s">
        <v>108</v>
      </c>
      <c r="AA7" s="24" t="s">
        <v>109</v>
      </c>
      <c r="AD7" s="24">
        <v>1.0</v>
      </c>
      <c r="AF7" s="24" t="s">
        <v>110</v>
      </c>
      <c r="AH7" s="24" t="s">
        <v>111</v>
      </c>
      <c r="AI7" s="24" t="s">
        <v>16</v>
      </c>
      <c r="AJ7" s="24" t="s">
        <v>18</v>
      </c>
      <c r="AK7" s="24" t="s">
        <v>112</v>
      </c>
      <c r="AL7" s="24">
        <v>1000.0</v>
      </c>
      <c r="AM7" s="24">
        <v>1000.0</v>
      </c>
      <c r="AN7" s="24">
        <v>100.0</v>
      </c>
      <c r="AO7" s="31">
        <v>1000.0</v>
      </c>
      <c r="AQ7" s="24">
        <v>10.0</v>
      </c>
      <c r="AR7" s="24">
        <v>10.0</v>
      </c>
      <c r="AS7" s="24" t="s">
        <v>113</v>
      </c>
      <c r="AT7" s="24" t="s">
        <v>114</v>
      </c>
      <c r="AU7" s="24" t="s">
        <v>115</v>
      </c>
      <c r="AV7" s="24">
        <v>10000.0</v>
      </c>
      <c r="AW7" s="24">
        <v>10000.0</v>
      </c>
      <c r="AX7" s="24" t="s">
        <v>116</v>
      </c>
      <c r="BA7" s="24" t="s">
        <v>106</v>
      </c>
      <c r="BH7" s="24" t="s">
        <v>117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31</v>
      </c>
      <c r="D3" s="4" t="s">
        <v>9</v>
      </c>
      <c r="E3" s="11" t="s">
        <v>119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 t="str">
        <f>IFERROR(__xludf.DUMMYFUNCTION("""COMPUTED_VALUE"""),"EditCloneButton")</f>
        <v>EditCloneButton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IFERROR(__xludf.DUMMYFUNCTION("""COMPUTED_VALUE"""),"GridType")</f>
        <v>GridType</v>
      </c>
      <c r="C5" s="22" t="str">
        <f>IFERROR(__xludf.DUMMYFUNCTION("""COMPUTED_VALUE"""),"Action")</f>
        <v>Action</v>
      </c>
      <c r="D5" s="22" t="str">
        <f>IFERROR(__xludf.DUMMYFUNCTION("""COMPUTED_VALUE"""),"ColmnFilter")</f>
        <v>ColmnFilter</v>
      </c>
      <c r="E5" s="22" t="str">
        <f>IFERROR(__xludf.DUMMYFUNCTION("""COMPUTED_VALUE"""),"Values")</f>
        <v>Values</v>
      </c>
      <c r="F5" s="22" t="str">
        <f>IFERROR(__xludf.DUMMYFUNCTION("""COMPUTED_VALUE"""),"Verify")</f>
        <v>Verify</v>
      </c>
      <c r="G5" s="22" t="str">
        <f>IFERROR(__xludf.DUMMYFUNCTION("""COMPUTED_VALUE"""),"Transaction date")</f>
        <v>Transaction date</v>
      </c>
      <c r="H5" s="22" t="str">
        <f>IFERROR(__xludf.DUMMYFUNCTION("""COMPUTED_VALUE"""),"EnableFilterIcon")</f>
        <v>EnableFilterIcon</v>
      </c>
      <c r="I5" s="22" t="str">
        <f>IFERROR(__xludf.DUMMYFUNCTION("""COMPUTED_VALUE"""),"TabName")</f>
        <v>TabName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</row>
    <row r="6" ht="15.75" customHeight="1">
      <c r="A6" s="6"/>
      <c r="B6" s="6" t="s">
        <v>120</v>
      </c>
      <c r="C6" s="6" t="s">
        <v>121</v>
      </c>
      <c r="D6" s="28" t="s">
        <v>53</v>
      </c>
      <c r="E6" s="24">
        <v>1234.0</v>
      </c>
      <c r="F6" s="6"/>
      <c r="G6" s="6"/>
      <c r="H6" s="6"/>
      <c r="I6" s="6" t="s">
        <v>120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ApplyFilterOnBlotter!$4:$4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8"/>
      <c r="B5" s="8" t="s">
        <v>38</v>
      </c>
      <c r="C5" s="8" t="s">
        <v>39</v>
      </c>
      <c r="D5" s="8" t="s">
        <v>40</v>
      </c>
      <c r="E5" s="8" t="s">
        <v>41</v>
      </c>
      <c r="F5" s="8" t="s">
        <v>42</v>
      </c>
      <c r="G5" s="8" t="s">
        <v>43</v>
      </c>
      <c r="H5" s="8" t="s">
        <v>44</v>
      </c>
      <c r="I5" s="8" t="s">
        <v>45</v>
      </c>
      <c r="J5" s="8" t="s">
        <v>46</v>
      </c>
      <c r="K5" s="8" t="s">
        <v>47</v>
      </c>
      <c r="L5" s="8" t="s">
        <v>48</v>
      </c>
      <c r="M5" s="8" t="s">
        <v>49</v>
      </c>
      <c r="N5" s="8" t="s">
        <v>50</v>
      </c>
      <c r="O5" s="8" t="s">
        <v>51</v>
      </c>
      <c r="P5" s="8" t="s">
        <v>52</v>
      </c>
      <c r="Q5" s="8" t="s">
        <v>35</v>
      </c>
      <c r="R5" s="8" t="s">
        <v>53</v>
      </c>
      <c r="S5" s="8" t="s">
        <v>54</v>
      </c>
      <c r="T5" s="8" t="s">
        <v>55</v>
      </c>
      <c r="U5" s="8" t="s">
        <v>56</v>
      </c>
      <c r="V5" s="8" t="s">
        <v>57</v>
      </c>
      <c r="W5" s="8" t="s">
        <v>58</v>
      </c>
      <c r="X5" s="8" t="s">
        <v>59</v>
      </c>
      <c r="Y5" s="8" t="s">
        <v>60</v>
      </c>
      <c r="Z5" s="8" t="s">
        <v>61</v>
      </c>
      <c r="AA5" s="8" t="s">
        <v>62</v>
      </c>
      <c r="AB5" s="8" t="s">
        <v>63</v>
      </c>
      <c r="AC5" s="8" t="s">
        <v>64</v>
      </c>
      <c r="AD5" s="8" t="s">
        <v>65</v>
      </c>
      <c r="AE5" s="8" t="s">
        <v>66</v>
      </c>
      <c r="AF5" s="8" t="s">
        <v>67</v>
      </c>
      <c r="AG5" s="8" t="s">
        <v>68</v>
      </c>
      <c r="AH5" s="8" t="s">
        <v>69</v>
      </c>
      <c r="AI5" s="8" t="s">
        <v>70</v>
      </c>
      <c r="AJ5" s="8" t="s">
        <v>71</v>
      </c>
      <c r="AK5" s="8" t="s">
        <v>72</v>
      </c>
      <c r="AL5" s="8" t="s">
        <v>73</v>
      </c>
      <c r="AM5" s="8" t="s">
        <v>74</v>
      </c>
      <c r="AN5" s="8" t="s">
        <v>75</v>
      </c>
      <c r="AO5" s="8" t="s">
        <v>76</v>
      </c>
      <c r="AP5" s="8" t="s">
        <v>77</v>
      </c>
      <c r="AQ5" s="8" t="s">
        <v>78</v>
      </c>
      <c r="AR5" s="8" t="s">
        <v>79</v>
      </c>
      <c r="AS5" s="8" t="s">
        <v>80</v>
      </c>
      <c r="AT5" s="8" t="s">
        <v>81</v>
      </c>
      <c r="AU5" s="8" t="s">
        <v>82</v>
      </c>
      <c r="AV5" s="8" t="s">
        <v>83</v>
      </c>
      <c r="AW5" s="8" t="s">
        <v>84</v>
      </c>
      <c r="AX5" s="8" t="s">
        <v>85</v>
      </c>
      <c r="AY5" s="8" t="s">
        <v>86</v>
      </c>
      <c r="AZ5" s="8" t="s">
        <v>87</v>
      </c>
      <c r="BA5" s="8" t="s">
        <v>88</v>
      </c>
      <c r="BB5" s="8" t="s">
        <v>89</v>
      </c>
      <c r="BC5" s="8" t="s">
        <v>90</v>
      </c>
      <c r="BD5" s="8" t="s">
        <v>91</v>
      </c>
      <c r="BE5" s="8" t="s">
        <v>92</v>
      </c>
      <c r="BF5" s="8" t="s">
        <v>93</v>
      </c>
      <c r="BG5" s="8" t="s">
        <v>94</v>
      </c>
      <c r="BH5" s="8" t="s">
        <v>95</v>
      </c>
      <c r="BI5" s="8" t="s">
        <v>96</v>
      </c>
      <c r="BJ5" s="8" t="s">
        <v>97</v>
      </c>
      <c r="BK5" s="8" t="s">
        <v>98</v>
      </c>
      <c r="BL5" s="8" t="s">
        <v>99</v>
      </c>
      <c r="BM5" s="8" t="s">
        <v>100</v>
      </c>
      <c r="BN5" s="8" t="s">
        <v>101</v>
      </c>
      <c r="BO5" s="8" t="s">
        <v>102</v>
      </c>
      <c r="BP5" s="8" t="s">
        <v>103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</row>
    <row r="6">
      <c r="A6" s="8"/>
      <c r="B6" s="8"/>
      <c r="C6" s="8"/>
      <c r="D6" s="8">
        <v>10.0</v>
      </c>
      <c r="E6" s="8"/>
      <c r="F6" s="8"/>
      <c r="G6" s="8"/>
      <c r="H6" s="8" t="s">
        <v>105</v>
      </c>
      <c r="I6" s="8" t="s">
        <v>106</v>
      </c>
      <c r="J6" s="8" t="s">
        <v>25</v>
      </c>
      <c r="K6" s="8" t="s">
        <v>107</v>
      </c>
      <c r="L6" s="8"/>
      <c r="M6" s="8" t="s">
        <v>30</v>
      </c>
      <c r="N6" s="8" t="s">
        <v>29</v>
      </c>
      <c r="O6" s="8" t="s">
        <v>28</v>
      </c>
      <c r="P6" s="7" t="s">
        <v>27</v>
      </c>
      <c r="Q6" s="7" t="s">
        <v>26</v>
      </c>
      <c r="R6" s="7">
        <v>1234.0</v>
      </c>
      <c r="U6" s="7" t="s">
        <v>108</v>
      </c>
      <c r="AA6" s="7" t="s">
        <v>109</v>
      </c>
      <c r="AD6" s="7">
        <v>1.0</v>
      </c>
      <c r="AF6" s="7" t="s">
        <v>110</v>
      </c>
      <c r="AH6" s="7" t="s">
        <v>111</v>
      </c>
      <c r="AI6" s="7" t="s">
        <v>25</v>
      </c>
      <c r="AJ6" s="7" t="s">
        <v>18</v>
      </c>
      <c r="AK6" s="7" t="s">
        <v>112</v>
      </c>
      <c r="AL6" s="7">
        <v>1000.0</v>
      </c>
      <c r="AM6" s="7">
        <v>1000.0</v>
      </c>
      <c r="AN6" s="7">
        <v>100.0</v>
      </c>
      <c r="AO6" s="7">
        <v>1000.0</v>
      </c>
      <c r="AQ6" s="7">
        <v>10.0</v>
      </c>
      <c r="AR6" s="7">
        <v>10.0</v>
      </c>
      <c r="AS6" s="7" t="s">
        <v>113</v>
      </c>
      <c r="AT6" s="7" t="s">
        <v>114</v>
      </c>
      <c r="AU6" s="7" t="s">
        <v>115</v>
      </c>
      <c r="AV6" s="7">
        <v>10000.0</v>
      </c>
      <c r="AW6" s="7">
        <v>10000.0</v>
      </c>
      <c r="AX6" s="7" t="s">
        <v>116</v>
      </c>
      <c r="BA6" s="7" t="s">
        <v>106</v>
      </c>
      <c r="BH6" s="7" t="s">
        <v>117</v>
      </c>
    </row>
  </sheetData>
  <drawing r:id="rId1"/>
</worksheet>
</file>