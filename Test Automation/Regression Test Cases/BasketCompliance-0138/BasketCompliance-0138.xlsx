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SetCompliancePermission" sheetId="6" r:id="rId8"/>
    <sheet state="visible" name="CreateComplianceOrder" sheetId="7" r:id="rId9"/>
    <sheet state="visible" name="VerifyComplianceOrder" sheetId="8" r:id="rId10"/>
    <sheet state="visible" name="CalculatePTT" sheetId="9" r:id="rId11"/>
    <sheet state="visible" name="VerifyPTTCompliance" sheetId="10" r:id="rId12"/>
    <sheet state="visible" name="GetDailyCash" sheetId="11" r:id="rId13"/>
    <sheet state="visible" name="UpdateMultipleDailyCash" sheetId="12" r:id="rId14"/>
  </sheets>
  <definedNames/>
  <calcPr/>
</workbook>
</file>

<file path=xl/sharedStrings.xml><?xml version="1.0" encoding="utf-8"?>
<sst xmlns="http://schemas.openxmlformats.org/spreadsheetml/2006/main" count="123" uniqueCount="56">
  <si>
    <t>Modules Info</t>
  </si>
  <si>
    <t>Modules</t>
  </si>
  <si>
    <t>Settings</t>
  </si>
  <si>
    <t>Module Step Setting File</t>
  </si>
  <si>
    <t>1UnP-m_FhUaxJsDd-bd9JqtzQS2kFnkJzqDKL8JmgTfQ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</si>
  <si>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</si>
  <si>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</si>
  <si>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</si>
  <si>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</si>
  <si>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</si>
  <si>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</si>
  <si>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</si>
  <si>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</si>
  <si>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</si>
  <si>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</si>
  <si>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</si>
  <si>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GOOG</t>
  </si>
  <si>
    <t>Buy</t>
  </si>
  <si>
    <t>Yes</t>
  </si>
  <si>
    <t>PricingInput</t>
  </si>
  <si>
    <t>Admin</t>
  </si>
  <si>
    <t>SetCompliancePermission</t>
  </si>
  <si>
    <t>Trade</t>
  </si>
  <si>
    <t>Soft</t>
  </si>
  <si>
    <t>Account_Symbol</t>
  </si>
  <si>
    <t>HARD</t>
  </si>
  <si>
    <t>Symbol</t>
  </si>
  <si>
    <t>REQUIRES APPROVAL</t>
  </si>
  <si>
    <t>MasterFund_Symbol</t>
  </si>
  <si>
    <t>SOFT WITH NOTES</t>
  </si>
  <si>
    <t>CreateComplianceOrder</t>
  </si>
  <si>
    <t>CreateOrder</t>
  </si>
  <si>
    <t>VerifyComplianceOrder</t>
  </si>
  <si>
    <t>Hard</t>
  </si>
  <si>
    <t>If Quantity not equals to -1234, Symbol equals to "GOOG", Then block the trade.</t>
  </si>
  <si>
    <t>Allocation1-GOOG</t>
  </si>
  <si>
    <t>quantity: 200.00, symbol: GOOG, AccountShortName: Allocation1</t>
  </si>
  <si>
    <t>PTT</t>
  </si>
  <si>
    <t>CalculatePTT</t>
  </si>
  <si>
    <t>Increase</t>
  </si>
  <si>
    <t>Percentage</t>
  </si>
  <si>
    <t>No</t>
  </si>
  <si>
    <t>Allocation1</t>
  </si>
  <si>
    <t>VerifyPTTCompliance</t>
  </si>
  <si>
    <t>quantity: 1,300.00, symbol: GOOG, AccountShortName: Allocation1</t>
  </si>
  <si>
    <t>Requires Approval</t>
  </si>
  <si>
    <t>If Quantity not equals to -123466, Symbol equals to "GOOG", Then block the trade.</t>
  </si>
  <si>
    <t>quantity: 1,300.00, symbol: GOOG</t>
  </si>
  <si>
    <t>Soft with Notes</t>
  </si>
  <si>
    <t>NewMF-GOOG</t>
  </si>
  <si>
    <t>quantity: 1,300.00, symbol: GOOG, MasterFundName: NewMF</t>
  </si>
  <si>
    <t>quantity: 1,200.00, symbol: GOOG</t>
  </si>
  <si>
    <t>DailyValuation</t>
  </si>
  <si>
    <t>GetDailyCash</t>
  </si>
  <si>
    <t>UpdateMultipleDailyCash</t>
  </si>
  <si>
    <t>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</si>
</sst>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FFFFFF"/>
      <name val="&quot;Segoe UI&quot;"/>
    </font>
    <font>
      <sz val="9.0"/>
      <color rgb="FF000000"/>
      <name val="&quot;Segoe UI&quot;"/>
    </font>
  </fonts>
  <fills count="13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8C0505"/>
        <bgColor rgb="FF8C0505"/>
      </patternFill>
    </fill>
    <fill>
      <patternFill patternType="solid">
        <fgColor rgb="FFE7E8E9"/>
        <bgColor rgb="FFE7E8E9"/>
      </patternFill>
    </fill>
    <fill>
      <patternFill patternType="solid">
        <fgColor rgb="FFFFA500"/>
        <bgColor rgb="FFFFA500"/>
      </patternFill>
    </fill>
    <fill>
      <patternFill patternType="solid">
        <fgColor rgb="FFCBD6E0"/>
        <bgColor rgb="FFCBD6E0"/>
      </patternFill>
    </fill>
    <fill>
      <patternFill patternType="solid">
        <fgColor rgb="FF4863A0"/>
        <bgColor rgb="FF4863A0"/>
      </patternFill>
    </fill>
    <fill>
      <patternFill patternType="solid">
        <fgColor rgb="FF689C2E"/>
        <bgColor rgb="FF689C2E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shrinkToFit="0" vertical="bottom" wrapText="0"/>
    </xf>
    <xf borderId="5" fillId="7" fontId="14" numFmtId="0" xfId="0" applyAlignment="1" applyBorder="1" applyFill="1" applyFont="1">
      <alignment horizontal="left" readingOrder="0" shrinkToFit="0" vertical="top" wrapText="0"/>
    </xf>
    <xf borderId="5" fillId="8" fontId="15" numFmtId="0" xfId="0" applyAlignment="1" applyBorder="1" applyFill="1" applyFont="1">
      <alignment horizontal="left" readingOrder="0" shrinkToFit="0" vertical="top" wrapText="0"/>
    </xf>
    <xf borderId="5" fillId="9" fontId="14" numFmtId="0" xfId="0" applyAlignment="1" applyBorder="1" applyFill="1" applyFont="1">
      <alignment horizontal="left" readingOrder="0" shrinkToFit="0" vertical="top" wrapText="0"/>
    </xf>
    <xf borderId="5" fillId="10" fontId="15" numFmtId="0" xfId="0" applyAlignment="1" applyBorder="1" applyFill="1" applyFont="1">
      <alignment horizontal="left" readingOrder="0" shrinkToFit="0" vertical="top" wrapText="0"/>
    </xf>
    <xf borderId="5" fillId="11" fontId="14" numFmtId="0" xfId="0" applyAlignment="1" applyBorder="1" applyFill="1" applyFont="1">
      <alignment horizontal="left" readingOrder="0" shrinkToFit="0" vertical="top" wrapText="0"/>
    </xf>
    <xf borderId="5" fillId="12" fontId="14" numFmtId="0" xfId="0" applyAlignment="1" applyBorder="1" applyFill="1" applyFont="1">
      <alignment horizontal="left" readingOrder="0" shrinkToFit="0" vertical="top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Q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22</v>
      </c>
      <c r="C6" s="33" t="s">
        <v>23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24</v>
      </c>
      <c r="C7" s="11" t="s">
        <v>25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s">
        <v>26</v>
      </c>
      <c r="C8" s="35" t="s">
        <v>27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28</v>
      </c>
      <c r="C9" s="35" t="s">
        <v>29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X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33</v>
      </c>
      <c r="C6" s="37" t="s">
        <v>24</v>
      </c>
      <c r="D6" s="37" t="s">
        <v>34</v>
      </c>
      <c r="E6" s="37" t="s">
        <v>35</v>
      </c>
      <c r="F6" s="37">
        <v>-1234.0</v>
      </c>
      <c r="G6" s="37">
        <v>200.0</v>
      </c>
      <c r="H6" s="37" t="s">
        <v>36</v>
      </c>
      <c r="I6" s="8"/>
      <c r="J6" s="8"/>
      <c r="K6" s="13" t="s">
        <v>18</v>
      </c>
      <c r="L6" s="8"/>
      <c r="M6" s="9" t="s">
        <v>31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39</v>
      </c>
      <c r="D6" s="13" t="s">
        <v>40</v>
      </c>
      <c r="E6" s="13">
        <v>12.0</v>
      </c>
      <c r="F6" s="8"/>
      <c r="G6" s="13" t="s">
        <v>41</v>
      </c>
      <c r="H6" s="8"/>
      <c r="I6" s="13" t="s">
        <v>42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33</v>
      </c>
      <c r="C6" s="37" t="s">
        <v>24</v>
      </c>
      <c r="D6" s="37" t="s">
        <v>34</v>
      </c>
      <c r="E6" s="37" t="s">
        <v>35</v>
      </c>
      <c r="F6" s="37">
        <v>-1234.0</v>
      </c>
      <c r="G6" s="37">
        <v>1300.0</v>
      </c>
      <c r="H6" s="37" t="s">
        <v>44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45</v>
      </c>
      <c r="C7" s="39" t="s">
        <v>26</v>
      </c>
      <c r="D7" s="39" t="s">
        <v>46</v>
      </c>
      <c r="E7" s="39" t="s">
        <v>16</v>
      </c>
      <c r="F7" s="39">
        <v>-123466.0</v>
      </c>
      <c r="G7" s="39">
        <v>1300.0</v>
      </c>
      <c r="H7" s="39" t="s">
        <v>47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48</v>
      </c>
      <c r="C8" s="37" t="s">
        <v>28</v>
      </c>
      <c r="D8" s="37" t="s">
        <v>34</v>
      </c>
      <c r="E8" s="37" t="s">
        <v>49</v>
      </c>
      <c r="F8" s="37">
        <v>-1234.0</v>
      </c>
      <c r="G8" s="37">
        <v>1300.0</v>
      </c>
      <c r="H8" s="37" t="s">
        <v>50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41" t="s">
        <v>23</v>
      </c>
      <c r="C9" s="39" t="s">
        <v>22</v>
      </c>
      <c r="D9" s="39" t="s">
        <v>34</v>
      </c>
      <c r="E9" s="39" t="s">
        <v>16</v>
      </c>
      <c r="F9" s="39">
        <v>-1234.0</v>
      </c>
      <c r="G9" s="39">
        <v>1200.0</v>
      </c>
      <c r="H9" s="39" t="s">
        <v>51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>
        <f t="shared" ref="B6:C6" si="1">today()-1</f>
        <v>45851</v>
      </c>
      <c r="C6" s="43">
        <f t="shared" si="1"/>
        <v>45851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42</v>
      </c>
      <c r="C6" s="13" t="s">
        <v>55</v>
      </c>
      <c r="D6" s="13">
        <v>100000.0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