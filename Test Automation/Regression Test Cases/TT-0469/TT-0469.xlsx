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" sheetId="17" r:id="rId19"/>
    <sheet state="visible" name="CreateStageOrder1" sheetId="18" r:id="rId20"/>
    <sheet state="visible" name="MultiTradingTicketFromBlotter1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DoneAwayUsingMTT1" sheetId="24" r:id="rId26"/>
    <sheet state="visible" name="SelectTradeOnOrderGrid" sheetId="25" r:id="rId27"/>
    <sheet state="visible" name="ReplaceSubOrder" sheetId="26" r:id="rId28"/>
    <sheet state="visible" name="CreateReplaceOrder" sheetId="27" r:id="rId29"/>
    <sheet state="visible" name="GetDataAllocation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<sst xmlns="http://schemas.openxmlformats.org/spreadsheetml/2006/main" count="683" uniqueCount="57">
  <si>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</si>
  <si>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</si>
  <si>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</si>
  <si>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</si>
  <si>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</si>
  <si>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</si>
  <si>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</si>
  <si>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</si>
  <si>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</si>
  <si>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</si>
  <si>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</si>
  <si>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</si>
  <si>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</si>
  <si>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</si>
  <si>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</si>
  <si>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</si>
  <si>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</si>
  <si>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</si>
  <si>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FRA-FRA</t>
  </si>
  <si>
    <t>Sell short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</si>
  <si>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</si>
  <si>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</si>
  <si>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</si>
  <si>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</si>
  <si>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</si>
  <si>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</si>
  <si>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</si>
  <si>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</si>
  <si>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</si>
  <si>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</si>
  <si>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</si>
  <si>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</si>
  <si>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</si>
  <si>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</si>
  <si>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</si>
  <si>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</si>
  <si>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</si>
  <si>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</si>
  <si>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</si>
  <si>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</si>
  <si>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</si>
  <si>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</si>
  <si>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Account Inception</t>
  </si>
  <si>
    <t>CreateDoneAwayOrder</t>
  </si>
  <si>
    <t>Buy to Close</t>
  </si>
  <si>
    <t>GS</t>
  </si>
  <si>
    <t>SelectTradeOnOrderGrid</t>
  </si>
  <si>
    <t>Filled</t>
  </si>
  <si>
    <t>ReplaceSubOrder</t>
  </si>
  <si>
    <t>CreateReplaceOrder</t>
  </si>
  <si>
    <t>GetDataAllocation</t>
  </si>
  <si>
    <t>CheckAllocatedTaxlots</t>
  </si>
  <si>
    <t/>
  </si>
  <si>
    <t>M</t>
  </si>
  <si>
    <t>EUR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</si>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</sst>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36">
        <v>600.0</v>
      </c>
      <c r="E6" s="34"/>
      <c r="F6" s="34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45082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5" t="s">
        <v>19</v>
      </c>
      <c r="D7" s="37">
        <v>400.0</v>
      </c>
      <c r="E7" s="34"/>
      <c r="F7" s="34" t="s">
        <v>22</v>
      </c>
      <c r="G7" s="34" t="s">
        <v>21</v>
      </c>
      <c r="H7" s="34"/>
      <c r="I7" s="34"/>
      <c r="J7" s="37">
        <v>2.0</v>
      </c>
      <c r="K7" s="34"/>
      <c r="L7" s="34"/>
      <c r="M7" s="34"/>
      <c r="N7" s="38">
        <f t="shared" si="1"/>
        <v>45082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9" t="s">
        <v>18</v>
      </c>
      <c r="AJ6" s="35" t="s">
        <v>19</v>
      </c>
      <c r="AK6" s="34" t="s">
        <v>25</v>
      </c>
      <c r="AL6" s="40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9" t="s">
        <v>18</v>
      </c>
      <c r="AJ7" s="35" t="s">
        <v>19</v>
      </c>
      <c r="AK7" s="34" t="s">
        <v>25</v>
      </c>
      <c r="AL7" s="40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19</v>
      </c>
      <c r="D6" s="40">
        <v>600.0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19</v>
      </c>
      <c r="D6" s="41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19</v>
      </c>
      <c r="D6" s="42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18</v>
      </c>
      <c r="C7" s="35" t="s">
        <v>19</v>
      </c>
      <c r="D7" s="40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45081</v>
      </c>
      <c r="C6" s="38">
        <f>today()</f>
        <v>45082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20</v>
      </c>
      <c r="C6" s="44" t="s">
        <v>33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22</v>
      </c>
      <c r="C7" s="44" t="s">
        <v>33</v>
      </c>
      <c r="D7" s="37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4" t="s">
        <v>34</v>
      </c>
      <c r="C8" s="44" t="s">
        <v>33</v>
      </c>
      <c r="D8" s="37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4" t="s">
        <v>35</v>
      </c>
      <c r="C9" s="44" t="s">
        <v>33</v>
      </c>
      <c r="D9" s="37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38</v>
      </c>
      <c r="C6" s="44" t="s">
        <v>20</v>
      </c>
      <c r="D6" s="36">
        <v>80.0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38</v>
      </c>
      <c r="C7" s="44" t="s">
        <v>22</v>
      </c>
      <c r="D7" s="37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41</v>
      </c>
      <c r="C6" s="34"/>
      <c r="D6" s="43" t="s">
        <v>42</v>
      </c>
      <c r="E6" s="34"/>
      <c r="F6" s="34"/>
      <c r="G6" s="46" t="b">
        <v>1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19</v>
      </c>
      <c r="D6" s="47">
        <v>400.0</v>
      </c>
      <c r="E6" s="47">
        <v>400.0</v>
      </c>
      <c r="F6" s="34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>today()</f>
        <v>45082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44</v>
      </c>
      <c r="D6" s="36">
        <v>600.0</v>
      </c>
      <c r="E6" s="34"/>
      <c r="F6" s="34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45082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18</v>
      </c>
      <c r="C7" s="35" t="s">
        <v>44</v>
      </c>
      <c r="D7" s="37">
        <v>600.0</v>
      </c>
      <c r="E7" s="34"/>
      <c r="F7" s="34" t="s">
        <v>38</v>
      </c>
      <c r="G7" s="34" t="s">
        <v>45</v>
      </c>
      <c r="H7" s="34"/>
      <c r="I7" s="34"/>
      <c r="J7" s="37">
        <v>2.0</v>
      </c>
      <c r="K7" s="34"/>
      <c r="L7" s="34"/>
      <c r="M7" s="34"/>
      <c r="N7" s="38">
        <f t="shared" si="1"/>
        <v>45082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9" t="s">
        <v>18</v>
      </c>
      <c r="AJ6" s="35" t="s">
        <v>44</v>
      </c>
      <c r="AK6" s="34" t="s">
        <v>25</v>
      </c>
      <c r="AL6" s="40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9" t="s">
        <v>18</v>
      </c>
      <c r="AJ7" s="35" t="s">
        <v>44</v>
      </c>
      <c r="AK7" s="34" t="s">
        <v>25</v>
      </c>
      <c r="AL7" s="40">
        <v>600.0</v>
      </c>
      <c r="AM7" s="34"/>
      <c r="AN7" s="34"/>
      <c r="AO7" s="34"/>
      <c r="AP7" s="34"/>
      <c r="AQ7" s="34"/>
      <c r="AR7" s="34"/>
      <c r="AS7" s="34" t="s">
        <v>45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44</v>
      </c>
      <c r="D6" s="42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5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44</v>
      </c>
      <c r="D6" s="42">
        <v>600.0</v>
      </c>
      <c r="E6" s="34"/>
      <c r="F6" s="34"/>
      <c r="G6" s="34" t="s">
        <v>45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5" t="s">
        <v>38</v>
      </c>
      <c r="G6" s="34" t="s">
        <v>45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5" t="s">
        <v>44</v>
      </c>
      <c r="D6" s="42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18</v>
      </c>
      <c r="C7" s="35" t="s">
        <v>44</v>
      </c>
      <c r="D7" s="40">
        <v>600.0</v>
      </c>
      <c r="E7" s="34"/>
      <c r="F7" s="34"/>
      <c r="G7" s="34" t="s">
        <v>45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 t="s">
        <v>18</v>
      </c>
      <c r="F6" s="35" t="s">
        <v>44</v>
      </c>
      <c r="G6" s="13" t="s">
        <v>47</v>
      </c>
      <c r="H6" s="13">
        <v>600.0</v>
      </c>
      <c r="I6" s="8"/>
      <c r="J6" s="8"/>
      <c r="K6" s="8"/>
      <c r="L6" s="8"/>
      <c r="M6" s="8"/>
      <c r="N6" s="8"/>
      <c r="O6" s="8"/>
      <c r="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9" t="s">
        <v>18</v>
      </c>
      <c r="AK6" s="35" t="s">
        <v>44</v>
      </c>
      <c r="AL6" s="34" t="s">
        <v>47</v>
      </c>
      <c r="AM6" s="40">
        <v>600.0</v>
      </c>
      <c r="AN6" s="34"/>
      <c r="AO6" s="34"/>
      <c r="AP6" s="34"/>
      <c r="AQ6" s="34"/>
      <c r="AR6" s="34"/>
      <c r="AS6" s="34"/>
      <c r="AT6" s="34" t="s">
        <v>21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7">
        <v>700.0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>
        <f>today()-1</f>
        <v>45081</v>
      </c>
      <c r="D6" s="38">
        <f>today()</f>
        <v>45082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52</v>
      </c>
      <c r="B6" s="48">
        <v>1200.0</v>
      </c>
      <c r="C6" s="8">
        <v>0.0</v>
      </c>
      <c r="D6" s="48">
        <v>1200.0</v>
      </c>
      <c r="E6" s="8">
        <v>0.0</v>
      </c>
      <c r="F6" s="8" t="s">
        <v>53</v>
      </c>
      <c r="G6" s="8"/>
      <c r="H6" s="8" t="s">
        <v>54</v>
      </c>
      <c r="I6" s="8"/>
      <c r="J6" s="8"/>
      <c r="K6" s="8"/>
      <c r="L6" s="8"/>
      <c r="M6" s="8"/>
      <c r="N6" s="8"/>
      <c r="O6" s="8" t="s">
        <v>20</v>
      </c>
      <c r="P6" t="s">
        <v>55</v>
      </c>
      <c r="Q6">
        <v>100.0</v>
      </c>
      <c r="R6">
        <v>600.0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56</v>
      </c>
      <c r="AI6">
        <v>0.0</v>
      </c>
      <c r="AJ6">
        <v>0.0</v>
      </c>
      <c r="AK6">
        <v>0.0</v>
      </c>
      <c r="AL6">
        <v>3.0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52</v>
      </c>
      <c r="AY6" t="s">
        <v>52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52</v>
      </c>
      <c r="BH6" t="s">
        <v>52</v>
      </c>
      <c r="BI6" t="s">
        <v>52</v>
      </c>
      <c r="BJ6" t="s">
        <v>52</v>
      </c>
      <c r="BK6" t="s">
        <v>52</v>
      </c>
      <c r="BL6" t="s">
        <v>52</v>
      </c>
      <c r="BM6" t="s">
        <v>52</v>
      </c>
      <c r="BN6" t="s">
        <v>52</v>
      </c>
      <c r="BO6" t="s">
        <v>52</v>
      </c>
      <c r="BP6" t="s">
        <v>52</v>
      </c>
      <c r="BQ6" t="s">
        <v>52</v>
      </c>
      <c r="BR6" t="s">
        <v>52</v>
      </c>
      <c r="BS6" t="s">
        <v>52</v>
      </c>
      <c r="BT6" t="s">
        <v>52</v>
      </c>
      <c r="BU6" t="s">
        <v>52</v>
      </c>
      <c r="BV6" t="s">
        <v>52</v>
      </c>
      <c r="BW6" t="s">
        <v>52</v>
      </c>
      <c r="BX6" t="s">
        <v>52</v>
      </c>
      <c r="BY6" t="s">
        <v>52</v>
      </c>
      <c r="BZ6" t="s">
        <v>52</v>
      </c>
      <c r="CA6" t="s">
        <v>52</v>
      </c>
      <c r="CB6" t="s">
        <v>52</v>
      </c>
      <c r="CC6" t="s">
        <v>52</v>
      </c>
      <c r="CD6" t="s">
        <v>52</v>
      </c>
      <c r="CE6" t="s">
        <v>52</v>
      </c>
      <c r="CF6" t="s">
        <v>52</v>
      </c>
      <c r="CG6" t="s">
        <v>52</v>
      </c>
      <c r="CH6" t="s">
        <v>52</v>
      </c>
      <c r="CI6" t="s">
        <v>52</v>
      </c>
      <c r="CJ6" t="s">
        <v>52</v>
      </c>
      <c r="CK6" t="s">
        <v>52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</row>
    <row r="7" ht="15.75" customHeight="1">
      <c r="A7" s="8" t="s">
        <v>52</v>
      </c>
      <c r="B7" s="8">
        <v>800.0</v>
      </c>
      <c r="C7" s="8">
        <v>0.0</v>
      </c>
      <c r="D7" s="8">
        <v>800.0</v>
      </c>
      <c r="E7" s="8">
        <v>0.0</v>
      </c>
      <c r="F7" s="8" t="s">
        <v>53</v>
      </c>
      <c r="G7" s="8"/>
      <c r="H7" s="8" t="s">
        <v>54</v>
      </c>
      <c r="I7" s="8"/>
      <c r="J7" s="8"/>
      <c r="K7" s="8"/>
      <c r="L7" s="8"/>
      <c r="M7" s="8"/>
      <c r="N7" s="8"/>
      <c r="O7" s="8" t="s">
        <v>22</v>
      </c>
      <c r="P7" t="s">
        <v>55</v>
      </c>
      <c r="Q7">
        <v>100.0</v>
      </c>
      <c r="R7">
        <v>400.0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56</v>
      </c>
      <c r="AI7">
        <v>0.0</v>
      </c>
      <c r="AJ7">
        <v>0.0</v>
      </c>
      <c r="AK7">
        <v>0.0</v>
      </c>
      <c r="AL7">
        <v>3.0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52</v>
      </c>
      <c r="AY7" t="s">
        <v>52</v>
      </c>
      <c r="AZ7" t="s">
        <v>52</v>
      </c>
      <c r="BA7" t="s">
        <v>52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52</v>
      </c>
      <c r="BH7" t="s">
        <v>52</v>
      </c>
      <c r="BI7" t="s">
        <v>52</v>
      </c>
      <c r="BJ7" t="s">
        <v>52</v>
      </c>
      <c r="BK7" t="s">
        <v>52</v>
      </c>
      <c r="BL7" t="s">
        <v>52</v>
      </c>
      <c r="BM7" t="s">
        <v>52</v>
      </c>
      <c r="BN7" t="s">
        <v>52</v>
      </c>
      <c r="BO7" t="s">
        <v>52</v>
      </c>
      <c r="BP7" t="s">
        <v>52</v>
      </c>
      <c r="BQ7" t="s">
        <v>52</v>
      </c>
      <c r="BR7" t="s">
        <v>52</v>
      </c>
      <c r="BS7" t="s">
        <v>52</v>
      </c>
      <c r="BT7" t="s">
        <v>52</v>
      </c>
      <c r="BU7" t="s">
        <v>52</v>
      </c>
      <c r="BV7" t="s">
        <v>52</v>
      </c>
      <c r="BW7" t="s">
        <v>52</v>
      </c>
      <c r="BX7" t="s">
        <v>52</v>
      </c>
      <c r="BY7" t="s">
        <v>52</v>
      </c>
      <c r="BZ7" t="s">
        <v>52</v>
      </c>
      <c r="CA7" t="s">
        <v>52</v>
      </c>
      <c r="CB7" t="s">
        <v>52</v>
      </c>
      <c r="CC7" t="s">
        <v>52</v>
      </c>
      <c r="CD7" t="s">
        <v>52</v>
      </c>
      <c r="CE7" t="s">
        <v>52</v>
      </c>
      <c r="CF7" t="s">
        <v>52</v>
      </c>
      <c r="CG7" t="s">
        <v>52</v>
      </c>
      <c r="CH7" t="s">
        <v>52</v>
      </c>
      <c r="CI7" t="s">
        <v>52</v>
      </c>
      <c r="CJ7" t="s">
        <v>52</v>
      </c>
      <c r="CK7" t="s">
        <v>52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</row>
    <row r="8" ht="15.75" customHeight="1">
      <c r="A8" s="8" t="s">
        <v>52</v>
      </c>
      <c r="B8" s="8">
        <v>800.0</v>
      </c>
      <c r="C8" s="8">
        <v>0.0</v>
      </c>
      <c r="D8" s="8">
        <v>800.0</v>
      </c>
      <c r="E8" s="8">
        <v>0.0</v>
      </c>
      <c r="F8" s="8" t="s">
        <v>53</v>
      </c>
      <c r="G8" s="8"/>
      <c r="H8" s="8" t="s">
        <v>54</v>
      </c>
      <c r="I8" s="8"/>
      <c r="J8" s="8"/>
      <c r="K8" s="8"/>
      <c r="L8" s="8"/>
      <c r="M8" s="8"/>
      <c r="N8" s="8"/>
      <c r="O8" s="8" t="s">
        <v>20</v>
      </c>
      <c r="P8" t="s">
        <v>55</v>
      </c>
      <c r="Q8">
        <v>100.0</v>
      </c>
      <c r="R8">
        <v>400.0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56</v>
      </c>
      <c r="AI8">
        <v>0.0</v>
      </c>
      <c r="AJ8">
        <v>0.0</v>
      </c>
      <c r="AK8">
        <v>0.0</v>
      </c>
      <c r="AL8">
        <v>3.0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52</v>
      </c>
      <c r="AY8" t="s">
        <v>52</v>
      </c>
      <c r="AZ8" t="s">
        <v>52</v>
      </c>
      <c r="BA8" t="s">
        <v>52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52</v>
      </c>
      <c r="BH8" t="s">
        <v>52</v>
      </c>
      <c r="BI8" t="s">
        <v>52</v>
      </c>
      <c r="BJ8" t="s">
        <v>52</v>
      </c>
      <c r="BK8" t="s">
        <v>52</v>
      </c>
      <c r="BL8" t="s">
        <v>52</v>
      </c>
      <c r="BM8" t="s">
        <v>52</v>
      </c>
      <c r="BN8" t="s">
        <v>52</v>
      </c>
      <c r="BO8" t="s">
        <v>52</v>
      </c>
      <c r="BP8" t="s">
        <v>52</v>
      </c>
      <c r="BQ8" t="s">
        <v>52</v>
      </c>
      <c r="BR8" t="s">
        <v>52</v>
      </c>
      <c r="BS8" t="s">
        <v>52</v>
      </c>
      <c r="BT8" t="s">
        <v>52</v>
      </c>
      <c r="BU8" t="s">
        <v>52</v>
      </c>
      <c r="BV8" t="s">
        <v>52</v>
      </c>
      <c r="BW8" t="s">
        <v>52</v>
      </c>
      <c r="BX8" t="s">
        <v>52</v>
      </c>
      <c r="BY8" t="s">
        <v>52</v>
      </c>
      <c r="BZ8" t="s">
        <v>52</v>
      </c>
      <c r="CA8" t="s">
        <v>52</v>
      </c>
      <c r="CB8" t="s">
        <v>52</v>
      </c>
      <c r="CC8" t="s">
        <v>52</v>
      </c>
      <c r="CD8" t="s">
        <v>52</v>
      </c>
      <c r="CE8" t="s">
        <v>52</v>
      </c>
      <c r="CF8" t="s">
        <v>52</v>
      </c>
      <c r="CG8" t="s">
        <v>52</v>
      </c>
      <c r="CH8" t="s">
        <v>52</v>
      </c>
      <c r="CI8" t="s">
        <v>52</v>
      </c>
      <c r="CJ8" t="s">
        <v>52</v>
      </c>
      <c r="CK8" t="s">
        <v>52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