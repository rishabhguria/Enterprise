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" sheetId="4" r:id="rId6"/>
    <sheet state="visible" name="CreateDoneAwayOrder" sheetId="5" r:id="rId7"/>
    <sheet state="visible" name="GetDataAllocation" sheetId="6" r:id="rId8"/>
    <sheet state="visible" name="CheckAllocatedGroups" sheetId="7" r:id="rId9"/>
    <sheet state="visible" name="VerifyOrder" sheetId="8" r:id="rId10"/>
    <sheet state="visible" name="CheckPortfolioManagement" sheetId="9" r:id="rId11"/>
    <sheet state="visible" name="DeleteSymbolFromSM2" sheetId="10" r:id="rId12"/>
  </sheets>
  <definedNames/>
  <calcPr/>
</workbook>
</file>

<file path=xl/sharedStrings.xml><?xml version="1.0" encoding="utf-8"?>
<sst xmlns="http://schemas.openxmlformats.org/spreadsheetml/2006/main" count="158" uniqueCount="59">
  <si>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</si>
  <si>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</si>
  <si>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</si>
  <si>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</si>
  <si>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</si>
  <si>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</si>
  <si>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</si>
  <si>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</si>
  <si>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</si>
  <si>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</si>
  <si>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</si>
  <si>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</si>
  <si>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SymbolLookup</t>
  </si>
  <si>
    <t>AddSymbol</t>
  </si>
  <si>
    <t>Data Format</t>
  </si>
  <si>
    <t>Input Format</t>
  </si>
  <si>
    <t>NASD-Equity</t>
  </si>
  <si>
    <t>PC</t>
  </si>
  <si>
    <t>USD</t>
  </si>
  <si>
    <t>PC1234</t>
  </si>
  <si>
    <t>US1357926</t>
  </si>
  <si>
    <t>TradingTicket</t>
  </si>
  <si>
    <t>CreateDoneAwayOrder</t>
  </si>
  <si>
    <t>Buy</t>
  </si>
  <si>
    <t>Allocation1</t>
  </si>
  <si>
    <t>MS</t>
  </si>
  <si>
    <t>Allocation</t>
  </si>
  <si>
    <t>GetDataAllocation</t>
  </si>
  <si>
    <t>Current</t>
  </si>
  <si>
    <t>SEDA</t>
  </si>
  <si>
    <t>CheckAllocatedGroups</t>
  </si>
  <si>
    <t>Manual</t>
  </si>
  <si>
    <t>Equity</t>
  </si>
  <si>
    <t>Open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</si>
  <si>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</si>
  <si>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</si>
  <si>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</si>
  <si>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</si>
  <si>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</si>
  <si>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</si>
  <si>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</si>
  <si>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</si>
  <si>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</si>
  <si>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</si>
  <si>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</si>
  <si>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</si>
  <si>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Blotter</t>
  </si>
  <si>
    <t>VerifyOrder</t>
  </si>
  <si>
    <t>NewMF</t>
  </si>
  <si>
    <t>Filled</t>
  </si>
  <si>
    <t>PortfolioManagement</t>
  </si>
  <si>
    <t>CheckPortfolioManagement</t>
  </si>
  <si>
    <t>Long</t>
  </si>
  <si>
    <t>FIMAT</t>
  </si>
  <si>
    <t>Undefined</t>
  </si>
  <si>
    <t>Default</t>
  </si>
  <si>
    <t>unique</t>
  </si>
  <si>
    <t>Admin</t>
  </si>
  <si>
    <t>DeleteSymbolFromSM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</si>
</sst>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22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  <font>
      <color rgb="FF000000"/>
      <name val="Calibri"/>
    </font>
    <font>
      <sz val="9.0"/>
      <color rgb="FF000000"/>
      <name val="&quot;Segoe UI&quot;"/>
    </font>
    <font>
      <sz val="9.0"/>
      <color rgb="FF000000"/>
      <name val="Arial"/>
    </font>
    <font>
      <color rgb="FF000000"/>
    </font>
    <font>
      <sz val="9.0"/>
      <color rgb="FF000000"/>
      <name val="Verdana"/>
    </font>
    <font>
      <sz val="9.0"/>
      <color rgb="FFFF8000"/>
      <name val="&quot;Segoe UI&quot;"/>
    </font>
    <font>
      <sz val="9.0"/>
      <color rgb="FFFF8000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4" fontId="13" numFmtId="0" xfId="0" applyFont="1"/>
    <xf borderId="0" fillId="0" fontId="5" numFmtId="0" xfId="0" applyAlignment="1" applyFont="1">
      <alignment readingOrder="0" shrinkToFit="0" wrapText="0"/>
    </xf>
    <xf borderId="0" fillId="2" fontId="1" numFmtId="0" xfId="0" applyAlignment="1" applyFont="1">
      <alignment horizontal="center"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5" fillId="0" fontId="14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shrinkToFit="0" wrapText="0"/>
    </xf>
    <xf borderId="0" fillId="6" fontId="16" numFmtId="0" xfId="0" applyAlignment="1" applyFill="1" applyFont="1">
      <alignment horizontal="right" readingOrder="0" shrinkToFit="0" vertical="top" wrapText="0"/>
    </xf>
    <xf borderId="0" fillId="6" fontId="17" numFmtId="0" xfId="0" applyAlignment="1" applyFont="1">
      <alignment horizontal="right" readingOrder="0" shrinkToFit="0" vertical="top" wrapText="0"/>
    </xf>
    <xf borderId="0" fillId="0" fontId="18" numFmtId="0" xfId="0" applyFont="1"/>
    <xf borderId="0" fillId="6" fontId="19" numFmtId="0" xfId="0" applyAlignment="1" applyFont="1">
      <alignment horizontal="right" readingOrder="0" shrinkToFit="0" vertical="top" wrapText="0"/>
    </xf>
    <xf borderId="0" fillId="6" fontId="16" numFmtId="165" xfId="0" applyAlignment="1" applyFont="1" applyNumberFormat="1">
      <alignment horizontal="right" readingOrder="0" shrinkToFit="0" vertical="top" wrapText="0"/>
    </xf>
    <xf borderId="0" fillId="6" fontId="16" numFmtId="0" xfId="0" applyAlignment="1" applyFont="1">
      <alignment horizontal="right" shrinkToFit="0" vertical="top" wrapText="0"/>
    </xf>
    <xf borderId="0" fillId="6" fontId="20" numFmtId="0" xfId="0" applyAlignment="1" applyFont="1">
      <alignment horizontal="right" vertical="top"/>
    </xf>
    <xf borderId="0" fillId="6" fontId="21" numFmtId="0" xfId="0" applyAlignment="1" applyFont="1">
      <alignment horizontal="right" vertical="top"/>
    </xf>
    <xf borderId="0" fillId="6" fontId="19" numFmtId="0" xfId="0" applyAlignment="1" applyFont="1">
      <alignment horizontal="right" vertical="top"/>
    </xf>
    <xf borderId="0" fillId="6" fontId="3" numFmtId="165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IFERROR(__xludf.DUMMYFUNCTION("""COMPUTED_VALUE"""),"ExchangeIdentifier")</f>
        <v>ExchangeIdentifier</v>
      </c>
      <c r="C5" s="28" t="str">
        <f>IFERROR(__xludf.DUMMYFUNCTION("""COMPUTED_VALUE"""),"Symbol")</f>
        <v>Symbol</v>
      </c>
      <c r="D5" s="28" t="str">
        <f>IFERROR(__xludf.DUMMYFUNCTION("""COMPUTED_VALUE"""),"Currency")</f>
        <v>Currency</v>
      </c>
      <c r="E5" s="28" t="str">
        <f>IFERROR(__xludf.DUMMYFUNCTION("""COMPUTED_VALUE"""),"Multiplier")</f>
        <v>Multiplier</v>
      </c>
      <c r="F5" s="29" t="str">
        <f>IFERROR(__xludf.DUMMYFUNCTION("""COMPUTED_VALUE"""),"UnderLyingName")</f>
        <v>UnderLyingName</v>
      </c>
      <c r="G5" s="28" t="str">
        <f>IFERROR(__xludf.DUMMYFUNCTION("""COMPUTED_VALUE"""),"Bloomberg Symbol")</f>
        <v>Bloomberg Symbol</v>
      </c>
      <c r="H5" s="28" t="str">
        <f>IFERROR(__xludf.DUMMYFUNCTION("""COMPUTED_VALUE"""),"Description")</f>
        <v>Description</v>
      </c>
      <c r="I5" s="28" t="str">
        <f>IFERROR(__xludf.DUMMYFUNCTION("""COMPUTED_VALUE"""),"Expiration Date")</f>
        <v>Expiration Date</v>
      </c>
      <c r="J5" s="28" t="str">
        <f>IFERROR(__xludf.DUMMYFUNCTION("""COMPUTED_VALUE"""),"Put/Call")</f>
        <v>Put/Call</v>
      </c>
      <c r="K5" s="28" t="str">
        <f>IFERROR(__xludf.DUMMYFUNCTION("""COMPUTED_VALUE"""),"Strike Price")</f>
        <v>Strike Price</v>
      </c>
      <c r="L5" s="28" t="str">
        <f>IFERROR(__xludf.DUMMYFUNCTION("""COMPUTED_VALUE"""),"Issue Date")</f>
        <v>Issue Date</v>
      </c>
      <c r="M5" s="28" t="str">
        <f>IFERROR(__xludf.DUMMYFUNCTION("""COMPUTED_VALUE"""),"Accrual Basis")</f>
        <v>Accrual Basis</v>
      </c>
      <c r="N5" s="28" t="str">
        <f>IFERROR(__xludf.DUMMYFUNCTION("""COMPUTED_VALUE"""),"Coupon Frequency")</f>
        <v>Coupon Frequency</v>
      </c>
      <c r="O5" s="28" t="str">
        <f>IFERROR(__xludf.DUMMYFUNCTION("""COMPUTED_VALUE"""),"Coupon")</f>
        <v>Coupon</v>
      </c>
      <c r="P5" s="28" t="str">
        <f>IFERROR(__xludf.DUMMYFUNCTION("""COMPUTED_VALUE"""),"Bond Type")</f>
        <v>Bond Type</v>
      </c>
      <c r="Q5" s="28" t="str">
        <f>IFERROR(__xludf.DUMMYFUNCTION("""COMPUTED_VALUE"""),"First Coupan Date")</f>
        <v>First Coupan Date</v>
      </c>
      <c r="R5" s="28" t="str">
        <f>IFERROR(__xludf.DUMMYFUNCTION("""COMPUTED_VALUE"""),"Days To Settlement")</f>
        <v>Days To Settlement</v>
      </c>
      <c r="S5" s="28" t="str">
        <f>IFERROR(__xludf.DUMMYFUNCTION("""COMPUTED_VALUE"""),"IsZero")</f>
        <v>IsZero</v>
      </c>
      <c r="T5" s="30" t="str">
        <f>IFERROR(__xludf.DUMMYFUNCTION("""COMPUTED_VALUE"""),"Collateral Type")</f>
        <v>Collateral Type</v>
      </c>
      <c r="U5" s="30" t="str">
        <f>IFERROR(__xludf.DUMMYFUNCTION("""COMPUTED_VALUE"""),"RoundLots")</f>
        <v>RoundLots</v>
      </c>
      <c r="V5" s="30" t="str">
        <f>IFERROR(__xludf.DUMMYFUNCTION("""COMPUTED_VALUE"""),"LeveragedFactor")</f>
        <v>LeveragedFactor</v>
      </c>
      <c r="W5" s="30" t="str">
        <f>IFERROR(__xludf.DUMMYFUNCTION("""COMPUTED_VALUE"""),"Strike Price Multiplier")</f>
        <v>Strike Price Multiplier</v>
      </c>
      <c r="X5" s="30" t="str">
        <f>IFERROR(__xludf.DUMMYFUNCTION("""COMPUTED_VALUE"""),"Sedol Symbol")</f>
        <v>Sedol Symbol</v>
      </c>
      <c r="Y5" s="30" t="str">
        <f>IFERROR(__xludf.DUMMYFUNCTION("""COMPUTED_VALUE"""),"Cusip Symbol")</f>
        <v>Cusip Symbol</v>
      </c>
      <c r="Z5" s="30" t="str">
        <f>IFERROR(__xludf.DUMMYFUNCTION("""COMPUTED_VALUE"""),"ISIN Symbol")</f>
        <v>ISIN Symbol</v>
      </c>
      <c r="AA5" s="30" t="str">
        <f>IFERROR(__xludf.DUMMYFUNCTION("""COMPUTED_VALUE"""),"IDCOOption-22")</f>
        <v>IDCOOption-22</v>
      </c>
      <c r="AB5" s="30" t="str">
        <f>IFERROR(__xludf.DUMMYFUNCTION("""COMPUTED_VALUE"""),"OSIOption-21")</f>
        <v>OSIOption-21</v>
      </c>
      <c r="AC5" s="30" t="str">
        <f>IFERROR(__xludf.DUMMYFUNCTION("""COMPUTED_VALUE"""),"Comments")</f>
        <v>Comments</v>
      </c>
      <c r="AD5" s="30" t="str">
        <f>IFERROR(__xludf.DUMMYFUNCTION("""COMPUTED_VALUE"""),"Shares Outstanding")</f>
        <v>Shares Outstanding</v>
      </c>
      <c r="AE5" s="30" t="str">
        <f>IFERROR(__xludf.DUMMYFUNCTION("""COMPUTED_VALUE"""),"FactSet Symbol")</f>
        <v>FactSet Symbol</v>
      </c>
      <c r="AF5" s="30" t="str">
        <f>IFERROR(__xludf.DUMMYFUNCTION("""COMPUTED_VALUE"""),"ACTIV Symbol")</f>
        <v>ACTIV Symbol</v>
      </c>
      <c r="AG5" s="30" t="str">
        <f>IFERROR(__xludf.DUMMYFUNCTION("""COMPUTED_VALUE"""),"UDA Security Type")</f>
        <v>UDA Security Type</v>
      </c>
      <c r="AH5" s="30" t="str">
        <f>IFERROR(__xludf.DUMMYFUNCTION("""COMPUTED_VALUE"""),"UDA Country")</f>
        <v>UDA Country</v>
      </c>
      <c r="AI5" s="30" t="str">
        <f>IFERROR(__xludf.DUMMYFUNCTION("""COMPUTED_VALUE"""),"UDA Asset Class")</f>
        <v>UDA Asset Class</v>
      </c>
      <c r="AJ5" s="30" t="str">
        <f>IFERROR(__xludf.DUMMYFUNCTION("""COMPUTED_VALUE"""),"UDA Sector")</f>
        <v>UDA Sector</v>
      </c>
      <c r="AK5" s="30" t="str">
        <f>IFERROR(__xludf.DUMMYFUNCTION("""COMPUTED_VALUE"""),"UDA Sub Sector")</f>
        <v>UDA Sub Sector</v>
      </c>
      <c r="AL5" s="30" t="str">
        <f>IFERROR(__xludf.DUMMYFUNCTION("""COMPUTED_VALUE"""),"Proxy Symbol")</f>
        <v>Proxy Symbol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1.0</v>
      </c>
      <c r="F6" s="13" t="s">
        <v>17</v>
      </c>
      <c r="G6" s="8"/>
      <c r="H6" s="8"/>
      <c r="I6" s="8"/>
      <c r="M6" s="8"/>
      <c r="N6" s="8"/>
      <c r="O6" s="8"/>
      <c r="X6" s="13" t="s">
        <v>19</v>
      </c>
      <c r="Y6" s="13">
        <v>1357926.0</v>
      </c>
      <c r="Z6" s="13" t="s">
        <v>20</v>
      </c>
      <c r="AL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23</v>
      </c>
      <c r="D6" s="13">
        <v>100.0</v>
      </c>
      <c r="E6" s="13">
        <v>100.0</v>
      </c>
      <c r="F6" s="13" t="s">
        <v>24</v>
      </c>
      <c r="G6" s="13" t="s">
        <v>25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33" t="s">
        <v>29</v>
      </c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24</v>
      </c>
      <c r="C6" s="34"/>
      <c r="D6" s="35"/>
      <c r="E6" s="35">
        <v>100.0</v>
      </c>
      <c r="F6" s="34" t="s">
        <v>31</v>
      </c>
      <c r="G6" s="34" t="s">
        <v>32</v>
      </c>
      <c r="H6" s="35">
        <v>4.0</v>
      </c>
      <c r="I6" s="35">
        <v>5.0</v>
      </c>
      <c r="J6" s="35">
        <v>1.0</v>
      </c>
      <c r="K6" s="35">
        <v>10.0</v>
      </c>
      <c r="L6" s="35">
        <v>10.0</v>
      </c>
      <c r="M6" s="36"/>
      <c r="N6" s="34"/>
      <c r="O6" s="34" t="s">
        <v>25</v>
      </c>
      <c r="P6" s="36"/>
      <c r="Q6" s="35">
        <v>3.0</v>
      </c>
      <c r="R6" s="35">
        <v>0.0</v>
      </c>
      <c r="S6" s="34" t="s">
        <v>33</v>
      </c>
      <c r="T6" s="35">
        <v>0.0</v>
      </c>
      <c r="U6" s="35">
        <v>0.0</v>
      </c>
      <c r="V6" s="34"/>
      <c r="W6" s="35">
        <v>1.0</v>
      </c>
      <c r="X6" s="35"/>
      <c r="Y6" s="36"/>
      <c r="Z6" s="34" t="s">
        <v>18</v>
      </c>
      <c r="AA6" s="13">
        <v>1357926.0</v>
      </c>
      <c r="AB6" s="35">
        <v>1.0</v>
      </c>
      <c r="AC6" s="34" t="s">
        <v>34</v>
      </c>
      <c r="AD6" s="34" t="s">
        <v>35</v>
      </c>
      <c r="AE6" s="35">
        <v>100.0</v>
      </c>
      <c r="AF6" s="37"/>
      <c r="AG6" s="37"/>
      <c r="AH6" s="34" t="s">
        <v>36</v>
      </c>
      <c r="AI6" s="35">
        <v>1.0</v>
      </c>
      <c r="AJ6" s="34" t="s">
        <v>37</v>
      </c>
      <c r="AK6" s="36"/>
      <c r="AL6" s="36"/>
      <c r="AM6" s="34" t="s">
        <v>38</v>
      </c>
      <c r="AN6" s="34" t="b">
        <v>0</v>
      </c>
      <c r="AO6" s="36"/>
      <c r="AP6" s="34" t="b">
        <v>1</v>
      </c>
      <c r="AQ6" s="34" t="b">
        <v>0</v>
      </c>
      <c r="AR6" s="34" t="b">
        <v>1</v>
      </c>
      <c r="AS6" s="35"/>
      <c r="AT6" s="38">
        <v>1014.0006</v>
      </c>
      <c r="AU6" s="38">
        <v>1014.0006</v>
      </c>
      <c r="AV6" s="39"/>
      <c r="AW6" s="35">
        <v>0.0</v>
      </c>
      <c r="AX6" s="35">
        <v>0.0</v>
      </c>
      <c r="AY6" s="34" t="s">
        <v>39</v>
      </c>
      <c r="AZ6" s="35">
        <v>0.0</v>
      </c>
      <c r="BA6" s="39"/>
      <c r="BB6" s="36"/>
      <c r="BC6" s="35">
        <v>0.0</v>
      </c>
      <c r="BD6" s="34" t="s">
        <v>40</v>
      </c>
      <c r="BE6" s="38">
        <v>1000.0</v>
      </c>
      <c r="BF6" s="38">
        <v>1000.0</v>
      </c>
      <c r="BG6" s="39"/>
      <c r="BH6" s="36"/>
      <c r="BI6" s="36"/>
      <c r="BJ6" s="35">
        <v>100.0</v>
      </c>
      <c r="BK6" s="35">
        <v>0.0</v>
      </c>
      <c r="BL6" s="13"/>
      <c r="BM6" s="34" t="s">
        <v>18</v>
      </c>
      <c r="BN6" s="39"/>
      <c r="BO6" s="34" t="s">
        <v>23</v>
      </c>
      <c r="BP6" s="35">
        <v>0.0</v>
      </c>
      <c r="BQ6" s="35">
        <v>0.0</v>
      </c>
      <c r="BR6" s="35">
        <v>6.0E-4</v>
      </c>
      <c r="BS6" s="34" t="s">
        <v>41</v>
      </c>
      <c r="BT6" s="34" t="s">
        <v>17</v>
      </c>
      <c r="BU6" s="35">
        <v>3.0</v>
      </c>
      <c r="BV6" s="35">
        <v>0.0</v>
      </c>
      <c r="BW6" s="35">
        <v>14.0006</v>
      </c>
      <c r="BX6" s="35">
        <v>0.0</v>
      </c>
      <c r="CF6" s="34" t="s">
        <v>42</v>
      </c>
      <c r="CG6" s="35">
        <v>2.0</v>
      </c>
      <c r="CH6" s="34" t="s">
        <v>21</v>
      </c>
      <c r="CI6" s="34" t="s">
        <v>23</v>
      </c>
      <c r="CJ6" s="35">
        <v>0.0</v>
      </c>
      <c r="CK6" s="34" t="s">
        <v>43</v>
      </c>
      <c r="CL6" s="35">
        <v>1.0</v>
      </c>
      <c r="CM6" s="34" t="s">
        <v>17</v>
      </c>
      <c r="CN6" s="34" t="s">
        <v>44</v>
      </c>
      <c r="CO6" s="34" t="s">
        <v>35</v>
      </c>
      <c r="CP6" s="34" t="s">
        <v>45</v>
      </c>
      <c r="CQ6" s="36"/>
      <c r="CR6" s="35"/>
      <c r="CS6" s="36"/>
      <c r="CT6" s="36"/>
      <c r="CU6" s="39"/>
      <c r="CV6" s="37"/>
      <c r="CW6" s="36"/>
      <c r="CX6" s="36"/>
      <c r="CY6" s="35"/>
      <c r="CZ6" s="36"/>
      <c r="DA6" s="35"/>
      <c r="DB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40"/>
      <c r="B8" s="41"/>
      <c r="C8" s="41"/>
      <c r="D8" s="42"/>
      <c r="E8" s="42"/>
      <c r="F8" s="41"/>
      <c r="G8" s="41"/>
      <c r="H8" s="42"/>
      <c r="I8" s="42"/>
      <c r="J8" s="42"/>
      <c r="K8" s="42"/>
      <c r="L8" s="42"/>
      <c r="M8" s="41"/>
      <c r="N8" s="41"/>
      <c r="O8" s="41"/>
      <c r="P8" s="42"/>
      <c r="Q8" s="42"/>
      <c r="R8" s="42"/>
      <c r="S8" s="41"/>
      <c r="T8" s="40"/>
      <c r="U8" s="40"/>
      <c r="V8" s="43"/>
      <c r="W8" s="40"/>
      <c r="X8" s="40"/>
      <c r="Y8" s="40"/>
      <c r="Z8" s="43"/>
      <c r="AA8" s="43"/>
      <c r="AB8" s="40"/>
      <c r="AC8" s="43"/>
      <c r="AD8" s="43"/>
      <c r="AE8" s="40"/>
      <c r="AF8" s="44"/>
      <c r="AG8" s="44"/>
      <c r="AH8" s="43"/>
      <c r="AI8" s="40"/>
      <c r="AJ8" s="43"/>
      <c r="AK8" s="40"/>
      <c r="AL8" s="40"/>
      <c r="AM8" s="43"/>
      <c r="AN8" s="45"/>
      <c r="AO8" s="40"/>
      <c r="AP8" s="45"/>
      <c r="AQ8" s="45"/>
      <c r="AR8" s="45"/>
      <c r="AS8" s="40"/>
      <c r="AT8" s="46"/>
      <c r="AU8" s="46"/>
      <c r="AV8" s="47"/>
      <c r="AW8" s="40"/>
      <c r="AX8" s="40"/>
      <c r="AY8" s="43"/>
      <c r="AZ8" s="40"/>
      <c r="BA8" s="47"/>
      <c r="BB8" s="40"/>
      <c r="BC8" s="40"/>
      <c r="BD8" s="43"/>
      <c r="BE8" s="46"/>
      <c r="BF8" s="46"/>
      <c r="BG8" s="47"/>
      <c r="BH8" s="40"/>
      <c r="BI8" s="40"/>
      <c r="BJ8" s="40"/>
      <c r="BK8" s="40"/>
      <c r="BL8" s="43"/>
      <c r="BM8" s="43"/>
      <c r="BN8" s="47"/>
      <c r="BO8" s="43"/>
      <c r="BP8" s="40"/>
      <c r="BQ8" s="40"/>
      <c r="BR8" s="48"/>
      <c r="BS8" s="43"/>
      <c r="BT8" s="43"/>
      <c r="BU8" s="40"/>
      <c r="BV8" s="40"/>
      <c r="BW8" s="48"/>
      <c r="BX8" s="40"/>
      <c r="BY8" s="40"/>
      <c r="BZ8" s="40"/>
      <c r="CA8" s="40"/>
      <c r="CB8" s="40"/>
      <c r="CC8" s="40"/>
      <c r="CD8" s="40"/>
      <c r="CE8" s="40"/>
      <c r="CF8" s="43"/>
      <c r="CG8" s="40"/>
      <c r="CH8" s="43"/>
      <c r="CI8" s="43"/>
      <c r="CJ8" s="40"/>
      <c r="CK8" s="43"/>
      <c r="CL8" s="40"/>
      <c r="CM8" s="43"/>
      <c r="CN8" s="43"/>
      <c r="CO8" s="43"/>
      <c r="CP8" s="43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7"/>
      <c r="DC8" s="43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49"/>
      <c r="C6" s="49"/>
      <c r="D6" s="50">
        <v>10.0</v>
      </c>
      <c r="E6" s="50"/>
      <c r="F6" s="50">
        <v>0.0</v>
      </c>
      <c r="G6" s="50"/>
      <c r="H6" s="50" t="s">
        <v>35</v>
      </c>
      <c r="I6" s="50" t="s">
        <v>44</v>
      </c>
      <c r="J6" s="51" t="s">
        <v>17</v>
      </c>
      <c r="K6" s="50" t="s">
        <v>43</v>
      </c>
      <c r="L6" s="50" t="s">
        <v>42</v>
      </c>
      <c r="M6" s="52"/>
      <c r="N6" s="52"/>
      <c r="O6" s="52"/>
      <c r="P6" s="52"/>
      <c r="Q6" s="52"/>
      <c r="R6" s="52"/>
      <c r="S6" s="50">
        <v>0.0</v>
      </c>
      <c r="T6" s="50">
        <v>0.0</v>
      </c>
      <c r="U6" s="53" t="s">
        <v>18</v>
      </c>
      <c r="V6" s="53" t="s">
        <v>45</v>
      </c>
      <c r="W6" s="50"/>
      <c r="X6" s="50">
        <v>0.0</v>
      </c>
      <c r="Y6" s="50"/>
      <c r="Z6" s="50"/>
      <c r="AA6" s="50" t="s">
        <v>48</v>
      </c>
      <c r="AB6" s="50">
        <v>100.0</v>
      </c>
      <c r="AC6" s="50"/>
      <c r="AD6" s="50">
        <v>1.0</v>
      </c>
      <c r="AE6" s="54"/>
      <c r="AF6" s="50" t="s">
        <v>36</v>
      </c>
      <c r="AG6" s="50"/>
      <c r="AH6" s="50" t="s">
        <v>32</v>
      </c>
      <c r="AI6" s="50" t="s">
        <v>17</v>
      </c>
      <c r="AJ6" s="50" t="s">
        <v>23</v>
      </c>
      <c r="AK6" s="50" t="s">
        <v>49</v>
      </c>
      <c r="AL6" s="50">
        <v>100.0</v>
      </c>
      <c r="AM6" s="50">
        <v>100.0</v>
      </c>
      <c r="AN6" s="50">
        <v>100.0</v>
      </c>
      <c r="AO6" s="50">
        <v>100.0</v>
      </c>
      <c r="AP6" s="52"/>
      <c r="AQ6" s="50">
        <v>10.0</v>
      </c>
      <c r="AR6" s="50">
        <v>10.0</v>
      </c>
      <c r="AS6" s="50" t="s">
        <v>25</v>
      </c>
      <c r="AT6" s="50" t="s">
        <v>24</v>
      </c>
      <c r="AU6" s="50" t="s">
        <v>39</v>
      </c>
      <c r="AV6" s="50">
        <v>1000.0</v>
      </c>
      <c r="AW6" s="50">
        <v>1000.0</v>
      </c>
      <c r="AX6" s="50" t="s">
        <v>31</v>
      </c>
      <c r="AY6" s="50">
        <v>100.0</v>
      </c>
      <c r="AZ6" s="54"/>
      <c r="BA6" s="55"/>
      <c r="BB6" s="55"/>
      <c r="BC6" s="50"/>
      <c r="BD6" s="55"/>
      <c r="BE6" s="55"/>
      <c r="BF6" s="50"/>
      <c r="BG6" s="55"/>
      <c r="BH6" s="50"/>
      <c r="BI6" s="50"/>
      <c r="BJ6" s="55"/>
      <c r="BK6" s="55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40"/>
      <c r="B8" s="42"/>
      <c r="C8" s="42"/>
      <c r="D8" s="56"/>
      <c r="E8" s="56"/>
      <c r="F8" s="56"/>
      <c r="G8" s="56"/>
      <c r="H8" s="56"/>
      <c r="I8" s="56"/>
      <c r="J8" s="56"/>
      <c r="K8" s="56"/>
      <c r="L8" s="56"/>
      <c r="M8" s="40"/>
      <c r="N8" s="40"/>
      <c r="O8" s="40"/>
      <c r="P8" s="40"/>
      <c r="Q8" s="40"/>
      <c r="R8" s="40"/>
      <c r="S8" s="56"/>
      <c r="T8" s="56"/>
      <c r="U8" s="57"/>
      <c r="V8" s="58"/>
      <c r="W8" s="40"/>
      <c r="X8" s="56"/>
      <c r="Y8" s="56"/>
      <c r="Z8" s="56"/>
      <c r="AA8" s="56"/>
      <c r="AB8" s="56"/>
      <c r="AC8" s="56"/>
      <c r="AD8" s="56"/>
      <c r="AE8" s="59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9"/>
      <c r="BA8" s="60"/>
      <c r="BB8" s="60"/>
      <c r="BC8" s="60"/>
      <c r="BD8" s="56"/>
      <c r="BE8" s="60"/>
      <c r="BF8" s="60"/>
      <c r="BG8" s="56"/>
      <c r="BH8" s="60"/>
      <c r="BI8" s="56"/>
      <c r="BJ8" s="56"/>
      <c r="BK8" s="60"/>
      <c r="BL8" s="60"/>
      <c r="BM8" s="60"/>
      <c r="BN8" s="60"/>
      <c r="BO8" s="60"/>
      <c r="BP8" s="60"/>
      <c r="BQ8" s="56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8"/>
      <c r="B6" s="39"/>
      <c r="C6" s="34" t="s">
        <v>17</v>
      </c>
      <c r="D6" s="35">
        <v>100.0</v>
      </c>
      <c r="E6" s="34" t="s">
        <v>24</v>
      </c>
      <c r="F6" s="34" t="s">
        <v>48</v>
      </c>
      <c r="G6" s="35">
        <v>10.0</v>
      </c>
      <c r="H6" s="34" t="s">
        <v>52</v>
      </c>
      <c r="I6" s="35">
        <v>0.0</v>
      </c>
      <c r="J6" s="35">
        <v>0.0</v>
      </c>
      <c r="K6" s="35">
        <v>0.0</v>
      </c>
      <c r="L6" s="35">
        <v>0.0</v>
      </c>
      <c r="M6" s="35">
        <v>0.0</v>
      </c>
      <c r="N6" s="61">
        <v>-1000.0</v>
      </c>
      <c r="O6" s="34" t="s">
        <v>17</v>
      </c>
      <c r="P6" s="34"/>
      <c r="Q6" s="61">
        <v>-1000.0</v>
      </c>
      <c r="R6" s="34" t="s">
        <v>53</v>
      </c>
      <c r="S6" s="34" t="s">
        <v>41</v>
      </c>
      <c r="T6" s="34" t="s">
        <v>32</v>
      </c>
      <c r="U6" s="34" t="s">
        <v>43</v>
      </c>
      <c r="V6" s="34" t="s">
        <v>35</v>
      </c>
      <c r="W6" s="34" t="s">
        <v>18</v>
      </c>
      <c r="X6" s="35">
        <v>1.0</v>
      </c>
      <c r="Y6" s="35">
        <v>1.0</v>
      </c>
      <c r="Z6" s="36"/>
      <c r="AA6" s="36"/>
      <c r="AB6" s="35">
        <v>0.0</v>
      </c>
      <c r="AC6" s="35">
        <v>0.0</v>
      </c>
      <c r="AD6" s="35">
        <v>0.0</v>
      </c>
      <c r="AE6" s="35">
        <v>0.0</v>
      </c>
      <c r="AF6" s="35">
        <v>100.0</v>
      </c>
      <c r="AG6" s="35">
        <v>0.0</v>
      </c>
      <c r="AH6" s="35">
        <v>0.0</v>
      </c>
      <c r="AI6" s="35">
        <v>0.0</v>
      </c>
      <c r="AJ6" s="35">
        <v>0.0</v>
      </c>
      <c r="AK6" s="61">
        <v>-1000.0</v>
      </c>
      <c r="AL6" s="35">
        <v>1.0</v>
      </c>
      <c r="AM6" s="35">
        <v>1.0</v>
      </c>
      <c r="AN6" s="34" t="s">
        <v>23</v>
      </c>
      <c r="AO6" s="36"/>
      <c r="AP6" s="34" t="s">
        <v>52</v>
      </c>
      <c r="AQ6" s="34" t="s">
        <v>17</v>
      </c>
      <c r="AR6" s="35">
        <v>0.0</v>
      </c>
      <c r="AS6" s="35">
        <v>1.0</v>
      </c>
      <c r="AT6" s="34" t="s">
        <v>34</v>
      </c>
      <c r="AU6" s="34" t="s">
        <v>38</v>
      </c>
      <c r="AV6" s="35">
        <v>1.0</v>
      </c>
      <c r="AW6" s="61">
        <v>-1000.0</v>
      </c>
      <c r="AX6" s="35">
        <v>0.0</v>
      </c>
      <c r="AY6" s="35">
        <v>0.0</v>
      </c>
      <c r="AZ6" s="35">
        <v>0.0</v>
      </c>
      <c r="BA6" s="35">
        <v>-100.0</v>
      </c>
      <c r="BB6" s="37"/>
      <c r="BC6" s="35">
        <v>1.0</v>
      </c>
      <c r="BD6" s="61">
        <v>-1000.0</v>
      </c>
      <c r="BE6" s="34" t="s">
        <v>32</v>
      </c>
      <c r="BF6" s="34" t="s">
        <v>54</v>
      </c>
      <c r="BG6" s="34" t="s">
        <v>54</v>
      </c>
      <c r="BH6" s="34" t="s">
        <v>54</v>
      </c>
      <c r="BI6" s="34"/>
      <c r="BJ6" s="35">
        <v>0.0</v>
      </c>
      <c r="BK6" s="35">
        <v>0.0</v>
      </c>
      <c r="BL6" s="35">
        <v>0.0</v>
      </c>
      <c r="BM6" s="35">
        <v>0.0</v>
      </c>
      <c r="BN6" s="37"/>
      <c r="BO6" s="61">
        <v>-1000.0</v>
      </c>
      <c r="BP6" s="35">
        <v>0.0</v>
      </c>
      <c r="BQ6" s="34" t="s">
        <v>44</v>
      </c>
      <c r="BR6" s="34" t="s">
        <v>25</v>
      </c>
      <c r="BS6" s="35">
        <v>0.0</v>
      </c>
      <c r="BT6" s="35">
        <v>0.0</v>
      </c>
      <c r="BU6" s="34" t="s">
        <v>32</v>
      </c>
      <c r="BV6" s="35"/>
      <c r="BW6" s="35">
        <v>0.0</v>
      </c>
      <c r="BX6" s="35">
        <v>0.0</v>
      </c>
      <c r="BY6" s="35">
        <v>0.0</v>
      </c>
      <c r="BZ6" s="35">
        <v>0.0</v>
      </c>
      <c r="CA6" s="35">
        <v>0.0</v>
      </c>
      <c r="CB6" s="39"/>
      <c r="CC6" s="35">
        <v>0.0</v>
      </c>
      <c r="CD6" s="61">
        <v>-1000.0</v>
      </c>
      <c r="CE6" s="35">
        <v>0.0</v>
      </c>
      <c r="CF6" s="35">
        <v>0.0</v>
      </c>
      <c r="CG6" s="61">
        <v>-1000.0</v>
      </c>
      <c r="CH6" s="35">
        <v>-100.0</v>
      </c>
      <c r="CI6" s="35">
        <v>0.0</v>
      </c>
      <c r="CJ6" s="35">
        <v>0.0</v>
      </c>
      <c r="CK6" s="34" t="b">
        <v>0</v>
      </c>
      <c r="CL6" s="36"/>
      <c r="CM6" s="36"/>
      <c r="CN6" s="36"/>
      <c r="CO6" s="36"/>
      <c r="CP6" s="36"/>
      <c r="CQ6" s="36"/>
      <c r="CR6" s="39"/>
      <c r="CS6" s="35">
        <v>10.0</v>
      </c>
      <c r="CT6" s="36"/>
      <c r="CU6" s="36"/>
      <c r="CV6" s="36"/>
      <c r="CW6" s="36"/>
      <c r="CX6" s="36"/>
      <c r="CY6" s="34" t="s">
        <v>37</v>
      </c>
      <c r="CZ6" s="34" t="s">
        <v>55</v>
      </c>
      <c r="DA6" s="35">
        <v>0.0</v>
      </c>
      <c r="DB6" s="35">
        <v>0.0</v>
      </c>
      <c r="DC6" s="37"/>
      <c r="DD6" s="35">
        <v>100.0</v>
      </c>
      <c r="DE6" s="35">
        <v>0.0</v>
      </c>
      <c r="DF6" s="35">
        <v>0.0</v>
      </c>
      <c r="DG6" s="35">
        <v>0.0</v>
      </c>
      <c r="DH6" s="34"/>
      <c r="DI6" s="35">
        <v>0.0</v>
      </c>
      <c r="DJ6" s="34" t="s">
        <v>23</v>
      </c>
      <c r="DK6" s="35">
        <v>0.0</v>
      </c>
      <c r="DL6" s="35">
        <v>0.0</v>
      </c>
      <c r="DM6" s="35">
        <v>1.0</v>
      </c>
      <c r="DN6" s="35">
        <v>0.0</v>
      </c>
      <c r="DO6" s="36"/>
      <c r="DP6" s="34" t="s">
        <v>52</v>
      </c>
      <c r="DQ6" s="34" t="s">
        <v>56</v>
      </c>
      <c r="DR6" s="34" t="s">
        <v>56</v>
      </c>
      <c r="DS6" s="34" t="s">
        <v>56</v>
      </c>
      <c r="DT6" s="34" t="s">
        <v>56</v>
      </c>
      <c r="DU6" s="34" t="s">
        <v>56</v>
      </c>
      <c r="DV6" s="34" t="s">
        <v>56</v>
      </c>
      <c r="DW6" s="34" t="s">
        <v>56</v>
      </c>
      <c r="DX6" s="34" t="s">
        <v>56</v>
      </c>
      <c r="DY6" s="34"/>
      <c r="DZ6" s="34"/>
      <c r="EA6" s="34" t="s">
        <v>56</v>
      </c>
      <c r="EB6" s="34" t="s">
        <v>56</v>
      </c>
      <c r="EC6" s="34" t="s">
        <v>56</v>
      </c>
      <c r="ED6" s="34" t="s">
        <v>18</v>
      </c>
      <c r="EE6" s="34" t="s">
        <v>56</v>
      </c>
      <c r="EF6" s="35">
        <v>0.0</v>
      </c>
      <c r="EG6" s="35">
        <v>0.0</v>
      </c>
      <c r="EH6" s="35">
        <v>0.0</v>
      </c>
      <c r="EI6" s="35">
        <v>0.0</v>
      </c>
      <c r="EJ6" s="35">
        <v>0.0</v>
      </c>
      <c r="EK6" s="35">
        <v>0.0</v>
      </c>
      <c r="EL6" s="34" t="s">
        <v>52</v>
      </c>
      <c r="EM6" s="35">
        <v>0.0</v>
      </c>
      <c r="EN6" s="35">
        <v>0.0</v>
      </c>
      <c r="EO6" s="35">
        <v>0.0</v>
      </c>
      <c r="EP6" s="35">
        <v>0.0</v>
      </c>
      <c r="EQ6" s="35">
        <v>0.0</v>
      </c>
      <c r="ER6" s="35">
        <v>0.0</v>
      </c>
      <c r="ES6" s="61">
        <v>-1000.0</v>
      </c>
      <c r="ET6" s="35">
        <v>0.0</v>
      </c>
      <c r="EU6" s="35">
        <v>0.0</v>
      </c>
      <c r="EV6" s="34" t="s">
        <v>52</v>
      </c>
      <c r="EW6" s="61">
        <v>-1000.0</v>
      </c>
      <c r="EX6" s="34" t="b">
        <v>0</v>
      </c>
      <c r="EY6" s="34"/>
      <c r="EZ6" s="35"/>
      <c r="FA6" s="35"/>
      <c r="FB6" s="35"/>
      <c r="FC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DeleteSymbolFromSM2!$4:$4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