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SetGeneralPreferences" sheetId="4" r:id="rId6"/>
    <sheet name="AddMFPreferences" sheetId="5" r:id="rId7"/>
    <sheet name="SetMFPreferencesDefaultRule" sheetId="6" r:id="rId8"/>
    <sheet name="SetMFPrefFundDistribution" sheetId="7" r:id="rId9"/>
    <sheet name="SetMFPrefAccountValues" sheetId="8" r:id="rId10"/>
    <sheet name="SetMFPrefAccountValues1" sheetId="9" r:id="rId11"/>
    <sheet name="SetMFPrefFundDefaultRule" sheetId="10" r:id="rId12"/>
    <sheet name="CreateTransaction" sheetId="11" r:id="rId13"/>
    <sheet name="GetDataAllocation" sheetId="12" r:id="rId14"/>
    <sheet name="CheckAllocatedGroups" sheetId="13" r:id="rId15"/>
    <sheet name="CheckAllocatedTaxlots" sheetId="14" r:id="rId16"/>
  </sheets>
  <calcPr fullCalcOnLoad="1"/>
</workbook>
</file>

<file path=xl/sharedStrings.xml><?xml version="1.0" encoding="utf-8"?>
<sst xmlns="http://schemas.openxmlformats.org/spreadsheetml/2006/main" count="53" uniqueCount="53">
  <si>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</si>
  <si>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</si>
  <si>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</si>
  <si>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</si>
  <si>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</si>
  <si>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</si>
  <si>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</si>
  <si>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</si>
  <si>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</si>
  <si>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</si>
  <si>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</si>
  <si>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</si>
  <si>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</si>
  <si>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</si>
  <si>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</si>
  <si>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</si>
  <si>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AddMFPreferences</t>
  </si>
  <si>
    <t>SetMFPreferencesDefaultRule</t>
  </si>
  <si>
    <t>Current Preference</t>
  </si>
  <si>
    <t>SetMFPrefFundDistribution</t>
  </si>
  <si>
    <t>NewMF</t>
  </si>
  <si>
    <t>NewMF1</t>
  </si>
  <si>
    <t>SetMFPrefAccountValues</t>
  </si>
  <si>
    <t>Allocation1</t>
  </si>
  <si>
    <t>Allocation3</t>
  </si>
  <si>
    <t>Allocation2</t>
  </si>
  <si>
    <t>Allocation4</t>
  </si>
  <si>
    <t>SetMFPrefFundDefaultRule</t>
  </si>
  <si>
    <t>Trade Quantity</t>
  </si>
  <si>
    <t>Account Inception</t>
  </si>
  <si>
    <t>CreateTransaction</t>
  </si>
  <si>
    <t>AAPL</t>
  </si>
  <si>
    <t>Buy</t>
  </si>
  <si>
    <t>GetDataAllocation</t>
  </si>
  <si>
    <t>Current</t>
  </si>
  <si>
    <t>CheckAllocatedGroups</t>
  </si>
  <si>
    <t>Multiple</t>
  </si>
  <si>
    <t>Equity</t>
  </si>
  <si>
    <t>AAPL US EQUITY</t>
  </si>
  <si>
    <t>Open</t>
  </si>
  <si>
    <t>APPLE</t>
  </si>
  <si>
    <t>USD</t>
  </si>
  <si>
    <t>NASDAQ</t>
  </si>
  <si>
    <t>M</t>
  </si>
  <si>
    <t>None</t>
  </si>
  <si>
    <t>InternalOrder</t>
  </si>
  <si>
    <t>Strategy Unallocated</t>
  </si>
  <si>
    <t>GCCAP1</t>
  </si>
  <si>
    <t>CreateTransactionUI</t>
  </si>
  <si>
    <t>US</t>
  </si>
  <si>
    <t>jpearce</t>
  </si>
  <si>
    <t>NONE</t>
  </si>
  <si>
    <t>CheckAllocatedTaxlots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</si>
</sst>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1"/>
      <color rgb="FF202124"/>
      <name val="Roboto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8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4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5" applyFill="1" borderId="0" applyBorder="1" xfId="0"/>
    <xf fontId="13" applyFont="1" fillId="5" applyFill="1" borderId="0" applyBorder="1" xfId="0"/>
    <xf fontId="4" applyFont="1" fillId="6" applyFill="1" borderId="0" applyBorder="1" xfId="0"/>
    <xf fontId="4" applyFont="1" fillId="6" applyFill="1" borderId="4" applyBorder="1" xfId="0"/>
    <xf fontId="4" applyFont="1" fillId="6" applyFill="1" borderId="4" applyBorder="1" xfId="0"/>
    <xf fontId="11" applyFont="1" fillId="6" applyFill="1" borderId="0" applyBorder="1" xfId="0"/>
    <xf fontId="3" applyFont="1" fillId="0" applyFill="1" borderId="0" applyBorder="1" xfId="0"/>
    <xf fontId="3" applyFont="1" fillId="0" applyFill="1" borderId="0" applyBorder="1" xfId="0">
      <alignment horizontal="center"/>
    </xf>
    <xf fontId="3" applyFont="1" fillId="0" applyFill="1" borderId="0" applyBorder="1" xfId="0"/>
    <xf fontId="3" applyFont="1" fillId="0" applyFill="1" borderId="0" applyBorder="1" xfId="0">
      <alignment horizontal="center"/>
    </xf>
    <xf fontId="5" applyFont="1" fillId="0" applyFill="1" borderId="0" applyBorder="1" xfId="0"/>
    <xf fontId="3" applyFont="1" fillId="0" applyFill="1" borderId="0" applyBorder="1" xfId="0"/>
    <xf fontId="5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5" applyFont="1" fillId="0" applyFill="1" borderId="0" applyBorder="1" xfId="0"/>
    <xf numFmtId="14" applyNumberFormat="1" fontId="5" applyFont="1" fillId="0" applyFill="1" borderId="0" applyBorder="1" xfId="0"/>
    <xf fontId="14" applyFont="1" fillId="0" applyFill="1" borderId="0" applyBorder="1" xfId="0"/>
    <xf fontId="14" applyFont="1" fillId="0" applyFill="1" borderId="0" applyBorder="1" xfId="0">
      <alignment horizontal="right"/>
    </xf>
    <xf fontId="14" applyFont="1" fillId="0" applyFill="1" borderId="0" applyBorder="1" xfId="0"/>
    <xf numFmtId="164" applyNumberFormat="1" fontId="14" applyFont="1" fillId="0" applyFill="1" borderId="0" applyBorder="1" xfId="0"/>
    <xf numFmtId="165" applyNumberFormat="1" fontId="14" applyFont="1" fillId="0" applyFill="1" borderId="0" applyBorder="1" xfId="0">
      <alignment horizontal="right"/>
    </xf>
    <xf numFmtId="4" applyNumberFormat="1" fontId="14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7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4" t="b">
        <v>1</v>
      </c>
      <c r="W6" s="34" t="b">
        <v>0</v>
      </c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385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AddMFPreferences!$4:$4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 t="s">
        <v>18</v>
      </c>
      <c r="D6" s="31"/>
      <c r="E6" s="33"/>
      <c r="F6" s="13">
        <v>385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IFERROR(__xludf.DUMMYFUNCTION("""COMPUTED_VALUE"""),"MasterFundName")</f>
        <v>MasterFundName</v>
      </c>
      <c r="D5" s="28" t="str">
        <f>IFERROR(__xludf.DUMMYFUNCTION("""COMPUTED_VALUE"""),"TargetPercentage")</f>
        <v>TargetPercentage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385</v>
      </c>
      <c r="C6" s="37" t="s">
        <v>20</v>
      </c>
      <c r="D6" s="38">
        <v>50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>
        <v>385</v>
      </c>
      <c r="C7" s="37" t="s">
        <v>21</v>
      </c>
      <c r="D7" s="39">
        <v>50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SetMFPrefFundDistribution!$4:$4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385</v>
      </c>
      <c r="C6" s="37" t="s">
        <v>20</v>
      </c>
      <c r="D6" s="40" t="s">
        <v>23</v>
      </c>
      <c r="E6" s="39">
        <v>50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>
        <v>385</v>
      </c>
      <c r="C7" s="37" t="s">
        <v>20</v>
      </c>
      <c r="D7" s="37" t="s">
        <v>24</v>
      </c>
      <c r="E7" s="39">
        <v>50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385</v>
      </c>
      <c r="C6" s="37" t="s">
        <v>21</v>
      </c>
      <c r="D6" s="40" t="s">
        <v>25</v>
      </c>
      <c r="E6" s="39">
        <v>50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>
        <v>385</v>
      </c>
      <c r="C7" s="37" t="s">
        <v>21</v>
      </c>
      <c r="D7" s="37" t="s">
        <v>26</v>
      </c>
      <c r="E7" s="39">
        <v>50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385</v>
      </c>
      <c r="C6" s="8"/>
      <c r="D6" s="40" t="s">
        <v>28</v>
      </c>
      <c r="E6" s="37" t="s">
        <v>25</v>
      </c>
      <c r="F6" s="37" t="s">
        <v>29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IFERROR(__xludf.DUMMYFUNCTION("IF(C3="""","""",Transpose(IMPORTRANGE('_Settings'!$B$3,C3&amp;""!A4:A1000"")))"),"CreateTransaction")</f>
        <v>CreateTransaction</v>
      </c>
      <c r="C4" s="25" t="str">
        <f>IFERROR(__xludf.DUMMYFUNCTION("""COMPUTED_VALUE"""),"AddNewTransaction")</f>
        <v>AddNewTransaction</v>
      </c>
      <c r="D4" s="25" t="str">
        <f>IFERROR(__xludf.DUMMYFUNCTION("""COMPUTED_VALUE"""),"SaveTransaction")</f>
        <v>SaveTransaction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IFERROR(__xludf.DUMMYFUNCTION("""COMPUTED_VALUE"""),"Account")</f>
        <v>Account</v>
      </c>
      <c r="D5" s="28" t="str">
        <f>IFERROR(__xludf.DUMMYFUNCTION("""COMPUTED_VALUE"""),"Side")</f>
        <v>Side</v>
      </c>
      <c r="E5" s="28" t="str">
        <f>IFERROR(__xludf.DUMMYFUNCTION("""COMPUTED_VALUE"""),"Quantity")</f>
        <v>Quantity</v>
      </c>
      <c r="F5" s="29" t="str">
        <f>IFERROR(__xludf.DUMMYFUNCTION("""COMPUTED_VALUE"""),"Executed Quantity")</f>
        <v>Executed Quantity</v>
      </c>
      <c r="G5" s="28" t="str">
        <f>IFERROR(__xludf.DUMMYFUNCTION("""COMPUTED_VALUE"""),"Average Price")</f>
        <v>Average Price</v>
      </c>
      <c r="H5" s="28" t="str">
        <f>IFERROR(__xludf.DUMMYFUNCTION("""COMPUTED_VALUE"""),"Commission")</f>
        <v>Commission</v>
      </c>
      <c r="I5" s="28" t="str">
        <f>IFERROR(__xludf.DUMMYFUNCTION("""COMPUTED_VALUE"""),"Trade Date")</f>
        <v>Trade Date</v>
      </c>
      <c r="J5" s="28" t="str">
        <f>IFERROR(__xludf.DUMMYFUNCTION("""COMPUTED_VALUE"""),"Broker")</f>
        <v>Broker</v>
      </c>
      <c r="K5" s="28" t="str">
        <f>IFERROR(__xludf.DUMMYFUNCTION("""COMPUTED_VALUE"""),"OriginalPurchaseDate")</f>
        <v>OriginalPurchaseDate</v>
      </c>
      <c r="L5" s="28" t="str">
        <f>IFERROR(__xludf.DUMMYFUNCTION("""COMPUTED_VALUE"""),"Pay/Receive")</f>
        <v>Pay/Receive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13">
        <v>385</v>
      </c>
      <c r="D6" s="13" t="s">
        <v>32</v>
      </c>
      <c r="E6" s="13">
        <v>151</v>
      </c>
      <c r="F6" s="13">
        <v>151</v>
      </c>
      <c r="G6" s="13">
        <v>30.67</v>
      </c>
      <c r="H6" s="8"/>
      <c r="I6" s="41">
        <f>Today()</f>
        <v>45065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 t="s">
        <v>36</v>
      </c>
      <c r="C6" s="42"/>
      <c r="D6" s="43">
        <v>0</v>
      </c>
      <c r="E6" s="43">
        <v>151</v>
      </c>
      <c r="F6" s="42">
        <v>385</v>
      </c>
      <c r="G6" s="42" t="s">
        <v>37</v>
      </c>
      <c r="H6" s="43">
        <v>0</v>
      </c>
      <c r="I6" s="43">
        <v>0</v>
      </c>
      <c r="J6" s="43">
        <v>1</v>
      </c>
      <c r="K6" s="43">
        <v>30.67</v>
      </c>
      <c r="L6" s="43">
        <v>30.67</v>
      </c>
      <c r="M6" s="42" t="s">
        <v>38</v>
      </c>
      <c r="N6" s="42"/>
      <c r="O6" s="44"/>
      <c r="P6" s="44"/>
      <c r="Q6" s="43">
        <v>3</v>
      </c>
      <c r="R6" s="43">
        <v>0</v>
      </c>
      <c r="S6" s="42" t="s">
        <v>39</v>
      </c>
      <c r="T6" s="43">
        <v>0</v>
      </c>
      <c r="U6" s="43">
        <v>0</v>
      </c>
      <c r="V6" s="42" t="s">
        <v>40</v>
      </c>
      <c r="W6" s="43">
        <v>1</v>
      </c>
      <c r="X6" s="43"/>
      <c r="Y6" s="44"/>
      <c r="Z6" s="42" t="s">
        <v>41</v>
      </c>
      <c r="AA6" s="42" t="s">
        <v>31</v>
      </c>
      <c r="AB6" s="43">
        <v>1</v>
      </c>
      <c r="AC6" s="44"/>
      <c r="AD6" s="42" t="s">
        <v>42</v>
      </c>
      <c r="AE6" s="43">
        <v>151</v>
      </c>
      <c r="AF6" s="45"/>
      <c r="AG6" s="46"/>
      <c r="AH6" s="42" t="s">
        <v>43</v>
      </c>
      <c r="AI6" s="43">
        <v>1</v>
      </c>
      <c r="AJ6" s="42" t="s">
        <v>44</v>
      </c>
      <c r="AK6" s="44"/>
      <c r="AL6" s="44"/>
      <c r="AM6" s="44"/>
      <c r="AN6" s="42" t="b">
        <v>0</v>
      </c>
      <c r="AO6" s="44"/>
      <c r="AP6" s="42" t="b">
        <v>1</v>
      </c>
      <c r="AQ6" s="42" t="b">
        <v>0</v>
      </c>
      <c r="AR6" s="42" t="b">
        <v>1</v>
      </c>
      <c r="AS6" s="43">
        <v>0</v>
      </c>
      <c r="AT6" s="47">
        <v>4631.17</v>
      </c>
      <c r="AU6" s="47">
        <v>4631.17</v>
      </c>
      <c r="AV6" s="46"/>
      <c r="AW6" s="43">
        <v>0</v>
      </c>
      <c r="AX6" s="43">
        <v>0</v>
      </c>
      <c r="AY6" s="44"/>
      <c r="AZ6" s="43">
        <v>0</v>
      </c>
      <c r="BA6" s="46"/>
      <c r="BB6" s="44"/>
      <c r="BC6" s="43">
        <v>0</v>
      </c>
      <c r="BD6" s="42" t="s">
        <v>45</v>
      </c>
      <c r="BE6" s="47">
        <v>4631.17</v>
      </c>
      <c r="BF6" s="47">
        <v>4631.17</v>
      </c>
      <c r="BG6" s="46"/>
      <c r="BH6" s="44"/>
      <c r="BI6" s="44"/>
      <c r="BJ6" s="43">
        <v>151</v>
      </c>
      <c r="BK6" s="43">
        <v>0</v>
      </c>
      <c r="BL6" s="42"/>
      <c r="BM6" s="42" t="s">
        <v>41</v>
      </c>
      <c r="BN6" s="46"/>
      <c r="BO6" s="42" t="s">
        <v>32</v>
      </c>
      <c r="BP6" s="43">
        <v>0</v>
      </c>
      <c r="BQ6" s="43">
        <v>0</v>
      </c>
      <c r="BR6" s="43">
        <v>0</v>
      </c>
      <c r="BS6" s="42" t="s">
        <v>46</v>
      </c>
      <c r="BT6" s="42" t="s">
        <v>31</v>
      </c>
      <c r="BU6" s="43">
        <v>0</v>
      </c>
      <c r="BV6" s="43">
        <v>0</v>
      </c>
      <c r="BW6" s="43">
        <v>0</v>
      </c>
      <c r="BX6" s="43">
        <v>0</v>
      </c>
      <c r="BY6" s="44"/>
      <c r="BZ6" s="44"/>
      <c r="CA6" s="44"/>
      <c r="CB6" s="44"/>
      <c r="CC6" s="44"/>
      <c r="CD6" s="44"/>
      <c r="CE6" s="46"/>
      <c r="CF6" s="42" t="s">
        <v>47</v>
      </c>
      <c r="CG6" s="43">
        <v>0</v>
      </c>
      <c r="CH6" s="42" t="s">
        <v>48</v>
      </c>
      <c r="CI6" s="42" t="s">
        <v>32</v>
      </c>
      <c r="CJ6" s="43">
        <v>0</v>
      </c>
      <c r="CK6" s="42" t="s">
        <v>49</v>
      </c>
      <c r="CL6" s="43">
        <v>1</v>
      </c>
      <c r="CM6" s="42" t="s">
        <v>31</v>
      </c>
      <c r="CN6" s="42" t="s">
        <v>50</v>
      </c>
      <c r="CO6" s="42"/>
      <c r="CP6" s="42" t="s">
        <v>51</v>
      </c>
      <c r="CQ6" s="45"/>
      <c r="CR6" s="43"/>
      <c r="CS6" s="44"/>
      <c r="CT6" s="44"/>
      <c r="CU6" s="4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>
        <v>1165.46</v>
      </c>
      <c r="C6" s="47">
        <v>1165.46</v>
      </c>
      <c r="D6" s="47">
        <v>1165.46</v>
      </c>
      <c r="E6" s="47">
        <v>1165.46</v>
      </c>
      <c r="F6" s="42" t="s">
        <v>43</v>
      </c>
      <c r="G6" s="43"/>
      <c r="H6" s="42" t="s">
        <v>41</v>
      </c>
      <c r="I6" s="44"/>
      <c r="J6" s="44"/>
      <c r="K6" s="44"/>
      <c r="L6" s="44"/>
      <c r="M6" s="44"/>
      <c r="N6" s="44"/>
      <c r="O6" s="42" t="s">
        <v>25</v>
      </c>
      <c r="P6" s="42" t="s">
        <v>46</v>
      </c>
      <c r="Q6" s="43">
        <v>25.16556358</v>
      </c>
      <c r="R6" s="43">
        <v>38</v>
      </c>
      <c r="S6" s="43">
        <v>0</v>
      </c>
      <c r="T6" s="43">
        <v>0</v>
      </c>
      <c r="U6" s="43">
        <v>0</v>
      </c>
      <c r="V6" s="43">
        <v>0</v>
      </c>
      <c r="W6" s="43">
        <v>0</v>
      </c>
      <c r="X6" s="43">
        <v>0</v>
      </c>
      <c r="Y6" s="43">
        <v>0</v>
      </c>
      <c r="Z6" s="43">
        <v>0</v>
      </c>
      <c r="AA6" s="43">
        <v>0</v>
      </c>
      <c r="AB6" s="43">
        <v>0</v>
      </c>
      <c r="AC6" s="43">
        <v>0</v>
      </c>
      <c r="AD6" s="43">
        <v>0</v>
      </c>
      <c r="AE6" s="43">
        <v>0</v>
      </c>
      <c r="AF6" s="42" t="s">
        <v>39</v>
      </c>
      <c r="AG6" s="44"/>
      <c r="AH6" s="44"/>
      <c r="AI6" s="43">
        <v>30.67</v>
      </c>
      <c r="AJ6" s="43"/>
      <c r="AK6" s="43">
        <v>1</v>
      </c>
      <c r="AL6" s="43"/>
    </row>
    <row r="7" ht="15.75" customHeight="1">
      <c r="A7" s="8"/>
      <c r="B7" s="47">
        <v>1165.46</v>
      </c>
      <c r="C7" s="47">
        <v>1165.46</v>
      </c>
      <c r="D7" s="47">
        <v>1165.46</v>
      </c>
      <c r="E7" s="47">
        <v>1165.46</v>
      </c>
      <c r="F7" s="42" t="s">
        <v>43</v>
      </c>
      <c r="G7" s="43"/>
      <c r="H7" s="42" t="s">
        <v>41</v>
      </c>
      <c r="I7" s="44"/>
      <c r="J7" s="44"/>
      <c r="K7" s="44"/>
      <c r="L7" s="44"/>
      <c r="M7" s="44"/>
      <c r="N7" s="44"/>
      <c r="O7" s="42" t="s">
        <v>24</v>
      </c>
      <c r="P7" s="42" t="s">
        <v>46</v>
      </c>
      <c r="Q7" s="43">
        <v>25.16556358</v>
      </c>
      <c r="R7" s="43">
        <v>38</v>
      </c>
      <c r="S7" s="43">
        <v>0</v>
      </c>
      <c r="T7" s="43">
        <v>0</v>
      </c>
      <c r="U7" s="43">
        <v>0</v>
      </c>
      <c r="V7" s="43">
        <v>0</v>
      </c>
      <c r="W7" s="43">
        <v>0</v>
      </c>
      <c r="X7" s="43">
        <v>0</v>
      </c>
      <c r="Y7" s="43">
        <v>0</v>
      </c>
      <c r="Z7" s="43">
        <v>0</v>
      </c>
      <c r="AA7" s="43">
        <v>0</v>
      </c>
      <c r="AB7" s="43">
        <v>0</v>
      </c>
      <c r="AC7" s="43">
        <v>0</v>
      </c>
      <c r="AD7" s="43">
        <v>0</v>
      </c>
      <c r="AE7" s="43">
        <v>0</v>
      </c>
      <c r="AF7" s="42" t="s">
        <v>39</v>
      </c>
      <c r="AG7" s="44"/>
      <c r="AH7" s="44"/>
      <c r="AI7" s="43">
        <v>30.67</v>
      </c>
      <c r="AJ7" s="43"/>
      <c r="AK7" s="43">
        <v>1</v>
      </c>
      <c r="AL7" s="43"/>
    </row>
    <row r="8" ht="15.75" customHeight="1">
      <c r="A8" s="8"/>
      <c r="B8" s="47">
        <v>1165.46</v>
      </c>
      <c r="C8" s="47">
        <v>1165.46</v>
      </c>
      <c r="D8" s="47">
        <v>1165.46</v>
      </c>
      <c r="E8" s="47">
        <v>1165.46</v>
      </c>
      <c r="F8" s="42" t="s">
        <v>43</v>
      </c>
      <c r="G8" s="43"/>
      <c r="H8" s="42" t="s">
        <v>41</v>
      </c>
      <c r="I8" s="44"/>
      <c r="J8" s="44"/>
      <c r="K8" s="44"/>
      <c r="L8" s="44"/>
      <c r="M8" s="44"/>
      <c r="N8" s="44"/>
      <c r="O8" s="42" t="s">
        <v>23</v>
      </c>
      <c r="P8" s="42" t="s">
        <v>46</v>
      </c>
      <c r="Q8" s="43">
        <v>25.16556358</v>
      </c>
      <c r="R8" s="43">
        <v>38</v>
      </c>
      <c r="S8" s="43">
        <v>0</v>
      </c>
      <c r="T8" s="43">
        <v>0</v>
      </c>
      <c r="U8" s="43">
        <v>0</v>
      </c>
      <c r="V8" s="43">
        <v>0</v>
      </c>
      <c r="W8" s="43">
        <v>0</v>
      </c>
      <c r="X8" s="43">
        <v>0</v>
      </c>
      <c r="Y8" s="43">
        <v>0</v>
      </c>
      <c r="Z8" s="43">
        <v>0</v>
      </c>
      <c r="AA8" s="43">
        <v>0</v>
      </c>
      <c r="AB8" s="43">
        <v>0</v>
      </c>
      <c r="AC8" s="43">
        <v>0</v>
      </c>
      <c r="AD8" s="43">
        <v>0</v>
      </c>
      <c r="AE8" s="43">
        <v>0</v>
      </c>
      <c r="AF8" s="42" t="s">
        <v>39</v>
      </c>
      <c r="AG8" s="44"/>
      <c r="AH8" s="44"/>
      <c r="AI8" s="43">
        <v>30.67</v>
      </c>
      <c r="AJ8" s="43"/>
      <c r="AK8" s="43">
        <v>1</v>
      </c>
      <c r="AL8" s="43"/>
    </row>
    <row r="9" ht="15.75" customHeight="1">
      <c r="A9" s="8"/>
      <c r="B9" s="47">
        <v>1134.79</v>
      </c>
      <c r="C9" s="47">
        <v>1134.79</v>
      </c>
      <c r="D9" s="47">
        <v>1134.79</v>
      </c>
      <c r="E9" s="47">
        <v>1134.79</v>
      </c>
      <c r="F9" s="42" t="s">
        <v>43</v>
      </c>
      <c r="G9" s="43"/>
      <c r="H9" s="42" t="s">
        <v>41</v>
      </c>
      <c r="I9" s="44"/>
      <c r="J9" s="44"/>
      <c r="K9" s="44"/>
      <c r="L9" s="44"/>
      <c r="M9" s="44"/>
      <c r="N9" s="44"/>
      <c r="O9" s="42" t="s">
        <v>26</v>
      </c>
      <c r="P9" s="42" t="s">
        <v>46</v>
      </c>
      <c r="Q9" s="43">
        <v>24.50331116</v>
      </c>
      <c r="R9" s="43">
        <v>37</v>
      </c>
      <c r="S9" s="43">
        <v>0</v>
      </c>
      <c r="T9" s="43">
        <v>0</v>
      </c>
      <c r="U9" s="43">
        <v>0</v>
      </c>
      <c r="V9" s="43">
        <v>0</v>
      </c>
      <c r="W9" s="43">
        <v>0</v>
      </c>
      <c r="X9" s="43">
        <v>0</v>
      </c>
      <c r="Y9" s="43">
        <v>0</v>
      </c>
      <c r="Z9" s="43">
        <v>0</v>
      </c>
      <c r="AA9" s="43">
        <v>0</v>
      </c>
      <c r="AB9" s="43">
        <v>0</v>
      </c>
      <c r="AC9" s="43">
        <v>0</v>
      </c>
      <c r="AD9" s="43">
        <v>0</v>
      </c>
      <c r="AE9" s="43">
        <v>0</v>
      </c>
      <c r="AF9" s="42" t="s">
        <v>39</v>
      </c>
      <c r="AG9" s="44"/>
      <c r="AH9" s="44"/>
      <c r="AI9" s="43">
        <v>30.67</v>
      </c>
      <c r="AJ9" s="43"/>
      <c r="AK9" s="43">
        <v>1</v>
      </c>
      <c r="AL9" s="4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