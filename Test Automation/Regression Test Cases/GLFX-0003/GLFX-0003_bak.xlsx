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ForexConversion" sheetId="5" r:id="rId7"/>
    <sheet state="visible" name="UpdateForexConversionMonthly" sheetId="6" r:id="rId8"/>
    <sheet state="visible" name="GetDataClosing" sheetId="7" r:id="rId9"/>
    <sheet state="visible" name="SelectTradeUnexpiredUnsettled" sheetId="8" r:id="rId10"/>
    <sheet state="visible" name="CashSettlementAtClosingDtSpotPx" sheetId="9" r:id="rId11"/>
    <sheet state="visible" name="VerifyExpiredSettledGrid" sheetId="10" r:id="rId12"/>
    <sheet state="visible" name="GetDataAllocation" sheetId="11" r:id="rId13"/>
    <sheet state="visible" name="CheckAllocatedGroups" sheetId="12" r:id="rId14"/>
    <sheet state="visible" name="GetTradingTransaction" sheetId="13" r:id="rId15"/>
    <sheet state="visible" name="VerifyTradingTransaction" sheetId="14" r:id="rId16"/>
    <sheet state="visible" name="RunRevaluation" sheetId="15" r:id="rId17"/>
    <sheet state="visible" name="VerifyRevaluationData" sheetId="16" r:id="rId18"/>
  </sheets>
  <definedNames/>
  <calcPr/>
</workbook>
</file>

<file path=xl/sharedStrings.xml><?xml version="1.0" encoding="utf-8"?>
<sst xmlns="http://schemas.openxmlformats.org/spreadsheetml/2006/main" count="303" uniqueCount="53">
  <si>
    <t>Modules Info</t>
  </si>
  <si>
    <t>Settings</t>
  </si>
  <si>
    <t>Master Data Info</t>
  </si>
  <si>
    <t>Module Step Setting File</t>
  </si>
  <si>
    <t>1BICZ_GcMhh_S937ZinFvSYqvvKYtOYB2Bc4woEPpgPg</t>
  </si>
  <si>
    <t>Master Data Settings File</t>
  </si>
  <si>
    <t>1Nt_rf5DtgjbN9Ag4AMMlUkZYROxKZLH5m54YOl7tRT0</t>
  </si>
  <si>
    <t>Modules</t>
  </si>
  <si>
    <t>Module</t>
  </si>
  <si>
    <t>Step</t>
  </si>
  <si>
    <t>Master Data Sheet</t>
  </si>
  <si>
    <t>Data</t>
  </si>
  <si>
    <t>DailyValuation</t>
  </si>
  <si>
    <t>GetForexConversion</t>
  </si>
  <si>
    <t>Data Format</t>
  </si>
  <si>
    <t>Input Format</t>
  </si>
  <si>
    <t>TradingTicket</t>
  </si>
  <si>
    <t>CreateDoneAwayOrder</t>
  </si>
  <si>
    <t>EUR/USD</t>
  </si>
  <si>
    <t>Sell</t>
  </si>
  <si>
    <t>Allocation1</t>
  </si>
  <si>
    <t>USD</t>
  </si>
  <si>
    <t>UpdateForexConversionMonthly</t>
  </si>
  <si>
    <t>Closing</t>
  </si>
  <si>
    <t>GetDataClosing</t>
  </si>
  <si>
    <t>EUR</t>
  </si>
  <si>
    <t>USD A0-FX</t>
  </si>
  <si>
    <t>Historical</t>
  </si>
  <si>
    <t>SelectTradeUnexpiredUnsettled</t>
  </si>
  <si>
    <t>CashSettlementAtClosingDtSpotPx</t>
  </si>
  <si>
    <t>FX</t>
  </si>
  <si>
    <t>Allocation</t>
  </si>
  <si>
    <t>GetDataAllocation</t>
  </si>
  <si>
    <t>VerifyExpiredSettledGrid</t>
  </si>
  <si>
    <t>GeneralLedger</t>
  </si>
  <si>
    <t>GetTradingTransaction</t>
  </si>
  <si>
    <t>CheckAllocatedGroups</t>
  </si>
  <si>
    <t>NewMF</t>
  </si>
  <si>
    <t>Buy</t>
  </si>
  <si>
    <t>VerifyTradingTransaction</t>
  </si>
  <si>
    <t>RunRevaluation</t>
  </si>
  <si>
    <t>DR</t>
  </si>
  <si>
    <t>Due From Broker [Cash]</t>
  </si>
  <si>
    <t>CR</t>
  </si>
  <si>
    <t>Due To Broker [Cash]</t>
  </si>
  <si>
    <t>Cash [Cash]</t>
  </si>
  <si>
    <t>FX Profit And Loss [Income]</t>
  </si>
  <si>
    <t>VerifyRevaluationData</t>
  </si>
  <si>
    <t>FX Short Revaluation [Asset]</t>
  </si>
  <si>
    <t>Revaluation</t>
  </si>
  <si>
    <t>FX UnRealized Profit And Loss [Income]</t>
  </si>
  <si>
    <t xml:space="preserve">EUR </t>
  </si>
  <si>
    <t>Cash UnRealized Profit And Loss [Income]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</si>
</sst>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777777"/>
      <name val="Roboto"/>
    </font>
    <font>
      <color rgb="FF000000"/>
      <name val="Calibri"/>
    </font>
    <font>
      <color rgb="FF000000"/>
      <name val="Roboto"/>
    </font>
    <font>
      <color rgb="FF000000"/>
      <name val="Docs-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0" fillId="0" fontId="6" numFmtId="0" xfId="0" applyAlignment="1" applyFont="1">
      <alignment shrinkToFit="0" wrapText="0"/>
    </xf>
    <xf borderId="4" fillId="3" fontId="7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164" xfId="0" applyAlignment="1" applyFont="1" applyNumberForma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6" fontId="1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6" fontId="14" numFmtId="0" xfId="0" applyAlignment="1" applyFont="1">
      <alignment horizontal="left" readingOrder="0"/>
    </xf>
    <xf borderId="0" fillId="6" fontId="15" numFmtId="0" xfId="0" applyAlignment="1" applyFont="1">
      <alignment readingOrder="0"/>
    </xf>
    <xf borderId="0" fillId="6" fontId="16" numFmtId="0" xfId="0" applyAlignment="1" applyFont="1">
      <alignment horizontal="left" readingOrder="0"/>
    </xf>
    <xf borderId="0" fillId="6" fontId="16" numFmtId="0" xfId="0" applyAlignment="1" applyFont="1">
      <alignment horizontal="right" readingOrder="0"/>
    </xf>
    <xf borderId="0" fillId="6" fontId="17" numFmtId="0" xfId="0" applyAlignment="1" applyFont="1">
      <alignment horizontal="left" readingOrder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4"/>
    </row>
    <row r="2" ht="15.75" customHeight="1">
      <c r="A2" s="9"/>
      <c r="B2" s="9"/>
      <c r="C2" s="9"/>
      <c r="D2" s="9"/>
      <c r="E2" s="9"/>
      <c r="F2" s="9"/>
    </row>
    <row r="3" ht="15.75" customHeight="1">
      <c r="A3" s="6" t="s">
        <v>7</v>
      </c>
      <c r="B3" s="11"/>
      <c r="C3" s="12"/>
      <c r="D3" s="12"/>
      <c r="E3" s="12"/>
      <c r="F3" s="12"/>
    </row>
    <row r="4" ht="15.75" customHeight="1">
      <c r="A4" s="5" t="str">
        <f>IFERROR(__xludf.DUMMYFUNCTION("IMPORTRANGE('_Settings'!B3,""Modules!A4:L1000"")"),"Allocation")</f>
        <v>Allocation</v>
      </c>
      <c r="B4" s="9" t="str">
        <f>IFERROR(__xludf.DUMMYFUNCTION("""COMPUTED_VALUE"""),"Allocate")</f>
        <v>Allocate</v>
      </c>
      <c r="C4" s="9" t="str">
        <f>IFERROR(__xludf.DUMMYFUNCTION("""COMPUTED_VALUE"""),"1g8wLprruaWRC_5pQcovqkv8ZCiMt5fspCOACibdkz7g")</f>
        <v>1g8wLprruaWRC_5pQcovqkv8ZCiMt5fspCOACibdkz7g</v>
      </c>
      <c r="D4" s="9" t="str">
        <f>IFERROR(__xludf.DUMMYFUNCTION("""COMPUTED_VALUE"""),"")</f>
        <v/>
      </c>
      <c r="E4" s="9" t="str">
        <f>IFERROR(__xludf.DUMMYFUNCTION("""COMPUTED_VALUE"""),"")</f>
        <v/>
      </c>
      <c r="F4" s="9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5" t="str">
        <f>IFERROR(__xludf.DUMMYFUNCTION("""COMPUTED_VALUE"""),"Allocation")</f>
        <v>Allocation</v>
      </c>
      <c r="B5" s="9" t="str">
        <f>IFERROR(__xludf.DUMMYFUNCTION("""COMPUTED_VALUE"""),"CheckAllocatedGroups")</f>
        <v>CheckAllocatedGroups</v>
      </c>
      <c r="C5" s="9" t="str">
        <f>IFERROR(__xludf.DUMMYFUNCTION("""COMPUTED_VALUE"""),"1aecq-HMDoDkIInONjPC11z5TBFHyJhv4ro66e2ZOphg")</f>
        <v>1aecq-HMDoDkIInONjPC11z5TBFHyJhv4ro66e2ZOphg</v>
      </c>
      <c r="D5" s="9" t="str">
        <f>IFERROR(__xludf.DUMMYFUNCTION("""COMPUTED_VALUE"""),"")</f>
        <v/>
      </c>
      <c r="E5" s="9" t="str">
        <f>IFERROR(__xludf.DUMMYFUNCTION("""COMPUTED_VALUE"""),"")</f>
        <v/>
      </c>
      <c r="F5" s="9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9" t="str">
        <f>IFERROR(__xludf.DUMMYFUNCTION("""COMPUTED_VALUE"""),"Allocation")</f>
        <v>Allocation</v>
      </c>
      <c r="B6" s="9" t="str">
        <f>IFERROR(__xludf.DUMMYFUNCTION("""COMPUTED_VALUE"""),"Unallocate")</f>
        <v>Unallocate</v>
      </c>
      <c r="C6" s="9" t="str">
        <f>IFERROR(__xludf.DUMMYFUNCTION("""COMPUTED_VALUE"""),"1eDZq-_vllq4jwvwpk9qGnwQUhlb-sFvyFKPBriT2dA0")</f>
        <v>1eDZq-_vllq4jwvwpk9qGnwQUhlb-sFvyFKPBriT2dA0</v>
      </c>
      <c r="D6" s="9" t="str">
        <f>IFERROR(__xludf.DUMMYFUNCTION("""COMPUTED_VALUE"""),"")</f>
        <v/>
      </c>
      <c r="E6" s="9" t="str">
        <f>IFERROR(__xludf.DUMMYFUNCTION("""COMPUTED_VALUE"""),"")</f>
        <v/>
      </c>
      <c r="F6" s="9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9" t="str">
        <f>IFERROR(__xludf.DUMMYFUNCTION("""COMPUTED_VALUE"""),"Allocation")</f>
        <v>Allocation</v>
      </c>
      <c r="B7" s="9" t="str">
        <f>IFERROR(__xludf.DUMMYFUNCTION("""COMPUTED_VALUE"""),"GetDataAllocation")</f>
        <v>GetDataAllocation</v>
      </c>
      <c r="C7" s="9" t="str">
        <f>IFERROR(__xludf.DUMMYFUNCTION("""COMPUTED_VALUE"""),"1FBTO3wCB7odq-jpQMbYHgSrAL5-rFO2_kp9Kr2iXqXE")</f>
        <v>1FBTO3wCB7odq-jpQMbYHgSrAL5-rFO2_kp9Kr2iXqXE</v>
      </c>
      <c r="D7" s="9" t="str">
        <f>IFERROR(__xludf.DUMMYFUNCTION("""COMPUTED_VALUE"""),"")</f>
        <v/>
      </c>
      <c r="E7" s="9" t="str">
        <f>IFERROR(__xludf.DUMMYFUNCTION("""COMPUTED_VALUE"""),"")</f>
        <v/>
      </c>
      <c r="F7" s="9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9" t="str">
        <f>IFERROR(__xludf.DUMMYFUNCTION("""COMPUTED_VALUE"""),"Allocation")</f>
        <v>Allocation</v>
      </c>
      <c r="B8" s="9" t="str">
        <f>IFERROR(__xludf.DUMMYFUNCTION("""COMPUTED_VALUE"""),"SelectAllocatedGroup")</f>
        <v>SelectAllocatedGroup</v>
      </c>
      <c r="C8" s="9" t="str">
        <f>IFERROR(__xludf.DUMMYFUNCTION("""COMPUTED_VALUE"""),"1G0ZkXDrIDX_loGmAyLs_Shy8hExtTELtFXERbX-HdPo")</f>
        <v>1G0ZkXDrIDX_loGmAyLs_Shy8hExtTELtFXERbX-HdPo</v>
      </c>
      <c r="D8" s="9" t="str">
        <f>IFERROR(__xludf.DUMMYFUNCTION("""COMPUTED_VALUE"""),"")</f>
        <v/>
      </c>
      <c r="E8" s="9" t="str">
        <f>IFERROR(__xludf.DUMMYFUNCTION("""COMPUTED_VALUE"""),"")</f>
        <v/>
      </c>
      <c r="F8" s="9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9" t="str">
        <f>IFERROR(__xludf.DUMMYFUNCTION("""COMPUTED_VALUE"""),"Allocation")</f>
        <v>Allocation</v>
      </c>
      <c r="B9" s="9" t="str">
        <f>IFERROR(__xludf.DUMMYFUNCTION("""COMPUTED_VALUE"""),"EditTradesAllocated")</f>
        <v>EditTradesAllocated</v>
      </c>
      <c r="C9" s="9" t="str">
        <f>IFERROR(__xludf.DUMMYFUNCTION("""COMPUTED_VALUE"""),"1YgVZ1jEVgjUF1Dp8FAj_W_zLEZCyqvNMlWJIg0Tmkq4")</f>
        <v>1YgVZ1jEVgjUF1Dp8FAj_W_zLEZCyqvNMlWJIg0Tmkq4</v>
      </c>
      <c r="D9" s="9" t="str">
        <f>IFERROR(__xludf.DUMMYFUNCTION("""COMPUTED_VALUE"""),"")</f>
        <v/>
      </c>
      <c r="E9" s="9" t="str">
        <f>IFERROR(__xludf.DUMMYFUNCTION("""COMPUTED_VALUE"""),"")</f>
        <v/>
      </c>
      <c r="F9" s="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9" t="str">
        <f>IFERROR(__xludf.DUMMYFUNCTION("""COMPUTED_VALUE"""),"Allocation")</f>
        <v>Allocation</v>
      </c>
      <c r="B10" s="9" t="str">
        <f>IFERROR(__xludf.DUMMYFUNCTION("""COMPUTED_VALUE"""),"EditTradesUnallocated")</f>
        <v>EditTradesUnallocated</v>
      </c>
      <c r="C10" s="9" t="str">
        <f>IFERROR(__xludf.DUMMYFUNCTION("""COMPUTED_VALUE"""),"1MyB61T39MDAUyQqCUJLATzUT2f5UlE8nFq4ltWy_DJ4")</f>
        <v>1MyB61T39MDAUyQqCUJLATzUT2f5UlE8nFq4ltWy_DJ4</v>
      </c>
      <c r="D10" s="9" t="str">
        <f>IFERROR(__xludf.DUMMYFUNCTION("""COMPUTED_VALUE"""),"")</f>
        <v/>
      </c>
      <c r="E10" s="9" t="str">
        <f>IFERROR(__xludf.DUMMYFUNCTION("""COMPUTED_VALUE"""),"")</f>
        <v/>
      </c>
      <c r="F10" s="9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9" t="str">
        <f>IFERROR(__xludf.DUMMYFUNCTION("""COMPUTED_VALUE"""),"Allocation")</f>
        <v>Allocation</v>
      </c>
      <c r="B11" s="9" t="str">
        <f>IFERROR(__xludf.DUMMYFUNCTION("""COMPUTED_VALUE"""),"Reallocate")</f>
        <v>Reallocate</v>
      </c>
      <c r="C11" s="9" t="str">
        <f>IFERROR(__xludf.DUMMYFUNCTION("""COMPUTED_VALUE"""),"undefined")</f>
        <v>undefined</v>
      </c>
      <c r="D11" s="9" t="str">
        <f>IFERROR(__xludf.DUMMYFUNCTION("""COMPUTED_VALUE"""),"")</f>
        <v/>
      </c>
      <c r="E11" s="9" t="str">
        <f>IFERROR(__xludf.DUMMYFUNCTION("""COMPUTED_VALUE"""),"")</f>
        <v/>
      </c>
      <c r="F11" s="9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9" t="str">
        <f>IFERROR(__xludf.DUMMYFUNCTION("""COMPUTED_VALUE"""),"Blotter")</f>
        <v>Blotter</v>
      </c>
      <c r="B12" s="9" t="str">
        <f>IFERROR(__xludf.DUMMYFUNCTION("""COMPUTED_VALUE"""),"ReplaceFillsOnBlotter")</f>
        <v>ReplaceFillsOnBlotter</v>
      </c>
      <c r="C12" s="9" t="str">
        <f>IFERROR(__xludf.DUMMYFUNCTION("""COMPUTED_VALUE"""),"undefined")</f>
        <v>undefined</v>
      </c>
      <c r="D12" s="9" t="str">
        <f>IFERROR(__xludf.DUMMYFUNCTION("""COMPUTED_VALUE"""),"")</f>
        <v/>
      </c>
      <c r="E12" s="9" t="str">
        <f>IFERROR(__xludf.DUMMYFUNCTION("""COMPUTED_VALUE"""),"")</f>
        <v/>
      </c>
      <c r="F12" s="9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9" t="str">
        <f>IFERROR(__xludf.DUMMYFUNCTION("""COMPUTED_VALUE"""),"Blotter")</f>
        <v>Blotter</v>
      </c>
      <c r="B13" s="9" t="str">
        <f>IFERROR(__xludf.DUMMYFUNCTION("""COMPUTED_VALUE"""),"CheckBlotter")</f>
        <v>CheckBlotter</v>
      </c>
      <c r="C13" s="9" t="str">
        <f>IFERROR(__xludf.DUMMYFUNCTION("""COMPUTED_VALUE"""),"16qheLbvgC92hKxalWDlpWfHBMyDDVqHERUCc7bQiO2A")</f>
        <v>16qheLbvgC92hKxalWDlpWfHBMyDDVqHERUCc7bQiO2A</v>
      </c>
      <c r="D13" s="9" t="str">
        <f>IFERROR(__xludf.DUMMYFUNCTION("""COMPUTED_VALUE"""),"")</f>
        <v/>
      </c>
      <c r="E13" s="9" t="str">
        <f>IFERROR(__xludf.DUMMYFUNCTION("""COMPUTED_VALUE"""),"")</f>
        <v/>
      </c>
      <c r="F13" s="9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9" t="str">
        <f>IFERROR(__xludf.DUMMYFUNCTION("""COMPUTED_VALUE"""),"GeneralLedger")</f>
        <v>GeneralLedger</v>
      </c>
      <c r="B14" s="9" t="str">
        <f>IFERROR(__xludf.DUMMYFUNCTION("""COMPUTED_VALUE"""),"GetDataCash")</f>
        <v>GetDataCash</v>
      </c>
      <c r="C14" s="9" t="str">
        <f>IFERROR(__xludf.DUMMYFUNCTION("""COMPUTED_VALUE"""),"1zLd3ju-mV8f6PZiQUYLU-cAgAUwLwyoIAKuu0WgG2zI")</f>
        <v>1zLd3ju-mV8f6PZiQUYLU-cAgAUwLwyoIAKuu0WgG2zI</v>
      </c>
      <c r="D14" s="9" t="str">
        <f>IFERROR(__xludf.DUMMYFUNCTION("""COMPUTED_VALUE"""),"")</f>
        <v/>
      </c>
      <c r="E14" s="9" t="str">
        <f>IFERROR(__xludf.DUMMYFUNCTION("""COMPUTED_VALUE"""),"")</f>
        <v/>
      </c>
      <c r="F14" s="9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9" t="str">
        <f>IFERROR(__xludf.DUMMYFUNCTION("""COMPUTED_VALUE"""),"GeneralLedger")</f>
        <v>GeneralLedger</v>
      </c>
      <c r="B15" s="9" t="str">
        <f>IFERROR(__xludf.DUMMYFUNCTION("""COMPUTED_VALUE"""),"EnterCashDividends")</f>
        <v>EnterCashDividends</v>
      </c>
      <c r="C15" s="9" t="str">
        <f>IFERROR(__xludf.DUMMYFUNCTION("""COMPUTED_VALUE"""),"1sjDsI5FIL_l_G6osMJQ7e8auBgYd3R3JDaKWKV_8Og0")</f>
        <v>1sjDsI5FIL_l_G6osMJQ7e8auBgYd3R3JDaKWKV_8Og0</v>
      </c>
      <c r="D15" s="9" t="str">
        <f>IFERROR(__xludf.DUMMYFUNCTION("""COMPUTED_VALUE"""),"")</f>
        <v/>
      </c>
      <c r="E15" s="9" t="str">
        <f>IFERROR(__xludf.DUMMYFUNCTION("""COMPUTED_VALUE"""),"")</f>
        <v/>
      </c>
      <c r="F15" s="9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9" t="str">
        <f>IFERROR(__xludf.DUMMYFUNCTION("""COMPUTED_VALUE"""),"GeneralLedger")</f>
        <v>GeneralLedger</v>
      </c>
      <c r="B16" s="9" t="str">
        <f>IFERROR(__xludf.DUMMYFUNCTION("""COMPUTED_VALUE"""),"EnterNonTradingTransaction")</f>
        <v>EnterNonTradingTransaction</v>
      </c>
      <c r="C16" s="9" t="str">
        <f>IFERROR(__xludf.DUMMYFUNCTION("""COMPUTED_VALUE"""),"1xn1P_Z-3N4d2BC1SUPly2HiVZazly5ZQcS18BfaTyho")</f>
        <v>1xn1P_Z-3N4d2BC1SUPly2HiVZazly5ZQcS18BfaTyho</v>
      </c>
      <c r="D16" s="9" t="str">
        <f>IFERROR(__xludf.DUMMYFUNCTION("""COMPUTED_VALUE"""),"")</f>
        <v/>
      </c>
      <c r="E16" s="9" t="str">
        <f>IFERROR(__xludf.DUMMYFUNCTION("""COMPUTED_VALUE"""),"")</f>
        <v/>
      </c>
      <c r="F16" s="9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9" t="str">
        <f>IFERROR(__xludf.DUMMYFUNCTION("""COMPUTED_VALUE"""),"GeneralLedger")</f>
        <v>GeneralLedger</v>
      </c>
      <c r="B17" s="9" t="str">
        <f>IFERROR(__xludf.DUMMYFUNCTION("""COMPUTED_VALUE"""),"VerifyCash")</f>
        <v>VerifyCash</v>
      </c>
      <c r="C17" s="9" t="str">
        <f>IFERROR(__xludf.DUMMYFUNCTION("""COMPUTED_VALUE"""),"1vlvYPsiFAWjsnFrbkGn_fAvkwF00V3e7htalalU6QN4")</f>
        <v>1vlvYPsiFAWjsnFrbkGn_fAvkwF00V3e7htalalU6QN4</v>
      </c>
      <c r="D17" s="9" t="str">
        <f>IFERROR(__xludf.DUMMYFUNCTION("""COMPUTED_VALUE"""),"")</f>
        <v/>
      </c>
      <c r="E17" s="9" t="str">
        <f>IFERROR(__xludf.DUMMYFUNCTION("""COMPUTED_VALUE"""),"")</f>
        <v/>
      </c>
      <c r="F17" s="9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9" t="str">
        <f>IFERROR(__xludf.DUMMYFUNCTION("""COMPUTED_VALUE"""),"GeneralLedger")</f>
        <v>GeneralLedger</v>
      </c>
      <c r="B18" s="9" t="str">
        <f>IFERROR(__xludf.DUMMYFUNCTION("""COMPUTED_VALUE"""),"VerifyActivity")</f>
        <v>VerifyActivity</v>
      </c>
      <c r="C18" s="9" t="str">
        <f>IFERROR(__xludf.DUMMYFUNCTION("""COMPUTED_VALUE"""),"1o2rCg2FuoAOT5Pl8i4iFP_TwpPm0UB1dd49GbpkytfM")</f>
        <v>1o2rCg2FuoAOT5Pl8i4iFP_TwpPm0UB1dd49GbpkytfM</v>
      </c>
      <c r="D18" s="9" t="str">
        <f>IFERROR(__xludf.DUMMYFUNCTION("""COMPUTED_VALUE"""),"")</f>
        <v/>
      </c>
      <c r="E18" s="9" t="str">
        <f>IFERROR(__xludf.DUMMYFUNCTION("""COMPUTED_VALUE"""),"")</f>
        <v/>
      </c>
      <c r="F18" s="9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9" t="str">
        <f>IFERROR(__xludf.DUMMYFUNCTION("""COMPUTED_VALUE"""),"GeneralLedger")</f>
        <v>GeneralLedger</v>
      </c>
      <c r="B19" s="9" t="str">
        <f>IFERROR(__xludf.DUMMYFUNCTION("""COMPUTED_VALUE"""),"VerifyTradingTransaction")</f>
        <v>VerifyTradingTransaction</v>
      </c>
      <c r="C19" s="9" t="str">
        <f>IFERROR(__xludf.DUMMYFUNCTION("""COMPUTED_VALUE"""),"1_v2niCJ9VGNvgEBpvz030BFqEISSUhYRHyWcAJAn_Eg")</f>
        <v>1_v2niCJ9VGNvgEBpvz030BFqEISSUhYRHyWcAJAn_Eg</v>
      </c>
      <c r="D19" s="9" t="str">
        <f>IFERROR(__xludf.DUMMYFUNCTION("""COMPUTED_VALUE"""),"")</f>
        <v/>
      </c>
      <c r="E19" s="9" t="str">
        <f>IFERROR(__xludf.DUMMYFUNCTION("""COMPUTED_VALUE"""),"")</f>
        <v/>
      </c>
      <c r="F19" s="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9" t="str">
        <f>IFERROR(__xludf.DUMMYFUNCTION("""COMPUTED_VALUE"""),"GeneralLedger")</f>
        <v>GeneralLedger</v>
      </c>
      <c r="B20" s="9" t="str">
        <f>IFERROR(__xludf.DUMMYFUNCTION("""COMPUTED_VALUE"""),"VerifyRevaluationData")</f>
        <v>VerifyRevaluationData</v>
      </c>
      <c r="C20" s="9" t="str">
        <f>IFERROR(__xludf.DUMMYFUNCTION("""COMPUTED_VALUE"""),"1hsRs1-LY0akTrMe91ArnbLtk6GUy_bKxVwMYCaiMs-8")</f>
        <v>1hsRs1-LY0akTrMe91ArnbLtk6GUy_bKxVwMYCaiMs-8</v>
      </c>
      <c r="D20" s="9" t="str">
        <f>IFERROR(__xludf.DUMMYFUNCTION("""COMPUTED_VALUE"""),"")</f>
        <v/>
      </c>
      <c r="E20" s="9" t="str">
        <f>IFERROR(__xludf.DUMMYFUNCTION("""COMPUTED_VALUE"""),"")</f>
        <v/>
      </c>
      <c r="F20" s="9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9" t="str">
        <f>IFERROR(__xludf.DUMMYFUNCTION("""COMPUTED_VALUE"""),"CorporateAction")</f>
        <v>CorporateAction</v>
      </c>
      <c r="B21" s="9" t="str">
        <f>IFERROR(__xludf.DUMMYFUNCTION("""COMPUTED_VALUE"""),"CorporateAction")</f>
        <v>CorporateAction</v>
      </c>
      <c r="C21" s="9" t="str">
        <f>IFERROR(__xludf.DUMMYFUNCTION("""COMPUTED_VALUE"""),"14rwUHTx4auE_hf60WN-tNOx3atNg7QGvErWNwVQIRqE")</f>
        <v>14rwUHTx4auE_hf60WN-tNOx3atNg7QGvErWNwVQIRqE</v>
      </c>
      <c r="D21" s="9" t="str">
        <f>IFERROR(__xludf.DUMMYFUNCTION("""COMPUTED_VALUE"""),"")</f>
        <v/>
      </c>
      <c r="E21" s="9" t="str">
        <f>IFERROR(__xludf.DUMMYFUNCTION("""COMPUTED_VALUE"""),"")</f>
        <v/>
      </c>
      <c r="F21" s="9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9" t="str">
        <f>IFERROR(__xludf.DUMMYFUNCTION("""COMPUTED_VALUE"""),"CreateTransaction")</f>
        <v>CreateTransaction</v>
      </c>
      <c r="B22" s="9" t="str">
        <f>IFERROR(__xludf.DUMMYFUNCTION("""COMPUTED_VALUE"""),"CreateTransaction")</f>
        <v>CreateTransaction</v>
      </c>
      <c r="C22" s="9" t="str">
        <f>IFERROR(__xludf.DUMMYFUNCTION("""COMPUTED_VALUE"""),"1amshi8Ns36lsDpccBK0y_9bL_pQ2rHdGNYypcgzceUg")</f>
        <v>1amshi8Ns36lsDpccBK0y_9bL_pQ2rHdGNYypcgzceUg</v>
      </c>
      <c r="D22" s="9" t="str">
        <f>IFERROR(__xludf.DUMMYFUNCTION("""COMPUTED_VALUE"""),"")</f>
        <v/>
      </c>
      <c r="E22" s="9" t="str">
        <f>IFERROR(__xludf.DUMMYFUNCTION("""COMPUTED_VALUE"""),"")</f>
        <v/>
      </c>
      <c r="F22" s="9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9" t="str">
        <f>IFERROR(__xludf.DUMMYFUNCTION("""COMPUTED_VALUE"""),"DailyValuation")</f>
        <v>DailyValuation</v>
      </c>
      <c r="B23" s="9" t="str">
        <f>IFERROR(__xludf.DUMMYFUNCTION("""COMPUTED_VALUE"""),"UpdateBeta")</f>
        <v>UpdateBeta</v>
      </c>
      <c r="C23" s="9" t="str">
        <f>IFERROR(__xludf.DUMMYFUNCTION("""COMPUTED_VALUE"""),"1YKttwHsdIskNDoo0Sl7HF2DWikROW-KA05qfT3GLIyI")</f>
        <v>1YKttwHsdIskNDoo0Sl7HF2DWikROW-KA05qfT3GLIyI</v>
      </c>
      <c r="D23" s="9" t="str">
        <f>IFERROR(__xludf.DUMMYFUNCTION("""COMPUTED_VALUE"""),"")</f>
        <v/>
      </c>
      <c r="E23" s="9" t="str">
        <f>IFERROR(__xludf.DUMMYFUNCTION("""COMPUTED_VALUE"""),"")</f>
        <v/>
      </c>
      <c r="F23" s="9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9" t="str">
        <f>IFERROR(__xludf.DUMMYFUNCTION("""COMPUTED_VALUE"""),"DailyValuation")</f>
        <v>DailyValuation</v>
      </c>
      <c r="B24" s="9" t="str">
        <f>IFERROR(__xludf.DUMMYFUNCTION("""COMPUTED_VALUE"""),"UpdateDailyCash")</f>
        <v>UpdateDailyCash</v>
      </c>
      <c r="C24" s="9" t="str">
        <f>IFERROR(__xludf.DUMMYFUNCTION("""COMPUTED_VALUE"""),"1YJ2rTp-OqQTGjubvs_cBC6fl0l94pyHI2eaLJzbddS4")</f>
        <v>1YJ2rTp-OqQTGjubvs_cBC6fl0l94pyHI2eaLJzbddS4</v>
      </c>
      <c r="D24" s="9" t="str">
        <f>IFERROR(__xludf.DUMMYFUNCTION("""COMPUTED_VALUE"""),"")</f>
        <v/>
      </c>
      <c r="E24" s="9" t="str">
        <f>IFERROR(__xludf.DUMMYFUNCTION("""COMPUTED_VALUE"""),"")</f>
        <v/>
      </c>
      <c r="F24" s="9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9" t="str">
        <f>IFERROR(__xludf.DUMMYFUNCTION("""COMPUTED_VALUE"""),"DailyValuation")</f>
        <v>DailyValuation</v>
      </c>
      <c r="B25" s="9" t="str">
        <f>IFERROR(__xludf.DUMMYFUNCTION("""COMPUTED_VALUE"""),"UpdateForexConversion")</f>
        <v>UpdateForexConversion</v>
      </c>
      <c r="C25" s="9" t="str">
        <f>IFERROR(__xludf.DUMMYFUNCTION("""COMPUTED_VALUE"""),"1mLyEfNTVFd65cnE6GfgCRD6TdpKg1BgqNIDjHCFzyO4")</f>
        <v>1mLyEfNTVFd65cnE6GfgCRD6TdpKg1BgqNIDjHCFzyO4</v>
      </c>
      <c r="D25" s="9" t="str">
        <f>IFERROR(__xludf.DUMMYFUNCTION("""COMPUTED_VALUE"""),"")</f>
        <v/>
      </c>
      <c r="E25" s="9" t="str">
        <f>IFERROR(__xludf.DUMMYFUNCTION("""COMPUTED_VALUE"""),"")</f>
        <v/>
      </c>
      <c r="F25" s="9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9" t="str">
        <f>IFERROR(__xludf.DUMMYFUNCTION("""COMPUTED_VALUE"""),"DailyValuation")</f>
        <v>DailyValuation</v>
      </c>
      <c r="B26" s="9" t="str">
        <f>IFERROR(__xludf.DUMMYFUNCTION("""COMPUTED_VALUE"""),"UpdateMarkPrice")</f>
        <v>UpdateMarkPrice</v>
      </c>
      <c r="C26" s="9" t="str">
        <f>IFERROR(__xludf.DUMMYFUNCTION("""COMPUTED_VALUE"""),"1M8d9TyOhMnA65NSIYvS6dR68SH5RL6oKahd6uz7yp6c")</f>
        <v>1M8d9TyOhMnA65NSIYvS6dR68SH5RL6oKahd6uz7yp6c</v>
      </c>
      <c r="D26" s="9" t="str">
        <f>IFERROR(__xludf.DUMMYFUNCTION("""COMPUTED_VALUE"""),"")</f>
        <v/>
      </c>
      <c r="E26" s="9" t="str">
        <f>IFERROR(__xludf.DUMMYFUNCTION("""COMPUTED_VALUE"""),"")</f>
        <v/>
      </c>
      <c r="F26" s="9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9" t="str">
        <f>IFERROR(__xludf.DUMMYFUNCTION("""COMPUTED_VALUE"""),"Import")</f>
        <v>Import</v>
      </c>
      <c r="B27" s="9" t="str">
        <f>IFERROR(__xludf.DUMMYFUNCTION("""COMPUTED_VALUE"""),"Import")</f>
        <v>Import</v>
      </c>
      <c r="C27" s="9" t="str">
        <f>IFERROR(__xludf.DUMMYFUNCTION("""COMPUTED_VALUE"""),"1Q5uOVYo1NMRks6hQRJuV8XWMPb6VFEAbSzpgP1dot1I")</f>
        <v>1Q5uOVYo1NMRks6hQRJuV8XWMPb6VFEAbSzpgP1dot1I</v>
      </c>
      <c r="D27" s="9" t="str">
        <f>IFERROR(__xludf.DUMMYFUNCTION("""COMPUTED_VALUE"""),"")</f>
        <v/>
      </c>
      <c r="E27" s="9" t="str">
        <f>IFERROR(__xludf.DUMMYFUNCTION("""COMPUTED_VALUE"""),"")</f>
        <v/>
      </c>
      <c r="F27" s="9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9" t="str">
        <f>IFERROR(__xludf.DUMMYFUNCTION("""COMPUTED_VALUE"""),"PortfolioManagement")</f>
        <v>PortfolioManagement</v>
      </c>
      <c r="B28" s="9" t="str">
        <f>IFERROR(__xludf.DUMMYFUNCTION("""COMPUTED_VALUE"""),"CheckDashboardPM")</f>
        <v>CheckDashboardPM</v>
      </c>
      <c r="C28" s="9" t="str">
        <f>IFERROR(__xludf.DUMMYFUNCTION("""COMPUTED_VALUE"""),"1iqfUyYqyebXIeNBGljH7-T8whBcywTlkBBU3dBZV06s")</f>
        <v>1iqfUyYqyebXIeNBGljH7-T8whBcywTlkBBU3dBZV06s</v>
      </c>
      <c r="D28" s="9" t="str">
        <f>IFERROR(__xludf.DUMMYFUNCTION("""COMPUTED_VALUE"""),"")</f>
        <v/>
      </c>
      <c r="E28" s="9" t="str">
        <f>IFERROR(__xludf.DUMMYFUNCTION("""COMPUTED_VALUE"""),"")</f>
        <v/>
      </c>
      <c r="F28" s="9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9" t="str">
        <f>IFERROR(__xludf.DUMMYFUNCTION("""COMPUTED_VALUE"""),"PortfolioManagement")</f>
        <v>PortfolioManagement</v>
      </c>
      <c r="B29" s="9" t="str">
        <f>IFERROR(__xludf.DUMMYFUNCTION("""COMPUTED_VALUE"""),"CheckPortfolioManagement")</f>
        <v>CheckPortfolioManagement</v>
      </c>
      <c r="C29" s="9" t="str">
        <f>IFERROR(__xludf.DUMMYFUNCTION("""COMPUTED_VALUE"""),"1u0XMlZJy_Slp7uXMwirinW7StOOdTcWD-D8V07sO0VA")</f>
        <v>1u0XMlZJy_Slp7uXMwirinW7StOOdTcWD-D8V07sO0VA</v>
      </c>
      <c r="D29" s="9" t="str">
        <f>IFERROR(__xludf.DUMMYFUNCTION("""COMPUTED_VALUE"""),"")</f>
        <v/>
      </c>
      <c r="E29" s="9" t="str">
        <f>IFERROR(__xludf.DUMMYFUNCTION("""COMPUTED_VALUE"""),"")</f>
        <v/>
      </c>
      <c r="F29" s="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9" t="str">
        <f>IFERROR(__xludf.DUMMYFUNCTION("""COMPUTED_VALUE"""),"PricingInput")</f>
        <v>PricingInput</v>
      </c>
      <c r="B30" s="9" t="str">
        <f>IFERROR(__xludf.DUMMYFUNCTION("""COMPUTED_VALUE"""),"PricingInput")</f>
        <v>PricingInput</v>
      </c>
      <c r="C30" s="9" t="str">
        <f>IFERROR(__xludf.DUMMYFUNCTION("""COMPUTED_VALUE"""),"1mh3Z5PifhJ3yzX8TPeoc3H3nteNiA0V2tWFse0rVChE")</f>
        <v>1mh3Z5PifhJ3yzX8TPeoc3H3nteNiA0V2tWFse0rVChE</v>
      </c>
      <c r="D30" s="9" t="str">
        <f>IFERROR(__xludf.DUMMYFUNCTION("""COMPUTED_VALUE"""),"")</f>
        <v/>
      </c>
      <c r="E30" s="9" t="str">
        <f>IFERROR(__xludf.DUMMYFUNCTION("""COMPUTED_VALUE"""),"")</f>
        <v/>
      </c>
      <c r="F30" s="9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9" t="str">
        <f>IFERROR(__xludf.DUMMYFUNCTION("""COMPUTED_VALUE"""),"PricingInput")</f>
        <v>PricingInput</v>
      </c>
      <c r="B31" s="9" t="str">
        <f>IFERROR(__xludf.DUMMYFUNCTION("""COMPUTED_VALUE"""),"UpdateSharesOutstanding")</f>
        <v>UpdateSharesOutstanding</v>
      </c>
      <c r="C31" s="9" t="str">
        <f>IFERROR(__xludf.DUMMYFUNCTION("""COMPUTED_VALUE"""),"1vmZ6v1OyZ8SSi8bqqjK3ap3KtM_yPA_SEcIQgYiRInY")</f>
        <v>1vmZ6v1OyZ8SSi8bqqjK3ap3KtM_yPA_SEcIQgYiRInY</v>
      </c>
      <c r="D31" s="9" t="str">
        <f>IFERROR(__xludf.DUMMYFUNCTION("""COMPUTED_VALUE"""),"")</f>
        <v/>
      </c>
      <c r="E31" s="9" t="str">
        <f>IFERROR(__xludf.DUMMYFUNCTION("""COMPUTED_VALUE"""),"")</f>
        <v/>
      </c>
      <c r="F31" s="9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9" t="str">
        <f>IFERROR(__xludf.DUMMYFUNCTION("""COMPUTED_VALUE"""),"SymbolLookup")</f>
        <v>SymbolLookup</v>
      </c>
      <c r="B32" s="9" t="str">
        <f>IFERROR(__xludf.DUMMYFUNCTION("""COMPUTED_VALUE"""),"VerifySymbolLookUp")</f>
        <v>VerifySymbolLookUp</v>
      </c>
      <c r="C32" s="9" t="str">
        <f>IFERROR(__xludf.DUMMYFUNCTION("""COMPUTED_VALUE"""),"1OiI1Pi_JAFOFi8ByMaD3_qqEXSv6yQMo_u6aGTozbl8")</f>
        <v>1OiI1Pi_JAFOFi8ByMaD3_qqEXSv6yQMo_u6aGTozbl8</v>
      </c>
      <c r="D32" s="9" t="str">
        <f>IFERROR(__xludf.DUMMYFUNCTION("""COMPUTED_VALUE"""),"")</f>
        <v/>
      </c>
      <c r="E32" s="9" t="str">
        <f>IFERROR(__xludf.DUMMYFUNCTION("""COMPUTED_VALUE"""),"")</f>
        <v/>
      </c>
      <c r="F32" s="9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9" t="str">
        <f>IFERROR(__xludf.DUMMYFUNCTION("""COMPUTED_VALUE"""),"SymbolLookup")</f>
        <v>SymbolLookup</v>
      </c>
      <c r="B33" s="9" t="str">
        <f>IFERROR(__xludf.DUMMYFUNCTION("""COMPUTED_VALUE"""),"SymbolLookupFromTT")</f>
        <v>SymbolLookupFromTT</v>
      </c>
      <c r="C33" s="9" t="str">
        <f>IFERROR(__xludf.DUMMYFUNCTION("""COMPUTED_VALUE"""),"1ubfvE9sHq5KpJ9NazeH96CrVMJqAuol5Ya9GPjxWrgI")</f>
        <v>1ubfvE9sHq5KpJ9NazeH96CrVMJqAuol5Ya9GPjxWrgI</v>
      </c>
      <c r="D33" s="9" t="str">
        <f>IFERROR(__xludf.DUMMYFUNCTION("""COMPUTED_VALUE"""),"")</f>
        <v/>
      </c>
      <c r="E33" s="9" t="str">
        <f>IFERROR(__xludf.DUMMYFUNCTION("""COMPUTED_VALUE"""),"")</f>
        <v/>
      </c>
      <c r="F33" s="9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2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3"/>
      <c r="C1" s="4"/>
    </row>
    <row r="2" ht="15.75" customHeight="1">
      <c r="A2" s="5"/>
      <c r="B2" s="5"/>
      <c r="C2" s="5"/>
    </row>
    <row r="3" ht="15.75" customHeight="1">
      <c r="A3" s="6" t="s">
        <v>3</v>
      </c>
      <c r="B3" s="7" t="s">
        <v>4</v>
      </c>
      <c r="C3" s="5"/>
    </row>
    <row r="4" ht="15.75" customHeight="1">
      <c r="A4" s="8" t="s">
        <v>5</v>
      </c>
      <c r="B4" s="7" t="s">
        <v>6</v>
      </c>
      <c r="C4" s="5"/>
    </row>
    <row r="5" ht="15.75" customHeight="1">
      <c r="A5" s="10"/>
      <c r="B5" s="5"/>
      <c r="C5" s="5"/>
    </row>
    <row r="6" ht="15.75" customHeight="1">
      <c r="A6" s="10"/>
      <c r="B6" s="5"/>
      <c r="C6" s="5"/>
    </row>
    <row r="7" ht="15.75" customHeight="1">
      <c r="A7" s="10"/>
      <c r="B7" s="5"/>
      <c r="C7" s="5"/>
    </row>
    <row r="8" ht="15.75" customHeight="1">
      <c r="A8" s="10"/>
      <c r="B8" s="5"/>
      <c r="C8" s="5"/>
    </row>
    <row r="9" ht="15.75" customHeight="1">
      <c r="A9" s="10"/>
      <c r="B9" s="5"/>
      <c r="C9" s="5"/>
    </row>
    <row r="10" ht="15.75" customHeight="1">
      <c r="A10" s="10"/>
      <c r="B10" s="5"/>
      <c r="C10" s="5"/>
    </row>
    <row r="11" ht="15.75" customHeight="1">
      <c r="A11" s="10"/>
      <c r="B11" s="5"/>
      <c r="C11" s="5"/>
    </row>
    <row r="12" ht="15.75" customHeight="1">
      <c r="A12" s="10"/>
      <c r="B12" s="5"/>
      <c r="C12" s="5"/>
    </row>
    <row r="13" ht="15.75" customHeight="1">
      <c r="A13" s="10"/>
      <c r="B13" s="5"/>
      <c r="C13" s="5"/>
    </row>
    <row r="14" ht="15.75" customHeight="1">
      <c r="A14" s="10"/>
      <c r="B14" s="5"/>
      <c r="C14" s="5"/>
    </row>
    <row r="15" ht="15.75" customHeight="1">
      <c r="A15" s="10"/>
      <c r="B15" s="5"/>
      <c r="C15" s="5"/>
    </row>
    <row r="16" ht="15.75" customHeight="1">
      <c r="A16" s="10"/>
      <c r="B16" s="5"/>
      <c r="C16" s="5"/>
    </row>
    <row r="17" ht="15.75" customHeight="1">
      <c r="A17" s="10"/>
      <c r="B17" s="5"/>
      <c r="C17" s="5"/>
    </row>
    <row r="18" ht="15.75" customHeight="1">
      <c r="A18" s="10"/>
      <c r="B18" s="5"/>
      <c r="C18" s="5"/>
    </row>
    <row r="19" ht="15.75" customHeight="1">
      <c r="A19" s="10"/>
      <c r="B19" s="5"/>
      <c r="C19" s="5"/>
    </row>
    <row r="20" ht="15.75" customHeight="1">
      <c r="A20" s="10"/>
      <c r="B20" s="5"/>
      <c r="C20" s="5"/>
    </row>
    <row r="21" ht="15.75" customHeight="1">
      <c r="A21" s="10"/>
      <c r="B21" s="5"/>
      <c r="C21" s="5"/>
    </row>
    <row r="22" ht="15.75" customHeight="1">
      <c r="A22" s="10"/>
      <c r="B22" s="5"/>
      <c r="C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3" t="s">
        <v>2</v>
      </c>
      <c r="B1" s="3"/>
      <c r="C1" s="3"/>
      <c r="D1" s="3"/>
      <c r="E1" s="3"/>
      <c r="F1" s="4"/>
    </row>
    <row r="2">
      <c r="A2" s="9"/>
      <c r="B2" s="9"/>
      <c r="C2" s="9"/>
      <c r="D2" s="9"/>
      <c r="E2" s="9"/>
      <c r="F2" s="9"/>
    </row>
    <row r="3">
      <c r="A3" s="8" t="s">
        <v>8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16</v>
      </c>
      <c r="D3" s="6" t="s">
        <v>9</v>
      </c>
      <c r="E3" s="21" t="s">
        <v>17</v>
      </c>
      <c r="F3" s="6" t="s">
        <v>14</v>
      </c>
      <c r="G3" s="10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 t="s">
        <v>18</v>
      </c>
      <c r="C6" s="7" t="s">
        <v>19</v>
      </c>
      <c r="D6" s="7">
        <v>4027203.5</v>
      </c>
      <c r="E6" s="31">
        <v>4027203.5</v>
      </c>
      <c r="F6" s="7" t="s">
        <v>20</v>
      </c>
      <c r="G6" s="5"/>
      <c r="H6" s="5"/>
      <c r="I6" s="5"/>
      <c r="J6" s="7">
        <v>1.1402</v>
      </c>
      <c r="K6" s="5"/>
      <c r="L6" s="5"/>
      <c r="M6" s="5"/>
      <c r="N6" s="29">
        <v>43490.0</v>
      </c>
      <c r="O6" s="31">
        <v>1.1402</v>
      </c>
      <c r="AM6" s="32" t="s">
        <v>21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12</v>
      </c>
      <c r="D3" s="6" t="s">
        <v>9</v>
      </c>
      <c r="E3" s="21" t="s">
        <v>13</v>
      </c>
      <c r="F3" s="6" t="s">
        <v>14</v>
      </c>
      <c r="G3" s="10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29">
        <v>43490.0</v>
      </c>
      <c r="C6" s="5"/>
      <c r="D6" s="7"/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12</v>
      </c>
      <c r="D3" s="6" t="s">
        <v>9</v>
      </c>
      <c r="E3" s="21" t="s">
        <v>22</v>
      </c>
      <c r="F3" s="6" t="s">
        <v>14</v>
      </c>
      <c r="G3" s="10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IFERROR(__xludf.DUMMYFUNCTION("""COMPUTED_VALUE"""),"Date")</f>
        <v>Date</v>
      </c>
      <c r="F5" s="27" t="str">
        <f>IFERROR(__xludf.DUMMYFUNCTION("""COMPUTED_VALUE"""),"Price")</f>
        <v>Price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 t="s">
        <v>25</v>
      </c>
      <c r="C6" s="7" t="s">
        <v>21</v>
      </c>
      <c r="D6" s="7" t="s">
        <v>26</v>
      </c>
      <c r="E6" s="29">
        <v>43490.0</v>
      </c>
      <c r="F6" s="7">
        <v>1.141</v>
      </c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7" t="s">
        <v>25</v>
      </c>
      <c r="C7" s="7" t="s">
        <v>21</v>
      </c>
      <c r="D7" s="7" t="s">
        <v>26</v>
      </c>
      <c r="E7" s="29">
        <v>43491.0</v>
      </c>
      <c r="F7" s="7">
        <v>1.141</v>
      </c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7" t="s">
        <v>25</v>
      </c>
      <c r="C8" s="7" t="s">
        <v>21</v>
      </c>
      <c r="D8" s="7" t="s">
        <v>26</v>
      </c>
      <c r="E8" s="29">
        <v>43492.0</v>
      </c>
      <c r="F8" s="7">
        <v>1.141</v>
      </c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7" t="s">
        <v>25</v>
      </c>
      <c r="C9" s="7" t="s">
        <v>21</v>
      </c>
      <c r="D9" s="7" t="s">
        <v>26</v>
      </c>
      <c r="E9" s="29">
        <v>43493.0</v>
      </c>
      <c r="F9" s="7">
        <v>1.142</v>
      </c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7" t="s">
        <v>25</v>
      </c>
      <c r="C10" s="7" t="s">
        <v>21</v>
      </c>
      <c r="D10" s="7" t="s">
        <v>26</v>
      </c>
      <c r="E10" s="29">
        <v>43494.0</v>
      </c>
      <c r="F10" s="7">
        <v>1.14299</v>
      </c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7" t="s">
        <v>25</v>
      </c>
      <c r="C11" s="7" t="s">
        <v>21</v>
      </c>
      <c r="D11" s="7" t="s">
        <v>26</v>
      </c>
      <c r="E11" s="29">
        <v>43495.0</v>
      </c>
      <c r="F11" s="33">
        <v>1.14299</v>
      </c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7" t="s">
        <v>25</v>
      </c>
      <c r="C12" s="7" t="s">
        <v>21</v>
      </c>
      <c r="D12" s="7" t="s">
        <v>26</v>
      </c>
      <c r="E12" s="29">
        <v>43496.0</v>
      </c>
      <c r="F12" s="33">
        <v>1.14299</v>
      </c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UpdateForexConversionMonthly!$4:$4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23</v>
      </c>
      <c r="D3" s="6" t="s">
        <v>9</v>
      </c>
      <c r="E3" s="21" t="s">
        <v>24</v>
      </c>
      <c r="F3" s="6" t="s">
        <v>14</v>
      </c>
      <c r="G3" s="10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 t="s">
        <v>27</v>
      </c>
      <c r="C6" s="29">
        <v>43490.0</v>
      </c>
      <c r="D6" s="29">
        <v>43491.0</v>
      </c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23</v>
      </c>
      <c r="D3" s="6" t="s">
        <v>9</v>
      </c>
      <c r="E3" s="21" t="s">
        <v>28</v>
      </c>
      <c r="F3" s="6" t="s">
        <v>14</v>
      </c>
      <c r="G3" s="10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IFERROR(__xludf.DUMMYFUNCTION("""COMPUTED_VALUE"""),"AUECID")</f>
        <v>AUECID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 t="s">
        <v>20</v>
      </c>
      <c r="C6" s="5"/>
      <c r="D6" s="7"/>
      <c r="E6" s="7" t="s">
        <v>30</v>
      </c>
      <c r="F6" s="5"/>
      <c r="G6" s="5"/>
      <c r="H6" s="5"/>
      <c r="I6" s="7">
        <v>1.1402</v>
      </c>
      <c r="J6" s="5"/>
      <c r="K6" s="5"/>
      <c r="L6" s="5"/>
      <c r="M6" s="5"/>
      <c r="N6" s="5"/>
      <c r="O6" s="5"/>
      <c r="DH6" s="32" t="s">
        <v>18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23</v>
      </c>
      <c r="D3" s="6" t="s">
        <v>9</v>
      </c>
      <c r="E3" s="21" t="s">
        <v>29</v>
      </c>
      <c r="F3" s="6" t="s">
        <v>14</v>
      </c>
      <c r="G3" s="10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IFERROR(__xludf.DUMMYFUNCTION("""COMPUTED_VALUE"""),"AccrudInterest")</f>
        <v>AccrudInterest</v>
      </c>
      <c r="C5" s="26" t="str">
        <f>IFERROR(__xludf.DUMMYFUNCTION("""COMPUTED_VALUE"""),"Analyst")</f>
        <v>Analyst</v>
      </c>
      <c r="D5" s="26" t="str">
        <f>IFERROR(__xludf.DUMMYFUNCTION("""COMPUTED_VALUE"""),"Asset Class")</f>
        <v>Asset Class</v>
      </c>
      <c r="E5" s="26" t="str">
        <f>IFERROR(__xludf.DUMMYFUNCTION("""COMPUTED_VALUE"""),"AUCID")</f>
        <v>AUCID</v>
      </c>
      <c r="F5" s="27" t="str">
        <f>IFERROR(__xludf.DUMMYFUNCTION("""COMPUTED_VALUE"""),"AUECModifiedDate")</f>
        <v>AUECModifiedDate</v>
      </c>
      <c r="G5" s="26" t="str">
        <f>IFERROR(__xludf.DUMMYFUNCTION("""COMPUTED_VALUE"""),"Average Price")</f>
        <v>Average Price</v>
      </c>
      <c r="H5" s="26" t="str">
        <f>IFERROR(__xludf.DUMMYFUNCTION("""COMPUTED_VALUE"""),"BloombergSymbol")</f>
        <v>BloombergSymbol</v>
      </c>
      <c r="I5" s="26" t="str">
        <f>IFERROR(__xludf.DUMMYFUNCTION("""COMPUTED_VALUE"""),"CalcBasis")</f>
        <v>CalcBasis</v>
      </c>
      <c r="J5" s="26" t="str">
        <f>IFERROR(__xludf.DUMMYFUNCTION("""COMPUTED_VALUE"""),"CashSettledPrice")</f>
        <v>CashSettledPrice</v>
      </c>
      <c r="K5" s="26" t="str">
        <f>IFERROR(__xludf.DUMMYFUNCTION("""COMPUTED_VALUE"""),"ChangeComment")</f>
        <v>ChangeComment</v>
      </c>
      <c r="L5" s="26" t="str">
        <f>IFERROR(__xludf.DUMMYFUNCTION("""COMPUTED_VALUE"""),"ChangeType")</f>
        <v>ChangeType</v>
      </c>
      <c r="M5" s="26" t="str">
        <f>IFERROR(__xludf.DUMMYFUNCTION("""COMPUTED_VALUE"""),"ChangeBrokerFee")</f>
        <v>ChangeBrokerFee</v>
      </c>
      <c r="N5" s="26" t="str">
        <f>IFERROR(__xludf.DUMMYFUNCTION("""COMPUTED_VALUE"""),"ClearingFee")</f>
        <v>ClearingFee</v>
      </c>
      <c r="O5" s="26" t="str">
        <f>IFERROR(__xludf.DUMMYFUNCTION("""COMPUTED_VALUE"""),"Close Date")</f>
        <v>Close Date</v>
      </c>
      <c r="P5" s="26" t="str">
        <f>IFERROR(__xludf.DUMMYFUNCTION("""COMPUTED_VALUE"""),"ClosedTotalCommissionandFees")</f>
        <v>ClosedTotalCommissionandFees</v>
      </c>
      <c r="Q5" s="26" t="str">
        <f>IFERROR(__xludf.DUMMYFUNCTION("""COMPUTED_VALUE"""),"ClosingAlgo")</f>
        <v>ClosingAlgo</v>
      </c>
      <c r="R5" s="26" t="str">
        <f>IFERROR(__xludf.DUMMYFUNCTION("""COMPUTED_VALUE"""),"ClosingDate")</f>
        <v>ClosingDate</v>
      </c>
      <c r="S5" s="26" t="str">
        <f>IFERROR(__xludf.DUMMYFUNCTION("""COMPUTED_VALUE"""),"ClosingMode")</f>
        <v>ClosingMode</v>
      </c>
      <c r="T5" s="28" t="str">
        <f>IFERROR(__xludf.DUMMYFUNCTION("""COMPUTED_VALUE"""),"ClosingStatus")</f>
        <v>ClosingStatus</v>
      </c>
      <c r="U5" s="28" t="str">
        <f>IFERROR(__xludf.DUMMYFUNCTION("""COMPUTED_VALUE"""),"CommissionAmt")</f>
        <v>CommissionAmt</v>
      </c>
      <c r="V5" s="28" t="str">
        <f>IFERROR(__xludf.DUMMYFUNCTION("""COMPUTED_VALUE"""),"CommissionRate")</f>
        <v>CommissionRate</v>
      </c>
      <c r="W5" s="28" t="str">
        <f>IFERROR(__xludf.DUMMYFUNCTION("""COMPUTED_VALUE"""),"CompanyName")</f>
        <v>CompanyName</v>
      </c>
      <c r="X5" s="28" t="str">
        <f>IFERROR(__xludf.DUMMYFUNCTION("""COMPUTED_VALUE"""),"CompanyuserName")</f>
        <v>CompanyuserName</v>
      </c>
      <c r="Y5" s="28" t="str">
        <f>IFERROR(__xludf.DUMMYFUNCTION("""COMPUTED_VALUE"""),"ContractMultiplier")</f>
        <v>ContractMultiplier</v>
      </c>
      <c r="Z5" s="28" t="str">
        <f>IFERROR(__xludf.DUMMYFUNCTION("""COMPUTED_VALUE"""),"CounterPartyName")</f>
        <v>CounterPartyName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IFERROR(__xludf.DUMMYFUNCTION("""COMPUTED_VALUE"""),"ExternalTransId")</f>
        <v>ExternalTransId</v>
      </c>
      <c r="AS5" s="28" t="str">
        <f>IFERROR(__xludf.DUMMYFUNCTION("""COMPUTED_VALUE"""),"ForexReq")</f>
        <v>ForexReq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IFERROR(__xludf.DUMMYFUNCTION("""COMPUTED_VALUE"""),"IsExcerciseAtZero")</f>
        <v>IsExcerciseAtZero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IFERROR(__xludf.DUMMYFUNCTION("""COMPUTED_VALUE"""),"ISSwap")</f>
        <v>ISSwap</v>
      </c>
      <c r="BF5" s="28" t="str">
        <f>IFERROR(__xludf.DUMMYFUNCTION("""COMPUTED_VALUE"""),"LeadCurrencyID")</f>
        <v>LeadCurrencyID</v>
      </c>
      <c r="BG5" s="28" t="str">
        <f>IFERROR(__xludf.DUMMYFUNCTION("""COMPUTED_VALUE"""),"Level1Name")</f>
        <v>Level1Name</v>
      </c>
      <c r="BH5" s="28" t="str">
        <f>IFERROR(__xludf.DUMMYFUNCTION("""COMPUTED_VALUE"""),"LevelName2")</f>
        <v>LevelName2</v>
      </c>
      <c r="BI5" s="28" t="str">
        <f>IFERROR(__xludf.DUMMYFUNCTION("""COMPUTED_VALUE"""),"LiquidTag")</f>
        <v>LiquidTag</v>
      </c>
      <c r="BJ5" s="28" t="str">
        <f>IFERROR(__xludf.DUMMYFUNCTION("""COMPUTED_VALUE"""),"LongOrShort")</f>
        <v>LongOrShort</v>
      </c>
      <c r="BK5" s="28" t="str">
        <f>IFERROR(__xludf.DUMMYFUNCTION("""COMPUTED_VALUE"""),"LotId")</f>
        <v>LotId</v>
      </c>
      <c r="BL5" s="28" t="str">
        <f>IFERROR(__xludf.DUMMYFUNCTION("""COMPUTED_VALUE"""),"M2MProfitLoss")</f>
        <v>M2MProfitLoss</v>
      </c>
      <c r="BM5" s="28" t="str">
        <f>IFERROR(__xludf.DUMMYFUNCTION("""COMPUTED_VALUE"""),"MarketCap")</f>
        <v>MarketCap</v>
      </c>
      <c r="BN5" s="28" t="str">
        <f>IFERROR(__xludf.DUMMYFUNCTION("""COMPUTED_VALUE"""),"MarkPrice")</f>
        <v>MarkPrice</v>
      </c>
      <c r="BO5" s="28" t="str">
        <f>IFERROR(__xludf.DUMMYFUNCTION("""COMPUTED_VALUE"""),"MasterFund")</f>
        <v>MasterFund</v>
      </c>
      <c r="BP5" s="28" t="str">
        <f>IFERROR(__xludf.DUMMYFUNCTION("""COMPUTED_VALUE"""),"MiscFees")</f>
        <v>MiscFees</v>
      </c>
      <c r="BQ5" s="28" t="str">
        <f>IFERROR(__xludf.DUMMYFUNCTION("""COMPUTED_VALUE"""),"NavLockStatus")</f>
        <v>NavLockStatus</v>
      </c>
      <c r="BR5" s="28" t="str">
        <f>IFERROR(__xludf.DUMMYFUNCTION("""COMPUTED_VALUE"""),"NetNotionalValue")</f>
        <v>NetNotionalValue</v>
      </c>
      <c r="BS5" s="28" t="str">
        <f>IFERROR(__xludf.DUMMYFUNCTION("""COMPUTED_VALUE"""),"NirvanaProcessDate")</f>
        <v>NirvanaProcessDate</v>
      </c>
      <c r="BT5" s="28" t="str">
        <f>IFERROR(__xludf.DUMMYFUNCTION("""COMPUTED_VALUE"""),"OCC Fee")</f>
        <v>OCC Fee</v>
      </c>
      <c r="BU5" s="28" t="str">
        <f>IFERROR(__xludf.DUMMYFUNCTION("""COMPUTED_VALUE"""),"OpenQty")</f>
        <v>OpenQty</v>
      </c>
      <c r="BV5" s="28" t="str">
        <f>IFERROR(__xludf.DUMMYFUNCTION("""COMPUTED_VALUE"""),"OpenTotalCommissionFees")</f>
        <v>OpenTotalCommissionFees</v>
      </c>
      <c r="BW5" s="28" t="str">
        <f>IFERROR(__xludf.DUMMYFUNCTION("""COMPUTED_VALUE"""),"OptionPremiumAdjustment")</f>
        <v>OptionPremiumAdjustment</v>
      </c>
      <c r="BX5" s="28" t="str">
        <f>IFERROR(__xludf.DUMMYFUNCTION("""COMPUTED_VALUE"""),"OrderSideTagValue")</f>
        <v>OrderSideTagValue</v>
      </c>
      <c r="BY5" s="28" t="str">
        <f>IFERROR(__xludf.DUMMYFUNCTION("""COMPUTED_VALUE"""),"orderType")</f>
        <v>orderType</v>
      </c>
      <c r="BZ5" s="28" t="str">
        <f>IFERROR(__xludf.DUMMYFUNCTION("""COMPUTED_VALUE"""),"OrfFee")</f>
        <v>OrfFee</v>
      </c>
      <c r="CA5" s="28" t="str">
        <f>IFERROR(__xludf.DUMMYFUNCTION("""COMPUTED_VALUE"""),"Original Side")</f>
        <v>Original Side</v>
      </c>
      <c r="CB5" s="28" t="str">
        <f>IFERROR(__xludf.DUMMYFUNCTION("""COMPUTED_VALUE"""),"OriginalPurchaseDate")</f>
        <v>OriginalPurchaseDate</v>
      </c>
      <c r="CC5" s="28" t="str">
        <f>IFERROR(__xludf.DUMMYFUNCTION("""COMPUTED_VALUE"""),"OSISymbol")</f>
        <v>OSISymbol</v>
      </c>
      <c r="CD5" s="28" t="str">
        <f>IFERROR(__xludf.DUMMYFUNCTION("""COMPUTED_VALUE"""),"OtherBrokerFees")</f>
        <v>OtherBrokerFees</v>
      </c>
      <c r="CE5" s="28" t="str">
        <f>IFERROR(__xludf.DUMMYFUNCTION("""COMPUTED_VALUE"""),"ParentRowPk")</f>
        <v>ParentRowPk</v>
      </c>
      <c r="CF5" s="28" t="str">
        <f>IFERROR(__xludf.DUMMYFUNCTION("""COMPUTED_VALUE"""),"Percentage")</f>
        <v>Percentage</v>
      </c>
      <c r="CG5" s="28" t="str">
        <f>IFERROR(__xludf.DUMMYFUNCTION("""COMPUTED_VALUE"""),"PositionTag")</f>
        <v>PositionTag</v>
      </c>
      <c r="CH5" s="28" t="str">
        <f>IFERROR(__xludf.DUMMYFUNCTION("""COMPUTED_VALUE"""),"PositionType")</f>
        <v>PositionType</v>
      </c>
      <c r="CI5" s="28" t="str">
        <f>IFERROR(__xludf.DUMMYFUNCTION("""COMPUTED_VALUE"""),"ProcessDate")</f>
        <v>ProcessDate</v>
      </c>
      <c r="CJ5" s="28" t="str">
        <f>IFERROR(__xludf.DUMMYFUNCTION("""COMPUTED_VALUE"""),"ProxySymbol")</f>
        <v>ProxySymbol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IFERROR(__xludf.DUMMYFUNCTION("""COMPUTED_VALUE"""),"SecurityTypeName")</f>
        <v>SecurityTypeName</v>
      </c>
      <c r="CN5" s="28" t="str">
        <f>IFERROR(__xludf.DUMMYFUNCTION("""COMPUTED_VALUE"""),"SedolSymbol")</f>
        <v>SedolSymbol</v>
      </c>
      <c r="CO5" s="28" t="str">
        <f>IFERROR(__xludf.DUMMYFUNCTION("""COMPUTED_VALUE"""),"SettlCurrAmt")</f>
        <v>SettlCurrAmt</v>
      </c>
      <c r="CP5" s="28" t="str">
        <f>IFERROR(__xludf.DUMMYFUNCTION("""COMPUTED_VALUE"""),"SettlCurrFxRate")</f>
        <v>SettlCurrFxRate</v>
      </c>
      <c r="CQ5" s="28" t="str">
        <f>IFERROR(__xludf.DUMMYFUNCTION("""COMPUTED_VALUE"""),"SettlCurrFxRateCalc")</f>
        <v>SettlCurrFxRateCalc</v>
      </c>
      <c r="CR5" s="28" t="str">
        <f>IFERROR(__xludf.DUMMYFUNCTION("""COMPUTED_VALUE"""),"SettlCurrUnitCost")</f>
        <v>SettlCurrUnitCost</v>
      </c>
      <c r="CS5" s="28" t="str">
        <f>IFERROR(__xludf.DUMMYFUNCTION("""COMPUTED_VALUE"""),"SettledQty")</f>
        <v>SettledQty</v>
      </c>
      <c r="CT5" s="28" t="str">
        <f>IFERROR(__xludf.DUMMYFUNCTION("""COMPUTED_VALUE"""),"Settlement Currency")</f>
        <v>Settlement Currency</v>
      </c>
      <c r="CU5" s="28" t="str">
        <f>IFERROR(__xludf.DUMMYFUNCTION("""COMPUTED_VALUE"""),"SettlementDate")</f>
        <v>SettlementDate</v>
      </c>
      <c r="CV5" s="28" t="str">
        <f>IFERROR(__xludf.DUMMYFUNCTION("""COMPUTED_VALUE"""),"SideMultiplier")</f>
        <v>SideMultiplier</v>
      </c>
      <c r="CW5" s="28" t="str">
        <f>IFERROR(__xludf.DUMMYFUNCTION("""COMPUTED_VALUE"""),"SoftCommission")</f>
        <v>SoftCommission</v>
      </c>
      <c r="CX5" s="28" t="str">
        <f>IFERROR(__xludf.DUMMYFUNCTION("""COMPUTED_VALUE"""),"SoftCommissionAmt")</f>
        <v>SoftCommissionAmt</v>
      </c>
      <c r="CY5" s="28" t="str">
        <f>IFERROR(__xludf.DUMMYFUNCTION("""COMPUTED_VALUE"""),"SoftCommissionCalcBasis")</f>
        <v>SoftCommissionCalcBasis</v>
      </c>
      <c r="CZ5" s="28" t="str">
        <f>IFERROR(__xludf.DUMMYFUNCTION("""COMPUTED_VALUE"""),"SoftCommissionRate")</f>
        <v>SoftCommissionRate</v>
      </c>
      <c r="DA5" s="28" t="str">
        <f>IFERROR(__xludf.DUMMYFUNCTION("""COMPUTED_VALUE"""),"StampDuty")</f>
        <v>StampDuty</v>
      </c>
      <c r="DB5" s="28" t="str">
        <f>IFERROR(__xludf.DUMMYFUNCTION("""COMPUTED_VALUE"""),"StrikePrice")</f>
        <v>StrikePrice</v>
      </c>
      <c r="DC5" s="28" t="str">
        <f>IFERROR(__xludf.DUMMYFUNCTION("""COMPUTED_VALUE"""),"SubSectorName")</f>
        <v>SubSectorName</v>
      </c>
      <c r="DD5" s="28" t="str">
        <f>IFERROR(__xludf.DUMMYFUNCTION("""COMPUTED_VALUE"""),"SwapParameters")</f>
        <v>SwapParameters</v>
      </c>
      <c r="DE5" s="28" t="str">
        <f>IFERROR(__xludf.DUMMYFUNCTION("""COMPUTED_VALUE"""),"Symbol")</f>
        <v>Symbol</v>
      </c>
      <c r="DF5" s="28" t="str">
        <f>IFERROR(__xludf.DUMMYFUNCTION("""COMPUTED_VALUE"""),"TaxlotClosingId")</f>
        <v>TaxlotClosingId</v>
      </c>
      <c r="DG5" s="28" t="str">
        <f>IFERROR(__xludf.DUMMYFUNCTION("""COMPUTED_VALUE"""),"TaxLotID")</f>
        <v>TaxLotID</v>
      </c>
      <c r="DH5" s="28" t="str">
        <f>IFERROR(__xludf.DUMMYFUNCTION("""COMPUTED_VALUE"""),"taxlotPk")</f>
        <v>taxlotPk</v>
      </c>
      <c r="DI5" s="28" t="str">
        <f>IFERROR(__xludf.DUMMYFUNCTION("""COMPUTED_VALUE"""),"TaxLotQtyToClose")</f>
        <v>TaxLotQtyToClose</v>
      </c>
      <c r="DJ5" s="28" t="str">
        <f>IFERROR(__xludf.DUMMYFUNCTION("""COMPUTED_VALUE"""),"TaxonCommissions")</f>
        <v>TaxonCommissions</v>
      </c>
      <c r="DK5" s="28" t="str">
        <f>IFERROR(__xludf.DUMMYFUNCTION("""COMPUTED_VALUE"""),"TimeOfSaveUTC")</f>
        <v>TimeOfSaveUTC</v>
      </c>
      <c r="DL5" s="28" t="str">
        <f>IFERROR(__xludf.DUMMYFUNCTION("""COMPUTED_VALUE"""),"TotalCommissionandFees")</f>
        <v>TotalCommissionandFees</v>
      </c>
      <c r="DM5" s="28" t="str">
        <f>IFERROR(__xludf.DUMMYFUNCTION("""COMPUTED_VALUE"""),"Tradedate")</f>
        <v>Tradedate</v>
      </c>
      <c r="DN5" s="28" t="str">
        <f>IFERROR(__xludf.DUMMYFUNCTION("""COMPUTED_VALUE"""),"TradeAttribute1")</f>
        <v>TradeAttribute1</v>
      </c>
      <c r="DO5" s="28" t="str">
        <f>IFERROR(__xludf.DUMMYFUNCTION("""COMPUTED_VALUE"""),"TradeAttribute2")</f>
        <v>TradeAttribute2</v>
      </c>
      <c r="DP5" s="28" t="str">
        <f>IFERROR(__xludf.DUMMYFUNCTION("""COMPUTED_VALUE"""),"TradeAttribute3")</f>
        <v>TradeAttribute3</v>
      </c>
      <c r="DQ5" s="28" t="str">
        <f>IFERROR(__xludf.DUMMYFUNCTION("""COMPUTED_VALUE"""),"TradeAttribute4")</f>
        <v>TradeAttribute4</v>
      </c>
      <c r="DR5" s="28" t="str">
        <f>IFERROR(__xludf.DUMMYFUNCTION("""COMPUTED_VALUE"""),"TradeAttribute5")</f>
        <v>TradeAttribute5</v>
      </c>
      <c r="DS5" s="28" t="str">
        <f>IFERROR(__xludf.DUMMYFUNCTION("""COMPUTED_VALUE"""),"TradeAttribute6")</f>
        <v>TradeAttribute6</v>
      </c>
      <c r="DT5" s="28" t="str">
        <f>IFERROR(__xludf.DUMMYFUNCTION("""COMPUTED_VALUE"""),"TradingAccountName")</f>
        <v>TradingAccountName</v>
      </c>
      <c r="DU5" s="28" t="str">
        <f>IFERROR(__xludf.DUMMYFUNCTION("""COMPUTED_VALUE"""),"TransactionLevy")</f>
        <v>TransactionLevy</v>
      </c>
      <c r="DV5" s="28" t="str">
        <f>IFERROR(__xludf.DUMMYFUNCTION("""COMPUTED_VALUE"""),"TransactionType")</f>
        <v>TransactionType</v>
      </c>
      <c r="DW5" s="28" t="str">
        <f>IFERROR(__xludf.DUMMYFUNCTION("""COMPUTED_VALUE"""),"UcitsEligibleTag")</f>
        <v>UcitsEligibleTag</v>
      </c>
      <c r="DX5" s="28" t="str">
        <f>IFERROR(__xludf.DUMMYFUNCTION("""COMPUTED_VALUE"""),"UDAAsset")</f>
        <v>UDAAsset</v>
      </c>
      <c r="DY5" s="28" t="str">
        <f>IFERROR(__xludf.DUMMYFUNCTION("""COMPUTED_VALUE"""),"UnderlyingDelta")</f>
        <v>UnderlyingDelta</v>
      </c>
      <c r="DZ5" s="28" t="str">
        <f>IFERROR(__xludf.DUMMYFUNCTION("""COMPUTED_VALUE"""),"UnderlyingName")</f>
        <v>UnderlyingName</v>
      </c>
      <c r="EA5" s="28" t="str">
        <f>IFERROR(__xludf.DUMMYFUNCTION("""COMPUTED_VALUE"""),"UnderlyingSymbol")</f>
        <v>UnderlyingSymbol</v>
      </c>
      <c r="EB5" s="28" t="str">
        <f>IFERROR(__xludf.DUMMYFUNCTION("""COMPUTED_VALUE"""),"UnitCost")</f>
        <v>UnitCost</v>
      </c>
      <c r="EC5" s="28" t="str">
        <f>IFERROR(__xludf.DUMMYFUNCTION("""COMPUTED_VALUE"""),"UnRealizedPNL")</f>
        <v>UnRealizedPNL</v>
      </c>
      <c r="ED5" s="28" t="str">
        <f>IFERROR(__xludf.DUMMYFUNCTION("""COMPUTED_VALUE"""),"Venue")</f>
        <v>Venue</v>
      </c>
      <c r="EE5" s="28" t="str">
        <f>IFERROR(__xludf.DUMMYFUNCTION("""COMPUTED_VALUE"""),"VsCurrencyID")</f>
        <v>VsCurrencyID</v>
      </c>
      <c r="EF5" s="28" t="str">
        <f>IFERROR(__xludf.DUMMYFUNCTION("""COMPUTED_VALUE"""),"WorkflowState")</f>
        <v>WorkflowState</v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5"/>
      <c r="D6" s="7"/>
      <c r="E6" s="30"/>
      <c r="F6" s="5"/>
      <c r="G6" s="5"/>
      <c r="H6" s="5"/>
      <c r="I6" s="5"/>
      <c r="J6" s="5"/>
      <c r="K6" s="5"/>
      <c r="L6" s="5"/>
      <c r="M6" s="5"/>
      <c r="N6" s="5"/>
      <c r="O6" s="29">
        <v>43494.0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CashSettlementAtClosingDtSpotPx!$4:$4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23</v>
      </c>
      <c r="D3" s="6" t="s">
        <v>9</v>
      </c>
      <c r="E3" s="21" t="s">
        <v>33</v>
      </c>
      <c r="F3" s="6" t="s">
        <v>14</v>
      </c>
      <c r="G3" s="10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IFERROR(__xludf.DUMMYFUNCTION("""COMPUTED_VALUE"""),"Column1")</f>
        <v>Column1</v>
      </c>
      <c r="O5" s="26" t="str">
        <f>IFERROR(__xludf.DUMMYFUNCTION("""COMPUTED_VALUE"""),"CostBasisGrossPNL")</f>
        <v>CostBasisGrossPNL</v>
      </c>
      <c r="P5" s="26" t="str">
        <f>IFERROR(__xludf.DUMMYFUNCTION("""COMPUTED_VALUE"""),"Currency")</f>
        <v>Currency</v>
      </c>
      <c r="Q5" s="26" t="str">
        <f>IFERROR(__xludf.DUMMYFUNCTION("""COMPUTED_VALUE"""),"CurrencyID")</f>
        <v>CurrencyID</v>
      </c>
      <c r="R5" s="26" t="str">
        <f>IFERROR(__xludf.DUMMYFUNCTION("""COMPUTED_VALUE"""),"Exchange")</f>
        <v>Exchange</v>
      </c>
      <c r="S5" s="26" t="str">
        <f>IFERROR(__xludf.DUMMYFUNCTION("""COMPUTED_VALUE"""),"NotionalChange")</f>
        <v>NotionalChange</v>
      </c>
      <c r="T5" s="28" t="str">
        <f>IFERROR(__xludf.DUMMYFUNCTION("""COMPUTED_VALUE"""),"OpenAveragePrice")</f>
        <v>OpenAveragePrice</v>
      </c>
      <c r="U5" s="28" t="str">
        <f>IFERROR(__xludf.DUMMYFUNCTION("""COMPUTED_VALUE"""),"Original Purchase Date")</f>
        <v>Original Purchase Date</v>
      </c>
      <c r="V5" s="28" t="str">
        <f>IFERROR(__xludf.DUMMYFUNCTION("""COMPUTED_VALUE"""),"Position Type")</f>
        <v>Position Type</v>
      </c>
      <c r="W5" s="28" t="str">
        <f>IFERROR(__xludf.DUMMYFUNCTION("""COMPUTED_VALUE"""),"PositionSide")</f>
        <v>PositionSide</v>
      </c>
      <c r="X5" s="28" t="str">
        <f>IFERROR(__xludf.DUMMYFUNCTION("""COMPUTED_VALUE"""),"PositionTotalCommissionandFees")</f>
        <v>PositionTotalCommissionandFees</v>
      </c>
      <c r="Y5" s="28" t="str">
        <f>IFERROR(__xludf.DUMMYFUNCTION("""COMPUTED_VALUE"""),"Realized PNL(C.B.)")</f>
        <v>Realized PNL(C.B.)</v>
      </c>
      <c r="Z5" s="28" t="str">
        <f>IFERROR(__xludf.DUMMYFUNCTION("""COMPUTED_VALUE"""),"Side")</f>
        <v>Side</v>
      </c>
      <c r="AA5" s="28" t="str">
        <f>IFERROR(__xludf.DUMMYFUNCTION("""COMPUTED_VALUE"""),"Strategy")</f>
        <v>Strategy</v>
      </c>
      <c r="AB5" s="28" t="str">
        <f>IFERROR(__xludf.DUMMYFUNCTION("""COMPUTED_VALUE"""),"Symbol")</f>
        <v>Symbol</v>
      </c>
      <c r="AC5" s="28" t="str">
        <f>IFERROR(__xludf.DUMMYFUNCTION("""COMPUTED_VALUE"""),"Taxlot ID")</f>
        <v>Taxlot ID</v>
      </c>
      <c r="AD5" s="28" t="str">
        <f>IFERROR(__xludf.DUMMYFUNCTION("""COMPUTED_VALUE"""),"UnderlyingName")</f>
        <v>UnderlyingName</v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 t="s">
        <v>20</v>
      </c>
      <c r="C6" s="7" t="s">
        <v>30</v>
      </c>
      <c r="D6" s="7"/>
      <c r="E6" s="29">
        <v>43494.0</v>
      </c>
      <c r="F6" s="5"/>
      <c r="G6" s="7">
        <v>4027203.5</v>
      </c>
      <c r="H6" s="5"/>
      <c r="I6" s="5"/>
      <c r="J6" s="5"/>
      <c r="K6" s="5"/>
      <c r="L6" s="5"/>
      <c r="M6" s="5"/>
      <c r="N6" s="5"/>
      <c r="O6" s="5"/>
      <c r="Y6" s="32">
        <v>5567.0989</v>
      </c>
      <c r="Z6" s="32" t="s">
        <v>19</v>
      </c>
      <c r="AB6" s="32" t="s">
        <v>18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31</v>
      </c>
      <c r="D3" s="6" t="s">
        <v>9</v>
      </c>
      <c r="E3" s="21" t="s">
        <v>32</v>
      </c>
      <c r="F3" s="6" t="s">
        <v>14</v>
      </c>
      <c r="G3" s="10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 t="s">
        <v>27</v>
      </c>
      <c r="C6" s="29">
        <v>43490.0</v>
      </c>
      <c r="D6" s="29">
        <v>43494.0</v>
      </c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5" width="14.43"/>
    <col customWidth="1" min="46" max="46" width="19.29"/>
    <col customWidth="1" min="47" max="47" width="28.0"/>
    <col customWidth="1" min="48" max="56" width="14.43"/>
    <col customWidth="1" min="57" max="57" width="20.43"/>
    <col customWidth="1" min="58" max="58" width="20.57"/>
    <col customWidth="1" min="59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31</v>
      </c>
      <c r="D3" s="6" t="s">
        <v>9</v>
      </c>
      <c r="E3" s="21" t="s">
        <v>36</v>
      </c>
      <c r="F3" s="6" t="s">
        <v>14</v>
      </c>
      <c r="G3" s="10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 t="s">
        <v>20</v>
      </c>
      <c r="C6" s="5"/>
      <c r="D6" s="7"/>
      <c r="E6" s="7">
        <v>4027203.5</v>
      </c>
      <c r="F6" s="5"/>
      <c r="G6" s="7" t="s">
        <v>30</v>
      </c>
      <c r="H6" s="5"/>
      <c r="I6" s="5"/>
      <c r="J6" s="5"/>
      <c r="K6" s="7">
        <v>1.1402</v>
      </c>
      <c r="L6" s="33">
        <v>1.1402</v>
      </c>
      <c r="M6" s="5"/>
      <c r="N6" s="5"/>
      <c r="O6" s="5"/>
      <c r="AI6" s="32">
        <v>1.1402</v>
      </c>
      <c r="AT6" s="32">
        <v>4027203.5</v>
      </c>
      <c r="AU6" s="32">
        <v>3532014.99736888</v>
      </c>
      <c r="BE6" s="32">
        <v>4027203.5</v>
      </c>
      <c r="BF6" s="34">
        <v>3532014.99736888</v>
      </c>
      <c r="BJ6" s="32">
        <v>4027203.5</v>
      </c>
      <c r="BO6" s="32" t="s">
        <v>19</v>
      </c>
      <c r="BT6" s="32" t="s">
        <v>18</v>
      </c>
    </row>
    <row r="7" ht="15.75" customHeight="1">
      <c r="A7" s="5"/>
      <c r="B7" s="35" t="s">
        <v>20</v>
      </c>
      <c r="C7" s="5"/>
      <c r="D7" s="5"/>
      <c r="E7" s="36">
        <v>4027203.5</v>
      </c>
      <c r="F7" s="5"/>
      <c r="G7" s="7" t="s">
        <v>30</v>
      </c>
      <c r="H7" s="5"/>
      <c r="I7" s="5"/>
      <c r="J7" s="5"/>
      <c r="K7" s="33">
        <v>1.1402</v>
      </c>
      <c r="L7" s="33">
        <v>1.1402</v>
      </c>
      <c r="M7" s="5"/>
      <c r="N7" s="5"/>
      <c r="O7" s="5"/>
      <c r="AI7" s="32">
        <v>1.142</v>
      </c>
      <c r="AT7" s="37">
        <v>4027203.5</v>
      </c>
      <c r="AU7" s="32">
        <v>3532014.99736888</v>
      </c>
      <c r="BE7" s="32">
        <v>4027203.5</v>
      </c>
      <c r="BF7" s="34">
        <v>3532014.99736888</v>
      </c>
      <c r="BJ7" s="32">
        <v>4027203.5</v>
      </c>
      <c r="BO7" s="32" t="s">
        <v>38</v>
      </c>
      <c r="BT7" s="32" t="s">
        <v>18</v>
      </c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34</v>
      </c>
      <c r="D3" s="6" t="s">
        <v>9</v>
      </c>
      <c r="E3" s="21" t="s">
        <v>35</v>
      </c>
      <c r="F3" s="6" t="s">
        <v>14</v>
      </c>
      <c r="G3" s="10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 t="s">
        <v>37</v>
      </c>
      <c r="C6" s="7" t="s">
        <v>20</v>
      </c>
      <c r="D6" s="29">
        <v>43490.0</v>
      </c>
      <c r="E6" s="29">
        <v>43496.0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9.71"/>
    <col customWidth="1" min="18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34</v>
      </c>
      <c r="D3" s="6" t="s">
        <v>9</v>
      </c>
      <c r="E3" s="21" t="s">
        <v>39</v>
      </c>
      <c r="F3" s="6" t="s">
        <v>14</v>
      </c>
      <c r="G3" s="10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29">
        <v>43490.0</v>
      </c>
      <c r="C6" s="5"/>
      <c r="D6" s="7"/>
      <c r="E6" s="7">
        <v>3532015.0</v>
      </c>
      <c r="F6" s="5"/>
      <c r="G6" s="7">
        <v>1.1402</v>
      </c>
      <c r="H6" s="5"/>
      <c r="I6" s="7" t="s">
        <v>41</v>
      </c>
      <c r="J6" s="5"/>
      <c r="K6" s="7" t="s">
        <v>25</v>
      </c>
      <c r="L6" s="5"/>
      <c r="M6" s="7" t="s">
        <v>18</v>
      </c>
      <c r="N6" s="5"/>
      <c r="O6" s="7">
        <v>4027203.5</v>
      </c>
      <c r="Q6" s="32" t="s">
        <v>42</v>
      </c>
      <c r="R6" s="32" t="s">
        <v>20</v>
      </c>
    </row>
    <row r="7" ht="15.75" customHeight="1">
      <c r="A7" s="5"/>
      <c r="B7" s="29">
        <v>43490.0</v>
      </c>
      <c r="C7" s="5"/>
      <c r="D7" s="5"/>
      <c r="E7" s="5"/>
      <c r="F7" s="7">
        <v>4027203.5</v>
      </c>
      <c r="G7" s="7">
        <v>1.0</v>
      </c>
      <c r="H7" s="5"/>
      <c r="I7" s="7" t="s">
        <v>43</v>
      </c>
      <c r="J7" s="5"/>
      <c r="K7" s="7" t="s">
        <v>21</v>
      </c>
      <c r="L7" s="5"/>
      <c r="M7" s="7" t="s">
        <v>18</v>
      </c>
      <c r="N7" s="5"/>
      <c r="O7" s="5"/>
      <c r="P7" s="32">
        <v>4027203.5</v>
      </c>
      <c r="Q7" s="32" t="s">
        <v>44</v>
      </c>
      <c r="R7" s="32" t="s">
        <v>20</v>
      </c>
    </row>
    <row r="8" ht="15.75" customHeight="1">
      <c r="A8" s="5"/>
      <c r="B8" s="29">
        <v>43494.0</v>
      </c>
      <c r="C8" s="5"/>
      <c r="D8" s="5"/>
      <c r="E8" s="7">
        <v>4027203.5</v>
      </c>
      <c r="F8" s="5"/>
      <c r="G8" s="7">
        <v>1.0</v>
      </c>
      <c r="H8" s="5"/>
      <c r="I8" s="7" t="s">
        <v>41</v>
      </c>
      <c r="J8" s="5"/>
      <c r="K8" s="7" t="s">
        <v>21</v>
      </c>
      <c r="L8" s="5"/>
      <c r="M8" s="7" t="s">
        <v>18</v>
      </c>
      <c r="N8" s="5"/>
      <c r="O8" s="7">
        <v>4027203.5</v>
      </c>
      <c r="Q8" s="32" t="s">
        <v>44</v>
      </c>
      <c r="R8" s="32" t="s">
        <v>20</v>
      </c>
    </row>
    <row r="9" ht="15.75" customHeight="1">
      <c r="A9" s="5"/>
      <c r="B9" s="29">
        <v>43494.0</v>
      </c>
      <c r="C9" s="5"/>
      <c r="D9" s="5"/>
      <c r="E9" s="5"/>
      <c r="F9" s="7">
        <v>3532015.0</v>
      </c>
      <c r="G9" s="7">
        <v>1.1402</v>
      </c>
      <c r="H9" s="5"/>
      <c r="I9" s="7" t="s">
        <v>43</v>
      </c>
      <c r="J9" s="5"/>
      <c r="K9" s="7" t="s">
        <v>25</v>
      </c>
      <c r="L9" s="5"/>
      <c r="M9" s="7" t="s">
        <v>18</v>
      </c>
      <c r="N9" s="5"/>
      <c r="O9" s="5"/>
      <c r="P9" s="32">
        <v>4027203.5</v>
      </c>
      <c r="Q9" s="32" t="s">
        <v>42</v>
      </c>
      <c r="R9" s="32" t="s">
        <v>20</v>
      </c>
    </row>
    <row r="10" ht="15.75" customHeight="1">
      <c r="A10" s="5"/>
      <c r="B10" s="29">
        <v>43494.0</v>
      </c>
      <c r="C10" s="5"/>
      <c r="D10" s="5"/>
      <c r="E10" s="7">
        <v>3532015.0</v>
      </c>
      <c r="F10" s="5"/>
      <c r="G10" s="7">
        <v>1.142</v>
      </c>
      <c r="H10" s="5"/>
      <c r="I10" s="7" t="s">
        <v>41</v>
      </c>
      <c r="J10" s="5"/>
      <c r="K10" s="7" t="s">
        <v>25</v>
      </c>
      <c r="L10" s="5"/>
      <c r="M10" s="7" t="s">
        <v>18</v>
      </c>
      <c r="N10" s="5"/>
      <c r="O10" s="7">
        <v>4033561.13</v>
      </c>
      <c r="Q10" s="32" t="s">
        <v>45</v>
      </c>
      <c r="R10" s="32" t="s">
        <v>20</v>
      </c>
    </row>
    <row r="11" ht="15.75" customHeight="1">
      <c r="A11" s="5"/>
      <c r="B11" s="29">
        <v>43494.0</v>
      </c>
      <c r="C11" s="5"/>
      <c r="D11" s="5"/>
      <c r="E11" s="5"/>
      <c r="F11" s="7">
        <v>4027203.5</v>
      </c>
      <c r="G11" s="7">
        <v>1.0</v>
      </c>
      <c r="H11" s="5"/>
      <c r="I11" s="7" t="s">
        <v>43</v>
      </c>
      <c r="J11" s="5"/>
      <c r="K11" s="7" t="s">
        <v>21</v>
      </c>
      <c r="L11" s="5"/>
      <c r="M11" s="7" t="s">
        <v>18</v>
      </c>
      <c r="N11" s="5"/>
      <c r="O11" s="5"/>
      <c r="P11" s="32">
        <v>4027203.5</v>
      </c>
      <c r="Q11" s="32" t="s">
        <v>45</v>
      </c>
      <c r="R11" s="32" t="s">
        <v>20</v>
      </c>
    </row>
    <row r="12" ht="15.75" customHeight="1">
      <c r="A12" s="5"/>
      <c r="B12" s="29">
        <v>43494.0</v>
      </c>
      <c r="C12" s="5"/>
      <c r="D12" s="5"/>
      <c r="E12" s="5"/>
      <c r="F12" s="7">
        <v>5567.1</v>
      </c>
      <c r="G12" s="7">
        <v>1.142</v>
      </c>
      <c r="H12" s="5"/>
      <c r="I12" s="7" t="s">
        <v>43</v>
      </c>
      <c r="J12" s="5"/>
      <c r="K12" s="7" t="s">
        <v>25</v>
      </c>
      <c r="L12" s="5"/>
      <c r="M12" s="7" t="s">
        <v>18</v>
      </c>
      <c r="N12" s="5"/>
      <c r="O12" s="5"/>
      <c r="P12" s="32">
        <v>6357.63</v>
      </c>
      <c r="Q12" s="32" t="s">
        <v>46</v>
      </c>
      <c r="R12" s="32" t="s">
        <v>20</v>
      </c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34</v>
      </c>
      <c r="D3" s="6" t="s">
        <v>9</v>
      </c>
      <c r="E3" s="21" t="s">
        <v>40</v>
      </c>
      <c r="F3" s="6" t="s">
        <v>14</v>
      </c>
      <c r="G3" s="10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 t="s">
        <v>37</v>
      </c>
      <c r="C6" s="7" t="s">
        <v>20</v>
      </c>
      <c r="D6" s="29">
        <v>43496.0</v>
      </c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RunRevaluation!$4:$4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40.71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34</v>
      </c>
      <c r="D3" s="6" t="s">
        <v>9</v>
      </c>
      <c r="E3" s="21" t="s">
        <v>47</v>
      </c>
      <c r="F3" s="6" t="s">
        <v>14</v>
      </c>
      <c r="G3" s="10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29">
        <v>43490.0</v>
      </c>
      <c r="C6" s="7" t="s">
        <v>20</v>
      </c>
      <c r="D6" s="7" t="s">
        <v>18</v>
      </c>
      <c r="E6" s="7" t="s">
        <v>25</v>
      </c>
      <c r="F6" s="7" t="s">
        <v>48</v>
      </c>
      <c r="G6" s="7">
        <v>2476.44</v>
      </c>
      <c r="H6" s="5"/>
      <c r="I6" s="5"/>
      <c r="J6" s="5"/>
      <c r="K6" s="5"/>
      <c r="L6" s="7">
        <v>1.141</v>
      </c>
      <c r="M6" s="5"/>
      <c r="N6" s="7" t="s">
        <v>41</v>
      </c>
      <c r="O6" s="7" t="s">
        <v>49</v>
      </c>
      <c r="R6" s="32">
        <v>2825.62</v>
      </c>
    </row>
    <row r="7" ht="15.75" customHeight="1">
      <c r="A7" s="5"/>
      <c r="B7" s="29">
        <v>43490.0</v>
      </c>
      <c r="C7" s="35" t="s">
        <v>20</v>
      </c>
      <c r="D7" s="7" t="s">
        <v>18</v>
      </c>
      <c r="E7" s="7" t="s">
        <v>25</v>
      </c>
      <c r="F7" s="7" t="s">
        <v>50</v>
      </c>
      <c r="G7" s="5"/>
      <c r="H7" s="34">
        <v>2476.44</v>
      </c>
      <c r="I7" s="5"/>
      <c r="J7" s="5"/>
      <c r="K7" s="5"/>
      <c r="L7" s="7">
        <v>1.141</v>
      </c>
      <c r="M7" s="5"/>
      <c r="N7" s="7" t="s">
        <v>43</v>
      </c>
      <c r="O7" s="7" t="s">
        <v>49</v>
      </c>
      <c r="S7" s="32">
        <v>2825.62</v>
      </c>
    </row>
    <row r="8" ht="15.75" customHeight="1">
      <c r="A8" s="5"/>
      <c r="B8" s="29">
        <v>43491.0</v>
      </c>
      <c r="C8" s="7" t="s">
        <v>20</v>
      </c>
      <c r="D8" s="7" t="s">
        <v>18</v>
      </c>
      <c r="E8" s="7" t="s">
        <v>25</v>
      </c>
      <c r="F8" s="7" t="s">
        <v>50</v>
      </c>
      <c r="G8" s="34">
        <v>2476.44</v>
      </c>
      <c r="H8" s="5"/>
      <c r="I8" s="5"/>
      <c r="J8" s="5"/>
      <c r="K8" s="5"/>
      <c r="L8" s="7">
        <v>1.141</v>
      </c>
      <c r="M8" s="5"/>
      <c r="N8" s="7" t="s">
        <v>41</v>
      </c>
      <c r="O8" s="7" t="s">
        <v>49</v>
      </c>
      <c r="R8" s="32">
        <v>2825.62</v>
      </c>
    </row>
    <row r="9" ht="15.75" customHeight="1">
      <c r="A9" s="5"/>
      <c r="B9" s="29">
        <v>43491.0</v>
      </c>
      <c r="C9" s="35" t="s">
        <v>20</v>
      </c>
      <c r="D9" s="7" t="s">
        <v>18</v>
      </c>
      <c r="E9" s="7" t="s">
        <v>25</v>
      </c>
      <c r="F9" s="7" t="s">
        <v>48</v>
      </c>
      <c r="G9" s="5"/>
      <c r="H9" s="34">
        <v>2476.44</v>
      </c>
      <c r="I9" s="5"/>
      <c r="J9" s="5"/>
      <c r="K9" s="5"/>
      <c r="L9" s="36">
        <v>1.141</v>
      </c>
      <c r="M9" s="5"/>
      <c r="N9" s="7" t="s">
        <v>43</v>
      </c>
      <c r="O9" s="7" t="s">
        <v>49</v>
      </c>
      <c r="S9" s="32">
        <v>2825.62</v>
      </c>
    </row>
    <row r="10" ht="15.75" customHeight="1">
      <c r="A10" s="5"/>
      <c r="B10" s="29">
        <v>43491.0</v>
      </c>
      <c r="C10" s="35" t="s">
        <v>20</v>
      </c>
      <c r="D10" s="7" t="s">
        <v>18</v>
      </c>
      <c r="E10" s="7" t="s">
        <v>25</v>
      </c>
      <c r="F10" s="7" t="s">
        <v>48</v>
      </c>
      <c r="G10" s="34">
        <v>2476.44</v>
      </c>
      <c r="H10" s="5"/>
      <c r="I10" s="5"/>
      <c r="J10" s="5"/>
      <c r="K10" s="5"/>
      <c r="L10" s="36">
        <v>1.141</v>
      </c>
      <c r="M10" s="5"/>
      <c r="N10" s="7" t="s">
        <v>41</v>
      </c>
      <c r="O10" s="7" t="s">
        <v>49</v>
      </c>
      <c r="R10" s="32">
        <v>2825.62</v>
      </c>
    </row>
    <row r="11" ht="15.75" customHeight="1">
      <c r="A11" s="5"/>
      <c r="B11" s="29">
        <v>43491.0</v>
      </c>
      <c r="C11" s="35" t="s">
        <v>20</v>
      </c>
      <c r="D11" s="7" t="s">
        <v>18</v>
      </c>
      <c r="E11" s="7" t="s">
        <v>25</v>
      </c>
      <c r="F11" s="7" t="s">
        <v>50</v>
      </c>
      <c r="G11" s="5"/>
      <c r="H11" s="34">
        <v>2476.44</v>
      </c>
      <c r="I11" s="5"/>
      <c r="J11" s="5"/>
      <c r="K11" s="5"/>
      <c r="L11" s="36">
        <v>1.141</v>
      </c>
      <c r="M11" s="5"/>
      <c r="N11" s="7" t="s">
        <v>43</v>
      </c>
      <c r="O11" s="7" t="s">
        <v>49</v>
      </c>
      <c r="S11" s="32">
        <v>2825.62</v>
      </c>
    </row>
    <row r="12" ht="15.75" customHeight="1">
      <c r="A12" s="5"/>
      <c r="B12" s="29">
        <v>43492.0</v>
      </c>
      <c r="C12" s="35" t="s">
        <v>20</v>
      </c>
      <c r="D12" s="7" t="s">
        <v>18</v>
      </c>
      <c r="E12" s="7" t="s">
        <v>25</v>
      </c>
      <c r="F12" s="7" t="s">
        <v>50</v>
      </c>
      <c r="G12" s="34">
        <v>2476.44</v>
      </c>
      <c r="H12" s="5"/>
      <c r="I12" s="5"/>
      <c r="J12" s="5"/>
      <c r="K12" s="5"/>
      <c r="L12" s="7">
        <v>1.141</v>
      </c>
      <c r="M12" s="5"/>
      <c r="N12" s="7" t="s">
        <v>41</v>
      </c>
      <c r="O12" s="7" t="s">
        <v>49</v>
      </c>
      <c r="R12" s="32">
        <v>2825.62</v>
      </c>
    </row>
    <row r="13" ht="15.75" customHeight="1">
      <c r="A13" s="5"/>
      <c r="B13" s="29">
        <v>43492.0</v>
      </c>
      <c r="C13" s="35" t="s">
        <v>20</v>
      </c>
      <c r="D13" s="7" t="s">
        <v>18</v>
      </c>
      <c r="E13" s="7" t="s">
        <v>25</v>
      </c>
      <c r="F13" s="7" t="s">
        <v>48</v>
      </c>
      <c r="G13" s="5"/>
      <c r="H13" s="34">
        <v>2476.44</v>
      </c>
      <c r="I13" s="5"/>
      <c r="J13" s="5"/>
      <c r="K13" s="5"/>
      <c r="L13" s="7">
        <v>1.141</v>
      </c>
      <c r="M13" s="5"/>
      <c r="N13" s="7" t="s">
        <v>43</v>
      </c>
      <c r="O13" s="7" t="s">
        <v>49</v>
      </c>
      <c r="S13" s="32">
        <v>2825.62</v>
      </c>
    </row>
    <row r="14" ht="15.75" customHeight="1">
      <c r="A14" s="5"/>
      <c r="B14" s="29">
        <v>43492.0</v>
      </c>
      <c r="C14" s="35" t="s">
        <v>20</v>
      </c>
      <c r="D14" s="7" t="s">
        <v>18</v>
      </c>
      <c r="E14" s="7" t="s">
        <v>25</v>
      </c>
      <c r="F14" s="7" t="s">
        <v>48</v>
      </c>
      <c r="G14" s="34">
        <v>2476.44</v>
      </c>
      <c r="H14" s="5"/>
      <c r="I14" s="5"/>
      <c r="J14" s="5"/>
      <c r="K14" s="5"/>
      <c r="L14" s="7">
        <v>1.141</v>
      </c>
      <c r="M14" s="5"/>
      <c r="N14" s="7" t="s">
        <v>41</v>
      </c>
      <c r="O14" s="7" t="s">
        <v>49</v>
      </c>
      <c r="R14" s="32">
        <v>2825.62</v>
      </c>
    </row>
    <row r="15" ht="15.75" customHeight="1">
      <c r="A15" s="5"/>
      <c r="B15" s="29">
        <v>43492.0</v>
      </c>
      <c r="C15" s="35" t="s">
        <v>20</v>
      </c>
      <c r="D15" s="7" t="s">
        <v>18</v>
      </c>
      <c r="E15" s="7" t="s">
        <v>25</v>
      </c>
      <c r="F15" s="7" t="s">
        <v>50</v>
      </c>
      <c r="G15" s="5"/>
      <c r="H15" s="34">
        <v>2476.44</v>
      </c>
      <c r="I15" s="5"/>
      <c r="J15" s="5"/>
      <c r="K15" s="5"/>
      <c r="L15" s="7">
        <v>1.141</v>
      </c>
      <c r="M15" s="5"/>
      <c r="N15" s="7" t="s">
        <v>43</v>
      </c>
      <c r="O15" s="7" t="s">
        <v>49</v>
      </c>
      <c r="S15" s="32">
        <v>2825.62</v>
      </c>
    </row>
    <row r="16" ht="15.75" customHeight="1">
      <c r="A16" s="5"/>
      <c r="B16" s="29">
        <v>43493.0</v>
      </c>
      <c r="C16" s="35" t="s">
        <v>20</v>
      </c>
      <c r="D16" s="7" t="s">
        <v>18</v>
      </c>
      <c r="E16" s="7" t="s">
        <v>25</v>
      </c>
      <c r="F16" s="7" t="s">
        <v>50</v>
      </c>
      <c r="G16" s="34">
        <v>2476.44</v>
      </c>
      <c r="H16" s="5"/>
      <c r="I16" s="5"/>
      <c r="J16" s="5"/>
      <c r="K16" s="5"/>
      <c r="L16" s="7">
        <v>1.141</v>
      </c>
      <c r="M16" s="5"/>
      <c r="N16" s="7" t="s">
        <v>41</v>
      </c>
      <c r="O16" s="7" t="s">
        <v>49</v>
      </c>
      <c r="R16" s="32">
        <v>2825.62</v>
      </c>
    </row>
    <row r="17" ht="15.75" customHeight="1">
      <c r="A17" s="5"/>
      <c r="B17" s="29">
        <v>43493.0</v>
      </c>
      <c r="C17" s="35" t="s">
        <v>20</v>
      </c>
      <c r="D17" s="7" t="s">
        <v>18</v>
      </c>
      <c r="E17" s="7" t="s">
        <v>25</v>
      </c>
      <c r="F17" s="7" t="s">
        <v>48</v>
      </c>
      <c r="G17" s="5"/>
      <c r="H17" s="34">
        <v>2476.44</v>
      </c>
      <c r="I17" s="5"/>
      <c r="J17" s="5"/>
      <c r="K17" s="5"/>
      <c r="L17" s="7">
        <v>1.141</v>
      </c>
      <c r="M17" s="5"/>
      <c r="N17" s="7" t="s">
        <v>43</v>
      </c>
      <c r="O17" s="7" t="s">
        <v>49</v>
      </c>
      <c r="S17" s="32">
        <v>2825.62</v>
      </c>
    </row>
    <row r="18" ht="15.75" customHeight="1">
      <c r="A18" s="5"/>
      <c r="B18" s="29">
        <v>43493.0</v>
      </c>
      <c r="C18" s="35" t="s">
        <v>20</v>
      </c>
      <c r="D18" s="7" t="s">
        <v>18</v>
      </c>
      <c r="E18" s="7" t="s">
        <v>25</v>
      </c>
      <c r="F18" s="7" t="s">
        <v>48</v>
      </c>
      <c r="G18" s="7">
        <v>5567.1</v>
      </c>
      <c r="H18" s="5"/>
      <c r="I18" s="5"/>
      <c r="J18" s="5"/>
      <c r="K18" s="5"/>
      <c r="L18" s="7">
        <v>1.142</v>
      </c>
      <c r="M18" s="5"/>
      <c r="N18" s="7" t="s">
        <v>41</v>
      </c>
      <c r="O18" s="7" t="s">
        <v>49</v>
      </c>
      <c r="R18" s="32">
        <v>6357.63</v>
      </c>
    </row>
    <row r="19" ht="15.75" customHeight="1">
      <c r="A19" s="5"/>
      <c r="B19" s="29">
        <v>43493.0</v>
      </c>
      <c r="C19" s="35" t="s">
        <v>20</v>
      </c>
      <c r="D19" s="7" t="s">
        <v>18</v>
      </c>
      <c r="E19" s="7" t="s">
        <v>25</v>
      </c>
      <c r="F19" s="7" t="s">
        <v>50</v>
      </c>
      <c r="G19" s="5"/>
      <c r="H19" s="7">
        <v>5567.1</v>
      </c>
      <c r="I19" s="5"/>
      <c r="J19" s="5"/>
      <c r="K19" s="5"/>
      <c r="L19" s="7">
        <v>1.142</v>
      </c>
      <c r="M19" s="5"/>
      <c r="N19" s="7" t="s">
        <v>43</v>
      </c>
      <c r="O19" s="7" t="s">
        <v>49</v>
      </c>
      <c r="S19" s="32">
        <v>6357.63</v>
      </c>
    </row>
    <row r="20" ht="15.75" customHeight="1">
      <c r="A20" s="5"/>
      <c r="B20" s="29">
        <v>43494.0</v>
      </c>
      <c r="C20" s="35" t="s">
        <v>20</v>
      </c>
      <c r="D20" s="7" t="s">
        <v>51</v>
      </c>
      <c r="E20" s="7" t="s">
        <v>25</v>
      </c>
      <c r="F20" s="34" t="s">
        <v>52</v>
      </c>
      <c r="G20" s="7">
        <v>3532015.0</v>
      </c>
      <c r="H20" s="5"/>
      <c r="I20" s="5"/>
      <c r="J20" s="5"/>
      <c r="K20" s="5"/>
      <c r="L20" s="7">
        <v>1.142</v>
      </c>
      <c r="M20" s="5"/>
      <c r="N20" s="7" t="s">
        <v>41</v>
      </c>
      <c r="O20" s="7" t="s">
        <v>49</v>
      </c>
      <c r="R20" s="32">
        <v>4033561.13</v>
      </c>
    </row>
    <row r="21" ht="15.75" customHeight="1">
      <c r="A21" s="5"/>
      <c r="B21" s="29">
        <v>43494.0</v>
      </c>
      <c r="C21" s="35" t="s">
        <v>20</v>
      </c>
      <c r="D21" s="7" t="s">
        <v>25</v>
      </c>
      <c r="E21" s="7" t="s">
        <v>25</v>
      </c>
      <c r="F21" s="7" t="s">
        <v>45</v>
      </c>
      <c r="G21" s="5"/>
      <c r="H21" s="7">
        <v>3532015.0</v>
      </c>
      <c r="I21" s="5"/>
      <c r="J21" s="5"/>
      <c r="K21" s="5"/>
      <c r="L21" s="7">
        <v>1.142</v>
      </c>
      <c r="M21" s="5"/>
      <c r="N21" s="7" t="s">
        <v>43</v>
      </c>
      <c r="O21" s="7" t="s">
        <v>49</v>
      </c>
      <c r="S21" s="32">
        <v>4033561.13</v>
      </c>
    </row>
    <row r="22" ht="15.75" customHeight="1">
      <c r="A22" s="5"/>
      <c r="B22" s="29">
        <v>43494.0</v>
      </c>
      <c r="C22" s="35" t="s">
        <v>20</v>
      </c>
      <c r="D22" s="7" t="s">
        <v>25</v>
      </c>
      <c r="E22" s="7" t="s">
        <v>25</v>
      </c>
      <c r="F22" s="7" t="s">
        <v>45</v>
      </c>
      <c r="G22" s="7">
        <v>3532015.0</v>
      </c>
      <c r="H22" s="5"/>
      <c r="I22" s="5"/>
      <c r="J22" s="5"/>
      <c r="K22" s="5"/>
      <c r="L22" s="7">
        <v>1.14299</v>
      </c>
      <c r="M22" s="5"/>
      <c r="N22" s="7" t="s">
        <v>41</v>
      </c>
      <c r="O22" s="7" t="s">
        <v>49</v>
      </c>
      <c r="R22" s="32">
        <v>4037057.82</v>
      </c>
    </row>
    <row r="23" ht="15.75" customHeight="1">
      <c r="A23" s="5"/>
      <c r="B23" s="29">
        <v>43494.0</v>
      </c>
      <c r="C23" s="35" t="s">
        <v>20</v>
      </c>
      <c r="D23" s="7" t="s">
        <v>25</v>
      </c>
      <c r="E23" s="7" t="s">
        <v>25</v>
      </c>
      <c r="F23" s="34" t="s">
        <v>52</v>
      </c>
      <c r="G23" s="5"/>
      <c r="H23" s="7">
        <v>3532015.0</v>
      </c>
      <c r="I23" s="5"/>
      <c r="J23" s="5"/>
      <c r="K23" s="5"/>
      <c r="L23" s="7">
        <v>1.14299</v>
      </c>
      <c r="M23" s="5"/>
      <c r="N23" s="7" t="s">
        <v>43</v>
      </c>
      <c r="O23" s="7" t="s">
        <v>49</v>
      </c>
      <c r="S23" s="32">
        <v>4037057.82</v>
      </c>
    </row>
    <row r="24" ht="15.75" customHeight="1">
      <c r="A24" s="5"/>
      <c r="B24" s="29">
        <v>43494.0</v>
      </c>
      <c r="C24" s="35" t="s">
        <v>20</v>
      </c>
      <c r="D24" s="7" t="s">
        <v>18</v>
      </c>
      <c r="E24" s="7" t="s">
        <v>25</v>
      </c>
      <c r="F24" s="38" t="s">
        <v>50</v>
      </c>
      <c r="G24" s="7">
        <v>5567.1</v>
      </c>
      <c r="H24" s="5"/>
      <c r="I24" s="5"/>
      <c r="J24" s="5"/>
      <c r="K24" s="5"/>
      <c r="L24" s="7">
        <v>1.142</v>
      </c>
      <c r="M24" s="5"/>
      <c r="N24" s="7" t="s">
        <v>41</v>
      </c>
      <c r="O24" s="7" t="s">
        <v>49</v>
      </c>
      <c r="R24" s="32">
        <v>6357.63</v>
      </c>
    </row>
    <row r="25" ht="15.75" customHeight="1">
      <c r="A25" s="5"/>
      <c r="B25" s="29">
        <v>43494.0</v>
      </c>
      <c r="C25" s="35" t="s">
        <v>20</v>
      </c>
      <c r="D25" s="7" t="s">
        <v>18</v>
      </c>
      <c r="E25" s="7" t="s">
        <v>25</v>
      </c>
      <c r="F25" s="38" t="s">
        <v>48</v>
      </c>
      <c r="G25" s="5"/>
      <c r="H25" s="7">
        <v>5567.1</v>
      </c>
      <c r="I25" s="5"/>
      <c r="J25" s="5"/>
      <c r="K25" s="5"/>
      <c r="L25" s="7">
        <v>1.142</v>
      </c>
      <c r="M25" s="5"/>
      <c r="N25" s="7" t="s">
        <v>43</v>
      </c>
      <c r="O25" s="7" t="s">
        <v>49</v>
      </c>
      <c r="S25" s="32">
        <v>6357.63</v>
      </c>
    </row>
    <row r="26" ht="15.75" customHeight="1">
      <c r="A26" s="5"/>
      <c r="B26" s="29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>
      <c r="B27" s="29"/>
    </row>
    <row r="28" ht="15.75" customHeight="1">
      <c r="B28" s="29"/>
    </row>
    <row r="29" ht="15.75" customHeight="1">
      <c r="B29" s="29"/>
    </row>
    <row r="30" ht="15.75" customHeight="1">
      <c r="B30" s="29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