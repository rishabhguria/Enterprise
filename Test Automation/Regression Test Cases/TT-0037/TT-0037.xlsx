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GeneralPreferences" sheetId="4" r:id="rId6"/>
    <sheet state="visible" name="AddSymbolOnRAList" sheetId="5" r:id="rId7"/>
    <sheet state="visible" name="RemoveSymbolFromRAList" sheetId="6" r:id="rId8"/>
    <sheet state="visible" name="ExportSymbolFromRAList" sheetId="7" r:id="rId9"/>
    <sheet state="visible" name="CreateDoneAwayOrder" sheetId="8" r:id="rId10"/>
    <sheet state="visible" name="CreateLiveOrder" sheetId="9" r:id="rId11"/>
    <sheet state="visible" name="TradeBloomberg" sheetId="10" r:id="rId12"/>
    <sheet state="visible" name="AcknowledgeTrade" sheetId="11" r:id="rId13"/>
    <sheet state="visible" name="ExecuteTrade" sheetId="12" r:id="rId14"/>
    <sheet state="visible" name="VerifyOrder" sheetId="13" r:id="rId15"/>
    <sheet state="visible" name="GetDataAllocation" sheetId="14" r:id="rId16"/>
    <sheet state="visible" name="CheckAllocatedGroups" sheetId="15" r:id="rId17"/>
    <sheet state="visible" name="CheckPortfolioManagement" sheetId="16" r:id="rId18"/>
  </sheets>
  <definedNames/>
  <calcPr/>
</workbook>
</file>

<file path=xl/sharedStrings.xml><?xml version="1.0" encoding="utf-8"?>
<sst xmlns="http://schemas.openxmlformats.org/spreadsheetml/2006/main" count="193" uniqueCount="59">
  <si>
    <t>Modules Info</t>
  </si>
  <si>
    <t>Modules</t>
  </si>
  <si>
    <t>Settings</t>
  </si>
  <si>
    <t>Module Step Setting File</t>
  </si>
  <si>
    <t>1fuyLYD9vdmMe3zpf4F8_O7YXcInFNToJcV7bhZt5Bew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</si>
  <si>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</si>
  <si>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</si>
  <si>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</si>
  <si>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</si>
  <si>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</si>
  <si>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</si>
  <si>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</si>
  <si>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</si>
  <si>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SetTTGeneralPreferences</t>
  </si>
  <si>
    <t>Data Format</t>
  </si>
  <si>
    <t>Input Format</t>
  </si>
  <si>
    <t>TradingTicket</t>
  </si>
  <si>
    <t>AddSymbolOnRAList</t>
  </si>
  <si>
    <t>MSFT</t>
  </si>
  <si>
    <t>IBM</t>
  </si>
  <si>
    <t>AAPL</t>
  </si>
  <si>
    <t xml:space="preserve">O:CAM 10E37.50 </t>
  </si>
  <si>
    <t>O:ABM 10D20.00</t>
  </si>
  <si>
    <t>CL H9</t>
  </si>
  <si>
    <t>BP H9</t>
  </si>
  <si>
    <t>GBP/USD</t>
  </si>
  <si>
    <t>USD/NOK</t>
  </si>
  <si>
    <t>RemoveSymbolFromRAList</t>
  </si>
  <si>
    <t>ExportSymbolFromRAList</t>
  </si>
  <si>
    <t>CreateDoneAwayOrder</t>
  </si>
  <si>
    <t>Buy</t>
  </si>
  <si>
    <t>Allocation1</t>
  </si>
  <si>
    <t>Sell</t>
  </si>
  <si>
    <t>No</t>
  </si>
  <si>
    <t>CreateLiveOrder</t>
  </si>
  <si>
    <t>TradeBloomberg</t>
  </si>
  <si>
    <t xml:space="preserve">MSFT US EQUITY </t>
  </si>
  <si>
    <t>Simulator</t>
  </si>
  <si>
    <t>AcknowledgeTrade</t>
  </si>
  <si>
    <t>ExecuteTrade</t>
  </si>
  <si>
    <t>Blotter</t>
  </si>
  <si>
    <t>VerifyOrder</t>
  </si>
  <si>
    <t>USD</t>
  </si>
  <si>
    <t>Equity</t>
  </si>
  <si>
    <t>Filled</t>
  </si>
  <si>
    <t>MS</t>
  </si>
  <si>
    <t>Market</t>
  </si>
  <si>
    <t>GBP</t>
  </si>
  <si>
    <t>FX</t>
  </si>
  <si>
    <t>Allocation</t>
  </si>
  <si>
    <t>GetDataAllocation</t>
  </si>
  <si>
    <t>Current</t>
  </si>
  <si>
    <t>CheckAllocatedGroups</t>
  </si>
  <si>
    <t>Open</t>
  </si>
  <si>
    <t>PortfolioManagement</t>
  </si>
  <si>
    <t>CheckPortfolioManagement</t>
  </si>
  <si>
    <t>Long</t>
  </si>
  <si>
    <t>US</t>
  </si>
  <si>
    <t>NASDAQ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</si>
</sst>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,###,###,###,##0.00#############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3" xfId="0" applyAlignment="1" applyFont="1" applyNumberFormat="1">
      <alignment readingOrder="0"/>
    </xf>
    <xf borderId="0" fillId="0" fontId="13" numFmtId="0" xfId="0" applyAlignment="1" applyFont="1">
      <alignment vertical="bottom"/>
    </xf>
    <xf borderId="0" fillId="0" fontId="13" numFmtId="164" xfId="0" applyAlignment="1" applyFont="1" applyNumberFormat="1">
      <alignment horizontal="right" vertical="bottom"/>
    </xf>
    <xf borderId="0" fillId="0" fontId="13" numFmtId="0" xfId="0" applyAlignment="1" applyFont="1">
      <alignment vertical="bottom"/>
    </xf>
    <xf borderId="0" fillId="0" fontId="5" numFmtId="3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1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IFERROR(__xludf.DUMMYFUNCTION("""COMPUTED_VALUE"""),"EnableDisableModule")</f>
        <v>EnableDisableModule</v>
      </c>
      <c r="M4" s="24" t="str">
        <f>IFERROR(__xludf.DUMMYFUNCTION("""COMPUTED_VALUE"""),"IsImportOverrideOnShortLocate")</f>
        <v>IsImportOverrideOnShortLocate</v>
      </c>
      <c r="N4" s="24" t="str">
        <f>IFERROR(__xludf.DUMMYFUNCTION("""COMPUTED_VALUE"""),"SetShortLocateStructures")</f>
        <v>SetShortLocateStructures</v>
      </c>
      <c r="O4" s="24" t="str">
        <f>IFERROR(__xludf.DUMMYFUNCTION("""COMPUTED_VALUE"""),"SetComplianceAlert")</f>
        <v>SetComplianceAlert</v>
      </c>
      <c r="P4" s="25" t="str">
        <f>IFERROR(__xludf.DUMMYFUNCTION("""COMPUTED_VALUE"""),"UpdateExpirationDate")</f>
        <v>UpdateExpirationDate</v>
      </c>
      <c r="Q4" s="25" t="str">
        <f>IFERROR(__xludf.DUMMYFUNCTION("""COMPUTED_VALUE"""),"RenameMasterStrategy")</f>
        <v>RenameMasterStrategy</v>
      </c>
      <c r="R4" s="25" t="str">
        <f>IFERROR(__xludf.DUMMYFUNCTION("""COMPUTED_VALUE"""),"SetTTUIAdminPreferences")</f>
        <v>SetTTUIAdminPreferences</v>
      </c>
      <c r="S4" s="25" t="str">
        <f>IFERROR(__xludf.DUMMYFUNCTION("""COMPUTED_VALUE"""),"UpdateSecFee")</f>
        <v>UpdateSecFee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IFERROR(__xludf.DUMMYFUNCTION("""COMPUTED_VALUE"""),"RestrictedSecuritiesList")</f>
        <v>RestrictedSecuritiesList</v>
      </c>
      <c r="C5" s="27" t="str">
        <f>IFERROR(__xludf.DUMMYFUNCTION("""COMPUTED_VALUE"""),"AllowedSecuritiesList")</f>
        <v>AllowedSecuritiesList</v>
      </c>
      <c r="D5" s="27" t="str">
        <f>IFERROR(__xludf.DUMMYFUNCTION("""COMPUTED_VALUE"""),"AllowAllUserToCancelReplaceRemove")</f>
        <v>AllowAllUserToCancelReplaceRemove</v>
      </c>
      <c r="E5" s="27" t="str">
        <f>IFERROR(__xludf.DUMMYFUNCTION("""COMPUTED_VALUE"""),"MasterUserPermission")</f>
        <v>MasterUserPermission</v>
      </c>
      <c r="F5" s="28" t="str">
        <f>IFERROR(__xludf.DUMMYFUNCTION("""COMPUTED_VALUE"""),"AllowAllUserToTransferTrade")</f>
        <v>AllowAllUserToTransferTrade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1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 t="s">
        <v>18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19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2" t="s">
        <v>20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2" t="s">
        <v>21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2" t="s">
        <v>22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3" t="s">
        <v>23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3" t="s">
        <v>24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3" t="s">
        <v>25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3" t="s">
        <v>26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AddSymbolOnRAList!$4:$4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IFERROR(__xludf.DUMMYFUNCTION("""COMPUTED_VALUE"""),"Restricted Securities List")</f>
        <v>Restricted Securities List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 t="s">
        <v>20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24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s">
        <v>25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RemoveSymbolFromRAList!$4:$4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IFERROR(__xludf.DUMMYFUNCTION("""COMPUTED_VALUE"""),"Restricted Securities List")</f>
        <v>Restricted Securities List</v>
      </c>
      <c r="C5" s="27" t="str">
        <f>IFERROR(__xludf.DUMMYFUNCTION("""COMPUTED_VALUE"""),"Allowed Securities List")</f>
        <v>Allowed Securities List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 t="s">
        <v>18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19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s">
        <v>21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3" t="s">
        <v>22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3" t="s">
        <v>23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3" t="s">
        <v>26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4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ExportSymbolFromRAList!$4:$4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20</v>
      </c>
      <c r="C6" s="11" t="s">
        <v>30</v>
      </c>
      <c r="D6" s="11">
        <v>100.0</v>
      </c>
      <c r="E6" s="11">
        <v>100.0</v>
      </c>
      <c r="F6" s="11" t="s">
        <v>31</v>
      </c>
      <c r="G6" s="8"/>
      <c r="H6" s="8"/>
      <c r="I6" s="8"/>
      <c r="J6" s="11">
        <v>10.0</v>
      </c>
      <c r="K6" s="8"/>
      <c r="L6" s="8"/>
      <c r="M6" s="8"/>
      <c r="N6" s="8"/>
      <c r="O6" s="8"/>
    </row>
    <row r="7" ht="15.75" customHeight="1">
      <c r="A7" s="8"/>
      <c r="B7" s="32" t="s">
        <v>21</v>
      </c>
      <c r="C7" s="11" t="s">
        <v>32</v>
      </c>
      <c r="D7" s="11">
        <v>150.0</v>
      </c>
      <c r="E7" s="11">
        <v>150.0</v>
      </c>
      <c r="F7" s="11" t="s">
        <v>31</v>
      </c>
      <c r="G7" s="8"/>
      <c r="H7" s="8"/>
      <c r="I7" s="8"/>
      <c r="J7" s="11">
        <v>20.0</v>
      </c>
      <c r="K7" s="8"/>
      <c r="L7" s="8"/>
      <c r="M7" s="8"/>
      <c r="N7" s="8"/>
      <c r="O7" s="8"/>
      <c r="AT7" s="9" t="s">
        <v>33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 t="s">
        <v>25</v>
      </c>
      <c r="C6" s="11" t="s">
        <v>30</v>
      </c>
      <c r="D6" s="11">
        <v>200.0</v>
      </c>
      <c r="E6" s="30"/>
      <c r="F6" s="11" t="s">
        <v>31</v>
      </c>
      <c r="G6" s="8"/>
      <c r="H6" s="8"/>
      <c r="I6" s="8"/>
      <c r="J6" s="11">
        <v>20.0</v>
      </c>
      <c r="K6" s="8"/>
      <c r="L6" s="8"/>
      <c r="M6" s="8"/>
      <c r="N6" s="8"/>
      <c r="O6" s="8"/>
    </row>
    <row r="7" ht="15.75" customHeight="1">
      <c r="A7" s="8"/>
      <c r="B7" s="33" t="s">
        <v>23</v>
      </c>
      <c r="C7" s="11" t="s">
        <v>32</v>
      </c>
      <c r="D7" s="11">
        <v>300.0</v>
      </c>
      <c r="E7" s="11">
        <v>300.0</v>
      </c>
      <c r="F7" s="11" t="s">
        <v>31</v>
      </c>
      <c r="G7" s="8"/>
      <c r="H7" s="8"/>
      <c r="I7" s="8"/>
      <c r="J7" s="11">
        <v>30.0</v>
      </c>
      <c r="K7" s="8"/>
      <c r="L7" s="8"/>
      <c r="M7" s="8"/>
      <c r="N7" s="8"/>
      <c r="O7" s="8"/>
      <c r="AR7" s="9" t="s">
        <v>33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IFERROR(__xludf.DUMMYFUNCTION("""COMPUTED_VALUE"""),"ResAllowedListPopUp")</f>
        <v>ResAllowedListPopUp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36</v>
      </c>
      <c r="C6" s="11" t="s">
        <v>30</v>
      </c>
      <c r="D6" s="11">
        <v>100.0</v>
      </c>
      <c r="E6" s="11">
        <v>100.0</v>
      </c>
      <c r="F6" s="11" t="s">
        <v>31</v>
      </c>
      <c r="G6" s="8"/>
      <c r="H6" s="8"/>
      <c r="I6" s="8"/>
      <c r="J6" s="11">
        <v>10.0</v>
      </c>
      <c r="K6" s="8"/>
      <c r="L6" s="8"/>
      <c r="M6" s="8"/>
      <c r="N6" s="8"/>
      <c r="O6" s="8"/>
      <c r="AN6" s="9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TradeBloomberg!$4:$4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30</v>
      </c>
      <c r="C6" s="11" t="s">
        <v>25</v>
      </c>
      <c r="D6" s="11"/>
      <c r="E6" s="11">
        <v>20.0</v>
      </c>
      <c r="F6" s="8"/>
      <c r="G6" s="11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20.0</v>
      </c>
      <c r="C6" s="11">
        <v>200.0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10.0</v>
      </c>
      <c r="E6" s="30"/>
      <c r="F6" s="8"/>
      <c r="G6" s="8"/>
      <c r="H6" s="8"/>
      <c r="I6" s="8"/>
      <c r="J6" s="11" t="s">
        <v>20</v>
      </c>
      <c r="K6" s="8"/>
      <c r="L6" s="8"/>
      <c r="M6" s="8"/>
      <c r="N6" s="8"/>
      <c r="O6" s="8"/>
      <c r="S6" s="9">
        <v>0.0</v>
      </c>
      <c r="T6" s="9">
        <v>0.0</v>
      </c>
      <c r="U6" s="9" t="s">
        <v>42</v>
      </c>
      <c r="AB6" s="9">
        <v>100.0</v>
      </c>
      <c r="AD6" s="9">
        <v>1.0</v>
      </c>
      <c r="AG6" s="9">
        <v>10.0</v>
      </c>
      <c r="AH6" s="9" t="s">
        <v>43</v>
      </c>
      <c r="AI6" s="9" t="s">
        <v>20</v>
      </c>
      <c r="AJ6" s="9" t="s">
        <v>30</v>
      </c>
      <c r="AK6" s="9" t="s">
        <v>44</v>
      </c>
      <c r="AL6" s="9">
        <v>100.0</v>
      </c>
      <c r="AM6" s="9">
        <v>100.0</v>
      </c>
      <c r="AN6" s="9">
        <v>100.0</v>
      </c>
      <c r="AO6" s="9">
        <v>100.0</v>
      </c>
      <c r="AQ6" s="9">
        <v>10.0</v>
      </c>
      <c r="AR6" s="9">
        <v>10.0</v>
      </c>
      <c r="AS6" s="9" t="s">
        <v>45</v>
      </c>
      <c r="AT6" s="9" t="s">
        <v>31</v>
      </c>
      <c r="AU6" s="9" t="s">
        <v>46</v>
      </c>
      <c r="AV6" s="35">
        <v>1000.0</v>
      </c>
      <c r="AW6" s="35">
        <v>1000.0</v>
      </c>
      <c r="AY6" s="9">
        <v>100.0</v>
      </c>
      <c r="AZ6" s="9">
        <v>0.0</v>
      </c>
    </row>
    <row r="7" ht="15.75" customHeight="1">
      <c r="A7" s="8"/>
      <c r="B7" s="8"/>
      <c r="C7" s="8"/>
      <c r="D7" s="11">
        <v>20.0</v>
      </c>
      <c r="E7" s="8"/>
      <c r="F7" s="11"/>
      <c r="G7" s="11"/>
      <c r="H7" s="8"/>
      <c r="I7" s="8"/>
      <c r="J7" s="11" t="s">
        <v>25</v>
      </c>
      <c r="K7" s="8"/>
      <c r="L7" s="8"/>
      <c r="M7" s="8"/>
      <c r="N7" s="8"/>
      <c r="O7" s="8"/>
      <c r="S7" s="9">
        <v>0.0</v>
      </c>
      <c r="T7" s="9">
        <v>0.0</v>
      </c>
      <c r="U7" s="9" t="s">
        <v>47</v>
      </c>
      <c r="AB7" s="9">
        <v>200.0</v>
      </c>
      <c r="AD7" s="9">
        <v>20.0</v>
      </c>
      <c r="AG7" s="9">
        <v>20.0</v>
      </c>
      <c r="AH7" s="9" t="s">
        <v>48</v>
      </c>
      <c r="AI7" s="9" t="s">
        <v>25</v>
      </c>
      <c r="AJ7" s="9" t="s">
        <v>30</v>
      </c>
      <c r="AK7" s="9" t="s">
        <v>44</v>
      </c>
      <c r="AL7" s="9">
        <v>200.0</v>
      </c>
      <c r="AM7" s="9">
        <v>200.0</v>
      </c>
      <c r="AN7" s="9">
        <v>100.0</v>
      </c>
      <c r="AO7" s="9">
        <v>200.0</v>
      </c>
      <c r="AQ7" s="9">
        <v>20.0</v>
      </c>
      <c r="AR7" s="9">
        <v>20.0</v>
      </c>
      <c r="AS7" s="9" t="s">
        <v>45</v>
      </c>
      <c r="AT7" s="9" t="s">
        <v>31</v>
      </c>
      <c r="AU7" s="9" t="s">
        <v>46</v>
      </c>
      <c r="AV7" s="35">
        <v>4000.0</v>
      </c>
      <c r="AW7" s="35">
        <v>80000.0</v>
      </c>
      <c r="AY7" s="9">
        <v>200.0</v>
      </c>
      <c r="AZ7" s="9">
        <v>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51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6" t="s">
        <v>31</v>
      </c>
      <c r="C6" s="8"/>
      <c r="D6" s="37">
        <v>0.0</v>
      </c>
      <c r="E6" s="37">
        <v>100.0</v>
      </c>
      <c r="F6" s="8"/>
      <c r="G6" s="38" t="s">
        <v>43</v>
      </c>
      <c r="H6" s="37">
        <v>4.0</v>
      </c>
      <c r="I6" s="37">
        <v>5.0</v>
      </c>
      <c r="J6" s="8"/>
      <c r="K6" s="37">
        <v>10.0</v>
      </c>
      <c r="L6" s="37">
        <v>10.0</v>
      </c>
      <c r="M6" s="8"/>
      <c r="N6" s="8"/>
      <c r="O6" s="11" t="s">
        <v>45</v>
      </c>
      <c r="Q6" s="37">
        <v>3.0</v>
      </c>
      <c r="R6" s="37">
        <v>0.0</v>
      </c>
      <c r="S6" s="38" t="s">
        <v>53</v>
      </c>
      <c r="T6" s="37">
        <v>0.0</v>
      </c>
      <c r="U6" s="37">
        <v>0.0</v>
      </c>
      <c r="AE6" s="37">
        <v>100.0</v>
      </c>
      <c r="AI6" s="37">
        <v>1.0</v>
      </c>
      <c r="AT6" s="37">
        <v>1014.0006</v>
      </c>
      <c r="AU6" s="37">
        <v>1014.0006</v>
      </c>
      <c r="AW6" s="37">
        <v>0.0</v>
      </c>
      <c r="AX6" s="37">
        <v>0.0</v>
      </c>
      <c r="AY6" s="9" t="s">
        <v>46</v>
      </c>
      <c r="AZ6" s="37">
        <v>0.0</v>
      </c>
      <c r="BC6" s="37">
        <v>0.0</v>
      </c>
      <c r="BE6" s="37">
        <v>1000.0</v>
      </c>
      <c r="BF6" s="37">
        <v>1000.0</v>
      </c>
      <c r="BJ6" s="37">
        <v>100.0</v>
      </c>
      <c r="BK6" s="37">
        <v>0.0</v>
      </c>
      <c r="BM6" s="38" t="s">
        <v>42</v>
      </c>
      <c r="BO6" s="9" t="s">
        <v>30</v>
      </c>
      <c r="BP6" s="37">
        <v>0.0</v>
      </c>
      <c r="BQ6" s="37">
        <v>0.0</v>
      </c>
      <c r="BT6" s="38" t="s">
        <v>20</v>
      </c>
      <c r="BU6" s="37">
        <v>3.0</v>
      </c>
      <c r="BV6" s="37">
        <v>0.0</v>
      </c>
      <c r="BW6" s="37">
        <v>14.0006</v>
      </c>
      <c r="BX6" s="37">
        <v>0.0</v>
      </c>
      <c r="CI6" s="38" t="s">
        <v>30</v>
      </c>
      <c r="CJ6" s="37">
        <v>0.0</v>
      </c>
    </row>
    <row r="7" ht="15.75" customHeight="1">
      <c r="A7" s="8"/>
      <c r="B7" s="38" t="s">
        <v>31</v>
      </c>
      <c r="C7" s="8"/>
      <c r="D7" s="37">
        <v>0.0</v>
      </c>
      <c r="E7" s="37">
        <v>200.0</v>
      </c>
      <c r="F7" s="8"/>
      <c r="G7" s="38" t="s">
        <v>48</v>
      </c>
      <c r="H7" s="37">
        <v>0.0</v>
      </c>
      <c r="I7" s="37">
        <v>0.0</v>
      </c>
      <c r="J7" s="8"/>
      <c r="K7" s="37">
        <v>20.0</v>
      </c>
      <c r="L7" s="37">
        <v>20.0</v>
      </c>
      <c r="M7" s="8"/>
      <c r="N7" s="8"/>
      <c r="O7" s="11" t="s">
        <v>45</v>
      </c>
      <c r="Q7" s="37">
        <v>3.0</v>
      </c>
      <c r="R7" s="37">
        <v>0.0</v>
      </c>
      <c r="S7" s="38" t="s">
        <v>53</v>
      </c>
      <c r="T7" s="37">
        <v>0.0</v>
      </c>
      <c r="U7" s="37">
        <v>0.0</v>
      </c>
      <c r="AE7" s="37">
        <v>200.0</v>
      </c>
      <c r="AI7" s="37">
        <v>20.0</v>
      </c>
      <c r="AT7" s="37">
        <v>4000.0</v>
      </c>
      <c r="AU7" s="37">
        <v>200.0</v>
      </c>
      <c r="AW7" s="37">
        <v>0.0</v>
      </c>
      <c r="AX7" s="37">
        <v>0.0</v>
      </c>
      <c r="AY7" s="9" t="s">
        <v>46</v>
      </c>
      <c r="AZ7" s="37">
        <v>0.0</v>
      </c>
      <c r="BC7" s="37">
        <v>0.0</v>
      </c>
      <c r="BE7" s="37">
        <v>4000.0</v>
      </c>
      <c r="BF7" s="37">
        <v>200.0</v>
      </c>
      <c r="BJ7" s="37">
        <v>200.0</v>
      </c>
      <c r="BK7" s="37">
        <v>0.0</v>
      </c>
      <c r="BM7" s="38" t="s">
        <v>47</v>
      </c>
      <c r="BO7" s="9" t="s">
        <v>30</v>
      </c>
      <c r="BP7" s="37">
        <v>0.0</v>
      </c>
      <c r="BQ7" s="37">
        <v>0.0</v>
      </c>
      <c r="BT7" s="38" t="s">
        <v>25</v>
      </c>
      <c r="BU7" s="37">
        <v>0.0</v>
      </c>
      <c r="BV7" s="37">
        <v>0.0</v>
      </c>
      <c r="BW7" s="37">
        <v>0.0</v>
      </c>
      <c r="BX7" s="37">
        <v>0.0</v>
      </c>
      <c r="CI7" s="38" t="s">
        <v>30</v>
      </c>
      <c r="CJ7" s="37">
        <v>0.0</v>
      </c>
    </row>
    <row r="8" ht="15.75" customHeight="1">
      <c r="A8" s="8"/>
      <c r="B8" s="8"/>
      <c r="C8" s="8"/>
      <c r="D8" s="8"/>
      <c r="E8" s="8"/>
      <c r="F8" s="8"/>
      <c r="G8" s="38"/>
      <c r="H8" s="38"/>
      <c r="I8" s="8"/>
      <c r="J8" s="8"/>
      <c r="K8" s="8"/>
      <c r="L8" s="8"/>
      <c r="M8" s="8"/>
      <c r="N8" s="8"/>
      <c r="O8" s="8"/>
      <c r="Q8" s="38"/>
      <c r="T8" s="38"/>
      <c r="U8" s="38"/>
      <c r="BT8" s="3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Q9" s="3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</row>
    <row r="6" ht="15.75" customHeight="1">
      <c r="A6" s="11"/>
      <c r="B6" s="11"/>
      <c r="C6" s="11" t="s">
        <v>20</v>
      </c>
      <c r="D6" s="11">
        <v>100.0</v>
      </c>
      <c r="E6" s="11" t="s">
        <v>31</v>
      </c>
      <c r="F6" s="8"/>
      <c r="G6" s="11">
        <v>10.0</v>
      </c>
      <c r="H6" s="11" t="s">
        <v>56</v>
      </c>
      <c r="I6" s="11">
        <v>0.0</v>
      </c>
      <c r="J6" s="8"/>
      <c r="K6" s="11">
        <v>0.0</v>
      </c>
      <c r="L6" s="11">
        <v>0.0</v>
      </c>
      <c r="M6" s="11">
        <v>0.0</v>
      </c>
      <c r="N6" s="39">
        <v>-1000.0</v>
      </c>
      <c r="O6" s="8"/>
      <c r="Q6" s="39">
        <v>-1000.0</v>
      </c>
      <c r="T6" s="9" t="s">
        <v>43</v>
      </c>
      <c r="U6" s="9" t="s">
        <v>57</v>
      </c>
      <c r="V6" s="9" t="s">
        <v>58</v>
      </c>
      <c r="W6" s="9" t="s">
        <v>42</v>
      </c>
      <c r="Y6" s="9">
        <v>1.0</v>
      </c>
      <c r="AB6" s="9">
        <v>0.0</v>
      </c>
      <c r="AC6" s="9">
        <v>0.0</v>
      </c>
      <c r="AD6" s="9">
        <v>0.0</v>
      </c>
      <c r="AE6" s="9">
        <v>0.0</v>
      </c>
      <c r="AF6" s="9">
        <v>100.0</v>
      </c>
      <c r="AG6" s="9">
        <v>0.0</v>
      </c>
      <c r="AH6" s="9">
        <v>0.0</v>
      </c>
      <c r="AI6" s="9">
        <v>0.0</v>
      </c>
      <c r="AJ6" s="9">
        <v>0.0</v>
      </c>
      <c r="AK6" s="39">
        <v>-1000.0</v>
      </c>
      <c r="AL6" s="9">
        <v>1.0</v>
      </c>
      <c r="AM6" s="9">
        <v>1.0</v>
      </c>
      <c r="AN6" s="9" t="s">
        <v>30</v>
      </c>
      <c r="AP6" s="9" t="s">
        <v>56</v>
      </c>
      <c r="AQ6" s="9" t="s">
        <v>20</v>
      </c>
      <c r="AR6" s="9">
        <v>0.0</v>
      </c>
      <c r="AS6" s="9">
        <v>1.0</v>
      </c>
      <c r="AV6" s="9">
        <v>1.0</v>
      </c>
      <c r="AW6" s="39">
        <v>-1000.0</v>
      </c>
      <c r="AX6" s="9">
        <v>0.0</v>
      </c>
      <c r="AY6" s="9">
        <v>0.0</v>
      </c>
      <c r="AZ6" s="9">
        <v>0.0</v>
      </c>
      <c r="BA6" s="9">
        <v>-100.0</v>
      </c>
      <c r="BC6" s="9">
        <v>1.0</v>
      </c>
      <c r="BD6" s="39">
        <v>-1000.0</v>
      </c>
      <c r="BE6" s="9" t="s">
        <v>43</v>
      </c>
      <c r="BJ6" s="9">
        <v>0.0</v>
      </c>
      <c r="BK6" s="9">
        <v>0.0</v>
      </c>
      <c r="BL6" s="9">
        <v>0.0</v>
      </c>
      <c r="BM6" s="9">
        <v>0.0</v>
      </c>
      <c r="BO6" s="39">
        <v>-1000.0</v>
      </c>
      <c r="BP6" s="9">
        <v>0.0</v>
      </c>
      <c r="BR6" s="9" t="s">
        <v>45</v>
      </c>
      <c r="BS6" s="9">
        <v>0.0</v>
      </c>
      <c r="BT6" s="9">
        <v>0.0</v>
      </c>
      <c r="BU6" s="9" t="s">
        <v>43</v>
      </c>
      <c r="BW6" s="9">
        <v>0.0</v>
      </c>
      <c r="BX6" s="9">
        <v>0.0</v>
      </c>
      <c r="BY6" s="9">
        <v>0.0</v>
      </c>
      <c r="BZ6" s="9">
        <v>0.0</v>
      </c>
      <c r="CA6" s="9">
        <v>0.0</v>
      </c>
      <c r="CC6" s="9">
        <v>0.0</v>
      </c>
      <c r="CD6" s="39">
        <v>-1000.0</v>
      </c>
      <c r="CE6" s="9">
        <v>0.0</v>
      </c>
      <c r="CF6" s="9">
        <v>0.0</v>
      </c>
      <c r="CG6" s="39">
        <v>-1000.0</v>
      </c>
      <c r="CH6" s="9">
        <v>-100.0</v>
      </c>
      <c r="CI6" s="9">
        <v>0.0</v>
      </c>
      <c r="CJ6" s="9">
        <v>0.0</v>
      </c>
      <c r="CS6" s="9">
        <v>10.0</v>
      </c>
      <c r="DA6" s="9">
        <v>0.0</v>
      </c>
      <c r="DB6" s="9">
        <v>0.0</v>
      </c>
      <c r="DD6" s="9">
        <v>100.0</v>
      </c>
      <c r="DE6" s="9">
        <v>0.0</v>
      </c>
      <c r="DF6" s="9">
        <v>0.0</v>
      </c>
      <c r="DG6" s="9">
        <v>0.0</v>
      </c>
      <c r="DI6" s="9">
        <v>0.0</v>
      </c>
      <c r="DJ6" s="9" t="s">
        <v>30</v>
      </c>
      <c r="DK6" s="9">
        <v>0.0</v>
      </c>
      <c r="DL6" s="9">
        <v>0.0</v>
      </c>
      <c r="DM6" s="9">
        <v>1.0</v>
      </c>
      <c r="DN6" s="9">
        <v>0.0</v>
      </c>
      <c r="DP6" s="9" t="s">
        <v>56</v>
      </c>
      <c r="EF6" s="9">
        <v>0.0</v>
      </c>
      <c r="EG6" s="9">
        <v>0.0</v>
      </c>
      <c r="EH6" s="9">
        <v>0.0</v>
      </c>
      <c r="EI6" s="9">
        <v>0.0</v>
      </c>
      <c r="EJ6" s="9">
        <v>0.0</v>
      </c>
      <c r="EK6" s="9">
        <v>0.0</v>
      </c>
      <c r="EL6" s="9" t="s">
        <v>56</v>
      </c>
      <c r="EM6" s="9">
        <v>0.0</v>
      </c>
      <c r="EN6" s="9">
        <v>0.0</v>
      </c>
      <c r="EO6" s="9">
        <v>0.0</v>
      </c>
      <c r="EQ6" s="9">
        <v>0.0</v>
      </c>
      <c r="ER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