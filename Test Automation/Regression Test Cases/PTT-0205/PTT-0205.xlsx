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TradePTT" sheetId="9" r:id="rId11"/>
    <sheet state="visible" name="CreateDoneAwayOrder1" sheetId="10" r:id="rId12"/>
    <sheet state="visible" name="FilterPM" sheetId="11" r:id="rId13"/>
    <sheet state="visible" name="OpenPTTFromPM" sheetId="12" r:id="rId14"/>
    <sheet state="visible" name="CalculatePTT1" sheetId="13" r:id="rId15"/>
  </sheets>
  <definedNames/>
  <calcPr/>
</workbook>
</file>

<file path=xl/sharedStrings.xml><?xml version="1.0" encoding="utf-8"?>
<sst xmlns="http://schemas.openxmlformats.org/spreadsheetml/2006/main" count="110" uniqueCount="36">
  <si>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</si>
  <si>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</si>
  <si>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</si>
  <si>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</si>
  <si>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</si>
  <si>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</si>
  <si>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</si>
  <si>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</si>
  <si>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</si>
  <si>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</si>
  <si>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</si>
  <si>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</si>
  <si>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</si>
  <si>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</si>
  <si>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</si>
  <si>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</si>
  <si>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</si>
  <si>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</si>
  <si>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</si>
  <si>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</si>
  <si>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</si>
  <si>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</si>
  <si>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</si>
  <si>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</si>
  <si>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</si>
  <si>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</si>
  <si>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Increase</t>
  </si>
  <si>
    <t>Percentage</t>
  </si>
  <si>
    <t>No</t>
  </si>
  <si>
    <t>Account</t>
  </si>
  <si>
    <t>TradePTT</t>
  </si>
  <si>
    <t>PortfolioManagement</t>
  </si>
  <si>
    <t>FilterPM</t>
  </si>
  <si>
    <t>MasterFund</t>
  </si>
  <si>
    <t>NewMF</t>
  </si>
  <si>
    <t>OpenPTTFromPM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</si>
</sst>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14" xfId="0" applyAlignment="1" applyBorder="1" applyFont="1" applyNumberFormat="1">
      <alignment vertical="bottom"/>
    </xf>
    <xf borderId="6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14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0" fillId="4" fontId="15" numFmtId="0" xfId="0" applyAlignment="1" applyFont="1">
      <alignment readingOrder="0" vertical="bottom"/>
    </xf>
    <xf borderId="6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1000.0</v>
      </c>
      <c r="F6" s="33" t="s">
        <v>18</v>
      </c>
      <c r="G6" s="36"/>
      <c r="H6" s="36"/>
      <c r="I6" s="36"/>
      <c r="J6" s="35">
        <v>10.0</v>
      </c>
      <c r="K6" s="36"/>
      <c r="L6" s="36"/>
      <c r="M6" s="37"/>
      <c r="N6" s="38"/>
      <c r="O6" s="36"/>
      <c r="P6" s="36"/>
      <c r="Q6" s="36"/>
      <c r="R6" s="36"/>
      <c r="S6" s="36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>today()-1</f>
        <v>45839</v>
      </c>
      <c r="C6" s="41">
        <f>today()</f>
        <v>45840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18</v>
      </c>
      <c r="C6" s="43" t="s">
        <v>23</v>
      </c>
      <c r="D6" s="44">
        <v>10000.0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1" t="s">
        <v>16</v>
      </c>
      <c r="C6" s="43" t="s">
        <v>26</v>
      </c>
      <c r="D6" s="42" t="s">
        <v>27</v>
      </c>
      <c r="E6" s="46">
        <v>2.0</v>
      </c>
      <c r="F6" s="46">
        <v>10.0</v>
      </c>
      <c r="G6" s="47" t="s">
        <v>28</v>
      </c>
      <c r="H6" s="48" t="s">
        <v>29</v>
      </c>
      <c r="I6" s="48" t="s">
        <v>18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1" t="s">
        <v>16</v>
      </c>
      <c r="C6" s="43" t="s">
        <v>26</v>
      </c>
      <c r="D6" s="42" t="s">
        <v>27</v>
      </c>
      <c r="E6" s="46">
        <v>2.0</v>
      </c>
      <c r="F6" s="46">
        <v>10.0</v>
      </c>
      <c r="G6" s="47" t="s">
        <v>28</v>
      </c>
      <c r="H6" s="49"/>
      <c r="I6" s="48" t="s">
        <v>18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40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33</v>
      </c>
      <c r="C6" s="50" t="s">
        <v>34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IFERROR(__xludf.DUMMYFUNCTION("""COMPUTED_VALUE"""),"MasterFund")</f>
        <v>MasterFund</v>
      </c>
      <c r="D5" s="28" t="str">
        <f>IFERROR(__xludf.DUMMYFUNCTION("""COMPUTED_VALUE"""),"Symbol")</f>
        <v>Symbol</v>
      </c>
      <c r="E5" s="28" t="str">
        <f>IFERROR(__xludf.DUMMYFUNCTION("""COMPUTED_VALUE"""),"AdjustPosition")</f>
        <v>AdjustPosition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1" t="s">
        <v>16</v>
      </c>
      <c r="E6" s="39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OpenPTTFromPM!$4:$4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IFERROR(__xludf.DUMMYFUNCTION("""COMPUTED_VALUE"""),"OperationsonPTT")</f>
        <v>OperationsonPTT</v>
      </c>
      <c r="X4" s="26" t="str">
        <f>IFERROR(__xludf.DUMMYFUNCTION("""COMPUTED_VALUE"""),"RefreshCalculation")</f>
        <v>RefreshCalculation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16</v>
      </c>
      <c r="C6" s="39" t="s">
        <v>26</v>
      </c>
      <c r="D6" s="42" t="s">
        <v>27</v>
      </c>
      <c r="E6" s="46">
        <v>2.0</v>
      </c>
      <c r="F6" s="46">
        <v>10.0</v>
      </c>
      <c r="G6" s="47" t="s">
        <v>28</v>
      </c>
      <c r="H6" s="48" t="s">
        <v>29</v>
      </c>
      <c r="I6" s="48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