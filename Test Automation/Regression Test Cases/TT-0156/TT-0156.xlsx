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UIPreferencesTT" sheetId="7" r:id="rId9"/>
    <sheet state="visible" name="UpdateRoundLot" sheetId="8" r:id="rId10"/>
    <sheet state="visible" name="CreateDoneAwayOrder" sheetId="9" r:id="rId11"/>
    <sheet state="visible" name="VerifyOrder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<sst xmlns="http://schemas.openxmlformats.org/spreadsheetml/2006/main" count="1252" uniqueCount="78">
  <si>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</si>
  <si>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</si>
  <si>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</si>
  <si>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</si>
  <si>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</si>
  <si>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</si>
  <si>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</si>
  <si>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</si>
  <si>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</si>
  <si>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</si>
  <si>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</si>
  <si>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</si>
  <si>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</si>
  <si>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</si>
  <si>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</si>
  <si>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</si>
  <si>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</si>
  <si>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</si>
  <si>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</si>
  <si>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</si>
  <si>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</si>
  <si>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</si>
  <si>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</si>
  <si>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TradingTicket</t>
  </si>
  <si>
    <t>SetUIPreferencesTT</t>
  </si>
  <si>
    <t>Quantity</t>
  </si>
  <si>
    <t>Yes</t>
  </si>
  <si>
    <t>Admin</t>
  </si>
  <si>
    <t>UpdateRoundLot</t>
  </si>
  <si>
    <t>AAPL</t>
  </si>
  <si>
    <t>O:AAPL 13N715.00</t>
  </si>
  <si>
    <t>FRU-TC</t>
  </si>
  <si>
    <t>ES H9</t>
  </si>
  <si>
    <t>CreateDoneAwayOrder</t>
  </si>
  <si>
    <t>Buy</t>
  </si>
  <si>
    <t>Decrease</t>
  </si>
  <si>
    <t>Buy to Open</t>
  </si>
  <si>
    <t>Sell short</t>
  </si>
  <si>
    <t>Sell to Open</t>
  </si>
  <si>
    <t>Blotter</t>
  </si>
  <si>
    <t>VerifyOrder</t>
  </si>
  <si>
    <t>Filled</t>
  </si>
  <si>
    <t>Multiple</t>
  </si>
  <si>
    <t>GetDataAllocation</t>
  </si>
  <si>
    <t>Current</t>
  </si>
  <si>
    <t>CheckAllocatedGroups</t>
  </si>
  <si>
    <t/>
  </si>
  <si>
    <t>Equity</t>
  </si>
  <si>
    <t>MS</t>
  </si>
  <si>
    <t>USD</t>
  </si>
  <si>
    <t>M</t>
  </si>
  <si>
    <t>EquityOption</t>
  </si>
  <si>
    <t>CAD</t>
  </si>
  <si>
    <t>D</t>
  </si>
  <si>
    <t>Future</t>
  </si>
  <si>
    <t>FixedIncome</t>
  </si>
  <si>
    <t>PortfolioManagement</t>
  </si>
  <si>
    <t>CheckPortfolioManagement</t>
  </si>
  <si>
    <t>NewMF1</t>
  </si>
  <si>
    <t>Long</t>
  </si>
  <si>
    <t>Strategy Unallocated</t>
  </si>
  <si>
    <t>US</t>
  </si>
  <si>
    <t>NASDAQ</t>
  </si>
  <si>
    <t>New Hedge</t>
  </si>
  <si>
    <t>Small Cap</t>
  </si>
  <si>
    <t>Undefined</t>
  </si>
  <si>
    <t>jpearce</t>
  </si>
  <si>
    <t>OPTS</t>
  </si>
  <si>
    <t>Equity Put</t>
  </si>
  <si>
    <t>TSX</t>
  </si>
  <si>
    <t>CMEE</t>
  </si>
  <si>
    <t>Preferencial</t>
  </si>
  <si>
    <t>Engineering and Construction</t>
  </si>
  <si>
    <t>Aluminum</t>
  </si>
  <si>
    <t>EmergingDebt</t>
  </si>
  <si>
    <t>OTC</t>
  </si>
  <si>
    <t>NewMF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</si>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</sst>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vertical="bottom"/>
    </xf>
    <xf borderId="6" fillId="6" fontId="14" numFmtId="0" xfId="0" applyAlignment="1" applyBorder="1" applyFill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16</v>
      </c>
      <c r="C6" s="13" t="s">
        <v>18</v>
      </c>
      <c r="D6" s="13">
        <v>60.0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21</v>
      </c>
      <c r="C6" s="35"/>
      <c r="D6" s="36" t="s">
        <v>22</v>
      </c>
      <c r="E6" s="35"/>
      <c r="F6" s="35"/>
      <c r="G6" s="37" t="b">
        <v>0</v>
      </c>
      <c r="H6" s="38" t="s">
        <v>16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IFERROR(__xludf.DUMMYFUNCTION("""COMPUTED_VALUE"""),"Broker")</f>
        <v>Broker</v>
      </c>
      <c r="C5" s="29" t="str">
        <f>IFERROR(__xludf.DUMMYFUNCTION("""COMPUTED_VALUE"""),"Venue")</f>
        <v>Venue</v>
      </c>
      <c r="D5" s="29" t="str">
        <f>IFERROR(__xludf.DUMMYFUNCTION("""COMPUTED_VALUE"""),"Order Type")</f>
        <v>Order Type</v>
      </c>
      <c r="E5" s="29" t="str">
        <f>IFERROR(__xludf.DUMMYFUNCTION("""COMPUTED_VALUE"""),"TIF")</f>
        <v>TIF</v>
      </c>
      <c r="F5" s="30" t="str">
        <f>IFERROR(__xludf.DUMMYFUNCTION("""COMPUTED_VALUE"""),"Handling Instruction")</f>
        <v>Handling Instruction</v>
      </c>
      <c r="G5" s="29" t="str">
        <f>IFERROR(__xludf.DUMMYFUNCTION("""COMPUTED_VALUE"""),"Execution Instruction")</f>
        <v>Execution Instruction</v>
      </c>
      <c r="H5" s="29" t="str">
        <f>IFERROR(__xludf.DUMMYFUNCTION("""COMPUTED_VALUE"""),"Strategy")</f>
        <v>Strategy</v>
      </c>
      <c r="I5" s="29" t="str">
        <f>IFERROR(__xludf.DUMMYFUNCTION("""COMPUTED_VALUE"""),"Account")</f>
        <v>Account</v>
      </c>
      <c r="J5" s="29" t="str">
        <f>IFERROR(__xludf.DUMMYFUNCTION("""COMPUTED_VALUE"""),"Settlement Currency")</f>
        <v>Settlement Currency</v>
      </c>
      <c r="K5" s="29" t="str">
        <f>IFERROR(__xludf.DUMMYFUNCTION("""COMPUTED_VALUE"""),"Trader")</f>
        <v>Trader</v>
      </c>
      <c r="L5" s="29" t="str">
        <f>IFERROR(__xludf.DUMMYFUNCTION("""COMPUTED_VALUE"""),"Default Quantity")</f>
        <v>Default Quantity</v>
      </c>
      <c r="M5" s="29" t="str">
        <f>IFERROR(__xludf.DUMMYFUNCTION("""COMPUTED_VALUE"""),"Apply Round Lots")</f>
        <v>Apply Round Lots</v>
      </c>
      <c r="N5" s="29" t="str">
        <f>IFERROR(__xludf.DUMMYFUNCTION("""COMPUTED_VALUE"""),"Quantity")</f>
        <v>Quantity</v>
      </c>
      <c r="O5" s="29" t="str">
        <f>IFERROR(__xludf.DUMMYFUNCTION("""COMPUTED_VALUE"""),"Increase On Quantity")</f>
        <v>Increase On Quantity</v>
      </c>
      <c r="P5" s="29" t="str">
        <f>IFERROR(__xludf.DUMMYFUNCTION("""COMPUTED_VALUE"""),"Increase On Stop")</f>
        <v>Increase On Stop</v>
      </c>
      <c r="Q5" s="29" t="str">
        <f>IFERROR(__xludf.DUMMYFUNCTION("""COMPUTED_VALUE"""),"Increase On Limit")</f>
        <v>Increase On Limit</v>
      </c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40"/>
      <c r="C6" s="39"/>
      <c r="D6" s="40"/>
      <c r="E6" s="39"/>
      <c r="F6" s="39"/>
      <c r="G6" s="39"/>
      <c r="H6" s="39"/>
      <c r="I6" s="39"/>
      <c r="J6" s="39"/>
      <c r="K6" s="39"/>
      <c r="L6" s="39" t="s">
        <v>25</v>
      </c>
      <c r="M6" s="39" t="s">
        <v>26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 Update")</f>
        <v>Symbol Update</v>
      </c>
      <c r="C5" s="29" t="str">
        <f>IFERROR(__xludf.DUMMYFUNCTION("""COMPUTED_VALUE"""),"RoundLot")</f>
        <v>RoundLot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1" t="s">
        <v>29</v>
      </c>
      <c r="C6" s="42">
        <v>120.0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30</v>
      </c>
      <c r="C7" s="42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31</v>
      </c>
      <c r="C8" s="42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32</v>
      </c>
      <c r="C9" s="42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>
        <v>1.23456789E8</v>
      </c>
      <c r="C10" s="42">
        <v>120.0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40" t="s">
        <v>29</v>
      </c>
      <c r="C6" s="39" t="s">
        <v>34</v>
      </c>
      <c r="D6" s="44">
        <v>500.0</v>
      </c>
      <c r="E6" s="39"/>
      <c r="F6" s="45" t="s">
        <v>16</v>
      </c>
      <c r="G6" s="39"/>
      <c r="H6" s="39"/>
      <c r="I6" s="39"/>
      <c r="J6" s="42">
        <v>2.0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5" t="s">
        <v>35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 t="s">
        <v>30</v>
      </c>
      <c r="C7" s="39" t="s">
        <v>36</v>
      </c>
      <c r="D7" s="44">
        <v>500.0</v>
      </c>
      <c r="E7" s="39"/>
      <c r="F7" s="45" t="s">
        <v>16</v>
      </c>
      <c r="G7" s="39"/>
      <c r="H7" s="39"/>
      <c r="I7" s="39"/>
      <c r="J7" s="42">
        <v>2.0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45" t="s">
        <v>35</v>
      </c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 t="s">
        <v>31</v>
      </c>
      <c r="C8" s="39" t="s">
        <v>34</v>
      </c>
      <c r="D8" s="44">
        <v>500.0</v>
      </c>
      <c r="E8" s="39"/>
      <c r="F8" s="45" t="s">
        <v>16</v>
      </c>
      <c r="G8" s="39"/>
      <c r="H8" s="39"/>
      <c r="I8" s="39"/>
      <c r="J8" s="42">
        <v>2.0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45" t="s">
        <v>35</v>
      </c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 t="s">
        <v>32</v>
      </c>
      <c r="C9" s="39" t="s">
        <v>34</v>
      </c>
      <c r="D9" s="44">
        <v>500.0</v>
      </c>
      <c r="E9" s="39"/>
      <c r="F9" s="45" t="s">
        <v>16</v>
      </c>
      <c r="G9" s="39"/>
      <c r="H9" s="39"/>
      <c r="I9" s="39"/>
      <c r="J9" s="42">
        <v>2.0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45" t="s">
        <v>35</v>
      </c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39"/>
      <c r="B10" s="42">
        <v>1.23456789E8</v>
      </c>
      <c r="C10" s="39" t="s">
        <v>34</v>
      </c>
      <c r="D10" s="44">
        <v>500.0</v>
      </c>
      <c r="E10" s="39"/>
      <c r="F10" s="45" t="s">
        <v>16</v>
      </c>
      <c r="G10" s="39"/>
      <c r="H10" s="39"/>
      <c r="I10" s="39"/>
      <c r="J10" s="42">
        <v>2.0</v>
      </c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45" t="s">
        <v>35</v>
      </c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</row>
    <row r="11" ht="15.75" customHeight="1">
      <c r="A11" s="39"/>
      <c r="B11" s="39" t="s">
        <v>29</v>
      </c>
      <c r="C11" s="39" t="s">
        <v>37</v>
      </c>
      <c r="D11" s="44">
        <v>500.0</v>
      </c>
      <c r="E11" s="39"/>
      <c r="F11" s="45" t="s">
        <v>16</v>
      </c>
      <c r="G11" s="39"/>
      <c r="H11" s="39"/>
      <c r="I11" s="39"/>
      <c r="J11" s="42">
        <v>2.0</v>
      </c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45" t="s">
        <v>35</v>
      </c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</row>
    <row r="12" ht="15.75" customHeight="1">
      <c r="A12" s="39"/>
      <c r="B12" s="39" t="s">
        <v>30</v>
      </c>
      <c r="C12" s="39" t="s">
        <v>38</v>
      </c>
      <c r="D12" s="44">
        <v>500.0</v>
      </c>
      <c r="E12" s="39"/>
      <c r="F12" s="45" t="s">
        <v>16</v>
      </c>
      <c r="G12" s="39"/>
      <c r="H12" s="39"/>
      <c r="I12" s="39"/>
      <c r="J12" s="42">
        <v>2.0</v>
      </c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45" t="s">
        <v>35</v>
      </c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</row>
    <row r="13" ht="15.75" customHeight="1">
      <c r="A13" s="39"/>
      <c r="B13" s="39" t="s">
        <v>31</v>
      </c>
      <c r="C13" s="39" t="s">
        <v>37</v>
      </c>
      <c r="D13" s="44">
        <v>500.0</v>
      </c>
      <c r="E13" s="39"/>
      <c r="F13" s="45" t="s">
        <v>16</v>
      </c>
      <c r="G13" s="39"/>
      <c r="H13" s="39"/>
      <c r="I13" s="39"/>
      <c r="J13" s="42">
        <v>2.0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5" t="s">
        <v>35</v>
      </c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</row>
    <row r="14" ht="15.75" customHeight="1">
      <c r="A14" s="39"/>
      <c r="B14" s="39" t="s">
        <v>32</v>
      </c>
      <c r="C14" s="39" t="s">
        <v>37</v>
      </c>
      <c r="D14" s="44">
        <v>500.0</v>
      </c>
      <c r="E14" s="39"/>
      <c r="F14" s="45" t="s">
        <v>16</v>
      </c>
      <c r="G14" s="39"/>
      <c r="H14" s="39"/>
      <c r="I14" s="39"/>
      <c r="J14" s="42">
        <v>2.0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45" t="s">
        <v>35</v>
      </c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</row>
    <row r="15" ht="15.75" customHeight="1">
      <c r="A15" s="39"/>
      <c r="B15" s="42">
        <v>1.23456789E8</v>
      </c>
      <c r="C15" s="39" t="s">
        <v>37</v>
      </c>
      <c r="D15" s="44">
        <v>500.0</v>
      </c>
      <c r="E15" s="39"/>
      <c r="F15" s="45" t="s">
        <v>16</v>
      </c>
      <c r="G15" s="39"/>
      <c r="H15" s="39"/>
      <c r="I15" s="39"/>
      <c r="J15" s="42">
        <v>2.0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45" t="s">
        <v>35</v>
      </c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 t="str">
        <f>IFERROR(__xludf.DUMMYFUNCTION("""COMPUTED_VALUE"""),"Testing Type")</f>
        <v>Testing Type</v>
      </c>
      <c r="BC5" s="31" t="str">
        <f>IFERROR(__xludf.DUMMYFUNCTION("""COMPUTED_VALUE"""),"Testing Column")</f>
        <v>Testing Column</v>
      </c>
      <c r="BD5" s="31" t="str">
        <f>IFERROR(__xludf.DUMMYFUNCTION("""COMPUTED_VALUE"""),"Testing Col Value")</f>
        <v>Testing Col Value</v>
      </c>
      <c r="BE5" s="31" t="str">
        <f>IFERROR(__xludf.DUMMYFUNCTION("""COMPUTED_VALUE"""),"DuplicateRow")</f>
        <v>DuplicateRow</v>
      </c>
      <c r="BF5" s="31" t="str">
        <f>IFERROR(__xludf.DUMMYFUNCTION("""COMPUTED_VALUE"""),"DuplicateCountOnUI")</f>
        <v>DuplicateCountOnUI</v>
      </c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>
        <v>2.0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9" t="s">
        <v>29</v>
      </c>
      <c r="AJ6" s="39" t="s">
        <v>34</v>
      </c>
      <c r="AK6" s="39" t="s">
        <v>41</v>
      </c>
      <c r="AL6" s="46">
        <v>380.0</v>
      </c>
      <c r="AM6" s="46">
        <v>380.0</v>
      </c>
      <c r="AN6" s="39"/>
      <c r="AO6" s="39"/>
      <c r="AP6" s="39"/>
      <c r="AQ6" s="42">
        <v>2.0</v>
      </c>
      <c r="AR6" s="42">
        <v>2.0</v>
      </c>
      <c r="AS6" s="39"/>
      <c r="AT6" s="47" t="s">
        <v>42</v>
      </c>
    </row>
    <row r="7" ht="15.75" customHeight="1">
      <c r="A7" s="8"/>
      <c r="B7" s="8"/>
      <c r="C7" s="8"/>
      <c r="D7" s="13">
        <v>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3" t="s">
        <v>30</v>
      </c>
      <c r="AJ7" s="39" t="s">
        <v>36</v>
      </c>
      <c r="AK7" s="39" t="s">
        <v>41</v>
      </c>
      <c r="AL7" s="46">
        <v>380.0</v>
      </c>
      <c r="AM7" s="46">
        <v>380.0</v>
      </c>
      <c r="AN7" s="39"/>
      <c r="AO7" s="39"/>
      <c r="AP7" s="39"/>
      <c r="AQ7" s="42">
        <v>2.0</v>
      </c>
      <c r="AR7" s="42">
        <v>2.0</v>
      </c>
      <c r="AS7" s="39"/>
      <c r="AT7" s="47" t="s">
        <v>42</v>
      </c>
    </row>
    <row r="8" ht="15.75" customHeight="1">
      <c r="A8" s="8"/>
      <c r="B8" s="8"/>
      <c r="C8" s="8"/>
      <c r="D8" s="13">
        <v>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9" t="s">
        <v>31</v>
      </c>
      <c r="AJ8" s="43" t="s">
        <v>34</v>
      </c>
      <c r="AK8" s="39" t="s">
        <v>41</v>
      </c>
      <c r="AL8" s="46">
        <v>380.0</v>
      </c>
      <c r="AM8" s="46">
        <v>380.0</v>
      </c>
      <c r="AN8" s="39"/>
      <c r="AO8" s="39"/>
      <c r="AP8" s="39"/>
      <c r="AQ8" s="42">
        <v>2.0</v>
      </c>
      <c r="AR8" s="42">
        <v>2.0</v>
      </c>
      <c r="AS8" s="39"/>
      <c r="AT8" s="47" t="s">
        <v>42</v>
      </c>
    </row>
    <row r="9" ht="15.75" customHeight="1">
      <c r="A9" s="8"/>
      <c r="B9" s="8"/>
      <c r="C9" s="8"/>
      <c r="D9" s="13">
        <v>2.0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9" t="s">
        <v>32</v>
      </c>
      <c r="AJ9" s="43" t="s">
        <v>34</v>
      </c>
      <c r="AK9" s="39" t="s">
        <v>41</v>
      </c>
      <c r="AL9" s="46">
        <v>380.0</v>
      </c>
      <c r="AM9" s="46">
        <v>380.0</v>
      </c>
      <c r="AN9" s="39"/>
      <c r="AO9" s="39"/>
      <c r="AP9" s="39"/>
      <c r="AQ9" s="42">
        <v>2.0</v>
      </c>
      <c r="AR9" s="42">
        <v>2.0</v>
      </c>
      <c r="AS9" s="39"/>
      <c r="AT9" s="47" t="s">
        <v>42</v>
      </c>
    </row>
    <row r="10" ht="15.75" customHeight="1">
      <c r="A10" s="8"/>
      <c r="B10" s="8"/>
      <c r="C10" s="8"/>
      <c r="D10" s="13">
        <v>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48">
        <v>1.23456789E8</v>
      </c>
      <c r="AJ10" s="43" t="s">
        <v>34</v>
      </c>
      <c r="AK10" s="39" t="s">
        <v>41</v>
      </c>
      <c r="AL10" s="46">
        <v>380.0</v>
      </c>
      <c r="AM10" s="46">
        <v>380.0</v>
      </c>
      <c r="AN10" s="39"/>
      <c r="AO10" s="39"/>
      <c r="AP10" s="39"/>
      <c r="AQ10" s="42">
        <v>2.0</v>
      </c>
      <c r="AR10" s="42">
        <v>2.0</v>
      </c>
      <c r="AS10" s="39"/>
      <c r="AT10" s="47" t="s">
        <v>42</v>
      </c>
    </row>
    <row r="11" ht="15.75" customHeight="1">
      <c r="A11" s="8"/>
      <c r="B11" s="8"/>
      <c r="C11" s="8"/>
      <c r="D11" s="13">
        <v>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39" t="s">
        <v>29</v>
      </c>
      <c r="AJ11" s="45" t="s">
        <v>37</v>
      </c>
      <c r="AK11" s="39" t="s">
        <v>41</v>
      </c>
      <c r="AL11" s="46">
        <v>380.0</v>
      </c>
      <c r="AM11" s="46">
        <v>380.0</v>
      </c>
      <c r="AN11" s="39"/>
      <c r="AO11" s="39"/>
      <c r="AP11" s="39"/>
      <c r="AQ11" s="42">
        <v>2.0</v>
      </c>
      <c r="AR11" s="42">
        <v>2.0</v>
      </c>
      <c r="AS11" s="39"/>
      <c r="AT11" s="45" t="s">
        <v>42</v>
      </c>
    </row>
    <row r="12" ht="15.75" customHeight="1">
      <c r="A12" s="8"/>
      <c r="B12" s="8"/>
      <c r="C12" s="8"/>
      <c r="D12" s="13">
        <v>2.0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43" t="s">
        <v>30</v>
      </c>
      <c r="AJ12" s="39" t="s">
        <v>38</v>
      </c>
      <c r="AK12" s="39" t="s">
        <v>41</v>
      </c>
      <c r="AL12" s="46">
        <v>380.0</v>
      </c>
      <c r="AM12" s="46">
        <v>380.0</v>
      </c>
      <c r="AN12" s="39"/>
      <c r="AO12" s="39"/>
      <c r="AP12" s="39"/>
      <c r="AQ12" s="42">
        <v>2.0</v>
      </c>
      <c r="AR12" s="42">
        <v>2.0</v>
      </c>
      <c r="AS12" s="39"/>
      <c r="AT12" s="45" t="s">
        <v>42</v>
      </c>
    </row>
    <row r="13" ht="15.75" customHeight="1">
      <c r="A13" s="8"/>
      <c r="B13" s="8"/>
      <c r="C13" s="8"/>
      <c r="D13" s="13">
        <v>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39" t="s">
        <v>31</v>
      </c>
      <c r="AJ13" s="45" t="s">
        <v>37</v>
      </c>
      <c r="AK13" s="39" t="s">
        <v>41</v>
      </c>
      <c r="AL13" s="46">
        <v>380.0</v>
      </c>
      <c r="AM13" s="46">
        <v>380.0</v>
      </c>
      <c r="AN13" s="39"/>
      <c r="AO13" s="39"/>
      <c r="AP13" s="39"/>
      <c r="AQ13" s="42">
        <v>2.0</v>
      </c>
      <c r="AR13" s="42">
        <v>2.0</v>
      </c>
      <c r="AS13" s="39"/>
      <c r="AT13" s="45" t="s">
        <v>42</v>
      </c>
    </row>
    <row r="14" ht="15.75" customHeight="1">
      <c r="A14" s="8"/>
      <c r="B14" s="8"/>
      <c r="C14" s="8"/>
      <c r="D14" s="13">
        <v>2.0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39" t="s">
        <v>32</v>
      </c>
      <c r="AJ14" s="45" t="s">
        <v>37</v>
      </c>
      <c r="AK14" s="39" t="s">
        <v>41</v>
      </c>
      <c r="AL14" s="46">
        <v>380.0</v>
      </c>
      <c r="AM14" s="46">
        <v>380.0</v>
      </c>
      <c r="AN14" s="39"/>
      <c r="AO14" s="39"/>
      <c r="AP14" s="39"/>
      <c r="AQ14" s="42">
        <v>2.0</v>
      </c>
      <c r="AR14" s="42">
        <v>2.0</v>
      </c>
      <c r="AS14" s="39"/>
      <c r="AT14" s="45" t="s">
        <v>42</v>
      </c>
    </row>
    <row r="15" ht="15.75" customHeight="1">
      <c r="A15" s="8"/>
      <c r="B15" s="8"/>
      <c r="C15" s="8"/>
      <c r="D15" s="13">
        <v>2.0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I15" s="48">
        <v>1.23456789E8</v>
      </c>
      <c r="AJ15" s="45" t="s">
        <v>37</v>
      </c>
      <c r="AK15" s="39" t="s">
        <v>41</v>
      </c>
      <c r="AL15" s="46">
        <v>380.0</v>
      </c>
      <c r="AM15" s="46">
        <v>380.0</v>
      </c>
      <c r="AN15" s="39"/>
      <c r="AO15" s="39"/>
      <c r="AP15" s="39"/>
      <c r="AQ15" s="42">
        <v>2.0</v>
      </c>
      <c r="AR15" s="42">
        <v>2.0</v>
      </c>
      <c r="AS15" s="39"/>
      <c r="AT15" s="45" t="s">
        <v>42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44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</row>
    <row r="6" ht="15.75" customHeight="1">
      <c r="A6" s="13"/>
      <c r="B6" s="49" t="s">
        <v>42</v>
      </c>
      <c r="C6" s="8" t="s">
        <v>46</v>
      </c>
      <c r="D6" s="49">
        <v>0.0</v>
      </c>
      <c r="E6" s="8">
        <v>380.0</v>
      </c>
      <c r="F6" s="8" t="s">
        <v>16</v>
      </c>
      <c r="G6" s="8" t="s">
        <v>47</v>
      </c>
      <c r="H6" s="8"/>
      <c r="I6" s="8"/>
      <c r="J6" s="8"/>
      <c r="K6" s="8">
        <v>2.0</v>
      </c>
      <c r="L6" s="8">
        <v>2.0</v>
      </c>
      <c r="M6" s="8"/>
      <c r="N6" s="8"/>
      <c r="O6" s="8" t="s">
        <v>48</v>
      </c>
      <c r="T6">
        <v>0.0</v>
      </c>
      <c r="Z6" t="s">
        <v>49</v>
      </c>
      <c r="AE6">
        <v>380.0</v>
      </c>
      <c r="AF6" t="s">
        <v>46</v>
      </c>
      <c r="AH6" t="s">
        <v>50</v>
      </c>
      <c r="AI6">
        <v>1.0</v>
      </c>
      <c r="AT6">
        <v>774.0004</v>
      </c>
      <c r="AU6">
        <v>774.0004</v>
      </c>
      <c r="BE6">
        <v>760.0</v>
      </c>
      <c r="BF6">
        <v>760.0</v>
      </c>
      <c r="BJ6">
        <v>380.0</v>
      </c>
      <c r="BL6" t="s">
        <v>46</v>
      </c>
      <c r="BM6" t="s">
        <v>49</v>
      </c>
      <c r="BO6" t="s">
        <v>34</v>
      </c>
      <c r="BT6" t="s">
        <v>29</v>
      </c>
      <c r="BW6">
        <v>14.0004</v>
      </c>
      <c r="CM6" t="s">
        <v>29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EY6" t="s">
        <v>46</v>
      </c>
      <c r="EZ6" t="s">
        <v>46</v>
      </c>
      <c r="FA6" t="s">
        <v>46</v>
      </c>
      <c r="FB6" t="s">
        <v>46</v>
      </c>
      <c r="FC6" t="s">
        <v>46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</row>
    <row r="7" ht="15.75" customHeight="1">
      <c r="A7" s="8"/>
      <c r="B7" s="8" t="s">
        <v>42</v>
      </c>
      <c r="C7" s="8" t="s">
        <v>46</v>
      </c>
      <c r="D7" s="8">
        <v>0.0</v>
      </c>
      <c r="E7" s="8">
        <v>380.0</v>
      </c>
      <c r="F7" s="8" t="s">
        <v>16</v>
      </c>
      <c r="G7" s="8" t="s">
        <v>51</v>
      </c>
      <c r="H7" s="8"/>
      <c r="I7" s="8"/>
      <c r="J7" s="8"/>
      <c r="K7" s="8">
        <v>2.0</v>
      </c>
      <c r="L7" s="8">
        <v>2.0</v>
      </c>
      <c r="M7" s="8"/>
      <c r="N7" s="8"/>
      <c r="O7" s="8" t="s">
        <v>48</v>
      </c>
      <c r="T7">
        <v>0.0</v>
      </c>
      <c r="Z7" t="s">
        <v>49</v>
      </c>
      <c r="AE7">
        <v>380.0</v>
      </c>
      <c r="AF7" t="s">
        <v>46</v>
      </c>
      <c r="AH7" t="s">
        <v>50</v>
      </c>
      <c r="AI7">
        <v>1.0</v>
      </c>
      <c r="AT7">
        <v>76000.0</v>
      </c>
      <c r="AU7">
        <v>76000.0</v>
      </c>
      <c r="BE7">
        <v>76000.0</v>
      </c>
      <c r="BF7">
        <v>76000.0</v>
      </c>
      <c r="BJ7">
        <v>380.0</v>
      </c>
      <c r="BL7" t="s">
        <v>46</v>
      </c>
      <c r="BM7" t="s">
        <v>49</v>
      </c>
      <c r="BO7" t="s">
        <v>36</v>
      </c>
      <c r="BT7" t="s">
        <v>30</v>
      </c>
      <c r="BW7">
        <v>0.0</v>
      </c>
      <c r="CM7" t="s">
        <v>29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J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  <c r="DV7" t="s">
        <v>46</v>
      </c>
      <c r="DW7" t="s">
        <v>46</v>
      </c>
      <c r="DX7" t="s">
        <v>46</v>
      </c>
      <c r="DY7" t="s">
        <v>46</v>
      </c>
      <c r="DZ7" t="s">
        <v>46</v>
      </c>
      <c r="EA7" t="s">
        <v>46</v>
      </c>
      <c r="EB7" t="s">
        <v>46</v>
      </c>
      <c r="EC7" t="s">
        <v>46</v>
      </c>
      <c r="ED7" t="s">
        <v>46</v>
      </c>
      <c r="EE7" t="s">
        <v>46</v>
      </c>
      <c r="EF7" t="s">
        <v>46</v>
      </c>
      <c r="EG7" t="s">
        <v>46</v>
      </c>
      <c r="EH7" t="s">
        <v>46</v>
      </c>
      <c r="EI7" t="s">
        <v>46</v>
      </c>
      <c r="EJ7" t="s">
        <v>46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EY7" t="s">
        <v>46</v>
      </c>
      <c r="EZ7" t="s">
        <v>46</v>
      </c>
      <c r="FA7" t="s">
        <v>46</v>
      </c>
      <c r="FB7" t="s">
        <v>46</v>
      </c>
      <c r="FC7" t="s">
        <v>46</v>
      </c>
      <c r="FD7" t="s">
        <v>46</v>
      </c>
      <c r="FE7" t="s">
        <v>46</v>
      </c>
      <c r="FF7" t="s">
        <v>46</v>
      </c>
      <c r="FG7" t="s">
        <v>46</v>
      </c>
      <c r="FH7" t="s">
        <v>46</v>
      </c>
    </row>
    <row r="8" ht="15.75" customHeight="1">
      <c r="A8" s="8"/>
      <c r="B8" s="8" t="s">
        <v>42</v>
      </c>
      <c r="C8" s="8" t="s">
        <v>46</v>
      </c>
      <c r="D8" s="8">
        <v>0.0</v>
      </c>
      <c r="E8" s="8">
        <v>380.0</v>
      </c>
      <c r="F8" s="8" t="s">
        <v>16</v>
      </c>
      <c r="G8" s="8" t="s">
        <v>47</v>
      </c>
      <c r="H8" s="8"/>
      <c r="I8" s="8"/>
      <c r="J8" s="8"/>
      <c r="K8" s="8">
        <v>0.0</v>
      </c>
      <c r="L8" s="8">
        <v>2.0</v>
      </c>
      <c r="M8" s="8"/>
      <c r="N8" s="8"/>
      <c r="O8" s="8" t="s">
        <v>48</v>
      </c>
      <c r="T8">
        <v>0.0</v>
      </c>
      <c r="Z8" t="s">
        <v>52</v>
      </c>
      <c r="AE8">
        <v>380.0</v>
      </c>
      <c r="AF8" t="s">
        <v>46</v>
      </c>
      <c r="AH8" t="s">
        <v>53</v>
      </c>
      <c r="AI8">
        <v>0.0</v>
      </c>
      <c r="AT8">
        <v>0.0</v>
      </c>
      <c r="AU8">
        <v>760.0</v>
      </c>
      <c r="BE8">
        <v>0.0</v>
      </c>
      <c r="BF8">
        <v>760.0</v>
      </c>
      <c r="BJ8">
        <v>380.0</v>
      </c>
      <c r="BL8" t="s">
        <v>46</v>
      </c>
      <c r="BM8" t="s">
        <v>52</v>
      </c>
      <c r="BO8" t="s">
        <v>34</v>
      </c>
      <c r="BT8" t="s">
        <v>31</v>
      </c>
      <c r="BW8">
        <v>0.0</v>
      </c>
      <c r="CM8" t="s">
        <v>31</v>
      </c>
      <c r="CY8" t="s">
        <v>46</v>
      </c>
      <c r="CZ8" t="s">
        <v>46</v>
      </c>
      <c r="DA8" t="s">
        <v>46</v>
      </c>
      <c r="DB8" t="s">
        <v>46</v>
      </c>
      <c r="DC8" t="s">
        <v>46</v>
      </c>
      <c r="DD8" t="s">
        <v>46</v>
      </c>
      <c r="DE8" t="s">
        <v>46</v>
      </c>
      <c r="DF8" t="s">
        <v>46</v>
      </c>
      <c r="DG8" t="s">
        <v>46</v>
      </c>
      <c r="DH8" t="s">
        <v>46</v>
      </c>
      <c r="DI8" t="s">
        <v>46</v>
      </c>
      <c r="DJ8" t="s">
        <v>46</v>
      </c>
      <c r="DK8" t="s">
        <v>46</v>
      </c>
      <c r="DL8" t="s">
        <v>46</v>
      </c>
      <c r="DM8" t="s">
        <v>46</v>
      </c>
      <c r="DN8" t="s">
        <v>46</v>
      </c>
      <c r="DO8" t="s">
        <v>46</v>
      </c>
      <c r="DP8" t="s">
        <v>46</v>
      </c>
      <c r="DQ8" t="s">
        <v>46</v>
      </c>
      <c r="DR8" t="s">
        <v>46</v>
      </c>
      <c r="DS8" t="s">
        <v>46</v>
      </c>
      <c r="DT8" t="s">
        <v>46</v>
      </c>
      <c r="DU8" t="s">
        <v>46</v>
      </c>
      <c r="DV8" t="s">
        <v>46</v>
      </c>
      <c r="DW8" t="s">
        <v>46</v>
      </c>
      <c r="DX8" t="s">
        <v>46</v>
      </c>
      <c r="DY8" t="s">
        <v>46</v>
      </c>
      <c r="DZ8" t="s">
        <v>46</v>
      </c>
      <c r="EA8" t="s">
        <v>46</v>
      </c>
      <c r="EB8" t="s">
        <v>46</v>
      </c>
      <c r="EC8" t="s">
        <v>46</v>
      </c>
      <c r="ED8" t="s">
        <v>46</v>
      </c>
      <c r="EE8" t="s">
        <v>46</v>
      </c>
      <c r="EF8" t="s">
        <v>46</v>
      </c>
      <c r="EG8" t="s">
        <v>46</v>
      </c>
      <c r="EH8" t="s">
        <v>46</v>
      </c>
      <c r="EI8" t="s">
        <v>46</v>
      </c>
      <c r="EJ8" t="s">
        <v>46</v>
      </c>
      <c r="EK8" t="s">
        <v>46</v>
      </c>
      <c r="EL8" t="s">
        <v>46</v>
      </c>
      <c r="EM8" t="s">
        <v>46</v>
      </c>
      <c r="EN8" t="s">
        <v>46</v>
      </c>
      <c r="EO8" t="s">
        <v>46</v>
      </c>
      <c r="EP8" t="s">
        <v>46</v>
      </c>
      <c r="EQ8" t="s">
        <v>46</v>
      </c>
      <c r="ER8" t="s">
        <v>46</v>
      </c>
      <c r="ES8" t="s">
        <v>46</v>
      </c>
      <c r="ET8" t="s">
        <v>46</v>
      </c>
      <c r="EU8" t="s">
        <v>46</v>
      </c>
      <c r="EV8" t="s">
        <v>46</v>
      </c>
      <c r="EW8" t="s">
        <v>46</v>
      </c>
      <c r="EX8" t="s">
        <v>46</v>
      </c>
      <c r="EY8" t="s">
        <v>46</v>
      </c>
      <c r="EZ8" t="s">
        <v>46</v>
      </c>
      <c r="FA8" t="s">
        <v>46</v>
      </c>
      <c r="FB8" t="s">
        <v>46</v>
      </c>
      <c r="FC8" t="s">
        <v>46</v>
      </c>
      <c r="FD8" t="s">
        <v>46</v>
      </c>
      <c r="FE8" t="s">
        <v>46</v>
      </c>
      <c r="FF8" t="s">
        <v>46</v>
      </c>
      <c r="FG8" t="s">
        <v>46</v>
      </c>
      <c r="FH8" t="s">
        <v>46</v>
      </c>
    </row>
    <row r="9" ht="15.75" customHeight="1">
      <c r="A9" s="8"/>
      <c r="B9" s="8" t="s">
        <v>42</v>
      </c>
      <c r="C9" s="8" t="s">
        <v>46</v>
      </c>
      <c r="D9" s="8">
        <v>0.0</v>
      </c>
      <c r="E9" s="8">
        <v>380.0</v>
      </c>
      <c r="F9" s="8" t="s">
        <v>16</v>
      </c>
      <c r="G9" s="8" t="s">
        <v>54</v>
      </c>
      <c r="H9" s="8"/>
      <c r="I9" s="8"/>
      <c r="J9" s="8"/>
      <c r="K9" s="8">
        <v>2.0</v>
      </c>
      <c r="L9" s="8">
        <v>2.0</v>
      </c>
      <c r="M9" s="8"/>
      <c r="N9" s="8"/>
      <c r="O9" s="8" t="s">
        <v>48</v>
      </c>
      <c r="T9">
        <v>0.0</v>
      </c>
      <c r="Z9" t="s">
        <v>49</v>
      </c>
      <c r="AE9">
        <v>380.0</v>
      </c>
      <c r="AF9" t="s">
        <v>46</v>
      </c>
      <c r="AH9" t="s">
        <v>50</v>
      </c>
      <c r="AI9">
        <v>1.0</v>
      </c>
      <c r="AT9">
        <v>38000.0</v>
      </c>
      <c r="AU9">
        <v>38000.0</v>
      </c>
      <c r="BE9">
        <v>38000.0</v>
      </c>
      <c r="BF9">
        <v>38000.0</v>
      </c>
      <c r="BJ9">
        <v>380.0</v>
      </c>
      <c r="BL9" t="s">
        <v>46</v>
      </c>
      <c r="BM9" t="s">
        <v>49</v>
      </c>
      <c r="BO9" t="s">
        <v>34</v>
      </c>
      <c r="BT9" t="s">
        <v>32</v>
      </c>
      <c r="BW9">
        <v>0.0</v>
      </c>
      <c r="CM9" t="s">
        <v>32</v>
      </c>
      <c r="CY9" t="s">
        <v>46</v>
      </c>
      <c r="CZ9" t="s">
        <v>46</v>
      </c>
      <c r="DA9" t="s">
        <v>46</v>
      </c>
      <c r="DB9" t="s">
        <v>46</v>
      </c>
      <c r="DC9" t="s">
        <v>46</v>
      </c>
      <c r="DD9" t="s">
        <v>46</v>
      </c>
      <c r="DE9" t="s">
        <v>46</v>
      </c>
      <c r="DF9" t="s">
        <v>46</v>
      </c>
      <c r="DG9" t="s">
        <v>46</v>
      </c>
      <c r="DH9" t="s">
        <v>46</v>
      </c>
      <c r="DI9" t="s">
        <v>46</v>
      </c>
      <c r="DJ9" t="s">
        <v>46</v>
      </c>
      <c r="DK9" t="s">
        <v>46</v>
      </c>
      <c r="DL9" t="s">
        <v>46</v>
      </c>
      <c r="DM9" t="s">
        <v>46</v>
      </c>
      <c r="DN9" t="s">
        <v>46</v>
      </c>
      <c r="DO9" t="s">
        <v>46</v>
      </c>
      <c r="DP9" t="s">
        <v>46</v>
      </c>
      <c r="DQ9" t="s">
        <v>46</v>
      </c>
      <c r="DR9" t="s">
        <v>46</v>
      </c>
      <c r="DS9" t="s">
        <v>46</v>
      </c>
      <c r="DT9" t="s">
        <v>46</v>
      </c>
      <c r="DU9" t="s">
        <v>46</v>
      </c>
      <c r="DV9" t="s">
        <v>46</v>
      </c>
      <c r="DW9" t="s">
        <v>46</v>
      </c>
      <c r="DX9" t="s">
        <v>46</v>
      </c>
      <c r="DY9" t="s">
        <v>46</v>
      </c>
      <c r="DZ9" t="s">
        <v>46</v>
      </c>
      <c r="EA9" t="s">
        <v>46</v>
      </c>
      <c r="EB9" t="s">
        <v>46</v>
      </c>
      <c r="EC9" t="s">
        <v>46</v>
      </c>
      <c r="ED9" t="s">
        <v>46</v>
      </c>
      <c r="EE9" t="s">
        <v>46</v>
      </c>
      <c r="EF9" t="s">
        <v>46</v>
      </c>
      <c r="EG9" t="s">
        <v>46</v>
      </c>
      <c r="EH9" t="s">
        <v>46</v>
      </c>
      <c r="EI9" t="s">
        <v>46</v>
      </c>
      <c r="EJ9" t="s">
        <v>46</v>
      </c>
      <c r="EK9" t="s">
        <v>46</v>
      </c>
      <c r="EL9" t="s">
        <v>46</v>
      </c>
      <c r="EM9" t="s">
        <v>46</v>
      </c>
      <c r="EN9" t="s">
        <v>46</v>
      </c>
      <c r="EO9" t="s">
        <v>46</v>
      </c>
      <c r="EP9" t="s">
        <v>46</v>
      </c>
      <c r="EQ9" t="s">
        <v>46</v>
      </c>
      <c r="ER9" t="s">
        <v>46</v>
      </c>
      <c r="ES9" t="s">
        <v>46</v>
      </c>
      <c r="ET9" t="s">
        <v>46</v>
      </c>
      <c r="EU9" t="s">
        <v>46</v>
      </c>
      <c r="EV9" t="s">
        <v>46</v>
      </c>
      <c r="EW9" t="s">
        <v>46</v>
      </c>
      <c r="EX9" t="s">
        <v>46</v>
      </c>
      <c r="EY9" t="s">
        <v>46</v>
      </c>
      <c r="EZ9" t="s">
        <v>46</v>
      </c>
      <c r="FA9" t="s">
        <v>46</v>
      </c>
      <c r="FB9" t="s">
        <v>46</v>
      </c>
      <c r="FC9" t="s">
        <v>46</v>
      </c>
      <c r="FD9" t="s">
        <v>46</v>
      </c>
      <c r="FE9" t="s">
        <v>46</v>
      </c>
      <c r="FF9" t="s">
        <v>46</v>
      </c>
      <c r="FG9" t="s">
        <v>46</v>
      </c>
      <c r="FH9" t="s">
        <v>46</v>
      </c>
    </row>
    <row r="10" ht="15.75" customHeight="1">
      <c r="A10" s="8"/>
      <c r="B10" s="8" t="s">
        <v>42</v>
      </c>
      <c r="C10" s="8" t="s">
        <v>46</v>
      </c>
      <c r="D10" s="8">
        <v>0.0</v>
      </c>
      <c r="E10" s="8">
        <v>380.0</v>
      </c>
      <c r="F10" s="8" t="s">
        <v>16</v>
      </c>
      <c r="G10" s="8" t="s">
        <v>55</v>
      </c>
      <c r="H10" s="8"/>
      <c r="I10" s="8"/>
      <c r="J10" s="8"/>
      <c r="K10" s="8">
        <v>2.0</v>
      </c>
      <c r="L10" s="8">
        <v>2.0</v>
      </c>
      <c r="M10" s="8"/>
      <c r="N10" s="8"/>
      <c r="O10" s="8" t="s">
        <v>48</v>
      </c>
      <c r="T10">
        <v>0.0</v>
      </c>
      <c r="Z10" t="s">
        <v>49</v>
      </c>
      <c r="AE10">
        <v>380.0</v>
      </c>
      <c r="AF10" t="s">
        <v>46</v>
      </c>
      <c r="AH10" t="s">
        <v>50</v>
      </c>
      <c r="AI10">
        <v>1.0</v>
      </c>
      <c r="AT10">
        <v>7.6</v>
      </c>
      <c r="AU10">
        <v>7.6</v>
      </c>
      <c r="BE10">
        <v>7.6</v>
      </c>
      <c r="BF10">
        <v>7.6</v>
      </c>
      <c r="BJ10">
        <v>380.0</v>
      </c>
      <c r="BL10" t="s">
        <v>46</v>
      </c>
      <c r="BM10" t="s">
        <v>49</v>
      </c>
      <c r="BO10" t="s">
        <v>34</v>
      </c>
      <c r="BT10">
        <v>1.23456789E8</v>
      </c>
      <c r="BW10">
        <v>0.0</v>
      </c>
      <c r="CM10">
        <v>1.23456789E8</v>
      </c>
      <c r="CY10" t="s">
        <v>46</v>
      </c>
      <c r="CZ10" t="s">
        <v>46</v>
      </c>
      <c r="DA10" t="s">
        <v>46</v>
      </c>
      <c r="DB10" t="s">
        <v>46</v>
      </c>
      <c r="DC10" t="s">
        <v>46</v>
      </c>
      <c r="DD10" t="s">
        <v>46</v>
      </c>
      <c r="DE10" t="s">
        <v>46</v>
      </c>
      <c r="DF10" t="s">
        <v>46</v>
      </c>
      <c r="DG10" t="s">
        <v>46</v>
      </c>
      <c r="DH10" t="s">
        <v>46</v>
      </c>
      <c r="DI10" t="s">
        <v>46</v>
      </c>
      <c r="DJ10" t="s">
        <v>46</v>
      </c>
      <c r="DK10" t="s">
        <v>46</v>
      </c>
      <c r="DL10" t="s">
        <v>46</v>
      </c>
      <c r="DM10" t="s">
        <v>46</v>
      </c>
      <c r="DN10" t="s">
        <v>46</v>
      </c>
      <c r="DO10" t="s">
        <v>46</v>
      </c>
      <c r="DP10" t="s">
        <v>46</v>
      </c>
      <c r="DQ10" t="s">
        <v>46</v>
      </c>
      <c r="DR10" t="s">
        <v>46</v>
      </c>
      <c r="DS10" t="s">
        <v>46</v>
      </c>
      <c r="DT10" t="s">
        <v>46</v>
      </c>
      <c r="DU10" t="s">
        <v>46</v>
      </c>
      <c r="DV10" t="s">
        <v>46</v>
      </c>
      <c r="DW10" t="s">
        <v>46</v>
      </c>
      <c r="DX10" t="s">
        <v>46</v>
      </c>
      <c r="DY10" t="s">
        <v>46</v>
      </c>
      <c r="DZ10" t="s">
        <v>46</v>
      </c>
      <c r="EA10" t="s">
        <v>46</v>
      </c>
      <c r="EB10" t="s">
        <v>46</v>
      </c>
      <c r="EC10" t="s">
        <v>46</v>
      </c>
      <c r="ED10" t="s">
        <v>46</v>
      </c>
      <c r="EE10" t="s">
        <v>46</v>
      </c>
      <c r="EF10" t="s">
        <v>46</v>
      </c>
      <c r="EG10" t="s">
        <v>46</v>
      </c>
      <c r="EH10" t="s">
        <v>46</v>
      </c>
      <c r="EI10" t="s">
        <v>46</v>
      </c>
      <c r="EJ10" t="s">
        <v>46</v>
      </c>
      <c r="EK10" t="s">
        <v>46</v>
      </c>
      <c r="EL10" t="s">
        <v>46</v>
      </c>
      <c r="EM10" t="s">
        <v>46</v>
      </c>
      <c r="EN10" t="s">
        <v>46</v>
      </c>
      <c r="EO10" t="s">
        <v>46</v>
      </c>
      <c r="EP10" t="s">
        <v>46</v>
      </c>
      <c r="EQ10" t="s">
        <v>46</v>
      </c>
      <c r="ER10" t="s">
        <v>46</v>
      </c>
      <c r="ES10" t="s">
        <v>46</v>
      </c>
      <c r="ET10" t="s">
        <v>46</v>
      </c>
      <c r="EU10" t="s">
        <v>46</v>
      </c>
      <c r="EV10" t="s">
        <v>46</v>
      </c>
      <c r="EW10" t="s">
        <v>46</v>
      </c>
      <c r="EX10" t="s">
        <v>46</v>
      </c>
      <c r="EY10" t="s">
        <v>46</v>
      </c>
      <c r="EZ10" t="s">
        <v>46</v>
      </c>
      <c r="FA10" t="s">
        <v>46</v>
      </c>
      <c r="FB10" t="s">
        <v>46</v>
      </c>
      <c r="FC10" t="s">
        <v>46</v>
      </c>
      <c r="FD10" t="s">
        <v>46</v>
      </c>
      <c r="FE10" t="s">
        <v>46</v>
      </c>
      <c r="FF10" t="s">
        <v>46</v>
      </c>
      <c r="FG10" t="s">
        <v>46</v>
      </c>
      <c r="FH10" t="s">
        <v>46</v>
      </c>
    </row>
    <row r="11" ht="15.75" customHeight="1">
      <c r="A11" s="8"/>
      <c r="B11" s="8" t="s">
        <v>42</v>
      </c>
      <c r="C11" s="8" t="s">
        <v>46</v>
      </c>
      <c r="D11" s="8">
        <v>0.0</v>
      </c>
      <c r="E11" s="8">
        <v>380.0</v>
      </c>
      <c r="F11" s="8" t="s">
        <v>16</v>
      </c>
      <c r="G11" s="8" t="s">
        <v>47</v>
      </c>
      <c r="H11" s="8"/>
      <c r="I11" s="8"/>
      <c r="J11" s="8"/>
      <c r="K11" s="8">
        <v>2.0</v>
      </c>
      <c r="L11" s="8">
        <v>2.0</v>
      </c>
      <c r="M11" s="8"/>
      <c r="N11" s="8"/>
      <c r="O11" s="8" t="s">
        <v>48</v>
      </c>
      <c r="T11">
        <v>0.0</v>
      </c>
      <c r="Z11" t="s">
        <v>49</v>
      </c>
      <c r="AE11">
        <v>380.0</v>
      </c>
      <c r="AF11" t="s">
        <v>46</v>
      </c>
      <c r="AH11" t="s">
        <v>50</v>
      </c>
      <c r="AI11">
        <v>1.0</v>
      </c>
      <c r="AT11">
        <v>745.9996</v>
      </c>
      <c r="AU11">
        <v>745.9996</v>
      </c>
      <c r="BE11">
        <v>760.0</v>
      </c>
      <c r="BF11">
        <v>760.0</v>
      </c>
      <c r="BJ11">
        <v>380.0</v>
      </c>
      <c r="BL11" t="s">
        <v>46</v>
      </c>
      <c r="BM11" t="s">
        <v>49</v>
      </c>
      <c r="BO11" t="s">
        <v>37</v>
      </c>
      <c r="BT11" t="s">
        <v>29</v>
      </c>
      <c r="BW11">
        <v>14.0004</v>
      </c>
      <c r="CM11" t="s">
        <v>29</v>
      </c>
      <c r="CY11" t="s">
        <v>46</v>
      </c>
      <c r="CZ11" t="s">
        <v>46</v>
      </c>
      <c r="DA11" t="s">
        <v>46</v>
      </c>
      <c r="DB11" t="s">
        <v>46</v>
      </c>
      <c r="DC11" t="s">
        <v>46</v>
      </c>
      <c r="DD11" t="s">
        <v>46</v>
      </c>
      <c r="DE11" t="s">
        <v>46</v>
      </c>
      <c r="DF11" t="s">
        <v>46</v>
      </c>
      <c r="DG11" t="s">
        <v>46</v>
      </c>
      <c r="DH11" t="s">
        <v>46</v>
      </c>
      <c r="DI11" t="s">
        <v>46</v>
      </c>
      <c r="DJ11" t="s">
        <v>46</v>
      </c>
      <c r="DK11" t="s">
        <v>46</v>
      </c>
      <c r="DL11" t="s">
        <v>46</v>
      </c>
      <c r="DM11" t="s">
        <v>46</v>
      </c>
      <c r="DN11" t="s">
        <v>46</v>
      </c>
      <c r="DO11" t="s">
        <v>46</v>
      </c>
      <c r="DP11" t="s">
        <v>46</v>
      </c>
      <c r="DQ11" t="s">
        <v>46</v>
      </c>
      <c r="DR11" t="s">
        <v>46</v>
      </c>
      <c r="DS11" t="s">
        <v>46</v>
      </c>
      <c r="DT11" t="s">
        <v>46</v>
      </c>
      <c r="DU11" t="s">
        <v>46</v>
      </c>
      <c r="DV11" t="s">
        <v>46</v>
      </c>
      <c r="DW11" t="s">
        <v>46</v>
      </c>
      <c r="DX11" t="s">
        <v>46</v>
      </c>
      <c r="DY11" t="s">
        <v>46</v>
      </c>
      <c r="DZ11" t="s">
        <v>46</v>
      </c>
      <c r="EA11" t="s">
        <v>46</v>
      </c>
      <c r="EB11" t="s">
        <v>46</v>
      </c>
      <c r="EC11" t="s">
        <v>46</v>
      </c>
      <c r="ED11" t="s">
        <v>46</v>
      </c>
      <c r="EE11" t="s">
        <v>46</v>
      </c>
      <c r="EF11" t="s">
        <v>46</v>
      </c>
      <c r="EG11" t="s">
        <v>46</v>
      </c>
      <c r="EH11" t="s">
        <v>46</v>
      </c>
      <c r="EI11" t="s">
        <v>46</v>
      </c>
      <c r="EJ11" t="s">
        <v>46</v>
      </c>
      <c r="EK11" t="s">
        <v>46</v>
      </c>
      <c r="EL11" t="s">
        <v>46</v>
      </c>
      <c r="EM11" t="s">
        <v>46</v>
      </c>
      <c r="EN11" t="s">
        <v>46</v>
      </c>
      <c r="EO11" t="s">
        <v>46</v>
      </c>
      <c r="EP11" t="s">
        <v>46</v>
      </c>
      <c r="EQ11" t="s">
        <v>46</v>
      </c>
      <c r="ER11" t="s">
        <v>46</v>
      </c>
      <c r="ES11" t="s">
        <v>46</v>
      </c>
      <c r="ET11" t="s">
        <v>46</v>
      </c>
      <c r="EU11" t="s">
        <v>46</v>
      </c>
      <c r="EV11" t="s">
        <v>46</v>
      </c>
      <c r="EW11" t="s">
        <v>46</v>
      </c>
      <c r="EX11" t="s">
        <v>46</v>
      </c>
      <c r="EY11" t="s">
        <v>46</v>
      </c>
      <c r="EZ11" t="s">
        <v>46</v>
      </c>
      <c r="FA11" t="s">
        <v>46</v>
      </c>
      <c r="FB11" t="s">
        <v>46</v>
      </c>
      <c r="FC11" t="s">
        <v>46</v>
      </c>
      <c r="FD11" t="s">
        <v>46</v>
      </c>
      <c r="FE11" t="s">
        <v>46</v>
      </c>
      <c r="FF11" t="s">
        <v>46</v>
      </c>
      <c r="FG11" t="s">
        <v>46</v>
      </c>
      <c r="FH11" t="s">
        <v>46</v>
      </c>
    </row>
    <row r="12" ht="15.75" customHeight="1">
      <c r="A12" s="8"/>
      <c r="B12" s="8" t="s">
        <v>42</v>
      </c>
      <c r="C12" s="8" t="s">
        <v>46</v>
      </c>
      <c r="D12" s="8">
        <v>0.0</v>
      </c>
      <c r="E12" s="8">
        <v>380.0</v>
      </c>
      <c r="F12" s="8" t="s">
        <v>16</v>
      </c>
      <c r="G12" s="8" t="s">
        <v>51</v>
      </c>
      <c r="H12" s="8"/>
      <c r="I12" s="8"/>
      <c r="J12" s="8"/>
      <c r="K12" s="8">
        <v>2.0</v>
      </c>
      <c r="L12" s="8">
        <v>2.0</v>
      </c>
      <c r="M12" s="8"/>
      <c r="N12" s="8"/>
      <c r="O12" s="8" t="s">
        <v>48</v>
      </c>
      <c r="T12">
        <v>0.0</v>
      </c>
      <c r="Z12" t="s">
        <v>49</v>
      </c>
      <c r="AE12">
        <v>380.0</v>
      </c>
      <c r="AF12" t="s">
        <v>46</v>
      </c>
      <c r="AH12" t="s">
        <v>50</v>
      </c>
      <c r="AI12">
        <v>1.0</v>
      </c>
      <c r="AT12">
        <v>76000.0</v>
      </c>
      <c r="AU12">
        <v>76000.0</v>
      </c>
      <c r="BE12">
        <v>76000.0</v>
      </c>
      <c r="BF12">
        <v>76000.0</v>
      </c>
      <c r="BJ12">
        <v>380.0</v>
      </c>
      <c r="BL12" t="s">
        <v>46</v>
      </c>
      <c r="BM12" t="s">
        <v>49</v>
      </c>
      <c r="BO12" t="s">
        <v>38</v>
      </c>
      <c r="BT12" t="s">
        <v>30</v>
      </c>
      <c r="BW12">
        <v>0.0</v>
      </c>
      <c r="CM12" t="s">
        <v>29</v>
      </c>
      <c r="CY12" t="s">
        <v>46</v>
      </c>
      <c r="CZ12" t="s">
        <v>46</v>
      </c>
      <c r="DA12" t="s">
        <v>46</v>
      </c>
      <c r="DB12" t="s">
        <v>46</v>
      </c>
      <c r="DC12" t="s">
        <v>46</v>
      </c>
      <c r="DD12" t="s">
        <v>46</v>
      </c>
      <c r="DE12" t="s">
        <v>46</v>
      </c>
      <c r="DF12" t="s">
        <v>46</v>
      </c>
      <c r="DG12" t="s">
        <v>46</v>
      </c>
      <c r="DH12" t="s">
        <v>46</v>
      </c>
      <c r="DI12" t="s">
        <v>46</v>
      </c>
      <c r="DJ12" t="s">
        <v>46</v>
      </c>
      <c r="DK12" t="s">
        <v>46</v>
      </c>
      <c r="DL12" t="s">
        <v>46</v>
      </c>
      <c r="DM12" t="s">
        <v>46</v>
      </c>
      <c r="DN12" t="s">
        <v>46</v>
      </c>
      <c r="DO12" t="s">
        <v>46</v>
      </c>
      <c r="DP12" t="s">
        <v>46</v>
      </c>
      <c r="DQ12" t="s">
        <v>46</v>
      </c>
      <c r="DR12" t="s">
        <v>46</v>
      </c>
      <c r="DS12" t="s">
        <v>46</v>
      </c>
      <c r="DT12" t="s">
        <v>46</v>
      </c>
      <c r="DU12" t="s">
        <v>46</v>
      </c>
      <c r="DV12" t="s">
        <v>46</v>
      </c>
      <c r="DW12" t="s">
        <v>46</v>
      </c>
      <c r="DX12" t="s">
        <v>46</v>
      </c>
      <c r="DY12" t="s">
        <v>46</v>
      </c>
      <c r="DZ12" t="s">
        <v>46</v>
      </c>
      <c r="EA12" t="s">
        <v>46</v>
      </c>
      <c r="EB12" t="s">
        <v>46</v>
      </c>
      <c r="EC12" t="s">
        <v>46</v>
      </c>
      <c r="ED12" t="s">
        <v>46</v>
      </c>
      <c r="EE12" t="s">
        <v>46</v>
      </c>
      <c r="EF12" t="s">
        <v>46</v>
      </c>
      <c r="EG12" t="s">
        <v>46</v>
      </c>
      <c r="EH12" t="s">
        <v>46</v>
      </c>
      <c r="EI12" t="s">
        <v>46</v>
      </c>
      <c r="EJ12" t="s">
        <v>46</v>
      </c>
      <c r="EK12" t="s">
        <v>46</v>
      </c>
      <c r="EL12" t="s">
        <v>46</v>
      </c>
      <c r="EM12" t="s">
        <v>46</v>
      </c>
      <c r="EN12" t="s">
        <v>46</v>
      </c>
      <c r="EO12" t="s">
        <v>46</v>
      </c>
      <c r="EP12" t="s">
        <v>46</v>
      </c>
      <c r="EQ12" t="s">
        <v>46</v>
      </c>
      <c r="ER12" t="s">
        <v>46</v>
      </c>
      <c r="ES12" t="s">
        <v>46</v>
      </c>
      <c r="ET12" t="s">
        <v>46</v>
      </c>
      <c r="EU12" t="s">
        <v>46</v>
      </c>
      <c r="EV12" t="s">
        <v>46</v>
      </c>
      <c r="EW12" t="s">
        <v>46</v>
      </c>
      <c r="EX12" t="s">
        <v>46</v>
      </c>
      <c r="EY12" t="s">
        <v>46</v>
      </c>
      <c r="EZ12" t="s">
        <v>46</v>
      </c>
      <c r="FA12" t="s">
        <v>46</v>
      </c>
      <c r="FB12" t="s">
        <v>46</v>
      </c>
      <c r="FC12" t="s">
        <v>46</v>
      </c>
      <c r="FD12" t="s">
        <v>46</v>
      </c>
      <c r="FE12" t="s">
        <v>46</v>
      </c>
      <c r="FF12" t="s">
        <v>46</v>
      </c>
      <c r="FG12" t="s">
        <v>46</v>
      </c>
      <c r="FH12" t="s">
        <v>46</v>
      </c>
    </row>
    <row r="13" ht="15.75" customHeight="1">
      <c r="A13" s="8"/>
      <c r="B13" s="8" t="s">
        <v>42</v>
      </c>
      <c r="C13" s="8" t="s">
        <v>46</v>
      </c>
      <c r="D13" s="8">
        <v>0.0</v>
      </c>
      <c r="E13" s="8">
        <v>380.0</v>
      </c>
      <c r="F13" s="8" t="s">
        <v>16</v>
      </c>
      <c r="G13" s="8" t="s">
        <v>47</v>
      </c>
      <c r="H13" s="8"/>
      <c r="I13" s="8"/>
      <c r="J13" s="8"/>
      <c r="K13" s="8">
        <v>0.0</v>
      </c>
      <c r="L13" s="8">
        <v>2.0</v>
      </c>
      <c r="M13" s="8"/>
      <c r="N13" s="8"/>
      <c r="O13" s="8" t="s">
        <v>48</v>
      </c>
      <c r="T13">
        <v>0.0</v>
      </c>
      <c r="Z13" t="s">
        <v>52</v>
      </c>
      <c r="AE13">
        <v>380.0</v>
      </c>
      <c r="AF13" t="s">
        <v>46</v>
      </c>
      <c r="AH13" t="s">
        <v>53</v>
      </c>
      <c r="AI13">
        <v>0.0</v>
      </c>
      <c r="AT13">
        <v>0.0</v>
      </c>
      <c r="AU13">
        <v>760.0</v>
      </c>
      <c r="BE13">
        <v>0.0</v>
      </c>
      <c r="BF13">
        <v>760.0</v>
      </c>
      <c r="BJ13">
        <v>380.0</v>
      </c>
      <c r="BL13" t="s">
        <v>46</v>
      </c>
      <c r="BM13" t="s">
        <v>52</v>
      </c>
      <c r="BO13" t="s">
        <v>37</v>
      </c>
      <c r="BT13" t="s">
        <v>31</v>
      </c>
      <c r="BW13">
        <v>0.0</v>
      </c>
      <c r="CM13" t="s">
        <v>31</v>
      </c>
      <c r="CY13" t="s">
        <v>46</v>
      </c>
      <c r="CZ13" t="s">
        <v>46</v>
      </c>
      <c r="DA13" t="s">
        <v>46</v>
      </c>
      <c r="DB13" t="s">
        <v>46</v>
      </c>
      <c r="DC13" t="s">
        <v>46</v>
      </c>
      <c r="DD13" t="s">
        <v>46</v>
      </c>
      <c r="DE13" t="s">
        <v>46</v>
      </c>
      <c r="DF13" t="s">
        <v>46</v>
      </c>
      <c r="DG13" t="s">
        <v>46</v>
      </c>
      <c r="DH13" t="s">
        <v>46</v>
      </c>
      <c r="DI13" t="s">
        <v>46</v>
      </c>
      <c r="DJ13" t="s">
        <v>46</v>
      </c>
      <c r="DK13" t="s">
        <v>46</v>
      </c>
      <c r="DL13" t="s">
        <v>46</v>
      </c>
      <c r="DM13" t="s">
        <v>46</v>
      </c>
      <c r="DN13" t="s">
        <v>46</v>
      </c>
      <c r="DO13" t="s">
        <v>46</v>
      </c>
      <c r="DP13" t="s">
        <v>46</v>
      </c>
      <c r="DQ13" t="s">
        <v>46</v>
      </c>
      <c r="DR13" t="s">
        <v>46</v>
      </c>
      <c r="DS13" t="s">
        <v>46</v>
      </c>
      <c r="DT13" t="s">
        <v>46</v>
      </c>
      <c r="DU13" t="s">
        <v>46</v>
      </c>
      <c r="DV13" t="s">
        <v>46</v>
      </c>
      <c r="DW13" t="s">
        <v>46</v>
      </c>
      <c r="DX13" t="s">
        <v>46</v>
      </c>
      <c r="DY13" t="s">
        <v>46</v>
      </c>
      <c r="DZ13" t="s">
        <v>46</v>
      </c>
      <c r="EA13" t="s">
        <v>46</v>
      </c>
      <c r="EB13" t="s">
        <v>46</v>
      </c>
      <c r="EC13" t="s">
        <v>46</v>
      </c>
      <c r="ED13" t="s">
        <v>46</v>
      </c>
      <c r="EE13" t="s">
        <v>46</v>
      </c>
      <c r="EF13" t="s">
        <v>46</v>
      </c>
      <c r="EG13" t="s">
        <v>46</v>
      </c>
      <c r="EH13" t="s">
        <v>46</v>
      </c>
      <c r="EI13" t="s">
        <v>46</v>
      </c>
      <c r="EJ13" t="s">
        <v>46</v>
      </c>
      <c r="EK13" t="s">
        <v>46</v>
      </c>
      <c r="EL13" t="s">
        <v>46</v>
      </c>
      <c r="EM13" t="s">
        <v>46</v>
      </c>
      <c r="EN13" t="s">
        <v>46</v>
      </c>
      <c r="EO13" t="s">
        <v>46</v>
      </c>
      <c r="EP13" t="s">
        <v>46</v>
      </c>
      <c r="EQ13" t="s">
        <v>46</v>
      </c>
      <c r="ER13" t="s">
        <v>46</v>
      </c>
      <c r="ES13" t="s">
        <v>46</v>
      </c>
      <c r="ET13" t="s">
        <v>46</v>
      </c>
      <c r="EU13" t="s">
        <v>46</v>
      </c>
      <c r="EV13" t="s">
        <v>46</v>
      </c>
      <c r="EW13" t="s">
        <v>46</v>
      </c>
      <c r="EX13" t="s">
        <v>46</v>
      </c>
      <c r="EY13" t="s">
        <v>46</v>
      </c>
      <c r="EZ13" t="s">
        <v>46</v>
      </c>
      <c r="FA13" t="s">
        <v>46</v>
      </c>
      <c r="FB13" t="s">
        <v>46</v>
      </c>
      <c r="FC13" t="s">
        <v>46</v>
      </c>
      <c r="FD13" t="s">
        <v>46</v>
      </c>
      <c r="FE13" t="s">
        <v>46</v>
      </c>
      <c r="FF13" t="s">
        <v>46</v>
      </c>
      <c r="FG13" t="s">
        <v>46</v>
      </c>
      <c r="FH13" t="s">
        <v>46</v>
      </c>
    </row>
    <row r="14" ht="15.75" customHeight="1">
      <c r="A14" s="8"/>
      <c r="B14" s="8" t="s">
        <v>42</v>
      </c>
      <c r="C14" s="8" t="s">
        <v>46</v>
      </c>
      <c r="D14" s="8">
        <v>0.0</v>
      </c>
      <c r="E14" s="8">
        <v>380.0</v>
      </c>
      <c r="F14" s="8" t="s">
        <v>16</v>
      </c>
      <c r="G14" s="8" t="s">
        <v>54</v>
      </c>
      <c r="H14" s="8"/>
      <c r="I14" s="8"/>
      <c r="J14" s="8"/>
      <c r="K14" s="8">
        <v>2.0</v>
      </c>
      <c r="L14" s="8">
        <v>2.0</v>
      </c>
      <c r="M14" s="8"/>
      <c r="N14" s="8" t="s">
        <v>46</v>
      </c>
      <c r="O14" s="8" t="s">
        <v>48</v>
      </c>
      <c r="T14">
        <v>0.0</v>
      </c>
      <c r="Z14" t="s">
        <v>49</v>
      </c>
      <c r="AE14">
        <v>380.0</v>
      </c>
      <c r="AF14" t="s">
        <v>46</v>
      </c>
      <c r="AH14" t="s">
        <v>50</v>
      </c>
      <c r="AI14">
        <v>1.0</v>
      </c>
      <c r="AT14">
        <v>38000.0</v>
      </c>
      <c r="AU14">
        <v>38000.0</v>
      </c>
      <c r="BE14">
        <v>38000.0</v>
      </c>
      <c r="BF14">
        <v>38000.0</v>
      </c>
      <c r="BJ14">
        <v>380.0</v>
      </c>
      <c r="BL14" t="s">
        <v>46</v>
      </c>
      <c r="BM14" t="s">
        <v>49</v>
      </c>
      <c r="BO14" t="s">
        <v>37</v>
      </c>
      <c r="BT14" t="s">
        <v>32</v>
      </c>
      <c r="BW14">
        <v>0.0</v>
      </c>
      <c r="CM14" t="s">
        <v>32</v>
      </c>
      <c r="CY14" t="s">
        <v>46</v>
      </c>
      <c r="CZ14" t="s">
        <v>46</v>
      </c>
      <c r="DA14" t="s">
        <v>46</v>
      </c>
      <c r="DB14" t="s">
        <v>46</v>
      </c>
      <c r="DC14" t="s">
        <v>46</v>
      </c>
      <c r="DD14" t="s">
        <v>46</v>
      </c>
      <c r="DE14" t="s">
        <v>46</v>
      </c>
      <c r="DF14" t="s">
        <v>46</v>
      </c>
      <c r="DG14" t="s">
        <v>46</v>
      </c>
      <c r="DH14" t="s">
        <v>46</v>
      </c>
      <c r="DI14" t="s">
        <v>46</v>
      </c>
      <c r="DJ14" t="s">
        <v>46</v>
      </c>
      <c r="DK14" t="s">
        <v>46</v>
      </c>
      <c r="DL14" t="s">
        <v>46</v>
      </c>
      <c r="DM14" t="s">
        <v>46</v>
      </c>
      <c r="DN14" t="s">
        <v>46</v>
      </c>
      <c r="DO14" t="s">
        <v>46</v>
      </c>
      <c r="DP14" t="s">
        <v>46</v>
      </c>
      <c r="DQ14" t="s">
        <v>46</v>
      </c>
      <c r="DR14" t="s">
        <v>46</v>
      </c>
      <c r="DS14" t="s">
        <v>46</v>
      </c>
      <c r="DT14" t="s">
        <v>46</v>
      </c>
      <c r="DU14" t="s">
        <v>46</v>
      </c>
      <c r="DV14" t="s">
        <v>46</v>
      </c>
      <c r="DW14" t="s">
        <v>46</v>
      </c>
      <c r="DX14" t="s">
        <v>46</v>
      </c>
      <c r="DY14" t="s">
        <v>46</v>
      </c>
      <c r="DZ14" t="s">
        <v>46</v>
      </c>
      <c r="EA14" t="s">
        <v>46</v>
      </c>
      <c r="EB14" t="s">
        <v>46</v>
      </c>
      <c r="EC14" t="s">
        <v>46</v>
      </c>
      <c r="ED14" t="s">
        <v>46</v>
      </c>
      <c r="EE14" t="s">
        <v>46</v>
      </c>
      <c r="EF14" t="s">
        <v>46</v>
      </c>
      <c r="EG14" t="s">
        <v>46</v>
      </c>
      <c r="EH14" t="s">
        <v>46</v>
      </c>
      <c r="EI14" t="s">
        <v>46</v>
      </c>
      <c r="EJ14" t="s">
        <v>46</v>
      </c>
      <c r="EK14" t="s">
        <v>46</v>
      </c>
      <c r="EL14" t="s">
        <v>46</v>
      </c>
      <c r="EM14" t="s">
        <v>46</v>
      </c>
      <c r="EN14" t="s">
        <v>46</v>
      </c>
      <c r="EO14" t="s">
        <v>46</v>
      </c>
      <c r="EP14" t="s">
        <v>46</v>
      </c>
      <c r="EQ14" t="s">
        <v>46</v>
      </c>
      <c r="ER14" t="s">
        <v>46</v>
      </c>
      <c r="ES14" t="s">
        <v>46</v>
      </c>
      <c r="ET14" t="s">
        <v>46</v>
      </c>
      <c r="EU14" t="s">
        <v>46</v>
      </c>
      <c r="EV14" t="s">
        <v>46</v>
      </c>
      <c r="EW14" t="s">
        <v>46</v>
      </c>
      <c r="EX14" t="s">
        <v>46</v>
      </c>
      <c r="EY14" t="s">
        <v>46</v>
      </c>
      <c r="EZ14" t="s">
        <v>46</v>
      </c>
      <c r="FA14" t="s">
        <v>46</v>
      </c>
      <c r="FB14" t="s">
        <v>46</v>
      </c>
      <c r="FC14" t="s">
        <v>46</v>
      </c>
      <c r="FD14" t="s">
        <v>46</v>
      </c>
      <c r="FE14" t="s">
        <v>46</v>
      </c>
      <c r="FF14" t="s">
        <v>46</v>
      </c>
      <c r="FG14" t="s">
        <v>46</v>
      </c>
      <c r="FH14" t="s">
        <v>46</v>
      </c>
    </row>
    <row r="15" ht="15.75" customHeight="1">
      <c r="A15" s="8"/>
      <c r="B15" s="8" t="s">
        <v>42</v>
      </c>
      <c r="C15" s="8" t="s">
        <v>46</v>
      </c>
      <c r="D15" s="8">
        <v>0.0</v>
      </c>
      <c r="E15" s="8">
        <v>380.0</v>
      </c>
      <c r="F15" s="8" t="s">
        <v>16</v>
      </c>
      <c r="G15" s="8" t="s">
        <v>55</v>
      </c>
      <c r="H15" s="8"/>
      <c r="I15" s="8"/>
      <c r="J15" s="8"/>
      <c r="K15" s="8">
        <v>2.0</v>
      </c>
      <c r="L15" s="8">
        <v>2.0</v>
      </c>
      <c r="M15" s="8"/>
      <c r="N15" s="8" t="s">
        <v>46</v>
      </c>
      <c r="O15" s="8" t="s">
        <v>48</v>
      </c>
      <c r="T15">
        <v>0.0</v>
      </c>
      <c r="Z15" t="s">
        <v>49</v>
      </c>
      <c r="AE15">
        <v>380.0</v>
      </c>
      <c r="AF15" t="s">
        <v>46</v>
      </c>
      <c r="AH15" t="s">
        <v>50</v>
      </c>
      <c r="AI15">
        <v>1.0</v>
      </c>
      <c r="AT15">
        <v>7.6</v>
      </c>
      <c r="AU15">
        <v>7.6</v>
      </c>
      <c r="BE15">
        <v>7.6</v>
      </c>
      <c r="BF15">
        <v>7.6</v>
      </c>
      <c r="BJ15">
        <v>380.0</v>
      </c>
      <c r="BL15" t="s">
        <v>46</v>
      </c>
      <c r="BM15" t="s">
        <v>49</v>
      </c>
      <c r="BO15" t="s">
        <v>37</v>
      </c>
      <c r="BT15">
        <v>1.23456789E8</v>
      </c>
      <c r="BW15">
        <v>0.0</v>
      </c>
      <c r="CM15">
        <v>1.23456789E8</v>
      </c>
      <c r="CY15" t="s">
        <v>46</v>
      </c>
      <c r="CZ15" t="s">
        <v>46</v>
      </c>
      <c r="DA15" t="s">
        <v>46</v>
      </c>
      <c r="DB15" t="s">
        <v>46</v>
      </c>
      <c r="DC15" t="s">
        <v>46</v>
      </c>
      <c r="DD15" t="s">
        <v>46</v>
      </c>
      <c r="DE15" t="s">
        <v>46</v>
      </c>
      <c r="DF15" t="s">
        <v>46</v>
      </c>
      <c r="DG15" t="s">
        <v>46</v>
      </c>
      <c r="DH15" t="s">
        <v>46</v>
      </c>
      <c r="DI15" t="s">
        <v>46</v>
      </c>
      <c r="DJ15" t="s">
        <v>46</v>
      </c>
      <c r="DK15" t="s">
        <v>46</v>
      </c>
      <c r="DL15" t="s">
        <v>46</v>
      </c>
      <c r="DM15" t="s">
        <v>46</v>
      </c>
      <c r="DN15" t="s">
        <v>46</v>
      </c>
      <c r="DO15" t="s">
        <v>46</v>
      </c>
      <c r="DP15" t="s">
        <v>46</v>
      </c>
      <c r="DQ15" t="s">
        <v>46</v>
      </c>
      <c r="DR15" t="s">
        <v>46</v>
      </c>
      <c r="DS15" t="s">
        <v>46</v>
      </c>
      <c r="DT15" t="s">
        <v>46</v>
      </c>
      <c r="DU15" t="s">
        <v>46</v>
      </c>
      <c r="DV15" t="s">
        <v>46</v>
      </c>
      <c r="DW15" t="s">
        <v>46</v>
      </c>
      <c r="DX15" t="s">
        <v>46</v>
      </c>
      <c r="DY15" t="s">
        <v>46</v>
      </c>
      <c r="DZ15" t="s">
        <v>46</v>
      </c>
      <c r="EA15" t="s">
        <v>46</v>
      </c>
      <c r="EB15" t="s">
        <v>46</v>
      </c>
      <c r="EC15" t="s">
        <v>46</v>
      </c>
      <c r="ED15" t="s">
        <v>46</v>
      </c>
      <c r="EE15" t="s">
        <v>46</v>
      </c>
      <c r="EF15" t="s">
        <v>46</v>
      </c>
      <c r="EG15" t="s">
        <v>46</v>
      </c>
      <c r="EH15" t="s">
        <v>46</v>
      </c>
      <c r="EI15" t="s">
        <v>46</v>
      </c>
      <c r="EJ15" t="s">
        <v>46</v>
      </c>
      <c r="EK15" t="s">
        <v>46</v>
      </c>
      <c r="EL15" t="s">
        <v>46</v>
      </c>
      <c r="EM15" t="s">
        <v>46</v>
      </c>
      <c r="EN15" t="s">
        <v>46</v>
      </c>
      <c r="EO15" t="s">
        <v>46</v>
      </c>
      <c r="EP15" t="s">
        <v>46</v>
      </c>
      <c r="EQ15" t="s">
        <v>46</v>
      </c>
      <c r="ER15" t="s">
        <v>46</v>
      </c>
      <c r="ES15" t="s">
        <v>46</v>
      </c>
      <c r="ET15" t="s">
        <v>46</v>
      </c>
      <c r="EU15" t="s">
        <v>46</v>
      </c>
      <c r="EV15" t="s">
        <v>46</v>
      </c>
      <c r="EW15" t="s">
        <v>46</v>
      </c>
      <c r="EX15" t="s">
        <v>46</v>
      </c>
      <c r="EY15" t="s">
        <v>46</v>
      </c>
      <c r="EZ15" t="s">
        <v>46</v>
      </c>
      <c r="FA15" t="s">
        <v>46</v>
      </c>
      <c r="FB15" t="s">
        <v>46</v>
      </c>
      <c r="FC15" t="s">
        <v>46</v>
      </c>
      <c r="FD15" t="s">
        <v>46</v>
      </c>
      <c r="FE15" t="s">
        <v>46</v>
      </c>
      <c r="FF15" t="s">
        <v>46</v>
      </c>
      <c r="FG15" t="s">
        <v>46</v>
      </c>
      <c r="FH15" t="s">
        <v>46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39"/>
      <c r="B17" s="39"/>
      <c r="C17" s="39"/>
      <c r="D17" s="42"/>
      <c r="E17" s="42"/>
      <c r="F17" s="39"/>
      <c r="G17" s="39"/>
      <c r="H17" s="39"/>
      <c r="I17" s="39"/>
      <c r="J17" s="39"/>
      <c r="K17" s="42"/>
      <c r="L17" s="42"/>
      <c r="M17" s="39"/>
      <c r="N17" s="39"/>
      <c r="O17" s="39"/>
      <c r="P17" s="39"/>
      <c r="Q17" s="39"/>
      <c r="R17" s="39"/>
      <c r="S17" s="39"/>
      <c r="T17" s="48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48"/>
      <c r="AF17" s="39"/>
      <c r="AG17" s="39"/>
      <c r="AH17" s="39"/>
      <c r="AI17" s="48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48"/>
      <c r="AU17" s="48"/>
      <c r="AV17" s="39"/>
      <c r="AW17" s="39"/>
      <c r="AX17" s="39"/>
      <c r="AY17" s="39"/>
      <c r="AZ17" s="39"/>
      <c r="BA17" s="39"/>
      <c r="BB17" s="39"/>
      <c r="BC17" s="39"/>
      <c r="BD17" s="39"/>
      <c r="BE17" s="48"/>
      <c r="BF17" s="48"/>
      <c r="BG17" s="39"/>
      <c r="BH17" s="39"/>
      <c r="BI17" s="39"/>
      <c r="BJ17" s="48"/>
      <c r="BK17" s="39"/>
      <c r="BL17" s="39"/>
      <c r="BM17" s="39"/>
      <c r="BN17" s="39"/>
      <c r="BO17" s="39"/>
      <c r="BP17" s="39"/>
      <c r="BQ17" s="39"/>
      <c r="BR17" s="39"/>
      <c r="BS17" s="39"/>
      <c r="BT17" s="48"/>
      <c r="BU17" s="39"/>
      <c r="BV17" s="39"/>
      <c r="BW17" s="48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48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  <c r="IW17" s="39"/>
      <c r="IX17" s="39"/>
      <c r="IY17" s="39"/>
      <c r="IZ17" s="39"/>
      <c r="JA17" s="39"/>
      <c r="JB17" s="39"/>
      <c r="JC17" s="39"/>
      <c r="JD17" s="39"/>
      <c r="JE17" s="39"/>
      <c r="JF17" s="39"/>
      <c r="JG17" s="39"/>
      <c r="JH17" s="39"/>
      <c r="JI17" s="39"/>
      <c r="JJ17" s="39"/>
      <c r="JK17" s="39"/>
      <c r="JL17" s="39"/>
      <c r="JM17" s="39"/>
      <c r="JN17" s="39"/>
      <c r="JO17" s="39"/>
      <c r="JP17" s="39"/>
      <c r="JQ17" s="39"/>
      <c r="JR17" s="39"/>
      <c r="JS17" s="39"/>
      <c r="JT17" s="39"/>
      <c r="JU17" s="39"/>
      <c r="JV17" s="39"/>
      <c r="JW17" s="39"/>
      <c r="JX17" s="39"/>
      <c r="JY17" s="39"/>
      <c r="JZ17" s="39"/>
      <c r="KA17" s="39"/>
      <c r="KB17" s="39"/>
      <c r="KC17" s="39"/>
      <c r="KD17" s="39"/>
      <c r="KE17" s="39"/>
      <c r="KF17" s="39"/>
      <c r="KG17" s="39"/>
      <c r="KH17" s="39"/>
      <c r="KI17" s="39"/>
      <c r="KJ17" s="39"/>
      <c r="KK17" s="39"/>
      <c r="KL17" s="39"/>
      <c r="KM17" s="39"/>
      <c r="KN17" s="39"/>
      <c r="KO17" s="39"/>
      <c r="KP17" s="39"/>
      <c r="KQ17" s="39"/>
      <c r="KR17" s="39"/>
      <c r="KS17" s="39"/>
      <c r="KT17" s="39"/>
      <c r="KU17" s="39"/>
      <c r="KV17" s="39"/>
      <c r="KW17" s="39"/>
      <c r="KX17" s="39"/>
      <c r="KY17" s="39"/>
      <c r="KZ17" s="39"/>
      <c r="LA17" s="39"/>
      <c r="LB17" s="39"/>
      <c r="LC17" s="39"/>
      <c r="LD17" s="39"/>
      <c r="LE17" s="39"/>
      <c r="LF17" s="39"/>
      <c r="LG17" s="39"/>
      <c r="LH17" s="39"/>
      <c r="LI17" s="39"/>
      <c r="LJ17" s="39"/>
      <c r="LK17" s="39"/>
      <c r="LL17" s="39"/>
      <c r="LM17" s="39"/>
      <c r="LN17" s="39"/>
      <c r="LO17" s="39"/>
      <c r="LP17" s="39"/>
      <c r="LQ17" s="39"/>
      <c r="LR17" s="39"/>
      <c r="LS17" s="39"/>
      <c r="LT17" s="39"/>
      <c r="LU17" s="39"/>
      <c r="LV17" s="39"/>
      <c r="LW17" s="39"/>
      <c r="LX17" s="39"/>
      <c r="LY17" s="39"/>
      <c r="LZ17" s="39"/>
      <c r="MA17" s="39"/>
      <c r="MB17" s="39"/>
      <c r="MC17" s="39"/>
      <c r="MD17" s="39"/>
      <c r="ME17" s="39"/>
      <c r="MF17" s="39"/>
      <c r="MG17" s="39"/>
      <c r="MH17" s="39"/>
      <c r="MI17" s="39"/>
      <c r="MJ17" s="39"/>
      <c r="MK17" s="39"/>
      <c r="ML17" s="39"/>
      <c r="MM17" s="39"/>
      <c r="MN17" s="39"/>
      <c r="MO17" s="39"/>
      <c r="MP17" s="39"/>
      <c r="MQ17" s="39"/>
      <c r="MR17" s="39"/>
      <c r="MS17" s="39"/>
      <c r="MT17" s="39"/>
      <c r="MU17" s="39"/>
      <c r="MV17" s="39"/>
      <c r="MW17" s="39"/>
      <c r="MX17" s="39"/>
      <c r="MY17" s="39"/>
      <c r="MZ17" s="39"/>
      <c r="NA17" s="39"/>
      <c r="NB17" s="39"/>
      <c r="NC17" s="39"/>
      <c r="ND17" s="39"/>
      <c r="NE17" s="39"/>
      <c r="NF17" s="39"/>
      <c r="NG17" s="39"/>
      <c r="NH17" s="39"/>
      <c r="NI17" s="39"/>
      <c r="NJ17" s="39"/>
      <c r="NK17" s="39"/>
      <c r="NL17" s="39"/>
      <c r="NM17" s="39"/>
      <c r="NN17" s="39"/>
      <c r="NO17" s="39"/>
      <c r="NP17" s="39"/>
      <c r="NQ17" s="39"/>
      <c r="NR17" s="39"/>
      <c r="NS17" s="39"/>
      <c r="NT17" s="39"/>
      <c r="NU17" s="39"/>
      <c r="NV17" s="39"/>
      <c r="NW17" s="39"/>
      <c r="NX17" s="39"/>
      <c r="NY17" s="39"/>
      <c r="NZ17" s="39"/>
      <c r="OA17" s="39"/>
      <c r="OB17" s="39"/>
      <c r="OC17" s="39"/>
      <c r="OD17" s="39"/>
      <c r="OE17" s="39"/>
      <c r="OF17" s="39"/>
      <c r="OG17" s="39"/>
      <c r="OH17" s="39"/>
      <c r="OI17" s="39"/>
      <c r="OJ17" s="39"/>
      <c r="OK17" s="39"/>
      <c r="OL17" s="39"/>
      <c r="OM17" s="39"/>
      <c r="ON17" s="39"/>
      <c r="OO17" s="39"/>
      <c r="OP17" s="39"/>
      <c r="OQ17" s="39"/>
      <c r="OR17" s="39"/>
      <c r="OS17" s="39"/>
      <c r="OT17" s="39"/>
      <c r="OU17" s="39"/>
      <c r="OV17" s="39"/>
      <c r="OW17" s="39"/>
      <c r="OX17" s="39"/>
      <c r="OY17" s="39"/>
      <c r="OZ17" s="39"/>
      <c r="PA17" s="39"/>
      <c r="PB17" s="39"/>
      <c r="PC17" s="39"/>
      <c r="PD17" s="39"/>
      <c r="PE17" s="39"/>
      <c r="PF17" s="39"/>
      <c r="PG17" s="39"/>
      <c r="PH17" s="39"/>
      <c r="PI17" s="39"/>
      <c r="PJ17" s="39"/>
      <c r="PK17" s="39"/>
      <c r="PL17" s="39"/>
      <c r="PM17" s="39"/>
      <c r="PN17" s="39"/>
      <c r="PO17" s="39"/>
      <c r="PP17" s="39"/>
      <c r="PQ17" s="39"/>
      <c r="PR17" s="39"/>
      <c r="PS17" s="39"/>
      <c r="PT17" s="39"/>
      <c r="PU17" s="39"/>
      <c r="PV17" s="39"/>
      <c r="PW17" s="39"/>
      <c r="PX17" s="39"/>
      <c r="PY17" s="39"/>
      <c r="PZ17" s="39"/>
      <c r="QA17" s="39"/>
      <c r="QB17" s="39"/>
      <c r="QC17" s="39"/>
      <c r="QD17" s="39"/>
      <c r="QE17" s="39"/>
      <c r="QF17" s="39"/>
      <c r="QG17" s="39"/>
      <c r="QH17" s="39"/>
      <c r="QI17" s="39"/>
      <c r="QJ17" s="39"/>
      <c r="QK17" s="39"/>
      <c r="QL17" s="39"/>
      <c r="QM17" s="39"/>
      <c r="QN17" s="39"/>
      <c r="QO17" s="39"/>
      <c r="QP17" s="39"/>
      <c r="QQ17" s="39"/>
      <c r="QR17" s="39"/>
      <c r="QS17" s="39"/>
      <c r="QT17" s="39"/>
      <c r="QU17" s="39"/>
      <c r="QV17" s="39"/>
      <c r="QW17" s="39"/>
      <c r="QX17" s="39"/>
      <c r="QY17" s="39"/>
      <c r="QZ17" s="39"/>
      <c r="RA17" s="39"/>
      <c r="RB17" s="39"/>
      <c r="RC17" s="39"/>
      <c r="RD17" s="39"/>
      <c r="RE17" s="39"/>
      <c r="RF17" s="39"/>
      <c r="RG17" s="39"/>
      <c r="RH17" s="39"/>
      <c r="RI17" s="39"/>
      <c r="RJ17" s="39"/>
      <c r="RK17" s="39"/>
      <c r="RL17" s="39"/>
      <c r="RM17" s="39"/>
      <c r="RN17" s="39"/>
      <c r="RO17" s="39"/>
      <c r="RP17" s="39"/>
      <c r="RQ17" s="39"/>
      <c r="RR17" s="39"/>
      <c r="RS17" s="39"/>
      <c r="RT17" s="39"/>
      <c r="RU17" s="39"/>
      <c r="RV17" s="39"/>
      <c r="RW17" s="39"/>
      <c r="RX17" s="39"/>
      <c r="RY17" s="39"/>
      <c r="RZ17" s="39"/>
      <c r="SA17" s="39"/>
      <c r="SB17" s="39"/>
      <c r="SC17" s="39"/>
      <c r="SD17" s="39"/>
      <c r="SE17" s="39"/>
      <c r="SF17" s="39"/>
      <c r="SG17" s="39"/>
      <c r="SH17" s="39"/>
      <c r="SI17" s="39"/>
      <c r="SJ17" s="39"/>
      <c r="SK17" s="39"/>
      <c r="SL17" s="39"/>
      <c r="SM17" s="39"/>
      <c r="SN17" s="39"/>
      <c r="SO17" s="39"/>
      <c r="SP17" s="39"/>
      <c r="SQ17" s="39"/>
      <c r="SR17" s="39"/>
      <c r="SS17" s="39"/>
      <c r="ST17" s="39"/>
      <c r="SU17" s="39"/>
      <c r="SV17" s="39"/>
      <c r="SW17" s="39"/>
      <c r="SX17" s="39"/>
      <c r="SY17" s="39"/>
      <c r="SZ17" s="39"/>
      <c r="TA17" s="39"/>
      <c r="TB17" s="39"/>
      <c r="TC17" s="39"/>
      <c r="TD17" s="39"/>
      <c r="TE17" s="39"/>
      <c r="TF17" s="39"/>
      <c r="TG17" s="39"/>
      <c r="TH17" s="39"/>
      <c r="TI17" s="39"/>
      <c r="TJ17" s="39"/>
      <c r="TK17" s="39"/>
      <c r="TL17" s="39"/>
      <c r="TM17" s="39"/>
      <c r="TN17" s="39"/>
      <c r="TO17" s="39"/>
      <c r="TP17" s="39"/>
      <c r="TQ17" s="39"/>
      <c r="TR17" s="39"/>
      <c r="TS17" s="39"/>
      <c r="TT17" s="39"/>
      <c r="TU17" s="39"/>
      <c r="TV17" s="39"/>
      <c r="TW17" s="39"/>
      <c r="TX17" s="39"/>
      <c r="TY17" s="39"/>
      <c r="TZ17" s="39"/>
      <c r="UA17" s="39"/>
      <c r="UB17" s="39"/>
      <c r="UC17" s="39"/>
      <c r="UD17" s="39"/>
      <c r="UE17" s="39"/>
      <c r="UF17" s="39"/>
      <c r="UG17" s="39"/>
      <c r="UH17" s="39"/>
      <c r="UI17" s="39"/>
      <c r="UJ17" s="39"/>
      <c r="UK17" s="39"/>
      <c r="UL17" s="39"/>
      <c r="UM17" s="39"/>
      <c r="UN17" s="39"/>
      <c r="UO17" s="39"/>
      <c r="UP17" s="39"/>
      <c r="UQ17" s="39"/>
      <c r="UR17" s="39"/>
      <c r="US17" s="39"/>
      <c r="UT17" s="39"/>
      <c r="UU17" s="39"/>
      <c r="UV17" s="39"/>
      <c r="UW17" s="39"/>
      <c r="UX17" s="39"/>
      <c r="UY17" s="39"/>
      <c r="UZ17" s="39"/>
      <c r="VA17" s="39"/>
      <c r="VB17" s="39"/>
      <c r="VC17" s="39"/>
      <c r="VD17" s="39"/>
      <c r="VE17" s="39"/>
      <c r="VF17" s="39"/>
      <c r="VG17" s="39"/>
      <c r="VH17" s="39"/>
      <c r="VI17" s="39"/>
      <c r="VJ17" s="39"/>
      <c r="VK17" s="39"/>
      <c r="VL17" s="39"/>
      <c r="VM17" s="39"/>
      <c r="VN17" s="39"/>
      <c r="VO17" s="39"/>
      <c r="VP17" s="39"/>
      <c r="VQ17" s="39"/>
      <c r="VR17" s="39"/>
      <c r="VS17" s="39"/>
      <c r="VT17" s="39"/>
      <c r="VU17" s="39"/>
      <c r="VV17" s="39"/>
      <c r="VW17" s="39"/>
      <c r="VX17" s="39"/>
      <c r="VY17" s="39"/>
      <c r="VZ17" s="39"/>
      <c r="WA17" s="39"/>
      <c r="WB17" s="39"/>
      <c r="WC17" s="39"/>
      <c r="WD17" s="39"/>
      <c r="WE17" s="39"/>
      <c r="WF17" s="39"/>
      <c r="WG17" s="39"/>
      <c r="WH17" s="39"/>
      <c r="WI17" s="39"/>
      <c r="WJ17" s="39"/>
      <c r="WK17" s="39"/>
      <c r="WL17" s="39"/>
      <c r="WM17" s="39"/>
      <c r="WN17" s="39"/>
      <c r="WO17" s="39"/>
      <c r="WP17" s="39"/>
      <c r="WQ17" s="39"/>
      <c r="WR17" s="39"/>
      <c r="WS17" s="39"/>
      <c r="WT17" s="39"/>
      <c r="WU17" s="39"/>
      <c r="WV17" s="39"/>
      <c r="WW17" s="39"/>
      <c r="WX17" s="39"/>
      <c r="WY17" s="39"/>
      <c r="WZ17" s="39"/>
      <c r="XA17" s="39"/>
      <c r="XB17" s="39"/>
      <c r="XC17" s="39"/>
      <c r="XD17" s="39"/>
      <c r="XE17" s="39"/>
      <c r="XF17" s="39"/>
      <c r="XG17" s="39"/>
      <c r="XH17" s="39"/>
      <c r="XI17" s="39"/>
      <c r="XJ17" s="39"/>
      <c r="XK17" s="39"/>
      <c r="XL17" s="39"/>
      <c r="XM17" s="39"/>
      <c r="XN17" s="39"/>
      <c r="XO17" s="39"/>
      <c r="XP17" s="39"/>
      <c r="XQ17" s="39"/>
      <c r="XR17" s="39"/>
      <c r="XS17" s="39"/>
      <c r="XT17" s="39"/>
      <c r="XU17" s="39"/>
      <c r="XV17" s="39"/>
      <c r="XW17" s="39"/>
      <c r="XX17" s="39"/>
      <c r="XY17" s="39"/>
      <c r="XZ17" s="39"/>
      <c r="YA17" s="39"/>
      <c r="YB17" s="39"/>
      <c r="YC17" s="39"/>
      <c r="YD17" s="39"/>
      <c r="YE17" s="39"/>
      <c r="YF17" s="39"/>
      <c r="YG17" s="39"/>
      <c r="YH17" s="39"/>
      <c r="YI17" s="39"/>
      <c r="YJ17" s="39"/>
      <c r="YK17" s="39"/>
      <c r="YL17" s="39"/>
      <c r="YM17" s="39"/>
      <c r="YN17" s="39"/>
      <c r="YO17" s="39"/>
      <c r="YP17" s="39"/>
      <c r="YQ17" s="39"/>
      <c r="YR17" s="39"/>
      <c r="YS17" s="39"/>
      <c r="YT17" s="39"/>
      <c r="YU17" s="39"/>
      <c r="YV17" s="39"/>
      <c r="YW17" s="39"/>
      <c r="YX17" s="39"/>
      <c r="YY17" s="39"/>
      <c r="YZ17" s="39"/>
      <c r="ZA17" s="39"/>
      <c r="ZB17" s="39"/>
      <c r="ZC17" s="39"/>
      <c r="ZD17" s="39"/>
      <c r="ZE17" s="39"/>
      <c r="ZF17" s="39"/>
      <c r="ZG17" s="39"/>
      <c r="ZH17" s="39"/>
      <c r="ZI17" s="39"/>
      <c r="ZJ17" s="39"/>
      <c r="ZK17" s="39"/>
      <c r="ZL17" s="39"/>
      <c r="ZM17" s="39"/>
      <c r="ZN17" s="39"/>
      <c r="ZO17" s="39"/>
      <c r="ZP17" s="39"/>
      <c r="ZQ17" s="39"/>
      <c r="ZR17" s="39"/>
      <c r="ZS17" s="39"/>
      <c r="ZT17" s="39"/>
      <c r="ZU17" s="39"/>
      <c r="ZV17" s="39"/>
      <c r="ZW17" s="39"/>
      <c r="ZX17" s="39"/>
      <c r="ZY17" s="39"/>
      <c r="ZZ17" s="39"/>
      <c r="AAA17" s="39"/>
      <c r="AAB17" s="39"/>
      <c r="AAC17" s="39"/>
      <c r="AAD17" s="39"/>
      <c r="AAE17" s="39"/>
      <c r="AAF17" s="39"/>
      <c r="AAG17" s="39"/>
      <c r="AAH17" s="39"/>
      <c r="AAI17" s="39"/>
      <c r="AAJ17" s="39"/>
      <c r="AAK17" s="39"/>
      <c r="AAL17" s="39"/>
      <c r="AAM17" s="39"/>
      <c r="AAN17" s="39"/>
      <c r="AAO17" s="39"/>
      <c r="AAP17" s="39"/>
      <c r="AAQ17" s="39"/>
      <c r="AAR17" s="39"/>
      <c r="AAS17" s="39"/>
      <c r="AAT17" s="39"/>
      <c r="AAU17" s="39"/>
      <c r="AAV17" s="39"/>
      <c r="AAW17" s="39"/>
      <c r="AAX17" s="39"/>
      <c r="AAY17" s="39"/>
      <c r="AAZ17" s="39"/>
      <c r="ABA17" s="39"/>
      <c r="ABB17" s="39"/>
      <c r="ABC17" s="39"/>
      <c r="ABD17" s="39"/>
      <c r="ABE17" s="39"/>
      <c r="ABF17" s="39"/>
      <c r="ABG17" s="39"/>
      <c r="ABH17" s="39"/>
      <c r="ABI17" s="39"/>
      <c r="ABJ17" s="39"/>
      <c r="ABK17" s="39"/>
      <c r="ABL17" s="39"/>
      <c r="ABM17" s="39"/>
      <c r="ABN17" s="39"/>
      <c r="ABO17" s="39"/>
      <c r="ABP17" s="39"/>
      <c r="ABQ17" s="39"/>
      <c r="ABR17" s="39"/>
      <c r="ABS17" s="39"/>
      <c r="ABT17" s="39"/>
      <c r="ABU17" s="39"/>
      <c r="ABV17" s="39"/>
      <c r="ABW17" s="39"/>
      <c r="ABX17" s="39"/>
      <c r="ABY17" s="39"/>
      <c r="ABZ17" s="39"/>
      <c r="ACA17" s="39"/>
      <c r="ACB17" s="39"/>
      <c r="ACC17" s="39"/>
      <c r="ACD17" s="39"/>
      <c r="ACE17" s="39"/>
      <c r="ACF17" s="39"/>
      <c r="ACG17" s="39"/>
      <c r="ACH17" s="39"/>
      <c r="ACI17" s="39"/>
      <c r="ACJ17" s="39"/>
      <c r="ACK17" s="39"/>
      <c r="ACL17" s="39"/>
      <c r="ACM17" s="39"/>
      <c r="ACN17" s="39"/>
      <c r="ACO17" s="39"/>
      <c r="ACP17" s="39"/>
      <c r="ACQ17" s="39"/>
      <c r="ACR17" s="39"/>
      <c r="ACS17" s="39"/>
      <c r="ACT17" s="39"/>
      <c r="ACU17" s="39"/>
      <c r="ACV17" s="39"/>
      <c r="ACW17" s="39"/>
      <c r="ACX17" s="39"/>
      <c r="ACY17" s="39"/>
      <c r="ACZ17" s="39"/>
      <c r="ADA17" s="39"/>
      <c r="ADB17" s="39"/>
      <c r="ADC17" s="39"/>
      <c r="ADD17" s="39"/>
      <c r="ADE17" s="39"/>
      <c r="ADF17" s="39"/>
      <c r="ADG17" s="39"/>
      <c r="ADH17" s="39"/>
      <c r="ADI17" s="39"/>
      <c r="ADJ17" s="39"/>
      <c r="ADK17" s="39"/>
      <c r="ADL17" s="39"/>
      <c r="ADM17" s="39"/>
      <c r="ADN17" s="39"/>
      <c r="ADO17" s="39"/>
      <c r="ADP17" s="39"/>
      <c r="ADQ17" s="39"/>
      <c r="ADR17" s="39"/>
      <c r="ADS17" s="39"/>
      <c r="ADT17" s="39"/>
      <c r="ADU17" s="39"/>
      <c r="ADV17" s="39"/>
      <c r="ADW17" s="39"/>
      <c r="ADX17" s="39"/>
      <c r="ADY17" s="39"/>
      <c r="ADZ17" s="39"/>
      <c r="AEA17" s="39"/>
      <c r="AEB17" s="39"/>
      <c r="AEC17" s="39"/>
      <c r="AED17" s="39"/>
      <c r="AEE17" s="39"/>
      <c r="AEF17" s="39"/>
      <c r="AEG17" s="39"/>
      <c r="AEH17" s="39"/>
      <c r="AEI17" s="39"/>
      <c r="AEJ17" s="39"/>
      <c r="AEK17" s="39"/>
      <c r="AEL17" s="39"/>
      <c r="AEM17" s="39"/>
      <c r="AEN17" s="39"/>
      <c r="AEO17" s="39"/>
      <c r="AEP17" s="39"/>
      <c r="AEQ17" s="39"/>
      <c r="AER17" s="39"/>
      <c r="AES17" s="39"/>
      <c r="AET17" s="39"/>
      <c r="AEU17" s="39"/>
      <c r="AEV17" s="39"/>
      <c r="AEW17" s="39"/>
      <c r="AEX17" s="39"/>
      <c r="AEY17" s="39"/>
      <c r="AEZ17" s="39"/>
      <c r="AFA17" s="39"/>
      <c r="AFB17" s="39"/>
      <c r="AFC17" s="39"/>
      <c r="AFD17" s="39"/>
      <c r="AFE17" s="39"/>
      <c r="AFF17" s="39"/>
      <c r="AFG17" s="39"/>
      <c r="AFH17" s="39"/>
      <c r="AFI17" s="39"/>
      <c r="AFJ17" s="39"/>
      <c r="AFK17" s="39"/>
      <c r="AFL17" s="39"/>
      <c r="AFM17" s="39"/>
      <c r="AFN17" s="39"/>
      <c r="AFO17" s="39"/>
      <c r="AFP17" s="39"/>
      <c r="AFQ17" s="39"/>
      <c r="AFR17" s="39"/>
      <c r="AFS17" s="39"/>
      <c r="AFT17" s="39"/>
      <c r="AFU17" s="39"/>
      <c r="AFV17" s="39"/>
      <c r="AFW17" s="39"/>
      <c r="AFX17" s="39"/>
      <c r="AFY17" s="39"/>
      <c r="AFZ17" s="39"/>
      <c r="AGA17" s="39"/>
      <c r="AGB17" s="39"/>
      <c r="AGC17" s="39"/>
      <c r="AGD17" s="39"/>
      <c r="AGE17" s="39"/>
      <c r="AGF17" s="39"/>
      <c r="AGG17" s="39"/>
      <c r="AGH17" s="39"/>
      <c r="AGI17" s="39"/>
      <c r="AGJ17" s="39"/>
      <c r="AGK17" s="39"/>
      <c r="AGL17" s="39"/>
      <c r="AGM17" s="39"/>
      <c r="AGN17" s="39"/>
      <c r="AGO17" s="39"/>
      <c r="AGP17" s="39"/>
      <c r="AGQ17" s="39"/>
      <c r="AGR17" s="39"/>
      <c r="AGS17" s="39"/>
      <c r="AGT17" s="39"/>
      <c r="AGU17" s="39"/>
      <c r="AGV17" s="39"/>
      <c r="AGW17" s="39"/>
      <c r="AGX17" s="39"/>
      <c r="AGY17" s="39"/>
      <c r="AGZ17" s="39"/>
      <c r="AHA17" s="39"/>
      <c r="AHB17" s="39"/>
      <c r="AHC17" s="39"/>
      <c r="AHD17" s="39"/>
      <c r="AHE17" s="39"/>
      <c r="AHF17" s="39"/>
      <c r="AHG17" s="39"/>
      <c r="AHH17" s="39"/>
      <c r="AHI17" s="39"/>
      <c r="AHJ17" s="39"/>
      <c r="AHK17" s="39"/>
      <c r="AHL17" s="39"/>
      <c r="AHM17" s="39"/>
      <c r="AHN17" s="39"/>
      <c r="AHO17" s="39"/>
      <c r="AHP17" s="39"/>
      <c r="AHQ17" s="39"/>
      <c r="AHR17" s="39"/>
      <c r="AHS17" s="39"/>
      <c r="AHT17" s="39"/>
      <c r="AHU17" s="39"/>
      <c r="AHV17" s="39"/>
      <c r="AHW17" s="39"/>
      <c r="AHX17" s="39"/>
      <c r="AHY17" s="39"/>
      <c r="AHZ17" s="39"/>
      <c r="AIA17" s="39"/>
      <c r="AIB17" s="39"/>
      <c r="AIC17" s="39"/>
      <c r="AID17" s="39"/>
      <c r="AIE17" s="39"/>
      <c r="AIF17" s="39"/>
      <c r="AIG17" s="39"/>
      <c r="AIH17" s="39"/>
      <c r="AII17" s="39"/>
      <c r="AIJ17" s="39"/>
      <c r="AIK17" s="39"/>
      <c r="AIL17" s="39"/>
      <c r="AIM17" s="39"/>
      <c r="AIN17" s="39"/>
      <c r="AIO17" s="39"/>
      <c r="AIP17" s="39"/>
      <c r="AIQ17" s="39"/>
      <c r="AIR17" s="39"/>
      <c r="AIS17" s="39"/>
      <c r="AIT17" s="39"/>
      <c r="AIU17" s="39"/>
      <c r="AIV17" s="39"/>
      <c r="AIW17" s="39"/>
      <c r="AIX17" s="39"/>
      <c r="AIY17" s="39"/>
      <c r="AIZ17" s="39"/>
      <c r="AJA17" s="39"/>
      <c r="AJB17" s="39"/>
      <c r="AJC17" s="39"/>
      <c r="AJD17" s="39"/>
      <c r="AJE17" s="39"/>
      <c r="AJF17" s="39"/>
      <c r="AJG17" s="39"/>
      <c r="AJH17" s="39"/>
      <c r="AJI17" s="39"/>
      <c r="AJJ17" s="39"/>
      <c r="AJK17" s="39"/>
      <c r="AJL17" s="39"/>
      <c r="AJM17" s="39"/>
      <c r="AJN17" s="39"/>
      <c r="AJO17" s="39"/>
      <c r="AJP17" s="39"/>
      <c r="AJQ17" s="39"/>
      <c r="AJR17" s="39"/>
      <c r="AJS17" s="39"/>
      <c r="AJT17" s="39"/>
      <c r="AJU17" s="39"/>
      <c r="AJV17" s="39"/>
      <c r="AJW17" s="39"/>
      <c r="AJX17" s="39"/>
      <c r="AJY17" s="39"/>
      <c r="AJZ17" s="39"/>
      <c r="AKA17" s="39"/>
      <c r="AKB17" s="39"/>
      <c r="AKC17" s="39"/>
      <c r="AKD17" s="39"/>
      <c r="AKE17" s="39"/>
      <c r="AKF17" s="39"/>
      <c r="AKG17" s="39"/>
      <c r="AKH17" s="39"/>
      <c r="AKI17" s="39"/>
      <c r="AKJ17" s="39"/>
      <c r="AKK17" s="39"/>
      <c r="AKL17" s="39"/>
      <c r="AKM17" s="39"/>
      <c r="AKN17" s="39"/>
      <c r="AKO17" s="39"/>
      <c r="AKP17" s="39"/>
      <c r="AKQ17" s="39"/>
      <c r="AKR17" s="39"/>
      <c r="AKS17" s="39"/>
      <c r="AKT17" s="39"/>
      <c r="AKU17" s="39"/>
      <c r="AKV17" s="39"/>
      <c r="AKW17" s="39"/>
      <c r="AKX17" s="39"/>
      <c r="AKY17" s="39"/>
      <c r="AKZ17" s="39"/>
      <c r="ALA17" s="39"/>
      <c r="ALB17" s="39"/>
      <c r="ALC17" s="39"/>
      <c r="ALD17" s="39"/>
      <c r="ALE17" s="39"/>
      <c r="ALF17" s="39"/>
      <c r="ALG17" s="39"/>
      <c r="ALH17" s="39"/>
      <c r="ALI17" s="39"/>
      <c r="ALJ17" s="39"/>
      <c r="ALK17" s="39"/>
      <c r="ALL17" s="39"/>
      <c r="ALM17" s="39"/>
      <c r="ALN17" s="39"/>
      <c r="ALO17" s="39"/>
      <c r="ALP17" s="39"/>
      <c r="ALQ17" s="39"/>
      <c r="ALR17" s="39"/>
      <c r="ALS17" s="39"/>
      <c r="ALT17" s="39"/>
      <c r="ALU17" s="39"/>
      <c r="ALV17" s="39"/>
      <c r="ALW17" s="39"/>
      <c r="ALX17" s="39"/>
      <c r="ALY17" s="39"/>
      <c r="ALZ17" s="39"/>
      <c r="AMA17" s="39"/>
      <c r="AMB17" s="39"/>
      <c r="AMC17" s="39"/>
      <c r="AMD17" s="39"/>
      <c r="AME17" s="39"/>
      <c r="AMF17" s="39"/>
      <c r="AMG17" s="39"/>
      <c r="AMH17" s="39"/>
      <c r="AMI17" s="39"/>
      <c r="AMJ17" s="3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/>
      <c r="FK5" s="31"/>
      <c r="FL5" s="31"/>
      <c r="FM5" s="31"/>
      <c r="FN5" s="31"/>
      <c r="FO5" s="31"/>
      <c r="FP5" s="31"/>
      <c r="FQ5" s="31"/>
      <c r="FR5" s="31"/>
      <c r="FS5" s="31"/>
    </row>
    <row r="6" ht="15.75" customHeight="1">
      <c r="A6" s="13"/>
      <c r="B6" s="49"/>
      <c r="C6" s="8" t="s">
        <v>29</v>
      </c>
      <c r="D6" s="49">
        <v>240.0</v>
      </c>
      <c r="E6" s="8" t="s">
        <v>18</v>
      </c>
      <c r="F6" s="8" t="s">
        <v>58</v>
      </c>
      <c r="G6" s="8">
        <v>2.0</v>
      </c>
      <c r="H6" s="8" t="s">
        <v>59</v>
      </c>
      <c r="I6" s="8"/>
      <c r="J6" s="8"/>
      <c r="K6" s="8"/>
      <c r="L6" s="8"/>
      <c r="M6" s="8"/>
      <c r="N6" s="8"/>
      <c r="O6" s="8"/>
      <c r="S6" t="s">
        <v>60</v>
      </c>
      <c r="T6" t="s">
        <v>47</v>
      </c>
      <c r="U6" t="s">
        <v>61</v>
      </c>
      <c r="V6" t="s">
        <v>62</v>
      </c>
      <c r="W6" t="s">
        <v>49</v>
      </c>
      <c r="Y6">
        <v>1.0</v>
      </c>
      <c r="AC6">
        <v>0.0</v>
      </c>
      <c r="AD6">
        <v>0.0</v>
      </c>
      <c r="AE6">
        <v>0.0</v>
      </c>
      <c r="AG6">
        <v>0.0</v>
      </c>
      <c r="AH6">
        <v>0.0</v>
      </c>
      <c r="AL6">
        <v>1.0</v>
      </c>
      <c r="AM6">
        <v>1.0</v>
      </c>
      <c r="AN6" t="s">
        <v>34</v>
      </c>
      <c r="AP6" t="s">
        <v>59</v>
      </c>
      <c r="AQ6" t="s">
        <v>29</v>
      </c>
      <c r="BE6" t="s">
        <v>47</v>
      </c>
      <c r="BF6" t="s">
        <v>63</v>
      </c>
      <c r="BG6" t="s">
        <v>64</v>
      </c>
      <c r="BH6" t="s">
        <v>65</v>
      </c>
      <c r="BQ6" t="s">
        <v>66</v>
      </c>
      <c r="BW6">
        <v>0.0</v>
      </c>
      <c r="BX6">
        <v>0.0</v>
      </c>
      <c r="BY6">
        <v>0.0</v>
      </c>
      <c r="BZ6">
        <v>0.0</v>
      </c>
    </row>
    <row r="7" ht="15.75" customHeight="1">
      <c r="A7" s="8"/>
      <c r="B7" s="8"/>
      <c r="C7" s="8" t="s">
        <v>30</v>
      </c>
      <c r="D7" s="8">
        <v>240.0</v>
      </c>
      <c r="E7" s="8" t="s">
        <v>18</v>
      </c>
      <c r="F7" s="8" t="s">
        <v>58</v>
      </c>
      <c r="G7" s="8">
        <v>2.0</v>
      </c>
      <c r="H7" s="8" t="s">
        <v>59</v>
      </c>
      <c r="I7" s="8"/>
      <c r="J7" s="8"/>
      <c r="K7" s="8"/>
      <c r="L7" s="8"/>
      <c r="M7" s="8"/>
      <c r="N7" s="8"/>
      <c r="O7" s="8"/>
      <c r="S7" t="s">
        <v>60</v>
      </c>
      <c r="T7" t="s">
        <v>51</v>
      </c>
      <c r="U7" t="s">
        <v>61</v>
      </c>
      <c r="V7" t="s">
        <v>67</v>
      </c>
      <c r="W7" t="s">
        <v>49</v>
      </c>
      <c r="Y7">
        <v>1.0</v>
      </c>
      <c r="AC7">
        <v>0.0</v>
      </c>
      <c r="AD7">
        <v>0.0</v>
      </c>
      <c r="AE7">
        <v>0.0</v>
      </c>
      <c r="AG7">
        <v>0.0</v>
      </c>
      <c r="AH7">
        <v>0.0</v>
      </c>
      <c r="AL7">
        <v>0.0</v>
      </c>
      <c r="AM7">
        <v>1.0</v>
      </c>
      <c r="AN7" t="s">
        <v>36</v>
      </c>
      <c r="AP7" t="s">
        <v>59</v>
      </c>
      <c r="AQ7" t="s">
        <v>29</v>
      </c>
      <c r="BE7" t="s">
        <v>68</v>
      </c>
      <c r="BF7" t="s">
        <v>63</v>
      </c>
      <c r="BG7" t="s">
        <v>64</v>
      </c>
      <c r="BH7" t="s">
        <v>65</v>
      </c>
      <c r="BQ7" t="s">
        <v>66</v>
      </c>
      <c r="BW7">
        <v>715.0</v>
      </c>
      <c r="BX7">
        <v>0.0</v>
      </c>
      <c r="BY7">
        <v>0.0</v>
      </c>
      <c r="BZ7">
        <v>0.0</v>
      </c>
    </row>
    <row r="8" ht="15.75" customHeight="1">
      <c r="A8" s="8"/>
      <c r="B8" s="8"/>
      <c r="C8" s="8" t="s">
        <v>31</v>
      </c>
      <c r="D8" s="8">
        <v>240.0</v>
      </c>
      <c r="E8" s="8" t="s">
        <v>18</v>
      </c>
      <c r="F8" s="8" t="s">
        <v>58</v>
      </c>
      <c r="G8" s="8">
        <v>2.0</v>
      </c>
      <c r="H8" s="8" t="s">
        <v>59</v>
      </c>
      <c r="I8" s="8"/>
      <c r="J8" s="8"/>
      <c r="K8" s="8"/>
      <c r="L8" s="8"/>
      <c r="M8" s="8"/>
      <c r="N8" s="8"/>
      <c r="O8" s="8"/>
      <c r="S8" t="s">
        <v>60</v>
      </c>
      <c r="T8" t="s">
        <v>47</v>
      </c>
      <c r="U8" t="s">
        <v>61</v>
      </c>
      <c r="V8" t="s">
        <v>69</v>
      </c>
      <c r="W8" t="s">
        <v>52</v>
      </c>
      <c r="Y8">
        <v>0.0</v>
      </c>
      <c r="AC8">
        <v>0.0</v>
      </c>
      <c r="AD8">
        <v>0.0</v>
      </c>
      <c r="AE8">
        <v>0.0</v>
      </c>
      <c r="AG8">
        <v>0.0</v>
      </c>
      <c r="AH8">
        <v>0.0</v>
      </c>
      <c r="AL8">
        <v>1.0</v>
      </c>
      <c r="AM8">
        <v>1.0</v>
      </c>
      <c r="AN8" t="s">
        <v>34</v>
      </c>
      <c r="AP8" t="s">
        <v>59</v>
      </c>
      <c r="AQ8" t="s">
        <v>31</v>
      </c>
      <c r="BE8" t="s">
        <v>47</v>
      </c>
      <c r="BF8" t="s">
        <v>65</v>
      </c>
      <c r="BG8" t="s">
        <v>65</v>
      </c>
      <c r="BH8" t="s">
        <v>65</v>
      </c>
      <c r="BQ8" t="s">
        <v>66</v>
      </c>
      <c r="BW8">
        <v>0.0</v>
      </c>
      <c r="BX8">
        <v>0.0</v>
      </c>
      <c r="BY8">
        <v>0.0</v>
      </c>
      <c r="BZ8">
        <v>0.0</v>
      </c>
    </row>
    <row r="9" ht="15.75" customHeight="1">
      <c r="A9" s="8"/>
      <c r="B9" s="8"/>
      <c r="C9" s="8" t="s">
        <v>32</v>
      </c>
      <c r="D9" s="8">
        <v>240.0</v>
      </c>
      <c r="E9" s="8" t="s">
        <v>18</v>
      </c>
      <c r="F9" s="8" t="s">
        <v>58</v>
      </c>
      <c r="G9" s="8">
        <v>2.0</v>
      </c>
      <c r="H9" s="8" t="s">
        <v>59</v>
      </c>
      <c r="I9" s="8"/>
      <c r="J9" s="8"/>
      <c r="K9" s="8"/>
      <c r="L9" s="8"/>
      <c r="M9" s="8"/>
      <c r="N9" s="8"/>
      <c r="O9" s="8"/>
      <c r="S9" t="s">
        <v>60</v>
      </c>
      <c r="T9" t="s">
        <v>54</v>
      </c>
      <c r="U9" t="s">
        <v>61</v>
      </c>
      <c r="V9" t="s">
        <v>70</v>
      </c>
      <c r="W9" t="s">
        <v>49</v>
      </c>
      <c r="Y9">
        <v>1.0</v>
      </c>
      <c r="AC9">
        <v>0.0</v>
      </c>
      <c r="AD9">
        <v>0.0</v>
      </c>
      <c r="AE9">
        <v>12000.0</v>
      </c>
      <c r="AG9">
        <v>0.0</v>
      </c>
      <c r="AH9">
        <v>0.0</v>
      </c>
      <c r="AL9">
        <v>1.0</v>
      </c>
      <c r="AM9">
        <v>1.0</v>
      </c>
      <c r="AN9" t="s">
        <v>34</v>
      </c>
      <c r="AP9" t="s">
        <v>59</v>
      </c>
      <c r="AQ9" t="s">
        <v>32</v>
      </c>
      <c r="BE9" t="s">
        <v>65</v>
      </c>
      <c r="BF9" t="s">
        <v>71</v>
      </c>
      <c r="BG9" t="s">
        <v>72</v>
      </c>
      <c r="BH9" t="s">
        <v>73</v>
      </c>
      <c r="BQ9" t="s">
        <v>66</v>
      </c>
      <c r="BW9">
        <v>0.0</v>
      </c>
      <c r="BX9">
        <v>0.0</v>
      </c>
      <c r="BY9">
        <v>24000.0</v>
      </c>
      <c r="BZ9">
        <v>0.0</v>
      </c>
    </row>
    <row r="10" ht="15.75" customHeight="1">
      <c r="A10" s="8"/>
      <c r="B10" s="8"/>
      <c r="C10" s="8">
        <v>1.23456789E8</v>
      </c>
      <c r="D10" s="8">
        <v>240.0</v>
      </c>
      <c r="E10" s="8" t="s">
        <v>18</v>
      </c>
      <c r="F10" s="8" t="s">
        <v>58</v>
      </c>
      <c r="G10" s="8">
        <v>2.0</v>
      </c>
      <c r="H10" s="8" t="s">
        <v>59</v>
      </c>
      <c r="I10" s="8"/>
      <c r="J10" s="8"/>
      <c r="K10" s="8"/>
      <c r="L10" s="8"/>
      <c r="M10" s="8"/>
      <c r="N10" s="8"/>
      <c r="O10" s="8"/>
      <c r="S10" t="s">
        <v>60</v>
      </c>
      <c r="T10" t="s">
        <v>55</v>
      </c>
      <c r="U10" t="s">
        <v>74</v>
      </c>
      <c r="V10" t="s">
        <v>75</v>
      </c>
      <c r="W10" t="s">
        <v>49</v>
      </c>
      <c r="Y10">
        <v>1.0</v>
      </c>
      <c r="AC10">
        <v>0.0</v>
      </c>
      <c r="AD10">
        <v>0.0</v>
      </c>
      <c r="AE10">
        <v>0.0</v>
      </c>
      <c r="AG10">
        <v>0.0</v>
      </c>
      <c r="AH10">
        <v>0.0</v>
      </c>
      <c r="AL10">
        <v>1.0</v>
      </c>
      <c r="AM10">
        <v>1.0</v>
      </c>
      <c r="AN10" t="s">
        <v>34</v>
      </c>
      <c r="AP10" t="s">
        <v>59</v>
      </c>
      <c r="AQ10">
        <v>1.23456789E8</v>
      </c>
      <c r="BE10" t="s">
        <v>55</v>
      </c>
      <c r="BF10" t="s">
        <v>65</v>
      </c>
      <c r="BG10" t="s">
        <v>65</v>
      </c>
      <c r="BH10" t="s">
        <v>65</v>
      </c>
      <c r="BQ10" t="s">
        <v>66</v>
      </c>
      <c r="BW10">
        <v>0.0</v>
      </c>
      <c r="BX10">
        <v>0.0</v>
      </c>
      <c r="BY10">
        <v>0.0</v>
      </c>
      <c r="BZ10">
        <v>0.0</v>
      </c>
    </row>
    <row r="11" ht="15.75" customHeight="1">
      <c r="A11" s="8"/>
      <c r="B11" s="8"/>
      <c r="C11" s="8" t="s">
        <v>29</v>
      </c>
      <c r="D11" s="8">
        <v>140.0</v>
      </c>
      <c r="E11" s="8" t="s">
        <v>19</v>
      </c>
      <c r="F11" s="8" t="s">
        <v>76</v>
      </c>
      <c r="G11" s="8">
        <v>2.0</v>
      </c>
      <c r="H11" s="8" t="s">
        <v>59</v>
      </c>
      <c r="I11" s="8"/>
      <c r="J11" s="8"/>
      <c r="K11" s="8"/>
      <c r="L11" s="8"/>
      <c r="M11" s="8"/>
      <c r="N11" s="8"/>
      <c r="O11" s="8"/>
      <c r="S11" t="s">
        <v>60</v>
      </c>
      <c r="T11" t="s">
        <v>47</v>
      </c>
      <c r="U11" t="s">
        <v>61</v>
      </c>
      <c r="V11" t="s">
        <v>62</v>
      </c>
      <c r="W11" t="s">
        <v>49</v>
      </c>
      <c r="Y11">
        <v>1.0</v>
      </c>
      <c r="AC11">
        <v>0.0</v>
      </c>
      <c r="AD11">
        <v>0.0</v>
      </c>
      <c r="AE11">
        <v>0.0</v>
      </c>
      <c r="AG11">
        <v>0.0</v>
      </c>
      <c r="AH11">
        <v>0.0</v>
      </c>
      <c r="AL11">
        <v>1.0</v>
      </c>
      <c r="AM11">
        <v>1.0</v>
      </c>
      <c r="AN11" t="s">
        <v>34</v>
      </c>
      <c r="AP11" t="s">
        <v>59</v>
      </c>
      <c r="AQ11" t="s">
        <v>29</v>
      </c>
      <c r="BE11" t="s">
        <v>47</v>
      </c>
      <c r="BF11" t="s">
        <v>63</v>
      </c>
      <c r="BG11" t="s">
        <v>64</v>
      </c>
      <c r="BH11" t="s">
        <v>65</v>
      </c>
      <c r="BQ11" t="s">
        <v>66</v>
      </c>
      <c r="BW11">
        <v>0.0</v>
      </c>
      <c r="BX11">
        <v>0.0</v>
      </c>
      <c r="BY11">
        <v>0.0</v>
      </c>
      <c r="BZ11">
        <v>0.0</v>
      </c>
    </row>
    <row r="12" ht="15.75" customHeight="1">
      <c r="A12" s="8"/>
      <c r="B12" s="8"/>
      <c r="C12" s="8" t="s">
        <v>30</v>
      </c>
      <c r="D12" s="8">
        <v>140.0</v>
      </c>
      <c r="E12" s="8" t="s">
        <v>19</v>
      </c>
      <c r="F12" s="8" t="s">
        <v>76</v>
      </c>
      <c r="G12" s="8">
        <v>2.0</v>
      </c>
      <c r="H12" s="8" t="s">
        <v>59</v>
      </c>
      <c r="I12" s="8"/>
      <c r="J12" s="8"/>
      <c r="K12" s="8"/>
      <c r="L12" s="8"/>
      <c r="M12" s="8"/>
      <c r="N12" s="8"/>
      <c r="O12" s="8"/>
      <c r="S12" t="s">
        <v>60</v>
      </c>
      <c r="T12" t="s">
        <v>51</v>
      </c>
      <c r="U12" t="s">
        <v>61</v>
      </c>
      <c r="V12" t="s">
        <v>67</v>
      </c>
      <c r="W12" t="s">
        <v>49</v>
      </c>
      <c r="Y12">
        <v>1.0</v>
      </c>
      <c r="AC12">
        <v>0.0</v>
      </c>
      <c r="AD12">
        <v>0.0</v>
      </c>
      <c r="AE12">
        <v>0.0</v>
      </c>
      <c r="AG12">
        <v>0.0</v>
      </c>
      <c r="AH12">
        <v>0.0</v>
      </c>
      <c r="AL12">
        <v>0.0</v>
      </c>
      <c r="AM12">
        <v>1.0</v>
      </c>
      <c r="AN12" t="s">
        <v>36</v>
      </c>
      <c r="AP12" t="s">
        <v>59</v>
      </c>
      <c r="AQ12" t="s">
        <v>29</v>
      </c>
      <c r="BE12" t="s">
        <v>68</v>
      </c>
      <c r="BF12" t="s">
        <v>63</v>
      </c>
      <c r="BG12" t="s">
        <v>64</v>
      </c>
      <c r="BH12" t="s">
        <v>65</v>
      </c>
      <c r="BQ12" t="s">
        <v>66</v>
      </c>
      <c r="BW12">
        <v>715.0</v>
      </c>
      <c r="BX12">
        <v>0.0</v>
      </c>
      <c r="BY12">
        <v>0.0</v>
      </c>
      <c r="BZ12">
        <v>0.0</v>
      </c>
    </row>
    <row r="13" ht="15.75" customHeight="1">
      <c r="A13" s="8"/>
      <c r="B13" s="8"/>
      <c r="C13" s="8" t="s">
        <v>31</v>
      </c>
      <c r="D13" s="8">
        <v>140.0</v>
      </c>
      <c r="E13" s="8" t="s">
        <v>19</v>
      </c>
      <c r="F13" s="8" t="s">
        <v>76</v>
      </c>
      <c r="G13" s="8">
        <v>2.0</v>
      </c>
      <c r="H13" s="8" t="s">
        <v>59</v>
      </c>
      <c r="I13" s="8"/>
      <c r="J13" s="8"/>
      <c r="K13" s="8"/>
      <c r="L13" s="8"/>
      <c r="M13" s="8"/>
      <c r="N13" s="8"/>
      <c r="O13" s="8"/>
      <c r="S13" t="s">
        <v>60</v>
      </c>
      <c r="T13" t="s">
        <v>47</v>
      </c>
      <c r="U13" t="s">
        <v>61</v>
      </c>
      <c r="V13" t="s">
        <v>69</v>
      </c>
      <c r="W13" t="s">
        <v>52</v>
      </c>
      <c r="Y13">
        <v>0.0</v>
      </c>
      <c r="AC13">
        <v>0.0</v>
      </c>
      <c r="AD13">
        <v>0.0</v>
      </c>
      <c r="AE13">
        <v>0.0</v>
      </c>
      <c r="AG13">
        <v>0.0</v>
      </c>
      <c r="AH13">
        <v>0.0</v>
      </c>
      <c r="AL13">
        <v>1.0</v>
      </c>
      <c r="AM13">
        <v>1.0</v>
      </c>
      <c r="AN13" t="s">
        <v>34</v>
      </c>
      <c r="AP13" t="s">
        <v>59</v>
      </c>
      <c r="AQ13" t="s">
        <v>31</v>
      </c>
      <c r="BE13" t="s">
        <v>47</v>
      </c>
      <c r="BF13" t="s">
        <v>65</v>
      </c>
      <c r="BG13" t="s">
        <v>65</v>
      </c>
      <c r="BH13" t="s">
        <v>65</v>
      </c>
      <c r="BQ13" t="s">
        <v>66</v>
      </c>
      <c r="BW13">
        <v>0.0</v>
      </c>
      <c r="BX13">
        <v>0.0</v>
      </c>
      <c r="BY13">
        <v>0.0</v>
      </c>
      <c r="BZ13">
        <v>0.0</v>
      </c>
    </row>
    <row r="14" ht="15.75" customHeight="1">
      <c r="A14" s="8"/>
      <c r="B14" s="8"/>
      <c r="C14" s="8" t="s">
        <v>32</v>
      </c>
      <c r="D14" s="8">
        <v>140.0</v>
      </c>
      <c r="E14" s="8" t="s">
        <v>19</v>
      </c>
      <c r="F14" s="8" t="s">
        <v>76</v>
      </c>
      <c r="G14" s="8">
        <v>2.0</v>
      </c>
      <c r="H14" s="8" t="s">
        <v>59</v>
      </c>
      <c r="I14" s="8"/>
      <c r="J14" s="8"/>
      <c r="K14" s="8"/>
      <c r="L14" s="8"/>
      <c r="M14" s="8"/>
      <c r="N14" s="8"/>
      <c r="O14" s="8"/>
      <c r="S14" t="s">
        <v>60</v>
      </c>
      <c r="T14" t="s">
        <v>54</v>
      </c>
      <c r="U14" t="s">
        <v>61</v>
      </c>
      <c r="V14" t="s">
        <v>70</v>
      </c>
      <c r="W14" t="s">
        <v>49</v>
      </c>
      <c r="Y14">
        <v>1.0</v>
      </c>
      <c r="AC14">
        <v>0.0</v>
      </c>
      <c r="AD14">
        <v>0.0</v>
      </c>
      <c r="AE14">
        <v>7000.0</v>
      </c>
      <c r="AG14">
        <v>0.0</v>
      </c>
      <c r="AH14">
        <v>0.0</v>
      </c>
      <c r="AL14">
        <v>1.0</v>
      </c>
      <c r="AM14">
        <v>1.0</v>
      </c>
      <c r="AN14" t="s">
        <v>34</v>
      </c>
      <c r="AP14" t="s">
        <v>59</v>
      </c>
      <c r="AQ14" t="s">
        <v>32</v>
      </c>
      <c r="BE14" t="s">
        <v>65</v>
      </c>
      <c r="BF14" t="s">
        <v>71</v>
      </c>
      <c r="BG14" t="s">
        <v>72</v>
      </c>
      <c r="BH14" t="s">
        <v>73</v>
      </c>
      <c r="BQ14" t="s">
        <v>66</v>
      </c>
      <c r="BW14">
        <v>0.0</v>
      </c>
      <c r="BX14">
        <v>0.0</v>
      </c>
      <c r="BY14">
        <v>14000.0</v>
      </c>
      <c r="BZ14">
        <v>0.0</v>
      </c>
    </row>
    <row r="15" ht="15.75" customHeight="1">
      <c r="A15" s="8"/>
      <c r="B15" s="8"/>
      <c r="C15" s="8">
        <v>1.23456789E8</v>
      </c>
      <c r="D15" s="8">
        <v>140.0</v>
      </c>
      <c r="E15" s="8" t="s">
        <v>19</v>
      </c>
      <c r="F15" s="8" t="s">
        <v>76</v>
      </c>
      <c r="G15" s="8">
        <v>2.0</v>
      </c>
      <c r="H15" s="8" t="s">
        <v>59</v>
      </c>
      <c r="I15" s="8"/>
      <c r="J15" s="8"/>
      <c r="K15" s="8"/>
      <c r="L15" s="8"/>
      <c r="M15" s="8"/>
      <c r="N15" s="8"/>
      <c r="O15" s="8"/>
      <c r="S15" t="s">
        <v>60</v>
      </c>
      <c r="T15" t="s">
        <v>55</v>
      </c>
      <c r="U15" t="s">
        <v>74</v>
      </c>
      <c r="V15" t="s">
        <v>75</v>
      </c>
      <c r="W15" t="s">
        <v>49</v>
      </c>
      <c r="Y15">
        <v>1.0</v>
      </c>
      <c r="AC15">
        <v>0.0</v>
      </c>
      <c r="AD15">
        <v>0.0</v>
      </c>
      <c r="AE15">
        <v>0.0</v>
      </c>
      <c r="AG15">
        <v>0.0</v>
      </c>
      <c r="AH15">
        <v>0.0</v>
      </c>
      <c r="AL15">
        <v>1.0</v>
      </c>
      <c r="AM15">
        <v>1.0</v>
      </c>
      <c r="AN15" t="s">
        <v>34</v>
      </c>
      <c r="AP15" t="s">
        <v>59</v>
      </c>
      <c r="AQ15">
        <v>1.23456789E8</v>
      </c>
      <c r="BE15" t="s">
        <v>55</v>
      </c>
      <c r="BF15" t="s">
        <v>65</v>
      </c>
      <c r="BG15" t="s">
        <v>65</v>
      </c>
      <c r="BH15" t="s">
        <v>65</v>
      </c>
      <c r="BQ15" t="s">
        <v>66</v>
      </c>
      <c r="BW15">
        <v>0.0</v>
      </c>
      <c r="BX15">
        <v>0.0</v>
      </c>
      <c r="BY15">
        <v>0.0</v>
      </c>
      <c r="BZ15">
        <v>0.0</v>
      </c>
    </row>
    <row r="16" ht="15.75" customHeight="1">
      <c r="A16" s="8"/>
      <c r="B16" s="8"/>
      <c r="C16" s="8" t="s">
        <v>29</v>
      </c>
      <c r="D16" s="8">
        <v>-240.0</v>
      </c>
      <c r="E16" s="8" t="s">
        <v>18</v>
      </c>
      <c r="F16" s="8" t="s">
        <v>58</v>
      </c>
      <c r="G16" s="8">
        <v>2.0</v>
      </c>
      <c r="H16" s="8" t="s">
        <v>59</v>
      </c>
      <c r="I16" s="8"/>
      <c r="J16" s="8"/>
      <c r="K16" s="8"/>
      <c r="L16" s="8"/>
      <c r="M16" s="8"/>
      <c r="N16" s="8"/>
      <c r="O16" s="8"/>
      <c r="S16" t="s">
        <v>60</v>
      </c>
      <c r="T16" t="s">
        <v>47</v>
      </c>
      <c r="U16" t="s">
        <v>61</v>
      </c>
      <c r="V16" t="s">
        <v>62</v>
      </c>
      <c r="W16" t="s">
        <v>49</v>
      </c>
      <c r="Y16">
        <v>1.0</v>
      </c>
      <c r="AC16">
        <v>0.0</v>
      </c>
      <c r="AD16">
        <v>0.0</v>
      </c>
      <c r="AE16">
        <v>0.0</v>
      </c>
      <c r="AG16">
        <v>0.0</v>
      </c>
      <c r="AH16">
        <v>0.0</v>
      </c>
      <c r="AL16">
        <v>1.0</v>
      </c>
      <c r="AM16">
        <v>1.0</v>
      </c>
      <c r="AN16" t="s">
        <v>37</v>
      </c>
      <c r="AP16" t="s">
        <v>77</v>
      </c>
      <c r="AQ16" t="s">
        <v>29</v>
      </c>
      <c r="BE16" t="s">
        <v>47</v>
      </c>
      <c r="BF16" t="s">
        <v>63</v>
      </c>
      <c r="BG16" t="s">
        <v>64</v>
      </c>
      <c r="BH16" t="s">
        <v>65</v>
      </c>
      <c r="BQ16" t="s">
        <v>66</v>
      </c>
      <c r="BW16">
        <v>0.0</v>
      </c>
      <c r="BX16">
        <v>0.0</v>
      </c>
      <c r="BY16">
        <v>0.0</v>
      </c>
      <c r="BZ16">
        <v>0.0</v>
      </c>
    </row>
    <row r="17" ht="15.75" customHeight="1">
      <c r="A17" s="8"/>
      <c r="B17" s="8"/>
      <c r="C17" s="8" t="s">
        <v>30</v>
      </c>
      <c r="D17" s="8">
        <v>-240.0</v>
      </c>
      <c r="E17" s="8" t="s">
        <v>18</v>
      </c>
      <c r="F17" s="8" t="s">
        <v>58</v>
      </c>
      <c r="G17" s="8">
        <v>2.0</v>
      </c>
      <c r="H17" s="8" t="s">
        <v>59</v>
      </c>
      <c r="I17" s="8"/>
      <c r="J17" s="8"/>
      <c r="K17" s="8"/>
      <c r="L17" s="8"/>
      <c r="M17" s="8"/>
      <c r="N17" s="8"/>
      <c r="O17" s="8"/>
      <c r="S17" t="s">
        <v>60</v>
      </c>
      <c r="T17" t="s">
        <v>51</v>
      </c>
      <c r="U17" t="s">
        <v>61</v>
      </c>
      <c r="V17" t="s">
        <v>67</v>
      </c>
      <c r="W17" t="s">
        <v>49</v>
      </c>
      <c r="Y17">
        <v>1.0</v>
      </c>
      <c r="AC17">
        <v>0.0</v>
      </c>
      <c r="AD17">
        <v>0.0</v>
      </c>
      <c r="AE17">
        <v>0.0</v>
      </c>
      <c r="AG17">
        <v>0.0</v>
      </c>
      <c r="AH17">
        <v>0.0</v>
      </c>
      <c r="AL17">
        <v>0.0</v>
      </c>
      <c r="AM17">
        <v>1.0</v>
      </c>
      <c r="AN17" t="s">
        <v>38</v>
      </c>
      <c r="AP17" t="s">
        <v>59</v>
      </c>
      <c r="AQ17" t="s">
        <v>29</v>
      </c>
      <c r="BE17" t="s">
        <v>68</v>
      </c>
      <c r="BF17" t="s">
        <v>63</v>
      </c>
      <c r="BG17" t="s">
        <v>64</v>
      </c>
      <c r="BH17" t="s">
        <v>65</v>
      </c>
      <c r="BQ17" t="s">
        <v>66</v>
      </c>
      <c r="BW17">
        <v>715.0</v>
      </c>
      <c r="BX17">
        <v>0.0</v>
      </c>
      <c r="BY17">
        <v>0.0</v>
      </c>
      <c r="BZ17">
        <v>0.0</v>
      </c>
    </row>
    <row r="18" ht="15.75" customHeight="1">
      <c r="A18" s="8"/>
      <c r="B18" s="8"/>
      <c r="C18" s="8" t="s">
        <v>31</v>
      </c>
      <c r="D18" s="8">
        <v>-240.0</v>
      </c>
      <c r="E18" s="8" t="s">
        <v>18</v>
      </c>
      <c r="F18" s="8" t="s">
        <v>58</v>
      </c>
      <c r="G18" s="8">
        <v>2.0</v>
      </c>
      <c r="H18" s="8" t="s">
        <v>59</v>
      </c>
      <c r="I18" s="8"/>
      <c r="J18" s="8"/>
      <c r="K18" s="8"/>
      <c r="L18" s="8"/>
      <c r="M18" s="8"/>
      <c r="N18" s="8"/>
      <c r="O18" s="8"/>
      <c r="S18" t="s">
        <v>60</v>
      </c>
      <c r="T18" t="s">
        <v>47</v>
      </c>
      <c r="U18" t="s">
        <v>61</v>
      </c>
      <c r="V18" t="s">
        <v>69</v>
      </c>
      <c r="W18" t="s">
        <v>52</v>
      </c>
      <c r="Y18">
        <v>0.0</v>
      </c>
      <c r="AC18">
        <v>0.0</v>
      </c>
      <c r="AD18">
        <v>0.0</v>
      </c>
      <c r="AE18">
        <v>0.0</v>
      </c>
      <c r="AG18">
        <v>0.0</v>
      </c>
      <c r="AH18">
        <v>0.0</v>
      </c>
      <c r="AL18">
        <v>1.0</v>
      </c>
      <c r="AM18">
        <v>1.0</v>
      </c>
      <c r="AN18" t="s">
        <v>37</v>
      </c>
      <c r="AP18" t="s">
        <v>77</v>
      </c>
      <c r="AQ18" t="s">
        <v>31</v>
      </c>
      <c r="BE18" t="s">
        <v>47</v>
      </c>
      <c r="BF18" t="s">
        <v>65</v>
      </c>
      <c r="BG18" t="s">
        <v>65</v>
      </c>
      <c r="BH18" t="s">
        <v>65</v>
      </c>
      <c r="BQ18" t="s">
        <v>66</v>
      </c>
      <c r="BW18">
        <v>0.0</v>
      </c>
      <c r="BX18">
        <v>0.0</v>
      </c>
      <c r="BY18">
        <v>0.0</v>
      </c>
      <c r="BZ18">
        <v>0.0</v>
      </c>
    </row>
    <row r="19" ht="15.75" customHeight="1">
      <c r="A19" s="8"/>
      <c r="B19" s="8"/>
      <c r="C19" s="8" t="s">
        <v>32</v>
      </c>
      <c r="D19" s="8">
        <v>-240.0</v>
      </c>
      <c r="E19" s="8" t="s">
        <v>18</v>
      </c>
      <c r="F19" s="8" t="s">
        <v>58</v>
      </c>
      <c r="G19" s="8">
        <v>2.0</v>
      </c>
      <c r="H19" s="8" t="s">
        <v>59</v>
      </c>
      <c r="I19" s="8"/>
      <c r="J19" s="8"/>
      <c r="K19" s="8"/>
      <c r="L19" s="8"/>
      <c r="M19" s="8"/>
      <c r="N19" s="8"/>
      <c r="O19" s="8"/>
      <c r="S19" t="s">
        <v>60</v>
      </c>
      <c r="T19" t="s">
        <v>54</v>
      </c>
      <c r="U19" t="s">
        <v>61</v>
      </c>
      <c r="V19" t="s">
        <v>70</v>
      </c>
      <c r="W19" t="s">
        <v>49</v>
      </c>
      <c r="Y19">
        <v>1.0</v>
      </c>
      <c r="AC19">
        <v>0.0</v>
      </c>
      <c r="AD19">
        <v>0.0</v>
      </c>
      <c r="AE19">
        <v>-12000.0</v>
      </c>
      <c r="AG19">
        <v>0.0</v>
      </c>
      <c r="AH19">
        <v>0.0</v>
      </c>
      <c r="AL19">
        <v>1.0</v>
      </c>
      <c r="AM19">
        <v>1.0</v>
      </c>
      <c r="AN19" t="s">
        <v>37</v>
      </c>
      <c r="AP19" t="s">
        <v>77</v>
      </c>
      <c r="AQ19" t="s">
        <v>32</v>
      </c>
      <c r="BE19" t="s">
        <v>65</v>
      </c>
      <c r="BF19" t="s">
        <v>71</v>
      </c>
      <c r="BG19" t="s">
        <v>72</v>
      </c>
      <c r="BH19" t="s">
        <v>73</v>
      </c>
      <c r="BQ19" t="s">
        <v>66</v>
      </c>
      <c r="BW19">
        <v>0.0</v>
      </c>
      <c r="BX19">
        <v>0.0</v>
      </c>
      <c r="BY19">
        <v>24000.0</v>
      </c>
      <c r="BZ19">
        <v>0.0</v>
      </c>
    </row>
    <row r="20" ht="15.75" customHeight="1">
      <c r="A20" s="8"/>
      <c r="B20" s="8"/>
      <c r="C20" s="8">
        <v>1.23456789E8</v>
      </c>
      <c r="D20" s="8">
        <v>-240.0</v>
      </c>
      <c r="E20" s="8" t="s">
        <v>18</v>
      </c>
      <c r="F20" s="8" t="s">
        <v>58</v>
      </c>
      <c r="G20" s="8">
        <v>2.0</v>
      </c>
      <c r="H20" s="8" t="s">
        <v>59</v>
      </c>
      <c r="I20" s="8"/>
      <c r="J20" s="8"/>
      <c r="K20" s="8"/>
      <c r="L20" s="8"/>
      <c r="M20" s="8"/>
      <c r="N20" s="8"/>
      <c r="O20" s="8"/>
      <c r="S20" t="s">
        <v>60</v>
      </c>
      <c r="T20" t="s">
        <v>55</v>
      </c>
      <c r="U20" t="s">
        <v>74</v>
      </c>
      <c r="V20" t="s">
        <v>75</v>
      </c>
      <c r="W20" t="s">
        <v>49</v>
      </c>
      <c r="Y20">
        <v>1.0</v>
      </c>
      <c r="AC20">
        <v>0.0</v>
      </c>
      <c r="AD20">
        <v>0.0</v>
      </c>
      <c r="AE20">
        <v>0.0</v>
      </c>
      <c r="AG20">
        <v>0.0</v>
      </c>
      <c r="AH20">
        <v>0.0</v>
      </c>
      <c r="AL20">
        <v>1.0</v>
      </c>
      <c r="AM20">
        <v>1.0</v>
      </c>
      <c r="AN20" t="s">
        <v>37</v>
      </c>
      <c r="AP20" t="s">
        <v>77</v>
      </c>
      <c r="AQ20">
        <v>1.23456789E8</v>
      </c>
      <c r="BE20" t="s">
        <v>55</v>
      </c>
      <c r="BF20" t="s">
        <v>65</v>
      </c>
      <c r="BG20" t="s">
        <v>65</v>
      </c>
      <c r="BH20" t="s">
        <v>65</v>
      </c>
      <c r="BQ20" t="s">
        <v>66</v>
      </c>
      <c r="BW20">
        <v>0.0</v>
      </c>
      <c r="BX20">
        <v>0.0</v>
      </c>
      <c r="BY20">
        <v>0.0</v>
      </c>
      <c r="BZ20">
        <v>0.0</v>
      </c>
    </row>
    <row r="21" ht="15.75" customHeight="1">
      <c r="A21" s="8"/>
      <c r="B21" s="8"/>
      <c r="C21" s="8" t="s">
        <v>29</v>
      </c>
      <c r="D21" s="8">
        <v>-140.0</v>
      </c>
      <c r="E21" s="8" t="s">
        <v>19</v>
      </c>
      <c r="F21" s="8" t="s">
        <v>76</v>
      </c>
      <c r="G21" s="8">
        <v>2.0</v>
      </c>
      <c r="H21" s="8" t="s">
        <v>59</v>
      </c>
      <c r="I21" s="8"/>
      <c r="J21" s="8"/>
      <c r="K21" s="8"/>
      <c r="L21" s="8"/>
      <c r="M21" s="8"/>
      <c r="N21" s="8"/>
      <c r="O21" s="8"/>
      <c r="S21" t="s">
        <v>60</v>
      </c>
      <c r="T21" t="s">
        <v>47</v>
      </c>
      <c r="U21" t="s">
        <v>61</v>
      </c>
      <c r="V21" t="s">
        <v>62</v>
      </c>
      <c r="W21" t="s">
        <v>49</v>
      </c>
      <c r="Y21">
        <v>1.0</v>
      </c>
      <c r="AC21">
        <v>0.0</v>
      </c>
      <c r="AD21">
        <v>0.0</v>
      </c>
      <c r="AE21">
        <v>0.0</v>
      </c>
      <c r="AG21">
        <v>0.0</v>
      </c>
      <c r="AH21">
        <v>0.0</v>
      </c>
      <c r="AL21">
        <v>1.0</v>
      </c>
      <c r="AM21">
        <v>1.0</v>
      </c>
      <c r="AN21" t="s">
        <v>37</v>
      </c>
      <c r="AP21" t="s">
        <v>77</v>
      </c>
      <c r="AQ21" t="s">
        <v>29</v>
      </c>
      <c r="BE21" t="s">
        <v>47</v>
      </c>
      <c r="BF21" t="s">
        <v>63</v>
      </c>
      <c r="BG21" t="s">
        <v>64</v>
      </c>
      <c r="BH21" t="s">
        <v>65</v>
      </c>
      <c r="BQ21" t="s">
        <v>66</v>
      </c>
      <c r="BW21">
        <v>0.0</v>
      </c>
      <c r="BX21">
        <v>0.0</v>
      </c>
      <c r="BY21">
        <v>0.0</v>
      </c>
      <c r="BZ21">
        <v>0.0</v>
      </c>
    </row>
    <row r="22" ht="15.75" customHeight="1">
      <c r="A22" s="8"/>
      <c r="B22" s="8"/>
      <c r="C22" s="8" t="s">
        <v>30</v>
      </c>
      <c r="D22" s="8">
        <v>-140.0</v>
      </c>
      <c r="E22" s="8" t="s">
        <v>19</v>
      </c>
      <c r="F22" s="8" t="s">
        <v>76</v>
      </c>
      <c r="G22" s="8">
        <v>2.0</v>
      </c>
      <c r="H22" s="8" t="s">
        <v>59</v>
      </c>
      <c r="I22" s="8"/>
      <c r="J22" s="8"/>
      <c r="K22" s="8"/>
      <c r="L22" s="8"/>
      <c r="M22" s="8"/>
      <c r="N22" s="8"/>
      <c r="O22" s="8"/>
      <c r="S22" t="s">
        <v>60</v>
      </c>
      <c r="T22" t="s">
        <v>51</v>
      </c>
      <c r="U22" t="s">
        <v>61</v>
      </c>
      <c r="V22" t="s">
        <v>67</v>
      </c>
      <c r="W22" t="s">
        <v>49</v>
      </c>
      <c r="Y22">
        <v>1.0</v>
      </c>
      <c r="AC22">
        <v>0.0</v>
      </c>
      <c r="AD22">
        <v>0.0</v>
      </c>
      <c r="AE22">
        <v>0.0</v>
      </c>
      <c r="AG22">
        <v>0.0</v>
      </c>
      <c r="AH22">
        <v>0.0</v>
      </c>
      <c r="AL22">
        <v>0.0</v>
      </c>
      <c r="AM22">
        <v>1.0</v>
      </c>
      <c r="AN22" t="s">
        <v>38</v>
      </c>
      <c r="AP22" t="s">
        <v>59</v>
      </c>
      <c r="AQ22" t="s">
        <v>29</v>
      </c>
      <c r="BE22" t="s">
        <v>68</v>
      </c>
      <c r="BF22" t="s">
        <v>63</v>
      </c>
      <c r="BG22" t="s">
        <v>64</v>
      </c>
      <c r="BH22" t="s">
        <v>65</v>
      </c>
      <c r="BQ22" t="s">
        <v>66</v>
      </c>
      <c r="BW22">
        <v>715.0</v>
      </c>
      <c r="BX22">
        <v>0.0</v>
      </c>
      <c r="BY22">
        <v>0.0</v>
      </c>
      <c r="BZ22">
        <v>0.0</v>
      </c>
    </row>
    <row r="23" ht="15.75" customHeight="1">
      <c r="A23" s="8"/>
      <c r="B23" s="8"/>
      <c r="C23" s="8" t="s">
        <v>31</v>
      </c>
      <c r="D23" s="8">
        <v>-140.0</v>
      </c>
      <c r="E23" s="8" t="s">
        <v>19</v>
      </c>
      <c r="F23" s="8" t="s">
        <v>76</v>
      </c>
      <c r="G23" s="8">
        <v>2.0</v>
      </c>
      <c r="H23" s="8" t="s">
        <v>59</v>
      </c>
      <c r="I23" s="8"/>
      <c r="J23" s="8"/>
      <c r="K23" s="8"/>
      <c r="L23" s="8"/>
      <c r="M23" s="8"/>
      <c r="N23" s="8"/>
      <c r="O23" s="8"/>
      <c r="S23" t="s">
        <v>60</v>
      </c>
      <c r="T23" t="s">
        <v>47</v>
      </c>
      <c r="U23" t="s">
        <v>61</v>
      </c>
      <c r="V23" t="s">
        <v>69</v>
      </c>
      <c r="W23" t="s">
        <v>52</v>
      </c>
      <c r="Y23">
        <v>0.0</v>
      </c>
      <c r="AC23">
        <v>0.0</v>
      </c>
      <c r="AD23">
        <v>0.0</v>
      </c>
      <c r="AE23">
        <v>0.0</v>
      </c>
      <c r="AG23">
        <v>0.0</v>
      </c>
      <c r="AH23">
        <v>0.0</v>
      </c>
      <c r="AL23">
        <v>1.0</v>
      </c>
      <c r="AM23">
        <v>1.0</v>
      </c>
      <c r="AN23" t="s">
        <v>37</v>
      </c>
      <c r="AP23" t="s">
        <v>77</v>
      </c>
      <c r="AQ23" t="s">
        <v>31</v>
      </c>
      <c r="BE23" t="s">
        <v>47</v>
      </c>
      <c r="BF23" t="s">
        <v>65</v>
      </c>
      <c r="BG23" t="s">
        <v>65</v>
      </c>
      <c r="BH23" t="s">
        <v>65</v>
      </c>
      <c r="BQ23" t="s">
        <v>66</v>
      </c>
      <c r="BW23">
        <v>0.0</v>
      </c>
      <c r="BX23">
        <v>0.0</v>
      </c>
      <c r="BY23">
        <v>0.0</v>
      </c>
      <c r="BZ23">
        <v>0.0</v>
      </c>
    </row>
    <row r="24" ht="15.75" customHeight="1">
      <c r="A24" s="8"/>
      <c r="B24" s="8"/>
      <c r="C24" s="8" t="s">
        <v>32</v>
      </c>
      <c r="D24" s="8">
        <v>-140.0</v>
      </c>
      <c r="E24" s="8" t="s">
        <v>19</v>
      </c>
      <c r="F24" s="8" t="s">
        <v>76</v>
      </c>
      <c r="G24" s="8">
        <v>2.0</v>
      </c>
      <c r="H24" s="8" t="s">
        <v>59</v>
      </c>
      <c r="I24" s="8"/>
      <c r="J24" s="8"/>
      <c r="K24" s="8"/>
      <c r="L24" s="8"/>
      <c r="M24" s="8"/>
      <c r="N24" s="8"/>
      <c r="O24" s="8"/>
      <c r="S24" t="s">
        <v>60</v>
      </c>
      <c r="T24" t="s">
        <v>54</v>
      </c>
      <c r="U24" t="s">
        <v>61</v>
      </c>
      <c r="V24" t="s">
        <v>70</v>
      </c>
      <c r="W24" t="s">
        <v>49</v>
      </c>
      <c r="Y24">
        <v>1.0</v>
      </c>
      <c r="AC24">
        <v>0.0</v>
      </c>
      <c r="AD24">
        <v>0.0</v>
      </c>
      <c r="AE24">
        <v>-7000.0</v>
      </c>
      <c r="AG24">
        <v>0.0</v>
      </c>
      <c r="AH24">
        <v>0.0</v>
      </c>
      <c r="AL24">
        <v>1.0</v>
      </c>
      <c r="AM24">
        <v>1.0</v>
      </c>
      <c r="AN24" t="s">
        <v>37</v>
      </c>
      <c r="AP24" t="s">
        <v>77</v>
      </c>
      <c r="AQ24" t="s">
        <v>32</v>
      </c>
      <c r="BE24" t="s">
        <v>65</v>
      </c>
      <c r="BF24" t="s">
        <v>71</v>
      </c>
      <c r="BG24" t="s">
        <v>72</v>
      </c>
      <c r="BH24" t="s">
        <v>73</v>
      </c>
      <c r="BQ24" t="s">
        <v>66</v>
      </c>
      <c r="BW24">
        <v>0.0</v>
      </c>
      <c r="BX24">
        <v>0.0</v>
      </c>
      <c r="BY24">
        <v>14000.0</v>
      </c>
      <c r="BZ24">
        <v>0.0</v>
      </c>
    </row>
    <row r="25" ht="15.75" customHeight="1">
      <c r="A25" s="8"/>
      <c r="B25" s="8"/>
      <c r="C25" s="8">
        <v>1.23456789E8</v>
      </c>
      <c r="D25" s="8">
        <v>-140.0</v>
      </c>
      <c r="E25" s="8" t="s">
        <v>19</v>
      </c>
      <c r="F25" s="8" t="s">
        <v>76</v>
      </c>
      <c r="G25" s="8">
        <v>2.0</v>
      </c>
      <c r="H25" s="8" t="s">
        <v>59</v>
      </c>
      <c r="I25" s="8"/>
      <c r="J25" s="8"/>
      <c r="K25" s="8"/>
      <c r="L25" s="8"/>
      <c r="M25" s="8"/>
      <c r="N25" s="8"/>
      <c r="O25" s="8"/>
      <c r="S25" t="s">
        <v>60</v>
      </c>
      <c r="T25" t="s">
        <v>55</v>
      </c>
      <c r="U25" t="s">
        <v>74</v>
      </c>
      <c r="V25" t="s">
        <v>75</v>
      </c>
      <c r="W25" t="s">
        <v>49</v>
      </c>
      <c r="Y25">
        <v>1.0</v>
      </c>
      <c r="AC25">
        <v>0.0</v>
      </c>
      <c r="AD25">
        <v>0.0</v>
      </c>
      <c r="AE25">
        <v>0.0</v>
      </c>
      <c r="AG25">
        <v>0.0</v>
      </c>
      <c r="AH25">
        <v>0.0</v>
      </c>
      <c r="AL25">
        <v>1.0</v>
      </c>
      <c r="AM25">
        <v>1.0</v>
      </c>
      <c r="AN25" t="s">
        <v>37</v>
      </c>
      <c r="AP25" t="s">
        <v>77</v>
      </c>
      <c r="AQ25">
        <v>1.23456789E8</v>
      </c>
      <c r="BE25" t="s">
        <v>55</v>
      </c>
      <c r="BF25" t="s">
        <v>65</v>
      </c>
      <c r="BG25" t="s">
        <v>65</v>
      </c>
      <c r="BH25" t="s">
        <v>65</v>
      </c>
      <c r="BQ25" t="s">
        <v>66</v>
      </c>
      <c r="BW25">
        <v>0.0</v>
      </c>
      <c r="BX25">
        <v>0.0</v>
      </c>
      <c r="BY25">
        <v>0.0</v>
      </c>
      <c r="BZ25">
        <v>0.0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39"/>
      <c r="B27" s="39"/>
      <c r="C27" s="43"/>
      <c r="D27" s="42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39"/>
      <c r="Q27" s="39"/>
      <c r="R27" s="39"/>
      <c r="S27" s="39"/>
      <c r="T27" s="39"/>
      <c r="U27" s="39"/>
      <c r="V27" s="39"/>
      <c r="W27" s="39"/>
      <c r="X27" s="39"/>
      <c r="Y27" s="48"/>
      <c r="Z27" s="39"/>
      <c r="AA27" s="39"/>
      <c r="AB27" s="39"/>
      <c r="AC27" s="48"/>
      <c r="AD27" s="48"/>
      <c r="AE27" s="48"/>
      <c r="AF27" s="48"/>
      <c r="AG27" s="48"/>
      <c r="AH27" s="48"/>
      <c r="AI27" s="39"/>
      <c r="AJ27" s="39"/>
      <c r="AK27" s="39"/>
      <c r="AL27" s="48"/>
      <c r="AM27" s="48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48"/>
      <c r="BX27" s="48"/>
      <c r="BY27" s="48"/>
      <c r="BZ27" s="48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