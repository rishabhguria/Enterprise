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Alert" sheetId="4" r:id="rId6"/>
    <sheet state="visible" name="SetAuecExecutingBroker" sheetId="5" r:id="rId7"/>
    <sheet state="visible" name="ValidateSymbolTT" sheetId="6" r:id="rId8"/>
    <sheet state="visible" name="OpenQtt" sheetId="7" r:id="rId9"/>
    <sheet state="visible" name="TradeQTT" sheetId="8" r:id="rId10"/>
    <sheet state="visible" name="UseOrVerifyHotKeys" sheetId="9" r:id="rId11"/>
    <sheet state="visible" name="VerifyTT" sheetId="10" r:id="rId12"/>
    <sheet state="visible" name="CustomOrderTT" sheetId="11" r:id="rId13"/>
  </sheets>
  <definedNames/>
  <calcPr/>
</workbook>
</file>

<file path=xl/sharedStrings.xml><?xml version="1.0" encoding="utf-8"?>
<sst xmlns="http://schemas.openxmlformats.org/spreadsheetml/2006/main" count="82" uniqueCount="34">
  <si>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</si>
  <si>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</si>
  <si>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</si>
  <si>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</si>
  <si>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</si>
  <si>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</si>
  <si>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</si>
  <si>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</si>
  <si>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</si>
  <si>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</si>
  <si>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</si>
  <si>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</si>
  <si>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</si>
  <si>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SetComplianceAlert</t>
  </si>
  <si>
    <t>Data Format</t>
  </si>
  <si>
    <t>Input Format</t>
  </si>
  <si>
    <t>SetAuecExecutingBroker</t>
  </si>
  <si>
    <t>Allocation1</t>
  </si>
  <si>
    <t>MS</t>
  </si>
  <si>
    <t>TradingTicket</t>
  </si>
  <si>
    <t>ValidateSymbolTT</t>
  </si>
  <si>
    <t>AAPL</t>
  </si>
  <si>
    <t>QTT</t>
  </si>
  <si>
    <t>OpenQtt</t>
  </si>
  <si>
    <t>Save</t>
  </si>
  <si>
    <t>TradeQTT</t>
  </si>
  <si>
    <t>kartik</t>
  </si>
  <si>
    <t>Day</t>
  </si>
  <si>
    <t>Market</t>
  </si>
  <si>
    <t>Stage</t>
  </si>
  <si>
    <t>UseOrVerifyHotKeys</t>
  </si>
  <si>
    <t>VerifyTT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</si>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</sst>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 t="str">
        <f>IFERROR(__xludf.DUMMYFUNCTION("""COMPUTED_VALUE"""),"AuecVenueExchange")</f>
        <v>AuecVenueExchange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IFERROR(__xludf.DUMMYFUNCTION("""COMPUTED_VALUE"""),"ImportExportPath")</f>
        <v>ImportExportPath</v>
      </c>
      <c r="C5" s="27" t="str">
        <f>IFERROR(__xludf.DUMMYFUNCTION("""COMPUTED_VALUE"""),"PrePostCrossImport")</f>
        <v>PrePostCrossImport</v>
      </c>
      <c r="D5" s="27" t="str">
        <f>IFERROR(__xludf.DUMMYFUNCTION("""COMPUTED_VALUE"""),"InMarket")</f>
        <v>InMarket</v>
      </c>
      <c r="E5" s="27" t="str">
        <f>IFERROR(__xludf.DUMMYFUNCTION("""COMPUTED_VALUE"""),"InStage")</f>
        <v>InStage</v>
      </c>
      <c r="F5" s="28" t="str">
        <f>IFERROR(__xludf.DUMMYFUNCTION("""COMPUTED_VALUE"""),"PostInMarket")</f>
        <v>PostInMarket</v>
      </c>
      <c r="G5" s="27" t="str">
        <f>IFERROR(__xludf.DUMMYFUNCTION("""COMPUTED_VALUE"""),"PostInStage")</f>
        <v>PostInStage</v>
      </c>
      <c r="H5" s="27" t="str">
        <f>IFERROR(__xludf.DUMMYFUNCTION("""COMPUTED_VALUE"""),"BlockTradeOnComplianceFaliure")</f>
        <v>BlockTradeOnComplianceFaliure</v>
      </c>
      <c r="I5" s="27" t="str">
        <f>IFERROR(__xludf.DUMMYFUNCTION("""COMPUTED_VALUE"""),"StageValueFromField")</f>
        <v>StageValueFromField</v>
      </c>
      <c r="J5" s="27" t="str">
        <f>IFERROR(__xludf.DUMMYFUNCTION("""COMPUTED_VALUE"""),"StageValueFromFieldString")</f>
        <v>StageValueFromFieldString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b">
        <v>0</v>
      </c>
      <c r="E6" s="12" t="b">
        <v>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SetComplianceAlert!$4:$4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 t="str">
        <f>IFERROR(__xludf.DUMMYFUNCTION("""COMPUTED_VALUE"""),"AuecVenueExchange")</f>
        <v>AuecVenueExchange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IFERROR(__xludf.DUMMYFUNCTION("""COMPUTED_VALUE"""),"Broker")</f>
        <v>Broker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17</v>
      </c>
      <c r="C6" s="31" t="s">
        <v>18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0"/>
      <c r="C7" s="30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SetAuecExecutingBroker!$4:$4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ValidateSymbolTT!$4:$4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 t="str">
        <f>IFERROR(__xludf.DUMMYFUNCTION("""COMPUTED_VALUE"""),"EditAuecWindowQTT")</f>
        <v>EditAuecWindowQTT</v>
      </c>
      <c r="H4" s="24" t="str">
        <f>IFERROR(__xludf.DUMMYFUNCTION("""COMPUTED_VALUE"""),"VerifyBrokerSummaryQTT")</f>
        <v>VerifyBrokerSummaryQTT</v>
      </c>
      <c r="I4" s="24" t="str">
        <f>IFERROR(__xludf.DUMMYFUNCTION("""COMPUTED_VALUE"""),"EditQuickPreference")</f>
        <v>EditQuickPreference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24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OpenQtt!$4:$4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 t="str">
        <f>IFERROR(__xludf.DUMMYFUNCTION("""COMPUTED_VALUE"""),"EditAuecWindowQTT")</f>
        <v>EditAuecWindowQTT</v>
      </c>
      <c r="H4" s="24" t="str">
        <f>IFERROR(__xludf.DUMMYFUNCTION("""COMPUTED_VALUE"""),"VerifyBrokerSummaryQTT")</f>
        <v>VerifyBrokerSummaryQTT</v>
      </c>
      <c r="I4" s="24" t="str">
        <f>IFERROR(__xludf.DUMMYFUNCTION("""COMPUTED_VALUE"""),"EditQuickPreference")</f>
        <v>EditQuickPreference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IFERROR(__xludf.DUMMYFUNCTION("""COMPUTED_VALUE"""),"Title")</f>
        <v>Title</v>
      </c>
      <c r="C5" s="27" t="str">
        <f>IFERROR(__xludf.DUMMYFUNCTION("""COMPUTED_VALUE"""),"Symbol")</f>
        <v>Symbol</v>
      </c>
      <c r="D5" s="27" t="str">
        <f>IFERROR(__xludf.DUMMYFUNCTION("""COMPUTED_VALUE"""),"Quantity")</f>
        <v>Quantity</v>
      </c>
      <c r="E5" s="27" t="str">
        <f>IFERROR(__xludf.DUMMYFUNCTION("""COMPUTED_VALUE"""),"Allocation")</f>
        <v>Allocation</v>
      </c>
      <c r="F5" s="28" t="str">
        <f>IFERROR(__xludf.DUMMYFUNCTION("""COMPUTED_VALUE"""),"Broker")</f>
        <v>Broker</v>
      </c>
      <c r="G5" s="27" t="str">
        <f>IFERROR(__xludf.DUMMYFUNCTION("""COMPUTED_VALUE"""),"Venue")</f>
        <v>Venue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IFERROR(__xludf.DUMMYFUNCTION("""COMPUTED_VALUE"""),"Execution Type")</f>
        <v>Execution Type</v>
      </c>
      <c r="K5" s="27" t="str">
        <f>IFERROR(__xludf.DUMMYFUNCTION("""COMPUTED_VALUE"""),"Select Color")</f>
        <v>Select Color</v>
      </c>
      <c r="L5" s="27" t="str">
        <f>IFERROR(__xludf.DUMMYFUNCTION("""COMPUTED_VALUE"""),"Add To Favourite")</f>
        <v>Add To Favourite</v>
      </c>
      <c r="M5" s="27" t="str">
        <f>IFERROR(__xludf.DUMMYFUNCTION("""COMPUTED_VALUE"""),"AlgoType")</f>
        <v>AlgoType</v>
      </c>
      <c r="N5" s="27" t="str">
        <f>IFERROR(__xludf.DUMMYFUNCTION("""COMPUTED_VALUE"""),"Start time")</f>
        <v>Start time</v>
      </c>
      <c r="O5" s="27" t="str">
        <f>IFERROR(__xludf.DUMMYFUNCTION("""COMPUTED_VALUE"""),"End time")</f>
        <v>End time</v>
      </c>
      <c r="P5" s="27" t="str">
        <f>IFERROR(__xludf.DUMMYFUNCTION("""COMPUTED_VALUE"""),"EndTimeCheckBox")</f>
        <v>EndTimeCheckBox</v>
      </c>
      <c r="Q5" s="27" t="str">
        <f>IFERROR(__xludf.DUMMYFUNCTION("""COMPUTED_VALUE"""),"Style")</f>
        <v>Style</v>
      </c>
      <c r="R5" s="27" t="str">
        <f>IFERROR(__xludf.DUMMYFUNCTION("""COMPUTED_VALUE"""),"Save")</f>
        <v>Save</v>
      </c>
      <c r="S5" s="27" t="str">
        <f>IFERROR(__xludf.DUMMYFUNCTION("""COMPUTED_VALUE"""),"Quick Preferences Name")</f>
        <v>Quick Preferences Name</v>
      </c>
      <c r="T5" s="29" t="str">
        <f>IFERROR(__xludf.DUMMYFUNCTION("""COMPUTED_VALUE"""),"Expiration Date")</f>
        <v>Expiration Date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0" t="s">
        <v>26</v>
      </c>
      <c r="C6" s="34" t="s">
        <v>21</v>
      </c>
      <c r="D6" s="35">
        <v>100.0</v>
      </c>
      <c r="E6" s="34" t="s">
        <v>17</v>
      </c>
      <c r="F6" s="36" t="s">
        <v>18</v>
      </c>
      <c r="G6" s="37"/>
      <c r="H6" s="34" t="s">
        <v>27</v>
      </c>
      <c r="I6" s="34" t="s">
        <v>28</v>
      </c>
      <c r="J6" s="34" t="s">
        <v>29</v>
      </c>
      <c r="K6" s="37"/>
      <c r="L6" s="36" t="b">
        <v>1</v>
      </c>
      <c r="M6" s="37"/>
      <c r="N6" s="37"/>
      <c r="O6" s="37"/>
      <c r="P6" s="37"/>
      <c r="Q6" s="37"/>
      <c r="R6" s="38" t="b">
        <v>1</v>
      </c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TradeQTT!$4:$4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 t="str">
        <f>IFERROR(__xludf.DUMMYFUNCTION("""COMPUTED_VALUE"""),"EditAuecWindowQTT")</f>
        <v>EditAuecWindowQTT</v>
      </c>
      <c r="H4" s="24" t="str">
        <f>IFERROR(__xludf.DUMMYFUNCTION("""COMPUTED_VALUE"""),"VerifyBrokerSummaryQTT")</f>
        <v>VerifyBrokerSummaryQTT</v>
      </c>
      <c r="I4" s="24" t="str">
        <f>IFERROR(__xludf.DUMMYFUNCTION("""COMPUTED_VALUE"""),"EditQuickPreference")</f>
        <v>EditQuickPreference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IFERROR(__xludf.DUMMYFUNCTION("""COMPUTED_VALUE"""),"UseHotKey")</f>
        <v>UseHotKey</v>
      </c>
      <c r="C5" s="27" t="str">
        <f>IFERROR(__xludf.DUMMYFUNCTION("""COMPUTED_VALUE"""),"VerifyHotKeys")</f>
        <v>VerifyHotKeys</v>
      </c>
      <c r="D5" s="27" t="str">
        <f>IFERROR(__xludf.DUMMYFUNCTION("""COMPUTED_VALUE"""),"VerifyHotKeysColor")</f>
        <v>VerifyHotKeysColor</v>
      </c>
      <c r="E5" s="27" t="str">
        <f>IFERROR(__xludf.DUMMYFUNCTION("""COMPUTED_VALUE"""),"TTStayOpen")</f>
        <v>TTStayOpen</v>
      </c>
      <c r="F5" s="28" t="str">
        <f>IFERROR(__xludf.DUMMYFUNCTION("""COMPUTED_VALUE"""),"NegativeTesting")</f>
        <v>NegativeTesting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26</v>
      </c>
      <c r="C6" s="8"/>
      <c r="D6" s="12"/>
      <c r="E6" s="12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UseOrVerifyHotKeys!$4:$4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IFERROR(__xludf.DUMMYFUNCTION("""COMPUTED_VALUE"""),"MasterFund")</f>
        <v>MasterFund</v>
      </c>
      <c r="AG5" s="29" t="str">
        <f>IFERROR(__xludf.DUMMYFUNCTION("""COMPUTED_VALUE"""),"RoundLotStrip")</f>
        <v>RoundLotStrip</v>
      </c>
      <c r="AH5" s="29" t="str">
        <f>IFERROR(__xludf.DUMMYFUNCTION("""COMPUTED_VALUE"""),"Round Lots")</f>
        <v>Round Lots</v>
      </c>
      <c r="AI5" s="29" t="str">
        <f>IFERROR(__xludf.DUMMYFUNCTION("""COMPUTED_VALUE"""),"Button_Status")</f>
        <v>Button_Status</v>
      </c>
      <c r="AJ5" s="29" t="str">
        <f>IFERROR(__xludf.DUMMYFUNCTION("""COMPUTED_VALUE"""),"Position")</f>
        <v>Position</v>
      </c>
      <c r="AK5" s="29" t="str">
        <f>IFERROR(__xludf.DUMMYFUNCTION("""COMPUTED_VALUE"""),"Symbol Name")</f>
        <v>Symbol Name</v>
      </c>
      <c r="AL5" s="29" t="str">
        <f>IFERROR(__xludf.DUMMYFUNCTION("""COMPUTED_VALUE"""),"Last")</f>
        <v>Last</v>
      </c>
      <c r="AM5" s="29" t="str">
        <f>IFERROR(__xludf.DUMMYFUNCTION("""COMPUTED_VALUE"""),"Change")</f>
        <v>Change</v>
      </c>
      <c r="AN5" s="29" t="str">
        <f>IFERROR(__xludf.DUMMYFUNCTION("""COMPUTED_VALUE"""),"Bid")</f>
        <v>Bid</v>
      </c>
      <c r="AO5" s="29" t="str">
        <f>IFERROR(__xludf.DUMMYFUNCTION("""COMPUTED_VALUE"""),"Ask")</f>
        <v>Ask</v>
      </c>
      <c r="AP5" s="29" t="str">
        <f>IFERROR(__xludf.DUMMYFUNCTION("""COMPUTED_VALUE"""),"Notional(Base)")</f>
        <v>Notional(Base)</v>
      </c>
      <c r="AQ5" s="29" t="str">
        <f>IFERROR(__xludf.DUMMYFUNCTION("""COMPUTED_VALUE"""),"Notional(Local)")</f>
        <v>Notional(Local)</v>
      </c>
      <c r="AR5" s="29" t="str">
        <f>IFERROR(__xludf.DUMMYFUNCTION("""COMPUTED_VALUE"""),"Exposure")</f>
        <v>Exposure</v>
      </c>
      <c r="AS5" s="29" t="str">
        <f>IFERROR(__xludf.DUMMYFUNCTION("""COMPUTED_VALUE"""),"Day P&amp;L")</f>
        <v>Day P&amp;L</v>
      </c>
      <c r="AT5" s="29" t="str">
        <f>IFERROR(__xludf.DUMMYFUNCTION("""COMPUTED_VALUE"""),"VerifyDisableVenue")</f>
        <v>VerifyDisableVenue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12" t="s">
        <v>18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IFERROR(__xludf.DUMMYFUNCTION("""COMPUTED_VALUE"""),"MasterFund")</f>
        <v>MasterFund</v>
      </c>
      <c r="AG5" s="29" t="str">
        <f>IFERROR(__xludf.DUMMYFUNCTION("""COMPUTED_VALUE"""),"RoundLotStrip")</f>
        <v>RoundLotStrip</v>
      </c>
      <c r="AH5" s="29" t="str">
        <f>IFERROR(__xludf.DUMMYFUNCTION("""COMPUTED_VALUE"""),"Round Lots")</f>
        <v>Round Lots</v>
      </c>
      <c r="AI5" s="29" t="str">
        <f>IFERROR(__xludf.DUMMYFUNCTION("""COMPUTED_VALUE"""),"Button_Status")</f>
        <v>Button_Status</v>
      </c>
      <c r="AJ5" s="29" t="str">
        <f>IFERROR(__xludf.DUMMYFUNCTION("""COMPUTED_VALUE"""),"Position")</f>
        <v>Position</v>
      </c>
      <c r="AK5" s="29" t="str">
        <f>IFERROR(__xludf.DUMMYFUNCTION("""COMPUTED_VALUE"""),"Symbol Name")</f>
        <v>Symbol Name</v>
      </c>
      <c r="AL5" s="29" t="str">
        <f>IFERROR(__xludf.DUMMYFUNCTION("""COMPUTED_VALUE"""),"Last")</f>
        <v>Last</v>
      </c>
      <c r="AM5" s="29" t="str">
        <f>IFERROR(__xludf.DUMMYFUNCTION("""COMPUTED_VALUE"""),"Change")</f>
        <v>Change</v>
      </c>
      <c r="AN5" s="29" t="str">
        <f>IFERROR(__xludf.DUMMYFUNCTION("""COMPUTED_VALUE"""),"Bid")</f>
        <v>Bid</v>
      </c>
      <c r="AO5" s="29" t="str">
        <f>IFERROR(__xludf.DUMMYFUNCTION("""COMPUTED_VALUE"""),"Ask")</f>
        <v>Ask</v>
      </c>
      <c r="AP5" s="29" t="str">
        <f>IFERROR(__xludf.DUMMYFUNCTION("""COMPUTED_VALUE"""),"Notional(Base)")</f>
        <v>Notional(Base)</v>
      </c>
      <c r="AQ5" s="29" t="str">
        <f>IFERROR(__xludf.DUMMYFUNCTION("""COMPUTED_VALUE"""),"Notional(Local)")</f>
        <v>Notional(Local)</v>
      </c>
      <c r="AR5" s="29" t="str">
        <f>IFERROR(__xludf.DUMMYFUNCTION("""COMPUTED_VALUE"""),"Exposure")</f>
        <v>Exposure</v>
      </c>
      <c r="AS5" s="29" t="str">
        <f>IFERROR(__xludf.DUMMYFUNCTION("""COMPUTED_VALUE"""),"Day P&amp;L")</f>
        <v>Day P&amp;L</v>
      </c>
      <c r="AT5" s="29" t="str">
        <f>IFERROR(__xludf.DUMMYFUNCTION("""COMPUTED_VALUE"""),"VerifyDisableVenue")</f>
        <v>VerifyDisableVenue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32</v>
      </c>
      <c r="C6" s="8"/>
      <c r="D6" s="12" t="s">
        <v>33</v>
      </c>
      <c r="E6" s="32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