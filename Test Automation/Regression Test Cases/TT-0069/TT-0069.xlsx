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ShowMasterFundOnTT" sheetId="5" r:id="rId7"/>
    <sheet state="visible" name="UpdateMasterFundOnTT" sheetId="6" r:id="rId8"/>
    <sheet state="visible" name="CreateDoneAwayOrder" sheetId="7" r:id="rId9"/>
    <sheet state="visible" name="CheckPortfolioManagement" sheetId="8" r:id="rId10"/>
    <sheet state="visible" name="PricingInput" sheetId="9" r:id="rId11"/>
    <sheet state="visible" name="CalculatePTT" sheetId="10" r:id="rId12"/>
    <sheet state="visible" name="VerifyPTT" sheetId="11" r:id="rId13"/>
    <sheet state="visible" name="TradePTT" sheetId="12" r:id="rId14"/>
    <sheet state="visible" name="CreateDoneAwayOrder1" sheetId="13" r:id="rId15"/>
    <sheet state="visible" name="CheckPortfolioManagement1" sheetId="14" r:id="rId16"/>
    <sheet state="visible" name="CalculatePTT1" sheetId="15" r:id="rId17"/>
    <sheet state="visible" name="VerifyPTT1" sheetId="16" r:id="rId18"/>
    <sheet state="visible" name="TradePTT1" sheetId="17" r:id="rId19"/>
    <sheet state="visible" name="CreateDoneAwayOrder2" sheetId="18" r:id="rId20"/>
    <sheet state="visible" name="VerifyOrder" sheetId="19" r:id="rId21"/>
    <sheet state="visible" name="GetDataAllocation" sheetId="20" r:id="rId22"/>
    <sheet state="visible" name="CheckAllocatedGroups" sheetId="21" r:id="rId23"/>
    <sheet state="visible" name="CheckPortfolioManagement2" sheetId="22" r:id="rId24"/>
  </sheets>
  <definedNames/>
  <calcPr/>
</workbook>
</file>

<file path=xl/sharedStrings.xml><?xml version="1.0" encoding="utf-8"?>
<sst xmlns="http://schemas.openxmlformats.org/spreadsheetml/2006/main" count="430" uniqueCount="69">
  <si>
    <t>Modules Info</t>
  </si>
  <si>
    <t>Modules</t>
  </si>
  <si>
    <t>Settings</t>
  </si>
  <si>
    <t>Module Step Setting File</t>
  </si>
  <si>
    <t>1j0XTqylCAyEpn_j9vfFi3Z_-jq412Z7RTqmw5bXru1U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</si>
  <si>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</si>
  <si>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</si>
  <si>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</si>
  <si>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</si>
  <si>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</si>
  <si>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</si>
  <si>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</si>
  <si>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</si>
  <si>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</si>
  <si>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</si>
  <si>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</si>
  <si>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MasterFund</t>
  </si>
  <si>
    <t>Allocation</t>
  </si>
  <si>
    <t>ShowMasterFundOnTT</t>
  </si>
  <si>
    <t>TradingTicket</t>
  </si>
  <si>
    <t>UpdateMasterFundOnTT</t>
  </si>
  <si>
    <t>NewMF</t>
  </si>
  <si>
    <t>CreateDoneAwayOrder</t>
  </si>
  <si>
    <t>AAPL</t>
  </si>
  <si>
    <t>Buy</t>
  </si>
  <si>
    <t>Allocation1</t>
  </si>
  <si>
    <t>PortfolioManagement</t>
  </si>
  <si>
    <t>CheckPortfolioManagement</t>
  </si>
  <si>
    <t>Long</t>
  </si>
  <si>
    <t>APPLE</t>
  </si>
  <si>
    <t>Undefined</t>
  </si>
  <si>
    <t>FIMAT</t>
  </si>
  <si>
    <t>Strategy Unallocated</t>
  </si>
  <si>
    <t>Equity</t>
  </si>
  <si>
    <t>US</t>
  </si>
  <si>
    <t>NASDAQ</t>
  </si>
  <si>
    <t>USD</t>
  </si>
  <si>
    <t>New Hedge</t>
  </si>
  <si>
    <t>Small Cap</t>
  </si>
  <si>
    <t>jpearce</t>
  </si>
  <si>
    <t>MS</t>
  </si>
  <si>
    <t>AAPL US EQUITY</t>
  </si>
  <si>
    <t>None</t>
  </si>
  <si>
    <t>Default</t>
  </si>
  <si>
    <t>test1</t>
  </si>
  <si>
    <t>india</t>
  </si>
  <si>
    <t>test 1</t>
  </si>
  <si>
    <t>Yes</t>
  </si>
  <si>
    <t>PricingInput</t>
  </si>
  <si>
    <t>PTT</t>
  </si>
  <si>
    <t>CalculatePTT</t>
  </si>
  <si>
    <t>Set</t>
  </si>
  <si>
    <t>Percentage</t>
  </si>
  <si>
    <t>No</t>
  </si>
  <si>
    <t>VerifyPTT</t>
  </si>
  <si>
    <t>TradePTT</t>
  </si>
  <si>
    <t>User Defined</t>
  </si>
  <si>
    <t>Blotter</t>
  </si>
  <si>
    <t>VerifyOrder</t>
  </si>
  <si>
    <t xml:space="preserve">jpearce </t>
  </si>
  <si>
    <t>Filled</t>
  </si>
  <si>
    <t>Market</t>
  </si>
  <si>
    <t>GetDataAllocation</t>
  </si>
  <si>
    <t>Current</t>
  </si>
  <si>
    <t>CheckAllocatedGroups</t>
  </si>
  <si>
    <t>Open</t>
  </si>
  <si>
    <t>M</t>
  </si>
  <si>
    <t>False</t>
  </si>
  <si>
    <t>True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</si>
</sst>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,###,###,###,##0.00#############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11.0"/>
      <name val="Calibri"/>
    </font>
    <font>
      <sz val="11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5" fillId="0" fontId="13" numFmtId="0" xfId="0" applyAlignment="1" applyBorder="1" applyFont="1">
      <alignment vertical="bottom"/>
    </xf>
    <xf borderId="5" fillId="0" fontId="13" numFmtId="3" xfId="0" applyAlignment="1" applyBorder="1" applyFont="1" applyNumberFormat="1">
      <alignment horizontal="right" vertical="bottom"/>
    </xf>
    <xf borderId="5" fillId="0" fontId="13" numFmtId="0" xfId="0" applyAlignment="1" applyBorder="1" applyFont="1">
      <alignment horizontal="right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3" numFmtId="3" xfId="0" applyAlignment="1" applyFont="1" applyNumberFormat="1">
      <alignment horizontal="right" vertical="bottom"/>
    </xf>
    <xf borderId="0" fillId="0" fontId="13" numFmtId="0" xfId="0" applyAlignment="1" applyFont="1">
      <alignment horizontal="center" vertical="bottom"/>
    </xf>
    <xf borderId="5" fillId="0" fontId="3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5" fillId="0" fontId="5" numFmtId="3" xfId="0" applyAlignment="1" applyBorder="1" applyFont="1" applyNumberFormat="1">
      <alignment horizontal="right" vertical="bottom"/>
    </xf>
    <xf borderId="5" fillId="0" fontId="5" numFmtId="3" xfId="0" applyAlignment="1" applyBorder="1" applyFont="1" applyNumberFormat="1">
      <alignment horizontal="right" readingOrder="0" vertical="bottom"/>
    </xf>
    <xf borderId="0" fillId="0" fontId="3" numFmtId="3" xfId="0" applyAlignment="1" applyFont="1" applyNumberForma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3" numFmtId="3" xfId="0" applyAlignment="1" applyFont="1" applyNumberForma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5" fillId="0" fontId="14" numFmtId="0" xfId="0" applyAlignment="1" applyBorder="1" applyFont="1">
      <alignment vertical="bottom"/>
    </xf>
    <xf borderId="5" fillId="0" fontId="14" numFmtId="164" xfId="0" applyAlignment="1" applyBorder="1" applyFont="1" applyNumberFormat="1">
      <alignment horizontal="right" vertical="bottom"/>
    </xf>
    <xf borderId="5" fillId="0" fontId="13" numFmtId="16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5" fillId="0" fontId="14" numFmtId="0" xfId="0" applyAlignment="1" applyBorder="1" applyFont="1">
      <alignment vertical="bottom"/>
    </xf>
    <xf borderId="0" fillId="0" fontId="14" numFmtId="164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13" numFmtId="164" xfId="0" applyAlignment="1" applyFont="1" applyNumberFormat="1">
      <alignment horizontal="right" vertical="bottom"/>
    </xf>
    <xf borderId="5" fillId="0" fontId="13" numFmtId="164" xfId="0" applyAlignment="1" applyBorder="1" applyFont="1" applyNumberFormat="1">
      <alignment horizontal="right" readingOrder="0" vertical="bottom"/>
    </xf>
    <xf borderId="5" fillId="0" fontId="14" numFmtId="164" xfId="0" applyAlignment="1" applyBorder="1" applyFont="1" applyNumberFormat="1">
      <alignment horizontal="right" readingOrder="0" vertical="bottom"/>
    </xf>
    <xf borderId="0" fillId="0" fontId="13" numFmtId="164" xfId="0" applyAlignment="1" applyFont="1" applyNumberFormat="1">
      <alignment horizontal="right" readingOrder="0" vertical="bottom"/>
    </xf>
    <xf borderId="0" fillId="0" fontId="14" numFmtId="164" xfId="0" applyAlignment="1" applyFont="1" applyNumberFormat="1">
      <alignment horizontal="right" readingOrder="0" vertical="bottom"/>
    </xf>
    <xf borderId="5" fillId="0" fontId="15" numFmtId="0" xfId="0" applyAlignment="1" applyBorder="1" applyFont="1">
      <alignment vertical="bottom"/>
    </xf>
    <xf borderId="0" fillId="0" fontId="13" numFmtId="3" xfId="0" applyAlignment="1" applyFont="1" applyNumberFormat="1">
      <alignment horizontal="right" readingOrder="0" vertical="bottom"/>
    </xf>
    <xf borderId="0" fillId="0" fontId="15" numFmtId="0" xfId="0" applyAlignment="1" applyFont="1">
      <alignment vertical="bottom"/>
    </xf>
    <xf borderId="0" fillId="0" fontId="1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6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IFERROR(__xludf.DUMMYFUNCTION("""COMPUTED_VALUE"""),"SetTTUIPreferencesViaAdmin")</f>
        <v>SetTTUIPreferencesViaAdmin</v>
      </c>
      <c r="C532" t="str">
        <f>IFERROR(__xludf.DUMMYFUNCTION("""COMPUTED_VALUE"""),"1Z8JIwoPxCgLRv01bYZcdh7xr1IcRWOaqqUrwQZaloYA")</f>
        <v>1Z8JIwoPxCgLRv01bYZcdh7xr1IcRWOaqqUrwQZaloYA</v>
      </c>
    </row>
    <row r="533" ht="15.75" customHeight="1">
      <c r="A533" t="str">
        <f>IFERROR(__xludf.DUMMYFUNCTION("""COMPUTED_VALUE"""),"Allocation")</f>
        <v>Allocation</v>
      </c>
      <c r="B533" t="str">
        <f>IFERROR(__xludf.DUMMYFUNCTION("""COMPUTED_VALUE"""),"AllocationAuditTrail")</f>
        <v>AllocationAuditTrail</v>
      </c>
      <c r="C533" t="str">
        <f>IFERROR(__xludf.DUMMYFUNCTION("""COMPUTED_VALUE"""),"178rOki2KCouUF9Iz9lng6bwJnPFVHaZtwBC9CdiyuVc")</f>
        <v>178rOki2KCouUF9Iz9lng6bwJnPFVHaZtwBC9CdiyuVc</v>
      </c>
    </row>
    <row r="534" ht="15.75" customHeight="1">
      <c r="A534" t="str">
        <f>IFERROR(__xludf.DUMMYFUNCTION("""COMPUTED_VALUE"""),"Allocation")</f>
        <v>Allocation</v>
      </c>
      <c r="B534" t="str">
        <f>IFERROR(__xludf.DUMMYFUNCTION("""COMPUTED_VALUE"""),"GetAuditTrailData")</f>
        <v>GetAuditTrailData</v>
      </c>
      <c r="C534" t="str">
        <f>IFERROR(__xludf.DUMMYFUNCTION("""COMPUTED_VALUE"""),"1xzn2YyCPdZfMTo0ieuR11YKa_oxUPbzkPKQEmibGMDo")</f>
        <v>1xzn2YyCPdZfMTo0ieuR11YKa_oxUPbzkPKQEmibGMDo</v>
      </c>
    </row>
    <row r="535" ht="15.75" customHeight="1">
      <c r="A535" t="str">
        <f>IFERROR(__xludf.DUMMYFUNCTION("""COMPUTED_VALUE"""),"Allocation")</f>
        <v>Allocation</v>
      </c>
      <c r="B535" t="str">
        <f>IFERROR(__xludf.DUMMYFUNCTION("""COMPUTED_VALUE"""),"CheckAuditTrailData")</f>
        <v>CheckAuditTrailData</v>
      </c>
      <c r="C535" t="str">
        <f>IFERROR(__xludf.DUMMYFUNCTION("""COMPUTED_VALUE"""),"1Yxu4VMZGMl7EQBhNAo8lBqOGH6w7WWla7_FbMhPALQg")</f>
        <v>1Yxu4VMZGMl7EQBhNAo8lBqOGH6w7WWla7_FbMhPALQg</v>
      </c>
    </row>
    <row r="536" ht="15.75" customHeight="1">
      <c r="A536" t="str">
        <f>IFERROR(__xludf.DUMMYFUNCTION("""COMPUTED_VALUE"""),"SymbolLookup")</f>
        <v>SymbolLookup</v>
      </c>
      <c r="B536" t="str">
        <f>IFERROR(__xludf.DUMMYFUNCTION("""COMPUTED_VALUE"""),"UpdateSecurityInfoOnSM")</f>
        <v>UpdateSecurityInfoOnSM</v>
      </c>
      <c r="C536" t="str">
        <f>IFERROR(__xludf.DUMMYFUNCTION("""COMPUTED_VALUE"""),"14z69pnCfo_DnsBrAd1uY7YL0PPT5uLfl7VchS5jQ8a8")</f>
        <v>14z69pnCfo_DnsBrAd1uY7YL0PPT5uLfl7VchS5jQ8a8</v>
      </c>
    </row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IFERROR(__xludf.DUMMYFUNCTION("""COMPUTED_VALUE"""),"SetTTUIPreferencesViaAdmin")</f>
        <v>SetTTUIPreferencesViaAdmin</v>
      </c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3" t="b">
        <v>1</v>
      </c>
      <c r="O6" s="34">
        <v>2.0</v>
      </c>
      <c r="P6" s="35" t="s">
        <v>16</v>
      </c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IFERROR(__xludf.DUMMYFUNCTION("""COMPUTED_VALUE"""),"ShowMasterFundOnTT")</f>
        <v>ShowMasterFundOnTT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b">
        <v>1</v>
      </c>
      <c r="C6" s="8"/>
      <c r="D6" s="11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ShowMasterFundOnTT!$4:$4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8"/>
      <c r="D6" s="11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UpdateMasterFundOnTT!$4:$4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23</v>
      </c>
      <c r="C6" s="32" t="s">
        <v>24</v>
      </c>
      <c r="D6" s="38">
        <v>1000.0</v>
      </c>
      <c r="E6" s="34">
        <v>1000.0</v>
      </c>
      <c r="F6" s="32" t="s">
        <v>25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9">
        <v>0.0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3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IFERROR(__xludf.DUMMYFUNCTION("""COMPUTED_VALUE"""),"isRowCountCheck")</f>
        <v>isRowCountCheck</v>
      </c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30"/>
      <c r="B6" s="31"/>
      <c r="C6" s="40" t="s">
        <v>23</v>
      </c>
      <c r="D6" s="41">
        <v>1000.0</v>
      </c>
      <c r="E6" s="40" t="s">
        <v>25</v>
      </c>
      <c r="F6" s="40" t="s">
        <v>21</v>
      </c>
      <c r="G6" s="42">
        <v>10.0</v>
      </c>
      <c r="H6" s="40" t="s">
        <v>28</v>
      </c>
      <c r="I6" s="42">
        <v>0.0</v>
      </c>
      <c r="J6" s="32"/>
      <c r="K6" s="42">
        <v>0.0</v>
      </c>
      <c r="L6" s="32"/>
      <c r="M6" s="32"/>
      <c r="N6" s="41">
        <v>-10000.0</v>
      </c>
      <c r="O6" s="40" t="s">
        <v>29</v>
      </c>
      <c r="P6" s="42" t="s">
        <v>30</v>
      </c>
      <c r="Q6" s="41">
        <v>-10000.0</v>
      </c>
      <c r="R6" s="40" t="s">
        <v>31</v>
      </c>
      <c r="S6" s="40" t="s">
        <v>32</v>
      </c>
      <c r="T6" s="43" t="s">
        <v>33</v>
      </c>
      <c r="U6" s="43" t="s">
        <v>34</v>
      </c>
      <c r="V6" s="43" t="s">
        <v>35</v>
      </c>
      <c r="W6" s="43" t="s">
        <v>36</v>
      </c>
      <c r="X6" s="36"/>
      <c r="Y6" s="44">
        <v>1.0</v>
      </c>
      <c r="Z6" s="36"/>
      <c r="AA6" s="36"/>
      <c r="AB6" s="44">
        <v>0.0</v>
      </c>
      <c r="AC6" s="44">
        <v>0.0</v>
      </c>
      <c r="AD6" s="44">
        <v>0.0</v>
      </c>
      <c r="AE6" s="44">
        <v>0.0</v>
      </c>
      <c r="AF6" s="45">
        <v>1000.0</v>
      </c>
      <c r="AG6" s="44">
        <v>0.0</v>
      </c>
      <c r="AH6" s="44">
        <v>0.0</v>
      </c>
      <c r="AI6" s="44">
        <v>0.0</v>
      </c>
      <c r="AJ6" s="44">
        <v>0.0</v>
      </c>
      <c r="AK6" s="45">
        <v>-10000.0</v>
      </c>
      <c r="AL6" s="44">
        <v>1.0</v>
      </c>
      <c r="AM6" s="44">
        <v>1.0</v>
      </c>
      <c r="AN6" s="36" t="s">
        <v>24</v>
      </c>
      <c r="AO6" s="36"/>
      <c r="AP6" s="43" t="s">
        <v>28</v>
      </c>
      <c r="AQ6" s="43" t="s">
        <v>23</v>
      </c>
      <c r="AR6" s="44">
        <v>0.0</v>
      </c>
      <c r="AS6" s="36"/>
      <c r="AT6" s="36"/>
      <c r="AU6" s="36"/>
      <c r="AV6" s="44">
        <v>1.0</v>
      </c>
      <c r="AW6" s="45">
        <v>-10000.0</v>
      </c>
      <c r="AX6" s="44">
        <v>0.0</v>
      </c>
      <c r="AY6" s="44">
        <v>0.0</v>
      </c>
      <c r="AZ6" s="44">
        <v>0.0</v>
      </c>
      <c r="BA6" s="44">
        <v>-100.0</v>
      </c>
      <c r="BB6" s="36"/>
      <c r="BC6" s="44">
        <v>1.0</v>
      </c>
      <c r="BD6" s="45">
        <v>-10000.0</v>
      </c>
      <c r="BE6" s="43" t="s">
        <v>33</v>
      </c>
      <c r="BF6" s="43" t="s">
        <v>37</v>
      </c>
      <c r="BG6" s="43" t="s">
        <v>38</v>
      </c>
      <c r="BH6" s="43" t="s">
        <v>30</v>
      </c>
      <c r="BI6" s="44">
        <v>5.0</v>
      </c>
      <c r="BJ6" s="44">
        <v>0.0</v>
      </c>
      <c r="BK6" s="44">
        <v>0.0</v>
      </c>
      <c r="BL6" s="44">
        <v>0.0</v>
      </c>
      <c r="BM6" s="44">
        <v>0.0</v>
      </c>
      <c r="BN6" s="36"/>
      <c r="BO6" s="45">
        <v>-10000.0</v>
      </c>
      <c r="BP6" s="44">
        <v>0.0</v>
      </c>
      <c r="BQ6" s="43" t="s">
        <v>39</v>
      </c>
      <c r="BR6" s="43" t="s">
        <v>40</v>
      </c>
      <c r="BS6" s="44">
        <v>0.0</v>
      </c>
      <c r="BT6" s="44">
        <v>0.0</v>
      </c>
      <c r="BU6" s="43" t="s">
        <v>33</v>
      </c>
      <c r="BV6" s="36"/>
      <c r="BW6" s="44">
        <v>0.0</v>
      </c>
      <c r="BX6" s="44">
        <v>0.0</v>
      </c>
      <c r="BY6" s="44">
        <v>0.0</v>
      </c>
      <c r="BZ6" s="44">
        <v>0.0</v>
      </c>
      <c r="CA6" s="44">
        <v>0.0</v>
      </c>
      <c r="CB6" s="36"/>
      <c r="CC6" s="44">
        <v>0.0</v>
      </c>
      <c r="CD6" s="45">
        <v>-10000.0</v>
      </c>
      <c r="CE6" s="44">
        <v>0.0</v>
      </c>
      <c r="CF6" s="44">
        <v>0.0</v>
      </c>
      <c r="CG6" s="45">
        <v>-10000.0</v>
      </c>
      <c r="CH6" s="44">
        <v>-100.0</v>
      </c>
      <c r="CI6" s="44">
        <v>0.0</v>
      </c>
      <c r="CJ6" s="44">
        <v>0.0</v>
      </c>
      <c r="CK6" s="46" t="b">
        <v>0</v>
      </c>
      <c r="CL6" s="36"/>
      <c r="CM6" s="36"/>
      <c r="CN6" s="43" t="s">
        <v>23</v>
      </c>
      <c r="CO6" s="43" t="s">
        <v>23</v>
      </c>
      <c r="CP6" s="43" t="s">
        <v>41</v>
      </c>
      <c r="CQ6" s="36"/>
      <c r="CR6" s="36"/>
      <c r="CS6" s="44">
        <v>10.0</v>
      </c>
      <c r="CT6" s="36"/>
      <c r="CU6" s="36"/>
      <c r="CV6" s="36"/>
      <c r="CW6" s="36"/>
      <c r="CX6" s="36"/>
      <c r="CY6" s="43" t="s">
        <v>42</v>
      </c>
      <c r="CZ6" s="43" t="s">
        <v>43</v>
      </c>
      <c r="DA6" s="44">
        <v>0.0</v>
      </c>
      <c r="DB6" s="44">
        <v>0.0</v>
      </c>
      <c r="DC6" s="44"/>
      <c r="DD6" s="45">
        <v>1000.0</v>
      </c>
      <c r="DE6" s="44">
        <v>0.0</v>
      </c>
      <c r="DF6" s="44">
        <v>0.0</v>
      </c>
      <c r="DG6" s="44">
        <v>0.0</v>
      </c>
      <c r="DH6" s="42" t="s">
        <v>30</v>
      </c>
      <c r="DI6" s="44">
        <v>0.0</v>
      </c>
      <c r="DJ6" s="43" t="s">
        <v>24</v>
      </c>
      <c r="DK6" s="44">
        <v>0.0</v>
      </c>
      <c r="DL6" s="44">
        <v>0.0</v>
      </c>
      <c r="DM6" s="44">
        <v>1.0</v>
      </c>
      <c r="DN6" s="44">
        <v>0.0</v>
      </c>
      <c r="DO6" s="36"/>
      <c r="DP6" s="43" t="s">
        <v>28</v>
      </c>
      <c r="DQ6" s="43" t="s">
        <v>44</v>
      </c>
      <c r="DR6" s="43" t="s">
        <v>45</v>
      </c>
      <c r="DS6" s="43" t="s">
        <v>44</v>
      </c>
      <c r="DT6" s="43" t="s">
        <v>44</v>
      </c>
      <c r="DU6" s="43" t="s">
        <v>46</v>
      </c>
      <c r="DV6" s="43" t="s">
        <v>44</v>
      </c>
      <c r="DW6" s="43" t="s">
        <v>44</v>
      </c>
      <c r="DX6" s="43" t="s">
        <v>44</v>
      </c>
      <c r="DY6" s="43" t="s">
        <v>44</v>
      </c>
      <c r="DZ6" s="43" t="s">
        <v>29</v>
      </c>
      <c r="EA6" s="43" t="s">
        <v>46</v>
      </c>
      <c r="EB6" s="43" t="s">
        <v>44</v>
      </c>
      <c r="EC6" s="43" t="s">
        <v>44</v>
      </c>
      <c r="ED6" s="43" t="s">
        <v>36</v>
      </c>
      <c r="EE6" s="43" t="s">
        <v>47</v>
      </c>
      <c r="EF6" s="44">
        <v>0.0</v>
      </c>
      <c r="EG6" s="44">
        <v>0.0</v>
      </c>
      <c r="EH6" s="44">
        <v>0.0</v>
      </c>
      <c r="EI6" s="44">
        <v>0.0</v>
      </c>
      <c r="EJ6" s="44">
        <v>0.0</v>
      </c>
      <c r="EK6" s="44">
        <v>0.0</v>
      </c>
      <c r="EL6" s="43" t="s">
        <v>28</v>
      </c>
      <c r="EM6" s="44">
        <v>0.0</v>
      </c>
      <c r="EN6" s="44">
        <v>0.0</v>
      </c>
      <c r="EO6" s="44">
        <v>0.0</v>
      </c>
      <c r="EP6" s="44"/>
      <c r="EQ6" s="44">
        <v>0.0</v>
      </c>
      <c r="ER6" s="44">
        <v>0.0</v>
      </c>
      <c r="ES6" s="36"/>
      <c r="ET6" s="36"/>
      <c r="EU6" s="44">
        <v>0.0</v>
      </c>
      <c r="EV6" s="43" t="s">
        <v>28</v>
      </c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44"/>
      <c r="DH7" s="4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44"/>
      <c r="DH8" s="4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23</v>
      </c>
      <c r="C6" s="47">
        <v>500.0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47">
        <v>1000000.0</v>
      </c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IFERROR(__xludf.DUMMYFUNCTION("""COMPUTED_VALUE"""),"Default Symbology")</f>
        <v>Default Symbology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23</v>
      </c>
      <c r="C6" s="32" t="s">
        <v>51</v>
      </c>
      <c r="D6" s="31" t="s">
        <v>52</v>
      </c>
      <c r="E6" s="34">
        <v>19000.0</v>
      </c>
      <c r="F6" s="48">
        <v>500.0</v>
      </c>
      <c r="G6" s="32" t="s">
        <v>53</v>
      </c>
      <c r="H6" s="35" t="s">
        <v>16</v>
      </c>
      <c r="I6" s="35" t="s">
        <v>21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IFERROR(__xludf.DUMMYFUNCTION("""COMPUTED_VALUE"""),"MasterFund NAV")</f>
        <v>MasterFund NAV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D6" s="49">
        <v>1000.0</v>
      </c>
      <c r="E6" s="49">
        <v>500000.0</v>
      </c>
      <c r="F6" s="32"/>
      <c r="G6" s="32"/>
      <c r="H6" s="50">
        <v>19000.0</v>
      </c>
      <c r="I6" s="50">
        <v>185200.0</v>
      </c>
      <c r="J6" s="50">
        <v>186200.0</v>
      </c>
      <c r="K6" s="50">
        <v>9.31E7</v>
      </c>
      <c r="L6" s="32"/>
      <c r="M6" s="34">
        <v>1.0</v>
      </c>
      <c r="N6" s="32"/>
      <c r="O6" s="32"/>
      <c r="P6" s="32"/>
      <c r="Q6" s="35"/>
      <c r="R6" s="49">
        <v>490000.0</v>
      </c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IFERROR(__xludf.DUMMYFUNCTION("""COMPUTED_VALUE"""),"Default Symbology")</f>
        <v>Default Symbology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23</v>
      </c>
      <c r="C6" s="32" t="s">
        <v>51</v>
      </c>
      <c r="D6" s="31" t="s">
        <v>52</v>
      </c>
      <c r="E6" s="48">
        <v>19000.0</v>
      </c>
      <c r="F6" s="48">
        <v>500.0</v>
      </c>
      <c r="G6" s="32" t="s">
        <v>53</v>
      </c>
      <c r="H6" s="35" t="s">
        <v>16</v>
      </c>
      <c r="I6" s="35" t="s">
        <v>21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TradePTT!$4:$4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23</v>
      </c>
      <c r="C6" s="32" t="s">
        <v>24</v>
      </c>
      <c r="D6" s="48">
        <v>185200.0</v>
      </c>
      <c r="E6" s="48">
        <v>185200.0</v>
      </c>
      <c r="F6" s="32"/>
      <c r="G6" s="32"/>
      <c r="H6" s="32"/>
      <c r="I6" s="32"/>
      <c r="J6" s="48">
        <v>500.0</v>
      </c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 t="s">
        <v>53</v>
      </c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3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IFERROR(__xludf.DUMMYFUNCTION("""COMPUTED_VALUE"""),"isRowCountCheck")</f>
        <v>isRowCountCheck</v>
      </c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30"/>
      <c r="B6" s="31"/>
      <c r="C6" s="40" t="s">
        <v>23</v>
      </c>
      <c r="D6" s="41">
        <v>1000.0</v>
      </c>
      <c r="E6" s="40" t="s">
        <v>25</v>
      </c>
      <c r="F6" s="40" t="s">
        <v>21</v>
      </c>
      <c r="G6" s="42">
        <v>10.0</v>
      </c>
      <c r="H6" s="40" t="s">
        <v>28</v>
      </c>
      <c r="I6" s="41">
        <v>500000.0</v>
      </c>
      <c r="J6" s="32"/>
      <c r="K6" s="41">
        <v>500000.0</v>
      </c>
      <c r="L6" s="32"/>
      <c r="M6" s="32"/>
      <c r="N6" s="41">
        <v>490000.0</v>
      </c>
      <c r="O6" s="40" t="s">
        <v>29</v>
      </c>
      <c r="P6" s="42" t="s">
        <v>30</v>
      </c>
      <c r="Q6" s="41">
        <v>490000.0</v>
      </c>
      <c r="R6" s="40" t="s">
        <v>31</v>
      </c>
      <c r="S6" s="40" t="s">
        <v>32</v>
      </c>
      <c r="T6" s="43" t="s">
        <v>33</v>
      </c>
      <c r="U6" s="43" t="s">
        <v>34</v>
      </c>
      <c r="V6" s="43" t="s">
        <v>35</v>
      </c>
      <c r="W6" s="43" t="s">
        <v>36</v>
      </c>
      <c r="X6" s="44">
        <v>1.0</v>
      </c>
      <c r="Y6" s="36"/>
      <c r="Z6" s="36"/>
      <c r="AA6" s="44"/>
      <c r="AB6" s="44">
        <v>0.0</v>
      </c>
      <c r="AC6" s="44">
        <v>0.0</v>
      </c>
      <c r="AD6" s="45">
        <v>500000.0</v>
      </c>
      <c r="AE6" s="45">
        <v>500000.0</v>
      </c>
      <c r="AF6" s="45">
        <v>1000.0</v>
      </c>
      <c r="AG6" s="45">
        <v>500000.0</v>
      </c>
      <c r="AH6" s="45">
        <v>500000.0</v>
      </c>
      <c r="AI6" s="45">
        <v>500000.0</v>
      </c>
      <c r="AJ6" s="44"/>
      <c r="AK6" s="45">
        <v>490000.0</v>
      </c>
      <c r="AL6" s="44">
        <v>1.0</v>
      </c>
      <c r="AM6" s="36"/>
      <c r="AN6" s="36" t="s">
        <v>24</v>
      </c>
      <c r="AO6" s="36"/>
      <c r="AP6" s="43" t="s">
        <v>28</v>
      </c>
      <c r="AQ6" s="43" t="s">
        <v>23</v>
      </c>
      <c r="AR6" s="44">
        <v>500.0</v>
      </c>
      <c r="AS6" s="44">
        <v>1.0</v>
      </c>
      <c r="AT6" s="43"/>
      <c r="AU6" s="43"/>
      <c r="AV6" s="44">
        <v>1.0</v>
      </c>
      <c r="AW6" s="45">
        <v>490000.0</v>
      </c>
      <c r="AX6" s="44">
        <v>0.0</v>
      </c>
      <c r="AY6" s="44">
        <v>0.0</v>
      </c>
      <c r="AZ6" s="45">
        <v>500000.0</v>
      </c>
      <c r="BA6" s="45">
        <v>4900.0</v>
      </c>
      <c r="BB6" s="36"/>
      <c r="BC6" s="44">
        <v>1.0</v>
      </c>
      <c r="BD6" s="45">
        <v>-10000.0</v>
      </c>
      <c r="BE6" s="43" t="s">
        <v>33</v>
      </c>
      <c r="BF6" s="43" t="s">
        <v>37</v>
      </c>
      <c r="BG6" s="43" t="s">
        <v>38</v>
      </c>
      <c r="BH6" s="43" t="s">
        <v>30</v>
      </c>
      <c r="BI6" s="44">
        <v>5.0</v>
      </c>
      <c r="BJ6" s="45">
        <v>5.0E8</v>
      </c>
      <c r="BK6" s="45">
        <v>1.0</v>
      </c>
      <c r="BL6" s="44">
        <v>0.0</v>
      </c>
      <c r="BM6" s="44">
        <v>0.0</v>
      </c>
      <c r="BN6" s="36"/>
      <c r="BO6" s="45">
        <v>-10000.0</v>
      </c>
      <c r="BP6" s="44">
        <v>0.0</v>
      </c>
      <c r="BQ6" s="43" t="s">
        <v>39</v>
      </c>
      <c r="BR6" s="43" t="s">
        <v>40</v>
      </c>
      <c r="BS6" s="44">
        <v>0.0</v>
      </c>
      <c r="BT6" s="44">
        <v>0.0</v>
      </c>
      <c r="BU6" s="36"/>
      <c r="BV6" s="36"/>
      <c r="BW6" s="44">
        <v>0.0</v>
      </c>
      <c r="BX6" s="45">
        <v>500000.0</v>
      </c>
      <c r="BY6" s="45">
        <v>500000.0</v>
      </c>
      <c r="BZ6" s="45">
        <v>500.0</v>
      </c>
      <c r="CA6" s="44">
        <v>500.0</v>
      </c>
      <c r="CB6" s="44"/>
      <c r="CC6" s="36"/>
      <c r="CD6" s="45">
        <v>490000.0</v>
      </c>
      <c r="CE6" s="44">
        <v>0.0</v>
      </c>
      <c r="CF6" s="44">
        <v>0.0</v>
      </c>
      <c r="CG6" s="45">
        <v>490000.0</v>
      </c>
      <c r="CH6" s="45">
        <v>4900.0</v>
      </c>
      <c r="CI6" s="44">
        <v>0.0</v>
      </c>
      <c r="CJ6" s="36"/>
      <c r="CK6" s="46" t="b">
        <v>0</v>
      </c>
      <c r="CL6" s="36"/>
      <c r="CM6" s="36"/>
      <c r="CN6" s="43" t="s">
        <v>23</v>
      </c>
      <c r="CO6" s="43" t="s">
        <v>23</v>
      </c>
      <c r="CP6" s="43" t="s">
        <v>41</v>
      </c>
      <c r="CQ6" s="36"/>
      <c r="CR6" s="36"/>
      <c r="CS6" s="44">
        <v>10.0</v>
      </c>
      <c r="CT6" s="36"/>
      <c r="CU6" s="36"/>
      <c r="CV6" s="36"/>
      <c r="CW6" s="36"/>
      <c r="CX6" s="36"/>
      <c r="CY6" s="43" t="s">
        <v>56</v>
      </c>
      <c r="CZ6" s="43" t="s">
        <v>43</v>
      </c>
      <c r="DA6" s="45">
        <v>500000.0</v>
      </c>
      <c r="DB6" s="36"/>
      <c r="DC6" s="36"/>
      <c r="DD6" s="45">
        <v>1000.0</v>
      </c>
      <c r="DE6" s="44">
        <v>0.0</v>
      </c>
      <c r="DF6" s="44">
        <v>0.0</v>
      </c>
      <c r="DG6" s="44">
        <v>0.0</v>
      </c>
      <c r="DH6" s="42" t="s">
        <v>30</v>
      </c>
      <c r="DI6" s="44">
        <v>0.0</v>
      </c>
      <c r="DJ6" s="43" t="s">
        <v>24</v>
      </c>
      <c r="DK6" s="44">
        <v>0.0</v>
      </c>
      <c r="DL6" s="44">
        <v>0.0</v>
      </c>
      <c r="DM6" s="44">
        <v>1.0</v>
      </c>
      <c r="DN6" s="44">
        <v>500.0</v>
      </c>
      <c r="DO6" s="36"/>
      <c r="DP6" s="43" t="s">
        <v>28</v>
      </c>
      <c r="DQ6" s="43" t="s">
        <v>44</v>
      </c>
      <c r="DR6" s="43" t="s">
        <v>45</v>
      </c>
      <c r="DS6" s="43" t="s">
        <v>44</v>
      </c>
      <c r="DT6" s="43" t="s">
        <v>44</v>
      </c>
      <c r="DU6" s="43" t="s">
        <v>46</v>
      </c>
      <c r="DV6" s="43" t="s">
        <v>44</v>
      </c>
      <c r="DW6" s="43" t="s">
        <v>44</v>
      </c>
      <c r="DX6" s="43" t="s">
        <v>44</v>
      </c>
      <c r="DY6" s="43" t="s">
        <v>44</v>
      </c>
      <c r="DZ6" s="43" t="s">
        <v>29</v>
      </c>
      <c r="EA6" s="43" t="s">
        <v>46</v>
      </c>
      <c r="EB6" s="43" t="s">
        <v>44</v>
      </c>
      <c r="EC6" s="43" t="s">
        <v>44</v>
      </c>
      <c r="ED6" s="43" t="s">
        <v>36</v>
      </c>
      <c r="EE6" s="43" t="s">
        <v>47</v>
      </c>
      <c r="EF6" s="44">
        <v>0.0</v>
      </c>
      <c r="EG6" s="44">
        <v>102.04</v>
      </c>
      <c r="EH6" s="44">
        <v>102.04</v>
      </c>
      <c r="EI6" s="44">
        <v>102.04</v>
      </c>
      <c r="EJ6" s="44">
        <v>102.04</v>
      </c>
      <c r="EK6" s="44">
        <v>102.04</v>
      </c>
      <c r="EL6" s="43" t="s">
        <v>28</v>
      </c>
      <c r="EM6" s="45">
        <v>500000.0</v>
      </c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44"/>
      <c r="DH7" s="4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44"/>
      <c r="DH8" s="4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IFERROR(__xludf.DUMMYFUNCTION("""COMPUTED_VALUE"""),"Default Symbology")</f>
        <v>Default Symbology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23</v>
      </c>
      <c r="C6" s="32" t="s">
        <v>51</v>
      </c>
      <c r="D6" s="31" t="s">
        <v>52</v>
      </c>
      <c r="E6" s="34">
        <v>19000.0</v>
      </c>
      <c r="F6" s="48">
        <v>500.0</v>
      </c>
      <c r="G6" s="32" t="s">
        <v>53</v>
      </c>
      <c r="H6" s="35" t="s">
        <v>16</v>
      </c>
      <c r="I6" s="35" t="s">
        <v>21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11"/>
      <c r="B11" s="11"/>
      <c r="C11" s="8"/>
      <c r="D11" s="11"/>
      <c r="E11" s="37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IFERROR(__xludf.DUMMYFUNCTION("""COMPUTED_VALUE"""),"MasterFund NAV")</f>
        <v>MasterFund NAV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D6" s="49">
        <v>1000.0</v>
      </c>
      <c r="E6" s="49">
        <v>500000.0</v>
      </c>
      <c r="F6" s="32"/>
      <c r="G6" s="32"/>
      <c r="H6" s="50">
        <v>19000.0</v>
      </c>
      <c r="I6" s="50">
        <v>185200.0</v>
      </c>
      <c r="J6" s="50">
        <v>186200.0</v>
      </c>
      <c r="K6" s="50">
        <v>9.31E7</v>
      </c>
      <c r="L6" s="32"/>
      <c r="M6" s="34">
        <v>1.0</v>
      </c>
      <c r="N6" s="32"/>
      <c r="O6" s="32"/>
      <c r="P6" s="32"/>
      <c r="Q6" s="35"/>
      <c r="R6" s="49">
        <v>490000.0</v>
      </c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IFERROR(__xludf.DUMMYFUNCTION("""COMPUTED_VALUE"""),"Default Symbology")</f>
        <v>Default Symbology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23</v>
      </c>
      <c r="C6" s="32" t="s">
        <v>51</v>
      </c>
      <c r="D6" s="31" t="s">
        <v>52</v>
      </c>
      <c r="E6" s="34">
        <v>19000.0</v>
      </c>
      <c r="F6" s="34">
        <v>10.0</v>
      </c>
      <c r="G6" s="32" t="s">
        <v>53</v>
      </c>
      <c r="H6" s="35" t="s">
        <v>16</v>
      </c>
      <c r="I6" s="35" t="s">
        <v>21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23</v>
      </c>
      <c r="C6" s="32" t="s">
        <v>24</v>
      </c>
      <c r="D6" s="48">
        <v>185200.0</v>
      </c>
      <c r="E6" s="48">
        <v>185200.0</v>
      </c>
      <c r="F6" s="32"/>
      <c r="G6" s="32"/>
      <c r="H6" s="32"/>
      <c r="I6" s="32"/>
      <c r="J6" s="48">
        <v>500.0</v>
      </c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2"/>
      <c r="D6" s="38">
        <v>10.0</v>
      </c>
      <c r="E6" s="32"/>
      <c r="F6" s="32"/>
      <c r="G6" s="32"/>
      <c r="H6" s="32" t="s">
        <v>35</v>
      </c>
      <c r="I6" s="32" t="s">
        <v>59</v>
      </c>
      <c r="J6" s="32" t="s">
        <v>23</v>
      </c>
      <c r="K6" s="32" t="s">
        <v>34</v>
      </c>
      <c r="L6" s="32"/>
      <c r="M6" s="32"/>
      <c r="N6" s="32"/>
      <c r="O6" s="32"/>
      <c r="P6" s="32"/>
      <c r="Q6" s="32"/>
      <c r="R6" s="32"/>
      <c r="S6" s="47">
        <v>0.0</v>
      </c>
      <c r="T6" s="39">
        <v>0.0</v>
      </c>
      <c r="U6" s="36" t="s">
        <v>36</v>
      </c>
      <c r="V6" s="36"/>
      <c r="W6" s="36"/>
      <c r="X6" s="36"/>
      <c r="Y6" s="36"/>
      <c r="Z6" s="36"/>
      <c r="AA6" s="36"/>
      <c r="AB6" s="36"/>
      <c r="AC6" s="36"/>
      <c r="AD6" s="39">
        <v>1.0</v>
      </c>
      <c r="AE6" s="36"/>
      <c r="AF6" s="36"/>
      <c r="AG6" s="36"/>
      <c r="AH6" s="36" t="s">
        <v>33</v>
      </c>
      <c r="AI6" s="36" t="s">
        <v>23</v>
      </c>
      <c r="AJ6" s="36" t="s">
        <v>24</v>
      </c>
      <c r="AK6" s="36" t="s">
        <v>60</v>
      </c>
      <c r="AL6" s="39">
        <v>1000.0</v>
      </c>
      <c r="AM6" s="39">
        <v>1000.0</v>
      </c>
      <c r="AN6" s="39">
        <v>100.0</v>
      </c>
      <c r="AO6" s="39">
        <v>1000.0</v>
      </c>
      <c r="AP6" s="36"/>
      <c r="AQ6" s="39">
        <v>10.0</v>
      </c>
      <c r="AR6" s="39">
        <v>10.0</v>
      </c>
      <c r="AS6" s="36" t="s">
        <v>40</v>
      </c>
      <c r="AT6" s="36" t="s">
        <v>25</v>
      </c>
      <c r="AU6" s="36" t="s">
        <v>61</v>
      </c>
      <c r="AV6" s="51">
        <v>10000.0</v>
      </c>
      <c r="AW6" s="51">
        <v>10000.0</v>
      </c>
      <c r="AX6" s="36"/>
      <c r="AY6" s="51">
        <v>1000.0</v>
      </c>
      <c r="AZ6" s="36"/>
      <c r="BA6" s="36" t="s">
        <v>39</v>
      </c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36"/>
      <c r="D7" s="52">
        <v>500.0</v>
      </c>
      <c r="E7" s="32"/>
      <c r="F7" s="32"/>
      <c r="G7" s="32"/>
      <c r="H7" s="32" t="s">
        <v>35</v>
      </c>
      <c r="I7" s="32" t="s">
        <v>59</v>
      </c>
      <c r="J7" s="32" t="s">
        <v>23</v>
      </c>
      <c r="K7" s="32" t="s">
        <v>34</v>
      </c>
      <c r="L7" s="36"/>
      <c r="M7" s="36"/>
      <c r="N7" s="36"/>
      <c r="O7" s="36"/>
      <c r="P7" s="36"/>
      <c r="Q7" s="36"/>
      <c r="R7" s="36"/>
      <c r="S7" s="39">
        <v>0.0</v>
      </c>
      <c r="T7" s="39">
        <v>0.0</v>
      </c>
      <c r="U7" s="36" t="s">
        <v>36</v>
      </c>
      <c r="V7" s="36"/>
      <c r="W7" s="36"/>
      <c r="X7" s="36"/>
      <c r="Y7" s="36"/>
      <c r="Z7" s="36"/>
      <c r="AA7" s="36"/>
      <c r="AB7" s="36"/>
      <c r="AC7" s="36"/>
      <c r="AD7" s="39">
        <v>1.0</v>
      </c>
      <c r="AE7" s="36"/>
      <c r="AF7" s="36"/>
      <c r="AG7" s="36"/>
      <c r="AH7" s="36" t="s">
        <v>33</v>
      </c>
      <c r="AI7" s="36" t="s">
        <v>23</v>
      </c>
      <c r="AJ7" s="36" t="s">
        <v>24</v>
      </c>
      <c r="AK7" s="36" t="s">
        <v>60</v>
      </c>
      <c r="AL7" s="53">
        <v>185200.0</v>
      </c>
      <c r="AM7" s="53">
        <v>185200.0</v>
      </c>
      <c r="AN7" s="39">
        <v>100.0</v>
      </c>
      <c r="AO7" s="53">
        <v>185200.0</v>
      </c>
      <c r="AP7" s="36"/>
      <c r="AQ7" s="54">
        <v>500.0</v>
      </c>
      <c r="AR7" s="54">
        <v>500.0</v>
      </c>
      <c r="AS7" s="36" t="s">
        <v>40</v>
      </c>
      <c r="AT7" s="36" t="s">
        <v>25</v>
      </c>
      <c r="AU7" s="36" t="s">
        <v>61</v>
      </c>
      <c r="AV7" s="53">
        <v>9.26E7</v>
      </c>
      <c r="AW7" s="53">
        <v>9.26E7</v>
      </c>
      <c r="AX7" s="36"/>
      <c r="AY7" s="53">
        <v>185200.0</v>
      </c>
      <c r="AZ7" s="36"/>
      <c r="BA7" s="36" t="s">
        <v>39</v>
      </c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63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IFERROR(__xludf.DUMMYFUNCTION("""COMPUTED_VALUE"""),"isRowCountCheck")</f>
        <v>isRowCountCheck</v>
      </c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55" t="s">
        <v>25</v>
      </c>
      <c r="C6" s="32"/>
      <c r="D6" s="56">
        <v>0.0</v>
      </c>
      <c r="E6" s="57">
        <v>1000.0</v>
      </c>
      <c r="F6" s="32"/>
      <c r="G6" s="58" t="s">
        <v>33</v>
      </c>
      <c r="H6" s="56">
        <v>4.0</v>
      </c>
      <c r="I6" s="56">
        <v>5.0</v>
      </c>
      <c r="J6" s="32"/>
      <c r="K6" s="56">
        <v>10.0</v>
      </c>
      <c r="L6" s="56">
        <v>10.0</v>
      </c>
      <c r="M6" s="32"/>
      <c r="N6" s="32"/>
      <c r="O6" s="58" t="s">
        <v>40</v>
      </c>
      <c r="P6" s="32"/>
      <c r="Q6" s="56">
        <v>3.0</v>
      </c>
      <c r="R6" s="56">
        <v>0.0</v>
      </c>
      <c r="S6" s="59" t="s">
        <v>65</v>
      </c>
      <c r="T6" s="60">
        <v>0.0</v>
      </c>
      <c r="U6" s="60">
        <v>0.0</v>
      </c>
      <c r="V6" s="36"/>
      <c r="W6" s="36"/>
      <c r="X6" s="36"/>
      <c r="Y6" s="36"/>
      <c r="Z6" s="61" t="s">
        <v>36</v>
      </c>
      <c r="AA6" s="36"/>
      <c r="AB6" s="60">
        <v>1.0</v>
      </c>
      <c r="AC6" s="36"/>
      <c r="AD6" s="61" t="s">
        <v>35</v>
      </c>
      <c r="AE6" s="62">
        <v>1000.0</v>
      </c>
      <c r="AF6" s="36"/>
      <c r="AG6" s="36"/>
      <c r="AH6" s="61" t="s">
        <v>66</v>
      </c>
      <c r="AI6" s="39">
        <v>1.0</v>
      </c>
      <c r="AJ6" s="36"/>
      <c r="AK6" s="36"/>
      <c r="AL6" s="36"/>
      <c r="AM6" s="36"/>
      <c r="AN6" s="61" t="s">
        <v>67</v>
      </c>
      <c r="AO6" s="36"/>
      <c r="AP6" s="61" t="s">
        <v>68</v>
      </c>
      <c r="AQ6" s="61" t="s">
        <v>67</v>
      </c>
      <c r="AR6" s="61" t="s">
        <v>68</v>
      </c>
      <c r="AS6" s="36"/>
      <c r="AT6" s="60">
        <v>10014.0056</v>
      </c>
      <c r="AU6" s="60">
        <v>10014.0056</v>
      </c>
      <c r="AV6" s="36"/>
      <c r="AW6" s="60">
        <v>0.0</v>
      </c>
      <c r="AX6" s="60">
        <v>0.0</v>
      </c>
      <c r="AY6" s="36" t="s">
        <v>61</v>
      </c>
      <c r="AZ6" s="60">
        <v>0.0</v>
      </c>
      <c r="BA6" s="36"/>
      <c r="BB6" s="36"/>
      <c r="BC6" s="60">
        <v>0.0</v>
      </c>
      <c r="BD6" s="36"/>
      <c r="BE6" s="60">
        <v>10000.0</v>
      </c>
      <c r="BF6" s="60">
        <v>10000.0</v>
      </c>
      <c r="BG6" s="36"/>
      <c r="BH6" s="36"/>
      <c r="BI6" s="36"/>
      <c r="BJ6" s="62">
        <v>1000.0</v>
      </c>
      <c r="BK6" s="60">
        <v>0.0</v>
      </c>
      <c r="BL6" s="36"/>
      <c r="BM6" s="61" t="s">
        <v>36</v>
      </c>
      <c r="BN6" s="36"/>
      <c r="BO6" s="61" t="s">
        <v>24</v>
      </c>
      <c r="BP6" s="60">
        <v>0.0</v>
      </c>
      <c r="BQ6" s="60">
        <v>0.0</v>
      </c>
      <c r="BR6" s="36"/>
      <c r="BS6" s="36"/>
      <c r="BT6" s="36" t="s">
        <v>23</v>
      </c>
      <c r="BU6" s="60">
        <v>3.0</v>
      </c>
      <c r="BV6" s="60">
        <v>0.0</v>
      </c>
      <c r="BW6" s="62">
        <v>14.0056</v>
      </c>
      <c r="BX6" s="60">
        <v>0.0</v>
      </c>
      <c r="BY6" s="36"/>
      <c r="BZ6" s="36"/>
      <c r="CA6" s="36"/>
      <c r="CB6" s="36"/>
      <c r="CC6" s="36"/>
      <c r="CD6" s="36"/>
      <c r="CE6" s="36"/>
      <c r="CF6" s="36"/>
      <c r="CG6" s="60">
        <v>2.0</v>
      </c>
      <c r="CH6" s="61" t="s">
        <v>19</v>
      </c>
      <c r="CI6" s="61" t="s">
        <v>24</v>
      </c>
      <c r="CJ6" s="60">
        <v>0.0</v>
      </c>
      <c r="CK6" s="61" t="s">
        <v>34</v>
      </c>
      <c r="CL6" s="36"/>
      <c r="CM6" s="61" t="s">
        <v>23</v>
      </c>
      <c r="CN6" s="36" t="s">
        <v>39</v>
      </c>
      <c r="CO6" s="61" t="s">
        <v>35</v>
      </c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59" t="s">
        <v>25</v>
      </c>
      <c r="C7" s="32"/>
      <c r="D7" s="56">
        <v>0.0</v>
      </c>
      <c r="E7" s="63">
        <v>185200.0</v>
      </c>
      <c r="F7" s="32"/>
      <c r="G7" s="58" t="s">
        <v>33</v>
      </c>
      <c r="H7" s="56">
        <v>4.0</v>
      </c>
      <c r="I7" s="56">
        <v>5.0</v>
      </c>
      <c r="J7" s="32"/>
      <c r="K7" s="64">
        <v>500.0</v>
      </c>
      <c r="L7" s="64">
        <v>500.0</v>
      </c>
      <c r="M7" s="36"/>
      <c r="N7" s="32"/>
      <c r="O7" s="58" t="s">
        <v>40</v>
      </c>
      <c r="P7" s="32"/>
      <c r="Q7" s="56">
        <v>3.0</v>
      </c>
      <c r="R7" s="56">
        <v>0.0</v>
      </c>
      <c r="S7" s="59" t="s">
        <v>65</v>
      </c>
      <c r="T7" s="60">
        <v>0.0</v>
      </c>
      <c r="U7" s="60">
        <v>0.0</v>
      </c>
      <c r="V7" s="36"/>
      <c r="W7" s="36"/>
      <c r="X7" s="36"/>
      <c r="Y7" s="36"/>
      <c r="Z7" s="61" t="s">
        <v>36</v>
      </c>
      <c r="AA7" s="36"/>
      <c r="AB7" s="60">
        <v>1.0</v>
      </c>
      <c r="AC7" s="36"/>
      <c r="AD7" s="61" t="s">
        <v>35</v>
      </c>
      <c r="AE7" s="65">
        <v>185200.0</v>
      </c>
      <c r="AF7" s="36"/>
      <c r="AG7" s="36"/>
      <c r="AH7" s="61" t="s">
        <v>66</v>
      </c>
      <c r="AI7" s="39">
        <v>1.0</v>
      </c>
      <c r="AJ7" s="36"/>
      <c r="AK7" s="36"/>
      <c r="AL7" s="36"/>
      <c r="AM7" s="36"/>
      <c r="AN7" s="61" t="s">
        <v>67</v>
      </c>
      <c r="AO7" s="36"/>
      <c r="AP7" s="61" t="s">
        <v>68</v>
      </c>
      <c r="AQ7" s="61" t="s">
        <v>67</v>
      </c>
      <c r="AR7" s="61" t="s">
        <v>68</v>
      </c>
      <c r="AS7" s="36"/>
      <c r="AT7" s="66">
        <v>9.2600065856E7</v>
      </c>
      <c r="AU7" s="66">
        <v>9.2600065856E7</v>
      </c>
      <c r="AV7" s="36"/>
      <c r="AW7" s="60">
        <v>0.0</v>
      </c>
      <c r="AX7" s="60">
        <v>0.0</v>
      </c>
      <c r="AY7" s="36" t="s">
        <v>61</v>
      </c>
      <c r="AZ7" s="60">
        <v>0.0</v>
      </c>
      <c r="BA7" s="36"/>
      <c r="BB7" s="36"/>
      <c r="BC7" s="60">
        <v>0.0</v>
      </c>
      <c r="BD7" s="36"/>
      <c r="BE7" s="66">
        <v>9.26E7</v>
      </c>
      <c r="BF7" s="66">
        <v>9.26E7</v>
      </c>
      <c r="BG7" s="36"/>
      <c r="BH7" s="36"/>
      <c r="BI7" s="36"/>
      <c r="BJ7" s="65">
        <v>185200.0</v>
      </c>
      <c r="BK7" s="60">
        <v>0.0</v>
      </c>
      <c r="BL7" s="36"/>
      <c r="BM7" s="61" t="s">
        <v>36</v>
      </c>
      <c r="BN7" s="36"/>
      <c r="BO7" s="61" t="s">
        <v>24</v>
      </c>
      <c r="BP7" s="60">
        <v>0.0</v>
      </c>
      <c r="BQ7" s="60">
        <v>0.0</v>
      </c>
      <c r="BR7" s="36"/>
      <c r="BS7" s="36"/>
      <c r="BT7" s="36" t="s">
        <v>23</v>
      </c>
      <c r="BU7" s="60">
        <v>3.0</v>
      </c>
      <c r="BV7" s="60">
        <v>0.0</v>
      </c>
      <c r="BW7" s="65">
        <v>65.856</v>
      </c>
      <c r="BX7" s="60">
        <v>0.0</v>
      </c>
      <c r="BY7" s="36"/>
      <c r="BZ7" s="36"/>
      <c r="CA7" s="36"/>
      <c r="CB7" s="36"/>
      <c r="CC7" s="36"/>
      <c r="CD7" s="36"/>
      <c r="CE7" s="36"/>
      <c r="CF7" s="36"/>
      <c r="CG7" s="60">
        <v>2.0</v>
      </c>
      <c r="CH7" s="43" t="s">
        <v>49</v>
      </c>
      <c r="CI7" s="61" t="s">
        <v>24</v>
      </c>
      <c r="CJ7" s="60">
        <v>0.0</v>
      </c>
      <c r="CK7" s="61" t="s">
        <v>34</v>
      </c>
      <c r="CL7" s="36"/>
      <c r="CM7" s="61" t="s">
        <v>23</v>
      </c>
      <c r="CN7" s="36" t="s">
        <v>39</v>
      </c>
      <c r="CO7" s="61" t="s">
        <v>35</v>
      </c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3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IFERROR(__xludf.DUMMYFUNCTION("""COMPUTED_VALUE"""),"isRowCountCheck")</f>
        <v>isRowCountCheck</v>
      </c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30"/>
      <c r="B6" s="31"/>
      <c r="C6" s="40" t="s">
        <v>23</v>
      </c>
      <c r="D6" s="41">
        <v>1000.0</v>
      </c>
      <c r="E6" s="40" t="s">
        <v>25</v>
      </c>
      <c r="F6" s="40" t="s">
        <v>21</v>
      </c>
      <c r="G6" s="42">
        <v>10.0</v>
      </c>
      <c r="H6" s="67" t="s">
        <v>28</v>
      </c>
      <c r="I6" s="41">
        <v>500000.0</v>
      </c>
      <c r="J6" s="32"/>
      <c r="K6" s="41">
        <v>500000.0</v>
      </c>
      <c r="L6" s="32"/>
      <c r="M6" s="32"/>
      <c r="N6" s="41">
        <v>490000.0</v>
      </c>
      <c r="O6" s="40" t="s">
        <v>29</v>
      </c>
      <c r="P6" s="42" t="s">
        <v>30</v>
      </c>
      <c r="Q6" s="41">
        <v>490000.0</v>
      </c>
      <c r="R6" s="40" t="s">
        <v>31</v>
      </c>
      <c r="S6" s="40" t="s">
        <v>32</v>
      </c>
      <c r="T6" s="43" t="s">
        <v>33</v>
      </c>
      <c r="U6" s="43" t="s">
        <v>34</v>
      </c>
      <c r="V6" s="43" t="s">
        <v>35</v>
      </c>
      <c r="W6" s="43" t="s">
        <v>36</v>
      </c>
      <c r="X6" s="44">
        <v>1.0</v>
      </c>
      <c r="Y6" s="36"/>
      <c r="Z6" s="36"/>
      <c r="AA6" s="44"/>
      <c r="AB6" s="44">
        <v>0.0</v>
      </c>
      <c r="AC6" s="44">
        <v>0.0</v>
      </c>
      <c r="AD6" s="45">
        <v>500000.0</v>
      </c>
      <c r="AE6" s="45">
        <v>500000.0</v>
      </c>
      <c r="AF6" s="45">
        <v>1000.0</v>
      </c>
      <c r="AG6" s="45">
        <v>500000.0</v>
      </c>
      <c r="AH6" s="45">
        <v>500000.0</v>
      </c>
      <c r="AI6" s="45">
        <v>500000.0</v>
      </c>
      <c r="AJ6" s="44"/>
      <c r="AK6" s="45">
        <v>490000.0</v>
      </c>
      <c r="AL6" s="44">
        <v>1.0</v>
      </c>
      <c r="AM6" s="36"/>
      <c r="AN6" s="36" t="s">
        <v>24</v>
      </c>
      <c r="AO6" s="36"/>
      <c r="AP6" s="43" t="s">
        <v>28</v>
      </c>
      <c r="AQ6" s="43" t="s">
        <v>23</v>
      </c>
      <c r="AR6" s="44">
        <v>500.0</v>
      </c>
      <c r="AS6" s="44">
        <v>1.0</v>
      </c>
      <c r="AT6" s="43"/>
      <c r="AU6" s="43"/>
      <c r="AV6" s="44">
        <v>1.0</v>
      </c>
      <c r="AW6" s="45">
        <v>490000.0</v>
      </c>
      <c r="AX6" s="44">
        <v>0.0</v>
      </c>
      <c r="AY6" s="44">
        <v>0.0</v>
      </c>
      <c r="AZ6" s="45">
        <v>500000.0</v>
      </c>
      <c r="BA6" s="45">
        <v>4900.0</v>
      </c>
      <c r="BB6" s="36"/>
      <c r="BC6" s="44">
        <v>1.0</v>
      </c>
      <c r="BD6" s="45">
        <v>-10000.0</v>
      </c>
      <c r="BE6" s="43" t="s">
        <v>33</v>
      </c>
      <c r="BF6" s="43" t="s">
        <v>37</v>
      </c>
      <c r="BG6" s="43" t="s">
        <v>38</v>
      </c>
      <c r="BH6" s="43" t="s">
        <v>30</v>
      </c>
      <c r="BI6" s="44">
        <v>5.0</v>
      </c>
      <c r="BJ6" s="68">
        <v>5.0E8</v>
      </c>
      <c r="BK6" s="45">
        <v>1.0</v>
      </c>
      <c r="BL6" s="44">
        <v>0.0</v>
      </c>
      <c r="BM6" s="44">
        <v>0.0</v>
      </c>
      <c r="BN6" s="36"/>
      <c r="BO6" s="45">
        <v>-10000.0</v>
      </c>
      <c r="BP6" s="44">
        <v>0.0</v>
      </c>
      <c r="BQ6" s="43" t="s">
        <v>39</v>
      </c>
      <c r="BR6" s="43" t="s">
        <v>40</v>
      </c>
      <c r="BS6" s="44">
        <v>0.0</v>
      </c>
      <c r="BT6" s="44">
        <v>0.0</v>
      </c>
      <c r="BU6" s="36"/>
      <c r="BV6" s="36"/>
      <c r="BW6" s="44">
        <v>0.0</v>
      </c>
      <c r="BX6" s="45">
        <v>500000.0</v>
      </c>
      <c r="BY6" s="45">
        <v>500000.0</v>
      </c>
      <c r="BZ6" s="45">
        <v>500.0</v>
      </c>
      <c r="CA6" s="44">
        <v>500.0</v>
      </c>
      <c r="CB6" s="44"/>
      <c r="CC6" s="36"/>
      <c r="CD6" s="45">
        <v>490000.0</v>
      </c>
      <c r="CE6" s="44">
        <v>0.0</v>
      </c>
      <c r="CF6" s="44">
        <v>0.0</v>
      </c>
      <c r="CG6" s="45">
        <v>490000.0</v>
      </c>
      <c r="CH6" s="45">
        <v>4900.0</v>
      </c>
      <c r="CI6" s="44">
        <v>0.0</v>
      </c>
      <c r="CJ6" s="36"/>
      <c r="CK6" s="46" t="b">
        <v>0</v>
      </c>
      <c r="CL6" s="36"/>
      <c r="CM6" s="36"/>
      <c r="CN6" s="43" t="s">
        <v>23</v>
      </c>
      <c r="CO6" s="43" t="s">
        <v>23</v>
      </c>
      <c r="CP6" s="43" t="s">
        <v>41</v>
      </c>
      <c r="CQ6" s="36"/>
      <c r="CR6" s="36"/>
      <c r="CS6" s="44">
        <v>10.0</v>
      </c>
      <c r="CT6" s="36"/>
      <c r="CU6" s="36"/>
      <c r="CV6" s="36"/>
      <c r="CW6" s="36"/>
      <c r="CX6" s="36"/>
      <c r="CY6" s="43" t="s">
        <v>56</v>
      </c>
      <c r="CZ6" s="43" t="s">
        <v>43</v>
      </c>
      <c r="DA6" s="45">
        <v>500000.0</v>
      </c>
      <c r="DB6" s="36"/>
      <c r="DC6" s="36"/>
      <c r="DD6" s="45">
        <v>1000.0</v>
      </c>
      <c r="DE6" s="44">
        <v>0.0</v>
      </c>
      <c r="DF6" s="44">
        <v>0.0</v>
      </c>
      <c r="DG6" s="44">
        <v>0.0</v>
      </c>
      <c r="DH6" s="42" t="s">
        <v>30</v>
      </c>
      <c r="DI6" s="44">
        <v>0.0</v>
      </c>
      <c r="DJ6" s="43" t="s">
        <v>24</v>
      </c>
      <c r="DK6" s="44">
        <v>0.0</v>
      </c>
      <c r="DL6" s="44">
        <v>0.0</v>
      </c>
      <c r="DM6" s="44">
        <v>1.0</v>
      </c>
      <c r="DN6" s="44">
        <v>500.0</v>
      </c>
      <c r="DO6" s="36"/>
      <c r="DP6" s="69" t="s">
        <v>28</v>
      </c>
      <c r="DQ6" s="43" t="s">
        <v>44</v>
      </c>
      <c r="DR6" s="43" t="s">
        <v>45</v>
      </c>
      <c r="DS6" s="43" t="s">
        <v>44</v>
      </c>
      <c r="DT6" s="43" t="s">
        <v>44</v>
      </c>
      <c r="DU6" s="43" t="s">
        <v>46</v>
      </c>
      <c r="DV6" s="43" t="s">
        <v>44</v>
      </c>
      <c r="DW6" s="43" t="s">
        <v>44</v>
      </c>
      <c r="DX6" s="43" t="s">
        <v>44</v>
      </c>
      <c r="DY6" s="43" t="s">
        <v>44</v>
      </c>
      <c r="DZ6" s="43" t="s">
        <v>29</v>
      </c>
      <c r="EA6" s="43" t="s">
        <v>46</v>
      </c>
      <c r="EB6" s="43" t="s">
        <v>44</v>
      </c>
      <c r="EC6" s="43" t="s">
        <v>44</v>
      </c>
      <c r="ED6" s="43" t="s">
        <v>36</v>
      </c>
      <c r="EE6" s="43" t="s">
        <v>47</v>
      </c>
      <c r="EF6" s="44">
        <v>0.0</v>
      </c>
      <c r="EG6" s="44">
        <v>102.04</v>
      </c>
      <c r="EH6" s="44">
        <v>102.04</v>
      </c>
      <c r="EI6" s="44">
        <v>102.04</v>
      </c>
      <c r="EJ6" s="70">
        <v>19000.0</v>
      </c>
      <c r="EK6" s="70">
        <v>19000.0</v>
      </c>
      <c r="EL6" s="69" t="s">
        <v>28</v>
      </c>
      <c r="EM6" s="68">
        <v>9.31E7</v>
      </c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</row>
    <row r="7" ht="15.75" customHeight="1">
      <c r="A7" s="36"/>
      <c r="B7" s="36"/>
      <c r="C7" s="43" t="s">
        <v>23</v>
      </c>
      <c r="D7" s="68">
        <v>185200.0</v>
      </c>
      <c r="E7" s="43" t="s">
        <v>25</v>
      </c>
      <c r="F7" s="43" t="s">
        <v>21</v>
      </c>
      <c r="G7" s="70">
        <v>500.0</v>
      </c>
      <c r="H7" s="69" t="s">
        <v>28</v>
      </c>
      <c r="I7" s="68">
        <v>9.26E7</v>
      </c>
      <c r="J7" s="36"/>
      <c r="K7" s="68">
        <v>9.26E7</v>
      </c>
      <c r="L7" s="36"/>
      <c r="M7" s="36"/>
      <c r="N7" s="68">
        <v>0.0</v>
      </c>
      <c r="O7" s="43" t="s">
        <v>29</v>
      </c>
      <c r="P7" s="44" t="s">
        <v>30</v>
      </c>
      <c r="Q7" s="68">
        <v>0.0</v>
      </c>
      <c r="R7" s="43" t="s">
        <v>31</v>
      </c>
      <c r="S7" s="43" t="s">
        <v>32</v>
      </c>
      <c r="T7" s="43" t="s">
        <v>33</v>
      </c>
      <c r="U7" s="43" t="s">
        <v>34</v>
      </c>
      <c r="V7" s="43" t="s">
        <v>35</v>
      </c>
      <c r="W7" s="43" t="s">
        <v>36</v>
      </c>
      <c r="X7" s="44">
        <v>1.0</v>
      </c>
      <c r="Y7" s="36"/>
      <c r="Z7" s="36"/>
      <c r="AA7" s="44"/>
      <c r="AB7" s="44">
        <v>0.0</v>
      </c>
      <c r="AC7" s="44">
        <v>0.0</v>
      </c>
      <c r="AD7" s="68">
        <v>9.26E7</v>
      </c>
      <c r="AE7" s="68">
        <v>9.26E7</v>
      </c>
      <c r="AF7" s="68">
        <v>185200.0</v>
      </c>
      <c r="AG7" s="68">
        <v>9.26E7</v>
      </c>
      <c r="AH7" s="68">
        <v>9.26E7</v>
      </c>
      <c r="AI7" s="68">
        <v>9.26E7</v>
      </c>
      <c r="AJ7" s="45"/>
      <c r="AK7" s="68">
        <v>0.0</v>
      </c>
      <c r="AL7" s="44">
        <v>1.0</v>
      </c>
      <c r="AM7" s="36"/>
      <c r="AN7" s="36" t="s">
        <v>24</v>
      </c>
      <c r="AO7" s="36"/>
      <c r="AP7" s="43" t="s">
        <v>28</v>
      </c>
      <c r="AQ7" s="43" t="s">
        <v>23</v>
      </c>
      <c r="AR7" s="44">
        <v>500.0</v>
      </c>
      <c r="AS7" s="44">
        <v>1.0</v>
      </c>
      <c r="AT7" s="36"/>
      <c r="AU7" s="36"/>
      <c r="AV7" s="44">
        <v>1.0</v>
      </c>
      <c r="AW7" s="68">
        <v>0.0</v>
      </c>
      <c r="AX7" s="44">
        <v>0.0</v>
      </c>
      <c r="AY7" s="44">
        <v>0.0</v>
      </c>
      <c r="AZ7" s="68">
        <v>9.26E7</v>
      </c>
      <c r="BA7" s="68">
        <v>0.0</v>
      </c>
      <c r="BB7" s="36"/>
      <c r="BC7" s="44">
        <v>1.0</v>
      </c>
      <c r="BD7" s="68">
        <v>-9.26E7</v>
      </c>
      <c r="BE7" s="43" t="s">
        <v>33</v>
      </c>
      <c r="BF7" s="43" t="s">
        <v>37</v>
      </c>
      <c r="BG7" s="43" t="s">
        <v>38</v>
      </c>
      <c r="BH7" s="43" t="s">
        <v>30</v>
      </c>
      <c r="BI7" s="44">
        <v>5.0</v>
      </c>
      <c r="BJ7" s="68">
        <v>5.0E8</v>
      </c>
      <c r="BK7" s="45">
        <v>1.0</v>
      </c>
      <c r="BL7" s="44">
        <v>0.0</v>
      </c>
      <c r="BM7" s="44">
        <v>0.0</v>
      </c>
      <c r="BN7" s="36"/>
      <c r="BO7" s="68">
        <v>-9.26E7</v>
      </c>
      <c r="BP7" s="44">
        <v>0.0</v>
      </c>
      <c r="BQ7" s="43" t="s">
        <v>39</v>
      </c>
      <c r="BR7" s="43" t="s">
        <v>40</v>
      </c>
      <c r="BS7" s="44">
        <v>0.0</v>
      </c>
      <c r="BT7" s="44">
        <v>0.0</v>
      </c>
      <c r="BU7" s="36"/>
      <c r="BV7" s="36"/>
      <c r="BW7" s="44">
        <v>0.0</v>
      </c>
      <c r="BX7" s="68">
        <v>9.26E7</v>
      </c>
      <c r="BY7" s="68">
        <v>9.26E7</v>
      </c>
      <c r="BZ7" s="45">
        <v>500.0</v>
      </c>
      <c r="CA7" s="44">
        <v>500.0</v>
      </c>
      <c r="CB7" s="44"/>
      <c r="CC7" s="36"/>
      <c r="CD7" s="68">
        <v>0.0</v>
      </c>
      <c r="CE7" s="44">
        <v>0.0</v>
      </c>
      <c r="CF7" s="44">
        <v>0.0</v>
      </c>
      <c r="CG7" s="68">
        <v>0.0</v>
      </c>
      <c r="CH7" s="68">
        <v>0.0</v>
      </c>
      <c r="CI7" s="44">
        <v>0.0</v>
      </c>
      <c r="CJ7" s="36"/>
      <c r="CK7" s="46" t="b">
        <v>0</v>
      </c>
      <c r="CL7" s="36"/>
      <c r="CM7" s="36"/>
      <c r="CN7" s="43" t="s">
        <v>23</v>
      </c>
      <c r="CO7" s="43" t="s">
        <v>23</v>
      </c>
      <c r="CP7" s="43" t="s">
        <v>41</v>
      </c>
      <c r="CQ7" s="36"/>
      <c r="CR7" s="36"/>
      <c r="CS7" s="70">
        <v>500.0</v>
      </c>
      <c r="CT7" s="36"/>
      <c r="CU7" s="36"/>
      <c r="CV7" s="36"/>
      <c r="CW7" s="36"/>
      <c r="CX7" s="36"/>
      <c r="CY7" s="43" t="s">
        <v>56</v>
      </c>
      <c r="CZ7" s="43" t="s">
        <v>43</v>
      </c>
      <c r="DA7" s="68">
        <v>9.26E7</v>
      </c>
      <c r="DB7" s="36"/>
      <c r="DC7" s="36"/>
      <c r="DD7" s="68">
        <v>185200.0</v>
      </c>
      <c r="DE7" s="44">
        <v>0.0</v>
      </c>
      <c r="DF7" s="44">
        <v>0.0</v>
      </c>
      <c r="DG7" s="44">
        <v>0.0</v>
      </c>
      <c r="DH7" s="44" t="s">
        <v>30</v>
      </c>
      <c r="DI7" s="44">
        <v>0.0</v>
      </c>
      <c r="DJ7" s="43" t="s">
        <v>24</v>
      </c>
      <c r="DK7" s="44">
        <v>0.0</v>
      </c>
      <c r="DL7" s="44">
        <v>0.0</v>
      </c>
      <c r="DM7" s="44">
        <v>1.0</v>
      </c>
      <c r="DN7" s="44">
        <v>500.0</v>
      </c>
      <c r="DO7" s="36"/>
      <c r="DP7" s="69" t="s">
        <v>28</v>
      </c>
      <c r="DQ7" s="43" t="s">
        <v>44</v>
      </c>
      <c r="DR7" s="43" t="s">
        <v>45</v>
      </c>
      <c r="DS7" s="43" t="s">
        <v>44</v>
      </c>
      <c r="DT7" s="43" t="s">
        <v>44</v>
      </c>
      <c r="DU7" s="43" t="s">
        <v>46</v>
      </c>
      <c r="DV7" s="43" t="s">
        <v>44</v>
      </c>
      <c r="DW7" s="43" t="s">
        <v>44</v>
      </c>
      <c r="DX7" s="43" t="s">
        <v>44</v>
      </c>
      <c r="DY7" s="43" t="s">
        <v>44</v>
      </c>
      <c r="DZ7" s="43" t="s">
        <v>29</v>
      </c>
      <c r="EA7" s="43" t="s">
        <v>46</v>
      </c>
      <c r="EB7" s="43" t="s">
        <v>44</v>
      </c>
      <c r="EC7" s="43" t="s">
        <v>44</v>
      </c>
      <c r="ED7" s="43" t="s">
        <v>36</v>
      </c>
      <c r="EE7" s="43" t="s">
        <v>47</v>
      </c>
      <c r="EF7" s="44">
        <v>0.0</v>
      </c>
      <c r="EG7" s="70">
        <v>18897.96</v>
      </c>
      <c r="EH7" s="70">
        <v>18897.96</v>
      </c>
      <c r="EI7" s="70">
        <v>18897.96</v>
      </c>
      <c r="EJ7" s="70">
        <v>19000.0</v>
      </c>
      <c r="EK7" s="70">
        <v>19000.0</v>
      </c>
      <c r="EL7" s="69" t="s">
        <v>28</v>
      </c>
      <c r="EM7" s="68">
        <v>9.31E7</v>
      </c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</row>
    <row r="8" ht="15.7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44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44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