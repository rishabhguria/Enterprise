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DoneAwayOrder" sheetId="7" r:id="rId9"/>
    <sheet state="visible" name="VerifyShortLocateGrid2" sheetId="8" r:id="rId10"/>
    <sheet state="visible" name="SelectTradeOnOrderGrid" sheetId="9" r:id="rId11"/>
    <sheet state="visible" name="SelectTradeSubOrderBlotter" sheetId="10" r:id="rId12"/>
    <sheet state="visible" name="ReplaceSubOrder" sheetId="11" r:id="rId13"/>
    <sheet state="visible" name="CreateReplaceLiveOrder" sheetId="12" r:id="rId14"/>
    <sheet state="visible" name="VerifyShortLocateGrid1" sheetId="13" r:id="rId15"/>
  </sheets>
  <definedNames/>
  <calcPr/>
</workbook>
</file>

<file path=xl/sharedStrings.xml><?xml version="1.0" encoding="utf-8"?>
<sst xmlns="http://schemas.openxmlformats.org/spreadsheetml/2006/main" count="114" uniqueCount="35">
  <si>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</si>
  <si>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</si>
  <si>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</si>
  <si>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</si>
  <si>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</si>
  <si>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</si>
  <si>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</si>
  <si>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</si>
  <si>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</si>
  <si>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</si>
  <si>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</si>
  <si>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</si>
  <si>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</si>
  <si>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</si>
  <si>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</si>
  <si>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</si>
  <si>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</si>
  <si>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</si>
  <si>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</si>
  <si>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</si>
  <si>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Cases\ShortLocate-009.csv</t>
  </si>
  <si>
    <t>VerifyShortLocateGrid</t>
  </si>
  <si>
    <t>MSFT</t>
  </si>
  <si>
    <t>GS4566232</t>
  </si>
  <si>
    <t>API</t>
  </si>
  <si>
    <t>TradingTicket</t>
  </si>
  <si>
    <t>CreateDoneAwayOrder</t>
  </si>
  <si>
    <t>Sell short</t>
  </si>
  <si>
    <t>Allocation1</t>
  </si>
  <si>
    <t>Blotter</t>
  </si>
  <si>
    <t>SelectTradeOnOrderGrid</t>
  </si>
  <si>
    <t>PartiallyFilled</t>
  </si>
  <si>
    <t>SelectTradeSubOrderBlotter</t>
  </si>
  <si>
    <t>ReplaceSubOrder</t>
  </si>
  <si>
    <t>CreateReplaceLiveOrder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</si>
</sst>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b">
        <v>1</v>
      </c>
      <c r="C6" s="32" t="s">
        <v>16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19</v>
      </c>
      <c r="C6" s="35" t="s">
        <v>20</v>
      </c>
      <c r="D6" s="34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6" t="s">
        <v>22</v>
      </c>
      <c r="C6" s="37" t="s">
        <v>19</v>
      </c>
      <c r="D6" s="38">
        <v>0.0</v>
      </c>
      <c r="E6" s="39">
        <v>0.0</v>
      </c>
      <c r="F6" s="39">
        <v>5000.0</v>
      </c>
      <c r="G6" s="39">
        <v>2.0</v>
      </c>
      <c r="H6" s="39">
        <v>0.0</v>
      </c>
      <c r="I6" s="37" t="s">
        <v>23</v>
      </c>
      <c r="J6" s="39">
        <v>0.0</v>
      </c>
      <c r="K6" s="39">
        <v>0.0</v>
      </c>
      <c r="L6" s="39">
        <v>0.0</v>
      </c>
      <c r="M6" s="39">
        <v>5000.0</v>
      </c>
      <c r="N6" s="39">
        <v>2.0</v>
      </c>
      <c r="O6" s="37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2" t="s">
        <v>27</v>
      </c>
      <c r="D6" s="38">
        <v>6000.0</v>
      </c>
      <c r="E6" s="40">
        <v>4000.0</v>
      </c>
      <c r="F6" s="32" t="s">
        <v>28</v>
      </c>
      <c r="G6" s="32"/>
      <c r="H6" s="32"/>
      <c r="I6" s="32"/>
      <c r="J6" s="32">
        <v>5.0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P6" s="32">
        <v>6000.0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6" t="s">
        <v>22</v>
      </c>
      <c r="C6" s="37" t="s">
        <v>19</v>
      </c>
      <c r="D6" s="41">
        <v>0.0</v>
      </c>
      <c r="E6" s="39">
        <v>0.0</v>
      </c>
      <c r="F6" s="39">
        <v>0.0</v>
      </c>
      <c r="G6" s="39">
        <v>2.0</v>
      </c>
      <c r="H6" s="39">
        <v>0.0</v>
      </c>
      <c r="I6" s="37" t="s">
        <v>23</v>
      </c>
      <c r="J6" s="39">
        <v>6000.0</v>
      </c>
      <c r="K6" s="39">
        <v>2.0</v>
      </c>
      <c r="L6" s="39">
        <v>0.0</v>
      </c>
      <c r="M6" s="39">
        <v>5000.0</v>
      </c>
      <c r="N6" s="39">
        <v>2.0</v>
      </c>
      <c r="O6" s="37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VerifyShortLocateGrid2!$4:$4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3"/>
      <c r="F6" s="13" t="s">
        <v>27</v>
      </c>
      <c r="G6" s="13" t="s">
        <v>31</v>
      </c>
      <c r="H6" s="13">
        <v>6000.0</v>
      </c>
      <c r="I6" s="8"/>
      <c r="J6" s="8"/>
      <c r="K6" s="8"/>
      <c r="L6" s="8"/>
      <c r="M6" s="8"/>
      <c r="N6" s="8"/>
      <c r="O6" s="8"/>
      <c r="Q6" s="9" t="s">
        <v>19</v>
      </c>
      <c r="R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27</v>
      </c>
      <c r="AK6" s="9" t="s">
        <v>31</v>
      </c>
      <c r="AL6" s="9">
        <v>6000.0</v>
      </c>
      <c r="AS6" s="9" t="s">
        <v>19</v>
      </c>
      <c r="AT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SelectTradeSubOrderBlotter!$4:$4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22</v>
      </c>
      <c r="AK6" s="9" t="s">
        <v>27</v>
      </c>
      <c r="AL6" s="9" t="s">
        <v>31</v>
      </c>
      <c r="AM6" s="9">
        <v>6000.0</v>
      </c>
      <c r="AT6" s="9" t="s">
        <v>19</v>
      </c>
      <c r="AU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IFERROR(__xludf.DUMMYFUNCTION("""COMPUTED_VALUE"""),"TRVAccountName")</f>
        <v>TRVAccountName</v>
      </c>
      <c r="AR5" s="30" t="str">
        <f>IFERROR(__xludf.DUMMYFUNCTION("""COMPUTED_VALUE"""),"TRVTradeQuantity")</f>
        <v>TRVTradeQuantity</v>
      </c>
      <c r="AS5" s="30" t="str">
        <f>IFERROR(__xludf.DUMMYFUNCTION("""COMPUTED_VALUE"""),"TRVCurrentPosition")</f>
        <v>TRVCurrentPosition</v>
      </c>
      <c r="AT5" s="30" t="str">
        <f>IFERROR(__xludf.DUMMYFUNCTION("""COMPUTED_VALUE"""),"TRVNav")</f>
        <v>TRVNav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10000.0</v>
      </c>
      <c r="E6" s="33"/>
      <c r="F6" s="8"/>
      <c r="G6" s="8"/>
      <c r="H6" s="8"/>
      <c r="I6" s="8"/>
      <c r="J6" s="13">
        <v>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6" t="s">
        <v>22</v>
      </c>
      <c r="C6" s="37" t="s">
        <v>19</v>
      </c>
      <c r="D6" s="41">
        <v>0.0</v>
      </c>
      <c r="E6" s="39">
        <v>0.0</v>
      </c>
      <c r="F6" s="42">
        <v>0.0</v>
      </c>
      <c r="G6" s="39">
        <v>2.0</v>
      </c>
      <c r="H6" s="39">
        <v>0.0</v>
      </c>
      <c r="I6" s="37" t="s">
        <v>23</v>
      </c>
      <c r="J6" s="42">
        <v>10000.0</v>
      </c>
      <c r="K6" s="39">
        <v>0.0</v>
      </c>
      <c r="L6" s="39">
        <v>0.0</v>
      </c>
      <c r="M6" s="39">
        <v>5000.0</v>
      </c>
      <c r="N6" s="39">
        <v>2.0</v>
      </c>
      <c r="O6" s="37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