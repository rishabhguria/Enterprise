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2" activeTab="12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yEndCash" sheetId="10" r:id="rId10"/>
    <sheet name="FilterPM" sheetId="11" r:id="rId11"/>
    <sheet name="CheckPortfolioManagement" sheetId="12" r:id="rId12"/>
    <sheet name="CheckPortfolioManagement1" sheetId="13" r:id="rId13"/>
    <sheet name="CheckDashboardPM" sheetId="14" r:id="rId14"/>
    <sheet name="FilterPM1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E6" i="10"/>
  <c r="D6" i="10"/>
  <c r="J2" i="10"/>
  <c r="J2" i="9"/>
  <c r="J2" i="8"/>
  <c r="C6" i="7"/>
  <c r="B6" i="7"/>
  <c r="J2" i="7"/>
  <c r="J2" i="6"/>
  <c r="C6" i="5"/>
  <c r="B6" i="5"/>
  <c r="J2" i="5"/>
  <c r="N9" i="4"/>
  <c r="N8" i="4"/>
  <c r="N7" i="4"/>
  <c r="N6" i="4"/>
  <c r="J2" i="4"/>
  <c r="EH5" i="15"/>
  <c r="BV5" i="15"/>
  <c r="J5" i="15"/>
  <c r="CV4" i="15"/>
  <c r="AJ4" i="15"/>
  <c r="DV5" i="14"/>
  <c r="BJ5" i="14"/>
  <c r="EV4" i="14"/>
  <c r="CJ4" i="14"/>
  <c r="X4" i="14"/>
  <c r="DI5" i="15"/>
  <c r="AW5" i="15"/>
  <c r="EI4" i="15"/>
  <c r="BW4" i="15"/>
  <c r="K4" i="15"/>
  <c r="CW5" i="14"/>
  <c r="AK5" i="14"/>
  <c r="DW4" i="14"/>
  <c r="BK4" i="14"/>
  <c r="EN5" i="15"/>
  <c r="CB5" i="15"/>
  <c r="P5" i="15"/>
  <c r="DB4" i="15"/>
  <c r="AP4" i="15"/>
  <c r="EB5" i="14"/>
  <c r="BP5" i="14"/>
  <c r="D5" i="14"/>
  <c r="CP4" i="14"/>
  <c r="AD4" i="14"/>
  <c r="DO5" i="15"/>
  <c r="BC5" i="15"/>
  <c r="EO4" i="15"/>
  <c r="CC4" i="15"/>
  <c r="Q4" i="15"/>
  <c r="CU5" i="14"/>
  <c r="AI5" i="14"/>
  <c r="DU4" i="14"/>
  <c r="BI4" i="14"/>
  <c r="ET5" i="15"/>
  <c r="CH5" i="15"/>
  <c r="V5" i="15"/>
  <c r="DH4" i="15"/>
  <c r="AV4" i="15"/>
  <c r="EH5" i="14"/>
  <c r="BV5" i="14"/>
  <c r="J5" i="14"/>
  <c r="CV4" i="14"/>
  <c r="AJ4" i="14"/>
  <c r="EI5" i="13"/>
  <c r="BW5" i="13"/>
  <c r="EK5" i="15"/>
  <c r="BY5" i="15"/>
  <c r="M5" i="15"/>
  <c r="CY4" i="15"/>
  <c r="AM4" i="15"/>
  <c r="DY5" i="14"/>
  <c r="BM5" i="14"/>
  <c r="A5" i="14"/>
  <c r="CM4" i="14"/>
  <c r="AA4" i="14"/>
  <c r="DZ5" i="13"/>
  <c r="BN5" i="13"/>
  <c r="B5" i="13"/>
  <c r="DD5" i="15"/>
  <c r="AR5" i="15"/>
  <c r="ED4" i="15"/>
  <c r="BR4" i="15"/>
  <c r="F4" i="15"/>
  <c r="CR5" i="14"/>
  <c r="AF5" i="14"/>
  <c r="DR4" i="14"/>
  <c r="BF4" i="14"/>
  <c r="FE5" i="13"/>
  <c r="CS5" i="13"/>
  <c r="AG5" i="13"/>
  <c r="EF4" i="13"/>
  <c r="BT4" i="13"/>
  <c r="H4" i="13"/>
  <c r="DF5" i="12"/>
  <c r="CU5" i="15"/>
  <c r="AI5" i="15"/>
  <c r="DU4" i="15"/>
  <c r="BI4" i="15"/>
  <c r="EU5" i="14"/>
  <c r="CI5" i="14"/>
  <c r="W5" i="14"/>
  <c r="DI4" i="14"/>
  <c r="AW4" i="14"/>
  <c r="EN5" i="13"/>
  <c r="CI5" i="13"/>
  <c r="FB4" i="13"/>
  <c r="CF4" i="13"/>
  <c r="K4" i="13"/>
  <c r="CZ5" i="12"/>
  <c r="AM5" i="12"/>
  <c r="EK4" i="12"/>
  <c r="BY4" i="12"/>
  <c r="M4" i="12"/>
  <c r="CY5" i="11"/>
  <c r="AM5" i="11"/>
  <c r="DY4" i="11"/>
  <c r="BM4" i="11"/>
  <c r="ES5" i="10"/>
  <c r="CG5" i="10"/>
  <c r="BI5" i="13"/>
  <c r="EH4" i="13"/>
  <c r="BM4" i="13"/>
  <c r="ER5" i="12"/>
  <c r="BZ5" i="12"/>
  <c r="N5" i="12"/>
  <c r="DL4" i="12"/>
  <c r="AZ4" i="12"/>
  <c r="EL5" i="11"/>
  <c r="BZ5" i="11"/>
  <c r="N5" i="11"/>
  <c r="CZ4" i="11"/>
  <c r="AN4" i="11"/>
  <c r="DT5" i="13"/>
  <c r="U5" i="13"/>
  <c r="DE4" i="13"/>
  <c r="AJ4" i="13"/>
  <c r="DY5" i="12"/>
  <c r="BI5" i="12"/>
  <c r="FG4" i="12"/>
  <c r="CU4" i="12"/>
  <c r="AI4" i="12"/>
  <c r="DU5" i="11"/>
  <c r="DZ5" i="15"/>
  <c r="BN5" i="15"/>
  <c r="B5" i="15"/>
  <c r="CN4" i="15"/>
  <c r="AB4" i="15"/>
  <c r="DN5" i="14"/>
  <c r="BB5" i="14"/>
  <c r="EN4" i="14"/>
  <c r="CB4" i="14"/>
  <c r="P4" i="14"/>
  <c r="DA5" i="15"/>
  <c r="AO5" i="15"/>
  <c r="EA4" i="15"/>
  <c r="BO4" i="15"/>
  <c r="C4" i="15"/>
  <c r="CO5" i="14"/>
  <c r="AC5" i="14"/>
  <c r="DO4" i="14"/>
  <c r="BC4" i="14"/>
  <c r="EF5" i="15"/>
  <c r="BT5" i="15"/>
  <c r="H5" i="15"/>
  <c r="CT4" i="15"/>
  <c r="AH4" i="15"/>
  <c r="DT5" i="14"/>
  <c r="BH5" i="14"/>
  <c r="ET4" i="14"/>
  <c r="CH4" i="14"/>
  <c r="V4" i="14"/>
  <c r="DG5" i="15"/>
  <c r="AU5" i="15"/>
  <c r="EG4" i="15"/>
  <c r="BU4" i="15"/>
  <c r="I4" i="15"/>
  <c r="CM5" i="14"/>
  <c r="AA5" i="14"/>
  <c r="DM4" i="14"/>
  <c r="BA4" i="14"/>
  <c r="EL5" i="15"/>
  <c r="BZ5" i="15"/>
  <c r="N5" i="15"/>
  <c r="CZ4" i="15"/>
  <c r="AN4" i="15"/>
  <c r="DZ5" i="14"/>
  <c r="BN5" i="14"/>
  <c r="B5" i="14"/>
  <c r="CN4" i="14"/>
  <c r="AB4" i="14"/>
  <c r="EA5" i="13"/>
  <c r="BO5" i="13"/>
  <c r="EC5" i="15"/>
  <c r="BQ5" i="15"/>
  <c r="E5" i="15"/>
  <c r="CQ4" i="15"/>
  <c r="AE4" i="15"/>
  <c r="DQ5" i="14"/>
  <c r="BE5" i="14"/>
  <c r="EQ4" i="14"/>
  <c r="CE4" i="14"/>
  <c r="S4" i="14"/>
  <c r="DR5" i="13"/>
  <c r="BF5" i="13"/>
  <c r="FE4" i="13"/>
  <c r="CV5" i="15"/>
  <c r="AJ5" i="15"/>
  <c r="DV4" i="15"/>
  <c r="BJ4" i="15"/>
  <c r="EV5" i="14"/>
  <c r="CJ5" i="14"/>
  <c r="X5" i="14"/>
  <c r="DJ4" i="14"/>
  <c r="AX4" i="14"/>
  <c r="EW5" i="13"/>
  <c r="CK5" i="13"/>
  <c r="Y5" i="13"/>
  <c r="DX4" i="13"/>
  <c r="BL4" i="13"/>
  <c r="FJ5" i="12"/>
  <c r="CX5" i="12"/>
  <c r="CM5" i="15"/>
  <c r="AA5" i="15"/>
  <c r="DM4" i="15"/>
  <c r="BA4" i="15"/>
  <c r="EM5" i="14"/>
  <c r="CA5" i="14"/>
  <c r="O5" i="14"/>
  <c r="DA4" i="14"/>
  <c r="DR5" i="15"/>
  <c r="DJ5" i="15"/>
  <c r="AX5" i="15"/>
  <c r="EJ4" i="15"/>
  <c r="BX4" i="15"/>
  <c r="L4" i="15"/>
  <c r="CX5" i="14"/>
  <c r="AL5" i="14"/>
  <c r="DX4" i="14"/>
  <c r="BL4" i="14"/>
  <c r="EW5" i="15"/>
  <c r="CK5" i="15"/>
  <c r="Y5" i="15"/>
  <c r="DK4" i="15"/>
  <c r="AY4" i="15"/>
  <c r="EK5" i="14"/>
  <c r="BY5" i="14"/>
  <c r="M5" i="14"/>
  <c r="CY4" i="14"/>
  <c r="AM4" i="14"/>
  <c r="DP5" i="15"/>
  <c r="BD5" i="15"/>
  <c r="EP4" i="15"/>
  <c r="CD4" i="15"/>
  <c r="R4" i="15"/>
  <c r="DD5" i="14"/>
  <c r="AR5" i="14"/>
  <c r="ED4" i="14"/>
  <c r="BR4" i="14"/>
  <c r="F4" i="14"/>
  <c r="CQ5" i="15"/>
  <c r="AE5" i="15"/>
  <c r="DQ4" i="15"/>
  <c r="BE4" i="15"/>
  <c r="EI5" i="14"/>
  <c r="BW5" i="14"/>
  <c r="K5" i="14"/>
  <c r="CW4" i="14"/>
  <c r="AK4" i="14"/>
  <c r="DV5" i="15"/>
  <c r="BJ5" i="15"/>
  <c r="EV4" i="15"/>
  <c r="CJ4" i="15"/>
  <c r="X4" i="15"/>
  <c r="DJ5" i="14"/>
  <c r="AX5" i="14"/>
  <c r="EJ4" i="14"/>
  <c r="BX4" i="14"/>
  <c r="L4" i="14"/>
  <c r="DK5" i="13"/>
  <c r="AY5" i="13"/>
  <c r="DM5" i="15"/>
  <c r="BA5" i="15"/>
  <c r="EM4" i="15"/>
  <c r="CA4" i="15"/>
  <c r="O4" i="15"/>
  <c r="DA5" i="14"/>
  <c r="AO5" i="14"/>
  <c r="EA4" i="14"/>
  <c r="BO4" i="14"/>
  <c r="C4" i="14"/>
  <c r="DB5" i="13"/>
  <c r="AP5" i="13"/>
  <c r="ER5" i="15"/>
  <c r="CF5" i="15"/>
  <c r="T5" i="15"/>
  <c r="DF4" i="15"/>
  <c r="AT4" i="15"/>
  <c r="EF5" i="14"/>
  <c r="BT5" i="14"/>
  <c r="H5" i="14"/>
  <c r="CT4" i="14"/>
  <c r="AH4" i="14"/>
  <c r="EG5" i="13"/>
  <c r="BU5" i="13"/>
  <c r="I5" i="13"/>
  <c r="DH4" i="13"/>
  <c r="AV4" i="13"/>
  <c r="ET5" i="12"/>
  <c r="EI5" i="15"/>
  <c r="BW5" i="15"/>
  <c r="K5" i="15"/>
  <c r="CW4" i="15"/>
  <c r="AK4" i="15"/>
  <c r="DW5" i="14"/>
  <c r="BK5" i="14"/>
  <c r="EW4" i="14"/>
  <c r="CK4" i="14"/>
  <c r="Y4" i="14"/>
  <c r="FA5" i="13"/>
  <c r="AV5" i="13"/>
  <c r="DZ4" i="13"/>
  <c r="BE4" i="13"/>
  <c r="ES5" i="12"/>
  <c r="CA5" i="12"/>
  <c r="O5" i="12"/>
  <c r="DM4" i="12"/>
  <c r="BA4" i="12"/>
  <c r="EM5" i="11"/>
  <c r="CA5" i="11"/>
  <c r="O5" i="11"/>
  <c r="DA4" i="11"/>
  <c r="AO4" i="11"/>
  <c r="DU5" i="10"/>
  <c r="DU5" i="13"/>
  <c r="V5" i="13"/>
  <c r="DF4" i="13"/>
  <c r="AK4" i="13"/>
  <c r="DQ5" i="12"/>
  <c r="BB5" i="12"/>
  <c r="EZ4" i="12"/>
  <c r="CN4" i="12"/>
  <c r="AB4" i="12"/>
  <c r="DN5" i="11"/>
  <c r="BB5" i="11"/>
  <c r="EN4" i="11"/>
  <c r="CB4" i="11"/>
  <c r="P4" i="11"/>
  <c r="CG5" i="13"/>
  <c r="EZ4" i="13"/>
  <c r="CD4" i="13"/>
  <c r="I4" i="13"/>
  <c r="DB5" i="15"/>
  <c r="AP5" i="15"/>
  <c r="EB4" i="15"/>
  <c r="BP4" i="15"/>
  <c r="D4" i="15"/>
  <c r="CP5" i="14"/>
  <c r="AD5" i="14"/>
  <c r="DP4" i="14"/>
  <c r="BD4" i="14"/>
  <c r="EO5" i="15"/>
  <c r="CC5" i="15"/>
  <c r="Q5" i="15"/>
  <c r="DC4" i="15"/>
  <c r="AQ4" i="15"/>
  <c r="EC5" i="14"/>
  <c r="BQ5" i="14"/>
  <c r="E5" i="14"/>
  <c r="CQ4" i="14"/>
  <c r="AE4" i="14"/>
  <c r="DH5" i="15"/>
  <c r="AV5" i="15"/>
  <c r="EH4" i="15"/>
  <c r="BV4" i="15"/>
  <c r="J4" i="15"/>
  <c r="CV5" i="14"/>
  <c r="AJ5" i="14"/>
  <c r="DV4" i="14"/>
  <c r="BJ4" i="14"/>
  <c r="EU5" i="15"/>
  <c r="CI5" i="15"/>
  <c r="W5" i="15"/>
  <c r="DI4" i="15"/>
  <c r="AW4" i="15"/>
  <c r="EA5" i="14"/>
  <c r="BO5" i="14"/>
  <c r="C5" i="14"/>
  <c r="CO4" i="14"/>
  <c r="AC4" i="14"/>
  <c r="DN5" i="15"/>
  <c r="BB5" i="15"/>
  <c r="EN4" i="15"/>
  <c r="CB4" i="15"/>
  <c r="P4" i="15"/>
  <c r="DB5" i="14"/>
  <c r="AP5" i="14"/>
  <c r="EB4" i="14"/>
  <c r="BP4" i="14"/>
  <c r="D4" i="14"/>
  <c r="DC5" i="13"/>
  <c r="AQ5" i="13"/>
  <c r="DE5" i="15"/>
  <c r="AS5" i="15"/>
  <c r="EE4" i="15"/>
  <c r="BS4" i="15"/>
  <c r="G4" i="15"/>
  <c r="CS5" i="14"/>
  <c r="AG5" i="14"/>
  <c r="DS4" i="14"/>
  <c r="BG4" i="14"/>
  <c r="FF5" i="13"/>
  <c r="CT5" i="13"/>
  <c r="AH5" i="13"/>
  <c r="EJ5" i="15"/>
  <c r="BX5" i="15"/>
  <c r="L5" i="15"/>
  <c r="CX4" i="15"/>
  <c r="AL4" i="15"/>
  <c r="DX5" i="14"/>
  <c r="BL5" i="14"/>
  <c r="EX4" i="14"/>
  <c r="CL4" i="14"/>
  <c r="Z4" i="14"/>
  <c r="DY5" i="13"/>
  <c r="BM5" i="13"/>
  <c r="A5" i="13"/>
  <c r="CZ4" i="13"/>
  <c r="AN4" i="13"/>
  <c r="EL5" i="12"/>
  <c r="EA5" i="15"/>
  <c r="BO5" i="15"/>
  <c r="C5" i="15"/>
  <c r="CO4" i="15"/>
  <c r="AC4" i="15"/>
  <c r="DO5" i="14"/>
  <c r="BC5" i="14"/>
  <c r="EO4" i="14"/>
  <c r="CC4" i="14"/>
  <c r="Q4" i="14"/>
  <c r="EK5" i="13"/>
  <c r="AK5" i="13"/>
  <c r="DQ4" i="13"/>
  <c r="AU4" i="13"/>
  <c r="EJ5" i="12"/>
  <c r="BS5" i="12"/>
  <c r="G5" i="12"/>
  <c r="DE4" i="12"/>
  <c r="AS4" i="12"/>
  <c r="EE5" i="11"/>
  <c r="BS5" i="11"/>
  <c r="G5" i="11"/>
  <c r="CS4" i="11"/>
  <c r="AG4" i="11"/>
  <c r="DM5" i="10"/>
  <c r="DG5" i="13"/>
  <c r="L5" i="13"/>
  <c r="CW4" i="13"/>
  <c r="AB4" i="13"/>
  <c r="DH5" i="12"/>
  <c r="AT5" i="12"/>
  <c r="ER4" i="12"/>
  <c r="CF4" i="12"/>
  <c r="T4" i="12"/>
  <c r="DF5" i="11"/>
  <c r="AT5" i="11"/>
  <c r="EF4" i="11"/>
  <c r="BT4" i="11"/>
  <c r="H4" i="11"/>
  <c r="BS5" i="13"/>
  <c r="EP4" i="13"/>
  <c r="BU4" i="13"/>
  <c r="FI5" i="12"/>
  <c r="CT5" i="15"/>
  <c r="AH5" i="15"/>
  <c r="DT4" i="15"/>
  <c r="BH4" i="15"/>
  <c r="ET5" i="14"/>
  <c r="CH5" i="14"/>
  <c r="V5" i="14"/>
  <c r="DH4" i="14"/>
  <c r="AV4" i="14"/>
  <c r="EG5" i="15"/>
  <c r="BU5" i="15"/>
  <c r="I5" i="15"/>
  <c r="CU4" i="15"/>
  <c r="AI4" i="15"/>
  <c r="DU5" i="14"/>
  <c r="BI5" i="14"/>
  <c r="EU4" i="14"/>
  <c r="CI4" i="14"/>
  <c r="W4" i="14"/>
  <c r="CZ5" i="15"/>
  <c r="AN5" i="15"/>
  <c r="DZ4" i="15"/>
  <c r="BN4" i="15"/>
  <c r="B4" i="15"/>
  <c r="CN5" i="14"/>
  <c r="AB5" i="14"/>
  <c r="DN4" i="14"/>
  <c r="BB4" i="14"/>
  <c r="EM5" i="15"/>
  <c r="CA5" i="15"/>
  <c r="O5" i="15"/>
  <c r="DA4" i="15"/>
  <c r="AO4" i="15"/>
  <c r="DS5" i="14"/>
  <c r="BG5" i="14"/>
  <c r="ES4" i="14"/>
  <c r="CG4" i="14"/>
  <c r="U4" i="14"/>
  <c r="DF5" i="15"/>
  <c r="AT5" i="15"/>
  <c r="EF4" i="15"/>
  <c r="BT4" i="15"/>
  <c r="H4" i="15"/>
  <c r="CT5" i="14"/>
  <c r="AH5" i="14"/>
  <c r="DT4" i="14"/>
  <c r="BH4" i="14"/>
  <c r="FG5" i="13"/>
  <c r="CU5" i="13"/>
  <c r="AI5" i="13"/>
  <c r="CW5" i="15"/>
  <c r="AK5" i="15"/>
  <c r="DW4" i="15"/>
  <c r="BK4" i="15"/>
  <c r="EW5" i="14"/>
  <c r="CK5" i="14"/>
  <c r="Y5" i="14"/>
  <c r="DK4" i="14"/>
  <c r="AY4" i="14"/>
  <c r="EX5" i="13"/>
  <c r="CL5" i="13"/>
  <c r="Z5" i="13"/>
  <c r="EB5" i="15"/>
  <c r="BP5" i="15"/>
  <c r="D5" i="15"/>
  <c r="CP4" i="15"/>
  <c r="AD4" i="15"/>
  <c r="DP5" i="14"/>
  <c r="BD5" i="14"/>
  <c r="EP4" i="14"/>
  <c r="CD4" i="14"/>
  <c r="R4" i="14"/>
  <c r="DQ5" i="13"/>
  <c r="BE5" i="13"/>
  <c r="FD4" i="13"/>
  <c r="CR4" i="13"/>
  <c r="AF4" i="13"/>
  <c r="ED5" i="12"/>
  <c r="DS5" i="15"/>
  <c r="BG5" i="15"/>
  <c r="ES4" i="15"/>
  <c r="CG4" i="15"/>
  <c r="U4" i="15"/>
  <c r="DG5" i="14"/>
  <c r="AU5" i="14"/>
  <c r="EG4" i="14"/>
  <c r="BU4" i="14"/>
  <c r="I4" i="14"/>
  <c r="DV5" i="13"/>
  <c r="W5" i="13"/>
  <c r="DG4" i="13"/>
  <c r="AL4" i="13"/>
  <c r="EA5" i="12"/>
  <c r="FI4" i="12"/>
  <c r="CW4" i="12"/>
  <c r="AK4" i="12"/>
  <c r="DW5" i="11"/>
  <c r="BK5" i="11"/>
  <c r="EW4" i="11"/>
  <c r="CK4" i="11"/>
  <c r="Y4" i="11"/>
  <c r="DE5" i="10"/>
  <c r="CV5" i="13"/>
  <c r="FK4" i="13"/>
  <c r="CN4" i="13"/>
  <c r="S4" i="13"/>
  <c r="CY5" i="12"/>
  <c r="AL5" i="12"/>
  <c r="EJ4" i="12"/>
  <c r="BX4" i="12"/>
  <c r="L4" i="12"/>
  <c r="CX5" i="11"/>
  <c r="AL5" i="11"/>
  <c r="DX4" i="11"/>
  <c r="BL4" i="11"/>
  <c r="FK5" i="13"/>
  <c r="BH5" i="13"/>
  <c r="EG4" i="13"/>
  <c r="BK4" i="13"/>
  <c r="EZ5" i="12"/>
  <c r="CG5" i="12"/>
  <c r="U5" i="12"/>
  <c r="DS4" i="12"/>
  <c r="BG4" i="12"/>
  <c r="ES5" i="11"/>
  <c r="CG5" i="11"/>
  <c r="EX5" i="15"/>
  <c r="CL5" i="15"/>
  <c r="Z5" i="15"/>
  <c r="DL4" i="15"/>
  <c r="AZ4" i="15"/>
  <c r="EL5" i="14"/>
  <c r="BZ5" i="14"/>
  <c r="N5" i="14"/>
  <c r="CZ4" i="14"/>
  <c r="AN4" i="14"/>
  <c r="DY5" i="15"/>
  <c r="BM5" i="15"/>
  <c r="A5" i="15"/>
  <c r="CM4" i="15"/>
  <c r="AA4" i="15"/>
  <c r="DM5" i="14"/>
  <c r="BA5" i="14"/>
  <c r="EM4" i="14"/>
  <c r="CA4" i="14"/>
  <c r="O4" i="14"/>
  <c r="CR5" i="15"/>
  <c r="AF5" i="15"/>
  <c r="DR4" i="15"/>
  <c r="BF4" i="15"/>
  <c r="ER5" i="14"/>
  <c r="CF5" i="14"/>
  <c r="T5" i="14"/>
  <c r="DF4" i="14"/>
  <c r="AT4" i="14"/>
  <c r="EE5" i="15"/>
  <c r="BS5" i="15"/>
  <c r="G5" i="15"/>
  <c r="CS4" i="15"/>
  <c r="AG4" i="15"/>
  <c r="DK5" i="14"/>
  <c r="AY5" i="14"/>
  <c r="EK4" i="14"/>
  <c r="BY4" i="14"/>
  <c r="M4" i="14"/>
  <c r="CX5" i="15"/>
  <c r="AL5" i="15"/>
  <c r="DX4" i="15"/>
  <c r="BL4" i="15"/>
  <c r="EX5" i="14"/>
  <c r="CL5" i="14"/>
  <c r="Z5" i="14"/>
  <c r="DL4" i="14"/>
  <c r="AZ4" i="14"/>
  <c r="EY5" i="13"/>
  <c r="CM5" i="13"/>
  <c r="AA5" i="13"/>
  <c r="CO5" i="15"/>
  <c r="AC5" i="15"/>
  <c r="DO4" i="15"/>
  <c r="BC4" i="15"/>
  <c r="EO5" i="14"/>
  <c r="CC5" i="14"/>
  <c r="Q5" i="14"/>
  <c r="DC4" i="14"/>
  <c r="AQ4" i="14"/>
  <c r="EP5" i="13"/>
  <c r="CD5" i="13"/>
  <c r="R5" i="13"/>
  <c r="DT5" i="15"/>
  <c r="BH5" i="15"/>
  <c r="ET4" i="15"/>
  <c r="CH4" i="15"/>
  <c r="V4" i="15"/>
  <c r="DH5" i="14"/>
  <c r="AV5" i="14"/>
  <c r="EH4" i="14"/>
  <c r="BV4" i="14"/>
  <c r="J4" i="14"/>
  <c r="DI5" i="13"/>
  <c r="AW5" i="13"/>
  <c r="EV4" i="13"/>
  <c r="CJ4" i="13"/>
  <c r="X4" i="13"/>
  <c r="DV5" i="12"/>
  <c r="DK5" i="15"/>
  <c r="AY5" i="15"/>
  <c r="EK4" i="15"/>
  <c r="BY4" i="15"/>
  <c r="M4" i="15"/>
  <c r="CY5" i="14"/>
  <c r="AM5" i="14"/>
  <c r="DY4" i="14"/>
  <c r="BM4" i="14"/>
  <c r="FD5" i="13"/>
  <c r="DH5" i="13"/>
  <c r="M5" i="13"/>
  <c r="CX4" i="13"/>
  <c r="AC4" i="13"/>
  <c r="DR5" i="12"/>
  <c r="BC5" i="12"/>
  <c r="FA4" i="12"/>
  <c r="CO4" i="12"/>
  <c r="AC4" i="12"/>
  <c r="DO5" i="11"/>
  <c r="BC5" i="11"/>
  <c r="EO4" i="11"/>
  <c r="CC4" i="11"/>
  <c r="Q4" i="11"/>
  <c r="CW5" i="10"/>
  <c r="CH5" i="13"/>
  <c r="FA4" i="13"/>
  <c r="CE4" i="13"/>
  <c r="J4" i="13"/>
  <c r="CP5" i="12"/>
  <c r="AD5" i="12"/>
  <c r="EB4" i="12"/>
  <c r="BP4" i="12"/>
  <c r="D4" i="12"/>
  <c r="CP5" i="11"/>
  <c r="AD5" i="11"/>
  <c r="DP4" i="11"/>
  <c r="BD4" i="11"/>
  <c r="EU5" i="13"/>
  <c r="AT5" i="13"/>
  <c r="DW4" i="13"/>
  <c r="BB4" i="13"/>
  <c r="EQ5" i="12"/>
  <c r="BY5" i="12"/>
  <c r="M5" i="12"/>
  <c r="DK4" i="12"/>
  <c r="AY4" i="12"/>
  <c r="EK5" i="11"/>
  <c r="EP5" i="15"/>
  <c r="CD5" i="15"/>
  <c r="R5" i="15"/>
  <c r="DD4" i="15"/>
  <c r="AR4" i="15"/>
  <c r="ED5" i="14"/>
  <c r="BR5" i="14"/>
  <c r="F5" i="14"/>
  <c r="CR4" i="14"/>
  <c r="AF4" i="14"/>
  <c r="DQ5" i="15"/>
  <c r="BE5" i="15"/>
  <c r="EQ4" i="15"/>
  <c r="CE4" i="15"/>
  <c r="S4" i="15"/>
  <c r="DE5" i="14"/>
  <c r="AS5" i="14"/>
  <c r="EE4" i="14"/>
  <c r="BS4" i="14"/>
  <c r="EV5" i="15"/>
  <c r="CJ5" i="15"/>
  <c r="X5" i="15"/>
  <c r="DJ4" i="15"/>
  <c r="AX4" i="15"/>
  <c r="EJ5" i="14"/>
  <c r="BX5" i="14"/>
  <c r="L5" i="14"/>
  <c r="CX4" i="14"/>
  <c r="AL4" i="14"/>
  <c r="DW5" i="15"/>
  <c r="BK5" i="15"/>
  <c r="EW4" i="15"/>
  <c r="CK4" i="15"/>
  <c r="Y4" i="15"/>
  <c r="DC5" i="14"/>
  <c r="AQ5" i="14"/>
  <c r="EC4" i="14"/>
  <c r="BQ4" i="14"/>
  <c r="E4" i="14"/>
  <c r="CP5" i="15"/>
  <c r="AD5" i="15"/>
  <c r="DP4" i="15"/>
  <c r="BD4" i="15"/>
  <c r="EP5" i="14"/>
  <c r="CD5" i="14"/>
  <c r="R5" i="14"/>
  <c r="DD4" i="14"/>
  <c r="AR4" i="14"/>
  <c r="EQ5" i="13"/>
  <c r="CE5" i="13"/>
  <c r="ES5" i="15"/>
  <c r="CG5" i="15"/>
  <c r="U5" i="15"/>
  <c r="DG4" i="15"/>
  <c r="AU4" i="15"/>
  <c r="EG5" i="14"/>
  <c r="BU5" i="14"/>
  <c r="I5" i="14"/>
  <c r="CU4" i="14"/>
  <c r="AI4" i="14"/>
  <c r="EH5" i="13"/>
  <c r="BV5" i="13"/>
  <c r="J5" i="13"/>
  <c r="DL5" i="15"/>
  <c r="AZ5" i="15"/>
  <c r="EL4" i="15"/>
  <c r="BZ4" i="15"/>
  <c r="N4" i="15"/>
  <c r="CZ5" i="14"/>
  <c r="AN5" i="14"/>
  <c r="DZ4" i="14"/>
  <c r="BN4" i="14"/>
  <c r="B4" i="14"/>
  <c r="DA5" i="13"/>
  <c r="AO5" i="13"/>
  <c r="EN4" i="13"/>
  <c r="CB4" i="13"/>
  <c r="P4" i="13"/>
  <c r="DN5" i="12"/>
  <c r="DC5" i="15"/>
  <c r="AQ5" i="15"/>
  <c r="EC4" i="15"/>
  <c r="BQ4" i="15"/>
  <c r="E4" i="15"/>
  <c r="CQ5" i="14"/>
  <c r="AE5" i="14"/>
  <c r="DQ4" i="14"/>
  <c r="BE4" i="14"/>
  <c r="EV5" i="13"/>
  <c r="CW5" i="13"/>
  <c r="C5" i="13"/>
  <c r="CO4" i="13"/>
  <c r="T4" i="13"/>
  <c r="DI5" i="12"/>
  <c r="AU5" i="12"/>
  <c r="ES4" i="12"/>
  <c r="CG4" i="12"/>
  <c r="U4" i="12"/>
  <c r="DG5" i="11"/>
  <c r="AU5" i="11"/>
  <c r="EG4" i="11"/>
  <c r="BU4" i="11"/>
  <c r="I4" i="11"/>
  <c r="CO5" i="10"/>
  <c r="BT5" i="13"/>
  <c r="EQ4" i="13"/>
  <c r="BV4" i="13"/>
  <c r="FA5" i="12"/>
  <c r="CH5" i="12"/>
  <c r="V5" i="12"/>
  <c r="DT4" i="12"/>
  <c r="BH4" i="12"/>
  <c r="ET5" i="11"/>
  <c r="CH5" i="11"/>
  <c r="V5" i="11"/>
  <c r="DH4" i="11"/>
  <c r="AV4" i="11"/>
  <c r="EE5" i="13"/>
  <c r="AF5" i="13"/>
  <c r="DN4" i="13"/>
  <c r="AS4" i="13"/>
  <c r="EH5" i="12"/>
  <c r="BQ5" i="12"/>
  <c r="E5" i="12"/>
  <c r="DC4" i="12"/>
  <c r="AQ4" i="12"/>
  <c r="EC5" i="11"/>
  <c r="BF5" i="15"/>
  <c r="H4" i="14"/>
  <c r="DG4" i="14"/>
  <c r="AZ5" i="14"/>
  <c r="EQ5" i="14"/>
  <c r="CR4" i="15"/>
  <c r="BG5" i="13"/>
  <c r="EI4" i="14"/>
  <c r="DN4" i="15"/>
  <c r="CC5" i="13"/>
  <c r="DE4" i="15"/>
  <c r="EF5" i="13"/>
  <c r="B4" i="13"/>
  <c r="BQ4" i="12"/>
  <c r="DQ4" i="11"/>
  <c r="AU5" i="13"/>
  <c r="BR5" i="12"/>
  <c r="ED5" i="11"/>
  <c r="AF4" i="11"/>
  <c r="AA4" i="13"/>
  <c r="AK5" i="12"/>
  <c r="BW4" i="12"/>
  <c r="CW5" i="11"/>
  <c r="AC5" i="11"/>
  <c r="DO4" i="11"/>
  <c r="BC4" i="11"/>
  <c r="ET5" i="13"/>
  <c r="AS5" i="13"/>
  <c r="DV4" i="13"/>
  <c r="BA4" i="13"/>
  <c r="EP5" i="12"/>
  <c r="BX5" i="12"/>
  <c r="L5" i="12"/>
  <c r="DJ4" i="12"/>
  <c r="AX4" i="12"/>
  <c r="EJ5" i="11"/>
  <c r="BX5" i="11"/>
  <c r="L5" i="11"/>
  <c r="CX4" i="11"/>
  <c r="AL4" i="11"/>
  <c r="DZ5" i="10"/>
  <c r="BN5" i="10"/>
  <c r="EC5" i="13"/>
  <c r="AD5" i="13"/>
  <c r="DL4" i="13"/>
  <c r="AQ4" i="13"/>
  <c r="EF5" i="12"/>
  <c r="BO5" i="12"/>
  <c r="C5" i="12"/>
  <c r="DA4" i="12"/>
  <c r="AO4" i="12"/>
  <c r="DS5" i="11"/>
  <c r="BG5" i="11"/>
  <c r="ES4" i="11"/>
  <c r="CG4" i="11"/>
  <c r="U4" i="11"/>
  <c r="DI5" i="10"/>
  <c r="AW5" i="10"/>
  <c r="CA5" i="13"/>
  <c r="EU4" i="13"/>
  <c r="BZ4" i="13"/>
  <c r="E4" i="13"/>
  <c r="CT5" i="12"/>
  <c r="AH5" i="12"/>
  <c r="EF4" i="12"/>
  <c r="BT4" i="12"/>
  <c r="H4" i="12"/>
  <c r="CT5" i="11"/>
  <c r="AH5" i="11"/>
  <c r="DT4" i="11"/>
  <c r="BH4" i="11"/>
  <c r="EV5" i="10"/>
  <c r="CJ5" i="10"/>
  <c r="X5" i="10"/>
  <c r="BL5" i="13"/>
  <c r="EK4" i="13"/>
  <c r="BP4" i="13"/>
  <c r="FE5" i="12"/>
  <c r="CK5" i="12"/>
  <c r="Y5" i="12"/>
  <c r="DW4" i="12"/>
  <c r="BK4" i="12"/>
  <c r="EW5" i="11"/>
  <c r="CK5" i="11"/>
  <c r="Y5" i="11"/>
  <c r="DK4" i="11"/>
  <c r="AY4" i="11"/>
  <c r="EM5" i="10"/>
  <c r="CA5" i="10"/>
  <c r="EA4" i="13"/>
  <c r="AF5" i="11"/>
  <c r="AR5" i="10"/>
  <c r="DV4" i="10"/>
  <c r="BJ4" i="10"/>
  <c r="EV5" i="9"/>
  <c r="CJ5" i="9"/>
  <c r="X5" i="9"/>
  <c r="DJ4" i="9"/>
  <c r="AX4" i="9"/>
  <c r="EJ5" i="8"/>
  <c r="BX5" i="8"/>
  <c r="L5" i="8"/>
  <c r="CX4" i="8"/>
  <c r="AL4" i="8"/>
  <c r="DZ5" i="7"/>
  <c r="CB5" i="12"/>
  <c r="AX4" i="11"/>
  <c r="S5" i="10"/>
  <c r="DE4" i="10"/>
  <c r="AS4" i="10"/>
  <c r="EE5" i="9"/>
  <c r="BS5" i="9"/>
  <c r="G5" i="9"/>
  <c r="CS4" i="9"/>
  <c r="AG4" i="9"/>
  <c r="DK5" i="8"/>
  <c r="AY5" i="8"/>
  <c r="EK4" i="8"/>
  <c r="BY4" i="8"/>
  <c r="M4" i="8"/>
  <c r="X5" i="13"/>
  <c r="EN5" i="11"/>
  <c r="BR5" i="10"/>
  <c r="EJ4" i="10"/>
  <c r="BX4" i="10"/>
  <c r="L4" i="10"/>
  <c r="CX5" i="9"/>
  <c r="ER4" i="15"/>
  <c r="CS5" i="15"/>
  <c r="AU4" i="14"/>
  <c r="EL4" i="14"/>
  <c r="CE5" i="14"/>
  <c r="AF4" i="15"/>
  <c r="DU5" i="15"/>
  <c r="BW4" i="14"/>
  <c r="BB4" i="15"/>
  <c r="Q5" i="13"/>
  <c r="AS4" i="15"/>
  <c r="G4" i="14"/>
  <c r="FC5" i="12"/>
  <c r="BI4" i="12"/>
  <c r="DI4" i="11"/>
  <c r="AJ5" i="13"/>
  <c r="BJ5" i="12"/>
  <c r="DV5" i="11"/>
  <c r="X4" i="11"/>
  <c r="R4" i="13"/>
  <c r="AC5" i="12"/>
  <c r="BO4" i="12"/>
  <c r="CO5" i="11"/>
  <c r="U5" i="11"/>
  <c r="DG4" i="11"/>
  <c r="AU4" i="11"/>
  <c r="ED5" i="13"/>
  <c r="AE5" i="13"/>
  <c r="DM4" i="13"/>
  <c r="AR4" i="13"/>
  <c r="EG5" i="12"/>
  <c r="BP5" i="12"/>
  <c r="D5" i="12"/>
  <c r="DB4" i="12"/>
  <c r="AP4" i="12"/>
  <c r="EB5" i="11"/>
  <c r="BP5" i="11"/>
  <c r="D5" i="11"/>
  <c r="CP4" i="11"/>
  <c r="AD4" i="11"/>
  <c r="DR5" i="10"/>
  <c r="BF5" i="10"/>
  <c r="DO5" i="13"/>
  <c r="S5" i="13"/>
  <c r="DC4" i="13"/>
  <c r="AH4" i="13"/>
  <c r="DW5" i="12"/>
  <c r="BG5" i="12"/>
  <c r="FE4" i="12"/>
  <c r="CS4" i="12"/>
  <c r="AG4" i="12"/>
  <c r="DK5" i="11"/>
  <c r="AY5" i="11"/>
  <c r="EK4" i="11"/>
  <c r="BY4" i="11"/>
  <c r="M4" i="11"/>
  <c r="DA5" i="10"/>
  <c r="AO5" i="10"/>
  <c r="BP5" i="13"/>
  <c r="EL4" i="13"/>
  <c r="BQ4" i="13"/>
  <c r="FF5" i="12"/>
  <c r="CL5" i="12"/>
  <c r="Z5" i="12"/>
  <c r="DX4" i="12"/>
  <c r="BL4" i="12"/>
  <c r="EX5" i="11"/>
  <c r="CL5" i="11"/>
  <c r="Z5" i="11"/>
  <c r="DL4" i="11"/>
  <c r="AZ4" i="11"/>
  <c r="EN5" i="10"/>
  <c r="CB5" i="10"/>
  <c r="FC5" i="13"/>
  <c r="BA5" i="13"/>
  <c r="EB4" i="13"/>
  <c r="BG4" i="13"/>
  <c r="EV5" i="12"/>
  <c r="CC5" i="12"/>
  <c r="Q5" i="12"/>
  <c r="DO4" i="12"/>
  <c r="BC4" i="12"/>
  <c r="EO5" i="11"/>
  <c r="CC5" i="11"/>
  <c r="Q5" i="11"/>
  <c r="DC4" i="11"/>
  <c r="AQ4" i="11"/>
  <c r="EE5" i="10"/>
  <c r="BS5" i="10"/>
  <c r="BF4" i="13"/>
  <c r="DR4" i="11"/>
  <c r="AD5" i="10"/>
  <c r="DN4" i="10"/>
  <c r="BB4" i="10"/>
  <c r="EN5" i="9"/>
  <c r="CB5" i="9"/>
  <c r="P5" i="9"/>
  <c r="DB4" i="9"/>
  <c r="AP4" i="9"/>
  <c r="EB5" i="8"/>
  <c r="BP5" i="8"/>
  <c r="D5" i="8"/>
  <c r="CP4" i="8"/>
  <c r="AD4" i="8"/>
  <c r="DR5" i="7"/>
  <c r="P5" i="12"/>
  <c r="ED5" i="10"/>
  <c r="K5" i="10"/>
  <c r="CW4" i="10"/>
  <c r="AK4" i="10"/>
  <c r="DW5" i="9"/>
  <c r="BK5" i="9"/>
  <c r="EW4" i="9"/>
  <c r="CK4" i="9"/>
  <c r="Y4" i="9"/>
  <c r="DC5" i="8"/>
  <c r="AQ5" i="8"/>
  <c r="EC4" i="8"/>
  <c r="BQ4" i="8"/>
  <c r="E4" i="8"/>
  <c r="DI4" i="13"/>
  <c r="CB5" i="11"/>
  <c r="BB5" i="10"/>
  <c r="EB4" i="10"/>
  <c r="BP4" i="10"/>
  <c r="D4" i="10"/>
  <c r="CP5" i="9"/>
  <c r="CF4" i="15"/>
  <c r="AG5" i="15"/>
  <c r="DX5" i="15"/>
  <c r="BZ4" i="14"/>
  <c r="S5" i="14"/>
  <c r="DR5" i="14"/>
  <c r="BI5" i="15"/>
  <c r="K4" i="14"/>
  <c r="EN5" i="14"/>
  <c r="DP4" i="13"/>
  <c r="EE5" i="14"/>
  <c r="BX5" i="13"/>
  <c r="CQ5" i="12"/>
  <c r="E4" i="12"/>
  <c r="BE4" i="11"/>
  <c r="DY4" i="13"/>
  <c r="F5" i="12"/>
  <c r="BR5" i="11"/>
  <c r="DF5" i="13"/>
  <c r="DP5" i="12"/>
  <c r="EY4" i="12"/>
  <c r="AA4" i="12"/>
  <c r="BY5" i="11"/>
  <c r="M5" i="11"/>
  <c r="CY4" i="11"/>
  <c r="AM4" i="11"/>
  <c r="DP5" i="13"/>
  <c r="T5" i="13"/>
  <c r="DD4" i="13"/>
  <c r="AI4" i="13"/>
  <c r="DX5" i="12"/>
  <c r="BH5" i="12"/>
  <c r="FF4" i="12"/>
  <c r="CT4" i="12"/>
  <c r="AH4" i="12"/>
  <c r="DT5" i="11"/>
  <c r="BH5" i="11"/>
  <c r="ET4" i="11"/>
  <c r="CH4" i="11"/>
  <c r="V4" i="11"/>
  <c r="DJ5" i="10"/>
  <c r="AX5" i="10"/>
  <c r="DD5" i="13"/>
  <c r="G5" i="13"/>
  <c r="CT4" i="13"/>
  <c r="Y4" i="13"/>
  <c r="DM5" i="12"/>
  <c r="AY5" i="12"/>
  <c r="EW4" i="12"/>
  <c r="CK4" i="12"/>
  <c r="Y4" i="12"/>
  <c r="DC5" i="11"/>
  <c r="AQ5" i="11"/>
  <c r="EC4" i="11"/>
  <c r="BQ4" i="11"/>
  <c r="E4" i="11"/>
  <c r="CS5" i="10"/>
  <c r="FH5" i="13"/>
  <c r="BB5" i="13"/>
  <c r="EC4" i="13"/>
  <c r="BH4" i="13"/>
  <c r="EW5" i="12"/>
  <c r="CD5" i="12"/>
  <c r="R5" i="12"/>
  <c r="DP4" i="12"/>
  <c r="BD4" i="12"/>
  <c r="EP5" i="11"/>
  <c r="CD5" i="11"/>
  <c r="R5" i="11"/>
  <c r="DD4" i="11"/>
  <c r="AR4" i="11"/>
  <c r="EF5" i="10"/>
  <c r="BT5" i="10"/>
  <c r="EM5" i="13"/>
  <c r="AM5" i="13"/>
  <c r="DS4" i="13"/>
  <c r="AX4" i="13"/>
  <c r="EM5" i="12"/>
  <c r="BU5" i="12"/>
  <c r="I5" i="12"/>
  <c r="DG4" i="12"/>
  <c r="AU4" i="12"/>
  <c r="EG5" i="11"/>
  <c r="BU5" i="11"/>
  <c r="I5" i="11"/>
  <c r="CU4" i="11"/>
  <c r="AI4" i="11"/>
  <c r="DW5" i="10"/>
  <c r="BK5" i="10"/>
  <c r="FD5" i="12"/>
  <c r="BF4" i="11"/>
  <c r="T5" i="10"/>
  <c r="DF4" i="10"/>
  <c r="AT4" i="10"/>
  <c r="EF5" i="9"/>
  <c r="BT5" i="9"/>
  <c r="H5" i="9"/>
  <c r="CT4" i="9"/>
  <c r="AH4" i="9"/>
  <c r="DT5" i="8"/>
  <c r="BH5" i="8"/>
  <c r="ET4" i="8"/>
  <c r="CH4" i="8"/>
  <c r="V4" i="8"/>
  <c r="DJ5" i="7"/>
  <c r="DN4" i="12"/>
  <c r="DK5" i="10"/>
  <c r="C5" i="10"/>
  <c r="CO4" i="10"/>
  <c r="AC4" i="10"/>
  <c r="DO5" i="9"/>
  <c r="BC5" i="9"/>
  <c r="EO4" i="9"/>
  <c r="CC4" i="9"/>
  <c r="Q4" i="9"/>
  <c r="CU5" i="8"/>
  <c r="AI5" i="8"/>
  <c r="DU4" i="8"/>
  <c r="BI4" i="8"/>
  <c r="EW5" i="7"/>
  <c r="AM4" i="13"/>
  <c r="P5" i="11"/>
  <c r="AL5" i="10"/>
  <c r="DT4" i="10"/>
  <c r="BH4" i="10"/>
  <c r="ET5" i="9"/>
  <c r="CH5" i="9"/>
  <c r="T4" i="15"/>
  <c r="DS4" i="15"/>
  <c r="BL5" i="15"/>
  <c r="N4" i="14"/>
  <c r="DE4" i="14"/>
  <c r="BF5" i="14"/>
  <c r="EU4" i="15"/>
  <c r="DJ5" i="13"/>
  <c r="CB5" i="14"/>
  <c r="BD4" i="13"/>
  <c r="BS5" i="14"/>
  <c r="BJ5" i="13"/>
  <c r="CI5" i="12"/>
  <c r="EU5" i="11"/>
  <c r="AW4" i="11"/>
  <c r="DO4" i="13"/>
  <c r="FH4" i="12"/>
  <c r="BJ5" i="11"/>
  <c r="CR5" i="13"/>
  <c r="DG5" i="12"/>
  <c r="EQ4" i="12"/>
  <c r="S4" i="12"/>
  <c r="BQ5" i="11"/>
  <c r="E5" i="11"/>
  <c r="CQ4" i="11"/>
  <c r="AE4" i="11"/>
  <c r="DE5" i="13"/>
  <c r="H5" i="13"/>
  <c r="CU4" i="13"/>
  <c r="Z4" i="13"/>
  <c r="DO5" i="12"/>
  <c r="AZ5" i="12"/>
  <c r="EX4" i="12"/>
  <c r="CL4" i="12"/>
  <c r="Z4" i="12"/>
  <c r="DL5" i="11"/>
  <c r="AZ5" i="11"/>
  <c r="EL4" i="11"/>
  <c r="BZ4" i="11"/>
  <c r="N4" i="11"/>
  <c r="DB5" i="10"/>
  <c r="AP5" i="10"/>
  <c r="CP5" i="13"/>
  <c r="FH4" i="13"/>
  <c r="CK4" i="13"/>
  <c r="O4" i="13"/>
  <c r="DD5" i="12"/>
  <c r="AQ5" i="12"/>
  <c r="EO4" i="12"/>
  <c r="CC4" i="12"/>
  <c r="Q4" i="12"/>
  <c r="CU5" i="11"/>
  <c r="AI5" i="11"/>
  <c r="DU4" i="11"/>
  <c r="BI4" i="11"/>
  <c r="EW5" i="10"/>
  <c r="CK5" i="10"/>
  <c r="ER5" i="13"/>
  <c r="AN5" i="13"/>
  <c r="DT4" i="13"/>
  <c r="AY4" i="13"/>
  <c r="EN5" i="12"/>
  <c r="BV5" i="12"/>
  <c r="J5" i="12"/>
  <c r="DH4" i="12"/>
  <c r="AV4" i="12"/>
  <c r="EH5" i="11"/>
  <c r="BV5" i="11"/>
  <c r="J5" i="11"/>
  <c r="CV4" i="11"/>
  <c r="AJ4" i="11"/>
  <c r="DX5" i="10"/>
  <c r="BL5" i="10"/>
  <c r="DX5" i="13"/>
  <c r="AB5" i="13"/>
  <c r="DJ4" i="13"/>
  <c r="AO4" i="13"/>
  <c r="EC5" i="12"/>
  <c r="BM5" i="12"/>
  <c r="A5" i="12"/>
  <c r="CY4" i="12"/>
  <c r="AM4" i="12"/>
  <c r="DY5" i="11"/>
  <c r="BM5" i="11"/>
  <c r="A5" i="11"/>
  <c r="CM4" i="11"/>
  <c r="AA4" i="11"/>
  <c r="DO5" i="10"/>
  <c r="BC5" i="10"/>
  <c r="CJ5" i="12"/>
  <c r="EI5" i="10"/>
  <c r="L5" i="10"/>
  <c r="CX4" i="10"/>
  <c r="AL4" i="10"/>
  <c r="DX5" i="9"/>
  <c r="BL5" i="9"/>
  <c r="EX4" i="9"/>
  <c r="CL4" i="9"/>
  <c r="Z4" i="9"/>
  <c r="DL5" i="8"/>
  <c r="AZ5" i="8"/>
  <c r="EL4" i="8"/>
  <c r="BZ4" i="8"/>
  <c r="N4" i="8"/>
  <c r="EL5" i="13"/>
  <c r="BB4" i="12"/>
  <c r="CN5" i="10"/>
  <c r="ES4" i="10"/>
  <c r="CG4" i="10"/>
  <c r="U4" i="10"/>
  <c r="DG5" i="9"/>
  <c r="AU5" i="9"/>
  <c r="EG4" i="9"/>
  <c r="BU4" i="9"/>
  <c r="I4" i="9"/>
  <c r="CM5" i="8"/>
  <c r="AA5" i="8"/>
  <c r="DM4" i="8"/>
  <c r="BA4" i="8"/>
  <c r="EO5" i="7"/>
  <c r="EK5" i="12"/>
  <c r="DB4" i="11"/>
  <c r="AB5" i="10"/>
  <c r="DL4" i="10"/>
  <c r="AZ4" i="10"/>
  <c r="EL5" i="9"/>
  <c r="BZ5" i="9"/>
  <c r="DF5" i="14"/>
  <c r="BG4" i="15"/>
  <c r="EX4" i="15"/>
  <c r="CY5" i="15"/>
  <c r="AS4" i="14"/>
  <c r="ER4" i="14"/>
  <c r="CI4" i="15"/>
  <c r="AX5" i="13"/>
  <c r="P5" i="14"/>
  <c r="FB5" i="12"/>
  <c r="G5" i="14"/>
  <c r="ER4" i="13"/>
  <c r="AE5" i="12"/>
  <c r="CQ5" i="11"/>
  <c r="EK5" i="10"/>
  <c r="BC4" i="13"/>
  <c r="DD4" i="12"/>
  <c r="F5" i="11"/>
  <c r="K5" i="13"/>
  <c r="CW5" i="12"/>
  <c r="EI4" i="12"/>
  <c r="K4" i="12"/>
  <c r="BI5" i="11"/>
  <c r="EU4" i="11"/>
  <c r="CI4" i="11"/>
  <c r="W4" i="11"/>
  <c r="CQ5" i="13"/>
  <c r="FI4" i="13"/>
  <c r="CL4" i="13"/>
  <c r="Q4" i="13"/>
  <c r="DE5" i="12"/>
  <c r="AR5" i="12"/>
  <c r="EP4" i="12"/>
  <c r="CD4" i="12"/>
  <c r="R4" i="12"/>
  <c r="DD5" i="11"/>
  <c r="AR5" i="11"/>
  <c r="ED4" i="11"/>
  <c r="BR4" i="11"/>
  <c r="F4" i="11"/>
  <c r="CT5" i="10"/>
  <c r="AH5" i="10"/>
  <c r="CB5" i="13"/>
  <c r="EX4" i="13"/>
  <c r="CA4" i="13"/>
  <c r="F4" i="13"/>
  <c r="CU5" i="12"/>
  <c r="AI5" i="12"/>
  <c r="EG4" i="12"/>
  <c r="BU4" i="12"/>
  <c r="I4" i="12"/>
  <c r="CM5" i="11"/>
  <c r="AA5" i="11"/>
  <c r="DM4" i="11"/>
  <c r="BA4" i="11"/>
  <c r="EO5" i="10"/>
  <c r="CC5" i="10"/>
  <c r="EB5" i="13"/>
  <c r="AC5" i="13"/>
  <c r="DK4" i="13"/>
  <c r="AP4" i="13"/>
  <c r="EE5" i="12"/>
  <c r="BN5" i="12"/>
  <c r="B5" i="12"/>
  <c r="CZ4" i="12"/>
  <c r="AN4" i="12"/>
  <c r="DZ5" i="11"/>
  <c r="BN5" i="11"/>
  <c r="B5" i="11"/>
  <c r="CN4" i="11"/>
  <c r="AB4" i="11"/>
  <c r="DP5" i="10"/>
  <c r="BD5" i="10"/>
  <c r="DM5" i="13"/>
  <c r="O5" i="13"/>
  <c r="DA4" i="13"/>
  <c r="AE4" i="13"/>
  <c r="DT5" i="12"/>
  <c r="BE5" i="12"/>
  <c r="FC4" i="12"/>
  <c r="CQ4" i="12"/>
  <c r="AE4" i="12"/>
  <c r="DQ5" i="11"/>
  <c r="BE5" i="11"/>
  <c r="EQ4" i="11"/>
  <c r="CE4" i="11"/>
  <c r="S4" i="11"/>
  <c r="DG5" i="10"/>
  <c r="AU5" i="10"/>
  <c r="X5" i="12"/>
  <c r="DL5" i="10"/>
  <c r="D5" i="10"/>
  <c r="CP4" i="10"/>
  <c r="AD4" i="10"/>
  <c r="DP5" i="9"/>
  <c r="BD5" i="9"/>
  <c r="EP4" i="9"/>
  <c r="CD4" i="9"/>
  <c r="R4" i="9"/>
  <c r="DD5" i="8"/>
  <c r="AR5" i="8"/>
  <c r="ED4" i="8"/>
  <c r="BR4" i="8"/>
  <c r="F4" i="8"/>
  <c r="AL5" i="13"/>
  <c r="EV5" i="11"/>
  <c r="BW5" i="10"/>
  <c r="EK4" i="10"/>
  <c r="BY4" i="10"/>
  <c r="M4" i="10"/>
  <c r="CY5" i="9"/>
  <c r="AM5" i="9"/>
  <c r="DY4" i="9"/>
  <c r="BM4" i="9"/>
  <c r="EQ5" i="8"/>
  <c r="CE5" i="8"/>
  <c r="S5" i="8"/>
  <c r="DE4" i="8"/>
  <c r="AS4" i="8"/>
  <c r="EG5" i="7"/>
  <c r="BT5" i="12"/>
  <c r="AP4" i="11"/>
  <c r="R5" i="10"/>
  <c r="DD4" i="10"/>
  <c r="AR4" i="10"/>
  <c r="ED5" i="9"/>
  <c r="BR5" i="9"/>
  <c r="AT5" i="14"/>
  <c r="ES5" i="14"/>
  <c r="CL4" i="15"/>
  <c r="AM5" i="15"/>
  <c r="ED5" i="15"/>
  <c r="CF4" i="14"/>
  <c r="W4" i="15"/>
  <c r="EW4" i="13"/>
  <c r="DB4" i="14"/>
  <c r="EQ5" i="15"/>
  <c r="CS4" i="14"/>
  <c r="EI4" i="13"/>
  <c r="W5" i="12"/>
  <c r="CI5" i="11"/>
  <c r="EC5" i="10"/>
  <c r="AT4" i="13"/>
  <c r="CV4" i="12"/>
  <c r="EV4" i="11"/>
  <c r="FJ4" i="13"/>
  <c r="CO5" i="12"/>
  <c r="EA4" i="12"/>
  <c r="C4" i="12"/>
  <c r="BA5" i="11"/>
  <c r="EM4" i="11"/>
  <c r="CA4" i="11"/>
  <c r="O4" i="11"/>
  <c r="CF5" i="13"/>
  <c r="EY4" i="13"/>
  <c r="CC4" i="13"/>
  <c r="G4" i="13"/>
  <c r="CV5" i="12"/>
  <c r="AJ5" i="12"/>
  <c r="EH4" i="12"/>
  <c r="BV4" i="12"/>
  <c r="J4" i="12"/>
  <c r="CV5" i="11"/>
  <c r="AJ5" i="11"/>
  <c r="DV4" i="11"/>
  <c r="BJ4" i="11"/>
  <c r="EX5" i="10"/>
  <c r="CL5" i="10"/>
  <c r="Z5" i="10"/>
  <c r="BQ5" i="13"/>
  <c r="EM4" i="13"/>
  <c r="BR4" i="13"/>
  <c r="FG5" i="12"/>
  <c r="CM5" i="12"/>
  <c r="AA5" i="12"/>
  <c r="DY4" i="12"/>
  <c r="BM4" i="12"/>
  <c r="EQ5" i="11"/>
  <c r="CE5" i="11"/>
  <c r="S5" i="11"/>
  <c r="DE4" i="11"/>
  <c r="AS4" i="11"/>
  <c r="EG5" i="10"/>
  <c r="BU5" i="10"/>
  <c r="DN5" i="13"/>
  <c r="P5" i="13"/>
  <c r="DB4" i="13"/>
  <c r="AG4" i="13"/>
  <c r="DU5" i="12"/>
  <c r="BF5" i="12"/>
  <c r="FD4" i="12"/>
  <c r="CR4" i="12"/>
  <c r="AF4" i="12"/>
  <c r="DR5" i="11"/>
  <c r="BF5" i="11"/>
  <c r="ER4" i="11"/>
  <c r="CF4" i="11"/>
  <c r="T4" i="11"/>
  <c r="DH5" i="10"/>
  <c r="AV5" i="10"/>
  <c r="CY5" i="13"/>
  <c r="E5" i="13"/>
  <c r="CQ4" i="13"/>
  <c r="V4" i="13"/>
  <c r="DK5" i="12"/>
  <c r="AW5" i="12"/>
  <c r="EU4" i="12"/>
  <c r="CI4" i="12"/>
  <c r="W4" i="12"/>
  <c r="DI5" i="11"/>
  <c r="AW5" i="11"/>
  <c r="EI4" i="11"/>
  <c r="BW4" i="11"/>
  <c r="K4" i="11"/>
  <c r="CY5" i="10"/>
  <c r="AM5" i="10"/>
  <c r="DV4" i="12"/>
  <c r="CP5" i="10"/>
  <c r="ET4" i="10"/>
  <c r="CH4" i="10"/>
  <c r="V4" i="10"/>
  <c r="DH5" i="9"/>
  <c r="AV5" i="9"/>
  <c r="EH4" i="9"/>
  <c r="BV4" i="9"/>
  <c r="J4" i="9"/>
  <c r="CV5" i="8"/>
  <c r="AJ5" i="8"/>
  <c r="DV4" i="8"/>
  <c r="BJ4" i="8"/>
  <c r="EX5" i="7"/>
  <c r="DR4" i="13"/>
  <c r="CJ5" i="11"/>
  <c r="BG5" i="10"/>
  <c r="EC4" i="10"/>
  <c r="BQ4" i="10"/>
  <c r="E4" i="10"/>
  <c r="CQ5" i="9"/>
  <c r="AE5" i="9"/>
  <c r="DQ4" i="9"/>
  <c r="BE4" i="9"/>
  <c r="EI5" i="8"/>
  <c r="BW5" i="8"/>
  <c r="K5" i="8"/>
  <c r="CW4" i="8"/>
  <c r="AK4" i="8"/>
  <c r="DY5" i="7"/>
  <c r="H5" i="12"/>
  <c r="EB5" i="10"/>
  <c r="J5" i="10"/>
  <c r="CV4" i="10"/>
  <c r="AJ4" i="10"/>
  <c r="DV5" i="9"/>
  <c r="BJ5" i="9"/>
  <c r="EF4" i="14"/>
  <c r="CG5" i="14"/>
  <c r="Z4" i="15"/>
  <c r="DY4" i="15"/>
  <c r="BR5" i="15"/>
  <c r="T4" i="14"/>
  <c r="DI5" i="14"/>
  <c r="CN5" i="15"/>
  <c r="AP4" i="14"/>
  <c r="CE5" i="15"/>
  <c r="AO4" i="14"/>
  <c r="BW4" i="13"/>
  <c r="EC4" i="12"/>
  <c r="AE5" i="11"/>
  <c r="EZ5" i="13"/>
  <c r="EI5" i="12"/>
  <c r="AR4" i="12"/>
  <c r="CR4" i="11"/>
  <c r="CV4" i="13"/>
  <c r="BA5" i="12"/>
  <c r="CM4" i="12"/>
  <c r="DM5" i="11"/>
  <c r="AS5" i="11"/>
  <c r="EE4" i="11"/>
  <c r="BS4" i="11"/>
  <c r="G4" i="11"/>
  <c r="BR5" i="13"/>
  <c r="EO4" i="13"/>
  <c r="BS4" i="13"/>
  <c r="FH5" i="12"/>
  <c r="CN5" i="12"/>
  <c r="AB5" i="12"/>
  <c r="DZ4" i="12"/>
  <c r="BN4" i="12"/>
  <c r="B4" i="12"/>
  <c r="CN5" i="11"/>
  <c r="AB5" i="11"/>
  <c r="DN4" i="11"/>
  <c r="BB4" i="11"/>
  <c r="EP5" i="10"/>
  <c r="CD5" i="10"/>
  <c r="FI5" i="13"/>
  <c r="BC5" i="13"/>
  <c r="ED4" i="13"/>
  <c r="BI4" i="13"/>
  <c r="EX5" i="12"/>
  <c r="CE5" i="12"/>
  <c r="S5" i="12"/>
  <c r="DQ4" i="12"/>
  <c r="BE4" i="12"/>
  <c r="EI5" i="11"/>
  <c r="BW5" i="11"/>
  <c r="K5" i="11"/>
  <c r="CW4" i="11"/>
  <c r="AK4" i="11"/>
  <c r="DY5" i="10"/>
  <c r="BM5" i="10"/>
  <c r="CZ5" i="13"/>
  <c r="F5" i="13"/>
  <c r="CS4" i="13"/>
  <c r="W4" i="13"/>
  <c r="DL5" i="12"/>
  <c r="AX5" i="12"/>
  <c r="EV4" i="12"/>
  <c r="CJ4" i="12"/>
  <c r="X4" i="12"/>
  <c r="DJ5" i="11"/>
  <c r="AX5" i="11"/>
  <c r="EJ4" i="11"/>
  <c r="BX4" i="11"/>
  <c r="L4" i="11"/>
  <c r="CZ5" i="10"/>
  <c r="AN5" i="10"/>
  <c r="CN5" i="13"/>
  <c r="FF4" i="13"/>
  <c r="CH4" i="13"/>
  <c r="M4" i="13"/>
  <c r="DB5" i="12"/>
  <c r="AO5" i="12"/>
  <c r="EM4" i="12"/>
  <c r="CA4" i="12"/>
  <c r="O4" i="12"/>
  <c r="DA5" i="11"/>
  <c r="AO5" i="11"/>
  <c r="EA4" i="11"/>
  <c r="BO4" i="11"/>
  <c r="C4" i="11"/>
  <c r="CQ5" i="10"/>
  <c r="FB5" i="13"/>
  <c r="BJ4" i="12"/>
  <c r="BX5" i="10"/>
  <c r="EL4" i="10"/>
  <c r="BZ4" i="10"/>
  <c r="N4" i="10"/>
  <c r="CZ5" i="9"/>
  <c r="AN5" i="9"/>
  <c r="DZ4" i="9"/>
  <c r="BN4" i="9"/>
  <c r="B4" i="9"/>
  <c r="CN5" i="8"/>
  <c r="AB5" i="8"/>
  <c r="DN4" i="8"/>
  <c r="BB4" i="8"/>
  <c r="EP5" i="7"/>
  <c r="AW4" i="13"/>
  <c r="X5" i="11"/>
  <c r="AQ5" i="10"/>
  <c r="DU4" i="10"/>
  <c r="BI4" i="10"/>
  <c r="EU5" i="9"/>
  <c r="CI5" i="9"/>
  <c r="W5" i="9"/>
  <c r="DI4" i="9"/>
  <c r="AW4" i="9"/>
  <c r="EA5" i="8"/>
  <c r="BO5" i="8"/>
  <c r="C5" i="8"/>
  <c r="CO4" i="8"/>
  <c r="AC4" i="8"/>
  <c r="DQ5" i="7"/>
  <c r="DF4" i="12"/>
  <c r="DF5" i="10"/>
  <c r="B5" i="10"/>
  <c r="CN4" i="10"/>
  <c r="AB4" i="10"/>
  <c r="DN5" i="9"/>
  <c r="BB5" i="9"/>
  <c r="BT4" i="14"/>
  <c r="U5" i="14"/>
  <c r="DL5" i="14"/>
  <c r="BM4" i="15"/>
  <c r="F5" i="15"/>
  <c r="DS5" i="13"/>
  <c r="AW5" i="14"/>
  <c r="AB5" i="15"/>
  <c r="EO5" i="13"/>
  <c r="S5" i="15"/>
  <c r="AG4" i="14"/>
  <c r="BN4" i="13"/>
  <c r="DU4" i="12"/>
  <c r="W5" i="11"/>
  <c r="EJ5" i="13"/>
  <c r="DZ5" i="12"/>
  <c r="AJ4" i="12"/>
  <c r="CJ4" i="11"/>
  <c r="CM4" i="13"/>
  <c r="AS5" i="12"/>
  <c r="CE4" i="12"/>
  <c r="DE5" i="11"/>
  <c r="AK5" i="11"/>
  <c r="DW4" i="11"/>
  <c r="BK4" i="11"/>
  <c r="FJ5" i="13"/>
  <c r="BD5" i="13"/>
  <c r="EE4" i="13"/>
  <c r="BJ4" i="13"/>
  <c r="EY5" i="12"/>
  <c r="CF5" i="12"/>
  <c r="T5" i="12"/>
  <c r="DR4" i="12"/>
  <c r="BF4" i="12"/>
  <c r="ER5" i="11"/>
  <c r="CF5" i="11"/>
  <c r="T5" i="11"/>
  <c r="DF4" i="11"/>
  <c r="AT4" i="11"/>
  <c r="EH5" i="10"/>
  <c r="BV5" i="10"/>
  <c r="ES5" i="13"/>
  <c r="AR5" i="13"/>
  <c r="DU4" i="13"/>
  <c r="AZ4" i="13"/>
  <c r="EO5" i="12"/>
  <c r="BW5" i="12"/>
  <c r="K5" i="12"/>
  <c r="DI4" i="12"/>
  <c r="AW4" i="12"/>
  <c r="EA5" i="11"/>
  <c r="BO5" i="11"/>
  <c r="C5" i="11"/>
  <c r="CO4" i="11"/>
  <c r="AC4" i="11"/>
  <c r="DQ5" i="10"/>
  <c r="BE5" i="10"/>
  <c r="CO5" i="13"/>
  <c r="FG4" i="13"/>
  <c r="CI4" i="13"/>
  <c r="N4" i="13"/>
  <c r="DC5" i="12"/>
  <c r="AP5" i="12"/>
  <c r="EN4" i="12"/>
  <c r="CB4" i="12"/>
  <c r="P4" i="12"/>
  <c r="DB5" i="11"/>
  <c r="AP5" i="11"/>
  <c r="EB4" i="11"/>
  <c r="BP4" i="11"/>
  <c r="D4" i="11"/>
  <c r="CR5" i="10"/>
  <c r="AF5" i="10"/>
  <c r="BZ5" i="13"/>
  <c r="ET4" i="13"/>
  <c r="BY4" i="13"/>
  <c r="D4" i="13"/>
  <c r="CS5" i="12"/>
  <c r="AG5" i="12"/>
  <c r="EE4" i="12"/>
  <c r="BS4" i="12"/>
  <c r="G4" i="12"/>
  <c r="CS5" i="11"/>
  <c r="AG5" i="11"/>
  <c r="DS4" i="11"/>
  <c r="BG4" i="11"/>
  <c r="EU5" i="10"/>
  <c r="CI5" i="10"/>
  <c r="AZ5" i="13"/>
  <c r="CR5" i="11"/>
  <c r="BH5" i="10"/>
  <c r="ED4" i="10"/>
  <c r="BR4" i="10"/>
  <c r="F4" i="10"/>
  <c r="CR5" i="9"/>
  <c r="AF5" i="9"/>
  <c r="DR4" i="9"/>
  <c r="BF4" i="9"/>
  <c r="ER5" i="8"/>
  <c r="CF5" i="8"/>
  <c r="T5" i="8"/>
  <c r="DF4" i="8"/>
  <c r="AT4" i="8"/>
  <c r="EH5" i="7"/>
  <c r="EU5" i="12"/>
  <c r="DJ4" i="11"/>
  <c r="AC5" i="10"/>
  <c r="DM4" i="10"/>
  <c r="BA4" i="10"/>
  <c r="EM5" i="9"/>
  <c r="CA5" i="9"/>
  <c r="O5" i="9"/>
  <c r="DA4" i="9"/>
  <c r="AO4" i="9"/>
  <c r="DS5" i="8"/>
  <c r="BG5" i="8"/>
  <c r="ES4" i="8"/>
  <c r="CG4" i="8"/>
  <c r="U4" i="8"/>
  <c r="DW5" i="13"/>
  <c r="AT4" i="12"/>
  <c r="CM5" i="10"/>
  <c r="ER4" i="10"/>
  <c r="CF4" i="10"/>
  <c r="T4" i="10"/>
  <c r="DF5" i="9"/>
  <c r="AT5" i="9"/>
  <c r="AL5" i="9"/>
  <c r="DX4" i="9"/>
  <c r="BL4" i="9"/>
  <c r="EX5" i="8"/>
  <c r="CL5" i="8"/>
  <c r="Z5" i="8"/>
  <c r="DL4" i="8"/>
  <c r="AZ4" i="8"/>
  <c r="EN5" i="7"/>
  <c r="AD4" i="13"/>
  <c r="H5" i="11"/>
  <c r="BA5" i="10"/>
  <c r="EA4" i="10"/>
  <c r="BO4" i="10"/>
  <c r="C4" i="10"/>
  <c r="CO5" i="9"/>
  <c r="AC5" i="9"/>
  <c r="DO4" i="9"/>
  <c r="BC4" i="9"/>
  <c r="EO5" i="8"/>
  <c r="CC5" i="8"/>
  <c r="Q5" i="8"/>
  <c r="DC4" i="8"/>
  <c r="AQ4" i="8"/>
  <c r="EE5" i="7"/>
  <c r="DS5" i="12"/>
  <c r="CL4" i="11"/>
  <c r="AJ5" i="10"/>
  <c r="DR4" i="10"/>
  <c r="BF4" i="10"/>
  <c r="ER5" i="9"/>
  <c r="CF5" i="9"/>
  <c r="T5" i="9"/>
  <c r="DF4" i="9"/>
  <c r="AT4" i="9"/>
  <c r="EF5" i="8"/>
  <c r="BT5" i="8"/>
  <c r="H5" i="8"/>
  <c r="CT4" i="8"/>
  <c r="AH4" i="8"/>
  <c r="DV5" i="7"/>
  <c r="AV5" i="12"/>
  <c r="R4" i="11"/>
  <c r="W5" i="10"/>
  <c r="DI4" i="10"/>
  <c r="AW4" i="10"/>
  <c r="EA5" i="9"/>
  <c r="BO5" i="9"/>
  <c r="C5" i="9"/>
  <c r="CO4" i="9"/>
  <c r="AC4" i="9"/>
  <c r="DO5" i="8"/>
  <c r="BC5" i="8"/>
  <c r="EO4" i="8"/>
  <c r="CC4" i="8"/>
  <c r="BY5" i="13"/>
  <c r="N4" i="12"/>
  <c r="CV5" i="10"/>
  <c r="EV4" i="10"/>
  <c r="BO4" i="13"/>
  <c r="DZ4" i="11"/>
  <c r="AS5" i="10"/>
  <c r="DW4" i="10"/>
  <c r="BK4" i="10"/>
  <c r="EW5" i="9"/>
  <c r="CK5" i="9"/>
  <c r="Y5" i="9"/>
  <c r="DK4" i="9"/>
  <c r="AY4" i="9"/>
  <c r="EK5" i="8"/>
  <c r="BY5" i="8"/>
  <c r="M5" i="8"/>
  <c r="CY4" i="8"/>
  <c r="AM4" i="8"/>
  <c r="DZ5" i="9"/>
  <c r="CJ4" i="8"/>
  <c r="BX5" i="7"/>
  <c r="L5" i="7"/>
  <c r="CX4" i="7"/>
  <c r="AL4" i="7"/>
  <c r="DX5" i="6"/>
  <c r="BL5" i="6"/>
  <c r="EX4" i="6"/>
  <c r="CL4" i="6"/>
  <c r="Z4" i="6"/>
  <c r="DN5" i="5"/>
  <c r="BB5" i="5"/>
  <c r="EN4" i="5"/>
  <c r="CB4" i="5"/>
  <c r="P4" i="5"/>
  <c r="T4" i="9"/>
  <c r="DC5" i="7"/>
  <c r="AQ5" i="7"/>
  <c r="EC4" i="7"/>
  <c r="BQ4" i="7"/>
  <c r="E4" i="7"/>
  <c r="CQ5" i="6"/>
  <c r="AE5" i="6"/>
  <c r="DQ4" i="6"/>
  <c r="BE4" i="6"/>
  <c r="EK5" i="5"/>
  <c r="BY5" i="5"/>
  <c r="M5" i="5"/>
  <c r="CY4" i="5"/>
  <c r="AM4" i="5"/>
  <c r="AX5" i="9"/>
  <c r="P4" i="8"/>
  <c r="BN5" i="7"/>
  <c r="B5" i="7"/>
  <c r="CN4" i="7"/>
  <c r="AB4" i="7"/>
  <c r="DN5" i="6"/>
  <c r="BB5" i="6"/>
  <c r="EN4" i="6"/>
  <c r="CB4" i="6"/>
  <c r="P4" i="6"/>
  <c r="CV5" i="5"/>
  <c r="AJ5" i="5"/>
  <c r="DV4" i="5"/>
  <c r="BJ4" i="5"/>
  <c r="ER5" i="4"/>
  <c r="BP4" i="9"/>
  <c r="DM5" i="7"/>
  <c r="AW5" i="7"/>
  <c r="EI4" i="7"/>
  <c r="BW4" i="7"/>
  <c r="K4" i="7"/>
  <c r="AD5" i="9"/>
  <c r="DP4" i="9"/>
  <c r="BD4" i="9"/>
  <c r="EP5" i="8"/>
  <c r="CD5" i="8"/>
  <c r="R5" i="8"/>
  <c r="DD4" i="8"/>
  <c r="AR4" i="8"/>
  <c r="EF5" i="7"/>
  <c r="EB5" i="12"/>
  <c r="CT4" i="11"/>
  <c r="AK5" i="10"/>
  <c r="DS4" i="10"/>
  <c r="BG4" i="10"/>
  <c r="ES5" i="9"/>
  <c r="CG5" i="9"/>
  <c r="U5" i="9"/>
  <c r="DG4" i="9"/>
  <c r="AU4" i="9"/>
  <c r="EG5" i="8"/>
  <c r="BU5" i="8"/>
  <c r="I5" i="8"/>
  <c r="CU4" i="8"/>
  <c r="AI4" i="8"/>
  <c r="DW5" i="7"/>
  <c r="BD5" i="12"/>
  <c r="Z4" i="11"/>
  <c r="Y5" i="10"/>
  <c r="DJ4" i="10"/>
  <c r="AX4" i="10"/>
  <c r="EJ5" i="9"/>
  <c r="BX5" i="9"/>
  <c r="L5" i="9"/>
  <c r="CX4" i="9"/>
  <c r="AL4" i="9"/>
  <c r="DX5" i="8"/>
  <c r="BL5" i="8"/>
  <c r="EX4" i="8"/>
  <c r="CL4" i="8"/>
  <c r="Z4" i="8"/>
  <c r="DN5" i="7"/>
  <c r="ET4" i="12"/>
  <c r="EQ5" i="10"/>
  <c r="O5" i="10"/>
  <c r="DA4" i="10"/>
  <c r="AO4" i="10"/>
  <c r="DS5" i="9"/>
  <c r="BG5" i="9"/>
  <c r="ES4" i="9"/>
  <c r="CG4" i="9"/>
  <c r="U4" i="9"/>
  <c r="DG5" i="8"/>
  <c r="AU5" i="8"/>
  <c r="EG4" i="8"/>
  <c r="BU4" i="8"/>
  <c r="ES4" i="13"/>
  <c r="DH5" i="11"/>
  <c r="BZ5" i="10"/>
  <c r="EN4" i="10"/>
  <c r="CR5" i="12"/>
  <c r="BN4" i="11"/>
  <c r="AE5" i="10"/>
  <c r="DO4" i="10"/>
  <c r="BC4" i="10"/>
  <c r="EO5" i="9"/>
  <c r="CC5" i="9"/>
  <c r="Q5" i="9"/>
  <c r="DC4" i="9"/>
  <c r="AQ4" i="9"/>
  <c r="EC5" i="8"/>
  <c r="BQ5" i="8"/>
  <c r="E5" i="8"/>
  <c r="CQ4" i="8"/>
  <c r="AE4" i="8"/>
  <c r="BN5" i="9"/>
  <c r="X4" i="8"/>
  <c r="BP5" i="7"/>
  <c r="D5" i="7"/>
  <c r="CP4" i="7"/>
  <c r="AD4" i="7"/>
  <c r="DP5" i="6"/>
  <c r="BD5" i="6"/>
  <c r="EP4" i="6"/>
  <c r="CD4" i="6"/>
  <c r="R4" i="6"/>
  <c r="DF5" i="5"/>
  <c r="AT5" i="5"/>
  <c r="EF4" i="5"/>
  <c r="BT4" i="5"/>
  <c r="H4" i="5"/>
  <c r="DN5" i="8"/>
  <c r="CU5" i="7"/>
  <c r="AI5" i="7"/>
  <c r="DU4" i="7"/>
  <c r="BI4" i="7"/>
  <c r="EU5" i="6"/>
  <c r="CI5" i="6"/>
  <c r="W5" i="6"/>
  <c r="DI4" i="6"/>
  <c r="AW4" i="6"/>
  <c r="EC5" i="5"/>
  <c r="BQ5" i="5"/>
  <c r="E5" i="5"/>
  <c r="CQ4" i="5"/>
  <c r="AE4" i="5"/>
  <c r="EJ4" i="9"/>
  <c r="EK5" i="7"/>
  <c r="BF5" i="7"/>
  <c r="ER4" i="7"/>
  <c r="CF4" i="7"/>
  <c r="T4" i="7"/>
  <c r="DF5" i="6"/>
  <c r="AT5" i="6"/>
  <c r="EF4" i="6"/>
  <c r="BT4" i="6"/>
  <c r="H4" i="6"/>
  <c r="CN5" i="5"/>
  <c r="AB5" i="5"/>
  <c r="DN4" i="5"/>
  <c r="BB4" i="5"/>
  <c r="EJ5" i="4"/>
  <c r="D4" i="9"/>
  <c r="DA5" i="7"/>
  <c r="AO5" i="7"/>
  <c r="EA4" i="7"/>
  <c r="BO4" i="7"/>
  <c r="C4" i="7"/>
  <c r="V5" i="9"/>
  <c r="DH4" i="9"/>
  <c r="AV4" i="9"/>
  <c r="EH5" i="8"/>
  <c r="BV5" i="8"/>
  <c r="J5" i="8"/>
  <c r="CV4" i="8"/>
  <c r="AJ4" i="8"/>
  <c r="DX5" i="7"/>
  <c r="BL5" i="12"/>
  <c r="AH4" i="11"/>
  <c r="AA5" i="10"/>
  <c r="DK4" i="10"/>
  <c r="AY4" i="10"/>
  <c r="EK5" i="9"/>
  <c r="BY5" i="9"/>
  <c r="M5" i="9"/>
  <c r="CY4" i="9"/>
  <c r="AM4" i="9"/>
  <c r="DY5" i="8"/>
  <c r="BM5" i="8"/>
  <c r="A5" i="8"/>
  <c r="CM4" i="8"/>
  <c r="AA4" i="8"/>
  <c r="DO5" i="7"/>
  <c r="FB4" i="12"/>
  <c r="ER5" i="10"/>
  <c r="P5" i="10"/>
  <c r="DB4" i="10"/>
  <c r="AP4" i="10"/>
  <c r="EB5" i="9"/>
  <c r="BP5" i="9"/>
  <c r="D5" i="9"/>
  <c r="CP4" i="9"/>
  <c r="AD4" i="9"/>
  <c r="DP5" i="8"/>
  <c r="BD5" i="8"/>
  <c r="EP4" i="8"/>
  <c r="CD4" i="8"/>
  <c r="R4" i="8"/>
  <c r="DF5" i="7"/>
  <c r="CH4" i="12"/>
  <c r="DT5" i="10"/>
  <c r="G5" i="10"/>
  <c r="CS4" i="10"/>
  <c r="AG4" i="10"/>
  <c r="DK5" i="9"/>
  <c r="AY5" i="9"/>
  <c r="EK4" i="9"/>
  <c r="BY4" i="9"/>
  <c r="M4" i="9"/>
  <c r="CY5" i="8"/>
  <c r="AM5" i="8"/>
  <c r="DY4" i="8"/>
  <c r="BM4" i="8"/>
  <c r="BX4" i="13"/>
  <c r="AV5" i="11"/>
  <c r="BJ5" i="10"/>
  <c r="EF4" i="10"/>
  <c r="AF5" i="12"/>
  <c r="B4" i="11"/>
  <c r="U5" i="10"/>
  <c r="DG4" i="10"/>
  <c r="AU4" i="10"/>
  <c r="EG5" i="9"/>
  <c r="BU5" i="9"/>
  <c r="I5" i="9"/>
  <c r="CU4" i="9"/>
  <c r="AI4" i="9"/>
  <c r="DU5" i="8"/>
  <c r="BI5" i="8"/>
  <c r="EU4" i="8"/>
  <c r="CI4" i="8"/>
  <c r="W4" i="8"/>
  <c r="B5" i="9"/>
  <c r="ES5" i="7"/>
  <c r="BH5" i="7"/>
  <c r="ET4" i="7"/>
  <c r="CH4" i="7"/>
  <c r="V4" i="7"/>
  <c r="DH5" i="6"/>
  <c r="AV5" i="6"/>
  <c r="EH4" i="6"/>
  <c r="BV4" i="6"/>
  <c r="J4" i="6"/>
  <c r="CX5" i="5"/>
  <c r="AL5" i="5"/>
  <c r="DX4" i="5"/>
  <c r="BL4" i="5"/>
  <c r="CJ4" i="10"/>
  <c r="BB5" i="8"/>
  <c r="CM5" i="7"/>
  <c r="AA5" i="7"/>
  <c r="DM4" i="7"/>
  <c r="BA4" i="7"/>
  <c r="EM5" i="6"/>
  <c r="CA5" i="6"/>
  <c r="O5" i="6"/>
  <c r="DA4" i="6"/>
  <c r="AO4" i="6"/>
  <c r="DU5" i="5"/>
  <c r="BI5" i="5"/>
  <c r="EU4" i="5"/>
  <c r="CI4" i="5"/>
  <c r="W4" i="5"/>
  <c r="BX4" i="9"/>
  <c r="DS5" i="7"/>
  <c r="AX5" i="7"/>
  <c r="EJ4" i="7"/>
  <c r="BX4" i="7"/>
  <c r="L4" i="7"/>
  <c r="CX5" i="6"/>
  <c r="AL5" i="6"/>
  <c r="DX4" i="6"/>
  <c r="BL4" i="6"/>
  <c r="ER5" i="5"/>
  <c r="CF5" i="5"/>
  <c r="T5" i="5"/>
  <c r="DF4" i="5"/>
  <c r="AT4" i="5"/>
  <c r="EB5" i="4"/>
  <c r="CX5" i="8"/>
  <c r="CS5" i="7"/>
  <c r="AG5" i="7"/>
  <c r="DS4" i="7"/>
  <c r="BG4" i="7"/>
  <c r="ES5" i="6"/>
  <c r="N5" i="9"/>
  <c r="CZ4" i="9"/>
  <c r="AN4" i="9"/>
  <c r="DZ5" i="8"/>
  <c r="BN5" i="8"/>
  <c r="B5" i="8"/>
  <c r="CN4" i="8"/>
  <c r="AB4" i="8"/>
  <c r="DP5" i="7"/>
  <c r="FJ4" i="12"/>
  <c r="ET5" i="10"/>
  <c r="Q5" i="10"/>
  <c r="DC4" i="10"/>
  <c r="AQ4" i="10"/>
  <c r="EC5" i="9"/>
  <c r="BQ5" i="9"/>
  <c r="E5" i="9"/>
  <c r="CQ4" i="9"/>
  <c r="AE4" i="9"/>
  <c r="DQ5" i="8"/>
  <c r="BE5" i="8"/>
  <c r="EQ4" i="8"/>
  <c r="CE4" i="8"/>
  <c r="S4" i="8"/>
  <c r="DG5" i="7"/>
  <c r="CP4" i="12"/>
  <c r="DV5" i="10"/>
  <c r="H5" i="10"/>
  <c r="CT4" i="10"/>
  <c r="AH4" i="10"/>
  <c r="DT5" i="9"/>
  <c r="BH5" i="9"/>
  <c r="ET4" i="9"/>
  <c r="CH4" i="9"/>
  <c r="V4" i="9"/>
  <c r="DH5" i="8"/>
  <c r="AV5" i="8"/>
  <c r="EH4" i="8"/>
  <c r="BV4" i="8"/>
  <c r="J4" i="8"/>
  <c r="CJ5" i="13"/>
  <c r="V4" i="12"/>
  <c r="CX5" i="10"/>
  <c r="EW4" i="10"/>
  <c r="CK4" i="10"/>
  <c r="Y4" i="10"/>
  <c r="DC5" i="9"/>
  <c r="AQ5" i="9"/>
  <c r="EC4" i="9"/>
  <c r="BQ4" i="9"/>
  <c r="E4" i="9"/>
  <c r="CQ5" i="8"/>
  <c r="AE5" i="8"/>
  <c r="DQ4" i="8"/>
  <c r="BE4" i="8"/>
  <c r="C4" i="13"/>
  <c r="EH4" i="11"/>
  <c r="AT5" i="10"/>
  <c r="DX4" i="10"/>
  <c r="ED4" i="12"/>
  <c r="EJ5" i="10"/>
  <c r="M5" i="10"/>
  <c r="CY4" i="10"/>
  <c r="AM4" i="10"/>
  <c r="DY5" i="9"/>
  <c r="BM5" i="9"/>
  <c r="A5" i="9"/>
  <c r="CM4" i="9"/>
  <c r="AA4" i="9"/>
  <c r="DM5" i="8"/>
  <c r="BA5" i="8"/>
  <c r="EM4" i="8"/>
  <c r="CA4" i="8"/>
  <c r="O4" i="8"/>
  <c r="CN4" i="9"/>
  <c r="DU5" i="7"/>
  <c r="AZ5" i="7"/>
  <c r="EL4" i="7"/>
  <c r="BZ4" i="7"/>
  <c r="N4" i="7"/>
  <c r="CZ5" i="6"/>
  <c r="AN5" i="6"/>
  <c r="DZ4" i="6"/>
  <c r="BN4" i="6"/>
  <c r="B4" i="6"/>
  <c r="CP5" i="5"/>
  <c r="AD5" i="5"/>
  <c r="DP4" i="5"/>
  <c r="BD4" i="5"/>
  <c r="X4" i="10"/>
  <c r="EN4" i="8"/>
  <c r="CE5" i="7"/>
  <c r="S5" i="7"/>
  <c r="DE4" i="7"/>
  <c r="AS4" i="7"/>
  <c r="EE5" i="6"/>
  <c r="BS5" i="6"/>
  <c r="G5" i="6"/>
  <c r="CS4" i="6"/>
  <c r="AG4" i="6"/>
  <c r="DM5" i="5"/>
  <c r="BA5" i="5"/>
  <c r="EM4" i="5"/>
  <c r="CA4" i="5"/>
  <c r="O4" i="5"/>
  <c r="L4" i="9"/>
  <c r="DB5" i="7"/>
  <c r="AP5" i="7"/>
  <c r="EB4" i="7"/>
  <c r="BP4" i="7"/>
  <c r="D4" i="7"/>
  <c r="CP5" i="6"/>
  <c r="AD5" i="6"/>
  <c r="DP4" i="6"/>
  <c r="BD4" i="6"/>
  <c r="EJ5" i="5"/>
  <c r="BX5" i="5"/>
  <c r="L5" i="5"/>
  <c r="CX4" i="5"/>
  <c r="AL4" i="5"/>
  <c r="BT4" i="10"/>
  <c r="AL5" i="8"/>
  <c r="CK5" i="7"/>
  <c r="Y5" i="7"/>
  <c r="DK4" i="7"/>
  <c r="AY4" i="7"/>
  <c r="EK5" i="6"/>
  <c r="F5" i="9"/>
  <c r="CR4" i="9"/>
  <c r="AF4" i="9"/>
  <c r="DR5" i="8"/>
  <c r="BF5" i="8"/>
  <c r="ER4" i="8"/>
  <c r="CF4" i="8"/>
  <c r="T4" i="8"/>
  <c r="DH5" i="7"/>
  <c r="CX4" i="12"/>
  <c r="EA5" i="10"/>
  <c r="I5" i="10"/>
  <c r="CU4" i="10"/>
  <c r="AI4" i="10"/>
  <c r="DU5" i="9"/>
  <c r="BI5" i="9"/>
  <c r="EU4" i="9"/>
  <c r="CI4" i="9"/>
  <c r="W4" i="9"/>
  <c r="DI5" i="8"/>
  <c r="AW5" i="8"/>
  <c r="EI4" i="8"/>
  <c r="BW4" i="8"/>
  <c r="K4" i="8"/>
  <c r="CX5" i="13"/>
  <c r="AD4" i="12"/>
  <c r="DC5" i="10"/>
  <c r="EX4" i="10"/>
  <c r="CL4" i="10"/>
  <c r="Z4" i="10"/>
  <c r="DL5" i="9"/>
  <c r="AZ5" i="9"/>
  <c r="EL4" i="9"/>
  <c r="BZ4" i="9"/>
  <c r="N4" i="9"/>
  <c r="CZ5" i="8"/>
  <c r="AN5" i="8"/>
  <c r="DZ4" i="8"/>
  <c r="BN4" i="8"/>
  <c r="B4" i="8"/>
  <c r="FC4" i="13"/>
  <c r="DP5" i="11"/>
  <c r="CE5" i="10"/>
  <c r="EO4" i="10"/>
  <c r="CC4" i="10"/>
  <c r="Q4" i="10"/>
  <c r="CU5" i="9"/>
  <c r="AI5" i="9"/>
  <c r="DU4" i="9"/>
  <c r="BI4" i="9"/>
  <c r="EU5" i="8"/>
  <c r="CI5" i="8"/>
  <c r="W5" i="8"/>
  <c r="DI4" i="8"/>
  <c r="AW4" i="8"/>
  <c r="DA5" i="12"/>
  <c r="BV4" i="11"/>
  <c r="AG5" i="10"/>
  <c r="DP4" i="10"/>
  <c r="BR4" i="12"/>
  <c r="DN5" i="10"/>
  <c r="E5" i="10"/>
  <c r="CQ4" i="10"/>
  <c r="AE4" i="10"/>
  <c r="DQ5" i="9"/>
  <c r="BE5" i="9"/>
  <c r="EQ4" i="9"/>
  <c r="CE4" i="9"/>
  <c r="S4" i="9"/>
  <c r="DE5" i="8"/>
  <c r="AS5" i="8"/>
  <c r="EE4" i="8"/>
  <c r="BS4" i="8"/>
  <c r="G4" i="8"/>
  <c r="AB4" i="9"/>
  <c r="DD5" i="7"/>
  <c r="AR5" i="7"/>
  <c r="ED4" i="7"/>
  <c r="BR4" i="7"/>
  <c r="F4" i="7"/>
  <c r="CR5" i="6"/>
  <c r="AF5" i="6"/>
  <c r="DR4" i="6"/>
  <c r="BF4" i="6"/>
  <c r="ET5" i="5"/>
  <c r="CH5" i="5"/>
  <c r="V5" i="5"/>
  <c r="DH4" i="5"/>
  <c r="AV4" i="5"/>
  <c r="DR5" i="9"/>
  <c r="CB4" i="8"/>
  <c r="BW5" i="7"/>
  <c r="K5" i="7"/>
  <c r="CW4" i="7"/>
  <c r="AK4" i="7"/>
  <c r="DW5" i="6"/>
  <c r="BK5" i="6"/>
  <c r="EW4" i="6"/>
  <c r="CK4" i="6"/>
  <c r="Y4" i="6"/>
  <c r="DE5" i="5"/>
  <c r="AS5" i="5"/>
  <c r="EE4" i="5"/>
  <c r="BS4" i="5"/>
  <c r="G4" i="5"/>
  <c r="DF5" i="8"/>
  <c r="CT5" i="7"/>
  <c r="AH5" i="7"/>
  <c r="DT4" i="7"/>
  <c r="BH4" i="7"/>
  <c r="ET5" i="6"/>
  <c r="CH5" i="6"/>
  <c r="V5" i="6"/>
  <c r="DH4" i="6"/>
  <c r="AV4" i="6"/>
  <c r="EB5" i="5"/>
  <c r="BP5" i="5"/>
  <c r="D5" i="5"/>
  <c r="CP4" i="5"/>
  <c r="AD4" i="5"/>
  <c r="H4" i="10"/>
  <c r="DX4" i="8"/>
  <c r="CC5" i="7"/>
  <c r="Q5" i="7"/>
  <c r="DC4" i="7"/>
  <c r="AQ4" i="7"/>
  <c r="EC5" i="6"/>
  <c r="EV4" i="9"/>
  <c r="CJ4" i="9"/>
  <c r="X4" i="9"/>
  <c r="DJ5" i="8"/>
  <c r="AX5" i="8"/>
  <c r="EJ4" i="8"/>
  <c r="BX4" i="8"/>
  <c r="L4" i="8"/>
  <c r="DL5" i="13"/>
  <c r="AL4" i="12"/>
  <c r="DD5" i="10"/>
  <c r="A5" i="10"/>
  <c r="CM4" i="10"/>
  <c r="AA4" i="10"/>
  <c r="DM5" i="9"/>
  <c r="BA5" i="9"/>
  <c r="EM4" i="9"/>
  <c r="CA4" i="9"/>
  <c r="O4" i="9"/>
  <c r="DA5" i="8"/>
  <c r="AO5" i="8"/>
  <c r="EA4" i="8"/>
  <c r="BO4" i="8"/>
  <c r="C4" i="8"/>
  <c r="D5" i="13"/>
  <c r="DX5" i="11"/>
  <c r="CF5" i="10"/>
  <c r="EP4" i="10"/>
  <c r="CD4" i="10"/>
  <c r="R4" i="10"/>
  <c r="DD5" i="9"/>
  <c r="AR5" i="9"/>
  <c r="ED4" i="9"/>
  <c r="BR4" i="9"/>
  <c r="F4" i="9"/>
  <c r="CR5" i="8"/>
  <c r="AF5" i="8"/>
  <c r="DR4" i="8"/>
  <c r="BF4" i="8"/>
  <c r="ET5" i="7"/>
  <c r="CG4" i="13"/>
  <c r="BD5" i="11"/>
  <c r="BO5" i="10"/>
  <c r="EG4" i="10"/>
  <c r="BU4" i="10"/>
  <c r="I4" i="10"/>
  <c r="CM5" i="9"/>
  <c r="AA5" i="9"/>
  <c r="DM4" i="9"/>
  <c r="BA4" i="9"/>
  <c r="EM5" i="8"/>
  <c r="CA5" i="8"/>
  <c r="O5" i="8"/>
  <c r="DA4" i="8"/>
  <c r="AO4" i="8"/>
  <c r="AN5" i="12"/>
  <c r="J4" i="11"/>
  <c r="V5" i="10"/>
  <c r="DH4" i="10"/>
  <c r="F4" i="12"/>
  <c r="CU5" i="10"/>
  <c r="EU4" i="10"/>
  <c r="CI4" i="10"/>
  <c r="W4" i="10"/>
  <c r="DI5" i="9"/>
  <c r="AW5" i="9"/>
  <c r="EI4" i="9"/>
  <c r="BW4" i="9"/>
  <c r="K4" i="9"/>
  <c r="CW5" i="8"/>
  <c r="AK5" i="8"/>
  <c r="DW4" i="8"/>
  <c r="BK4" i="8"/>
  <c r="EQ5" i="7"/>
  <c r="DV5" i="8"/>
  <c r="CV5" i="7"/>
  <c r="AJ5" i="7"/>
  <c r="DV4" i="7"/>
  <c r="BJ4" i="7"/>
  <c r="EV5" i="6"/>
  <c r="CJ5" i="6"/>
  <c r="X5" i="6"/>
  <c r="DJ4" i="6"/>
  <c r="AX4" i="6"/>
  <c r="EL5" i="5"/>
  <c r="BZ5" i="5"/>
  <c r="N5" i="5"/>
  <c r="CZ4" i="5"/>
  <c r="AN4" i="5"/>
  <c r="BF5" i="9"/>
  <c r="Q4" i="8"/>
  <c r="BO5" i="7"/>
  <c r="C5" i="7"/>
  <c r="CO4" i="7"/>
  <c r="AC4" i="7"/>
  <c r="DO5" i="6"/>
  <c r="BC5" i="6"/>
  <c r="EO4" i="6"/>
  <c r="CC4" i="6"/>
  <c r="Q4" i="6"/>
  <c r="CW5" i="5"/>
  <c r="AK5" i="5"/>
  <c r="DW4" i="5"/>
  <c r="BK4" i="5"/>
  <c r="CB4" i="10"/>
  <c r="AT5" i="8"/>
  <c r="CL5" i="7"/>
  <c r="Z5" i="7"/>
  <c r="DL4" i="7"/>
  <c r="AZ4" i="7"/>
  <c r="EL5" i="6"/>
  <c r="BZ5" i="6"/>
  <c r="N5" i="6"/>
  <c r="CZ4" i="6"/>
  <c r="AN4" i="6"/>
  <c r="DT5" i="5"/>
  <c r="BH5" i="5"/>
  <c r="ET4" i="5"/>
  <c r="CH4" i="5"/>
  <c r="V4" i="5"/>
  <c r="DB5" i="9"/>
  <c r="BL4" i="8"/>
  <c r="BU5" i="7"/>
  <c r="I5" i="7"/>
  <c r="CU4" i="7"/>
  <c r="AI4" i="7"/>
  <c r="DU5" i="6"/>
  <c r="EN4" i="9"/>
  <c r="CB4" i="9"/>
  <c r="P4" i="9"/>
  <c r="DB5" i="8"/>
  <c r="AP5" i="8"/>
  <c r="EB4" i="8"/>
  <c r="BP4" i="8"/>
  <c r="D4" i="8"/>
  <c r="N5" i="13"/>
  <c r="EF5" i="11"/>
  <c r="CH5" i="10"/>
  <c r="EQ4" i="10"/>
  <c r="CE4" i="10"/>
  <c r="S4" i="10"/>
  <c r="DE5" i="9"/>
  <c r="AS5" i="9"/>
  <c r="EE4" i="9"/>
  <c r="BS4" i="9"/>
  <c r="G4" i="9"/>
  <c r="CS5" i="8"/>
  <c r="AG5" i="8"/>
  <c r="DS4" i="8"/>
  <c r="BG4" i="8"/>
  <c r="EU5" i="7"/>
  <c r="CP4" i="13"/>
  <c r="BL5" i="11"/>
  <c r="BP5" i="10"/>
  <c r="EH4" i="10"/>
  <c r="BV4" i="10"/>
  <c r="J4" i="10"/>
  <c r="CV5" i="9"/>
  <c r="AJ5" i="9"/>
  <c r="DV4" i="9"/>
  <c r="BJ4" i="9"/>
  <c r="EV5" i="8"/>
  <c r="CJ5" i="8"/>
  <c r="X5" i="8"/>
  <c r="DJ4" i="8"/>
  <c r="AX4" i="8"/>
  <c r="EL5" i="7"/>
  <c r="L4" i="13"/>
  <c r="EP4" i="11"/>
  <c r="AY5" i="10"/>
  <c r="DY4" i="10"/>
  <c r="BM4" i="10"/>
  <c r="EQ5" i="9"/>
  <c r="CE5" i="9"/>
  <c r="S5" i="9"/>
  <c r="DE4" i="9"/>
  <c r="AS4" i="9"/>
  <c r="EE5" i="8"/>
  <c r="BS5" i="8"/>
  <c r="G5" i="8"/>
  <c r="CS4" i="8"/>
  <c r="AG4" i="8"/>
  <c r="EL4" i="12"/>
  <c r="EL5" i="10"/>
  <c r="N5" i="10"/>
  <c r="CZ4" i="10"/>
  <c r="CZ5" i="11"/>
  <c r="BY5" i="10"/>
  <c r="EM4" i="10"/>
  <c r="CA4" i="10"/>
  <c r="O4" i="10"/>
  <c r="DA5" i="9"/>
  <c r="AO5" i="9"/>
  <c r="EA4" i="9"/>
  <c r="BO4" i="9"/>
  <c r="C4" i="9"/>
  <c r="CO5" i="8"/>
  <c r="AC5" i="8"/>
  <c r="DO4" i="8"/>
  <c r="BC4" i="8"/>
  <c r="CR4" i="10"/>
  <c r="BJ5" i="8"/>
  <c r="CN5" i="7"/>
  <c r="AB5" i="7"/>
  <c r="DN4" i="7"/>
  <c r="BB4" i="7"/>
  <c r="EN5" i="6"/>
  <c r="CB5" i="6"/>
  <c r="P5" i="6"/>
  <c r="DB4" i="6"/>
  <c r="AP4" i="6"/>
  <c r="ED5" i="5"/>
  <c r="BR5" i="5"/>
  <c r="F5" i="5"/>
  <c r="CR4" i="5"/>
  <c r="AF4" i="5"/>
  <c r="ER4" i="9"/>
  <c r="ER5" i="7"/>
  <c r="BG5" i="7"/>
  <c r="ES4" i="7"/>
  <c r="CG4" i="7"/>
  <c r="U4" i="7"/>
  <c r="DG5" i="6"/>
  <c r="AU5" i="6"/>
  <c r="EG4" i="6"/>
  <c r="BU4" i="6"/>
  <c r="I4" i="6"/>
  <c r="CO5" i="5"/>
  <c r="AC5" i="5"/>
  <c r="DO4" i="5"/>
  <c r="BC4" i="5"/>
  <c r="P4" i="10"/>
  <c r="EF4" i="8"/>
  <c r="CD5" i="7"/>
  <c r="R5" i="7"/>
  <c r="DD4" i="7"/>
  <c r="AR4" i="7"/>
  <c r="ED5" i="6"/>
  <c r="BR5" i="6"/>
  <c r="F5" i="6"/>
  <c r="CR4" i="6"/>
  <c r="AF4" i="6"/>
  <c r="DL5" i="5"/>
  <c r="AZ5" i="5"/>
  <c r="EL4" i="5"/>
  <c r="BZ4" i="5"/>
  <c r="N4" i="5"/>
  <c r="AP5" i="9"/>
  <c r="I4" i="8"/>
  <c r="BM5" i="7"/>
  <c r="A5" i="7"/>
  <c r="CM4" i="7"/>
  <c r="AA4" i="7"/>
  <c r="DM5" i="6"/>
  <c r="EF4" i="9"/>
  <c r="BT4" i="9"/>
  <c r="H4" i="9"/>
  <c r="CT5" i="8"/>
  <c r="AH5" i="8"/>
  <c r="DT4" i="8"/>
  <c r="BH4" i="8"/>
  <c r="EV5" i="7"/>
  <c r="CY4" i="13"/>
  <c r="BT5" i="11"/>
  <c r="BQ5" i="10"/>
  <c r="EI4" i="10"/>
  <c r="BW4" i="10"/>
  <c r="K4" i="10"/>
  <c r="CW5" i="9"/>
  <c r="AK5" i="9"/>
  <c r="DW4" i="9"/>
  <c r="BK4" i="9"/>
  <c r="EW5" i="8"/>
  <c r="CK5" i="8"/>
  <c r="Y5" i="8"/>
  <c r="DK4" i="8"/>
  <c r="AY4" i="8"/>
  <c r="EM5" i="7"/>
  <c r="U4" i="13"/>
  <c r="EX4" i="11"/>
  <c r="AZ5" i="10"/>
  <c r="DZ4" i="10"/>
  <c r="BN4" i="10"/>
  <c r="B4" i="10"/>
  <c r="CN5" i="9"/>
  <c r="AB5" i="9"/>
  <c r="DN4" i="9"/>
  <c r="BB4" i="9"/>
  <c r="EN5" i="8"/>
  <c r="CB5" i="8"/>
  <c r="P5" i="8"/>
  <c r="DB4" i="8"/>
  <c r="AP4" i="8"/>
  <c r="ED5" i="7"/>
  <c r="DJ5" i="12"/>
  <c r="CD4" i="11"/>
  <c r="AI5" i="10"/>
  <c r="DQ4" i="10"/>
  <c r="BE4" i="10"/>
  <c r="EI5" i="9"/>
  <c r="BW5" i="9"/>
  <c r="K5" i="9"/>
  <c r="CW4" i="9"/>
  <c r="AK4" i="9"/>
  <c r="DW5" i="8"/>
  <c r="BK5" i="8"/>
  <c r="EW4" i="8"/>
  <c r="CK4" i="8"/>
  <c r="Y4" i="8"/>
  <c r="BZ4" i="12"/>
  <c r="DS5" i="10"/>
  <c r="F5" i="10"/>
  <c r="EJ4" i="13"/>
  <c r="AN5" i="11"/>
  <c r="BI5" i="10"/>
  <c r="EE4" i="10"/>
  <c r="BS4" i="10"/>
  <c r="G4" i="10"/>
  <c r="CS5" i="9"/>
  <c r="AG5" i="9"/>
  <c r="DS4" i="9"/>
  <c r="BG4" i="9"/>
  <c r="ES5" i="8"/>
  <c r="CG5" i="8"/>
  <c r="U5" i="8"/>
  <c r="DG4" i="8"/>
  <c r="AU4" i="8"/>
  <c r="AF4" i="10"/>
  <c r="EV4" i="8"/>
  <c r="CF5" i="7"/>
  <c r="T5" i="7"/>
  <c r="DF4" i="7"/>
  <c r="AT4" i="7"/>
  <c r="EF5" i="6"/>
  <c r="BT5" i="6"/>
  <c r="H5" i="6"/>
  <c r="CT4" i="6"/>
  <c r="AH4" i="6"/>
  <c r="DV5" i="5"/>
  <c r="BJ5" i="5"/>
  <c r="EV4" i="5"/>
  <c r="CJ4" i="5"/>
  <c r="X4" i="5"/>
  <c r="CF4" i="9"/>
  <c r="DT5" i="7"/>
  <c r="AY5" i="7"/>
  <c r="EK4" i="7"/>
  <c r="BY4" i="7"/>
  <c r="M4" i="7"/>
  <c r="CY5" i="6"/>
  <c r="AM5" i="6"/>
  <c r="DY4" i="6"/>
  <c r="BM4" i="6"/>
  <c r="ES5" i="5"/>
  <c r="CG5" i="5"/>
  <c r="U5" i="5"/>
  <c r="DG4" i="5"/>
  <c r="AU4" i="5"/>
  <c r="DJ5" i="9"/>
  <c r="BT4" i="8"/>
  <c r="BV5" i="7"/>
  <c r="J5" i="7"/>
  <c r="CV4" i="7"/>
  <c r="AJ4" i="7"/>
  <c r="DV5" i="6"/>
  <c r="BJ5" i="6"/>
  <c r="EV4" i="6"/>
  <c r="CJ4" i="6"/>
  <c r="X4" i="6"/>
  <c r="DD5" i="5"/>
  <c r="AR5" i="5"/>
  <c r="ED4" i="5"/>
  <c r="BR4" i="5"/>
  <c r="F4" i="5"/>
  <c r="EB4" i="9"/>
  <c r="EJ5" i="7"/>
  <c r="BE5" i="7"/>
  <c r="EQ4" i="7"/>
  <c r="CE4" i="7"/>
  <c r="S4" i="7"/>
  <c r="DE5" i="6"/>
  <c r="CW5" i="6"/>
  <c r="AK5" i="6"/>
  <c r="DW4" i="6"/>
  <c r="BK4" i="6"/>
  <c r="EQ5" i="5"/>
  <c r="CE5" i="5"/>
  <c r="S5" i="5"/>
  <c r="DE4" i="5"/>
  <c r="AS4" i="5"/>
  <c r="AH5" i="9"/>
  <c r="EI5" i="7"/>
  <c r="BD5" i="7"/>
  <c r="EP4" i="7"/>
  <c r="CD4" i="7"/>
  <c r="R4" i="7"/>
  <c r="DD5" i="6"/>
  <c r="AR5" i="6"/>
  <c r="ED4" i="6"/>
  <c r="BR4" i="6"/>
  <c r="F4" i="6"/>
  <c r="CT5" i="5"/>
  <c r="AH5" i="5"/>
  <c r="DT4" i="5"/>
  <c r="BH4" i="5"/>
  <c r="EX5" i="4"/>
  <c r="Z5" i="9"/>
  <c r="EC5" i="7"/>
  <c r="BC5" i="7"/>
  <c r="EO4" i="7"/>
  <c r="CC4" i="7"/>
  <c r="Q4" i="7"/>
  <c r="CU5" i="6"/>
  <c r="AI5" i="6"/>
  <c r="DU4" i="6"/>
  <c r="BI4" i="6"/>
  <c r="EW5" i="5"/>
  <c r="CK5" i="5"/>
  <c r="Y5" i="5"/>
  <c r="DK4" i="5"/>
  <c r="AY4" i="5"/>
  <c r="AV4" i="10"/>
  <c r="N5" i="8"/>
  <c r="BZ5" i="7"/>
  <c r="N5" i="7"/>
  <c r="CZ4" i="7"/>
  <c r="AN4" i="7"/>
  <c r="DZ5" i="6"/>
  <c r="BN5" i="6"/>
  <c r="B5" i="6"/>
  <c r="CN4" i="6"/>
  <c r="AB4" i="6"/>
  <c r="DP5" i="5"/>
  <c r="BD5" i="5"/>
  <c r="EP4" i="5"/>
  <c r="CD4" i="5"/>
  <c r="R4" i="5"/>
  <c r="BV5" i="9"/>
  <c r="AF4" i="8"/>
  <c r="BI5" i="7"/>
  <c r="EU4" i="7"/>
  <c r="CI4" i="7"/>
  <c r="W4" i="7"/>
  <c r="DI5" i="6"/>
  <c r="AW5" i="6"/>
  <c r="EI4" i="6"/>
  <c r="BW4" i="6"/>
  <c r="K4" i="6"/>
  <c r="CY5" i="5"/>
  <c r="AM5" i="5"/>
  <c r="DY4" i="5"/>
  <c r="BM4" i="5"/>
  <c r="EU5" i="4"/>
  <c r="BZ5" i="4"/>
  <c r="N5" i="4"/>
  <c r="CZ4" i="4"/>
  <c r="AN4" i="4"/>
  <c r="A868" i="1"/>
  <c r="I862" i="1"/>
  <c r="E857" i="1"/>
  <c r="A852" i="1"/>
  <c r="I846" i="1"/>
  <c r="E841" i="1"/>
  <c r="A836" i="1"/>
  <c r="I830" i="1"/>
  <c r="E825" i="1"/>
  <c r="A820" i="1"/>
  <c r="I814" i="1"/>
  <c r="EG5" i="4"/>
  <c r="BQ5" i="4"/>
  <c r="E5" i="4"/>
  <c r="CQ4" i="4"/>
  <c r="AE4" i="4"/>
  <c r="D867" i="1"/>
  <c r="L861" i="1"/>
  <c r="H856" i="1"/>
  <c r="D851" i="1"/>
  <c r="L845" i="1"/>
  <c r="H840" i="1"/>
  <c r="D835" i="1"/>
  <c r="L829" i="1"/>
  <c r="H824" i="1"/>
  <c r="D819" i="1"/>
  <c r="L813" i="1"/>
  <c r="DU5" i="4"/>
  <c r="BH5" i="4"/>
  <c r="ET4" i="4"/>
  <c r="CH4" i="4"/>
  <c r="V4" i="4"/>
  <c r="G866" i="1"/>
  <c r="C861" i="1"/>
  <c r="K855" i="1"/>
  <c r="G850" i="1"/>
  <c r="C845" i="1"/>
  <c r="K839" i="1"/>
  <c r="G834" i="1"/>
  <c r="C829" i="1"/>
  <c r="K823" i="1"/>
  <c r="G818" i="1"/>
  <c r="C813" i="1"/>
  <c r="DK5" i="4"/>
  <c r="AY5" i="4"/>
  <c r="EK4" i="4"/>
  <c r="BY4" i="4"/>
  <c r="M4" i="4"/>
  <c r="J865" i="1"/>
  <c r="F860" i="1"/>
  <c r="B855" i="1"/>
  <c r="J849" i="1"/>
  <c r="CO5" i="6"/>
  <c r="AC5" i="6"/>
  <c r="DO4" i="6"/>
  <c r="BC4" i="6"/>
  <c r="EI5" i="5"/>
  <c r="BW5" i="5"/>
  <c r="K5" i="5"/>
  <c r="CW4" i="5"/>
  <c r="AK4" i="5"/>
  <c r="DT4" i="9"/>
  <c r="DL5" i="7"/>
  <c r="AV5" i="7"/>
  <c r="EH4" i="7"/>
  <c r="BV4" i="7"/>
  <c r="J4" i="7"/>
  <c r="CV5" i="6"/>
  <c r="AJ5" i="6"/>
  <c r="DV4" i="6"/>
  <c r="BJ4" i="6"/>
  <c r="EX5" i="5"/>
  <c r="CL5" i="5"/>
  <c r="Z5" i="5"/>
  <c r="DL4" i="5"/>
  <c r="AZ4" i="5"/>
  <c r="EP5" i="4"/>
  <c r="DL4" i="9"/>
  <c r="DK5" i="7"/>
  <c r="AU5" i="7"/>
  <c r="EG4" i="7"/>
  <c r="BU4" i="7"/>
  <c r="I4" i="7"/>
  <c r="CM5" i="6"/>
  <c r="AA5" i="6"/>
  <c r="DM4" i="6"/>
  <c r="BA4" i="6"/>
  <c r="EO5" i="5"/>
  <c r="CC5" i="5"/>
  <c r="Q5" i="5"/>
  <c r="DC4" i="5"/>
  <c r="AQ4" i="5"/>
  <c r="EP5" i="9"/>
  <c r="CZ4" i="8"/>
  <c r="BR5" i="7"/>
  <c r="F5" i="7"/>
  <c r="CR4" i="7"/>
  <c r="AF4" i="7"/>
  <c r="DR5" i="6"/>
  <c r="BF5" i="6"/>
  <c r="ER4" i="6"/>
  <c r="CF4" i="6"/>
  <c r="T4" i="6"/>
  <c r="DH5" i="5"/>
  <c r="AV5" i="5"/>
  <c r="EH4" i="5"/>
  <c r="BV4" i="5"/>
  <c r="J4" i="5"/>
  <c r="J5" i="9"/>
  <c r="EA5" i="7"/>
  <c r="BA5" i="7"/>
  <c r="EM4" i="7"/>
  <c r="CA4" i="7"/>
  <c r="O4" i="7"/>
  <c r="DA5" i="6"/>
  <c r="AO5" i="6"/>
  <c r="EA4" i="6"/>
  <c r="BO4" i="6"/>
  <c r="C4" i="6"/>
  <c r="CQ5" i="5"/>
  <c r="AE5" i="5"/>
  <c r="DQ4" i="5"/>
  <c r="BE4" i="5"/>
  <c r="EI5" i="4"/>
  <c r="BR5" i="4"/>
  <c r="F5" i="4"/>
  <c r="CR4" i="4"/>
  <c r="AF4" i="4"/>
  <c r="E867" i="1"/>
  <c r="A862" i="1"/>
  <c r="I856" i="1"/>
  <c r="E851" i="1"/>
  <c r="A846" i="1"/>
  <c r="I840" i="1"/>
  <c r="E835" i="1"/>
  <c r="A830" i="1"/>
  <c r="I824" i="1"/>
  <c r="E819" i="1"/>
  <c r="A814" i="1"/>
  <c r="DV5" i="4"/>
  <c r="BI5" i="4"/>
  <c r="EU4" i="4"/>
  <c r="CI4" i="4"/>
  <c r="W4" i="4"/>
  <c r="H866" i="1"/>
  <c r="D861" i="1"/>
  <c r="L855" i="1"/>
  <c r="H850" i="1"/>
  <c r="D845" i="1"/>
  <c r="L839" i="1"/>
  <c r="H834" i="1"/>
  <c r="D829" i="1"/>
  <c r="L823" i="1"/>
  <c r="H818" i="1"/>
  <c r="D813" i="1"/>
  <c r="DL5" i="4"/>
  <c r="AZ5" i="4"/>
  <c r="EL4" i="4"/>
  <c r="BZ4" i="4"/>
  <c r="N4" i="4"/>
  <c r="K865" i="1"/>
  <c r="G860" i="1"/>
  <c r="C855" i="1"/>
  <c r="K849" i="1"/>
  <c r="G844" i="1"/>
  <c r="C839" i="1"/>
  <c r="K833" i="1"/>
  <c r="G828" i="1"/>
  <c r="C823" i="1"/>
  <c r="K817" i="1"/>
  <c r="G812" i="1"/>
  <c r="DC5" i="4"/>
  <c r="AQ5" i="4"/>
  <c r="EC4" i="4"/>
  <c r="BQ4" i="4"/>
  <c r="E4" i="4"/>
  <c r="B865" i="1"/>
  <c r="J859" i="1"/>
  <c r="F854" i="1"/>
  <c r="B849" i="1"/>
  <c r="CG5" i="6"/>
  <c r="U5" i="6"/>
  <c r="DG4" i="6"/>
  <c r="AU4" i="6"/>
  <c r="EA5" i="5"/>
  <c r="BO5" i="5"/>
  <c r="C5" i="5"/>
  <c r="CO4" i="5"/>
  <c r="AC4" i="5"/>
  <c r="BH4" i="9"/>
  <c r="CZ5" i="7"/>
  <c r="AN5" i="7"/>
  <c r="DZ4" i="7"/>
  <c r="BN4" i="7"/>
  <c r="B4" i="7"/>
  <c r="CN5" i="6"/>
  <c r="AB5" i="6"/>
  <c r="DN4" i="6"/>
  <c r="BB4" i="6"/>
  <c r="EP5" i="5"/>
  <c r="CD5" i="5"/>
  <c r="R5" i="5"/>
  <c r="DD4" i="5"/>
  <c r="AR4" i="5"/>
  <c r="EH5" i="4"/>
  <c r="AZ4" i="9"/>
  <c r="CY5" i="7"/>
  <c r="AM5" i="7"/>
  <c r="DY4" i="7"/>
  <c r="BM4" i="7"/>
  <c r="EQ5" i="6"/>
  <c r="CE5" i="6"/>
  <c r="S5" i="6"/>
  <c r="DE4" i="6"/>
  <c r="AS4" i="6"/>
  <c r="EG5" i="5"/>
  <c r="BU5" i="5"/>
  <c r="I5" i="5"/>
  <c r="CU4" i="5"/>
  <c r="AI4" i="5"/>
  <c r="CD5" i="9"/>
  <c r="AN4" i="8"/>
  <c r="BJ5" i="7"/>
  <c r="EV4" i="7"/>
  <c r="CJ4" i="7"/>
  <c r="X4" i="7"/>
  <c r="DJ5" i="6"/>
  <c r="AX5" i="6"/>
  <c r="EJ4" i="6"/>
  <c r="BX4" i="6"/>
  <c r="L4" i="6"/>
  <c r="CZ5" i="5"/>
  <c r="AN5" i="5"/>
  <c r="DZ4" i="5"/>
  <c r="BN4" i="5"/>
  <c r="B4" i="5"/>
  <c r="CV4" i="9"/>
  <c r="DE5" i="7"/>
  <c r="AS5" i="7"/>
  <c r="EE4" i="7"/>
  <c r="BS4" i="7"/>
  <c r="G4" i="7"/>
  <c r="CS5" i="6"/>
  <c r="AG5" i="6"/>
  <c r="DS4" i="6"/>
  <c r="BG4" i="6"/>
  <c r="EU5" i="5"/>
  <c r="CI5" i="5"/>
  <c r="W5" i="5"/>
  <c r="DI4" i="5"/>
  <c r="AW4" i="5"/>
  <c r="DW5" i="4"/>
  <c r="BJ5" i="4"/>
  <c r="EV4" i="4"/>
  <c r="CJ4" i="4"/>
  <c r="X4" i="4"/>
  <c r="I866" i="1"/>
  <c r="E861" i="1"/>
  <c r="A856" i="1"/>
  <c r="I850" i="1"/>
  <c r="E845" i="1"/>
  <c r="A840" i="1"/>
  <c r="I834" i="1"/>
  <c r="E829" i="1"/>
  <c r="A824" i="1"/>
  <c r="I818" i="1"/>
  <c r="E813" i="1"/>
  <c r="DM5" i="4"/>
  <c r="BA5" i="4"/>
  <c r="EM4" i="4"/>
  <c r="CA4" i="4"/>
  <c r="O4" i="4"/>
  <c r="L865" i="1"/>
  <c r="H860" i="1"/>
  <c r="D855" i="1"/>
  <c r="L849" i="1"/>
  <c r="H844" i="1"/>
  <c r="D839" i="1"/>
  <c r="L833" i="1"/>
  <c r="H828" i="1"/>
  <c r="D823" i="1"/>
  <c r="L817" i="1"/>
  <c r="H812" i="1"/>
  <c r="DD5" i="4"/>
  <c r="AR5" i="4"/>
  <c r="ED4" i="4"/>
  <c r="BR4" i="4"/>
  <c r="F4" i="4"/>
  <c r="C865" i="1"/>
  <c r="K859" i="1"/>
  <c r="G854" i="1"/>
  <c r="C849" i="1"/>
  <c r="K843" i="1"/>
  <c r="G838" i="1"/>
  <c r="C833" i="1"/>
  <c r="K827" i="1"/>
  <c r="G822" i="1"/>
  <c r="C817" i="1"/>
  <c r="K811" i="1"/>
  <c r="CU5" i="4"/>
  <c r="AI5" i="4"/>
  <c r="DU4" i="4"/>
  <c r="BI4" i="4"/>
  <c r="J869" i="1"/>
  <c r="F864" i="1"/>
  <c r="B859" i="1"/>
  <c r="J853" i="1"/>
  <c r="BY5" i="6"/>
  <c r="M5" i="6"/>
  <c r="CY4" i="6"/>
  <c r="AM4" i="6"/>
  <c r="DS5" i="5"/>
  <c r="BG5" i="5"/>
  <c r="ES4" i="5"/>
  <c r="CG4" i="5"/>
  <c r="U4" i="5"/>
  <c r="CP5" i="8"/>
  <c r="CR5" i="7"/>
  <c r="AF5" i="7"/>
  <c r="DR4" i="7"/>
  <c r="BF4" i="7"/>
  <c r="ER5" i="6"/>
  <c r="CF5" i="6"/>
  <c r="T5" i="6"/>
  <c r="DF4" i="6"/>
  <c r="AT4" i="6"/>
  <c r="EH5" i="5"/>
  <c r="BV5" i="5"/>
  <c r="J5" i="5"/>
  <c r="CV4" i="5"/>
  <c r="AJ4" i="5"/>
  <c r="DZ5" i="4"/>
  <c r="ET5" i="8"/>
  <c r="CQ5" i="7"/>
  <c r="AE5" i="7"/>
  <c r="DQ4" i="7"/>
  <c r="BE4" i="7"/>
  <c r="EI5" i="6"/>
  <c r="BW5" i="6"/>
  <c r="K5" i="6"/>
  <c r="CW4" i="6"/>
  <c r="AK4" i="6"/>
  <c r="DY5" i="5"/>
  <c r="BM5" i="5"/>
  <c r="A5" i="5"/>
  <c r="CM4" i="5"/>
  <c r="AA4" i="5"/>
  <c r="R5" i="9"/>
  <c r="EB5" i="7"/>
  <c r="BB5" i="7"/>
  <c r="EN4" i="7"/>
  <c r="CB4" i="7"/>
  <c r="P4" i="7"/>
  <c r="DB5" i="6"/>
  <c r="AP5" i="6"/>
  <c r="EB4" i="6"/>
  <c r="BP4" i="6"/>
  <c r="D4" i="6"/>
  <c r="CR5" i="5"/>
  <c r="AF5" i="5"/>
  <c r="DR4" i="5"/>
  <c r="BF4" i="5"/>
  <c r="EV5" i="4"/>
  <c r="AJ4" i="9"/>
  <c r="CW5" i="7"/>
  <c r="AK5" i="7"/>
  <c r="DW4" i="7"/>
  <c r="BK4" i="7"/>
  <c r="EW5" i="6"/>
  <c r="CK5" i="6"/>
  <c r="Y5" i="6"/>
  <c r="DK4" i="6"/>
  <c r="AY4" i="6"/>
  <c r="EM5" i="5"/>
  <c r="CA5" i="5"/>
  <c r="O5" i="5"/>
  <c r="DA4" i="5"/>
  <c r="AO4" i="5"/>
  <c r="DN5" i="4"/>
  <c r="BB5" i="4"/>
  <c r="EN4" i="4"/>
  <c r="CB4" i="4"/>
  <c r="P4" i="4"/>
  <c r="A866" i="1"/>
  <c r="I860" i="1"/>
  <c r="E855" i="1"/>
  <c r="A850" i="1"/>
  <c r="I844" i="1"/>
  <c r="E839" i="1"/>
  <c r="A834" i="1"/>
  <c r="I828" i="1"/>
  <c r="E823" i="1"/>
  <c r="A818" i="1"/>
  <c r="I812" i="1"/>
  <c r="DE5" i="4"/>
  <c r="AS5" i="4"/>
  <c r="EE4" i="4"/>
  <c r="BS4" i="4"/>
  <c r="G4" i="4"/>
  <c r="D865" i="1"/>
  <c r="L859" i="1"/>
  <c r="H854" i="1"/>
  <c r="D849" i="1"/>
  <c r="L843" i="1"/>
  <c r="H838" i="1"/>
  <c r="D833" i="1"/>
  <c r="L827" i="1"/>
  <c r="H822" i="1"/>
  <c r="D817" i="1"/>
  <c r="L811" i="1"/>
  <c r="CV5" i="4"/>
  <c r="AJ5" i="4"/>
  <c r="DV4" i="4"/>
  <c r="BJ4" i="4"/>
  <c r="K869" i="1"/>
  <c r="G864" i="1"/>
  <c r="C859" i="1"/>
  <c r="K853" i="1"/>
  <c r="BQ5" i="6"/>
  <c r="E5" i="6"/>
  <c r="CQ4" i="6"/>
  <c r="AE4" i="6"/>
  <c r="DK5" i="5"/>
  <c r="AY5" i="5"/>
  <c r="EK4" i="5"/>
  <c r="BY4" i="5"/>
  <c r="M4" i="5"/>
  <c r="AD5" i="8"/>
  <c r="CJ5" i="7"/>
  <c r="X5" i="7"/>
  <c r="DJ4" i="7"/>
  <c r="AX4" i="7"/>
  <c r="EJ5" i="6"/>
  <c r="BX5" i="6"/>
  <c r="L5" i="6"/>
  <c r="CX4" i="6"/>
  <c r="AL4" i="6"/>
  <c r="DZ5" i="5"/>
  <c r="BN5" i="5"/>
  <c r="B5" i="5"/>
  <c r="CN4" i="5"/>
  <c r="AB4" i="5"/>
  <c r="DR5" i="4"/>
  <c r="CH5" i="8"/>
  <c r="CI5" i="7"/>
  <c r="W5" i="7"/>
  <c r="DI4" i="7"/>
  <c r="AW4" i="7"/>
  <c r="EA5" i="6"/>
  <c r="BO5" i="6"/>
  <c r="C5" i="6"/>
  <c r="CO4" i="6"/>
  <c r="AC4" i="6"/>
  <c r="DQ5" i="5"/>
  <c r="BE5" i="5"/>
  <c r="EQ4" i="5"/>
  <c r="CE4" i="5"/>
  <c r="S4" i="5"/>
  <c r="DD4" i="9"/>
  <c r="DI5" i="7"/>
  <c r="AT5" i="7"/>
  <c r="EF4" i="7"/>
  <c r="BT4" i="7"/>
  <c r="H4" i="7"/>
  <c r="CT5" i="6"/>
  <c r="AH5" i="6"/>
  <c r="DT4" i="6"/>
  <c r="BH4" i="6"/>
  <c r="EV5" i="5"/>
  <c r="CJ5" i="5"/>
  <c r="X5" i="5"/>
  <c r="DJ4" i="5"/>
  <c r="AX4" i="5"/>
  <c r="EN5" i="4"/>
  <c r="ED5" i="8"/>
  <c r="CO5" i="7"/>
  <c r="AC5" i="7"/>
  <c r="DO4" i="7"/>
  <c r="BC4" i="7"/>
  <c r="EO5" i="6"/>
  <c r="CC5" i="6"/>
  <c r="Q5" i="6"/>
  <c r="DC4" i="6"/>
  <c r="AQ4" i="6"/>
  <c r="EE5" i="5"/>
  <c r="BS5" i="5"/>
  <c r="G5" i="5"/>
  <c r="CS4" i="5"/>
  <c r="AG4" i="5"/>
  <c r="DF5" i="4"/>
  <c r="AT5" i="4"/>
  <c r="EF4" i="4"/>
  <c r="BT4" i="4"/>
  <c r="H4" i="4"/>
  <c r="E865" i="1"/>
  <c r="A860" i="1"/>
  <c r="I854" i="1"/>
  <c r="E849" i="1"/>
  <c r="A844" i="1"/>
  <c r="I838" i="1"/>
  <c r="E833" i="1"/>
  <c r="A828" i="1"/>
  <c r="I822" i="1"/>
  <c r="E817" i="1"/>
  <c r="A812" i="1"/>
  <c r="CW5" i="4"/>
  <c r="AK5" i="4"/>
  <c r="DW4" i="4"/>
  <c r="BK4" i="4"/>
  <c r="L869" i="1"/>
  <c r="H864" i="1"/>
  <c r="D859" i="1"/>
  <c r="L853" i="1"/>
  <c r="H848" i="1"/>
  <c r="D843" i="1"/>
  <c r="L837" i="1"/>
  <c r="H832" i="1"/>
  <c r="D827" i="1"/>
  <c r="L821" i="1"/>
  <c r="H816" i="1"/>
  <c r="D811" i="1"/>
  <c r="CN5" i="4"/>
  <c r="AB5" i="4"/>
  <c r="DN4" i="4"/>
  <c r="BB4" i="4"/>
  <c r="C869" i="1"/>
  <c r="K863" i="1"/>
  <c r="G858" i="1"/>
  <c r="C853" i="1"/>
  <c r="K847" i="1"/>
  <c r="G842" i="1"/>
  <c r="C837" i="1"/>
  <c r="K831" i="1"/>
  <c r="G826" i="1"/>
  <c r="C821" i="1"/>
  <c r="K815" i="1"/>
  <c r="G810" i="1"/>
  <c r="CE5" i="4"/>
  <c r="S5" i="4"/>
  <c r="DE4" i="4"/>
  <c r="AS4" i="4"/>
  <c r="F868" i="1"/>
  <c r="BI5" i="6"/>
  <c r="EU4" i="6"/>
  <c r="CI4" i="6"/>
  <c r="W4" i="6"/>
  <c r="DC5" i="5"/>
  <c r="AQ5" i="5"/>
  <c r="EC4" i="5"/>
  <c r="BQ4" i="5"/>
  <c r="E4" i="5"/>
  <c r="DP4" i="8"/>
  <c r="CB5" i="7"/>
  <c r="P5" i="7"/>
  <c r="DB4" i="7"/>
  <c r="AP4" i="7"/>
  <c r="EB5" i="6"/>
  <c r="BP5" i="6"/>
  <c r="D5" i="6"/>
  <c r="CP4" i="6"/>
  <c r="AD4" i="6"/>
  <c r="DR5" i="5"/>
  <c r="BF5" i="5"/>
  <c r="ER4" i="5"/>
  <c r="CF4" i="5"/>
  <c r="T4" i="5"/>
  <c r="BD4" i="10"/>
  <c r="V5" i="8"/>
  <c r="CA5" i="7"/>
  <c r="O5" i="7"/>
  <c r="DA4" i="7"/>
  <c r="AO4" i="7"/>
  <c r="DS5" i="6"/>
  <c r="BG5" i="6"/>
  <c r="ES4" i="6"/>
  <c r="CG4" i="6"/>
  <c r="U4" i="6"/>
  <c r="DI5" i="5"/>
  <c r="AW5" i="5"/>
  <c r="EI4" i="5"/>
  <c r="BW4" i="5"/>
  <c r="K4" i="5"/>
  <c r="AR4" i="9"/>
  <c r="CX5" i="7"/>
  <c r="AL5" i="7"/>
  <c r="DX4" i="7"/>
  <c r="BL4" i="7"/>
  <c r="EX5" i="6"/>
  <c r="CL5" i="6"/>
  <c r="Z5" i="6"/>
  <c r="DL4" i="6"/>
  <c r="AZ4" i="6"/>
  <c r="EN5" i="5"/>
  <c r="CB5" i="5"/>
  <c r="P5" i="5"/>
  <c r="DB4" i="5"/>
  <c r="AP4" i="5"/>
  <c r="EF5" i="4"/>
  <c r="BR5" i="8"/>
  <c r="CG5" i="7"/>
  <c r="U5" i="7"/>
  <c r="DG4" i="7"/>
  <c r="AU4" i="7"/>
  <c r="EG5" i="6"/>
  <c r="BU5" i="6"/>
  <c r="I5" i="6"/>
  <c r="CU4" i="6"/>
  <c r="AI4" i="6"/>
  <c r="DW5" i="5"/>
  <c r="BK5" i="5"/>
  <c r="EW4" i="5"/>
  <c r="CK4" i="5"/>
  <c r="Y4" i="5"/>
  <c r="CX5" i="4"/>
  <c r="AL5" i="4"/>
  <c r="DX4" i="4"/>
  <c r="BL4" i="4"/>
  <c r="A4" i="3"/>
  <c r="I864" i="1"/>
  <c r="E859" i="1"/>
  <c r="A854" i="1"/>
  <c r="I848" i="1"/>
  <c r="E843" i="1"/>
  <c r="A838" i="1"/>
  <c r="I832" i="1"/>
  <c r="E827" i="1"/>
  <c r="A822" i="1"/>
  <c r="I816" i="1"/>
  <c r="E811" i="1"/>
  <c r="CO5" i="4"/>
  <c r="AC5" i="4"/>
  <c r="DO4" i="4"/>
  <c r="BC4" i="4"/>
  <c r="D869" i="1"/>
  <c r="L863" i="1"/>
  <c r="H858" i="1"/>
  <c r="D853" i="1"/>
  <c r="L847" i="1"/>
  <c r="H842" i="1"/>
  <c r="D837" i="1"/>
  <c r="L831" i="1"/>
  <c r="H826" i="1"/>
  <c r="D821" i="1"/>
  <c r="L815" i="1"/>
  <c r="H810" i="1"/>
  <c r="CF5" i="4"/>
  <c r="T5" i="4"/>
  <c r="DF4" i="4"/>
  <c r="AT4" i="4"/>
  <c r="G868" i="1"/>
  <c r="C863" i="1"/>
  <c r="K857" i="1"/>
  <c r="G852" i="1"/>
  <c r="C847" i="1"/>
  <c r="K841" i="1"/>
  <c r="G836" i="1"/>
  <c r="C831" i="1"/>
  <c r="K825" i="1"/>
  <c r="G820" i="1"/>
  <c r="C815" i="1"/>
  <c r="EQ5" i="4"/>
  <c r="BW5" i="4"/>
  <c r="K5" i="4"/>
  <c r="CW4" i="4"/>
  <c r="AK4" i="4"/>
  <c r="J867" i="1"/>
  <c r="BA5" i="6"/>
  <c r="EM4" i="6"/>
  <c r="CA4" i="6"/>
  <c r="O4" i="6"/>
  <c r="CU5" i="5"/>
  <c r="AI5" i="5"/>
  <c r="DU4" i="5"/>
  <c r="BI4" i="5"/>
  <c r="BL4" i="10"/>
  <c r="BD4" i="8"/>
  <c r="BT5" i="7"/>
  <c r="H5" i="7"/>
  <c r="CT4" i="7"/>
  <c r="AH4" i="7"/>
  <c r="DT5" i="6"/>
  <c r="BH5" i="6"/>
  <c r="ET4" i="6"/>
  <c r="CH4" i="6"/>
  <c r="V4" i="6"/>
  <c r="DJ5" i="5"/>
  <c r="AX5" i="5"/>
  <c r="EJ4" i="5"/>
  <c r="BX4" i="5"/>
  <c r="L4" i="5"/>
  <c r="EX5" i="9"/>
  <c r="DH4" i="8"/>
  <c r="BS5" i="7"/>
  <c r="G5" i="7"/>
  <c r="CS4" i="7"/>
  <c r="AG4" i="7"/>
  <c r="DK5" i="6"/>
  <c r="AY5" i="6"/>
  <c r="EK4" i="6"/>
  <c r="BY4" i="6"/>
  <c r="M4" i="6"/>
  <c r="DA5" i="5"/>
  <c r="AO5" i="5"/>
  <c r="EA4" i="5"/>
  <c r="BO4" i="5"/>
  <c r="C4" i="5"/>
  <c r="EL5" i="8"/>
  <c r="CP5" i="7"/>
  <c r="AD5" i="7"/>
  <c r="DP4" i="7"/>
  <c r="BD4" i="7"/>
  <c r="EP5" i="6"/>
  <c r="CD5" i="6"/>
  <c r="R5" i="6"/>
  <c r="DD4" i="6"/>
  <c r="AR4" i="6"/>
  <c r="EF5" i="5"/>
  <c r="BT5" i="5"/>
  <c r="H5" i="5"/>
  <c r="CT4" i="5"/>
  <c r="AH4" i="5"/>
  <c r="AN4" i="10"/>
  <c r="F5" i="8"/>
  <c r="BY5" i="7"/>
  <c r="M5" i="7"/>
  <c r="CY4" i="7"/>
  <c r="AM4" i="7"/>
  <c r="DY5" i="6"/>
  <c r="BM5" i="6"/>
  <c r="A5" i="6"/>
  <c r="CM4" i="6"/>
  <c r="AA4" i="6"/>
  <c r="DO5" i="5"/>
  <c r="BC5" i="5"/>
  <c r="EO4" i="5"/>
  <c r="CC4" i="5"/>
  <c r="Q4" i="5"/>
  <c r="CP5" i="4"/>
  <c r="AD5" i="4"/>
  <c r="DP4" i="4"/>
  <c r="BD4" i="4"/>
  <c r="E869" i="1"/>
  <c r="A864" i="1"/>
  <c r="I858" i="1"/>
  <c r="E853" i="1"/>
  <c r="A848" i="1"/>
  <c r="I842" i="1"/>
  <c r="E837" i="1"/>
  <c r="A832" i="1"/>
  <c r="I826" i="1"/>
  <c r="E821" i="1"/>
  <c r="A816" i="1"/>
  <c r="I810" i="1"/>
  <c r="CG5" i="4"/>
  <c r="U5" i="4"/>
  <c r="DG4" i="4"/>
  <c r="AU4" i="4"/>
  <c r="H868" i="1"/>
  <c r="D863" i="1"/>
  <c r="L857" i="1"/>
  <c r="H852" i="1"/>
  <c r="D847" i="1"/>
  <c r="L841" i="1"/>
  <c r="H836" i="1"/>
  <c r="D831" i="1"/>
  <c r="L825" i="1"/>
  <c r="H820" i="1"/>
  <c r="D815" i="1"/>
  <c r="ES5" i="4"/>
  <c r="BX5" i="4"/>
  <c r="L5" i="4"/>
  <c r="CX4" i="4"/>
  <c r="AL4" i="4"/>
  <c r="K867" i="1"/>
  <c r="G862" i="1"/>
  <c r="C857" i="1"/>
  <c r="K851" i="1"/>
  <c r="G846" i="1"/>
  <c r="C841" i="1"/>
  <c r="K835" i="1"/>
  <c r="G830" i="1"/>
  <c r="C825" i="1"/>
  <c r="K819" i="1"/>
  <c r="G814" i="1"/>
  <c r="ED5" i="4"/>
  <c r="BO5" i="4"/>
  <c r="C5" i="4"/>
  <c r="CO4" i="4"/>
  <c r="AC4" i="4"/>
  <c r="B867" i="1"/>
  <c r="AS5" i="6"/>
  <c r="EE4" i="6"/>
  <c r="BS4" i="6"/>
  <c r="G4" i="6"/>
  <c r="CM5" i="5"/>
  <c r="AA5" i="5"/>
  <c r="DM4" i="5"/>
  <c r="BA4" i="5"/>
  <c r="CT5" i="9"/>
  <c r="H4" i="8"/>
  <c r="BL5" i="7"/>
  <c r="EX4" i="7"/>
  <c r="CL4" i="7"/>
  <c r="Z4" i="7"/>
  <c r="DL5" i="6"/>
  <c r="AZ5" i="6"/>
  <c r="EL4" i="6"/>
  <c r="BZ4" i="6"/>
  <c r="N4" i="6"/>
  <c r="DB5" i="5"/>
  <c r="AP5" i="5"/>
  <c r="EB4" i="5"/>
  <c r="BP4" i="5"/>
  <c r="D4" i="5"/>
  <c r="CL5" i="9"/>
  <c r="AV4" i="8"/>
  <c r="BK5" i="7"/>
  <c r="EW4" i="7"/>
  <c r="CK4" i="7"/>
  <c r="Y4" i="7"/>
  <c r="DC5" i="6"/>
  <c r="AQ5" i="6"/>
  <c r="EC4" i="6"/>
  <c r="BQ4" i="6"/>
  <c r="E4" i="6"/>
  <c r="CS5" i="5"/>
  <c r="AG5" i="5"/>
  <c r="DS4" i="5"/>
  <c r="BG4" i="5"/>
  <c r="EW5" i="4"/>
  <c r="BZ5" i="8"/>
  <c r="CH5" i="7"/>
  <c r="V5" i="7"/>
  <c r="DH4" i="7"/>
  <c r="AV4" i="7"/>
  <c r="EH5" i="6"/>
  <c r="BV5" i="6"/>
  <c r="J5" i="6"/>
  <c r="CV4" i="6"/>
  <c r="AJ4" i="6"/>
  <c r="DX5" i="5"/>
  <c r="BL5" i="5"/>
  <c r="EX4" i="5"/>
  <c r="CL4" i="5"/>
  <c r="Z4" i="5"/>
  <c r="EH5" i="9"/>
  <c r="CR4" i="8"/>
  <c r="BQ5" i="7"/>
  <c r="E5" i="7"/>
  <c r="CQ4" i="7"/>
  <c r="AE4" i="7"/>
  <c r="DQ5" i="6"/>
  <c r="BE5" i="6"/>
  <c r="EQ4" i="6"/>
  <c r="CE4" i="6"/>
  <c r="S4" i="6"/>
  <c r="DG5" i="5"/>
  <c r="AU5" i="5"/>
  <c r="EG4" i="5"/>
  <c r="BU4" i="5"/>
  <c r="I4" i="5"/>
  <c r="CH5" i="4"/>
  <c r="V5" i="4"/>
  <c r="DH4" i="4"/>
  <c r="AV4" i="4"/>
  <c r="I868" i="1"/>
  <c r="E863" i="1"/>
  <c r="A858" i="1"/>
  <c r="I852" i="1"/>
  <c r="E847" i="1"/>
  <c r="A842" i="1"/>
  <c r="I836" i="1"/>
  <c r="E831" i="1"/>
  <c r="A826" i="1"/>
  <c r="I820" i="1"/>
  <c r="E815" i="1"/>
  <c r="ET5" i="4"/>
  <c r="BY5" i="4"/>
  <c r="M5" i="4"/>
  <c r="CY4" i="4"/>
  <c r="AM4" i="4"/>
  <c r="L867" i="1"/>
  <c r="H862" i="1"/>
  <c r="D857" i="1"/>
  <c r="L851" i="1"/>
  <c r="H846" i="1"/>
  <c r="D841" i="1"/>
  <c r="L835" i="1"/>
  <c r="H830" i="1"/>
  <c r="D825" i="1"/>
  <c r="L819" i="1"/>
  <c r="H814" i="1"/>
  <c r="EE5" i="4"/>
  <c r="BP5" i="4"/>
  <c r="D5" i="4"/>
  <c r="CP4" i="4"/>
  <c r="AD4" i="4"/>
  <c r="C867" i="1"/>
  <c r="K861" i="1"/>
  <c r="G856" i="1"/>
  <c r="C851" i="1"/>
  <c r="K845" i="1"/>
  <c r="G848" i="1"/>
  <c r="G824" i="1"/>
  <c r="BG5" i="4"/>
  <c r="F866" i="1"/>
  <c r="B857" i="1"/>
  <c r="F848" i="1"/>
  <c r="B843" i="1"/>
  <c r="J837" i="1"/>
  <c r="F832" i="1"/>
  <c r="B827" i="1"/>
  <c r="J821" i="1"/>
  <c r="F816" i="1"/>
  <c r="B811" i="1"/>
  <c r="CL5" i="4"/>
  <c r="Z5" i="4"/>
  <c r="DL4" i="4"/>
  <c r="AZ4" i="4"/>
  <c r="A869" i="1"/>
  <c r="I863" i="1"/>
  <c r="E858" i="1"/>
  <c r="A853" i="1"/>
  <c r="I847" i="1"/>
  <c r="E842" i="1"/>
  <c r="A837" i="1"/>
  <c r="I831" i="1"/>
  <c r="E826" i="1"/>
  <c r="A821" i="1"/>
  <c r="I815" i="1"/>
  <c r="EM5" i="4"/>
  <c r="BU5" i="4"/>
  <c r="I5" i="4"/>
  <c r="CU4" i="4"/>
  <c r="AI4" i="4"/>
  <c r="H867" i="1"/>
  <c r="D862" i="1"/>
  <c r="L856" i="1"/>
  <c r="H851" i="1"/>
  <c r="D846" i="1"/>
  <c r="L840" i="1"/>
  <c r="H835" i="1"/>
  <c r="D830" i="1"/>
  <c r="L824" i="1"/>
  <c r="H819" i="1"/>
  <c r="D814" i="1"/>
  <c r="DH5" i="4"/>
  <c r="AV5" i="4"/>
  <c r="EH4" i="4"/>
  <c r="BV4" i="4"/>
  <c r="J4" i="4"/>
  <c r="G865" i="1"/>
  <c r="C860" i="1"/>
  <c r="K854" i="1"/>
  <c r="G849" i="1"/>
  <c r="C844" i="1"/>
  <c r="K838" i="1"/>
  <c r="G833" i="1"/>
  <c r="C828" i="1"/>
  <c r="K822" i="1"/>
  <c r="G817" i="1"/>
  <c r="C812" i="1"/>
  <c r="CA5" i="4"/>
  <c r="O5" i="4"/>
  <c r="DA4" i="4"/>
  <c r="AO4" i="4"/>
  <c r="F867" i="1"/>
  <c r="B862" i="1"/>
  <c r="J856" i="1"/>
  <c r="F851" i="1"/>
  <c r="B846" i="1"/>
  <c r="J840" i="1"/>
  <c r="F835" i="1"/>
  <c r="B830" i="1"/>
  <c r="J824" i="1"/>
  <c r="F819" i="1"/>
  <c r="B814" i="1"/>
  <c r="B808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E807" i="1"/>
  <c r="A802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H806" i="1"/>
  <c r="D801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K805" i="1"/>
  <c r="G800" i="1"/>
  <c r="C795" i="1"/>
  <c r="K789" i="1"/>
  <c r="G784" i="1"/>
  <c r="C779" i="1"/>
  <c r="C843" i="1"/>
  <c r="K821" i="1"/>
  <c r="AA5" i="4"/>
  <c r="J863" i="1"/>
  <c r="F856" i="1"/>
  <c r="J847" i="1"/>
  <c r="F842" i="1"/>
  <c r="B837" i="1"/>
  <c r="J831" i="1"/>
  <c r="F826" i="1"/>
  <c r="B821" i="1"/>
  <c r="J815" i="1"/>
  <c r="F810" i="1"/>
  <c r="CD5" i="4"/>
  <c r="R5" i="4"/>
  <c r="DD4" i="4"/>
  <c r="AR4" i="4"/>
  <c r="E868" i="1"/>
  <c r="A863" i="1"/>
  <c r="I857" i="1"/>
  <c r="E852" i="1"/>
  <c r="A847" i="1"/>
  <c r="I841" i="1"/>
  <c r="E836" i="1"/>
  <c r="A831" i="1"/>
  <c r="I825" i="1"/>
  <c r="E820" i="1"/>
  <c r="A815" i="1"/>
  <c r="EA5" i="4"/>
  <c r="BM5" i="4"/>
  <c r="A5" i="4"/>
  <c r="CM4" i="4"/>
  <c r="AA4" i="4"/>
  <c r="L866" i="1"/>
  <c r="H861" i="1"/>
  <c r="D856" i="1"/>
  <c r="L850" i="1"/>
  <c r="H845" i="1"/>
  <c r="D840" i="1"/>
  <c r="L834" i="1"/>
  <c r="H829" i="1"/>
  <c r="D824" i="1"/>
  <c r="L818" i="1"/>
  <c r="H813" i="1"/>
  <c r="CZ5" i="4"/>
  <c r="AN5" i="4"/>
  <c r="DZ4" i="4"/>
  <c r="BN4" i="4"/>
  <c r="B4" i="4"/>
  <c r="K864" i="1"/>
  <c r="G859" i="1"/>
  <c r="C854" i="1"/>
  <c r="K848" i="1"/>
  <c r="G843" i="1"/>
  <c r="C838" i="1"/>
  <c r="K832" i="1"/>
  <c r="G827" i="1"/>
  <c r="C822" i="1"/>
  <c r="K816" i="1"/>
  <c r="EK5" i="4"/>
  <c r="BS5" i="4"/>
  <c r="G5" i="4"/>
  <c r="CS4" i="4"/>
  <c r="AG4" i="4"/>
  <c r="J866" i="1"/>
  <c r="F861" i="1"/>
  <c r="B856" i="1"/>
  <c r="J850" i="1"/>
  <c r="F845" i="1"/>
  <c r="B840" i="1"/>
  <c r="J834" i="1"/>
  <c r="F829" i="1"/>
  <c r="B824" i="1"/>
  <c r="J818" i="1"/>
  <c r="F813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I806" i="1"/>
  <c r="E801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L805" i="1"/>
  <c r="H800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K810" i="1"/>
  <c r="C805" i="1"/>
  <c r="K799" i="1"/>
  <c r="G794" i="1"/>
  <c r="C789" i="1"/>
  <c r="K783" i="1"/>
  <c r="G840" i="1"/>
  <c r="C819" i="1"/>
  <c r="ES4" i="4"/>
  <c r="B863" i="1"/>
  <c r="J855" i="1"/>
  <c r="B847" i="1"/>
  <c r="J841" i="1"/>
  <c r="F836" i="1"/>
  <c r="B831" i="1"/>
  <c r="J825" i="1"/>
  <c r="F820" i="1"/>
  <c r="B815" i="1"/>
  <c r="EO5" i="4"/>
  <c r="BV5" i="4"/>
  <c r="J5" i="4"/>
  <c r="CV4" i="4"/>
  <c r="AJ4" i="4"/>
  <c r="I867" i="1"/>
  <c r="E862" i="1"/>
  <c r="A857" i="1"/>
  <c r="I851" i="1"/>
  <c r="E846" i="1"/>
  <c r="A841" i="1"/>
  <c r="I835" i="1"/>
  <c r="E830" i="1"/>
  <c r="A825" i="1"/>
  <c r="I819" i="1"/>
  <c r="E814" i="1"/>
  <c r="DQ5" i="4"/>
  <c r="BE5" i="4"/>
  <c r="EQ4" i="4"/>
  <c r="CE4" i="4"/>
  <c r="S4" i="4"/>
  <c r="D866" i="1"/>
  <c r="L860" i="1"/>
  <c r="H855" i="1"/>
  <c r="D850" i="1"/>
  <c r="L844" i="1"/>
  <c r="H839" i="1"/>
  <c r="D834" i="1"/>
  <c r="L828" i="1"/>
  <c r="H823" i="1"/>
  <c r="D818" i="1"/>
  <c r="L812" i="1"/>
  <c r="CR5" i="4"/>
  <c r="AF5" i="4"/>
  <c r="DR4" i="4"/>
  <c r="BF4" i="4"/>
  <c r="G869" i="1"/>
  <c r="C864" i="1"/>
  <c r="K858" i="1"/>
  <c r="G853" i="1"/>
  <c r="C848" i="1"/>
  <c r="K842" i="1"/>
  <c r="G837" i="1"/>
  <c r="C832" i="1"/>
  <c r="K826" i="1"/>
  <c r="G821" i="1"/>
  <c r="C816" i="1"/>
  <c r="DX5" i="4"/>
  <c r="BK5" i="4"/>
  <c r="EW4" i="4"/>
  <c r="CK4" i="4"/>
  <c r="Y4" i="4"/>
  <c r="B866" i="1"/>
  <c r="J860" i="1"/>
  <c r="F855" i="1"/>
  <c r="B850" i="1"/>
  <c r="J844" i="1"/>
  <c r="F839" i="1"/>
  <c r="B834" i="1"/>
  <c r="J828" i="1"/>
  <c r="F823" i="1"/>
  <c r="B818" i="1"/>
  <c r="J81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A806" i="1"/>
  <c r="I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L810" i="1"/>
  <c r="D805" i="1"/>
  <c r="L799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K809" i="1"/>
  <c r="G804" i="1"/>
  <c r="C799" i="1"/>
  <c r="K793" i="1"/>
  <c r="G788" i="1"/>
  <c r="K837" i="1"/>
  <c r="G816" i="1"/>
  <c r="DM4" i="4"/>
  <c r="F862" i="1"/>
  <c r="B853" i="1"/>
  <c r="F846" i="1"/>
  <c r="B841" i="1"/>
  <c r="J835" i="1"/>
  <c r="F830" i="1"/>
  <c r="B825" i="1"/>
  <c r="J819" i="1"/>
  <c r="F814" i="1"/>
  <c r="EC5" i="4"/>
  <c r="BN5" i="4"/>
  <c r="B5" i="4"/>
  <c r="CN4" i="4"/>
  <c r="AB4" i="4"/>
  <c r="A867" i="1"/>
  <c r="I861" i="1"/>
  <c r="E856" i="1"/>
  <c r="A851" i="1"/>
  <c r="I845" i="1"/>
  <c r="E840" i="1"/>
  <c r="A835" i="1"/>
  <c r="I829" i="1"/>
  <c r="E824" i="1"/>
  <c r="A819" i="1"/>
  <c r="I813" i="1"/>
  <c r="DI5" i="4"/>
  <c r="AW5" i="4"/>
  <c r="EI4" i="4"/>
  <c r="BW4" i="4"/>
  <c r="K4" i="4"/>
  <c r="H865" i="1"/>
  <c r="D860" i="1"/>
  <c r="L854" i="1"/>
  <c r="H849" i="1"/>
  <c r="D844" i="1"/>
  <c r="L838" i="1"/>
  <c r="H833" i="1"/>
  <c r="D828" i="1"/>
  <c r="L822" i="1"/>
  <c r="H817" i="1"/>
  <c r="D812" i="1"/>
  <c r="CJ5" i="4"/>
  <c r="X5" i="4"/>
  <c r="DJ4" i="4"/>
  <c r="AX4" i="4"/>
  <c r="K868" i="1"/>
  <c r="G863" i="1"/>
  <c r="C858" i="1"/>
  <c r="K852" i="1"/>
  <c r="G847" i="1"/>
  <c r="C842" i="1"/>
  <c r="K836" i="1"/>
  <c r="G831" i="1"/>
  <c r="C826" i="1"/>
  <c r="K820" i="1"/>
  <c r="G815" i="1"/>
  <c r="DO5" i="4"/>
  <c r="BC5" i="4"/>
  <c r="EO4" i="4"/>
  <c r="CC4" i="4"/>
  <c r="Q4" i="4"/>
  <c r="F865" i="1"/>
  <c r="B860" i="1"/>
  <c r="J854" i="1"/>
  <c r="F849" i="1"/>
  <c r="B844" i="1"/>
  <c r="J838" i="1"/>
  <c r="F833" i="1"/>
  <c r="B828" i="1"/>
  <c r="J822" i="1"/>
  <c r="F817" i="1"/>
  <c r="B812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F811" i="1"/>
  <c r="E805" i="1"/>
  <c r="A800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L809" i="1"/>
  <c r="H804" i="1"/>
  <c r="D799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C809" i="1"/>
  <c r="K803" i="1"/>
  <c r="G798" i="1"/>
  <c r="C793" i="1"/>
  <c r="K787" i="1"/>
  <c r="C835" i="1"/>
  <c r="K813" i="1"/>
  <c r="CG4" i="4"/>
  <c r="J861" i="1"/>
  <c r="F852" i="1"/>
  <c r="J845" i="1"/>
  <c r="F840" i="1"/>
  <c r="B835" i="1"/>
  <c r="J829" i="1"/>
  <c r="F824" i="1"/>
  <c r="B819" i="1"/>
  <c r="J813" i="1"/>
  <c r="DS5" i="4"/>
  <c r="BF5" i="4"/>
  <c r="ER4" i="4"/>
  <c r="CF4" i="4"/>
  <c r="T4" i="4"/>
  <c r="E866" i="1"/>
  <c r="A861" i="1"/>
  <c r="I855" i="1"/>
  <c r="E850" i="1"/>
  <c r="A845" i="1"/>
  <c r="I839" i="1"/>
  <c r="E834" i="1"/>
  <c r="A829" i="1"/>
  <c r="I823" i="1"/>
  <c r="E818" i="1"/>
  <c r="A813" i="1"/>
  <c r="DA5" i="4"/>
  <c r="AO5" i="4"/>
  <c r="EA4" i="4"/>
  <c r="BO4" i="4"/>
  <c r="C4" i="4"/>
  <c r="L864" i="1"/>
  <c r="H859" i="1"/>
  <c r="D854" i="1"/>
  <c r="L848" i="1"/>
  <c r="H843" i="1"/>
  <c r="D838" i="1"/>
  <c r="L832" i="1"/>
  <c r="H827" i="1"/>
  <c r="D822" i="1"/>
  <c r="L816" i="1"/>
  <c r="H811" i="1"/>
  <c r="CB5" i="4"/>
  <c r="P5" i="4"/>
  <c r="DB4" i="4"/>
  <c r="AP4" i="4"/>
  <c r="C868" i="1"/>
  <c r="K862" i="1"/>
  <c r="G857" i="1"/>
  <c r="C852" i="1"/>
  <c r="K846" i="1"/>
  <c r="G841" i="1"/>
  <c r="C836" i="1"/>
  <c r="K830" i="1"/>
  <c r="G825" i="1"/>
  <c r="C820" i="1"/>
  <c r="K814" i="1"/>
  <c r="DG5" i="4"/>
  <c r="AU5" i="4"/>
  <c r="EG4" i="4"/>
  <c r="BU4" i="4"/>
  <c r="I4" i="4"/>
  <c r="J864" i="1"/>
  <c r="F859" i="1"/>
  <c r="B854" i="1"/>
  <c r="J848" i="1"/>
  <c r="F843" i="1"/>
  <c r="B838" i="1"/>
  <c r="J832" i="1"/>
  <c r="F827" i="1"/>
  <c r="B822" i="1"/>
  <c r="J816" i="1"/>
  <c r="G811" i="1"/>
  <c r="F805" i="1"/>
  <c r="B800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A810" i="1"/>
  <c r="I804" i="1"/>
  <c r="E799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D809" i="1"/>
  <c r="L803" i="1"/>
  <c r="H798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G808" i="1"/>
  <c r="C803" i="1"/>
  <c r="K797" i="1"/>
  <c r="G792" i="1"/>
  <c r="C787" i="1"/>
  <c r="G832" i="1"/>
  <c r="C811" i="1"/>
  <c r="BA4" i="4"/>
  <c r="B861" i="1"/>
  <c r="J851" i="1"/>
  <c r="B845" i="1"/>
  <c r="J839" i="1"/>
  <c r="F834" i="1"/>
  <c r="B829" i="1"/>
  <c r="J823" i="1"/>
  <c r="F818" i="1"/>
  <c r="B813" i="1"/>
  <c r="DJ5" i="4"/>
  <c r="AX5" i="4"/>
  <c r="EJ4" i="4"/>
  <c r="BX4" i="4"/>
  <c r="L4" i="4"/>
  <c r="I865" i="1"/>
  <c r="E860" i="1"/>
  <c r="A855" i="1"/>
  <c r="I849" i="1"/>
  <c r="E844" i="1"/>
  <c r="A839" i="1"/>
  <c r="I833" i="1"/>
  <c r="E828" i="1"/>
  <c r="A823" i="1"/>
  <c r="I817" i="1"/>
  <c r="E812" i="1"/>
  <c r="CS5" i="4"/>
  <c r="AG5" i="4"/>
  <c r="DS4" i="4"/>
  <c r="BG4" i="4"/>
  <c r="H869" i="1"/>
  <c r="D864" i="1"/>
  <c r="L858" i="1"/>
  <c r="H853" i="1"/>
  <c r="D848" i="1"/>
  <c r="L842" i="1"/>
  <c r="H837" i="1"/>
  <c r="D832" i="1"/>
  <c r="L826" i="1"/>
  <c r="H821" i="1"/>
  <c r="D816" i="1"/>
  <c r="EL5" i="4"/>
  <c r="BT5" i="4"/>
  <c r="H5" i="4"/>
  <c r="CT4" i="4"/>
  <c r="AH4" i="4"/>
  <c r="G867" i="1"/>
  <c r="C862" i="1"/>
  <c r="K856" i="1"/>
  <c r="G851" i="1"/>
  <c r="C846" i="1"/>
  <c r="K840" i="1"/>
  <c r="G835" i="1"/>
  <c r="C830" i="1"/>
  <c r="K824" i="1"/>
  <c r="G819" i="1"/>
  <c r="C814" i="1"/>
  <c r="CY5" i="4"/>
  <c r="AM5" i="4"/>
  <c r="DY4" i="4"/>
  <c r="BM4" i="4"/>
  <c r="F869" i="1"/>
  <c r="B864" i="1"/>
  <c r="J858" i="1"/>
  <c r="F853" i="1"/>
  <c r="B848" i="1"/>
  <c r="J842" i="1"/>
  <c r="F837" i="1"/>
  <c r="B832" i="1"/>
  <c r="J826" i="1"/>
  <c r="F821" i="1"/>
  <c r="B816" i="1"/>
  <c r="B810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E809" i="1"/>
  <c r="A804" i="1"/>
  <c r="I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H808" i="1"/>
  <c r="D803" i="1"/>
  <c r="L797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K807" i="1"/>
  <c r="G802" i="1"/>
  <c r="C797" i="1"/>
  <c r="K791" i="1"/>
  <c r="G786" i="1"/>
  <c r="K829" i="1"/>
  <c r="DT5" i="4"/>
  <c r="U4" i="4"/>
  <c r="F858" i="1"/>
  <c r="B851" i="1"/>
  <c r="F844" i="1"/>
  <c r="B839" i="1"/>
  <c r="J833" i="1"/>
  <c r="F828" i="1"/>
  <c r="B823" i="1"/>
  <c r="J817" i="1"/>
  <c r="F812" i="1"/>
  <c r="DB5" i="4"/>
  <c r="AP5" i="4"/>
  <c r="EB4" i="4"/>
  <c r="BP4" i="4"/>
  <c r="D4" i="4"/>
  <c r="A865" i="1"/>
  <c r="I859" i="1"/>
  <c r="E854" i="1"/>
  <c r="A849" i="1"/>
  <c r="I843" i="1"/>
  <c r="E838" i="1"/>
  <c r="A833" i="1"/>
  <c r="I827" i="1"/>
  <c r="E822" i="1"/>
  <c r="A817" i="1"/>
  <c r="I811" i="1"/>
  <c r="CK5" i="4"/>
  <c r="Y5" i="4"/>
  <c r="DK4" i="4"/>
  <c r="AY4" i="4"/>
  <c r="L868" i="1"/>
  <c r="H863" i="1"/>
  <c r="D858" i="1"/>
  <c r="L852" i="1"/>
  <c r="H847" i="1"/>
  <c r="D842" i="1"/>
  <c r="L836" i="1"/>
  <c r="H831" i="1"/>
  <c r="D826" i="1"/>
  <c r="L820" i="1"/>
  <c r="H815" i="1"/>
  <c r="DY5" i="4"/>
  <c r="BL5" i="4"/>
  <c r="EX4" i="4"/>
  <c r="CL4" i="4"/>
  <c r="Z4" i="4"/>
  <c r="K866" i="1"/>
  <c r="G861" i="1"/>
  <c r="C856" i="1"/>
  <c r="K850" i="1"/>
  <c r="G845" i="1"/>
  <c r="C840" i="1"/>
  <c r="K834" i="1"/>
  <c r="G829" i="1"/>
  <c r="C824" i="1"/>
  <c r="K818" i="1"/>
  <c r="G813" i="1"/>
  <c r="CQ5" i="4"/>
  <c r="AE5" i="4"/>
  <c r="DQ4" i="4"/>
  <c r="BE4" i="4"/>
  <c r="J868" i="1"/>
  <c r="F863" i="1"/>
  <c r="B858" i="1"/>
  <c r="J852" i="1"/>
  <c r="F847" i="1"/>
  <c r="B842" i="1"/>
  <c r="J836" i="1"/>
  <c r="F831" i="1"/>
  <c r="B826" i="1"/>
  <c r="J820" i="1"/>
  <c r="F815" i="1"/>
  <c r="F809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I808" i="1"/>
  <c r="E803" i="1"/>
  <c r="A798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L807" i="1"/>
  <c r="H802" i="1"/>
  <c r="D797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C807" i="1"/>
  <c r="K801" i="1"/>
  <c r="G796" i="1"/>
  <c r="C791" i="1"/>
  <c r="K785" i="1"/>
  <c r="C827" i="1"/>
  <c r="CM5" i="4"/>
  <c r="B869" i="1"/>
  <c r="J857" i="1"/>
  <c r="F850" i="1"/>
  <c r="J843" i="1"/>
  <c r="F838" i="1"/>
  <c r="B833" i="1"/>
  <c r="J827" i="1"/>
  <c r="F822" i="1"/>
  <c r="B817" i="1"/>
  <c r="J811" i="1"/>
  <c r="CT5" i="4"/>
  <c r="AH5" i="4"/>
  <c r="DT4" i="4"/>
  <c r="BH4" i="4"/>
  <c r="I869" i="1"/>
  <c r="E864" i="1"/>
  <c r="A859" i="1"/>
  <c r="I853" i="1"/>
  <c r="E848" i="1"/>
  <c r="A843" i="1"/>
  <c r="I837" i="1"/>
  <c r="E832" i="1"/>
  <c r="A827" i="1"/>
  <c r="I821" i="1"/>
  <c r="E816" i="1"/>
  <c r="A811" i="1"/>
  <c r="CC5" i="4"/>
  <c r="Q5" i="4"/>
  <c r="DC4" i="4"/>
  <c r="AQ4" i="4"/>
  <c r="D868" i="1"/>
  <c r="L862" i="1"/>
  <c r="H857" i="1"/>
  <c r="D852" i="1"/>
  <c r="L846" i="1"/>
  <c r="H841" i="1"/>
  <c r="D836" i="1"/>
  <c r="L830" i="1"/>
  <c r="H825" i="1"/>
  <c r="D820" i="1"/>
  <c r="L814" i="1"/>
  <c r="DP5" i="4"/>
  <c r="BD5" i="4"/>
  <c r="EP4" i="4"/>
  <c r="CD4" i="4"/>
  <c r="R4" i="4"/>
  <c r="C866" i="1"/>
  <c r="K860" i="1"/>
  <c r="G855" i="1"/>
  <c r="C850" i="1"/>
  <c r="K844" i="1"/>
  <c r="G839" i="1"/>
  <c r="C834" i="1"/>
  <c r="K828" i="1"/>
  <c r="G823" i="1"/>
  <c r="C818" i="1"/>
  <c r="K812" i="1"/>
  <c r="CI5" i="4"/>
  <c r="W5" i="4"/>
  <c r="DI4" i="4"/>
  <c r="AW4" i="4"/>
  <c r="B868" i="1"/>
  <c r="J862" i="1"/>
  <c r="F857" i="1"/>
  <c r="B852" i="1"/>
  <c r="J846" i="1"/>
  <c r="F841" i="1"/>
  <c r="B836" i="1"/>
  <c r="J830" i="1"/>
  <c r="F825" i="1"/>
  <c r="B820" i="1"/>
  <c r="J814" i="1"/>
  <c r="J808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A808" i="1"/>
  <c r="I802" i="1"/>
  <c r="E797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D807" i="1"/>
  <c r="L801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G806" i="1"/>
  <c r="C801" i="1"/>
  <c r="K795" i="1"/>
  <c r="G790" i="1"/>
  <c r="C785" i="1"/>
  <c r="C783" i="1"/>
  <c r="C777" i="1"/>
  <c r="K771" i="1"/>
  <c r="G766" i="1"/>
  <c r="C761" i="1"/>
  <c r="K755" i="1"/>
  <c r="G750" i="1"/>
  <c r="C745" i="1"/>
  <c r="K739" i="1"/>
  <c r="G734" i="1"/>
  <c r="C729" i="1"/>
  <c r="B809" i="1"/>
  <c r="J803" i="1"/>
  <c r="F798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E806" i="1"/>
  <c r="A801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D808" i="1"/>
  <c r="L802" i="1"/>
  <c r="H797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C806" i="1"/>
  <c r="K800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E728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J727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I727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A726" i="1"/>
  <c r="H720" i="1"/>
  <c r="D715" i="1"/>
  <c r="L709" i="1"/>
  <c r="H704" i="1"/>
  <c r="D699" i="1"/>
  <c r="L693" i="1"/>
  <c r="H688" i="1"/>
  <c r="G782" i="1"/>
  <c r="G776" i="1"/>
  <c r="C771" i="1"/>
  <c r="K765" i="1"/>
  <c r="G760" i="1"/>
  <c r="C755" i="1"/>
  <c r="K749" i="1"/>
  <c r="G744" i="1"/>
  <c r="C739" i="1"/>
  <c r="K733" i="1"/>
  <c r="G728" i="1"/>
  <c r="F808" i="1"/>
  <c r="B803" i="1"/>
  <c r="J797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I805" i="1"/>
  <c r="E800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H807" i="1"/>
  <c r="D802" i="1"/>
  <c r="L796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G805" i="1"/>
  <c r="C800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D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C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B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D725" i="1"/>
  <c r="L719" i="1"/>
  <c r="H714" i="1"/>
  <c r="D709" i="1"/>
  <c r="L703" i="1"/>
  <c r="H698" i="1"/>
  <c r="D693" i="1"/>
  <c r="K781" i="1"/>
  <c r="K775" i="1"/>
  <c r="G770" i="1"/>
  <c r="C765" i="1"/>
  <c r="K759" i="1"/>
  <c r="G754" i="1"/>
  <c r="C749" i="1"/>
  <c r="K743" i="1"/>
  <c r="G738" i="1"/>
  <c r="C733" i="1"/>
  <c r="K727" i="1"/>
  <c r="J807" i="1"/>
  <c r="F802" i="1"/>
  <c r="B797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E810" i="1"/>
  <c r="A805" i="1"/>
  <c r="I799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L806" i="1"/>
  <c r="H801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C810" i="1"/>
  <c r="K804" i="1"/>
  <c r="G799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H724" i="1"/>
  <c r="D719" i="1"/>
  <c r="L713" i="1"/>
  <c r="H708" i="1"/>
  <c r="D703" i="1"/>
  <c r="L697" i="1"/>
  <c r="H692" i="1"/>
  <c r="C781" i="1"/>
  <c r="C775" i="1"/>
  <c r="K769" i="1"/>
  <c r="G764" i="1"/>
  <c r="C759" i="1"/>
  <c r="K753" i="1"/>
  <c r="G748" i="1"/>
  <c r="C743" i="1"/>
  <c r="K737" i="1"/>
  <c r="G732" i="1"/>
  <c r="C727" i="1"/>
  <c r="B807" i="1"/>
  <c r="J801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I809" i="1"/>
  <c r="E804" i="1"/>
  <c r="A799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D806" i="1"/>
  <c r="L800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G809" i="1"/>
  <c r="C804" i="1"/>
  <c r="K798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L723" i="1"/>
  <c r="H718" i="1"/>
  <c r="D713" i="1"/>
  <c r="L707" i="1"/>
  <c r="H702" i="1"/>
  <c r="D697" i="1"/>
  <c r="G780" i="1"/>
  <c r="G774" i="1"/>
  <c r="C769" i="1"/>
  <c r="K763" i="1"/>
  <c r="G758" i="1"/>
  <c r="C753" i="1"/>
  <c r="K747" i="1"/>
  <c r="G742" i="1"/>
  <c r="C737" i="1"/>
  <c r="K731" i="1"/>
  <c r="G726" i="1"/>
  <c r="F806" i="1"/>
  <c r="B801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A809" i="1"/>
  <c r="I803" i="1"/>
  <c r="E798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H805" i="1"/>
  <c r="D800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K808" i="1"/>
  <c r="G803" i="1"/>
  <c r="C798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D723" i="1"/>
  <c r="L717" i="1"/>
  <c r="K779" i="1"/>
  <c r="K773" i="1"/>
  <c r="G768" i="1"/>
  <c r="C763" i="1"/>
  <c r="K757" i="1"/>
  <c r="G752" i="1"/>
  <c r="C747" i="1"/>
  <c r="K741" i="1"/>
  <c r="G736" i="1"/>
  <c r="C731" i="1"/>
  <c r="K725" i="1"/>
  <c r="J805" i="1"/>
  <c r="F800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E808" i="1"/>
  <c r="A803" i="1"/>
  <c r="I797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D810" i="1"/>
  <c r="L804" i="1"/>
  <c r="H799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C808" i="1"/>
  <c r="K802" i="1"/>
  <c r="G797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H722" i="1"/>
  <c r="D717" i="1"/>
  <c r="G778" i="1"/>
  <c r="C773" i="1"/>
  <c r="K767" i="1"/>
  <c r="G762" i="1"/>
  <c r="C757" i="1"/>
  <c r="K751" i="1"/>
  <c r="G746" i="1"/>
  <c r="C741" i="1"/>
  <c r="K735" i="1"/>
  <c r="G730" i="1"/>
  <c r="J810" i="1"/>
  <c r="B805" i="1"/>
  <c r="J799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I807" i="1"/>
  <c r="E802" i="1"/>
  <c r="A797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H809" i="1"/>
  <c r="D804" i="1"/>
  <c r="L798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G807" i="1"/>
  <c r="C802" i="1"/>
  <c r="K796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L721" i="1"/>
  <c r="H716" i="1"/>
  <c r="D711" i="1"/>
  <c r="L705" i="1"/>
  <c r="H700" i="1"/>
  <c r="D695" i="1"/>
  <c r="L689" i="1"/>
  <c r="K777" i="1"/>
  <c r="G772" i="1"/>
  <c r="C767" i="1"/>
  <c r="K761" i="1"/>
  <c r="G756" i="1"/>
  <c r="C751" i="1"/>
  <c r="K745" i="1"/>
  <c r="G740" i="1"/>
  <c r="C735" i="1"/>
  <c r="K729" i="1"/>
  <c r="J809" i="1"/>
  <c r="F804" i="1"/>
  <c r="B799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A807" i="1"/>
  <c r="I801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L808" i="1"/>
  <c r="H803" i="1"/>
  <c r="D798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K806" i="1"/>
  <c r="G801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B727" i="1"/>
  <c r="D721" i="1"/>
  <c r="L715" i="1"/>
  <c r="H710" i="1"/>
  <c r="D705" i="1"/>
  <c r="L699" i="1"/>
  <c r="H694" i="1"/>
  <c r="H712" i="1"/>
  <c r="L691" i="1"/>
  <c r="D685" i="1"/>
  <c r="L679" i="1"/>
  <c r="H674" i="1"/>
  <c r="D669" i="1"/>
  <c r="L663" i="1"/>
  <c r="H658" i="1"/>
  <c r="D653" i="1"/>
  <c r="L647" i="1"/>
  <c r="H642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L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A640" i="1"/>
  <c r="I634" i="1"/>
  <c r="E629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H640" i="1"/>
  <c r="D635" i="1"/>
  <c r="L629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G640" i="1"/>
  <c r="C635" i="1"/>
  <c r="K629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F640" i="1"/>
  <c r="B635" i="1"/>
  <c r="J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E640" i="1"/>
  <c r="A635" i="1"/>
  <c r="I629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D640" i="1"/>
  <c r="L634" i="1"/>
  <c r="H629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C640" i="1"/>
  <c r="K634" i="1"/>
  <c r="G629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B640" i="1"/>
  <c r="J634" i="1"/>
  <c r="F629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711" i="1"/>
  <c r="D691" i="1"/>
  <c r="H684" i="1"/>
  <c r="D679" i="1"/>
  <c r="L673" i="1"/>
  <c r="H668" i="1"/>
  <c r="D663" i="1"/>
  <c r="L657" i="1"/>
  <c r="H652" i="1"/>
  <c r="D647" i="1"/>
  <c r="A727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E639" i="1"/>
  <c r="A634" i="1"/>
  <c r="I628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L639" i="1"/>
  <c r="H634" i="1"/>
  <c r="D629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K639" i="1"/>
  <c r="G634" i="1"/>
  <c r="C629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J639" i="1"/>
  <c r="F634" i="1"/>
  <c r="B629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I639" i="1"/>
  <c r="E634" i="1"/>
  <c r="A62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H639" i="1"/>
  <c r="D634" i="1"/>
  <c r="L628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G639" i="1"/>
  <c r="C634" i="1"/>
  <c r="K628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F639" i="1"/>
  <c r="B634" i="1"/>
  <c r="J628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707" i="1"/>
  <c r="H690" i="1"/>
  <c r="L683" i="1"/>
  <c r="H678" i="1"/>
  <c r="D673" i="1"/>
  <c r="L667" i="1"/>
  <c r="H662" i="1"/>
  <c r="D657" i="1"/>
  <c r="L651" i="1"/>
  <c r="H646" i="1"/>
  <c r="L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I638" i="1"/>
  <c r="E633" i="1"/>
  <c r="A628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D639" i="1"/>
  <c r="L633" i="1"/>
  <c r="H628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C639" i="1"/>
  <c r="K633" i="1"/>
  <c r="G628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B639" i="1"/>
  <c r="J633" i="1"/>
  <c r="F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A639" i="1"/>
  <c r="I633" i="1"/>
  <c r="E628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L638" i="1"/>
  <c r="H633" i="1"/>
  <c r="D628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K638" i="1"/>
  <c r="G633" i="1"/>
  <c r="C62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J638" i="1"/>
  <c r="F633" i="1"/>
  <c r="B62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706" i="1"/>
  <c r="D689" i="1"/>
  <c r="D683" i="1"/>
  <c r="L677" i="1"/>
  <c r="H672" i="1"/>
  <c r="D667" i="1"/>
  <c r="L661" i="1"/>
  <c r="H656" i="1"/>
  <c r="D651" i="1"/>
  <c r="L645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A638" i="1"/>
  <c r="I632" i="1"/>
  <c r="E627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H638" i="1"/>
  <c r="D633" i="1"/>
  <c r="L627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G638" i="1"/>
  <c r="C633" i="1"/>
  <c r="K627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F638" i="1"/>
  <c r="B633" i="1"/>
  <c r="J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E638" i="1"/>
  <c r="A633" i="1"/>
  <c r="I627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D638" i="1"/>
  <c r="L632" i="1"/>
  <c r="H627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C638" i="1"/>
  <c r="K632" i="1"/>
  <c r="G627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B638" i="1"/>
  <c r="J632" i="1"/>
  <c r="F627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701" i="1"/>
  <c r="L687" i="1"/>
  <c r="H682" i="1"/>
  <c r="D677" i="1"/>
  <c r="L671" i="1"/>
  <c r="H666" i="1"/>
  <c r="D661" i="1"/>
  <c r="L655" i="1"/>
  <c r="H650" i="1"/>
  <c r="D645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E637" i="1"/>
  <c r="A632" i="1"/>
  <c r="I626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L637" i="1"/>
  <c r="H632" i="1"/>
  <c r="D627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K637" i="1"/>
  <c r="G632" i="1"/>
  <c r="C627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J637" i="1"/>
  <c r="F632" i="1"/>
  <c r="B627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I637" i="1"/>
  <c r="E632" i="1"/>
  <c r="A62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H637" i="1"/>
  <c r="D632" i="1"/>
  <c r="L626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G637" i="1"/>
  <c r="C632" i="1"/>
  <c r="K626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F637" i="1"/>
  <c r="B632" i="1"/>
  <c r="J626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701" i="1"/>
  <c r="D687" i="1"/>
  <c r="L681" i="1"/>
  <c r="H676" i="1"/>
  <c r="D671" i="1"/>
  <c r="L665" i="1"/>
  <c r="H660" i="1"/>
  <c r="D655" i="1"/>
  <c r="L649" i="1"/>
  <c r="H644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A642" i="1"/>
  <c r="I636" i="1"/>
  <c r="E631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D637" i="1"/>
  <c r="L631" i="1"/>
  <c r="H626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C637" i="1"/>
  <c r="K631" i="1"/>
  <c r="G626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B637" i="1"/>
  <c r="J631" i="1"/>
  <c r="F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A637" i="1"/>
  <c r="I631" i="1"/>
  <c r="E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L636" i="1"/>
  <c r="H631" i="1"/>
  <c r="D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K636" i="1"/>
  <c r="G631" i="1"/>
  <c r="C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J636" i="1"/>
  <c r="F631" i="1"/>
  <c r="B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696" i="1"/>
  <c r="H686" i="1"/>
  <c r="D681" i="1"/>
  <c r="L675" i="1"/>
  <c r="H670" i="1"/>
  <c r="D665" i="1"/>
  <c r="L659" i="1"/>
  <c r="H654" i="1"/>
  <c r="D649" i="1"/>
  <c r="L643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E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E641" i="1"/>
  <c r="A636" i="1"/>
  <c r="I630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L641" i="1"/>
  <c r="H636" i="1"/>
  <c r="D631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K641" i="1"/>
  <c r="G636" i="1"/>
  <c r="C631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J641" i="1"/>
  <c r="F636" i="1"/>
  <c r="B631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I641" i="1"/>
  <c r="E636" i="1"/>
  <c r="A63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H641" i="1"/>
  <c r="D636" i="1"/>
  <c r="L630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G641" i="1"/>
  <c r="C636" i="1"/>
  <c r="K630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F641" i="1"/>
  <c r="B636" i="1"/>
  <c r="J630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L695" i="1"/>
  <c r="L685" i="1"/>
  <c r="H680" i="1"/>
  <c r="D675" i="1"/>
  <c r="L669" i="1"/>
  <c r="H664" i="1"/>
  <c r="D659" i="1"/>
  <c r="L653" i="1"/>
  <c r="H648" i="1"/>
  <c r="D643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F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I640" i="1"/>
  <c r="E635" i="1"/>
  <c r="A630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D641" i="1"/>
  <c r="L635" i="1"/>
  <c r="H630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C641" i="1"/>
  <c r="K635" i="1"/>
  <c r="G630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B641" i="1"/>
  <c r="J635" i="1"/>
  <c r="F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A641" i="1"/>
  <c r="I635" i="1"/>
  <c r="E630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L640" i="1"/>
  <c r="H635" i="1"/>
  <c r="D630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K640" i="1"/>
  <c r="G635" i="1"/>
  <c r="C63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J640" i="1"/>
  <c r="F635" i="1"/>
  <c r="B63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H448" i="1"/>
  <c r="L437" i="1"/>
  <c r="H432" i="1"/>
  <c r="D427" i="1"/>
  <c r="L421" i="1"/>
  <c r="H416" i="1"/>
  <c r="D411" i="1"/>
  <c r="L405" i="1"/>
  <c r="H400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A401" i="1"/>
  <c r="C394" i="1"/>
  <c r="B388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G400" i="1"/>
  <c r="B394" i="1"/>
  <c r="L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D399" i="1"/>
  <c r="C393" i="1"/>
  <c r="B387" i="1"/>
  <c r="J381" i="1"/>
  <c r="F376" i="1"/>
  <c r="B371" i="1"/>
  <c r="J365" i="1"/>
  <c r="F360" i="1"/>
  <c r="D443" i="1"/>
  <c r="D437" i="1"/>
  <c r="L431" i="1"/>
  <c r="H426" i="1"/>
  <c r="D421" i="1"/>
  <c r="L415" i="1"/>
  <c r="H410" i="1"/>
  <c r="D405" i="1"/>
  <c r="L399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B554" i="1"/>
  <c r="J548" i="1"/>
  <c r="F543" i="1"/>
  <c r="B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G399" i="1"/>
  <c r="F393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F399" i="1"/>
  <c r="D393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G398" i="1"/>
  <c r="F392" i="1"/>
  <c r="F386" i="1"/>
  <c r="B381" i="1"/>
  <c r="J375" i="1"/>
  <c r="F370" i="1"/>
  <c r="B365" i="1"/>
  <c r="J359" i="1"/>
  <c r="L441" i="1"/>
  <c r="H436" i="1"/>
  <c r="D431" i="1"/>
  <c r="L425" i="1"/>
  <c r="H420" i="1"/>
  <c r="D415" i="1"/>
  <c r="L409" i="1"/>
  <c r="H404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F553" i="1"/>
  <c r="B548" i="1"/>
  <c r="J54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H392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398" i="1"/>
  <c r="G392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J397" i="1"/>
  <c r="I391" i="1"/>
  <c r="J385" i="1"/>
  <c r="F380" i="1"/>
  <c r="B375" i="1"/>
  <c r="J369" i="1"/>
  <c r="F364" i="1"/>
  <c r="D441" i="1"/>
  <c r="L435" i="1"/>
  <c r="H430" i="1"/>
  <c r="D425" i="1"/>
  <c r="L419" i="1"/>
  <c r="H414" i="1"/>
  <c r="D409" i="1"/>
  <c r="L403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L397" i="1"/>
  <c r="K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K397" i="1"/>
  <c r="J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A397" i="1"/>
  <c r="L390" i="1"/>
  <c r="B385" i="1"/>
  <c r="J379" i="1"/>
  <c r="F374" i="1"/>
  <c r="B369" i="1"/>
  <c r="J363" i="1"/>
  <c r="H440" i="1"/>
  <c r="D435" i="1"/>
  <c r="L429" i="1"/>
  <c r="H424" i="1"/>
  <c r="D419" i="1"/>
  <c r="L413" i="1"/>
  <c r="H408" i="1"/>
  <c r="D403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C397" i="1"/>
  <c r="B391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B397" i="1"/>
  <c r="A391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D396" i="1"/>
  <c r="C390" i="1"/>
  <c r="F384" i="1"/>
  <c r="B379" i="1"/>
  <c r="J373" i="1"/>
  <c r="F368" i="1"/>
  <c r="B363" i="1"/>
  <c r="L439" i="1"/>
  <c r="H434" i="1"/>
  <c r="D429" i="1"/>
  <c r="L423" i="1"/>
  <c r="H418" i="1"/>
  <c r="D413" i="1"/>
  <c r="L407" i="1"/>
  <c r="H402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F396" i="1"/>
  <c r="E390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E396" i="1"/>
  <c r="D390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395" i="1"/>
  <c r="F389" i="1"/>
  <c r="J383" i="1"/>
  <c r="F378" i="1"/>
  <c r="B373" i="1"/>
  <c r="J367" i="1"/>
  <c r="F362" i="1"/>
  <c r="D439" i="1"/>
  <c r="L433" i="1"/>
  <c r="H428" i="1"/>
  <c r="D423" i="1"/>
  <c r="L417" i="1"/>
  <c r="H412" i="1"/>
  <c r="D407" i="1"/>
  <c r="L401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I395" i="1"/>
  <c r="H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H395" i="1"/>
  <c r="G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J394" i="1"/>
  <c r="H388" i="1"/>
  <c r="B383" i="1"/>
  <c r="J377" i="1"/>
  <c r="F372" i="1"/>
  <c r="B367" i="1"/>
  <c r="J361" i="1"/>
  <c r="H438" i="1"/>
  <c r="D433" i="1"/>
  <c r="L427" i="1"/>
  <c r="H422" i="1"/>
  <c r="D417" i="1"/>
  <c r="L411" i="1"/>
  <c r="H406" i="1"/>
  <c r="D401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L394" i="1"/>
  <c r="K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K394" i="1"/>
  <c r="J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E400" i="1"/>
  <c r="L393" i="1"/>
  <c r="K387" i="1"/>
  <c r="F382" i="1"/>
  <c r="B377" i="1"/>
  <c r="J371" i="1"/>
  <c r="F366" i="1"/>
  <c r="B361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C396" i="1"/>
  <c r="B390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D395" i="1"/>
  <c r="C389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F394" i="1"/>
  <c r="E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J399" i="1"/>
  <c r="H393" i="1"/>
  <c r="G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B398" i="1"/>
  <c r="L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D227" i="1"/>
  <c r="L221" i="1"/>
  <c r="H216" i="1"/>
  <c r="D211" i="1"/>
  <c r="L205" i="1"/>
  <c r="H200" i="1"/>
  <c r="D195" i="1"/>
  <c r="L189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F395" i="1"/>
  <c r="D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G394" i="1"/>
  <c r="F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K399" i="1"/>
  <c r="I393" i="1"/>
  <c r="H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L398" i="1"/>
  <c r="K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D397" i="1"/>
  <c r="C391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H226" i="1"/>
  <c r="D221" i="1"/>
  <c r="L215" i="1"/>
  <c r="H210" i="1"/>
  <c r="D205" i="1"/>
  <c r="L199" i="1"/>
  <c r="H194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H394" i="1"/>
  <c r="G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B400" i="1"/>
  <c r="J393" i="1"/>
  <c r="I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A399" i="1"/>
  <c r="L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C398" i="1"/>
  <c r="B392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G396" i="1"/>
  <c r="F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L225" i="1"/>
  <c r="H220" i="1"/>
  <c r="D215" i="1"/>
  <c r="L209" i="1"/>
  <c r="H204" i="1"/>
  <c r="D199" i="1"/>
  <c r="L193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C400" i="1"/>
  <c r="K393" i="1"/>
  <c r="J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B399" i="1"/>
  <c r="A393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D398" i="1"/>
  <c r="C392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F397" i="1"/>
  <c r="D391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J395" i="1"/>
  <c r="I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D225" i="1"/>
  <c r="L219" i="1"/>
  <c r="H214" i="1"/>
  <c r="D209" i="1"/>
  <c r="L203" i="1"/>
  <c r="H198" i="1"/>
  <c r="D193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C399" i="1"/>
  <c r="B393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E398" i="1"/>
  <c r="D392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G397" i="1"/>
  <c r="F391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H396" i="1"/>
  <c r="G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A395" i="1"/>
  <c r="L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B229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H224" i="1"/>
  <c r="D219" i="1"/>
  <c r="L213" i="1"/>
  <c r="H208" i="1"/>
  <c r="D203" i="1"/>
  <c r="L197" i="1"/>
  <c r="H192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F398" i="1"/>
  <c r="E392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H397" i="1"/>
  <c r="G391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J396" i="1"/>
  <c r="H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395" i="1"/>
  <c r="J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D394" i="1"/>
  <c r="C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L223" i="1"/>
  <c r="H218" i="1"/>
  <c r="D213" i="1"/>
  <c r="L207" i="1"/>
  <c r="H202" i="1"/>
  <c r="D197" i="1"/>
  <c r="L191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I397" i="1"/>
  <c r="H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K396" i="1"/>
  <c r="J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395" i="1"/>
  <c r="K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B395" i="1"/>
  <c r="A389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I399" i="1"/>
  <c r="G393" i="1"/>
  <c r="F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I228" i="1"/>
  <c r="D223" i="1"/>
  <c r="L217" i="1"/>
  <c r="H212" i="1"/>
  <c r="D207" i="1"/>
  <c r="L201" i="1"/>
  <c r="H196" i="1"/>
  <c r="D191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L396" i="1"/>
  <c r="K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B396" i="1"/>
  <c r="L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C395" i="1"/>
  <c r="B389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E394" i="1"/>
  <c r="D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K398" i="1"/>
  <c r="J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L227" i="1"/>
  <c r="H222" i="1"/>
  <c r="D217" i="1"/>
  <c r="L211" i="1"/>
  <c r="H206" i="1"/>
  <c r="D201" i="1"/>
  <c r="L195" i="1"/>
  <c r="H190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K57" i="1"/>
  <c r="F52" i="1"/>
  <c r="B47" i="1"/>
  <c r="J41" i="1"/>
  <c r="F36" i="1"/>
  <c r="B31" i="1"/>
  <c r="J25" i="1"/>
  <c r="F20" i="1"/>
  <c r="B15" i="1"/>
  <c r="J9" i="1"/>
  <c r="F4" i="1"/>
  <c r="I53" i="1"/>
  <c r="E48" i="1"/>
  <c r="A43" i="1"/>
  <c r="I37" i="1"/>
  <c r="E32" i="1"/>
  <c r="A27" i="1"/>
  <c r="I21" i="1"/>
  <c r="E16" i="1"/>
  <c r="A11" i="1"/>
  <c r="I5" i="1"/>
  <c r="L54" i="1"/>
  <c r="H49" i="1"/>
  <c r="D44" i="1"/>
  <c r="L38" i="1"/>
  <c r="H33" i="1"/>
  <c r="D28" i="1"/>
  <c r="L22" i="1"/>
  <c r="H17" i="1"/>
  <c r="D12" i="1"/>
  <c r="L6" i="1"/>
  <c r="C56" i="1"/>
  <c r="K50" i="1"/>
  <c r="G45" i="1"/>
  <c r="C40" i="1"/>
  <c r="K34" i="1"/>
  <c r="G29" i="1"/>
  <c r="C24" i="1"/>
  <c r="K18" i="1"/>
  <c r="G13" i="1"/>
  <c r="C8" i="1"/>
  <c r="G57" i="1"/>
  <c r="B52" i="1"/>
  <c r="J46" i="1"/>
  <c r="F41" i="1"/>
  <c r="B36" i="1"/>
  <c r="J30" i="1"/>
  <c r="F25" i="1"/>
  <c r="B20" i="1"/>
  <c r="J14" i="1"/>
  <c r="F9" i="1"/>
  <c r="B4" i="1"/>
  <c r="E53" i="1"/>
  <c r="A48" i="1"/>
  <c r="I42" i="1"/>
  <c r="E37" i="1"/>
  <c r="A32" i="1"/>
  <c r="I26" i="1"/>
  <c r="E21" i="1"/>
  <c r="A16" i="1"/>
  <c r="I10" i="1"/>
  <c r="E5" i="1"/>
  <c r="H54" i="1"/>
  <c r="D49" i="1"/>
  <c r="L43" i="1"/>
  <c r="H38" i="1"/>
  <c r="D33" i="1"/>
  <c r="L27" i="1"/>
  <c r="H22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B57" i="1"/>
  <c r="J51" i="1"/>
  <c r="F46" i="1"/>
  <c r="B41" i="1"/>
  <c r="J35" i="1"/>
  <c r="F30" i="1"/>
  <c r="B25" i="1"/>
  <c r="J19" i="1"/>
  <c r="F14" i="1"/>
  <c r="B9" i="1"/>
  <c r="G58" i="1"/>
  <c r="A53" i="1"/>
  <c r="I47" i="1"/>
  <c r="E42" i="1"/>
  <c r="A37" i="1"/>
  <c r="I31" i="1"/>
  <c r="E26" i="1"/>
  <c r="A21" i="1"/>
  <c r="I15" i="1"/>
  <c r="E10" i="1"/>
  <c r="A5" i="1"/>
  <c r="D54" i="1"/>
  <c r="L48" i="1"/>
  <c r="H43" i="1"/>
  <c r="D38" i="1"/>
  <c r="L32" i="1"/>
  <c r="H27" i="1"/>
  <c r="D22" i="1"/>
  <c r="L16" i="1"/>
  <c r="H11" i="1"/>
  <c r="D6" i="1"/>
  <c r="G55" i="1"/>
  <c r="C50" i="1"/>
  <c r="K44" i="1"/>
  <c r="G39" i="1"/>
  <c r="C34" i="1"/>
  <c r="K28" i="1"/>
  <c r="G23" i="1"/>
  <c r="C18" i="1"/>
  <c r="K12" i="1"/>
  <c r="G7" i="1"/>
  <c r="J56" i="1"/>
  <c r="F51" i="1"/>
  <c r="B46" i="1"/>
  <c r="J40" i="1"/>
  <c r="F35" i="1"/>
  <c r="B30" i="1"/>
  <c r="J24" i="1"/>
  <c r="F19" i="1"/>
  <c r="B14" i="1"/>
  <c r="J8" i="1"/>
  <c r="C58" i="1"/>
  <c r="I52" i="1"/>
  <c r="E47" i="1"/>
  <c r="A42" i="1"/>
  <c r="I36" i="1"/>
  <c r="E31" i="1"/>
  <c r="A26" i="1"/>
  <c r="I20" i="1"/>
  <c r="E15" i="1"/>
  <c r="A10" i="1"/>
  <c r="I4" i="1"/>
  <c r="L53" i="1"/>
  <c r="H48" i="1"/>
  <c r="D43" i="1"/>
  <c r="L37" i="1"/>
  <c r="H32" i="1"/>
  <c r="D27" i="1"/>
  <c r="L21" i="1"/>
  <c r="H16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F56" i="1"/>
  <c r="B51" i="1"/>
  <c r="J45" i="1"/>
  <c r="F40" i="1"/>
  <c r="B35" i="1"/>
  <c r="J29" i="1"/>
  <c r="F24" i="1"/>
  <c r="B19" i="1"/>
  <c r="J13" i="1"/>
  <c r="F8" i="1"/>
  <c r="J57" i="1"/>
  <c r="E52" i="1"/>
  <c r="A47" i="1"/>
  <c r="I41" i="1"/>
  <c r="E36" i="1"/>
  <c r="A31" i="1"/>
  <c r="I25" i="1"/>
  <c r="E20" i="1"/>
  <c r="A15" i="1"/>
  <c r="I9" i="1"/>
  <c r="E4" i="1"/>
  <c r="H53" i="1"/>
  <c r="D48" i="1"/>
  <c r="L42" i="1"/>
  <c r="H37" i="1"/>
  <c r="D32" i="1"/>
  <c r="L26" i="1"/>
  <c r="H21" i="1"/>
  <c r="D16" i="1"/>
  <c r="L10" i="1"/>
  <c r="H5" i="1"/>
  <c r="K54" i="1"/>
  <c r="G49" i="1"/>
  <c r="C44" i="1"/>
  <c r="K38" i="1"/>
  <c r="G33" i="1"/>
  <c r="C28" i="1"/>
  <c r="K22" i="1"/>
  <c r="G17" i="1"/>
  <c r="C12" i="1"/>
  <c r="K6" i="1"/>
  <c r="B56" i="1"/>
  <c r="J50" i="1"/>
  <c r="F45" i="1"/>
  <c r="B40" i="1"/>
  <c r="J34" i="1"/>
  <c r="F29" i="1"/>
  <c r="B24" i="1"/>
  <c r="J18" i="1"/>
  <c r="F13" i="1"/>
  <c r="B8" i="1"/>
  <c r="E57" i="1"/>
  <c r="A52" i="1"/>
  <c r="I46" i="1"/>
  <c r="E41" i="1"/>
  <c r="A36" i="1"/>
  <c r="I30" i="1"/>
  <c r="E25" i="1"/>
  <c r="A20" i="1"/>
  <c r="I14" i="1"/>
  <c r="E9" i="1"/>
  <c r="A4" i="1"/>
  <c r="D53" i="1"/>
  <c r="L47" i="1"/>
  <c r="H42" i="1"/>
  <c r="D37" i="1"/>
  <c r="L31" i="1"/>
  <c r="H26" i="1"/>
  <c r="D21" i="1"/>
  <c r="L15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J55" i="1"/>
  <c r="F50" i="1"/>
  <c r="B45" i="1"/>
  <c r="J39" i="1"/>
  <c r="F34" i="1"/>
  <c r="B29" i="1"/>
  <c r="J23" i="1"/>
  <c r="F18" i="1"/>
  <c r="B13" i="1"/>
  <c r="J7" i="1"/>
  <c r="A57" i="1"/>
  <c r="I51" i="1"/>
  <c r="E46" i="1"/>
  <c r="A41" i="1"/>
  <c r="I35" i="1"/>
  <c r="E30" i="1"/>
  <c r="A25" i="1"/>
  <c r="I19" i="1"/>
  <c r="E14" i="1"/>
  <c r="A9" i="1"/>
  <c r="F58" i="1"/>
  <c r="L52" i="1"/>
  <c r="H47" i="1"/>
  <c r="D42" i="1"/>
  <c r="L36" i="1"/>
  <c r="H31" i="1"/>
  <c r="D26" i="1"/>
  <c r="L20" i="1"/>
  <c r="H15" i="1"/>
  <c r="D10" i="1"/>
  <c r="L4" i="1"/>
  <c r="C54" i="1"/>
  <c r="K48" i="1"/>
  <c r="G43" i="1"/>
  <c r="C38" i="1"/>
  <c r="K32" i="1"/>
  <c r="G27" i="1"/>
  <c r="C22" i="1"/>
  <c r="K16" i="1"/>
  <c r="G11" i="1"/>
  <c r="C6" i="1"/>
  <c r="F55" i="1"/>
  <c r="B50" i="1"/>
  <c r="J44" i="1"/>
  <c r="F39" i="1"/>
  <c r="B34" i="1"/>
  <c r="J28" i="1"/>
  <c r="F23" i="1"/>
  <c r="B18" i="1"/>
  <c r="J12" i="1"/>
  <c r="F7" i="1"/>
  <c r="I56" i="1"/>
  <c r="E51" i="1"/>
  <c r="A46" i="1"/>
  <c r="I40" i="1"/>
  <c r="E35" i="1"/>
  <c r="A30" i="1"/>
  <c r="I24" i="1"/>
  <c r="E19" i="1"/>
  <c r="A14" i="1"/>
  <c r="I8" i="1"/>
  <c r="A58" i="1"/>
  <c r="H52" i="1"/>
  <c r="D47" i="1"/>
  <c r="L41" i="1"/>
  <c r="H36" i="1"/>
  <c r="D31" i="1"/>
  <c r="L25" i="1"/>
  <c r="H20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B55" i="1"/>
  <c r="J49" i="1"/>
  <c r="F44" i="1"/>
  <c r="B39" i="1"/>
  <c r="J33" i="1"/>
  <c r="F28" i="1"/>
  <c r="B23" i="1"/>
  <c r="J17" i="1"/>
  <c r="F12" i="1"/>
  <c r="B7" i="1"/>
  <c r="E56" i="1"/>
  <c r="A51" i="1"/>
  <c r="I45" i="1"/>
  <c r="E40" i="1"/>
  <c r="A35" i="1"/>
  <c r="I29" i="1"/>
  <c r="E24" i="1"/>
  <c r="A19" i="1"/>
  <c r="I13" i="1"/>
  <c r="E8" i="1"/>
  <c r="I57" i="1"/>
  <c r="D52" i="1"/>
  <c r="L46" i="1"/>
  <c r="H41" i="1"/>
  <c r="D36" i="1"/>
  <c r="L30" i="1"/>
  <c r="H25" i="1"/>
  <c r="D20" i="1"/>
  <c r="L14" i="1"/>
  <c r="H9" i="1"/>
  <c r="D4" i="1"/>
  <c r="G53" i="1"/>
  <c r="C48" i="1"/>
  <c r="K42" i="1"/>
  <c r="G37" i="1"/>
  <c r="C32" i="1"/>
  <c r="K26" i="1"/>
  <c r="G21" i="1"/>
  <c r="C16" i="1"/>
  <c r="K10" i="1"/>
  <c r="G5" i="1"/>
  <c r="J54" i="1"/>
  <c r="F49" i="1"/>
  <c r="B44" i="1"/>
  <c r="J38" i="1"/>
  <c r="F33" i="1"/>
  <c r="B28" i="1"/>
  <c r="J22" i="1"/>
  <c r="F17" i="1"/>
  <c r="B12" i="1"/>
  <c r="J6" i="1"/>
  <c r="A56" i="1"/>
  <c r="I50" i="1"/>
  <c r="E45" i="1"/>
  <c r="A40" i="1"/>
  <c r="I34" i="1"/>
  <c r="E29" i="1"/>
  <c r="A24" i="1"/>
  <c r="I18" i="1"/>
  <c r="E13" i="1"/>
  <c r="A8" i="1"/>
  <c r="D57" i="1"/>
  <c r="L51" i="1"/>
  <c r="H46" i="1"/>
  <c r="D41" i="1"/>
  <c r="L35" i="1"/>
  <c r="H30" i="1"/>
  <c r="D25" i="1"/>
  <c r="L19" i="1"/>
  <c r="H14" i="1"/>
  <c r="D9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F54" i="1"/>
  <c r="B49" i="1"/>
  <c r="J43" i="1"/>
  <c r="F38" i="1"/>
  <c r="B33" i="1"/>
  <c r="J27" i="1"/>
  <c r="F22" i="1"/>
  <c r="B17" i="1"/>
  <c r="J11" i="1"/>
  <c r="F6" i="1"/>
  <c r="I55" i="1"/>
  <c r="E50" i="1"/>
  <c r="A45" i="1"/>
  <c r="I39" i="1"/>
  <c r="E34" i="1"/>
  <c r="A29" i="1"/>
  <c r="I23" i="1"/>
  <c r="E18" i="1"/>
  <c r="A13" i="1"/>
  <c r="I7" i="1"/>
  <c r="L56" i="1"/>
  <c r="H51" i="1"/>
  <c r="D46" i="1"/>
  <c r="L40" i="1"/>
  <c r="H35" i="1"/>
  <c r="D30" i="1"/>
  <c r="L24" i="1"/>
  <c r="H19" i="1"/>
  <c r="D14" i="1"/>
  <c r="L8" i="1"/>
  <c r="E58" i="1"/>
  <c r="K52" i="1"/>
  <c r="G47" i="1"/>
  <c r="C42" i="1"/>
  <c r="K36" i="1"/>
  <c r="G31" i="1"/>
  <c r="C26" i="1"/>
  <c r="K20" i="1"/>
  <c r="G15" i="1"/>
  <c r="C10" i="1"/>
  <c r="K4" i="1"/>
  <c r="B54" i="1"/>
  <c r="J48" i="1"/>
  <c r="F43" i="1"/>
  <c r="B38" i="1"/>
  <c r="J32" i="1"/>
  <c r="F27" i="1"/>
  <c r="B22" i="1"/>
  <c r="J16" i="1"/>
  <c r="F11" i="1"/>
  <c r="B6" i="1"/>
  <c r="E55" i="1"/>
  <c r="A50" i="1"/>
  <c r="I44" i="1"/>
  <c r="E39" i="1"/>
  <c r="A34" i="1"/>
  <c r="I28" i="1"/>
  <c r="E23" i="1"/>
  <c r="A18" i="1"/>
  <c r="I12" i="1"/>
  <c r="E7" i="1"/>
  <c r="H56" i="1"/>
  <c r="D51" i="1"/>
  <c r="L45" i="1"/>
  <c r="H40" i="1"/>
  <c r="D35" i="1"/>
  <c r="L29" i="1"/>
  <c r="H24" i="1"/>
  <c r="D19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J53" i="1"/>
  <c r="F48" i="1"/>
  <c r="B43" i="1"/>
  <c r="J37" i="1"/>
  <c r="F32" i="1"/>
  <c r="B27" i="1"/>
  <c r="J21" i="1"/>
  <c r="F16" i="1"/>
  <c r="B11" i="1"/>
  <c r="J5" i="1"/>
  <c r="A55" i="1"/>
  <c r="I49" i="1"/>
  <c r="E44" i="1"/>
  <c r="A39" i="1"/>
  <c r="I33" i="1"/>
  <c r="E28" i="1"/>
  <c r="A23" i="1"/>
  <c r="I17" i="1"/>
  <c r="E12" i="1"/>
  <c r="A7" i="1"/>
  <c r="D56" i="1"/>
  <c r="L50" i="1"/>
  <c r="H45" i="1"/>
  <c r="D40" i="1"/>
  <c r="L34" i="1"/>
  <c r="H29" i="1"/>
  <c r="D24" i="1"/>
  <c r="L18" i="1"/>
  <c r="H13" i="1"/>
  <c r="D8" i="1"/>
  <c r="H57" i="1"/>
  <c r="C52" i="1"/>
  <c r="K46" i="1"/>
  <c r="G41" i="1"/>
  <c r="C36" i="1"/>
  <c r="K30" i="1"/>
  <c r="G25" i="1"/>
  <c r="C20" i="1"/>
  <c r="K14" i="1"/>
  <c r="G9" i="1"/>
  <c r="C4" i="1"/>
  <c r="F53" i="1"/>
  <c r="B48" i="1"/>
  <c r="J42" i="1"/>
  <c r="F37" i="1"/>
  <c r="B32" i="1"/>
  <c r="J26" i="1"/>
  <c r="F21" i="1"/>
  <c r="B16" i="1"/>
  <c r="J10" i="1"/>
  <c r="F5" i="1"/>
  <c r="I54" i="1"/>
  <c r="E49" i="1"/>
  <c r="A44" i="1"/>
  <c r="I38" i="1"/>
  <c r="E33" i="1"/>
  <c r="A28" i="1"/>
  <c r="I22" i="1"/>
  <c r="E17" i="1"/>
  <c r="A12" i="1"/>
  <c r="I6" i="1"/>
  <c r="L55" i="1"/>
  <c r="H50" i="1"/>
  <c r="D45" i="1"/>
  <c r="L39" i="1"/>
  <c r="H34" i="1"/>
  <c r="D29" i="1"/>
  <c r="L23" i="1"/>
  <c r="H18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H58" i="1"/>
  <c r="B53" i="1"/>
  <c r="J47" i="1"/>
  <c r="F42" i="1"/>
  <c r="B37" i="1"/>
  <c r="J31" i="1"/>
  <c r="F26" i="1"/>
  <c r="B21" i="1"/>
  <c r="J15" i="1"/>
  <c r="F10" i="1"/>
  <c r="B5" i="1"/>
  <c r="E54" i="1"/>
  <c r="A49" i="1"/>
  <c r="I43" i="1"/>
  <c r="E38" i="1"/>
  <c r="A33" i="1"/>
  <c r="I27" i="1"/>
  <c r="E22" i="1"/>
  <c r="A17" i="1"/>
  <c r="I11" i="1"/>
  <c r="E6" i="1"/>
  <c r="H55" i="1"/>
  <c r="D50" i="1"/>
  <c r="L44" i="1"/>
  <c r="H39" i="1"/>
  <c r="D34" i="1"/>
  <c r="L28" i="1"/>
  <c r="H23" i="1"/>
  <c r="D18" i="1"/>
  <c r="L12" i="1"/>
  <c r="H7" i="1"/>
  <c r="K56" i="1"/>
  <c r="G51" i="1"/>
  <c r="C46" i="1"/>
  <c r="K40" i="1"/>
  <c r="G35" i="1"/>
  <c r="C30" i="1"/>
  <c r="K24" i="1"/>
  <c r="G19" i="1"/>
  <c r="C14" i="1"/>
  <c r="K8" i="1"/>
  <c r="D58" i="1"/>
  <c r="J52" i="1"/>
  <c r="F47" i="1"/>
  <c r="B42" i="1"/>
  <c r="J36" i="1"/>
  <c r="F31" i="1"/>
  <c r="B26" i="1"/>
  <c r="J20" i="1"/>
  <c r="F15" i="1"/>
  <c r="B10" i="1"/>
  <c r="J4" i="1"/>
  <c r="A54" i="1"/>
  <c r="I48" i="1"/>
  <c r="E43" i="1"/>
  <c r="A38" i="1"/>
  <c r="I32" i="1"/>
  <c r="E27" i="1"/>
  <c r="A22" i="1"/>
  <c r="I16" i="1"/>
  <c r="E11" i="1"/>
  <c r="A6" i="1"/>
  <c r="D55" i="1"/>
  <c r="L49" i="1"/>
  <c r="H44" i="1"/>
  <c r="D39" i="1"/>
  <c r="L33" i="1"/>
  <c r="H28" i="1"/>
  <c r="D23" i="1"/>
  <c r="L17" i="1"/>
  <c r="D17" i="1"/>
  <c r="L9" i="1"/>
  <c r="L57" i="1"/>
  <c r="G52" i="1"/>
  <c r="C47" i="1"/>
  <c r="K41" i="1"/>
  <c r="G36" i="1"/>
  <c r="C31" i="1"/>
  <c r="K25" i="1"/>
  <c r="G20" i="1"/>
  <c r="C15" i="1"/>
  <c r="K9" i="1"/>
  <c r="G4" i="1"/>
  <c r="K13" i="1"/>
  <c r="C13" i="1"/>
  <c r="C39" i="1"/>
  <c r="C7" i="1"/>
  <c r="K5" i="1"/>
  <c r="D15" i="1"/>
  <c r="H8" i="1"/>
  <c r="C57" i="1"/>
  <c r="K51" i="1"/>
  <c r="G46" i="1"/>
  <c r="C41" i="1"/>
  <c r="K35" i="1"/>
  <c r="G30" i="1"/>
  <c r="C25" i="1"/>
  <c r="K19" i="1"/>
  <c r="G14" i="1"/>
  <c r="C9" i="1"/>
  <c r="K23" i="1"/>
  <c r="G44" i="1"/>
  <c r="K17" i="1"/>
  <c r="C11" i="1"/>
  <c r="L13" i="1"/>
  <c r="L7" i="1"/>
  <c r="G56" i="1"/>
  <c r="C51" i="1"/>
  <c r="K45" i="1"/>
  <c r="G40" i="1"/>
  <c r="C35" i="1"/>
  <c r="K29" i="1"/>
  <c r="G24" i="1"/>
  <c r="C19" i="1"/>
  <c r="G8" i="1"/>
  <c r="K7" i="1"/>
  <c r="G28" i="1"/>
  <c r="G12" i="1"/>
  <c r="G10" i="1"/>
  <c r="D13" i="1"/>
  <c r="D7" i="1"/>
  <c r="K55" i="1"/>
  <c r="G50" i="1"/>
  <c r="C45" i="1"/>
  <c r="K39" i="1"/>
  <c r="G34" i="1"/>
  <c r="C29" i="1"/>
  <c r="G18" i="1"/>
  <c r="C23" i="1"/>
  <c r="G6" i="1"/>
  <c r="C21" i="1"/>
  <c r="H12" i="1"/>
  <c r="H6" i="1"/>
  <c r="C55" i="1"/>
  <c r="K49" i="1"/>
  <c r="K33" i="1"/>
  <c r="K21" i="1"/>
  <c r="C5" i="1"/>
  <c r="L11" i="1"/>
  <c r="L5" i="1"/>
  <c r="G54" i="1"/>
  <c r="C49" i="1"/>
  <c r="K43" i="1"/>
  <c r="G38" i="1"/>
  <c r="C33" i="1"/>
  <c r="K27" i="1"/>
  <c r="G22" i="1"/>
  <c r="C17" i="1"/>
  <c r="K11" i="1"/>
  <c r="K15" i="1"/>
  <c r="D11" i="1"/>
  <c r="D5" i="1"/>
  <c r="K53" i="1"/>
  <c r="G48" i="1"/>
  <c r="C43" i="1"/>
  <c r="K37" i="1"/>
  <c r="G32" i="1"/>
  <c r="C27" i="1"/>
  <c r="G16" i="1"/>
  <c r="H10" i="1"/>
  <c r="H4" i="1"/>
  <c r="C53" i="1"/>
  <c r="K47" i="1"/>
  <c r="G42" i="1"/>
  <c r="C37" i="1"/>
  <c r="K31" i="1"/>
  <c r="G26" i="1"/>
</calcChain>
</file>

<file path=xl/sharedStrings.xml><?xml version="1.0" encoding="utf-8"?>
<sst xmlns="http://schemas.openxmlformats.org/spreadsheetml/2006/main" count="352" uniqueCount="86">
  <si>
    <t>Modules Info</t>
  </si>
  <si>
    <t>Settings</t>
  </si>
  <si>
    <t>Master Data Info</t>
  </si>
  <si>
    <t>Module Step Setting File</t>
  </si>
  <si>
    <t>Module</t>
  </si>
  <si>
    <t>1sG6uB28jAaiyaldDeMtbboQN41jJ2tAmE2rg6U9qH5o</t>
  </si>
  <si>
    <t>Step</t>
  </si>
  <si>
    <t>Master Data Sheet</t>
  </si>
  <si>
    <t>Modules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</si>
  <si>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</si>
  <si>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</si>
  <si>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</si>
  <si>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</si>
  <si>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</si>
  <si>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</si>
  <si>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Data Format</t>
  </si>
  <si>
    <t>CreateDoneAwayOrder</t>
  </si>
  <si>
    <t>Input Format</t>
  </si>
  <si>
    <t>AAPL</t>
  </si>
  <si>
    <t>Buy</t>
  </si>
  <si>
    <t>Allocation1</t>
  </si>
  <si>
    <t>GS</t>
  </si>
  <si>
    <t>Flat Amount</t>
  </si>
  <si>
    <t>MSFT</t>
  </si>
  <si>
    <t xml:space="preserve">Sell short </t>
  </si>
  <si>
    <t>FRU-TC</t>
  </si>
  <si>
    <t>Allocation2</t>
  </si>
  <si>
    <t>BMW-FRA</t>
  </si>
  <si>
    <t>Sell short</t>
  </si>
  <si>
    <t>GetForexConversion</t>
  </si>
  <si>
    <t>UpdateMarkPrice</t>
  </si>
  <si>
    <t>PricingInput</t>
  </si>
  <si>
    <t>UpdateForexConversion</t>
  </si>
  <si>
    <t>USD</t>
  </si>
  <si>
    <t>CAD</t>
  </si>
  <si>
    <t>CAD AO-FX</t>
  </si>
  <si>
    <t>EUR</t>
  </si>
  <si>
    <t>USD AO-FX</t>
  </si>
  <si>
    <t>PortfolioManagement</t>
  </si>
  <si>
    <t>GeneralLedger</t>
  </si>
  <si>
    <t>FilterPM</t>
  </si>
  <si>
    <t>GetDayEndCash</t>
  </si>
  <si>
    <t>Account</t>
  </si>
  <si>
    <t>NewMF,NewMF1</t>
  </si>
  <si>
    <t>Allocation1,Allocation2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</si>
  <si>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</si>
  <si>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</si>
  <si>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</si>
  <si>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</si>
  <si>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</si>
  <si>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</si>
  <si>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</si>
  <si>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</si>
  <si>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</si>
  <si>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New Hedge</t>
  </si>
  <si>
    <t>Small Cap</t>
  </si>
  <si>
    <t/>
  </si>
  <si>
    <t>User Defined</t>
  </si>
  <si>
    <t>Default</t>
  </si>
  <si>
    <t>BrokerNotes</t>
  </si>
  <si>
    <t>DefaultNotes</t>
  </si>
  <si>
    <t>Undefined</t>
  </si>
  <si>
    <t>jpearce</t>
  </si>
  <si>
    <t>Short</t>
  </si>
  <si>
    <t>MICROSOFT INC</t>
  </si>
  <si>
    <t>AAPL US EQUITY</t>
  </si>
  <si>
    <t>Equity General</t>
  </si>
  <si>
    <t>Information Technology</t>
  </si>
  <si>
    <t>test1</t>
  </si>
  <si>
    <t>india</t>
  </si>
  <si>
    <t>test 1</t>
  </si>
  <si>
    <t>Yes</t>
  </si>
  <si>
    <t>Copper</t>
  </si>
  <si>
    <t>NewMF1</t>
  </si>
  <si>
    <t>MSFT US EQUITY</t>
  </si>
  <si>
    <t>US5949181045</t>
  </si>
  <si>
    <t>MS</t>
  </si>
  <si>
    <t>TSX</t>
  </si>
  <si>
    <t>MSFT.O</t>
  </si>
  <si>
    <t>UNITED STATES</t>
  </si>
  <si>
    <t>MSFT UDA1</t>
  </si>
  <si>
    <t>BMW BAYERISCHE MOTOREN WERKE AG</t>
  </si>
  <si>
    <t>EU</t>
  </si>
  <si>
    <t>FRA</t>
  </si>
  <si>
    <t>CheckDashboardPM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</si>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</sst>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color rgb="FF1155CC"/>
      <name val="Inconsolata"/>
    </font>
    <font>
      <sz val="10"/>
      <color rgb="FF000000"/>
      <name val="Calibri"/>
    </font>
    <font>
      <sz val="11"/>
      <name val="Calibri"/>
    </font>
    <font>
      <sz val="11"/>
      <color rgb="FF000000"/>
      <name val="Calibri"/>
    </font>
    <font>
      <sz val="10"/>
      <name val="Cambria"/>
    </font>
    <font>
      <sz val="10"/>
      <color rgb="FF000000"/>
      <name val="Docs-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7" fillId="3" borderId="4" xfId="0" applyFont="1" applyFill="1" applyBorder="1" applyAlignment="1"/>
    <xf numFmtId="0" fontId="8" fillId="0" borderId="0" xfId="0" applyFont="1"/>
    <xf numFmtId="0" fontId="4" fillId="0" borderId="0" xfId="0" applyFont="1" applyAlignment="1"/>
    <xf numFmtId="0" fontId="5" fillId="3" borderId="4" xfId="0" applyFont="1" applyFill="1" applyBorder="1" applyAlignment="1"/>
    <xf numFmtId="0" fontId="5" fillId="3" borderId="4" xfId="0" applyFont="1" applyFill="1" applyBorder="1" applyAlignment="1"/>
    <xf numFmtId="0" fontId="9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9" fillId="0" borderId="0" xfId="0" applyFont="1" applyAlignment="1"/>
    <xf numFmtId="0" fontId="6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4" fillId="0" borderId="0" xfId="0" applyNumberFormat="1" applyFont="1" applyAlignment="1"/>
    <xf numFmtId="14" fontId="4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/>
    <xf numFmtId="0" fontId="13" fillId="6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14" fontId="14" fillId="6" borderId="0" xfId="0" applyNumberFormat="1" applyFont="1" applyFill="1"/>
    <xf numFmtId="0" fontId="4" fillId="0" borderId="0" xfId="0" applyFont="1" applyAlignment="1"/>
    <xf numFmtId="0" fontId="13" fillId="6" borderId="0" xfId="0" applyFont="1" applyFill="1" applyAlignment="1">
      <alignment horizontal="right"/>
    </xf>
    <xf numFmtId="4" fontId="5" fillId="0" borderId="0" xfId="0" applyNumberFormat="1" applyFont="1" applyAlignment="1">
      <alignment horizontal="right"/>
    </xf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4" fillId="0" borderId="0" xfId="0" applyNumberFormat="1" applyFont="1" applyAlignment="1"/>
    <xf numFmtId="4" fontId="9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9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>
      <alignment horizontal="left"/>
    </xf>
    <xf numFmtId="4" fontId="4" fillId="0" borderId="0" xfId="0" applyNumberFormat="1" applyFont="1" applyAlignment="1"/>
    <xf numFmtId="4" fontId="4" fillId="0" borderId="5" xfId="0" applyNumberFormat="1" applyFont="1" applyBorder="1" applyAlignment="1"/>
    <xf numFmtId="4" fontId="15" fillId="0" borderId="5" xfId="0" applyNumberFormat="1" applyFont="1" applyBorder="1" applyAlignment="1">
      <alignment horizontal="right"/>
    </xf>
    <xf numFmtId="4" fontId="16" fillId="0" borderId="0" xfId="0" applyNumberFormat="1" applyFont="1" applyAlignment="1"/>
    <xf numFmtId="4" fontId="4" fillId="0" borderId="0" xfId="0" applyNumberFormat="1" applyFont="1" applyAlignment="1"/>
    <xf numFmtId="4" fontId="17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5" fillId="0" borderId="0" xfId="0" applyNumberFormat="1" applyFont="1" applyAlignment="1"/>
    <xf numFmtId="4" fontId="18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center"/>
    </xf>
    <xf numFmtId="4" fontId="17" fillId="0" borderId="0" xfId="0" applyNumberFormat="1" applyFont="1" applyAlignment="1"/>
    <xf numFmtId="4" fontId="4" fillId="0" borderId="6" xfId="0" applyNumberFormat="1" applyFont="1" applyBorder="1" applyAlignment="1"/>
    <xf numFmtId="4" fontId="19" fillId="6" borderId="0" xfId="0" applyNumberFormat="1" applyFont="1" applyFill="1" applyAlignment="1">
      <alignment horizontal="right"/>
    </xf>
    <xf numFmtId="4" fontId="15" fillId="6" borderId="0" xfId="0" applyNumberFormat="1" applyFont="1" applyFill="1" applyAlignment="1">
      <alignment horizontal="right"/>
    </xf>
    <xf numFmtId="4" fontId="15" fillId="6" borderId="0" xfId="0" applyNumberFormat="1" applyFont="1" applyFill="1" applyAlignment="1">
      <alignment horizontal="right"/>
    </xf>
    <xf numFmtId="4" fontId="3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9" t="s">
        <v>0</v>
      </c>
      <c r="B1" s="70"/>
      <c r="C1" s="70"/>
      <c r="D1" s="70"/>
      <c r="E1" s="70"/>
      <c r="F1" s="71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8</v>
      </c>
      <c r="B3" s="9"/>
      <c r="C3" s="10"/>
      <c r="D3" s="10"/>
      <c r="E3" s="10"/>
      <c r="F3" s="10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7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IFERROR(__xludf.DUMMYFUNCTION("""COMPUTED_VALUE"""),"Blotter")</f>
        <v>Blotter</v>
      </c>
      <c r="B369" t="str">
        <f ca="1">IFERROR(__xludf.DUMMYFUNCTION("""COMPUTED_VALUE"""),"VerifyViewAllocationDetails")</f>
        <v>VerifyViewAllocationDetails</v>
      </c>
      <c r="C369" t="str">
        <f ca="1">IFERROR(__xludf.DUMMYFUNCTION("""COMPUTED_VALUE"""),"1reP0LPUrGMeoA9ELrOqgVjEvRIhJcAliyLaecGmIRSw")</f>
        <v>1reP0LPUrGMeoA9ELrOqgVjEvRIhJcAliyLaecGmIRSw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2" t="s">
        <v>1</v>
      </c>
      <c r="B1" s="70"/>
      <c r="C1" s="71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8" t="s">
        <v>5</v>
      </c>
      <c r="C3" s="1"/>
    </row>
    <row r="4" spans="1:3" ht="15.75" customHeight="1">
      <c r="A4" s="4" t="s">
        <v>9</v>
      </c>
      <c r="B4" s="8" t="s">
        <v>10</v>
      </c>
      <c r="C4" s="1"/>
    </row>
    <row r="5" spans="1:3" ht="15.75" customHeight="1">
      <c r="A5" s="11"/>
      <c r="B5" s="1"/>
      <c r="C5" s="1"/>
    </row>
    <row r="6" spans="1:3" ht="15.75" customHeight="1">
      <c r="A6" s="11"/>
      <c r="B6" s="1"/>
      <c r="C6" s="1"/>
    </row>
    <row r="7" spans="1:3" ht="15.75" customHeight="1">
      <c r="A7" s="11"/>
      <c r="B7" s="1"/>
      <c r="C7" s="1"/>
    </row>
    <row r="8" spans="1:3" ht="15.75" customHeight="1">
      <c r="A8" s="11"/>
      <c r="B8" s="1"/>
      <c r="C8" s="1"/>
    </row>
    <row r="9" spans="1:3" ht="15.75" customHeight="1">
      <c r="A9" s="11"/>
      <c r="B9" s="1"/>
      <c r="C9" s="1"/>
    </row>
    <row r="10" spans="1:3" ht="15.75" customHeight="1">
      <c r="A10" s="11"/>
      <c r="B10" s="1"/>
      <c r="C10" s="1"/>
    </row>
    <row r="11" spans="1:3" ht="15.75" customHeight="1">
      <c r="A11" s="11"/>
      <c r="B11" s="1"/>
      <c r="C11" s="1"/>
    </row>
    <row r="12" spans="1:3" ht="15.75" customHeight="1">
      <c r="A12" s="11"/>
      <c r="B12" s="1"/>
      <c r="C12" s="1"/>
    </row>
    <row r="13" spans="1:3" ht="15.75" customHeight="1">
      <c r="A13" s="11"/>
      <c r="B13" s="1"/>
      <c r="C13" s="1"/>
    </row>
    <row r="14" spans="1:3" ht="15.75" customHeight="1">
      <c r="A14" s="11"/>
      <c r="B14" s="1"/>
      <c r="C14" s="1"/>
    </row>
    <row r="15" spans="1:3" ht="15.75" customHeight="1">
      <c r="A15" s="11"/>
      <c r="B15" s="1"/>
      <c r="C15" s="1"/>
    </row>
    <row r="16" spans="1:3" ht="15.75" customHeight="1">
      <c r="A16" s="11"/>
      <c r="B16" s="1"/>
      <c r="C16" s="1"/>
    </row>
    <row r="17" spans="1:3" ht="15.75" customHeight="1">
      <c r="A17" s="11"/>
      <c r="B17" s="1"/>
      <c r="C17" s="1"/>
    </row>
    <row r="18" spans="1:3" ht="15.75" customHeight="1">
      <c r="A18" s="11"/>
      <c r="B18" s="1"/>
      <c r="C18" s="1"/>
    </row>
    <row r="19" spans="1:3" ht="15.75" customHeight="1">
      <c r="A19" s="11"/>
      <c r="B19" s="1"/>
      <c r="C19" s="1"/>
    </row>
    <row r="20" spans="1:3" ht="15.75" customHeight="1">
      <c r="A20" s="11"/>
      <c r="B20" s="1"/>
      <c r="C20" s="1"/>
    </row>
    <row r="21" spans="1:3" ht="15.75" customHeight="1">
      <c r="A21" s="11"/>
      <c r="B21" s="1"/>
      <c r="C21" s="1"/>
    </row>
    <row r="22" spans="1:3" ht="15.75" customHeight="1">
      <c r="A22" s="11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9" t="s">
        <v>2</v>
      </c>
      <c r="B1" s="70"/>
      <c r="C1" s="70"/>
      <c r="D1" s="70"/>
      <c r="E1" s="70"/>
      <c r="F1" s="71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4" t="s">
        <v>4</v>
      </c>
      <c r="B3" s="5" t="s">
        <v>6</v>
      </c>
      <c r="C3" s="5" t="s">
        <v>7</v>
      </c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13</v>
      </c>
      <c r="D3" s="3" t="s">
        <v>6</v>
      </c>
      <c r="E3" s="16" t="s">
        <v>16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8" t="s">
        <v>19</v>
      </c>
      <c r="D6" s="8">
        <v>100</v>
      </c>
      <c r="E6" s="8"/>
      <c r="F6" s="8" t="s">
        <v>20</v>
      </c>
      <c r="G6" s="8" t="s">
        <v>21</v>
      </c>
      <c r="H6" s="1"/>
      <c r="I6" s="1"/>
      <c r="J6" s="8">
        <v>190</v>
      </c>
      <c r="K6" s="1"/>
      <c r="L6" s="1"/>
      <c r="M6" s="1"/>
      <c r="N6" s="24">
        <f t="shared" ref="N6:N9" ca="1" si="0">TODAY()-1</f>
        <v>44411</v>
      </c>
      <c r="O6" s="1"/>
      <c r="R6" s="27" t="s">
        <v>22</v>
      </c>
      <c r="S6" s="27">
        <v>20</v>
      </c>
    </row>
    <row r="7" spans="1:154" ht="15.75" customHeight="1">
      <c r="A7" s="1"/>
      <c r="B7" s="28" t="s">
        <v>23</v>
      </c>
      <c r="C7" s="8" t="s">
        <v>24</v>
      </c>
      <c r="D7" s="8">
        <v>100</v>
      </c>
      <c r="E7" s="1"/>
      <c r="F7" s="28" t="s">
        <v>20</v>
      </c>
      <c r="G7" s="8" t="s">
        <v>21</v>
      </c>
      <c r="H7" s="1"/>
      <c r="I7" s="1"/>
      <c r="J7" s="8">
        <v>130</v>
      </c>
      <c r="K7" s="1"/>
      <c r="L7" s="1"/>
      <c r="M7" s="1"/>
      <c r="N7" s="25">
        <f t="shared" ca="1" si="0"/>
        <v>44411</v>
      </c>
      <c r="O7" s="1"/>
      <c r="R7" s="28" t="s">
        <v>22</v>
      </c>
      <c r="S7" s="27">
        <v>30</v>
      </c>
    </row>
    <row r="8" spans="1:154" ht="15.75" customHeight="1">
      <c r="A8" s="1"/>
      <c r="B8" s="29" t="s">
        <v>25</v>
      </c>
      <c r="C8" s="8" t="s">
        <v>19</v>
      </c>
      <c r="D8" s="8">
        <v>100</v>
      </c>
      <c r="E8" s="1"/>
      <c r="F8" s="28" t="s">
        <v>26</v>
      </c>
      <c r="G8" s="8" t="s">
        <v>21</v>
      </c>
      <c r="H8" s="1"/>
      <c r="I8" s="1"/>
      <c r="J8" s="8">
        <v>8</v>
      </c>
      <c r="K8" s="1"/>
      <c r="L8" s="1"/>
      <c r="M8" s="1"/>
      <c r="N8" s="30">
        <f t="shared" ca="1" si="0"/>
        <v>44411</v>
      </c>
      <c r="O8" s="8">
        <v>0.7</v>
      </c>
      <c r="R8" s="28" t="s">
        <v>22</v>
      </c>
      <c r="S8" s="27">
        <v>40</v>
      </c>
    </row>
    <row r="9" spans="1:154" ht="15.75" customHeight="1">
      <c r="A9" s="1"/>
      <c r="B9" s="8" t="s">
        <v>27</v>
      </c>
      <c r="C9" s="8" t="s">
        <v>28</v>
      </c>
      <c r="D9" s="8">
        <v>100</v>
      </c>
      <c r="E9" s="1"/>
      <c r="F9" s="28" t="s">
        <v>26</v>
      </c>
      <c r="G9" s="8" t="s">
        <v>21</v>
      </c>
      <c r="H9" s="1"/>
      <c r="I9" s="1"/>
      <c r="J9" s="8">
        <v>60</v>
      </c>
      <c r="K9" s="1"/>
      <c r="L9" s="1"/>
      <c r="M9" s="1"/>
      <c r="N9" s="30">
        <f t="shared" ca="1" si="0"/>
        <v>44411</v>
      </c>
      <c r="O9" s="8">
        <v>1.1000000000000001</v>
      </c>
      <c r="R9" s="28" t="s">
        <v>22</v>
      </c>
      <c r="S9" s="27">
        <v>50</v>
      </c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14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4">
        <f ca="1">TODAY()-1</f>
        <v>44411</v>
      </c>
      <c r="C6" s="25">
        <f ca="1">TODAY()</f>
        <v>44412</v>
      </c>
      <c r="D6" s="8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30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8" t="s">
        <v>18</v>
      </c>
      <c r="C6" s="8">
        <v>192</v>
      </c>
      <c r="D6" s="8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8" t="s">
        <v>23</v>
      </c>
      <c r="C7" s="32">
        <v>131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25</v>
      </c>
      <c r="C8" s="8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27</v>
      </c>
      <c r="C9" s="8">
        <v>61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29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24">
        <f t="shared" ref="B6:C6" ca="1" si="0">TODAY()-1</f>
        <v>44411</v>
      </c>
      <c r="C6" s="25">
        <f t="shared" ca="1" si="0"/>
        <v>44411</v>
      </c>
      <c r="D6" s="8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12</v>
      </c>
      <c r="D3" s="3" t="s">
        <v>6</v>
      </c>
      <c r="E3" s="16" t="s">
        <v>32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33</v>
      </c>
      <c r="C6" s="8" t="s">
        <v>34</v>
      </c>
      <c r="D6" s="8" t="s">
        <v>35</v>
      </c>
      <c r="E6" s="8">
        <v>1.0049999999999999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8" t="s">
        <v>36</v>
      </c>
      <c r="C7" s="8" t="s">
        <v>33</v>
      </c>
      <c r="D7" s="8" t="s">
        <v>37</v>
      </c>
      <c r="E7" s="8">
        <v>1.2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31</v>
      </c>
      <c r="D3" s="3" t="s">
        <v>6</v>
      </c>
      <c r="E3" s="16" t="s">
        <v>31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18</v>
      </c>
      <c r="C6" s="33">
        <v>194</v>
      </c>
      <c r="D6" s="8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23</v>
      </c>
      <c r="C7" s="33">
        <v>133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9" t="s">
        <v>25</v>
      </c>
      <c r="C8" s="33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8" t="s">
        <v>27</v>
      </c>
      <c r="C9" s="33">
        <v>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39</v>
      </c>
      <c r="D3" s="3" t="s">
        <v>6</v>
      </c>
      <c r="E3" s="16" t="s">
        <v>41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43</v>
      </c>
      <c r="C6" s="8" t="s">
        <v>44</v>
      </c>
      <c r="D6" s="24">
        <f t="shared" ref="D6:E6" ca="1" si="0">TODAY()-1</f>
        <v>44411</v>
      </c>
      <c r="E6" s="24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38</v>
      </c>
      <c r="D3" s="3" t="s">
        <v>6</v>
      </c>
      <c r="E3" s="16" t="s">
        <v>40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IFERROR(__xludf.DUMMYFUNCTION("""COMPUTED_VALUE"""),"ColumnName")</f>
        <v>ColumnName</v>
      </c>
      <c r="C5" s="21" t="str">
        <f ca="1">IFERROR(__xludf.DUMMYFUNCTION("""COMPUTED_VALUE"""),"FilterList")</f>
        <v>FilterList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42</v>
      </c>
      <c r="C6" s="8" t="s">
        <v>20</v>
      </c>
      <c r="D6" s="8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opLeftCell="BE1" workbookViewId="0">
      <selection activeCell="BL10" sqref="BL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5703125" customWidth="1"/>
    <col min="64" max="166" width="14.42578125" customWidth="1"/>
  </cols>
  <sheetData>
    <row r="1" spans="1:166" ht="15.75" customHeight="1">
      <c r="A1" s="34"/>
      <c r="B1" s="73" t="s">
        <v>11</v>
      </c>
      <c r="C1" s="70"/>
      <c r="D1" s="70"/>
      <c r="E1" s="70"/>
      <c r="F1" s="70"/>
      <c r="G1" s="70"/>
      <c r="H1" s="71"/>
      <c r="I1" s="34"/>
      <c r="J1" s="34"/>
      <c r="K1" s="34"/>
      <c r="L1" s="34"/>
      <c r="M1" s="34"/>
      <c r="N1" s="34"/>
      <c r="O1" s="34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</row>
    <row r="2" spans="1:166" ht="15.75" customHeight="1">
      <c r="A2" s="36"/>
      <c r="B2" s="36"/>
      <c r="C2" s="36"/>
      <c r="D2" s="36"/>
      <c r="E2" s="36"/>
      <c r="F2" s="36"/>
      <c r="G2" s="36"/>
      <c r="H2" s="36"/>
      <c r="I2" s="36"/>
      <c r="J2" s="37" t="e">
        <f>VLOOKUP($E$3,_MasterData!B4:D1000,3,FALSE)</f>
        <v>#N/A</v>
      </c>
      <c r="K2" s="37"/>
      <c r="L2" s="36"/>
      <c r="M2" s="36"/>
      <c r="N2" s="36"/>
      <c r="O2" s="3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</row>
    <row r="3" spans="1:166" ht="15.75" customHeight="1">
      <c r="A3" s="39"/>
      <c r="B3" s="40" t="s">
        <v>4</v>
      </c>
      <c r="C3" s="41" t="s">
        <v>38</v>
      </c>
      <c r="D3" s="40" t="s">
        <v>6</v>
      </c>
      <c r="E3" s="41" t="s">
        <v>45</v>
      </c>
      <c r="F3" s="40" t="s">
        <v>15</v>
      </c>
      <c r="G3" s="42" t="s">
        <v>17</v>
      </c>
      <c r="H3" s="40"/>
      <c r="I3" s="39"/>
      <c r="J3" s="39"/>
      <c r="K3" s="39"/>
      <c r="L3" s="39"/>
      <c r="M3" s="39"/>
      <c r="N3" s="39"/>
      <c r="O3" s="39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</row>
    <row r="4" spans="1:166" ht="15.75" customHeight="1">
      <c r="A4" s="44"/>
      <c r="B4" s="44" t="str">
        <f ca="1">IFERROR(__xludf.DUMMYFUNCTION("IF(C3="""","""",Transpose(IMPORTRANGE('_Settings'!$B$3,C3&amp;""!A4:A1000"")))"),"CheckDashboardPM")</f>
        <v>CheckDashboardPM</v>
      </c>
      <c r="C4" s="44" t="str">
        <f ca="1">IFERROR(__xludf.DUMMYFUNCTION("""COMPUTED_VALUE"""),"CheckPortfolioManagement")</f>
        <v>CheckPortfolioManagement</v>
      </c>
      <c r="D4" s="44" t="str">
        <f ca="1">IFERROR(__xludf.DUMMYFUNCTION("""COMPUTED_VALUE"""),"OpenPSTFromPM")</f>
        <v>OpenPSTFromPM</v>
      </c>
      <c r="E4" s="44" t="str">
        <f ca="1">IFERROR(__xludf.DUMMYFUNCTION("""COMPUTED_VALUE"""),"ClosePM")</f>
        <v>ClosePM</v>
      </c>
      <c r="F4" s="44" t="str">
        <f ca="1">IFERROR(__xludf.DUMMYFUNCTION("""COMPUTED_VALUE"""),"FilterPM")</f>
        <v>FilterPM</v>
      </c>
      <c r="G4" s="44" t="str">
        <f ca="1">IFERROR(__xludf.DUMMYFUNCTION("""COMPUTED_VALUE"""),"GroupRowPM")</f>
        <v>GroupRowPM</v>
      </c>
      <c r="H4" s="44" t="str">
        <f ca="1">IFERROR(__xludf.DUMMYFUNCTION("""COMPUTED_VALUE"""),"CheckDashboardWithPM")</f>
        <v>CheckDashboardWithPM</v>
      </c>
      <c r="I4" s="44" t="str">
        <f ca="1">IFERROR(__xludf.DUMMYFUNCTION("""COMPUTED_VALUE"""),"RemoveFilterPM")</f>
        <v>RemoveFilterPM</v>
      </c>
      <c r="J4" s="44" t="str">
        <f ca="1">IFERROR(__xludf.DUMMYFUNCTION("""COMPUTED_VALUE"""),"CheckSummaryRowsPM")</f>
        <v>CheckSummaryRowsPM</v>
      </c>
      <c r="K4" s="44" t="str">
        <f ca="1">IFERROR(__xludf.DUMMYFUNCTION("""COMPUTED_VALUE"""),"OpenPTTFromPM")</f>
        <v>OpenPTTFromPM</v>
      </c>
      <c r="L4" s="44" t="str">
        <f ca="1">IFERROR(__xludf.DUMMYFUNCTION("""COMPUTED_VALUE"""),"OpenCreateTransactionFromPM")</f>
        <v>OpenCreateTransactionFromPM</v>
      </c>
      <c r="M4" s="44" t="str">
        <f ca="1">IFERROR(__xludf.DUMMYFUNCTION("""COMPUTED_VALUE"""),"OpenClosingFromPM")</f>
        <v>OpenClosingFromPM</v>
      </c>
      <c r="N4" s="44" t="str">
        <f ca="1">IFERROR(__xludf.DUMMYFUNCTION("""COMPUTED_VALUE"""),"OpenCorporateActionFromPM")</f>
        <v>OpenCorporateActionFromPM</v>
      </c>
      <c r="O4" s="44" t="str">
        <f ca="1">IFERROR(__xludf.DUMMYFUNCTION("""COMPUTED_VALUE"""),"OpenDailyValuationFromPM")</f>
        <v>OpenDailyValuationFromPM</v>
      </c>
      <c r="P4" s="45" t="str">
        <f ca="1">IFERROR(__xludf.DUMMYFUNCTION("""COMPUTED_VALUE"""),"ClosePositionFromPM")</f>
        <v>ClosePositionFromPM</v>
      </c>
      <c r="Q4" s="45" t="str">
        <f ca="1">IFERROR(__xludf.DUMMYFUNCTION("""COMPUTED_VALUE"""),"ShowSummaryToolFromPM")</f>
        <v>ShowSummaryToolFromPM</v>
      </c>
      <c r="R4" s="45" t="str">
        <f ca="1">IFERROR(__xludf.DUMMYFUNCTION("""COMPUTED_VALUE"""),"HideSummaryToolFromPM")</f>
        <v>HideSummaryToolFromPM</v>
      </c>
      <c r="S4" s="45" t="str">
        <f ca="1">IFERROR(__xludf.DUMMYFUNCTION("""COMPUTED_VALUE"""),"CloseAccountPositionFromPM")</f>
        <v>CloseAccountPositionFromPM</v>
      </c>
      <c r="T4" s="45" t="str">
        <f ca="1">IFERROR(__xludf.DUMMYFUNCTION("""COMPUTED_VALUE"""),"CloseSelectedTaxlotsFromPM")</f>
        <v>CloseSelectedTaxlotsFromPM</v>
      </c>
      <c r="U4" s="45" t="str">
        <f ca="1">IFERROR(__xludf.DUMMYFUNCTION("""COMPUTED_VALUE"""),"ExpandCollapsePM")</f>
        <v>ExpandCollapsePM</v>
      </c>
      <c r="V4" s="45" t="str">
        <f ca="1">IFERROR(__xludf.DUMMYFUNCTION("""COMPUTED_VALUE"""),"AddCustomViewPM")</f>
        <v>AddCustomViewPM</v>
      </c>
      <c r="W4" s="45" t="str">
        <f ca="1">IFERROR(__xludf.DUMMYFUNCTION("""COMPUTED_VALUE"""),"AddCustomViewRightClickPM")</f>
        <v>AddCustomViewRightClickPM</v>
      </c>
      <c r="X4" s="45" t="str">
        <f ca="1">IFERROR(__xludf.DUMMYFUNCTION("""COMPUTED_VALUE"""),"RenameCustomViewPM")</f>
        <v>RenameCustomViewPM</v>
      </c>
      <c r="Y4" s="45" t="str">
        <f ca="1">IFERROR(__xludf.DUMMYFUNCTION("""COMPUTED_VALUE"""),"DeleteCustomViewPM")</f>
        <v>DeleteCustomViewPM</v>
      </c>
      <c r="Z4" s="45" t="str">
        <f ca="1">IFERROR(__xludf.DUMMYFUNCTION("""COMPUTED_VALUE"""),"")</f>
        <v/>
      </c>
      <c r="AA4" s="45" t="str">
        <f ca="1">IFERROR(__xludf.DUMMYFUNCTION("""COMPUTED_VALUE"""),"")</f>
        <v/>
      </c>
      <c r="AB4" s="45" t="str">
        <f ca="1">IFERROR(__xludf.DUMMYFUNCTION("""COMPUTED_VALUE"""),"")</f>
        <v/>
      </c>
      <c r="AC4" s="45" t="str">
        <f ca="1">IFERROR(__xludf.DUMMYFUNCTION("""COMPUTED_VALUE"""),"")</f>
        <v/>
      </c>
      <c r="AD4" s="45" t="str">
        <f ca="1">IFERROR(__xludf.DUMMYFUNCTION("""COMPUTED_VALUE"""),"")</f>
        <v/>
      </c>
      <c r="AE4" s="45" t="str">
        <f ca="1">IFERROR(__xludf.DUMMYFUNCTION("""COMPUTED_VALUE"""),"")</f>
        <v/>
      </c>
      <c r="AF4" s="45" t="str">
        <f ca="1">IFERROR(__xludf.DUMMYFUNCTION("""COMPUTED_VALUE"""),"")</f>
        <v/>
      </c>
      <c r="AG4" s="45" t="str">
        <f ca="1">IFERROR(__xludf.DUMMYFUNCTION("""COMPUTED_VALUE"""),"")</f>
        <v/>
      </c>
      <c r="AH4" s="45" t="str">
        <f ca="1">IFERROR(__xludf.DUMMYFUNCTION("""COMPUTED_VALUE"""),"")</f>
        <v/>
      </c>
      <c r="AI4" s="45" t="str">
        <f ca="1">IFERROR(__xludf.DUMMYFUNCTION("""COMPUTED_VALUE"""),"")</f>
        <v/>
      </c>
      <c r="AJ4" s="45" t="str">
        <f ca="1">IFERROR(__xludf.DUMMYFUNCTION("""COMPUTED_VALUE"""),"")</f>
        <v/>
      </c>
      <c r="AK4" s="45" t="str">
        <f ca="1">IFERROR(__xludf.DUMMYFUNCTION("""COMPUTED_VALUE"""),"")</f>
        <v/>
      </c>
      <c r="AL4" s="45" t="str">
        <f ca="1">IFERROR(__xludf.DUMMYFUNCTION("""COMPUTED_VALUE"""),"")</f>
        <v/>
      </c>
      <c r="AM4" s="45" t="str">
        <f ca="1">IFERROR(__xludf.DUMMYFUNCTION("""COMPUTED_VALUE"""),"")</f>
        <v/>
      </c>
      <c r="AN4" s="45" t="str">
        <f ca="1">IFERROR(__xludf.DUMMYFUNCTION("""COMPUTED_VALUE"""),"")</f>
        <v/>
      </c>
      <c r="AO4" s="45" t="str">
        <f ca="1">IFERROR(__xludf.DUMMYFUNCTION("""COMPUTED_VALUE"""),"")</f>
        <v/>
      </c>
      <c r="AP4" s="45" t="str">
        <f ca="1">IFERROR(__xludf.DUMMYFUNCTION("""COMPUTED_VALUE"""),"")</f>
        <v/>
      </c>
      <c r="AQ4" s="45" t="str">
        <f ca="1">IFERROR(__xludf.DUMMYFUNCTION("""COMPUTED_VALUE"""),"")</f>
        <v/>
      </c>
      <c r="AR4" s="45" t="str">
        <f ca="1">IFERROR(__xludf.DUMMYFUNCTION("""COMPUTED_VALUE"""),"")</f>
        <v/>
      </c>
      <c r="AS4" s="45" t="str">
        <f ca="1">IFERROR(__xludf.DUMMYFUNCTION("""COMPUTED_VALUE"""),"")</f>
        <v/>
      </c>
      <c r="AT4" s="45" t="str">
        <f ca="1">IFERROR(__xludf.DUMMYFUNCTION("""COMPUTED_VALUE"""),"")</f>
        <v/>
      </c>
      <c r="AU4" s="45" t="str">
        <f ca="1">IFERROR(__xludf.DUMMYFUNCTION("""COMPUTED_VALUE"""),"")</f>
        <v/>
      </c>
      <c r="AV4" s="45" t="str">
        <f ca="1">IFERROR(__xludf.DUMMYFUNCTION("""COMPUTED_VALUE"""),"")</f>
        <v/>
      </c>
      <c r="AW4" s="45" t="str">
        <f ca="1">IFERROR(__xludf.DUMMYFUNCTION("""COMPUTED_VALUE"""),"")</f>
        <v/>
      </c>
      <c r="AX4" s="45" t="str">
        <f ca="1">IFERROR(__xludf.DUMMYFUNCTION("""COMPUTED_VALUE"""),"")</f>
        <v/>
      </c>
      <c r="AY4" s="45" t="str">
        <f ca="1">IFERROR(__xludf.DUMMYFUNCTION("""COMPUTED_VALUE"""),"")</f>
        <v/>
      </c>
      <c r="AZ4" s="45" t="str">
        <f ca="1">IFERROR(__xludf.DUMMYFUNCTION("""COMPUTED_VALUE"""),"")</f>
        <v/>
      </c>
      <c r="BA4" s="45" t="str">
        <f ca="1">IFERROR(__xludf.DUMMYFUNCTION("""COMPUTED_VALUE"""),"")</f>
        <v/>
      </c>
      <c r="BB4" s="45" t="str">
        <f ca="1">IFERROR(__xludf.DUMMYFUNCTION("""COMPUTED_VALUE"""),"")</f>
        <v/>
      </c>
      <c r="BC4" s="45" t="str">
        <f ca="1">IFERROR(__xludf.DUMMYFUNCTION("""COMPUTED_VALUE"""),"")</f>
        <v/>
      </c>
      <c r="BD4" s="45" t="str">
        <f ca="1">IFERROR(__xludf.DUMMYFUNCTION("""COMPUTED_VALUE"""),"")</f>
        <v/>
      </c>
      <c r="BE4" s="45" t="str">
        <f ca="1">IFERROR(__xludf.DUMMYFUNCTION("""COMPUTED_VALUE"""),"")</f>
        <v/>
      </c>
      <c r="BF4" s="45" t="str">
        <f ca="1">IFERROR(__xludf.DUMMYFUNCTION("""COMPUTED_VALUE"""),"")</f>
        <v/>
      </c>
      <c r="BG4" s="45" t="str">
        <f ca="1">IFERROR(__xludf.DUMMYFUNCTION("""COMPUTED_VALUE"""),"")</f>
        <v/>
      </c>
      <c r="BH4" s="45" t="str">
        <f ca="1">IFERROR(__xludf.DUMMYFUNCTION("""COMPUTED_VALUE"""),"")</f>
        <v/>
      </c>
      <c r="BI4" s="45" t="str">
        <f ca="1">IFERROR(__xludf.DUMMYFUNCTION("""COMPUTED_VALUE"""),"")</f>
        <v/>
      </c>
      <c r="BJ4" s="45" t="str">
        <f ca="1">IFERROR(__xludf.DUMMYFUNCTION("""COMPUTED_VALUE"""),"")</f>
        <v/>
      </c>
      <c r="BK4" s="45" t="str">
        <f ca="1">IFERROR(__xludf.DUMMYFUNCTION("""COMPUTED_VALUE"""),"")</f>
        <v/>
      </c>
      <c r="BL4" s="45" t="str">
        <f ca="1">IFERROR(__xludf.DUMMYFUNCTION("""COMPUTED_VALUE"""),"")</f>
        <v/>
      </c>
      <c r="BM4" s="45" t="str">
        <f ca="1">IFERROR(__xludf.DUMMYFUNCTION("""COMPUTED_VALUE"""),"")</f>
        <v/>
      </c>
      <c r="BN4" s="45" t="str">
        <f ca="1">IFERROR(__xludf.DUMMYFUNCTION("""COMPUTED_VALUE"""),"")</f>
        <v/>
      </c>
      <c r="BO4" s="45" t="str">
        <f ca="1">IFERROR(__xludf.DUMMYFUNCTION("""COMPUTED_VALUE"""),"")</f>
        <v/>
      </c>
      <c r="BP4" s="45" t="str">
        <f ca="1">IFERROR(__xludf.DUMMYFUNCTION("""COMPUTED_VALUE"""),"")</f>
        <v/>
      </c>
      <c r="BQ4" s="45" t="str">
        <f ca="1">IFERROR(__xludf.DUMMYFUNCTION("""COMPUTED_VALUE"""),"")</f>
        <v/>
      </c>
      <c r="BR4" s="45" t="str">
        <f ca="1">IFERROR(__xludf.DUMMYFUNCTION("""COMPUTED_VALUE"""),"")</f>
        <v/>
      </c>
      <c r="BS4" s="45" t="str">
        <f ca="1">IFERROR(__xludf.DUMMYFUNCTION("""COMPUTED_VALUE"""),"")</f>
        <v/>
      </c>
      <c r="BT4" s="45" t="str">
        <f ca="1">IFERROR(__xludf.DUMMYFUNCTION("""COMPUTED_VALUE"""),"")</f>
        <v/>
      </c>
      <c r="BU4" s="45" t="str">
        <f ca="1">IFERROR(__xludf.DUMMYFUNCTION("""COMPUTED_VALUE"""),"")</f>
        <v/>
      </c>
      <c r="BV4" s="45" t="str">
        <f ca="1">IFERROR(__xludf.DUMMYFUNCTION("""COMPUTED_VALUE"""),"")</f>
        <v/>
      </c>
      <c r="BW4" s="45" t="str">
        <f ca="1">IFERROR(__xludf.DUMMYFUNCTION("""COMPUTED_VALUE"""),"")</f>
        <v/>
      </c>
      <c r="BX4" s="45" t="str">
        <f ca="1">IFERROR(__xludf.DUMMYFUNCTION("""COMPUTED_VALUE"""),"")</f>
        <v/>
      </c>
      <c r="BY4" s="45" t="str">
        <f ca="1">IFERROR(__xludf.DUMMYFUNCTION("""COMPUTED_VALUE"""),"")</f>
        <v/>
      </c>
      <c r="BZ4" s="45" t="str">
        <f ca="1">IFERROR(__xludf.DUMMYFUNCTION("""COMPUTED_VALUE"""),"")</f>
        <v/>
      </c>
      <c r="CA4" s="45" t="str">
        <f ca="1">IFERROR(__xludf.DUMMYFUNCTION("""COMPUTED_VALUE"""),"")</f>
        <v/>
      </c>
      <c r="CB4" s="45" t="str">
        <f ca="1">IFERROR(__xludf.DUMMYFUNCTION("""COMPUTED_VALUE"""),"")</f>
        <v/>
      </c>
      <c r="CC4" s="45" t="str">
        <f ca="1">IFERROR(__xludf.DUMMYFUNCTION("""COMPUTED_VALUE"""),"")</f>
        <v/>
      </c>
      <c r="CD4" s="45" t="str">
        <f ca="1">IFERROR(__xludf.DUMMYFUNCTION("""COMPUTED_VALUE"""),"")</f>
        <v/>
      </c>
      <c r="CE4" s="45" t="str">
        <f ca="1">IFERROR(__xludf.DUMMYFUNCTION("""COMPUTED_VALUE"""),"")</f>
        <v/>
      </c>
      <c r="CF4" s="45" t="str">
        <f ca="1">IFERROR(__xludf.DUMMYFUNCTION("""COMPUTED_VALUE"""),"")</f>
        <v/>
      </c>
      <c r="CG4" s="45" t="str">
        <f ca="1">IFERROR(__xludf.DUMMYFUNCTION("""COMPUTED_VALUE"""),"")</f>
        <v/>
      </c>
      <c r="CH4" s="45" t="str">
        <f ca="1">IFERROR(__xludf.DUMMYFUNCTION("""COMPUTED_VALUE"""),"")</f>
        <v/>
      </c>
      <c r="CI4" s="45" t="str">
        <f ca="1">IFERROR(__xludf.DUMMYFUNCTION("""COMPUTED_VALUE"""),"")</f>
        <v/>
      </c>
      <c r="CJ4" s="45" t="str">
        <f ca="1">IFERROR(__xludf.DUMMYFUNCTION("""COMPUTED_VALUE"""),"")</f>
        <v/>
      </c>
      <c r="CK4" s="45" t="str">
        <f ca="1">IFERROR(__xludf.DUMMYFUNCTION("""COMPUTED_VALUE"""),"")</f>
        <v/>
      </c>
      <c r="CL4" s="45" t="str">
        <f ca="1">IFERROR(__xludf.DUMMYFUNCTION("""COMPUTED_VALUE"""),"")</f>
        <v/>
      </c>
      <c r="CM4" s="45" t="str">
        <f ca="1">IFERROR(__xludf.DUMMYFUNCTION("""COMPUTED_VALUE"""),"")</f>
        <v/>
      </c>
      <c r="CN4" s="45" t="str">
        <f ca="1">IFERROR(__xludf.DUMMYFUNCTION("""COMPUTED_VALUE"""),"")</f>
        <v/>
      </c>
      <c r="CO4" s="45" t="str">
        <f ca="1">IFERROR(__xludf.DUMMYFUNCTION("""COMPUTED_VALUE"""),"")</f>
        <v/>
      </c>
      <c r="CP4" s="45" t="str">
        <f ca="1">IFERROR(__xludf.DUMMYFUNCTION("""COMPUTED_VALUE"""),"")</f>
        <v/>
      </c>
      <c r="CQ4" s="45" t="str">
        <f ca="1">IFERROR(__xludf.DUMMYFUNCTION("""COMPUTED_VALUE"""),"")</f>
        <v/>
      </c>
      <c r="CR4" s="45" t="str">
        <f ca="1">IFERROR(__xludf.DUMMYFUNCTION("""COMPUTED_VALUE"""),"")</f>
        <v/>
      </c>
      <c r="CS4" s="45" t="str">
        <f ca="1">IFERROR(__xludf.DUMMYFUNCTION("""COMPUTED_VALUE"""),"")</f>
        <v/>
      </c>
      <c r="CT4" s="45" t="str">
        <f ca="1">IFERROR(__xludf.DUMMYFUNCTION("""COMPUTED_VALUE"""),"")</f>
        <v/>
      </c>
      <c r="CU4" s="45" t="str">
        <f ca="1">IFERROR(__xludf.DUMMYFUNCTION("""COMPUTED_VALUE"""),"")</f>
        <v/>
      </c>
      <c r="CV4" s="45" t="str">
        <f ca="1">IFERROR(__xludf.DUMMYFUNCTION("""COMPUTED_VALUE"""),"")</f>
        <v/>
      </c>
      <c r="CW4" s="45" t="str">
        <f ca="1">IFERROR(__xludf.DUMMYFUNCTION("""COMPUTED_VALUE"""),"")</f>
        <v/>
      </c>
      <c r="CX4" s="45" t="str">
        <f ca="1">IFERROR(__xludf.DUMMYFUNCTION("""COMPUTED_VALUE"""),"")</f>
        <v/>
      </c>
      <c r="CY4" s="45" t="str">
        <f ca="1">IFERROR(__xludf.DUMMYFUNCTION("""COMPUTED_VALUE"""),"")</f>
        <v/>
      </c>
      <c r="CZ4" s="45" t="str">
        <f ca="1">IFERROR(__xludf.DUMMYFUNCTION("""COMPUTED_VALUE"""),"")</f>
        <v/>
      </c>
      <c r="DA4" s="45" t="str">
        <f ca="1">IFERROR(__xludf.DUMMYFUNCTION("""COMPUTED_VALUE"""),"")</f>
        <v/>
      </c>
      <c r="DB4" s="45" t="str">
        <f ca="1">IFERROR(__xludf.DUMMYFUNCTION("""COMPUTED_VALUE"""),"")</f>
        <v/>
      </c>
      <c r="DC4" s="45" t="str">
        <f ca="1">IFERROR(__xludf.DUMMYFUNCTION("""COMPUTED_VALUE"""),"")</f>
        <v/>
      </c>
      <c r="DD4" s="45" t="str">
        <f ca="1">IFERROR(__xludf.DUMMYFUNCTION("""COMPUTED_VALUE"""),"")</f>
        <v/>
      </c>
      <c r="DE4" s="45" t="str">
        <f ca="1">IFERROR(__xludf.DUMMYFUNCTION("""COMPUTED_VALUE"""),"")</f>
        <v/>
      </c>
      <c r="DF4" s="45" t="str">
        <f ca="1">IFERROR(__xludf.DUMMYFUNCTION("""COMPUTED_VALUE"""),"")</f>
        <v/>
      </c>
      <c r="DG4" s="45" t="str">
        <f ca="1">IFERROR(__xludf.DUMMYFUNCTION("""COMPUTED_VALUE"""),"")</f>
        <v/>
      </c>
      <c r="DH4" s="45" t="str">
        <f ca="1">IFERROR(__xludf.DUMMYFUNCTION("""COMPUTED_VALUE"""),"")</f>
        <v/>
      </c>
      <c r="DI4" s="45" t="str">
        <f ca="1">IFERROR(__xludf.DUMMYFUNCTION("""COMPUTED_VALUE"""),"")</f>
        <v/>
      </c>
      <c r="DJ4" s="45" t="str">
        <f ca="1">IFERROR(__xludf.DUMMYFUNCTION("""COMPUTED_VALUE"""),"")</f>
        <v/>
      </c>
      <c r="DK4" s="45" t="str">
        <f ca="1">IFERROR(__xludf.DUMMYFUNCTION("""COMPUTED_VALUE"""),"")</f>
        <v/>
      </c>
      <c r="DL4" s="45" t="str">
        <f ca="1">IFERROR(__xludf.DUMMYFUNCTION("""COMPUTED_VALUE"""),"")</f>
        <v/>
      </c>
      <c r="DM4" s="45" t="str">
        <f ca="1">IFERROR(__xludf.DUMMYFUNCTION("""COMPUTED_VALUE"""),"")</f>
        <v/>
      </c>
      <c r="DN4" s="45" t="str">
        <f ca="1">IFERROR(__xludf.DUMMYFUNCTION("""COMPUTED_VALUE"""),"")</f>
        <v/>
      </c>
      <c r="DO4" s="45" t="str">
        <f ca="1">IFERROR(__xludf.DUMMYFUNCTION("""COMPUTED_VALUE"""),"")</f>
        <v/>
      </c>
      <c r="DP4" s="45" t="str">
        <f ca="1">IFERROR(__xludf.DUMMYFUNCTION("""COMPUTED_VALUE"""),"")</f>
        <v/>
      </c>
      <c r="DQ4" s="45" t="str">
        <f ca="1">IFERROR(__xludf.DUMMYFUNCTION("""COMPUTED_VALUE"""),"")</f>
        <v/>
      </c>
      <c r="DR4" s="45" t="str">
        <f ca="1">IFERROR(__xludf.DUMMYFUNCTION("""COMPUTED_VALUE"""),"")</f>
        <v/>
      </c>
      <c r="DS4" s="45" t="str">
        <f ca="1">IFERROR(__xludf.DUMMYFUNCTION("""COMPUTED_VALUE"""),"")</f>
        <v/>
      </c>
      <c r="DT4" s="45" t="str">
        <f ca="1">IFERROR(__xludf.DUMMYFUNCTION("""COMPUTED_VALUE"""),"")</f>
        <v/>
      </c>
      <c r="DU4" s="45" t="str">
        <f ca="1">IFERROR(__xludf.DUMMYFUNCTION("""COMPUTED_VALUE"""),"")</f>
        <v/>
      </c>
      <c r="DV4" s="45" t="str">
        <f ca="1">IFERROR(__xludf.DUMMYFUNCTION("""COMPUTED_VALUE"""),"")</f>
        <v/>
      </c>
      <c r="DW4" s="45" t="str">
        <f ca="1">IFERROR(__xludf.DUMMYFUNCTION("""COMPUTED_VALUE"""),"")</f>
        <v/>
      </c>
      <c r="DX4" s="45" t="str">
        <f ca="1">IFERROR(__xludf.DUMMYFUNCTION("""COMPUTED_VALUE"""),"")</f>
        <v/>
      </c>
      <c r="DY4" s="45" t="str">
        <f ca="1">IFERROR(__xludf.DUMMYFUNCTION("""COMPUTED_VALUE"""),"")</f>
        <v/>
      </c>
      <c r="DZ4" s="45" t="str">
        <f ca="1">IFERROR(__xludf.DUMMYFUNCTION("""COMPUTED_VALUE"""),"")</f>
        <v/>
      </c>
      <c r="EA4" s="45" t="str">
        <f ca="1">IFERROR(__xludf.DUMMYFUNCTION("""COMPUTED_VALUE"""),"")</f>
        <v/>
      </c>
      <c r="EB4" s="45" t="str">
        <f ca="1">IFERROR(__xludf.DUMMYFUNCTION("""COMPUTED_VALUE"""),"")</f>
        <v/>
      </c>
      <c r="EC4" s="45" t="str">
        <f ca="1">IFERROR(__xludf.DUMMYFUNCTION("""COMPUTED_VALUE"""),"")</f>
        <v/>
      </c>
      <c r="ED4" s="45" t="str">
        <f ca="1">IFERROR(__xludf.DUMMYFUNCTION("""COMPUTED_VALUE"""),"")</f>
        <v/>
      </c>
      <c r="EE4" s="45" t="str">
        <f ca="1">IFERROR(__xludf.DUMMYFUNCTION("""COMPUTED_VALUE"""),"")</f>
        <v/>
      </c>
      <c r="EF4" s="45" t="str">
        <f ca="1">IFERROR(__xludf.DUMMYFUNCTION("""COMPUTED_VALUE"""),"")</f>
        <v/>
      </c>
      <c r="EG4" s="45" t="str">
        <f ca="1">IFERROR(__xludf.DUMMYFUNCTION("""COMPUTED_VALUE"""),"")</f>
        <v/>
      </c>
      <c r="EH4" s="45" t="str">
        <f ca="1">IFERROR(__xludf.DUMMYFUNCTION("""COMPUTED_VALUE"""),"")</f>
        <v/>
      </c>
      <c r="EI4" s="45" t="str">
        <f ca="1">IFERROR(__xludf.DUMMYFUNCTION("""COMPUTED_VALUE"""),"")</f>
        <v/>
      </c>
      <c r="EJ4" s="45" t="str">
        <f ca="1">IFERROR(__xludf.DUMMYFUNCTION("""COMPUTED_VALUE"""),"")</f>
        <v/>
      </c>
      <c r="EK4" s="45" t="str">
        <f ca="1">IFERROR(__xludf.DUMMYFUNCTION("""COMPUTED_VALUE"""),"")</f>
        <v/>
      </c>
      <c r="EL4" s="45" t="str">
        <f ca="1">IFERROR(__xludf.DUMMYFUNCTION("""COMPUTED_VALUE"""),"")</f>
        <v/>
      </c>
      <c r="EM4" s="45" t="str">
        <f ca="1">IFERROR(__xludf.DUMMYFUNCTION("""COMPUTED_VALUE"""),"")</f>
        <v/>
      </c>
      <c r="EN4" s="45" t="str">
        <f ca="1">IFERROR(__xludf.DUMMYFUNCTION("""COMPUTED_VALUE"""),"")</f>
        <v/>
      </c>
      <c r="EO4" s="45" t="str">
        <f ca="1">IFERROR(__xludf.DUMMYFUNCTION("""COMPUTED_VALUE"""),"")</f>
        <v/>
      </c>
      <c r="EP4" s="45" t="str">
        <f ca="1">IFERROR(__xludf.DUMMYFUNCTION("""COMPUTED_VALUE"""),"")</f>
        <v/>
      </c>
      <c r="EQ4" s="45" t="str">
        <f ca="1">IFERROR(__xludf.DUMMYFUNCTION("""COMPUTED_VALUE"""),"")</f>
        <v/>
      </c>
      <c r="ER4" s="45" t="str">
        <f ca="1">IFERROR(__xludf.DUMMYFUNCTION("""COMPUTED_VALUE"""),"")</f>
        <v/>
      </c>
      <c r="ES4" s="45" t="str">
        <f ca="1">IFERROR(__xludf.DUMMYFUNCTION("""COMPUTED_VALUE"""),"")</f>
        <v/>
      </c>
      <c r="ET4" s="45" t="str">
        <f ca="1">IFERROR(__xludf.DUMMYFUNCTION("""COMPUTED_VALUE"""),"")</f>
        <v/>
      </c>
      <c r="EU4" s="45" t="str">
        <f ca="1">IFERROR(__xludf.DUMMYFUNCTION("""COMPUTED_VALUE"""),"")</f>
        <v/>
      </c>
      <c r="EV4" s="45" t="str">
        <f ca="1">IFERROR(__xludf.DUMMYFUNCTION("""COMPUTED_VALUE"""),"")</f>
        <v/>
      </c>
      <c r="EW4" s="45" t="str">
        <f ca="1">IFERROR(__xludf.DUMMYFUNCTION("""COMPUTED_VALUE"""),"")</f>
        <v/>
      </c>
      <c r="EX4" s="45" t="str">
        <f ca="1">IFERROR(__xludf.DUMMYFUNCTION("""COMPUTED_VALUE"""),"")</f>
        <v/>
      </c>
      <c r="EY4" s="45" t="str">
        <f ca="1">IFERROR(__xludf.DUMMYFUNCTION("""COMPUTED_VALUE"""),"")</f>
        <v/>
      </c>
      <c r="EZ4" s="45" t="str">
        <f ca="1">IFERROR(__xludf.DUMMYFUNCTION("""COMPUTED_VALUE"""),"")</f>
        <v/>
      </c>
      <c r="FA4" s="45" t="str">
        <f ca="1">IFERROR(__xludf.DUMMYFUNCTION("""COMPUTED_VALUE"""),"")</f>
        <v/>
      </c>
      <c r="FB4" s="45" t="str">
        <f ca="1">IFERROR(__xludf.DUMMYFUNCTION("""COMPUTED_VALUE"""),"")</f>
        <v/>
      </c>
      <c r="FC4" s="45" t="str">
        <f ca="1">IFERROR(__xludf.DUMMYFUNCTION("""COMPUTED_VALUE"""),"")</f>
        <v/>
      </c>
      <c r="FD4" s="45" t="str">
        <f ca="1">IFERROR(__xludf.DUMMYFUNCTION("""COMPUTED_VALUE"""),"")</f>
        <v/>
      </c>
      <c r="FE4" s="45" t="str">
        <f ca="1">IFERROR(__xludf.DUMMYFUNCTION("""COMPUTED_VALUE"""),"")</f>
        <v/>
      </c>
      <c r="FF4" s="45" t="str">
        <f ca="1">IFERROR(__xludf.DUMMYFUNCTION("""COMPUTED_VALUE"""),"")</f>
        <v/>
      </c>
      <c r="FG4" s="45" t="str">
        <f ca="1">IFERROR(__xludf.DUMMYFUNCTION("""COMPUTED_VALUE"""),"")</f>
        <v/>
      </c>
      <c r="FH4" s="45" t="str">
        <f ca="1">IFERROR(__xludf.DUMMYFUNCTION("""COMPUTED_VALUE"""),"")</f>
        <v/>
      </c>
      <c r="FI4" s="45" t="str">
        <f ca="1">IFERROR(__xludf.DUMMYFUNCTION("""COMPUTED_VALUE"""),"")</f>
        <v/>
      </c>
      <c r="FJ4" s="45" t="str">
        <f ca="1">IFERROR(__xludf.DUMMYFUNCTION("""COMPUTED_VALUE"""),"")</f>
        <v/>
      </c>
    </row>
    <row r="5" spans="1:166" ht="15.75" customHeight="1">
      <c r="A5" s="46" t="str">
        <f ca="1">IFERROR(__xludf.DUMMYFUNCTION("TRANSPOSE(IMPORTRANGE(VLOOKUP($E$3,IMPORTRANGE('_Settings'!$B$3,$C$3&amp;""!A4:B1000""),2,FALSE),$G$3&amp;""!A4:A1000""))"),"")</f>
        <v/>
      </c>
      <c r="B5" s="47" t="str">
        <f ca="1">IFERROR(__xludf.DUMMYFUNCTION("""COMPUTED_VALUE"""),"Trade Date")</f>
        <v>Trade Date</v>
      </c>
      <c r="C5" s="47" t="str">
        <f ca="1">IFERROR(__xludf.DUMMYFUNCTION("""COMPUTED_VALUE"""),"Symbol")</f>
        <v>Symbol</v>
      </c>
      <c r="D5" s="47" t="str">
        <f ca="1">IFERROR(__xludf.DUMMYFUNCTION("""COMPUTED_VALUE"""),"Position")</f>
        <v>Position</v>
      </c>
      <c r="E5" s="47" t="str">
        <f ca="1">IFERROR(__xludf.DUMMYFUNCTION("""COMPUTED_VALUE"""),"Account")</f>
        <v>Account</v>
      </c>
      <c r="F5" s="48" t="str">
        <f ca="1">IFERROR(__xludf.DUMMYFUNCTION("""COMPUTED_VALUE"""),"MasterFund")</f>
        <v>MasterFund</v>
      </c>
      <c r="G5" s="47" t="str">
        <f ca="1">IFERROR(__xludf.DUMMYFUNCTION("""COMPUTED_VALUE"""),"Cost Basis")</f>
        <v>Cost Basis</v>
      </c>
      <c r="H5" s="47" t="str">
        <f ca="1">IFERROR(__xludf.DUMMYFUNCTION("""COMPUTED_VALUE"""),"Position Side")</f>
        <v>Position Side</v>
      </c>
      <c r="I5" s="47" t="str">
        <f ca="1">IFERROR(__xludf.DUMMYFUNCTION("""COMPUTED_VALUE"""),"Market Value (Base)")</f>
        <v>Market Value (Base)</v>
      </c>
      <c r="J5" s="47" t="str">
        <f ca="1">IFERROR(__xludf.DUMMYFUNCTION("""COMPUTED_VALUE"""),"% Day P&amp;L (Gross MV)")</f>
        <v>% Day P&amp;L (Gross MV)</v>
      </c>
      <c r="K5" s="47" t="str">
        <f ca="1">IFERROR(__xludf.DUMMYFUNCTION("""COMPUTED_VALUE"""),"Net Exposure (Base)")</f>
        <v>Net Exposure (Base)</v>
      </c>
      <c r="L5" s="47" t="str">
        <f ca="1">IFERROR(__xludf.DUMMYFUNCTION("""COMPUTED_VALUE"""),"Beta Adj. Gross Exposure (Base)")</f>
        <v>Beta Adj. Gross Exposure (Base)</v>
      </c>
      <c r="M5" s="47" t="str">
        <f ca="1">IFERROR(__xludf.DUMMYFUNCTION("""COMPUTED_VALUE"""),"Beta Adj. Gross Exposure (Underlying) (Base)")</f>
        <v>Beta Adj. Gross Exposure (Underlying) (Base)</v>
      </c>
      <c r="N5" s="47" t="str">
        <f ca="1">IFERROR(__xludf.DUMMYFUNCTION("""COMPUTED_VALUE"""),"Day P&amp;L (Base)")</f>
        <v>Day P&amp;L (Base)</v>
      </c>
      <c r="O5" s="47" t="str">
        <f ca="1">IFERROR(__xludf.DUMMYFUNCTION("""COMPUTED_VALUE"""),"Security Name")</f>
        <v>Security Name</v>
      </c>
      <c r="P5" s="47" t="str">
        <f ca="1">IFERROR(__xludf.DUMMYFUNCTION("""COMPUTED_VALUE"""),"Closing Mark")</f>
        <v>Closing Mark</v>
      </c>
      <c r="Q5" s="47" t="str">
        <f ca="1">IFERROR(__xludf.DUMMYFUNCTION("""COMPUTED_VALUE"""),"Cost Basis P&amp;L (Base)")</f>
        <v>Cost Basis P&amp;L (Base)</v>
      </c>
      <c r="R5" s="47" t="str">
        <f ca="1">IFERROR(__xludf.DUMMYFUNCTION("""COMPUTED_VALUE"""),"Prime Broker")</f>
        <v>Prime Broker</v>
      </c>
      <c r="S5" s="47" t="str">
        <f ca="1">IFERROR(__xludf.DUMMYFUNCTION("""COMPUTED_VALUE"""),"Strategy")</f>
        <v>Strategy</v>
      </c>
      <c r="T5" s="49" t="str">
        <f ca="1">IFERROR(__xludf.DUMMYFUNCTION("""COMPUTED_VALUE"""),"Asset Class")</f>
        <v>Asset Class</v>
      </c>
      <c r="U5" s="49" t="str">
        <f ca="1">IFERROR(__xludf.DUMMYFUNCTION("""COMPUTED_VALUE"""),"Underlying")</f>
        <v>Underlying</v>
      </c>
      <c r="V5" s="49" t="str">
        <f ca="1">IFERROR(__xludf.DUMMYFUNCTION("""COMPUTED_VALUE"""),"Exchange")</f>
        <v>Exchange</v>
      </c>
      <c r="W5" s="49" t="str">
        <f ca="1">IFERROR(__xludf.DUMMYFUNCTION("""COMPUTED_VALUE"""),"Trade Currency")</f>
        <v>Trade Currency</v>
      </c>
      <c r="X5" s="49" t="str">
        <f ca="1">IFERROR(__xludf.DUMMYFUNCTION("""COMPUTED_VALUE"""),"Multiplier")</f>
        <v>Multiplier</v>
      </c>
      <c r="Y5" s="49" t="str">
        <f ca="1">IFERROR(__xludf.DUMMYFUNCTION("""COMPUTED_VALUE"""),"FX Rate")</f>
        <v>FX Rate</v>
      </c>
      <c r="Z5" s="49" t="str">
        <f ca="1">IFERROR(__xludf.DUMMYFUNCTION("""COMPUTED_VALUE"""),"Vs Currency")</f>
        <v>Vs Currency</v>
      </c>
      <c r="AA5" s="49" t="str">
        <f ca="1">IFERROR(__xludf.DUMMYFUNCTION("""COMPUTED_VALUE"""),"Lead Currency")</f>
        <v>Lead Currency</v>
      </c>
      <c r="AB5" s="49" t="str">
        <f ca="1">IFERROR(__xludf.DUMMYFUNCTION("""COMPUTED_VALUE"""),"Dividend Yield (%)")</f>
        <v>Dividend Yield (%)</v>
      </c>
      <c r="AC5" s="49" t="str">
        <f ca="1">IFERROR(__xludf.DUMMYFUNCTION("""COMPUTED_VALUE"""),"% Change")</f>
        <v>% Change</v>
      </c>
      <c r="AD5" s="49" t="str">
        <f ca="1">IFERROR(__xludf.DUMMYFUNCTION("""COMPUTED_VALUE"""),"Net Exposure (Local)")</f>
        <v>Net Exposure (Local)</v>
      </c>
      <c r="AE5" s="49" t="str">
        <f ca="1">IFERROR(__xludf.DUMMYFUNCTION("""COMPUTED_VALUE"""),"Exposure (Local)")</f>
        <v>Exposure (Local)</v>
      </c>
      <c r="AF5" s="49" t="str">
        <f ca="1">IFERROR(__xludf.DUMMYFUNCTION("""COMPUTED_VALUE"""),"Delta Adj. Position")</f>
        <v>Delta Adj. Position</v>
      </c>
      <c r="AG5" s="49" t="str">
        <f ca="1">IFERROR(__xludf.DUMMYFUNCTION("""COMPUTED_VALUE"""),"Exposure (Base)")</f>
        <v>Exposure (Base)</v>
      </c>
      <c r="AH5" s="49" t="str">
        <f ca="1">IFERROR(__xludf.DUMMYFUNCTION("""COMPUTED_VALUE"""),"Beta Adj. Exposure (Local)")</f>
        <v>Beta Adj. Exposure (Local)</v>
      </c>
      <c r="AI5" s="49" t="str">
        <f ca="1">IFERROR(__xludf.DUMMYFUNCTION("""COMPUTED_VALUE"""),"Beta Adj. Exposure (Base)")</f>
        <v>Beta Adj. Exposure (Base)</v>
      </c>
      <c r="AJ5" s="49" t="str">
        <f ca="1">IFERROR(__xludf.DUMMYFUNCTION("""COMPUTED_VALUE"""),"Exposure (BP)(Base)")</f>
        <v>Exposure (BP)(Base)</v>
      </c>
      <c r="AK5" s="49" t="str">
        <f ca="1">IFERROR(__xludf.DUMMYFUNCTION("""COMPUTED_VALUE"""),"Day P&amp;L (Local)")</f>
        <v>Day P&amp;L (Local)</v>
      </c>
      <c r="AL5" s="49" t="str">
        <f ca="1">IFERROR(__xludf.DUMMYFUNCTION("""COMPUTED_VALUE"""),"Delta")</f>
        <v>Delta</v>
      </c>
      <c r="AM5" s="49" t="str">
        <f ca="1">IFERROR(__xludf.DUMMYFUNCTION("""COMPUTED_VALUE"""),"Leveraged Factor")</f>
        <v>Leveraged Factor</v>
      </c>
      <c r="AN5" s="49" t="str">
        <f ca="1">IFERROR(__xludf.DUMMYFUNCTION("""COMPUTED_VALUE"""),"Order Side")</f>
        <v>Order Side</v>
      </c>
      <c r="AO5" s="49" t="str">
        <f ca="1">IFERROR(__xludf.DUMMYFUNCTION("""COMPUTED_VALUE"""),"Master Strategy")</f>
        <v>Master Strategy</v>
      </c>
      <c r="AP5" s="49" t="str">
        <f ca="1">IFERROR(__xludf.DUMMYFUNCTION("""COMPUTED_VALUE"""),"Transaction Side")</f>
        <v>Transaction Side</v>
      </c>
      <c r="AQ5" s="49" t="str">
        <f ca="1">IFERROR(__xludf.DUMMYFUNCTION("""COMPUTED_VALUE"""),"Underlying Symbol")</f>
        <v>Underlying Symbol</v>
      </c>
      <c r="AR5" s="49" t="str">
        <f ca="1">IFERROR(__xludf.DUMMYFUNCTION("""COMPUTED_VALUE"""),"Underlying Price")</f>
        <v>Underlying Price</v>
      </c>
      <c r="AS5" s="49" t="str">
        <f ca="1">IFERROR(__xludf.DUMMYFUNCTION("""COMPUTED_VALUE"""),"Side Multiplier")</f>
        <v>Side Multiplier</v>
      </c>
      <c r="AT5" s="49" t="str">
        <f ca="1">IFERROR(__xludf.DUMMYFUNCTION("""COMPUTED_VALUE"""),"Description")</f>
        <v>Description</v>
      </c>
      <c r="AU5" s="49" t="str">
        <f ca="1">IFERROR(__xludf.DUMMYFUNCTION("""COMPUTED_VALUE"""),"Internal Comments")</f>
        <v>Internal Comments</v>
      </c>
      <c r="AV5" s="49" t="str">
        <f ca="1">IFERROR(__xludf.DUMMYFUNCTION("""COMPUTED_VALUE"""),"FX Rate On Trade Date")</f>
        <v>FX Rate On Trade Date</v>
      </c>
      <c r="AW5" s="49" t="str">
        <f ca="1">IFERROR(__xludf.DUMMYFUNCTION("""COMPUTED_VALUE"""),"Cost Basis P&amp;L (Local)")</f>
        <v>Cost Basis P&amp;L (Local)</v>
      </c>
      <c r="AX5" s="49" t="str">
        <f ca="1">IFERROR(__xludf.DUMMYFUNCTION("""COMPUTED_VALUE"""),"Day Interest")</f>
        <v>Day Interest</v>
      </c>
      <c r="AY5" s="49" t="str">
        <f ca="1">IFERROR(__xludf.DUMMYFUNCTION("""COMPUTED_VALUE"""),"Total Interest")</f>
        <v>Total Interest</v>
      </c>
      <c r="AZ5" s="49" t="str">
        <f ca="1">IFERROR(__xludf.DUMMYFUNCTION("""COMPUTED_VALUE"""),"Market Value (Local)")</f>
        <v>Market Value (Local)</v>
      </c>
      <c r="BA5" s="49" t="str">
        <f ca="1">IFERROR(__xludf.DUMMYFUNCTION("""COMPUTED_VALUE"""),"% Gain/Loss Day")</f>
        <v>% Gain/Loss Day</v>
      </c>
      <c r="BB5" s="49" t="str">
        <f ca="1">IFERROR(__xludf.DUMMYFUNCTION("""COMPUTED_VALUE"""),"Update Time (Last Price)")</f>
        <v>Update Time (Last Price)</v>
      </c>
      <c r="BC5" s="49" t="str">
        <f ca="1">IFERROR(__xludf.DUMMYFUNCTION("""COMPUTED_VALUE"""),"Beta")</f>
        <v>Beta</v>
      </c>
      <c r="BD5" s="49" t="str">
        <f ca="1">IFERROR(__xludf.DUMMYFUNCTION("""COMPUTED_VALUE"""),"Cash Impact (Local)")</f>
        <v>Cash Impact (Local)</v>
      </c>
      <c r="BE5" s="49" t="str">
        <f ca="1">IFERROR(__xludf.DUMMYFUNCTION("""COMPUTED_VALUE"""),"User Asset")</f>
        <v>User Asset</v>
      </c>
      <c r="BF5" s="49" t="str">
        <f ca="1">IFERROR(__xludf.DUMMYFUNCTION("""COMPUTED_VALUE"""),"Security Type")</f>
        <v>Security Type</v>
      </c>
      <c r="BG5" s="49" t="str">
        <f ca="1">IFERROR(__xludf.DUMMYFUNCTION("""COMPUTED_VALUE"""),"Sector")</f>
        <v>Sector</v>
      </c>
      <c r="BH5" s="49" t="str">
        <f ca="1">IFERROR(__xludf.DUMMYFUNCTION("""COMPUTED_VALUE"""),"Sub Sector")</f>
        <v>Sub Sector</v>
      </c>
      <c r="BI5" s="49" t="str">
        <f ca="1">IFERROR(__xludf.DUMMYFUNCTION("""COMPUTED_VALUE"""),"Country")</f>
        <v>Country</v>
      </c>
      <c r="BJ5" s="49" t="str">
        <f ca="1">IFERROR(__xludf.DUMMYFUNCTION("""COMPUTED_VALUE"""),"Market Cap")</f>
        <v>Market Cap</v>
      </c>
      <c r="BK5" s="49" t="s">
        <v>85</v>
      </c>
      <c r="BL5" s="49" t="str">
        <f ca="1">IFERROR(__xludf.DUMMYFUNCTION("""COMPUTED_VALUE"""),"Avg Volume 20 Day")</f>
        <v>Avg Volume 20 Day</v>
      </c>
      <c r="BM5" s="49" t="str">
        <f ca="1">IFERROR(__xludf.DUMMYFUNCTION("""COMPUTED_VALUE"""),"% Avg Volume (Delta Adj.)")</f>
        <v>% Avg Volume (Delta Adj.)</v>
      </c>
      <c r="BN5" s="49" t="str">
        <f ca="1">IFERROR(__xludf.DUMMYFUNCTION("""COMPUTED_VALUE"""),"Ex Dividend Date")</f>
        <v>Ex Dividend Date</v>
      </c>
      <c r="BO5" s="49" t="str">
        <f ca="1">IFERROR(__xludf.DUMMYFUNCTION("""COMPUTED_VALUE"""),"Cash Impact (Base)")</f>
        <v>Cash Impact (Base)</v>
      </c>
      <c r="BP5" s="49" t="str">
        <f ca="1">IFERROR(__xludf.DUMMYFUNCTION("""COMPUTED_VALUE"""),"Volatility (%)")</f>
        <v>Volatility (%)</v>
      </c>
      <c r="BQ5" s="49" t="str">
        <f ca="1">IFERROR(__xludf.DUMMYFUNCTION("""COMPUTED_VALUE"""),"User")</f>
        <v>User</v>
      </c>
      <c r="BR5" s="49" t="str">
        <f ca="1">IFERROR(__xludf.DUMMYFUNCTION("""COMPUTED_VALUE"""),"Broker")</f>
        <v>Broker</v>
      </c>
      <c r="BS5" s="49" t="str">
        <f ca="1">IFERROR(__xludf.DUMMYFUNCTION("""COMPUTED_VALUE"""),"Earned Dividend (Local)")</f>
        <v>Earned Dividend (Local)</v>
      </c>
      <c r="BT5" s="49" t="str">
        <f ca="1">IFERROR(__xludf.DUMMYFUNCTION("""COMPUTED_VALUE"""),"Earned Dividend (Base)")</f>
        <v>Earned Dividend (Base)</v>
      </c>
      <c r="BU5" s="49" t="str">
        <f ca="1">IFERROR(__xludf.DUMMYFUNCTION("""COMPUTED_VALUE"""),"Put/Call")</f>
        <v>Put/Call</v>
      </c>
      <c r="BV5" s="49" t="str">
        <f ca="1">IFERROR(__xludf.DUMMYFUNCTION("""COMPUTED_VALUE"""),"Expiration Date")</f>
        <v>Expiration Date</v>
      </c>
      <c r="BW5" s="49" t="str">
        <f ca="1">IFERROR(__xludf.DUMMYFUNCTION("""COMPUTED_VALUE"""),"Strike Price")</f>
        <v>Strike Price</v>
      </c>
      <c r="BX5" s="49" t="str">
        <f ca="1">IFERROR(__xludf.DUMMYFUNCTION("""COMPUTED_VALUE"""),"Gross Exposure (Base)")</f>
        <v>Gross Exposure (Base)</v>
      </c>
      <c r="BY5" s="49" t="str">
        <f ca="1">IFERROR(__xludf.DUMMYFUNCTION("""COMPUTED_VALUE"""),"Gross Market Value (Base)")</f>
        <v>Gross Market Value (Base)</v>
      </c>
      <c r="BZ5" s="49" t="str">
        <f ca="1">IFERROR(__xludf.DUMMYFUNCTION("""COMPUTED_VALUE"""),"Px Selected Feed (Local)")</f>
        <v>Px Selected Feed (Local)</v>
      </c>
      <c r="CA5" s="49" t="str">
        <f ca="1">IFERROR(__xludf.DUMMYFUNCTION("""COMPUTED_VALUE"""),"Px Selected Feed (Base)")</f>
        <v>Px Selected Feed (Base)</v>
      </c>
      <c r="CB5" s="49" t="str">
        <f ca="1">IFERROR(__xludf.DUMMYFUNCTION("""COMPUTED_VALUE"""),"Settlement Date")</f>
        <v>Settlement Date</v>
      </c>
      <c r="CC5" s="49" t="str">
        <f ca="1">IFERROR(__xludf.DUMMYFUNCTION("""COMPUTED_VALUE"""),"% Avg Volume")</f>
        <v>% Avg Volume</v>
      </c>
      <c r="CD5" s="49" t="str">
        <f ca="1">IFERROR(__xludf.DUMMYFUNCTION("""COMPUTED_VALUE"""),"Day P&amp;L (Base)(Price Gain)")</f>
        <v>Day P&amp;L (Base)(Price Gain)</v>
      </c>
      <c r="CE5" s="49" t="str">
        <f ca="1">IFERROR(__xludf.DUMMYFUNCTION("""COMPUTED_VALUE"""),"Day P&amp;L (Base)(FX Gain)")</f>
        <v>Day P&amp;L (Base)(FX Gain)</v>
      </c>
      <c r="CF5" s="49" t="str">
        <f ca="1">IFERROR(__xludf.DUMMYFUNCTION("""COMPUTED_VALUE"""),"Cost Basis P&amp;L (Base)(FX Gain)")</f>
        <v>Cost Basis P&amp;L (Base)(FX Gain)</v>
      </c>
      <c r="CG5" s="49" t="str">
        <f ca="1">IFERROR(__xludf.DUMMYFUNCTION("""COMPUTED_VALUE"""),"Cost Basis P&amp;L (Base)(Price Gain)")</f>
        <v>Cost Basis P&amp;L (Base)(Price Gain)</v>
      </c>
      <c r="CH5" s="49" t="str">
        <f ca="1">IFERROR(__xludf.DUMMYFUNCTION("""COMPUTED_VALUE"""),"% Gain/Loss Cost")</f>
        <v>% Gain/Loss Cost</v>
      </c>
      <c r="CI5" s="49" t="str">
        <f ca="1">IFERROR(__xludf.DUMMYFUNCTION("""COMPUTED_VALUE"""),"Underlying Value (Options)")</f>
        <v>Underlying Value (Options)</v>
      </c>
      <c r="CJ5" s="49" t="str">
        <f ca="1">IFERROR(__xludf.DUMMYFUNCTION("""COMPUTED_VALUE"""),"Avg Volume 20 Day (Underlying Symbol)")</f>
        <v>Avg Volume 20 Day (Underlying Symbol)</v>
      </c>
      <c r="CK5" s="49" t="str">
        <f ca="1">IFERROR(__xludf.DUMMYFUNCTION("""COMPUTED_VALUE"""),"IsStaleData")</f>
        <v>IsStaleData</v>
      </c>
      <c r="CL5" s="49" t="str">
        <f ca="1">IFERROR(__xludf.DUMMYFUNCTION("""COMPUTED_VALUE"""),"IDCO")</f>
        <v>IDCO</v>
      </c>
      <c r="CM5" s="49" t="str">
        <f ca="1">IFERROR(__xludf.DUMMYFUNCTION("""COMPUTED_VALUE"""),"OSI")</f>
        <v>OSI</v>
      </c>
      <c r="CN5" s="49" t="str">
        <f ca="1">IFERROR(__xludf.DUMMYFUNCTION("""COMPUTED_VALUE"""),"SEDOL")</f>
        <v>SEDOL</v>
      </c>
      <c r="CO5" s="49" t="str">
        <f ca="1">IFERROR(__xludf.DUMMYFUNCTION("""COMPUTED_VALUE"""),"CUSIP")</f>
        <v>CUSIP</v>
      </c>
      <c r="CP5" s="49" t="str">
        <f ca="1">IFERROR(__xludf.DUMMYFUNCTION("""COMPUTED_VALUE"""),"Bloomberg")</f>
        <v>Bloomberg</v>
      </c>
      <c r="CQ5" s="49" t="str">
        <f ca="1">IFERROR(__xludf.DUMMYFUNCTION("""COMPUTED_VALUE"""),"ISIN")</f>
        <v>ISIN</v>
      </c>
      <c r="CR5" s="49" t="str">
        <f ca="1">IFERROR(__xludf.DUMMYFUNCTION("""COMPUTED_VALUE"""),"Start Trade Date")</f>
        <v>Start Trade Date</v>
      </c>
      <c r="CS5" s="49" t="str">
        <f ca="1">IFERROR(__xludf.DUMMYFUNCTION("""COMPUTED_VALUE"""),"Cost Basis (Break Even)")</f>
        <v>Cost Basis (Break Even)</v>
      </c>
      <c r="CT5" s="49" t="str">
        <f ca="1">IFERROR(__xludf.DUMMYFUNCTION("""COMPUTED_VALUE"""),"Trade Attribute 3")</f>
        <v>Trade Attribute 3</v>
      </c>
      <c r="CU5" s="49" t="str">
        <f ca="1">IFERROR(__xludf.DUMMYFUNCTION("""COMPUTED_VALUE"""),"Trade Attribute 4")</f>
        <v>Trade Attribute 4</v>
      </c>
      <c r="CV5" s="49" t="str">
        <f ca="1">IFERROR(__xludf.DUMMYFUNCTION("""COMPUTED_VALUE"""),"Trade Attribute 5")</f>
        <v>Trade Attribute 5</v>
      </c>
      <c r="CW5" s="49" t="str">
        <f ca="1">IFERROR(__xludf.DUMMYFUNCTION("""COMPUTED_VALUE"""),"Trade Attribute 6")</f>
        <v>Trade Attribute 6</v>
      </c>
      <c r="CX5" s="49" t="str">
        <f ca="1">IFERROR(__xludf.DUMMYFUNCTION("""COMPUTED_VALUE"""),"Proxy Symbol")</f>
        <v>Proxy Symbol</v>
      </c>
      <c r="CY5" s="49" t="str">
        <f ca="1">IFERROR(__xludf.DUMMYFUNCTION("""COMPUTED_VALUE"""),"Pricing Source")</f>
        <v>Pricing Source</v>
      </c>
      <c r="CZ5" s="49" t="str">
        <f ca="1">IFERROR(__xludf.DUMMYFUNCTION("""COMPUTED_VALUE"""),"Delta Source")</f>
        <v>Delta Source</v>
      </c>
      <c r="DA5" s="49" t="str">
        <f ca="1">IFERROR(__xludf.DUMMYFUNCTION("""COMPUTED_VALUE"""),"Gross Exposure (Local)")</f>
        <v>Gross Exposure (Local)</v>
      </c>
      <c r="DB5" s="49" t="str">
        <f ca="1">IFERROR(__xludf.DUMMYFUNCTION("""COMPUTED_VALUE"""),"% Day P&amp;L (Net MV)")</f>
        <v>% Day P&amp;L (Net MV)</v>
      </c>
      <c r="DC5" s="49" t="str">
        <f ca="1">IFERROR(__xludf.DUMMYFUNCTION("""COMPUTED_VALUE"""),"Expiration Month")</f>
        <v>Expiration Month</v>
      </c>
      <c r="DD5" s="49" t="str">
        <f ca="1">IFERROR(__xludf.DUMMYFUNCTION("""COMPUTED_VALUE"""),"Delta Adj. Position (LME)")</f>
        <v>Delta Adj. Position (LME)</v>
      </c>
      <c r="DE5" s="49" t="str">
        <f ca="1">IFERROR(__xludf.DUMMYFUNCTION("""COMPUTED_VALUE"""),"Premium")</f>
        <v>Premium</v>
      </c>
      <c r="DF5" s="49" t="str">
        <f ca="1">IFERROR(__xludf.DUMMYFUNCTION("""COMPUTED_VALUE"""),"Premium $")</f>
        <v>Premium $</v>
      </c>
      <c r="DG5" s="49" t="str">
        <f ca="1">IFERROR(__xludf.DUMMYFUNCTION("""COMPUTED_VALUE"""),"Forward Points")</f>
        <v>Forward Points</v>
      </c>
      <c r="DH5" s="49" t="str">
        <f ca="1">IFERROR(__xludf.DUMMYFUNCTION("""COMPUTED_VALUE"""),"Closing Mark (Underlying)")</f>
        <v>Closing Mark (Underlying)</v>
      </c>
      <c r="DI5" s="49" t="str">
        <f ca="1">IFERROR(__xludf.DUMMYFUNCTION("""COMPUTED_VALUE"""),"% Change (Underlying Price)")</f>
        <v>% Change (Underlying Price)</v>
      </c>
      <c r="DJ5" s="49" t="str">
        <f ca="1">IFERROR(__xludf.DUMMYFUNCTION("""COMPUTED_VALUE"""),"Transaction Type")</f>
        <v>Transaction Type</v>
      </c>
      <c r="DK5" s="49" t="str">
        <f ca="1">IFERROR(__xludf.DUMMYFUNCTION("""COMPUTED_VALUE"""),"Closing Market Value (Local)")</f>
        <v>Closing Market Value (Local)</v>
      </c>
      <c r="DL5" s="49" t="str">
        <f ca="1">IFERROR(__xludf.DUMMYFUNCTION("""COMPUTED_VALUE"""),"Closing Market Value (Base)")</f>
        <v>Closing Market Value (Base)</v>
      </c>
      <c r="DM5" s="49" t="str">
        <f ca="1">IFERROR(__xludf.DUMMYFUNCTION("""COMPUTED_VALUE"""),"Closing FX Rate")</f>
        <v>Closing FX Rate</v>
      </c>
      <c r="DN5" s="49" t="str">
        <f ca="1">IFERROR(__xludf.DUMMYFUNCTION("""COMPUTED_VALUE"""),"Change In Underlying Price")</f>
        <v>Change In Underlying Price</v>
      </c>
      <c r="DO5" s="49" t="str">
        <f ca="1">IFERROR(__xludf.DUMMYFUNCTION("""COMPUTED_VALUE"""),"RIC")</f>
        <v>RIC</v>
      </c>
      <c r="DP5" s="49" t="str">
        <f ca="1">IFERROR(__xludf.DUMMYFUNCTION("""COMPUTED_VALUE"""),"Position Side Exposure (Boxed)")</f>
        <v>Position Side Exposure (Boxed)</v>
      </c>
      <c r="DQ5" s="49" t="str">
        <f ca="1">IFERROR(__xludf.DUMMYFUNCTION("""COMPUTED_VALUE"""),"Analyst")</f>
        <v>Analyst</v>
      </c>
      <c r="DR5" s="49" t="str">
        <f ca="1">IFERROR(__xludf.DUMMYFUNCTION("""COMPUTED_VALUE"""),"Country Of Risk")</f>
        <v>Country Of Risk</v>
      </c>
      <c r="DS5" s="49" t="str">
        <f ca="1">IFERROR(__xludf.DUMMYFUNCTION("""COMPUTED_VALUE"""),"Custom UDA1")</f>
        <v>Custom UDA1</v>
      </c>
      <c r="DT5" s="49" t="str">
        <f ca="1">IFERROR(__xludf.DUMMYFUNCTION("""COMPUTED_VALUE"""),"Custom UDA2")</f>
        <v>Custom UDA2</v>
      </c>
      <c r="DU5" s="49" t="str">
        <f ca="1">IFERROR(__xludf.DUMMYFUNCTION("""COMPUTED_VALUE"""),"Custom UDA3")</f>
        <v>Custom UDA3</v>
      </c>
      <c r="DV5" s="49" t="str">
        <f ca="1">IFERROR(__xludf.DUMMYFUNCTION("""COMPUTED_VALUE"""),"Custom UDA4")</f>
        <v>Custom UDA4</v>
      </c>
      <c r="DW5" s="49" t="str">
        <f ca="1">IFERROR(__xludf.DUMMYFUNCTION("""COMPUTED_VALUE"""),"Custom UDA5")</f>
        <v>Custom UDA5</v>
      </c>
      <c r="DX5" s="49" t="str">
        <f ca="1">IFERROR(__xludf.DUMMYFUNCTION("""COMPUTED_VALUE"""),"Custom UDA6")</f>
        <v>Custom UDA6</v>
      </c>
      <c r="DY5" s="49" t="str">
        <f ca="1">IFERROR(__xludf.DUMMYFUNCTION("""COMPUTED_VALUE"""),"Custom UDA7")</f>
        <v>Custom UDA7</v>
      </c>
      <c r="DZ5" s="49" t="str">
        <f ca="1">IFERROR(__xludf.DUMMYFUNCTION("""COMPUTED_VALUE"""),"Issuer")</f>
        <v>Issuer</v>
      </c>
      <c r="EA5" s="49" t="str">
        <f ca="1">IFERROR(__xludf.DUMMYFUNCTION("""COMPUTED_VALUE"""),"Liquid Tag")</f>
        <v>Liquid Tag</v>
      </c>
      <c r="EB5" s="49" t="str">
        <f ca="1">IFERROR(__xludf.DUMMYFUNCTION("""COMPUTED_VALUE"""),"Market Cap UDA")</f>
        <v>Market Cap UDA</v>
      </c>
      <c r="EC5" s="49" t="str">
        <f ca="1">IFERROR(__xludf.DUMMYFUNCTION("""COMPUTED_VALUE"""),"Region")</f>
        <v>Region</v>
      </c>
      <c r="ED5" s="49" t="str">
        <f ca="1">IFERROR(__xludf.DUMMYFUNCTION("""COMPUTED_VALUE"""),"Risk Currency")</f>
        <v>Risk Currency</v>
      </c>
      <c r="EE5" s="49" t="str">
        <f ca="1">IFERROR(__xludf.DUMMYFUNCTION("""COMPUTED_VALUE"""),"UCITS Eligible Tag")</f>
        <v>UCITS Eligible Tag</v>
      </c>
      <c r="EF5" s="49" t="str">
        <f ca="1">IFERROR(__xludf.DUMMYFUNCTION("""COMPUTED_VALUE"""),"FX Rate (Display)")</f>
        <v>FX Rate (Display)</v>
      </c>
      <c r="EG5" s="49" t="str">
        <f ca="1">IFERROR(__xludf.DUMMYFUNCTION("""COMPUTED_VALUE"""),"% Net Exposure (Base)")</f>
        <v>% Net Exposure (Base)</v>
      </c>
      <c r="EH5" s="49" t="str">
        <f ca="1">IFERROR(__xludf.DUMMYFUNCTION("""COMPUTED_VALUE"""),"% Gross Exposure (Base)")</f>
        <v>% Gross Exposure (Base)</v>
      </c>
      <c r="EI5" s="49" t="str">
        <f ca="1">IFERROR(__xludf.DUMMYFUNCTION("""COMPUTED_VALUE"""),"% Exposure (Base)")</f>
        <v>% Exposure (Base)</v>
      </c>
      <c r="EJ5" s="49" t="str">
        <f ca="1">IFERROR(__xludf.DUMMYFUNCTION("""COMPUTED_VALUE"""),"% Gross Exposure (Underlying) (Base)")</f>
        <v>% Gross Exposure (Underlying) (Base)</v>
      </c>
      <c r="EK5" s="49" t="str">
        <f ca="1">IFERROR(__xludf.DUMMYFUNCTION("""COMPUTED_VALUE"""),"% Beta Adj. Gross Exposure (Base)")</f>
        <v>% Beta Adj. Gross Exposure (Base)</v>
      </c>
      <c r="EL5" s="49" t="str">
        <f ca="1">IFERROR(__xludf.DUMMYFUNCTION("""COMPUTED_VALUE"""),"Position Side Exposure (Underlying)")</f>
        <v>Position Side Exposure (Underlying)</v>
      </c>
      <c r="EM5" s="49" t="str">
        <f ca="1">IFERROR(__xludf.DUMMYFUNCTION("""COMPUTED_VALUE"""),"Gross Exposure (Underlying) (Base)")</f>
        <v>Gross Exposure (Underlying) (Base)</v>
      </c>
      <c r="EN5" s="49" t="str">
        <f ca="1">IFERROR(__xludf.DUMMYFUNCTION("""COMPUTED_VALUE"""),"Gross Exposure (Underlying)")</f>
        <v>Gross Exposure (Underlying)</v>
      </c>
      <c r="EO5" s="49" t="str">
        <f ca="1">IFERROR(__xludf.DUMMYFUNCTION("""COMPUTED_VALUE"""),"Day Return")</f>
        <v>Day Return</v>
      </c>
      <c r="EP5" s="49" t="str">
        <f ca="1">IFERROR(__xludf.DUMMYFUNCTION("""COMPUTED_VALUE"""),"Start of Day NAV")</f>
        <v>Start of Day NAV</v>
      </c>
      <c r="EQ5" s="49" t="str">
        <f ca="1">IFERROR(__xludf.DUMMYFUNCTION("""COMPUTED_VALUE"""),"% Gross Market Value (Base)")</f>
        <v>% Gross Market Value (Base)</v>
      </c>
      <c r="ER5" s="49" t="str">
        <f ca="1">IFERROR(__xludf.DUMMYFUNCTION("""COMPUTED_VALUE"""),"Beta Adj. Gross Exposure (Underlying) (Local)")</f>
        <v>Beta Adj. Gross Exposure (Underlying) (Local)</v>
      </c>
      <c r="ES5" s="49" t="str">
        <f ca="1">IFERROR(__xludf.DUMMYFUNCTION("""COMPUTED_VALUE"""),"NAV")</f>
        <v>NAV</v>
      </c>
      <c r="ET5" s="49" t="str">
        <f ca="1">IFERROR(__xludf.DUMMYFUNCTION("""COMPUTED_VALUE"""),"% P&amp;L Contribution")</f>
        <v>% P&amp;L Contribution</v>
      </c>
      <c r="EU5" s="49" t="str">
        <f ca="1">IFERROR(__xludf.DUMMYFUNCTION("""COMPUTED_VALUE"""),"% Net Market Value (Base)")</f>
        <v>% Net Market Value (Base)</v>
      </c>
      <c r="EV5" s="49" t="str">
        <f ca="1">IFERROR(__xludf.DUMMYFUNCTION("""COMPUTED_VALUE"""),"Position Side Exposure")</f>
        <v>Position Side Exposure</v>
      </c>
      <c r="EW5" s="49" t="str">
        <f ca="1">IFERROR(__xludf.DUMMYFUNCTION("""COMPUTED_VALUE"""),"NAV (Touch)")</f>
        <v>NAV (Touch)</v>
      </c>
      <c r="EX5" s="49" t="str">
        <f ca="1">IFERROR(__xludf.DUMMYFUNCTION("""COMPUTED_VALUE"""),"IgnorePropertyChangeEvents")</f>
        <v>IgnorePropertyChangeEvents</v>
      </c>
      <c r="EY5" s="49" t="str">
        <f ca="1">IFERROR(__xludf.DUMMYFUNCTION("""COMPUTED_VALUE"""),"Trade Attribute 1")</f>
        <v>Trade Attribute 1</v>
      </c>
      <c r="EZ5" s="49" t="str">
        <f ca="1">IFERROR(__xludf.DUMMYFUNCTION("""COMPUTED_VALUE"""),"Trade Attribute 2")</f>
        <v>Trade Attribute 2</v>
      </c>
      <c r="FA5" s="49" t="str">
        <f ca="1">IFERROR(__xludf.DUMMYFUNCTION("""COMPUTED_VALUE"""),"")</f>
        <v/>
      </c>
      <c r="FB5" s="49" t="str">
        <f ca="1">IFERROR(__xludf.DUMMYFUNCTION("""COMPUTED_VALUE"""),"")</f>
        <v/>
      </c>
      <c r="FC5" s="49" t="str">
        <f ca="1">IFERROR(__xludf.DUMMYFUNCTION("""COMPUTED_VALUE"""),"")</f>
        <v/>
      </c>
      <c r="FD5" s="49" t="str">
        <f ca="1">IFERROR(__xludf.DUMMYFUNCTION("""COMPUTED_VALUE"""),"")</f>
        <v/>
      </c>
      <c r="FE5" s="49" t="str">
        <f ca="1">IFERROR(__xludf.DUMMYFUNCTION("""COMPUTED_VALUE"""),"")</f>
        <v/>
      </c>
      <c r="FF5" s="49" t="str">
        <f ca="1">IFERROR(__xludf.DUMMYFUNCTION("""COMPUTED_VALUE"""),"")</f>
        <v/>
      </c>
      <c r="FG5" s="49" t="str">
        <f ca="1">IFERROR(__xludf.DUMMYFUNCTION("""COMPUTED_VALUE"""),"")</f>
        <v/>
      </c>
      <c r="FH5" s="49" t="str">
        <f ca="1">IFERROR(__xludf.DUMMYFUNCTION("""COMPUTED_VALUE"""),"")</f>
        <v/>
      </c>
      <c r="FI5" s="49" t="str">
        <f ca="1">IFERROR(__xludf.DUMMYFUNCTION("""COMPUTED_VALUE"""),"")</f>
        <v/>
      </c>
      <c r="FJ5" s="49" t="str">
        <f ca="1">IFERROR(__xludf.DUMMYFUNCTION("""COMPUTED_VALUE"""),"")</f>
        <v/>
      </c>
    </row>
    <row r="6" spans="1:166" ht="15.75" customHeight="1">
      <c r="A6" s="51"/>
      <c r="B6" s="51"/>
      <c r="C6" s="54" t="s">
        <v>18</v>
      </c>
      <c r="D6" s="56">
        <v>100</v>
      </c>
      <c r="E6" s="54" t="s">
        <v>20</v>
      </c>
      <c r="F6" s="54" t="s">
        <v>46</v>
      </c>
      <c r="G6" s="56">
        <v>190</v>
      </c>
      <c r="H6" s="54" t="s">
        <v>47</v>
      </c>
      <c r="I6" s="56">
        <v>19400</v>
      </c>
      <c r="J6" s="60">
        <v>1.03</v>
      </c>
      <c r="K6" s="56">
        <v>19400</v>
      </c>
      <c r="L6" s="56">
        <v>19400</v>
      </c>
      <c r="M6" s="56">
        <v>19400</v>
      </c>
      <c r="N6" s="56">
        <v>200</v>
      </c>
      <c r="O6" s="54" t="s">
        <v>48</v>
      </c>
      <c r="P6" s="56">
        <v>192</v>
      </c>
      <c r="Q6" s="56">
        <v>400</v>
      </c>
      <c r="R6" s="54" t="s">
        <v>49</v>
      </c>
      <c r="S6" s="54" t="s">
        <v>50</v>
      </c>
      <c r="T6" s="54" t="s">
        <v>51</v>
      </c>
      <c r="U6" s="54" t="s">
        <v>52</v>
      </c>
      <c r="V6" s="54" t="s">
        <v>53</v>
      </c>
      <c r="W6" s="54" t="s">
        <v>33</v>
      </c>
      <c r="X6" s="56">
        <v>1</v>
      </c>
      <c r="Y6" s="56">
        <v>1</v>
      </c>
      <c r="Z6" s="54" t="s">
        <v>56</v>
      </c>
      <c r="AA6" s="54" t="s">
        <v>56</v>
      </c>
      <c r="AB6" s="56">
        <v>0</v>
      </c>
      <c r="AC6" s="60">
        <v>1.04</v>
      </c>
      <c r="AD6" s="56">
        <v>19400</v>
      </c>
      <c r="AE6" s="56">
        <v>19400</v>
      </c>
      <c r="AF6" s="56">
        <v>100</v>
      </c>
      <c r="AG6" s="56">
        <v>19400</v>
      </c>
      <c r="AH6" s="56">
        <v>19400</v>
      </c>
      <c r="AI6" s="56">
        <v>19400</v>
      </c>
      <c r="AJ6" s="60">
        <v>8825362.4499999993</v>
      </c>
      <c r="AK6" s="56">
        <v>200</v>
      </c>
      <c r="AL6" s="56">
        <v>1</v>
      </c>
      <c r="AM6" s="56">
        <v>1</v>
      </c>
      <c r="AN6" s="54" t="s">
        <v>19</v>
      </c>
      <c r="AO6" s="54" t="s">
        <v>56</v>
      </c>
      <c r="AP6" s="54" t="s">
        <v>47</v>
      </c>
      <c r="AQ6" s="54" t="s">
        <v>18</v>
      </c>
      <c r="AR6" s="56">
        <v>194</v>
      </c>
      <c r="AS6" s="56">
        <v>1</v>
      </c>
      <c r="AT6" s="54" t="s">
        <v>59</v>
      </c>
      <c r="AU6" s="54" t="s">
        <v>60</v>
      </c>
      <c r="AV6" s="56">
        <v>1</v>
      </c>
      <c r="AW6" s="56">
        <v>400</v>
      </c>
      <c r="AX6" s="56">
        <v>0</v>
      </c>
      <c r="AY6" s="56">
        <v>0</v>
      </c>
      <c r="AZ6" s="56">
        <v>19400</v>
      </c>
      <c r="BA6" s="60">
        <v>1.05</v>
      </c>
      <c r="BB6" s="54"/>
      <c r="BC6" s="56">
        <v>1</v>
      </c>
      <c r="BD6" s="56">
        <v>0</v>
      </c>
      <c r="BE6" s="54" t="s">
        <v>51</v>
      </c>
      <c r="BF6" s="54" t="s">
        <v>54</v>
      </c>
      <c r="BG6" s="54" t="s">
        <v>55</v>
      </c>
      <c r="BH6" s="54" t="s">
        <v>61</v>
      </c>
      <c r="BI6" s="56"/>
      <c r="BJ6" s="56">
        <v>0</v>
      </c>
      <c r="BK6" s="56">
        <v>0</v>
      </c>
      <c r="BL6" s="56">
        <v>0</v>
      </c>
      <c r="BM6" s="56">
        <v>0</v>
      </c>
      <c r="BN6" s="54"/>
      <c r="BO6" s="56">
        <v>0</v>
      </c>
      <c r="BP6" s="56">
        <v>0</v>
      </c>
      <c r="BQ6" s="54" t="s">
        <v>62</v>
      </c>
      <c r="BR6" s="54" t="s">
        <v>21</v>
      </c>
      <c r="BS6" s="56">
        <v>0</v>
      </c>
      <c r="BT6" s="56">
        <v>0</v>
      </c>
      <c r="BU6" s="54" t="s">
        <v>51</v>
      </c>
      <c r="BV6" s="54"/>
      <c r="BW6" s="56">
        <v>0</v>
      </c>
      <c r="BX6" s="56">
        <v>19400</v>
      </c>
      <c r="BY6" s="56">
        <v>19400</v>
      </c>
      <c r="BZ6" s="56">
        <v>194</v>
      </c>
      <c r="CA6" s="56">
        <v>194</v>
      </c>
      <c r="CB6" s="54"/>
      <c r="CC6" s="56">
        <v>0</v>
      </c>
      <c r="CD6" s="56">
        <v>200</v>
      </c>
      <c r="CE6" s="56">
        <v>0</v>
      </c>
      <c r="CF6" s="56">
        <v>0</v>
      </c>
      <c r="CG6" s="56">
        <v>400</v>
      </c>
      <c r="CH6" s="60">
        <v>2.11</v>
      </c>
      <c r="CI6" s="56">
        <v>0</v>
      </c>
      <c r="CJ6" s="56">
        <v>0</v>
      </c>
      <c r="CK6" s="62" t="b">
        <v>0</v>
      </c>
      <c r="CL6" s="54" t="s">
        <v>56</v>
      </c>
      <c r="CM6" s="54" t="s">
        <v>56</v>
      </c>
      <c r="CN6" s="54" t="s">
        <v>18</v>
      </c>
      <c r="CO6" s="54" t="s">
        <v>18</v>
      </c>
      <c r="CP6" s="54" t="s">
        <v>65</v>
      </c>
      <c r="CQ6" s="54" t="s">
        <v>56</v>
      </c>
      <c r="CR6" s="56"/>
      <c r="CS6" s="56">
        <v>190</v>
      </c>
      <c r="CT6" s="54" t="s">
        <v>56</v>
      </c>
      <c r="CU6" s="54" t="s">
        <v>56</v>
      </c>
      <c r="CV6" s="54" t="s">
        <v>56</v>
      </c>
      <c r="CW6" s="54" t="s">
        <v>56</v>
      </c>
      <c r="CX6" s="54" t="s">
        <v>56</v>
      </c>
      <c r="CY6" s="54" t="s">
        <v>57</v>
      </c>
      <c r="CZ6" s="54" t="s">
        <v>58</v>
      </c>
      <c r="DA6" s="56">
        <v>19400</v>
      </c>
      <c r="DB6" s="60">
        <v>1.03</v>
      </c>
      <c r="DC6" s="63"/>
      <c r="DD6" s="56">
        <v>100</v>
      </c>
      <c r="DE6" s="56">
        <v>0</v>
      </c>
      <c r="DF6" s="56">
        <v>0</v>
      </c>
      <c r="DG6" s="56">
        <v>0</v>
      </c>
      <c r="DH6" s="56">
        <v>192</v>
      </c>
      <c r="DI6" s="60">
        <v>1.04</v>
      </c>
      <c r="DJ6" s="54" t="s">
        <v>19</v>
      </c>
      <c r="DK6" s="56">
        <v>19200</v>
      </c>
      <c r="DL6" s="56">
        <v>19200</v>
      </c>
      <c r="DM6" s="56">
        <v>1</v>
      </c>
      <c r="DN6" s="56">
        <v>2</v>
      </c>
      <c r="DO6" s="54" t="s">
        <v>56</v>
      </c>
      <c r="DP6" s="54" t="s">
        <v>47</v>
      </c>
      <c r="DQ6" s="54" t="s">
        <v>68</v>
      </c>
      <c r="DR6" s="54" t="s">
        <v>69</v>
      </c>
      <c r="DS6" s="54" t="s">
        <v>68</v>
      </c>
      <c r="DT6" s="54" t="s">
        <v>68</v>
      </c>
      <c r="DU6" s="54" t="s">
        <v>70</v>
      </c>
      <c r="DV6" s="54" t="s">
        <v>68</v>
      </c>
      <c r="DW6" s="54" t="s">
        <v>68</v>
      </c>
      <c r="DX6" s="54" t="s">
        <v>68</v>
      </c>
      <c r="DY6" s="54" t="s">
        <v>68</v>
      </c>
      <c r="DZ6" s="54" t="s">
        <v>48</v>
      </c>
      <c r="EA6" s="54" t="s">
        <v>70</v>
      </c>
      <c r="EB6" s="54" t="s">
        <v>68</v>
      </c>
      <c r="EC6" s="54" t="s">
        <v>68</v>
      </c>
      <c r="ED6" s="54" t="s">
        <v>33</v>
      </c>
      <c r="EE6" s="54" t="s">
        <v>71</v>
      </c>
      <c r="EF6" s="56">
        <v>0</v>
      </c>
      <c r="EG6" s="60">
        <v>88253.62</v>
      </c>
      <c r="EH6" s="60">
        <v>88253.62</v>
      </c>
      <c r="EI6" s="60">
        <v>88253.62</v>
      </c>
      <c r="EJ6" s="60">
        <v>88253.62</v>
      </c>
      <c r="EK6" s="60">
        <v>88253.62</v>
      </c>
      <c r="EL6" s="54" t="s">
        <v>47</v>
      </c>
      <c r="EM6" s="56">
        <v>19400</v>
      </c>
      <c r="EN6" s="56">
        <v>19400</v>
      </c>
      <c r="EO6" s="60">
        <v>909.83</v>
      </c>
      <c r="EP6" s="60">
        <v>21.98</v>
      </c>
      <c r="EQ6" s="60">
        <v>88253.62</v>
      </c>
      <c r="ER6" s="56">
        <v>19400</v>
      </c>
      <c r="ES6" s="60">
        <v>21.98</v>
      </c>
      <c r="ET6" s="60">
        <v>909.83</v>
      </c>
      <c r="EU6" s="60">
        <v>88253.62</v>
      </c>
      <c r="EV6" s="54" t="s">
        <v>47</v>
      </c>
      <c r="EW6" s="60">
        <v>21.98</v>
      </c>
      <c r="EX6" s="62" t="b">
        <v>0</v>
      </c>
      <c r="EY6" s="54" t="s">
        <v>56</v>
      </c>
      <c r="EZ6" s="54" t="s">
        <v>56</v>
      </c>
      <c r="FA6" s="38"/>
      <c r="FB6" s="38"/>
      <c r="FC6" s="38"/>
      <c r="FD6" s="38"/>
      <c r="FE6" s="38"/>
      <c r="FF6" s="38"/>
      <c r="FG6" s="38"/>
      <c r="FH6" s="38"/>
      <c r="FI6" s="38"/>
      <c r="FJ6" s="38"/>
    </row>
    <row r="7" spans="1:166" ht="15.75" customHeight="1">
      <c r="A7" s="36"/>
      <c r="B7" s="36"/>
      <c r="C7" s="54" t="s">
        <v>23</v>
      </c>
      <c r="D7" s="56">
        <v>-100</v>
      </c>
      <c r="E7" s="54" t="s">
        <v>20</v>
      </c>
      <c r="F7" s="54" t="s">
        <v>46</v>
      </c>
      <c r="G7" s="56">
        <v>130</v>
      </c>
      <c r="H7" s="54" t="s">
        <v>63</v>
      </c>
      <c r="I7" s="56">
        <v>-13300</v>
      </c>
      <c r="J7" s="60">
        <v>-1.5</v>
      </c>
      <c r="K7" s="56">
        <v>-13300</v>
      </c>
      <c r="L7" s="56">
        <v>13300</v>
      </c>
      <c r="M7" s="56">
        <v>13300</v>
      </c>
      <c r="N7" s="56">
        <v>-200</v>
      </c>
      <c r="O7" s="54" t="s">
        <v>64</v>
      </c>
      <c r="P7" s="56">
        <v>131</v>
      </c>
      <c r="Q7" s="56">
        <v>-300</v>
      </c>
      <c r="R7" s="54" t="s">
        <v>49</v>
      </c>
      <c r="S7" s="54" t="s">
        <v>50</v>
      </c>
      <c r="T7" s="54" t="s">
        <v>51</v>
      </c>
      <c r="U7" s="54" t="s">
        <v>52</v>
      </c>
      <c r="V7" s="54" t="s">
        <v>53</v>
      </c>
      <c r="W7" s="54" t="s">
        <v>33</v>
      </c>
      <c r="X7" s="56">
        <v>1</v>
      </c>
      <c r="Y7" s="56">
        <v>1</v>
      </c>
      <c r="Z7" s="54" t="s">
        <v>56</v>
      </c>
      <c r="AA7" s="54" t="s">
        <v>56</v>
      </c>
      <c r="AB7" s="56">
        <v>0</v>
      </c>
      <c r="AC7" s="60">
        <v>1.53</v>
      </c>
      <c r="AD7" s="56">
        <v>-13300</v>
      </c>
      <c r="AE7" s="56">
        <v>-13300</v>
      </c>
      <c r="AF7" s="56">
        <v>-100</v>
      </c>
      <c r="AG7" s="56">
        <v>-13300</v>
      </c>
      <c r="AH7" s="56">
        <v>-13300</v>
      </c>
      <c r="AI7" s="56">
        <v>-13300</v>
      </c>
      <c r="AJ7" s="60">
        <v>-6050377.3499999996</v>
      </c>
      <c r="AK7" s="56">
        <v>-200</v>
      </c>
      <c r="AL7" s="56">
        <v>1</v>
      </c>
      <c r="AM7" s="56">
        <v>1</v>
      </c>
      <c r="AN7" s="54" t="s">
        <v>28</v>
      </c>
      <c r="AO7" s="54" t="s">
        <v>56</v>
      </c>
      <c r="AP7" s="54" t="s">
        <v>63</v>
      </c>
      <c r="AQ7" s="54" t="s">
        <v>23</v>
      </c>
      <c r="AR7" s="56">
        <v>133</v>
      </c>
      <c r="AS7" s="56">
        <v>-1</v>
      </c>
      <c r="AT7" s="54" t="s">
        <v>59</v>
      </c>
      <c r="AU7" s="54" t="s">
        <v>60</v>
      </c>
      <c r="AV7" s="56">
        <v>1</v>
      </c>
      <c r="AW7" s="56">
        <v>-300</v>
      </c>
      <c r="AX7" s="56">
        <v>0</v>
      </c>
      <c r="AY7" s="56">
        <v>0</v>
      </c>
      <c r="AZ7" s="56">
        <v>-13300</v>
      </c>
      <c r="BA7" s="60">
        <v>-1.54</v>
      </c>
      <c r="BB7" s="54"/>
      <c r="BC7" s="56">
        <v>1</v>
      </c>
      <c r="BD7" s="56">
        <v>0</v>
      </c>
      <c r="BE7" s="54" t="s">
        <v>51</v>
      </c>
      <c r="BF7" s="54" t="s">
        <v>66</v>
      </c>
      <c r="BG7" s="54" t="s">
        <v>67</v>
      </c>
      <c r="BH7" s="54" t="s">
        <v>72</v>
      </c>
      <c r="BI7" s="54" t="s">
        <v>61</v>
      </c>
      <c r="BJ7" s="56">
        <v>0</v>
      </c>
      <c r="BK7" s="56">
        <v>0</v>
      </c>
      <c r="BL7" s="56">
        <v>0</v>
      </c>
      <c r="BM7" s="56">
        <v>0</v>
      </c>
      <c r="BN7" s="54"/>
      <c r="BO7" s="56">
        <v>0</v>
      </c>
      <c r="BP7" s="56">
        <v>0</v>
      </c>
      <c r="BQ7" s="54" t="s">
        <v>62</v>
      </c>
      <c r="BR7" s="54" t="s">
        <v>21</v>
      </c>
      <c r="BS7" s="56">
        <v>0</v>
      </c>
      <c r="BT7" s="56">
        <v>0</v>
      </c>
      <c r="BU7" s="54" t="s">
        <v>51</v>
      </c>
      <c r="BV7" s="54"/>
      <c r="BW7" s="56">
        <v>0</v>
      </c>
      <c r="BX7" s="56">
        <v>13300</v>
      </c>
      <c r="BY7" s="56">
        <v>13300</v>
      </c>
      <c r="BZ7" s="56">
        <v>133</v>
      </c>
      <c r="CA7" s="56">
        <v>133</v>
      </c>
      <c r="CB7" s="54"/>
      <c r="CC7" s="56">
        <v>0</v>
      </c>
      <c r="CD7" s="56">
        <v>-200</v>
      </c>
      <c r="CE7" s="56">
        <v>0</v>
      </c>
      <c r="CF7" s="56">
        <v>0</v>
      </c>
      <c r="CG7" s="56">
        <v>-300</v>
      </c>
      <c r="CH7" s="60">
        <v>-2.31</v>
      </c>
      <c r="CI7" s="56">
        <v>0</v>
      </c>
      <c r="CJ7" s="56">
        <v>0</v>
      </c>
      <c r="CK7" s="62" t="b">
        <v>0</v>
      </c>
      <c r="CL7" s="54" t="s">
        <v>56</v>
      </c>
      <c r="CM7" s="54" t="s">
        <v>56</v>
      </c>
      <c r="CN7" s="56"/>
      <c r="CO7" s="56"/>
      <c r="CP7" s="54" t="s">
        <v>74</v>
      </c>
      <c r="CQ7" s="54" t="s">
        <v>75</v>
      </c>
      <c r="CR7" s="56"/>
      <c r="CS7" s="56">
        <v>130</v>
      </c>
      <c r="CT7" s="54" t="s">
        <v>56</v>
      </c>
      <c r="CU7" s="54" t="s">
        <v>56</v>
      </c>
      <c r="CV7" s="54" t="s">
        <v>56</v>
      </c>
      <c r="CW7" s="54" t="s">
        <v>56</v>
      </c>
      <c r="CX7" s="54" t="s">
        <v>56</v>
      </c>
      <c r="CY7" s="54" t="s">
        <v>57</v>
      </c>
      <c r="CZ7" s="54" t="s">
        <v>58</v>
      </c>
      <c r="DA7" s="56">
        <v>13300</v>
      </c>
      <c r="DB7" s="60">
        <v>1.5</v>
      </c>
      <c r="DC7" s="63"/>
      <c r="DD7" s="56">
        <v>-100</v>
      </c>
      <c r="DE7" s="56">
        <v>0</v>
      </c>
      <c r="DF7" s="56">
        <v>0</v>
      </c>
      <c r="DG7" s="56">
        <v>0</v>
      </c>
      <c r="DH7" s="56">
        <v>131</v>
      </c>
      <c r="DI7" s="60">
        <v>1.53</v>
      </c>
      <c r="DJ7" s="54" t="s">
        <v>28</v>
      </c>
      <c r="DK7" s="56">
        <v>-13100</v>
      </c>
      <c r="DL7" s="56">
        <v>-13100</v>
      </c>
      <c r="DM7" s="56">
        <v>1</v>
      </c>
      <c r="DN7" s="56">
        <v>2</v>
      </c>
      <c r="DO7" s="54" t="s">
        <v>78</v>
      </c>
      <c r="DP7" s="54" t="s">
        <v>63</v>
      </c>
      <c r="DQ7" s="54" t="s">
        <v>61</v>
      </c>
      <c r="DR7" s="54" t="s">
        <v>79</v>
      </c>
      <c r="DS7" s="54" t="s">
        <v>80</v>
      </c>
      <c r="DT7" s="54" t="s">
        <v>61</v>
      </c>
      <c r="DU7" s="54" t="s">
        <v>61</v>
      </c>
      <c r="DV7" s="54" t="s">
        <v>61</v>
      </c>
      <c r="DW7" s="54"/>
      <c r="DX7" s="56"/>
      <c r="DY7" s="54" t="s">
        <v>61</v>
      </c>
      <c r="DZ7" s="54" t="s">
        <v>64</v>
      </c>
      <c r="EA7" s="54" t="s">
        <v>71</v>
      </c>
      <c r="EB7" s="54" t="s">
        <v>61</v>
      </c>
      <c r="EC7" s="54" t="s">
        <v>61</v>
      </c>
      <c r="ED7" s="54" t="s">
        <v>33</v>
      </c>
      <c r="EE7" s="54" t="s">
        <v>71</v>
      </c>
      <c r="EF7" s="56">
        <v>0</v>
      </c>
      <c r="EG7" s="60">
        <v>-60503.77</v>
      </c>
      <c r="EH7" s="60">
        <v>60503.77</v>
      </c>
      <c r="EI7" s="60">
        <v>-60503.77</v>
      </c>
      <c r="EJ7" s="60">
        <v>60503.77</v>
      </c>
      <c r="EK7" s="60">
        <v>60503.77</v>
      </c>
      <c r="EL7" s="54" t="s">
        <v>63</v>
      </c>
      <c r="EM7" s="56">
        <v>13300</v>
      </c>
      <c r="EN7" s="56">
        <v>13300</v>
      </c>
      <c r="EO7" s="60">
        <v>-909.83</v>
      </c>
      <c r="EP7" s="60">
        <v>21.98</v>
      </c>
      <c r="EQ7" s="60">
        <v>60503.77</v>
      </c>
      <c r="ER7" s="56">
        <v>13300</v>
      </c>
      <c r="ES7" s="60">
        <v>21.98</v>
      </c>
      <c r="ET7" s="60">
        <v>-909.83</v>
      </c>
      <c r="EU7" s="60">
        <v>-60503.77</v>
      </c>
      <c r="EV7" s="54" t="s">
        <v>63</v>
      </c>
      <c r="EW7" s="60">
        <v>21.98</v>
      </c>
      <c r="EX7" s="62" t="b">
        <v>0</v>
      </c>
      <c r="EY7" s="54" t="s">
        <v>56</v>
      </c>
      <c r="EZ7" s="54" t="s">
        <v>56</v>
      </c>
      <c r="FA7" s="38"/>
      <c r="FB7" s="38"/>
      <c r="FC7" s="38"/>
      <c r="FD7" s="38"/>
      <c r="FE7" s="38"/>
      <c r="FF7" s="38"/>
      <c r="FG7" s="38"/>
      <c r="FH7" s="38"/>
      <c r="FI7" s="38"/>
      <c r="FJ7" s="38"/>
    </row>
    <row r="8" spans="1:166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</row>
    <row r="9" spans="1:166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</row>
    <row r="10" spans="1:166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</row>
    <row r="11" spans="1:166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</row>
    <row r="12" spans="1:166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</row>
    <row r="13" spans="1:166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</row>
    <row r="14" spans="1:166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</row>
    <row r="15" spans="1:166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</row>
    <row r="16" spans="1:16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</row>
    <row r="17" spans="1:166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</row>
    <row r="18" spans="1:166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</row>
    <row r="19" spans="1:166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</row>
    <row r="20" spans="1:166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</row>
    <row r="21" spans="1:166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</row>
    <row r="22" spans="1:166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</row>
    <row r="23" spans="1:166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</row>
    <row r="24" spans="1:166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</row>
    <row r="25" spans="1:166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</row>
    <row r="26" spans="1:16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</row>
    <row r="27" spans="1:166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</row>
    <row r="28" spans="1:166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</row>
    <row r="29" spans="1:166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</row>
    <row r="30" spans="1:166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</row>
    <row r="31" spans="1:166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</row>
    <row r="32" spans="1:166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</row>
    <row r="33" spans="1:166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</row>
    <row r="34" spans="1:166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</row>
    <row r="35" spans="1:166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</row>
    <row r="36" spans="1:16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</row>
    <row r="37" spans="1:166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</row>
    <row r="38" spans="1:166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</row>
    <row r="39" spans="1:166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</row>
    <row r="40" spans="1:166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</row>
    <row r="41" spans="1:166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</row>
    <row r="42" spans="1:166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</row>
    <row r="43" spans="1:166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</row>
    <row r="44" spans="1:166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</row>
    <row r="45" spans="1:166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</row>
    <row r="46" spans="1:16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</row>
    <row r="47" spans="1:166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</row>
    <row r="48" spans="1:166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</row>
    <row r="49" spans="1:166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</row>
    <row r="50" spans="1:166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</row>
    <row r="51" spans="1:166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</row>
    <row r="52" spans="1:166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</row>
    <row r="53" spans="1:166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</row>
    <row r="54" spans="1:166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</row>
    <row r="55" spans="1:166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</row>
    <row r="56" spans="1:16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</row>
    <row r="57" spans="1:166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</row>
    <row r="58" spans="1:166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</row>
    <row r="59" spans="1:166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</row>
    <row r="60" spans="1:166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</row>
    <row r="61" spans="1:166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</row>
    <row r="62" spans="1:166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</row>
    <row r="63" spans="1:166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</row>
    <row r="64" spans="1:166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</row>
    <row r="65" spans="1:166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</row>
    <row r="66" spans="1:1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</row>
    <row r="67" spans="1:166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</row>
    <row r="68" spans="1:166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</row>
    <row r="69" spans="1:166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</row>
    <row r="70" spans="1:166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</row>
    <row r="71" spans="1:166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</row>
    <row r="72" spans="1:166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</row>
    <row r="73" spans="1:166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</row>
    <row r="74" spans="1:166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</row>
    <row r="75" spans="1:166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</row>
    <row r="76" spans="1:16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</row>
    <row r="77" spans="1:166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</row>
    <row r="78" spans="1:166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</row>
    <row r="79" spans="1:166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</row>
    <row r="80" spans="1:166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</row>
    <row r="81" spans="1:166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</row>
    <row r="82" spans="1:166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</row>
    <row r="83" spans="1:166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</row>
    <row r="84" spans="1:166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</row>
    <row r="85" spans="1:166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</row>
    <row r="86" spans="1:16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</row>
    <row r="87" spans="1:166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</row>
    <row r="88" spans="1:166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</row>
    <row r="89" spans="1:166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</row>
    <row r="90" spans="1:166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</row>
    <row r="91" spans="1:166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</row>
    <row r="92" spans="1:166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</row>
    <row r="93" spans="1:166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</row>
    <row r="94" spans="1:166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</row>
    <row r="95" spans="1:166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</row>
    <row r="96" spans="1:16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</row>
    <row r="97" spans="1:166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</row>
    <row r="98" spans="1:166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</row>
    <row r="99" spans="1:166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</row>
    <row r="100" spans="1:166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9" sqref="BK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140625" customWidth="1"/>
    <col min="64" max="167" width="14.42578125" customWidth="1"/>
  </cols>
  <sheetData>
    <row r="1" spans="1:167" ht="15.75" customHeight="1">
      <c r="A1" s="34"/>
      <c r="B1" s="73" t="s">
        <v>11</v>
      </c>
      <c r="C1" s="70"/>
      <c r="D1" s="70"/>
      <c r="E1" s="70"/>
      <c r="F1" s="70"/>
      <c r="G1" s="70"/>
      <c r="H1" s="71"/>
      <c r="I1" s="34"/>
      <c r="J1" s="34"/>
      <c r="K1" s="34"/>
      <c r="L1" s="34"/>
      <c r="M1" s="34"/>
      <c r="N1" s="34"/>
      <c r="O1" s="34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</row>
    <row r="2" spans="1:167" ht="15.75" customHeight="1">
      <c r="A2" s="36"/>
      <c r="B2" s="36"/>
      <c r="C2" s="36"/>
      <c r="D2" s="36"/>
      <c r="E2" s="36"/>
      <c r="F2" s="36"/>
      <c r="G2" s="36"/>
      <c r="H2" s="36"/>
      <c r="I2" s="36"/>
      <c r="J2" s="37" t="e">
        <f>VLOOKUP($E$3,_MasterData!B4:D1000,3,FALSE)</f>
        <v>#N/A</v>
      </c>
      <c r="K2" s="37"/>
      <c r="L2" s="36"/>
      <c r="M2" s="36"/>
      <c r="N2" s="36"/>
      <c r="O2" s="3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</row>
    <row r="3" spans="1:167" ht="15.75" customHeight="1">
      <c r="A3" s="39"/>
      <c r="B3" s="40" t="s">
        <v>4</v>
      </c>
      <c r="C3" s="41" t="s">
        <v>38</v>
      </c>
      <c r="D3" s="40" t="s">
        <v>6</v>
      </c>
      <c r="E3" s="41" t="s">
        <v>45</v>
      </c>
      <c r="F3" s="40" t="s">
        <v>15</v>
      </c>
      <c r="G3" s="42" t="s">
        <v>17</v>
      </c>
      <c r="H3" s="40"/>
      <c r="I3" s="39"/>
      <c r="J3" s="39"/>
      <c r="K3" s="39"/>
      <c r="L3" s="39"/>
      <c r="M3" s="39"/>
      <c r="N3" s="39"/>
      <c r="O3" s="39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</row>
    <row r="4" spans="1:167" ht="15.75" customHeight="1">
      <c r="A4" s="44"/>
      <c r="B4" s="44" t="str">
        <f ca="1">IFERROR(__xludf.DUMMYFUNCTION("IF(C3="""","""",Transpose(IMPORTRANGE('_Settings'!$B$3,C3&amp;""!A4:A1000"")))"),"CheckDashboardPM")</f>
        <v>CheckDashboardPM</v>
      </c>
      <c r="C4" s="44" t="str">
        <f ca="1">IFERROR(__xludf.DUMMYFUNCTION("""COMPUTED_VALUE"""),"CheckPortfolioManagement")</f>
        <v>CheckPortfolioManagement</v>
      </c>
      <c r="D4" s="44" t="str">
        <f ca="1">IFERROR(__xludf.DUMMYFUNCTION("""COMPUTED_VALUE"""),"OpenPSTFromPM")</f>
        <v>OpenPSTFromPM</v>
      </c>
      <c r="E4" s="44" t="str">
        <f ca="1">IFERROR(__xludf.DUMMYFUNCTION("""COMPUTED_VALUE"""),"ClosePM")</f>
        <v>ClosePM</v>
      </c>
      <c r="F4" s="44" t="str">
        <f ca="1">IFERROR(__xludf.DUMMYFUNCTION("""COMPUTED_VALUE"""),"FilterPM")</f>
        <v>FilterPM</v>
      </c>
      <c r="G4" s="44" t="str">
        <f ca="1">IFERROR(__xludf.DUMMYFUNCTION("""COMPUTED_VALUE"""),"GroupRowPM")</f>
        <v>GroupRowPM</v>
      </c>
      <c r="H4" s="44" t="str">
        <f ca="1">IFERROR(__xludf.DUMMYFUNCTION("""COMPUTED_VALUE"""),"CheckDashboardWithPM")</f>
        <v>CheckDashboardWithPM</v>
      </c>
      <c r="I4" s="44" t="str">
        <f ca="1">IFERROR(__xludf.DUMMYFUNCTION("""COMPUTED_VALUE"""),"RemoveFilterPM")</f>
        <v>RemoveFilterPM</v>
      </c>
      <c r="J4" s="44" t="str">
        <f ca="1">IFERROR(__xludf.DUMMYFUNCTION("""COMPUTED_VALUE"""),"CheckSummaryRowsPM")</f>
        <v>CheckSummaryRowsPM</v>
      </c>
      <c r="K4" s="44" t="str">
        <f ca="1">IFERROR(__xludf.DUMMYFUNCTION("""COMPUTED_VALUE"""),"OpenPTTFromPM")</f>
        <v>OpenPTTFromPM</v>
      </c>
      <c r="L4" s="44" t="str">
        <f ca="1">IFERROR(__xludf.DUMMYFUNCTION("""COMPUTED_VALUE"""),"OpenCreateTransactionFromPM")</f>
        <v>OpenCreateTransactionFromPM</v>
      </c>
      <c r="M4" s="44" t="str">
        <f ca="1">IFERROR(__xludf.DUMMYFUNCTION("""COMPUTED_VALUE"""),"OpenClosingFromPM")</f>
        <v>OpenClosingFromPM</v>
      </c>
      <c r="N4" s="44" t="str">
        <f ca="1">IFERROR(__xludf.DUMMYFUNCTION("""COMPUTED_VALUE"""),"OpenCorporateActionFromPM")</f>
        <v>OpenCorporateActionFromPM</v>
      </c>
      <c r="O4" s="44" t="str">
        <f ca="1">IFERROR(__xludf.DUMMYFUNCTION("""COMPUTED_VALUE"""),"OpenDailyValuationFromPM")</f>
        <v>OpenDailyValuationFromPM</v>
      </c>
      <c r="P4" s="45" t="str">
        <f ca="1">IFERROR(__xludf.DUMMYFUNCTION("""COMPUTED_VALUE"""),"ClosePositionFromPM")</f>
        <v>ClosePositionFromPM</v>
      </c>
      <c r="Q4" s="45" t="str">
        <f ca="1">IFERROR(__xludf.DUMMYFUNCTION("""COMPUTED_VALUE"""),"ShowSummaryToolFromPM")</f>
        <v>ShowSummaryToolFromPM</v>
      </c>
      <c r="R4" s="45" t="str">
        <f ca="1">IFERROR(__xludf.DUMMYFUNCTION("""COMPUTED_VALUE"""),"HideSummaryToolFromPM")</f>
        <v>HideSummaryToolFromPM</v>
      </c>
      <c r="S4" s="45" t="str">
        <f ca="1">IFERROR(__xludf.DUMMYFUNCTION("""COMPUTED_VALUE"""),"CloseAccountPositionFromPM")</f>
        <v>CloseAccountPositionFromPM</v>
      </c>
      <c r="T4" s="45" t="str">
        <f ca="1">IFERROR(__xludf.DUMMYFUNCTION("""COMPUTED_VALUE"""),"CloseSelectedTaxlotsFromPM")</f>
        <v>CloseSelectedTaxlotsFromPM</v>
      </c>
      <c r="U4" s="45" t="str">
        <f ca="1">IFERROR(__xludf.DUMMYFUNCTION("""COMPUTED_VALUE"""),"ExpandCollapsePM")</f>
        <v>ExpandCollapsePM</v>
      </c>
      <c r="V4" s="45" t="str">
        <f ca="1">IFERROR(__xludf.DUMMYFUNCTION("""COMPUTED_VALUE"""),"AddCustomViewPM")</f>
        <v>AddCustomViewPM</v>
      </c>
      <c r="W4" s="45" t="str">
        <f ca="1">IFERROR(__xludf.DUMMYFUNCTION("""COMPUTED_VALUE"""),"AddCustomViewRightClickPM")</f>
        <v>AddCustomViewRightClickPM</v>
      </c>
      <c r="X4" s="45" t="str">
        <f ca="1">IFERROR(__xludf.DUMMYFUNCTION("""COMPUTED_VALUE"""),"RenameCustomViewPM")</f>
        <v>RenameCustomViewPM</v>
      </c>
      <c r="Y4" s="45" t="str">
        <f ca="1">IFERROR(__xludf.DUMMYFUNCTION("""COMPUTED_VALUE"""),"DeleteCustomViewPM")</f>
        <v>DeleteCustomViewPM</v>
      </c>
      <c r="Z4" s="45" t="str">
        <f ca="1">IFERROR(__xludf.DUMMYFUNCTION("""COMPUTED_VALUE"""),"")</f>
        <v/>
      </c>
      <c r="AA4" s="45" t="str">
        <f ca="1">IFERROR(__xludf.DUMMYFUNCTION("""COMPUTED_VALUE"""),"")</f>
        <v/>
      </c>
      <c r="AB4" s="45" t="str">
        <f ca="1">IFERROR(__xludf.DUMMYFUNCTION("""COMPUTED_VALUE"""),"")</f>
        <v/>
      </c>
      <c r="AC4" s="45" t="str">
        <f ca="1">IFERROR(__xludf.DUMMYFUNCTION("""COMPUTED_VALUE"""),"")</f>
        <v/>
      </c>
      <c r="AD4" s="45" t="str">
        <f ca="1">IFERROR(__xludf.DUMMYFUNCTION("""COMPUTED_VALUE"""),"")</f>
        <v/>
      </c>
      <c r="AE4" s="45" t="str">
        <f ca="1">IFERROR(__xludf.DUMMYFUNCTION("""COMPUTED_VALUE"""),"")</f>
        <v/>
      </c>
      <c r="AF4" s="45" t="str">
        <f ca="1">IFERROR(__xludf.DUMMYFUNCTION("""COMPUTED_VALUE"""),"")</f>
        <v/>
      </c>
      <c r="AG4" s="45" t="str">
        <f ca="1">IFERROR(__xludf.DUMMYFUNCTION("""COMPUTED_VALUE"""),"")</f>
        <v/>
      </c>
      <c r="AH4" s="45" t="str">
        <f ca="1">IFERROR(__xludf.DUMMYFUNCTION("""COMPUTED_VALUE"""),"")</f>
        <v/>
      </c>
      <c r="AI4" s="45" t="str">
        <f ca="1">IFERROR(__xludf.DUMMYFUNCTION("""COMPUTED_VALUE"""),"")</f>
        <v/>
      </c>
      <c r="AJ4" s="45" t="str">
        <f ca="1">IFERROR(__xludf.DUMMYFUNCTION("""COMPUTED_VALUE"""),"")</f>
        <v/>
      </c>
      <c r="AK4" s="45" t="str">
        <f ca="1">IFERROR(__xludf.DUMMYFUNCTION("""COMPUTED_VALUE"""),"")</f>
        <v/>
      </c>
      <c r="AL4" s="45" t="str">
        <f ca="1">IFERROR(__xludf.DUMMYFUNCTION("""COMPUTED_VALUE"""),"")</f>
        <v/>
      </c>
      <c r="AM4" s="45" t="str">
        <f ca="1">IFERROR(__xludf.DUMMYFUNCTION("""COMPUTED_VALUE"""),"")</f>
        <v/>
      </c>
      <c r="AN4" s="45" t="str">
        <f ca="1">IFERROR(__xludf.DUMMYFUNCTION("""COMPUTED_VALUE"""),"")</f>
        <v/>
      </c>
      <c r="AO4" s="45" t="str">
        <f ca="1">IFERROR(__xludf.DUMMYFUNCTION("""COMPUTED_VALUE"""),"")</f>
        <v/>
      </c>
      <c r="AP4" s="45" t="str">
        <f ca="1">IFERROR(__xludf.DUMMYFUNCTION("""COMPUTED_VALUE"""),"")</f>
        <v/>
      </c>
      <c r="AQ4" s="45" t="str">
        <f ca="1">IFERROR(__xludf.DUMMYFUNCTION("""COMPUTED_VALUE"""),"")</f>
        <v/>
      </c>
      <c r="AR4" s="45" t="str">
        <f ca="1">IFERROR(__xludf.DUMMYFUNCTION("""COMPUTED_VALUE"""),"")</f>
        <v/>
      </c>
      <c r="AS4" s="45" t="str">
        <f ca="1">IFERROR(__xludf.DUMMYFUNCTION("""COMPUTED_VALUE"""),"")</f>
        <v/>
      </c>
      <c r="AT4" s="45" t="str">
        <f ca="1">IFERROR(__xludf.DUMMYFUNCTION("""COMPUTED_VALUE"""),"")</f>
        <v/>
      </c>
      <c r="AU4" s="45" t="str">
        <f ca="1">IFERROR(__xludf.DUMMYFUNCTION("""COMPUTED_VALUE"""),"")</f>
        <v/>
      </c>
      <c r="AV4" s="45" t="str">
        <f ca="1">IFERROR(__xludf.DUMMYFUNCTION("""COMPUTED_VALUE"""),"")</f>
        <v/>
      </c>
      <c r="AW4" s="45" t="str">
        <f ca="1">IFERROR(__xludf.DUMMYFUNCTION("""COMPUTED_VALUE"""),"")</f>
        <v/>
      </c>
      <c r="AX4" s="45" t="str">
        <f ca="1">IFERROR(__xludf.DUMMYFUNCTION("""COMPUTED_VALUE"""),"")</f>
        <v/>
      </c>
      <c r="AY4" s="45" t="str">
        <f ca="1">IFERROR(__xludf.DUMMYFUNCTION("""COMPUTED_VALUE"""),"")</f>
        <v/>
      </c>
      <c r="AZ4" s="45" t="str">
        <f ca="1">IFERROR(__xludf.DUMMYFUNCTION("""COMPUTED_VALUE"""),"")</f>
        <v/>
      </c>
      <c r="BA4" s="45" t="str">
        <f ca="1">IFERROR(__xludf.DUMMYFUNCTION("""COMPUTED_VALUE"""),"")</f>
        <v/>
      </c>
      <c r="BB4" s="45" t="str">
        <f ca="1">IFERROR(__xludf.DUMMYFUNCTION("""COMPUTED_VALUE"""),"")</f>
        <v/>
      </c>
      <c r="BC4" s="45" t="str">
        <f ca="1">IFERROR(__xludf.DUMMYFUNCTION("""COMPUTED_VALUE"""),"")</f>
        <v/>
      </c>
      <c r="BD4" s="45" t="str">
        <f ca="1">IFERROR(__xludf.DUMMYFUNCTION("""COMPUTED_VALUE"""),"")</f>
        <v/>
      </c>
      <c r="BE4" s="45" t="str">
        <f ca="1">IFERROR(__xludf.DUMMYFUNCTION("""COMPUTED_VALUE"""),"")</f>
        <v/>
      </c>
      <c r="BF4" s="45" t="str">
        <f ca="1">IFERROR(__xludf.DUMMYFUNCTION("""COMPUTED_VALUE"""),"")</f>
        <v/>
      </c>
      <c r="BG4" s="45" t="str">
        <f ca="1">IFERROR(__xludf.DUMMYFUNCTION("""COMPUTED_VALUE"""),"")</f>
        <v/>
      </c>
      <c r="BH4" s="45" t="str">
        <f ca="1">IFERROR(__xludf.DUMMYFUNCTION("""COMPUTED_VALUE"""),"")</f>
        <v/>
      </c>
      <c r="BI4" s="45" t="str">
        <f ca="1">IFERROR(__xludf.DUMMYFUNCTION("""COMPUTED_VALUE"""),"")</f>
        <v/>
      </c>
      <c r="BJ4" s="45" t="str">
        <f ca="1">IFERROR(__xludf.DUMMYFUNCTION("""COMPUTED_VALUE"""),"")</f>
        <v/>
      </c>
      <c r="BK4" s="45" t="str">
        <f ca="1">IFERROR(__xludf.DUMMYFUNCTION("""COMPUTED_VALUE"""),"")</f>
        <v/>
      </c>
      <c r="BL4" s="45" t="str">
        <f ca="1">IFERROR(__xludf.DUMMYFUNCTION("""COMPUTED_VALUE"""),"")</f>
        <v/>
      </c>
      <c r="BM4" s="45" t="str">
        <f ca="1">IFERROR(__xludf.DUMMYFUNCTION("""COMPUTED_VALUE"""),"")</f>
        <v/>
      </c>
      <c r="BN4" s="45" t="str">
        <f ca="1">IFERROR(__xludf.DUMMYFUNCTION("""COMPUTED_VALUE"""),"")</f>
        <v/>
      </c>
      <c r="BO4" s="45" t="str">
        <f ca="1">IFERROR(__xludf.DUMMYFUNCTION("""COMPUTED_VALUE"""),"")</f>
        <v/>
      </c>
      <c r="BP4" s="45" t="str">
        <f ca="1">IFERROR(__xludf.DUMMYFUNCTION("""COMPUTED_VALUE"""),"")</f>
        <v/>
      </c>
      <c r="BQ4" s="45" t="str">
        <f ca="1">IFERROR(__xludf.DUMMYFUNCTION("""COMPUTED_VALUE"""),"")</f>
        <v/>
      </c>
      <c r="BR4" s="45" t="str">
        <f ca="1">IFERROR(__xludf.DUMMYFUNCTION("""COMPUTED_VALUE"""),"")</f>
        <v/>
      </c>
      <c r="BS4" s="45" t="str">
        <f ca="1">IFERROR(__xludf.DUMMYFUNCTION("""COMPUTED_VALUE"""),"")</f>
        <v/>
      </c>
      <c r="BT4" s="45" t="str">
        <f ca="1">IFERROR(__xludf.DUMMYFUNCTION("""COMPUTED_VALUE"""),"")</f>
        <v/>
      </c>
      <c r="BU4" s="45" t="str">
        <f ca="1">IFERROR(__xludf.DUMMYFUNCTION("""COMPUTED_VALUE"""),"")</f>
        <v/>
      </c>
      <c r="BV4" s="45" t="str">
        <f ca="1">IFERROR(__xludf.DUMMYFUNCTION("""COMPUTED_VALUE"""),"")</f>
        <v/>
      </c>
      <c r="BW4" s="45" t="str">
        <f ca="1">IFERROR(__xludf.DUMMYFUNCTION("""COMPUTED_VALUE"""),"")</f>
        <v/>
      </c>
      <c r="BX4" s="45" t="str">
        <f ca="1">IFERROR(__xludf.DUMMYFUNCTION("""COMPUTED_VALUE"""),"")</f>
        <v/>
      </c>
      <c r="BY4" s="45" t="str">
        <f ca="1">IFERROR(__xludf.DUMMYFUNCTION("""COMPUTED_VALUE"""),"")</f>
        <v/>
      </c>
      <c r="BZ4" s="45" t="str">
        <f ca="1">IFERROR(__xludf.DUMMYFUNCTION("""COMPUTED_VALUE"""),"")</f>
        <v/>
      </c>
      <c r="CA4" s="45" t="str">
        <f ca="1">IFERROR(__xludf.DUMMYFUNCTION("""COMPUTED_VALUE"""),"")</f>
        <v/>
      </c>
      <c r="CB4" s="45" t="str">
        <f ca="1">IFERROR(__xludf.DUMMYFUNCTION("""COMPUTED_VALUE"""),"")</f>
        <v/>
      </c>
      <c r="CC4" s="45" t="str">
        <f ca="1">IFERROR(__xludf.DUMMYFUNCTION("""COMPUTED_VALUE"""),"")</f>
        <v/>
      </c>
      <c r="CD4" s="45" t="str">
        <f ca="1">IFERROR(__xludf.DUMMYFUNCTION("""COMPUTED_VALUE"""),"")</f>
        <v/>
      </c>
      <c r="CE4" s="45" t="str">
        <f ca="1">IFERROR(__xludf.DUMMYFUNCTION("""COMPUTED_VALUE"""),"")</f>
        <v/>
      </c>
      <c r="CF4" s="45" t="str">
        <f ca="1">IFERROR(__xludf.DUMMYFUNCTION("""COMPUTED_VALUE"""),"")</f>
        <v/>
      </c>
      <c r="CG4" s="45" t="str">
        <f ca="1">IFERROR(__xludf.DUMMYFUNCTION("""COMPUTED_VALUE"""),"")</f>
        <v/>
      </c>
      <c r="CH4" s="45" t="str">
        <f ca="1">IFERROR(__xludf.DUMMYFUNCTION("""COMPUTED_VALUE"""),"")</f>
        <v/>
      </c>
      <c r="CI4" s="45" t="str">
        <f ca="1">IFERROR(__xludf.DUMMYFUNCTION("""COMPUTED_VALUE"""),"")</f>
        <v/>
      </c>
      <c r="CJ4" s="45" t="str">
        <f ca="1">IFERROR(__xludf.DUMMYFUNCTION("""COMPUTED_VALUE"""),"")</f>
        <v/>
      </c>
      <c r="CK4" s="45" t="str">
        <f ca="1">IFERROR(__xludf.DUMMYFUNCTION("""COMPUTED_VALUE"""),"")</f>
        <v/>
      </c>
      <c r="CL4" s="45" t="str">
        <f ca="1">IFERROR(__xludf.DUMMYFUNCTION("""COMPUTED_VALUE"""),"")</f>
        <v/>
      </c>
      <c r="CM4" s="45" t="str">
        <f ca="1">IFERROR(__xludf.DUMMYFUNCTION("""COMPUTED_VALUE"""),"")</f>
        <v/>
      </c>
      <c r="CN4" s="45" t="str">
        <f ca="1">IFERROR(__xludf.DUMMYFUNCTION("""COMPUTED_VALUE"""),"")</f>
        <v/>
      </c>
      <c r="CO4" s="45" t="str">
        <f ca="1">IFERROR(__xludf.DUMMYFUNCTION("""COMPUTED_VALUE"""),"")</f>
        <v/>
      </c>
      <c r="CP4" s="45" t="str">
        <f ca="1">IFERROR(__xludf.DUMMYFUNCTION("""COMPUTED_VALUE"""),"")</f>
        <v/>
      </c>
      <c r="CQ4" s="45" t="str">
        <f ca="1">IFERROR(__xludf.DUMMYFUNCTION("""COMPUTED_VALUE"""),"")</f>
        <v/>
      </c>
      <c r="CR4" s="45" t="str">
        <f ca="1">IFERROR(__xludf.DUMMYFUNCTION("""COMPUTED_VALUE"""),"")</f>
        <v/>
      </c>
      <c r="CS4" s="45" t="str">
        <f ca="1">IFERROR(__xludf.DUMMYFUNCTION("""COMPUTED_VALUE"""),"")</f>
        <v/>
      </c>
      <c r="CT4" s="45" t="str">
        <f ca="1">IFERROR(__xludf.DUMMYFUNCTION("""COMPUTED_VALUE"""),"")</f>
        <v/>
      </c>
      <c r="CU4" s="45" t="str">
        <f ca="1">IFERROR(__xludf.DUMMYFUNCTION("""COMPUTED_VALUE"""),"")</f>
        <v/>
      </c>
      <c r="CV4" s="45" t="str">
        <f ca="1">IFERROR(__xludf.DUMMYFUNCTION("""COMPUTED_VALUE"""),"")</f>
        <v/>
      </c>
      <c r="CW4" s="45" t="str">
        <f ca="1">IFERROR(__xludf.DUMMYFUNCTION("""COMPUTED_VALUE"""),"")</f>
        <v/>
      </c>
      <c r="CX4" s="45" t="str">
        <f ca="1">IFERROR(__xludf.DUMMYFUNCTION("""COMPUTED_VALUE"""),"")</f>
        <v/>
      </c>
      <c r="CY4" s="45" t="str">
        <f ca="1">IFERROR(__xludf.DUMMYFUNCTION("""COMPUTED_VALUE"""),"")</f>
        <v/>
      </c>
      <c r="CZ4" s="45" t="str">
        <f ca="1">IFERROR(__xludf.DUMMYFUNCTION("""COMPUTED_VALUE"""),"")</f>
        <v/>
      </c>
      <c r="DA4" s="45" t="str">
        <f ca="1">IFERROR(__xludf.DUMMYFUNCTION("""COMPUTED_VALUE"""),"")</f>
        <v/>
      </c>
      <c r="DB4" s="45" t="str">
        <f ca="1">IFERROR(__xludf.DUMMYFUNCTION("""COMPUTED_VALUE"""),"")</f>
        <v/>
      </c>
      <c r="DC4" s="45" t="str">
        <f ca="1">IFERROR(__xludf.DUMMYFUNCTION("""COMPUTED_VALUE"""),"")</f>
        <v/>
      </c>
      <c r="DD4" s="45" t="str">
        <f ca="1">IFERROR(__xludf.DUMMYFUNCTION("""COMPUTED_VALUE"""),"")</f>
        <v/>
      </c>
      <c r="DE4" s="45" t="str">
        <f ca="1">IFERROR(__xludf.DUMMYFUNCTION("""COMPUTED_VALUE"""),"")</f>
        <v/>
      </c>
      <c r="DF4" s="45" t="str">
        <f ca="1">IFERROR(__xludf.DUMMYFUNCTION("""COMPUTED_VALUE"""),"")</f>
        <v/>
      </c>
      <c r="DG4" s="45" t="str">
        <f ca="1">IFERROR(__xludf.DUMMYFUNCTION("""COMPUTED_VALUE"""),"")</f>
        <v/>
      </c>
      <c r="DH4" s="45" t="str">
        <f ca="1">IFERROR(__xludf.DUMMYFUNCTION("""COMPUTED_VALUE"""),"")</f>
        <v/>
      </c>
      <c r="DI4" s="45" t="str">
        <f ca="1">IFERROR(__xludf.DUMMYFUNCTION("""COMPUTED_VALUE"""),"")</f>
        <v/>
      </c>
      <c r="DJ4" s="45" t="str">
        <f ca="1">IFERROR(__xludf.DUMMYFUNCTION("""COMPUTED_VALUE"""),"")</f>
        <v/>
      </c>
      <c r="DK4" s="45" t="str">
        <f ca="1">IFERROR(__xludf.DUMMYFUNCTION("""COMPUTED_VALUE"""),"")</f>
        <v/>
      </c>
      <c r="DL4" s="45" t="str">
        <f ca="1">IFERROR(__xludf.DUMMYFUNCTION("""COMPUTED_VALUE"""),"")</f>
        <v/>
      </c>
      <c r="DM4" s="45" t="str">
        <f ca="1">IFERROR(__xludf.DUMMYFUNCTION("""COMPUTED_VALUE"""),"")</f>
        <v/>
      </c>
      <c r="DN4" s="45" t="str">
        <f ca="1">IFERROR(__xludf.DUMMYFUNCTION("""COMPUTED_VALUE"""),"")</f>
        <v/>
      </c>
      <c r="DO4" s="45" t="str">
        <f ca="1">IFERROR(__xludf.DUMMYFUNCTION("""COMPUTED_VALUE"""),"")</f>
        <v/>
      </c>
      <c r="DP4" s="45" t="str">
        <f ca="1">IFERROR(__xludf.DUMMYFUNCTION("""COMPUTED_VALUE"""),"")</f>
        <v/>
      </c>
      <c r="DQ4" s="45" t="str">
        <f ca="1">IFERROR(__xludf.DUMMYFUNCTION("""COMPUTED_VALUE"""),"")</f>
        <v/>
      </c>
      <c r="DR4" s="45" t="str">
        <f ca="1">IFERROR(__xludf.DUMMYFUNCTION("""COMPUTED_VALUE"""),"")</f>
        <v/>
      </c>
      <c r="DS4" s="45" t="str">
        <f ca="1">IFERROR(__xludf.DUMMYFUNCTION("""COMPUTED_VALUE"""),"")</f>
        <v/>
      </c>
      <c r="DT4" s="45" t="str">
        <f ca="1">IFERROR(__xludf.DUMMYFUNCTION("""COMPUTED_VALUE"""),"")</f>
        <v/>
      </c>
      <c r="DU4" s="45" t="str">
        <f ca="1">IFERROR(__xludf.DUMMYFUNCTION("""COMPUTED_VALUE"""),"")</f>
        <v/>
      </c>
      <c r="DV4" s="45" t="str">
        <f ca="1">IFERROR(__xludf.DUMMYFUNCTION("""COMPUTED_VALUE"""),"")</f>
        <v/>
      </c>
      <c r="DW4" s="45" t="str">
        <f ca="1">IFERROR(__xludf.DUMMYFUNCTION("""COMPUTED_VALUE"""),"")</f>
        <v/>
      </c>
      <c r="DX4" s="45" t="str">
        <f ca="1">IFERROR(__xludf.DUMMYFUNCTION("""COMPUTED_VALUE"""),"")</f>
        <v/>
      </c>
      <c r="DY4" s="45" t="str">
        <f ca="1">IFERROR(__xludf.DUMMYFUNCTION("""COMPUTED_VALUE"""),"")</f>
        <v/>
      </c>
      <c r="DZ4" s="45" t="str">
        <f ca="1">IFERROR(__xludf.DUMMYFUNCTION("""COMPUTED_VALUE"""),"")</f>
        <v/>
      </c>
      <c r="EA4" s="45" t="str">
        <f ca="1">IFERROR(__xludf.DUMMYFUNCTION("""COMPUTED_VALUE"""),"")</f>
        <v/>
      </c>
      <c r="EB4" s="45" t="str">
        <f ca="1">IFERROR(__xludf.DUMMYFUNCTION("""COMPUTED_VALUE"""),"")</f>
        <v/>
      </c>
      <c r="EC4" s="45" t="str">
        <f ca="1">IFERROR(__xludf.DUMMYFUNCTION("""COMPUTED_VALUE"""),"")</f>
        <v/>
      </c>
      <c r="ED4" s="45" t="str">
        <f ca="1">IFERROR(__xludf.DUMMYFUNCTION("""COMPUTED_VALUE"""),"")</f>
        <v/>
      </c>
      <c r="EE4" s="45" t="str">
        <f ca="1">IFERROR(__xludf.DUMMYFUNCTION("""COMPUTED_VALUE"""),"")</f>
        <v/>
      </c>
      <c r="EF4" s="45" t="str">
        <f ca="1">IFERROR(__xludf.DUMMYFUNCTION("""COMPUTED_VALUE"""),"")</f>
        <v/>
      </c>
      <c r="EG4" s="45" t="str">
        <f ca="1">IFERROR(__xludf.DUMMYFUNCTION("""COMPUTED_VALUE"""),"")</f>
        <v/>
      </c>
      <c r="EH4" s="45" t="str">
        <f ca="1">IFERROR(__xludf.DUMMYFUNCTION("""COMPUTED_VALUE"""),"")</f>
        <v/>
      </c>
      <c r="EI4" s="45" t="str">
        <f ca="1">IFERROR(__xludf.DUMMYFUNCTION("""COMPUTED_VALUE"""),"")</f>
        <v/>
      </c>
      <c r="EJ4" s="45" t="str">
        <f ca="1">IFERROR(__xludf.DUMMYFUNCTION("""COMPUTED_VALUE"""),"")</f>
        <v/>
      </c>
      <c r="EK4" s="45" t="str">
        <f ca="1">IFERROR(__xludf.DUMMYFUNCTION("""COMPUTED_VALUE"""),"")</f>
        <v/>
      </c>
      <c r="EL4" s="45" t="str">
        <f ca="1">IFERROR(__xludf.DUMMYFUNCTION("""COMPUTED_VALUE"""),"")</f>
        <v/>
      </c>
      <c r="EM4" s="45" t="str">
        <f ca="1">IFERROR(__xludf.DUMMYFUNCTION("""COMPUTED_VALUE"""),"")</f>
        <v/>
      </c>
      <c r="EN4" s="45" t="str">
        <f ca="1">IFERROR(__xludf.DUMMYFUNCTION("""COMPUTED_VALUE"""),"")</f>
        <v/>
      </c>
      <c r="EO4" s="45" t="str">
        <f ca="1">IFERROR(__xludf.DUMMYFUNCTION("""COMPUTED_VALUE"""),"")</f>
        <v/>
      </c>
      <c r="EP4" s="45" t="str">
        <f ca="1">IFERROR(__xludf.DUMMYFUNCTION("""COMPUTED_VALUE"""),"")</f>
        <v/>
      </c>
      <c r="EQ4" s="45" t="str">
        <f ca="1">IFERROR(__xludf.DUMMYFUNCTION("""COMPUTED_VALUE"""),"")</f>
        <v/>
      </c>
      <c r="ER4" s="45" t="str">
        <f ca="1">IFERROR(__xludf.DUMMYFUNCTION("""COMPUTED_VALUE"""),"")</f>
        <v/>
      </c>
      <c r="ES4" s="45" t="str">
        <f ca="1">IFERROR(__xludf.DUMMYFUNCTION("""COMPUTED_VALUE"""),"")</f>
        <v/>
      </c>
      <c r="ET4" s="45" t="str">
        <f ca="1">IFERROR(__xludf.DUMMYFUNCTION("""COMPUTED_VALUE"""),"")</f>
        <v/>
      </c>
      <c r="EU4" s="45" t="str">
        <f ca="1">IFERROR(__xludf.DUMMYFUNCTION("""COMPUTED_VALUE"""),"")</f>
        <v/>
      </c>
      <c r="EV4" s="45" t="str">
        <f ca="1">IFERROR(__xludf.DUMMYFUNCTION("""COMPUTED_VALUE"""),"")</f>
        <v/>
      </c>
      <c r="EW4" s="45" t="str">
        <f ca="1">IFERROR(__xludf.DUMMYFUNCTION("""COMPUTED_VALUE"""),"")</f>
        <v/>
      </c>
      <c r="EX4" s="45" t="str">
        <f ca="1">IFERROR(__xludf.DUMMYFUNCTION("""COMPUTED_VALUE"""),"")</f>
        <v/>
      </c>
      <c r="EY4" s="45" t="str">
        <f ca="1">IFERROR(__xludf.DUMMYFUNCTION("""COMPUTED_VALUE"""),"")</f>
        <v/>
      </c>
      <c r="EZ4" s="45" t="str">
        <f ca="1">IFERROR(__xludf.DUMMYFUNCTION("""COMPUTED_VALUE"""),"")</f>
        <v/>
      </c>
      <c r="FA4" s="45" t="str">
        <f ca="1">IFERROR(__xludf.DUMMYFUNCTION("""COMPUTED_VALUE"""),"")</f>
        <v/>
      </c>
      <c r="FB4" s="45" t="str">
        <f ca="1">IFERROR(__xludf.DUMMYFUNCTION("""COMPUTED_VALUE"""),"")</f>
        <v/>
      </c>
      <c r="FC4" s="45" t="str">
        <f ca="1">IFERROR(__xludf.DUMMYFUNCTION("""COMPUTED_VALUE"""),"")</f>
        <v/>
      </c>
      <c r="FD4" s="45" t="str">
        <f ca="1">IFERROR(__xludf.DUMMYFUNCTION("""COMPUTED_VALUE"""),"")</f>
        <v/>
      </c>
      <c r="FE4" s="45" t="str">
        <f ca="1">IFERROR(__xludf.DUMMYFUNCTION("""COMPUTED_VALUE"""),"")</f>
        <v/>
      </c>
      <c r="FF4" s="45" t="str">
        <f ca="1">IFERROR(__xludf.DUMMYFUNCTION("""COMPUTED_VALUE"""),"")</f>
        <v/>
      </c>
      <c r="FG4" s="45" t="str">
        <f ca="1">IFERROR(__xludf.DUMMYFUNCTION("""COMPUTED_VALUE"""),"")</f>
        <v/>
      </c>
      <c r="FH4" s="45" t="str">
        <f ca="1">IFERROR(__xludf.DUMMYFUNCTION("""COMPUTED_VALUE"""),"")</f>
        <v/>
      </c>
      <c r="FI4" s="45" t="str">
        <f ca="1">IFERROR(__xludf.DUMMYFUNCTION("""COMPUTED_VALUE"""),"")</f>
        <v/>
      </c>
      <c r="FJ4" s="45" t="str">
        <f ca="1">IFERROR(__xludf.DUMMYFUNCTION("""COMPUTED_VALUE"""),"")</f>
        <v/>
      </c>
      <c r="FK4" s="45" t="str">
        <f ca="1">IFERROR(__xludf.DUMMYFUNCTION("""COMPUTED_VALUE"""),"")</f>
        <v/>
      </c>
    </row>
    <row r="5" spans="1:167" ht="15.75" customHeight="1">
      <c r="A5" s="46" t="str">
        <f ca="1">IFERROR(__xludf.DUMMYFUNCTION("TRANSPOSE(IMPORTRANGE(VLOOKUP($E$3,IMPORTRANGE('_Settings'!$B$3,$C$3&amp;""!A4:B1000""),2,FALSE),$G$3&amp;""!A4:A1000""))"),"")</f>
        <v/>
      </c>
      <c r="B5" s="47" t="str">
        <f ca="1">IFERROR(__xludf.DUMMYFUNCTION("""COMPUTED_VALUE"""),"Trade Date")</f>
        <v>Trade Date</v>
      </c>
      <c r="C5" s="47" t="str">
        <f ca="1">IFERROR(__xludf.DUMMYFUNCTION("""COMPUTED_VALUE"""),"Symbol")</f>
        <v>Symbol</v>
      </c>
      <c r="D5" s="47" t="str">
        <f ca="1">IFERROR(__xludf.DUMMYFUNCTION("""COMPUTED_VALUE"""),"Position")</f>
        <v>Position</v>
      </c>
      <c r="E5" s="47" t="str">
        <f ca="1">IFERROR(__xludf.DUMMYFUNCTION("""COMPUTED_VALUE"""),"Account")</f>
        <v>Account</v>
      </c>
      <c r="F5" s="48" t="str">
        <f ca="1">IFERROR(__xludf.DUMMYFUNCTION("""COMPUTED_VALUE"""),"MasterFund")</f>
        <v>MasterFund</v>
      </c>
      <c r="G5" s="47" t="str">
        <f ca="1">IFERROR(__xludf.DUMMYFUNCTION("""COMPUTED_VALUE"""),"Cost Basis")</f>
        <v>Cost Basis</v>
      </c>
      <c r="H5" s="47" t="str">
        <f ca="1">IFERROR(__xludf.DUMMYFUNCTION("""COMPUTED_VALUE"""),"Position Side")</f>
        <v>Position Side</v>
      </c>
      <c r="I5" s="47" t="str">
        <f ca="1">IFERROR(__xludf.DUMMYFUNCTION("""COMPUTED_VALUE"""),"Market Value (Base)")</f>
        <v>Market Value (Base)</v>
      </c>
      <c r="J5" s="47" t="str">
        <f ca="1">IFERROR(__xludf.DUMMYFUNCTION("""COMPUTED_VALUE"""),"% Day P&amp;L (Gross MV)")</f>
        <v>% Day P&amp;L (Gross MV)</v>
      </c>
      <c r="K5" s="47" t="str">
        <f ca="1">IFERROR(__xludf.DUMMYFUNCTION("""COMPUTED_VALUE"""),"Net Exposure (Base)")</f>
        <v>Net Exposure (Base)</v>
      </c>
      <c r="L5" s="47" t="str">
        <f ca="1">IFERROR(__xludf.DUMMYFUNCTION("""COMPUTED_VALUE"""),"Beta Adj. Gross Exposure (Base)")</f>
        <v>Beta Adj. Gross Exposure (Base)</v>
      </c>
      <c r="M5" s="47" t="str">
        <f ca="1">IFERROR(__xludf.DUMMYFUNCTION("""COMPUTED_VALUE"""),"Beta Adj. Gross Exposure (Underlying) (Base)")</f>
        <v>Beta Adj. Gross Exposure (Underlying) (Base)</v>
      </c>
      <c r="N5" s="47" t="str">
        <f ca="1">IFERROR(__xludf.DUMMYFUNCTION("""COMPUTED_VALUE"""),"Day P&amp;L (Base)")</f>
        <v>Day P&amp;L (Base)</v>
      </c>
      <c r="O5" s="47" t="str">
        <f ca="1">IFERROR(__xludf.DUMMYFUNCTION("""COMPUTED_VALUE"""),"Security Name")</f>
        <v>Security Name</v>
      </c>
      <c r="P5" s="47" t="str">
        <f ca="1">IFERROR(__xludf.DUMMYFUNCTION("""COMPUTED_VALUE"""),"Closing Mark")</f>
        <v>Closing Mark</v>
      </c>
      <c r="Q5" s="47" t="str">
        <f ca="1">IFERROR(__xludf.DUMMYFUNCTION("""COMPUTED_VALUE"""),"Cost Basis P&amp;L (Base)")</f>
        <v>Cost Basis P&amp;L (Base)</v>
      </c>
      <c r="R5" s="47" t="str">
        <f ca="1">IFERROR(__xludf.DUMMYFUNCTION("""COMPUTED_VALUE"""),"Prime Broker")</f>
        <v>Prime Broker</v>
      </c>
      <c r="S5" s="47" t="str">
        <f ca="1">IFERROR(__xludf.DUMMYFUNCTION("""COMPUTED_VALUE"""),"Strategy")</f>
        <v>Strategy</v>
      </c>
      <c r="T5" s="49" t="str">
        <f ca="1">IFERROR(__xludf.DUMMYFUNCTION("""COMPUTED_VALUE"""),"Asset Class")</f>
        <v>Asset Class</v>
      </c>
      <c r="U5" s="49" t="str">
        <f ca="1">IFERROR(__xludf.DUMMYFUNCTION("""COMPUTED_VALUE"""),"Underlying")</f>
        <v>Underlying</v>
      </c>
      <c r="V5" s="49" t="str">
        <f ca="1">IFERROR(__xludf.DUMMYFUNCTION("""COMPUTED_VALUE"""),"Exchange")</f>
        <v>Exchange</v>
      </c>
      <c r="W5" s="49" t="str">
        <f ca="1">IFERROR(__xludf.DUMMYFUNCTION("""COMPUTED_VALUE"""),"Trade Currency")</f>
        <v>Trade Currency</v>
      </c>
      <c r="X5" s="49" t="str">
        <f ca="1">IFERROR(__xludf.DUMMYFUNCTION("""COMPUTED_VALUE"""),"Multiplier")</f>
        <v>Multiplier</v>
      </c>
      <c r="Y5" s="49" t="str">
        <f ca="1">IFERROR(__xludf.DUMMYFUNCTION("""COMPUTED_VALUE"""),"FX Rate")</f>
        <v>FX Rate</v>
      </c>
      <c r="Z5" s="49" t="str">
        <f ca="1">IFERROR(__xludf.DUMMYFUNCTION("""COMPUTED_VALUE"""),"Vs Currency")</f>
        <v>Vs Currency</v>
      </c>
      <c r="AA5" s="49" t="str">
        <f ca="1">IFERROR(__xludf.DUMMYFUNCTION("""COMPUTED_VALUE"""),"Lead Currency")</f>
        <v>Lead Currency</v>
      </c>
      <c r="AB5" s="49" t="str">
        <f ca="1">IFERROR(__xludf.DUMMYFUNCTION("""COMPUTED_VALUE"""),"Dividend Yield (%)")</f>
        <v>Dividend Yield (%)</v>
      </c>
      <c r="AC5" s="49" t="str">
        <f ca="1">IFERROR(__xludf.DUMMYFUNCTION("""COMPUTED_VALUE"""),"% Change")</f>
        <v>% Change</v>
      </c>
      <c r="AD5" s="49" t="str">
        <f ca="1">IFERROR(__xludf.DUMMYFUNCTION("""COMPUTED_VALUE"""),"Net Exposure (Local)")</f>
        <v>Net Exposure (Local)</v>
      </c>
      <c r="AE5" s="49" t="str">
        <f ca="1">IFERROR(__xludf.DUMMYFUNCTION("""COMPUTED_VALUE"""),"Exposure (Local)")</f>
        <v>Exposure (Local)</v>
      </c>
      <c r="AF5" s="49" t="str">
        <f ca="1">IFERROR(__xludf.DUMMYFUNCTION("""COMPUTED_VALUE"""),"Delta Adj. Position")</f>
        <v>Delta Adj. Position</v>
      </c>
      <c r="AG5" s="49" t="str">
        <f ca="1">IFERROR(__xludf.DUMMYFUNCTION("""COMPUTED_VALUE"""),"Exposure (Base)")</f>
        <v>Exposure (Base)</v>
      </c>
      <c r="AH5" s="49" t="str">
        <f ca="1">IFERROR(__xludf.DUMMYFUNCTION("""COMPUTED_VALUE"""),"Beta Adj. Exposure (Local)")</f>
        <v>Beta Adj. Exposure (Local)</v>
      </c>
      <c r="AI5" s="49" t="str">
        <f ca="1">IFERROR(__xludf.DUMMYFUNCTION("""COMPUTED_VALUE"""),"Beta Adj. Exposure (Base)")</f>
        <v>Beta Adj. Exposure (Base)</v>
      </c>
      <c r="AJ5" s="49" t="str">
        <f ca="1">IFERROR(__xludf.DUMMYFUNCTION("""COMPUTED_VALUE"""),"Exposure (BP)(Base)")</f>
        <v>Exposure (BP)(Base)</v>
      </c>
      <c r="AK5" s="49" t="str">
        <f ca="1">IFERROR(__xludf.DUMMYFUNCTION("""COMPUTED_VALUE"""),"Day P&amp;L (Local)")</f>
        <v>Day P&amp;L (Local)</v>
      </c>
      <c r="AL5" s="49" t="str">
        <f ca="1">IFERROR(__xludf.DUMMYFUNCTION("""COMPUTED_VALUE"""),"Delta")</f>
        <v>Delta</v>
      </c>
      <c r="AM5" s="49" t="str">
        <f ca="1">IFERROR(__xludf.DUMMYFUNCTION("""COMPUTED_VALUE"""),"Leveraged Factor")</f>
        <v>Leveraged Factor</v>
      </c>
      <c r="AN5" s="49" t="str">
        <f ca="1">IFERROR(__xludf.DUMMYFUNCTION("""COMPUTED_VALUE"""),"Order Side")</f>
        <v>Order Side</v>
      </c>
      <c r="AO5" s="49" t="str">
        <f ca="1">IFERROR(__xludf.DUMMYFUNCTION("""COMPUTED_VALUE"""),"Master Strategy")</f>
        <v>Master Strategy</v>
      </c>
      <c r="AP5" s="49" t="str">
        <f ca="1">IFERROR(__xludf.DUMMYFUNCTION("""COMPUTED_VALUE"""),"Transaction Side")</f>
        <v>Transaction Side</v>
      </c>
      <c r="AQ5" s="49" t="str">
        <f ca="1">IFERROR(__xludf.DUMMYFUNCTION("""COMPUTED_VALUE"""),"Underlying Symbol")</f>
        <v>Underlying Symbol</v>
      </c>
      <c r="AR5" s="49" t="str">
        <f ca="1">IFERROR(__xludf.DUMMYFUNCTION("""COMPUTED_VALUE"""),"Underlying Price")</f>
        <v>Underlying Price</v>
      </c>
      <c r="AS5" s="49" t="str">
        <f ca="1">IFERROR(__xludf.DUMMYFUNCTION("""COMPUTED_VALUE"""),"Side Multiplier")</f>
        <v>Side Multiplier</v>
      </c>
      <c r="AT5" s="49" t="str">
        <f ca="1">IFERROR(__xludf.DUMMYFUNCTION("""COMPUTED_VALUE"""),"Description")</f>
        <v>Description</v>
      </c>
      <c r="AU5" s="49" t="str">
        <f ca="1">IFERROR(__xludf.DUMMYFUNCTION("""COMPUTED_VALUE"""),"Internal Comments")</f>
        <v>Internal Comments</v>
      </c>
      <c r="AV5" s="49" t="str">
        <f ca="1">IFERROR(__xludf.DUMMYFUNCTION("""COMPUTED_VALUE"""),"FX Rate On Trade Date")</f>
        <v>FX Rate On Trade Date</v>
      </c>
      <c r="AW5" s="49" t="str">
        <f ca="1">IFERROR(__xludf.DUMMYFUNCTION("""COMPUTED_VALUE"""),"Cost Basis P&amp;L (Local)")</f>
        <v>Cost Basis P&amp;L (Local)</v>
      </c>
      <c r="AX5" s="49" t="str">
        <f ca="1">IFERROR(__xludf.DUMMYFUNCTION("""COMPUTED_VALUE"""),"Day Interest")</f>
        <v>Day Interest</v>
      </c>
      <c r="AY5" s="49" t="str">
        <f ca="1">IFERROR(__xludf.DUMMYFUNCTION("""COMPUTED_VALUE"""),"Total Interest")</f>
        <v>Total Interest</v>
      </c>
      <c r="AZ5" s="49" t="str">
        <f ca="1">IFERROR(__xludf.DUMMYFUNCTION("""COMPUTED_VALUE"""),"Market Value (Local)")</f>
        <v>Market Value (Local)</v>
      </c>
      <c r="BA5" s="49" t="str">
        <f ca="1">IFERROR(__xludf.DUMMYFUNCTION("""COMPUTED_VALUE"""),"% Gain/Loss Day")</f>
        <v>% Gain/Loss Day</v>
      </c>
      <c r="BB5" s="49" t="str">
        <f ca="1">IFERROR(__xludf.DUMMYFUNCTION("""COMPUTED_VALUE"""),"Update Time (Last Price)")</f>
        <v>Update Time (Last Price)</v>
      </c>
      <c r="BC5" s="49" t="str">
        <f ca="1">IFERROR(__xludf.DUMMYFUNCTION("""COMPUTED_VALUE"""),"Beta")</f>
        <v>Beta</v>
      </c>
      <c r="BD5" s="49" t="str">
        <f ca="1">IFERROR(__xludf.DUMMYFUNCTION("""COMPUTED_VALUE"""),"Cash Impact (Local)")</f>
        <v>Cash Impact (Local)</v>
      </c>
      <c r="BE5" s="49" t="str">
        <f ca="1">IFERROR(__xludf.DUMMYFUNCTION("""COMPUTED_VALUE"""),"User Asset")</f>
        <v>User Asset</v>
      </c>
      <c r="BF5" s="49" t="str">
        <f ca="1">IFERROR(__xludf.DUMMYFUNCTION("""COMPUTED_VALUE"""),"Security Type")</f>
        <v>Security Type</v>
      </c>
      <c r="BG5" s="49" t="str">
        <f ca="1">IFERROR(__xludf.DUMMYFUNCTION("""COMPUTED_VALUE"""),"Sector")</f>
        <v>Sector</v>
      </c>
      <c r="BH5" s="49" t="str">
        <f ca="1">IFERROR(__xludf.DUMMYFUNCTION("""COMPUTED_VALUE"""),"Sub Sector")</f>
        <v>Sub Sector</v>
      </c>
      <c r="BI5" s="49" t="str">
        <f ca="1">IFERROR(__xludf.DUMMYFUNCTION("""COMPUTED_VALUE"""),"Country")</f>
        <v>Country</v>
      </c>
      <c r="BJ5" s="49" t="str">
        <f ca="1">IFERROR(__xludf.DUMMYFUNCTION("""COMPUTED_VALUE"""),"Market Cap")</f>
        <v>Market Cap</v>
      </c>
      <c r="BK5" s="49" t="s">
        <v>85</v>
      </c>
      <c r="BL5" s="49" t="str">
        <f ca="1">IFERROR(__xludf.DUMMYFUNCTION("""COMPUTED_VALUE"""),"Avg Volume 20 Day")</f>
        <v>Avg Volume 20 Day</v>
      </c>
      <c r="BM5" s="49" t="str">
        <f ca="1">IFERROR(__xludf.DUMMYFUNCTION("""COMPUTED_VALUE"""),"% Avg Volume (Delta Adj.)")</f>
        <v>% Avg Volume (Delta Adj.)</v>
      </c>
      <c r="BN5" s="49" t="str">
        <f ca="1">IFERROR(__xludf.DUMMYFUNCTION("""COMPUTED_VALUE"""),"Ex Dividend Date")</f>
        <v>Ex Dividend Date</v>
      </c>
      <c r="BO5" s="49" t="str">
        <f ca="1">IFERROR(__xludf.DUMMYFUNCTION("""COMPUTED_VALUE"""),"Cash Impact (Base)")</f>
        <v>Cash Impact (Base)</v>
      </c>
      <c r="BP5" s="49" t="str">
        <f ca="1">IFERROR(__xludf.DUMMYFUNCTION("""COMPUTED_VALUE"""),"Volatility (%)")</f>
        <v>Volatility (%)</v>
      </c>
      <c r="BQ5" s="49" t="str">
        <f ca="1">IFERROR(__xludf.DUMMYFUNCTION("""COMPUTED_VALUE"""),"User")</f>
        <v>User</v>
      </c>
      <c r="BR5" s="49" t="str">
        <f ca="1">IFERROR(__xludf.DUMMYFUNCTION("""COMPUTED_VALUE"""),"Broker")</f>
        <v>Broker</v>
      </c>
      <c r="BS5" s="49" t="str">
        <f ca="1">IFERROR(__xludf.DUMMYFUNCTION("""COMPUTED_VALUE"""),"Earned Dividend (Local)")</f>
        <v>Earned Dividend (Local)</v>
      </c>
      <c r="BT5" s="49" t="str">
        <f ca="1">IFERROR(__xludf.DUMMYFUNCTION("""COMPUTED_VALUE"""),"Earned Dividend (Base)")</f>
        <v>Earned Dividend (Base)</v>
      </c>
      <c r="BU5" s="49" t="str">
        <f ca="1">IFERROR(__xludf.DUMMYFUNCTION("""COMPUTED_VALUE"""),"Put/Call")</f>
        <v>Put/Call</v>
      </c>
      <c r="BV5" s="49" t="str">
        <f ca="1">IFERROR(__xludf.DUMMYFUNCTION("""COMPUTED_VALUE"""),"Expiration Date")</f>
        <v>Expiration Date</v>
      </c>
      <c r="BW5" s="49" t="str">
        <f ca="1">IFERROR(__xludf.DUMMYFUNCTION("""COMPUTED_VALUE"""),"Strike Price")</f>
        <v>Strike Price</v>
      </c>
      <c r="BX5" s="49" t="str">
        <f ca="1">IFERROR(__xludf.DUMMYFUNCTION("""COMPUTED_VALUE"""),"Gross Exposure (Base)")</f>
        <v>Gross Exposure (Base)</v>
      </c>
      <c r="BY5" s="49" t="str">
        <f ca="1">IFERROR(__xludf.DUMMYFUNCTION("""COMPUTED_VALUE"""),"Gross Market Value (Base)")</f>
        <v>Gross Market Value (Base)</v>
      </c>
      <c r="BZ5" s="49" t="str">
        <f ca="1">IFERROR(__xludf.DUMMYFUNCTION("""COMPUTED_VALUE"""),"Px Selected Feed (Local)")</f>
        <v>Px Selected Feed (Local)</v>
      </c>
      <c r="CA5" s="49" t="str">
        <f ca="1">IFERROR(__xludf.DUMMYFUNCTION("""COMPUTED_VALUE"""),"Px Selected Feed (Base)")</f>
        <v>Px Selected Feed (Base)</v>
      </c>
      <c r="CB5" s="49" t="str">
        <f ca="1">IFERROR(__xludf.DUMMYFUNCTION("""COMPUTED_VALUE"""),"Settlement Date")</f>
        <v>Settlement Date</v>
      </c>
      <c r="CC5" s="49" t="str">
        <f ca="1">IFERROR(__xludf.DUMMYFUNCTION("""COMPUTED_VALUE"""),"% Avg Volume")</f>
        <v>% Avg Volume</v>
      </c>
      <c r="CD5" s="49" t="str">
        <f ca="1">IFERROR(__xludf.DUMMYFUNCTION("""COMPUTED_VALUE"""),"Day P&amp;L (Base)(Price Gain)")</f>
        <v>Day P&amp;L (Base)(Price Gain)</v>
      </c>
      <c r="CE5" s="49" t="str">
        <f ca="1">IFERROR(__xludf.DUMMYFUNCTION("""COMPUTED_VALUE"""),"Day P&amp;L (Base)(FX Gain)")</f>
        <v>Day P&amp;L (Base)(FX Gain)</v>
      </c>
      <c r="CF5" s="49" t="str">
        <f ca="1">IFERROR(__xludf.DUMMYFUNCTION("""COMPUTED_VALUE"""),"Cost Basis P&amp;L (Base)(FX Gain)")</f>
        <v>Cost Basis P&amp;L (Base)(FX Gain)</v>
      </c>
      <c r="CG5" s="49" t="str">
        <f ca="1">IFERROR(__xludf.DUMMYFUNCTION("""COMPUTED_VALUE"""),"Cost Basis P&amp;L (Base)(Price Gain)")</f>
        <v>Cost Basis P&amp;L (Base)(Price Gain)</v>
      </c>
      <c r="CH5" s="49" t="str">
        <f ca="1">IFERROR(__xludf.DUMMYFUNCTION("""COMPUTED_VALUE"""),"% Gain/Loss Cost")</f>
        <v>% Gain/Loss Cost</v>
      </c>
      <c r="CI5" s="49" t="str">
        <f ca="1">IFERROR(__xludf.DUMMYFUNCTION("""COMPUTED_VALUE"""),"Underlying Value (Options)")</f>
        <v>Underlying Value (Options)</v>
      </c>
      <c r="CJ5" s="49" t="str">
        <f ca="1">IFERROR(__xludf.DUMMYFUNCTION("""COMPUTED_VALUE"""),"Avg Volume 20 Day (Underlying Symbol)")</f>
        <v>Avg Volume 20 Day (Underlying Symbol)</v>
      </c>
      <c r="CK5" s="49" t="str">
        <f ca="1">IFERROR(__xludf.DUMMYFUNCTION("""COMPUTED_VALUE"""),"IsStaleData")</f>
        <v>IsStaleData</v>
      </c>
      <c r="CL5" s="49" t="str">
        <f ca="1">IFERROR(__xludf.DUMMYFUNCTION("""COMPUTED_VALUE"""),"IDCO")</f>
        <v>IDCO</v>
      </c>
      <c r="CM5" s="49" t="str">
        <f ca="1">IFERROR(__xludf.DUMMYFUNCTION("""COMPUTED_VALUE"""),"OSI")</f>
        <v>OSI</v>
      </c>
      <c r="CN5" s="49" t="str">
        <f ca="1">IFERROR(__xludf.DUMMYFUNCTION("""COMPUTED_VALUE"""),"SEDOL")</f>
        <v>SEDOL</v>
      </c>
      <c r="CO5" s="49" t="str">
        <f ca="1">IFERROR(__xludf.DUMMYFUNCTION("""COMPUTED_VALUE"""),"CUSIP")</f>
        <v>CUSIP</v>
      </c>
      <c r="CP5" s="49" t="str">
        <f ca="1">IFERROR(__xludf.DUMMYFUNCTION("""COMPUTED_VALUE"""),"Bloomberg")</f>
        <v>Bloomberg</v>
      </c>
      <c r="CQ5" s="49" t="str">
        <f ca="1">IFERROR(__xludf.DUMMYFUNCTION("""COMPUTED_VALUE"""),"ISIN")</f>
        <v>ISIN</v>
      </c>
      <c r="CR5" s="49" t="str">
        <f ca="1">IFERROR(__xludf.DUMMYFUNCTION("""COMPUTED_VALUE"""),"Start Trade Date")</f>
        <v>Start Trade Date</v>
      </c>
      <c r="CS5" s="49" t="str">
        <f ca="1">IFERROR(__xludf.DUMMYFUNCTION("""COMPUTED_VALUE"""),"Cost Basis (Break Even)")</f>
        <v>Cost Basis (Break Even)</v>
      </c>
      <c r="CT5" s="49" t="str">
        <f ca="1">IFERROR(__xludf.DUMMYFUNCTION("""COMPUTED_VALUE"""),"Trade Attribute 3")</f>
        <v>Trade Attribute 3</v>
      </c>
      <c r="CU5" s="49" t="str">
        <f ca="1">IFERROR(__xludf.DUMMYFUNCTION("""COMPUTED_VALUE"""),"Trade Attribute 4")</f>
        <v>Trade Attribute 4</v>
      </c>
      <c r="CV5" s="49" t="str">
        <f ca="1">IFERROR(__xludf.DUMMYFUNCTION("""COMPUTED_VALUE"""),"Trade Attribute 5")</f>
        <v>Trade Attribute 5</v>
      </c>
      <c r="CW5" s="49" t="str">
        <f ca="1">IFERROR(__xludf.DUMMYFUNCTION("""COMPUTED_VALUE"""),"Trade Attribute 6")</f>
        <v>Trade Attribute 6</v>
      </c>
      <c r="CX5" s="49" t="str">
        <f ca="1">IFERROR(__xludf.DUMMYFUNCTION("""COMPUTED_VALUE"""),"Proxy Symbol")</f>
        <v>Proxy Symbol</v>
      </c>
      <c r="CY5" s="49" t="str">
        <f ca="1">IFERROR(__xludf.DUMMYFUNCTION("""COMPUTED_VALUE"""),"Pricing Source")</f>
        <v>Pricing Source</v>
      </c>
      <c r="CZ5" s="49" t="str">
        <f ca="1">IFERROR(__xludf.DUMMYFUNCTION("""COMPUTED_VALUE"""),"Delta Source")</f>
        <v>Delta Source</v>
      </c>
      <c r="DA5" s="49" t="str">
        <f ca="1">IFERROR(__xludf.DUMMYFUNCTION("""COMPUTED_VALUE"""),"Gross Exposure (Local)")</f>
        <v>Gross Exposure (Local)</v>
      </c>
      <c r="DB5" s="49" t="str">
        <f ca="1">IFERROR(__xludf.DUMMYFUNCTION("""COMPUTED_VALUE"""),"% Day P&amp;L (Net MV)")</f>
        <v>% Day P&amp;L (Net MV)</v>
      </c>
      <c r="DC5" s="49" t="str">
        <f ca="1">IFERROR(__xludf.DUMMYFUNCTION("""COMPUTED_VALUE"""),"Expiration Month")</f>
        <v>Expiration Month</v>
      </c>
      <c r="DD5" s="49" t="str">
        <f ca="1">IFERROR(__xludf.DUMMYFUNCTION("""COMPUTED_VALUE"""),"Delta Adj. Position (LME)")</f>
        <v>Delta Adj. Position (LME)</v>
      </c>
      <c r="DE5" s="49" t="str">
        <f ca="1">IFERROR(__xludf.DUMMYFUNCTION("""COMPUTED_VALUE"""),"Premium")</f>
        <v>Premium</v>
      </c>
      <c r="DF5" s="49" t="str">
        <f ca="1">IFERROR(__xludf.DUMMYFUNCTION("""COMPUTED_VALUE"""),"Premium $")</f>
        <v>Premium $</v>
      </c>
      <c r="DG5" s="49" t="str">
        <f ca="1">IFERROR(__xludf.DUMMYFUNCTION("""COMPUTED_VALUE"""),"Forward Points")</f>
        <v>Forward Points</v>
      </c>
      <c r="DH5" s="49" t="str">
        <f ca="1">IFERROR(__xludf.DUMMYFUNCTION("""COMPUTED_VALUE"""),"Closing Mark (Underlying)")</f>
        <v>Closing Mark (Underlying)</v>
      </c>
      <c r="DI5" s="49" t="str">
        <f ca="1">IFERROR(__xludf.DUMMYFUNCTION("""COMPUTED_VALUE"""),"% Change (Underlying Price)")</f>
        <v>% Change (Underlying Price)</v>
      </c>
      <c r="DJ5" s="49" t="str">
        <f ca="1">IFERROR(__xludf.DUMMYFUNCTION("""COMPUTED_VALUE"""),"Transaction Type")</f>
        <v>Transaction Type</v>
      </c>
      <c r="DK5" s="49" t="str">
        <f ca="1">IFERROR(__xludf.DUMMYFUNCTION("""COMPUTED_VALUE"""),"Closing Market Value (Local)")</f>
        <v>Closing Market Value (Local)</v>
      </c>
      <c r="DL5" s="49" t="str">
        <f ca="1">IFERROR(__xludf.DUMMYFUNCTION("""COMPUTED_VALUE"""),"Closing Market Value (Base)")</f>
        <v>Closing Market Value (Base)</v>
      </c>
      <c r="DM5" s="49" t="str">
        <f ca="1">IFERROR(__xludf.DUMMYFUNCTION("""COMPUTED_VALUE"""),"Closing FX Rate")</f>
        <v>Closing FX Rate</v>
      </c>
      <c r="DN5" s="49" t="str">
        <f ca="1">IFERROR(__xludf.DUMMYFUNCTION("""COMPUTED_VALUE"""),"Change In Underlying Price")</f>
        <v>Change In Underlying Price</v>
      </c>
      <c r="DO5" s="49" t="str">
        <f ca="1">IFERROR(__xludf.DUMMYFUNCTION("""COMPUTED_VALUE"""),"RIC")</f>
        <v>RIC</v>
      </c>
      <c r="DP5" s="49" t="str">
        <f ca="1">IFERROR(__xludf.DUMMYFUNCTION("""COMPUTED_VALUE"""),"Position Side Exposure (Boxed)")</f>
        <v>Position Side Exposure (Boxed)</v>
      </c>
      <c r="DQ5" s="49" t="str">
        <f ca="1">IFERROR(__xludf.DUMMYFUNCTION("""COMPUTED_VALUE"""),"Analyst")</f>
        <v>Analyst</v>
      </c>
      <c r="DR5" s="49" t="str">
        <f ca="1">IFERROR(__xludf.DUMMYFUNCTION("""COMPUTED_VALUE"""),"Country Of Risk")</f>
        <v>Country Of Risk</v>
      </c>
      <c r="DS5" s="49" t="str">
        <f ca="1">IFERROR(__xludf.DUMMYFUNCTION("""COMPUTED_VALUE"""),"Custom UDA1")</f>
        <v>Custom UDA1</v>
      </c>
      <c r="DT5" s="49" t="str">
        <f ca="1">IFERROR(__xludf.DUMMYFUNCTION("""COMPUTED_VALUE"""),"Custom UDA2")</f>
        <v>Custom UDA2</v>
      </c>
      <c r="DU5" s="49" t="str">
        <f ca="1">IFERROR(__xludf.DUMMYFUNCTION("""COMPUTED_VALUE"""),"Custom UDA3")</f>
        <v>Custom UDA3</v>
      </c>
      <c r="DV5" s="49" t="str">
        <f ca="1">IFERROR(__xludf.DUMMYFUNCTION("""COMPUTED_VALUE"""),"Custom UDA4")</f>
        <v>Custom UDA4</v>
      </c>
      <c r="DW5" s="49" t="str">
        <f ca="1">IFERROR(__xludf.DUMMYFUNCTION("""COMPUTED_VALUE"""),"Custom UDA5")</f>
        <v>Custom UDA5</v>
      </c>
      <c r="DX5" s="49" t="str">
        <f ca="1">IFERROR(__xludf.DUMMYFUNCTION("""COMPUTED_VALUE"""),"Custom UDA6")</f>
        <v>Custom UDA6</v>
      </c>
      <c r="DY5" s="49" t="str">
        <f ca="1">IFERROR(__xludf.DUMMYFUNCTION("""COMPUTED_VALUE"""),"Custom UDA7")</f>
        <v>Custom UDA7</v>
      </c>
      <c r="DZ5" s="49" t="str">
        <f ca="1">IFERROR(__xludf.DUMMYFUNCTION("""COMPUTED_VALUE"""),"Issuer")</f>
        <v>Issuer</v>
      </c>
      <c r="EA5" s="49" t="str">
        <f ca="1">IFERROR(__xludf.DUMMYFUNCTION("""COMPUTED_VALUE"""),"Liquid Tag")</f>
        <v>Liquid Tag</v>
      </c>
      <c r="EB5" s="49" t="str">
        <f ca="1">IFERROR(__xludf.DUMMYFUNCTION("""COMPUTED_VALUE"""),"Market Cap UDA")</f>
        <v>Market Cap UDA</v>
      </c>
      <c r="EC5" s="49" t="str">
        <f ca="1">IFERROR(__xludf.DUMMYFUNCTION("""COMPUTED_VALUE"""),"Region")</f>
        <v>Region</v>
      </c>
      <c r="ED5" s="49" t="str">
        <f ca="1">IFERROR(__xludf.DUMMYFUNCTION("""COMPUTED_VALUE"""),"Risk Currency")</f>
        <v>Risk Currency</v>
      </c>
      <c r="EE5" s="49" t="str">
        <f ca="1">IFERROR(__xludf.DUMMYFUNCTION("""COMPUTED_VALUE"""),"UCITS Eligible Tag")</f>
        <v>UCITS Eligible Tag</v>
      </c>
      <c r="EF5" s="49" t="str">
        <f ca="1">IFERROR(__xludf.DUMMYFUNCTION("""COMPUTED_VALUE"""),"FX Rate (Display)")</f>
        <v>FX Rate (Display)</v>
      </c>
      <c r="EG5" s="49" t="str">
        <f ca="1">IFERROR(__xludf.DUMMYFUNCTION("""COMPUTED_VALUE"""),"% Net Exposure (Base)")</f>
        <v>% Net Exposure (Base)</v>
      </c>
      <c r="EH5" s="49" t="str">
        <f ca="1">IFERROR(__xludf.DUMMYFUNCTION("""COMPUTED_VALUE"""),"% Gross Exposure (Base)")</f>
        <v>% Gross Exposure (Base)</v>
      </c>
      <c r="EI5" s="49" t="str">
        <f ca="1">IFERROR(__xludf.DUMMYFUNCTION("""COMPUTED_VALUE"""),"% Exposure (Base)")</f>
        <v>% Exposure (Base)</v>
      </c>
      <c r="EJ5" s="49" t="str">
        <f ca="1">IFERROR(__xludf.DUMMYFUNCTION("""COMPUTED_VALUE"""),"% Gross Exposure (Underlying) (Base)")</f>
        <v>% Gross Exposure (Underlying) (Base)</v>
      </c>
      <c r="EK5" s="49" t="str">
        <f ca="1">IFERROR(__xludf.DUMMYFUNCTION("""COMPUTED_VALUE"""),"% Beta Adj. Gross Exposure (Base)")</f>
        <v>% Beta Adj. Gross Exposure (Base)</v>
      </c>
      <c r="EL5" s="49" t="str">
        <f ca="1">IFERROR(__xludf.DUMMYFUNCTION("""COMPUTED_VALUE"""),"Position Side Exposure (Underlying)")</f>
        <v>Position Side Exposure (Underlying)</v>
      </c>
      <c r="EM5" s="49" t="str">
        <f ca="1">IFERROR(__xludf.DUMMYFUNCTION("""COMPUTED_VALUE"""),"Gross Exposure (Underlying) (Base)")</f>
        <v>Gross Exposure (Underlying) (Base)</v>
      </c>
      <c r="EN5" s="49" t="str">
        <f ca="1">IFERROR(__xludf.DUMMYFUNCTION("""COMPUTED_VALUE"""),"Gross Exposure (Underlying)")</f>
        <v>Gross Exposure (Underlying)</v>
      </c>
      <c r="EO5" s="49" t="str">
        <f ca="1">IFERROR(__xludf.DUMMYFUNCTION("""COMPUTED_VALUE"""),"Day Return")</f>
        <v>Day Return</v>
      </c>
      <c r="EP5" s="49" t="str">
        <f ca="1">IFERROR(__xludf.DUMMYFUNCTION("""COMPUTED_VALUE"""),"Start of Day NAV")</f>
        <v>Start of Day NAV</v>
      </c>
      <c r="EQ5" s="49" t="str">
        <f ca="1">IFERROR(__xludf.DUMMYFUNCTION("""COMPUTED_VALUE"""),"% Gross Market Value (Base)")</f>
        <v>% Gross Market Value (Base)</v>
      </c>
      <c r="ER5" s="49" t="str">
        <f ca="1">IFERROR(__xludf.DUMMYFUNCTION("""COMPUTED_VALUE"""),"Beta Adj. Gross Exposure (Underlying) (Local)")</f>
        <v>Beta Adj. Gross Exposure (Underlying) (Local)</v>
      </c>
      <c r="ES5" s="49" t="str">
        <f ca="1">IFERROR(__xludf.DUMMYFUNCTION("""COMPUTED_VALUE"""),"NAV")</f>
        <v>NAV</v>
      </c>
      <c r="ET5" s="49" t="str">
        <f ca="1">IFERROR(__xludf.DUMMYFUNCTION("""COMPUTED_VALUE"""),"% P&amp;L Contribution")</f>
        <v>% P&amp;L Contribution</v>
      </c>
      <c r="EU5" s="49" t="str">
        <f ca="1">IFERROR(__xludf.DUMMYFUNCTION("""COMPUTED_VALUE"""),"% Net Market Value (Base)")</f>
        <v>% Net Market Value (Base)</v>
      </c>
      <c r="EV5" s="49" t="str">
        <f ca="1">IFERROR(__xludf.DUMMYFUNCTION("""COMPUTED_VALUE"""),"Position Side Exposure")</f>
        <v>Position Side Exposure</v>
      </c>
      <c r="EW5" s="49" t="str">
        <f ca="1">IFERROR(__xludf.DUMMYFUNCTION("""COMPUTED_VALUE"""),"NAV (Touch)")</f>
        <v>NAV (Touch)</v>
      </c>
      <c r="EX5" s="49" t="str">
        <f ca="1">IFERROR(__xludf.DUMMYFUNCTION("""COMPUTED_VALUE"""),"IgnorePropertyChangeEvents")</f>
        <v>IgnorePropertyChangeEvents</v>
      </c>
      <c r="EY5" s="49" t="str">
        <f ca="1">IFERROR(__xludf.DUMMYFUNCTION("""COMPUTED_VALUE"""),"Trade Attribute 1")</f>
        <v>Trade Attribute 1</v>
      </c>
      <c r="EZ5" s="49" t="str">
        <f ca="1">IFERROR(__xludf.DUMMYFUNCTION("""COMPUTED_VALUE"""),"Trade Attribute 2")</f>
        <v>Trade Attribute 2</v>
      </c>
      <c r="FA5" s="49" t="str">
        <f ca="1">IFERROR(__xludf.DUMMYFUNCTION("""COMPUTED_VALUE"""),"")</f>
        <v/>
      </c>
      <c r="FB5" s="49" t="str">
        <f ca="1">IFERROR(__xludf.DUMMYFUNCTION("""COMPUTED_VALUE"""),"")</f>
        <v/>
      </c>
      <c r="FC5" s="49" t="str">
        <f ca="1">IFERROR(__xludf.DUMMYFUNCTION("""COMPUTED_VALUE"""),"")</f>
        <v/>
      </c>
      <c r="FD5" s="49" t="str">
        <f ca="1">IFERROR(__xludf.DUMMYFUNCTION("""COMPUTED_VALUE"""),"")</f>
        <v/>
      </c>
      <c r="FE5" s="49" t="str">
        <f ca="1">IFERROR(__xludf.DUMMYFUNCTION("""COMPUTED_VALUE"""),"")</f>
        <v/>
      </c>
      <c r="FF5" s="49" t="str">
        <f ca="1">IFERROR(__xludf.DUMMYFUNCTION("""COMPUTED_VALUE"""),"")</f>
        <v/>
      </c>
      <c r="FG5" s="49" t="str">
        <f ca="1">IFERROR(__xludf.DUMMYFUNCTION("""COMPUTED_VALUE"""),"")</f>
        <v/>
      </c>
      <c r="FH5" s="49" t="str">
        <f ca="1">IFERROR(__xludf.DUMMYFUNCTION("""COMPUTED_VALUE"""),"")</f>
        <v/>
      </c>
      <c r="FI5" s="49" t="str">
        <f ca="1">IFERROR(__xludf.DUMMYFUNCTION("""COMPUTED_VALUE"""),"")</f>
        <v/>
      </c>
      <c r="FJ5" s="49" t="str">
        <f ca="1">IFERROR(__xludf.DUMMYFUNCTION("""COMPUTED_VALUE"""),"")</f>
        <v/>
      </c>
      <c r="FK5" s="49" t="str">
        <f ca="1">IFERROR(__xludf.DUMMYFUNCTION("""COMPUTED_VALUE"""),"")</f>
        <v/>
      </c>
    </row>
    <row r="6" spans="1:167" ht="15.75" customHeight="1">
      <c r="A6" s="50"/>
      <c r="B6" s="50"/>
      <c r="C6" s="52" t="s">
        <v>18</v>
      </c>
      <c r="D6" s="53">
        <v>100</v>
      </c>
      <c r="E6" s="52" t="s">
        <v>20</v>
      </c>
      <c r="F6" s="52" t="s">
        <v>46</v>
      </c>
      <c r="G6" s="53">
        <v>190</v>
      </c>
      <c r="H6" s="52" t="s">
        <v>47</v>
      </c>
      <c r="I6" s="53">
        <v>19400</v>
      </c>
      <c r="J6" s="53">
        <v>1.03</v>
      </c>
      <c r="K6" s="53">
        <v>19400</v>
      </c>
      <c r="L6" s="53">
        <v>19400</v>
      </c>
      <c r="M6" s="53">
        <v>19400</v>
      </c>
      <c r="N6" s="53">
        <v>200</v>
      </c>
      <c r="O6" s="52" t="s">
        <v>48</v>
      </c>
      <c r="P6" s="53">
        <v>192</v>
      </c>
      <c r="Q6" s="53">
        <v>400</v>
      </c>
      <c r="R6" s="52" t="s">
        <v>49</v>
      </c>
      <c r="S6" s="55" t="s">
        <v>50</v>
      </c>
      <c r="T6" s="55" t="s">
        <v>51</v>
      </c>
      <c r="U6" s="55" t="s">
        <v>52</v>
      </c>
      <c r="V6" s="55" t="s">
        <v>53</v>
      </c>
      <c r="W6" s="55" t="s">
        <v>33</v>
      </c>
      <c r="X6" s="57">
        <v>1</v>
      </c>
      <c r="Y6" s="57">
        <v>1</v>
      </c>
      <c r="Z6" s="58"/>
      <c r="AA6" s="58"/>
      <c r="AB6" s="59">
        <v>0</v>
      </c>
      <c r="AC6" s="57">
        <v>1.04</v>
      </c>
      <c r="AD6" s="57">
        <v>19400</v>
      </c>
      <c r="AE6" s="57">
        <v>19400</v>
      </c>
      <c r="AF6" s="57">
        <v>100</v>
      </c>
      <c r="AG6" s="57">
        <v>19400</v>
      </c>
      <c r="AH6" s="57">
        <v>19400</v>
      </c>
      <c r="AI6" s="57">
        <v>19400</v>
      </c>
      <c r="AJ6" s="57">
        <v>-1632805.32</v>
      </c>
      <c r="AK6" s="57">
        <v>200</v>
      </c>
      <c r="AL6" s="58"/>
      <c r="AM6" s="58"/>
      <c r="AN6" s="55" t="s">
        <v>19</v>
      </c>
      <c r="AO6" s="58"/>
      <c r="AP6" s="55" t="s">
        <v>47</v>
      </c>
      <c r="AQ6" s="55" t="s">
        <v>18</v>
      </c>
      <c r="AR6" s="58"/>
      <c r="AS6" s="57">
        <v>1</v>
      </c>
      <c r="AT6" s="58"/>
      <c r="AU6" s="58"/>
      <c r="AV6" s="58"/>
      <c r="AW6" s="57">
        <v>400</v>
      </c>
      <c r="AX6" s="57">
        <v>0</v>
      </c>
      <c r="AY6" s="57">
        <v>0</v>
      </c>
      <c r="AZ6" s="57">
        <v>19400</v>
      </c>
      <c r="BA6" s="57">
        <v>1.05</v>
      </c>
      <c r="BB6" s="58"/>
      <c r="BC6" s="57">
        <v>1</v>
      </c>
      <c r="BD6" s="57">
        <v>0</v>
      </c>
      <c r="BE6" s="55" t="s">
        <v>51</v>
      </c>
      <c r="BF6" s="55" t="s">
        <v>54</v>
      </c>
      <c r="BG6" s="55" t="s">
        <v>55</v>
      </c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5" t="s">
        <v>21</v>
      </c>
      <c r="BS6" s="58"/>
      <c r="BT6" s="58"/>
      <c r="BU6" s="55" t="s">
        <v>51</v>
      </c>
      <c r="BV6" s="58"/>
      <c r="BW6" s="57">
        <v>0</v>
      </c>
      <c r="BX6" s="57">
        <v>19400</v>
      </c>
      <c r="BY6" s="57">
        <v>19400</v>
      </c>
      <c r="BZ6" s="57">
        <v>194</v>
      </c>
      <c r="CA6" s="57">
        <v>194</v>
      </c>
      <c r="CB6" s="58"/>
      <c r="CC6" s="58"/>
      <c r="CD6" s="57">
        <v>200</v>
      </c>
      <c r="CE6" s="57">
        <v>0</v>
      </c>
      <c r="CF6" s="57">
        <v>0</v>
      </c>
      <c r="CG6" s="57">
        <v>400</v>
      </c>
      <c r="CH6" s="57">
        <v>2.11</v>
      </c>
      <c r="CI6" s="57">
        <v>0</v>
      </c>
      <c r="CJ6" s="58"/>
      <c r="CK6" s="58"/>
      <c r="CL6" s="58"/>
      <c r="CM6" s="58"/>
      <c r="CN6" s="58"/>
      <c r="CO6" s="58"/>
      <c r="CP6" s="58"/>
      <c r="CQ6" s="58"/>
      <c r="CR6" s="58"/>
      <c r="CS6" s="57">
        <v>190</v>
      </c>
      <c r="CT6" s="58"/>
      <c r="CU6" s="58"/>
      <c r="CV6" s="58"/>
      <c r="CW6" s="58"/>
      <c r="CX6" s="58"/>
      <c r="CY6" s="55" t="s">
        <v>57</v>
      </c>
      <c r="CZ6" s="55" t="s">
        <v>58</v>
      </c>
      <c r="DA6" s="57">
        <v>19400</v>
      </c>
      <c r="DB6" s="57">
        <v>1.03</v>
      </c>
      <c r="DC6" s="58"/>
      <c r="DD6" s="57">
        <v>100</v>
      </c>
      <c r="DE6" s="58"/>
      <c r="DF6" s="58"/>
      <c r="DG6" s="58"/>
      <c r="DH6" s="57">
        <v>192</v>
      </c>
      <c r="DI6" s="57">
        <v>1.04</v>
      </c>
      <c r="DJ6" s="55" t="s">
        <v>19</v>
      </c>
      <c r="DK6" s="57">
        <v>19200</v>
      </c>
      <c r="DL6" s="57">
        <v>19200</v>
      </c>
      <c r="DM6" s="57">
        <v>1</v>
      </c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7">
        <v>0</v>
      </c>
      <c r="EG6" s="57">
        <v>0</v>
      </c>
      <c r="EH6" s="57">
        <v>0</v>
      </c>
      <c r="EI6" s="57">
        <v>0</v>
      </c>
      <c r="EJ6" s="58"/>
      <c r="EK6" s="58"/>
      <c r="EL6" s="55" t="s">
        <v>47</v>
      </c>
      <c r="EM6" s="57">
        <v>19400</v>
      </c>
      <c r="EN6" s="57">
        <v>19400</v>
      </c>
      <c r="EO6" s="57">
        <v>0</v>
      </c>
      <c r="EP6" s="57">
        <v>-98.32</v>
      </c>
      <c r="EQ6" s="57">
        <v>0</v>
      </c>
      <c r="ER6" s="57">
        <v>19400</v>
      </c>
      <c r="ES6" s="57">
        <v>-118.81</v>
      </c>
      <c r="ET6" s="58"/>
      <c r="EU6" s="58"/>
      <c r="EV6" s="55" t="s">
        <v>47</v>
      </c>
      <c r="EW6" s="57">
        <v>21.98</v>
      </c>
      <c r="EX6" s="6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</row>
    <row r="7" spans="1:167" ht="15.75" customHeight="1">
      <c r="A7" s="50"/>
      <c r="B7" s="50"/>
      <c r="C7" s="55" t="s">
        <v>23</v>
      </c>
      <c r="D7" s="57">
        <v>-100</v>
      </c>
      <c r="E7" s="55" t="s">
        <v>20</v>
      </c>
      <c r="F7" s="55" t="s">
        <v>46</v>
      </c>
      <c r="G7" s="57">
        <v>130</v>
      </c>
      <c r="H7" s="55" t="s">
        <v>63</v>
      </c>
      <c r="I7" s="57">
        <v>-13300</v>
      </c>
      <c r="J7" s="57">
        <v>-1.5</v>
      </c>
      <c r="K7" s="57">
        <v>-13300</v>
      </c>
      <c r="L7" s="57">
        <v>13300</v>
      </c>
      <c r="M7" s="57">
        <v>13300</v>
      </c>
      <c r="N7" s="57">
        <v>-200</v>
      </c>
      <c r="O7" s="55" t="s">
        <v>64</v>
      </c>
      <c r="P7" s="57">
        <v>131</v>
      </c>
      <c r="Q7" s="57">
        <v>-300</v>
      </c>
      <c r="R7" s="55" t="s">
        <v>49</v>
      </c>
      <c r="S7" s="55" t="s">
        <v>50</v>
      </c>
      <c r="T7" s="55" t="s">
        <v>51</v>
      </c>
      <c r="U7" s="55" t="s">
        <v>52</v>
      </c>
      <c r="V7" s="55" t="s">
        <v>53</v>
      </c>
      <c r="W7" s="55" t="s">
        <v>33</v>
      </c>
      <c r="X7" s="57">
        <v>1</v>
      </c>
      <c r="Y7" s="57">
        <v>1</v>
      </c>
      <c r="Z7" s="58"/>
      <c r="AA7" s="58"/>
      <c r="AB7" s="59">
        <v>0</v>
      </c>
      <c r="AC7" s="57">
        <v>1.53</v>
      </c>
      <c r="AD7" s="57">
        <v>-13300</v>
      </c>
      <c r="AE7" s="57">
        <v>-13300</v>
      </c>
      <c r="AF7" s="57">
        <v>-100</v>
      </c>
      <c r="AG7" s="57">
        <v>-13300</v>
      </c>
      <c r="AH7" s="57">
        <v>-13300</v>
      </c>
      <c r="AI7" s="57">
        <v>-13300</v>
      </c>
      <c r="AJ7" s="57">
        <v>1119397.46</v>
      </c>
      <c r="AK7" s="57">
        <v>-200</v>
      </c>
      <c r="AL7" s="58"/>
      <c r="AM7" s="58"/>
      <c r="AN7" s="55" t="s">
        <v>28</v>
      </c>
      <c r="AO7" s="58"/>
      <c r="AP7" s="55" t="s">
        <v>63</v>
      </c>
      <c r="AQ7" s="55" t="s">
        <v>23</v>
      </c>
      <c r="AR7" s="58"/>
      <c r="AS7" s="57">
        <v>-1</v>
      </c>
      <c r="AT7" s="58"/>
      <c r="AU7" s="58"/>
      <c r="AV7" s="58"/>
      <c r="AW7" s="57">
        <v>-300</v>
      </c>
      <c r="AX7" s="57">
        <v>0</v>
      </c>
      <c r="AY7" s="57">
        <v>0</v>
      </c>
      <c r="AZ7" s="57">
        <v>-13300</v>
      </c>
      <c r="BA7" s="57">
        <v>-1.54</v>
      </c>
      <c r="BB7" s="58"/>
      <c r="BC7" s="57">
        <v>1</v>
      </c>
      <c r="BD7" s="57">
        <v>0</v>
      </c>
      <c r="BE7" s="55" t="s">
        <v>51</v>
      </c>
      <c r="BF7" s="55" t="s">
        <v>66</v>
      </c>
      <c r="BG7" s="64" t="s">
        <v>67</v>
      </c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5" t="s">
        <v>21</v>
      </c>
      <c r="BS7" s="58"/>
      <c r="BT7" s="58"/>
      <c r="BU7" s="55" t="s">
        <v>51</v>
      </c>
      <c r="BV7" s="58"/>
      <c r="BW7" s="57">
        <v>0</v>
      </c>
      <c r="BX7" s="57">
        <v>13300</v>
      </c>
      <c r="BY7" s="57">
        <v>13300</v>
      </c>
      <c r="BZ7" s="57">
        <v>133</v>
      </c>
      <c r="CA7" s="57">
        <v>133</v>
      </c>
      <c r="CB7" s="58"/>
      <c r="CC7" s="58"/>
      <c r="CD7" s="57">
        <v>-200</v>
      </c>
      <c r="CE7" s="57">
        <v>0</v>
      </c>
      <c r="CF7" s="57">
        <v>0</v>
      </c>
      <c r="CG7" s="57">
        <v>-300</v>
      </c>
      <c r="CH7" s="57">
        <v>-2.31</v>
      </c>
      <c r="CI7" s="57">
        <v>0</v>
      </c>
      <c r="CJ7" s="58"/>
      <c r="CK7" s="58"/>
      <c r="CL7" s="58"/>
      <c r="CM7" s="58"/>
      <c r="CN7" s="58"/>
      <c r="CO7" s="58"/>
      <c r="CP7" s="58"/>
      <c r="CQ7" s="58"/>
      <c r="CR7" s="58"/>
      <c r="CS7" s="57">
        <v>130</v>
      </c>
      <c r="CT7" s="58"/>
      <c r="CU7" s="58"/>
      <c r="CV7" s="58"/>
      <c r="CW7" s="58"/>
      <c r="CX7" s="58"/>
      <c r="CY7" s="55" t="s">
        <v>57</v>
      </c>
      <c r="CZ7" s="55" t="s">
        <v>58</v>
      </c>
      <c r="DA7" s="57">
        <v>13300</v>
      </c>
      <c r="DB7" s="57">
        <v>1.5</v>
      </c>
      <c r="DC7" s="58"/>
      <c r="DD7" s="57">
        <v>-100</v>
      </c>
      <c r="DE7" s="58"/>
      <c r="DF7" s="58"/>
      <c r="DG7" s="58"/>
      <c r="DH7" s="57">
        <v>131</v>
      </c>
      <c r="DI7" s="57">
        <v>1.53</v>
      </c>
      <c r="DJ7" s="55" t="s">
        <v>28</v>
      </c>
      <c r="DK7" s="57">
        <v>-13100</v>
      </c>
      <c r="DL7" s="57">
        <v>-13100</v>
      </c>
      <c r="DM7" s="57">
        <v>1</v>
      </c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7">
        <v>0</v>
      </c>
      <c r="EG7" s="57">
        <v>0</v>
      </c>
      <c r="EH7" s="57">
        <v>0</v>
      </c>
      <c r="EI7" s="57">
        <v>0</v>
      </c>
      <c r="EJ7" s="58"/>
      <c r="EK7" s="58"/>
      <c r="EL7" s="55" t="s">
        <v>63</v>
      </c>
      <c r="EM7" s="57">
        <v>13300</v>
      </c>
      <c r="EN7" s="57">
        <v>13300</v>
      </c>
      <c r="EO7" s="57">
        <v>0</v>
      </c>
      <c r="EP7" s="65">
        <v>-98.32</v>
      </c>
      <c r="EQ7" s="57">
        <v>0</v>
      </c>
      <c r="ER7" s="57">
        <v>13300</v>
      </c>
      <c r="ES7" s="66">
        <v>-118.81</v>
      </c>
      <c r="ET7" s="58"/>
      <c r="EU7" s="58"/>
      <c r="EV7" s="55" t="s">
        <v>63</v>
      </c>
      <c r="EW7" s="57">
        <v>21.98</v>
      </c>
      <c r="EX7" s="6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</row>
    <row r="8" spans="1:167" ht="15.75" customHeight="1">
      <c r="A8" s="50"/>
      <c r="B8" s="50"/>
      <c r="C8" s="55" t="s">
        <v>25</v>
      </c>
      <c r="D8" s="57">
        <v>100</v>
      </c>
      <c r="E8" s="55" t="s">
        <v>26</v>
      </c>
      <c r="F8" s="55" t="s">
        <v>73</v>
      </c>
      <c r="G8" s="57">
        <v>8</v>
      </c>
      <c r="H8" s="55" t="s">
        <v>47</v>
      </c>
      <c r="I8" s="57">
        <v>995.02</v>
      </c>
      <c r="J8" s="57">
        <v>10</v>
      </c>
      <c r="K8" s="57">
        <v>995.02</v>
      </c>
      <c r="L8" s="57">
        <v>995.02</v>
      </c>
      <c r="M8" s="57">
        <v>995.02</v>
      </c>
      <c r="N8" s="57">
        <v>99.5</v>
      </c>
      <c r="O8" s="55" t="s">
        <v>25</v>
      </c>
      <c r="P8" s="57">
        <v>9</v>
      </c>
      <c r="Q8" s="57">
        <v>-147.83000000000001</v>
      </c>
      <c r="R8" s="55" t="s">
        <v>76</v>
      </c>
      <c r="S8" s="55" t="s">
        <v>50</v>
      </c>
      <c r="T8" s="55" t="s">
        <v>51</v>
      </c>
      <c r="U8" s="55" t="s">
        <v>52</v>
      </c>
      <c r="V8" s="55" t="s">
        <v>77</v>
      </c>
      <c r="W8" s="55" t="s">
        <v>34</v>
      </c>
      <c r="X8" s="57">
        <v>1</v>
      </c>
      <c r="Y8" s="57">
        <v>1</v>
      </c>
      <c r="Z8" s="58"/>
      <c r="AA8" s="58"/>
      <c r="AB8" s="59">
        <v>0</v>
      </c>
      <c r="AC8" s="57">
        <v>11.11</v>
      </c>
      <c r="AD8" s="57">
        <v>1000</v>
      </c>
      <c r="AE8" s="57">
        <v>1000</v>
      </c>
      <c r="AF8" s="57">
        <v>100</v>
      </c>
      <c r="AG8" s="57">
        <v>995.02</v>
      </c>
      <c r="AH8" s="57">
        <v>1000</v>
      </c>
      <c r="AI8" s="57">
        <v>995.02</v>
      </c>
      <c r="AJ8" s="57">
        <v>-83746.490000000005</v>
      </c>
      <c r="AK8" s="57">
        <v>100</v>
      </c>
      <c r="AL8" s="58"/>
      <c r="AM8" s="58"/>
      <c r="AN8" s="55" t="s">
        <v>19</v>
      </c>
      <c r="AO8" s="58"/>
      <c r="AP8" s="55" t="s">
        <v>47</v>
      </c>
      <c r="AQ8" s="55" t="s">
        <v>25</v>
      </c>
      <c r="AR8" s="58"/>
      <c r="AS8" s="57">
        <v>1</v>
      </c>
      <c r="AT8" s="58"/>
      <c r="AU8" s="58"/>
      <c r="AV8" s="58"/>
      <c r="AW8" s="57">
        <v>200</v>
      </c>
      <c r="AX8" s="57">
        <v>0</v>
      </c>
      <c r="AY8" s="57">
        <v>0</v>
      </c>
      <c r="AZ8" s="57">
        <v>1000</v>
      </c>
      <c r="BA8" s="57">
        <v>8.7100000000000009</v>
      </c>
      <c r="BB8" s="58"/>
      <c r="BC8" s="57">
        <v>1</v>
      </c>
      <c r="BD8" s="57">
        <v>0</v>
      </c>
      <c r="BE8" s="55" t="s">
        <v>51</v>
      </c>
      <c r="BF8" s="55" t="s">
        <v>61</v>
      </c>
      <c r="BG8" s="55" t="s">
        <v>61</v>
      </c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5" t="s">
        <v>21</v>
      </c>
      <c r="BS8" s="58"/>
      <c r="BT8" s="58"/>
      <c r="BU8" s="55" t="s">
        <v>51</v>
      </c>
      <c r="BV8" s="58"/>
      <c r="BW8" s="57">
        <v>0</v>
      </c>
      <c r="BX8" s="57">
        <v>995.02</v>
      </c>
      <c r="BY8" s="57">
        <v>995.02</v>
      </c>
      <c r="BZ8" s="57">
        <v>10</v>
      </c>
      <c r="CA8" s="57">
        <v>9.9499999999999993</v>
      </c>
      <c r="CB8" s="58"/>
      <c r="CC8" s="58"/>
      <c r="CD8" s="57">
        <v>99.5</v>
      </c>
      <c r="CE8" s="57">
        <v>0</v>
      </c>
      <c r="CF8" s="57">
        <v>-346.84</v>
      </c>
      <c r="CG8" s="57">
        <v>199</v>
      </c>
      <c r="CH8" s="57">
        <v>-12.94</v>
      </c>
      <c r="CI8" s="57">
        <v>0</v>
      </c>
      <c r="CJ8" s="58"/>
      <c r="CK8" s="58"/>
      <c r="CL8" s="58"/>
      <c r="CM8" s="58"/>
      <c r="CN8" s="58"/>
      <c r="CO8" s="58"/>
      <c r="CP8" s="58"/>
      <c r="CQ8" s="58"/>
      <c r="CR8" s="58"/>
      <c r="CS8" s="57">
        <v>8</v>
      </c>
      <c r="CT8" s="58"/>
      <c r="CU8" s="58"/>
      <c r="CV8" s="58"/>
      <c r="CW8" s="58"/>
      <c r="CX8" s="58"/>
      <c r="CY8" s="55" t="s">
        <v>57</v>
      </c>
      <c r="CZ8" s="55" t="s">
        <v>58</v>
      </c>
      <c r="DA8" s="57">
        <v>1000</v>
      </c>
      <c r="DB8" s="57">
        <v>10</v>
      </c>
      <c r="DC8" s="58"/>
      <c r="DD8" s="57">
        <v>100</v>
      </c>
      <c r="DE8" s="58"/>
      <c r="DF8" s="58"/>
      <c r="DG8" s="58"/>
      <c r="DH8" s="57">
        <v>9</v>
      </c>
      <c r="DI8" s="57">
        <v>11.11</v>
      </c>
      <c r="DJ8" s="55" t="s">
        <v>19</v>
      </c>
      <c r="DK8" s="57">
        <v>900</v>
      </c>
      <c r="DL8" s="57">
        <v>895.52</v>
      </c>
      <c r="DM8" s="57">
        <v>1</v>
      </c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7">
        <v>1.01</v>
      </c>
      <c r="EG8" s="57">
        <v>0</v>
      </c>
      <c r="EH8" s="57">
        <v>0</v>
      </c>
      <c r="EI8" s="57">
        <v>0</v>
      </c>
      <c r="EJ8" s="58"/>
      <c r="EK8" s="58"/>
      <c r="EL8" s="55" t="s">
        <v>47</v>
      </c>
      <c r="EM8" s="57">
        <v>995.02</v>
      </c>
      <c r="EN8" s="57">
        <v>1000</v>
      </c>
      <c r="EO8" s="57">
        <v>0</v>
      </c>
      <c r="EP8" s="65">
        <v>-98.32</v>
      </c>
      <c r="EQ8" s="57">
        <v>0</v>
      </c>
      <c r="ER8" s="57">
        <v>1000</v>
      </c>
      <c r="ES8" s="57">
        <v>-118.81</v>
      </c>
      <c r="ET8" s="58"/>
      <c r="EU8" s="58"/>
      <c r="EV8" s="55" t="s">
        <v>47</v>
      </c>
      <c r="EW8" s="57">
        <v>-140.80000000000001</v>
      </c>
      <c r="EX8" s="6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</row>
    <row r="9" spans="1:167" ht="15.75" customHeight="1">
      <c r="A9" s="50"/>
      <c r="B9" s="50"/>
      <c r="C9" s="55" t="s">
        <v>27</v>
      </c>
      <c r="D9" s="57">
        <v>-100</v>
      </c>
      <c r="E9" s="55" t="s">
        <v>26</v>
      </c>
      <c r="F9" s="55" t="s">
        <v>73</v>
      </c>
      <c r="G9" s="57">
        <v>60</v>
      </c>
      <c r="H9" s="55" t="s">
        <v>63</v>
      </c>
      <c r="I9" s="57">
        <v>-7440</v>
      </c>
      <c r="J9" s="57">
        <v>-1.61</v>
      </c>
      <c r="K9" s="57">
        <v>-7440</v>
      </c>
      <c r="L9" s="57">
        <v>7440</v>
      </c>
      <c r="M9" s="57">
        <v>7440</v>
      </c>
      <c r="N9" s="57">
        <v>-120</v>
      </c>
      <c r="O9" s="55" t="s">
        <v>81</v>
      </c>
      <c r="P9" s="57">
        <v>61</v>
      </c>
      <c r="Q9" s="57">
        <v>-840</v>
      </c>
      <c r="R9" s="55" t="s">
        <v>76</v>
      </c>
      <c r="S9" s="55" t="s">
        <v>50</v>
      </c>
      <c r="T9" s="55" t="s">
        <v>51</v>
      </c>
      <c r="U9" s="55" t="s">
        <v>82</v>
      </c>
      <c r="V9" s="55" t="s">
        <v>83</v>
      </c>
      <c r="W9" s="55" t="s">
        <v>36</v>
      </c>
      <c r="X9" s="57">
        <v>1</v>
      </c>
      <c r="Y9" s="57">
        <v>1.2</v>
      </c>
      <c r="Z9" s="58"/>
      <c r="AA9" s="58"/>
      <c r="AB9" s="59">
        <v>0</v>
      </c>
      <c r="AC9" s="57">
        <v>1.64</v>
      </c>
      <c r="AD9" s="57">
        <v>-6200</v>
      </c>
      <c r="AE9" s="57">
        <v>-6200</v>
      </c>
      <c r="AF9" s="57">
        <v>-100</v>
      </c>
      <c r="AG9" s="57">
        <v>-7440</v>
      </c>
      <c r="AH9" s="57">
        <v>-6200</v>
      </c>
      <c r="AI9" s="57">
        <v>-7440</v>
      </c>
      <c r="AJ9" s="57">
        <v>626189.26</v>
      </c>
      <c r="AK9" s="57">
        <v>-100</v>
      </c>
      <c r="AL9" s="58"/>
      <c r="AM9" s="58"/>
      <c r="AN9" s="55" t="s">
        <v>28</v>
      </c>
      <c r="AO9" s="58"/>
      <c r="AP9" s="55" t="s">
        <v>63</v>
      </c>
      <c r="AQ9" s="55" t="s">
        <v>27</v>
      </c>
      <c r="AR9" s="58"/>
      <c r="AS9" s="57">
        <v>-1</v>
      </c>
      <c r="AT9" s="58"/>
      <c r="AU9" s="58"/>
      <c r="AV9" s="58"/>
      <c r="AW9" s="57">
        <v>-200</v>
      </c>
      <c r="AX9" s="57">
        <v>0</v>
      </c>
      <c r="AY9" s="57">
        <v>0</v>
      </c>
      <c r="AZ9" s="57">
        <v>-6200</v>
      </c>
      <c r="BA9" s="57">
        <v>-1.82</v>
      </c>
      <c r="BB9" s="58"/>
      <c r="BC9" s="57">
        <v>1</v>
      </c>
      <c r="BD9" s="57">
        <v>0</v>
      </c>
      <c r="BE9" s="55" t="s">
        <v>51</v>
      </c>
      <c r="BF9" s="55" t="s">
        <v>61</v>
      </c>
      <c r="BG9" s="55" t="s">
        <v>61</v>
      </c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5" t="s">
        <v>21</v>
      </c>
      <c r="BS9" s="58"/>
      <c r="BT9" s="58"/>
      <c r="BU9" s="55" t="s">
        <v>51</v>
      </c>
      <c r="BV9" s="58"/>
      <c r="BW9" s="57">
        <v>0</v>
      </c>
      <c r="BX9" s="57">
        <v>7440</v>
      </c>
      <c r="BY9" s="57">
        <v>7440</v>
      </c>
      <c r="BZ9" s="57">
        <v>62</v>
      </c>
      <c r="CA9" s="57">
        <v>74.400000000000006</v>
      </c>
      <c r="CB9" s="58"/>
      <c r="CC9" s="58"/>
      <c r="CD9" s="57">
        <v>-120</v>
      </c>
      <c r="CE9" s="57">
        <v>0</v>
      </c>
      <c r="CF9" s="57">
        <v>-600</v>
      </c>
      <c r="CG9" s="57">
        <v>-240</v>
      </c>
      <c r="CH9" s="57">
        <v>-12.73</v>
      </c>
      <c r="CI9" s="57">
        <v>0</v>
      </c>
      <c r="CJ9" s="58"/>
      <c r="CK9" s="58"/>
      <c r="CL9" s="58"/>
      <c r="CM9" s="58"/>
      <c r="CN9" s="58"/>
      <c r="CO9" s="58"/>
      <c r="CP9" s="58"/>
      <c r="CQ9" s="58"/>
      <c r="CR9" s="58"/>
      <c r="CS9" s="57">
        <v>60</v>
      </c>
      <c r="CT9" s="58"/>
      <c r="CU9" s="58"/>
      <c r="CV9" s="58"/>
      <c r="CW9" s="58"/>
      <c r="CX9" s="58"/>
      <c r="CY9" s="55" t="s">
        <v>57</v>
      </c>
      <c r="CZ9" s="55" t="s">
        <v>58</v>
      </c>
      <c r="DA9" s="57">
        <v>6200</v>
      </c>
      <c r="DB9" s="57">
        <v>1.61</v>
      </c>
      <c r="DC9" s="58"/>
      <c r="DD9" s="57">
        <v>-100</v>
      </c>
      <c r="DE9" s="58"/>
      <c r="DF9" s="58"/>
      <c r="DG9" s="58"/>
      <c r="DH9" s="57">
        <v>61</v>
      </c>
      <c r="DI9" s="57">
        <v>1.64</v>
      </c>
      <c r="DJ9" s="55" t="s">
        <v>28</v>
      </c>
      <c r="DK9" s="57">
        <v>-6100</v>
      </c>
      <c r="DL9" s="57">
        <v>-7320</v>
      </c>
      <c r="DM9" s="57">
        <v>1.2</v>
      </c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7">
        <v>1.2</v>
      </c>
      <c r="EG9" s="57">
        <v>0</v>
      </c>
      <c r="EH9" s="57">
        <v>0</v>
      </c>
      <c r="EI9" s="57">
        <v>0</v>
      </c>
      <c r="EJ9" s="58"/>
      <c r="EK9" s="58"/>
      <c r="EL9" s="55" t="s">
        <v>63</v>
      </c>
      <c r="EM9" s="57">
        <v>7440</v>
      </c>
      <c r="EN9" s="57">
        <v>6200</v>
      </c>
      <c r="EO9" s="57">
        <v>0</v>
      </c>
      <c r="EP9" s="65">
        <v>-98.32</v>
      </c>
      <c r="EQ9" s="57">
        <v>0</v>
      </c>
      <c r="ER9" s="57">
        <v>6200</v>
      </c>
      <c r="ES9" s="57">
        <v>-118.81</v>
      </c>
      <c r="ET9" s="58"/>
      <c r="EU9" s="58"/>
      <c r="EV9" s="55" t="s">
        <v>63</v>
      </c>
      <c r="EW9" s="57">
        <v>-140.80000000000001</v>
      </c>
      <c r="EX9" s="6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</row>
    <row r="10" spans="1:167" ht="15.75" customHeight="1">
      <c r="A10" s="50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</row>
    <row r="11" spans="1:167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</row>
    <row r="12" spans="1:167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</row>
    <row r="13" spans="1:167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</row>
    <row r="14" spans="1:167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</row>
    <row r="15" spans="1:167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</row>
    <row r="16" spans="1:167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</row>
    <row r="17" spans="1:16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</row>
    <row r="18" spans="1:167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</row>
    <row r="19" spans="1:167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</row>
    <row r="20" spans="1:167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</row>
    <row r="21" spans="1:167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</row>
    <row r="22" spans="1:167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</row>
    <row r="23" spans="1:167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</row>
    <row r="24" spans="1:167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</row>
    <row r="25" spans="1:167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</row>
    <row r="26" spans="1:167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</row>
    <row r="27" spans="1:16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</row>
    <row r="28" spans="1:167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</row>
    <row r="29" spans="1:167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</row>
    <row r="30" spans="1:167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</row>
    <row r="31" spans="1:167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</row>
    <row r="32" spans="1:167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</row>
    <row r="33" spans="1:167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</row>
    <row r="34" spans="1:167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</row>
    <row r="35" spans="1:167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</row>
    <row r="36" spans="1:167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</row>
    <row r="37" spans="1:16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</row>
    <row r="38" spans="1:167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</row>
    <row r="39" spans="1:167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</row>
    <row r="40" spans="1:167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</row>
    <row r="41" spans="1:167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</row>
    <row r="42" spans="1:167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</row>
    <row r="43" spans="1:167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</row>
    <row r="44" spans="1:167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</row>
    <row r="45" spans="1:167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</row>
    <row r="46" spans="1:167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</row>
    <row r="47" spans="1:16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</row>
    <row r="48" spans="1:167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</row>
    <row r="49" spans="1:167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</row>
    <row r="50" spans="1:167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</row>
    <row r="51" spans="1:167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</row>
    <row r="52" spans="1:167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</row>
    <row r="53" spans="1:167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</row>
    <row r="54" spans="1:167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</row>
    <row r="55" spans="1:167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</row>
    <row r="56" spans="1:167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</row>
    <row r="57" spans="1:16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</row>
    <row r="58" spans="1:167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</row>
    <row r="59" spans="1:167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</row>
    <row r="60" spans="1:167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</row>
    <row r="61" spans="1:167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</row>
    <row r="62" spans="1:167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</row>
    <row r="63" spans="1:167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</row>
    <row r="64" spans="1:167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</row>
    <row r="65" spans="1:167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</row>
    <row r="66" spans="1:167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</row>
    <row r="67" spans="1:1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</row>
    <row r="68" spans="1:167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</row>
    <row r="69" spans="1:167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</row>
    <row r="70" spans="1:167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</row>
    <row r="71" spans="1:167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</row>
    <row r="72" spans="1:167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</row>
    <row r="73" spans="1:167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</row>
    <row r="74" spans="1:167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</row>
    <row r="75" spans="1:167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</row>
    <row r="76" spans="1:167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</row>
    <row r="77" spans="1:16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</row>
    <row r="78" spans="1:167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</row>
    <row r="79" spans="1:167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</row>
    <row r="80" spans="1:167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</row>
    <row r="81" spans="1:167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</row>
    <row r="82" spans="1:167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</row>
    <row r="83" spans="1:167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</row>
    <row r="84" spans="1:167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</row>
    <row r="85" spans="1:167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</row>
    <row r="86" spans="1:167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</row>
    <row r="87" spans="1:16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</row>
    <row r="88" spans="1:167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</row>
    <row r="89" spans="1:167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</row>
    <row r="90" spans="1:167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</row>
    <row r="91" spans="1:167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</row>
    <row r="92" spans="1:167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</row>
    <row r="93" spans="1:167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</row>
    <row r="94" spans="1:167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</row>
    <row r="95" spans="1:167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</row>
    <row r="96" spans="1:167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</row>
    <row r="97" spans="1:16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</row>
    <row r="98" spans="1:167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</row>
    <row r="99" spans="1:167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</row>
    <row r="100" spans="1:167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14.42578125" customWidth="1"/>
    <col min="3" max="3" width="17.140625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" width="14.42578125" customWidth="1"/>
    <col min="16" max="16" width="21.5703125" customWidth="1"/>
    <col min="17" max="17" width="21" customWidth="1"/>
    <col min="18" max="25" width="14.42578125" customWidth="1"/>
    <col min="26" max="26" width="20" customWidth="1"/>
    <col min="27" max="27" width="20.28515625" customWidth="1"/>
    <col min="28" max="28" width="14.42578125" customWidth="1"/>
    <col min="29" max="29" width="22.28515625" customWidth="1"/>
    <col min="30" max="30" width="20.7109375" customWidth="1"/>
    <col min="31" max="31" width="26.140625" customWidth="1"/>
    <col min="32" max="32" width="21.85546875" customWidth="1"/>
    <col min="33" max="33" width="14.42578125" customWidth="1"/>
    <col min="34" max="34" width="18.7109375" customWidth="1"/>
    <col min="35" max="154" width="14.42578125" customWidth="1"/>
  </cols>
  <sheetData>
    <row r="1" spans="1:154" ht="15.75" customHeight="1">
      <c r="A1" s="34"/>
      <c r="B1" s="73" t="s">
        <v>11</v>
      </c>
      <c r="C1" s="70"/>
      <c r="D1" s="70"/>
      <c r="E1" s="70"/>
      <c r="F1" s="70"/>
      <c r="G1" s="70"/>
      <c r="H1" s="71"/>
      <c r="I1" s="34"/>
      <c r="J1" s="34"/>
      <c r="K1" s="34"/>
      <c r="L1" s="34"/>
      <c r="M1" s="34"/>
      <c r="N1" s="34"/>
      <c r="O1" s="34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</row>
    <row r="2" spans="1:154" ht="15.75" customHeight="1">
      <c r="A2" s="36"/>
      <c r="B2" s="36"/>
      <c r="C2" s="36"/>
      <c r="D2" s="36"/>
      <c r="E2" s="36"/>
      <c r="F2" s="36"/>
      <c r="G2" s="36"/>
      <c r="H2" s="36"/>
      <c r="I2" s="36"/>
      <c r="J2" s="37" t="e">
        <f>VLOOKUP($E$3,_MasterData!B4:D1000,3,FALSE)</f>
        <v>#N/A</v>
      </c>
      <c r="K2" s="37"/>
      <c r="L2" s="36"/>
      <c r="M2" s="36"/>
      <c r="N2" s="36"/>
      <c r="O2" s="3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</row>
    <row r="3" spans="1:154" ht="15.75" customHeight="1">
      <c r="A3" s="39"/>
      <c r="B3" s="40" t="s">
        <v>4</v>
      </c>
      <c r="C3" s="41" t="s">
        <v>38</v>
      </c>
      <c r="D3" s="40" t="s">
        <v>6</v>
      </c>
      <c r="E3" s="41" t="s">
        <v>84</v>
      </c>
      <c r="F3" s="40" t="s">
        <v>15</v>
      </c>
      <c r="G3" s="42" t="s">
        <v>17</v>
      </c>
      <c r="H3" s="40"/>
      <c r="I3" s="39"/>
      <c r="J3" s="39"/>
      <c r="K3" s="39"/>
      <c r="L3" s="39"/>
      <c r="M3" s="39"/>
      <c r="N3" s="39"/>
      <c r="O3" s="39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</row>
    <row r="4" spans="1:154" ht="15.75" customHeight="1">
      <c r="A4" s="44"/>
      <c r="B4" s="44" t="str">
        <f ca="1">IFERROR(__xludf.DUMMYFUNCTION("IF(C3="""","""",Transpose(IMPORTRANGE('_Settings'!$B$3,C3&amp;""!A4:A1000"")))"),"CheckDashboardPM")</f>
        <v>CheckDashboardPM</v>
      </c>
      <c r="C4" s="44" t="str">
        <f ca="1">IFERROR(__xludf.DUMMYFUNCTION("""COMPUTED_VALUE"""),"CheckPortfolioManagement")</f>
        <v>CheckPortfolioManagement</v>
      </c>
      <c r="D4" s="44" t="str">
        <f ca="1">IFERROR(__xludf.DUMMYFUNCTION("""COMPUTED_VALUE"""),"OpenPSTFromPM")</f>
        <v>OpenPSTFromPM</v>
      </c>
      <c r="E4" s="44" t="str">
        <f ca="1">IFERROR(__xludf.DUMMYFUNCTION("""COMPUTED_VALUE"""),"ClosePM")</f>
        <v>ClosePM</v>
      </c>
      <c r="F4" s="44" t="str">
        <f ca="1">IFERROR(__xludf.DUMMYFUNCTION("""COMPUTED_VALUE"""),"FilterPM")</f>
        <v>FilterPM</v>
      </c>
      <c r="G4" s="44" t="str">
        <f ca="1">IFERROR(__xludf.DUMMYFUNCTION("""COMPUTED_VALUE"""),"GroupRowPM")</f>
        <v>GroupRowPM</v>
      </c>
      <c r="H4" s="44" t="str">
        <f ca="1">IFERROR(__xludf.DUMMYFUNCTION("""COMPUTED_VALUE"""),"CheckDashboardWithPM")</f>
        <v>CheckDashboardWithPM</v>
      </c>
      <c r="I4" s="44" t="str">
        <f ca="1">IFERROR(__xludf.DUMMYFUNCTION("""COMPUTED_VALUE"""),"RemoveFilterPM")</f>
        <v>RemoveFilterPM</v>
      </c>
      <c r="J4" s="44" t="str">
        <f ca="1">IFERROR(__xludf.DUMMYFUNCTION("""COMPUTED_VALUE"""),"CheckSummaryRowsPM")</f>
        <v>CheckSummaryRowsPM</v>
      </c>
      <c r="K4" s="44" t="str">
        <f ca="1">IFERROR(__xludf.DUMMYFUNCTION("""COMPUTED_VALUE"""),"OpenPTTFromPM")</f>
        <v>OpenPTTFromPM</v>
      </c>
      <c r="L4" s="44" t="str">
        <f ca="1">IFERROR(__xludf.DUMMYFUNCTION("""COMPUTED_VALUE"""),"OpenCreateTransactionFromPM")</f>
        <v>OpenCreateTransactionFromPM</v>
      </c>
      <c r="M4" s="44" t="str">
        <f ca="1">IFERROR(__xludf.DUMMYFUNCTION("""COMPUTED_VALUE"""),"OpenClosingFromPM")</f>
        <v>OpenClosingFromPM</v>
      </c>
      <c r="N4" s="44" t="str">
        <f ca="1">IFERROR(__xludf.DUMMYFUNCTION("""COMPUTED_VALUE"""),"OpenCorporateActionFromPM")</f>
        <v>OpenCorporateActionFromPM</v>
      </c>
      <c r="O4" s="44" t="str">
        <f ca="1">IFERROR(__xludf.DUMMYFUNCTION("""COMPUTED_VALUE"""),"OpenDailyValuationFromPM")</f>
        <v>OpenDailyValuationFromPM</v>
      </c>
      <c r="P4" s="45" t="str">
        <f ca="1">IFERROR(__xludf.DUMMYFUNCTION("""COMPUTED_VALUE"""),"ClosePositionFromPM")</f>
        <v>ClosePositionFromPM</v>
      </c>
      <c r="Q4" s="45" t="str">
        <f ca="1">IFERROR(__xludf.DUMMYFUNCTION("""COMPUTED_VALUE"""),"ShowSummaryToolFromPM")</f>
        <v>ShowSummaryToolFromPM</v>
      </c>
      <c r="R4" s="45" t="str">
        <f ca="1">IFERROR(__xludf.DUMMYFUNCTION("""COMPUTED_VALUE"""),"HideSummaryToolFromPM")</f>
        <v>HideSummaryToolFromPM</v>
      </c>
      <c r="S4" s="45" t="str">
        <f ca="1">IFERROR(__xludf.DUMMYFUNCTION("""COMPUTED_VALUE"""),"CloseAccountPositionFromPM")</f>
        <v>CloseAccountPositionFromPM</v>
      </c>
      <c r="T4" s="45" t="str">
        <f ca="1">IFERROR(__xludf.DUMMYFUNCTION("""COMPUTED_VALUE"""),"CloseSelectedTaxlotsFromPM")</f>
        <v>CloseSelectedTaxlotsFromPM</v>
      </c>
      <c r="U4" s="45" t="str">
        <f ca="1">IFERROR(__xludf.DUMMYFUNCTION("""COMPUTED_VALUE"""),"ExpandCollapsePM")</f>
        <v>ExpandCollapsePM</v>
      </c>
      <c r="V4" s="45" t="str">
        <f ca="1">IFERROR(__xludf.DUMMYFUNCTION("""COMPUTED_VALUE"""),"AddCustomViewPM")</f>
        <v>AddCustomViewPM</v>
      </c>
      <c r="W4" s="45" t="str">
        <f ca="1">IFERROR(__xludf.DUMMYFUNCTION("""COMPUTED_VALUE"""),"AddCustomViewRightClickPM")</f>
        <v>AddCustomViewRightClickPM</v>
      </c>
      <c r="X4" s="45" t="str">
        <f ca="1">IFERROR(__xludf.DUMMYFUNCTION("""COMPUTED_VALUE"""),"RenameCustomViewPM")</f>
        <v>RenameCustomViewPM</v>
      </c>
      <c r="Y4" s="45" t="str">
        <f ca="1">IFERROR(__xludf.DUMMYFUNCTION("""COMPUTED_VALUE"""),"DeleteCustomViewPM")</f>
        <v>DeleteCustomViewPM</v>
      </c>
      <c r="Z4" s="45" t="str">
        <f ca="1">IFERROR(__xludf.DUMMYFUNCTION("""COMPUTED_VALUE"""),"")</f>
        <v/>
      </c>
      <c r="AA4" s="45" t="str">
        <f ca="1">IFERROR(__xludf.DUMMYFUNCTION("""COMPUTED_VALUE"""),"")</f>
        <v/>
      </c>
      <c r="AB4" s="45" t="str">
        <f ca="1">IFERROR(__xludf.DUMMYFUNCTION("""COMPUTED_VALUE"""),"")</f>
        <v/>
      </c>
      <c r="AC4" s="45" t="str">
        <f ca="1">IFERROR(__xludf.DUMMYFUNCTION("""COMPUTED_VALUE"""),"")</f>
        <v/>
      </c>
      <c r="AD4" s="45" t="str">
        <f ca="1">IFERROR(__xludf.DUMMYFUNCTION("""COMPUTED_VALUE"""),"")</f>
        <v/>
      </c>
      <c r="AE4" s="45" t="str">
        <f ca="1">IFERROR(__xludf.DUMMYFUNCTION("""COMPUTED_VALUE"""),"")</f>
        <v/>
      </c>
      <c r="AF4" s="45" t="str">
        <f ca="1">IFERROR(__xludf.DUMMYFUNCTION("""COMPUTED_VALUE"""),"")</f>
        <v/>
      </c>
      <c r="AG4" s="45" t="str">
        <f ca="1">IFERROR(__xludf.DUMMYFUNCTION("""COMPUTED_VALUE"""),"")</f>
        <v/>
      </c>
      <c r="AH4" s="45" t="str">
        <f ca="1">IFERROR(__xludf.DUMMYFUNCTION("""COMPUTED_VALUE"""),"")</f>
        <v/>
      </c>
      <c r="AI4" s="45" t="str">
        <f ca="1">IFERROR(__xludf.DUMMYFUNCTION("""COMPUTED_VALUE"""),"")</f>
        <v/>
      </c>
      <c r="AJ4" s="45" t="str">
        <f ca="1">IFERROR(__xludf.DUMMYFUNCTION("""COMPUTED_VALUE"""),"")</f>
        <v/>
      </c>
      <c r="AK4" s="45" t="str">
        <f ca="1">IFERROR(__xludf.DUMMYFUNCTION("""COMPUTED_VALUE"""),"")</f>
        <v/>
      </c>
      <c r="AL4" s="45" t="str">
        <f ca="1">IFERROR(__xludf.DUMMYFUNCTION("""COMPUTED_VALUE"""),"")</f>
        <v/>
      </c>
      <c r="AM4" s="45" t="str">
        <f ca="1">IFERROR(__xludf.DUMMYFUNCTION("""COMPUTED_VALUE"""),"")</f>
        <v/>
      </c>
      <c r="AN4" s="45" t="str">
        <f ca="1">IFERROR(__xludf.DUMMYFUNCTION("""COMPUTED_VALUE"""),"")</f>
        <v/>
      </c>
      <c r="AO4" s="45" t="str">
        <f ca="1">IFERROR(__xludf.DUMMYFUNCTION("""COMPUTED_VALUE"""),"")</f>
        <v/>
      </c>
      <c r="AP4" s="45" t="str">
        <f ca="1">IFERROR(__xludf.DUMMYFUNCTION("""COMPUTED_VALUE"""),"")</f>
        <v/>
      </c>
      <c r="AQ4" s="45" t="str">
        <f ca="1">IFERROR(__xludf.DUMMYFUNCTION("""COMPUTED_VALUE"""),"")</f>
        <v/>
      </c>
      <c r="AR4" s="45" t="str">
        <f ca="1">IFERROR(__xludf.DUMMYFUNCTION("""COMPUTED_VALUE"""),"")</f>
        <v/>
      </c>
      <c r="AS4" s="45" t="str">
        <f ca="1">IFERROR(__xludf.DUMMYFUNCTION("""COMPUTED_VALUE"""),"")</f>
        <v/>
      </c>
      <c r="AT4" s="45" t="str">
        <f ca="1">IFERROR(__xludf.DUMMYFUNCTION("""COMPUTED_VALUE"""),"")</f>
        <v/>
      </c>
      <c r="AU4" s="45" t="str">
        <f ca="1">IFERROR(__xludf.DUMMYFUNCTION("""COMPUTED_VALUE"""),"")</f>
        <v/>
      </c>
      <c r="AV4" s="45" t="str">
        <f ca="1">IFERROR(__xludf.DUMMYFUNCTION("""COMPUTED_VALUE"""),"")</f>
        <v/>
      </c>
      <c r="AW4" s="45" t="str">
        <f ca="1">IFERROR(__xludf.DUMMYFUNCTION("""COMPUTED_VALUE"""),"")</f>
        <v/>
      </c>
      <c r="AX4" s="45" t="str">
        <f ca="1">IFERROR(__xludf.DUMMYFUNCTION("""COMPUTED_VALUE"""),"")</f>
        <v/>
      </c>
      <c r="AY4" s="45" t="str">
        <f ca="1">IFERROR(__xludf.DUMMYFUNCTION("""COMPUTED_VALUE"""),"")</f>
        <v/>
      </c>
      <c r="AZ4" s="45" t="str">
        <f ca="1">IFERROR(__xludf.DUMMYFUNCTION("""COMPUTED_VALUE"""),"")</f>
        <v/>
      </c>
      <c r="BA4" s="45" t="str">
        <f ca="1">IFERROR(__xludf.DUMMYFUNCTION("""COMPUTED_VALUE"""),"")</f>
        <v/>
      </c>
      <c r="BB4" s="45" t="str">
        <f ca="1">IFERROR(__xludf.DUMMYFUNCTION("""COMPUTED_VALUE"""),"")</f>
        <v/>
      </c>
      <c r="BC4" s="45" t="str">
        <f ca="1">IFERROR(__xludf.DUMMYFUNCTION("""COMPUTED_VALUE"""),"")</f>
        <v/>
      </c>
      <c r="BD4" s="45" t="str">
        <f ca="1">IFERROR(__xludf.DUMMYFUNCTION("""COMPUTED_VALUE"""),"")</f>
        <v/>
      </c>
      <c r="BE4" s="45" t="str">
        <f ca="1">IFERROR(__xludf.DUMMYFUNCTION("""COMPUTED_VALUE"""),"")</f>
        <v/>
      </c>
      <c r="BF4" s="45" t="str">
        <f ca="1">IFERROR(__xludf.DUMMYFUNCTION("""COMPUTED_VALUE"""),"")</f>
        <v/>
      </c>
      <c r="BG4" s="45" t="str">
        <f ca="1">IFERROR(__xludf.DUMMYFUNCTION("""COMPUTED_VALUE"""),"")</f>
        <v/>
      </c>
      <c r="BH4" s="45" t="str">
        <f ca="1">IFERROR(__xludf.DUMMYFUNCTION("""COMPUTED_VALUE"""),"")</f>
        <v/>
      </c>
      <c r="BI4" s="45" t="str">
        <f ca="1">IFERROR(__xludf.DUMMYFUNCTION("""COMPUTED_VALUE"""),"")</f>
        <v/>
      </c>
      <c r="BJ4" s="45" t="str">
        <f ca="1">IFERROR(__xludf.DUMMYFUNCTION("""COMPUTED_VALUE"""),"")</f>
        <v/>
      </c>
      <c r="BK4" s="45" t="str">
        <f ca="1">IFERROR(__xludf.DUMMYFUNCTION("""COMPUTED_VALUE"""),"")</f>
        <v/>
      </c>
      <c r="BL4" s="45" t="str">
        <f ca="1">IFERROR(__xludf.DUMMYFUNCTION("""COMPUTED_VALUE"""),"")</f>
        <v/>
      </c>
      <c r="BM4" s="45" t="str">
        <f ca="1">IFERROR(__xludf.DUMMYFUNCTION("""COMPUTED_VALUE"""),"")</f>
        <v/>
      </c>
      <c r="BN4" s="45" t="str">
        <f ca="1">IFERROR(__xludf.DUMMYFUNCTION("""COMPUTED_VALUE"""),"")</f>
        <v/>
      </c>
      <c r="BO4" s="45" t="str">
        <f ca="1">IFERROR(__xludf.DUMMYFUNCTION("""COMPUTED_VALUE"""),"")</f>
        <v/>
      </c>
      <c r="BP4" s="45" t="str">
        <f ca="1">IFERROR(__xludf.DUMMYFUNCTION("""COMPUTED_VALUE"""),"")</f>
        <v/>
      </c>
      <c r="BQ4" s="45" t="str">
        <f ca="1">IFERROR(__xludf.DUMMYFUNCTION("""COMPUTED_VALUE"""),"")</f>
        <v/>
      </c>
      <c r="BR4" s="45" t="str">
        <f ca="1">IFERROR(__xludf.DUMMYFUNCTION("""COMPUTED_VALUE"""),"")</f>
        <v/>
      </c>
      <c r="BS4" s="45" t="str">
        <f ca="1">IFERROR(__xludf.DUMMYFUNCTION("""COMPUTED_VALUE"""),"")</f>
        <v/>
      </c>
      <c r="BT4" s="45" t="str">
        <f ca="1">IFERROR(__xludf.DUMMYFUNCTION("""COMPUTED_VALUE"""),"")</f>
        <v/>
      </c>
      <c r="BU4" s="45" t="str">
        <f ca="1">IFERROR(__xludf.DUMMYFUNCTION("""COMPUTED_VALUE"""),"")</f>
        <v/>
      </c>
      <c r="BV4" s="45" t="str">
        <f ca="1">IFERROR(__xludf.DUMMYFUNCTION("""COMPUTED_VALUE"""),"")</f>
        <v/>
      </c>
      <c r="BW4" s="45" t="str">
        <f ca="1">IFERROR(__xludf.DUMMYFUNCTION("""COMPUTED_VALUE"""),"")</f>
        <v/>
      </c>
      <c r="BX4" s="45" t="str">
        <f ca="1">IFERROR(__xludf.DUMMYFUNCTION("""COMPUTED_VALUE"""),"")</f>
        <v/>
      </c>
      <c r="BY4" s="45" t="str">
        <f ca="1">IFERROR(__xludf.DUMMYFUNCTION("""COMPUTED_VALUE"""),"")</f>
        <v/>
      </c>
      <c r="BZ4" s="45" t="str">
        <f ca="1">IFERROR(__xludf.DUMMYFUNCTION("""COMPUTED_VALUE"""),"")</f>
        <v/>
      </c>
      <c r="CA4" s="45" t="str">
        <f ca="1">IFERROR(__xludf.DUMMYFUNCTION("""COMPUTED_VALUE"""),"")</f>
        <v/>
      </c>
      <c r="CB4" s="45" t="str">
        <f ca="1">IFERROR(__xludf.DUMMYFUNCTION("""COMPUTED_VALUE"""),"")</f>
        <v/>
      </c>
      <c r="CC4" s="45" t="str">
        <f ca="1">IFERROR(__xludf.DUMMYFUNCTION("""COMPUTED_VALUE"""),"")</f>
        <v/>
      </c>
      <c r="CD4" s="45" t="str">
        <f ca="1">IFERROR(__xludf.DUMMYFUNCTION("""COMPUTED_VALUE"""),"")</f>
        <v/>
      </c>
      <c r="CE4" s="45" t="str">
        <f ca="1">IFERROR(__xludf.DUMMYFUNCTION("""COMPUTED_VALUE"""),"")</f>
        <v/>
      </c>
      <c r="CF4" s="45" t="str">
        <f ca="1">IFERROR(__xludf.DUMMYFUNCTION("""COMPUTED_VALUE"""),"")</f>
        <v/>
      </c>
      <c r="CG4" s="45" t="str">
        <f ca="1">IFERROR(__xludf.DUMMYFUNCTION("""COMPUTED_VALUE"""),"")</f>
        <v/>
      </c>
      <c r="CH4" s="45" t="str">
        <f ca="1">IFERROR(__xludf.DUMMYFUNCTION("""COMPUTED_VALUE"""),"")</f>
        <v/>
      </c>
      <c r="CI4" s="45" t="str">
        <f ca="1">IFERROR(__xludf.DUMMYFUNCTION("""COMPUTED_VALUE"""),"")</f>
        <v/>
      </c>
      <c r="CJ4" s="45" t="str">
        <f ca="1">IFERROR(__xludf.DUMMYFUNCTION("""COMPUTED_VALUE"""),"")</f>
        <v/>
      </c>
      <c r="CK4" s="45" t="str">
        <f ca="1">IFERROR(__xludf.DUMMYFUNCTION("""COMPUTED_VALUE"""),"")</f>
        <v/>
      </c>
      <c r="CL4" s="45" t="str">
        <f ca="1">IFERROR(__xludf.DUMMYFUNCTION("""COMPUTED_VALUE"""),"")</f>
        <v/>
      </c>
      <c r="CM4" s="45" t="str">
        <f ca="1">IFERROR(__xludf.DUMMYFUNCTION("""COMPUTED_VALUE"""),"")</f>
        <v/>
      </c>
      <c r="CN4" s="45" t="str">
        <f ca="1">IFERROR(__xludf.DUMMYFUNCTION("""COMPUTED_VALUE"""),"")</f>
        <v/>
      </c>
      <c r="CO4" s="45" t="str">
        <f ca="1">IFERROR(__xludf.DUMMYFUNCTION("""COMPUTED_VALUE"""),"")</f>
        <v/>
      </c>
      <c r="CP4" s="45" t="str">
        <f ca="1">IFERROR(__xludf.DUMMYFUNCTION("""COMPUTED_VALUE"""),"")</f>
        <v/>
      </c>
      <c r="CQ4" s="45" t="str">
        <f ca="1">IFERROR(__xludf.DUMMYFUNCTION("""COMPUTED_VALUE"""),"")</f>
        <v/>
      </c>
      <c r="CR4" s="45" t="str">
        <f ca="1">IFERROR(__xludf.DUMMYFUNCTION("""COMPUTED_VALUE"""),"")</f>
        <v/>
      </c>
      <c r="CS4" s="45" t="str">
        <f ca="1">IFERROR(__xludf.DUMMYFUNCTION("""COMPUTED_VALUE"""),"")</f>
        <v/>
      </c>
      <c r="CT4" s="45" t="str">
        <f ca="1">IFERROR(__xludf.DUMMYFUNCTION("""COMPUTED_VALUE"""),"")</f>
        <v/>
      </c>
      <c r="CU4" s="45" t="str">
        <f ca="1">IFERROR(__xludf.DUMMYFUNCTION("""COMPUTED_VALUE"""),"")</f>
        <v/>
      </c>
      <c r="CV4" s="45" t="str">
        <f ca="1">IFERROR(__xludf.DUMMYFUNCTION("""COMPUTED_VALUE"""),"")</f>
        <v/>
      </c>
      <c r="CW4" s="45" t="str">
        <f ca="1">IFERROR(__xludf.DUMMYFUNCTION("""COMPUTED_VALUE"""),"")</f>
        <v/>
      </c>
      <c r="CX4" s="45" t="str">
        <f ca="1">IFERROR(__xludf.DUMMYFUNCTION("""COMPUTED_VALUE"""),"")</f>
        <v/>
      </c>
      <c r="CY4" s="45" t="str">
        <f ca="1">IFERROR(__xludf.DUMMYFUNCTION("""COMPUTED_VALUE"""),"")</f>
        <v/>
      </c>
      <c r="CZ4" s="45" t="str">
        <f ca="1">IFERROR(__xludf.DUMMYFUNCTION("""COMPUTED_VALUE"""),"")</f>
        <v/>
      </c>
      <c r="DA4" s="45" t="str">
        <f ca="1">IFERROR(__xludf.DUMMYFUNCTION("""COMPUTED_VALUE"""),"")</f>
        <v/>
      </c>
      <c r="DB4" s="45" t="str">
        <f ca="1">IFERROR(__xludf.DUMMYFUNCTION("""COMPUTED_VALUE"""),"")</f>
        <v/>
      </c>
      <c r="DC4" s="45" t="str">
        <f ca="1">IFERROR(__xludf.DUMMYFUNCTION("""COMPUTED_VALUE"""),"")</f>
        <v/>
      </c>
      <c r="DD4" s="45" t="str">
        <f ca="1">IFERROR(__xludf.DUMMYFUNCTION("""COMPUTED_VALUE"""),"")</f>
        <v/>
      </c>
      <c r="DE4" s="45" t="str">
        <f ca="1">IFERROR(__xludf.DUMMYFUNCTION("""COMPUTED_VALUE"""),"")</f>
        <v/>
      </c>
      <c r="DF4" s="45" t="str">
        <f ca="1">IFERROR(__xludf.DUMMYFUNCTION("""COMPUTED_VALUE"""),"")</f>
        <v/>
      </c>
      <c r="DG4" s="45" t="str">
        <f ca="1">IFERROR(__xludf.DUMMYFUNCTION("""COMPUTED_VALUE"""),"")</f>
        <v/>
      </c>
      <c r="DH4" s="45" t="str">
        <f ca="1">IFERROR(__xludf.DUMMYFUNCTION("""COMPUTED_VALUE"""),"")</f>
        <v/>
      </c>
      <c r="DI4" s="45" t="str">
        <f ca="1">IFERROR(__xludf.DUMMYFUNCTION("""COMPUTED_VALUE"""),"")</f>
        <v/>
      </c>
      <c r="DJ4" s="45" t="str">
        <f ca="1">IFERROR(__xludf.DUMMYFUNCTION("""COMPUTED_VALUE"""),"")</f>
        <v/>
      </c>
      <c r="DK4" s="45" t="str">
        <f ca="1">IFERROR(__xludf.DUMMYFUNCTION("""COMPUTED_VALUE"""),"")</f>
        <v/>
      </c>
      <c r="DL4" s="45" t="str">
        <f ca="1">IFERROR(__xludf.DUMMYFUNCTION("""COMPUTED_VALUE"""),"")</f>
        <v/>
      </c>
      <c r="DM4" s="45" t="str">
        <f ca="1">IFERROR(__xludf.DUMMYFUNCTION("""COMPUTED_VALUE"""),"")</f>
        <v/>
      </c>
      <c r="DN4" s="45" t="str">
        <f ca="1">IFERROR(__xludf.DUMMYFUNCTION("""COMPUTED_VALUE"""),"")</f>
        <v/>
      </c>
      <c r="DO4" s="45" t="str">
        <f ca="1">IFERROR(__xludf.DUMMYFUNCTION("""COMPUTED_VALUE"""),"")</f>
        <v/>
      </c>
      <c r="DP4" s="45" t="str">
        <f ca="1">IFERROR(__xludf.DUMMYFUNCTION("""COMPUTED_VALUE"""),"")</f>
        <v/>
      </c>
      <c r="DQ4" s="45" t="str">
        <f ca="1">IFERROR(__xludf.DUMMYFUNCTION("""COMPUTED_VALUE"""),"")</f>
        <v/>
      </c>
      <c r="DR4" s="45" t="str">
        <f ca="1">IFERROR(__xludf.DUMMYFUNCTION("""COMPUTED_VALUE"""),"")</f>
        <v/>
      </c>
      <c r="DS4" s="45" t="str">
        <f ca="1">IFERROR(__xludf.DUMMYFUNCTION("""COMPUTED_VALUE"""),"")</f>
        <v/>
      </c>
      <c r="DT4" s="45" t="str">
        <f ca="1">IFERROR(__xludf.DUMMYFUNCTION("""COMPUTED_VALUE"""),"")</f>
        <v/>
      </c>
      <c r="DU4" s="45" t="str">
        <f ca="1">IFERROR(__xludf.DUMMYFUNCTION("""COMPUTED_VALUE"""),"")</f>
        <v/>
      </c>
      <c r="DV4" s="45" t="str">
        <f ca="1">IFERROR(__xludf.DUMMYFUNCTION("""COMPUTED_VALUE"""),"")</f>
        <v/>
      </c>
      <c r="DW4" s="45" t="str">
        <f ca="1">IFERROR(__xludf.DUMMYFUNCTION("""COMPUTED_VALUE"""),"")</f>
        <v/>
      </c>
      <c r="DX4" s="45" t="str">
        <f ca="1">IFERROR(__xludf.DUMMYFUNCTION("""COMPUTED_VALUE"""),"")</f>
        <v/>
      </c>
      <c r="DY4" s="45" t="str">
        <f ca="1">IFERROR(__xludf.DUMMYFUNCTION("""COMPUTED_VALUE"""),"")</f>
        <v/>
      </c>
      <c r="DZ4" s="45" t="str">
        <f ca="1">IFERROR(__xludf.DUMMYFUNCTION("""COMPUTED_VALUE"""),"")</f>
        <v/>
      </c>
      <c r="EA4" s="45" t="str">
        <f ca="1">IFERROR(__xludf.DUMMYFUNCTION("""COMPUTED_VALUE"""),"")</f>
        <v/>
      </c>
      <c r="EB4" s="45" t="str">
        <f ca="1">IFERROR(__xludf.DUMMYFUNCTION("""COMPUTED_VALUE"""),"")</f>
        <v/>
      </c>
      <c r="EC4" s="45" t="str">
        <f ca="1">IFERROR(__xludf.DUMMYFUNCTION("""COMPUTED_VALUE"""),"")</f>
        <v/>
      </c>
      <c r="ED4" s="45" t="str">
        <f ca="1">IFERROR(__xludf.DUMMYFUNCTION("""COMPUTED_VALUE"""),"")</f>
        <v/>
      </c>
      <c r="EE4" s="45" t="str">
        <f ca="1">IFERROR(__xludf.DUMMYFUNCTION("""COMPUTED_VALUE"""),"")</f>
        <v/>
      </c>
      <c r="EF4" s="45" t="str">
        <f ca="1">IFERROR(__xludf.DUMMYFUNCTION("""COMPUTED_VALUE"""),"")</f>
        <v/>
      </c>
      <c r="EG4" s="45" t="str">
        <f ca="1">IFERROR(__xludf.DUMMYFUNCTION("""COMPUTED_VALUE"""),"")</f>
        <v/>
      </c>
      <c r="EH4" s="45" t="str">
        <f ca="1">IFERROR(__xludf.DUMMYFUNCTION("""COMPUTED_VALUE"""),"")</f>
        <v/>
      </c>
      <c r="EI4" s="45" t="str">
        <f ca="1">IFERROR(__xludf.DUMMYFUNCTION("""COMPUTED_VALUE"""),"")</f>
        <v/>
      </c>
      <c r="EJ4" s="45" t="str">
        <f ca="1">IFERROR(__xludf.DUMMYFUNCTION("""COMPUTED_VALUE"""),"")</f>
        <v/>
      </c>
      <c r="EK4" s="45" t="str">
        <f ca="1">IFERROR(__xludf.DUMMYFUNCTION("""COMPUTED_VALUE"""),"")</f>
        <v/>
      </c>
      <c r="EL4" s="45" t="str">
        <f ca="1">IFERROR(__xludf.DUMMYFUNCTION("""COMPUTED_VALUE"""),"")</f>
        <v/>
      </c>
      <c r="EM4" s="45" t="str">
        <f ca="1">IFERROR(__xludf.DUMMYFUNCTION("""COMPUTED_VALUE"""),"")</f>
        <v/>
      </c>
      <c r="EN4" s="45" t="str">
        <f ca="1">IFERROR(__xludf.DUMMYFUNCTION("""COMPUTED_VALUE"""),"")</f>
        <v/>
      </c>
      <c r="EO4" s="45" t="str">
        <f ca="1">IFERROR(__xludf.DUMMYFUNCTION("""COMPUTED_VALUE"""),"")</f>
        <v/>
      </c>
      <c r="EP4" s="45" t="str">
        <f ca="1">IFERROR(__xludf.DUMMYFUNCTION("""COMPUTED_VALUE"""),"")</f>
        <v/>
      </c>
      <c r="EQ4" s="45" t="str">
        <f ca="1">IFERROR(__xludf.DUMMYFUNCTION("""COMPUTED_VALUE"""),"")</f>
        <v/>
      </c>
      <c r="ER4" s="45" t="str">
        <f ca="1">IFERROR(__xludf.DUMMYFUNCTION("""COMPUTED_VALUE"""),"")</f>
        <v/>
      </c>
      <c r="ES4" s="45" t="str">
        <f ca="1">IFERROR(__xludf.DUMMYFUNCTION("""COMPUTED_VALUE"""),"")</f>
        <v/>
      </c>
      <c r="ET4" s="45" t="str">
        <f ca="1">IFERROR(__xludf.DUMMYFUNCTION("""COMPUTED_VALUE"""),"")</f>
        <v/>
      </c>
      <c r="EU4" s="45" t="str">
        <f ca="1">IFERROR(__xludf.DUMMYFUNCTION("""COMPUTED_VALUE"""),"")</f>
        <v/>
      </c>
      <c r="EV4" s="45" t="str">
        <f ca="1">IFERROR(__xludf.DUMMYFUNCTION("""COMPUTED_VALUE"""),"")</f>
        <v/>
      </c>
      <c r="EW4" s="45" t="str">
        <f ca="1">IFERROR(__xludf.DUMMYFUNCTION("""COMPUTED_VALUE"""),"")</f>
        <v/>
      </c>
      <c r="EX4" s="45" t="str">
        <f ca="1">IFERROR(__xludf.DUMMYFUNCTION("""COMPUTED_VALUE"""),"")</f>
        <v/>
      </c>
    </row>
    <row r="5" spans="1:154" ht="15.75" customHeight="1">
      <c r="A5" s="46" t="str">
        <f ca="1">IFERROR(__xludf.DUMMYFUNCTION("TRANSPOSE(IMPORTRANGE(VLOOKUP($E$3,IMPORTRANGE('_Settings'!$B$3,$C$3&amp;""!A4:B1000""),2,FALSE),$G$3&amp;""!A4:A1000""))"),"")</f>
        <v/>
      </c>
      <c r="B5" s="47" t="str">
        <f ca="1">IFERROR(__xludf.DUMMYFUNCTION("""COMPUTED_VALUE"""),"Start Of Day Cash")</f>
        <v>Start Of Day Cash</v>
      </c>
      <c r="C5" s="47" t="str">
        <f ca="1">IFERROR(__xludf.DUMMYFUNCTION("""COMPUTED_VALUE"""),"Start Of Day Accruals")</f>
        <v>Start Of Day Accruals</v>
      </c>
      <c r="D5" s="47" t="str">
        <f ca="1">IFERROR(__xludf.DUMMYFUNCTION("""COMPUTED_VALUE"""),"Day Accruals")</f>
        <v>Day Accruals</v>
      </c>
      <c r="E5" s="47" t="str">
        <f ca="1">IFERROR(__xludf.DUMMYFUNCTION("""COMPUTED_VALUE"""),"Cash Inflow")</f>
        <v>Cash Inflow</v>
      </c>
      <c r="F5" s="48" t="str">
        <f ca="1">IFERROR(__xludf.DUMMYFUNCTION("""COMPUTED_VALUE"""),"Cash Outflow")</f>
        <v>Cash Outflow</v>
      </c>
      <c r="G5" s="47" t="str">
        <f ca="1">IFERROR(__xludf.DUMMYFUNCTION("""COMPUTED_VALUE"""),"Day P&amp;L (Long)")</f>
        <v>Day P&amp;L (Long)</v>
      </c>
      <c r="H5" s="47" t="str">
        <f ca="1">IFERROR(__xludf.DUMMYFUNCTION("""COMPUTED_VALUE"""),"Day P&amp;L (Short)")</f>
        <v>Day P&amp;L (Short)</v>
      </c>
      <c r="I5" s="47" t="str">
        <f ca="1">IFERROR(__xludf.DUMMYFUNCTION("""COMPUTED_VALUE"""),"Day P&amp;L")</f>
        <v>Day P&amp;L</v>
      </c>
      <c r="J5" s="47" t="str">
        <f ca="1">IFERROR(__xludf.DUMMYFUNCTION("""COMPUTED_VALUE"""),"Net Exposure")</f>
        <v>Net Exposure</v>
      </c>
      <c r="K5" s="47" t="str">
        <f ca="1">IFERROR(__xludf.DUMMYFUNCTION("""COMPUTED_VALUE"""),"NAV")</f>
        <v>NAV</v>
      </c>
      <c r="L5" s="47" t="str">
        <f ca="1">IFERROR(__xludf.DUMMYFUNCTION("""COMPUTED_VALUE"""),"Underlying Value (Options)")</f>
        <v>Underlying Value (Options)</v>
      </c>
      <c r="M5" s="47" t="str">
        <f ca="1">IFERROR(__xludf.DUMMYFUNCTION("""COMPUTED_VALUE"""),"Level1ID")</f>
        <v>Level1ID</v>
      </c>
      <c r="N5" s="47" t="str">
        <f ca="1">IFERROR(__xludf.DUMMYFUNCTION("""COMPUTED_VALUE"""),"UnderlyingSymbol")</f>
        <v>UnderlyingSymbol</v>
      </c>
      <c r="O5" s="47" t="str">
        <f ca="1">IFERROR(__xludf.DUMMYFUNCTION("""COMPUTED_VALUE"""),"Symbol")</f>
        <v>Symbol</v>
      </c>
      <c r="P5" s="47" t="str">
        <f ca="1">IFERROR(__xludf.DUMMYFUNCTION("""COMPUTED_VALUE"""),"P&amp;L Contribution")</f>
        <v>P&amp;L Contribution</v>
      </c>
      <c r="Q5" s="47" t="str">
        <f ca="1">IFERROR(__xludf.DUMMYFUNCTION("""COMPUTED_VALUE"""),"Long Market Value")</f>
        <v>Long Market Value</v>
      </c>
      <c r="R5" s="47" t="str">
        <f ca="1">IFERROR(__xludf.DUMMYFUNCTION("""COMPUTED_VALUE"""),"Short Market Value")</f>
        <v>Short Market Value</v>
      </c>
      <c r="S5" s="47" t="str">
        <f ca="1">IFERROR(__xludf.DUMMYFUNCTION("""COMPUTED_VALUE"""),"Net Market Value")</f>
        <v>Net Market Value</v>
      </c>
      <c r="T5" s="49" t="str">
        <f ca="1">IFERROR(__xludf.DUMMYFUNCTION("""COMPUTED_VALUE"""),"Cash Value")</f>
        <v>Cash Value</v>
      </c>
      <c r="U5" s="49" t="str">
        <f ca="1">IFERROR(__xludf.DUMMYFUNCTION("""COMPUTED_VALUE"""),"Closing Market Value")</f>
        <v>Closing Market Value</v>
      </c>
      <c r="V5" s="49" t="str">
        <f ca="1">IFERROR(__xludf.DUMMYFUNCTION("""COMPUTED_VALUE"""),"NetPosition")</f>
        <v>NetPosition</v>
      </c>
      <c r="W5" s="49" t="str">
        <f ca="1">IFERROR(__xludf.DUMMYFUNCTION("""COMPUTED_VALUE"""),"PositionSideMV")</f>
        <v>PositionSideMV</v>
      </c>
      <c r="X5" s="49" t="str">
        <f ca="1">IFERROR(__xludf.DUMMYFUNCTION("""COMPUTED_VALUE"""),"PositionSideExposure")</f>
        <v>PositionSideExposure</v>
      </c>
      <c r="Y5" s="49" t="str">
        <f ca="1">IFERROR(__xludf.DUMMYFUNCTION("""COMPUTED_VALUE"""),"NAVString")</f>
        <v>NAVString</v>
      </c>
      <c r="Z5" s="49" t="str">
        <f ca="1">IFERROR(__xludf.DUMMYFUNCTION("""COMPUTED_VALUE"""),"Net Exposure %")</f>
        <v>Net Exposure %</v>
      </c>
      <c r="AA5" s="49" t="str">
        <f ca="1">IFERROR(__xludf.DUMMYFUNCTION("""COMPUTED_VALUE"""),"Beta Adj. Exposure %")</f>
        <v>Beta Adj. Exposure %</v>
      </c>
      <c r="AB5" s="49" t="str">
        <f ca="1">IFERROR(__xludf.DUMMYFUNCTION("""COMPUTED_VALUE"""),"Cash Value %")</f>
        <v>Cash Value %</v>
      </c>
      <c r="AC5" s="49" t="str">
        <f ca="1">IFERROR(__xludf.DUMMYFUNCTION("""COMPUTED_VALUE"""),"Gross Market Value %")</f>
        <v>Gross Market Value %</v>
      </c>
      <c r="AD5" s="49" t="str">
        <f ca="1">IFERROR(__xludf.DUMMYFUNCTION("""COMPUTED_VALUE"""),"Long Market Value %")</f>
        <v>Long Market Value %</v>
      </c>
      <c r="AE5" s="49" t="str">
        <f ca="1">IFERROR(__xludf.DUMMYFUNCTION("""COMPUTED_VALUE"""),"Net Exposure % (Gross Exposure)")</f>
        <v>Net Exposure % (Gross Exposure)</v>
      </c>
      <c r="AF5" s="49" t="str">
        <f ca="1">IFERROR(__xludf.DUMMYFUNCTION("""COMPUTED_VALUE"""),"Short Market Value %")</f>
        <v>Short Market Value %</v>
      </c>
      <c r="AG5" s="49" t="str">
        <f ca="1">IFERROR(__xludf.DUMMYFUNCTION("""COMPUTED_VALUE"""),"Cost Basis P&amp;L")</f>
        <v>Cost Basis P&amp;L</v>
      </c>
      <c r="AH5" s="49" t="str">
        <f ca="1">IFERROR(__xludf.DUMMYFUNCTION("""COMPUTED_VALUE"""),"Start of Day NAV")</f>
        <v>Start of Day NAV</v>
      </c>
      <c r="AI5" s="49" t="str">
        <f ca="1">IFERROR(__xludf.DUMMYFUNCTION("""COMPUTED_VALUE"""),"Day Return")</f>
        <v>Day Return</v>
      </c>
      <c r="AJ5" s="49" t="str">
        <f ca="1">IFERROR(__xludf.DUMMYFUNCTION("""COMPUTED_VALUE"""),"Beta Adj. Exposure")</f>
        <v>Beta Adj. Exposure</v>
      </c>
      <c r="AK5" s="49" t="str">
        <f ca="1">IFERROR(__xludf.DUMMYFUNCTION("""COMPUTED_VALUE"""),"Earned Dividend Base")</f>
        <v>Earned Dividend Base</v>
      </c>
      <c r="AL5" s="49" t="str">
        <f ca="1">IFERROR(__xludf.DUMMYFUNCTION("""COMPUTED_VALUE"""),"YTD Return")</f>
        <v>YTD Return</v>
      </c>
      <c r="AM5" s="49" t="str">
        <f ca="1">IFERROR(__xludf.DUMMYFUNCTION("""COMPUTED_VALUE"""),"QTD Return")</f>
        <v>QTD Return</v>
      </c>
      <c r="AN5" s="49" t="str">
        <f ca="1">IFERROR(__xludf.DUMMYFUNCTION("""COMPUTED_VALUE"""),"MTD Return")</f>
        <v>MTD Return</v>
      </c>
      <c r="AO5" s="49" t="str">
        <f ca="1">IFERROR(__xludf.DUMMYFUNCTION("""COMPUTED_VALUE"""),"Gross Market Value")</f>
        <v>Gross Market Value</v>
      </c>
      <c r="AP5" s="49" t="str">
        <f ca="1">IFERROR(__xludf.DUMMYFUNCTION("""COMPUTED_VALUE"""),"Net Market Value %")</f>
        <v>Net Market Value %</v>
      </c>
      <c r="AQ5" s="49" t="str">
        <f ca="1">IFERROR(__xludf.DUMMYFUNCTION("""COMPUTED_VALUE"""),"Net Market Value % (Gross MV)")</f>
        <v>Net Market Value % (Gross MV)</v>
      </c>
      <c r="AR5" s="49" t="str">
        <f ca="1">IFERROR(__xludf.DUMMYFUNCTION("""COMPUTED_VALUE"""),"Day Return % (Gross MV)")</f>
        <v>Day Return % (Gross MV)</v>
      </c>
      <c r="AS5" s="49" t="str">
        <f ca="1">IFERROR(__xludf.DUMMYFUNCTION("""COMPUTED_VALUE"""),"Gross Exposure")</f>
        <v>Gross Exposure</v>
      </c>
      <c r="AT5" s="49" t="str">
        <f ca="1">IFERROR(__xludf.DUMMYFUNCTION("""COMPUTED_VALUE"""),"Gross Exposure %")</f>
        <v>Gross Exposure %</v>
      </c>
      <c r="AU5" s="49" t="str">
        <f ca="1">IFERROR(__xludf.DUMMYFUNCTION("""COMPUTED_VALUE"""),"Long Debit Limit")</f>
        <v>Long Debit Limit</v>
      </c>
      <c r="AV5" s="49" t="str">
        <f ca="1">IFERROR(__xludf.DUMMYFUNCTION("""COMPUTED_VALUE"""),"Short Credit Limit")</f>
        <v>Short Credit Limit</v>
      </c>
      <c r="AW5" s="49" t="str">
        <f ca="1">IFERROR(__xludf.DUMMYFUNCTION("""COMPUTED_VALUE"""),"Long Debit Balance")</f>
        <v>Long Debit Balance</v>
      </c>
      <c r="AX5" s="49" t="str">
        <f ca="1">IFERROR(__xludf.DUMMYFUNCTION("""COMPUTED_VALUE"""),"Short Credit Balance")</f>
        <v>Short Credit Balance</v>
      </c>
      <c r="AY5" s="49" t="str">
        <f ca="1">IFERROR(__xludf.DUMMYFUNCTION("""COMPUTED_VALUE"""),"Long Exposure")</f>
        <v>Long Exposure</v>
      </c>
      <c r="AZ5" s="49" t="str">
        <f ca="1">IFERROR(__xludf.DUMMYFUNCTION("""COMPUTED_VALUE"""),"Long Exposure %")</f>
        <v>Long Exposure %</v>
      </c>
      <c r="BA5" s="49" t="str">
        <f ca="1">IFERROR(__xludf.DUMMYFUNCTION("""COMPUTED_VALUE"""),"Short Exposure")</f>
        <v>Short Exposure</v>
      </c>
      <c r="BB5" s="49" t="str">
        <f ca="1">IFERROR(__xludf.DUMMYFUNCTION("""COMPUTED_VALUE"""),"Short Exposure %")</f>
        <v>Short Exposure %</v>
      </c>
      <c r="BC5" s="49" t="str">
        <f ca="1">IFERROR(__xludf.DUMMYFUNCTION("""COMPUTED_VALUE"""),"BetaAdjustedGrossExposure")</f>
        <v>BetaAdjustedGrossExposure</v>
      </c>
      <c r="BD5" s="49" t="str">
        <f ca="1">IFERROR(__xludf.DUMMYFUNCTION("""COMPUTED_VALUE"""),"BetaAdjustedLongExposure")</f>
        <v>BetaAdjustedLongExposure</v>
      </c>
      <c r="BE5" s="49" t="str">
        <f ca="1">IFERROR(__xludf.DUMMYFUNCTION("""COMPUTED_VALUE"""),"BetaAdjustedShortExposure")</f>
        <v>BetaAdjustedShortExposure</v>
      </c>
      <c r="BF5" s="49" t="str">
        <f ca="1">IFERROR(__xludf.DUMMYFUNCTION("""COMPUTED_VALUE"""),"Beta")</f>
        <v>Beta</v>
      </c>
      <c r="BG5" s="49" t="str">
        <f ca="1">IFERROR(__xludf.DUMMYFUNCTION("""COMPUTED_VALUE"""),"Beta Adj. Gross Exposure")</f>
        <v>Beta Adj. Gross Exposure</v>
      </c>
      <c r="BH5" s="49" t="str">
        <f ca="1">IFERROR(__xludf.DUMMYFUNCTION("""COMPUTED_VALUE"""),"Beta Adj. Gross Exposure %")</f>
        <v>Beta Adj. Gross Exposure %</v>
      </c>
      <c r="BI5" s="49" t="str">
        <f ca="1">IFERROR(__xludf.DUMMYFUNCTION("""COMPUTED_VALUE"""),"Beta Adj. Long Exposure")</f>
        <v>Beta Adj. Long Exposure</v>
      </c>
      <c r="BJ5" s="49" t="str">
        <f ca="1">IFERROR(__xludf.DUMMYFUNCTION("""COMPUTED_VALUE"""),"Beta Adj. Long Exposure %")</f>
        <v>Beta Adj. Long Exposure %</v>
      </c>
      <c r="BK5" s="49" t="str">
        <f ca="1">IFERROR(__xludf.DUMMYFUNCTION("""COMPUTED_VALUE"""),"Beta Adj. Short Exposure")</f>
        <v>Beta Adj. Short Exposure</v>
      </c>
      <c r="BL5" s="49" t="str">
        <f ca="1">IFERROR(__xludf.DUMMYFUNCTION("""COMPUTED_VALUE"""),"Beta Adj. Short Exposure %")</f>
        <v>Beta Adj. Short Exposure %</v>
      </c>
      <c r="BM5" s="49" t="str">
        <f ca="1">IFERROR(__xludf.DUMMYFUNCTION("""COMPUTED_VALUE"""),"MTD P&amp;L")</f>
        <v>MTD P&amp;L</v>
      </c>
      <c r="BN5" s="49" t="str">
        <f ca="1">IFERROR(__xludf.DUMMYFUNCTION("""COMPUTED_VALUE"""),"QTD P&amp;L")</f>
        <v>QTD P&amp;L</v>
      </c>
      <c r="BO5" s="49" t="str">
        <f ca="1">IFERROR(__xludf.DUMMYFUNCTION("""COMPUTED_VALUE"""),"YTD P&amp;L")</f>
        <v>YTD P&amp;L</v>
      </c>
      <c r="BP5" s="49" t="str">
        <f ca="1">IFERROR(__xludf.DUMMYFUNCTION("""COMPUTED_VALUE"""),"MasterfundID")</f>
        <v>MasterfundID</v>
      </c>
      <c r="BQ5" s="49" t="str">
        <f ca="1">IFERROR(__xludf.DUMMYFUNCTION("""COMPUTED_VALUE"""),"NetExposureLocal")</f>
        <v>NetExposureLocal</v>
      </c>
      <c r="BR5" s="49" t="str">
        <f ca="1">IFERROR(__xludf.DUMMYFUNCTION("""COMPUTED_VALUE"""),"GrossExposureLocal")</f>
        <v>GrossExposureLocal</v>
      </c>
      <c r="BS5" s="49" t="str">
        <f ca="1">IFERROR(__xludf.DUMMYFUNCTION("""COMPUTED_VALUE"""),"BetaAdjustedGrossExposureLocal")</f>
        <v>BetaAdjustedGrossExposureLocal</v>
      </c>
      <c r="BT5" s="49" t="str">
        <f ca="1">IFERROR(__xludf.DUMMYFUNCTION("""COMPUTED_VALUE"""),"AssetCategory")</f>
        <v>AssetCategory</v>
      </c>
      <c r="BU5" s="49" t="str">
        <f ca="1">IFERROR(__xludf.DUMMYFUNCTION("""COMPUTED_VALUE"""),"Day P&amp;L (FX)")</f>
        <v>Day P&amp;L (FX)</v>
      </c>
      <c r="BV5" s="49" t="str">
        <f ca="1">IFERROR(__xludf.DUMMYFUNCTION("""COMPUTED_VALUE"""),"Day P&amp;L (Short) %")</f>
        <v>Day P&amp;L (Short) %</v>
      </c>
      <c r="BW5" s="49" t="str">
        <f ca="1">IFERROR(__xludf.DUMMYFUNCTION("""COMPUTED_VALUE"""),"Day P&amp;L (Long) %")</f>
        <v>Day P&amp;L (Long) %</v>
      </c>
      <c r="BX5" s="49" t="str">
        <f ca="1">IFERROR(__xludf.DUMMYFUNCTION("""COMPUTED_VALUE"""),"Day P&amp;L (FX) %")</f>
        <v>Day P&amp;L (FX) %</v>
      </c>
      <c r="BY5" s="49" t="str">
        <f ca="1">IFERROR(__xludf.DUMMYFUNCTION("""COMPUTED_VALUE"""),"Long/Short Ratio")</f>
        <v>Long/Short Ratio</v>
      </c>
      <c r="BZ5" s="49" t="str">
        <f ca="1">IFERROR(__xludf.DUMMYFUNCTION("""COMPUTED_VALUE"""),"LeverageFactor")</f>
        <v>LeverageFactor</v>
      </c>
      <c r="CA5" s="49" t="str">
        <f ca="1">IFERROR(__xludf.DUMMYFUNCTION("""COMPUTED_VALUE"""),"AllocatedSymbolWiseQuantity")</f>
        <v>AllocatedSymbolWiseQuantity</v>
      </c>
      <c r="CB5" s="49" t="str">
        <f ca="1">IFERROR(__xludf.DUMMYFUNCTION("""COMPUTED_VALUE"""),"CurrencyID")</f>
        <v>CurrencyID</v>
      </c>
      <c r="CC5" s="49" t="str">
        <f ca="1">IFERROR(__xludf.DUMMYFUNCTION("""COMPUTED_VALUE"""),"")</f>
        <v/>
      </c>
      <c r="CD5" s="49" t="str">
        <f ca="1">IFERROR(__xludf.DUMMYFUNCTION("""COMPUTED_VALUE"""),"")</f>
        <v/>
      </c>
      <c r="CE5" s="49" t="str">
        <f ca="1">IFERROR(__xludf.DUMMYFUNCTION("""COMPUTED_VALUE"""),"")</f>
        <v/>
      </c>
      <c r="CF5" s="49" t="str">
        <f ca="1">IFERROR(__xludf.DUMMYFUNCTION("""COMPUTED_VALUE"""),"")</f>
        <v/>
      </c>
      <c r="CG5" s="49" t="str">
        <f ca="1">IFERROR(__xludf.DUMMYFUNCTION("""COMPUTED_VALUE"""),"")</f>
        <v/>
      </c>
      <c r="CH5" s="49" t="str">
        <f ca="1">IFERROR(__xludf.DUMMYFUNCTION("""COMPUTED_VALUE"""),"")</f>
        <v/>
      </c>
      <c r="CI5" s="49" t="str">
        <f ca="1">IFERROR(__xludf.DUMMYFUNCTION("""COMPUTED_VALUE"""),"")</f>
        <v/>
      </c>
      <c r="CJ5" s="49" t="str">
        <f ca="1">IFERROR(__xludf.DUMMYFUNCTION("""COMPUTED_VALUE"""),"")</f>
        <v/>
      </c>
      <c r="CK5" s="49" t="str">
        <f ca="1">IFERROR(__xludf.DUMMYFUNCTION("""COMPUTED_VALUE"""),"")</f>
        <v/>
      </c>
      <c r="CL5" s="49" t="str">
        <f ca="1">IFERROR(__xludf.DUMMYFUNCTION("""COMPUTED_VALUE"""),"")</f>
        <v/>
      </c>
      <c r="CM5" s="49" t="str">
        <f ca="1">IFERROR(__xludf.DUMMYFUNCTION("""COMPUTED_VALUE"""),"")</f>
        <v/>
      </c>
      <c r="CN5" s="49" t="str">
        <f ca="1">IFERROR(__xludf.DUMMYFUNCTION("""COMPUTED_VALUE"""),"")</f>
        <v/>
      </c>
      <c r="CO5" s="49" t="str">
        <f ca="1">IFERROR(__xludf.DUMMYFUNCTION("""COMPUTED_VALUE"""),"")</f>
        <v/>
      </c>
      <c r="CP5" s="49" t="str">
        <f ca="1">IFERROR(__xludf.DUMMYFUNCTION("""COMPUTED_VALUE"""),"")</f>
        <v/>
      </c>
      <c r="CQ5" s="49" t="str">
        <f ca="1">IFERROR(__xludf.DUMMYFUNCTION("""COMPUTED_VALUE"""),"")</f>
        <v/>
      </c>
      <c r="CR5" s="49" t="str">
        <f ca="1">IFERROR(__xludf.DUMMYFUNCTION("""COMPUTED_VALUE"""),"")</f>
        <v/>
      </c>
      <c r="CS5" s="49" t="str">
        <f ca="1">IFERROR(__xludf.DUMMYFUNCTION("""COMPUTED_VALUE"""),"")</f>
        <v/>
      </c>
      <c r="CT5" s="49" t="str">
        <f ca="1">IFERROR(__xludf.DUMMYFUNCTION("""COMPUTED_VALUE"""),"")</f>
        <v/>
      </c>
      <c r="CU5" s="49" t="str">
        <f ca="1">IFERROR(__xludf.DUMMYFUNCTION("""COMPUTED_VALUE"""),"")</f>
        <v/>
      </c>
      <c r="CV5" s="49" t="str">
        <f ca="1">IFERROR(__xludf.DUMMYFUNCTION("""COMPUTED_VALUE"""),"")</f>
        <v/>
      </c>
      <c r="CW5" s="49" t="str">
        <f ca="1">IFERROR(__xludf.DUMMYFUNCTION("""COMPUTED_VALUE"""),"")</f>
        <v/>
      </c>
      <c r="CX5" s="49" t="str">
        <f ca="1">IFERROR(__xludf.DUMMYFUNCTION("""COMPUTED_VALUE"""),"")</f>
        <v/>
      </c>
      <c r="CY5" s="49" t="str">
        <f ca="1">IFERROR(__xludf.DUMMYFUNCTION("""COMPUTED_VALUE"""),"")</f>
        <v/>
      </c>
      <c r="CZ5" s="49" t="str">
        <f ca="1">IFERROR(__xludf.DUMMYFUNCTION("""COMPUTED_VALUE"""),"")</f>
        <v/>
      </c>
      <c r="DA5" s="49" t="str">
        <f ca="1">IFERROR(__xludf.DUMMYFUNCTION("""COMPUTED_VALUE"""),"")</f>
        <v/>
      </c>
      <c r="DB5" s="49" t="str">
        <f ca="1">IFERROR(__xludf.DUMMYFUNCTION("""COMPUTED_VALUE"""),"")</f>
        <v/>
      </c>
      <c r="DC5" s="49" t="str">
        <f ca="1">IFERROR(__xludf.DUMMYFUNCTION("""COMPUTED_VALUE"""),"")</f>
        <v/>
      </c>
      <c r="DD5" s="49" t="str">
        <f ca="1">IFERROR(__xludf.DUMMYFUNCTION("""COMPUTED_VALUE"""),"")</f>
        <v/>
      </c>
      <c r="DE5" s="49" t="str">
        <f ca="1">IFERROR(__xludf.DUMMYFUNCTION("""COMPUTED_VALUE"""),"")</f>
        <v/>
      </c>
      <c r="DF5" s="49" t="str">
        <f ca="1">IFERROR(__xludf.DUMMYFUNCTION("""COMPUTED_VALUE"""),"")</f>
        <v/>
      </c>
      <c r="DG5" s="49" t="str">
        <f ca="1">IFERROR(__xludf.DUMMYFUNCTION("""COMPUTED_VALUE"""),"")</f>
        <v/>
      </c>
      <c r="DH5" s="49" t="str">
        <f ca="1">IFERROR(__xludf.DUMMYFUNCTION("""COMPUTED_VALUE"""),"")</f>
        <v/>
      </c>
      <c r="DI5" s="49" t="str">
        <f ca="1">IFERROR(__xludf.DUMMYFUNCTION("""COMPUTED_VALUE"""),"")</f>
        <v/>
      </c>
      <c r="DJ5" s="49" t="str">
        <f ca="1">IFERROR(__xludf.DUMMYFUNCTION("""COMPUTED_VALUE"""),"")</f>
        <v/>
      </c>
      <c r="DK5" s="49" t="str">
        <f ca="1">IFERROR(__xludf.DUMMYFUNCTION("""COMPUTED_VALUE"""),"")</f>
        <v/>
      </c>
      <c r="DL5" s="49" t="str">
        <f ca="1">IFERROR(__xludf.DUMMYFUNCTION("""COMPUTED_VALUE"""),"")</f>
        <v/>
      </c>
      <c r="DM5" s="49" t="str">
        <f ca="1">IFERROR(__xludf.DUMMYFUNCTION("""COMPUTED_VALUE"""),"")</f>
        <v/>
      </c>
      <c r="DN5" s="49" t="str">
        <f ca="1">IFERROR(__xludf.DUMMYFUNCTION("""COMPUTED_VALUE"""),"")</f>
        <v/>
      </c>
      <c r="DO5" s="49" t="str">
        <f ca="1">IFERROR(__xludf.DUMMYFUNCTION("""COMPUTED_VALUE"""),"")</f>
        <v/>
      </c>
      <c r="DP5" s="49" t="str">
        <f ca="1">IFERROR(__xludf.DUMMYFUNCTION("""COMPUTED_VALUE"""),"")</f>
        <v/>
      </c>
      <c r="DQ5" s="49" t="str">
        <f ca="1">IFERROR(__xludf.DUMMYFUNCTION("""COMPUTED_VALUE"""),"")</f>
        <v/>
      </c>
      <c r="DR5" s="49" t="str">
        <f ca="1">IFERROR(__xludf.DUMMYFUNCTION("""COMPUTED_VALUE"""),"")</f>
        <v/>
      </c>
      <c r="DS5" s="49" t="str">
        <f ca="1">IFERROR(__xludf.DUMMYFUNCTION("""COMPUTED_VALUE"""),"")</f>
        <v/>
      </c>
      <c r="DT5" s="49" t="str">
        <f ca="1">IFERROR(__xludf.DUMMYFUNCTION("""COMPUTED_VALUE"""),"")</f>
        <v/>
      </c>
      <c r="DU5" s="49" t="str">
        <f ca="1">IFERROR(__xludf.DUMMYFUNCTION("""COMPUTED_VALUE"""),"")</f>
        <v/>
      </c>
      <c r="DV5" s="49" t="str">
        <f ca="1">IFERROR(__xludf.DUMMYFUNCTION("""COMPUTED_VALUE"""),"")</f>
        <v/>
      </c>
      <c r="DW5" s="49" t="str">
        <f ca="1">IFERROR(__xludf.DUMMYFUNCTION("""COMPUTED_VALUE"""),"")</f>
        <v/>
      </c>
      <c r="DX5" s="49" t="str">
        <f ca="1">IFERROR(__xludf.DUMMYFUNCTION("""COMPUTED_VALUE"""),"")</f>
        <v/>
      </c>
      <c r="DY5" s="49" t="str">
        <f ca="1">IFERROR(__xludf.DUMMYFUNCTION("""COMPUTED_VALUE"""),"")</f>
        <v/>
      </c>
      <c r="DZ5" s="49" t="str">
        <f ca="1">IFERROR(__xludf.DUMMYFUNCTION("""COMPUTED_VALUE"""),"")</f>
        <v/>
      </c>
      <c r="EA5" s="49" t="str">
        <f ca="1">IFERROR(__xludf.DUMMYFUNCTION("""COMPUTED_VALUE"""),"")</f>
        <v/>
      </c>
      <c r="EB5" s="49" t="str">
        <f ca="1">IFERROR(__xludf.DUMMYFUNCTION("""COMPUTED_VALUE"""),"")</f>
        <v/>
      </c>
      <c r="EC5" s="49" t="str">
        <f ca="1">IFERROR(__xludf.DUMMYFUNCTION("""COMPUTED_VALUE"""),"")</f>
        <v/>
      </c>
      <c r="ED5" s="49" t="str">
        <f ca="1">IFERROR(__xludf.DUMMYFUNCTION("""COMPUTED_VALUE"""),"")</f>
        <v/>
      </c>
      <c r="EE5" s="49" t="str">
        <f ca="1">IFERROR(__xludf.DUMMYFUNCTION("""COMPUTED_VALUE"""),"")</f>
        <v/>
      </c>
      <c r="EF5" s="49" t="str">
        <f ca="1">IFERROR(__xludf.DUMMYFUNCTION("""COMPUTED_VALUE"""),"")</f>
        <v/>
      </c>
      <c r="EG5" s="49" t="str">
        <f ca="1">IFERROR(__xludf.DUMMYFUNCTION("""COMPUTED_VALUE"""),"")</f>
        <v/>
      </c>
      <c r="EH5" s="49" t="str">
        <f ca="1">IFERROR(__xludf.DUMMYFUNCTION("""COMPUTED_VALUE"""),"")</f>
        <v/>
      </c>
      <c r="EI5" s="49" t="str">
        <f ca="1">IFERROR(__xludf.DUMMYFUNCTION("""COMPUTED_VALUE"""),"")</f>
        <v/>
      </c>
      <c r="EJ5" s="49" t="str">
        <f ca="1">IFERROR(__xludf.DUMMYFUNCTION("""COMPUTED_VALUE"""),"")</f>
        <v/>
      </c>
      <c r="EK5" s="49" t="str">
        <f ca="1">IFERROR(__xludf.DUMMYFUNCTION("""COMPUTED_VALUE"""),"")</f>
        <v/>
      </c>
      <c r="EL5" s="49" t="str">
        <f ca="1">IFERROR(__xludf.DUMMYFUNCTION("""COMPUTED_VALUE"""),"")</f>
        <v/>
      </c>
      <c r="EM5" s="49" t="str">
        <f ca="1">IFERROR(__xludf.DUMMYFUNCTION("""COMPUTED_VALUE"""),"")</f>
        <v/>
      </c>
      <c r="EN5" s="49" t="str">
        <f ca="1">IFERROR(__xludf.DUMMYFUNCTION("""COMPUTED_VALUE"""),"")</f>
        <v/>
      </c>
      <c r="EO5" s="49" t="str">
        <f ca="1">IFERROR(__xludf.DUMMYFUNCTION("""COMPUTED_VALUE"""),"")</f>
        <v/>
      </c>
      <c r="EP5" s="49" t="str">
        <f ca="1">IFERROR(__xludf.DUMMYFUNCTION("""COMPUTED_VALUE"""),"")</f>
        <v/>
      </c>
      <c r="EQ5" s="49" t="str">
        <f ca="1">IFERROR(__xludf.DUMMYFUNCTION("""COMPUTED_VALUE"""),"")</f>
        <v/>
      </c>
      <c r="ER5" s="49" t="str">
        <f ca="1">IFERROR(__xludf.DUMMYFUNCTION("""COMPUTED_VALUE"""),"")</f>
        <v/>
      </c>
      <c r="ES5" s="49" t="str">
        <f ca="1">IFERROR(__xludf.DUMMYFUNCTION("""COMPUTED_VALUE"""),"")</f>
        <v/>
      </c>
      <c r="ET5" s="49" t="str">
        <f ca="1">IFERROR(__xludf.DUMMYFUNCTION("""COMPUTED_VALUE"""),"")</f>
        <v/>
      </c>
      <c r="EU5" s="49" t="str">
        <f ca="1">IFERROR(__xludf.DUMMYFUNCTION("""COMPUTED_VALUE"""),"")</f>
        <v/>
      </c>
      <c r="EV5" s="49" t="str">
        <f ca="1">IFERROR(__xludf.DUMMYFUNCTION("""COMPUTED_VALUE"""),"")</f>
        <v/>
      </c>
      <c r="EW5" s="49" t="str">
        <f ca="1">IFERROR(__xludf.DUMMYFUNCTION("""COMPUTED_VALUE"""),"")</f>
        <v/>
      </c>
      <c r="EX5" s="49" t="str">
        <f ca="1">IFERROR(__xludf.DUMMYFUNCTION("""COMPUTED_VALUE"""),"")</f>
        <v/>
      </c>
    </row>
    <row r="6" spans="1:154" ht="15.75" customHeight="1">
      <c r="A6" s="51"/>
      <c r="B6" s="51">
        <v>-6078</v>
      </c>
      <c r="C6" s="36"/>
      <c r="D6" s="51"/>
      <c r="E6" s="51">
        <v>0</v>
      </c>
      <c r="F6" s="51">
        <v>0</v>
      </c>
      <c r="G6" s="36"/>
      <c r="H6" s="51"/>
      <c r="I6" s="67">
        <v>0</v>
      </c>
      <c r="J6" s="51">
        <v>6100</v>
      </c>
      <c r="K6" s="51">
        <v>22</v>
      </c>
      <c r="L6" s="36"/>
      <c r="M6" s="36"/>
      <c r="N6" s="36"/>
      <c r="O6" s="36"/>
      <c r="P6" s="68">
        <v>0</v>
      </c>
      <c r="Q6" s="68">
        <v>19400</v>
      </c>
      <c r="R6" s="68">
        <v>-13300</v>
      </c>
      <c r="S6" s="68">
        <v>6100</v>
      </c>
      <c r="T6" s="68">
        <v>-6078</v>
      </c>
      <c r="U6" s="38"/>
      <c r="V6" s="38"/>
      <c r="W6" s="38"/>
      <c r="X6" s="38"/>
      <c r="Y6" s="38"/>
      <c r="Z6" s="68">
        <v>27749.85</v>
      </c>
      <c r="AA6" s="68">
        <v>27749.85</v>
      </c>
      <c r="AB6" s="68">
        <v>-27649.85</v>
      </c>
      <c r="AC6" s="68">
        <v>148757.4</v>
      </c>
      <c r="AD6" s="68">
        <v>88253.62</v>
      </c>
      <c r="AE6" s="68">
        <v>18.649999999999999</v>
      </c>
      <c r="AF6" s="68">
        <v>-60503.77</v>
      </c>
      <c r="AG6" s="68">
        <v>100</v>
      </c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spans="1:154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spans="1:154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spans="1:154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spans="1:154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spans="1:154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spans="1:154" ht="15.7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spans="1:154" ht="15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spans="1:15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spans="1:154" ht="15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spans="1:154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spans="1:154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spans="1:154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spans="1:154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spans="1:154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spans="1:154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spans="1:154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</row>
    <row r="23" spans="1:154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</row>
    <row r="24" spans="1:15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</row>
    <row r="25" spans="1:154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</row>
    <row r="26" spans="1:154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</row>
    <row r="27" spans="1:154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</row>
    <row r="28" spans="1:154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</row>
    <row r="29" spans="1:154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</row>
    <row r="30" spans="1:154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</row>
    <row r="31" spans="1:154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</row>
    <row r="32" spans="1:154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</row>
    <row r="33" spans="1:154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</row>
    <row r="34" spans="1:15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</row>
    <row r="35" spans="1:154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</row>
    <row r="36" spans="1:154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</row>
    <row r="37" spans="1:154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</row>
    <row r="38" spans="1:154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</row>
    <row r="39" spans="1:154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</row>
    <row r="40" spans="1:154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</row>
    <row r="41" spans="1:154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</row>
    <row r="42" spans="1:154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</row>
    <row r="43" spans="1:154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</row>
    <row r="44" spans="1:15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</row>
    <row r="45" spans="1:154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</row>
    <row r="46" spans="1:154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</row>
    <row r="47" spans="1:154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</row>
    <row r="48" spans="1:154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</row>
    <row r="49" spans="1:154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</row>
    <row r="50" spans="1:154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</row>
    <row r="51" spans="1:154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</row>
    <row r="52" spans="1:154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</row>
    <row r="53" spans="1:154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</row>
    <row r="54" spans="1:1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</row>
    <row r="55" spans="1:154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</row>
    <row r="56" spans="1:154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</row>
    <row r="57" spans="1:154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</row>
    <row r="58" spans="1:154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</row>
    <row r="59" spans="1:154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</row>
    <row r="60" spans="1:154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</row>
    <row r="61" spans="1:154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</row>
    <row r="62" spans="1:154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</row>
    <row r="63" spans="1:154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</row>
    <row r="64" spans="1:15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</row>
    <row r="65" spans="1:154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</row>
    <row r="66" spans="1:154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</row>
    <row r="67" spans="1:154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</row>
    <row r="68" spans="1:154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</row>
    <row r="69" spans="1:154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</row>
    <row r="70" spans="1:154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</row>
    <row r="71" spans="1:154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</row>
    <row r="72" spans="1:154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</row>
    <row r="73" spans="1:154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</row>
    <row r="74" spans="1:15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</row>
    <row r="75" spans="1:154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</row>
    <row r="76" spans="1:154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</row>
    <row r="77" spans="1:154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</row>
    <row r="78" spans="1:154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</row>
    <row r="79" spans="1:154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</row>
    <row r="80" spans="1:154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</row>
    <row r="81" spans="1:154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</row>
    <row r="82" spans="1:154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</row>
    <row r="83" spans="1:154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</row>
    <row r="84" spans="1:15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</row>
    <row r="85" spans="1:154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</row>
    <row r="86" spans="1:154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</row>
    <row r="87" spans="1:154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</row>
    <row r="88" spans="1:154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</row>
    <row r="89" spans="1:154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</row>
    <row r="90" spans="1:154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</row>
    <row r="91" spans="1:154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</row>
    <row r="92" spans="1:154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</row>
    <row r="93" spans="1:154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</row>
    <row r="94" spans="1:15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</row>
    <row r="95" spans="1:154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</row>
    <row r="96" spans="1:154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</row>
    <row r="97" spans="1:154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</row>
    <row r="98" spans="1:154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</row>
    <row r="99" spans="1:154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</row>
    <row r="100" spans="1:154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9" t="s">
        <v>11</v>
      </c>
      <c r="C1" s="70"/>
      <c r="D1" s="70"/>
      <c r="E1" s="70"/>
      <c r="F1" s="70"/>
      <c r="G1" s="70"/>
      <c r="H1" s="7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4</v>
      </c>
      <c r="C3" s="16" t="s">
        <v>38</v>
      </c>
      <c r="D3" s="3" t="s">
        <v>6</v>
      </c>
      <c r="E3" s="16" t="s">
        <v>40</v>
      </c>
      <c r="F3" s="3" t="s">
        <v>15</v>
      </c>
      <c r="G3" s="11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IFERROR(__xludf.DUMMYFUNCTION("""COMPUTED_VALUE"""),"ColumnName")</f>
        <v>ColumnName</v>
      </c>
      <c r="C5" s="21" t="str">
        <f ca="1">IFERROR(__xludf.DUMMYFUNCTION("""COMPUTED_VALUE"""),"FilterList")</f>
        <v>FilterList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8"/>
      <c r="B6" s="8" t="s">
        <v>42</v>
      </c>
      <c r="C6" s="8" t="s">
        <v>20</v>
      </c>
      <c r="D6" s="8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GetDayEndCash</vt:lpstr>
      <vt:lpstr>FilterPM</vt:lpstr>
      <vt:lpstr>CheckPortfolioManagement</vt:lpstr>
      <vt:lpstr>CheckPortfolioManagement1</vt:lpstr>
      <vt:lpstr>CheckDashboardPM</vt:lpstr>
      <vt:lpstr>FilterPM1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2021-08-04T09:28:55Z</dcterms:modified>
</cp:coreProperties>
</file>