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BulkEditUpdateFromMTT" sheetId="6" r:id="rId8"/>
    <sheet state="visible" name="VerifyMTT" sheetId="7" r:id="rId9"/>
    <sheet state="visible" name="BulkEditUpdateFromMTT1" sheetId="8" r:id="rId10"/>
    <sheet state="visible" name="MultiTradingTicketFromBlotter1" sheetId="9" r:id="rId11"/>
    <sheet state="visible" name="ApplyFilterOnMTTGrid" sheetId="10" r:id="rId12"/>
    <sheet state="visible" name="BulkEditUpdateFromMTT2" sheetId="11" r:id="rId13"/>
    <sheet state="visible" name="VerifyMTT1" sheetId="12" r:id="rId14"/>
  </sheets>
  <definedNames/>
  <calcPr/>
</workbook>
</file>

<file path=xl/sharedStrings.xml><?xml version="1.0" encoding="utf-8"?>
<sst xmlns="http://schemas.openxmlformats.org/spreadsheetml/2006/main" count="151" uniqueCount="39">
  <si>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</si>
  <si>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</si>
  <si>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</si>
  <si>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</si>
  <si>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</si>
  <si>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</si>
  <si>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</si>
  <si>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</si>
  <si>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</si>
  <si>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</si>
  <si>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</si>
  <si>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</si>
  <si>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</si>
  <si>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</si>
  <si>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</si>
  <si>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</si>
  <si>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</si>
  <si>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</si>
  <si>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</si>
  <si>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</si>
  <si>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Day</t>
  </si>
  <si>
    <t>Market</t>
  </si>
  <si>
    <t>SAP</t>
  </si>
  <si>
    <t>TSLA</t>
  </si>
  <si>
    <t>GS</t>
  </si>
  <si>
    <t>Blotter</t>
  </si>
  <si>
    <t>MultiTradingTicketFromBlotter</t>
  </si>
  <si>
    <t>New</t>
  </si>
  <si>
    <t>MultiTradingTicket</t>
  </si>
  <si>
    <t>BulkEditUpdateFromMTT</t>
  </si>
  <si>
    <t>M</t>
  </si>
  <si>
    <t>BULK</t>
  </si>
  <si>
    <t>VerifyMTT</t>
  </si>
  <si>
    <t>Al</t>
  </si>
  <si>
    <t>ApplyFilterOnMTTGrid</t>
  </si>
  <si>
    <t>Broker</t>
  </si>
  <si>
    <t>SELECTROW</t>
  </si>
  <si>
    <t>COUNT</t>
  </si>
  <si>
    <t>EDITTRADE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</si>
</sst>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IFERROR(__xludf.DUMMYFUNCTION("""COMPUTED_VALUE"""),"Undefined")</f>
        <v>Undefined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12">
        <v>100.0</v>
      </c>
      <c r="F6" s="12" t="s">
        <v>18</v>
      </c>
      <c r="G6" s="12" t="s">
        <v>19</v>
      </c>
      <c r="H6" s="12" t="s">
        <v>20</v>
      </c>
      <c r="I6" s="12" t="s">
        <v>21</v>
      </c>
      <c r="J6" s="12">
        <v>10.0</v>
      </c>
      <c r="K6" s="8"/>
      <c r="L6" s="8"/>
      <c r="M6" s="8"/>
      <c r="N6" s="30">
        <f t="shared" ref="N6:N8" si="1">today()</f>
        <v>45230</v>
      </c>
      <c r="O6" s="8"/>
    </row>
    <row r="7" ht="15.75" customHeight="1">
      <c r="A7" s="12"/>
      <c r="B7" s="12" t="s">
        <v>22</v>
      </c>
      <c r="C7" s="12" t="s">
        <v>17</v>
      </c>
      <c r="D7" s="12">
        <v>100.0</v>
      </c>
      <c r="E7" s="12">
        <v>100.0</v>
      </c>
      <c r="F7" s="12" t="s">
        <v>18</v>
      </c>
      <c r="G7" s="12" t="s">
        <v>19</v>
      </c>
      <c r="H7" s="12" t="s">
        <v>20</v>
      </c>
      <c r="I7" s="12" t="s">
        <v>21</v>
      </c>
      <c r="J7" s="12">
        <v>10.0</v>
      </c>
      <c r="K7" s="8"/>
      <c r="L7" s="8"/>
      <c r="M7" s="8"/>
      <c r="N7" s="30">
        <f t="shared" si="1"/>
        <v>45230</v>
      </c>
      <c r="O7" s="8"/>
    </row>
    <row r="8" ht="15.75" customHeight="1">
      <c r="A8" s="8"/>
      <c r="B8" s="12" t="s">
        <v>23</v>
      </c>
      <c r="C8" s="12" t="s">
        <v>17</v>
      </c>
      <c r="D8" s="12">
        <v>100.0</v>
      </c>
      <c r="E8" s="12">
        <v>100.0</v>
      </c>
      <c r="F8" s="12" t="s">
        <v>18</v>
      </c>
      <c r="G8" s="12" t="s">
        <v>24</v>
      </c>
      <c r="H8" s="12" t="s">
        <v>20</v>
      </c>
      <c r="I8" s="12" t="s">
        <v>21</v>
      </c>
      <c r="J8" s="12">
        <v>10.0</v>
      </c>
      <c r="K8" s="8"/>
      <c r="L8" s="8"/>
      <c r="M8" s="8"/>
      <c r="N8" s="30">
        <f t="shared" si="1"/>
        <v>45230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27</v>
      </c>
      <c r="AL6" s="9">
        <v>100.0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22</v>
      </c>
      <c r="AJ7" s="9" t="s">
        <v>17</v>
      </c>
      <c r="AK7" s="9" t="s">
        <v>27</v>
      </c>
      <c r="AL7" s="9">
        <v>100.0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IFERROR(__xludf.DUMMYFUNCTION("""COMPUTED_VALUE"""),"Button")</f>
        <v>Button</v>
      </c>
      <c r="AL5" s="29" t="str">
        <f>IFERROR(__xludf.DUMMYFUNCTION("""COMPUTED_VALUE"""),"Bulk Update Alert")</f>
        <v>Bulk Update Alert</v>
      </c>
      <c r="AM5" s="29" t="str">
        <f>IFERROR(__xludf.DUMMYFUNCTION("""COMPUTED_VALUE"""),"CancelWithoutReplace")</f>
        <v>CancelWithoutReplace</v>
      </c>
      <c r="AN5" s="29" t="str">
        <f>IFERROR(__xludf.DUMMYFUNCTION("""COMPUTED_VALUE"""),"BULK_OR_EDITTRADE")</f>
        <v>BULK_OR_EDITTRADE</v>
      </c>
      <c r="AO5" s="29" t="str">
        <f>IFERROR(__xludf.DUMMYFUNCTION("""COMPUTED_VALUE"""),"Click on Clear")</f>
        <v>Click on Clear</v>
      </c>
      <c r="AP5" s="29" t="str">
        <f>IFERROR(__xludf.DUMMYFUNCTION("""COMPUTED_VALUE"""),"Account")</f>
        <v>Account</v>
      </c>
      <c r="AQ5" s="29" t="str">
        <f>IFERROR(__xludf.DUMMYFUNCTION("""COMPUTED_VALUE"""),"Account %")</f>
        <v>Account %</v>
      </c>
      <c r="AR5" s="29" t="str">
        <f>IFERROR(__xludf.DUMMYFUNCTION("""COMPUTED_VALUE"""),"ClearOldCA")</f>
        <v>ClearOldCA</v>
      </c>
      <c r="AS5" s="29" t="str">
        <f>IFERROR(__xludf.DUMMYFUNCTION("""COMPUTED_VALUE"""),"ClickClearNotUpdate")</f>
        <v>ClickClearNotUpdate</v>
      </c>
      <c r="AT5" s="29" t="str">
        <f>IFERROR(__xludf.DUMMYFUNCTION("""COMPUTED_VALUE"""),"Expiration Date")</f>
        <v>Expiration Date</v>
      </c>
      <c r="AU5" s="29" t="str">
        <f>IFERROR(__xludf.DUMMYFUNCTION("""COMPUTED_VALUE"""),"VerifySuggestions")</f>
        <v>VerifySuggestions</v>
      </c>
      <c r="AV5" s="29" t="str">
        <f>IFERROR(__xludf.DUMMYFUNCTION("""COMPUTED_VALUE"""),"PriceButtonPressCount")</f>
        <v>PriceButtonPressCount</v>
      </c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17</v>
      </c>
      <c r="D6" s="12"/>
      <c r="E6" s="31"/>
      <c r="F6" s="8"/>
      <c r="G6" s="12" t="s">
        <v>30</v>
      </c>
      <c r="H6" s="8"/>
      <c r="I6" s="8"/>
      <c r="J6" s="8"/>
      <c r="K6" s="8"/>
      <c r="L6" s="8"/>
      <c r="M6" s="8"/>
      <c r="N6" s="8"/>
      <c r="O6" s="8"/>
      <c r="AN6" s="9" t="s">
        <v>31</v>
      </c>
      <c r="AU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BulkEditUpdateFromMTT!$4:$4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IFERROR(__xludf.DUMMYFUNCTION("""COMPUTED_VALUE"""),"ImportFileName")</f>
        <v>ImportFileName</v>
      </c>
      <c r="AH5" s="29" t="str">
        <f>IFERROR(__xludf.DUMMYFUNCTION("""COMPUTED_VALUE"""),"FX Operator")</f>
        <v>FX Operator</v>
      </c>
      <c r="AI5" s="29" t="str">
        <f>IFERROR(__xludf.DUMMYFUNCTION("""COMPUTED_VALUE"""),"Algo Type")</f>
        <v>Algo Type</v>
      </c>
      <c r="AJ5" s="29" t="str">
        <f>IFERROR(__xludf.DUMMYFUNCTION("""COMPUTED_VALUE"""),"Borrow Rate(BPS)")</f>
        <v>Borrow Rate(BPS)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1"/>
      <c r="F6" s="12" t="s">
        <v>18</v>
      </c>
      <c r="G6" s="12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22</v>
      </c>
      <c r="C7" s="12" t="s">
        <v>17</v>
      </c>
      <c r="D7" s="12">
        <v>100.0</v>
      </c>
      <c r="E7" s="31"/>
      <c r="F7" s="12" t="s">
        <v>18</v>
      </c>
      <c r="G7" s="12" t="s">
        <v>19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IFERROR(__xludf.DUMMYFUNCTION("""COMPUTED_VALUE"""),"Button")</f>
        <v>Button</v>
      </c>
      <c r="AL5" s="29" t="str">
        <f>IFERROR(__xludf.DUMMYFUNCTION("""COMPUTED_VALUE"""),"Bulk Update Alert")</f>
        <v>Bulk Update Alert</v>
      </c>
      <c r="AM5" s="29" t="str">
        <f>IFERROR(__xludf.DUMMYFUNCTION("""COMPUTED_VALUE"""),"CancelWithoutReplace")</f>
        <v>CancelWithoutReplace</v>
      </c>
      <c r="AN5" s="29" t="str">
        <f>IFERROR(__xludf.DUMMYFUNCTION("""COMPUTED_VALUE"""),"BULK_OR_EDITTRADE")</f>
        <v>BULK_OR_EDITTRADE</v>
      </c>
      <c r="AO5" s="29" t="str">
        <f>IFERROR(__xludf.DUMMYFUNCTION("""COMPUTED_VALUE"""),"Click on Clear")</f>
        <v>Click on Clear</v>
      </c>
      <c r="AP5" s="29" t="str">
        <f>IFERROR(__xludf.DUMMYFUNCTION("""COMPUTED_VALUE"""),"Account")</f>
        <v>Account</v>
      </c>
      <c r="AQ5" s="29" t="str">
        <f>IFERROR(__xludf.DUMMYFUNCTION("""COMPUTED_VALUE"""),"Account %")</f>
        <v>Account %</v>
      </c>
      <c r="AR5" s="29" t="str">
        <f>IFERROR(__xludf.DUMMYFUNCTION("""COMPUTED_VALUE"""),"ClearOldCA")</f>
        <v>ClearOldCA</v>
      </c>
      <c r="AS5" s="29" t="str">
        <f>IFERROR(__xludf.DUMMYFUNCTION("""COMPUTED_VALUE"""),"ClickClearNotUpdate")</f>
        <v>ClickClearNotUpdate</v>
      </c>
      <c r="AT5" s="29" t="str">
        <f>IFERROR(__xludf.DUMMYFUNCTION("""COMPUTED_VALUE"""),"Expiration Date")</f>
        <v>Expiration Date</v>
      </c>
      <c r="AU5" s="29" t="str">
        <f>IFERROR(__xludf.DUMMYFUNCTION("""COMPUTED_VALUE"""),"VerifySuggestions")</f>
        <v>VerifySuggestions</v>
      </c>
      <c r="AV5" s="29" t="str">
        <f>IFERROR(__xludf.DUMMYFUNCTION("""COMPUTED_VALUE"""),"PriceButtonPressCount")</f>
        <v>PriceButtonPressCount</v>
      </c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17</v>
      </c>
      <c r="D6" s="12"/>
      <c r="E6" s="31"/>
      <c r="F6" s="12" t="s">
        <v>33</v>
      </c>
      <c r="G6" s="8"/>
      <c r="H6" s="8"/>
      <c r="I6" s="8"/>
      <c r="J6" s="8"/>
      <c r="K6" s="8"/>
      <c r="L6" s="8"/>
      <c r="M6" s="8"/>
      <c r="N6" s="8"/>
      <c r="O6" s="8"/>
      <c r="AN6" s="9" t="s">
        <v>31</v>
      </c>
      <c r="AU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BulkEditUpdateFromMTT1!$4:$4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27</v>
      </c>
      <c r="AL6" s="9">
        <v>100.0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22</v>
      </c>
      <c r="AJ7" s="9" t="s">
        <v>17</v>
      </c>
      <c r="AK7" s="9" t="s">
        <v>27</v>
      </c>
      <c r="AL7" s="9">
        <v>100.0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23</v>
      </c>
      <c r="AJ8" s="9" t="s">
        <v>17</v>
      </c>
      <c r="AK8" s="9" t="s">
        <v>27</v>
      </c>
      <c r="AL8" s="9">
        <v>100.0</v>
      </c>
      <c r="AS8" s="9" t="s">
        <v>24</v>
      </c>
      <c r="AT8" s="9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12" t="s">
        <v>19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ApplyFilterOnMTTGrid!$4:$4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IFERROR(__xludf.DUMMYFUNCTION("""COMPUTED_VALUE"""),"Button")</f>
        <v>Button</v>
      </c>
      <c r="AL5" s="29" t="str">
        <f>IFERROR(__xludf.DUMMYFUNCTION("""COMPUTED_VALUE"""),"Bulk Update Alert")</f>
        <v>Bulk Update Alert</v>
      </c>
      <c r="AM5" s="29" t="str">
        <f>IFERROR(__xludf.DUMMYFUNCTION("""COMPUTED_VALUE"""),"CancelWithoutReplace")</f>
        <v>CancelWithoutReplace</v>
      </c>
      <c r="AN5" s="29" t="str">
        <f>IFERROR(__xludf.DUMMYFUNCTION("""COMPUTED_VALUE"""),"BULK_OR_EDITTRADE")</f>
        <v>BULK_OR_EDITTRADE</v>
      </c>
      <c r="AO5" s="29" t="str">
        <f>IFERROR(__xludf.DUMMYFUNCTION("""COMPUTED_VALUE"""),"Click on Clear")</f>
        <v>Click on Clear</v>
      </c>
      <c r="AP5" s="29" t="str">
        <f>IFERROR(__xludf.DUMMYFUNCTION("""COMPUTED_VALUE"""),"Account")</f>
        <v>Account</v>
      </c>
      <c r="AQ5" s="29" t="str">
        <f>IFERROR(__xludf.DUMMYFUNCTION("""COMPUTED_VALUE"""),"Account %")</f>
        <v>Account %</v>
      </c>
      <c r="AR5" s="29" t="str">
        <f>IFERROR(__xludf.DUMMYFUNCTION("""COMPUTED_VALUE"""),"ClearOldCA")</f>
        <v>ClearOldCA</v>
      </c>
      <c r="AS5" s="29" t="str">
        <f>IFERROR(__xludf.DUMMYFUNCTION("""COMPUTED_VALUE"""),"ClickClearNotUpdate")</f>
        <v>ClickClearNotUpdate</v>
      </c>
      <c r="AT5" s="29" t="str">
        <f>IFERROR(__xludf.DUMMYFUNCTION("""COMPUTED_VALUE"""),"Expiration Date")</f>
        <v>Expiration Date</v>
      </c>
      <c r="AU5" s="29" t="str">
        <f>IFERROR(__xludf.DUMMYFUNCTION("""COMPUTED_VALUE"""),"VerifySuggestions")</f>
        <v>VerifySuggestions</v>
      </c>
      <c r="AV5" s="29" t="str">
        <f>IFERROR(__xludf.DUMMYFUNCTION("""COMPUTED_VALUE"""),"PriceButtonPressCount")</f>
        <v>PriceButtonPressCount</v>
      </c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2" t="s">
        <v>37</v>
      </c>
      <c r="K7" s="8"/>
      <c r="L7" s="8"/>
      <c r="M7" s="8"/>
      <c r="N7" s="8"/>
      <c r="O7" s="8"/>
      <c r="AN7" s="9" t="s">
        <v>38</v>
      </c>
      <c r="AV7" s="9">
        <v>4.0</v>
      </c>
    </row>
    <row r="8" ht="15.75" customHeight="1">
      <c r="A8" s="8"/>
      <c r="B8" s="12" t="s">
        <v>22</v>
      </c>
      <c r="C8" s="12" t="s">
        <v>17</v>
      </c>
      <c r="D8" s="12">
        <v>100.0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N8" s="9" t="s">
        <v>36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12" t="s">
        <v>37</v>
      </c>
      <c r="K9" s="8"/>
      <c r="L9" s="8"/>
      <c r="M9" s="8"/>
      <c r="N9" s="8"/>
      <c r="O9" s="8"/>
      <c r="AN9" s="9" t="s">
        <v>38</v>
      </c>
      <c r="AV9" s="9">
        <v>4.0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BulkEditUpdateFromMTT2!$4:$4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14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IFERROR(__xludf.DUMMYFUNCTION("""COMPUTED_VALUE"""),"ImportFileName")</f>
        <v>ImportFileName</v>
      </c>
      <c r="AH5" s="29" t="str">
        <f>IFERROR(__xludf.DUMMYFUNCTION("""COMPUTED_VALUE"""),"FX Operator")</f>
        <v>FX Operator</v>
      </c>
      <c r="AI5" s="29" t="str">
        <f>IFERROR(__xludf.DUMMYFUNCTION("""COMPUTED_VALUE"""),"Algo Type")</f>
        <v>Algo Type</v>
      </c>
      <c r="AJ5" s="29" t="str">
        <f>IFERROR(__xludf.DUMMYFUNCTION("""COMPUTED_VALUE"""),"Borrow Rate(BPS)")</f>
        <v>Borrow Rate(BPS)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12">
        <v>100.0</v>
      </c>
      <c r="F6" s="12" t="s">
        <v>18</v>
      </c>
      <c r="G6" s="12" t="s">
        <v>19</v>
      </c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17</v>
      </c>
      <c r="D7" s="12">
        <v>100.0</v>
      </c>
      <c r="E7" s="12">
        <v>100.0</v>
      </c>
      <c r="F7" s="12" t="s">
        <v>18</v>
      </c>
      <c r="G7" s="12" t="s">
        <v>19</v>
      </c>
      <c r="H7" s="8"/>
      <c r="I7" s="8"/>
      <c r="J7" s="12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VerifyMTT1!$4:$4</formula1>
    </dataValidation>
  </dataValidations>
  <drawing r:id="rId1"/>
</worksheet>
</file>