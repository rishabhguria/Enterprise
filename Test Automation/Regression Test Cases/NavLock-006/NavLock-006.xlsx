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AddNavLock" sheetId="5" r:id="rId7"/>
    <sheet state="visible" name="AddSymbolToWatchlist" sheetId="6" r:id="rId8"/>
    <sheet state="visible" name="TradeFromWatchlist" sheetId="7" r:id="rId9"/>
    <sheet state="visible" name="CreateDoneAwayOrder" sheetId="8" r:id="rId10"/>
    <sheet state="visible" name="VerifyNavLockPopup" sheetId="9" r:id="rId11"/>
    <sheet state="visible" name="CreateDoneAwayOrder1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<sst xmlns="http://schemas.openxmlformats.org/spreadsheetml/2006/main" count="78" uniqueCount="30">
  <si>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</si>
  <si>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</si>
  <si>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</si>
  <si>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</si>
  <si>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</si>
  <si>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</si>
  <si>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</si>
  <si>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</si>
  <si>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</si>
  <si>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</si>
  <si>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</si>
  <si>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</si>
  <si>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</si>
  <si>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</si>
  <si>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</si>
  <si>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</si>
  <si>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NAV Lock</t>
  </si>
  <si>
    <t>NavLock</t>
  </si>
  <si>
    <t>AddNavLock</t>
  </si>
  <si>
    <t>Watchlist</t>
  </si>
  <si>
    <t>AddSymbolToWatchlist</t>
  </si>
  <si>
    <t>AAPL</t>
  </si>
  <si>
    <t>TradeFromWatchlist</t>
  </si>
  <si>
    <t>Buy</t>
  </si>
  <si>
    <t>TradingTicket</t>
  </si>
  <si>
    <t>CreateDoneAwayOrder</t>
  </si>
  <si>
    <t>VerifyNavLockPopup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</si>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</sst>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6" fontId="1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IFERROR(__xludf.DUMMYFUNCTION("""COMPUTED_VALUE"""),"Cancel")</f>
        <v>Cancel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f>TODAY()-1</f>
        <v>45474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AddNavLock!$4:$4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23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>
        <v>100.0</v>
      </c>
      <c r="E6" s="35"/>
      <c r="F6" s="8"/>
      <c r="G6" s="8"/>
      <c r="H6" s="8"/>
      <c r="I6" s="8"/>
      <c r="J6" s="12">
        <v>2.0</v>
      </c>
      <c r="K6" s="8"/>
      <c r="L6" s="8"/>
      <c r="M6" s="8"/>
      <c r="N6" s="36">
        <f>TODAY()-2</f>
        <v>45473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IFERROR(__xludf.DUMMYFUNCTION("""COMPUTED_VALUE"""),"Description")</f>
        <v>Description</v>
      </c>
      <c r="C5" s="27" t="str">
        <f>IFERROR(__xludf.DUMMYFUNCTION("""COMPUTED_VALUE"""),"Window Type")</f>
        <v>Window Type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tr">
        <f>"The date you’ve chosen for this action precedes your NAV Lock date (" &amp; MONTH(TODAY()-1) &amp; "/" &amp; DAY(TODAY()-1) &amp; "/" &amp; YEAR(TODAY()-1) &amp; "). Please reach out to your Support Team for further assistance"</f>
        <v>The date you’ve chosen for this action precedes your NAV Lock date (7/1/2024). Please reach out to your Support Team for further assistance</v>
      </c>
      <c r="C6" s="32" t="s">
        <v>24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VerifyNavLockPopup!$4:$4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IFERROR(__xludf.DUMMYFUNCTION("IF(C3="""","""",Transpose(IMPORTRANGE('_Settings'!$B$3,C3&amp;""!A4:A1000"")))"),"Loading...")</f>
        <v>Loading...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>
        <v>100.0</v>
      </c>
      <c r="E6" s="35"/>
      <c r="F6" s="8"/>
      <c r="G6" s="8"/>
      <c r="H6" s="8"/>
      <c r="I6" s="8"/>
      <c r="J6" s="12">
        <v>2.0</v>
      </c>
      <c r="K6" s="8"/>
      <c r="L6" s="8"/>
      <c r="M6" s="8"/>
      <c r="N6" s="36">
        <f>TODAY()</f>
        <v>45475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5"/>
      <c r="F6" s="8"/>
      <c r="G6" s="8"/>
      <c r="H6" s="8"/>
      <c r="I6" s="8"/>
      <c r="J6" s="12" t="s">
        <v>21</v>
      </c>
      <c r="K6" s="8"/>
      <c r="L6" s="8"/>
      <c r="M6" s="8"/>
      <c r="N6" s="8"/>
      <c r="O6" s="8"/>
      <c r="AI6" s="9" t="s">
        <v>21</v>
      </c>
      <c r="AJ6" s="9" t="s">
        <v>23</v>
      </c>
      <c r="AK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