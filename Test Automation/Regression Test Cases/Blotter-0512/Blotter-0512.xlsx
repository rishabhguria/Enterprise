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StageOrder" sheetId="7" r:id="rId9"/>
    <sheet state="visible" name="CreateDoneAwayOrder" sheetId="8" r:id="rId10"/>
    <sheet state="visible" name="SetGeneralPreferences" sheetId="9" r:id="rId11"/>
    <sheet state="visible" name="RunProrata" sheetId="10" r:id="rId12"/>
    <sheet state="visible" name="CreateDoneAwayOrder1" sheetId="11" r:id="rId13"/>
    <sheet state="visible" name="GetDataFromAuditTrail" sheetId="12" r:id="rId14"/>
    <sheet state="visible" name="VerifyAuditTrail" sheetId="13" r:id="rId15"/>
  </sheets>
  <definedNames/>
  <calcPr/>
</workbook>
</file>

<file path=xl/sharedStrings.xml><?xml version="1.0" encoding="utf-8"?>
<sst xmlns="http://schemas.openxmlformats.org/spreadsheetml/2006/main" count="119" uniqueCount="42">
  <si>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</si>
  <si>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</si>
  <si>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</si>
  <si>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</si>
  <si>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</si>
  <si>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</si>
  <si>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</si>
  <si>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</si>
  <si>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</si>
  <si>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</si>
  <si>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</si>
  <si>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</si>
  <si>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</si>
  <si>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</si>
  <si>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</si>
  <si>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</si>
  <si>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Test1</t>
  </si>
  <si>
    <t>SetAccountValueCalculatedPref</t>
  </si>
  <si>
    <t>Allocation2</t>
  </si>
  <si>
    <t>Allocation3</t>
  </si>
  <si>
    <t>SetDefaultRuleCalculatedPref</t>
  </si>
  <si>
    <t>Trade Quantity</t>
  </si>
  <si>
    <t>Current Preference</t>
  </si>
  <si>
    <t>TradingTicket</t>
  </si>
  <si>
    <t>CreateStageOrder</t>
  </si>
  <si>
    <t>AAPL</t>
  </si>
  <si>
    <t>Buy</t>
  </si>
  <si>
    <t>Allocation4</t>
  </si>
  <si>
    <t>CreateDoneAwayOrder</t>
  </si>
  <si>
    <t>IBM</t>
  </si>
  <si>
    <t>Allocation1,Allocation2</t>
  </si>
  <si>
    <t>60,40</t>
  </si>
  <si>
    <t>TSLA</t>
  </si>
  <si>
    <t>MSFT</t>
  </si>
  <si>
    <t>SetGeneralPreferences</t>
  </si>
  <si>
    <t>Nirvana</t>
  </si>
  <si>
    <t>RunProrata</t>
  </si>
  <si>
    <t>AuditTrail</t>
  </si>
  <si>
    <t>GetDataFromAuditTrail</t>
  </si>
  <si>
    <t>VerifyAuditTrail</t>
  </si>
  <si>
    <t>Stage Order Created</t>
  </si>
  <si>
    <t>Order 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</si>
</sst>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6" fontId="13" numFmtId="164" xfId="0" applyAlignment="1" applyFill="1" applyFont="1" applyNumberFormat="1">
      <alignment horizontal="right" vertical="bottom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>
        <v>75.0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19</v>
      </c>
      <c r="D7" s="12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 t="s">
        <v>22</v>
      </c>
      <c r="E6" s="30"/>
      <c r="F6" s="8"/>
      <c r="G6" s="12" t="b">
        <v>0</v>
      </c>
      <c r="H6" s="12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100.0</v>
      </c>
      <c r="E6" s="30"/>
      <c r="F6" s="12" t="s">
        <v>27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26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K6" s="9" t="s">
        <v>30</v>
      </c>
      <c r="AL6" s="9" t="s">
        <v>31</v>
      </c>
    </row>
    <row r="7" ht="15.75" customHeight="1">
      <c r="A7" s="8"/>
      <c r="B7" s="12" t="s">
        <v>32</v>
      </c>
      <c r="C7" s="12" t="s">
        <v>26</v>
      </c>
      <c r="D7" s="12">
        <v>100.0</v>
      </c>
      <c r="E7" s="8"/>
      <c r="F7" s="12" t="s">
        <v>16</v>
      </c>
      <c r="G7" s="8"/>
      <c r="H7" s="8"/>
      <c r="I7" s="8"/>
      <c r="J7" s="12">
        <v>40.0</v>
      </c>
      <c r="K7" s="8"/>
      <c r="L7" s="8"/>
      <c r="M7" s="8"/>
      <c r="N7" s="8"/>
      <c r="O7" s="8"/>
    </row>
    <row r="8" ht="15.75" customHeight="1">
      <c r="A8" s="8"/>
      <c r="B8" s="12" t="s">
        <v>33</v>
      </c>
      <c r="C8" s="12" t="s">
        <v>26</v>
      </c>
      <c r="D8" s="12">
        <v>100.0</v>
      </c>
      <c r="E8" s="8"/>
      <c r="F8" s="12" t="s">
        <v>19</v>
      </c>
      <c r="G8" s="8"/>
      <c r="H8" s="8"/>
      <c r="I8" s="8"/>
      <c r="J8" s="12">
        <v>40.0</v>
      </c>
      <c r="K8" s="8"/>
      <c r="L8" s="8"/>
      <c r="M8" s="8"/>
      <c r="N8" s="31">
        <f>today()-1</f>
        <v>45470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 t="s">
        <v>35</v>
      </c>
      <c r="Y6" s="33"/>
      <c r="Z6" s="34" t="b">
        <v>1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f>today()-1</f>
        <v>45470</v>
      </c>
      <c r="C6" s="33" t="s">
        <v>35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33</v>
      </c>
      <c r="C6" s="12" t="s">
        <v>26</v>
      </c>
      <c r="D6" s="12">
        <v>100.0</v>
      </c>
      <c r="E6" s="8"/>
      <c r="F6" s="12" t="s">
        <v>35</v>
      </c>
      <c r="G6" s="8"/>
      <c r="H6" s="8"/>
      <c r="I6" s="8"/>
      <c r="J6" s="12">
        <v>40.0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IFERROR(__xludf.DUMMYFUNCTION("""COMPUTED_VALUE"""),"FromDate")</f>
        <v>FromDate</v>
      </c>
      <c r="C5" s="27" t="str">
        <f>IFERROR(__xludf.DUMMYFUNCTION("""COMPUTED_VALUE"""),"ToDate")</f>
        <v>ToDate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>
        <f>today()-2</f>
        <v>45469</v>
      </c>
      <c r="C6" s="31">
        <f>today()</f>
        <v>45471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25</v>
      </c>
      <c r="D6" s="12" t="s">
        <v>26</v>
      </c>
      <c r="E6" s="12"/>
      <c r="F6" s="12" t="s">
        <v>40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/>
      <c r="C7" s="12" t="s">
        <v>32</v>
      </c>
      <c r="D7" s="12" t="s">
        <v>26</v>
      </c>
      <c r="E7" s="12"/>
      <c r="F7" s="12" t="s">
        <v>41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12"/>
      <c r="B8" s="12"/>
      <c r="C8" s="12" t="s">
        <v>33</v>
      </c>
      <c r="D8" s="12" t="s">
        <v>26</v>
      </c>
      <c r="E8" s="12"/>
      <c r="F8" s="12" t="s">
        <v>41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12"/>
      <c r="B9" s="12"/>
      <c r="C9" s="12" t="s">
        <v>33</v>
      </c>
      <c r="D9" s="12" t="s">
        <v>26</v>
      </c>
      <c r="E9" s="12"/>
      <c r="F9" s="12" t="s">
        <v>41</v>
      </c>
      <c r="G9" s="8"/>
      <c r="H9" s="8"/>
      <c r="I9" s="8"/>
      <c r="J9" s="8"/>
      <c r="K9" s="8"/>
      <c r="L9" s="8"/>
      <c r="M9" s="8"/>
      <c r="N9" s="8"/>
      <c r="O9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drawing r:id="rId1"/>
</worksheet>
</file>