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SetGeneralPreferences" sheetId="5" r:id="rId7"/>
    <sheet state="visible" name="AddMFPreferences" sheetId="6" r:id="rId8"/>
    <sheet state="visible" name="SetMFPreferencesDefaultRule" sheetId="7" r:id="rId9"/>
    <sheet state="visible" name="SetMFPrefFundDistribution" sheetId="8" r:id="rId10"/>
    <sheet state="visible" name="SetMFPrefAccountValues" sheetId="9" r:id="rId11"/>
    <sheet state="visible" name="SetMFPrefAccountValues1" sheetId="10" r:id="rId12"/>
    <sheet state="visible" name="SetMFPrefGeneralRule" sheetId="11" r:id="rId13"/>
    <sheet state="visible" name="UpdateGRAccountValue" sheetId="12" r:id="rId14"/>
    <sheet state="visible" name="UpdateGRAccountValue1" sheetId="13" r:id="rId15"/>
    <sheet state="visible" name="SetMFPrefGeneralRule1" sheetId="14" r:id="rId16"/>
    <sheet state="visible" name="SelectUnallocatedGroup" sheetId="15" r:id="rId17"/>
    <sheet state="visible" name="EnterAllocatePreference" sheetId="16" r:id="rId18"/>
    <sheet state="visible" name="CheckAllocatedTaxlots" sheetId="17" r:id="rId19"/>
  </sheets>
  <definedNames/>
  <calcPr/>
</workbook>
</file>

<file path=xl/sharedStrings.xml><?xml version="1.0" encoding="utf-8"?>
<sst xmlns="http://schemas.openxmlformats.org/spreadsheetml/2006/main" count="200" uniqueCount="48">
  <si>
    <t>Modules Info</t>
  </si>
  <si>
    <t>Modules</t>
  </si>
  <si>
    <t>Settings</t>
  </si>
  <si>
    <t>Module Step Setting File</t>
  </si>
  <si>
    <t>1FzWTLghJOFjrGmCEN5rFkuzctvHiAo4TNjRi7fOzwlg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</si>
  <si>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</si>
  <si>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</si>
  <si>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</si>
  <si>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</si>
  <si>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</si>
  <si>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</si>
  <si>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</si>
  <si>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</si>
  <si>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</si>
  <si>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</si>
  <si>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</si>
  <si>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CSCO</t>
  </si>
  <si>
    <t>Sell</t>
  </si>
  <si>
    <t>Allocation1</t>
  </si>
  <si>
    <t>Allocation2</t>
  </si>
  <si>
    <t>GOOG</t>
  </si>
  <si>
    <t>Buy</t>
  </si>
  <si>
    <t>Buy to Close</t>
  </si>
  <si>
    <t>Unallocated</t>
  </si>
  <si>
    <t>Allocation</t>
  </si>
  <si>
    <t>SetGeneralPreferences</t>
  </si>
  <si>
    <t>AddMFPreferences</t>
  </si>
  <si>
    <t>TestPref</t>
  </si>
  <si>
    <t>SetMFPreferencesDefaultRule</t>
  </si>
  <si>
    <t>Current Preference</t>
  </si>
  <si>
    <t>Complete Portfolio</t>
  </si>
  <si>
    <t>SetMFPrefFundDistribution</t>
  </si>
  <si>
    <t>NewMF</t>
  </si>
  <si>
    <t>NewMF1</t>
  </si>
  <si>
    <t>SetMFPrefAccountValues</t>
  </si>
  <si>
    <t>SetMFPrefGeneralRule</t>
  </si>
  <si>
    <t>Include</t>
  </si>
  <si>
    <t>UpdateGRAccountValue</t>
  </si>
  <si>
    <t>Allocation3</t>
  </si>
  <si>
    <t>Allocation4</t>
  </si>
  <si>
    <t>SelectUnallocatedGroup</t>
  </si>
  <si>
    <t>EnterAllocatePreference</t>
  </si>
  <si>
    <t>Calculated</t>
  </si>
  <si>
    <t>CheckAllocatedTaxlots</t>
  </si>
  <si>
    <t>M</t>
  </si>
  <si>
    <t>USD</t>
  </si>
  <si>
    <t>Strategy Unallocated</t>
  </si>
  <si>
    <t>Open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</si>
</sst>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readingOrder="0" shrinkToFit="0" wrapText="0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center"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horizontal="center"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readingOrder="0"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readingOrder="0" vertical="bottom"/>
    </xf>
    <xf borderId="0" fillId="0" fontId="13" numFmtId="4" xfId="0" applyAlignment="1" applyFont="1" applyNumberFormat="1">
      <alignment horizontal="right" readingOrder="0" shrinkToFit="0" vertical="bottom" wrapText="0"/>
    </xf>
    <xf borderId="0" fillId="0" fontId="13" numFmtId="0" xfId="0" applyAlignment="1" applyFont="1">
      <alignment readingOrder="0" shrinkToFit="0" vertical="bottom" wrapText="0"/>
    </xf>
    <xf borderId="0" fillId="0" fontId="13" numFmtId="0" xfId="0" applyAlignment="1" applyFont="1">
      <alignment horizontal="right" readingOrder="0" shrinkToFit="0" vertical="bottom" wrapText="0"/>
    </xf>
    <xf borderId="0" fillId="0" fontId="13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IFERROR(__xludf.DUMMYFUNCTION("""COMPUTED_VALUE"""),"17hQQja2JxgHYc91C7e_NxNoHLA89SiPSSBCEIFHCoTk")</f>
        <v>17hQQja2JxgHYc91C7e_NxNoHLA89SiPSSBCEIFHCoTk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IFERROR(__xludf.DUMMYFUNCTION("""COMPUTED_VALUE"""),"1XzjmPmpB7IMcyzPSsbgmFfzjE_zIKdjrk0mUoMFhNZc")</f>
        <v>1XzjmPmpB7IMcyzPSsbgmFfzjE_zIKdjrk0mUoMFhNZc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>
      <c r="A859" t="str">
        <f>IFERROR(__xludf.DUMMYFUNCTION("""COMPUTED_VALUE"""),"Unknown")</f>
        <v>Unknown</v>
      </c>
      <c r="B859" t="str">
        <f>IFERROR(__xludf.DUMMYFUNCTION("""COMPUTED_VALUE"""),"VerifyFatFingerTR")</f>
        <v>VerifyFatFingerTR</v>
      </c>
      <c r="C859" t="str">
        <f>IFERROR(__xludf.DUMMYFUNCTION("""COMPUTED_VALUE"""),"1DUwxSUq_47EK60XmK3LOdCXa1fkWqWJE9bLuGS3ccv412")</f>
        <v>1DUwxSUq_47EK60XmK3LOdCXa1fkWqWJE9bLuGS3ccv412</v>
      </c>
    </row>
    <row r="860" ht="15.75" customHeight="1">
      <c r="A860" t="str">
        <f>IFERROR(__xludf.DUMMYFUNCTION("""COMPUTED_VALUE"""),"Unknown")</f>
        <v>Unknown</v>
      </c>
      <c r="B860" t="str">
        <f>IFERROR(__xludf.DUMMYFUNCTION("""COMPUTED_VALUE"""),"VerifyOverBuySellTR")</f>
        <v>VerifyOverBuySellTR</v>
      </c>
      <c r="C860" t="str">
        <f>IFERROR(__xludf.DUMMYFUNCTION("""COMPUTED_VALUE"""),"1DUwxSUq_47EK60XmK3LOdCXa1fkWqWJE9bLuGS3ccv412")</f>
        <v>1DUwxSUq_47EK60XmK3LOdCXa1fkWqWJE9bLuGS3ccv412</v>
      </c>
    </row>
    <row r="861" ht="15.75" customHeight="1">
      <c r="A861" t="str">
        <f>IFERROR(__xludf.DUMMYFUNCTION("""COMPUTED_VALUE"""),"PTT")</f>
        <v>PTT</v>
      </c>
      <c r="B861" t="str">
        <f>IFERROR(__xludf.DUMMYFUNCTION("""COMPUTED_VALUE"""),"RefreshCalculation")</f>
        <v>RefreshCalculation</v>
      </c>
    </row>
    <row r="862" ht="15.75" customHeight="1">
      <c r="A862" t="str">
        <f>IFERROR(__xludf.DUMMYFUNCTION("""COMPUTED_VALUE"""),"Rebalancer")</f>
        <v>Rebalancer</v>
      </c>
      <c r="B862" t="str">
        <f>IFERROR(__xludf.DUMMYFUNCTION("""COMPUTED_VALUE"""),"AddCustomCashFlow")</f>
        <v>AddCustomCashFlow</v>
      </c>
      <c r="C862" t="str">
        <f>IFERROR(__xludf.DUMMYFUNCTION("""COMPUTED_VALUE"""),"1DUwxSUq_47EK60XmK3LOdCXa1fkWqWJE9bLuGS3ccv412")</f>
        <v>1DUwxSUq_47EK60XmK3LOdCXa1fkWqWJE9bLuGS3ccv412</v>
      </c>
    </row>
    <row r="863" ht="15.75" customHeight="1">
      <c r="A863" t="str">
        <f>IFERROR(__xludf.DUMMYFUNCTION("""COMPUTED_VALUE"""),"Rebalancer")</f>
        <v>Rebalancer</v>
      </c>
      <c r="B863" t="str">
        <f>IFERROR(__xludf.DUMMYFUNCTION("""COMPUTED_VALUE"""),"ActionOnCustomCashFlow")</f>
        <v>ActionOnCustomCashFlow</v>
      </c>
      <c r="C863" t="str">
        <f>IFERROR(__xludf.DUMMYFUNCTION("""COMPUTED_VALUE"""),"1DUwxSUq_47EK60XmK3LOdCXa1fkWqWJE9bLuGS3ccv412")</f>
        <v>1DUwxSUq_47EK60XmK3LOdCXa1fkWqWJE9bLuGS3ccv412</v>
      </c>
    </row>
    <row r="864" ht="15.75" customHeight="1">
      <c r="A864" t="str">
        <f>IFERROR(__xludf.DUMMYFUNCTION("""COMPUTED_VALUE"""),"Rebalancer")</f>
        <v>Rebalancer</v>
      </c>
      <c r="B864" t="str">
        <f>IFERROR(__xludf.DUMMYFUNCTION("""COMPUTED_VALUE"""),"RemoveAllSecurities")</f>
        <v>RemoveAllSecurities</v>
      </c>
      <c r="C864" t="str">
        <f>IFERROR(__xludf.DUMMYFUNCTION("""COMPUTED_VALUE"""),"1DUwxSUq_47EK60XmK3LOdCXa1fkWqWJE9bLuGS3ccv412")</f>
        <v>1DUwxSUq_47EK60XmK3LOdCXa1fkWqWJE9bLuGS3ccv412</v>
      </c>
    </row>
    <row r="865" ht="15.75" customHeight="1">
      <c r="A865" t="str">
        <f>IFERROR(__xludf.DUMMYFUNCTION("""COMPUTED_VALUE"""),"Rebalancer")</f>
        <v>Rebalancer</v>
      </c>
      <c r="B865" t="str">
        <f>IFERROR(__xludf.DUMMYFUNCTION("""COMPUTED_VALUE"""),"RebalanceTradingRules")</f>
        <v>RebalanceTradingRules</v>
      </c>
      <c r="C865" t="str">
        <f>IFERROR(__xludf.DUMMYFUNCTION("""COMPUTED_VALUE"""),"1DUwxSUq_47EK60XmK3LOdCXa1fkWqWJE9bLuGS3ccv412")</f>
        <v>1DUwxSUq_47EK60XmK3LOdCXa1fkWqWJE9bLuGS3ccv412</v>
      </c>
    </row>
    <row r="866" ht="15.75" customHeight="1">
      <c r="A866" t="str">
        <f>IFERROR(__xludf.DUMMYFUNCTION("""COMPUTED_VALUE"""),"Rebalancer")</f>
        <v>Rebalancer</v>
      </c>
      <c r="B866" t="str">
        <f>IFERROR(__xludf.DUMMYFUNCTION("""COMPUTED_VALUE"""),"UpdateRBPreferences")</f>
        <v>UpdateRBPreferences</v>
      </c>
      <c r="C866" t="str">
        <f>IFERROR(__xludf.DUMMYFUNCTION("""COMPUTED_VALUE"""),"1DUwxSUq_47EK60XmK3LOdCXa1fkWqWJE9bLuGS3ccv412")</f>
        <v>1DUwxSUq_47EK60XmK3LOdCXa1fkWqWJE9bLuGS3ccv412</v>
      </c>
    </row>
    <row r="867" ht="15.75" customHeight="1">
      <c r="A867" t="str">
        <f>IFERROR(__xludf.DUMMYFUNCTION("""COMPUTED_VALUE"""),"Rebalancer")</f>
        <v>Rebalancer</v>
      </c>
      <c r="B867" t="str">
        <f>IFERROR(__xludf.DUMMYFUNCTION("""COMPUTED_VALUE"""),"RecalculateNIC")</f>
        <v>RecalculateNIC</v>
      </c>
      <c r="C867" t="str">
        <f>IFERROR(__xludf.DUMMYFUNCTION("""COMPUTED_VALUE"""),"1DUwxSUq_47EK60XmK3LOdCXa1fkWqWJE9bLuGS3ccv412")</f>
        <v>1DUwxSUq_47EK60XmK3LOdCXa1fkWqWJE9bLuGS3ccv412</v>
      </c>
    </row>
    <row r="868" ht="15.75" customHeight="1">
      <c r="A868" t="str">
        <f>IFERROR(__xludf.DUMMYFUNCTION("""COMPUTED_VALUE"""),"Blotter")</f>
        <v>Blotter</v>
      </c>
      <c r="B868" t="str">
        <f>IFERROR(__xludf.DUMMYFUNCTION("""COMPUTED_VALUE"""),"BookAsSwap")</f>
        <v>BookAsSwap</v>
      </c>
      <c r="C868" t="str">
        <f>IFERROR(__xludf.DUMMYFUNCTION("""COMPUTED_VALUE"""),"1tnkP5eD3WH53SXu2O-MWk6774J7b5ihwlD7r9dGtpiY")</f>
        <v>1tnkP5eD3WH53SXu2O-MWk6774J7b5ihwlD7r9dGtpiY</v>
      </c>
    </row>
    <row r="869" ht="15.75" customHeight="1">
      <c r="A869" t="str">
        <f>IFERROR(__xludf.DUMMYFUNCTION("""COMPUTED_VALUE"""),"QTT")</f>
        <v>QTT</v>
      </c>
      <c r="B869" t="str">
        <f>IFERROR(__xludf.DUMMYFUNCTION("""COMPUTED_VALUE"""),"VerifyQTT")</f>
        <v>VerifyQTT</v>
      </c>
      <c r="C869" t="str">
        <f>IFERROR(__xludf.DUMMYFUNCTION("""COMPUTED_VALUE"""),"1bs3VigXRg4VZR5W48lKm11EcEjEpmUCnBNDHffPRbIQ")</f>
        <v>1bs3VigXRg4VZR5W48lKm11EcEjEpmUCnBNDHffPRbIQ</v>
      </c>
    </row>
    <row r="870" ht="15.75" customHeight="1">
      <c r="A870" t="str">
        <f>IFERROR(__xludf.DUMMYFUNCTION("""COMPUTED_VALUE"""),"Rebalancer")</f>
        <v>Rebalancer</v>
      </c>
      <c r="B870" t="str">
        <f>IFERROR(__xludf.DUMMYFUNCTION("""COMPUTED_VALUE"""),"OperationsOnNIC")</f>
        <v>OperationsOnNIC</v>
      </c>
      <c r="C870" t="str">
        <f>IFERROR(__xludf.DUMMYFUNCTION("""COMPUTED_VALUE"""),"1DUwxSUq_47EK60XmK3LOdCXa1fkWqWJE9bLuGS3ccv412")</f>
        <v>1DUwxSUq_47EK60XmK3LOdCXa1fkWqWJE9bLuGS3ccv412</v>
      </c>
    </row>
    <row r="871" ht="15.75" customHeight="1">
      <c r="A871" t="str">
        <f>IFERROR(__xludf.DUMMYFUNCTION("""COMPUTED_VALUE"""),"Rebalancer")</f>
        <v>Rebalancer</v>
      </c>
      <c r="B871" t="str">
        <f>IFERROR(__xludf.DUMMYFUNCTION("""COMPUTED_VALUE"""),"DataPrefGridOperation")</f>
        <v>DataPrefGridOperation</v>
      </c>
      <c r="C871" t="str">
        <f>IFERROR(__xludf.DUMMYFUNCTION("""COMPUTED_VALUE"""),"1DUwxSUq_47EK60XmK3LOdCXa1fkWqWJE9bLuGS3ccv412")</f>
        <v>1DUwxSUq_47EK60XmK3LOdCXa1fkWqWJE9bLuGS3ccv412</v>
      </c>
    </row>
    <row r="872" ht="15.75" customHeight="1">
      <c r="A872" t="str">
        <f>IFERROR(__xludf.DUMMYFUNCTION("""COMPUTED_VALUE"""),"Rebalancer")</f>
        <v>Rebalancer</v>
      </c>
      <c r="B872" t="str">
        <f>IFERROR(__xludf.DUMMYFUNCTION("""COMPUTED_VALUE"""),"VerifyExpanderBarButton")</f>
        <v>VerifyExpanderBarButton</v>
      </c>
      <c r="C872" t="str">
        <f>IFERROR(__xludf.DUMMYFUNCTION("""COMPUTED_VALUE"""),"1DUwxSUq_47EK60XmK3LOdCXa1fkWqWJE9bLuGS3ccv412")</f>
        <v>1DUwxSUq_47EK60XmK3LOdCXa1fkWqWJE9bLuGS3ccv412</v>
      </c>
    </row>
    <row r="873" ht="15.75" customHeight="1">
      <c r="A873" t="str">
        <f>IFERROR(__xludf.DUMMYFUNCTION("""COMPUTED_VALUE"""),"Rebalancer")</f>
        <v>Rebalancer</v>
      </c>
      <c r="B873" t="str">
        <f>IFERROR(__xludf.DUMMYFUNCTION("""COMPUTED_VALUE"""),"RAS")</f>
        <v>RAS</v>
      </c>
      <c r="C873" t="str">
        <f>IFERROR(__xludf.DUMMYFUNCTION("""COMPUTED_VALUE"""),"1DUwxSUq_47EK60XmK3LOdCXa1fkWqWJE9bLuGS3ccv412")</f>
        <v>1DUwxSUq_47EK60XmK3LOdCXa1fkWqWJE9bLuGS3ccv412</v>
      </c>
    </row>
    <row r="874" ht="15.75" customHeight="1">
      <c r="A874" t="str">
        <f>IFERROR(__xludf.DUMMYFUNCTION("""COMPUTED_VALUE"""),"Blotter")</f>
        <v>Blotter</v>
      </c>
      <c r="B874" t="str">
        <f>IFERROR(__xludf.DUMMYFUNCTION("""COMPUTED_VALUE"""),"ActionOnFloatingWindow")</f>
        <v>ActionOnFloatingWindow</v>
      </c>
      <c r="C874" t="str">
        <f>IFERROR(__xludf.DUMMYFUNCTION("""COMPUTED_VALUE"""),"1tFNUPT3PXgCKRnnehGwo6OF7EhLu13UJ8Elfq83HArE")</f>
        <v>1tFNUPT3PXgCKRnnehGwo6OF7EhLu13UJ8Elfq83HArE</v>
      </c>
    </row>
    <row r="875" ht="15.75" customHeight="1">
      <c r="A875" t="str">
        <f>IFERROR(__xludf.DUMMYFUNCTION("""COMPUTED_VALUE"""),"PTT")</f>
        <v>PTT</v>
      </c>
      <c r="B875" t="str">
        <f>IFERROR(__xludf.DUMMYFUNCTION("""COMPUTED_VALUE"""),"PTTDashBoard")</f>
        <v>PTTDashBoard</v>
      </c>
      <c r="C875" t="str">
        <f>IFERROR(__xludf.DUMMYFUNCTION("""COMPUTED_VALUE"""),"1DUwxSUq_47EK60XmK3LOdCXa1fkWqWJE9bLuGS3ccv412")</f>
        <v>1DUwxSUq_47EK60XmK3LOdCXa1fkWqWJE9bLuGS3ccv412</v>
      </c>
    </row>
    <row r="876" ht="15.75" customHeight="1">
      <c r="A876" t="str">
        <f>IFERROR(__xludf.DUMMYFUNCTION("""COMPUTED_VALUE"""),"OpenFin")</f>
        <v>OpenFin</v>
      </c>
      <c r="B876" t="str">
        <f>IFERROR(__xludf.DUMMYFUNCTION("""COMPUTED_VALUE"""),"LockUnlockModule")</f>
        <v>LockUnlockModule</v>
      </c>
      <c r="C876" t="str">
        <f>IFERROR(__xludf.DUMMYFUNCTION("""COMPUTED_VALUE"""),"179D0kPRO8f_KLxd7hs6seM9XGxpL-u1rhIhNgFVePsQ")</f>
        <v>179D0kPRO8f_KLxd7hs6seM9XGxpL-u1rhIhNgFVePsQ</v>
      </c>
    </row>
    <row r="877" ht="15.75" customHeight="1">
      <c r="A877" t="str">
        <f>IFERROR(__xludf.DUMMYFUNCTION("""COMPUTED_VALUE"""),"OpenFin")</f>
        <v>OpenFin</v>
      </c>
      <c r="B877" t="str">
        <f>IFERROR(__xludf.DUMMYFUNCTION("""COMPUTED_VALUE"""),"OpenModuleFromDock")</f>
        <v>OpenModuleFromDock</v>
      </c>
      <c r="C877" t="str">
        <f>IFERROR(__xludf.DUMMYFUNCTION("""COMPUTED_VALUE"""),"1IdmD7l42pWNjFNVt_7UwbOO7y5tDxaXr7tE60c9ETLw")</f>
        <v>1IdmD7l42pWNjFNVt_7UwbOO7y5tDxaXr7tE60c9ETLw</v>
      </c>
    </row>
    <row r="878" ht="15.75" customHeight="1">
      <c r="A878" t="str">
        <f>IFERROR(__xludf.DUMMYFUNCTION("""COMPUTED_VALUE"""),"Rebalancer")</f>
        <v>Rebalancer</v>
      </c>
      <c r="B878" t="str">
        <f>IFERROR(__xludf.DUMMYFUNCTION("""COMPUTED_VALUE"""),"ActionOnCFI")</f>
        <v>ActionOnCFI</v>
      </c>
      <c r="C878" t="str">
        <f>IFERROR(__xludf.DUMMYFUNCTION("""COMPUTED_VALUE"""),"1DUwxSUq_47EK60XmK3LOdCXa1fkWqWJE9bLuGS3ccv412")</f>
        <v>1DUwxSUq_47EK60XmK3LOdCXa1fkWqWJE9bLuGS3ccv412</v>
      </c>
    </row>
    <row r="879" ht="15.75" customHeight="1">
      <c r="A879" t="str">
        <f>IFERROR(__xludf.DUMMYFUNCTION("""COMPUTED_VALUE"""),"Rebalancer")</f>
        <v>Rebalancer</v>
      </c>
      <c r="B879" t="str">
        <f>IFERROR(__xludf.DUMMYFUNCTION("""COMPUTED_VALUE"""),"VerifyCFI")</f>
        <v>VerifyCFI</v>
      </c>
      <c r="C879" t="str">
        <f>IFERROR(__xludf.DUMMYFUNCTION("""COMPUTED_VALUE"""),"1DUwxSUq_47EK60XmK3LOdCXa1fkWqWJE9bLuGS3ccv412")</f>
        <v>1DUwxSUq_47EK60XmK3LOdCXa1fkWqWJE9bLuGS3ccv412</v>
      </c>
    </row>
    <row r="880" ht="15.75" customHeight="1">
      <c r="A880" t="str">
        <f>IFERROR(__xludf.DUMMYFUNCTION("""COMPUTED_VALUE"""),"Blotter")</f>
        <v>Blotter</v>
      </c>
      <c r="B880" t="str">
        <f>IFERROR(__xludf.DUMMYFUNCTION("""COMPUTED_VALUE"""),"EnableOrVerifyHotButton")</f>
        <v>EnableOrVerifyHotButton</v>
      </c>
      <c r="C880" t="str">
        <f>IFERROR(__xludf.DUMMYFUNCTION("""COMPUTED_VALUE"""),"1wa8x9d9kPOHEp49mT2DEW0cyjjOClvAgixk1H2w-Tos")</f>
        <v>1wa8x9d9kPOHEp49mT2DEW0cyjjOClvAgixk1H2w-Tos</v>
      </c>
    </row>
    <row r="881" ht="15.75" customHeight="1">
      <c r="A881" t="str">
        <f>IFERROR(__xludf.DUMMYFUNCTION("""COMPUTED_VALUE"""),"TradeServer")</f>
        <v>TradeServer</v>
      </c>
      <c r="B881" t="str">
        <f>IFERROR(__xludf.DUMMYFUNCTION("""COMPUTED_VALUE"""),"RestartServerOnly")</f>
        <v>RestartServerOnly</v>
      </c>
      <c r="C881" t="str">
        <f>IFERROR(__xludf.DUMMYFUNCTION("""COMPUTED_VALUE"""),"Undefined")</f>
        <v>Undefined</v>
      </c>
    </row>
    <row r="882" ht="15.75" customHeight="1">
      <c r="A882" t="str">
        <f>IFERROR(__xludf.DUMMYFUNCTION("""COMPUTED_VALUE"""),"Rebalancer")</f>
        <v>Rebalancer</v>
      </c>
      <c r="B882" t="str">
        <f>IFERROR(__xludf.DUMMYFUNCTION("""COMPUTED_VALUE"""),"ActionOnCFI")</f>
        <v>ActionOnCFI</v>
      </c>
      <c r="C882" t="str">
        <f>IFERROR(__xludf.DUMMYFUNCTION("""COMPUTED_VALUE"""),"1DUwxSUq_47EK60XmK3LOdCXa1fkWqWJE9bLuGS3ccv412")</f>
        <v>1DUwxSUq_47EK60XmK3LOdCXa1fkWqWJE9bLuGS3ccv412</v>
      </c>
    </row>
    <row r="883" ht="15.75" customHeight="1">
      <c r="A883" t="str">
        <f>IFERROR(__xludf.DUMMYFUNCTION("""COMPUTED_VALUE"""),"Rebalancer")</f>
        <v>Rebalancer</v>
      </c>
      <c r="B883" t="str">
        <f>IFERROR(__xludf.DUMMYFUNCTION("""COMPUTED_VALUE"""),"VerifyCFI")</f>
        <v>VerifyCFI</v>
      </c>
      <c r="C883" t="str">
        <f>IFERROR(__xludf.DUMMYFUNCTION("""COMPUTED_VALUE"""),"1DUwxSUq_47EK60XmK3LOdCXa1fkWqWJE9bLuGS3ccv412")</f>
        <v>1DUwxSUq_47EK60XmK3LOdCXa1fkWqWJE9bLuGS3ccv412</v>
      </c>
    </row>
    <row r="884" ht="15.75" customHeight="1">
      <c r="A884" t="str">
        <f>IFERROR(__xludf.DUMMYFUNCTION("""COMPUTED_VALUE"""),"Rebalancer")</f>
        <v>Rebalancer</v>
      </c>
      <c r="B884" t="str">
        <f>IFERROR(__xludf.DUMMYFUNCTION("""COMPUTED_VALUE"""),"VerifyDelRASGrid")</f>
        <v>VerifyDelRASGrid</v>
      </c>
      <c r="C884" t="str">
        <f>IFERROR(__xludf.DUMMYFUNCTION("""COMPUTED_VALUE"""),"1DUwxSUq_47EK60XmK3LOdCXa1fkWqWJE9bLuGS3ccv412")</f>
        <v>1DUwxSUq_47EK60XmK3LOdCXa1fkWqWJE9bLuGS3ccv412</v>
      </c>
    </row>
    <row r="885" ht="15.75" customHeight="1">
      <c r="A885" t="str">
        <f>IFERROR(__xludf.DUMMYFUNCTION("""COMPUTED_VALUE"""),"Allocation")</f>
        <v>Allocation</v>
      </c>
      <c r="B885" t="str">
        <f>IFERROR(__xludf.DUMMYFUNCTION("""COMPUTED_VALUE"""),"ActionOnUPW")</f>
        <v>ActionOnUPW</v>
      </c>
      <c r="C885" t="str">
        <f>IFERROR(__xludf.DUMMYFUNCTION("""COMPUTED_VALUE"""),"1DUwxSUq_47EK60XmK3LOdCXa1fkWqWJE9bLuGS3ccv413")</f>
        <v>1DUwxSUq_47EK60XmK3LOdCXa1fkWqWJE9bLuGS3ccv413</v>
      </c>
    </row>
    <row r="886" ht="15.75" customHeight="1">
      <c r="A886" t="str">
        <f>IFERROR(__xludf.DUMMYFUNCTION("""COMPUTED_VALUE"""),"Allocation")</f>
        <v>Allocation</v>
      </c>
      <c r="B886" t="str">
        <f>IFERROR(__xludf.DUMMYFUNCTION("""COMPUTED_VALUE"""),"DefaultRuleUPW")</f>
        <v>DefaultRuleUPW</v>
      </c>
      <c r="C886" t="str">
        <f>IFERROR(__xludf.DUMMYFUNCTION("""COMPUTED_VALUE"""),"1DUwxSUq_47EK60XmK3LOdCXa1fkWqWJE9bLuGS3ccv414")</f>
        <v>1DUwxSUq_47EK60XmK3LOdCXa1fkWqWJE9bLuGS3ccv414</v>
      </c>
    </row>
    <row r="887" ht="15.75" customHeight="1">
      <c r="A887" t="str">
        <f>IFERROR(__xludf.DUMMYFUNCTION("""COMPUTED_VALUE"""),"Allocation")</f>
        <v>Allocation</v>
      </c>
      <c r="B887" t="str">
        <f>IFERROR(__xludf.DUMMYFUNCTION("""COMPUTED_VALUE"""),"AccountStrategyUPW")</f>
        <v>AccountStrategyUPW</v>
      </c>
      <c r="C887" t="str">
        <f>IFERROR(__xludf.DUMMYFUNCTION("""COMPUTED_VALUE"""),"1DUwxSUq_47EK60XmK3LOdCXa1fkWqWJE9bLuGS3ccv415")</f>
        <v>1DUwxSUq_47EK60XmK3LOdCXa1fkWqWJE9bLuGS3ccv415</v>
      </c>
    </row>
    <row r="888" ht="15.75" customHeight="1">
      <c r="A888" t="str">
        <f>IFERROR(__xludf.DUMMYFUNCTION("""COMPUTED_VALUE"""),"Allocation")</f>
        <v>Allocation</v>
      </c>
      <c r="B888" t="str">
        <f>IFERROR(__xludf.DUMMYFUNCTION("""COMPUTED_VALUE"""),"ActionOnCalPref")</f>
        <v>ActionOnCalPref</v>
      </c>
      <c r="C888" t="str">
        <f>IFERROR(__xludf.DUMMYFUNCTION("""COMPUTED_VALUE"""),"1DUwxSUq_47EK60XmK3LOdCXa1fkWqWJE9bLuGS3ccv416")</f>
        <v>1DUwxSUq_47EK60XmK3LOdCXa1fkWqWJE9bLuGS3ccv416</v>
      </c>
    </row>
    <row r="889" ht="15.75" customHeight="1">
      <c r="A889" t="str">
        <f>IFERROR(__xludf.DUMMYFUNCTION("""COMPUTED_VALUE"""),"Allocation")</f>
        <v>Allocation</v>
      </c>
      <c r="B889" t="str">
        <f>IFERROR(__xludf.DUMMYFUNCTION("""COMPUTED_VALUE"""),"SetMFDefaultRule")</f>
        <v>SetMFDefaultRule</v>
      </c>
      <c r="C889" t="str">
        <f>IFERROR(__xludf.DUMMYFUNCTION("""COMPUTED_VALUE"""),"1DUwxSUq_47EK60XmK3LOdCXa1fkWqWJE9bLuGS3ccv417")</f>
        <v>1DUwxSUq_47EK60XmK3LOdCXa1fkWqWJE9bLuGS3ccv417</v>
      </c>
    </row>
    <row r="890" ht="15.75" customHeight="1">
      <c r="A890" t="str">
        <f>IFERROR(__xludf.DUMMYFUNCTION("""COMPUTED_VALUE"""),"Allocation")</f>
        <v>Allocation</v>
      </c>
      <c r="B890" t="str">
        <f>IFERROR(__xludf.DUMMYFUNCTION("""COMPUTED_VALUE"""),"ActionOnPrefWindow")</f>
        <v>ActionOnPrefWindow</v>
      </c>
      <c r="C890" t="str">
        <f>IFERROR(__xludf.DUMMYFUNCTION("""COMPUTED_VALUE"""),"1DUwxSUq_47EK60XmK3LOdCXa1fkWqWJE9bLuGS3ccv418")</f>
        <v>1DUwxSUq_47EK60XmK3LOdCXa1fkWqWJE9bLuGS3ccv418</v>
      </c>
    </row>
    <row r="891" ht="15.75" customHeight="1">
      <c r="A891" t="str">
        <f>IFERROR(__xludf.DUMMYFUNCTION("""COMPUTED_VALUE"""),"Allocation")</f>
        <v>Allocation</v>
      </c>
      <c r="B891" t="str">
        <f>IFERROR(__xludf.DUMMYFUNCTION("""COMPUTED_VALUE"""),"GetFixedPrefScheme")</f>
        <v>GetFixedPrefScheme</v>
      </c>
      <c r="C891" t="str">
        <f>IFERROR(__xludf.DUMMYFUNCTION("""COMPUTED_VALUE"""),"1DUwxSUq_47EK60XmK3LOdCXa1fkWqWJE9bLuGS3ccv419")</f>
        <v>1DUwxSUq_47EK60XmK3LOdCXa1fkWqWJE9bLuGS3ccv419</v>
      </c>
    </row>
    <row r="892" ht="15.75" customHeight="1">
      <c r="A892" t="str">
        <f>IFERROR(__xludf.DUMMYFUNCTION("""COMPUTED_VALUE"""),"Allocation")</f>
        <v>Allocation</v>
      </c>
      <c r="B892" t="str">
        <f>IFERROR(__xludf.DUMMYFUNCTION("""COMPUTED_VALUE"""),"VerifyFixedPref")</f>
        <v>VerifyFixedPref</v>
      </c>
      <c r="C892" t="str">
        <f>IFERROR(__xludf.DUMMYFUNCTION("""COMPUTED_VALUE"""),"1DUwxSUq_47EK60XmK3LOdCXa1fkWqWJE9bLuGS3ccv420")</f>
        <v>1DUwxSUq_47EK60XmK3LOdCXa1fkWqWJE9bLuGS3ccv420</v>
      </c>
    </row>
    <row r="893" ht="15.75" customHeight="1">
      <c r="A893" t="str">
        <f>IFERROR(__xludf.DUMMYFUNCTION("""COMPUTED_VALUE"""),"Allocation")</f>
        <v>Allocation</v>
      </c>
      <c r="B893" t="str">
        <f>IFERROR(__xludf.DUMMYFUNCTION("""COMPUTED_VALUE"""),"ActionOnToolBar")</f>
        <v>ActionOnToolBar</v>
      </c>
      <c r="C893" t="str">
        <f>IFERROR(__xludf.DUMMYFUNCTION("""COMPUTED_VALUE"""),"1DUwxSUq_47EK60XmK3LOdCXa1fkWqWJE9bLuGS3ccv421")</f>
        <v>1DUwxSUq_47EK60XmK3LOdCXa1fkWqWJE9bLuGS3ccv421</v>
      </c>
    </row>
    <row r="894" ht="15.75" customHeight="1">
      <c r="A894" t="str">
        <f>IFERROR(__xludf.DUMMYFUNCTION("""COMPUTED_VALUE"""),"Rebalancer")</f>
        <v>Rebalancer</v>
      </c>
      <c r="B894" t="str">
        <f>IFERROR(__xludf.DUMMYFUNCTION("""COMPUTED_VALUE"""),"VerifyCustomGroupModel")</f>
        <v>VerifyCustomGroupModel</v>
      </c>
      <c r="C894" t="str">
        <f>IFERROR(__xludf.DUMMYFUNCTION("""COMPUTED_VALUE"""),"1DUwxSUq_47EK60XmK3LOdCXa1fkWqWJE9bLuGS3ccv422")</f>
        <v>1DUwxSUq_47EK60XmK3LOdCXa1fkWqWJE9bLuGS3ccv422</v>
      </c>
    </row>
    <row r="895" ht="15.75" customHeight="1">
      <c r="A895" t="str">
        <f>IFERROR(__xludf.DUMMYFUNCTION("""COMPUTED_VALUE"""),"Blotter")</f>
        <v>Blotter</v>
      </c>
      <c r="B895" t="str">
        <f>IFERROR(__xludf.DUMMYFUNCTION("""COMPUTED_VALUE"""),"VerifyFilterUiRC")</f>
        <v>VerifyFilterUiRC</v>
      </c>
      <c r="C895" t="str">
        <f>IFERROR(__xludf.DUMMYFUNCTION("""COMPUTED_VALUE"""),"1QQZEZqPXfPnxfNID2a3__xw8RnEAn77igg5Q32S3Sm0")</f>
        <v>1QQZEZqPXfPnxfNID2a3__xw8RnEAn77igg5Q32S3Sm0</v>
      </c>
    </row>
    <row r="896" ht="15.75" customHeight="1">
      <c r="A896" t="str">
        <f>IFERROR(__xludf.DUMMYFUNCTION("""COMPUTED_VALUE"""),"TradingTicket")</f>
        <v>TradingTicket</v>
      </c>
      <c r="B896" t="str">
        <f>IFERROR(__xludf.DUMMYFUNCTION("""COMPUTED_VALUE"""),"SymbolSuggestionVerify")</f>
        <v>SymbolSuggestionVerify</v>
      </c>
      <c r="C896" t="str">
        <f>IFERROR(__xludf.DUMMYFUNCTION("""COMPUTED_VALUE"""),"14aTeLjmUbS-nhaQwjtZAMGxdQ5DS6UsBjE5OTWN-LQU")</f>
        <v>14aTeLjmUbS-nhaQwjtZAMGxdQ5DS6UsBjE5OTWN-LQU</v>
      </c>
    </row>
    <row r="897" ht="15.75" customHeight="1">
      <c r="A897" t="str">
        <f>IFERROR(__xludf.DUMMYFUNCTION("""COMPUTED_VALUE"""),"PreferencesMain")</f>
        <v>PreferencesMain</v>
      </c>
      <c r="B897" t="str">
        <f>IFERROR(__xludf.DUMMYFUNCTION("""COMPUTED_VALUE"""),"UpdatePTTPref")</f>
        <v>UpdatePTTPref</v>
      </c>
      <c r="C897" t="str">
        <f>IFERROR(__xludf.DUMMYFUNCTION("""COMPUTED_VALUE"""),"14aTeLjmUbS-nhaQwjtZAMGxdQ5DS6UsBjE5OTWN-LQU")</f>
        <v>14aTeLjmUbS-nhaQwjtZAMGxdQ5DS6UsBjE5OTWN-LQU</v>
      </c>
    </row>
    <row r="898" ht="15.75" customHeight="1">
      <c r="A898" t="str">
        <f>IFERROR(__xludf.DUMMYFUNCTION("""COMPUTED_VALUE"""),"PreferencesMain")</f>
        <v>PreferencesMain</v>
      </c>
      <c r="B898" t="str">
        <f>IFERROR(__xludf.DUMMYFUNCTION("""COMPUTED_VALUE"""),"ActionOnPreferencesMain")</f>
        <v>ActionOnPreferencesMain</v>
      </c>
      <c r="C898" t="str">
        <f>IFERROR(__xludf.DUMMYFUNCTION("""COMPUTED_VALUE"""),"14aTeLjmUbS-nhaQwjtZAMGxdQ5DS6UsBjE5OTWN-LQU")</f>
        <v>14aTeLjmUbS-nhaQwjtZAMGxdQ5DS6UsBjE5OTWN-LQU</v>
      </c>
    </row>
    <row r="899" ht="15.75" customHeight="1">
      <c r="A899" t="str">
        <f>IFERROR(__xludf.DUMMYFUNCTION("""COMPUTED_VALUE"""),"PreferencesMain")</f>
        <v>PreferencesMain</v>
      </c>
      <c r="B899" t="str">
        <f>IFERROR(__xludf.DUMMYFUNCTION("""COMPUTED_VALUE"""),"VerifyUpdategrdAccountFactor")</f>
        <v>VerifyUpdategrdAccountFactor</v>
      </c>
      <c r="C899" t="str">
        <f>IFERROR(__xludf.DUMMYFUNCTION("""COMPUTED_VALUE"""),"14aTeLjmUbS-nhaQwjtZAMGxdQ5DS6UsBjE5OTWN-LQU")</f>
        <v>14aTeLjmUbS-nhaQwjtZAMGxdQ5DS6UsBjE5OTWN-LQU</v>
      </c>
    </row>
    <row r="900" ht="15.75" customHeight="1">
      <c r="A900" t="str">
        <f>IFERROR(__xludf.DUMMYFUNCTION("""COMPUTED_VALUE"""),"PreferencesMain")</f>
        <v>PreferencesMain</v>
      </c>
      <c r="B900" t="str">
        <f>IFERROR(__xludf.DUMMYFUNCTION("""COMPUTED_VALUE"""),"VerifyUpdategrdMFA")</f>
        <v>VerifyUpdategrdMFA</v>
      </c>
      <c r="C900" t="str">
        <f>IFERROR(__xludf.DUMMYFUNCTION("""COMPUTED_VALUE"""),"14aTeLjmUbS-nhaQwjtZAMGxdQ5DS6UsBjE5OTWN-LQU")</f>
        <v>14aTeLjmUbS-nhaQwjtZAMGxdQ5DS6UsBjE5OTWN-LQU</v>
      </c>
    </row>
    <row r="901" ht="15.75" customHeight="1">
      <c r="A901" t="str">
        <f>IFERROR(__xludf.DUMMYFUNCTION("""COMPUTED_VALUE"""),"PreferencesMain")</f>
        <v>PreferencesMain</v>
      </c>
      <c r="B901" t="str">
        <f>IFERROR(__xludf.DUMMYFUNCTION("""COMPUTED_VALUE"""),"SwitchTabMFA")</f>
        <v>SwitchTabMFA</v>
      </c>
      <c r="C901" t="str">
        <f>IFERROR(__xludf.DUMMYFUNCTION("""COMPUTED_VALUE"""),"14aTeLjmUbS-nhaQwjtZAMGxdQ5DS6UsBjE5OTWN-LQU")</f>
        <v>14aTeLjmUbS-nhaQwjtZAMGxdQ5DS6UsBjE5OTWN-LQU</v>
      </c>
    </row>
    <row r="902" ht="15.75" customHeight="1">
      <c r="A902" t="str">
        <f>IFERROR(__xludf.DUMMYFUNCTION("""COMPUTED_VALUE"""),"PreferencesMain")</f>
        <v>PreferencesMain</v>
      </c>
      <c r="B902" t="str">
        <f>IFERROR(__xludf.DUMMYFUNCTION("""COMPUTED_VALUE"""),"UpdateBlotterPref")</f>
        <v>UpdateBlotterPref</v>
      </c>
      <c r="C902" t="str">
        <f>IFERROR(__xludf.DUMMYFUNCTION("""COMPUTED_VALUE"""),"14aTeLjmUbS-nhaQwjtZAMGxdQ5DS6UsBjE5OTWN-LQU")</f>
        <v>14aTeLjmUbS-nhaQwjtZAMGxdQ5DS6UsBjE5OTWN-LQU</v>
      </c>
    </row>
    <row r="903" ht="15.75" customHeight="1">
      <c r="A903" t="str">
        <f>IFERROR(__xludf.DUMMYFUNCTION("""COMPUTED_VALUE"""),"PreferencesMain")</f>
        <v>PreferencesMain</v>
      </c>
      <c r="B903" t="str">
        <f>IFERROR(__xludf.DUMMYFUNCTION("""COMPUTED_VALUE"""),"UpdatePMPref")</f>
        <v>UpdatePMPref</v>
      </c>
      <c r="C903" t="str">
        <f>IFERROR(__xludf.DUMMYFUNCTION("""COMPUTED_VALUE"""),"14aTeLjmUbS-nhaQwjtZAMGxdQ5DS6UsBjE5OTWN-LQU")</f>
        <v>14aTeLjmUbS-nhaQwjtZAMGxdQ5DS6UsBjE5OTWN-LQU</v>
      </c>
    </row>
    <row r="904" ht="15.75" customHeight="1">
      <c r="A904" t="str">
        <f>IFERROR(__xludf.DUMMYFUNCTION("""COMPUTED_VALUE"""),"PreferencesMain")</f>
        <v>PreferencesMain</v>
      </c>
      <c r="B904" t="str">
        <f>IFERROR(__xludf.DUMMYFUNCTION("""COMPUTED_VALUE"""),"UpdateGenPref")</f>
        <v>UpdateGenPref</v>
      </c>
      <c r="C904" t="str">
        <f>IFERROR(__xludf.DUMMYFUNCTION("""COMPUTED_VALUE"""),"14aTeLjmUbS-nhaQwjtZAMGxdQ5DS6UsBjE5OTWN-LQU")</f>
        <v>14aTeLjmUbS-nhaQwjtZAMGxdQ5DS6UsBjE5OTWN-LQU</v>
      </c>
    </row>
    <row r="905" ht="15.75" customHeight="1">
      <c r="A905" t="str">
        <f>IFERROR(__xludf.DUMMYFUNCTION("""COMPUTED_VALUE"""),"PreferencesMain")</f>
        <v>PreferencesMain</v>
      </c>
      <c r="B905" t="str">
        <f>IFERROR(__xludf.DUMMYFUNCTION("""COMPUTED_VALUE"""),"VerifyUpdateAssetSide")</f>
        <v>VerifyUpdateAssetSide</v>
      </c>
      <c r="C905" t="str">
        <f>IFERROR(__xludf.DUMMYFUNCTION("""COMPUTED_VALUE"""),"14aTeLjmUbS-nhaQwjtZAMGxdQ5DS6UsBjE5OTWN-LQU")</f>
        <v>14aTeLjmUbS-nhaQwjtZAMGxdQ5DS6UsBjE5OTWN-LQU</v>
      </c>
    </row>
    <row r="906" ht="15.75" customHeight="1">
      <c r="A906" t="str">
        <f>IFERROR(__xludf.DUMMYFUNCTION("""COMPUTED_VALUE"""),"PreferencesMain")</f>
        <v>PreferencesMain</v>
      </c>
      <c r="B906" t="str">
        <f>IFERROR(__xludf.DUMMYFUNCTION("""COMPUTED_VALUE"""),"SwicthTabPref")</f>
        <v>SwicthTabPref</v>
      </c>
      <c r="C906" t="str">
        <f>IFERROR(__xludf.DUMMYFUNCTION("""COMPUTED_VALUE"""),"14aTeLjmUbS-nhaQwjtZAMGxdQ5DS6UsBjE5OTWN-LQU")</f>
        <v>14aTeLjmUbS-nhaQwjtZAMGxdQ5DS6UsBjE5OTWN-LQU</v>
      </c>
    </row>
    <row r="907" ht="15.75" customHeight="1">
      <c r="A907" t="str">
        <f>IFERROR(__xludf.DUMMYFUNCTION("""COMPUTED_VALUE"""),"PreferencesMain")</f>
        <v>PreferencesMain</v>
      </c>
      <c r="B907" t="str">
        <f>IFERROR(__xludf.DUMMYFUNCTION("""COMPUTED_VALUE"""),"TTDefaultSelection")</f>
        <v>TTDefaultSelection</v>
      </c>
      <c r="C907" t="str">
        <f>IFERROR(__xludf.DUMMYFUNCTION("""COMPUTED_VALUE"""),"14aTeLjmUbS-nhaQwjtZAMGxdQ5DS6UsBjE5OTWN-LQU")</f>
        <v>14aTeLjmUbS-nhaQwjtZAMGxdQ5DS6UsBjE5OTWN-LQU</v>
      </c>
    </row>
    <row r="908" ht="15.75" customHeight="1">
      <c r="A908" t="str">
        <f>IFERROR(__xludf.DUMMYFUNCTION("""COMPUTED_VALUE"""),"PreferencesMain")</f>
        <v>PreferencesMain</v>
      </c>
      <c r="B908" t="str">
        <f>IFERROR(__xludf.DUMMYFUNCTION("""COMPUTED_VALUE"""),"TTNumSelection")</f>
        <v>TTNumSelection</v>
      </c>
      <c r="C908" t="str">
        <f>IFERROR(__xludf.DUMMYFUNCTION("""COMPUTED_VALUE"""),"14aTeLjmUbS-nhaQwjtZAMGxdQ5DS6UsBjE5OTWN-LQU")</f>
        <v>14aTeLjmUbS-nhaQwjtZAMGxdQ5DS6UsBjE5OTWN-LQU</v>
      </c>
    </row>
    <row r="909" ht="15.75" customHeight="1">
      <c r="A909" t="str">
        <f>IFERROR(__xludf.DUMMYFUNCTION("""COMPUTED_VALUE"""),"PreferencesMain")</f>
        <v>PreferencesMain</v>
      </c>
      <c r="B909" t="str">
        <f>IFERROR(__xludf.DUMMYFUNCTION("""COMPUTED_VALUE"""),"TTConfirmationPopUps")</f>
        <v>TTConfirmationPopUps</v>
      </c>
      <c r="C909" t="str">
        <f>IFERROR(__xludf.DUMMYFUNCTION("""COMPUTED_VALUE"""),"14aTeLjmUbS-nhaQwjtZAMGxdQ5DS6UsBjE5OTWN-LQU")</f>
        <v>14aTeLjmUbS-nhaQwjtZAMGxdQ5DS6UsBjE5OTWN-LQU</v>
      </c>
    </row>
    <row r="910" ht="15.75" customHeight="1">
      <c r="A910" t="str">
        <f>IFERROR(__xludf.DUMMYFUNCTION("""COMPUTED_VALUE"""),"PreferencesMain")</f>
        <v>PreferencesMain</v>
      </c>
      <c r="B910" t="str">
        <f>IFERROR(__xludf.DUMMYFUNCTION("""COMPUTED_VALUE"""),"VerifyUpdateBrokerPref")</f>
        <v>VerifyUpdateBrokerPref</v>
      </c>
      <c r="C910" t="str">
        <f>IFERROR(__xludf.DUMMYFUNCTION("""COMPUTED_VALUE"""),"14aTeLjmUbS-nhaQwjtZAMGxdQ5DS6UsBjE5OTWN-LQU")</f>
        <v>14aTeLjmUbS-nhaQwjtZAMGxdQ5DS6UsBjE5OTWN-LQU</v>
      </c>
    </row>
    <row r="911" ht="15.75" customHeight="1">
      <c r="A911" t="str">
        <f>IFERROR(__xludf.DUMMYFUNCTION("""COMPUTED_VALUE"""),"PreferencesMain")</f>
        <v>PreferencesMain</v>
      </c>
      <c r="B911" t="str">
        <f>IFERROR(__xludf.DUMMYFUNCTION("""COMPUTED_VALUE"""),"TTGeneralPref")</f>
        <v>TTGeneralPref</v>
      </c>
      <c r="C911" t="str">
        <f>IFERROR(__xludf.DUMMYFUNCTION("""COMPUTED_VALUE"""),"14aTeLjmUbS-nhaQwjtZAMGxdQ5DS6UsBjE5OTWN-LQU")</f>
        <v>14aTeLjmUbS-nhaQwjtZAMGxdQ5DS6UsBjE5OTWN-LQU</v>
      </c>
    </row>
    <row r="912" ht="15.75" customHeight="1">
      <c r="A912" t="str">
        <f>IFERROR(__xludf.DUMMYFUNCTION("""COMPUTED_VALUE"""),"PreferencesMain")</f>
        <v>PreferencesMain</v>
      </c>
      <c r="B912" t="str">
        <f>IFERROR(__xludf.DUMMYFUNCTION("""COMPUTED_VALUE"""),"UpdateClosingPref")</f>
        <v>UpdateClosingPref</v>
      </c>
      <c r="C912" t="str">
        <f>IFERROR(__xludf.DUMMYFUNCTION("""COMPUTED_VALUE"""),"14aTeLjmUbS-nhaQwjtZAMGxdQ5DS6UsBjE5OTWN-LQU")</f>
        <v>14aTeLjmUbS-nhaQwjtZAMGxdQ5DS6UsBjE5OTWN-LQU</v>
      </c>
    </row>
    <row r="913" ht="15.75" customHeight="1">
      <c r="A913" t="str">
        <f>IFERROR(__xludf.DUMMYFUNCTION("""COMPUTED_VALUE"""),"Allocation")</f>
        <v>Allocation</v>
      </c>
      <c r="B913" t="str">
        <f>IFERROR(__xludf.DUMMYFUNCTION("""COMPUTED_VALUE"""),"VerifyEditAttRenaming")</f>
        <v>VerifyEditAttRenaming</v>
      </c>
      <c r="C913" t="str">
        <f>IFERROR(__xludf.DUMMYFUNCTION("""COMPUTED_VALUE"""),"14aTeLjmUbS-nhaQwjtZAMGxdQ5DS6UsBjE5OTWN-LQU")</f>
        <v>14aTeLjmUbS-nhaQwjtZAMGxdQ5DS6UsBjE5OTWN-LQU</v>
      </c>
    </row>
    <row r="914" ht="15.75" customHeight="1">
      <c r="A914" t="str">
        <f>IFERROR(__xludf.DUMMYFUNCTION("""COMPUTED_VALUE"""),"Rebalancer")</f>
        <v>Rebalancer</v>
      </c>
      <c r="B914" t="str">
        <f>IFERROR(__xludf.DUMMYFUNCTION("""COMPUTED_VALUE"""),"VerifyTradeList")</f>
        <v>VerifyTradeList</v>
      </c>
      <c r="C914" t="str">
        <f>IFERROR(__xludf.DUMMYFUNCTION("""COMPUTED_VALUE"""),"14aTeLjmUbS-nhaQwjtZAMGxdQ5DS6UsBjE5OTWN-LQU")</f>
        <v>14aTeLjmUbS-nhaQwjtZAMGxdQ5DS6UsBjE5OTWN-LQU</v>
      </c>
    </row>
    <row r="915" ht="15.75" customHeight="1">
      <c r="A915" t="str">
        <f>IFERROR(__xludf.DUMMYFUNCTION("""COMPUTED_VALUE"""),"TradingTicket")</f>
        <v>TradingTicket</v>
      </c>
      <c r="B915" t="str">
        <f>IFERROR(__xludf.DUMMYFUNCTION("""COMPUTED_VALUE"""),"TTMainControls")</f>
        <v>TTMainControls</v>
      </c>
      <c r="C915" t="str">
        <f>IFERROR(__xludf.DUMMYFUNCTION("""COMPUTED_VALUE"""),"1DUwxSUq_47EK60XmK3LOdCXa1fkWqWJE9bLuGS3ccv412")</f>
        <v>1DUwxSUq_47EK60XmK3LOdCXa1fkWqWJE9bLuGS3ccv412</v>
      </c>
    </row>
    <row r="916" ht="15.75" customHeight="1">
      <c r="A916" t="str">
        <f>IFERROR(__xludf.DUMMYFUNCTION("""COMPUTED_VALUE"""),"TradingTicket")</f>
        <v>TradingTicket</v>
      </c>
      <c r="B916" t="str">
        <f>IFERROR(__xludf.DUMMYFUNCTION("""COMPUTED_VALUE"""),"VerifySymStrip")</f>
        <v>VerifySymStrip</v>
      </c>
      <c r="C916" t="str">
        <f>IFERROR(__xludf.DUMMYFUNCTION("""COMPUTED_VALUE"""),"1DUwxSUq_47EK60XmK3LOdCXa1fkWqWJE9bLuGS3ccv412")</f>
        <v>1DUwxSUq_47EK60XmK3LOdCXa1fkWqWJE9bLuGS3ccv412</v>
      </c>
    </row>
    <row r="917" ht="15.75" customHeight="1">
      <c r="A917" t="str">
        <f>IFERROR(__xludf.DUMMYFUNCTION("""COMPUTED_VALUE"""),"TradingTicket")</f>
        <v>TradingTicket</v>
      </c>
      <c r="B917" t="str">
        <f>IFERROR(__xludf.DUMMYFUNCTION("""COMPUTED_VALUE"""),"TTBottomTab")</f>
        <v>TTBottomTab</v>
      </c>
      <c r="C917" t="str">
        <f>IFERROR(__xludf.DUMMYFUNCTION("""COMPUTED_VALUE"""),"1DUwxSUq_47EK60XmK3LOdCXa1fkWqWJE9bLuGS3ccv412")</f>
        <v>1DUwxSUq_47EK60XmK3LOdCXa1fkWqWJE9bLuGS3ccv412</v>
      </c>
    </row>
    <row r="918" ht="15.75" customHeight="1">
      <c r="A918" t="str">
        <f>IFERROR(__xludf.DUMMYFUNCTION("""COMPUTED_VALUE"""),"TradingTicket")</f>
        <v>TradingTicket</v>
      </c>
      <c r="B918" t="str">
        <f>IFERROR(__xludf.DUMMYFUNCTION("""COMPUTED_VALUE"""),"TTBottomSwap")</f>
        <v>TTBottomSwap</v>
      </c>
      <c r="C918" t="str">
        <f>IFERROR(__xludf.DUMMYFUNCTION("""COMPUTED_VALUE"""),"1DUwxSUq_47EK60XmK3LOdCXa1fkWqWJE9bLuGS3ccv412")</f>
        <v>1DUwxSUq_47EK60XmK3LOdCXa1fkWqWJE9bLuGS3ccv412</v>
      </c>
    </row>
    <row r="919" ht="15.75" customHeight="1">
      <c r="A919" t="str">
        <f>IFERROR(__xludf.DUMMYFUNCTION("""COMPUTED_VALUE"""),"Blotter")</f>
        <v>Blotter</v>
      </c>
      <c r="B919" t="str">
        <f>IFERROR(__xludf.DUMMYFUNCTION("""COMPUTED_VALUE"""),"CreateHotButtonOnBlotter")</f>
        <v>CreateHotButtonOnBlotter</v>
      </c>
      <c r="C919" t="str">
        <f>IFERROR(__xludf.DUMMYFUNCTION("""COMPUTED_VALUE"""),"1Yu7Fb6AjhUP8b-KuRJvgAwq8TykNK6BDh9F0Xpf12Ek")</f>
        <v>1Yu7Fb6AjhUP8b-KuRJvgAwq8TykNK6BDh9F0Xpf12Ek</v>
      </c>
    </row>
    <row r="920" ht="15.75" customHeight="1">
      <c r="A920" t="str">
        <f>IFERROR(__xludf.DUMMYFUNCTION("""COMPUTED_VALUE"""),"Blotter")</f>
        <v>Blotter</v>
      </c>
      <c r="B920" t="str">
        <f>IFERROR(__xludf.DUMMYFUNCTION("""COMPUTED_VALUE"""),"FillHBdetailsOnBlotter")</f>
        <v>FillHBdetailsOnBlotter</v>
      </c>
      <c r="C920" t="str">
        <f>IFERROR(__xludf.DUMMYFUNCTION("""COMPUTED_VALUE"""),"13Isj5c5k8kObxI-GBT6Ir9VBOz_46lzhwVxXXVP8jQU")</f>
        <v>13Isj5c5k8kObxI-GBT6Ir9VBOz_46lzhwVxXXVP8jQU</v>
      </c>
    </row>
    <row r="921" ht="15.75" customHeight="1">
      <c r="A921" t="str">
        <f>IFERROR(__xludf.DUMMYFUNCTION("""COMPUTED_VALUE"""),"TradingTicket")</f>
        <v>TradingTicket</v>
      </c>
      <c r="B921" t="str">
        <f>IFERROR(__xludf.DUMMYFUNCTION("""COMPUTED_VALUE"""),"EditAuecWindow")</f>
        <v>EditAuecWindow</v>
      </c>
      <c r="C921" t="str">
        <f>IFERROR(__xludf.DUMMYFUNCTION("""COMPUTED_VALUE"""),"1ottlNphVbp0AC-UFd-HlDpCLwOA2yWO1pN6eR3ML7vA")</f>
        <v>1ottlNphVbp0AC-UFd-HlDpCLwOA2yWO1pN6eR3ML7vA</v>
      </c>
    </row>
    <row r="922" ht="15.75" customHeight="1">
      <c r="A922" t="str">
        <f>IFERROR(__xludf.DUMMYFUNCTION("""COMPUTED_VALUE"""),"TradingTicket")</f>
        <v>TradingTicket</v>
      </c>
      <c r="B922" t="str">
        <f>IFERROR(__xludf.DUMMYFUNCTION("""COMPUTED_VALUE"""),"VerifyBrokerSummary")</f>
        <v>VerifyBrokerSummary</v>
      </c>
      <c r="C922" t="str">
        <f>IFERROR(__xludf.DUMMYFUNCTION("""COMPUTED_VALUE"""),"11hMxlfIQYwM8vPN2h--IGp7O02EDFbvJ4CSvjSfGsMY")</f>
        <v>11hMxlfIQYwM8vPN2h--IGp7O02EDFbvJ4CSvjSfGsMY</v>
      </c>
    </row>
    <row r="923" ht="15.75" customHeight="1">
      <c r="A923" t="str">
        <f>IFERROR(__xludf.DUMMYFUNCTION("""COMPUTED_VALUE"""),"QTT")</f>
        <v>QTT</v>
      </c>
      <c r="B923" t="str">
        <f>IFERROR(__xludf.DUMMYFUNCTION("""COMPUTED_VALUE"""),"EditAuecWindowQTT")</f>
        <v>EditAuecWindowQTT</v>
      </c>
      <c r="C923" t="str">
        <f>IFERROR(__xludf.DUMMYFUNCTION("""COMPUTED_VALUE"""),"1oI_WY3xKQgSjp5JN67BMHtm3zazX5ZiMATISa2ssGB0")</f>
        <v>1oI_WY3xKQgSjp5JN67BMHtm3zazX5ZiMATISa2ssGB0</v>
      </c>
    </row>
    <row r="924" ht="15.75" customHeight="1">
      <c r="A924" t="str">
        <f>IFERROR(__xludf.DUMMYFUNCTION("""COMPUTED_VALUE"""),"QTT")</f>
        <v>QTT</v>
      </c>
      <c r="B924" t="str">
        <f>IFERROR(__xludf.DUMMYFUNCTION("""COMPUTED_VALUE"""),"VerifyBrokerSummaryQTT")</f>
        <v>VerifyBrokerSummaryQTT</v>
      </c>
      <c r="C924" t="str">
        <f>IFERROR(__xludf.DUMMYFUNCTION("""COMPUTED_VALUE"""),"1O6-eqYsZqtvYR6DOH7UM2_Jwpq9pB9uyZvgh5vEhVAI")</f>
        <v>1O6-eqYsZqtvYR6DOH7UM2_Jwpq9pB9uyZvgh5vEhVAI</v>
      </c>
    </row>
    <row r="925" ht="15.75" customHeight="1">
      <c r="A925" t="str">
        <f>IFERROR(__xludf.DUMMYFUNCTION("""COMPUTED_VALUE"""),"QTT")</f>
        <v>QTT</v>
      </c>
      <c r="B925" t="str">
        <f>IFERROR(__xludf.DUMMYFUNCTION("""COMPUTED_VALUE"""),"SaveQTThotKey")</f>
        <v>SaveQTThotKey</v>
      </c>
      <c r="C925" t="str">
        <f>IFERROR(__xludf.DUMMYFUNCTION("""COMPUTED_VALUE"""),"Undefined")</f>
        <v>Undefined</v>
      </c>
    </row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 t="str">
        <f>IFERROR(__xludf.DUMMYFUNCTION("""COMPUTED_VALUE"""),"SymbolSuggestionVerify")</f>
        <v>SymbolSuggestionVerify</v>
      </c>
      <c r="BE4" s="25" t="str">
        <f>IFERROR(__xludf.DUMMYFUNCTION("""COMPUTED_VALUE"""),"EditAuecWindow")</f>
        <v>EditAuecWindow</v>
      </c>
      <c r="BF4" s="25" t="str">
        <f>IFERROR(__xludf.DUMMYFUNCTION("""COMPUTED_VALUE"""),"VerifyBrokerSummary")</f>
        <v>VerifyBrokerSummary</v>
      </c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 t="str">
        <f>IFERROR(__xludf.DUMMYFUNCTION("""COMPUTED_VALUE"""),"Increase/Decrease Quantity")</f>
        <v>Increase/Decrease Quantity</v>
      </c>
      <c r="AY5" s="29" t="str">
        <f>IFERROR(__xludf.DUMMYFUNCTION("""COMPUTED_VALUE"""),"Master Funds")</f>
        <v>Master Funds</v>
      </c>
      <c r="AZ5" s="29" t="str">
        <f>IFERROR(__xludf.DUMMYFUNCTION("""COMPUTED_VALUE"""),"TRVAccountName")</f>
        <v>TRVAccountName</v>
      </c>
      <c r="BA5" s="29" t="str">
        <f>IFERROR(__xludf.DUMMYFUNCTION("""COMPUTED_VALUE"""),"TRVTradeQuantity")</f>
        <v>TRVTradeQuantity</v>
      </c>
      <c r="BB5" s="29" t="str">
        <f>IFERROR(__xludf.DUMMYFUNCTION("""COMPUTED_VALUE"""),"TRVCurrentPosition")</f>
        <v>TRVCurrentPosition</v>
      </c>
      <c r="BC5" s="29" t="str">
        <f>IFERROR(__xludf.DUMMYFUNCTION("""COMPUTED_VALUE"""),"TRVNav")</f>
        <v>TRVNav</v>
      </c>
      <c r="BD5" s="29" t="str">
        <f>IFERROR(__xludf.DUMMYFUNCTION("""COMPUTED_VALUE"""),"Account QTY")</f>
        <v>Account QTY</v>
      </c>
      <c r="BE5" s="29" t="str">
        <f>IFERROR(__xludf.DUMMYFUNCTION("""COMPUTED_VALUE"""),"DoneAwayClickOnNO")</f>
        <v>DoneAwayClickOnNO</v>
      </c>
      <c r="BF5" s="29" t="str">
        <f>IFERROR(__xludf.DUMMYFUNCTION("""COMPUTED_VALUE"""),"HotbuttonQty")</f>
        <v>HotbuttonQty</v>
      </c>
      <c r="BG5" s="29" t="str">
        <f>IFERROR(__xludf.DUMMYFUNCTION("""COMPUTED_VALUE"""),"HotButtonPrice")</f>
        <v>HotButtonPrice</v>
      </c>
      <c r="BH5" s="29" t="str">
        <f>IFERROR(__xludf.DUMMYFUNCTION("""COMPUTED_VALUE"""),"HotButtonLimit")</f>
        <v>HotButtonLimit</v>
      </c>
      <c r="BI5" s="29" t="str">
        <f>IFERROR(__xludf.DUMMYFUNCTION("""COMPUTED_VALUE"""),"HotButtonStop")</f>
        <v>HotButtonStop</v>
      </c>
      <c r="BJ5" s="29" t="str">
        <f>IFERROR(__xludf.DUMMYFUNCTION("""COMPUTED_VALUE"""),"Broker PadLock")</f>
        <v>Broker PadLock</v>
      </c>
      <c r="BK5" s="29" t="str">
        <f>IFERROR(__xludf.DUMMYFUNCTION("""COMPUTED_VALUE"""),"TradeBy")</f>
        <v>TradeBy</v>
      </c>
      <c r="BL5" s="29" t="str">
        <f>IFERROR(__xludf.DUMMYFUNCTION("""COMPUTED_VALUE"""),"PendingApprovalPopUp")</f>
        <v>PendingApprovalPopUp</v>
      </c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12" t="s">
        <v>17</v>
      </c>
      <c r="D6" s="12">
        <v>500.0</v>
      </c>
      <c r="E6" s="30"/>
      <c r="F6" s="12" t="s">
        <v>18</v>
      </c>
      <c r="G6" s="8"/>
      <c r="H6" s="8"/>
      <c r="I6" s="8"/>
      <c r="J6" s="12">
        <v>2.0</v>
      </c>
      <c r="K6" s="8"/>
      <c r="L6" s="8"/>
      <c r="M6" s="8"/>
      <c r="N6" s="8"/>
      <c r="O6" s="8"/>
    </row>
    <row r="7" ht="15.75" customHeight="1">
      <c r="A7" s="12"/>
      <c r="B7" s="12" t="s">
        <v>16</v>
      </c>
      <c r="C7" s="12" t="s">
        <v>17</v>
      </c>
      <c r="D7" s="12">
        <v>500.0</v>
      </c>
      <c r="E7" s="30"/>
      <c r="F7" s="12" t="s">
        <v>19</v>
      </c>
      <c r="G7" s="8"/>
      <c r="H7" s="8"/>
      <c r="I7" s="8"/>
      <c r="J7" s="12">
        <v>2.0</v>
      </c>
      <c r="K7" s="8"/>
      <c r="L7" s="8"/>
      <c r="M7" s="8"/>
      <c r="N7" s="8"/>
      <c r="O7" s="8"/>
    </row>
    <row r="8" ht="15.75" customHeight="1">
      <c r="A8" s="12"/>
      <c r="B8" s="12" t="s">
        <v>20</v>
      </c>
      <c r="C8" s="12" t="s">
        <v>21</v>
      </c>
      <c r="D8" s="12">
        <v>500.0</v>
      </c>
      <c r="E8" s="30"/>
      <c r="F8" s="12" t="s">
        <v>18</v>
      </c>
      <c r="G8" s="8"/>
      <c r="H8" s="8"/>
      <c r="I8" s="8"/>
      <c r="J8" s="12">
        <v>2.0</v>
      </c>
      <c r="K8" s="8"/>
      <c r="L8" s="8"/>
      <c r="M8" s="8"/>
      <c r="N8" s="8"/>
      <c r="O8" s="8"/>
    </row>
    <row r="9" ht="15.75" customHeight="1">
      <c r="A9" s="12"/>
      <c r="B9" s="12" t="s">
        <v>16</v>
      </c>
      <c r="C9" s="12" t="s">
        <v>22</v>
      </c>
      <c r="D9" s="12">
        <v>1000.0</v>
      </c>
      <c r="E9" s="30"/>
      <c r="F9" s="12" t="s">
        <v>23</v>
      </c>
      <c r="G9" s="8"/>
      <c r="H9" s="8"/>
      <c r="I9" s="8"/>
      <c r="J9" s="12">
        <v>2.0</v>
      </c>
      <c r="K9" s="8"/>
      <c r="L9" s="8"/>
      <c r="M9" s="8"/>
      <c r="N9" s="8"/>
      <c r="O9" s="8"/>
    </row>
    <row r="10" ht="15.75" customHeight="1">
      <c r="A10" s="12"/>
      <c r="B10" s="12" t="s">
        <v>20</v>
      </c>
      <c r="C10" s="12" t="s">
        <v>21</v>
      </c>
      <c r="D10" s="12">
        <v>1000.0</v>
      </c>
      <c r="E10" s="30"/>
      <c r="F10" s="12" t="s">
        <v>23</v>
      </c>
      <c r="G10" s="8"/>
      <c r="H10" s="8"/>
      <c r="I10" s="8"/>
      <c r="J10" s="12">
        <v>2.0</v>
      </c>
      <c r="K10" s="8"/>
      <c r="L10" s="8"/>
      <c r="M10" s="8"/>
      <c r="N10" s="8"/>
      <c r="O10" s="8"/>
    </row>
    <row r="11" ht="15.75" customHeight="1">
      <c r="A11" s="12"/>
      <c r="B11" s="12" t="s">
        <v>20</v>
      </c>
      <c r="C11" s="12" t="s">
        <v>17</v>
      </c>
      <c r="D11" s="12">
        <v>1500.0</v>
      </c>
      <c r="E11" s="30"/>
      <c r="F11" s="12" t="s">
        <v>23</v>
      </c>
      <c r="G11" s="8"/>
      <c r="H11" s="8"/>
      <c r="I11" s="8"/>
      <c r="J11" s="12">
        <v>2.0</v>
      </c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24</v>
      </c>
      <c r="D3" s="5" t="s">
        <v>9</v>
      </c>
      <c r="E3" s="22" t="s">
        <v>25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IFERROR(__xludf.DUMMYFUNCTION("""COMPUTED_VALUE"""),"ValidateCheckSide")</f>
        <v>ValidateCheckSide</v>
      </c>
      <c r="C5" s="27" t="str">
        <f>IFERROR(__xludf.DUMMYFUNCTION("""COMPUTED_VALUE"""),"DisabledChecksideAssets")</f>
        <v>DisabledChecksideAssets</v>
      </c>
      <c r="D5" s="27" t="str">
        <f>IFERROR(__xludf.DUMMYFUNCTION("""COMPUTED_VALUE"""),"PrecisionValue")</f>
        <v>PrecisionValue</v>
      </c>
      <c r="E5" s="27" t="str">
        <f>IFERROR(__xludf.DUMMYFUNCTION("""COMPUTED_VALUE"""),"UseCommissionInNetAmount")</f>
        <v>UseCommissionInNetAmount</v>
      </c>
      <c r="F5" s="28" t="str">
        <f>IFERROR(__xludf.DUMMYFUNCTION("""COMPUTED_VALUE"""),"SaveWithoutState")</f>
        <v>SaveWithoutState</v>
      </c>
      <c r="G5" s="27" t="str">
        <f>IFERROR(__xludf.DUMMYFUNCTION("""COMPUTED_VALUE"""),"SaveWithState")</f>
        <v>SaveWithState</v>
      </c>
      <c r="H5" s="27" t="str">
        <f>IFERROR(__xludf.DUMMYFUNCTION("""COMPUTED_VALUE"""),"ClearQuantities")</f>
        <v>ClearQuantities</v>
      </c>
      <c r="I5" s="27" t="str">
        <f>IFERROR(__xludf.DUMMYFUNCTION("""COMPUTED_VALUE"""),"ReapplyAllocation")</f>
        <v>ReapplyAllocation</v>
      </c>
      <c r="J5" s="27" t="str">
        <f>IFERROR(__xludf.DUMMYFUNCTION("""COMPUTED_VALUE"""),"DefaultAllocation")</f>
        <v>DefaultAllocation</v>
      </c>
      <c r="K5" s="27" t="str">
        <f>IFERROR(__xludf.DUMMYFUNCTION("""COMPUTED_VALUE"""),"IsCustomPreference")</f>
        <v>IsCustomPreference</v>
      </c>
      <c r="L5" s="27" t="str">
        <f>IFERROR(__xludf.DUMMYFUNCTION("""COMPUTED_VALUE"""),"AllocationMethod")</f>
        <v>AllocationMethod</v>
      </c>
      <c r="M5" s="27" t="str">
        <f>IFERROR(__xludf.DUMMYFUNCTION("""COMPUTED_VALUE"""),"RemainderAllocationTo")</f>
        <v>RemainderAllocationTo</v>
      </c>
      <c r="N5" s="27" t="str">
        <f>IFERROR(__xludf.DUMMYFUNCTION("""COMPUTED_VALUE"""),"Target%AsOf")</f>
        <v>Target%AsOf</v>
      </c>
      <c r="O5" s="27" t="str">
        <f>IFERROR(__xludf.DUMMYFUNCTION("""COMPUTED_VALUE"""),"ProrataAccounts")</f>
        <v>ProrataAccounts</v>
      </c>
      <c r="P5" s="27" t="str">
        <f>IFERROR(__xludf.DUMMYFUNCTION("""COMPUTED_VALUE"""),"DateUptoDays")</f>
        <v>DateUptoDays</v>
      </c>
      <c r="Q5" s="27" t="str">
        <f>IFERROR(__xludf.DUMMYFUNCTION("""COMPUTED_VALUE"""),"MatchClosing")</f>
        <v>MatchClosing</v>
      </c>
      <c r="R5" s="27" t="str">
        <f>IFERROR(__xludf.DUMMYFUNCTION("""COMPUTED_VALUE"""),"CommissionAlertOnBrokerChange")</f>
        <v>CommissionAlertOnBrokerChange</v>
      </c>
      <c r="S5" s="27" t="str">
        <f>IFERROR(__xludf.DUMMYFUNCTION("""COMPUTED_VALUE"""),"RecalculateCommissionOnBrokerChange")</f>
        <v>RecalculateCommissionOnBrokerChange</v>
      </c>
      <c r="T5" s="29" t="str">
        <f>IFERROR(__xludf.DUMMYFUNCTION("""COMPUTED_VALUE"""),"CommissionAlertOnAllocation")</f>
        <v>CommissionAlertOnAllocation</v>
      </c>
      <c r="U5" s="29" t="str">
        <f>IFERROR(__xludf.DUMMYFUNCTION("""COMPUTED_VALUE"""),"RecalculateCommissionOnAllocation")</f>
        <v>RecalculateCommissionOnAllocation</v>
      </c>
      <c r="V5" s="29" t="str">
        <f>IFERROR(__xludf.DUMMYFUNCTION("""COMPUTED_VALUE"""),"EnableMasterFund")</f>
        <v>EnableMasterFund</v>
      </c>
      <c r="W5" s="29" t="str">
        <f>IFERROR(__xludf.DUMMYFUNCTION("""COMPUTED_VALUE"""),"1MasterFund/1Symbol")</f>
        <v>1MasterFund/1Symbol</v>
      </c>
      <c r="X5" s="29" t="str">
        <f>IFERROR(__xludf.DUMMYFUNCTION("""COMPUTED_VALUE"""),"ProrataSchemeName")</f>
        <v>ProrataSchemeName</v>
      </c>
      <c r="Y5" s="29" t="str">
        <f>IFERROR(__xludf.DUMMYFUNCTION("""COMPUTED_VALUE"""),"ProrataAllocationSchemeBasis")</f>
        <v>ProrataAllocationSchemeBasis</v>
      </c>
      <c r="Z5" s="29" t="str">
        <f>IFERROR(__xludf.DUMMYFUNCTION("""COMPUTED_VALUE"""),"ShowAdvancedProrataUI")</f>
        <v>ShowAdvancedProrataUI</v>
      </c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1"/>
      <c r="B6" s="32" t="b">
        <v>1</v>
      </c>
      <c r="C6" s="33"/>
      <c r="D6" s="31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4" t="b">
        <v>1</v>
      </c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SetGeneralPreferences!$4:$4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24</v>
      </c>
      <c r="D3" s="5" t="s">
        <v>9</v>
      </c>
      <c r="E3" s="22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IFERROR(__xludf.DUMMYFUNCTION("""COMPUTED_VALUE"""),"PreferenceName")</f>
        <v>PreferenceName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1"/>
      <c r="B6" s="35" t="s">
        <v>27</v>
      </c>
      <c r="C6" s="33"/>
      <c r="D6" s="31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AddMFPreferences!$4:$4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24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IFERROR(__xludf.DUMMYFUNCTION("""COMPUTED_VALUE"""),"RemainderAllocationTo")</f>
        <v>RemainderAllocationTo</v>
      </c>
      <c r="C5" s="27" t="str">
        <f>IFERROR(__xludf.DUMMYFUNCTION("""COMPUTED_VALUE"""),"Target%AsOf")</f>
        <v>Target%AsOf</v>
      </c>
      <c r="D5" s="27" t="str">
        <f>IFERROR(__xludf.DUMMYFUNCTION("""COMPUTED_VALUE"""),"ProrataAccounts")</f>
        <v>ProrataAccounts</v>
      </c>
      <c r="E5" s="27" t="str">
        <f>IFERROR(__xludf.DUMMYFUNCTION("""COMPUTED_VALUE"""),"DateUptoDays")</f>
        <v>DateUptoDays</v>
      </c>
      <c r="F5" s="28" t="str">
        <f>IFERROR(__xludf.DUMMYFUNCTION("""COMPUTED_VALUE"""),"PreferenceName")</f>
        <v>PreferenceName</v>
      </c>
      <c r="G5" s="27" t="str">
        <f>IFERROR(__xludf.DUMMYFUNCTION("""COMPUTED_VALUE"""),"MatchClosingTransaction")</f>
        <v>MatchClosingTransaction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1"/>
      <c r="B6" s="31"/>
      <c r="C6" s="36" t="s">
        <v>29</v>
      </c>
      <c r="D6" s="31"/>
      <c r="E6" s="33"/>
      <c r="F6" s="36" t="s">
        <v>27</v>
      </c>
      <c r="G6" s="36" t="s">
        <v>30</v>
      </c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SetMFPreferencesDefaultRule!$4:$4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24</v>
      </c>
      <c r="D3" s="5" t="s">
        <v>9</v>
      </c>
      <c r="E3" s="22" t="s">
        <v>31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IFERROR(__xludf.DUMMYFUNCTION("""COMPUTED_VALUE"""),"PreferenceName")</f>
        <v>PreferenceName</v>
      </c>
      <c r="C5" s="27" t="str">
        <f>IFERROR(__xludf.DUMMYFUNCTION("""COMPUTED_VALUE"""),"MasterFundName")</f>
        <v>MasterFundName</v>
      </c>
      <c r="D5" s="27" t="str">
        <f>IFERROR(__xludf.DUMMYFUNCTION("""COMPUTED_VALUE"""),"TargetPercentage")</f>
        <v>TargetPercentage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1"/>
      <c r="B6" s="35" t="s">
        <v>27</v>
      </c>
      <c r="C6" s="36" t="s">
        <v>32</v>
      </c>
      <c r="D6" s="37">
        <v>50.0</v>
      </c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3"/>
      <c r="B7" s="36" t="s">
        <v>27</v>
      </c>
      <c r="C7" s="36" t="s">
        <v>33</v>
      </c>
      <c r="D7" s="37">
        <v>50.0</v>
      </c>
      <c r="E7" s="33"/>
      <c r="F7" s="33"/>
      <c r="G7" s="33"/>
      <c r="H7" s="33"/>
      <c r="I7" s="33"/>
      <c r="J7" s="33"/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SetMFPrefFundDistribution!$4:$4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24</v>
      </c>
      <c r="D3" s="5" t="s">
        <v>9</v>
      </c>
      <c r="E3" s="22" t="s">
        <v>34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IFERROR(__xludf.DUMMYFUNCTION("""COMPUTED_VALUE"""),"PreferenceName")</f>
        <v>PreferenceName</v>
      </c>
      <c r="C5" s="27" t="str">
        <f>IFERROR(__xludf.DUMMYFUNCTION("""COMPUTED_VALUE"""),"MasterFund")</f>
        <v>MasterFund</v>
      </c>
      <c r="D5" s="27" t="str">
        <f>IFERROR(__xludf.DUMMYFUNCTION("""COMPUTED_VALUE"""),"AccountName")</f>
        <v>AccountName</v>
      </c>
      <c r="E5" s="27" t="str">
        <f>IFERROR(__xludf.DUMMYFUNCTION("""COMPUTED_VALUE"""),"Percentage")</f>
        <v>Percentage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1"/>
      <c r="B6" s="35" t="s">
        <v>27</v>
      </c>
      <c r="C6" s="36" t="s">
        <v>32</v>
      </c>
      <c r="D6" s="35" t="s">
        <v>18</v>
      </c>
      <c r="E6" s="38">
        <v>100.0</v>
      </c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SetMFPrefAccountValues!$4:$4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24</v>
      </c>
      <c r="D3" s="5" t="s">
        <v>9</v>
      </c>
      <c r="E3" s="22" t="s">
        <v>34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IFERROR(__xludf.DUMMYFUNCTION("""COMPUTED_VALUE"""),"PreferenceName")</f>
        <v>PreferenceName</v>
      </c>
      <c r="C5" s="27" t="str">
        <f>IFERROR(__xludf.DUMMYFUNCTION("""COMPUTED_VALUE"""),"MasterFund")</f>
        <v>MasterFund</v>
      </c>
      <c r="D5" s="27" t="str">
        <f>IFERROR(__xludf.DUMMYFUNCTION("""COMPUTED_VALUE"""),"AccountName")</f>
        <v>AccountName</v>
      </c>
      <c r="E5" s="27" t="str">
        <f>IFERROR(__xludf.DUMMYFUNCTION("""COMPUTED_VALUE"""),"Percentage")</f>
        <v>Percentage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1"/>
      <c r="B6" s="35" t="s">
        <v>27</v>
      </c>
      <c r="C6" s="36" t="s">
        <v>33</v>
      </c>
      <c r="D6" s="35" t="s">
        <v>19</v>
      </c>
      <c r="E6" s="38">
        <v>100.0</v>
      </c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SetMFPrefAccountValues1!$4:$4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24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IFERROR(__xludf.DUMMYFUNCTION("""COMPUTED_VALUE"""),"PreferenceName")</f>
        <v>PreferenceName</v>
      </c>
      <c r="C5" s="27" t="str">
        <f>IFERROR(__xludf.DUMMYFUNCTION("""COMPUTED_VALUE"""),"MasterFund")</f>
        <v>MasterFund</v>
      </c>
      <c r="D5" s="27" t="str">
        <f>IFERROR(__xludf.DUMMYFUNCTION("""COMPUTED_VALUE"""),"Exchange Selector")</f>
        <v>Exchange Selector</v>
      </c>
      <c r="E5" s="27" t="str">
        <f>IFERROR(__xludf.DUMMYFUNCTION("""COMPUTED_VALUE"""),"Exchange List")</f>
        <v>Exchange List</v>
      </c>
      <c r="F5" s="28" t="str">
        <f>IFERROR(__xludf.DUMMYFUNCTION("""COMPUTED_VALUE"""),"Asset Selector")</f>
        <v>Asset Selector</v>
      </c>
      <c r="G5" s="27" t="str">
        <f>IFERROR(__xludf.DUMMYFUNCTION("""COMPUTED_VALUE"""),"Asset List")</f>
        <v>Asset List</v>
      </c>
      <c r="H5" s="27" t="str">
        <f>IFERROR(__xludf.DUMMYFUNCTION("""COMPUTED_VALUE"""),"PR Selector")</f>
        <v>PR Selector</v>
      </c>
      <c r="I5" s="27" t="str">
        <f>IFERROR(__xludf.DUMMYFUNCTION("""COMPUTED_VALUE"""),"PR List")</f>
        <v>PR List</v>
      </c>
      <c r="J5" s="27" t="str">
        <f>IFERROR(__xludf.DUMMYFUNCTION("""COMPUTED_VALUE"""),"Order Side Selector")</f>
        <v>Order Side Selector</v>
      </c>
      <c r="K5" s="27" t="str">
        <f>IFERROR(__xludf.DUMMYFUNCTION("""COMPUTED_VALUE"""),"Order Side List")</f>
        <v>Order Side List</v>
      </c>
      <c r="L5" s="27" t="str">
        <f>IFERROR(__xludf.DUMMYFUNCTION("""COMPUTED_VALUE"""),"Update Preference")</f>
        <v>Update Preference</v>
      </c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27</v>
      </c>
      <c r="C6" s="12" t="s">
        <v>32</v>
      </c>
      <c r="D6" s="12"/>
      <c r="E6" s="30"/>
      <c r="F6" s="8"/>
      <c r="G6" s="8"/>
      <c r="H6" s="8"/>
      <c r="I6" s="8"/>
      <c r="J6" s="12" t="s">
        <v>36</v>
      </c>
      <c r="K6" s="12" t="s">
        <v>21</v>
      </c>
      <c r="L6" s="39" t="b">
        <v>1</v>
      </c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SetMFPrefGeneralRule!$4:$4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24</v>
      </c>
      <c r="D3" s="5" t="s">
        <v>9</v>
      </c>
      <c r="E3" s="22" t="s">
        <v>37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IFERROR(__xludf.DUMMYFUNCTION("""COMPUTED_VALUE"""),"PreferenceName")</f>
        <v>PreferenceName</v>
      </c>
      <c r="C5" s="27" t="str">
        <f>IFERROR(__xludf.DUMMYFUNCTION("""COMPUTED_VALUE"""),"AccountName")</f>
        <v>AccountName</v>
      </c>
      <c r="D5" s="27" t="str">
        <f>IFERROR(__xludf.DUMMYFUNCTION("""COMPUTED_VALUE"""),"Percentage")</f>
        <v>Percentage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27</v>
      </c>
      <c r="C6" s="12" t="s">
        <v>18</v>
      </c>
      <c r="D6" s="12">
        <v>0.0</v>
      </c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12"/>
      <c r="B7" s="12" t="s">
        <v>27</v>
      </c>
      <c r="C7" s="12" t="s">
        <v>38</v>
      </c>
      <c r="D7" s="12">
        <v>100.0</v>
      </c>
      <c r="E7" s="30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UpdateGRAccountValue!$4:$4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24</v>
      </c>
      <c r="D3" s="5" t="s">
        <v>9</v>
      </c>
      <c r="E3" s="22" t="s">
        <v>37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IFERROR(__xludf.DUMMYFUNCTION("""COMPUTED_VALUE"""),"PreferenceName")</f>
        <v>PreferenceName</v>
      </c>
      <c r="C5" s="27" t="str">
        <f>IFERROR(__xludf.DUMMYFUNCTION("""COMPUTED_VALUE"""),"AccountName")</f>
        <v>AccountName</v>
      </c>
      <c r="D5" s="27" t="str">
        <f>IFERROR(__xludf.DUMMYFUNCTION("""COMPUTED_VALUE"""),"Percentage")</f>
        <v>Percentage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27</v>
      </c>
      <c r="C6" s="12" t="s">
        <v>19</v>
      </c>
      <c r="D6" s="12">
        <v>0.0</v>
      </c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12"/>
      <c r="B7" s="12" t="s">
        <v>27</v>
      </c>
      <c r="C7" s="12" t="s">
        <v>39</v>
      </c>
      <c r="D7" s="12">
        <v>100.0</v>
      </c>
      <c r="E7" s="30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UpdateGRAccountValue1!$4:$4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24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IFERROR(__xludf.DUMMYFUNCTION("""COMPUTED_VALUE"""),"PreferenceName")</f>
        <v>PreferenceName</v>
      </c>
      <c r="C5" s="27" t="str">
        <f>IFERROR(__xludf.DUMMYFUNCTION("""COMPUTED_VALUE"""),"MasterFund")</f>
        <v>MasterFund</v>
      </c>
      <c r="D5" s="27" t="str">
        <f>IFERROR(__xludf.DUMMYFUNCTION("""COMPUTED_VALUE"""),"Exchange Selector")</f>
        <v>Exchange Selector</v>
      </c>
      <c r="E5" s="27" t="str">
        <f>IFERROR(__xludf.DUMMYFUNCTION("""COMPUTED_VALUE"""),"Exchange List")</f>
        <v>Exchange List</v>
      </c>
      <c r="F5" s="28" t="str">
        <f>IFERROR(__xludf.DUMMYFUNCTION("""COMPUTED_VALUE"""),"Asset Selector")</f>
        <v>Asset Selector</v>
      </c>
      <c r="G5" s="27" t="str">
        <f>IFERROR(__xludf.DUMMYFUNCTION("""COMPUTED_VALUE"""),"Asset List")</f>
        <v>Asset List</v>
      </c>
      <c r="H5" s="27" t="str">
        <f>IFERROR(__xludf.DUMMYFUNCTION("""COMPUTED_VALUE"""),"PR Selector")</f>
        <v>PR Selector</v>
      </c>
      <c r="I5" s="27" t="str">
        <f>IFERROR(__xludf.DUMMYFUNCTION("""COMPUTED_VALUE"""),"PR List")</f>
        <v>PR List</v>
      </c>
      <c r="J5" s="27" t="str">
        <f>IFERROR(__xludf.DUMMYFUNCTION("""COMPUTED_VALUE"""),"Order Side Selector")</f>
        <v>Order Side Selector</v>
      </c>
      <c r="K5" s="27" t="str">
        <f>IFERROR(__xludf.DUMMYFUNCTION("""COMPUTED_VALUE"""),"Order Side List")</f>
        <v>Order Side List</v>
      </c>
      <c r="L5" s="27" t="str">
        <f>IFERROR(__xludf.DUMMYFUNCTION("""COMPUTED_VALUE"""),"Update Preference")</f>
        <v>Update Preference</v>
      </c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27</v>
      </c>
      <c r="C6" s="12" t="s">
        <v>33</v>
      </c>
      <c r="D6" s="12"/>
      <c r="E6" s="30"/>
      <c r="F6" s="8"/>
      <c r="G6" s="8"/>
      <c r="H6" s="8"/>
      <c r="I6" s="8"/>
      <c r="J6" s="12" t="s">
        <v>36</v>
      </c>
      <c r="K6" s="12" t="s">
        <v>17</v>
      </c>
      <c r="L6" s="12" t="b">
        <v>1</v>
      </c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SetMFPrefGeneralRule1!$4:$4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24</v>
      </c>
      <c r="D3" s="5" t="s">
        <v>9</v>
      </c>
      <c r="E3" s="22" t="s">
        <v>40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IFERROR(__xludf.DUMMYFUNCTION("""COMPUTED_VALUE"""),"Side")</f>
        <v>Side</v>
      </c>
      <c r="D5" s="27" t="str">
        <f>IFERROR(__xludf.DUMMYFUNCTION("""COMPUTED_VALUE"""),"Quantity")</f>
        <v>Quantity</v>
      </c>
      <c r="E5" s="27" t="str">
        <f>IFERROR(__xludf.DUMMYFUNCTION("""COMPUTED_VALUE"""),"Executed Qty")</f>
        <v>Executed Qty</v>
      </c>
      <c r="F5" s="28" t="str">
        <f>IFERROR(__xludf.DUMMYFUNCTION("""COMPUTED_VALUE"""),"Trade Date")</f>
        <v>Trade Date</v>
      </c>
      <c r="G5" s="27" t="str">
        <f>IFERROR(__xludf.DUMMYFUNCTION("""COMPUTED_VALUE"""),"Net Amount( Local)")</f>
        <v>Net Amount( Local)</v>
      </c>
      <c r="H5" s="27" t="str">
        <f>IFERROR(__xludf.DUMMYFUNCTION("""COMPUTED_VALUE"""),"Net Amount( Base)")</f>
        <v>Net Amount( Base)</v>
      </c>
      <c r="I5" s="27" t="str">
        <f>IFERROR(__xludf.DUMMYFUNCTION("""COMPUTED_VALUE"""),"Principal Amount( Local)")</f>
        <v>Principal Amount( Local)</v>
      </c>
      <c r="J5" s="27" t="str">
        <f>IFERROR(__xludf.DUMMYFUNCTION("""COMPUTED_VALUE"""),"Transaction Type")</f>
        <v>Transaction Type</v>
      </c>
      <c r="K5" s="27" t="str">
        <f>IFERROR(__xludf.DUMMYFUNCTION("""COMPUTED_VALUE"""),"Principal Amount( Base)")</f>
        <v>Principal Amount( Base)</v>
      </c>
      <c r="L5" s="27" t="str">
        <f>IFERROR(__xludf.DUMMYFUNCTION("""COMPUTED_VALUE"""),"Execution Time")</f>
        <v>Execution Time</v>
      </c>
      <c r="M5" s="27" t="str">
        <f>IFERROR(__xludf.DUMMYFUNCTION("""COMPUTED_VALUE"""),"Trading Account")</f>
        <v>Trading Account</v>
      </c>
      <c r="N5" s="27" t="str">
        <f>IFERROR(__xludf.DUMMYFUNCTION("""COMPUTED_VALUE"""),"Avg Price(Local)")</f>
        <v>Avg Price(Local)</v>
      </c>
      <c r="O5" s="27" t="str">
        <f>IFERROR(__xludf.DUMMYFUNCTION("""COMPUTED_VALUE"""),"Avg Price(Base)")</f>
        <v>Avg Price(Base)</v>
      </c>
      <c r="P5" s="27" t="str">
        <f>IFERROR(__xludf.DUMMYFUNCTION("""COMPUTED_VALUE"""),"Broker")</f>
        <v>Broker</v>
      </c>
      <c r="Q5" s="27" t="str">
        <f>IFERROR(__xludf.DUMMYFUNCTION("""COMPUTED_VALUE"""),"FX Rate")</f>
        <v>FX Rate</v>
      </c>
      <c r="R5" s="27" t="str">
        <f>IFERROR(__xludf.DUMMYFUNCTION("""COMPUTED_VALUE"""),"Venue")</f>
        <v>Venue</v>
      </c>
      <c r="S5" s="27" t="str">
        <f>IFERROR(__xludf.DUMMYFUNCTION("""COMPUTED_VALUE"""),"FX Conversion Operator")</f>
        <v>FX Conversion Operator</v>
      </c>
      <c r="T5" s="29" t="str">
        <f>IFERROR(__xludf.DUMMYFUNCTION("""COMPUTED_VALUE"""),"User")</f>
        <v>User</v>
      </c>
      <c r="U5" s="29" t="str">
        <f>IFERROR(__xludf.DUMMYFUNCTION("""COMPUTED_VALUE"""),"Asset Category")</f>
        <v>Asset Category</v>
      </c>
      <c r="V5" s="29" t="str">
        <f>IFERROR(__xludf.DUMMYFUNCTION("""COMPUTED_VALUE"""),"Settlement Currency")</f>
        <v>Settlement Currency</v>
      </c>
      <c r="W5" s="29" t="str">
        <f>IFERROR(__xludf.DUMMYFUNCTION("""COMPUTED_VALUE"""),"Commission Per Share")</f>
        <v>Commission Per Share</v>
      </c>
      <c r="X5" s="29" t="str">
        <f>IFERROR(__xludf.DUMMYFUNCTION("""COMPUTED_VALUE"""),"Soft Commission Per Share")</f>
        <v>Soft Commission Per Share</v>
      </c>
      <c r="Y5" s="29" t="str">
        <f>IFERROR(__xludf.DUMMYFUNCTION("""COMPUTED_VALUE"""),"Total Commission Per Share")</f>
        <v>Total Commission Per Share</v>
      </c>
      <c r="Z5" s="29" t="str">
        <f>IFERROR(__xludf.DUMMYFUNCTION("""COMPUTED_VALUE"""),"Change Type")</f>
        <v>Change Type</v>
      </c>
      <c r="AA5" s="29" t="str">
        <f>IFERROR(__xludf.DUMMYFUNCTION("""COMPUTED_VALUE"""),"Trade Attribute 1")</f>
        <v>Trade Attribute 1</v>
      </c>
      <c r="AB5" s="29" t="str">
        <f>IFERROR(__xludf.DUMMYFUNCTION("""COMPUTED_VALUE"""),"Trade Attribute 2")</f>
        <v>Trade Attribute 2</v>
      </c>
      <c r="AC5" s="29" t="str">
        <f>IFERROR(__xludf.DUMMYFUNCTION("""COMPUTED_VALUE"""),"Trade Attribute 3")</f>
        <v>Trade Attribute 3</v>
      </c>
      <c r="AD5" s="29" t="str">
        <f>IFERROR(__xludf.DUMMYFUNCTION("""COMPUTED_VALUE"""),"Trade Attribute 4")</f>
        <v>Trade Attribute 4</v>
      </c>
      <c r="AE5" s="29" t="str">
        <f>IFERROR(__xludf.DUMMYFUNCTION("""COMPUTED_VALUE"""),"Trade Attribute 5")</f>
        <v>Trade Attribute 5</v>
      </c>
      <c r="AF5" s="29" t="str">
        <f>IFERROR(__xludf.DUMMYFUNCTION("""COMPUTED_VALUE"""),"Trade Attribute 6")</f>
        <v>Trade Attribute 6</v>
      </c>
      <c r="AG5" s="29" t="str">
        <f>IFERROR(__xludf.DUMMYFUNCTION("""COMPUTED_VALUE"""),"IsPreAllocated")</f>
        <v>IsPreAllocated</v>
      </c>
      <c r="AH5" s="29" t="str">
        <f>IFERROR(__xludf.DUMMYFUNCTION("""COMPUTED_VALUE"""),"IsManual Group")</f>
        <v>IsManual Group</v>
      </c>
      <c r="AI5" s="29" t="str">
        <f>IFERROR(__xludf.DUMMYFUNCTION("""COMPUTED_VALUE"""),"IsAnotherTaxlotAttributesUpdated")</f>
        <v>IsAnotherTaxlotAttributesUpdated</v>
      </c>
      <c r="AJ5" s="29" t="str">
        <f>IFERROR(__xludf.DUMMYFUNCTION("""COMPUTED_VALUE"""),"ISNDF")</f>
        <v>ISNDF</v>
      </c>
      <c r="AK5" s="29" t="str">
        <f>IFERROR(__xludf.DUMMYFUNCTION("""COMPUTED_VALUE"""),"M2MProfitLoss")</f>
        <v>M2MProfitLoss</v>
      </c>
      <c r="AL5" s="29" t="str">
        <f>IFERROR(__xludf.DUMMYFUNCTION("""COMPUTED_VALUE"""),"Put Or Call")</f>
        <v>Put Or Call</v>
      </c>
      <c r="AM5" s="29" t="str">
        <f>IFERROR(__xludf.DUMMYFUNCTION("""COMPUTED_VALUE"""),"GroupID")</f>
        <v>GroupID</v>
      </c>
      <c r="AN5" s="29" t="str">
        <f>IFERROR(__xludf.DUMMYFUNCTION("""COMPUTED_VALUE"""),"UnAllocatedQty")</f>
        <v>UnAllocatedQty</v>
      </c>
      <c r="AO5" s="29" t="str">
        <f>IFERROR(__xludf.DUMMYFUNCTION("""COMPUTED_VALUE"""),"Allocated Qty")</f>
        <v>Allocated Qty</v>
      </c>
      <c r="AP5" s="29" t="str">
        <f>IFERROR(__xludf.DUMMYFUNCTION("""COMPUTED_VALUE"""),"Commission")</f>
        <v>Commission</v>
      </c>
      <c r="AQ5" s="29" t="str">
        <f>IFERROR(__xludf.DUMMYFUNCTION("""COMPUTED_VALUE"""),"Soft Commission")</f>
        <v>Soft Commission</v>
      </c>
      <c r="AR5" s="29" t="str">
        <f>IFERROR(__xludf.DUMMYFUNCTION("""COMPUTED_VALUE"""),"Other Broker Fees")</f>
        <v>Other Broker Fees</v>
      </c>
      <c r="AS5" s="29" t="str">
        <f>IFERROR(__xludf.DUMMYFUNCTION("""COMPUTED_VALUE"""),"Clearing Broker Fee")</f>
        <v>Clearing Broker Fee</v>
      </c>
      <c r="AT5" s="29" t="str">
        <f>IFERROR(__xludf.DUMMYFUNCTION("""COMPUTED_VALUE"""),"Total Commission And Fee")</f>
        <v>Total Commission And Fee</v>
      </c>
      <c r="AU5" s="29" t="str">
        <f>IFERROR(__xludf.DUMMYFUNCTION("""COMPUTED_VALUE"""),"Transaction Levy")</f>
        <v>Transaction Levy</v>
      </c>
      <c r="AV5" s="29" t="str">
        <f>IFERROR(__xludf.DUMMYFUNCTION("""COMPUTED_VALUE"""),"Stamp Duty")</f>
        <v>Stamp Duty</v>
      </c>
      <c r="AW5" s="29" t="str">
        <f>IFERROR(__xludf.DUMMYFUNCTION("""COMPUTED_VALUE"""),"AUEC Fee1")</f>
        <v>AUEC Fee1</v>
      </c>
      <c r="AX5" s="29" t="str">
        <f>IFERROR(__xludf.DUMMYFUNCTION("""COMPUTED_VALUE"""),"Tax On Commissions")</f>
        <v>Tax On Commissions</v>
      </c>
      <c r="AY5" s="29" t="str">
        <f>IFERROR(__xludf.DUMMYFUNCTION("""COMPUTED_VALUE"""),"AUEC Fee2")</f>
        <v>AUEC Fee2</v>
      </c>
      <c r="AZ5" s="29" t="str">
        <f>IFERROR(__xludf.DUMMYFUNCTION("""COMPUTED_VALUE"""),"SEC Fee")</f>
        <v>SEC Fee</v>
      </c>
      <c r="BA5" s="29" t="str">
        <f>IFERROR(__xludf.DUMMYFUNCTION("""COMPUTED_VALUE"""),"OCC Fee")</f>
        <v>OCC Fee</v>
      </c>
      <c r="BB5" s="29" t="str">
        <f>IFERROR(__xludf.DUMMYFUNCTION("""COMPUTED_VALUE"""),"ORF Fee")</f>
        <v>ORF Fee</v>
      </c>
      <c r="BC5" s="29" t="str">
        <f>IFERROR(__xludf.DUMMYFUNCTION("""COMPUTED_VALUE"""),"Option Premium Adjustment")</f>
        <v>Option Premium Adjustment</v>
      </c>
      <c r="BD5" s="29" t="str">
        <f>IFERROR(__xludf.DUMMYFUNCTION("""COMPUTED_VALUE"""),"Prana Msg Type")</f>
        <v>Prana Msg Type</v>
      </c>
      <c r="BE5" s="29" t="str">
        <f>IFERROR(__xludf.DUMMYFUNCTION("""COMPUTED_VALUE"""),"Total Commission")</f>
        <v>Total Commission</v>
      </c>
      <c r="BF5" s="29" t="str">
        <f>IFERROR(__xludf.DUMMYFUNCTION("""COMPUTED_VALUE"""),"Closing Status")</f>
        <v>Closing Status</v>
      </c>
      <c r="BG5" s="29" t="str">
        <f>IFERROR(__xludf.DUMMYFUNCTION("""COMPUTED_VALUE"""),"Closing Method")</f>
        <v>Closing Method</v>
      </c>
      <c r="BH5" s="29" t="str">
        <f>IFERROR(__xludf.DUMMYFUNCTION("""COMPUTED_VALUE"""),"Group Status")</f>
        <v>Group Status</v>
      </c>
      <c r="BI5" s="29" t="str">
        <f>IFERROR(__xludf.DUMMYFUNCTION("""COMPUTED_VALUE"""),"Allocation Scheme Name")</f>
        <v>Allocation Scheme Name</v>
      </c>
      <c r="BJ5" s="29" t="str">
        <f>IFERROR(__xludf.DUMMYFUNCTION("""COMPUTED_VALUE"""),"Change Comment")</f>
        <v>Change Comment</v>
      </c>
      <c r="BK5" s="29" t="str">
        <f>IFERROR(__xludf.DUMMYFUNCTION("""COMPUTED_VALUE"""),"Order Type")</f>
        <v>Order Type</v>
      </c>
      <c r="BL5" s="29" t="str">
        <f>IFERROR(__xludf.DUMMYFUNCTION("""COMPUTED_VALUE"""),"Underlying")</f>
        <v>Underlying</v>
      </c>
      <c r="BM5" s="29" t="str">
        <f>IFERROR(__xludf.DUMMYFUNCTION("""COMPUTED_VALUE"""),"Exchange")</f>
        <v>Exchange</v>
      </c>
      <c r="BN5" s="29" t="str">
        <f>IFERROR(__xludf.DUMMYFUNCTION("""COMPUTED_VALUE"""),"Currency")</f>
        <v>Currency</v>
      </c>
      <c r="BO5" s="29" t="str">
        <f>IFERROR(__xludf.DUMMYFUNCTION("""COMPUTED_VALUE"""),"AUECID")</f>
        <v>AUECID</v>
      </c>
      <c r="BP5" s="29" t="str">
        <f>IFERROR(__xludf.DUMMYFUNCTION("""COMPUTED_VALUE"""),"Cum Qty For Sub Order")</f>
        <v>Cum Qty For Sub Order</v>
      </c>
      <c r="BQ5" s="29" t="str">
        <f>IFERROR(__xludf.DUMMYFUNCTION("""COMPUTED_VALUE"""),"Contract Multiplier")</f>
        <v>Contract Multiplier</v>
      </c>
      <c r="BR5" s="29" t="str">
        <f>IFERROR(__xludf.DUMMYFUNCTION("""COMPUTED_VALUE"""),"Company")</f>
        <v>Company</v>
      </c>
      <c r="BS5" s="29" t="str">
        <f>IFERROR(__xludf.DUMMYFUNCTION("""COMPUTED_VALUE"""),"Nirvana Process Date")</f>
        <v>Nirvana Process Date</v>
      </c>
      <c r="BT5" s="29" t="str">
        <f>IFERROR(__xludf.DUMMYFUNCTION("""COMPUTED_VALUE"""),"Process Date")</f>
        <v>Process Date</v>
      </c>
      <c r="BU5" s="29" t="str">
        <f>IFERROR(__xludf.DUMMYFUNCTION("""COMPUTED_VALUE"""),"Original Purchase Date")</f>
        <v>Original Purchase Date</v>
      </c>
      <c r="BV5" s="29" t="str">
        <f>IFERROR(__xludf.DUMMYFUNCTION("""COMPUTED_VALUE"""),"Closing Date")</f>
        <v>Closing Date</v>
      </c>
      <c r="BW5" s="29" t="str">
        <f>IFERROR(__xludf.DUMMYFUNCTION("""COMPUTED_VALUE"""),"Settlement Date")</f>
        <v>Settlement Date</v>
      </c>
      <c r="BX5" s="29" t="str">
        <f>IFERROR(__xludf.DUMMYFUNCTION("""COMPUTED_VALUE"""),"Expiration Date")</f>
        <v>Expiration Date</v>
      </c>
      <c r="BY5" s="29" t="str">
        <f>IFERROR(__xludf.DUMMYFUNCTION("""COMPUTED_VALUE"""),"Description")</f>
        <v>Description</v>
      </c>
      <c r="BZ5" s="29" t="str">
        <f>IFERROR(__xludf.DUMMYFUNCTION("""COMPUTED_VALUE"""),"Underlying Symbol")</f>
        <v>Underlying Symbol</v>
      </c>
      <c r="CA5" s="29" t="str">
        <f>IFERROR(__xludf.DUMMYFUNCTION("""COMPUTED_VALUE"""),"Accrued Interest")</f>
        <v>Accrued Interest</v>
      </c>
      <c r="CB5" s="29" t="str">
        <f>IFERROR(__xludf.DUMMYFUNCTION("""COMPUTED_VALUE"""),"Accrual Basis")</f>
        <v>Accrual Basis</v>
      </c>
      <c r="CC5" s="29" t="str">
        <f>IFERROR(__xludf.DUMMYFUNCTION("""COMPUTED_VALUE"""),"Bond Type")</f>
        <v>Bond Type</v>
      </c>
      <c r="CD5" s="29" t="str">
        <f>IFERROR(__xludf.DUMMYFUNCTION("""COMPUTED_VALUE"""),"Coupon Rate")</f>
        <v>Coupon Rate</v>
      </c>
      <c r="CE5" s="29" t="str">
        <f>IFERROR(__xludf.DUMMYFUNCTION("""COMPUTED_VALUE"""),"Delta")</f>
        <v>Delta</v>
      </c>
      <c r="CF5" s="29" t="str">
        <f>IFERROR(__xludf.DUMMYFUNCTION("""COMPUTED_VALUE"""),"Bloomberg")</f>
        <v>Bloomberg</v>
      </c>
      <c r="CG5" s="29" t="str">
        <f>IFERROR(__xludf.DUMMYFUNCTION("""COMPUTED_VALUE"""),"Sedol Symbol")</f>
        <v>Sedol Symbol</v>
      </c>
      <c r="CH5" s="29" t="str">
        <f>IFERROR(__xludf.DUMMYFUNCTION("""COMPUTED_VALUE"""),"Cusip Symbol")</f>
        <v>Cusip Symbol</v>
      </c>
      <c r="CI5" s="29" t="str">
        <f>IFERROR(__xludf.DUMMYFUNCTION("""COMPUTED_VALUE"""),"ISIN")</f>
        <v>ISIN</v>
      </c>
      <c r="CJ5" s="29" t="str">
        <f>IFERROR(__xludf.DUMMYFUNCTION("""COMPUTED_VALUE"""),"OSISSymbol")</f>
        <v>OSISSymbol</v>
      </c>
      <c r="CK5" s="29" t="str">
        <f>IFERROR(__xludf.DUMMYFUNCTION("""COMPUTED_VALUE"""),"IDCOSymbol")</f>
        <v>IDCOSymbol</v>
      </c>
      <c r="CL5" s="29" t="str">
        <f>IFERROR(__xludf.DUMMYFUNCTION("""COMPUTED_VALUE"""),"Underlying Delta")</f>
        <v>Underlying Delta</v>
      </c>
      <c r="CM5" s="29" t="str">
        <f>IFERROR(__xludf.DUMMYFUNCTION("""COMPUTED_VALUE"""),"Internal Comments")</f>
        <v>Internal Comments</v>
      </c>
      <c r="CN5" s="29" t="str">
        <f>IFERROR(__xludf.DUMMYFUNCTION("""COMPUTED_VALUE"""),"Proxy Symbol")</f>
        <v>Proxy Symbol</v>
      </c>
      <c r="CO5" s="29" t="str">
        <f>IFERROR(__xludf.DUMMYFUNCTION("""COMPUTED_VALUE"""),"Transaction Source")</f>
        <v>Transaction Source</v>
      </c>
      <c r="CP5" s="29" t="str">
        <f>IFERROR(__xludf.DUMMYFUNCTION("""COMPUTED_VALUE"""),"Import File Name")</f>
        <v>Import File Name</v>
      </c>
      <c r="CQ5" s="29" t="str">
        <f>IFERROR(__xludf.DUMMYFUNCTION("""COMPUTED_VALUE"""),"Master Fund")</f>
        <v>Master Fund</v>
      </c>
      <c r="CR5" s="29" t="str">
        <f>IFERROR(__xludf.DUMMYFUNCTION("""COMPUTED_VALUE"""),"Client")</f>
        <v>Client</v>
      </c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12" t="s">
        <v>22</v>
      </c>
      <c r="D6" s="12">
        <v>1000.0</v>
      </c>
      <c r="E6" s="12">
        <v>1000.0</v>
      </c>
      <c r="F6" s="30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2" t="s">
        <v>20</v>
      </c>
      <c r="C7" s="12" t="s">
        <v>21</v>
      </c>
      <c r="D7" s="12">
        <v>1000.0</v>
      </c>
      <c r="E7" s="12">
        <v>1000.0</v>
      </c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12" t="s">
        <v>20</v>
      </c>
      <c r="C8" s="12" t="s">
        <v>17</v>
      </c>
      <c r="D8" s="12">
        <v>1500.0</v>
      </c>
      <c r="E8" s="12">
        <v>1500.0</v>
      </c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SelectUnallocatedGroup!$4:$4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24</v>
      </c>
      <c r="D3" s="5" t="s">
        <v>9</v>
      </c>
      <c r="E3" s="22" t="s">
        <v>41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IFERROR(__xludf.DUMMYFUNCTION("""COMPUTED_VALUE"""),"PreferenceType")</f>
        <v>PreferenceType</v>
      </c>
      <c r="C5" s="27" t="str">
        <f>IFERROR(__xludf.DUMMYFUNCTION("""COMPUTED_VALUE"""),"PreferenceName")</f>
        <v>PreferenceName</v>
      </c>
      <c r="D5" s="27" t="str">
        <f>IFERROR(__xludf.DUMMYFUNCTION("""COMPUTED_VALUE"""),"PTTPrefNeeded")</f>
        <v>PTTPrefNeeded</v>
      </c>
      <c r="E5" s="27" t="str">
        <f>IFERROR(__xludf.DUMMYFUNCTION("""COMPUTED_VALUE"""),"IsForceAllocation")</f>
        <v>IsForceAllocation</v>
      </c>
      <c r="F5" s="28" t="str">
        <f>IFERROR(__xludf.DUMMYFUNCTION("""COMPUTED_VALUE"""),"AllocationMethod")</f>
        <v>AllocationMethod</v>
      </c>
      <c r="G5" s="27" t="str">
        <f>IFERROR(__xludf.DUMMYFUNCTION("""COMPUTED_VALUE"""),"RemainderAllocationTo")</f>
        <v>RemainderAllocationTo</v>
      </c>
      <c r="H5" s="27" t="str">
        <f>IFERROR(__xludf.DUMMYFUNCTION("""COMPUTED_VALUE"""),"Target%AsOf")</f>
        <v>Target%AsOf</v>
      </c>
      <c r="I5" s="27" t="str">
        <f>IFERROR(__xludf.DUMMYFUNCTION("""COMPUTED_VALUE"""),"AccountsForProrata")</f>
        <v>AccountsForProrata</v>
      </c>
      <c r="J5" s="27" t="str">
        <f>IFERROR(__xludf.DUMMYFUNCTION("""COMPUTED_VALUE"""),"DateUptoDays")</f>
        <v>DateUptoDays</v>
      </c>
      <c r="K5" s="27" t="str">
        <f>IFERROR(__xludf.DUMMYFUNCTION("""COMPUTED_VALUE"""),"MatchClosingTransactions")</f>
        <v>MatchClosingTransactions</v>
      </c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42</v>
      </c>
      <c r="C6" s="12" t="s">
        <v>27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EnterAllocatePreference!$4:$4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24</v>
      </c>
      <c r="D3" s="5" t="s">
        <v>9</v>
      </c>
      <c r="E3" s="22" t="s">
        <v>43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IFERROR(__xludf.DUMMYFUNCTION("""COMPUTED_VALUE"""),"Net Amount(Local)")</f>
        <v>Net Amount(Local)</v>
      </c>
      <c r="C5" s="27" t="str">
        <f>IFERROR(__xludf.DUMMYFUNCTION("""COMPUTED_VALUE"""),"Net Amount(Base)")</f>
        <v>Net Amount(Base)</v>
      </c>
      <c r="D5" s="27" t="str">
        <f>IFERROR(__xludf.DUMMYFUNCTION("""COMPUTED_VALUE"""),"Principal Amount(Local)")</f>
        <v>Principal Amount(Local)</v>
      </c>
      <c r="E5" s="27" t="str">
        <f>IFERROR(__xludf.DUMMYFUNCTION("""COMPUTED_VALUE"""),"Principal Amount(Base)")</f>
        <v>Principal Amount(Base)</v>
      </c>
      <c r="F5" s="28" t="str">
        <f>IFERROR(__xludf.DUMMYFUNCTION("""COMPUTED_VALUE"""),"FX Conversion Operator")</f>
        <v>FX Conversion Operator</v>
      </c>
      <c r="G5" s="27" t="str">
        <f>IFERROR(__xludf.DUMMYFUNCTION("""COMPUTED_VALUE"""),"TaxLotID")</f>
        <v>TaxLotID</v>
      </c>
      <c r="H5" s="27" t="str">
        <f>IFERROR(__xludf.DUMMYFUNCTION("""COMPUTED_VALUE"""),"Settlement Currency")</f>
        <v>Settlement Currency</v>
      </c>
      <c r="I5" s="27" t="str">
        <f>IFERROR(__xludf.DUMMYFUNCTION("""COMPUTED_VALUE"""),"Trade Attribute 1")</f>
        <v>Trade Attribute 1</v>
      </c>
      <c r="J5" s="27" t="str">
        <f>IFERROR(__xludf.DUMMYFUNCTION("""COMPUTED_VALUE"""),"Trade Attribute 2")</f>
        <v>Trade Attribute 2</v>
      </c>
      <c r="K5" s="27" t="str">
        <f>IFERROR(__xludf.DUMMYFUNCTION("""COMPUTED_VALUE"""),"Trade Attribute 3")</f>
        <v>Trade Attribute 3</v>
      </c>
      <c r="L5" s="27" t="str">
        <f>IFERROR(__xludf.DUMMYFUNCTION("""COMPUTED_VALUE"""),"Trade Attribute 4")</f>
        <v>Trade Attribute 4</v>
      </c>
      <c r="M5" s="27" t="str">
        <f>IFERROR(__xludf.DUMMYFUNCTION("""COMPUTED_VALUE"""),"Trade Attribute 5")</f>
        <v>Trade Attribute 5</v>
      </c>
      <c r="N5" s="27" t="str">
        <f>IFERROR(__xludf.DUMMYFUNCTION("""COMPUTED_VALUE"""),"Trade Attribute 6")</f>
        <v>Trade Attribute 6</v>
      </c>
      <c r="O5" s="27" t="str">
        <f>IFERROR(__xludf.DUMMYFUNCTION("""COMPUTED_VALUE"""),"Account Name")</f>
        <v>Account Name</v>
      </c>
      <c r="P5" s="27" t="str">
        <f>IFERROR(__xludf.DUMMYFUNCTION("""COMPUTED_VALUE"""),"Strategy Name")</f>
        <v>Strategy Name</v>
      </c>
      <c r="Q5" s="27" t="str">
        <f>IFERROR(__xludf.DUMMYFUNCTION("""COMPUTED_VALUE"""),"Percentage")</f>
        <v>Percentage</v>
      </c>
      <c r="R5" s="27" t="str">
        <f>IFERROR(__xludf.DUMMYFUNCTION("""COMPUTED_VALUE"""),"Taxlot Qty")</f>
        <v>Taxlot Qty</v>
      </c>
      <c r="S5" s="27" t="str">
        <f>IFERROR(__xludf.DUMMYFUNCTION("""COMPUTED_VALUE"""),"Commission")</f>
        <v>Commission</v>
      </c>
      <c r="T5" s="29" t="str">
        <f>IFERROR(__xludf.DUMMYFUNCTION("""COMPUTED_VALUE"""),"Soft Commission")</f>
        <v>Soft Commission</v>
      </c>
      <c r="U5" s="29" t="str">
        <f>IFERROR(__xludf.DUMMYFUNCTION("""COMPUTED_VALUE"""),"Other Broker Fees")</f>
        <v>Other Broker Fees</v>
      </c>
      <c r="V5" s="29" t="str">
        <f>IFERROR(__xludf.DUMMYFUNCTION("""COMPUTED_VALUE"""),"Clearing Broker Fees")</f>
        <v>Clearing Broker Fees</v>
      </c>
      <c r="W5" s="29" t="str">
        <f>IFERROR(__xludf.DUMMYFUNCTION("""COMPUTED_VALUE"""),"Stamp Duty")</f>
        <v>Stamp Duty</v>
      </c>
      <c r="X5" s="29" t="str">
        <f>IFERROR(__xludf.DUMMYFUNCTION("""COMPUTED_VALUE"""),"Transaction Levy")</f>
        <v>Transaction Levy</v>
      </c>
      <c r="Y5" s="29" t="str">
        <f>IFERROR(__xludf.DUMMYFUNCTION("""COMPUTED_VALUE"""),"AUEC Fee1")</f>
        <v>AUEC Fee1</v>
      </c>
      <c r="Z5" s="29" t="str">
        <f>IFERROR(__xludf.DUMMYFUNCTION("""COMPUTED_VALUE"""),"Tax On Commissions")</f>
        <v>Tax On Commissions</v>
      </c>
      <c r="AA5" s="29" t="str">
        <f>IFERROR(__xludf.DUMMYFUNCTION("""COMPUTED_VALUE"""),"AUEC Fee2")</f>
        <v>AUEC Fee2</v>
      </c>
      <c r="AB5" s="29" t="str">
        <f>IFERROR(__xludf.DUMMYFUNCTION("""COMPUTED_VALUE"""),"SEC Fee")</f>
        <v>SEC Fee</v>
      </c>
      <c r="AC5" s="29" t="str">
        <f>IFERROR(__xludf.DUMMYFUNCTION("""COMPUTED_VALUE"""),"OCC Fee")</f>
        <v>OCC Fee</v>
      </c>
      <c r="AD5" s="29" t="str">
        <f>IFERROR(__xludf.DUMMYFUNCTION("""COMPUTED_VALUE"""),"ORF Fee")</f>
        <v>ORF Fee</v>
      </c>
      <c r="AE5" s="29" t="str">
        <f>IFERROR(__xludf.DUMMYFUNCTION("""COMPUTED_VALUE"""),"Option Premium Adjustment")</f>
        <v>Option Premium Adjustment</v>
      </c>
      <c r="AF5" s="29" t="str">
        <f>IFERROR(__xludf.DUMMYFUNCTION("""COMPUTED_VALUE"""),"Closing Status")</f>
        <v>Closing Status</v>
      </c>
      <c r="AG5" s="29" t="str">
        <f>IFERROR(__xludf.DUMMYFUNCTION("""COMPUTED_VALUE"""),"External Transaction ID")</f>
        <v>External Transaction ID</v>
      </c>
      <c r="AH5" s="29" t="str">
        <f>IFERROR(__xludf.DUMMYFUNCTION("""COMPUTED_VALUE"""),"Lot ID")</f>
        <v>Lot ID</v>
      </c>
      <c r="AI5" s="29" t="str">
        <f>IFERROR(__xludf.DUMMYFUNCTION("""COMPUTED_VALUE"""),"AvgPriceBase")</f>
        <v>AvgPriceBase</v>
      </c>
      <c r="AJ5" s="29" t="str">
        <f>IFERROR(__xludf.DUMMYFUNCTION("""COMPUTED_VALUE"""),"Accrued Interest")</f>
        <v>Accrued Interest</v>
      </c>
      <c r="AK5" s="29" t="str">
        <f>IFERROR(__xludf.DUMMYFUNCTION("""COMPUTED_VALUE"""),"FXRate")</f>
        <v>FXRate</v>
      </c>
      <c r="AL5" s="29" t="str">
        <f>IFERROR(__xludf.DUMMYFUNCTION("""COMPUTED_VALUE"""),"Change Type")</f>
        <v>Change Type</v>
      </c>
      <c r="AM5" s="29" t="str">
        <f>IFERROR(__xludf.DUMMYFUNCTION("""COMPUTED_VALUE"""),"MandatoryColumn")</f>
        <v>MandatoryColumn</v>
      </c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40">
        <v>1007.00055</v>
      </c>
      <c r="C6" s="40">
        <v>1007.00055</v>
      </c>
      <c r="D6" s="40">
        <v>1000.0</v>
      </c>
      <c r="E6" s="40">
        <v>1000.0</v>
      </c>
      <c r="F6" s="41" t="s">
        <v>44</v>
      </c>
      <c r="G6" s="42"/>
      <c r="H6" s="41" t="s">
        <v>45</v>
      </c>
      <c r="I6" s="8"/>
      <c r="J6" s="8"/>
      <c r="K6" s="8"/>
      <c r="L6" s="8"/>
      <c r="M6" s="8"/>
      <c r="N6" s="8"/>
      <c r="O6" s="41" t="s">
        <v>19</v>
      </c>
      <c r="P6" s="41" t="s">
        <v>46</v>
      </c>
      <c r="Q6" s="42"/>
      <c r="R6" s="42">
        <v>500.0</v>
      </c>
      <c r="S6" s="42">
        <v>0.0</v>
      </c>
      <c r="T6" s="42">
        <v>0.0</v>
      </c>
      <c r="U6" s="42">
        <v>0.0</v>
      </c>
      <c r="V6" s="42">
        <v>0.0</v>
      </c>
      <c r="W6" s="42"/>
      <c r="X6" s="42"/>
      <c r="Y6" s="42"/>
      <c r="Z6" s="42"/>
      <c r="AA6" s="42"/>
      <c r="AB6" s="42">
        <v>0.0</v>
      </c>
      <c r="AC6" s="42">
        <v>0.0</v>
      </c>
      <c r="AD6" s="42">
        <v>0.0</v>
      </c>
      <c r="AE6" s="42">
        <v>0.0</v>
      </c>
      <c r="AF6" s="41" t="s">
        <v>47</v>
      </c>
      <c r="AG6" s="43"/>
      <c r="AH6" s="43"/>
      <c r="AI6" s="42">
        <v>2.0</v>
      </c>
      <c r="AJ6" s="42">
        <v>0.0</v>
      </c>
      <c r="AK6" s="42">
        <v>1.0</v>
      </c>
      <c r="AL6" s="42">
        <v>3.0</v>
      </c>
    </row>
    <row r="7" ht="15.75" customHeight="1">
      <c r="A7" s="8"/>
      <c r="B7" s="40">
        <v>1007.00055</v>
      </c>
      <c r="C7" s="40">
        <v>1007.00055</v>
      </c>
      <c r="D7" s="40">
        <v>1000.0</v>
      </c>
      <c r="E7" s="40">
        <v>1000.0</v>
      </c>
      <c r="F7" s="41" t="s">
        <v>44</v>
      </c>
      <c r="G7" s="42"/>
      <c r="H7" s="41" t="s">
        <v>45</v>
      </c>
      <c r="I7" s="8"/>
      <c r="J7" s="8"/>
      <c r="K7" s="8"/>
      <c r="L7" s="8"/>
      <c r="M7" s="8"/>
      <c r="N7" s="8"/>
      <c r="O7" s="41" t="s">
        <v>18</v>
      </c>
      <c r="P7" s="41" t="s">
        <v>46</v>
      </c>
      <c r="Q7" s="42"/>
      <c r="R7" s="42">
        <v>500.0</v>
      </c>
      <c r="S7" s="42">
        <v>0.0</v>
      </c>
      <c r="T7" s="42">
        <v>0.0</v>
      </c>
      <c r="U7" s="42">
        <v>0.0</v>
      </c>
      <c r="V7" s="42">
        <v>0.0</v>
      </c>
      <c r="W7" s="42"/>
      <c r="X7" s="42"/>
      <c r="Y7" s="42"/>
      <c r="Z7" s="42"/>
      <c r="AA7" s="42"/>
      <c r="AB7" s="42">
        <v>0.0</v>
      </c>
      <c r="AC7" s="42">
        <v>0.0</v>
      </c>
      <c r="AD7" s="42">
        <v>0.0</v>
      </c>
      <c r="AE7" s="42">
        <v>0.0</v>
      </c>
      <c r="AF7" s="41" t="s">
        <v>47</v>
      </c>
      <c r="AG7" s="43"/>
      <c r="AH7" s="43"/>
      <c r="AI7" s="42">
        <v>2.0</v>
      </c>
      <c r="AJ7" s="42">
        <v>0.0</v>
      </c>
      <c r="AK7" s="42">
        <v>1.0</v>
      </c>
      <c r="AL7" s="42">
        <v>3.0</v>
      </c>
    </row>
    <row r="8" ht="15.75" customHeight="1">
      <c r="A8" s="8"/>
      <c r="B8" s="40">
        <v>1007.00055</v>
      </c>
      <c r="C8" s="40">
        <v>1007.00055</v>
      </c>
      <c r="D8" s="40">
        <v>1000.0</v>
      </c>
      <c r="E8" s="40">
        <v>1000.0</v>
      </c>
      <c r="F8" s="41" t="s">
        <v>44</v>
      </c>
      <c r="G8" s="42"/>
      <c r="H8" s="41" t="s">
        <v>45</v>
      </c>
      <c r="I8" s="8"/>
      <c r="J8" s="8"/>
      <c r="K8" s="8"/>
      <c r="L8" s="8"/>
      <c r="M8" s="8"/>
      <c r="N8" s="8"/>
      <c r="O8" s="41" t="s">
        <v>19</v>
      </c>
      <c r="P8" s="41" t="s">
        <v>46</v>
      </c>
      <c r="Q8" s="42"/>
      <c r="R8" s="42">
        <v>500.0</v>
      </c>
      <c r="S8" s="42">
        <v>0.0</v>
      </c>
      <c r="T8" s="42">
        <v>0.0</v>
      </c>
      <c r="U8" s="42">
        <v>0.0</v>
      </c>
      <c r="V8" s="42">
        <v>0.0</v>
      </c>
      <c r="W8" s="42"/>
      <c r="X8" s="42"/>
      <c r="Y8" s="42"/>
      <c r="Z8" s="42"/>
      <c r="AA8" s="42"/>
      <c r="AB8" s="42">
        <v>0.0</v>
      </c>
      <c r="AC8" s="42">
        <v>0.0</v>
      </c>
      <c r="AD8" s="42">
        <v>0.0</v>
      </c>
      <c r="AE8" s="42">
        <v>0.0</v>
      </c>
      <c r="AF8" s="41" t="s">
        <v>47</v>
      </c>
      <c r="AG8" s="43"/>
      <c r="AH8" s="43"/>
      <c r="AI8" s="42">
        <v>2.0</v>
      </c>
      <c r="AJ8" s="42">
        <v>0.0</v>
      </c>
      <c r="AK8" s="42">
        <v>1.0</v>
      </c>
      <c r="AL8" s="42">
        <v>3.0</v>
      </c>
    </row>
    <row r="9" ht="15.75" customHeight="1">
      <c r="A9" s="8"/>
      <c r="B9" s="40">
        <v>1007.00055</v>
      </c>
      <c r="C9" s="40">
        <v>1007.00055</v>
      </c>
      <c r="D9" s="40">
        <v>1000.0</v>
      </c>
      <c r="E9" s="40">
        <v>1000.0</v>
      </c>
      <c r="F9" s="41" t="s">
        <v>44</v>
      </c>
      <c r="G9" s="42"/>
      <c r="H9" s="41" t="s">
        <v>45</v>
      </c>
      <c r="I9" s="8"/>
      <c r="J9" s="8"/>
      <c r="K9" s="8"/>
      <c r="L9" s="8"/>
      <c r="M9" s="8"/>
      <c r="N9" s="8"/>
      <c r="O9" s="41" t="s">
        <v>38</v>
      </c>
      <c r="P9" s="41" t="s">
        <v>46</v>
      </c>
      <c r="Q9" s="42"/>
      <c r="R9" s="42">
        <v>500.0</v>
      </c>
      <c r="S9" s="42">
        <v>0.0</v>
      </c>
      <c r="T9" s="42">
        <v>0.0</v>
      </c>
      <c r="U9" s="42">
        <v>0.0</v>
      </c>
      <c r="V9" s="42">
        <v>0.0</v>
      </c>
      <c r="W9" s="42"/>
      <c r="X9" s="42"/>
      <c r="Y9" s="42"/>
      <c r="Z9" s="42"/>
      <c r="AA9" s="42"/>
      <c r="AB9" s="42">
        <v>0.0</v>
      </c>
      <c r="AC9" s="42">
        <v>0.0</v>
      </c>
      <c r="AD9" s="42">
        <v>0.0</v>
      </c>
      <c r="AE9" s="42">
        <v>0.0</v>
      </c>
      <c r="AF9" s="41" t="s">
        <v>47</v>
      </c>
      <c r="AG9" s="43"/>
      <c r="AH9" s="43"/>
      <c r="AI9" s="42">
        <v>2.0</v>
      </c>
      <c r="AJ9" s="42">
        <v>0.0</v>
      </c>
      <c r="AK9" s="42">
        <v>1.0</v>
      </c>
      <c r="AL9" s="42">
        <v>3.0</v>
      </c>
    </row>
    <row r="10" ht="15.75" customHeight="1">
      <c r="A10" s="8"/>
      <c r="B10" s="42">
        <v>995.332766666667</v>
      </c>
      <c r="C10" s="42">
        <v>995.332766666667</v>
      </c>
      <c r="D10" s="40">
        <v>1000.0</v>
      </c>
      <c r="E10" s="40">
        <v>1000.0</v>
      </c>
      <c r="F10" s="41" t="s">
        <v>44</v>
      </c>
      <c r="G10" s="42"/>
      <c r="H10" s="41" t="s">
        <v>45</v>
      </c>
      <c r="I10" s="8"/>
      <c r="J10" s="8"/>
      <c r="K10" s="8"/>
      <c r="L10" s="8"/>
      <c r="M10" s="8"/>
      <c r="N10" s="8"/>
      <c r="O10" s="41" t="s">
        <v>19</v>
      </c>
      <c r="P10" s="41" t="s">
        <v>46</v>
      </c>
      <c r="Q10" s="42"/>
      <c r="R10" s="42">
        <v>500.0</v>
      </c>
      <c r="S10" s="42">
        <v>0.0</v>
      </c>
      <c r="T10" s="42">
        <v>0.0</v>
      </c>
      <c r="U10" s="42">
        <v>0.0</v>
      </c>
      <c r="V10" s="42">
        <v>0.0</v>
      </c>
      <c r="W10" s="42"/>
      <c r="X10" s="42"/>
      <c r="Y10" s="42"/>
      <c r="Z10" s="42"/>
      <c r="AA10" s="42"/>
      <c r="AB10" s="42">
        <v>0.0</v>
      </c>
      <c r="AC10" s="42">
        <v>0.0</v>
      </c>
      <c r="AD10" s="42">
        <v>0.0</v>
      </c>
      <c r="AE10" s="42">
        <v>0.0</v>
      </c>
      <c r="AF10" s="41" t="s">
        <v>47</v>
      </c>
      <c r="AG10" s="43"/>
      <c r="AH10" s="43"/>
      <c r="AI10" s="42">
        <v>2.0</v>
      </c>
      <c r="AJ10" s="42">
        <v>0.0</v>
      </c>
      <c r="AK10" s="42">
        <v>1.0</v>
      </c>
      <c r="AL10" s="42">
        <v>3.0</v>
      </c>
    </row>
    <row r="11" ht="15.75" customHeight="1">
      <c r="A11" s="8"/>
      <c r="B11" s="42">
        <v>995.332766666667</v>
      </c>
      <c r="C11" s="42">
        <v>995.332766666667</v>
      </c>
      <c r="D11" s="40">
        <v>1000.0</v>
      </c>
      <c r="E11" s="40">
        <v>1000.0</v>
      </c>
      <c r="F11" s="41" t="s">
        <v>44</v>
      </c>
      <c r="G11" s="42"/>
      <c r="H11" s="41" t="s">
        <v>45</v>
      </c>
      <c r="I11" s="8"/>
      <c r="J11" s="8"/>
      <c r="K11" s="8"/>
      <c r="L11" s="8"/>
      <c r="M11" s="8"/>
      <c r="N11" s="8"/>
      <c r="O11" s="41" t="s">
        <v>38</v>
      </c>
      <c r="P11" s="41" t="s">
        <v>46</v>
      </c>
      <c r="Q11" s="42"/>
      <c r="R11" s="42">
        <v>500.0</v>
      </c>
      <c r="S11" s="42">
        <v>0.0</v>
      </c>
      <c r="T11" s="42">
        <v>0.0</v>
      </c>
      <c r="U11" s="42">
        <v>0.0</v>
      </c>
      <c r="V11" s="42">
        <v>0.0</v>
      </c>
      <c r="W11" s="42"/>
      <c r="X11" s="42"/>
      <c r="Y11" s="42"/>
      <c r="Z11" s="42"/>
      <c r="AA11" s="42"/>
      <c r="AB11" s="42">
        <v>0.0</v>
      </c>
      <c r="AC11" s="42">
        <v>0.0</v>
      </c>
      <c r="AD11" s="42">
        <v>0.0</v>
      </c>
      <c r="AE11" s="42">
        <v>0.0</v>
      </c>
      <c r="AF11" s="41" t="s">
        <v>47</v>
      </c>
      <c r="AG11" s="43"/>
      <c r="AH11" s="43"/>
      <c r="AI11" s="42">
        <v>2.0</v>
      </c>
      <c r="AJ11" s="42">
        <v>0.0</v>
      </c>
      <c r="AK11" s="42">
        <v>1.0</v>
      </c>
      <c r="AL11" s="42">
        <v>3.0</v>
      </c>
    </row>
    <row r="12" ht="15.75" customHeight="1">
      <c r="A12" s="8"/>
      <c r="B12" s="42">
        <v>995.332766666667</v>
      </c>
      <c r="C12" s="42">
        <v>995.332766666667</v>
      </c>
      <c r="D12" s="40">
        <v>1000.0</v>
      </c>
      <c r="E12" s="40">
        <v>1000.0</v>
      </c>
      <c r="F12" s="41" t="s">
        <v>44</v>
      </c>
      <c r="G12" s="42"/>
      <c r="H12" s="41" t="s">
        <v>45</v>
      </c>
      <c r="I12" s="8"/>
      <c r="J12" s="8"/>
      <c r="K12" s="8"/>
      <c r="L12" s="8"/>
      <c r="M12" s="8"/>
      <c r="N12" s="8"/>
      <c r="O12" s="41" t="s">
        <v>18</v>
      </c>
      <c r="P12" s="41" t="s">
        <v>46</v>
      </c>
      <c r="Q12" s="42"/>
      <c r="R12" s="42">
        <v>500.0</v>
      </c>
      <c r="S12" s="42">
        <v>0.0</v>
      </c>
      <c r="T12" s="42">
        <v>0.0</v>
      </c>
      <c r="U12" s="42">
        <v>0.0</v>
      </c>
      <c r="V12" s="42">
        <v>0.0</v>
      </c>
      <c r="W12" s="42"/>
      <c r="X12" s="42"/>
      <c r="Y12" s="42"/>
      <c r="Z12" s="42"/>
      <c r="AA12" s="42"/>
      <c r="AB12" s="42">
        <v>0.0</v>
      </c>
      <c r="AC12" s="42">
        <v>0.0</v>
      </c>
      <c r="AD12" s="42">
        <v>0.0</v>
      </c>
      <c r="AE12" s="42">
        <v>0.0</v>
      </c>
      <c r="AF12" s="41" t="s">
        <v>47</v>
      </c>
      <c r="AG12" s="43"/>
      <c r="AH12" s="43"/>
      <c r="AI12" s="42">
        <v>2.0</v>
      </c>
      <c r="AJ12" s="42">
        <v>0.0</v>
      </c>
      <c r="AK12" s="42">
        <v>1.0</v>
      </c>
      <c r="AL12" s="42">
        <v>3.0</v>
      </c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CheckAllocatedTaxlots!$4:$4</formula1>
    </dataValidation>
  </dataValidations>
  <drawing r:id="rId1"/>
</worksheet>
</file>