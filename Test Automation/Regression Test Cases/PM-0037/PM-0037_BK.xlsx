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GetDataClosing" sheetId="10" r:id="rId12"/>
    <sheet state="visible" name="AutomaticClosing" sheetId="11" r:id="rId13"/>
    <sheet state="visible" name="GetDayEndCash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<sst xmlns="http://schemas.openxmlformats.org/spreadsheetml/2006/main" count="233" uniqueCount="66">
  <si>
    <t>Modules Info</t>
  </si>
  <si>
    <t>Settings</t>
  </si>
  <si>
    <t>Master Data Info</t>
  </si>
  <si>
    <t>Module</t>
  </si>
  <si>
    <t>Module Step Setting File</t>
  </si>
  <si>
    <t>Modules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</si>
  <si>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</si>
  <si>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</si>
  <si>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</si>
  <si>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</si>
  <si>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</si>
  <si>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</si>
  <si>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</si>
  <si>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</si>
  <si>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</si>
  <si>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</si>
  <si>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</si>
  <si>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</si>
  <si>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EI060572</t>
  </si>
  <si>
    <t>Buy</t>
  </si>
  <si>
    <t>Allocation1</t>
  </si>
  <si>
    <t>Flat Amount</t>
  </si>
  <si>
    <t>EP009370</t>
  </si>
  <si>
    <t>Sell</t>
  </si>
  <si>
    <t>UpdateMarkPrice</t>
  </si>
  <si>
    <t>GetForexConversion</t>
  </si>
  <si>
    <t>PricingInput</t>
  </si>
  <si>
    <t>UpdateForexConversion</t>
  </si>
  <si>
    <t>AUD</t>
  </si>
  <si>
    <t>USD</t>
  </si>
  <si>
    <t>AUD AO-FX</t>
  </si>
  <si>
    <t>Closing</t>
  </si>
  <si>
    <t>AutomaticClosing</t>
  </si>
  <si>
    <t>GetDataClosing</t>
  </si>
  <si>
    <t>Historical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</si>
  <si>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</si>
  <si>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</si>
  <si>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</si>
  <si>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</si>
  <si>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</si>
  <si>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</si>
  <si>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</si>
  <si>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</t>
  </si>
  <si>
    <t>Long</t>
  </si>
  <si>
    <t>DRL 4.75 12/31/49</t>
  </si>
  <si>
    <t>FIMAT</t>
  </si>
  <si>
    <t>Strategy Unallocated</t>
  </si>
  <si>
    <t>FixedIncome</t>
  </si>
  <si>
    <t>EmergingDebt</t>
  </si>
  <si>
    <t>OTC</t>
  </si>
  <si>
    <t/>
  </si>
  <si>
    <t>DRL</t>
  </si>
  <si>
    <t>BrokerNotes</t>
  </si>
  <si>
    <t>DefaultNotes</t>
  </si>
  <si>
    <t>Undefined</t>
  </si>
  <si>
    <t>jpearce</t>
  </si>
  <si>
    <t>MS</t>
  </si>
  <si>
    <t>US25811P5061</t>
  </si>
  <si>
    <t>User Defined</t>
  </si>
  <si>
    <t>UK</t>
  </si>
  <si>
    <t>Yes</t>
  </si>
  <si>
    <t>Short</t>
  </si>
  <si>
    <t>CPAAU 5.25 12/11/16</t>
  </si>
  <si>
    <t>CPAAU</t>
  </si>
  <si>
    <t>XS0470187815</t>
  </si>
  <si>
    <t>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</si>
</sst>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1" fillId="2" fontId="2" numFmtId="0" xfId="0" applyAlignment="1" applyBorder="1" applyFont="1">
      <alignment horizontal="center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4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2" fontId="2" numFmtId="4" xfId="0" applyAlignment="1" applyFont="1" applyNumberFormat="1">
      <alignment horizontal="center" shrinkToFit="0" wrapText="0"/>
    </xf>
    <xf borderId="1" fillId="2" fontId="2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6" t="s">
        <v>0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9" t="s">
        <v>5</v>
      </c>
      <c r="B3" s="12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IFERROR(__xludf.DUMMYFUNCTION("""COMPUTED_VALUE"""),"Undefined")</f>
        <v>Undefined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IFERROR(__xludf.DUMMYFUNCTION("""COMPUTED_VALUE"""),"1ASulLlGAl--JRs7NVIiQ-6Q2Y2P3o7Y40cokKmMg-UA")</f>
        <v>1ASulLlGAl--JRs7NVIiQ-6Q2Y2P3o7Y40cokKmMg-UA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IFERROR(__xludf.DUMMYFUNCTION("""COMPUTED_VALUE"""),"153rAtnJuNh4UK26GjSOxUSjAHcOxzWv7CRGvmhrIJRs")</f>
        <v>153rAtnJuNh4UK26GjSOxUSjAHcOxzWv7CRGvmhrIJRs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IFERROR(__xludf.DUMMYFUNCTION("""COMPUTED_VALUE"""),"14c4GsPTH5D3eyeeKaMiqJQXOT6OiyIKnC2Ey2f-mzXU")</f>
        <v>14c4GsPTH5D3eyeeKaMiqJQXOT6OiyIKnC2Ey2f-mzXU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IFERROR(__xludf.DUMMYFUNCTION("""COMPUTED_VALUE"""),"1FoqTScZHaIaLmwoImnVY7WWuCKEwJNYw8_jsXiT_wz4")</f>
        <v>1FoqTScZHaIaLmwoImnVY7WWuCKEwJNYw8_jsXiT_wz4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IFERROR(__xludf.DUMMYFUNCTION("""COMPUTED_VALUE"""),"1nx-Ntcckcf-w1Yr5yyOw4Vmcr4UsalakHe-CHaRihg0")</f>
        <v>1nx-Ntcckcf-w1Yr5yyOw4Vmcr4UsalakHe-CHaRihg0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IFERROR(__xludf.DUMMYFUNCTION("""COMPUTED_VALUE"""),"1aOr-_cYT21IfJctqcBB50iQOXfB0qUo9bBesL3tt_2o")</f>
        <v>1aOr-_cYT21IfJctqcBB50iQOXfB0qUo9bBesL3tt_2o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IFERROR(__xludf.DUMMYFUNCTION("""COMPUTED_VALUE"""),"1NSNUZ7aVjKq-fJWvjMKU9f1Hhbf0UmIY3RQLFu0_U94")</f>
        <v>1NSNUZ7aVjKq-fJWvjMKU9f1Hhbf0UmIY3RQLFu0_U94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IFERROR(__xludf.DUMMYFUNCTION("""COMPUTED_VALUE"""),"1qcpgHRQFZbpv-NnW8K-CvX_auKXD5UD0KzrBvuBL6yQ")</f>
        <v>1qcpgHRQFZbpv-NnW8K-CvX_auKXD5UD0KzrBvuBL6yQ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IFERROR(__xludf.DUMMYFUNCTION("""COMPUTED_VALUE"""),"1AcxAZQwu6HAEJMCMK3bk08quIeXstZWKnCNeDGuqkgc")</f>
        <v>1AcxAZQwu6HAEJMCMK3bk08quIeXstZWKnCNeDGuqkgc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IFERROR(__xludf.DUMMYFUNCTION("""COMPUTED_VALUE"""),"1VLF0uNJJlumCyBscfuDhTN1tOv-0IRCkYlwfDU8GczQ")</f>
        <v>1VLF0uNJJlumCyBscfuDhTN1tOv-0IRCkYlwfDU8GczQ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IFERROR(__xludf.DUMMYFUNCTION("""COMPUTED_VALUE"""),"1_8MIcc2OK_ojl_V4NIwMLs9H7qkQkwyq9sDf1PpIqc8")</f>
        <v>1_8MIcc2OK_ojl_V4NIwMLs9H7qkQkwyq9sDf1PpIqc8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IFERROR(__xludf.DUMMYFUNCTION("""COMPUTED_VALUE"""),"1tN1tbsnXiVRytGN-WCzTnGTmfRxY2nBklQk3AQSJo2c")</f>
        <v>1tN1tbsnXiVRytGN-WCzTnGTmfRxY2nBklQk3AQSJo2c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IFERROR(__xludf.DUMMYFUNCTION("""COMPUTED_VALUE"""),"1VRRuQCPazoSKAv27NBzQzv_Yw_Kgakw-yyKn6w1zhKU")</f>
        <v>1VRRuQCPazoSKAv27NBzQzv_Yw_Kgakw-yyKn6w1zhKU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IFERROR(__xludf.DUMMYFUNCTION("""COMPUTED_VALUE"""),"1fGo94nf55bWXddEMlTwX902cb1V6cWr9GHWYy_sZ8IU")</f>
        <v>1fGo94nf55bWXddEMlTwX902cb1V6cWr9GHWYy_sZ8IU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IFERROR(__xludf.DUMMYFUNCTION("""COMPUTED_VALUE"""),"1rOMKu0Ez7NdxjtZC05lRrPUSa0tkOQSvbOhxjuijMsU")</f>
        <v>1rOMKu0Ez7NdxjtZC05lRrPUSa0tkOQSvbOhxjuijMsU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IFERROR(__xludf.DUMMYFUNCTION("""COMPUTED_VALUE"""),"1yBi-hp0jcYIFB6ymnlQIlx-pUUkfcjJU7Ap0azBbNcE")</f>
        <v>1yBi-hp0jcYIFB6ymnlQIlx-pUUkfcjJU7Ap0azBbNcE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IFERROR(__xludf.DUMMYFUNCTION("""COMPUTED_VALUE"""),"1x5iUjYB72ZJ35IOvQ_JQkWHV-d1FlgKY3bIxxTpk-f0")</f>
        <v>1x5iUjYB72ZJ35IOvQ_JQkWHV-d1FlgKY3bIxxTpk-f0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IFERROR(__xludf.DUMMYFUNCTION("""COMPUTED_VALUE"""),"1Li5RKULV7Lc2MLczTkVbzq0oDYcFGfTlBUO9__NoODc")</f>
        <v>1Li5RKULV7Lc2MLczTkVbzq0oDYcFGfTlBUO9__NoODc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IFERROR(__xludf.DUMMYFUNCTION("""COMPUTED_VALUE"""),"1vnIE6mL0eHSchRF1qTlJ2JL_Ylu6hiC6uOXpzq7M0BQ")</f>
        <v>1vnIE6mL0eHSchRF1qTlJ2JL_Ylu6hiC6uOXpzq7M0BQ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IFERROR(__xludf.DUMMYFUNCTION("""COMPUTED_VALUE"""),"1KCMHfIqMprTfc21JY7-_BuJZCbNmjdI-pAMs1UtHRgM")</f>
        <v>1KCMHfIqMprTfc21JY7-_BuJZCbNmjdI-pAMs1UtHRgM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IFERROR(__xludf.DUMMYFUNCTION("""COMPUTED_VALUE"""),"1tRgcAtzRVDm6tX53uSpBOxZNBYm4sTcJiDaR4fxdfwY")</f>
        <v>1tRgcAtzRVDm6tX53uSpBOxZNBYm4sTcJiDaR4fxdfwY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IFERROR(__xludf.DUMMYFUNCTION("""COMPUTED_VALUE"""),"12DQ8VFmnoIi6USj-pAupggGf1Uakm-iIEO9IboOJPds")</f>
        <v>12DQ8VFmnoIi6USj-pAupggGf1Uakm-iIEO9IboOJPds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IFERROR(__xludf.DUMMYFUNCTION("""COMPUTED_VALUE"""),"1EinrxkfbLK2Tdj1nGXu4y1H2zmS6g6G85Hm0vYSOHlA")</f>
        <v>1EinrxkfbLK2Tdj1nGXu4y1H2zmS6g6G85Hm0vYSOHlA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IFERROR(__xludf.DUMMYFUNCTION("""COMPUTED_VALUE"""),"1qeUVChEAj0eKA7tNZsUWM4FcqW347Jcsk_tvw1-FP3s")</f>
        <v>1qeUVChEAj0eKA7tNZsUWM4FcqW347Jcsk_tvw1-FP3s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IFERROR(__xludf.DUMMYFUNCTION("""COMPUTED_VALUE"""),"1aVxYFzFjJM4FVvXjfioQc67hI5XgzzCTHLg8f7lbJhU")</f>
        <v>1aVxYFzFjJM4FVvXjfioQc67hI5XgzzCTHLg8f7lbJhU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IFERROR(__xludf.DUMMYFUNCTION("""COMPUTED_VALUE"""),"1Fe8M8KnrsIcnAobjXa43I9IzXKCnB39xCSYterKkeEc")</f>
        <v>1Fe8M8KnrsIcnAobjXa43I9IzXKCnB39xCSYterKkeEc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IFERROR(__xludf.DUMMYFUNCTION("""COMPUTED_VALUE"""),"1qJHd_QH5ht3ZzeFZbKiVeEOBmlpAshwV72N701B28uk")</f>
        <v>1qJHd_QH5ht3ZzeFZbKiVeEOBmlpAshwV72N701B28uk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3"/>
      <c r="C1" s="4"/>
    </row>
    <row r="2" ht="15.75" customHeight="1">
      <c r="A2" s="7"/>
      <c r="B2" s="7"/>
      <c r="C2" s="7"/>
    </row>
    <row r="3" ht="15.75" customHeight="1">
      <c r="A3" s="9" t="s">
        <v>4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8" t="s">
        <v>3</v>
      </c>
      <c r="B3" s="10" t="s">
        <v>6</v>
      </c>
      <c r="C3" s="10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0" t="s">
        <v>18</v>
      </c>
      <c r="C6" s="32" t="s">
        <v>19</v>
      </c>
      <c r="D6" s="34">
        <v>100000.0</v>
      </c>
      <c r="E6" s="33"/>
      <c r="F6" s="32" t="s">
        <v>20</v>
      </c>
      <c r="G6" s="7"/>
      <c r="H6" s="7"/>
      <c r="I6" s="7"/>
      <c r="J6" s="35">
        <v>5.0</v>
      </c>
      <c r="K6" s="7"/>
      <c r="L6" s="7"/>
      <c r="M6" s="7"/>
      <c r="N6" s="31">
        <f t="shared" ref="N6:N9" si="1">today()-1</f>
        <v>43752</v>
      </c>
      <c r="O6" s="35">
        <v>0.625</v>
      </c>
      <c r="R6" s="36" t="s">
        <v>21</v>
      </c>
      <c r="S6" s="35">
        <v>20.0</v>
      </c>
    </row>
    <row r="7" ht="15.75" customHeight="1">
      <c r="A7" s="7"/>
      <c r="B7" s="32" t="s">
        <v>22</v>
      </c>
      <c r="C7" s="37" t="s">
        <v>19</v>
      </c>
      <c r="D7" s="35">
        <v>500000.0</v>
      </c>
      <c r="E7" s="7"/>
      <c r="F7" s="32" t="s">
        <v>20</v>
      </c>
      <c r="G7" s="7"/>
      <c r="H7" s="7"/>
      <c r="I7" s="7"/>
      <c r="J7" s="35">
        <v>8.0</v>
      </c>
      <c r="K7" s="7"/>
      <c r="L7" s="7"/>
      <c r="M7" s="7"/>
      <c r="N7" s="31">
        <f t="shared" si="1"/>
        <v>43752</v>
      </c>
      <c r="O7" s="32"/>
      <c r="R7" s="36" t="s">
        <v>21</v>
      </c>
      <c r="S7" s="35">
        <v>26.0</v>
      </c>
    </row>
    <row r="8" ht="15.75" customHeight="1">
      <c r="A8" s="7"/>
      <c r="B8" s="32" t="s">
        <v>18</v>
      </c>
      <c r="C8" s="32" t="s">
        <v>23</v>
      </c>
      <c r="D8" s="35">
        <v>500000.0</v>
      </c>
      <c r="E8" s="7"/>
      <c r="F8" s="32" t="s">
        <v>20</v>
      </c>
      <c r="G8" s="7"/>
      <c r="H8" s="7"/>
      <c r="I8" s="7"/>
      <c r="J8" s="35">
        <v>7.0</v>
      </c>
      <c r="K8" s="7"/>
      <c r="L8" s="7"/>
      <c r="M8" s="7"/>
      <c r="N8" s="31">
        <f t="shared" si="1"/>
        <v>43752</v>
      </c>
      <c r="O8" s="35">
        <v>0.625</v>
      </c>
      <c r="R8" s="36" t="s">
        <v>21</v>
      </c>
      <c r="S8" s="35">
        <v>12.0</v>
      </c>
    </row>
    <row r="9" ht="15.75" customHeight="1">
      <c r="A9" s="7"/>
      <c r="B9" s="32" t="s">
        <v>22</v>
      </c>
      <c r="C9" s="37" t="s">
        <v>23</v>
      </c>
      <c r="D9" s="35">
        <v>10000.0</v>
      </c>
      <c r="E9" s="7"/>
      <c r="F9" s="32" t="s">
        <v>20</v>
      </c>
      <c r="G9" s="7"/>
      <c r="H9" s="7"/>
      <c r="I9" s="7"/>
      <c r="J9" s="35">
        <v>9.0</v>
      </c>
      <c r="K9" s="7"/>
      <c r="L9" s="7"/>
      <c r="M9" s="7"/>
      <c r="N9" s="31">
        <f t="shared" si="1"/>
        <v>43752</v>
      </c>
      <c r="O9" s="32"/>
      <c r="R9" s="36" t="s">
        <v>21</v>
      </c>
      <c r="S9" s="35">
        <v>5.0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17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f>today()-1</f>
        <v>43752</v>
      </c>
      <c r="C6" s="31">
        <f>today()</f>
        <v>43753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24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8" t="s">
        <v>18</v>
      </c>
      <c r="C6" s="35">
        <v>6.0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9" t="s">
        <v>22</v>
      </c>
      <c r="C7" s="35">
        <v>7.0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25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f t="shared" ref="B6:C6" si="1">today()-1</f>
        <v>43752</v>
      </c>
      <c r="C6" s="31">
        <f t="shared" si="1"/>
        <v>43752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27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0"/>
      <c r="B6" s="41" t="s">
        <v>28</v>
      </c>
      <c r="C6" s="42" t="s">
        <v>29</v>
      </c>
      <c r="D6" s="41" t="s">
        <v>30</v>
      </c>
      <c r="E6" s="43">
        <v>0.626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26</v>
      </c>
      <c r="D3" s="9" t="s">
        <v>6</v>
      </c>
      <c r="E3" s="21" t="s">
        <v>26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8" t="s">
        <v>18</v>
      </c>
      <c r="C6" s="35">
        <v>7.0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9" t="s">
        <v>22</v>
      </c>
      <c r="C7" s="35">
        <v>8.0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31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34</v>
      </c>
      <c r="C6" s="31">
        <f>today()-1</f>
        <v>43752</v>
      </c>
      <c r="D6" s="29">
        <f>today()</f>
        <v>43753</v>
      </c>
      <c r="E6" s="11" t="s">
        <v>20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31</v>
      </c>
      <c r="D3" s="9" t="s">
        <v>6</v>
      </c>
      <c r="E3" s="21" t="s">
        <v>32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0"/>
      <c r="B6" s="45" t="b">
        <v>1</v>
      </c>
      <c r="C6" s="46" t="b">
        <v>0</v>
      </c>
      <c r="D6" s="47" t="s">
        <v>35</v>
      </c>
      <c r="E6" s="48" t="s">
        <v>36</v>
      </c>
      <c r="F6" s="48" t="s">
        <v>37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38</v>
      </c>
      <c r="D3" s="9" t="s">
        <v>6</v>
      </c>
      <c r="E3" s="21" t="s">
        <v>39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42</v>
      </c>
      <c r="C6" s="11" t="s">
        <v>20</v>
      </c>
      <c r="D6" s="29">
        <f t="shared" ref="D6:E6" si="1">today()-1</f>
        <v>43752</v>
      </c>
      <c r="E6" s="29">
        <f t="shared" si="1"/>
        <v>43752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49"/>
      <c r="B1" s="50" t="s">
        <v>11</v>
      </c>
      <c r="C1" s="3"/>
      <c r="D1" s="3"/>
      <c r="E1" s="3"/>
      <c r="F1" s="3"/>
      <c r="G1" s="3"/>
      <c r="H1" s="4"/>
      <c r="I1" s="49"/>
      <c r="J1" s="49"/>
      <c r="K1" s="49"/>
      <c r="L1" s="49"/>
      <c r="M1" s="49"/>
      <c r="N1" s="49"/>
      <c r="O1" s="49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</row>
    <row r="2" ht="15.75" customHeight="1">
      <c r="A2" s="52"/>
      <c r="B2" s="52"/>
      <c r="C2" s="52"/>
      <c r="D2" s="52"/>
      <c r="E2" s="52"/>
      <c r="F2" s="52"/>
      <c r="G2" s="52"/>
      <c r="H2" s="52"/>
      <c r="I2" s="52"/>
      <c r="J2" s="53" t="str">
        <f> VLOOKUP($E$3,'_MasterData'!B4:D1000,3,FALSE)</f>
        <v>#N/A</v>
      </c>
      <c r="K2" s="53"/>
      <c r="L2" s="52"/>
      <c r="M2" s="52"/>
      <c r="N2" s="52"/>
      <c r="O2" s="52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</row>
    <row r="3" ht="15.75" customHeight="1">
      <c r="A3" s="55"/>
      <c r="B3" s="56" t="s">
        <v>3</v>
      </c>
      <c r="C3" s="57" t="s">
        <v>40</v>
      </c>
      <c r="D3" s="56" t="s">
        <v>6</v>
      </c>
      <c r="E3" s="57" t="s">
        <v>41</v>
      </c>
      <c r="F3" s="56" t="s">
        <v>14</v>
      </c>
      <c r="G3" s="58" t="s">
        <v>15</v>
      </c>
      <c r="H3" s="56"/>
      <c r="I3" s="55"/>
      <c r="J3" s="55"/>
      <c r="K3" s="55"/>
      <c r="L3" s="55"/>
      <c r="M3" s="55"/>
      <c r="N3" s="55"/>
      <c r="O3" s="55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</row>
    <row r="4" ht="15.75" customHeight="1">
      <c r="A4" s="60"/>
      <c r="B4" s="60" t="str">
        <f>IFERROR(__xludf.DUMMYFUNCTION("IF(C3="""","""",Transpose(IMPORTRANGE('_Settings'!$B$3,C3&amp;""!A4:A1000"")))"),"CheckDashboardPM")</f>
        <v>CheckDashboardPM</v>
      </c>
      <c r="C4" s="60" t="str">
        <f>IFERROR(__xludf.DUMMYFUNCTION("""COMPUTED_VALUE"""),"CheckPortfolioManagement")</f>
        <v>CheckPortfolioManagement</v>
      </c>
      <c r="D4" s="60" t="str">
        <f>IFERROR(__xludf.DUMMYFUNCTION("""COMPUTED_VALUE"""),"OpenPSTFromPM")</f>
        <v>OpenPSTFromPM</v>
      </c>
      <c r="E4" s="60" t="str">
        <f>IFERROR(__xludf.DUMMYFUNCTION("""COMPUTED_VALUE"""),"ClosePM")</f>
        <v>ClosePM</v>
      </c>
      <c r="F4" s="60" t="str">
        <f>IFERROR(__xludf.DUMMYFUNCTION("""COMPUTED_VALUE"""),"FilterPM")</f>
        <v>FilterPM</v>
      </c>
      <c r="G4" s="60" t="str">
        <f>IFERROR(__xludf.DUMMYFUNCTION("""COMPUTED_VALUE"""),"GroupRowPM")</f>
        <v>GroupRowPM</v>
      </c>
      <c r="H4" s="60" t="str">
        <f>IFERROR(__xludf.DUMMYFUNCTION("""COMPUTED_VALUE"""),"CheckDashboardWithPM")</f>
        <v>CheckDashboardWithPM</v>
      </c>
      <c r="I4" s="60" t="str">
        <f>IFERROR(__xludf.DUMMYFUNCTION("""COMPUTED_VALUE"""),"RemoveFilterPM")</f>
        <v>RemoveFilterPM</v>
      </c>
      <c r="J4" s="60" t="str">
        <f>IFERROR(__xludf.DUMMYFUNCTION("""COMPUTED_VALUE"""),"CheckSummaryRowsPM")</f>
        <v>CheckSummaryRowsPM</v>
      </c>
      <c r="K4" s="60" t="str">
        <f>IFERROR(__xludf.DUMMYFUNCTION("""COMPUTED_VALUE"""),"OpenPTTFromPM")</f>
        <v>OpenPTTFromPM</v>
      </c>
      <c r="L4" s="60" t="str">
        <f>IFERROR(__xludf.DUMMYFUNCTION("""COMPUTED_VALUE"""),"OpenCreateTransactionFromPM")</f>
        <v>OpenCreateTransactionFromPM</v>
      </c>
      <c r="M4" s="60" t="str">
        <f>IFERROR(__xludf.DUMMYFUNCTION("""COMPUTED_VALUE"""),"OpenClosingFromPM")</f>
        <v>OpenClosingFromPM</v>
      </c>
      <c r="N4" s="60" t="str">
        <f>IFERROR(__xludf.DUMMYFUNCTION("""COMPUTED_VALUE"""),"OpenCorporateActionFromPM")</f>
        <v>OpenCorporateActionFromPM</v>
      </c>
      <c r="O4" s="60" t="str">
        <f>IFERROR(__xludf.DUMMYFUNCTION("""COMPUTED_VALUE"""),"OpenDailyValuationFromPM")</f>
        <v>OpenDailyValuationFromPM</v>
      </c>
      <c r="P4" s="61" t="str">
        <f>IFERROR(__xludf.DUMMYFUNCTION("""COMPUTED_VALUE"""),"ClosePositionFromPM")</f>
        <v>ClosePositionFromPM</v>
      </c>
      <c r="Q4" s="61" t="str">
        <f>IFERROR(__xludf.DUMMYFUNCTION("""COMPUTED_VALUE"""),"ShowSummaryToolFromPM")</f>
        <v>ShowSummaryToolFromPM</v>
      </c>
      <c r="R4" s="61" t="str">
        <f>IFERROR(__xludf.DUMMYFUNCTION("""COMPUTED_VALUE"""),"HideSummaryToolFromPM")</f>
        <v>HideSummaryToolFromPM</v>
      </c>
      <c r="S4" s="61" t="str">
        <f>IFERROR(__xludf.DUMMYFUNCTION("""COMPUTED_VALUE"""),"CloseAccountPositionFromPM")</f>
        <v>CloseAccountPositionFromPM</v>
      </c>
      <c r="T4" s="61" t="str">
        <f>IFERROR(__xludf.DUMMYFUNCTION("""COMPUTED_VALUE"""),"CloseSelectedTaxlotsFromPM")</f>
        <v>CloseSelectedTaxlotsFromPM</v>
      </c>
      <c r="U4" s="61" t="str">
        <f>IFERROR(__xludf.DUMMYFUNCTION("""COMPUTED_VALUE"""),"ExpandCollapsePM")</f>
        <v>ExpandCollapsePM</v>
      </c>
      <c r="V4" s="61" t="str">
        <f>IFERROR(__xludf.DUMMYFUNCTION("""COMPUTED_VALUE"""),"AddCustomViewPM")</f>
        <v>AddCustomViewPM</v>
      </c>
      <c r="W4" s="61" t="str">
        <f>IFERROR(__xludf.DUMMYFUNCTION("""COMPUTED_VALUE"""),"AddCustomViewRightClickPM")</f>
        <v>AddCustomViewRightClickPM</v>
      </c>
      <c r="X4" s="61" t="str">
        <f>IFERROR(__xludf.DUMMYFUNCTION("""COMPUTED_VALUE"""),"RenameCustomViewPM")</f>
        <v>RenameCustomViewPM</v>
      </c>
      <c r="Y4" s="61" t="str">
        <f>IFERROR(__xludf.DUMMYFUNCTION("""COMPUTED_VALUE"""),"DeleteCustomViewPM")</f>
        <v>DeleteCustomViewPM</v>
      </c>
      <c r="Z4" s="61" t="str">
        <f>IFERROR(__xludf.DUMMYFUNCTION("""COMPUTED_VALUE"""),"")</f>
        <v/>
      </c>
      <c r="AA4" s="61" t="str">
        <f>IFERROR(__xludf.DUMMYFUNCTION("""COMPUTED_VALUE"""),"")</f>
        <v/>
      </c>
      <c r="AB4" s="61" t="str">
        <f>IFERROR(__xludf.DUMMYFUNCTION("""COMPUTED_VALUE"""),"")</f>
        <v/>
      </c>
      <c r="AC4" s="61" t="str">
        <f>IFERROR(__xludf.DUMMYFUNCTION("""COMPUTED_VALUE"""),"")</f>
        <v/>
      </c>
      <c r="AD4" s="61" t="str">
        <f>IFERROR(__xludf.DUMMYFUNCTION("""COMPUTED_VALUE"""),"")</f>
        <v/>
      </c>
      <c r="AE4" s="61" t="str">
        <f>IFERROR(__xludf.DUMMYFUNCTION("""COMPUTED_VALUE"""),"")</f>
        <v/>
      </c>
      <c r="AF4" s="61" t="str">
        <f>IFERROR(__xludf.DUMMYFUNCTION("""COMPUTED_VALUE"""),"")</f>
        <v/>
      </c>
      <c r="AG4" s="61" t="str">
        <f>IFERROR(__xludf.DUMMYFUNCTION("""COMPUTED_VALUE"""),"")</f>
        <v/>
      </c>
      <c r="AH4" s="61" t="str">
        <f>IFERROR(__xludf.DUMMYFUNCTION("""COMPUTED_VALUE"""),"")</f>
        <v/>
      </c>
      <c r="AI4" s="61" t="str">
        <f>IFERROR(__xludf.DUMMYFUNCTION("""COMPUTED_VALUE"""),"")</f>
        <v/>
      </c>
      <c r="AJ4" s="61" t="str">
        <f>IFERROR(__xludf.DUMMYFUNCTION("""COMPUTED_VALUE"""),"")</f>
        <v/>
      </c>
      <c r="AK4" s="61" t="str">
        <f>IFERROR(__xludf.DUMMYFUNCTION("""COMPUTED_VALUE"""),"")</f>
        <v/>
      </c>
      <c r="AL4" s="61" t="str">
        <f>IFERROR(__xludf.DUMMYFUNCTION("""COMPUTED_VALUE"""),"")</f>
        <v/>
      </c>
      <c r="AM4" s="61" t="str">
        <f>IFERROR(__xludf.DUMMYFUNCTION("""COMPUTED_VALUE"""),"")</f>
        <v/>
      </c>
      <c r="AN4" s="61" t="str">
        <f>IFERROR(__xludf.DUMMYFUNCTION("""COMPUTED_VALUE"""),"")</f>
        <v/>
      </c>
      <c r="AO4" s="61" t="str">
        <f>IFERROR(__xludf.DUMMYFUNCTION("""COMPUTED_VALUE"""),"")</f>
        <v/>
      </c>
      <c r="AP4" s="61" t="str">
        <f>IFERROR(__xludf.DUMMYFUNCTION("""COMPUTED_VALUE"""),"")</f>
        <v/>
      </c>
      <c r="AQ4" s="61" t="str">
        <f>IFERROR(__xludf.DUMMYFUNCTION("""COMPUTED_VALUE"""),"")</f>
        <v/>
      </c>
      <c r="AR4" s="61" t="str">
        <f>IFERROR(__xludf.DUMMYFUNCTION("""COMPUTED_VALUE"""),"")</f>
        <v/>
      </c>
      <c r="AS4" s="61" t="str">
        <f>IFERROR(__xludf.DUMMYFUNCTION("""COMPUTED_VALUE"""),"")</f>
        <v/>
      </c>
      <c r="AT4" s="61" t="str">
        <f>IFERROR(__xludf.DUMMYFUNCTION("""COMPUTED_VALUE"""),"")</f>
        <v/>
      </c>
      <c r="AU4" s="61" t="str">
        <f>IFERROR(__xludf.DUMMYFUNCTION("""COMPUTED_VALUE"""),"")</f>
        <v/>
      </c>
      <c r="AV4" s="61" t="str">
        <f>IFERROR(__xludf.DUMMYFUNCTION("""COMPUTED_VALUE"""),"")</f>
        <v/>
      </c>
      <c r="AW4" s="61" t="str">
        <f>IFERROR(__xludf.DUMMYFUNCTION("""COMPUTED_VALUE"""),"")</f>
        <v/>
      </c>
      <c r="AX4" s="61" t="str">
        <f>IFERROR(__xludf.DUMMYFUNCTION("""COMPUTED_VALUE"""),"")</f>
        <v/>
      </c>
      <c r="AY4" s="61" t="str">
        <f>IFERROR(__xludf.DUMMYFUNCTION("""COMPUTED_VALUE"""),"")</f>
        <v/>
      </c>
      <c r="AZ4" s="61" t="str">
        <f>IFERROR(__xludf.DUMMYFUNCTION("""COMPUTED_VALUE"""),"")</f>
        <v/>
      </c>
      <c r="BA4" s="61" t="str">
        <f>IFERROR(__xludf.DUMMYFUNCTION("""COMPUTED_VALUE"""),"")</f>
        <v/>
      </c>
      <c r="BB4" s="61" t="str">
        <f>IFERROR(__xludf.DUMMYFUNCTION("""COMPUTED_VALUE"""),"")</f>
        <v/>
      </c>
      <c r="BC4" s="61" t="str">
        <f>IFERROR(__xludf.DUMMYFUNCTION("""COMPUTED_VALUE"""),"")</f>
        <v/>
      </c>
      <c r="BD4" s="61" t="str">
        <f>IFERROR(__xludf.DUMMYFUNCTION("""COMPUTED_VALUE"""),"")</f>
        <v/>
      </c>
      <c r="BE4" s="61" t="str">
        <f>IFERROR(__xludf.DUMMYFUNCTION("""COMPUTED_VALUE"""),"")</f>
        <v/>
      </c>
      <c r="BF4" s="61" t="str">
        <f>IFERROR(__xludf.DUMMYFUNCTION("""COMPUTED_VALUE"""),"")</f>
        <v/>
      </c>
      <c r="BG4" s="61" t="str">
        <f>IFERROR(__xludf.DUMMYFUNCTION("""COMPUTED_VALUE"""),"")</f>
        <v/>
      </c>
      <c r="BH4" s="61" t="str">
        <f>IFERROR(__xludf.DUMMYFUNCTION("""COMPUTED_VALUE"""),"")</f>
        <v/>
      </c>
      <c r="BI4" s="61" t="str">
        <f>IFERROR(__xludf.DUMMYFUNCTION("""COMPUTED_VALUE"""),"")</f>
        <v/>
      </c>
      <c r="BJ4" s="61" t="str">
        <f>IFERROR(__xludf.DUMMYFUNCTION("""COMPUTED_VALUE"""),"")</f>
        <v/>
      </c>
      <c r="BK4" s="61" t="str">
        <f>IFERROR(__xludf.DUMMYFUNCTION("""COMPUTED_VALUE"""),"")</f>
        <v/>
      </c>
      <c r="BL4" s="61" t="str">
        <f>IFERROR(__xludf.DUMMYFUNCTION("""COMPUTED_VALUE"""),"")</f>
        <v/>
      </c>
      <c r="BM4" s="61" t="str">
        <f>IFERROR(__xludf.DUMMYFUNCTION("""COMPUTED_VALUE"""),"")</f>
        <v/>
      </c>
      <c r="BN4" s="61" t="str">
        <f>IFERROR(__xludf.DUMMYFUNCTION("""COMPUTED_VALUE"""),"")</f>
        <v/>
      </c>
      <c r="BO4" s="61" t="str">
        <f>IFERROR(__xludf.DUMMYFUNCTION("""COMPUTED_VALUE"""),"")</f>
        <v/>
      </c>
      <c r="BP4" s="61" t="str">
        <f>IFERROR(__xludf.DUMMYFUNCTION("""COMPUTED_VALUE"""),"")</f>
        <v/>
      </c>
      <c r="BQ4" s="61" t="str">
        <f>IFERROR(__xludf.DUMMYFUNCTION("""COMPUTED_VALUE"""),"")</f>
        <v/>
      </c>
      <c r="BR4" s="61" t="str">
        <f>IFERROR(__xludf.DUMMYFUNCTION("""COMPUTED_VALUE"""),"")</f>
        <v/>
      </c>
      <c r="BS4" s="61" t="str">
        <f>IFERROR(__xludf.DUMMYFUNCTION("""COMPUTED_VALUE"""),"")</f>
        <v/>
      </c>
      <c r="BT4" s="61" t="str">
        <f>IFERROR(__xludf.DUMMYFUNCTION("""COMPUTED_VALUE"""),"")</f>
        <v/>
      </c>
      <c r="BU4" s="61" t="str">
        <f>IFERROR(__xludf.DUMMYFUNCTION("""COMPUTED_VALUE"""),"")</f>
        <v/>
      </c>
      <c r="BV4" s="61" t="str">
        <f>IFERROR(__xludf.DUMMYFUNCTION("""COMPUTED_VALUE"""),"")</f>
        <v/>
      </c>
      <c r="BW4" s="61" t="str">
        <f>IFERROR(__xludf.DUMMYFUNCTION("""COMPUTED_VALUE"""),"")</f>
        <v/>
      </c>
      <c r="BX4" s="61" t="str">
        <f>IFERROR(__xludf.DUMMYFUNCTION("""COMPUTED_VALUE"""),"")</f>
        <v/>
      </c>
      <c r="BY4" s="61" t="str">
        <f>IFERROR(__xludf.DUMMYFUNCTION("""COMPUTED_VALUE"""),"")</f>
        <v/>
      </c>
      <c r="BZ4" s="61" t="str">
        <f>IFERROR(__xludf.DUMMYFUNCTION("""COMPUTED_VALUE"""),"")</f>
        <v/>
      </c>
      <c r="CA4" s="61" t="str">
        <f>IFERROR(__xludf.DUMMYFUNCTION("""COMPUTED_VALUE"""),"")</f>
        <v/>
      </c>
      <c r="CB4" s="61" t="str">
        <f>IFERROR(__xludf.DUMMYFUNCTION("""COMPUTED_VALUE"""),"")</f>
        <v/>
      </c>
      <c r="CC4" s="61" t="str">
        <f>IFERROR(__xludf.DUMMYFUNCTION("""COMPUTED_VALUE"""),"")</f>
        <v/>
      </c>
      <c r="CD4" s="61" t="str">
        <f>IFERROR(__xludf.DUMMYFUNCTION("""COMPUTED_VALUE"""),"")</f>
        <v/>
      </c>
      <c r="CE4" s="61" t="str">
        <f>IFERROR(__xludf.DUMMYFUNCTION("""COMPUTED_VALUE"""),"")</f>
        <v/>
      </c>
      <c r="CF4" s="61" t="str">
        <f>IFERROR(__xludf.DUMMYFUNCTION("""COMPUTED_VALUE"""),"")</f>
        <v/>
      </c>
      <c r="CG4" s="61" t="str">
        <f>IFERROR(__xludf.DUMMYFUNCTION("""COMPUTED_VALUE"""),"")</f>
        <v/>
      </c>
      <c r="CH4" s="61" t="str">
        <f>IFERROR(__xludf.DUMMYFUNCTION("""COMPUTED_VALUE"""),"")</f>
        <v/>
      </c>
      <c r="CI4" s="61" t="str">
        <f>IFERROR(__xludf.DUMMYFUNCTION("""COMPUTED_VALUE"""),"")</f>
        <v/>
      </c>
      <c r="CJ4" s="61" t="str">
        <f>IFERROR(__xludf.DUMMYFUNCTION("""COMPUTED_VALUE"""),"")</f>
        <v/>
      </c>
      <c r="CK4" s="61" t="str">
        <f>IFERROR(__xludf.DUMMYFUNCTION("""COMPUTED_VALUE"""),"")</f>
        <v/>
      </c>
      <c r="CL4" s="61" t="str">
        <f>IFERROR(__xludf.DUMMYFUNCTION("""COMPUTED_VALUE"""),"")</f>
        <v/>
      </c>
      <c r="CM4" s="61" t="str">
        <f>IFERROR(__xludf.DUMMYFUNCTION("""COMPUTED_VALUE"""),"")</f>
        <v/>
      </c>
      <c r="CN4" s="61" t="str">
        <f>IFERROR(__xludf.DUMMYFUNCTION("""COMPUTED_VALUE"""),"")</f>
        <v/>
      </c>
      <c r="CO4" s="61" t="str">
        <f>IFERROR(__xludf.DUMMYFUNCTION("""COMPUTED_VALUE"""),"")</f>
        <v/>
      </c>
      <c r="CP4" s="61" t="str">
        <f>IFERROR(__xludf.DUMMYFUNCTION("""COMPUTED_VALUE"""),"")</f>
        <v/>
      </c>
      <c r="CQ4" s="61" t="str">
        <f>IFERROR(__xludf.DUMMYFUNCTION("""COMPUTED_VALUE"""),"")</f>
        <v/>
      </c>
      <c r="CR4" s="61" t="str">
        <f>IFERROR(__xludf.DUMMYFUNCTION("""COMPUTED_VALUE"""),"")</f>
        <v/>
      </c>
      <c r="CS4" s="61" t="str">
        <f>IFERROR(__xludf.DUMMYFUNCTION("""COMPUTED_VALUE"""),"")</f>
        <v/>
      </c>
      <c r="CT4" s="61" t="str">
        <f>IFERROR(__xludf.DUMMYFUNCTION("""COMPUTED_VALUE"""),"")</f>
        <v/>
      </c>
      <c r="CU4" s="61" t="str">
        <f>IFERROR(__xludf.DUMMYFUNCTION("""COMPUTED_VALUE"""),"")</f>
        <v/>
      </c>
      <c r="CV4" s="61" t="str">
        <f>IFERROR(__xludf.DUMMYFUNCTION("""COMPUTED_VALUE"""),"")</f>
        <v/>
      </c>
      <c r="CW4" s="61" t="str">
        <f>IFERROR(__xludf.DUMMYFUNCTION("""COMPUTED_VALUE"""),"")</f>
        <v/>
      </c>
      <c r="CX4" s="61" t="str">
        <f>IFERROR(__xludf.DUMMYFUNCTION("""COMPUTED_VALUE"""),"")</f>
        <v/>
      </c>
      <c r="CY4" s="61" t="str">
        <f>IFERROR(__xludf.DUMMYFUNCTION("""COMPUTED_VALUE"""),"")</f>
        <v/>
      </c>
      <c r="CZ4" s="61" t="str">
        <f>IFERROR(__xludf.DUMMYFUNCTION("""COMPUTED_VALUE"""),"")</f>
        <v/>
      </c>
      <c r="DA4" s="61" t="str">
        <f>IFERROR(__xludf.DUMMYFUNCTION("""COMPUTED_VALUE"""),"")</f>
        <v/>
      </c>
      <c r="DB4" s="61" t="str">
        <f>IFERROR(__xludf.DUMMYFUNCTION("""COMPUTED_VALUE"""),"")</f>
        <v/>
      </c>
      <c r="DC4" s="61" t="str">
        <f>IFERROR(__xludf.DUMMYFUNCTION("""COMPUTED_VALUE"""),"")</f>
        <v/>
      </c>
      <c r="DD4" s="61" t="str">
        <f>IFERROR(__xludf.DUMMYFUNCTION("""COMPUTED_VALUE"""),"")</f>
        <v/>
      </c>
      <c r="DE4" s="61" t="str">
        <f>IFERROR(__xludf.DUMMYFUNCTION("""COMPUTED_VALUE"""),"")</f>
        <v/>
      </c>
      <c r="DF4" s="61" t="str">
        <f>IFERROR(__xludf.DUMMYFUNCTION("""COMPUTED_VALUE"""),"")</f>
        <v/>
      </c>
      <c r="DG4" s="61" t="str">
        <f>IFERROR(__xludf.DUMMYFUNCTION("""COMPUTED_VALUE"""),"")</f>
        <v/>
      </c>
      <c r="DH4" s="61" t="str">
        <f>IFERROR(__xludf.DUMMYFUNCTION("""COMPUTED_VALUE"""),"")</f>
        <v/>
      </c>
      <c r="DI4" s="61" t="str">
        <f>IFERROR(__xludf.DUMMYFUNCTION("""COMPUTED_VALUE"""),"")</f>
        <v/>
      </c>
      <c r="DJ4" s="61" t="str">
        <f>IFERROR(__xludf.DUMMYFUNCTION("""COMPUTED_VALUE"""),"")</f>
        <v/>
      </c>
      <c r="DK4" s="61" t="str">
        <f>IFERROR(__xludf.DUMMYFUNCTION("""COMPUTED_VALUE"""),"")</f>
        <v/>
      </c>
      <c r="DL4" s="61" t="str">
        <f>IFERROR(__xludf.DUMMYFUNCTION("""COMPUTED_VALUE"""),"")</f>
        <v/>
      </c>
      <c r="DM4" s="61" t="str">
        <f>IFERROR(__xludf.DUMMYFUNCTION("""COMPUTED_VALUE"""),"")</f>
        <v/>
      </c>
      <c r="DN4" s="61" t="str">
        <f>IFERROR(__xludf.DUMMYFUNCTION("""COMPUTED_VALUE"""),"")</f>
        <v/>
      </c>
      <c r="DO4" s="61" t="str">
        <f>IFERROR(__xludf.DUMMYFUNCTION("""COMPUTED_VALUE"""),"")</f>
        <v/>
      </c>
      <c r="DP4" s="61" t="str">
        <f>IFERROR(__xludf.DUMMYFUNCTION("""COMPUTED_VALUE"""),"")</f>
        <v/>
      </c>
      <c r="DQ4" s="61" t="str">
        <f>IFERROR(__xludf.DUMMYFUNCTION("""COMPUTED_VALUE"""),"")</f>
        <v/>
      </c>
      <c r="DR4" s="61" t="str">
        <f>IFERROR(__xludf.DUMMYFUNCTION("""COMPUTED_VALUE"""),"")</f>
        <v/>
      </c>
      <c r="DS4" s="61" t="str">
        <f>IFERROR(__xludf.DUMMYFUNCTION("""COMPUTED_VALUE"""),"")</f>
        <v/>
      </c>
      <c r="DT4" s="61" t="str">
        <f>IFERROR(__xludf.DUMMYFUNCTION("""COMPUTED_VALUE"""),"")</f>
        <v/>
      </c>
      <c r="DU4" s="61" t="str">
        <f>IFERROR(__xludf.DUMMYFUNCTION("""COMPUTED_VALUE"""),"")</f>
        <v/>
      </c>
      <c r="DV4" s="61" t="str">
        <f>IFERROR(__xludf.DUMMYFUNCTION("""COMPUTED_VALUE"""),"")</f>
        <v/>
      </c>
      <c r="DW4" s="61" t="str">
        <f>IFERROR(__xludf.DUMMYFUNCTION("""COMPUTED_VALUE"""),"")</f>
        <v/>
      </c>
      <c r="DX4" s="61" t="str">
        <f>IFERROR(__xludf.DUMMYFUNCTION("""COMPUTED_VALUE"""),"")</f>
        <v/>
      </c>
      <c r="DY4" s="61" t="str">
        <f>IFERROR(__xludf.DUMMYFUNCTION("""COMPUTED_VALUE"""),"")</f>
        <v/>
      </c>
      <c r="DZ4" s="61" t="str">
        <f>IFERROR(__xludf.DUMMYFUNCTION("""COMPUTED_VALUE"""),"")</f>
        <v/>
      </c>
      <c r="EA4" s="61" t="str">
        <f>IFERROR(__xludf.DUMMYFUNCTION("""COMPUTED_VALUE"""),"")</f>
        <v/>
      </c>
      <c r="EB4" s="61" t="str">
        <f>IFERROR(__xludf.DUMMYFUNCTION("""COMPUTED_VALUE"""),"")</f>
        <v/>
      </c>
      <c r="EC4" s="61" t="str">
        <f>IFERROR(__xludf.DUMMYFUNCTION("""COMPUTED_VALUE"""),"")</f>
        <v/>
      </c>
      <c r="ED4" s="61" t="str">
        <f>IFERROR(__xludf.DUMMYFUNCTION("""COMPUTED_VALUE"""),"")</f>
        <v/>
      </c>
      <c r="EE4" s="61" t="str">
        <f>IFERROR(__xludf.DUMMYFUNCTION("""COMPUTED_VALUE"""),"")</f>
        <v/>
      </c>
      <c r="EF4" s="61" t="str">
        <f>IFERROR(__xludf.DUMMYFUNCTION("""COMPUTED_VALUE"""),"")</f>
        <v/>
      </c>
      <c r="EG4" s="61" t="str">
        <f>IFERROR(__xludf.DUMMYFUNCTION("""COMPUTED_VALUE"""),"")</f>
        <v/>
      </c>
      <c r="EH4" s="61" t="str">
        <f>IFERROR(__xludf.DUMMYFUNCTION("""COMPUTED_VALUE"""),"")</f>
        <v/>
      </c>
      <c r="EI4" s="61" t="str">
        <f>IFERROR(__xludf.DUMMYFUNCTION("""COMPUTED_VALUE"""),"")</f>
        <v/>
      </c>
      <c r="EJ4" s="61" t="str">
        <f>IFERROR(__xludf.DUMMYFUNCTION("""COMPUTED_VALUE"""),"")</f>
        <v/>
      </c>
      <c r="EK4" s="61" t="str">
        <f>IFERROR(__xludf.DUMMYFUNCTION("""COMPUTED_VALUE"""),"")</f>
        <v/>
      </c>
      <c r="EL4" s="61" t="str">
        <f>IFERROR(__xludf.DUMMYFUNCTION("""COMPUTED_VALUE"""),"")</f>
        <v/>
      </c>
      <c r="EM4" s="61" t="str">
        <f>IFERROR(__xludf.DUMMYFUNCTION("""COMPUTED_VALUE"""),"")</f>
        <v/>
      </c>
      <c r="EN4" s="61" t="str">
        <f>IFERROR(__xludf.DUMMYFUNCTION("""COMPUTED_VALUE"""),"")</f>
        <v/>
      </c>
      <c r="EO4" s="61" t="str">
        <f>IFERROR(__xludf.DUMMYFUNCTION("""COMPUTED_VALUE"""),"")</f>
        <v/>
      </c>
      <c r="EP4" s="61" t="str">
        <f>IFERROR(__xludf.DUMMYFUNCTION("""COMPUTED_VALUE"""),"")</f>
        <v/>
      </c>
      <c r="EQ4" s="61" t="str">
        <f>IFERROR(__xludf.DUMMYFUNCTION("""COMPUTED_VALUE"""),"")</f>
        <v/>
      </c>
      <c r="ER4" s="61" t="str">
        <f>IFERROR(__xludf.DUMMYFUNCTION("""COMPUTED_VALUE"""),"")</f>
        <v/>
      </c>
      <c r="ES4" s="61" t="str">
        <f>IFERROR(__xludf.DUMMYFUNCTION("""COMPUTED_VALUE"""),"")</f>
        <v/>
      </c>
      <c r="ET4" s="61" t="str">
        <f>IFERROR(__xludf.DUMMYFUNCTION("""COMPUTED_VALUE"""),"")</f>
        <v/>
      </c>
      <c r="EU4" s="61" t="str">
        <f>IFERROR(__xludf.DUMMYFUNCTION("""COMPUTED_VALUE"""),"")</f>
        <v/>
      </c>
      <c r="EV4" s="61" t="str">
        <f>IFERROR(__xludf.DUMMYFUNCTION("""COMPUTED_VALUE"""),"")</f>
        <v/>
      </c>
      <c r="EW4" s="61" t="str">
        <f>IFERROR(__xludf.DUMMYFUNCTION("""COMPUTED_VALUE"""),"")</f>
        <v/>
      </c>
      <c r="EX4" s="61" t="str">
        <f>IFERROR(__xludf.DUMMYFUNCTION("""COMPUTED_VALUE"""),"")</f>
        <v/>
      </c>
      <c r="EY4" s="61" t="str">
        <f>IFERROR(__xludf.DUMMYFUNCTION("""COMPUTED_VALUE"""),"")</f>
        <v/>
      </c>
      <c r="EZ4" s="61" t="str">
        <f>IFERROR(__xludf.DUMMYFUNCTION("""COMPUTED_VALUE"""),"")</f>
        <v/>
      </c>
      <c r="FA4" s="61" t="str">
        <f>IFERROR(__xludf.DUMMYFUNCTION("""COMPUTED_VALUE"""),"")</f>
        <v/>
      </c>
      <c r="FB4" s="61" t="str">
        <f>IFERROR(__xludf.DUMMYFUNCTION("""COMPUTED_VALUE"""),"")</f>
        <v/>
      </c>
      <c r="FC4" s="61" t="str">
        <f>IFERROR(__xludf.DUMMYFUNCTION("""COMPUTED_VALUE"""),"")</f>
        <v/>
      </c>
      <c r="FD4" s="61" t="str">
        <f>IFERROR(__xludf.DUMMYFUNCTION("""COMPUTED_VALUE"""),"")</f>
        <v/>
      </c>
      <c r="FE4" s="61" t="str">
        <f>IFERROR(__xludf.DUMMYFUNCTION("""COMPUTED_VALUE"""),"")</f>
        <v/>
      </c>
      <c r="FF4" s="61" t="str">
        <f>IFERROR(__xludf.DUMMYFUNCTION("""COMPUTED_VALUE"""),"")</f>
        <v/>
      </c>
      <c r="FG4" s="61" t="str">
        <f>IFERROR(__xludf.DUMMYFUNCTION("""COMPUTED_VALUE"""),"")</f>
        <v/>
      </c>
      <c r="FH4" s="61" t="str">
        <f>IFERROR(__xludf.DUMMYFUNCTION("""COMPUTED_VALUE"""),"")</f>
        <v/>
      </c>
      <c r="FI4" s="61" t="str">
        <f>IFERROR(__xludf.DUMMYFUNCTION("""COMPUTED_VALUE"""),"")</f>
        <v/>
      </c>
      <c r="FJ4" s="61" t="str">
        <f>IFERROR(__xludf.DUMMYFUNCTION("""COMPUTED_VALUE"""),"")</f>
        <v/>
      </c>
      <c r="FK4" s="61" t="str">
        <f>IFERROR(__xludf.DUMMYFUNCTION("""COMPUTED_VALUE"""),"")</f>
        <v/>
      </c>
      <c r="FL4" s="61" t="str">
        <f>IFERROR(__xludf.DUMMYFUNCTION("""COMPUTED_VALUE"""),"")</f>
        <v/>
      </c>
    </row>
    <row r="5" ht="15.75" customHeight="1">
      <c r="A5" s="62" t="str">
        <f>IFERROR(__xludf.DUMMYFUNCTION("TRANSPOSE(IMPORTRANGE(VLOOKUP($E$3,IMPORTRANGE('_Settings'!$B$3,$C$3&amp;""!A4:B1000""),2,FALSE),$G$3&amp;""!A4:A1000""))"),"")</f>
        <v/>
      </c>
      <c r="B5" s="63" t="str">
        <f>IFERROR(__xludf.DUMMYFUNCTION("""COMPUTED_VALUE"""),"Trade Date")</f>
        <v>Trade Date</v>
      </c>
      <c r="C5" s="63" t="str">
        <f>IFERROR(__xludf.DUMMYFUNCTION("""COMPUTED_VALUE"""),"Symbol")</f>
        <v>Symbol</v>
      </c>
      <c r="D5" s="63" t="str">
        <f>IFERROR(__xludf.DUMMYFUNCTION("""COMPUTED_VALUE"""),"Position")</f>
        <v>Position</v>
      </c>
      <c r="E5" s="63" t="str">
        <f>IFERROR(__xludf.DUMMYFUNCTION("""COMPUTED_VALUE"""),"Account")</f>
        <v>Account</v>
      </c>
      <c r="F5" s="64" t="str">
        <f>IFERROR(__xludf.DUMMYFUNCTION("""COMPUTED_VALUE"""),"MasterFund")</f>
        <v>MasterFund</v>
      </c>
      <c r="G5" s="63" t="str">
        <f>IFERROR(__xludf.DUMMYFUNCTION("""COMPUTED_VALUE"""),"Cost Basis")</f>
        <v>Cost Basis</v>
      </c>
      <c r="H5" s="63" t="str">
        <f>IFERROR(__xludf.DUMMYFUNCTION("""COMPUTED_VALUE"""),"Position Side")</f>
        <v>Position Side</v>
      </c>
      <c r="I5" s="63" t="str">
        <f>IFERROR(__xludf.DUMMYFUNCTION("""COMPUTED_VALUE"""),"Market Value (Base)")</f>
        <v>Market Value (Base)</v>
      </c>
      <c r="J5" s="63" t="str">
        <f>IFERROR(__xludf.DUMMYFUNCTION("""COMPUTED_VALUE"""),"% Day P&amp;L (Gross MV)")</f>
        <v>% Day P&amp;L (Gross MV)</v>
      </c>
      <c r="K5" s="63" t="str">
        <f>IFERROR(__xludf.DUMMYFUNCTION("""COMPUTED_VALUE"""),"Net Exposure (Base)")</f>
        <v>Net Exposure (Base)</v>
      </c>
      <c r="L5" s="63" t="str">
        <f>IFERROR(__xludf.DUMMYFUNCTION("""COMPUTED_VALUE"""),"Beta Adj. Gross Exposure (Base)")</f>
        <v>Beta Adj. Gross Exposure (Base)</v>
      </c>
      <c r="M5" s="63" t="str">
        <f>IFERROR(__xludf.DUMMYFUNCTION("""COMPUTED_VALUE"""),"Beta Adj. Gross Exposure (Underlying) (Base)")</f>
        <v>Beta Adj. Gross Exposure (Underlying) (Base)</v>
      </c>
      <c r="N5" s="63" t="str">
        <f>IFERROR(__xludf.DUMMYFUNCTION("""COMPUTED_VALUE"""),"Day P&amp;L (Base)")</f>
        <v>Day P&amp;L (Base)</v>
      </c>
      <c r="O5" s="63" t="str">
        <f>IFERROR(__xludf.DUMMYFUNCTION("""COMPUTED_VALUE"""),"Security Name")</f>
        <v>Security Name</v>
      </c>
      <c r="P5" s="63" t="str">
        <f>IFERROR(__xludf.DUMMYFUNCTION("""COMPUTED_VALUE"""),"Closing Mark")</f>
        <v>Closing Mark</v>
      </c>
      <c r="Q5" s="63" t="str">
        <f>IFERROR(__xludf.DUMMYFUNCTION("""COMPUTED_VALUE"""),"Cost Basis P&amp;L (Base)")</f>
        <v>Cost Basis P&amp;L (Base)</v>
      </c>
      <c r="R5" s="63" t="str">
        <f>IFERROR(__xludf.DUMMYFUNCTION("""COMPUTED_VALUE"""),"Prime Broker")</f>
        <v>Prime Broker</v>
      </c>
      <c r="S5" s="63" t="str">
        <f>IFERROR(__xludf.DUMMYFUNCTION("""COMPUTED_VALUE"""),"Strategy")</f>
        <v>Strategy</v>
      </c>
      <c r="T5" s="65" t="str">
        <f>IFERROR(__xludf.DUMMYFUNCTION("""COMPUTED_VALUE"""),"Asset Class")</f>
        <v>Asset Class</v>
      </c>
      <c r="U5" s="65" t="str">
        <f>IFERROR(__xludf.DUMMYFUNCTION("""COMPUTED_VALUE"""),"Underlying")</f>
        <v>Underlying</v>
      </c>
      <c r="V5" s="65" t="str">
        <f>IFERROR(__xludf.DUMMYFUNCTION("""COMPUTED_VALUE"""),"Exchange")</f>
        <v>Exchange</v>
      </c>
      <c r="W5" s="65" t="str">
        <f>IFERROR(__xludf.DUMMYFUNCTION("""COMPUTED_VALUE"""),"Trade Currency")</f>
        <v>Trade Currency</v>
      </c>
      <c r="X5" s="65" t="str">
        <f>IFERROR(__xludf.DUMMYFUNCTION("""COMPUTED_VALUE"""),"Multiplier")</f>
        <v>Multiplier</v>
      </c>
      <c r="Y5" s="65" t="str">
        <f>IFERROR(__xludf.DUMMYFUNCTION("""COMPUTED_VALUE"""),"FX Rate")</f>
        <v>FX Rate</v>
      </c>
      <c r="Z5" s="65" t="str">
        <f>IFERROR(__xludf.DUMMYFUNCTION("""COMPUTED_VALUE"""),"Vs Currency")</f>
        <v>Vs Currency</v>
      </c>
      <c r="AA5" s="65" t="str">
        <f>IFERROR(__xludf.DUMMYFUNCTION("""COMPUTED_VALUE"""),"Lead Currency")</f>
        <v>Lead Currency</v>
      </c>
      <c r="AB5" s="65" t="str">
        <f>IFERROR(__xludf.DUMMYFUNCTION("""COMPUTED_VALUE"""),"Dividend Yield (%)")</f>
        <v>Dividend Yield (%)</v>
      </c>
      <c r="AC5" s="65" t="str">
        <f>IFERROR(__xludf.DUMMYFUNCTION("""COMPUTED_VALUE"""),"% Change")</f>
        <v>% Change</v>
      </c>
      <c r="AD5" s="65" t="str">
        <f>IFERROR(__xludf.DUMMYFUNCTION("""COMPUTED_VALUE"""),"Net Exposure (Local)")</f>
        <v>Net Exposure (Local)</v>
      </c>
      <c r="AE5" s="65" t="str">
        <f>IFERROR(__xludf.DUMMYFUNCTION("""COMPUTED_VALUE"""),"Exposure (Local)")</f>
        <v>Exposure (Local)</v>
      </c>
      <c r="AF5" s="65" t="str">
        <f>IFERROR(__xludf.DUMMYFUNCTION("""COMPUTED_VALUE"""),"Delta Adj. Position")</f>
        <v>Delta Adj. Position</v>
      </c>
      <c r="AG5" s="65" t="str">
        <f>IFERROR(__xludf.DUMMYFUNCTION("""COMPUTED_VALUE"""),"Exposure (Base)")</f>
        <v>Exposure (Base)</v>
      </c>
      <c r="AH5" s="65" t="str">
        <f>IFERROR(__xludf.DUMMYFUNCTION("""COMPUTED_VALUE"""),"Beta Adj. Exposure (Local)")</f>
        <v>Beta Adj. Exposure (Local)</v>
      </c>
      <c r="AI5" s="65" t="str">
        <f>IFERROR(__xludf.DUMMYFUNCTION("""COMPUTED_VALUE"""),"Beta Adj. Exposure (Base)")</f>
        <v>Beta Adj. Exposure (Base)</v>
      </c>
      <c r="AJ5" s="65" t="str">
        <f>IFERROR(__xludf.DUMMYFUNCTION("""COMPUTED_VALUE"""),"Exposure (BP)(Base)")</f>
        <v>Exposure (BP)(Base)</v>
      </c>
      <c r="AK5" s="65" t="str">
        <f>IFERROR(__xludf.DUMMYFUNCTION("""COMPUTED_VALUE"""),"Day P&amp;L (Local)")</f>
        <v>Day P&amp;L (Local)</v>
      </c>
      <c r="AL5" s="65" t="str">
        <f>IFERROR(__xludf.DUMMYFUNCTION("""COMPUTED_VALUE"""),"Delta")</f>
        <v>Delta</v>
      </c>
      <c r="AM5" s="65" t="str">
        <f>IFERROR(__xludf.DUMMYFUNCTION("""COMPUTED_VALUE"""),"Leveraged Factor")</f>
        <v>Leveraged Factor</v>
      </c>
      <c r="AN5" s="65" t="str">
        <f>IFERROR(__xludf.DUMMYFUNCTION("""COMPUTED_VALUE"""),"Order Side")</f>
        <v>Order Side</v>
      </c>
      <c r="AO5" s="65" t="str">
        <f>IFERROR(__xludf.DUMMYFUNCTION("""COMPUTED_VALUE"""),"Master Strategy")</f>
        <v>Master Strategy</v>
      </c>
      <c r="AP5" s="65" t="str">
        <f>IFERROR(__xludf.DUMMYFUNCTION("""COMPUTED_VALUE"""),"Transaction Side")</f>
        <v>Transaction Side</v>
      </c>
      <c r="AQ5" s="65" t="str">
        <f>IFERROR(__xludf.DUMMYFUNCTION("""COMPUTED_VALUE"""),"Underlying Symbol")</f>
        <v>Underlying Symbol</v>
      </c>
      <c r="AR5" s="65" t="str">
        <f>IFERROR(__xludf.DUMMYFUNCTION("""COMPUTED_VALUE"""),"Underlying Price")</f>
        <v>Underlying Price</v>
      </c>
      <c r="AS5" s="65" t="str">
        <f>IFERROR(__xludf.DUMMYFUNCTION("""COMPUTED_VALUE"""),"Side Multiplier")</f>
        <v>Side Multiplier</v>
      </c>
      <c r="AT5" s="65" t="str">
        <f>IFERROR(__xludf.DUMMYFUNCTION("""COMPUTED_VALUE"""),"Description")</f>
        <v>Description</v>
      </c>
      <c r="AU5" s="65" t="str">
        <f>IFERROR(__xludf.DUMMYFUNCTION("""COMPUTED_VALUE"""),"Internal Comments")</f>
        <v>Internal Comments</v>
      </c>
      <c r="AV5" s="65" t="str">
        <f>IFERROR(__xludf.DUMMYFUNCTION("""COMPUTED_VALUE"""),"FX Rate On Trade Date")</f>
        <v>FX Rate On Trade Date</v>
      </c>
      <c r="AW5" s="65" t="str">
        <f>IFERROR(__xludf.DUMMYFUNCTION("""COMPUTED_VALUE"""),"Cost Basis P&amp;L (Local)")</f>
        <v>Cost Basis P&amp;L (Local)</v>
      </c>
      <c r="AX5" s="65" t="str">
        <f>IFERROR(__xludf.DUMMYFUNCTION("""COMPUTED_VALUE"""),"Day Interest")</f>
        <v>Day Interest</v>
      </c>
      <c r="AY5" s="65" t="str">
        <f>IFERROR(__xludf.DUMMYFUNCTION("""COMPUTED_VALUE"""),"Total Interest")</f>
        <v>Total Interest</v>
      </c>
      <c r="AZ5" s="65" t="str">
        <f>IFERROR(__xludf.DUMMYFUNCTION("""COMPUTED_VALUE"""),"Market Value (Local)")</f>
        <v>Market Value (Local)</v>
      </c>
      <c r="BA5" s="65" t="str">
        <f>IFERROR(__xludf.DUMMYFUNCTION("""COMPUTED_VALUE"""),"% Gain/Loss Day")</f>
        <v>% Gain/Loss Day</v>
      </c>
      <c r="BB5" s="65" t="str">
        <f>IFERROR(__xludf.DUMMYFUNCTION("""COMPUTED_VALUE"""),"Update Time (Last Price)")</f>
        <v>Update Time (Last Price)</v>
      </c>
      <c r="BC5" s="65" t="str">
        <f>IFERROR(__xludf.DUMMYFUNCTION("""COMPUTED_VALUE"""),"Beta")</f>
        <v>Beta</v>
      </c>
      <c r="BD5" s="65" t="str">
        <f>IFERROR(__xludf.DUMMYFUNCTION("""COMPUTED_VALUE"""),"Cash Impact (Local)")</f>
        <v>Cash Impact (Local)</v>
      </c>
      <c r="BE5" s="65" t="str">
        <f>IFERROR(__xludf.DUMMYFUNCTION("""COMPUTED_VALUE"""),"User Asset")</f>
        <v>User Asset</v>
      </c>
      <c r="BF5" s="65" t="str">
        <f>IFERROR(__xludf.DUMMYFUNCTION("""COMPUTED_VALUE"""),"Security Type")</f>
        <v>Security Type</v>
      </c>
      <c r="BG5" s="65" t="str">
        <f>IFERROR(__xludf.DUMMYFUNCTION("""COMPUTED_VALUE"""),"Sector")</f>
        <v>Sector</v>
      </c>
      <c r="BH5" s="65" t="str">
        <f>IFERROR(__xludf.DUMMYFUNCTION("""COMPUTED_VALUE"""),"Sub Sector")</f>
        <v>Sub Sector</v>
      </c>
      <c r="BI5" s="65" t="str">
        <f>IFERROR(__xludf.DUMMYFUNCTION("""COMPUTED_VALUE"""),"Country")</f>
        <v>Country</v>
      </c>
      <c r="BJ5" s="65" t="str">
        <f>IFERROR(__xludf.DUMMYFUNCTION("""COMPUTED_VALUE"""),"Market Cap")</f>
        <v>Market Cap</v>
      </c>
      <c r="BK5" s="65" t="str">
        <f>IFERROR(__xludf.DUMMYFUNCTION("""COMPUTED_VALUE"""),"Shares Outstanding")</f>
        <v>Shares Outstanding</v>
      </c>
      <c r="BL5" s="65" t="str">
        <f>IFERROR(__xludf.DUMMYFUNCTION("""COMPUTED_VALUE"""),"Avg Volume 20 Day")</f>
        <v>Avg Volume 20 Day</v>
      </c>
      <c r="BM5" s="65" t="str">
        <f>IFERROR(__xludf.DUMMYFUNCTION("""COMPUTED_VALUE"""),"% Avg Volume (Delta Adj.)")</f>
        <v>% Avg Volume (Delta Adj.)</v>
      </c>
      <c r="BN5" s="65" t="str">
        <f>IFERROR(__xludf.DUMMYFUNCTION("""COMPUTED_VALUE"""),"Ex Dividend Date")</f>
        <v>Ex Dividend Date</v>
      </c>
      <c r="BO5" s="65" t="str">
        <f>IFERROR(__xludf.DUMMYFUNCTION("""COMPUTED_VALUE"""),"Cash Impact (Base)")</f>
        <v>Cash Impact (Base)</v>
      </c>
      <c r="BP5" s="65" t="str">
        <f>IFERROR(__xludf.DUMMYFUNCTION("""COMPUTED_VALUE"""),"Volatility (%)")</f>
        <v>Volatility (%)</v>
      </c>
      <c r="BQ5" s="65" t="str">
        <f>IFERROR(__xludf.DUMMYFUNCTION("""COMPUTED_VALUE"""),"User")</f>
        <v>User</v>
      </c>
      <c r="BR5" s="65" t="str">
        <f>IFERROR(__xludf.DUMMYFUNCTION("""COMPUTED_VALUE"""),"Broker")</f>
        <v>Broker</v>
      </c>
      <c r="BS5" s="65" t="str">
        <f>IFERROR(__xludf.DUMMYFUNCTION("""COMPUTED_VALUE"""),"Earned Dividend (Local)")</f>
        <v>Earned Dividend (Local)</v>
      </c>
      <c r="BT5" s="65" t="str">
        <f>IFERROR(__xludf.DUMMYFUNCTION("""COMPUTED_VALUE"""),"Earned Dividend (Base)")</f>
        <v>Earned Dividend (Base)</v>
      </c>
      <c r="BU5" s="65" t="str">
        <f>IFERROR(__xludf.DUMMYFUNCTION("""COMPUTED_VALUE"""),"Put/Call")</f>
        <v>Put/Call</v>
      </c>
      <c r="BV5" s="65" t="str">
        <f>IFERROR(__xludf.DUMMYFUNCTION("""COMPUTED_VALUE"""),"Expiration Date")</f>
        <v>Expiration Date</v>
      </c>
      <c r="BW5" s="65" t="str">
        <f>IFERROR(__xludf.DUMMYFUNCTION("""COMPUTED_VALUE"""),"Strike Price")</f>
        <v>Strike Price</v>
      </c>
      <c r="BX5" s="65" t="str">
        <f>IFERROR(__xludf.DUMMYFUNCTION("""COMPUTED_VALUE"""),"Gross Exposure (Base)")</f>
        <v>Gross Exposure (Base)</v>
      </c>
      <c r="BY5" s="65" t="str">
        <f>IFERROR(__xludf.DUMMYFUNCTION("""COMPUTED_VALUE"""),"Gross Market Value (Base)")</f>
        <v>Gross Market Value (Base)</v>
      </c>
      <c r="BZ5" s="65" t="str">
        <f>IFERROR(__xludf.DUMMYFUNCTION("""COMPUTED_VALUE"""),"Px Selected Feed (Local)")</f>
        <v>Px Selected Feed (Local)</v>
      </c>
      <c r="CA5" s="65" t="str">
        <f>IFERROR(__xludf.DUMMYFUNCTION("""COMPUTED_VALUE"""),"Px Selected Feed (Base)")</f>
        <v>Px Selected Feed (Base)</v>
      </c>
      <c r="CB5" s="65" t="str">
        <f>IFERROR(__xludf.DUMMYFUNCTION("""COMPUTED_VALUE"""),"Settlement Date")</f>
        <v>Settlement Date</v>
      </c>
      <c r="CC5" s="65" t="str">
        <f>IFERROR(__xludf.DUMMYFUNCTION("""COMPUTED_VALUE"""),"% Avg Volume")</f>
        <v>% Avg Volume</v>
      </c>
      <c r="CD5" s="65" t="str">
        <f>IFERROR(__xludf.DUMMYFUNCTION("""COMPUTED_VALUE"""),"Day P&amp;L (Base)(Price Gain)")</f>
        <v>Day P&amp;L (Base)(Price Gain)</v>
      </c>
      <c r="CE5" s="65" t="str">
        <f>IFERROR(__xludf.DUMMYFUNCTION("""COMPUTED_VALUE"""),"Day P&amp;L (Base)(FX Gain)")</f>
        <v>Day P&amp;L (Base)(FX Gain)</v>
      </c>
      <c r="CF5" s="65" t="str">
        <f>IFERROR(__xludf.DUMMYFUNCTION("""COMPUTED_VALUE"""),"Cost Basis P&amp;L (Base)(FX Gain)")</f>
        <v>Cost Basis P&amp;L (Base)(FX Gain)</v>
      </c>
      <c r="CG5" s="65" t="str">
        <f>IFERROR(__xludf.DUMMYFUNCTION("""COMPUTED_VALUE"""),"Cost Basis P&amp;L (Base)(Price Gain)")</f>
        <v>Cost Basis P&amp;L (Base)(Price Gain)</v>
      </c>
      <c r="CH5" s="65" t="str">
        <f>IFERROR(__xludf.DUMMYFUNCTION("""COMPUTED_VALUE"""),"% Gain/Loss Cost")</f>
        <v>% Gain/Loss Cost</v>
      </c>
      <c r="CI5" s="65" t="str">
        <f>IFERROR(__xludf.DUMMYFUNCTION("""COMPUTED_VALUE"""),"Underlying Value (Options)")</f>
        <v>Underlying Value (Options)</v>
      </c>
      <c r="CJ5" s="65" t="str">
        <f>IFERROR(__xludf.DUMMYFUNCTION("""COMPUTED_VALUE"""),"Avg Volume 20 Day (Underlying Symbol)")</f>
        <v>Avg Volume 20 Day (Underlying Symbol)</v>
      </c>
      <c r="CK5" s="65" t="str">
        <f>IFERROR(__xludf.DUMMYFUNCTION("""COMPUTED_VALUE"""),"IsStaleData")</f>
        <v>IsStaleData</v>
      </c>
      <c r="CL5" s="65" t="str">
        <f>IFERROR(__xludf.DUMMYFUNCTION("""COMPUTED_VALUE"""),"IDCO")</f>
        <v>IDCO</v>
      </c>
      <c r="CM5" s="65" t="str">
        <f>IFERROR(__xludf.DUMMYFUNCTION("""COMPUTED_VALUE"""),"OSI")</f>
        <v>OSI</v>
      </c>
      <c r="CN5" s="65" t="str">
        <f>IFERROR(__xludf.DUMMYFUNCTION("""COMPUTED_VALUE"""),"SEDOL")</f>
        <v>SEDOL</v>
      </c>
      <c r="CO5" s="65" t="str">
        <f>IFERROR(__xludf.DUMMYFUNCTION("""COMPUTED_VALUE"""),"CUSIP")</f>
        <v>CUSIP</v>
      </c>
      <c r="CP5" s="65" t="str">
        <f>IFERROR(__xludf.DUMMYFUNCTION("""COMPUTED_VALUE"""),"Bloomberg")</f>
        <v>Bloomberg</v>
      </c>
      <c r="CQ5" s="65" t="str">
        <f>IFERROR(__xludf.DUMMYFUNCTION("""COMPUTED_VALUE"""),"ISIN")</f>
        <v>ISIN</v>
      </c>
      <c r="CR5" s="65" t="str">
        <f>IFERROR(__xludf.DUMMYFUNCTION("""COMPUTED_VALUE"""),"Start Trade Date")</f>
        <v>Start Trade Date</v>
      </c>
      <c r="CS5" s="65" t="str">
        <f>IFERROR(__xludf.DUMMYFUNCTION("""COMPUTED_VALUE"""),"Cost Basis (Break Even)")</f>
        <v>Cost Basis (Break Even)</v>
      </c>
      <c r="CT5" s="65" t="str">
        <f>IFERROR(__xludf.DUMMYFUNCTION("""COMPUTED_VALUE"""),"Trade Attribute 3")</f>
        <v>Trade Attribute 3</v>
      </c>
      <c r="CU5" s="65" t="str">
        <f>IFERROR(__xludf.DUMMYFUNCTION("""COMPUTED_VALUE"""),"Trade Attribute 4")</f>
        <v>Trade Attribute 4</v>
      </c>
      <c r="CV5" s="65" t="str">
        <f>IFERROR(__xludf.DUMMYFUNCTION("""COMPUTED_VALUE"""),"Trade Attribute 5")</f>
        <v>Trade Attribute 5</v>
      </c>
      <c r="CW5" s="65" t="str">
        <f>IFERROR(__xludf.DUMMYFUNCTION("""COMPUTED_VALUE"""),"Trade Attribute 6")</f>
        <v>Trade Attribute 6</v>
      </c>
      <c r="CX5" s="65" t="str">
        <f>IFERROR(__xludf.DUMMYFUNCTION("""COMPUTED_VALUE"""),"Proxy Symbol")</f>
        <v>Proxy Symbol</v>
      </c>
      <c r="CY5" s="65" t="str">
        <f>IFERROR(__xludf.DUMMYFUNCTION("""COMPUTED_VALUE"""),"Pricing Source")</f>
        <v>Pricing Source</v>
      </c>
      <c r="CZ5" s="65" t="str">
        <f>IFERROR(__xludf.DUMMYFUNCTION("""COMPUTED_VALUE"""),"Delta Source")</f>
        <v>Delta Source</v>
      </c>
      <c r="DA5" s="65" t="str">
        <f>IFERROR(__xludf.DUMMYFUNCTION("""COMPUTED_VALUE"""),"Gross Exposure (Local)")</f>
        <v>Gross Exposure (Local)</v>
      </c>
      <c r="DB5" s="65" t="str">
        <f>IFERROR(__xludf.DUMMYFUNCTION("""COMPUTED_VALUE"""),"% Day P&amp;L (Net MV)")</f>
        <v>% Day P&amp;L (Net MV)</v>
      </c>
      <c r="DC5" s="65" t="str">
        <f>IFERROR(__xludf.DUMMYFUNCTION("""COMPUTED_VALUE"""),"Expiration Month")</f>
        <v>Expiration Month</v>
      </c>
      <c r="DD5" s="65" t="str">
        <f>IFERROR(__xludf.DUMMYFUNCTION("""COMPUTED_VALUE"""),"Delta Adj. Position (LME)")</f>
        <v>Delta Adj. Position (LME)</v>
      </c>
      <c r="DE5" s="65" t="str">
        <f>IFERROR(__xludf.DUMMYFUNCTION("""COMPUTED_VALUE"""),"Premium")</f>
        <v>Premium</v>
      </c>
      <c r="DF5" s="65" t="str">
        <f>IFERROR(__xludf.DUMMYFUNCTION("""COMPUTED_VALUE"""),"Premium $")</f>
        <v>Premium $</v>
      </c>
      <c r="DG5" s="65" t="str">
        <f>IFERROR(__xludf.DUMMYFUNCTION("""COMPUTED_VALUE"""),"Forward Points")</f>
        <v>Forward Points</v>
      </c>
      <c r="DH5" s="65" t="str">
        <f>IFERROR(__xludf.DUMMYFUNCTION("""COMPUTED_VALUE"""),"Closing Mark (Underlying)")</f>
        <v>Closing Mark (Underlying)</v>
      </c>
      <c r="DI5" s="65" t="str">
        <f>IFERROR(__xludf.DUMMYFUNCTION("""COMPUTED_VALUE"""),"% Change (Underlying Price)")</f>
        <v>% Change (Underlying Price)</v>
      </c>
      <c r="DJ5" s="65" t="str">
        <f>IFERROR(__xludf.DUMMYFUNCTION("""COMPUTED_VALUE"""),"Transaction Type")</f>
        <v>Transaction Type</v>
      </c>
      <c r="DK5" s="65" t="str">
        <f>IFERROR(__xludf.DUMMYFUNCTION("""COMPUTED_VALUE"""),"Closing Market Value (Local)")</f>
        <v>Closing Market Value (Local)</v>
      </c>
      <c r="DL5" s="65" t="str">
        <f>IFERROR(__xludf.DUMMYFUNCTION("""COMPUTED_VALUE"""),"Closing Market Value (Base)")</f>
        <v>Closing Market Value (Base)</v>
      </c>
      <c r="DM5" s="65" t="str">
        <f>IFERROR(__xludf.DUMMYFUNCTION("""COMPUTED_VALUE"""),"Closing FX Rate")</f>
        <v>Closing FX Rate</v>
      </c>
      <c r="DN5" s="65" t="str">
        <f>IFERROR(__xludf.DUMMYFUNCTION("""COMPUTED_VALUE"""),"Change In Underlying Price")</f>
        <v>Change In Underlying Price</v>
      </c>
      <c r="DO5" s="65" t="str">
        <f>IFERROR(__xludf.DUMMYFUNCTION("""COMPUTED_VALUE"""),"RIC")</f>
        <v>RIC</v>
      </c>
      <c r="DP5" s="65" t="str">
        <f>IFERROR(__xludf.DUMMYFUNCTION("""COMPUTED_VALUE"""),"Position Side Exposure (Boxed)")</f>
        <v>Position Side Exposure (Boxed)</v>
      </c>
      <c r="DQ5" s="65" t="str">
        <f>IFERROR(__xludf.DUMMYFUNCTION("""COMPUTED_VALUE"""),"Analyst")</f>
        <v>Analyst</v>
      </c>
      <c r="DR5" s="65" t="str">
        <f>IFERROR(__xludf.DUMMYFUNCTION("""COMPUTED_VALUE"""),"Country Of Risk")</f>
        <v>Country Of Risk</v>
      </c>
      <c r="DS5" s="65" t="str">
        <f>IFERROR(__xludf.DUMMYFUNCTION("""COMPUTED_VALUE"""),"Custom UDA1")</f>
        <v>Custom UDA1</v>
      </c>
      <c r="DT5" s="65" t="str">
        <f>IFERROR(__xludf.DUMMYFUNCTION("""COMPUTED_VALUE"""),"Custom UDA2")</f>
        <v>Custom UDA2</v>
      </c>
      <c r="DU5" s="65" t="str">
        <f>IFERROR(__xludf.DUMMYFUNCTION("""COMPUTED_VALUE"""),"Custom UDA3")</f>
        <v>Custom UDA3</v>
      </c>
      <c r="DV5" s="65" t="str">
        <f>IFERROR(__xludf.DUMMYFUNCTION("""COMPUTED_VALUE"""),"Custom UDA4")</f>
        <v>Custom UDA4</v>
      </c>
      <c r="DW5" s="65" t="str">
        <f>IFERROR(__xludf.DUMMYFUNCTION("""COMPUTED_VALUE"""),"Custom UDA5")</f>
        <v>Custom UDA5</v>
      </c>
      <c r="DX5" s="65" t="str">
        <f>IFERROR(__xludf.DUMMYFUNCTION("""COMPUTED_VALUE"""),"Custom UDA6")</f>
        <v>Custom UDA6</v>
      </c>
      <c r="DY5" s="65" t="str">
        <f>IFERROR(__xludf.DUMMYFUNCTION("""COMPUTED_VALUE"""),"Custom UDA7")</f>
        <v>Custom UDA7</v>
      </c>
      <c r="DZ5" s="65" t="str">
        <f>IFERROR(__xludf.DUMMYFUNCTION("""COMPUTED_VALUE"""),"Issuer")</f>
        <v>Issuer</v>
      </c>
      <c r="EA5" s="65" t="str">
        <f>IFERROR(__xludf.DUMMYFUNCTION("""COMPUTED_VALUE"""),"Liquid Tag")</f>
        <v>Liquid Tag</v>
      </c>
      <c r="EB5" s="65" t="str">
        <f>IFERROR(__xludf.DUMMYFUNCTION("""COMPUTED_VALUE"""),"Market Cap UDA")</f>
        <v>Market Cap UDA</v>
      </c>
      <c r="EC5" s="65" t="str">
        <f>IFERROR(__xludf.DUMMYFUNCTION("""COMPUTED_VALUE"""),"Region")</f>
        <v>Region</v>
      </c>
      <c r="ED5" s="65" t="str">
        <f>IFERROR(__xludf.DUMMYFUNCTION("""COMPUTED_VALUE"""),"Risk Currency")</f>
        <v>Risk Currency</v>
      </c>
      <c r="EE5" s="65" t="str">
        <f>IFERROR(__xludf.DUMMYFUNCTION("""COMPUTED_VALUE"""),"UCITS Eligible Tag")</f>
        <v>UCITS Eligible Tag</v>
      </c>
      <c r="EF5" s="65" t="str">
        <f>IFERROR(__xludf.DUMMYFUNCTION("""COMPUTED_VALUE"""),"FX Rate (Display)")</f>
        <v>FX Rate (Display)</v>
      </c>
      <c r="EG5" s="65" t="str">
        <f>IFERROR(__xludf.DUMMYFUNCTION("""COMPUTED_VALUE"""),"% Net Exposure (Base)")</f>
        <v>% Net Exposure (Base)</v>
      </c>
      <c r="EH5" s="65" t="str">
        <f>IFERROR(__xludf.DUMMYFUNCTION("""COMPUTED_VALUE"""),"% Gross Exposure (Base)")</f>
        <v>% Gross Exposure (Base)</v>
      </c>
      <c r="EI5" s="65" t="str">
        <f>IFERROR(__xludf.DUMMYFUNCTION("""COMPUTED_VALUE"""),"% Exposure (Base)")</f>
        <v>% Exposure (Base)</v>
      </c>
      <c r="EJ5" s="65" t="str">
        <f>IFERROR(__xludf.DUMMYFUNCTION("""COMPUTED_VALUE"""),"% Gross Exposure (Underlying) (Base)")</f>
        <v>% Gross Exposure (Underlying) (Base)</v>
      </c>
      <c r="EK5" s="65" t="str">
        <f>IFERROR(__xludf.DUMMYFUNCTION("""COMPUTED_VALUE"""),"% Beta Adj. Gross Exposure (Base)")</f>
        <v>% Beta Adj. Gross Exposure (Base)</v>
      </c>
      <c r="EL5" s="65" t="str">
        <f>IFERROR(__xludf.DUMMYFUNCTION("""COMPUTED_VALUE"""),"Position Side Exposure (Underlying)")</f>
        <v>Position Side Exposure (Underlying)</v>
      </c>
      <c r="EM5" s="65" t="str">
        <f>IFERROR(__xludf.DUMMYFUNCTION("""COMPUTED_VALUE"""),"Gross Exposure (Underlying) (Base)")</f>
        <v>Gross Exposure (Underlying) (Base)</v>
      </c>
      <c r="EN5" s="65" t="str">
        <f>IFERROR(__xludf.DUMMYFUNCTION("""COMPUTED_VALUE"""),"Gross Exposure (Underlying)")</f>
        <v>Gross Exposure (Underlying)</v>
      </c>
      <c r="EO5" s="65" t="str">
        <f>IFERROR(__xludf.DUMMYFUNCTION("""COMPUTED_VALUE"""),"Day Return")</f>
        <v>Day Return</v>
      </c>
      <c r="EP5" s="65" t="str">
        <f>IFERROR(__xludf.DUMMYFUNCTION("""COMPUTED_VALUE"""),"Start of Day NAV")</f>
        <v>Start of Day NAV</v>
      </c>
      <c r="EQ5" s="65" t="str">
        <f>IFERROR(__xludf.DUMMYFUNCTION("""COMPUTED_VALUE"""),"% Gross Market Value (Base)")</f>
        <v>% Gross Market Value (Base)</v>
      </c>
      <c r="ER5" s="65" t="str">
        <f>IFERROR(__xludf.DUMMYFUNCTION("""COMPUTED_VALUE"""),"Beta Adj. Gross Exposure (Underlying) (Local)")</f>
        <v>Beta Adj. Gross Exposure (Underlying) (Local)</v>
      </c>
      <c r="ES5" s="65" t="str">
        <f>IFERROR(__xludf.DUMMYFUNCTION("""COMPUTED_VALUE"""),"NAV")</f>
        <v>NAV</v>
      </c>
      <c r="ET5" s="65" t="str">
        <f>IFERROR(__xludf.DUMMYFUNCTION("""COMPUTED_VALUE"""),"% P&amp;L Contribution")</f>
        <v>% P&amp;L Contribution</v>
      </c>
      <c r="EU5" s="65" t="str">
        <f>IFERROR(__xludf.DUMMYFUNCTION("""COMPUTED_VALUE"""),"% Net Market Value (Base)")</f>
        <v>% Net Market Value (Base)</v>
      </c>
      <c r="EV5" s="65" t="str">
        <f>IFERROR(__xludf.DUMMYFUNCTION("""COMPUTED_VALUE"""),"Position Side Exposure")</f>
        <v>Position Side Exposure</v>
      </c>
      <c r="EW5" s="65" t="str">
        <f>IFERROR(__xludf.DUMMYFUNCTION("""COMPUTED_VALUE"""),"NAV (Touch)")</f>
        <v>NAV (Touch)</v>
      </c>
      <c r="EX5" s="65" t="str">
        <f>IFERROR(__xludf.DUMMYFUNCTION("""COMPUTED_VALUE"""),"IgnorePropertyChangeEvents")</f>
        <v>IgnorePropertyChangeEvents</v>
      </c>
      <c r="EY5" s="65" t="str">
        <f>IFERROR(__xludf.DUMMYFUNCTION("""COMPUTED_VALUE"""),"Trade Attribute 1")</f>
        <v>Trade Attribute 1</v>
      </c>
      <c r="EZ5" s="65" t="str">
        <f>IFERROR(__xludf.DUMMYFUNCTION("""COMPUTED_VALUE"""),"Trade Attribute 2")</f>
        <v>Trade Attribute 2</v>
      </c>
      <c r="FA5" s="65" t="str">
        <f>IFERROR(__xludf.DUMMYFUNCTION("""COMPUTED_VALUE"""),"")</f>
        <v/>
      </c>
      <c r="FB5" s="65" t="str">
        <f>IFERROR(__xludf.DUMMYFUNCTION("""COMPUTED_VALUE"""),"")</f>
        <v/>
      </c>
      <c r="FC5" s="65" t="str">
        <f>IFERROR(__xludf.DUMMYFUNCTION("""COMPUTED_VALUE"""),"")</f>
        <v/>
      </c>
      <c r="FD5" s="65" t="str">
        <f>IFERROR(__xludf.DUMMYFUNCTION("""COMPUTED_VALUE"""),"")</f>
        <v/>
      </c>
      <c r="FE5" s="65" t="str">
        <f>IFERROR(__xludf.DUMMYFUNCTION("""COMPUTED_VALUE"""),"")</f>
        <v/>
      </c>
      <c r="FF5" s="65" t="str">
        <f>IFERROR(__xludf.DUMMYFUNCTION("""COMPUTED_VALUE"""),"")</f>
        <v/>
      </c>
      <c r="FG5" s="65" t="str">
        <f>IFERROR(__xludf.DUMMYFUNCTION("""COMPUTED_VALUE"""),"")</f>
        <v/>
      </c>
      <c r="FH5" s="65" t="str">
        <f>IFERROR(__xludf.DUMMYFUNCTION("""COMPUTED_VALUE"""),"")</f>
        <v/>
      </c>
      <c r="FI5" s="65" t="str">
        <f>IFERROR(__xludf.DUMMYFUNCTION("""COMPUTED_VALUE"""),"")</f>
        <v/>
      </c>
      <c r="FJ5" s="65" t="str">
        <f>IFERROR(__xludf.DUMMYFUNCTION("""COMPUTED_VALUE"""),"")</f>
        <v/>
      </c>
      <c r="FK5" s="65" t="str">
        <f>IFERROR(__xludf.DUMMYFUNCTION("""COMPUTED_VALUE"""),"")</f>
        <v/>
      </c>
      <c r="FL5" s="65" t="str">
        <f>IFERROR(__xludf.DUMMYFUNCTION("""COMPUTED_VALUE"""),"")</f>
        <v/>
      </c>
    </row>
    <row r="6" ht="15.75" customHeight="1">
      <c r="A6" s="54"/>
      <c r="B6" s="54"/>
      <c r="C6" s="66" t="s">
        <v>22</v>
      </c>
      <c r="D6" s="67">
        <v>490000.0</v>
      </c>
      <c r="E6" s="66" t="s">
        <v>20</v>
      </c>
      <c r="F6" s="66" t="s">
        <v>42</v>
      </c>
      <c r="G6" s="67">
        <v>8.0</v>
      </c>
      <c r="H6" s="66" t="s">
        <v>43</v>
      </c>
      <c r="I6" s="68">
        <v>9800000.0</v>
      </c>
      <c r="J6" s="68">
        <v>12.5</v>
      </c>
      <c r="K6" s="68">
        <v>9800000.0</v>
      </c>
      <c r="L6" s="68">
        <v>9800000.0</v>
      </c>
      <c r="M6" s="68">
        <v>9800000.0</v>
      </c>
      <c r="N6" s="68">
        <v>1225000.0</v>
      </c>
      <c r="O6" s="66" t="s">
        <v>44</v>
      </c>
      <c r="P6" s="67">
        <v>7.0</v>
      </c>
      <c r="Q6" s="67"/>
      <c r="R6" s="66" t="s">
        <v>45</v>
      </c>
      <c r="S6" s="66" t="s">
        <v>46</v>
      </c>
      <c r="T6" s="66" t="s">
        <v>47</v>
      </c>
      <c r="U6" s="66" t="s">
        <v>48</v>
      </c>
      <c r="V6" s="66" t="s">
        <v>49</v>
      </c>
      <c r="W6" s="66" t="s">
        <v>29</v>
      </c>
      <c r="X6" s="67">
        <v>2.5</v>
      </c>
      <c r="Y6" s="67">
        <v>1.0</v>
      </c>
      <c r="Z6" s="66" t="s">
        <v>50</v>
      </c>
      <c r="AA6" s="66" t="s">
        <v>50</v>
      </c>
      <c r="AB6" s="68">
        <v>0.0</v>
      </c>
      <c r="AC6" s="69">
        <v>14.29</v>
      </c>
      <c r="AD6" s="68">
        <v>9800000.0</v>
      </c>
      <c r="AE6" s="68">
        <v>9800000.0</v>
      </c>
      <c r="AF6" s="68">
        <v>1225000.0</v>
      </c>
      <c r="AG6" s="68">
        <v>9800000.0</v>
      </c>
      <c r="AH6" s="68">
        <v>9800000.0</v>
      </c>
      <c r="AI6" s="68">
        <v>9800000.0</v>
      </c>
      <c r="AJ6" s="69">
        <v>-11873.26</v>
      </c>
      <c r="AK6" s="68">
        <v>1225000.0</v>
      </c>
      <c r="AL6" s="67">
        <v>1.0</v>
      </c>
      <c r="AM6" s="67">
        <v>1.0</v>
      </c>
      <c r="AN6" s="66" t="s">
        <v>19</v>
      </c>
      <c r="AO6" s="66" t="s">
        <v>50</v>
      </c>
      <c r="AP6" s="66" t="s">
        <v>43</v>
      </c>
      <c r="AQ6" s="66" t="s">
        <v>51</v>
      </c>
      <c r="AR6" s="67">
        <v>8.0</v>
      </c>
      <c r="AS6" s="67">
        <v>1.0</v>
      </c>
      <c r="AT6" s="66" t="s">
        <v>52</v>
      </c>
      <c r="AU6" s="66" t="s">
        <v>53</v>
      </c>
      <c r="AV6" s="67"/>
      <c r="AW6" s="68">
        <v>0.0</v>
      </c>
      <c r="AX6" s="68">
        <v>0.0</v>
      </c>
      <c r="AY6" s="68">
        <v>0.0</v>
      </c>
      <c r="AZ6" s="68">
        <v>9800000.0</v>
      </c>
      <c r="BA6" s="68">
        <v>12.5</v>
      </c>
      <c r="BB6" s="66"/>
      <c r="BC6" s="67">
        <v>1.0</v>
      </c>
      <c r="BD6" s="68">
        <v>0.0</v>
      </c>
      <c r="BE6" s="66" t="s">
        <v>47</v>
      </c>
      <c r="BF6" s="66" t="s">
        <v>54</v>
      </c>
      <c r="BG6" s="66" t="s">
        <v>54</v>
      </c>
      <c r="BH6" s="66" t="s">
        <v>54</v>
      </c>
      <c r="BI6" s="66" t="s">
        <v>54</v>
      </c>
      <c r="BJ6" s="68">
        <v>0.0</v>
      </c>
      <c r="BK6" s="68">
        <v>0.0</v>
      </c>
      <c r="BL6" s="68">
        <v>0.0</v>
      </c>
      <c r="BM6" s="68">
        <v>0.0</v>
      </c>
      <c r="BN6" s="66"/>
      <c r="BO6" s="67"/>
      <c r="BP6" s="68">
        <v>0.0</v>
      </c>
      <c r="BQ6" s="66" t="s">
        <v>55</v>
      </c>
      <c r="BR6" s="66" t="s">
        <v>56</v>
      </c>
      <c r="BS6" s="68">
        <v>0.0</v>
      </c>
      <c r="BT6" s="68">
        <v>0.0</v>
      </c>
      <c r="BU6" s="66" t="s">
        <v>47</v>
      </c>
      <c r="BV6" s="66"/>
      <c r="BW6" s="67"/>
      <c r="BX6" s="68">
        <v>9800000.0</v>
      </c>
      <c r="BY6" s="68">
        <v>9800000.0</v>
      </c>
      <c r="BZ6" s="67">
        <v>8.0</v>
      </c>
      <c r="CA6" s="67">
        <v>8.0</v>
      </c>
      <c r="CB6" s="66"/>
      <c r="CC6" s="67">
        <v>0.0</v>
      </c>
      <c r="CD6" s="68">
        <v>1225000.0</v>
      </c>
      <c r="CE6" s="68">
        <v>0.0</v>
      </c>
      <c r="CF6" s="68">
        <v>0.0</v>
      </c>
      <c r="CG6" s="68">
        <v>0.0</v>
      </c>
      <c r="CH6" s="68">
        <v>0.0</v>
      </c>
      <c r="CI6" s="68">
        <v>0.0</v>
      </c>
      <c r="CJ6" s="68">
        <v>0.0</v>
      </c>
      <c r="CK6" s="70" t="b">
        <v>0</v>
      </c>
      <c r="CL6" s="66" t="s">
        <v>50</v>
      </c>
      <c r="CM6" s="66" t="s">
        <v>50</v>
      </c>
      <c r="CN6" s="66" t="s">
        <v>50</v>
      </c>
      <c r="CO6" s="66" t="s">
        <v>50</v>
      </c>
      <c r="CP6" s="66" t="s">
        <v>22</v>
      </c>
      <c r="CQ6" s="66" t="s">
        <v>57</v>
      </c>
      <c r="CR6" s="67"/>
      <c r="CS6" s="67">
        <v>8.0</v>
      </c>
      <c r="CT6" s="66" t="s">
        <v>50</v>
      </c>
      <c r="CU6" s="66" t="s">
        <v>50</v>
      </c>
      <c r="CV6" s="66" t="s">
        <v>50</v>
      </c>
      <c r="CW6" s="66" t="s">
        <v>50</v>
      </c>
      <c r="CX6" s="66" t="s">
        <v>50</v>
      </c>
      <c r="CY6" s="66" t="s">
        <v>58</v>
      </c>
      <c r="CZ6" s="66" t="s">
        <v>37</v>
      </c>
      <c r="DA6" s="68">
        <v>9800000.0</v>
      </c>
      <c r="DB6" s="68">
        <v>12.5</v>
      </c>
      <c r="DC6" s="67"/>
      <c r="DD6" s="67"/>
      <c r="DE6" s="67">
        <v>0.0</v>
      </c>
      <c r="DF6" s="67">
        <v>0.0</v>
      </c>
      <c r="DG6" s="67">
        <v>0.0</v>
      </c>
      <c r="DH6" s="67">
        <v>7.0</v>
      </c>
      <c r="DI6" s="71"/>
      <c r="DJ6" s="66" t="s">
        <v>19</v>
      </c>
      <c r="DK6" s="67"/>
      <c r="DL6" s="67"/>
      <c r="DM6" s="67"/>
      <c r="DN6" s="67"/>
      <c r="DO6" s="66"/>
      <c r="DP6" s="66" t="s">
        <v>43</v>
      </c>
      <c r="DQ6" s="66" t="s">
        <v>54</v>
      </c>
      <c r="DR6" s="66" t="s">
        <v>59</v>
      </c>
      <c r="DS6" s="66" t="s">
        <v>54</v>
      </c>
      <c r="DT6" s="66" t="s">
        <v>54</v>
      </c>
      <c r="DU6" s="66" t="s">
        <v>54</v>
      </c>
      <c r="DV6" s="66" t="s">
        <v>54</v>
      </c>
      <c r="DW6" s="66" t="s">
        <v>54</v>
      </c>
      <c r="DX6" s="66" t="s">
        <v>54</v>
      </c>
      <c r="DY6" s="66" t="s">
        <v>54</v>
      </c>
      <c r="DZ6" s="66" t="s">
        <v>44</v>
      </c>
      <c r="EA6" s="66" t="s">
        <v>60</v>
      </c>
      <c r="EB6" s="66" t="s">
        <v>54</v>
      </c>
      <c r="EC6" s="66" t="s">
        <v>54</v>
      </c>
      <c r="ED6" s="66" t="s">
        <v>29</v>
      </c>
      <c r="EE6" s="66" t="s">
        <v>60</v>
      </c>
      <c r="EF6" s="67"/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6" t="s">
        <v>43</v>
      </c>
      <c r="EM6" s="68">
        <v>9800000.0</v>
      </c>
      <c r="EN6" s="68">
        <v>9800000.0</v>
      </c>
      <c r="EO6" s="68">
        <v>0.0</v>
      </c>
      <c r="EP6" s="68">
        <v>-6899720.0</v>
      </c>
      <c r="EQ6" s="68">
        <v>0.0</v>
      </c>
      <c r="ER6" s="68">
        <v>9800000.0</v>
      </c>
      <c r="ES6" s="68">
        <v>-8253840.0</v>
      </c>
      <c r="ET6" s="68">
        <v>0.0</v>
      </c>
      <c r="EU6" s="68">
        <v>0.0</v>
      </c>
      <c r="EV6" s="66" t="s">
        <v>43</v>
      </c>
      <c r="EW6" s="68">
        <v>-8253840.0</v>
      </c>
      <c r="EX6" s="70" t="b">
        <v>0</v>
      </c>
      <c r="EY6" s="66" t="s">
        <v>50</v>
      </c>
      <c r="EZ6" s="66" t="s">
        <v>50</v>
      </c>
      <c r="FA6" s="66"/>
      <c r="FB6" s="66"/>
      <c r="FC6" s="54"/>
      <c r="FD6" s="54"/>
      <c r="FE6" s="54"/>
      <c r="FF6" s="54"/>
      <c r="FG6" s="54"/>
      <c r="FH6" s="54"/>
      <c r="FI6" s="54"/>
      <c r="FJ6" s="54"/>
      <c r="FK6" s="54"/>
      <c r="FL6" s="54"/>
    </row>
    <row r="7" ht="15.75" customHeight="1">
      <c r="A7" s="54"/>
      <c r="B7" s="54"/>
      <c r="C7" s="72" t="s">
        <v>18</v>
      </c>
      <c r="D7" s="67">
        <v>-400000.0</v>
      </c>
      <c r="E7" s="66" t="s">
        <v>20</v>
      </c>
      <c r="F7" s="66" t="s">
        <v>42</v>
      </c>
      <c r="G7" s="67">
        <v>7.0</v>
      </c>
      <c r="H7" s="66" t="s">
        <v>61</v>
      </c>
      <c r="I7" s="68">
        <v>-1.805384E7</v>
      </c>
      <c r="J7" s="69">
        <v>-14.29</v>
      </c>
      <c r="K7" s="68">
        <v>-1.805384E7</v>
      </c>
      <c r="L7" s="68">
        <v>1.805384E7</v>
      </c>
      <c r="M7" s="68">
        <v>1.805384E7</v>
      </c>
      <c r="N7" s="68">
        <v>-2579120.0</v>
      </c>
      <c r="O7" s="66" t="s">
        <v>62</v>
      </c>
      <c r="P7" s="67">
        <v>6.0</v>
      </c>
      <c r="Q7" s="71"/>
      <c r="R7" s="66" t="s">
        <v>45</v>
      </c>
      <c r="S7" s="66" t="s">
        <v>46</v>
      </c>
      <c r="T7" s="66" t="s">
        <v>47</v>
      </c>
      <c r="U7" s="66" t="s">
        <v>48</v>
      </c>
      <c r="V7" s="66" t="s">
        <v>49</v>
      </c>
      <c r="W7" s="66" t="s">
        <v>28</v>
      </c>
      <c r="X7" s="67">
        <v>10.3</v>
      </c>
      <c r="Y7" s="71">
        <v>0.63</v>
      </c>
      <c r="Z7" s="66" t="s">
        <v>50</v>
      </c>
      <c r="AA7" s="66" t="s">
        <v>50</v>
      </c>
      <c r="AB7" s="68">
        <v>0.0</v>
      </c>
      <c r="AC7" s="69">
        <v>16.67</v>
      </c>
      <c r="AD7" s="68">
        <v>-2.884E7</v>
      </c>
      <c r="AE7" s="68">
        <v>-2.884E7</v>
      </c>
      <c r="AF7" s="68">
        <v>-4120000.0</v>
      </c>
      <c r="AG7" s="68">
        <v>-1.805384E7</v>
      </c>
      <c r="AH7" s="68">
        <v>-2.884E7</v>
      </c>
      <c r="AI7" s="68">
        <v>-1.805384E7</v>
      </c>
      <c r="AJ7" s="69">
        <v>21873.26</v>
      </c>
      <c r="AK7" s="68">
        <v>-4120000.0</v>
      </c>
      <c r="AL7" s="67">
        <v>1.0</v>
      </c>
      <c r="AM7" s="67">
        <v>1.0</v>
      </c>
      <c r="AN7" s="66" t="s">
        <v>23</v>
      </c>
      <c r="AO7" s="66" t="s">
        <v>50</v>
      </c>
      <c r="AP7" s="66" t="s">
        <v>43</v>
      </c>
      <c r="AQ7" s="66" t="s">
        <v>63</v>
      </c>
      <c r="AR7" s="67">
        <v>7.0</v>
      </c>
      <c r="AS7" s="67">
        <v>-1.0</v>
      </c>
      <c r="AT7" s="66" t="s">
        <v>52</v>
      </c>
      <c r="AU7" s="66" t="s">
        <v>53</v>
      </c>
      <c r="AV7" s="67"/>
      <c r="AW7" s="68">
        <v>0.0</v>
      </c>
      <c r="AX7" s="68">
        <v>0.0</v>
      </c>
      <c r="AY7" s="68">
        <v>0.0</v>
      </c>
      <c r="AZ7" s="68">
        <v>-2.884E7</v>
      </c>
      <c r="BA7" s="69">
        <v>-14.31</v>
      </c>
      <c r="BB7" s="66"/>
      <c r="BC7" s="67">
        <v>1.0</v>
      </c>
      <c r="BD7" s="68">
        <v>0.0</v>
      </c>
      <c r="BE7" s="66" t="s">
        <v>47</v>
      </c>
      <c r="BF7" s="66" t="s">
        <v>54</v>
      </c>
      <c r="BG7" s="66" t="s">
        <v>54</v>
      </c>
      <c r="BH7" s="66" t="s">
        <v>54</v>
      </c>
      <c r="BI7" s="66" t="s">
        <v>54</v>
      </c>
      <c r="BJ7" s="68">
        <v>0.0</v>
      </c>
      <c r="BK7" s="68">
        <v>0.0</v>
      </c>
      <c r="BL7" s="68">
        <v>0.0</v>
      </c>
      <c r="BM7" s="68">
        <v>0.0</v>
      </c>
      <c r="BN7" s="66"/>
      <c r="BO7" s="67"/>
      <c r="BP7" s="68">
        <v>0.0</v>
      </c>
      <c r="BQ7" s="66" t="s">
        <v>55</v>
      </c>
      <c r="BR7" s="66" t="s">
        <v>56</v>
      </c>
      <c r="BS7" s="68">
        <v>0.0</v>
      </c>
      <c r="BT7" s="68">
        <v>0.0</v>
      </c>
      <c r="BU7" s="66" t="s">
        <v>47</v>
      </c>
      <c r="BV7" s="66"/>
      <c r="BW7" s="67"/>
      <c r="BX7" s="68">
        <v>1.805384E7</v>
      </c>
      <c r="BY7" s="68">
        <v>1.805384E7</v>
      </c>
      <c r="BZ7" s="67">
        <v>7.0</v>
      </c>
      <c r="CA7" s="71">
        <v>4.38</v>
      </c>
      <c r="CB7" s="66"/>
      <c r="CC7" s="67">
        <v>0.0</v>
      </c>
      <c r="CD7" s="68">
        <v>-2579120.0</v>
      </c>
      <c r="CE7" s="68">
        <v>0.0</v>
      </c>
      <c r="CF7" s="68">
        <v>-28840.0</v>
      </c>
      <c r="CG7" s="68">
        <v>0.0</v>
      </c>
      <c r="CH7" s="69">
        <v>-0.16</v>
      </c>
      <c r="CI7" s="68">
        <v>0.0</v>
      </c>
      <c r="CJ7" s="68">
        <v>0.0</v>
      </c>
      <c r="CK7" s="70" t="b">
        <v>0</v>
      </c>
      <c r="CL7" s="66" t="s">
        <v>50</v>
      </c>
      <c r="CM7" s="66" t="s">
        <v>50</v>
      </c>
      <c r="CN7" s="66" t="s">
        <v>50</v>
      </c>
      <c r="CO7" s="66" t="s">
        <v>18</v>
      </c>
      <c r="CP7" s="66" t="s">
        <v>18</v>
      </c>
      <c r="CQ7" s="66" t="s">
        <v>64</v>
      </c>
      <c r="CR7" s="67"/>
      <c r="CS7" s="67">
        <v>7.0</v>
      </c>
      <c r="CT7" s="66" t="s">
        <v>50</v>
      </c>
      <c r="CU7" s="66" t="s">
        <v>50</v>
      </c>
      <c r="CV7" s="66" t="s">
        <v>50</v>
      </c>
      <c r="CW7" s="66" t="s">
        <v>50</v>
      </c>
      <c r="CX7" s="66" t="s">
        <v>50</v>
      </c>
      <c r="CY7" s="66" t="s">
        <v>58</v>
      </c>
      <c r="CZ7" s="66" t="s">
        <v>37</v>
      </c>
      <c r="DA7" s="68">
        <v>2.884E7</v>
      </c>
      <c r="DB7" s="69">
        <v>14.29</v>
      </c>
      <c r="DC7" s="67"/>
      <c r="DD7" s="67"/>
      <c r="DE7" s="67">
        <v>0.0</v>
      </c>
      <c r="DF7" s="67">
        <v>0.0</v>
      </c>
      <c r="DG7" s="67">
        <v>0.0</v>
      </c>
      <c r="DH7" s="67">
        <v>6.0</v>
      </c>
      <c r="DI7" s="71"/>
      <c r="DJ7" s="66" t="s">
        <v>23</v>
      </c>
      <c r="DK7" s="67"/>
      <c r="DL7" s="67"/>
      <c r="DM7" s="71"/>
      <c r="DN7" s="67"/>
      <c r="DO7" s="66"/>
      <c r="DP7" s="66" t="s">
        <v>43</v>
      </c>
      <c r="DQ7" s="66" t="s">
        <v>65</v>
      </c>
      <c r="DR7" s="66" t="s">
        <v>65</v>
      </c>
      <c r="DS7" s="66" t="s">
        <v>65</v>
      </c>
      <c r="DT7" s="66" t="s">
        <v>65</v>
      </c>
      <c r="DU7" s="66" t="s">
        <v>65</v>
      </c>
      <c r="DV7" s="66" t="s">
        <v>65</v>
      </c>
      <c r="DW7" s="66" t="s">
        <v>65</v>
      </c>
      <c r="DX7" s="66" t="s">
        <v>65</v>
      </c>
      <c r="DY7" s="66" t="s">
        <v>65</v>
      </c>
      <c r="DZ7" s="66" t="s">
        <v>62</v>
      </c>
      <c r="EA7" s="66" t="s">
        <v>65</v>
      </c>
      <c r="EB7" s="66" t="s">
        <v>65</v>
      </c>
      <c r="EC7" s="66" t="s">
        <v>65</v>
      </c>
      <c r="ED7" s="66" t="s">
        <v>28</v>
      </c>
      <c r="EE7" s="66" t="s">
        <v>65</v>
      </c>
      <c r="EF7" s="67"/>
      <c r="EG7" s="68">
        <v>0.0</v>
      </c>
      <c r="EH7" s="68">
        <v>0.0</v>
      </c>
      <c r="EI7" s="68">
        <v>0.0</v>
      </c>
      <c r="EJ7" s="68">
        <v>0.0</v>
      </c>
      <c r="EK7" s="68">
        <v>0.0</v>
      </c>
      <c r="EL7" s="66" t="s">
        <v>61</v>
      </c>
      <c r="EM7" s="68">
        <v>1.805384E7</v>
      </c>
      <c r="EN7" s="68">
        <v>2.8840000000000004E7</v>
      </c>
      <c r="EO7" s="68">
        <v>0.0</v>
      </c>
      <c r="EP7" s="68">
        <v>-6899720.0</v>
      </c>
      <c r="EQ7" s="68">
        <v>0.0</v>
      </c>
      <c r="ER7" s="68">
        <v>2.8840000000000004E7</v>
      </c>
      <c r="ES7" s="68">
        <v>-8253840.0</v>
      </c>
      <c r="ET7" s="68">
        <v>0.0</v>
      </c>
      <c r="EU7" s="68">
        <v>0.0</v>
      </c>
      <c r="EV7" s="66" t="s">
        <v>61</v>
      </c>
      <c r="EW7" s="68">
        <v>-8253840.0</v>
      </c>
      <c r="EX7" s="70" t="b">
        <v>0</v>
      </c>
      <c r="EY7" s="66" t="s">
        <v>50</v>
      </c>
      <c r="EZ7" s="66" t="s">
        <v>50</v>
      </c>
      <c r="FA7" s="66"/>
      <c r="FB7" s="66"/>
      <c r="FC7" s="54"/>
      <c r="FD7" s="54"/>
      <c r="FE7" s="54"/>
      <c r="FF7" s="54"/>
      <c r="FG7" s="54"/>
      <c r="FH7" s="54"/>
      <c r="FI7" s="54"/>
      <c r="FJ7" s="54"/>
      <c r="FK7" s="54"/>
      <c r="FL7" s="54"/>
    </row>
    <row r="8" ht="15.7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</row>
    <row r="9" ht="15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54"/>
      <c r="EZ9" s="54"/>
      <c r="FA9" s="54"/>
      <c r="FB9" s="54"/>
      <c r="FC9" s="54"/>
      <c r="FD9" s="54"/>
      <c r="FE9" s="54"/>
      <c r="FF9" s="54"/>
      <c r="FG9" s="54"/>
      <c r="FH9" s="54"/>
      <c r="FI9" s="54"/>
      <c r="FJ9" s="54"/>
      <c r="FK9" s="54"/>
      <c r="FL9" s="54"/>
    </row>
    <row r="10" ht="15.7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</row>
    <row r="11" ht="15.7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</row>
    <row r="12" ht="15.7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</row>
    <row r="15" ht="15.7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</row>
    <row r="16" ht="15.7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  <c r="EX16" s="54"/>
      <c r="EY16" s="54"/>
      <c r="EZ16" s="54"/>
      <c r="FA16" s="54"/>
      <c r="FB16" s="54"/>
      <c r="FC16" s="54"/>
      <c r="FD16" s="54"/>
      <c r="FE16" s="54"/>
      <c r="FF16" s="54"/>
      <c r="FG16" s="54"/>
      <c r="FH16" s="54"/>
      <c r="FI16" s="54"/>
      <c r="FJ16" s="54"/>
      <c r="FK16" s="54"/>
      <c r="FL16" s="54"/>
    </row>
    <row r="17" ht="15.7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54"/>
      <c r="EQ17" s="54"/>
      <c r="ER17" s="54"/>
      <c r="ES17" s="54"/>
      <c r="ET17" s="54"/>
      <c r="EU17" s="54"/>
      <c r="EV17" s="54"/>
      <c r="EW17" s="54"/>
      <c r="EX17" s="54"/>
      <c r="EY17" s="54"/>
      <c r="EZ17" s="54"/>
      <c r="FA17" s="54"/>
      <c r="FB17" s="54"/>
      <c r="FC17" s="54"/>
      <c r="FD17" s="54"/>
      <c r="FE17" s="54"/>
      <c r="FF17" s="54"/>
      <c r="FG17" s="54"/>
      <c r="FH17" s="54"/>
      <c r="FI17" s="54"/>
      <c r="FJ17" s="54"/>
      <c r="FK17" s="54"/>
      <c r="FL17" s="54"/>
    </row>
    <row r="18" ht="15.7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4"/>
      <c r="EC18" s="54"/>
      <c r="ED18" s="54"/>
      <c r="EE18" s="54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4"/>
      <c r="FG18" s="54"/>
      <c r="FH18" s="54"/>
      <c r="FI18" s="54"/>
      <c r="FJ18" s="54"/>
      <c r="FK18" s="54"/>
      <c r="FL18" s="54"/>
    </row>
    <row r="19" ht="15.7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4"/>
      <c r="EM19" s="54"/>
      <c r="EN19" s="54"/>
      <c r="EO19" s="54"/>
      <c r="EP19" s="54"/>
      <c r="EQ19" s="54"/>
      <c r="ER19" s="54"/>
      <c r="ES19" s="54"/>
      <c r="ET19" s="54"/>
      <c r="EU19" s="54"/>
      <c r="EV19" s="54"/>
      <c r="EW19" s="54"/>
      <c r="EX19" s="54"/>
      <c r="EY19" s="54"/>
      <c r="EZ19" s="54"/>
      <c r="FA19" s="54"/>
      <c r="FB19" s="54"/>
      <c r="FC19" s="54"/>
      <c r="FD19" s="54"/>
      <c r="FE19" s="54"/>
      <c r="FF19" s="54"/>
      <c r="FG19" s="54"/>
      <c r="FH19" s="54"/>
      <c r="FI19" s="54"/>
      <c r="FJ19" s="54"/>
      <c r="FK19" s="54"/>
      <c r="FL19" s="54"/>
    </row>
    <row r="20" ht="15.7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4"/>
      <c r="FA23" s="54"/>
      <c r="FB23" s="54"/>
      <c r="FC23" s="54"/>
      <c r="FD23" s="54"/>
      <c r="FE23" s="54"/>
      <c r="FF23" s="54"/>
      <c r="FG23" s="54"/>
      <c r="FH23" s="54"/>
      <c r="FI23" s="54"/>
      <c r="FJ23" s="54"/>
      <c r="FK23" s="54"/>
      <c r="FL23" s="54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4"/>
      <c r="DL25" s="54"/>
      <c r="DM25" s="54"/>
      <c r="DN25" s="54"/>
      <c r="DO25" s="54"/>
      <c r="DP25" s="54"/>
      <c r="DQ25" s="54"/>
      <c r="DR25" s="54"/>
      <c r="DS25" s="54"/>
      <c r="DT25" s="54"/>
      <c r="DU25" s="54"/>
      <c r="DV25" s="54"/>
      <c r="DW25" s="54"/>
      <c r="DX25" s="54"/>
      <c r="DY25" s="54"/>
      <c r="DZ25" s="54"/>
      <c r="EA25" s="54"/>
      <c r="EB25" s="54"/>
      <c r="EC25" s="54"/>
      <c r="ED25" s="54"/>
      <c r="EE25" s="54"/>
      <c r="EF25" s="54"/>
      <c r="EG25" s="54"/>
      <c r="EH25" s="54"/>
      <c r="EI25" s="54"/>
      <c r="EJ25" s="54"/>
      <c r="EK25" s="54"/>
      <c r="EL25" s="54"/>
      <c r="EM25" s="54"/>
      <c r="EN25" s="54"/>
      <c r="EO25" s="54"/>
      <c r="EP25" s="54"/>
      <c r="EQ25" s="54"/>
      <c r="ER25" s="54"/>
      <c r="ES25" s="54"/>
      <c r="ET25" s="54"/>
      <c r="EU25" s="54"/>
      <c r="EV25" s="54"/>
      <c r="EW25" s="54"/>
      <c r="EX25" s="54"/>
      <c r="EY25" s="54"/>
      <c r="EZ25" s="54"/>
      <c r="FA25" s="54"/>
      <c r="FB25" s="54"/>
      <c r="FC25" s="54"/>
      <c r="FD25" s="54"/>
      <c r="FE25" s="54"/>
      <c r="FF25" s="54"/>
      <c r="FG25" s="54"/>
      <c r="FH25" s="54"/>
      <c r="FI25" s="54"/>
      <c r="FJ25" s="54"/>
      <c r="FK25" s="54"/>
      <c r="FL25" s="5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4"/>
      <c r="EC26" s="54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4"/>
      <c r="EO26" s="54"/>
      <c r="EP26" s="54"/>
      <c r="EQ26" s="54"/>
      <c r="ER26" s="54"/>
      <c r="ES26" s="54"/>
      <c r="ET26" s="54"/>
      <c r="EU26" s="54"/>
      <c r="EV26" s="54"/>
      <c r="EW26" s="54"/>
      <c r="EX26" s="54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4"/>
      <c r="FK26" s="54"/>
      <c r="FL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4"/>
      <c r="EO27" s="54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4"/>
      <c r="FA27" s="54"/>
      <c r="FB27" s="54"/>
      <c r="FC27" s="54"/>
      <c r="FD27" s="54"/>
      <c r="FE27" s="54"/>
      <c r="FF27" s="54"/>
      <c r="FG27" s="54"/>
      <c r="FH27" s="54"/>
      <c r="FI27" s="54"/>
      <c r="FJ27" s="54"/>
      <c r="FK27" s="54"/>
      <c r="FL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4"/>
      <c r="EO28" s="54"/>
      <c r="EP28" s="54"/>
      <c r="EQ28" s="54"/>
      <c r="ER28" s="54"/>
      <c r="ES28" s="54"/>
      <c r="ET28" s="54"/>
      <c r="EU28" s="54"/>
      <c r="EV28" s="54"/>
      <c r="EW28" s="54"/>
      <c r="EX28" s="54"/>
      <c r="EY28" s="54"/>
      <c r="EZ28" s="54"/>
      <c r="FA28" s="54"/>
      <c r="FB28" s="54"/>
      <c r="FC28" s="54"/>
      <c r="FD28" s="54"/>
      <c r="FE28" s="54"/>
      <c r="FF28" s="54"/>
      <c r="FG28" s="54"/>
      <c r="FH28" s="54"/>
      <c r="FI28" s="54"/>
      <c r="FJ28" s="54"/>
      <c r="FK28" s="54"/>
      <c r="FL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/>
      <c r="EE30" s="54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4"/>
      <c r="FF30" s="54"/>
      <c r="FG30" s="54"/>
      <c r="FH30" s="54"/>
      <c r="FI30" s="54"/>
      <c r="FJ30" s="54"/>
      <c r="FK30" s="54"/>
      <c r="FL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4"/>
      <c r="DL31" s="54"/>
      <c r="DM31" s="54"/>
      <c r="DN31" s="54"/>
      <c r="DO31" s="54"/>
      <c r="DP31" s="54"/>
      <c r="DQ31" s="54"/>
      <c r="DR31" s="54"/>
      <c r="DS31" s="54"/>
      <c r="DT31" s="54"/>
      <c r="DU31" s="54"/>
      <c r="DV31" s="54"/>
      <c r="DW31" s="54"/>
      <c r="DX31" s="54"/>
      <c r="DY31" s="54"/>
      <c r="DZ31" s="54"/>
      <c r="EA31" s="54"/>
      <c r="EB31" s="54"/>
      <c r="EC31" s="54"/>
      <c r="ED31" s="54"/>
      <c r="EE31" s="54"/>
      <c r="EF31" s="54"/>
      <c r="EG31" s="54"/>
      <c r="EH31" s="54"/>
      <c r="EI31" s="54"/>
      <c r="EJ31" s="54"/>
      <c r="EK31" s="54"/>
      <c r="EL31" s="54"/>
      <c r="EM31" s="54"/>
      <c r="EN31" s="54"/>
      <c r="EO31" s="54"/>
      <c r="EP31" s="54"/>
      <c r="EQ31" s="54"/>
      <c r="ER31" s="54"/>
      <c r="ES31" s="54"/>
      <c r="ET31" s="54"/>
      <c r="EU31" s="54"/>
      <c r="EV31" s="54"/>
      <c r="EW31" s="54"/>
      <c r="EX31" s="54"/>
      <c r="EY31" s="54"/>
      <c r="EZ31" s="54"/>
      <c r="FA31" s="54"/>
      <c r="FB31" s="54"/>
      <c r="FC31" s="54"/>
      <c r="FD31" s="54"/>
      <c r="FE31" s="54"/>
      <c r="FF31" s="54"/>
      <c r="FG31" s="54"/>
      <c r="FH31" s="54"/>
      <c r="FI31" s="54"/>
      <c r="FJ31" s="54"/>
      <c r="FK31" s="54"/>
      <c r="FL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/>
      <c r="DX32" s="54"/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/>
      <c r="EL32" s="54"/>
      <c r="EM32" s="54"/>
      <c r="EN32" s="54"/>
      <c r="EO32" s="54"/>
      <c r="EP32" s="54"/>
      <c r="EQ32" s="54"/>
      <c r="ER32" s="54"/>
      <c r="ES32" s="54"/>
      <c r="ET32" s="54"/>
      <c r="EU32" s="54"/>
      <c r="EV32" s="54"/>
      <c r="EW32" s="54"/>
      <c r="EX32" s="54"/>
      <c r="EY32" s="54"/>
      <c r="EZ32" s="54"/>
      <c r="FA32" s="54"/>
      <c r="FB32" s="54"/>
      <c r="FC32" s="54"/>
      <c r="FD32" s="54"/>
      <c r="FE32" s="54"/>
      <c r="FF32" s="54"/>
      <c r="FG32" s="54"/>
      <c r="FH32" s="54"/>
      <c r="FI32" s="54"/>
      <c r="FJ32" s="54"/>
      <c r="FK32" s="54"/>
      <c r="FL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4"/>
      <c r="DL33" s="54"/>
      <c r="DM33" s="54"/>
      <c r="DN33" s="54"/>
      <c r="DO33" s="54"/>
      <c r="DP33" s="54"/>
      <c r="DQ33" s="54"/>
      <c r="DR33" s="54"/>
      <c r="DS33" s="54"/>
      <c r="DT33" s="54"/>
      <c r="DU33" s="54"/>
      <c r="DV33" s="54"/>
      <c r="DW33" s="54"/>
      <c r="DX33" s="54"/>
      <c r="DY33" s="54"/>
      <c r="DZ33" s="54"/>
      <c r="EA33" s="54"/>
      <c r="EB33" s="54"/>
      <c r="EC33" s="54"/>
      <c r="ED33" s="54"/>
      <c r="EE33" s="54"/>
      <c r="EF33" s="54"/>
      <c r="EG33" s="54"/>
      <c r="EH33" s="54"/>
      <c r="EI33" s="54"/>
      <c r="EJ33" s="54"/>
      <c r="EK33" s="54"/>
      <c r="EL33" s="54"/>
      <c r="EM33" s="54"/>
      <c r="EN33" s="54"/>
      <c r="EO33" s="54"/>
      <c r="EP33" s="54"/>
      <c r="EQ33" s="54"/>
      <c r="ER33" s="54"/>
      <c r="ES33" s="54"/>
      <c r="ET33" s="54"/>
      <c r="EU33" s="54"/>
      <c r="EV33" s="54"/>
      <c r="EW33" s="54"/>
      <c r="EX33" s="54"/>
      <c r="EY33" s="54"/>
      <c r="EZ33" s="54"/>
      <c r="FA33" s="54"/>
      <c r="FB33" s="54"/>
      <c r="FC33" s="54"/>
      <c r="FD33" s="54"/>
      <c r="FE33" s="54"/>
      <c r="FF33" s="54"/>
      <c r="FG33" s="54"/>
      <c r="FH33" s="54"/>
      <c r="FI33" s="54"/>
      <c r="FJ33" s="54"/>
      <c r="FK33" s="54"/>
      <c r="FL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4"/>
      <c r="EO35" s="54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4"/>
      <c r="FA35" s="54"/>
      <c r="FB35" s="54"/>
      <c r="FC35" s="54"/>
      <c r="FD35" s="54"/>
      <c r="FE35" s="54"/>
      <c r="FF35" s="54"/>
      <c r="FG35" s="54"/>
      <c r="FH35" s="54"/>
      <c r="FI35" s="54"/>
      <c r="FJ35" s="54"/>
      <c r="FK35" s="54"/>
      <c r="FL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  <c r="FK36" s="54"/>
      <c r="FL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  <c r="DN37" s="54"/>
      <c r="DO37" s="54"/>
      <c r="DP37" s="54"/>
      <c r="DQ37" s="54"/>
      <c r="DR37" s="54"/>
      <c r="DS37" s="54"/>
      <c r="DT37" s="54"/>
      <c r="DU37" s="54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  <c r="FI37" s="54"/>
      <c r="FJ37" s="54"/>
      <c r="FK37" s="54"/>
      <c r="FL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4"/>
      <c r="EO38" s="54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4"/>
      <c r="FA38" s="54"/>
      <c r="FB38" s="54"/>
      <c r="FC38" s="54"/>
      <c r="FD38" s="54"/>
      <c r="FE38" s="54"/>
      <c r="FF38" s="54"/>
      <c r="FG38" s="54"/>
      <c r="FH38" s="54"/>
      <c r="FI38" s="54"/>
      <c r="FJ38" s="54"/>
      <c r="FK38" s="54"/>
      <c r="FL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  <c r="FK39" s="54"/>
      <c r="FL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4"/>
      <c r="EO40" s="54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4"/>
      <c r="FA40" s="54"/>
      <c r="FB40" s="54"/>
      <c r="FC40" s="54"/>
      <c r="FD40" s="54"/>
      <c r="FE40" s="54"/>
      <c r="FF40" s="54"/>
      <c r="FG40" s="54"/>
      <c r="FH40" s="54"/>
      <c r="FI40" s="54"/>
      <c r="FJ40" s="54"/>
      <c r="FK40" s="54"/>
      <c r="FL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54"/>
      <c r="EM41" s="54"/>
      <c r="EN41" s="54"/>
      <c r="EO41" s="54"/>
      <c r="EP41" s="54"/>
      <c r="EQ41" s="54"/>
      <c r="ER41" s="54"/>
      <c r="ES41" s="54"/>
      <c r="ET41" s="54"/>
      <c r="EU41" s="54"/>
      <c r="EV41" s="54"/>
      <c r="EW41" s="54"/>
      <c r="EX41" s="54"/>
      <c r="EY41" s="54"/>
      <c r="EZ41" s="54"/>
      <c r="FA41" s="54"/>
      <c r="FB41" s="54"/>
      <c r="FC41" s="54"/>
      <c r="FD41" s="54"/>
      <c r="FE41" s="54"/>
      <c r="FF41" s="54"/>
      <c r="FG41" s="54"/>
      <c r="FH41" s="54"/>
      <c r="FI41" s="54"/>
      <c r="FJ41" s="54"/>
      <c r="FK41" s="54"/>
      <c r="FL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4"/>
      <c r="EO42" s="54"/>
      <c r="EP42" s="54"/>
      <c r="EQ42" s="54"/>
      <c r="ER42" s="54"/>
      <c r="ES42" s="54"/>
      <c r="ET42" s="54"/>
      <c r="EU42" s="54"/>
      <c r="EV42" s="54"/>
      <c r="EW42" s="54"/>
      <c r="EX42" s="54"/>
      <c r="EY42" s="54"/>
      <c r="EZ42" s="54"/>
      <c r="FA42" s="54"/>
      <c r="FB42" s="54"/>
      <c r="FC42" s="54"/>
      <c r="FD42" s="54"/>
      <c r="FE42" s="54"/>
      <c r="FF42" s="54"/>
      <c r="FG42" s="54"/>
      <c r="FH42" s="54"/>
      <c r="FI42" s="54"/>
      <c r="FJ42" s="54"/>
      <c r="FK42" s="54"/>
      <c r="FL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54"/>
      <c r="EM43" s="54"/>
      <c r="EN43" s="54"/>
      <c r="EO43" s="54"/>
      <c r="EP43" s="54"/>
      <c r="EQ43" s="54"/>
      <c r="ER43" s="54"/>
      <c r="ES43" s="54"/>
      <c r="ET43" s="54"/>
      <c r="EU43" s="54"/>
      <c r="EV43" s="54"/>
      <c r="EW43" s="54"/>
      <c r="EX43" s="54"/>
      <c r="EY43" s="54"/>
      <c r="EZ43" s="54"/>
      <c r="FA43" s="54"/>
      <c r="FB43" s="54"/>
      <c r="FC43" s="54"/>
      <c r="FD43" s="54"/>
      <c r="FE43" s="54"/>
      <c r="FF43" s="54"/>
      <c r="FG43" s="54"/>
      <c r="FH43" s="54"/>
      <c r="FI43" s="54"/>
      <c r="FJ43" s="54"/>
      <c r="FK43" s="54"/>
      <c r="FL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  <c r="FK44" s="54"/>
      <c r="FL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  <c r="EF45" s="54"/>
      <c r="EG45" s="54"/>
      <c r="EH45" s="54"/>
      <c r="EI45" s="54"/>
      <c r="EJ45" s="54"/>
      <c r="EK45" s="54"/>
      <c r="EL45" s="54"/>
      <c r="EM45" s="54"/>
      <c r="EN45" s="54"/>
      <c r="EO45" s="54"/>
      <c r="EP45" s="54"/>
      <c r="EQ45" s="54"/>
      <c r="ER45" s="54"/>
      <c r="ES45" s="54"/>
      <c r="ET45" s="54"/>
      <c r="EU45" s="54"/>
      <c r="EV45" s="54"/>
      <c r="EW45" s="54"/>
      <c r="EX45" s="54"/>
      <c r="EY45" s="54"/>
      <c r="EZ45" s="54"/>
      <c r="FA45" s="54"/>
      <c r="FB45" s="54"/>
      <c r="FC45" s="54"/>
      <c r="FD45" s="54"/>
      <c r="FE45" s="54"/>
      <c r="FF45" s="54"/>
      <c r="FG45" s="54"/>
      <c r="FH45" s="54"/>
      <c r="FI45" s="54"/>
      <c r="FJ45" s="54"/>
      <c r="FK45" s="54"/>
      <c r="FL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  <c r="EH46" s="54"/>
      <c r="EI46" s="54"/>
      <c r="EJ46" s="54"/>
      <c r="EK46" s="54"/>
      <c r="EL46" s="54"/>
      <c r="EM46" s="54"/>
      <c r="EN46" s="54"/>
      <c r="EO46" s="54"/>
      <c r="EP46" s="54"/>
      <c r="EQ46" s="54"/>
      <c r="ER46" s="54"/>
      <c r="ES46" s="54"/>
      <c r="ET46" s="54"/>
      <c r="EU46" s="54"/>
      <c r="EV46" s="54"/>
      <c r="EW46" s="54"/>
      <c r="EX46" s="54"/>
      <c r="EY46" s="54"/>
      <c r="EZ46" s="54"/>
      <c r="FA46" s="54"/>
      <c r="FB46" s="54"/>
      <c r="FC46" s="54"/>
      <c r="FD46" s="54"/>
      <c r="FE46" s="54"/>
      <c r="FF46" s="54"/>
      <c r="FG46" s="54"/>
      <c r="FH46" s="54"/>
      <c r="FI46" s="54"/>
      <c r="FJ46" s="54"/>
      <c r="FK46" s="54"/>
      <c r="FL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  <c r="EF47" s="54"/>
      <c r="EG47" s="54"/>
      <c r="EH47" s="54"/>
      <c r="EI47" s="54"/>
      <c r="EJ47" s="54"/>
      <c r="EK47" s="54"/>
      <c r="EL47" s="54"/>
      <c r="EM47" s="54"/>
      <c r="EN47" s="54"/>
      <c r="EO47" s="54"/>
      <c r="EP47" s="54"/>
      <c r="EQ47" s="54"/>
      <c r="ER47" s="54"/>
      <c r="ES47" s="54"/>
      <c r="ET47" s="54"/>
      <c r="EU47" s="54"/>
      <c r="EV47" s="54"/>
      <c r="EW47" s="54"/>
      <c r="EX47" s="54"/>
      <c r="EY47" s="54"/>
      <c r="EZ47" s="54"/>
      <c r="FA47" s="54"/>
      <c r="FB47" s="54"/>
      <c r="FC47" s="54"/>
      <c r="FD47" s="54"/>
      <c r="FE47" s="54"/>
      <c r="FF47" s="54"/>
      <c r="FG47" s="54"/>
      <c r="FH47" s="54"/>
      <c r="FI47" s="54"/>
      <c r="FJ47" s="54"/>
      <c r="FK47" s="54"/>
      <c r="FL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54"/>
      <c r="EM48" s="54"/>
      <c r="EN48" s="54"/>
      <c r="EO48" s="54"/>
      <c r="EP48" s="54"/>
      <c r="EQ48" s="54"/>
      <c r="ER48" s="54"/>
      <c r="ES48" s="54"/>
      <c r="ET48" s="54"/>
      <c r="EU48" s="54"/>
      <c r="EV48" s="54"/>
      <c r="EW48" s="54"/>
      <c r="EX48" s="54"/>
      <c r="EY48" s="54"/>
      <c r="EZ48" s="54"/>
      <c r="FA48" s="54"/>
      <c r="FB48" s="54"/>
      <c r="FC48" s="54"/>
      <c r="FD48" s="54"/>
      <c r="FE48" s="54"/>
      <c r="FF48" s="54"/>
      <c r="FG48" s="54"/>
      <c r="FH48" s="54"/>
      <c r="FI48" s="54"/>
      <c r="FJ48" s="54"/>
      <c r="FK48" s="54"/>
      <c r="FL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4"/>
      <c r="EJ49" s="54"/>
      <c r="EK49" s="54"/>
      <c r="EL49" s="54"/>
      <c r="EM49" s="54"/>
      <c r="EN49" s="54"/>
      <c r="EO49" s="54"/>
      <c r="EP49" s="54"/>
      <c r="EQ49" s="54"/>
      <c r="ER49" s="54"/>
      <c r="ES49" s="54"/>
      <c r="ET49" s="54"/>
      <c r="EU49" s="54"/>
      <c r="EV49" s="54"/>
      <c r="EW49" s="54"/>
      <c r="EX49" s="54"/>
      <c r="EY49" s="54"/>
      <c r="EZ49" s="54"/>
      <c r="FA49" s="54"/>
      <c r="FB49" s="54"/>
      <c r="FC49" s="54"/>
      <c r="FD49" s="54"/>
      <c r="FE49" s="54"/>
      <c r="FF49" s="54"/>
      <c r="FG49" s="54"/>
      <c r="FH49" s="54"/>
      <c r="FI49" s="54"/>
      <c r="FJ49" s="54"/>
      <c r="FK49" s="54"/>
      <c r="FL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4"/>
      <c r="EH50" s="54"/>
      <c r="EI50" s="54"/>
      <c r="EJ50" s="54"/>
      <c r="EK50" s="54"/>
      <c r="EL50" s="54"/>
      <c r="EM50" s="54"/>
      <c r="EN50" s="54"/>
      <c r="EO50" s="54"/>
      <c r="EP50" s="54"/>
      <c r="EQ50" s="54"/>
      <c r="ER50" s="54"/>
      <c r="ES50" s="54"/>
      <c r="ET50" s="54"/>
      <c r="EU50" s="54"/>
      <c r="EV50" s="54"/>
      <c r="EW50" s="54"/>
      <c r="EX50" s="54"/>
      <c r="EY50" s="54"/>
      <c r="EZ50" s="54"/>
      <c r="FA50" s="54"/>
      <c r="FB50" s="54"/>
      <c r="FC50" s="54"/>
      <c r="FD50" s="54"/>
      <c r="FE50" s="54"/>
      <c r="FF50" s="54"/>
      <c r="FG50" s="54"/>
      <c r="FH50" s="54"/>
      <c r="FI50" s="54"/>
      <c r="FJ50" s="54"/>
      <c r="FK50" s="54"/>
      <c r="FL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4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4"/>
      <c r="EJ51" s="54"/>
      <c r="EK51" s="54"/>
      <c r="EL51" s="54"/>
      <c r="EM51" s="54"/>
      <c r="EN51" s="54"/>
      <c r="EO51" s="54"/>
      <c r="EP51" s="54"/>
      <c r="EQ51" s="54"/>
      <c r="ER51" s="54"/>
      <c r="ES51" s="54"/>
      <c r="ET51" s="54"/>
      <c r="EU51" s="54"/>
      <c r="EV51" s="54"/>
      <c r="EW51" s="54"/>
      <c r="EX51" s="54"/>
      <c r="EY51" s="54"/>
      <c r="EZ51" s="54"/>
      <c r="FA51" s="54"/>
      <c r="FB51" s="54"/>
      <c r="FC51" s="54"/>
      <c r="FD51" s="54"/>
      <c r="FE51" s="54"/>
      <c r="FF51" s="54"/>
      <c r="FG51" s="54"/>
      <c r="FH51" s="54"/>
      <c r="FI51" s="54"/>
      <c r="FJ51" s="54"/>
      <c r="FK51" s="54"/>
      <c r="FL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54"/>
      <c r="EM52" s="54"/>
      <c r="EN52" s="54"/>
      <c r="EO52" s="54"/>
      <c r="EP52" s="54"/>
      <c r="EQ52" s="54"/>
      <c r="ER52" s="54"/>
      <c r="ES52" s="54"/>
      <c r="ET52" s="54"/>
      <c r="EU52" s="54"/>
      <c r="EV52" s="54"/>
      <c r="EW52" s="54"/>
      <c r="EX52" s="54"/>
      <c r="EY52" s="54"/>
      <c r="EZ52" s="54"/>
      <c r="FA52" s="54"/>
      <c r="FB52" s="54"/>
      <c r="FC52" s="54"/>
      <c r="FD52" s="54"/>
      <c r="FE52" s="54"/>
      <c r="FF52" s="54"/>
      <c r="FG52" s="54"/>
      <c r="FH52" s="54"/>
      <c r="FI52" s="54"/>
      <c r="FJ52" s="54"/>
      <c r="FK52" s="54"/>
      <c r="FL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  <c r="DK53" s="54"/>
      <c r="DL53" s="54"/>
      <c r="DM53" s="54"/>
      <c r="DN53" s="54"/>
      <c r="DO53" s="54"/>
      <c r="DP53" s="54"/>
      <c r="DQ53" s="54"/>
      <c r="DR53" s="54"/>
      <c r="DS53" s="54"/>
      <c r="DT53" s="54"/>
      <c r="DU53" s="54"/>
      <c r="DV53" s="54"/>
      <c r="DW53" s="54"/>
      <c r="DX53" s="54"/>
      <c r="DY53" s="54"/>
      <c r="DZ53" s="54"/>
      <c r="EA53" s="54"/>
      <c r="EB53" s="54"/>
      <c r="EC53" s="54"/>
      <c r="ED53" s="54"/>
      <c r="EE53" s="54"/>
      <c r="EF53" s="54"/>
      <c r="EG53" s="54"/>
      <c r="EH53" s="54"/>
      <c r="EI53" s="54"/>
      <c r="EJ53" s="54"/>
      <c r="EK53" s="54"/>
      <c r="EL53" s="54"/>
      <c r="EM53" s="54"/>
      <c r="EN53" s="54"/>
      <c r="EO53" s="54"/>
      <c r="EP53" s="54"/>
      <c r="EQ53" s="54"/>
      <c r="ER53" s="54"/>
      <c r="ES53" s="54"/>
      <c r="ET53" s="54"/>
      <c r="EU53" s="54"/>
      <c r="EV53" s="54"/>
      <c r="EW53" s="54"/>
      <c r="EX53" s="54"/>
      <c r="EY53" s="54"/>
      <c r="EZ53" s="54"/>
      <c r="FA53" s="54"/>
      <c r="FB53" s="54"/>
      <c r="FC53" s="54"/>
      <c r="FD53" s="54"/>
      <c r="FE53" s="54"/>
      <c r="FF53" s="54"/>
      <c r="FG53" s="54"/>
      <c r="FH53" s="54"/>
      <c r="FI53" s="54"/>
      <c r="FJ53" s="54"/>
      <c r="FK53" s="54"/>
      <c r="FL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  <c r="DK54" s="54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4"/>
      <c r="DW54" s="54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4"/>
      <c r="EI54" s="54"/>
      <c r="EJ54" s="54"/>
      <c r="EK54" s="54"/>
      <c r="EL54" s="54"/>
      <c r="EM54" s="54"/>
      <c r="EN54" s="54"/>
      <c r="EO54" s="54"/>
      <c r="EP54" s="54"/>
      <c r="EQ54" s="54"/>
      <c r="ER54" s="54"/>
      <c r="ES54" s="54"/>
      <c r="ET54" s="54"/>
      <c r="EU54" s="54"/>
      <c r="EV54" s="54"/>
      <c r="EW54" s="54"/>
      <c r="EX54" s="54"/>
      <c r="EY54" s="54"/>
      <c r="EZ54" s="54"/>
      <c r="FA54" s="54"/>
      <c r="FB54" s="54"/>
      <c r="FC54" s="54"/>
      <c r="FD54" s="54"/>
      <c r="FE54" s="54"/>
      <c r="FF54" s="54"/>
      <c r="FG54" s="54"/>
      <c r="FH54" s="54"/>
      <c r="FI54" s="54"/>
      <c r="FJ54" s="54"/>
      <c r="FK54" s="54"/>
      <c r="FL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  <c r="DK55" s="54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4"/>
      <c r="DW55" s="54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4"/>
      <c r="EI55" s="54"/>
      <c r="EJ55" s="54"/>
      <c r="EK55" s="54"/>
      <c r="EL55" s="54"/>
      <c r="EM55" s="54"/>
      <c r="EN55" s="54"/>
      <c r="EO55" s="54"/>
      <c r="EP55" s="54"/>
      <c r="EQ55" s="54"/>
      <c r="ER55" s="54"/>
      <c r="ES55" s="54"/>
      <c r="ET55" s="54"/>
      <c r="EU55" s="54"/>
      <c r="EV55" s="54"/>
      <c r="EW55" s="54"/>
      <c r="EX55" s="54"/>
      <c r="EY55" s="54"/>
      <c r="EZ55" s="54"/>
      <c r="FA55" s="54"/>
      <c r="FB55" s="54"/>
      <c r="FC55" s="54"/>
      <c r="FD55" s="54"/>
      <c r="FE55" s="54"/>
      <c r="FF55" s="54"/>
      <c r="FG55" s="54"/>
      <c r="FH55" s="54"/>
      <c r="FI55" s="54"/>
      <c r="FJ55" s="54"/>
      <c r="FK55" s="54"/>
      <c r="FL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54"/>
      <c r="EM56" s="54"/>
      <c r="EN56" s="54"/>
      <c r="EO56" s="54"/>
      <c r="EP56" s="54"/>
      <c r="EQ56" s="54"/>
      <c r="ER56" s="54"/>
      <c r="ES56" s="54"/>
      <c r="ET56" s="54"/>
      <c r="EU56" s="54"/>
      <c r="EV56" s="54"/>
      <c r="EW56" s="54"/>
      <c r="EX56" s="54"/>
      <c r="EY56" s="54"/>
      <c r="EZ56" s="54"/>
      <c r="FA56" s="54"/>
      <c r="FB56" s="54"/>
      <c r="FC56" s="54"/>
      <c r="FD56" s="54"/>
      <c r="FE56" s="54"/>
      <c r="FF56" s="54"/>
      <c r="FG56" s="54"/>
      <c r="FH56" s="54"/>
      <c r="FI56" s="54"/>
      <c r="FJ56" s="54"/>
      <c r="FK56" s="54"/>
      <c r="FL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4"/>
      <c r="EC57" s="54"/>
      <c r="ED57" s="54"/>
      <c r="EE57" s="54"/>
      <c r="EF57" s="54"/>
      <c r="EG57" s="54"/>
      <c r="EH57" s="54"/>
      <c r="EI57" s="54"/>
      <c r="EJ57" s="54"/>
      <c r="EK57" s="54"/>
      <c r="EL57" s="54"/>
      <c r="EM57" s="54"/>
      <c r="EN57" s="54"/>
      <c r="EO57" s="54"/>
      <c r="EP57" s="54"/>
      <c r="EQ57" s="54"/>
      <c r="ER57" s="54"/>
      <c r="ES57" s="54"/>
      <c r="ET57" s="54"/>
      <c r="EU57" s="54"/>
      <c r="EV57" s="54"/>
      <c r="EW57" s="54"/>
      <c r="EX57" s="54"/>
      <c r="EY57" s="54"/>
      <c r="EZ57" s="54"/>
      <c r="FA57" s="54"/>
      <c r="FB57" s="54"/>
      <c r="FC57" s="54"/>
      <c r="FD57" s="54"/>
      <c r="FE57" s="54"/>
      <c r="FF57" s="54"/>
      <c r="FG57" s="54"/>
      <c r="FH57" s="54"/>
      <c r="FI57" s="54"/>
      <c r="FJ57" s="54"/>
      <c r="FK57" s="54"/>
      <c r="FL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  <c r="DK58" s="54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4"/>
      <c r="DW58" s="54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4"/>
      <c r="EI58" s="54"/>
      <c r="EJ58" s="54"/>
      <c r="EK58" s="54"/>
      <c r="EL58" s="54"/>
      <c r="EM58" s="54"/>
      <c r="EN58" s="54"/>
      <c r="EO58" s="54"/>
      <c r="EP58" s="54"/>
      <c r="EQ58" s="54"/>
      <c r="ER58" s="54"/>
      <c r="ES58" s="54"/>
      <c r="ET58" s="54"/>
      <c r="EU58" s="54"/>
      <c r="EV58" s="54"/>
      <c r="EW58" s="54"/>
      <c r="EX58" s="54"/>
      <c r="EY58" s="54"/>
      <c r="EZ58" s="54"/>
      <c r="FA58" s="54"/>
      <c r="FB58" s="54"/>
      <c r="FC58" s="54"/>
      <c r="FD58" s="54"/>
      <c r="FE58" s="54"/>
      <c r="FF58" s="54"/>
      <c r="FG58" s="54"/>
      <c r="FH58" s="54"/>
      <c r="FI58" s="54"/>
      <c r="FJ58" s="54"/>
      <c r="FK58" s="54"/>
      <c r="FL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  <c r="DK59" s="54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4"/>
      <c r="DW59" s="54"/>
      <c r="DX59" s="54"/>
      <c r="DY59" s="54"/>
      <c r="DZ59" s="54"/>
      <c r="EA59" s="54"/>
      <c r="EB59" s="54"/>
      <c r="EC59" s="54"/>
      <c r="ED59" s="54"/>
      <c r="EE59" s="54"/>
      <c r="EF59" s="54"/>
      <c r="EG59" s="54"/>
      <c r="EH59" s="54"/>
      <c r="EI59" s="54"/>
      <c r="EJ59" s="54"/>
      <c r="EK59" s="54"/>
      <c r="EL59" s="54"/>
      <c r="EM59" s="54"/>
      <c r="EN59" s="54"/>
      <c r="EO59" s="54"/>
      <c r="EP59" s="54"/>
      <c r="EQ59" s="54"/>
      <c r="ER59" s="54"/>
      <c r="ES59" s="54"/>
      <c r="ET59" s="54"/>
      <c r="EU59" s="54"/>
      <c r="EV59" s="54"/>
      <c r="EW59" s="54"/>
      <c r="EX59" s="54"/>
      <c r="EY59" s="54"/>
      <c r="EZ59" s="54"/>
      <c r="FA59" s="54"/>
      <c r="FB59" s="54"/>
      <c r="FC59" s="54"/>
      <c r="FD59" s="54"/>
      <c r="FE59" s="54"/>
      <c r="FF59" s="54"/>
      <c r="FG59" s="54"/>
      <c r="FH59" s="54"/>
      <c r="FI59" s="54"/>
      <c r="FJ59" s="54"/>
      <c r="FK59" s="54"/>
      <c r="FL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54"/>
      <c r="EM60" s="54"/>
      <c r="EN60" s="54"/>
      <c r="EO60" s="54"/>
      <c r="EP60" s="54"/>
      <c r="EQ60" s="54"/>
      <c r="ER60" s="54"/>
      <c r="ES60" s="54"/>
      <c r="ET60" s="54"/>
      <c r="EU60" s="54"/>
      <c r="EV60" s="54"/>
      <c r="EW60" s="54"/>
      <c r="EX60" s="54"/>
      <c r="EY60" s="54"/>
      <c r="EZ60" s="54"/>
      <c r="FA60" s="54"/>
      <c r="FB60" s="54"/>
      <c r="FC60" s="54"/>
      <c r="FD60" s="54"/>
      <c r="FE60" s="54"/>
      <c r="FF60" s="54"/>
      <c r="FG60" s="54"/>
      <c r="FH60" s="54"/>
      <c r="FI60" s="54"/>
      <c r="FJ60" s="54"/>
      <c r="FK60" s="54"/>
      <c r="FL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  <c r="DH61" s="54"/>
      <c r="DI61" s="54"/>
      <c r="DJ61" s="54"/>
      <c r="DK61" s="54"/>
      <c r="DL61" s="54"/>
      <c r="DM61" s="54"/>
      <c r="DN61" s="54"/>
      <c r="DO61" s="54"/>
      <c r="DP61" s="54"/>
      <c r="DQ61" s="54"/>
      <c r="DR61" s="54"/>
      <c r="DS61" s="54"/>
      <c r="DT61" s="54"/>
      <c r="DU61" s="54"/>
      <c r="DV61" s="54"/>
      <c r="DW61" s="54"/>
      <c r="DX61" s="54"/>
      <c r="DY61" s="54"/>
      <c r="DZ61" s="54"/>
      <c r="EA61" s="54"/>
      <c r="EB61" s="54"/>
      <c r="EC61" s="54"/>
      <c r="ED61" s="54"/>
      <c r="EE61" s="54"/>
      <c r="EF61" s="54"/>
      <c r="EG61" s="54"/>
      <c r="EH61" s="54"/>
      <c r="EI61" s="54"/>
      <c r="EJ61" s="54"/>
      <c r="EK61" s="54"/>
      <c r="EL61" s="54"/>
      <c r="EM61" s="54"/>
      <c r="EN61" s="54"/>
      <c r="EO61" s="54"/>
      <c r="EP61" s="54"/>
      <c r="EQ61" s="54"/>
      <c r="ER61" s="54"/>
      <c r="ES61" s="54"/>
      <c r="ET61" s="54"/>
      <c r="EU61" s="54"/>
      <c r="EV61" s="54"/>
      <c r="EW61" s="54"/>
      <c r="EX61" s="54"/>
      <c r="EY61" s="54"/>
      <c r="EZ61" s="54"/>
      <c r="FA61" s="54"/>
      <c r="FB61" s="54"/>
      <c r="FC61" s="54"/>
      <c r="FD61" s="54"/>
      <c r="FE61" s="54"/>
      <c r="FF61" s="54"/>
      <c r="FG61" s="54"/>
      <c r="FH61" s="54"/>
      <c r="FI61" s="54"/>
      <c r="FJ61" s="54"/>
      <c r="FK61" s="54"/>
      <c r="FL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4"/>
      <c r="DK62" s="54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4"/>
      <c r="DW62" s="54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4"/>
      <c r="EI62" s="54"/>
      <c r="EJ62" s="54"/>
      <c r="EK62" s="54"/>
      <c r="EL62" s="54"/>
      <c r="EM62" s="54"/>
      <c r="EN62" s="54"/>
      <c r="EO62" s="54"/>
      <c r="EP62" s="54"/>
      <c r="EQ62" s="54"/>
      <c r="ER62" s="54"/>
      <c r="ES62" s="54"/>
      <c r="ET62" s="54"/>
      <c r="EU62" s="54"/>
      <c r="EV62" s="54"/>
      <c r="EW62" s="54"/>
      <c r="EX62" s="54"/>
      <c r="EY62" s="54"/>
      <c r="EZ62" s="54"/>
      <c r="FA62" s="54"/>
      <c r="FB62" s="54"/>
      <c r="FC62" s="54"/>
      <c r="FD62" s="54"/>
      <c r="FE62" s="54"/>
      <c r="FF62" s="54"/>
      <c r="FG62" s="54"/>
      <c r="FH62" s="54"/>
      <c r="FI62" s="54"/>
      <c r="FJ62" s="54"/>
      <c r="FK62" s="54"/>
      <c r="FL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C63" s="54"/>
      <c r="DD63" s="54"/>
      <c r="DE63" s="54"/>
      <c r="DF63" s="54"/>
      <c r="DG63" s="54"/>
      <c r="DH63" s="54"/>
      <c r="DI63" s="54"/>
      <c r="DJ63" s="54"/>
      <c r="DK63" s="54"/>
      <c r="DL63" s="54"/>
      <c r="DM63" s="54"/>
      <c r="DN63" s="54"/>
      <c r="DO63" s="54"/>
      <c r="DP63" s="54"/>
      <c r="DQ63" s="54"/>
      <c r="DR63" s="54"/>
      <c r="DS63" s="54"/>
      <c r="DT63" s="54"/>
      <c r="DU63" s="54"/>
      <c r="DV63" s="54"/>
      <c r="DW63" s="54"/>
      <c r="DX63" s="54"/>
      <c r="DY63" s="54"/>
      <c r="DZ63" s="54"/>
      <c r="EA63" s="54"/>
      <c r="EB63" s="54"/>
      <c r="EC63" s="54"/>
      <c r="ED63" s="54"/>
      <c r="EE63" s="54"/>
      <c r="EF63" s="54"/>
      <c r="EG63" s="54"/>
      <c r="EH63" s="54"/>
      <c r="EI63" s="54"/>
      <c r="EJ63" s="54"/>
      <c r="EK63" s="54"/>
      <c r="EL63" s="54"/>
      <c r="EM63" s="54"/>
      <c r="EN63" s="54"/>
      <c r="EO63" s="54"/>
      <c r="EP63" s="54"/>
      <c r="EQ63" s="54"/>
      <c r="ER63" s="54"/>
      <c r="ES63" s="54"/>
      <c r="ET63" s="54"/>
      <c r="EU63" s="54"/>
      <c r="EV63" s="54"/>
      <c r="EW63" s="54"/>
      <c r="EX63" s="54"/>
      <c r="EY63" s="54"/>
      <c r="EZ63" s="54"/>
      <c r="FA63" s="54"/>
      <c r="FB63" s="54"/>
      <c r="FC63" s="54"/>
      <c r="FD63" s="54"/>
      <c r="FE63" s="54"/>
      <c r="FF63" s="54"/>
      <c r="FG63" s="54"/>
      <c r="FH63" s="54"/>
      <c r="FI63" s="54"/>
      <c r="FJ63" s="54"/>
      <c r="FK63" s="54"/>
      <c r="FL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54"/>
      <c r="EM64" s="54"/>
      <c r="EN64" s="54"/>
      <c r="EO64" s="54"/>
      <c r="EP64" s="54"/>
      <c r="EQ64" s="54"/>
      <c r="ER64" s="54"/>
      <c r="ES64" s="54"/>
      <c r="ET64" s="54"/>
      <c r="EU64" s="54"/>
      <c r="EV64" s="54"/>
      <c r="EW64" s="54"/>
      <c r="EX64" s="54"/>
      <c r="EY64" s="54"/>
      <c r="EZ64" s="54"/>
      <c r="FA64" s="54"/>
      <c r="FB64" s="54"/>
      <c r="FC64" s="54"/>
      <c r="FD64" s="54"/>
      <c r="FE64" s="54"/>
      <c r="FF64" s="54"/>
      <c r="FG64" s="54"/>
      <c r="FH64" s="54"/>
      <c r="FI64" s="54"/>
      <c r="FJ64" s="54"/>
      <c r="FK64" s="54"/>
      <c r="FL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  <c r="DH65" s="54"/>
      <c r="DI65" s="54"/>
      <c r="DJ65" s="54"/>
      <c r="DK65" s="54"/>
      <c r="DL65" s="54"/>
      <c r="DM65" s="54"/>
      <c r="DN65" s="54"/>
      <c r="DO65" s="54"/>
      <c r="DP65" s="54"/>
      <c r="DQ65" s="54"/>
      <c r="DR65" s="54"/>
      <c r="DS65" s="54"/>
      <c r="DT65" s="54"/>
      <c r="DU65" s="54"/>
      <c r="DV65" s="54"/>
      <c r="DW65" s="54"/>
      <c r="DX65" s="54"/>
      <c r="DY65" s="54"/>
      <c r="DZ65" s="54"/>
      <c r="EA65" s="54"/>
      <c r="EB65" s="54"/>
      <c r="EC65" s="54"/>
      <c r="ED65" s="54"/>
      <c r="EE65" s="54"/>
      <c r="EF65" s="54"/>
      <c r="EG65" s="54"/>
      <c r="EH65" s="54"/>
      <c r="EI65" s="54"/>
      <c r="EJ65" s="54"/>
      <c r="EK65" s="54"/>
      <c r="EL65" s="54"/>
      <c r="EM65" s="54"/>
      <c r="EN65" s="54"/>
      <c r="EO65" s="54"/>
      <c r="EP65" s="54"/>
      <c r="EQ65" s="54"/>
      <c r="ER65" s="54"/>
      <c r="ES65" s="54"/>
      <c r="ET65" s="54"/>
      <c r="EU65" s="54"/>
      <c r="EV65" s="54"/>
      <c r="EW65" s="54"/>
      <c r="EX65" s="54"/>
      <c r="EY65" s="54"/>
      <c r="EZ65" s="54"/>
      <c r="FA65" s="54"/>
      <c r="FB65" s="54"/>
      <c r="FC65" s="54"/>
      <c r="FD65" s="54"/>
      <c r="FE65" s="54"/>
      <c r="FF65" s="54"/>
      <c r="FG65" s="54"/>
      <c r="FH65" s="54"/>
      <c r="FI65" s="54"/>
      <c r="FJ65" s="54"/>
      <c r="FK65" s="54"/>
      <c r="FL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4"/>
      <c r="EC69" s="54"/>
      <c r="ED69" s="54"/>
      <c r="EE69" s="54"/>
      <c r="EF69" s="54"/>
      <c r="EG69" s="54"/>
      <c r="EH69" s="54"/>
      <c r="EI69" s="54"/>
      <c r="EJ69" s="54"/>
      <c r="EK69" s="54"/>
      <c r="EL69" s="54"/>
      <c r="EM69" s="54"/>
      <c r="EN69" s="54"/>
      <c r="EO69" s="54"/>
      <c r="EP69" s="54"/>
      <c r="EQ69" s="54"/>
      <c r="ER69" s="54"/>
      <c r="ES69" s="54"/>
      <c r="ET69" s="54"/>
      <c r="EU69" s="54"/>
      <c r="EV69" s="54"/>
      <c r="EW69" s="54"/>
      <c r="EX69" s="54"/>
      <c r="EY69" s="54"/>
      <c r="EZ69" s="54"/>
      <c r="FA69" s="54"/>
      <c r="FB69" s="54"/>
      <c r="FC69" s="54"/>
      <c r="FD69" s="54"/>
      <c r="FE69" s="54"/>
      <c r="FF69" s="54"/>
      <c r="FG69" s="54"/>
      <c r="FH69" s="54"/>
      <c r="FI69" s="54"/>
      <c r="FJ69" s="54"/>
      <c r="FK69" s="54"/>
      <c r="FL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4"/>
      <c r="DK70" s="54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4"/>
      <c r="DW70" s="54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4"/>
      <c r="EI70" s="54"/>
      <c r="EJ70" s="54"/>
      <c r="EK70" s="54"/>
      <c r="EL70" s="54"/>
      <c r="EM70" s="54"/>
      <c r="EN70" s="54"/>
      <c r="EO70" s="54"/>
      <c r="EP70" s="54"/>
      <c r="EQ70" s="54"/>
      <c r="ER70" s="54"/>
      <c r="ES70" s="54"/>
      <c r="ET70" s="54"/>
      <c r="EU70" s="54"/>
      <c r="EV70" s="54"/>
      <c r="EW70" s="54"/>
      <c r="EX70" s="54"/>
      <c r="EY70" s="54"/>
      <c r="EZ70" s="54"/>
      <c r="FA70" s="54"/>
      <c r="FB70" s="54"/>
      <c r="FC70" s="54"/>
      <c r="FD70" s="54"/>
      <c r="FE70" s="54"/>
      <c r="FF70" s="54"/>
      <c r="FG70" s="54"/>
      <c r="FH70" s="54"/>
      <c r="FI70" s="54"/>
      <c r="FJ70" s="54"/>
      <c r="FK70" s="54"/>
      <c r="FL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4"/>
      <c r="DE71" s="54"/>
      <c r="DF71" s="54"/>
      <c r="DG71" s="54"/>
      <c r="DH71" s="54"/>
      <c r="DI71" s="54"/>
      <c r="DJ71" s="54"/>
      <c r="DK71" s="54"/>
      <c r="DL71" s="54"/>
      <c r="DM71" s="54"/>
      <c r="DN71" s="54"/>
      <c r="DO71" s="54"/>
      <c r="DP71" s="54"/>
      <c r="DQ71" s="54"/>
      <c r="DR71" s="54"/>
      <c r="DS71" s="54"/>
      <c r="DT71" s="54"/>
      <c r="DU71" s="54"/>
      <c r="DV71" s="54"/>
      <c r="DW71" s="54"/>
      <c r="DX71" s="54"/>
      <c r="DY71" s="54"/>
      <c r="DZ71" s="54"/>
      <c r="EA71" s="54"/>
      <c r="EB71" s="54"/>
      <c r="EC71" s="54"/>
      <c r="ED71" s="54"/>
      <c r="EE71" s="54"/>
      <c r="EF71" s="54"/>
      <c r="EG71" s="54"/>
      <c r="EH71" s="54"/>
      <c r="EI71" s="54"/>
      <c r="EJ71" s="54"/>
      <c r="EK71" s="54"/>
      <c r="EL71" s="54"/>
      <c r="EM71" s="54"/>
      <c r="EN71" s="54"/>
      <c r="EO71" s="54"/>
      <c r="EP71" s="54"/>
      <c r="EQ71" s="54"/>
      <c r="ER71" s="54"/>
      <c r="ES71" s="54"/>
      <c r="ET71" s="54"/>
      <c r="EU71" s="54"/>
      <c r="EV71" s="54"/>
      <c r="EW71" s="54"/>
      <c r="EX71" s="54"/>
      <c r="EY71" s="54"/>
      <c r="EZ71" s="54"/>
      <c r="FA71" s="54"/>
      <c r="FB71" s="54"/>
      <c r="FC71" s="54"/>
      <c r="FD71" s="54"/>
      <c r="FE71" s="54"/>
      <c r="FF71" s="54"/>
      <c r="FG71" s="54"/>
      <c r="FH71" s="54"/>
      <c r="FI71" s="54"/>
      <c r="FJ71" s="54"/>
      <c r="FK71" s="54"/>
      <c r="FL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54"/>
      <c r="EM72" s="54"/>
      <c r="EN72" s="54"/>
      <c r="EO72" s="54"/>
      <c r="EP72" s="54"/>
      <c r="EQ72" s="54"/>
      <c r="ER72" s="54"/>
      <c r="ES72" s="54"/>
      <c r="ET72" s="54"/>
      <c r="EU72" s="54"/>
      <c r="EV72" s="54"/>
      <c r="EW72" s="54"/>
      <c r="EX72" s="54"/>
      <c r="EY72" s="54"/>
      <c r="EZ72" s="54"/>
      <c r="FA72" s="54"/>
      <c r="FB72" s="54"/>
      <c r="FC72" s="54"/>
      <c r="FD72" s="54"/>
      <c r="FE72" s="54"/>
      <c r="FF72" s="54"/>
      <c r="FG72" s="54"/>
      <c r="FH72" s="54"/>
      <c r="FI72" s="54"/>
      <c r="FJ72" s="54"/>
      <c r="FK72" s="54"/>
      <c r="FL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  <c r="DH73" s="54"/>
      <c r="DI73" s="54"/>
      <c r="DJ73" s="54"/>
      <c r="DK73" s="54"/>
      <c r="DL73" s="54"/>
      <c r="DM73" s="54"/>
      <c r="DN73" s="54"/>
      <c r="DO73" s="54"/>
      <c r="DP73" s="54"/>
      <c r="DQ73" s="54"/>
      <c r="DR73" s="54"/>
      <c r="DS73" s="54"/>
      <c r="DT73" s="54"/>
      <c r="DU73" s="54"/>
      <c r="DV73" s="54"/>
      <c r="DW73" s="54"/>
      <c r="DX73" s="54"/>
      <c r="DY73" s="54"/>
      <c r="DZ73" s="54"/>
      <c r="EA73" s="54"/>
      <c r="EB73" s="54"/>
      <c r="EC73" s="54"/>
      <c r="ED73" s="54"/>
      <c r="EE73" s="54"/>
      <c r="EF73" s="54"/>
      <c r="EG73" s="54"/>
      <c r="EH73" s="54"/>
      <c r="EI73" s="54"/>
      <c r="EJ73" s="54"/>
      <c r="EK73" s="54"/>
      <c r="EL73" s="54"/>
      <c r="EM73" s="54"/>
      <c r="EN73" s="54"/>
      <c r="EO73" s="54"/>
      <c r="EP73" s="54"/>
      <c r="EQ73" s="54"/>
      <c r="ER73" s="54"/>
      <c r="ES73" s="54"/>
      <c r="ET73" s="54"/>
      <c r="EU73" s="54"/>
      <c r="EV73" s="54"/>
      <c r="EW73" s="54"/>
      <c r="EX73" s="54"/>
      <c r="EY73" s="54"/>
      <c r="EZ73" s="54"/>
      <c r="FA73" s="54"/>
      <c r="FB73" s="54"/>
      <c r="FC73" s="54"/>
      <c r="FD73" s="54"/>
      <c r="FE73" s="54"/>
      <c r="FF73" s="54"/>
      <c r="FG73" s="54"/>
      <c r="FH73" s="54"/>
      <c r="FI73" s="54"/>
      <c r="FJ73" s="54"/>
      <c r="FK73" s="54"/>
      <c r="FL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4"/>
      <c r="DK74" s="54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4"/>
      <c r="DW74" s="54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4"/>
      <c r="EI74" s="54"/>
      <c r="EJ74" s="54"/>
      <c r="EK74" s="54"/>
      <c r="EL74" s="54"/>
      <c r="EM74" s="54"/>
      <c r="EN74" s="54"/>
      <c r="EO74" s="54"/>
      <c r="EP74" s="54"/>
      <c r="EQ74" s="54"/>
      <c r="ER74" s="54"/>
      <c r="ES74" s="54"/>
      <c r="ET74" s="54"/>
      <c r="EU74" s="54"/>
      <c r="EV74" s="54"/>
      <c r="EW74" s="54"/>
      <c r="EX74" s="54"/>
      <c r="EY74" s="54"/>
      <c r="EZ74" s="54"/>
      <c r="FA74" s="54"/>
      <c r="FB74" s="54"/>
      <c r="FC74" s="54"/>
      <c r="FD74" s="54"/>
      <c r="FE74" s="54"/>
      <c r="FF74" s="54"/>
      <c r="FG74" s="54"/>
      <c r="FH74" s="54"/>
      <c r="FI74" s="54"/>
      <c r="FJ74" s="54"/>
      <c r="FK74" s="54"/>
      <c r="FL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4"/>
      <c r="DK75" s="54"/>
      <c r="DL75" s="54"/>
      <c r="DM75" s="54"/>
      <c r="DN75" s="54"/>
      <c r="DO75" s="54"/>
      <c r="DP75" s="54"/>
      <c r="DQ75" s="54"/>
      <c r="DR75" s="54"/>
      <c r="DS75" s="54"/>
      <c r="DT75" s="54"/>
      <c r="DU75" s="54"/>
      <c r="DV75" s="54"/>
      <c r="DW75" s="54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4"/>
      <c r="EI75" s="54"/>
      <c r="EJ75" s="54"/>
      <c r="EK75" s="54"/>
      <c r="EL75" s="54"/>
      <c r="EM75" s="54"/>
      <c r="EN75" s="54"/>
      <c r="EO75" s="54"/>
      <c r="EP75" s="54"/>
      <c r="EQ75" s="54"/>
      <c r="ER75" s="54"/>
      <c r="ES75" s="54"/>
      <c r="ET75" s="54"/>
      <c r="EU75" s="54"/>
      <c r="EV75" s="54"/>
      <c r="EW75" s="54"/>
      <c r="EX75" s="54"/>
      <c r="EY75" s="54"/>
      <c r="EZ75" s="54"/>
      <c r="FA75" s="54"/>
      <c r="FB75" s="54"/>
      <c r="FC75" s="54"/>
      <c r="FD75" s="54"/>
      <c r="FE75" s="54"/>
      <c r="FF75" s="54"/>
      <c r="FG75" s="54"/>
      <c r="FH75" s="54"/>
      <c r="FI75" s="54"/>
      <c r="FJ75" s="54"/>
      <c r="FK75" s="54"/>
      <c r="FL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54"/>
      <c r="EM76" s="54"/>
      <c r="EN76" s="54"/>
      <c r="EO76" s="54"/>
      <c r="EP76" s="54"/>
      <c r="EQ76" s="54"/>
      <c r="ER76" s="54"/>
      <c r="ES76" s="54"/>
      <c r="ET76" s="54"/>
      <c r="EU76" s="54"/>
      <c r="EV76" s="54"/>
      <c r="EW76" s="54"/>
      <c r="EX76" s="54"/>
      <c r="EY76" s="54"/>
      <c r="EZ76" s="54"/>
      <c r="FA76" s="54"/>
      <c r="FB76" s="54"/>
      <c r="FC76" s="54"/>
      <c r="FD76" s="54"/>
      <c r="FE76" s="54"/>
      <c r="FF76" s="54"/>
      <c r="FG76" s="54"/>
      <c r="FH76" s="54"/>
      <c r="FI76" s="54"/>
      <c r="FJ76" s="54"/>
      <c r="FK76" s="54"/>
      <c r="FL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  <c r="DS77" s="54"/>
      <c r="DT77" s="54"/>
      <c r="DU77" s="54"/>
      <c r="DV77" s="54"/>
      <c r="DW77" s="54"/>
      <c r="DX77" s="54"/>
      <c r="DY77" s="54"/>
      <c r="DZ77" s="54"/>
      <c r="EA77" s="54"/>
      <c r="EB77" s="54"/>
      <c r="EC77" s="54"/>
      <c r="ED77" s="54"/>
      <c r="EE77" s="54"/>
      <c r="EF77" s="54"/>
      <c r="EG77" s="54"/>
      <c r="EH77" s="54"/>
      <c r="EI77" s="54"/>
      <c r="EJ77" s="54"/>
      <c r="EK77" s="54"/>
      <c r="EL77" s="54"/>
      <c r="EM77" s="54"/>
      <c r="EN77" s="54"/>
      <c r="EO77" s="54"/>
      <c r="EP77" s="54"/>
      <c r="EQ77" s="54"/>
      <c r="ER77" s="54"/>
      <c r="ES77" s="54"/>
      <c r="ET77" s="54"/>
      <c r="EU77" s="54"/>
      <c r="EV77" s="54"/>
      <c r="EW77" s="54"/>
      <c r="EX77" s="54"/>
      <c r="EY77" s="54"/>
      <c r="EZ77" s="54"/>
      <c r="FA77" s="54"/>
      <c r="FB77" s="54"/>
      <c r="FC77" s="54"/>
      <c r="FD77" s="54"/>
      <c r="FE77" s="54"/>
      <c r="FF77" s="54"/>
      <c r="FG77" s="54"/>
      <c r="FH77" s="54"/>
      <c r="FI77" s="54"/>
      <c r="FJ77" s="54"/>
      <c r="FK77" s="54"/>
      <c r="FL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4"/>
      <c r="DK78" s="54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4"/>
      <c r="DW78" s="54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4"/>
      <c r="EI78" s="54"/>
      <c r="EJ78" s="54"/>
      <c r="EK78" s="54"/>
      <c r="EL78" s="54"/>
      <c r="EM78" s="54"/>
      <c r="EN78" s="54"/>
      <c r="EO78" s="54"/>
      <c r="EP78" s="54"/>
      <c r="EQ78" s="54"/>
      <c r="ER78" s="54"/>
      <c r="ES78" s="54"/>
      <c r="ET78" s="54"/>
      <c r="EU78" s="54"/>
      <c r="EV78" s="54"/>
      <c r="EW78" s="54"/>
      <c r="EX78" s="54"/>
      <c r="EY78" s="54"/>
      <c r="EZ78" s="54"/>
      <c r="FA78" s="54"/>
      <c r="FB78" s="54"/>
      <c r="FC78" s="54"/>
      <c r="FD78" s="54"/>
      <c r="FE78" s="54"/>
      <c r="FF78" s="54"/>
      <c r="FG78" s="54"/>
      <c r="FH78" s="54"/>
      <c r="FI78" s="54"/>
      <c r="FJ78" s="54"/>
      <c r="FK78" s="54"/>
      <c r="FL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4"/>
      <c r="DK79" s="54"/>
      <c r="DL79" s="54"/>
      <c r="DM79" s="54"/>
      <c r="DN79" s="54"/>
      <c r="DO79" s="54"/>
      <c r="DP79" s="54"/>
      <c r="DQ79" s="54"/>
      <c r="DR79" s="54"/>
      <c r="DS79" s="54"/>
      <c r="DT79" s="54"/>
      <c r="DU79" s="54"/>
      <c r="DV79" s="54"/>
      <c r="DW79" s="54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4"/>
      <c r="EI79" s="54"/>
      <c r="EJ79" s="54"/>
      <c r="EK79" s="54"/>
      <c r="EL79" s="54"/>
      <c r="EM79" s="54"/>
      <c r="EN79" s="54"/>
      <c r="EO79" s="54"/>
      <c r="EP79" s="54"/>
      <c r="EQ79" s="54"/>
      <c r="ER79" s="54"/>
      <c r="ES79" s="54"/>
      <c r="ET79" s="54"/>
      <c r="EU79" s="54"/>
      <c r="EV79" s="54"/>
      <c r="EW79" s="54"/>
      <c r="EX79" s="54"/>
      <c r="EY79" s="54"/>
      <c r="EZ79" s="54"/>
      <c r="FA79" s="54"/>
      <c r="FB79" s="54"/>
      <c r="FC79" s="54"/>
      <c r="FD79" s="54"/>
      <c r="FE79" s="54"/>
      <c r="FF79" s="54"/>
      <c r="FG79" s="54"/>
      <c r="FH79" s="54"/>
      <c r="FI79" s="54"/>
      <c r="FJ79" s="54"/>
      <c r="FK79" s="54"/>
      <c r="FL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54"/>
      <c r="EM80" s="54"/>
      <c r="EN80" s="54"/>
      <c r="EO80" s="54"/>
      <c r="EP80" s="54"/>
      <c r="EQ80" s="54"/>
      <c r="ER80" s="54"/>
      <c r="ES80" s="54"/>
      <c r="ET80" s="54"/>
      <c r="EU80" s="54"/>
      <c r="EV80" s="54"/>
      <c r="EW80" s="54"/>
      <c r="EX80" s="54"/>
      <c r="EY80" s="54"/>
      <c r="EZ80" s="54"/>
      <c r="FA80" s="54"/>
      <c r="FB80" s="54"/>
      <c r="FC80" s="54"/>
      <c r="FD80" s="54"/>
      <c r="FE80" s="54"/>
      <c r="FF80" s="54"/>
      <c r="FG80" s="54"/>
      <c r="FH80" s="54"/>
      <c r="FI80" s="54"/>
      <c r="FJ80" s="54"/>
      <c r="FK80" s="54"/>
      <c r="FL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  <c r="DS81" s="54"/>
      <c r="DT81" s="54"/>
      <c r="DU81" s="54"/>
      <c r="DV81" s="54"/>
      <c r="DW81" s="54"/>
      <c r="DX81" s="54"/>
      <c r="DY81" s="54"/>
      <c r="DZ81" s="54"/>
      <c r="EA81" s="54"/>
      <c r="EB81" s="54"/>
      <c r="EC81" s="54"/>
      <c r="ED81" s="54"/>
      <c r="EE81" s="54"/>
      <c r="EF81" s="54"/>
      <c r="EG81" s="54"/>
      <c r="EH81" s="54"/>
      <c r="EI81" s="54"/>
      <c r="EJ81" s="54"/>
      <c r="EK81" s="54"/>
      <c r="EL81" s="54"/>
      <c r="EM81" s="54"/>
      <c r="EN81" s="54"/>
      <c r="EO81" s="54"/>
      <c r="EP81" s="54"/>
      <c r="EQ81" s="54"/>
      <c r="ER81" s="54"/>
      <c r="ES81" s="54"/>
      <c r="ET81" s="54"/>
      <c r="EU81" s="54"/>
      <c r="EV81" s="54"/>
      <c r="EW81" s="54"/>
      <c r="EX81" s="54"/>
      <c r="EY81" s="54"/>
      <c r="EZ81" s="54"/>
      <c r="FA81" s="54"/>
      <c r="FB81" s="54"/>
      <c r="FC81" s="54"/>
      <c r="FD81" s="54"/>
      <c r="FE81" s="54"/>
      <c r="FF81" s="54"/>
      <c r="FG81" s="54"/>
      <c r="FH81" s="54"/>
      <c r="FI81" s="54"/>
      <c r="FJ81" s="54"/>
      <c r="FK81" s="54"/>
      <c r="FL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4"/>
      <c r="DK82" s="54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4"/>
      <c r="DW82" s="54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4"/>
      <c r="EI82" s="54"/>
      <c r="EJ82" s="54"/>
      <c r="EK82" s="54"/>
      <c r="EL82" s="54"/>
      <c r="EM82" s="54"/>
      <c r="EN82" s="54"/>
      <c r="EO82" s="54"/>
      <c r="EP82" s="54"/>
      <c r="EQ82" s="54"/>
      <c r="ER82" s="54"/>
      <c r="ES82" s="54"/>
      <c r="ET82" s="54"/>
      <c r="EU82" s="54"/>
      <c r="EV82" s="54"/>
      <c r="EW82" s="54"/>
      <c r="EX82" s="54"/>
      <c r="EY82" s="54"/>
      <c r="EZ82" s="54"/>
      <c r="FA82" s="54"/>
      <c r="FB82" s="54"/>
      <c r="FC82" s="54"/>
      <c r="FD82" s="54"/>
      <c r="FE82" s="54"/>
      <c r="FF82" s="54"/>
      <c r="FG82" s="54"/>
      <c r="FH82" s="54"/>
      <c r="FI82" s="54"/>
      <c r="FJ82" s="54"/>
      <c r="FK82" s="54"/>
      <c r="FL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  <c r="DK83" s="54"/>
      <c r="DL83" s="54"/>
      <c r="DM83" s="54"/>
      <c r="DN83" s="54"/>
      <c r="DO83" s="54"/>
      <c r="DP83" s="54"/>
      <c r="DQ83" s="54"/>
      <c r="DR83" s="54"/>
      <c r="DS83" s="54"/>
      <c r="DT83" s="54"/>
      <c r="DU83" s="54"/>
      <c r="DV83" s="54"/>
      <c r="DW83" s="54"/>
      <c r="DX83" s="54"/>
      <c r="DY83" s="54"/>
      <c r="DZ83" s="54"/>
      <c r="EA83" s="54"/>
      <c r="EB83" s="54"/>
      <c r="EC83" s="54"/>
      <c r="ED83" s="54"/>
      <c r="EE83" s="54"/>
      <c r="EF83" s="54"/>
      <c r="EG83" s="54"/>
      <c r="EH83" s="54"/>
      <c r="EI83" s="54"/>
      <c r="EJ83" s="54"/>
      <c r="EK83" s="54"/>
      <c r="EL83" s="54"/>
      <c r="EM83" s="54"/>
      <c r="EN83" s="54"/>
      <c r="EO83" s="54"/>
      <c r="EP83" s="54"/>
      <c r="EQ83" s="54"/>
      <c r="ER83" s="54"/>
      <c r="ES83" s="54"/>
      <c r="ET83" s="54"/>
      <c r="EU83" s="54"/>
      <c r="EV83" s="54"/>
      <c r="EW83" s="54"/>
      <c r="EX83" s="54"/>
      <c r="EY83" s="54"/>
      <c r="EZ83" s="54"/>
      <c r="FA83" s="54"/>
      <c r="FB83" s="54"/>
      <c r="FC83" s="54"/>
      <c r="FD83" s="54"/>
      <c r="FE83" s="54"/>
      <c r="FF83" s="54"/>
      <c r="FG83" s="54"/>
      <c r="FH83" s="54"/>
      <c r="FI83" s="54"/>
      <c r="FJ83" s="54"/>
      <c r="FK83" s="54"/>
      <c r="FL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54"/>
      <c r="EM84" s="54"/>
      <c r="EN84" s="54"/>
      <c r="EO84" s="54"/>
      <c r="EP84" s="54"/>
      <c r="EQ84" s="54"/>
      <c r="ER84" s="54"/>
      <c r="ES84" s="54"/>
      <c r="ET84" s="54"/>
      <c r="EU84" s="54"/>
      <c r="EV84" s="54"/>
      <c r="EW84" s="54"/>
      <c r="EX84" s="54"/>
      <c r="EY84" s="54"/>
      <c r="EZ84" s="54"/>
      <c r="FA84" s="54"/>
      <c r="FB84" s="54"/>
      <c r="FC84" s="54"/>
      <c r="FD84" s="54"/>
      <c r="FE84" s="54"/>
      <c r="FF84" s="54"/>
      <c r="FG84" s="54"/>
      <c r="FH84" s="54"/>
      <c r="FI84" s="54"/>
      <c r="FJ84" s="54"/>
      <c r="FK84" s="54"/>
      <c r="FL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J85" s="54"/>
      <c r="EK85" s="54"/>
      <c r="EL85" s="54"/>
      <c r="EM85" s="54"/>
      <c r="EN85" s="54"/>
      <c r="EO85" s="54"/>
      <c r="EP85" s="54"/>
      <c r="EQ85" s="54"/>
      <c r="ER85" s="54"/>
      <c r="ES85" s="54"/>
      <c r="ET85" s="54"/>
      <c r="EU85" s="54"/>
      <c r="EV85" s="54"/>
      <c r="EW85" s="54"/>
      <c r="EX85" s="54"/>
      <c r="EY85" s="54"/>
      <c r="EZ85" s="54"/>
      <c r="FA85" s="54"/>
      <c r="FB85" s="54"/>
      <c r="FC85" s="54"/>
      <c r="FD85" s="54"/>
      <c r="FE85" s="54"/>
      <c r="FF85" s="54"/>
      <c r="FG85" s="54"/>
      <c r="FH85" s="54"/>
      <c r="FI85" s="54"/>
      <c r="FJ85" s="54"/>
      <c r="FK85" s="54"/>
      <c r="FL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4"/>
      <c r="FC86" s="54"/>
      <c r="FD86" s="54"/>
      <c r="FE86" s="54"/>
      <c r="FF86" s="54"/>
      <c r="FG86" s="54"/>
      <c r="FH86" s="54"/>
      <c r="FI86" s="54"/>
      <c r="FJ86" s="54"/>
      <c r="FK86" s="54"/>
      <c r="FL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  <c r="DK87" s="54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4"/>
      <c r="DW87" s="54"/>
      <c r="DX87" s="54"/>
      <c r="DY87" s="54"/>
      <c r="DZ87" s="54"/>
      <c r="EA87" s="54"/>
      <c r="EB87" s="54"/>
      <c r="EC87" s="54"/>
      <c r="ED87" s="54"/>
      <c r="EE87" s="54"/>
      <c r="EF87" s="54"/>
      <c r="EG87" s="54"/>
      <c r="EH87" s="54"/>
      <c r="EI87" s="54"/>
      <c r="EJ87" s="54"/>
      <c r="EK87" s="54"/>
      <c r="EL87" s="54"/>
      <c r="EM87" s="54"/>
      <c r="EN87" s="54"/>
      <c r="EO87" s="54"/>
      <c r="EP87" s="54"/>
      <c r="EQ87" s="54"/>
      <c r="ER87" s="54"/>
      <c r="ES87" s="54"/>
      <c r="ET87" s="54"/>
      <c r="EU87" s="54"/>
      <c r="EV87" s="54"/>
      <c r="EW87" s="54"/>
      <c r="EX87" s="54"/>
      <c r="EY87" s="54"/>
      <c r="EZ87" s="54"/>
      <c r="FA87" s="54"/>
      <c r="FB87" s="54"/>
      <c r="FC87" s="54"/>
      <c r="FD87" s="54"/>
      <c r="FE87" s="54"/>
      <c r="FF87" s="54"/>
      <c r="FG87" s="54"/>
      <c r="FH87" s="54"/>
      <c r="FI87" s="54"/>
      <c r="FJ87" s="54"/>
      <c r="FK87" s="54"/>
      <c r="FL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54"/>
      <c r="EM88" s="54"/>
      <c r="EN88" s="54"/>
      <c r="EO88" s="54"/>
      <c r="EP88" s="54"/>
      <c r="EQ88" s="54"/>
      <c r="ER88" s="54"/>
      <c r="ES88" s="54"/>
      <c r="ET88" s="54"/>
      <c r="EU88" s="54"/>
      <c r="EV88" s="54"/>
      <c r="EW88" s="54"/>
      <c r="EX88" s="54"/>
      <c r="EY88" s="54"/>
      <c r="EZ88" s="54"/>
      <c r="FA88" s="54"/>
      <c r="FB88" s="54"/>
      <c r="FC88" s="54"/>
      <c r="FD88" s="54"/>
      <c r="FE88" s="54"/>
      <c r="FF88" s="54"/>
      <c r="FG88" s="54"/>
      <c r="FH88" s="54"/>
      <c r="FI88" s="54"/>
      <c r="FJ88" s="54"/>
      <c r="FK88" s="54"/>
      <c r="FL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54"/>
      <c r="EM89" s="54"/>
      <c r="EN89" s="54"/>
      <c r="EO89" s="54"/>
      <c r="EP89" s="54"/>
      <c r="EQ89" s="54"/>
      <c r="ER89" s="54"/>
      <c r="ES89" s="54"/>
      <c r="ET89" s="54"/>
      <c r="EU89" s="54"/>
      <c r="EV89" s="54"/>
      <c r="EW89" s="54"/>
      <c r="EX89" s="54"/>
      <c r="EY89" s="54"/>
      <c r="EZ89" s="54"/>
      <c r="FA89" s="54"/>
      <c r="FB89" s="54"/>
      <c r="FC89" s="54"/>
      <c r="FD89" s="54"/>
      <c r="FE89" s="54"/>
      <c r="FF89" s="54"/>
      <c r="FG89" s="54"/>
      <c r="FH89" s="54"/>
      <c r="FI89" s="54"/>
      <c r="FJ89" s="54"/>
      <c r="FK89" s="54"/>
      <c r="FL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  <c r="DK90" s="54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4"/>
      <c r="DW90" s="54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4"/>
      <c r="EI90" s="54"/>
      <c r="EJ90" s="54"/>
      <c r="EK90" s="54"/>
      <c r="EL90" s="54"/>
      <c r="EM90" s="54"/>
      <c r="EN90" s="54"/>
      <c r="EO90" s="54"/>
      <c r="EP90" s="54"/>
      <c r="EQ90" s="54"/>
      <c r="ER90" s="54"/>
      <c r="ES90" s="54"/>
      <c r="ET90" s="54"/>
      <c r="EU90" s="54"/>
      <c r="EV90" s="54"/>
      <c r="EW90" s="54"/>
      <c r="EX90" s="54"/>
      <c r="EY90" s="54"/>
      <c r="EZ90" s="54"/>
      <c r="FA90" s="54"/>
      <c r="FB90" s="54"/>
      <c r="FC90" s="54"/>
      <c r="FD90" s="54"/>
      <c r="FE90" s="54"/>
      <c r="FF90" s="54"/>
      <c r="FG90" s="54"/>
      <c r="FH90" s="54"/>
      <c r="FI90" s="54"/>
      <c r="FJ90" s="54"/>
      <c r="FK90" s="54"/>
      <c r="FL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  <c r="DK91" s="54"/>
      <c r="DL91" s="54"/>
      <c r="DM91" s="54"/>
      <c r="DN91" s="54"/>
      <c r="DO91" s="54"/>
      <c r="DP91" s="54"/>
      <c r="DQ91" s="54"/>
      <c r="DR91" s="54"/>
      <c r="DS91" s="54"/>
      <c r="DT91" s="54"/>
      <c r="DU91" s="54"/>
      <c r="DV91" s="54"/>
      <c r="DW91" s="54"/>
      <c r="DX91" s="54"/>
      <c r="DY91" s="54"/>
      <c r="DZ91" s="54"/>
      <c r="EA91" s="54"/>
      <c r="EB91" s="54"/>
      <c r="EC91" s="54"/>
      <c r="ED91" s="54"/>
      <c r="EE91" s="54"/>
      <c r="EF91" s="54"/>
      <c r="EG91" s="54"/>
      <c r="EH91" s="54"/>
      <c r="EI91" s="54"/>
      <c r="EJ91" s="54"/>
      <c r="EK91" s="54"/>
      <c r="EL91" s="54"/>
      <c r="EM91" s="54"/>
      <c r="EN91" s="54"/>
      <c r="EO91" s="54"/>
      <c r="EP91" s="54"/>
      <c r="EQ91" s="54"/>
      <c r="ER91" s="54"/>
      <c r="ES91" s="54"/>
      <c r="ET91" s="54"/>
      <c r="EU91" s="54"/>
      <c r="EV91" s="54"/>
      <c r="EW91" s="54"/>
      <c r="EX91" s="54"/>
      <c r="EY91" s="54"/>
      <c r="EZ91" s="54"/>
      <c r="FA91" s="54"/>
      <c r="FB91" s="54"/>
      <c r="FC91" s="54"/>
      <c r="FD91" s="54"/>
      <c r="FE91" s="54"/>
      <c r="FF91" s="54"/>
      <c r="FG91" s="54"/>
      <c r="FH91" s="54"/>
      <c r="FI91" s="54"/>
      <c r="FJ91" s="54"/>
      <c r="FK91" s="54"/>
      <c r="FL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54"/>
      <c r="EM92" s="54"/>
      <c r="EN92" s="54"/>
      <c r="EO92" s="54"/>
      <c r="EP92" s="54"/>
      <c r="EQ92" s="54"/>
      <c r="ER92" s="54"/>
      <c r="ES92" s="54"/>
      <c r="ET92" s="54"/>
      <c r="EU92" s="54"/>
      <c r="EV92" s="54"/>
      <c r="EW92" s="54"/>
      <c r="EX92" s="54"/>
      <c r="EY92" s="54"/>
      <c r="EZ92" s="54"/>
      <c r="FA92" s="54"/>
      <c r="FB92" s="54"/>
      <c r="FC92" s="54"/>
      <c r="FD92" s="54"/>
      <c r="FE92" s="54"/>
      <c r="FF92" s="54"/>
      <c r="FG92" s="54"/>
      <c r="FH92" s="54"/>
      <c r="FI92" s="54"/>
      <c r="FJ92" s="54"/>
      <c r="FK92" s="54"/>
      <c r="FL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  <c r="DS93" s="54"/>
      <c r="DT93" s="54"/>
      <c r="DU93" s="54"/>
      <c r="DV93" s="54"/>
      <c r="DW93" s="54"/>
      <c r="DX93" s="54"/>
      <c r="DY93" s="54"/>
      <c r="DZ93" s="54"/>
      <c r="EA93" s="54"/>
      <c r="EB93" s="54"/>
      <c r="EC93" s="54"/>
      <c r="ED93" s="54"/>
      <c r="EE93" s="54"/>
      <c r="EF93" s="54"/>
      <c r="EG93" s="54"/>
      <c r="EH93" s="54"/>
      <c r="EI93" s="54"/>
      <c r="EJ93" s="54"/>
      <c r="EK93" s="54"/>
      <c r="EL93" s="54"/>
      <c r="EM93" s="54"/>
      <c r="EN93" s="54"/>
      <c r="EO93" s="54"/>
      <c r="EP93" s="54"/>
      <c r="EQ93" s="54"/>
      <c r="ER93" s="54"/>
      <c r="ES93" s="54"/>
      <c r="ET93" s="54"/>
      <c r="EU93" s="54"/>
      <c r="EV93" s="54"/>
      <c r="EW93" s="54"/>
      <c r="EX93" s="54"/>
      <c r="EY93" s="54"/>
      <c r="EZ93" s="54"/>
      <c r="FA93" s="54"/>
      <c r="FB93" s="54"/>
      <c r="FC93" s="54"/>
      <c r="FD93" s="54"/>
      <c r="FE93" s="54"/>
      <c r="FF93" s="54"/>
      <c r="FG93" s="54"/>
      <c r="FH93" s="54"/>
      <c r="FI93" s="54"/>
      <c r="FJ93" s="54"/>
      <c r="FK93" s="54"/>
      <c r="FL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  <c r="DK94" s="54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4"/>
      <c r="DW94" s="54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4"/>
      <c r="EI94" s="54"/>
      <c r="EJ94" s="54"/>
      <c r="EK94" s="54"/>
      <c r="EL94" s="54"/>
      <c r="EM94" s="54"/>
      <c r="EN94" s="54"/>
      <c r="EO94" s="54"/>
      <c r="EP94" s="54"/>
      <c r="EQ94" s="54"/>
      <c r="ER94" s="54"/>
      <c r="ES94" s="54"/>
      <c r="ET94" s="54"/>
      <c r="EU94" s="54"/>
      <c r="EV94" s="54"/>
      <c r="EW94" s="54"/>
      <c r="EX94" s="54"/>
      <c r="EY94" s="54"/>
      <c r="EZ94" s="54"/>
      <c r="FA94" s="54"/>
      <c r="FB94" s="54"/>
      <c r="FC94" s="54"/>
      <c r="FD94" s="54"/>
      <c r="FE94" s="54"/>
      <c r="FF94" s="54"/>
      <c r="FG94" s="54"/>
      <c r="FH94" s="54"/>
      <c r="FI94" s="54"/>
      <c r="FJ94" s="54"/>
      <c r="FK94" s="54"/>
      <c r="FL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  <c r="DK95" s="54"/>
      <c r="DL95" s="54"/>
      <c r="DM95" s="54"/>
      <c r="DN95" s="54"/>
      <c r="DO95" s="54"/>
      <c r="DP95" s="54"/>
      <c r="DQ95" s="54"/>
      <c r="DR95" s="54"/>
      <c r="DS95" s="54"/>
      <c r="DT95" s="54"/>
      <c r="DU95" s="54"/>
      <c r="DV95" s="54"/>
      <c r="DW95" s="54"/>
      <c r="DX95" s="54"/>
      <c r="DY95" s="54"/>
      <c r="DZ95" s="54"/>
      <c r="EA95" s="54"/>
      <c r="EB95" s="54"/>
      <c r="EC95" s="54"/>
      <c r="ED95" s="54"/>
      <c r="EE95" s="54"/>
      <c r="EF95" s="54"/>
      <c r="EG95" s="54"/>
      <c r="EH95" s="54"/>
      <c r="EI95" s="54"/>
      <c r="EJ95" s="54"/>
      <c r="EK95" s="54"/>
      <c r="EL95" s="54"/>
      <c r="EM95" s="54"/>
      <c r="EN95" s="54"/>
      <c r="EO95" s="54"/>
      <c r="EP95" s="54"/>
      <c r="EQ95" s="54"/>
      <c r="ER95" s="54"/>
      <c r="ES95" s="54"/>
      <c r="ET95" s="54"/>
      <c r="EU95" s="54"/>
      <c r="EV95" s="54"/>
      <c r="EW95" s="54"/>
      <c r="EX95" s="54"/>
      <c r="EY95" s="54"/>
      <c r="EZ95" s="54"/>
      <c r="FA95" s="54"/>
      <c r="FB95" s="54"/>
      <c r="FC95" s="54"/>
      <c r="FD95" s="54"/>
      <c r="FE95" s="54"/>
      <c r="FF95" s="54"/>
      <c r="FG95" s="54"/>
      <c r="FH95" s="54"/>
      <c r="FI95" s="54"/>
      <c r="FJ95" s="54"/>
      <c r="FK95" s="54"/>
      <c r="FL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54"/>
      <c r="EM96" s="54"/>
      <c r="EN96" s="54"/>
      <c r="EO96" s="54"/>
      <c r="EP96" s="54"/>
      <c r="EQ96" s="54"/>
      <c r="ER96" s="54"/>
      <c r="ES96" s="54"/>
      <c r="ET96" s="54"/>
      <c r="EU96" s="54"/>
      <c r="EV96" s="54"/>
      <c r="EW96" s="54"/>
      <c r="EX96" s="54"/>
      <c r="EY96" s="54"/>
      <c r="EZ96" s="54"/>
      <c r="FA96" s="54"/>
      <c r="FB96" s="54"/>
      <c r="FC96" s="54"/>
      <c r="FD96" s="54"/>
      <c r="FE96" s="54"/>
      <c r="FF96" s="54"/>
      <c r="FG96" s="54"/>
      <c r="FH96" s="54"/>
      <c r="FI96" s="54"/>
      <c r="FJ96" s="54"/>
      <c r="FK96" s="54"/>
      <c r="FL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4"/>
      <c r="EC97" s="54"/>
      <c r="ED97" s="54"/>
      <c r="EE97" s="54"/>
      <c r="EF97" s="54"/>
      <c r="EG97" s="54"/>
      <c r="EH97" s="54"/>
      <c r="EI97" s="54"/>
      <c r="EJ97" s="54"/>
      <c r="EK97" s="54"/>
      <c r="EL97" s="54"/>
      <c r="EM97" s="54"/>
      <c r="EN97" s="54"/>
      <c r="EO97" s="54"/>
      <c r="EP97" s="54"/>
      <c r="EQ97" s="54"/>
      <c r="ER97" s="54"/>
      <c r="ES97" s="54"/>
      <c r="ET97" s="54"/>
      <c r="EU97" s="54"/>
      <c r="EV97" s="54"/>
      <c r="EW97" s="54"/>
      <c r="EX97" s="54"/>
      <c r="EY97" s="54"/>
      <c r="EZ97" s="54"/>
      <c r="FA97" s="54"/>
      <c r="FB97" s="54"/>
      <c r="FC97" s="54"/>
      <c r="FD97" s="54"/>
      <c r="FE97" s="54"/>
      <c r="FF97" s="54"/>
      <c r="FG97" s="54"/>
      <c r="FH97" s="54"/>
      <c r="FI97" s="54"/>
      <c r="FJ97" s="54"/>
      <c r="FK97" s="54"/>
      <c r="FL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  <c r="DK98" s="54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4"/>
      <c r="DW98" s="54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4"/>
      <c r="EI98" s="54"/>
      <c r="EJ98" s="54"/>
      <c r="EK98" s="54"/>
      <c r="EL98" s="54"/>
      <c r="EM98" s="54"/>
      <c r="EN98" s="54"/>
      <c r="EO98" s="54"/>
      <c r="EP98" s="54"/>
      <c r="EQ98" s="54"/>
      <c r="ER98" s="54"/>
      <c r="ES98" s="54"/>
      <c r="ET98" s="54"/>
      <c r="EU98" s="54"/>
      <c r="EV98" s="54"/>
      <c r="EW98" s="54"/>
      <c r="EX98" s="54"/>
      <c r="EY98" s="54"/>
      <c r="EZ98" s="54"/>
      <c r="FA98" s="54"/>
      <c r="FB98" s="54"/>
      <c r="FC98" s="54"/>
      <c r="FD98" s="54"/>
      <c r="FE98" s="54"/>
      <c r="FF98" s="54"/>
      <c r="FG98" s="54"/>
      <c r="FH98" s="54"/>
      <c r="FI98" s="54"/>
      <c r="FJ98" s="54"/>
      <c r="FK98" s="54"/>
      <c r="FL98" s="54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