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GeneralPreferences" sheetId="4" r:id="rId6"/>
    <sheet state="visible" name="SetUIPreferencesTT" sheetId="5" r:id="rId7"/>
    <sheet state="visible" name="CreateDoneAwayOrder" sheetId="6" r:id="rId8"/>
    <sheet state="visible" name="PricingInput" sheetId="7" r:id="rId9"/>
    <sheet state="visible" name="GetDailyCash" sheetId="8" r:id="rId10"/>
    <sheet state="visible" name="UpdateMultipleDailyCash" sheetId="9" r:id="rId11"/>
    <sheet state="visible" name="CalculatePTT" sheetId="10" r:id="rId12"/>
    <sheet state="visible" name="VerifyPTT" sheetId="11" r:id="rId13"/>
    <sheet state="visible" name="TradePTT" sheetId="12" r:id="rId14"/>
    <sheet state="visible" name="TradePTT1" sheetId="13" r:id="rId15"/>
    <sheet state="visible" name="BulkUpdateUsingMTT" sheetId="14" r:id="rId16"/>
    <sheet state="visible" name="VerifyMTT" sheetId="15" r:id="rId17"/>
    <sheet state="visible" name="SelectTradeUsingMTT" sheetId="16" r:id="rId18"/>
    <sheet state="visible" name="EditTradeUsingMTT" sheetId="17" r:id="rId19"/>
    <sheet state="visible" name="VerifyMTT1" sheetId="18" r:id="rId20"/>
    <sheet state="visible" name="BulkEditUpdateFromMTT" sheetId="19" r:id="rId21"/>
    <sheet state="visible" name="VerifyMTT2" sheetId="20" r:id="rId22"/>
    <sheet state="visible" name="SelectTradeUsingMTT1" sheetId="21" r:id="rId23"/>
    <sheet state="visible" name="EditTradeUsingMTT1" sheetId="22" r:id="rId24"/>
    <sheet state="visible" name="VerifyMTT3" sheetId="23" r:id="rId25"/>
  </sheets>
  <definedNames/>
  <calcPr/>
</workbook>
</file>

<file path=xl/sharedStrings.xml><?xml version="1.0" encoding="utf-8"?>
<sst xmlns="http://schemas.openxmlformats.org/spreadsheetml/2006/main" count="250" uniqueCount="51">
  <si>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</si>
  <si>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</si>
  <si>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</si>
  <si>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</si>
  <si>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</si>
  <si>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</si>
  <si>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</si>
  <si>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</si>
  <si>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</si>
  <si>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</si>
  <si>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</si>
  <si>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</si>
  <si>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</si>
  <si>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</si>
  <si>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</si>
  <si>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</si>
  <si>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TradingTicket</t>
  </si>
  <si>
    <t>SetUIPreferencesTT</t>
  </si>
  <si>
    <t>Market</t>
  </si>
  <si>
    <t>Day</t>
  </si>
  <si>
    <t>CreateDoneAwayOrder</t>
  </si>
  <si>
    <t>AAPL</t>
  </si>
  <si>
    <t>Buy</t>
  </si>
  <si>
    <t>Allocation1</t>
  </si>
  <si>
    <t>MS</t>
  </si>
  <si>
    <t>Allocation3</t>
  </si>
  <si>
    <t>PricingInput</t>
  </si>
  <si>
    <t>DailyValuation</t>
  </si>
  <si>
    <t>GetDailyCash</t>
  </si>
  <si>
    <t>UpdateMultipleDailyCash</t>
  </si>
  <si>
    <t>USD</t>
  </si>
  <si>
    <t>PTT</t>
  </si>
  <si>
    <t>CalculatePTT</t>
  </si>
  <si>
    <t>Set</t>
  </si>
  <si>
    <t>Percentage</t>
  </si>
  <si>
    <t>No</t>
  </si>
  <si>
    <t>Account</t>
  </si>
  <si>
    <t>Allocation1,Allocation3</t>
  </si>
  <si>
    <t>VerifyPTT</t>
  </si>
  <si>
    <t>Sell</t>
  </si>
  <si>
    <t>TradePTT</t>
  </si>
  <si>
    <t>Yes</t>
  </si>
  <si>
    <t>MultiTradingTicket</t>
  </si>
  <si>
    <t>BulkUpdateUsingMTT</t>
  </si>
  <si>
    <t>GTC</t>
  </si>
  <si>
    <t>VerifyMTT</t>
  </si>
  <si>
    <t>Limit</t>
  </si>
  <si>
    <t>SelectTradeUsingMTT</t>
  </si>
  <si>
    <t>EditTradeUsingMTT</t>
  </si>
  <si>
    <t>BulkEditUpdateFromMTT</t>
  </si>
  <si>
    <t>Good Till 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</si>
</sst>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IFERROR(__xludf.DUMMYFUNCTION("""COMPUTED_VALUE"""),"1RWrzEP7tKvSTkC1z87RsjU_EZslvD2btXJuTWRIwRLU")</f>
        <v>1RWrzEP7tKvSTkC1z87RsjU_EZslvD2btXJuTWRIwRLU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IFERROR(__xludf.DUMMYFUNCTION("""COMPUTED_VALUE"""),"1XzjmPmpB7IMcyzPSsbgmFfzjE_zIKdjrk0mUoMFhNZc")</f>
        <v>1XzjmPmpB7IMcyzPSsbgmFfzjE_zIKdjrk0mUoMFhNZc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>
      <c r="A683" t="str">
        <f>IFERROR(__xludf.DUMMYFUNCTION("""COMPUTED_VALUE"""),"PranaClient")</f>
        <v>PranaClient</v>
      </c>
      <c r="B683" t="str">
        <f>IFERROR(__xludf.DUMMYFUNCTION("""COMPUTED_VALUE"""),"RunPortfolio")</f>
        <v>RunPortfolio</v>
      </c>
      <c r="C683" t="str">
        <f>IFERROR(__xludf.DUMMYFUNCTION("""COMPUTED_VALUE"""),"1zDfER5xLj_X17wyRdaAzzNf3aYbaPGLRGVpc2rFBtc0")</f>
        <v>1zDfER5xLj_X17wyRdaAzzNf3aYbaPGLRGVpc2rFBtc0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IFERROR(__xludf.DUMMYFUNCTION("""COMPUTED_VALUE"""),"AddOrRemoveColumnFromBlotter")</f>
        <v>AddOrRemoveColumnFromBlotter</v>
      </c>
      <c r="C684" t="str">
        <f>IFERROR(__xludf.DUMMYFUNCTION("""COMPUTED_VALUE"""),"1AImtOGYKAeR3YFeq_UoGYWtzjfmt90mMudYE0gCcfuY")</f>
        <v>1AImtOGYKAeR3YFeq_UoGYWtzjfmt90mMudYE0gCcfuY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IFERROR(__xludf.DUMMYFUNCTION("""COMPUTED_VALUE"""),"ApplyFilterOnBlotter")</f>
        <v>ApplyFilterOnBlotter</v>
      </c>
      <c r="C685" t="str">
        <f>IFERROR(__xludf.DUMMYFUNCTION("""COMPUTED_VALUE"""),"1HwDVyMvyOdl2-ZD1QqhAZuwUuRJSMW_PlBPxaE_76EI")</f>
        <v>1HwDVyMvyOdl2-ZD1QqhAZuwUuRJSMW_PlBPxaE_76EI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IFERROR(__xludf.DUMMYFUNCTION("""COMPUTED_VALUE"""),"SortGridOnBlotter")</f>
        <v>SortGridOnBlotter</v>
      </c>
      <c r="C686" t="str">
        <f>IFERROR(__xludf.DUMMYFUNCTION("""COMPUTED_VALUE"""),"1MvLrWPS7fBH0YzOrBIt5TdlPdCiRTwsVXBfvicm6qvY")</f>
        <v>1MvLrWPS7fBH0YzOrBIt5TdlPdCiRTwsVXBfvicm6qvY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IFERROR(__xludf.DUMMYFUNCTION("""COMPUTED_VALUE"""),"VerifyDataIndexWise")</f>
        <v>VerifyDataIndexWise</v>
      </c>
      <c r="C687" t="str">
        <f>IFERROR(__xludf.DUMMYFUNCTION("""COMPUTED_VALUE"""),"1WN-1sxdeUKDOg_8-QDWx4LTsOWAe3xpnbDOHjLR9DPI")</f>
        <v>1WN-1sxdeUKDOg_8-QDWx4LTsOWAe3xpnbDOHjLR9DPI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IFERROR(__xludf.DUMMYFUNCTION("""COMPUTED_VALUE"""),"CheckSummaryDashboard")</f>
        <v>CheckSummaryDashboard</v>
      </c>
      <c r="C688" t="str">
        <f>IFERROR(__xludf.DUMMYFUNCTION("""COMPUTED_VALUE"""),"19yZ--qYnhGSO8AdhnHqcmGmViOWMDkup5wR8bA3T2Os")</f>
        <v>19yZ--qYnhGSO8AdhnHqcmGmViOWMDkup5wR8bA3T2Os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IFERROR(__xludf.DUMMYFUNCTION("""COMPUTED_VALUE"""),"CheckFundLevelAggregation")</f>
        <v>CheckFundLevelAggregation</v>
      </c>
      <c r="C689" t="str">
        <f>IFERROR(__xludf.DUMMYFUNCTION("""COMPUTED_VALUE"""),"1onoHaI0svf2S0wDmLkCePbLXTpyPt2uzhxg7tVdRMeI")</f>
        <v>1onoHaI0svf2S0wDmLkCePbLXTpyPt2uzhxg7tVdRMeI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IFERROR(__xludf.DUMMYFUNCTION("""COMPUTED_VALUE"""),"CheckAccountLevelAggregation")</f>
        <v>CheckAccountLevelAggregation</v>
      </c>
      <c r="C690" t="str">
        <f>IFERROR(__xludf.DUMMYFUNCTION("""COMPUTED_VALUE"""),"1wpk-GXi0GZ8cadXtuW18V6GfYany_8NjDMShh2aobZ4")</f>
        <v>1wpk-GXi0GZ8cadXtuW18V6GfYany_8NjDMShh2aobZ4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IFERROR(__xludf.DUMMYFUNCTION("""COMPUTED_VALUE"""),"CheckSymbolLevelAggregation")</f>
        <v>CheckSymbolLevelAggregation</v>
      </c>
      <c r="C691" t="str">
        <f>IFERROR(__xludf.DUMMYFUNCTION("""COMPUTED_VALUE"""),"1j6_k8vwocZ8wAvUMMfdx9IKldUmmqzRN2HCaaoFysqc")</f>
        <v>1j6_k8vwocZ8wAvUMMfdx9IKldUmmqzRN2HCaaoFysqc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IFERROR(__xludf.DUMMYFUNCTION("""COMPUTED_VALUE"""),"CheckRealTimeSymbolFundMonitor")</f>
        <v>CheckRealTimeSymbolFundMonitor</v>
      </c>
      <c r="C692" t="str">
        <f>IFERROR(__xludf.DUMMYFUNCTION("""COMPUTED_VALUE"""),"1YeAroYmlm8GLwEhMTsKLli9Lc6cZEoPatK76WOit8ho")</f>
        <v>1YeAroYmlm8GLwEhMTsKLli9Lc6cZEoPatK76WOit8ho</v>
      </c>
    </row>
    <row r="693" ht="15.75" customHeight="1">
      <c r="A693" t="str">
        <f>IFERROR(__xludf.DUMMYFUNCTION("""COMPUTED_VALUE"""),"RTPNL")</f>
        <v>RTPNL</v>
      </c>
      <c r="B693" t="str">
        <f>IFERROR(__xludf.DUMMYFUNCTION("""COMPUTED_VALUE"""),"CheckRealTimeSymAccountMonitor")</f>
        <v>CheckRealTimeSymAccountMonitor</v>
      </c>
      <c r="C693" t="str">
        <f>IFERROR(__xludf.DUMMYFUNCTION("""COMPUTED_VALUE"""),"1YWIN_lFXkJFac_sw0d58YkjeJOr7Xa3JotKO9BAEG3Q")</f>
        <v>1YWIN_lFXkJFac_sw0d58YkjeJOr7Xa3JotKO9BAEG3Q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IFERROR(__xludf.DUMMYFUNCTION("""COMPUTED_VALUE"""),"CorporateAction")</f>
        <v>CorporateAction</v>
      </c>
      <c r="B695" t="str">
        <f>IFERROR(__xludf.DUMMYFUNCTION("""COMPUTED_VALUE"""),"Split")</f>
        <v>Split</v>
      </c>
      <c r="C695" t="str">
        <f>IFERROR(__xludf.DUMMYFUNCTION("""COMPUTED_VALUE"""),"1YQNpSzhH6xtFfgEJnDqykr5nsIzqMbnBQEatRhEpHOs")</f>
        <v>1YQNpSzhH6xtFfgEJnDqykr5nsIzqMbnBQEatRhEpHOs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IFERROR(__xludf.DUMMYFUNCTION("""COMPUTED_VALUE"""),"CheckOpenFinWindowName")</f>
        <v>CheckOpenFinWindowName</v>
      </c>
      <c r="C696" t="str">
        <f>IFERROR(__xludf.DUMMYFUNCTION("""COMPUTED_VALUE"""),"1_QbFW_DIr-YIJKQnRAaHNRalcZ0QCmFiB-DdP5Sbwko")</f>
        <v>1_QbFW_DIr-YIJKQnRAaHNRalcZ0QCmFiB-DdP5Sbwko</v>
      </c>
    </row>
    <row r="697" ht="15.75" customHeight="1">
      <c r="A697" t="str">
        <f>IFERROR(__xludf.DUMMYFUNCTION("""COMPUTED_VALUE"""),"OpenFin")</f>
        <v>OpenFin</v>
      </c>
      <c r="B697" t="str">
        <f>IFERROR(__xludf.DUMMYFUNCTION("""COMPUTED_VALUE"""),"OpenWindowFromSearch")</f>
        <v>OpenWindowFromSearch</v>
      </c>
      <c r="C697" t="str">
        <f>IFERROR(__xludf.DUMMYFUNCTION("""COMPUTED_VALUE"""),"1e8B2KIAHr80o-fgghowV60Cd3dClYg316CFpnQaQAIE")</f>
        <v>1e8B2KIAHr80o-fgghowV60Cd3dClYg316CFpnQaQAIE</v>
      </c>
    </row>
    <row r="698" ht="15.75" customHeight="1">
      <c r="A698" t="str">
        <f>IFERROR(__xludf.DUMMYFUNCTION("""COMPUTED_VALUE"""),"TradingTicket")</f>
        <v>TradingTicket</v>
      </c>
      <c r="B698" t="str">
        <f>IFERROR(__xludf.DUMMYFUNCTION("""COMPUTED_VALUE"""),"OptionTradingThroughSecurity")</f>
        <v>OptionTradingThroughSecurity</v>
      </c>
      <c r="C698" t="str">
        <f>IFERROR(__xludf.DUMMYFUNCTION("""COMPUTED_VALUE"""),"1clAdB0F6htmQF_MbmjwcIdau2ji1ufQer1WZBDOaeBQ")</f>
        <v>1clAdB0F6htmQF_MbmjwcIdau2ji1ufQer1WZBDOaeBQ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IFERROR(__xludf.DUMMYFUNCTION("""COMPUTED_VALUE"""),"UpdateDashboardName")</f>
        <v>UpdateDashboardName</v>
      </c>
      <c r="C699" t="str">
        <f>IFERROR(__xludf.DUMMYFUNCTION("""COMPUTED_VALUE"""),"1aNmeOLOU3vHxn4vCNTUtDLnYV9ZzH4jYF4G95SD77ow")</f>
        <v>1aNmeOLOU3vHxn4vCNTUtDLnYV9ZzH4jYF4G95SD77ow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IFERROR(__xludf.DUMMYFUNCTION("""COMPUTED_VALUE"""),"AddWidget")</f>
        <v>AddWidget</v>
      </c>
      <c r="C700" t="str">
        <f>IFERROR(__xludf.DUMMYFUNCTION("""COMPUTED_VALUE"""),"1QetwOPuGJZ9VGJxG4h8-cX_06kX2sFa3dVbulVAf6H8")</f>
        <v>1QetwOPuGJZ9VGJxG4h8-cX_06kX2sFa3dVbulVAf6H8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IFERROR(__xludf.DUMMYFUNCTION("""COMPUTED_VALUE"""),"CheckDashboardWidgetTitle")</f>
        <v>CheckDashboardWidgetTitle</v>
      </c>
      <c r="C701" t="str">
        <f>IFERROR(__xludf.DUMMYFUNCTION("""COMPUTED_VALUE"""),"1HywJj49UTJ0a2drrA-uSVbVT8uwRKeg9hrZ_IYbHs7M")</f>
        <v>1HywJj49UTJ0a2drrA-uSVbVT8uwRKeg9hrZ_IYbHs7M</v>
      </c>
    </row>
    <row r="702" ht="15.75" customHeight="1">
      <c r="A702" t="str">
        <f>IFERROR(__xludf.DUMMYFUNCTION("""COMPUTED_VALUE"""),"RTPNL")</f>
        <v>RTPNL</v>
      </c>
      <c r="B702" t="str">
        <f>IFERROR(__xludf.DUMMYFUNCTION("""COMPUTED_VALUE"""),"updateWidget")</f>
        <v>updateWidget</v>
      </c>
      <c r="C702" t="str">
        <f>IFERROR(__xludf.DUMMYFUNCTION("""COMPUTED_VALUE"""),"1SEQwBhkZIg_dA_RSQqCGv5m0-nf1OjN8eXQzvxE35tE")</f>
        <v>1SEQwBhkZIg_dA_RSQqCGv5m0-nf1OjN8eXQzvxE35tE</v>
      </c>
    </row>
    <row r="703" ht="15.75" customHeight="1">
      <c r="A703" t="str">
        <f>IFERROR(__xludf.DUMMYFUNCTION("""COMPUTED_VALUE"""),"Admin")</f>
        <v>Admin</v>
      </c>
      <c r="B703" t="str">
        <f>IFERROR(__xludf.DUMMYFUNCTION("""COMPUTED_VALUE"""),"SetAlgoBroker")</f>
        <v>SetAlgoBroker</v>
      </c>
      <c r="C703" t="str">
        <f>IFERROR(__xludf.DUMMYFUNCTION("""COMPUTED_VALUE"""),"1ysK6XeT3Tu7B_jcnGseqzvKUCFY5_PNP6KEmR-uswgE")</f>
        <v>1ysK6XeT3Tu7B_jcnGseqzvKUCFY5_PNP6KEmR-uswgE</v>
      </c>
    </row>
    <row r="704" ht="15.75" customHeight="1">
      <c r="A704" t="str">
        <f>IFERROR(__xludf.DUMMYFUNCTION("""COMPUTED_VALUE"""),"TradingTicket")</f>
        <v>TradingTicket</v>
      </c>
      <c r="B704" t="str">
        <f>IFERROR(__xludf.DUMMYFUNCTION("""COMPUTED_VALUE"""),"CreateTradeWithAlgoBroker")</f>
        <v>CreateTradeWithAlgoBroker</v>
      </c>
      <c r="C704" t="str">
        <f>IFERROR(__xludf.DUMMYFUNCTION("""COMPUTED_VALUE"""),"1D-4t1xB_3TrWQDfVaykN5dg7eoT58IEqv3gXIDpM20c")</f>
        <v>1D-4t1xB_3TrWQDfVaykN5dg7eoT58IEqv3gXIDpM20c</v>
      </c>
    </row>
    <row r="705" ht="15.75" customHeight="1">
      <c r="A705" t="str">
        <f>IFERROR(__xludf.DUMMYFUNCTION("""COMPUTED_VALUE"""),"Admin")</f>
        <v>Admin</v>
      </c>
      <c r="B705" t="str">
        <f>IFERROR(__xludf.DUMMYFUNCTION("""COMPUTED_VALUE"""),"EnableAutoGroupingAllocation")</f>
        <v>EnableAutoGroupingAllocation</v>
      </c>
      <c r="C705" t="str">
        <f>IFERROR(__xludf.DUMMYFUNCTION("""COMPUTED_VALUE"""),"1NeqButT68ws592R_0_8U2URVQT-opGH4uQ6W30VuDKo")</f>
        <v>1NeqButT68ws592R_0_8U2URVQT-opGH4uQ6W30VuDKo</v>
      </c>
    </row>
    <row r="706" ht="15.75" customHeight="1">
      <c r="A706" t="str">
        <f>IFERROR(__xludf.DUMMYFUNCTION("""COMPUTED_VALUE"""),"Compliance")</f>
        <v>Compliance</v>
      </c>
      <c r="B706" t="str">
        <f>IFERROR(__xludf.DUMMYFUNCTION("""COMPUTED_VALUE"""),"GetEmail")</f>
        <v>GetEmail</v>
      </c>
      <c r="C706" t="str">
        <f>IFERROR(__xludf.DUMMYFUNCTION("""COMPUTED_VALUE"""),"14zIr297hHEwbCXtU1KW8tP9R8vZWp-yZlZOWIyQ8JM8")</f>
        <v>14zIr297hHEwbCXtU1KW8tP9R8vZWp-yZlZOWIyQ8JM8</v>
      </c>
    </row>
    <row r="707" ht="15.75" customHeight="1">
      <c r="A707" t="str">
        <f>IFERROR(__xludf.DUMMYFUNCTION("""COMPUTED_VALUE"""),"TradeServer")</f>
        <v>TradeServer</v>
      </c>
      <c r="B707" t="str">
        <f>IFERROR(__xludf.DUMMYFUNCTION("""COMPUTED_VALUE"""),"BrokerConnectionThroughTUI")</f>
        <v>BrokerConnectionThroughTUI</v>
      </c>
      <c r="C707" t="str">
        <f>IFERROR(__xludf.DUMMYFUNCTION("""COMPUTED_VALUE"""),"1zjPR01VJFgDurgv90dzI5FheiwzguF_eQq_gmAIYF1E")</f>
        <v>1zjPR01VJFgDurgv90dzI5FheiwzguF_eQq_gmAIYF1E</v>
      </c>
    </row>
    <row r="708" ht="15.75" customHeight="1">
      <c r="A708" t="str">
        <f>IFERROR(__xludf.DUMMYFUNCTION("""COMPUTED_VALUE"""),"OpenFin")</f>
        <v>OpenFin</v>
      </c>
      <c r="B708" t="str">
        <f>IFERROR(__xludf.DUMMYFUNCTION("""COMPUTED_VALUE"""),"VerifyColour")</f>
        <v>VerifyColour</v>
      </c>
      <c r="C708" t="str">
        <f>IFERROR(__xludf.DUMMYFUNCTION("""COMPUTED_VALUE"""),"1JqfkBahL4M3QJ6OlrKFEO0l-A5PRm9-rSzRM19eNLvM")</f>
        <v>1JqfkBahL4M3QJ6OlrKFEO0l-A5PRm9-rSzRM19eNLvM</v>
      </c>
    </row>
    <row r="709" ht="15.75" customHeight="1">
      <c r="A709" t="str">
        <f>IFERROR(__xludf.DUMMYFUNCTION("""COMPUTED_VALUE"""),"RTPNL")</f>
        <v>RTPNL</v>
      </c>
      <c r="B709" t="str">
        <f>IFERROR(__xludf.DUMMYFUNCTION("""COMPUTED_VALUE"""),"OpenRTPNL")</f>
        <v>OpenRTPNL</v>
      </c>
      <c r="C709" t="str">
        <f>IFERROR(__xludf.DUMMYFUNCTION("""COMPUTED_VALUE"""),"1j-FWEidBpUuPYcE4AbSAw08LdLumr0SQSFYFcyX2SkM")</f>
        <v>1j-FWEidBpUuPYcE4AbSAw08LdLumr0SQSFYFcyX2SkM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IFERROR(__xludf.DUMMYFUNCTION("""COMPUTED_VALUE"""),"VerifyOrderSide")</f>
        <v>VerifyOrderSide</v>
      </c>
      <c r="C710" t="str">
        <f>IFERROR(__xludf.DUMMYFUNCTION("""COMPUTED_VALUE"""),"1c9KH-8l1ETf94Oe0mx95JD0fjeeah2gCx04R2mT4vgU")</f>
        <v>1c9KH-8l1ETf94Oe0mx95JD0fjeeah2gCx04R2mT4vgU</v>
      </c>
    </row>
    <row r="711" ht="15.75" customHeight="1">
      <c r="A711" t="str">
        <f>IFERROR(__xludf.DUMMYFUNCTION("""COMPUTED_VALUE"""),"OpenFin")</f>
        <v>OpenFin</v>
      </c>
      <c r="B711" t="str">
        <f>IFERROR(__xludf.DUMMYFUNCTION("""COMPUTED_VALUE"""),"OpenReleaseClient")</f>
        <v>OpenReleaseClient</v>
      </c>
      <c r="C711" t="str">
        <f>IFERROR(__xludf.DUMMYFUNCTION("""COMPUTED_VALUE"""),"1lDURQPfx8lvChAjYM0DztCXj5aW1r1sP_KQ4sTM3ljc")</f>
        <v>1lDURQPfx8lvChAjYM0DztCXj5aW1r1sP_KQ4sTM3ljc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IFERROR(__xludf.DUMMYFUNCTION("""COMPUTED_VALUE"""),"LinkDashboardTabs")</f>
        <v>LinkDashboardTabs</v>
      </c>
      <c r="C712" t="str">
        <f>IFERROR(__xludf.DUMMYFUNCTION("""COMPUTED_VALUE"""),"1_ZOUJw5mEb5-uMCe7uXUcU1uwSnKbENOdKRfc5frcRI")</f>
        <v>1_ZOUJw5mEb5-uMCe7uXUcU1uwSnKbENOdKRfc5frcRI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IFERROR(__xludf.DUMMYFUNCTION("""COMPUTED_VALUE"""),"SelectDashboardTabRow")</f>
        <v>SelectDashboardTabRow</v>
      </c>
      <c r="C713" t="str">
        <f>IFERROR(__xludf.DUMMYFUNCTION("""COMPUTED_VALUE"""),"10Vd3dhJiCjsba_tbRecSrC0PBN1F1QFBXBKfTY2hBy4")</f>
        <v>10Vd3dhJiCjsba_tbRecSrC0PBN1F1QFBXBKfTY2hBy4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IFERROR(__xludf.DUMMYFUNCTION("""COMPUTED_VALUE"""),"SelectRowAtFLAggregation")</f>
        <v>SelectRowAtFLAggregation</v>
      </c>
      <c r="C714" t="str">
        <f>IFERROR(__xludf.DUMMYFUNCTION("""COMPUTED_VALUE"""),"1cEp9PBaAuW5WBA5D6VvUB32hYlXbJCbbqSozcxuwCxs")</f>
        <v>1cEp9PBaAuW5WBA5D6VvUB32hYlXbJCbbqSozcxuwCxs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IFERROR(__xludf.DUMMYFUNCTION("""COMPUTED_VALUE"""),"SelectRowAtALAggregation")</f>
        <v>SelectRowAtALAggregation</v>
      </c>
      <c r="C715" t="str">
        <f>IFERROR(__xludf.DUMMYFUNCTION("""COMPUTED_VALUE"""),"1rSsC3GJdez3CoU5cuG9j4H7yxOCRUN1u8OaLrlQV3ms")</f>
        <v>1rSsC3GJdez3CoU5cuG9j4H7yxOCRUN1u8OaLrlQV3ms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IFERROR(__xludf.DUMMYFUNCTION("""COMPUTED_VALUE"""),"SelectRowAtSLAggregation")</f>
        <v>SelectRowAtSLAggregation</v>
      </c>
      <c r="C716" t="str">
        <f>IFERROR(__xludf.DUMMYFUNCTION("""COMPUTED_VALUE"""),"17LhetpqlUGKZ842KdCVcUSBi-Oo7pi9N29U1unAcSXI")</f>
        <v>17LhetpqlUGKZ842KdCVcUSBi-Oo7pi9N29U1unAcSXI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IFERROR(__xludf.DUMMYFUNCTION("""COMPUTED_VALUE"""),"SelectRowAtRTSFundMonitor")</f>
        <v>SelectRowAtRTSFundMonitor</v>
      </c>
      <c r="C717" t="str">
        <f>IFERROR(__xludf.DUMMYFUNCTION("""COMPUTED_VALUE"""),"1GfRMRoQy-JJWGhUYOAlTtktEu_COt80geQtMyahWn-g")</f>
        <v>1GfRMRoQy-JJWGhUYOAlTtktEu_COt80geQtMyahWn-g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IFERROR(__xludf.DUMMYFUNCTION("""COMPUTED_VALUE"""),"SelectRowAtRTSAccountMonitor")</f>
        <v>SelectRowAtRTSAccountMonitor</v>
      </c>
      <c r="C718" t="str">
        <f>IFERROR(__xludf.DUMMYFUNCTION("""COMPUTED_VALUE"""),"1ymWI4H-rYSuYcMBnVqoCFZgBq0wgkwh4HNQd4M6a3EE")</f>
        <v>1ymWI4H-rYSuYcMBnVqoCFZgBq0wgkwh4HNQd4M6a3EE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IFERROR(__xludf.DUMMYFUNCTION("""COMPUTED_VALUE"""),"FilterOnPMGrid")</f>
        <v>FilterOnPMGrid</v>
      </c>
      <c r="C719" t="str">
        <f>IFERROR(__xludf.DUMMYFUNCTION("""COMPUTED_VALUE"""),"1OnY_eV7vu0MtlRaBMhR1l7tKqVsiYrP5hnKFtBWEOJY")</f>
        <v>1OnY_eV7vu0MtlRaBMhR1l7tKqVsiYrP5hnKFtBWEOJY</v>
      </c>
    </row>
    <row r="720" ht="15.75" customHeight="1">
      <c r="A720" t="str">
        <f>IFERROR(__xludf.DUMMYFUNCTION("""COMPUTED_VALUE"""),"RTPNL")</f>
        <v>RTPNL</v>
      </c>
      <c r="B720" t="str">
        <f>IFERROR(__xludf.DUMMYFUNCTION("""COMPUTED_VALUE"""),"ExtractTabOutsidePMDashboard")</f>
        <v>ExtractTabOutsidePMDashboard</v>
      </c>
      <c r="C720" t="str">
        <f>IFERROR(__xludf.DUMMYFUNCTION("""COMPUTED_VALUE"""),"1gL_7b12xxIm2t8SbS3r1OEz_l436Ag72OxKiVxsSHao")</f>
        <v>1gL_7b12xxIm2t8SbS3r1OEz_l436Ag72OxKiVxsSHao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IFERROR(__xludf.DUMMYFUNCTION("""COMPUTED_VALUE"""),"SortOnPMGrid")</f>
        <v>SortOnPMGrid</v>
      </c>
      <c r="C721" t="str">
        <f>IFERROR(__xludf.DUMMYFUNCTION("""COMPUTED_VALUE"""),"1xALfYxc2kx4lwcklO9nFfUd4txdSJOjDILXPz5sdtNU")</f>
        <v>1xALfYxc2kx4lwcklO9nFfUd4txdSJOjDILXPz5sdtNU</v>
      </c>
    </row>
    <row r="722" ht="15.75" customHeight="1">
      <c r="A722" t="str">
        <f>IFERROR(__xludf.DUMMYFUNCTION("""COMPUTED_VALUE"""),"TradingTicket")</f>
        <v>TradingTicket</v>
      </c>
      <c r="B722" t="str">
        <f>IFERROR(__xludf.DUMMYFUNCTION("""COMPUTED_VALUE"""),"CreateOrEditSymbolTT")</f>
        <v>CreateOrEditSymbolTT</v>
      </c>
      <c r="C722" t="str">
        <f>IFERROR(__xludf.DUMMYFUNCTION("""COMPUTED_VALUE"""),"1idmpWrKnVe2S0NRHKC3RamOBjdC5_vnd76rycS2naOU")</f>
        <v>1idmpWrKnVe2S0NRHKC3RamOBjdC5_vnd76rycS2naOU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IFERROR(__xludf.DUMMYFUNCTION("""COMPUTED_VALUE"""),"SortRTSFM")</f>
        <v>SortRTSFM</v>
      </c>
      <c r="C723" t="str">
        <f>IFERROR(__xludf.DUMMYFUNCTION("""COMPUTED_VALUE"""),"1RPd2Hj7qN07O5usXRKyD6vnEBaAjN4s-c66S7_cTJL0")</f>
        <v>1RPd2Hj7qN07O5usXRKyD6vnEBaAjN4s-c66S7_cTJL0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IFERROR(__xludf.DUMMYFUNCTION("""COMPUTED_VALUE"""),"SortSLA")</f>
        <v>SortSLA</v>
      </c>
      <c r="C724" t="str">
        <f>IFERROR(__xludf.DUMMYFUNCTION("""COMPUTED_VALUE"""),"1uqQ9rYn7Web5f-3p1kL2oa_1jv5CTxiLTZgtyeOnG5k")</f>
        <v>1uqQ9rYn7Web5f-3p1kL2oa_1jv5CTxiLTZgtyeOnG5k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IFERROR(__xludf.DUMMYFUNCTION("""COMPUTED_VALUE"""),"SortALA")</f>
        <v>SortALA</v>
      </c>
      <c r="C725" t="str">
        <f>IFERROR(__xludf.DUMMYFUNCTION("""COMPUTED_VALUE"""),"1HFxukRhN8_NG06AxIvFbitVTjtpuHxAfEbMllW36roE")</f>
        <v>1HFxukRhN8_NG06AxIvFbitVTjtpuHxAfEbMllW36roE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IFERROR(__xludf.DUMMYFUNCTION("""COMPUTED_VALUE"""),"SortFLA")</f>
        <v>SortFLA</v>
      </c>
      <c r="C726" t="str">
        <f>IFERROR(__xludf.DUMMYFUNCTION("""COMPUTED_VALUE"""),"16fbn56mKuCbv6fF3O21I3-tlQPhsQWvtInKzVunyM7s")</f>
        <v>16fbn56mKuCbv6fF3O21I3-tlQPhsQWvtInKzVunyM7s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IFERROR(__xludf.DUMMYFUNCTION("""COMPUTED_VALUE"""),"FilterRTSFM")</f>
        <v>FilterRTSFM</v>
      </c>
      <c r="C727" t="str">
        <f>IFERROR(__xludf.DUMMYFUNCTION("""COMPUTED_VALUE"""),"1aR-wCrpB-M5qPHNLKmkkkDXUdLLquektow3lRehT7aA")</f>
        <v>1aR-wCrpB-M5qPHNLKmkkkDXUdLLquektow3lRehT7aA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IFERROR(__xludf.DUMMYFUNCTION("""COMPUTED_VALUE"""),"FilterSLA")</f>
        <v>FilterSLA</v>
      </c>
      <c r="C728" t="str">
        <f>IFERROR(__xludf.DUMMYFUNCTION("""COMPUTED_VALUE"""),"1VstTCReOBMZnMYs_uYfmc2u8trc1ET-vbWFFCBehT_I")</f>
        <v>1VstTCReOBMZnMYs_uYfmc2u8trc1ET-vbWFFCBehT_I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IFERROR(__xludf.DUMMYFUNCTION("""COMPUTED_VALUE"""),"FilterALA")</f>
        <v>FilterALA</v>
      </c>
      <c r="C729" t="str">
        <f>IFERROR(__xludf.DUMMYFUNCTION("""COMPUTED_VALUE"""),"1a9lso4ZEh6d-62hPnh0hEsACtRSusVGWjAO1Q5WPAEg")</f>
        <v>1a9lso4ZEh6d-62hPnh0hEsACtRSusVGWjAO1Q5WPAEg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IFERROR(__xludf.DUMMYFUNCTION("""COMPUTED_VALUE"""),"FilterFLA")</f>
        <v>FilterFLA</v>
      </c>
      <c r="C730" t="str">
        <f>IFERROR(__xludf.DUMMYFUNCTION("""COMPUTED_VALUE"""),"1iInEvGMej-U3deNeFM-LhHIJxa9DnH1LfYmUlixwoO0")</f>
        <v>1iInEvGMej-U3deNeFM-LhHIJxa9DnH1LfYmUlixwoO0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IFERROR(__xludf.DUMMYFUNCTION("""COMPUTED_VALUE"""),"FilterRTSAM")</f>
        <v>FilterRTSAM</v>
      </c>
      <c r="C731" t="str">
        <f>IFERROR(__xludf.DUMMYFUNCTION("""COMPUTED_VALUE"""),"19QrXgA8ZQp9FIUAggXNU6zXTsnkvA4_nCUqf6XrnTIM")</f>
        <v>19QrXgA8ZQp9FIUAggXNU6zXTsnkvA4_nCUqf6XrnTIM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IFERROR(__xludf.DUMMYFUNCTION("""COMPUTED_VALUE"""),"SortRTSAM")</f>
        <v>SortRTSAM</v>
      </c>
      <c r="C732" t="str">
        <f>IFERROR(__xludf.DUMMYFUNCTION("""COMPUTED_VALUE"""),"1JGXz9lScbj7NMo2gp1dnjyAosk2i-_vn-_beAX5olZY")</f>
        <v>1JGXz9lScbj7NMo2gp1dnjyAosk2i-_vn-_beAX5olZY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IFERROR(__xludf.DUMMYFUNCTION("""COMPUTED_VALUE"""),"IncreaseOrUnwindPositionRTPNL")</f>
        <v>IncreaseOrUnwindPositionRTPNL</v>
      </c>
      <c r="C733" t="str">
        <f>IFERROR(__xludf.DUMMYFUNCTION("""COMPUTED_VALUE"""),"1q1Wc-dRTuQg4BlHBt6hfkwKefeK_K_Mif-Ctd_wCOUc")</f>
        <v>1q1Wc-dRTuQg4BlHBt6hfkwKefeK_K_Mif-Ctd_wCOUc</v>
      </c>
    </row>
    <row r="734" ht="15.75" customHeight="1">
      <c r="A734" t="str">
        <f>IFERROR(__xludf.DUMMYFUNCTION("""COMPUTED_VALUE"""),"RTPNL")</f>
        <v>RTPNL</v>
      </c>
      <c r="B734" t="str">
        <f>IFERROR(__xludf.DUMMYFUNCTION("""COMPUTED_VALUE"""),"SavePage")</f>
        <v>SavePage</v>
      </c>
      <c r="C734" t="str">
        <f>IFERROR(__xludf.DUMMYFUNCTION("""COMPUTED_VALUE"""),"1_uQYVoc5DS6NYv0EYGKjax2jWsfgKobFEjxJkQjLL3w")</f>
        <v>1_uQYVoc5DS6NYv0EYGKjax2jWsfgKobFEjxJkQjLL3w</v>
      </c>
    </row>
    <row r="735" ht="15.75" customHeight="1">
      <c r="A735" t="str">
        <f>IFERROR(__xludf.DUMMYFUNCTION("""COMPUTED_VALUE"""),"RTPNL")</f>
        <v>RTPNL</v>
      </c>
      <c r="B735" t="str">
        <f>IFERROR(__xludf.DUMMYFUNCTION("""COMPUTED_VALUE"""),"CloseRTPNL")</f>
        <v>CloseRTPNL</v>
      </c>
      <c r="C735" t="str">
        <f>IFERROR(__xludf.DUMMYFUNCTION("""COMPUTED_VALUE"""),"1q0e1lbiWuCHi7U7mu_pkI_EHtO0vohpMfwjgm_XpoMk")</f>
        <v>1q0e1lbiWuCHi7U7mu_pkI_EHtO0vohpMfwjgm_XpoMk</v>
      </c>
    </row>
    <row r="736" ht="15.75" customHeight="1">
      <c r="A736" t="str">
        <f>IFERROR(__xludf.DUMMYFUNCTION("""COMPUTED_VALUE"""),"RTPNL")</f>
        <v>RTPNL</v>
      </c>
      <c r="B736" t="str">
        <f>IFERROR(__xludf.DUMMYFUNCTION("""COMPUTED_VALUE"""),"VerifyColumns")</f>
        <v>VerifyColumns</v>
      </c>
      <c r="C736" t="str">
        <f>IFERROR(__xludf.DUMMYFUNCTION("""COMPUTED_VALUE"""),"1hv4fjReFX37JfqBQku0u9vApiCQpf-X1f4UEDLw3y_s")</f>
        <v>1hv4fjReFX37JfqBQku0u9vApiCQpf-X1f4UEDLw3y_s</v>
      </c>
    </row>
    <row r="737" ht="15.75" customHeight="1">
      <c r="A737" t="str">
        <f>IFERROR(__xludf.DUMMYFUNCTION("""COMPUTED_VALUE"""),"Admin")</f>
        <v>Admin</v>
      </c>
      <c r="B737" t="str">
        <f>IFERROR(__xludf.DUMMYFUNCTION("""COMPUTED_VALUE"""),"RemoveMasterUser")</f>
        <v>RemoveMasterUser</v>
      </c>
      <c r="C737" t="str">
        <f>IFERROR(__xludf.DUMMYFUNCTION("""COMPUTED_VALUE"""),"Undefined")</f>
        <v>Undefined</v>
      </c>
    </row>
    <row r="738" ht="15.75" customHeight="1">
      <c r="A738" t="str">
        <f>IFERROR(__xludf.DUMMYFUNCTION("""COMPUTED_VALUE"""),"Blotter")</f>
        <v>Blotter</v>
      </c>
      <c r="B738" t="str">
        <f>IFERROR(__xludf.DUMMYFUNCTION("""COMPUTED_VALUE"""),"SaveLayoutBlotter")</f>
        <v>SaveLayoutBlotter</v>
      </c>
      <c r="C738" t="str">
        <f>IFERROR(__xludf.DUMMYFUNCTION("""COMPUTED_VALUE"""),"Undefined")</f>
        <v>Undefined</v>
      </c>
    </row>
    <row r="739" ht="15.75" customHeight="1">
      <c r="A739" t="str">
        <f>IFERROR(__xludf.DUMMYFUNCTION("""COMPUTED_VALUE"""),"NavLock")</f>
        <v>NavLock</v>
      </c>
      <c r="B739" t="str">
        <f>IFERROR(__xludf.DUMMYFUNCTION("""COMPUTED_VALUE"""),"DeleteExistingNavLock")</f>
        <v>DeleteExistingNavLock</v>
      </c>
      <c r="C739" t="str">
        <f>IFERROR(__xludf.DUMMYFUNCTION("""COMPUTED_VALUE"""),"1HqQPyzif5um_L8C14d1R1blK2opfeEitYxPutZTlmFw")</f>
        <v>1HqQPyzif5um_L8C14d1R1blK2opfeEitYxPutZTlmFw</v>
      </c>
    </row>
    <row r="740" ht="15.75" customHeight="1">
      <c r="A740" t="str">
        <f>IFERROR(__xludf.DUMMYFUNCTION("""COMPUTED_VALUE"""),"NavLock")</f>
        <v>NavLock</v>
      </c>
      <c r="B740" t="str">
        <f>IFERROR(__xludf.DUMMYFUNCTION("""COMPUTED_VALUE"""),"AddNavLock")</f>
        <v>AddNavLock</v>
      </c>
      <c r="C740" t="str">
        <f>IFERROR(__xludf.DUMMYFUNCTION("""COMPUTED_VALUE"""),"1GPjpONzArmJk58f1PhPdnRa4N-8ryMP6ZWGSYiH7Y3s")</f>
        <v>1GPjpONzArmJk58f1PhPdnRa4N-8ryMP6ZWGSYiH7Y3s</v>
      </c>
    </row>
    <row r="741" ht="15.75" customHeight="1">
      <c r="A741" t="str">
        <f>IFERROR(__xludf.DUMMYFUNCTION("""COMPUTED_VALUE"""),"Allocation")</f>
        <v>Allocation</v>
      </c>
      <c r="B741" t="str">
        <f>IFERROR(__xludf.DUMMYFUNCTION("""COMPUTED_VALUE"""),"VerifyAllocationNavLockPopup")</f>
        <v>VerifyAllocationNavLockPopup</v>
      </c>
      <c r="C741" t="str">
        <f>IFERROR(__xludf.DUMMYFUNCTION("""COMPUTED_VALUE"""),"1nlDKsMtQr89ys6-s3fNyeXJhd3KY9s6Hzaoil52avTI")</f>
        <v>1nlDKsMtQr89ys6-s3fNyeXJhd3KY9s6Hzaoil52avTI</v>
      </c>
    </row>
    <row r="742" ht="15.75" customHeight="1">
      <c r="A742" t="str">
        <f>IFERROR(__xludf.DUMMYFUNCTION("""COMPUTED_VALUE"""),"RTPNL")</f>
        <v>RTPNL</v>
      </c>
      <c r="B742" t="str">
        <f>IFERROR(__xludf.DUMMYFUNCTION("""COMPUTED_VALUE"""),"ConfigureWidget")</f>
        <v>ConfigureWidget</v>
      </c>
      <c r="C742" t="str">
        <f>IFERROR(__xludf.DUMMYFUNCTION("""COMPUTED_VALUE"""),"1W6yBhMOu0wchoi8WJBVKvPLgngkTy6xSOF5JPGpCiJM")</f>
        <v>1W6yBhMOu0wchoi8WJBVKvPLgngkTy6xSOF5JPGpCiJM</v>
      </c>
    </row>
    <row r="743" ht="15.75" customHeight="1">
      <c r="A743" t="str">
        <f>IFERROR(__xludf.DUMMYFUNCTION("""COMPUTED_VALUE"""),"CreateTransaction")</f>
        <v>CreateTransaction</v>
      </c>
      <c r="B743" t="str">
        <f>IFERROR(__xludf.DUMMYFUNCTION("""COMPUTED_VALUE"""),"VerifyCTNavLockPopup")</f>
        <v>VerifyCTNavLockPopup</v>
      </c>
      <c r="C743" t="str">
        <f>IFERROR(__xludf.DUMMYFUNCTION("""COMPUTED_VALUE"""),"144sdIKvp1IYBLo1BR5xnXjJV08MEYXOtOle_BzmZysU")</f>
        <v>144sdIKvp1IYBLo1BR5xnXjJV08MEYXOtOle_BzmZysU</v>
      </c>
    </row>
    <row r="744" ht="15.75" customHeight="1">
      <c r="A744" t="str">
        <f>IFERROR(__xludf.DUMMYFUNCTION("""COMPUTED_VALUE"""),"DailyValuation")</f>
        <v>DailyValuation</v>
      </c>
      <c r="B744" t="str">
        <f>IFERROR(__xludf.DUMMYFUNCTION("""COMPUTED_VALUE"""),"VerifyDVNavLockPopup")</f>
        <v>VerifyDVNavLockPopup</v>
      </c>
      <c r="C744" t="str">
        <f>IFERROR(__xludf.DUMMYFUNCTION("""COMPUTED_VALUE"""),"1rXDKRADphBVDpGsYUs6Jq5ugHFrpJ_qRur3VkVbGwV4")</f>
        <v>1rXDKRADphBVDpGsYUs6Jq5ugHFrpJ_qRur3VkVbGwV4</v>
      </c>
    </row>
    <row r="745" ht="15.75" customHeight="1">
      <c r="A745" t="str">
        <f>IFERROR(__xludf.DUMMYFUNCTION("""COMPUTED_VALUE"""),"GeneralLedger")</f>
        <v>GeneralLedger</v>
      </c>
      <c r="B745" t="str">
        <f>IFERROR(__xludf.DUMMYFUNCTION("""COMPUTED_VALUE"""),"VerifyGLNavLockPopup")</f>
        <v>VerifyGLNavLockPopup</v>
      </c>
      <c r="C745" t="str">
        <f>IFERROR(__xludf.DUMMYFUNCTION("""COMPUTED_VALUE"""),"13qCmJnkjFZw_O4n_dVKtJg-5eOkymkypG_MjQGuuNAo")</f>
        <v>13qCmJnkjFZw_O4n_dVKtJg-5eOkymkypG_MjQGuuNAo</v>
      </c>
    </row>
    <row r="746" ht="15.75" customHeight="1">
      <c r="A746" t="str">
        <f>IFERROR(__xludf.DUMMYFUNCTION("""COMPUTED_VALUE"""),"Import")</f>
        <v>Import</v>
      </c>
      <c r="B746" t="str">
        <f>IFERROR(__xludf.DUMMYFUNCTION("""COMPUTED_VALUE"""),"VerifyImportNavLockPopup")</f>
        <v>VerifyImportNavLockPopup</v>
      </c>
      <c r="C746" t="str">
        <f>IFERROR(__xludf.DUMMYFUNCTION("""COMPUTED_VALUE"""),"1pXdTBlTEvtcQUfX_APkVY3rRe3gVlj4Sk_Jyd6F4sNM")</f>
        <v>1pXdTBlTEvtcQUfX_APkVY3rRe3gVlj4Sk_Jyd6F4sNM</v>
      </c>
    </row>
    <row r="747" ht="15.75" customHeight="1">
      <c r="A747" t="str">
        <f>IFERROR(__xludf.DUMMYFUNCTION("""COMPUTED_VALUE"""),"MultiTradingTicket")</f>
        <v>MultiTradingTicket</v>
      </c>
      <c r="B747" t="str">
        <f>IFERROR(__xludf.DUMMYFUNCTION("""COMPUTED_VALUE"""),"VerifyMTTNavLockPopup")</f>
        <v>VerifyMTTNavLockPopup</v>
      </c>
      <c r="C747" t="str">
        <f>IFERROR(__xludf.DUMMYFUNCTION("""COMPUTED_VALUE"""),"1hzuWfGgMcTuN77JdNWDiNq95xYqAIxYrqdk47goXdlc")</f>
        <v>1hzuWfGgMcTuN77JdNWDiNq95xYqAIxYrqdk47goXdlc</v>
      </c>
    </row>
    <row r="748" ht="15.75" customHeight="1">
      <c r="A748" t="str">
        <f>IFERROR(__xludf.DUMMYFUNCTION("""COMPUTED_VALUE"""),"PricingInput")</f>
        <v>PricingInput</v>
      </c>
      <c r="B748" t="str">
        <f>IFERROR(__xludf.DUMMYFUNCTION("""COMPUTED_VALUE"""),"VerifyPINavLockPopup")</f>
        <v>VerifyPINavLockPopup</v>
      </c>
      <c r="C748" t="str">
        <f>IFERROR(__xludf.DUMMYFUNCTION("""COMPUTED_VALUE"""),"1MqKw1Z4nex0wIRjcW-Lhchpv8ZsSNuruz2cszeIP01M")</f>
        <v>1MqKw1Z4nex0wIRjcW-Lhchpv8ZsSNuruz2cszeIP01M</v>
      </c>
    </row>
    <row r="749" ht="15.75" customHeight="1">
      <c r="A749" t="str">
        <f>IFERROR(__xludf.DUMMYFUNCTION("""COMPUTED_VALUE"""),"ShortLocate")</f>
        <v>ShortLocate</v>
      </c>
      <c r="B749" t="str">
        <f>IFERROR(__xludf.DUMMYFUNCTION("""COMPUTED_VALUE"""),"VerifySLNavLockPopup")</f>
        <v>VerifySLNavLockPopup</v>
      </c>
      <c r="C749" t="str">
        <f>IFERROR(__xludf.DUMMYFUNCTION("""COMPUTED_VALUE"""),"1sBI9JpwaQW2KTgfDWaY7h3xdvzXzeqjaP8_Vml6QbTo")</f>
        <v>1sBI9JpwaQW2KTgfDWaY7h3xdvzXzeqjaP8_Vml6QbTo</v>
      </c>
    </row>
    <row r="750" ht="15.75" customHeight="1">
      <c r="A750" t="str">
        <f>IFERROR(__xludf.DUMMYFUNCTION("""COMPUTED_VALUE"""),"TradingTicket")</f>
        <v>TradingTicket</v>
      </c>
      <c r="B750" t="str">
        <f>IFERROR(__xludf.DUMMYFUNCTION("""COMPUTED_VALUE"""),"VerifyTTNavLockPopup")</f>
        <v>VerifyTTNavLockPopup</v>
      </c>
      <c r="C750" t="str">
        <f>IFERROR(__xludf.DUMMYFUNCTION("""COMPUTED_VALUE"""),"15lRx1SPPsy7nykR6nVYUadOnwKG80Q6OfxTDuQ_dvXI")</f>
        <v>15lRx1SPPsy7nykR6nVYUadOnwKG80Q6OfxTDuQ_dvXI</v>
      </c>
    </row>
    <row r="751" ht="15.75" customHeight="1">
      <c r="A751" t="str">
        <f>IFERROR(__xludf.DUMMYFUNCTION("""COMPUTED_VALUE"""),"Blotter")</f>
        <v>Blotter</v>
      </c>
      <c r="B751" t="str">
        <f>IFERROR(__xludf.DUMMYFUNCTION("""COMPUTED_VALUE"""),"VerifyBlotterNavLockPopup")</f>
        <v>VerifyBlotterNavLockPopup</v>
      </c>
      <c r="C751" t="str">
        <f>IFERROR(__xludf.DUMMYFUNCTION("""COMPUTED_VALUE"""),"1NXDngJ54gfiJxrqVxgbEYZ7hW3c4kquifXR6Lg7EK5Y")</f>
        <v>1NXDngJ54gfiJxrqVxgbEYZ7hW3c4kquifXR6Lg7EK5Y</v>
      </c>
    </row>
    <row r="752" ht="15.75" customHeight="1">
      <c r="A752" t="str">
        <f>IFERROR(__xludf.DUMMYFUNCTION("""COMPUTED_VALUE"""),"Closing")</f>
        <v>Closing</v>
      </c>
      <c r="B752" t="str">
        <f>IFERROR(__xludf.DUMMYFUNCTION("""COMPUTED_VALUE"""),"VerifyClosingNavLockPopup")</f>
        <v>VerifyClosingNavLockPopup</v>
      </c>
      <c r="C752" t="str">
        <f>IFERROR(__xludf.DUMMYFUNCTION("""COMPUTED_VALUE"""),"1AR0JbTGvV_W-vRVG60LJNAab-sFlfdBFwEtZpVYEMPo")</f>
        <v>1AR0JbTGvV_W-vRVG60LJNAab-sFlfdBFwEtZpVYEMPo</v>
      </c>
    </row>
    <row r="753" ht="15.75" customHeight="1">
      <c r="A753" t="str">
        <f>IFERROR(__xludf.DUMMYFUNCTION("""COMPUTED_VALUE"""),"RTPNL")</f>
        <v>RTPNL</v>
      </c>
      <c r="B753" t="str">
        <f>IFERROR(__xludf.DUMMYFUNCTION("""COMPUTED_VALUE"""),"ChangeWidgetView")</f>
        <v>ChangeWidgetView</v>
      </c>
      <c r="C753" t="str">
        <f>IFERROR(__xludf.DUMMYFUNCTION("""COMPUTED_VALUE"""),"1PKf_qqqp1j7_MkyduQmNqqaKdDFTgjuq1ApwaDumMj0")</f>
        <v>1PKf_qqqp1j7_MkyduQmNqqaKdDFTgjuq1ApwaDumMj0</v>
      </c>
    </row>
    <row r="754" ht="15.75" customHeight="1">
      <c r="A754" t="str">
        <f>IFERROR(__xludf.DUMMYFUNCTION("""COMPUTED_VALUE"""),"NavLock")</f>
        <v>NavLock</v>
      </c>
      <c r="B754" t="str">
        <f>IFERROR(__xludf.DUMMYFUNCTION("""COMPUTED_VALUE"""),"VerifyNavLockPopup")</f>
        <v>VerifyNavLockPopup</v>
      </c>
      <c r="C754" t="str">
        <f>IFERROR(__xludf.DUMMYFUNCTION("""COMPUTED_VALUE"""),"1BZhGha4iLlieCbbyTcPylU2maLzwgdHAfTO198z-aX8")</f>
        <v>1BZhGha4iLlieCbbyTcPylU2maLzwgdHAfTO198z-aX8</v>
      </c>
    </row>
    <row r="755" ht="15.75" customHeight="1">
      <c r="A755" t="str">
        <f>IFERROR(__xludf.DUMMYFUNCTION("""COMPUTED_VALUE"""),"NavLock")</f>
        <v>NavLock</v>
      </c>
      <c r="B755" t="str">
        <f>IFERROR(__xludf.DUMMYFUNCTION("""COMPUTED_VALUE"""),"VerifyRowsNavLock")</f>
        <v>VerifyRowsNavLock</v>
      </c>
      <c r="C755" t="str">
        <f>IFERROR(__xludf.DUMMYFUNCTION("""COMPUTED_VALUE"""),"12Dl3x2X_C-RCm3K5RkyuRq_t8lxeYk98IQBRrsF9WLU")</f>
        <v>12Dl3x2X_C-RCm3K5RkyuRq_t8lxeYk98IQBRrsF9WLU</v>
      </c>
    </row>
    <row r="756" ht="15.75" customHeight="1">
      <c r="A756" t="str">
        <f>IFERROR(__xludf.DUMMYFUNCTION("""COMPUTED_VALUE"""),"Blotter")</f>
        <v>Blotter</v>
      </c>
      <c r="B756" t="str">
        <f>IFERROR(__xludf.DUMMYFUNCTION("""COMPUTED_VALUE"""),"CustomTabActions")</f>
        <v>CustomTabActions</v>
      </c>
      <c r="C756" t="str">
        <f>IFERROR(__xludf.DUMMYFUNCTION("""COMPUTED_VALUE"""),"163hnSm9KTeABqdRxsfyyCsrxGVcrGd0nCGT4WqLsJ9Q")</f>
        <v>163hnSm9KTeABqdRxsfyyCsrxGVcrGd0nCGT4WqLsJ9Q</v>
      </c>
    </row>
    <row r="757" ht="15.75" customHeight="1">
      <c r="A757" t="str">
        <f>IFERROR(__xludf.DUMMYFUNCTION("""COMPUTED_VALUE"""),"Blotter")</f>
        <v>Blotter</v>
      </c>
      <c r="B757" t="str">
        <f>IFERROR(__xludf.DUMMYFUNCTION("""COMPUTED_VALUE"""),"VerifyAllocationWindow")</f>
        <v>VerifyAllocationWindow</v>
      </c>
      <c r="C757" t="str">
        <f>IFERROR(__xludf.DUMMYFUNCTION("""COMPUTED_VALUE"""),"1DUwxSUq_47EK60XmK3LOdCXa1fkWqWJE9bLuGS3ccv4")</f>
        <v>1DUwxSUq_47EK60XmK3LOdCXa1fkWqWJE9bLuGS3ccv4</v>
      </c>
    </row>
    <row r="758" ht="15.75" customHeight="1">
      <c r="A758" t="str">
        <f>IFERROR(__xludf.DUMMYFUNCTION("""COMPUTED_VALUE"""),"OpenFin")</f>
        <v>OpenFin</v>
      </c>
      <c r="B758" t="str">
        <f>IFERROR(__xludf.DUMMYFUNCTION("""COMPUTED_VALUE"""),"SavePageView")</f>
        <v>SavePageView</v>
      </c>
      <c r="C758" t="str">
        <f>IFERROR(__xludf.DUMMYFUNCTION("""COMPUTED_VALUE"""),"1wFFzsxWBm8VT5o4pz2dFosHS72pEaQuVZFVkiVeZE9w")</f>
        <v>1wFFzsxWBm8VT5o4pz2dFosHS72pEaQuVZFVkiVeZE9w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IFERROR(__xludf.DUMMYFUNCTION("""COMPUTED_VALUE"""),"ActionOnPageFromSearch")</f>
        <v>ActionOnPageFromSearch</v>
      </c>
      <c r="C759" t="str">
        <f>IFERROR(__xludf.DUMMYFUNCTION("""COMPUTED_VALUE"""),"1jCpG4ETPp9dfvh-Ymdex8Mb3Taz9sYrOR-1uBd5Ceyc")</f>
        <v>1jCpG4ETPp9dfvh-Ymdex8Mb3Taz9sYrOR-1uBd5Ceyc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IFERROR(__xludf.DUMMYFUNCTION("""COMPUTED_VALUE"""),"ChangeThemeOnModule")</f>
        <v>ChangeThemeOnModule</v>
      </c>
      <c r="C760" t="str">
        <f>IFERROR(__xludf.DUMMYFUNCTION("""COMPUTED_VALUE"""),"1KKiVG313VPgZZadw3-GZ4Cbt7wTwEPpmyGsp3MHFp9Q")</f>
        <v>1KKiVG313VPgZZadw3-GZ4Cbt7wTwEPpmyGsp3MHFp9Q</v>
      </c>
    </row>
    <row r="761" ht="15.75" customHeight="1">
      <c r="A761" t="str">
        <f>IFERROR(__xludf.DUMMYFUNCTION("""COMPUTED_VALUE"""),"PranaClient")</f>
        <v>PranaClient</v>
      </c>
      <c r="B761" t="str">
        <f>IFERROR(__xludf.DUMMYFUNCTION("""COMPUTED_VALUE"""),"MoveFile")</f>
        <v>MoveFile</v>
      </c>
      <c r="C761" t="str">
        <f>IFERROR(__xludf.DUMMYFUNCTION("""COMPUTED_VALUE"""),"1BBCKN3cBzJgvZqLoHeAi1YmxeNaesC7YrayWsYVuQeU")</f>
        <v>1BBCKN3cBzJgvZqLoHeAi1YmxeNaesC7YrayWsYVuQeU</v>
      </c>
    </row>
    <row r="762" ht="15.75" customHeight="1">
      <c r="A762" t="str">
        <f>IFERROR(__xludf.DUMMYFUNCTION("""COMPUTED_VALUE"""),"OpenFin")</f>
        <v>OpenFin</v>
      </c>
      <c r="B762" t="str">
        <f>IFERROR(__xludf.DUMMYFUNCTION("""COMPUTED_VALUE"""),"CloseService")</f>
        <v>CloseService</v>
      </c>
      <c r="C762" t="str">
        <f>IFERROR(__xludf.DUMMYFUNCTION("""COMPUTED_VALUE"""),"1YXPx62dgEZ9yV5qKkFLgWipyvziAW1SJVEqhiNHEONM")</f>
        <v>1YXPx62dgEZ9yV5qKkFLgWipyvziAW1SJVEqhiNHEONM</v>
      </c>
    </row>
    <row r="763" ht="15.75" customHeight="1">
      <c r="A763" t="str">
        <f>IFERROR(__xludf.DUMMYFUNCTION("""COMPUTED_VALUE"""),"OpenFin")</f>
        <v>OpenFin</v>
      </c>
      <c r="B763" t="str">
        <f>IFERROR(__xludf.DUMMYFUNCTION("""COMPUTED_VALUE"""),"LogOutSamsara")</f>
        <v>LogOutSamsara</v>
      </c>
      <c r="C763" t="str">
        <f>IFERROR(__xludf.DUMMYFUNCTION("""COMPUTED_VALUE"""),"1AHqtQRX4cdwOByK5Ip_T2FJlZFaU23rmiDk0afFhfaY")</f>
        <v>1AHqtQRX4cdwOByK5Ip_T2FJlZFaU23rmiDk0afFhfaY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IFERROR(__xludf.DUMMYFUNCTION("""COMPUTED_VALUE"""),"TradeQTT")</f>
        <v>TradeQTT</v>
      </c>
      <c r="C764" t="str">
        <f>IFERROR(__xludf.DUMMYFUNCTION("""COMPUTED_VALUE"""),"1-5lKqkX57JBaCsmy3TeMGKEVsjNdXnqCttYvBHsfJ14")</f>
        <v>1-5lKqkX57JBaCsmy3TeMGKEVsjNdXnqCttYvBHsfJ14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IFERROR(__xludf.DUMMYFUNCTION("""COMPUTED_VALUE"""),"VerifyCustomAllocationSecondUI")</f>
        <v>VerifyCustomAllocationSecondUI</v>
      </c>
      <c r="C765" t="str">
        <f>IFERROR(__xludf.DUMMYFUNCTION("""COMPUTED_VALUE"""),"1AL5eBNcstEo3uS52PLH2Duzff-16gDD2eEJx_augMtM")</f>
        <v>1AL5eBNcstEo3uS52PLH2Duzff-16gDD2eEJx_augMtM</v>
      </c>
    </row>
    <row r="766" ht="15.75" customHeight="1">
      <c r="A766" t="str">
        <f>IFERROR(__xludf.DUMMYFUNCTION("""COMPUTED_VALUE"""),"Blotter")</f>
        <v>Blotter</v>
      </c>
      <c r="B766" t="str">
        <f>IFERROR(__xludf.DUMMYFUNCTION("""COMPUTED_VALUE"""),"VerifyViewAllocationOrder")</f>
        <v>VerifyViewAllocationOrder</v>
      </c>
      <c r="C766" t="str">
        <f>IFERROR(__xludf.DUMMYFUNCTION("""COMPUTED_VALUE"""),"1I3aVj-PRyRug4M5EDTw8espL6CeDhXPCYr5qa2gbwZk")</f>
        <v>1I3aVj-PRyRug4M5EDTw8espL6CeDhXPCYr5qa2gbwZk</v>
      </c>
    </row>
    <row r="767" ht="15.75" customHeight="1">
      <c r="A767" t="str">
        <f>IFERROR(__xludf.DUMMYFUNCTION("""COMPUTED_VALUE"""),"QTT")</f>
        <v>QTT</v>
      </c>
      <c r="B767" t="str">
        <f>IFERROR(__xludf.DUMMYFUNCTION("""COMPUTED_VALUE"""),"UseOrVerifyHotKeys")</f>
        <v>UseOrVerifyHotKeys</v>
      </c>
      <c r="C767" t="str">
        <f>IFERROR(__xludf.DUMMYFUNCTION("""COMPUTED_VALUE"""),"1ajjcbjqpEui4y62RzfJ-6ARI0W8GAhrdUmWCOsG_ovE")</f>
        <v>1ajjcbjqpEui4y62RzfJ-6ARI0W8GAhrdUmWCOsG_ovE</v>
      </c>
    </row>
    <row r="768" ht="15.75" customHeight="1">
      <c r="A768" t="str">
        <f>IFERROR(__xludf.DUMMYFUNCTION("""COMPUTED_VALUE"""),"QTT")</f>
        <v>QTT</v>
      </c>
      <c r="B768" t="str">
        <f>IFERROR(__xludf.DUMMYFUNCTION("""COMPUTED_VALUE"""),"BookmarkOrVerifyHotKeyinHamberg")</f>
        <v>BookmarkOrVerifyHotKeyinHamberg</v>
      </c>
      <c r="C768" t="str">
        <f>IFERROR(__xludf.DUMMYFUNCTION("""COMPUTED_VALUE"""),"1fqeJETrWs5bkb8u-VXsfp35T-5kIzPjT669RuSWt6gg")</f>
        <v>1fqeJETrWs5bkb8u-VXsfp35T-5kIzPjT669RuSWt6gg</v>
      </c>
    </row>
    <row r="769" ht="15.75" customHeight="1">
      <c r="A769" t="str">
        <f>IFERROR(__xludf.DUMMYFUNCTION("""COMPUTED_VALUE"""),"TradingTicket")</f>
        <v>TradingTicket</v>
      </c>
      <c r="B769" t="str">
        <f>IFERROR(__xludf.DUMMYFUNCTION("""COMPUTED_VALUE"""),"ShortLocateFromTT")</f>
        <v>ShortLocateFromTT</v>
      </c>
      <c r="C769" t="str">
        <f>IFERROR(__xludf.DUMMYFUNCTION("""COMPUTED_VALUE"""),"1saPgjE09_MBiqASRTSQboRMwRdUlFv6nzTocBZeFm-I")</f>
        <v>1saPgjE09_MBiqASRTSQboRMwRdUlFv6nzTocBZeFm-I</v>
      </c>
    </row>
    <row r="770" ht="15.75" customHeight="1">
      <c r="A770" t="str">
        <f>IFERROR(__xludf.DUMMYFUNCTION("""COMPUTED_VALUE"""),"TradingTicket")</f>
        <v>TradingTicket</v>
      </c>
      <c r="B770" t="str">
        <f>IFERROR(__xludf.DUMMYFUNCTION("""COMPUTED_VALUE"""),"VerifyShortLocateWindowOnTT")</f>
        <v>VerifyShortLocateWindowOnTT</v>
      </c>
      <c r="C770" t="str">
        <f>IFERROR(__xludf.DUMMYFUNCTION("""COMPUTED_VALUE"""),"1ljyVPm21FKmOvEmG0-JvPMTBuyG89a_7EGFToCoHgI4")</f>
        <v>1ljyVPm21FKmOvEmG0-JvPMTBuyG89a_7EGFToCoHgI4</v>
      </c>
    </row>
    <row r="771" ht="15.75" customHeight="1">
      <c r="A771" t="str">
        <f>IFERROR(__xludf.DUMMYFUNCTION("""COMPUTED_VALUE"""),"TradingTicket")</f>
        <v>TradingTicket</v>
      </c>
      <c r="B771" t="str">
        <f>IFERROR(__xludf.DUMMYFUNCTION("""COMPUTED_VALUE"""),"AlgoUIOperations")</f>
        <v>AlgoUIOperations</v>
      </c>
      <c r="C771" t="str">
        <f>IFERROR(__xludf.DUMMYFUNCTION("""COMPUTED_VALUE"""),"1uln1YXeeB893lpbmhI194peJcUUj4ODFhdM1AYcTVJo")</f>
        <v>1uln1YXeeB893lpbmhI194peJcUUj4ODFhdM1AYcTVJo</v>
      </c>
    </row>
    <row r="772" ht="15.75" customHeight="1">
      <c r="A772" t="str">
        <f>IFERROR(__xludf.DUMMYFUNCTION("""COMPUTED_VALUE"""),"TradingTicket")</f>
        <v>TradingTicket</v>
      </c>
      <c r="B772" t="str">
        <f>IFERROR(__xludf.DUMMYFUNCTION("""COMPUTED_VALUE"""),"UpdateShortLocateFromTT")</f>
        <v>UpdateShortLocateFromTT</v>
      </c>
      <c r="C772" t="str">
        <f>IFERROR(__xludf.DUMMYFUNCTION("""COMPUTED_VALUE"""),"13hfddjE8Z-71LhiEXSLwqUDRw6EbnSTKZU2vgV_dwUA")</f>
        <v>13hfddjE8Z-71LhiEXSLwqUDRw6EbnSTKZU2vgV_dwUA</v>
      </c>
    </row>
    <row r="773" ht="15.75" customHeight="1">
      <c r="A773" t="str">
        <f>IFERROR(__xludf.DUMMYFUNCTION("""COMPUTED_VALUE"""),"RTPNL")</f>
        <v>RTPNL</v>
      </c>
      <c r="B773" t="str">
        <f>IFERROR(__xludf.DUMMYFUNCTION("""COMPUTED_VALUE"""),"RenameTabs")</f>
        <v>RenameTabs</v>
      </c>
      <c r="C773" t="str">
        <f>IFERROR(__xludf.DUMMYFUNCTION("""COMPUTED_VALUE"""),"1K7LcioEl1sTwLRhqHc9go_7jNmUIRZNy9zBQLMgtBw8")</f>
        <v>1K7LcioEl1sTwLRhqHc9go_7jNmUIRZNy9zBQLMgtBw8</v>
      </c>
    </row>
    <row r="774" ht="15.75" customHeight="1">
      <c r="A774" t="str">
        <f>IFERROR(__xludf.DUMMYFUNCTION("""COMPUTED_VALUE"""),"RTPNL")</f>
        <v>RTPNL</v>
      </c>
      <c r="B774" t="str">
        <f>IFERROR(__xludf.DUMMYFUNCTION("""COMPUTED_VALUE"""),"ResizeEnsure")</f>
        <v>ResizeEnsure</v>
      </c>
      <c r="C774" t="str">
        <f>IFERROR(__xludf.DUMMYFUNCTION("""COMPUTED_VALUE"""),"1-peVyQ_nIwd8owwmtDtNW-yx12KQx2nHeYee6duB46M")</f>
        <v>1-peVyQ_nIwd8owwmtDtNW-yx12KQx2nHeYee6duB46M</v>
      </c>
    </row>
    <row r="775" ht="15.75" customHeight="1">
      <c r="A775" t="str">
        <f>IFERROR(__xludf.DUMMYFUNCTION("""COMPUTED_VALUE"""),"Admin")</f>
        <v>Admin</v>
      </c>
      <c r="B775" t="str">
        <f>IFERROR(__xludf.DUMMYFUNCTION("""COMPUTED_VALUE"""),"ClearRTPNLtabs")</f>
        <v>ClearRTPNLtabs</v>
      </c>
      <c r="C775" t="str">
        <f>IFERROR(__xludf.DUMMYFUNCTION("""COMPUTED_VALUE"""),"Undefined")</f>
        <v>Undefined</v>
      </c>
    </row>
    <row r="776" ht="15.75" customHeight="1">
      <c r="A776" t="str">
        <f>IFERROR(__xludf.DUMMYFUNCTION("""COMPUTED_VALUE"""),"RTPNL")</f>
        <v>RTPNL</v>
      </c>
      <c r="B776" t="str">
        <f>IFERROR(__xludf.DUMMYFUNCTION("""COMPUTED_VALUE"""),"AddTabRTPNL")</f>
        <v>AddTabRTPNL</v>
      </c>
      <c r="C776" t="str">
        <f>IFERROR(__xludf.DUMMYFUNCTION("""COMPUTED_VALUE"""),"18kG7vS-CfSLW8Q-ho416lyPlP36XJPPHA0cRbCk3vjU")</f>
        <v>18kG7vS-CfSLW8Q-ho416lyPlP36XJPPHA0cRbCk3vjU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IFERROR(__xludf.DUMMYFUNCTION("""COMPUTED_VALUE"""),"ResizeEnsureBlotter")</f>
        <v>ResizeEnsureBlotter</v>
      </c>
      <c r="C777" t="str">
        <f>IFERROR(__xludf.DUMMYFUNCTION("""COMPUTED_VALUE"""),"1Vu6zEtojqPkTWiW-oX7BwwpFj9Oi3-B6-sRrEsjiW0Y")</f>
        <v>1Vu6zEtojqPkTWiW-oX7BwwpFj9Oi3-B6-sRrEsjiW0Y</v>
      </c>
    </row>
    <row r="778" ht="15.75" customHeight="1">
      <c r="A778" t="str">
        <f>IFERROR(__xludf.DUMMYFUNCTION("""COMPUTED_VALUE"""),"Admin")</f>
        <v>Admin</v>
      </c>
      <c r="B778" t="str">
        <f>IFERROR(__xludf.DUMMYFUNCTION("""COMPUTED_VALUE"""),"ConfigUpdater")</f>
        <v>ConfigUpdater</v>
      </c>
      <c r="C778" t="str">
        <f>IFERROR(__xludf.DUMMYFUNCTION("""COMPUTED_VALUE"""),"19IDTIIOkGl6qufGANtXkELRoXFIlWB3icM0G4IJ5mg4")</f>
        <v>19IDTIIOkGl6qufGANtXkELRoXFIlWB3icM0G4IJ5mg4</v>
      </c>
    </row>
    <row r="779" ht="15.75" customHeight="1">
      <c r="A779" t="str">
        <f>IFERROR(__xludf.DUMMYFUNCTION("""COMPUTED_VALUE"""),"PortfolioManagement")</f>
        <v>PortfolioManagement</v>
      </c>
      <c r="B779" t="str">
        <f>IFERROR(__xludf.DUMMYFUNCTION("""COMPUTED_VALUE"""),"SelectTradeOnPM")</f>
        <v>SelectTradeOnPM</v>
      </c>
      <c r="C779" t="str">
        <f>IFERROR(__xludf.DUMMYFUNCTION("""COMPUTED_VALUE"""),"1_tBJjps2mULQyHra_AnC6BBvPbOko3FAY-kc11l7eTg")</f>
        <v>1_tBJjps2mULQyHra_AnC6BBvPbOko3FAY-kc11l7eTg</v>
      </c>
    </row>
    <row r="780" ht="15.75" customHeight="1">
      <c r="A780" t="str">
        <f>IFERROR(__xludf.DUMMYFUNCTION("""COMPUTED_VALUE"""),"TradingTicket")</f>
        <v>TradingTicket</v>
      </c>
      <c r="B780" t="str">
        <f>IFERROR(__xludf.DUMMYFUNCTION("""COMPUTED_VALUE"""),"ResetTT")</f>
        <v>ResetTT</v>
      </c>
      <c r="C780" t="str">
        <f>IFERROR(__xludf.DUMMYFUNCTION("""COMPUTED_VALUE"""),"Undefined")</f>
        <v>Undefined</v>
      </c>
    </row>
    <row r="781" ht="15.75" customHeight="1">
      <c r="A781" t="str">
        <f>IFERROR(__xludf.DUMMYFUNCTION("""COMPUTED_VALUE"""),"Unknown")</f>
        <v>Unknown</v>
      </c>
      <c r="B781" t="str">
        <f>IFERROR(__xludf.DUMMYFUNCTION("""COMPUTED_VALUE"""),"RightClickOperations")</f>
        <v>RightClickOperations</v>
      </c>
      <c r="C781" t="str">
        <f>IFERROR(__xludf.DUMMYFUNCTION("""COMPUTED_VALUE"""),"17jhCujI-0V0U3n5lzlkc-azSuwCa7rf-4KwcSInm9ts")</f>
        <v>17jhCujI-0V0U3n5lzlkc-azSuwCa7rf-4KwcSInm9ts</v>
      </c>
    </row>
    <row r="782" ht="15.75" customHeight="1">
      <c r="A782" t="str">
        <f>IFERROR(__xludf.DUMMYFUNCTION("""COMPUTED_VALUE"""),"Unknown")</f>
        <v>Unknown</v>
      </c>
      <c r="B782" t="str">
        <f>IFERROR(__xludf.DUMMYFUNCTION("""COMPUTED_VALUE"""),"RightClickAndClickOperations")</f>
        <v>RightClickAndClickOperations</v>
      </c>
      <c r="C782" t="str">
        <f>IFERROR(__xludf.DUMMYFUNCTION("""COMPUTED_VALUE"""),"1e9jtl9r57SkbYm3S4wbHtvkeG2KExZEiFSIkkRSaq-8")</f>
        <v>1e9jtl9r57SkbYm3S4wbHtvkeG2KExZEiFSIkkRSaq-8</v>
      </c>
    </row>
    <row r="783" ht="15.75" customHeight="1">
      <c r="A783" t="str">
        <f>IFERROR(__xludf.DUMMYFUNCTION("""COMPUTED_VALUE"""),"Compliance")</f>
        <v>Compliance</v>
      </c>
      <c r="B783" t="str">
        <f>IFERROR(__xludf.DUMMYFUNCTION("""COMPUTED_VALUE"""),"EnableDisableRule")</f>
        <v>EnableDisableRule</v>
      </c>
      <c r="C783" t="str">
        <f>IFERROR(__xludf.DUMMYFUNCTION("""COMPUTED_VALUE"""),"1ldCRZpDrvOW-37YQP92bnj-oqRl2rwy9OIebmA5GKXE")</f>
        <v>1ldCRZpDrvOW-37YQP92bnj-oqRl2rwy9OIebmA5GKXE</v>
      </c>
    </row>
    <row r="784" ht="15.75" customHeight="1">
      <c r="A784" t="str">
        <f>IFERROR(__xludf.DUMMYFUNCTION("""COMPUTED_VALUE"""),"Blotter")</f>
        <v>Blotter</v>
      </c>
      <c r="B784" t="str">
        <f>IFERROR(__xludf.DUMMYFUNCTION("""COMPUTED_VALUE"""),"BlotterToolBarAction")</f>
        <v>BlotterToolBarAction</v>
      </c>
      <c r="C784" t="str">
        <f>IFERROR(__xludf.DUMMYFUNCTION("""COMPUTED_VALUE"""),"1bI1kIBxH6qy8zi5tx46rN3vNgbmxbdwtAo1inrXDALs")</f>
        <v>1bI1kIBxH6qy8zi5tx46rN3vNgbmxbdwtAo1inrXDALs</v>
      </c>
    </row>
    <row r="785" ht="15.75" customHeight="1">
      <c r="A785" t="str">
        <f>IFERROR(__xludf.DUMMYFUNCTION("""COMPUTED_VALUE"""),"RTPNL")</f>
        <v>RTPNL</v>
      </c>
      <c r="B785" t="str">
        <f>IFERROR(__xludf.DUMMYFUNCTION("""COMPUTED_VALUE"""),"MergeWindows")</f>
        <v>MergeWindows</v>
      </c>
      <c r="C785" t="str">
        <f>IFERROR(__xludf.DUMMYFUNCTION("""COMPUTED_VALUE"""),"1pZKbazcV0BrTnrwUJDzFvhO3FsCsMSK7fYRZIKRCECk")</f>
        <v>1pZKbazcV0BrTnrwUJDzFvhO3FsCsMSK7fYRZIKRCECk</v>
      </c>
    </row>
    <row r="786" ht="15.75" customHeight="1">
      <c r="A786" t="str">
        <f>IFERROR(__xludf.DUMMYFUNCTION("""COMPUTED_VALUE"""),"PortfolioManagement")</f>
        <v>PortfolioManagement</v>
      </c>
      <c r="B786" t="str">
        <f>IFERROR(__xludf.DUMMYFUNCTION("""COMPUTED_VALUE"""),"OperationsonPM")</f>
        <v>OperationsonPM</v>
      </c>
      <c r="C786" t="str">
        <f>IFERROR(__xludf.DUMMYFUNCTION("""COMPUTED_VALUE"""),"13hKVogBv66c752V1EGUyqXp4dGESQOZLmMqIB56fbAs")</f>
        <v>13hKVogBv66c752V1EGUyqXp4dGESQOZLmMqIB56fbAs</v>
      </c>
    </row>
    <row r="787" ht="15.75" customHeight="1">
      <c r="A787" t="str">
        <f>IFERROR(__xludf.DUMMYFUNCTION("""COMPUTED_VALUE"""),"TradingTicket")</f>
        <v>TradingTicket</v>
      </c>
      <c r="B787" t="str">
        <f>IFERROR(__xludf.DUMMYFUNCTION("""COMPUTED_VALUE"""),"ResizeEnsureTT")</f>
        <v>ResizeEnsureTT</v>
      </c>
      <c r="C787" t="str">
        <f>IFERROR(__xludf.DUMMYFUNCTION("""COMPUTED_VALUE"""),"1X1m60ND44-Chxr6N4sH6Fqbh_pqzIH8Cfy3c89u2_lQ")</f>
        <v>1X1m60ND44-Chxr6N4sH6Fqbh_pqzIH8Cfy3c89u2_lQ</v>
      </c>
    </row>
    <row r="788" ht="15.75" customHeight="1">
      <c r="A788" t="str">
        <f>IFERROR(__xludf.DUMMYFUNCTION("""COMPUTED_VALUE"""),"Admin")</f>
        <v>Admin</v>
      </c>
      <c r="B788" t="str">
        <f>IFERROR(__xludf.DUMMYFUNCTION("""COMPUTED_VALUE"""),"AccountPermission")</f>
        <v>AccountPermission</v>
      </c>
      <c r="C788" t="str">
        <f>IFERROR(__xludf.DUMMYFUNCTION("""COMPUTED_VALUE"""),"1UuUydT-ajZCwnqdhLBG28JhRRgR6skh7CgWMlr5JFEw")</f>
        <v>1UuUydT-ajZCwnqdhLBG28JhRRgR6skh7CgWMlr5JFEw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IFERROR(__xludf.DUMMYFUNCTION("""COMPUTED_VALUE"""),"CreateOrViewModelPortfolio")</f>
        <v>CreateOrViewModelPortfolio</v>
      </c>
      <c r="C789" t="str">
        <f>IFERROR(__xludf.DUMMYFUNCTION("""COMPUTED_VALUE"""),"1vejknW_QiO0r5pMzMjOGCCsgwLVes4a3Ubx1l-0Mg1k")</f>
        <v>1vejknW_QiO0r5pMzMjOGCCsgwLVes4a3Ubx1l-0Mg1k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IFERROR(__xludf.DUMMYFUNCTION("""COMPUTED_VALUE"""),"VerifyModelPortfolio")</f>
        <v>VerifyModelPortfolio</v>
      </c>
      <c r="C790" t="str">
        <f>IFERROR(__xludf.DUMMYFUNCTION("""COMPUTED_VALUE"""),"1Tza5cx7NJ2J8vr_f6DC-KPhnXCzf7l1m0EERc6z_T-U")</f>
        <v>1Tza5cx7NJ2J8vr_f6DC-KPhnXCzf7l1m0EERc6z_T-U</v>
      </c>
    </row>
    <row r="791" ht="15.75" customHeight="1">
      <c r="A791" t="str">
        <f>IFERROR(__xludf.DUMMYFUNCTION("""COMPUTED_VALUE"""),"Allocation")</f>
        <v>Allocation</v>
      </c>
      <c r="B791" t="str">
        <f>IFERROR(__xludf.DUMMYFUNCTION("""COMPUTED_VALUE"""),"ReviewExistingPositions")</f>
        <v>ReviewExistingPositions</v>
      </c>
      <c r="C791" t="str">
        <f>IFERROR(__xludf.DUMMYFUNCTION("""COMPUTED_VALUE"""),"1KwYoTdpeW6LDhzloVKHp5buZqc8IjXEShjwnUx45Ql8")</f>
        <v>1KwYoTdpeW6LDhzloVKHp5buZqc8IjXEShjwnUx45Ql8</v>
      </c>
    </row>
    <row r="792" ht="15.75" customHeight="1">
      <c r="A792" t="str">
        <f>IFERROR(__xludf.DUMMYFUNCTION("""COMPUTED_VALUE"""),"PTT")</f>
        <v>PTT</v>
      </c>
      <c r="B792" t="str">
        <f>IFERROR(__xludf.DUMMYFUNCTION("""COMPUTED_VALUE"""),"OperationsonPTT")</f>
        <v>OperationsonPTT</v>
      </c>
      <c r="C792" t="str">
        <f>IFERROR(__xludf.DUMMYFUNCTION("""COMPUTED_VALUE"""),"1J40rCXEDilLEF_x0Wkeeg1lwGfejucV1VSY9UcyeSlw")</f>
        <v>1J40rCXEDilLEF_x0Wkeeg1lwGfejucV1VSY9UcyeSlw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IFERROR(__xludf.DUMMYFUNCTION("""COMPUTED_VALUE"""),"ImportOnRB")</f>
        <v>ImportOnRB</v>
      </c>
      <c r="C793" t="str">
        <f>IFERROR(__xludf.DUMMYFUNCTION("""COMPUTED_VALUE"""),"1EntkiGIsU6aSZPpMKhixdhGFyyVCmlI1jMgvbCFq3oM")</f>
        <v>1EntkiGIsU6aSZPpMKhixdhGFyyVCmlI1jMgvbCFq3oM</v>
      </c>
    </row>
    <row r="794" ht="15.75" customHeight="1">
      <c r="A794" t="str">
        <f>IFERROR(__xludf.DUMMYFUNCTION("""COMPUTED_VALUE"""),"Rebalancer")</f>
        <v>Rebalancer</v>
      </c>
      <c r="B794" t="str">
        <f>IFERROR(__xludf.DUMMYFUNCTION("""COMPUTED_VALUE"""),"VerifyImportGridRBForInvalidSec")</f>
        <v>VerifyImportGridRBForInvalidSec</v>
      </c>
      <c r="C794" t="str">
        <f>IFERROR(__xludf.DUMMYFUNCTION("""COMPUTED_VALUE"""),"13tlfzcOYlxn2sOASC-JNdqZmR9A1Cesa2Ah5348pLN8")</f>
        <v>13tlfzcOYlxn2sOASC-JNdqZmR9A1Cesa2Ah5348pLN8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IFERROR(__xludf.DUMMYFUNCTION("""COMPUTED_VALUE"""),"VerifyImportGridRBForValidSec")</f>
        <v>VerifyImportGridRBForValidSec</v>
      </c>
      <c r="C795" t="str">
        <f>IFERROR(__xludf.DUMMYFUNCTION("""COMPUTED_VALUE"""),"1KiLapuRaYEZfokVV1TZf8gTWNe8d9PblbpJsN983CaI")</f>
        <v>1KiLapuRaYEZfokVV1TZf8gTWNe8d9PblbpJsN983CaI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IFERROR(__xludf.DUMMYFUNCTION("""COMPUTED_VALUE"""),"Import")</f>
        <v>Import</v>
      </c>
      <c r="B797" t="str">
        <f>IFERROR(__xludf.DUMMYFUNCTION("""COMPUTED_VALUE"""),"ActionOnImport")</f>
        <v>ActionOnImport</v>
      </c>
      <c r="C797" t="str">
        <f>IFERROR(__xludf.DUMMYFUNCTION("""COMPUTED_VALUE"""),"1YM2boQt7BrzysPpsUbIqt27cfA6-btDPEZntG5NhBUc")</f>
        <v>1YM2boQt7BrzysPpsUbIqt27cfA6-btDPEZntG5NhBUc</v>
      </c>
    </row>
    <row r="798" ht="15.75" customHeight="1">
      <c r="A798" t="str">
        <f>IFERROR(__xludf.DUMMYFUNCTION("""COMPUTED_VALUE"""),"Import")</f>
        <v>Import</v>
      </c>
      <c r="B798" t="str">
        <f>IFERROR(__xludf.DUMMYFUNCTION("""COMPUTED_VALUE"""),"ValidateImportPositions")</f>
        <v>ValidateImportPositions</v>
      </c>
      <c r="C798" t="str">
        <f>IFERROR(__xludf.DUMMYFUNCTION("""COMPUTED_VALUE"""),"1ApMxUfr4smtwBJX_cppynzY1M99QXnDpTRjevjraQtA")</f>
        <v>1ApMxUfr4smtwBJX_cppynzY1M99QXnDpTRjevjraQtA</v>
      </c>
    </row>
    <row r="799" ht="15.75" customHeight="1">
      <c r="A799" t="str">
        <f>IFERROR(__xludf.DUMMYFUNCTION("""COMPUTED_VALUE"""),"DailyValuation")</f>
        <v>DailyValuation</v>
      </c>
      <c r="B799" t="str">
        <f>IFERROR(__xludf.DUMMYFUNCTION("""COMPUTED_VALUE"""),"UpdateMPAndFC")</f>
        <v>UpdateMPAndFC</v>
      </c>
      <c r="C799" t="str">
        <f>IFERROR(__xludf.DUMMYFUNCTION("""COMPUTED_VALUE"""),"1UCNfZng94LprScqCmSKImRjCwiKlLQU_e1kY1tum91I")</f>
        <v>1UCNfZng94LprScqCmSKImRjCwiKlLQU_e1kY1tum91I</v>
      </c>
    </row>
    <row r="800" ht="15.75" customHeight="1">
      <c r="A800" t="str">
        <f>IFERROR(__xludf.DUMMYFUNCTION("""COMPUTED_VALUE"""),"Rebalancer")</f>
        <v>Rebalancer</v>
      </c>
      <c r="B800" t="str">
        <f>IFERROR(__xludf.DUMMYFUNCTION("""COMPUTED_VALUE"""),"ActionOnTradeBuySellListView")</f>
        <v>ActionOnTradeBuySellListView</v>
      </c>
      <c r="C800" t="str">
        <f>IFERROR(__xludf.DUMMYFUNCTION("""COMPUTED_VALUE"""),"1xeJEpkdxtbik3vPUTkxALkXsnL-Vl5dF07PBUoheM3k")</f>
        <v>1xeJEpkdxtbik3vPUTkxALkXsnL-Vl5dF07PBUoheM3k</v>
      </c>
    </row>
    <row r="801" ht="15.75" customHeight="1">
      <c r="A801" t="str">
        <f>IFERROR(__xludf.DUMMYFUNCTION("""COMPUTED_VALUE"""),"Watchlist")</f>
        <v>Watchlist</v>
      </c>
      <c r="B801" t="str">
        <f>IFERROR(__xludf.DUMMYFUNCTION("""COMPUTED_VALUE"""),"SelectTradeWatchlist")</f>
        <v>SelectTradeWatchlist</v>
      </c>
      <c r="C801" t="str">
        <f>IFERROR(__xludf.DUMMYFUNCTION("""COMPUTED_VALUE"""),"1Wa9Q7PE7i3bZr_mTOkYG22qcEixSMbydeuL2lnyNfB0")</f>
        <v>1Wa9Q7PE7i3bZr_mTOkYG22qcEixSMbydeuL2lnyNfB0</v>
      </c>
    </row>
    <row r="802" ht="15.75" customHeight="1">
      <c r="A802" t="str">
        <f>IFERROR(__xludf.DUMMYFUNCTION("""COMPUTED_VALUE"""),"Watchlist")</f>
        <v>Watchlist</v>
      </c>
      <c r="B802" t="str">
        <f>IFERROR(__xludf.DUMMYFUNCTION("""COMPUTED_VALUE"""),"ActionOnWatchlist")</f>
        <v>ActionOnWatchlist</v>
      </c>
      <c r="C802" t="str">
        <f>IFERROR(__xludf.DUMMYFUNCTION("""COMPUTED_VALUE"""),"1Ex0VPpmT3E0nbSBahi-24Pfuba4HTTVDqcm5UWIEUUw")</f>
        <v>1Ex0VPpmT3E0nbSBahi-24Pfuba4HTTVDqcm5UWIEUUw</v>
      </c>
    </row>
    <row r="803" ht="15.75" customHeight="1">
      <c r="A803" t="str">
        <f>IFERROR(__xludf.DUMMYFUNCTION("""COMPUTED_VALUE"""),"Allocation")</f>
        <v>Allocation</v>
      </c>
      <c r="B803" t="str">
        <f>IFERROR(__xludf.DUMMYFUNCTION("""COMPUTED_VALUE"""),"OperationsonAllocation")</f>
        <v>OperationsonAllocation</v>
      </c>
      <c r="C803" t="str">
        <f>IFERROR(__xludf.DUMMYFUNCTION("""COMPUTED_VALUE"""),"1Ef_CfqtvCC0SoupZq61OQuLBg_r-ocFfZ5dScRXCuD4")</f>
        <v>1Ef_CfqtvCC0SoupZq61OQuLBg_r-ocFfZ5dScRXCuD4</v>
      </c>
    </row>
    <row r="804" ht="15.75" customHeight="1">
      <c r="A804" t="str">
        <f>IFERROR(__xludf.DUMMYFUNCTION("""COMPUTED_VALUE"""),"Blotter")</f>
        <v>Blotter</v>
      </c>
      <c r="B804" t="str">
        <f>IFERROR(__xludf.DUMMYFUNCTION("""COMPUTED_VALUE"""),"AddTabToFav")</f>
        <v>AddTabToFav</v>
      </c>
      <c r="C804" t="str">
        <f>IFERROR(__xludf.DUMMYFUNCTION("""COMPUTED_VALUE"""),"1Hrblc1gk4JIYboQ1lGHgl7HatAXp5amAl9mS58vzT-0")</f>
        <v>1Hrblc1gk4JIYboQ1lGHgl7HatAXp5amAl9mS58vzT-0</v>
      </c>
    </row>
    <row r="805" ht="15.75" customHeight="1">
      <c r="A805" t="str">
        <f>IFERROR(__xludf.DUMMYFUNCTION("""COMPUTED_VALUE"""),"Unknown")</f>
        <v>Unknown</v>
      </c>
      <c r="B805" t="str">
        <f>IFERROR(__xludf.DUMMYFUNCTION("""COMPUTED_VALUE"""),"CheckModStatus")</f>
        <v>CheckModStatus</v>
      </c>
      <c r="C805" t="str">
        <f>IFERROR(__xludf.DUMMYFUNCTION("""COMPUTED_VALUE"""),"1S0obfxcw-fBa8_NHZx6E2ddpXBy262moOyglnQyX8XA")</f>
        <v>1S0obfxcw-fBa8_NHZx6E2ddpXBy262moOyglnQyX8XA</v>
      </c>
    </row>
    <row r="806" ht="15.75" customHeight="1">
      <c r="A806" t="str">
        <f>IFERROR(__xludf.DUMMYFUNCTION("""COMPUTED_VALUE"""),"TradingTicket")</f>
        <v>TradingTicket</v>
      </c>
      <c r="B806" t="str">
        <f>IFERROR(__xludf.DUMMYFUNCTION("""COMPUTED_VALUE"""),"VerifyExecutionType")</f>
        <v>VerifyExecutionType</v>
      </c>
      <c r="C806" t="str">
        <f>IFERROR(__xludf.DUMMYFUNCTION("""COMPUTED_VALUE"""),"1GeLKG0YL6nDFQYX8NohWSG0yonppxuSHWgOuwLzEWwI")</f>
        <v>1GeLKG0YL6nDFQYX8NohWSG0yonppxuSHWgOuwLzEWwI</v>
      </c>
    </row>
    <row r="807" ht="15.75" customHeight="1">
      <c r="A807" t="str">
        <f>IFERROR(__xludf.DUMMYFUNCTION("""COMPUTED_VALUE"""),"OpenFin")</f>
        <v>OpenFin</v>
      </c>
      <c r="B807" t="str">
        <f>IFERROR(__xludf.DUMMYFUNCTION("""COMPUTED_VALUE"""),"VerifyNotification")</f>
        <v>VerifyNotification</v>
      </c>
      <c r="C807" t="str">
        <f>IFERROR(__xludf.DUMMYFUNCTION("""COMPUTED_VALUE"""),"1rm7dGZ4-j6MPtyiMlJDHnZgIjnFk8Hv19VRPaPCgUMY")</f>
        <v>1rm7dGZ4-j6MPtyiMlJDHnZgIjnFk8Hv19VRPaPCgUMY</v>
      </c>
    </row>
    <row r="808" ht="15.75" customHeight="1">
      <c r="A808" t="str">
        <f>IFERROR(__xludf.DUMMYFUNCTION("""COMPUTED_VALUE"""),"TradingTicket")</f>
        <v>TradingTicket</v>
      </c>
      <c r="B808" t="str">
        <f>IFERROR(__xludf.DUMMYFUNCTION("""COMPUTED_VALUE"""),"VerifyPopupAlignment")</f>
        <v>VerifyPopupAlignment</v>
      </c>
      <c r="C808" t="str">
        <f>IFERROR(__xludf.DUMMYFUNCTION("""COMPUTED_VALUE"""),"1PAyxzLHPOj64pXbS5W7uBsuT035g_GlIT1xXUjFNRUk")</f>
        <v>1PAyxzLHPOj64pXbS5W7uBsuT035g_GlIT1xXUjFNRUk</v>
      </c>
    </row>
    <row r="809" ht="15.75" customHeight="1">
      <c r="A809" t="str">
        <f>IFERROR(__xludf.DUMMYFUNCTION("""COMPUTED_VALUE"""),"TradingTicket")</f>
        <v>TradingTicket</v>
      </c>
      <c r="B809" t="str">
        <f>IFERROR(__xludf.DUMMYFUNCTION("""COMPUTED_VALUE"""),"SelectET")</f>
        <v>SelectET</v>
      </c>
      <c r="C809" t="str">
        <f>IFERROR(__xludf.DUMMYFUNCTION("""COMPUTED_VALUE"""),"1Tpuk-xqnvfBtaWXtAffyW0Chu9RCysO1V7PE2wbI7Xk")</f>
        <v>1Tpuk-xqnvfBtaWXtAffyW0Chu9RCysO1V7PE2wbI7Xk</v>
      </c>
    </row>
    <row r="810" ht="15.75" customHeight="1">
      <c r="A810" t="str">
        <f>IFERROR(__xludf.DUMMYFUNCTION("""COMPUTED_VALUE"""),"RTPNL")</f>
        <v>RTPNL</v>
      </c>
      <c r="B810" t="str">
        <f>IFERROR(__xludf.DUMMYFUNCTION("""COMPUTED_VALUE"""),"Grouping")</f>
        <v>Grouping</v>
      </c>
      <c r="C810" t="str">
        <f>IFERROR(__xludf.DUMMYFUNCTION("""COMPUTED_VALUE"""),"1FNoxwXRCCjvm8HYhDo2XZGdWYdZNzY2Jh0ibkuVHNWo")</f>
        <v>1FNoxwXRCCjvm8HYhDo2XZGdWYdZNzY2Jh0ibkuVHNWo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IFERROR(__xludf.DUMMYFUNCTION("""COMPUTED_VALUE"""),"RollOverContextMenu")</f>
        <v>RollOverContextMenu</v>
      </c>
      <c r="C811" t="str">
        <f>IFERROR(__xludf.DUMMYFUNCTION("""COMPUTED_VALUE"""),"1d45ieJRLC6DQ7t19pclAZz5EI6hBsZ5_VdNJYb3VsNc")</f>
        <v>1d45ieJRLC6DQ7t19pclAZz5EI6hBsZ5_VdNJYb3VsNc</v>
      </c>
    </row>
    <row r="812" ht="15.75" customHeight="1">
      <c r="A812" t="str">
        <f>IFERROR(__xludf.DUMMYFUNCTION("""COMPUTED_VALUE"""),"PTT")</f>
        <v>PTT</v>
      </c>
      <c r="B812" t="str">
        <f>IFERROR(__xludf.DUMMYFUNCTION("""COMPUTED_VALUE"""),"RefreshCalculation")</f>
        <v>RefreshCalculation</v>
      </c>
    </row>
    <row r="813" ht="15.75" customHeight="1">
      <c r="A813" t="str">
        <f>IFERROR(__xludf.DUMMYFUNCTION("""COMPUTED_VALUE"""),"Blotter")</f>
        <v>Blotter</v>
      </c>
      <c r="B813" t="str">
        <f>IFERROR(__xludf.DUMMYFUNCTION("""COMPUTED_VALUE"""),"BookAsSwap")</f>
        <v>BookAsSwap</v>
      </c>
      <c r="C813" t="str">
        <f>IFERROR(__xludf.DUMMYFUNCTION("""COMPUTED_VALUE"""),"1tnkP5eD3WH53SXu2O-MWk6774J7b5ihwlD7r9dGtpiY")</f>
        <v>1tnkP5eD3WH53SXu2O-MWk6774J7b5ihwlD7r9dGtpiY</v>
      </c>
    </row>
    <row r="814" ht="15.75" customHeight="1">
      <c r="A814" t="str">
        <f>IFERROR(__xludf.DUMMYFUNCTION("""COMPUTED_VALUE"""),"QTT")</f>
        <v>QTT</v>
      </c>
      <c r="B814" t="str">
        <f>IFERROR(__xludf.DUMMYFUNCTION("""COMPUTED_VALUE"""),"VerifyQTT")</f>
        <v>VerifyQTT</v>
      </c>
      <c r="C814" t="str">
        <f>IFERROR(__xludf.DUMMYFUNCTION("""COMPUTED_VALUE"""),"1bs3VigXRg4VZR5W48lKm11EcEjEpmUCnBNDHffPRbIQ")</f>
        <v>1bs3VigXRg4VZR5W48lKm11EcEjEpmUCnBNDHffPRbIQ</v>
      </c>
    </row>
    <row r="815" ht="15.75" customHeight="1">
      <c r="A815" t="str">
        <f>IFERROR(__xludf.DUMMYFUNCTION("""COMPUTED_VALUE"""),"Blotter")</f>
        <v>Blotter</v>
      </c>
      <c r="B815" t="str">
        <f>IFERROR(__xludf.DUMMYFUNCTION("""COMPUTED_VALUE"""),"ActionOnFloatingWindow")</f>
        <v>ActionOnFloatingWindow</v>
      </c>
      <c r="C815" t="str">
        <f>IFERROR(__xludf.DUMMYFUNCTION("""COMPUTED_VALUE"""),"1tFNUPT3PXgCKRnnehGwo6OF7EhLu13UJ8Elfq83HArE")</f>
        <v>1tFNUPT3PXgCKRnnehGwo6OF7EhLu13UJ8Elfq83HArE</v>
      </c>
    </row>
    <row r="816" ht="15.75" customHeight="1">
      <c r="A816" t="str">
        <f>IFERROR(__xludf.DUMMYFUNCTION("""COMPUTED_VALUE"""),"OpenFin")</f>
        <v>OpenFin</v>
      </c>
      <c r="B816" t="str">
        <f>IFERROR(__xludf.DUMMYFUNCTION("""COMPUTED_VALUE"""),"LockUnlockModule")</f>
        <v>LockUnlockModule</v>
      </c>
      <c r="C816" t="str">
        <f>IFERROR(__xludf.DUMMYFUNCTION("""COMPUTED_VALUE"""),"179D0kPRO8f_KLxd7hs6seM9XGxpL-u1rhIhNgFVePsQ")</f>
        <v>179D0kPRO8f_KLxd7hs6seM9XGxpL-u1rhIhNgFVePsQ</v>
      </c>
    </row>
    <row r="817" ht="15.75" customHeight="1">
      <c r="A817" t="str">
        <f>IFERROR(__xludf.DUMMYFUNCTION("""COMPUTED_VALUE"""),"OpenFin")</f>
        <v>OpenFin</v>
      </c>
      <c r="B817" t="str">
        <f>IFERROR(__xludf.DUMMYFUNCTION("""COMPUTED_VALUE"""),"OpenModule")</f>
        <v>OpenModule</v>
      </c>
      <c r="C817" t="str">
        <f>IFERROR(__xludf.DUMMYFUNCTION("""COMPUTED_VALUE"""),"1IdmD7l42pWNjFNVt_7UwbOO7y5tDxaXr7tE60c9ETLw")</f>
        <v>1IdmD7l42pWNjFNVt_7UwbOO7y5tDxaXr7tE60c9ETLw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IFERROR(__xludf.DUMMYFUNCTION("""COMPUTED_VALUE"""),"EnableOrVerifyHotButton")</f>
        <v>EnableOrVerifyHotButton</v>
      </c>
      <c r="C818" t="str">
        <f>IFERROR(__xludf.DUMMYFUNCTION("""COMPUTED_VALUE"""),"1wa8x9d9kPOHEp49mT2DEW0cyjjOClvAgixk1H2w-Tos")</f>
        <v>1wa8x9d9kPOHEp49mT2DEW0cyjjOClvAgixk1H2w-Tos</v>
      </c>
    </row>
    <row r="819" ht="15.75" customHeight="1">
      <c r="A819" t="str">
        <f>IFERROR(__xludf.DUMMYFUNCTION("""COMPUTED_VALUE"""),"TradeServer")</f>
        <v>TradeServer</v>
      </c>
      <c r="B819" t="str">
        <f>IFERROR(__xludf.DUMMYFUNCTION("""COMPUTED_VALUE"""),"RestartServerOnly")</f>
        <v>RestartServerOnly</v>
      </c>
      <c r="C819" t="str">
        <f>IFERROR(__xludf.DUMMYFUNCTION("""COMPUTED_VALUE"""),"Undefined")</f>
        <v>Undefined</v>
      </c>
    </row>
    <row r="820" ht="15.75" customHeight="1">
      <c r="A820" t="str">
        <f>IFERROR(__xludf.DUMMYFUNCTION("""COMPUTED_VALUE"""),"Blotter")</f>
        <v>Blotter</v>
      </c>
      <c r="B820" t="str">
        <f>IFERROR(__xludf.DUMMYFUNCTION("""COMPUTED_VALUE"""),"VerifyFilterUiRC")</f>
        <v>VerifyFilterUiRC</v>
      </c>
      <c r="C820" t="str">
        <f>IFERROR(__xludf.DUMMYFUNCTION("""COMPUTED_VALUE"""),"1QQZEZqPXfPnxfNID2a3__xw8RnEAn77igg5Q32S3Sm0")</f>
        <v>1QQZEZqPXfPnxfNID2a3__xw8RnEAn77igg5Q32S3Sm0</v>
      </c>
    </row>
    <row r="821" ht="15.75" customHeight="1">
      <c r="A821" t="str">
        <f>IFERROR(__xludf.DUMMYFUNCTION("""COMPUTED_VALUE"""),"TradingTicket")</f>
        <v>TradingTicket</v>
      </c>
      <c r="B821" t="str">
        <f>IFERROR(__xludf.DUMMYFUNCTION("""COMPUTED_VALUE"""),"SymbolSuggestionVerify")</f>
        <v>SymbolSuggestionVerify</v>
      </c>
      <c r="C821" t="str">
        <f>IFERROR(__xludf.DUMMYFUNCTION("""COMPUTED_VALUE"""),"14aTeLjmUbS-nhaQwjtZAMGxdQ5DS6UsBjE5OTWN-LQU")</f>
        <v>14aTeLjmUbS-nhaQwjtZAMGxdQ5DS6UsBjE5OTWN-LQU</v>
      </c>
    </row>
    <row r="822" ht="15.75" customHeight="1">
      <c r="A822" t="str">
        <f>IFERROR(__xludf.DUMMYFUNCTION("""COMPUTED_VALUE"""),"Blotter")</f>
        <v>Blotter</v>
      </c>
      <c r="B822" t="str">
        <f>IFERROR(__xludf.DUMMYFUNCTION("""COMPUTED_VALUE"""),"CreateHotButtonOnBlotter")</f>
        <v>CreateHotButtonOnBlotter</v>
      </c>
      <c r="C822" t="str">
        <f>IFERROR(__xludf.DUMMYFUNCTION("""COMPUTED_VALUE"""),"1Yu7Fb6AjhUP8b-KuRJvgAwq8TykNK6BDh9F0Xpf12Ek")</f>
        <v>1Yu7Fb6AjhUP8b-KuRJvgAwq8TykNK6BDh9F0Xpf12Ek</v>
      </c>
    </row>
    <row r="823" ht="15.75" customHeight="1">
      <c r="A823" t="str">
        <f>IFERROR(__xludf.DUMMYFUNCTION("""COMPUTED_VALUE"""),"Blotter")</f>
        <v>Blotter</v>
      </c>
      <c r="B823" t="str">
        <f>IFERROR(__xludf.DUMMYFUNCTION("""COMPUTED_VALUE"""),"FillHBdetailsOnBlotter")</f>
        <v>FillHBdetailsOnBlotter</v>
      </c>
      <c r="C823" t="str">
        <f>IFERROR(__xludf.DUMMYFUNCTION("""COMPUTED_VALUE"""),"13Isj5c5k8kObxI-GBT6Ir9VBOz_46lzhwVxXXVP8jQU")</f>
        <v>13Isj5c5k8kObxI-GBT6Ir9VBOz_46lzhwVxXXVP8jQU</v>
      </c>
    </row>
    <row r="824" ht="15.75" customHeight="1">
      <c r="A824" t="str">
        <f>IFERROR(__xludf.DUMMYFUNCTION("""COMPUTED_VALUE"""),"TradingTicket")</f>
        <v>TradingTicket</v>
      </c>
      <c r="B824" t="str">
        <f>IFERROR(__xludf.DUMMYFUNCTION("""COMPUTED_VALUE"""),"EditAuecWindow")</f>
        <v>EditAuecWindow</v>
      </c>
      <c r="C824" t="str">
        <f>IFERROR(__xludf.DUMMYFUNCTION("""COMPUTED_VALUE"""),"1ottlNphVbp0AC-UFd-HlDpCLwOA2yWO1pN6eR3ML7vA")</f>
        <v>1ottlNphVbp0AC-UFd-HlDpCLwOA2yWO1pN6eR3ML7vA</v>
      </c>
    </row>
    <row r="825" ht="15.75" customHeight="1">
      <c r="A825" t="str">
        <f>IFERROR(__xludf.DUMMYFUNCTION("""COMPUTED_VALUE"""),"TradingTicket")</f>
        <v>TradingTicket</v>
      </c>
      <c r="B825" t="str">
        <f>IFERROR(__xludf.DUMMYFUNCTION("""COMPUTED_VALUE"""),"VerifyBrokerSummary")</f>
        <v>VerifyBrokerSummary</v>
      </c>
      <c r="C825" t="str">
        <f>IFERROR(__xludf.DUMMYFUNCTION("""COMPUTED_VALUE"""),"11hMxlfIQYwM8vPN2h--IGp7O02EDFbvJ4CSvjSfGsMY")</f>
        <v>11hMxlfIQYwM8vPN2h--IGp7O02EDFbvJ4CSvjSfGsMY</v>
      </c>
    </row>
    <row r="826" ht="15.75" customHeight="1">
      <c r="A826" t="str">
        <f>IFERROR(__xludf.DUMMYFUNCTION("""COMPUTED_VALUE"""),"QTT")</f>
        <v>QTT</v>
      </c>
      <c r="B826" t="str">
        <f>IFERROR(__xludf.DUMMYFUNCTION("""COMPUTED_VALUE"""),"EditAuecWindowQTT")</f>
        <v>EditAuecWindowQTT</v>
      </c>
      <c r="C826" t="str">
        <f>IFERROR(__xludf.DUMMYFUNCTION("""COMPUTED_VALUE"""),"1oI_WY3xKQgSjp5JN67BMHtm3zazX5ZiMATISa2ssGB0")</f>
        <v>1oI_WY3xKQgSjp5JN67BMHtm3zazX5ZiMATISa2ssGB0</v>
      </c>
    </row>
    <row r="827" ht="15.75" customHeight="1">
      <c r="A827" t="str">
        <f>IFERROR(__xludf.DUMMYFUNCTION("""COMPUTED_VALUE"""),"QTT")</f>
        <v>QTT</v>
      </c>
      <c r="B827" t="str">
        <f>IFERROR(__xludf.DUMMYFUNCTION("""COMPUTED_VALUE"""),"VerifyBrokerSummaryQTT")</f>
        <v>VerifyBrokerSummaryQTT</v>
      </c>
      <c r="C827" t="str">
        <f>IFERROR(__xludf.DUMMYFUNCTION("""COMPUTED_VALUE"""),"1O6-eqYsZqtvYR6DOH7UM2_Jwpq9pB9uyZvgh5vEhVAI")</f>
        <v>1O6-eqYsZqtvYR6DOH7UM2_Jwpq9pB9uyZvgh5vEhVAI</v>
      </c>
    </row>
    <row r="828" ht="15.75" customHeight="1">
      <c r="A828" t="str">
        <f>IFERROR(__xludf.DUMMYFUNCTION("""COMPUTED_VALUE"""),"QTT")</f>
        <v>QTT</v>
      </c>
      <c r="B828" t="str">
        <f>IFERROR(__xludf.DUMMYFUNCTION("""COMPUTED_VALUE"""),"SaveQTThotKey")</f>
        <v>SaveQTThotKey</v>
      </c>
      <c r="C828" t="str">
        <f>IFERROR(__xludf.DUMMYFUNCTION("""COMPUTED_VALUE"""),"Undefined")</f>
        <v>Undefined</v>
      </c>
    </row>
    <row r="829" ht="15.75" customHeight="1">
      <c r="A829" t="str">
        <f>IFERROR(__xludf.DUMMYFUNCTION("""COMPUTED_VALUE"""),"Blotter")</f>
        <v>Blotter</v>
      </c>
      <c r="B829" t="str">
        <f>IFERROR(__xludf.DUMMYFUNCTION("""COMPUTED_VALUE"""),"BlotterColumnChooser")</f>
        <v>BlotterColumnChooser</v>
      </c>
      <c r="C829" t="str">
        <f>IFERROR(__xludf.DUMMYFUNCTION("""COMPUTED_VALUE"""),"12428TbyucuJDD3KuN7QG-GyRYI3gcoyDNKTQ2UpgGMQ")</f>
        <v>12428TbyucuJDD3KuN7QG-GyRYI3gcoyDNKTQ2UpgGMQ</v>
      </c>
    </row>
    <row r="830" ht="15.75" customHeight="1">
      <c r="A830" t="str">
        <f>IFERROR(__xludf.DUMMYFUNCTION("""COMPUTED_VALUE"""),"RTPNL")</f>
        <v>RTPNL</v>
      </c>
      <c r="B830" t="str">
        <f>IFERROR(__xludf.DUMMYFUNCTION("""COMPUTED_VALUE"""),"CreateGroupingWidget")</f>
        <v>CreateGroupingWidget</v>
      </c>
      <c r="C830" t="str">
        <f>IFERROR(__xludf.DUMMYFUNCTION("""COMPUTED_VALUE"""),"1ctXhgvJgrqqe8ees0907Up0TKq9pCEhinMlZnRGqKdY")</f>
        <v>1ctXhgvJgrqqe8ees0907Up0TKq9pCEhinMlZnRGqKdY</v>
      </c>
    </row>
    <row r="831" ht="15.75" customHeight="1">
      <c r="A831" t="str">
        <f>IFERROR(__xludf.DUMMYFUNCTION("""COMPUTED_VALUE"""),"RTPNL")</f>
        <v>RTPNL</v>
      </c>
      <c r="B831" t="str">
        <f>IFERROR(__xludf.DUMMYFUNCTION("""COMPUTED_VALUE"""),"CheckGroupingWidget")</f>
        <v>CheckGroupingWidget</v>
      </c>
      <c r="C831" t="str">
        <f>IFERROR(__xludf.DUMMYFUNCTION("""COMPUTED_VALUE"""),"16mimyUFzQ0Ojogh0t4Evjy-tjzAJ67xgIrWeTNmBdw0")</f>
        <v>16mimyUFzQ0Ojogh0t4Evjy-tjzAJ67xgIrWeTNmBdw0</v>
      </c>
    </row>
    <row r="832" ht="15.75" customHeight="1">
      <c r="A832" t="str">
        <f>IFERROR(__xludf.DUMMYFUNCTION("""COMPUTED_VALUE"""),"TradingTicket")</f>
        <v>TradingTicket</v>
      </c>
      <c r="B832" t="str">
        <f>IFERROR(__xludf.DUMMYFUNCTION("""COMPUTED_VALUE"""),"QTTHamburg")</f>
        <v>QTTHamburg</v>
      </c>
      <c r="C832" t="str">
        <f>IFERROR(__xludf.DUMMYFUNCTION("""COMPUTED_VALUE"""),"1pdXDcLRWAl2b2L88lHCntj01OLBjVHaNAdGG8OHa4hA")</f>
        <v>1pdXDcLRWAl2b2L88lHCntj01OLBjVHaNAdGG8OHa4hA</v>
      </c>
    </row>
    <row r="833" ht="15.75" customHeight="1">
      <c r="A833" t="str">
        <f>IFERROR(__xludf.DUMMYFUNCTION("""COMPUTED_VALUE"""),"RTPNL")</f>
        <v>RTPNL</v>
      </c>
      <c r="B833" t="str">
        <f>IFERROR(__xludf.DUMMYFUNCTION("""COMPUTED_VALUE"""),"VerifyL1L2PanelRTPNL")</f>
        <v>VerifyL1L2PanelRTPNL</v>
      </c>
      <c r="C833" t="str">
        <f>IFERROR(__xludf.DUMMYFUNCTION("""COMPUTED_VALUE"""),"1cQo_rX9O9XHFILj0ICV1GAU_RdtTKYlclT20jg9G7hg")</f>
        <v>1cQo_rX9O9XHFILj0ICV1GAU_RdtTKYlclT20jg9G7hg</v>
      </c>
    </row>
    <row r="834" ht="15.75" customHeight="1">
      <c r="A834" t="str">
        <f>IFERROR(__xludf.DUMMYFUNCTION("""COMPUTED_VALUE"""),"Blotter")</f>
        <v>Blotter</v>
      </c>
      <c r="B834" t="str">
        <f>IFERROR(__xludf.DUMMYFUNCTION("""COMPUTED_VALUE"""),"CaptureHotButtonDetails")</f>
        <v>CaptureHotButtonDetails</v>
      </c>
      <c r="C834" t="str">
        <f>IFERROR(__xludf.DUMMYFUNCTION("""COMPUTED_VALUE"""),"16Dail-EoPWyIhwRzxyvr-EY1IE8jJTUQDarvGnXioxI")</f>
        <v>16Dail-EoPWyIhwRzxyvr-EY1IE8jJTUQDarvGnXioxI</v>
      </c>
    </row>
    <row r="835" ht="15.75" customHeight="1">
      <c r="A835" t="str">
        <f>IFERROR(__xludf.DUMMYFUNCTION("""COMPUTED_VALUE"""),"QTT")</f>
        <v>QTT</v>
      </c>
      <c r="B835" t="str">
        <f>IFERROR(__xludf.DUMMYFUNCTION("""COMPUTED_VALUE"""),"EditQuickPreference")</f>
        <v>EditQuickPreference</v>
      </c>
      <c r="C835" t="str">
        <f>IFERROR(__xludf.DUMMYFUNCTION("""COMPUTED_VALUE"""),"133vNW3loXmIKhcuaiCwGIGXOULCttZuJZtPfA4s37vw")</f>
        <v>133vNW3loXmIKhcuaiCwGIGXOULCttZuJZtPfA4s37vw</v>
      </c>
    </row>
    <row r="836" ht="15.75" customHeight="1">
      <c r="A836" t="str">
        <f>IFERROR(__xludf.DUMMYFUNCTION("""COMPUTED_VALUE"""),"Blotter")</f>
        <v>Blotter</v>
      </c>
      <c r="B836" t="str">
        <f>IFERROR(__xludf.DUMMYFUNCTION("""COMPUTED_VALUE"""),"RightClickActionVerification")</f>
        <v>RightClickActionVerification</v>
      </c>
      <c r="C836" t="str">
        <f>IFERROR(__xludf.DUMMYFUNCTION("""COMPUTED_VALUE"""),"11EX1Ln-BQAtx9NTd9zfcaia52FGNdZENDW2kwMCJ8HQ")</f>
        <v>11EX1Ln-BQAtx9NTd9zfcaia52FGNdZENDW2kwMCJ8HQ</v>
      </c>
    </row>
    <row r="837" ht="15.75" customHeight="1">
      <c r="A837" t="str">
        <f>IFERROR(__xludf.DUMMYFUNCTION("""COMPUTED_VALUE"""),"Admin")</f>
        <v>Admin</v>
      </c>
      <c r="B837" t="str">
        <f>IFERROR(__xludf.DUMMYFUNCTION("""COMPUTED_VALUE"""),"ChangeDate")</f>
        <v>ChangeDate</v>
      </c>
      <c r="C837" t="str">
        <f>IFERROR(__xludf.DUMMYFUNCTION("""COMPUTED_VALUE"""),"1P5fd0ftHTs8WR6XF70cltzN5BPur7V01OcYEMpPEMVE")</f>
        <v>1P5fd0ftHTs8WR6XF70cltzN5BPur7V01OcYEMpPEMVE</v>
      </c>
    </row>
    <row r="838" ht="15.75" customHeight="1">
      <c r="A838" t="str">
        <f>IFERROR(__xludf.DUMMYFUNCTION("""COMPUTED_VALUE"""),"Simulator")</f>
        <v>Simulator</v>
      </c>
      <c r="B838" t="str">
        <f>IFERROR(__xludf.DUMMYFUNCTION("""COMPUTED_VALUE"""),"NewAcknowledgeTrade")</f>
        <v>NewAcknowledgeTrade</v>
      </c>
      <c r="C838" t="str">
        <f>IFERROR(__xludf.DUMMYFUNCTION("""COMPUTED_VALUE"""),"1H8R-FdslnMhiBZjAanQN5V9z26E47VjoaeJWQdGZ2pU")</f>
        <v>1H8R-FdslnMhiBZjAanQN5V9z26E47VjoaeJWQdGZ2pU</v>
      </c>
    </row>
    <row r="839" ht="15.75" customHeight="1">
      <c r="A839" t="str">
        <f>IFERROR(__xludf.DUMMYFUNCTION("""COMPUTED_VALUE"""),"Expnl")</f>
        <v>Expnl</v>
      </c>
      <c r="B839" t="str">
        <f>IFERROR(__xludf.DUMMYFUNCTION("""COMPUTED_VALUE"""),"RefreshExpnlUi")</f>
        <v>RefreshExpnlUi</v>
      </c>
      <c r="C839" t="str">
        <f>IFERROR(__xludf.DUMMYFUNCTION("""COMPUTED_VALUE"""),"Undefined")</f>
        <v>Undefined</v>
      </c>
    </row>
    <row r="840" ht="15.75" customHeight="1">
      <c r="A840" t="str">
        <f>IFERROR(__xludf.DUMMYFUNCTION("""COMPUTED_VALUE"""),"Login")</f>
        <v>Login</v>
      </c>
      <c r="B840" t="str">
        <f>IFERROR(__xludf.DUMMYFUNCTION("""COMPUTED_VALUE"""),"Login")</f>
        <v>Login</v>
      </c>
      <c r="C840" t="str">
        <f>IFERROR(__xludf.DUMMYFUNCTION("""COMPUTED_VALUE"""),"1h2sRUHjYrqBoat9XZmeAKHMMSq2oOw6WueOx5S6xZsQ")</f>
        <v>1h2sRUHjYrqBoat9XZmeAKHMMSq2oOw6WueOx5S6xZsQ</v>
      </c>
    </row>
    <row r="841" ht="15.75" customHeight="1">
      <c r="A841" t="str">
        <f>IFERROR(__xludf.DUMMYFUNCTION("""COMPUTED_VALUE"""),"PranaClient")</f>
        <v>PranaClient</v>
      </c>
      <c r="B841" t="str">
        <f>IFERROR(__xludf.DUMMYFUNCTION("""COMPUTED_VALUE"""),"LoginClient")</f>
        <v>LoginClient</v>
      </c>
      <c r="C841" t="str">
        <f>IFERROR(__xludf.DUMMYFUNCTION("""COMPUTED_VALUE"""),"1zfvz-aZrAcrVcCZFJj3FAv1GqBrnIiDpgU-TteWVAOw")</f>
        <v>1zfvz-aZrAcrVcCZFJj3FAv1GqBrnIiDpgU-TteWVAOw</v>
      </c>
    </row>
    <row r="842" ht="15.75" customHeight="1">
      <c r="A842" t="str">
        <f>IFERROR(__xludf.DUMMYFUNCTION("""COMPUTED_VALUE"""),"PranaClient")</f>
        <v>PranaClient</v>
      </c>
      <c r="B842" t="str">
        <f>IFERROR(__xludf.DUMMYFUNCTION("""COMPUTED_VALUE"""),"Action")</f>
        <v>Action</v>
      </c>
      <c r="C842" t="str">
        <f>IFERROR(__xludf.DUMMYFUNCTION("""COMPUTED_VALUE"""),"16YwhwfE3ekYXCEMATeZ129RipXXg6a0WjcUVWOBSLF4")</f>
        <v>16YwhwfE3ekYXCEMATeZ129RipXXg6a0WjcUVWOBSLF4</v>
      </c>
    </row>
    <row r="843" ht="15.75" customHeight="1">
      <c r="A843" t="str">
        <f>IFERROR(__xludf.DUMMYFUNCTION("""COMPUTED_VALUE"""),"Blotter")</f>
        <v>Blotter</v>
      </c>
      <c r="B843" t="str">
        <f>IFERROR(__xludf.DUMMYFUNCTION("""COMPUTED_VALUE"""),"ManageHotButton")</f>
        <v>ManageHotButton</v>
      </c>
      <c r="C843" t="str">
        <f>IFERROR(__xludf.DUMMYFUNCTION("""COMPUTED_VALUE"""),"1kQpkPRi_1u4R3VazjhiilbOI8OkiiHRY2wfgByau1YY")</f>
        <v>1kQpkPRi_1u4R3VazjhiilbOI8OkiiHRY2wfgByau1YY</v>
      </c>
    </row>
    <row r="844" ht="15.75" customHeight="1">
      <c r="A844" t="str">
        <f>IFERROR(__xludf.DUMMYFUNCTION("""COMPUTED_VALUE"""),"RTPNL")</f>
        <v>RTPNL</v>
      </c>
      <c r="B844" t="str">
        <f>IFERROR(__xludf.DUMMYFUNCTION("""COMPUTED_VALUE"""),"UpdateLiveExcelSheetForRTPNL")</f>
        <v>UpdateLiveExcelSheetForRTPNL</v>
      </c>
      <c r="C844" t="str">
        <f>IFERROR(__xludf.DUMMYFUNCTION("""COMPUTED_VALUE"""),"1OudrUjxjY2n0zzZ-I7rurAZeLoeWMTEA6EOQyCYB7zs")</f>
        <v>1OudrUjxjY2n0zzZ-I7rurAZeLoeWMTEA6EOQyCYB7zs</v>
      </c>
    </row>
    <row r="845" ht="15.75" customHeight="1">
      <c r="A845" t="str">
        <f>IFERROR(__xludf.DUMMYFUNCTION("""COMPUTED_VALUE"""),"OpenFin")</f>
        <v>OpenFin</v>
      </c>
      <c r="B845" t="str">
        <f>IFERROR(__xludf.DUMMYFUNCTION("""COMPUTED_VALUE"""),"SavePageRTPNL")</f>
        <v>SavePageRTPNL</v>
      </c>
      <c r="C845" t="str">
        <f>IFERROR(__xludf.DUMMYFUNCTION("""COMPUTED_VALUE"""),"1YqhSG4yXo70SfhUq3fYD9CKf-eg44IFJ37IZh4WLI84")</f>
        <v>1YqhSG4yXo70SfhUq3fYD9CKf-eg44IFJ37IZh4WLI84</v>
      </c>
    </row>
    <row r="846" ht="15.75" customHeight="1">
      <c r="A846" t="str">
        <f>IFERROR(__xludf.DUMMYFUNCTION("""COMPUTED_VALUE"""),"RTPNL")</f>
        <v>RTPNL</v>
      </c>
      <c r="B846" t="str">
        <f>IFERROR(__xludf.DUMMYFUNCTION("""COMPUTED_VALUE"""),"VerifyGridThroughLiveExcel")</f>
        <v>VerifyGridThroughLiveExcel</v>
      </c>
      <c r="C846" t="str">
        <f>IFERROR(__xludf.DUMMYFUNCTION("""COMPUTED_VALUE"""),"1cCUw9lchUCKgHeNcwCDXybCOZXIeN4O0zRhkTZCVDUg")</f>
        <v>1cCUw9lchUCKgHeNcwCDXybCOZXIeN4O0zRhkTZCVDUg</v>
      </c>
    </row>
    <row r="847" ht="15.75" customHeight="1">
      <c r="A847" t="str">
        <f>IFERROR(__xludf.DUMMYFUNCTION("""COMPUTED_VALUE"""),"OpenFin")</f>
        <v>OpenFin</v>
      </c>
      <c r="B847" t="str">
        <f>IFERROR(__xludf.DUMMYFUNCTION("""COMPUTED_VALUE"""),"VerifyToastMessage")</f>
        <v>VerifyToastMessage</v>
      </c>
      <c r="C847" t="str">
        <f>IFERROR(__xludf.DUMMYFUNCTION("""COMPUTED_VALUE"""),"1DYn70fZ-UJ9bocMMWUWIW2IVfXlF5TRVuLedi7Y_LNk")</f>
        <v>1DYn70fZ-UJ9bocMMWUWIW2IVfXlF5TRVuLedi7Y_LNk</v>
      </c>
    </row>
    <row r="848" ht="15.75" customHeight="1">
      <c r="A848" t="str">
        <f>IFERROR(__xludf.DUMMYFUNCTION("""COMPUTED_VALUE"""),"RTPNL")</f>
        <v>RTPNL</v>
      </c>
      <c r="B848" t="str">
        <f>IFERROR(__xludf.DUMMYFUNCTION("""COMPUTED_VALUE"""),"ApplyColumnFilter")</f>
        <v>ApplyColumnFilter</v>
      </c>
      <c r="C848" t="str">
        <f>IFERROR(__xludf.DUMMYFUNCTION("""COMPUTED_VALUE"""),"1N9Nn6t5kuoUpj5sQRZwukYuXz8skh2F7E53j1Um1W1A")</f>
        <v>1N9Nn6t5kuoUpj5sQRZwukYuXz8skh2F7E53j1Um1W1A</v>
      </c>
    </row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IFERROR(__xludf.DUMMYFUNCTION("""COMPUTED_VALUE"""),"RemoveMasterUser")</f>
        <v>RemoveMasterUser</v>
      </c>
      <c r="AK4" s="26" t="str">
        <f>IFERROR(__xludf.DUMMYFUNCTION("""COMPUTED_VALUE"""),"ClearRTPNLtabs")</f>
        <v>ClearRTPNLtabs</v>
      </c>
      <c r="AL4" s="26" t="str">
        <f>IFERROR(__xludf.DUMMYFUNCTION("""COMPUTED_VALUE"""),"ConfigUpdater")</f>
        <v>ConfigUpdater</v>
      </c>
      <c r="AM4" s="26" t="str">
        <f>IFERROR(__xludf.DUMMYFUNCTION("""COMPUTED_VALUE"""),"AccountPermission")</f>
        <v>AccountPermission</v>
      </c>
      <c r="AN4" s="26" t="str">
        <f>IFERROR(__xludf.DUMMYFUNCTION("""COMPUTED_VALUE"""),"RemoveBasketPermission")</f>
        <v>RemoveBasketPermission</v>
      </c>
      <c r="AO4" s="26" t="str">
        <f>IFERROR(__xludf.DUMMYFUNCTION("""COMPUTED_VALUE"""),"ChangeDate")</f>
        <v>ChangeDate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IFERROR(__xludf.DUMMYFUNCTION("""COMPUTED_VALUE"""),"RestrictedSecuritiesList")</f>
        <v>RestrictedSecuritiesList</v>
      </c>
      <c r="C5" s="28" t="str">
        <f>IFERROR(__xludf.DUMMYFUNCTION("""COMPUTED_VALUE"""),"AllowedSecuritiesList")</f>
        <v>AllowedSecuritiesList</v>
      </c>
      <c r="D5" s="28" t="str">
        <f>IFERROR(__xludf.DUMMYFUNCTION("""COMPUTED_VALUE"""),"AllowAllUserToCancelReplaceRemove")</f>
        <v>AllowAllUserToCancelReplaceRemove</v>
      </c>
      <c r="E5" s="28" t="str">
        <f>IFERROR(__xludf.DUMMYFUNCTION("""COMPUTED_VALUE"""),"MasterUserPermission")</f>
        <v>MasterUserPermission</v>
      </c>
      <c r="F5" s="29" t="str">
        <f>IFERROR(__xludf.DUMMYFUNCTION("""COMPUTED_VALUE"""),"AllowAllUserToTransferTrade")</f>
        <v>AllowAllUserToTransferTrade</v>
      </c>
      <c r="G5" s="28" t="str">
        <f>IFERROR(__xludf.DUMMYFUNCTION("""COMPUTED_VALUE"""),"DefaultOrderType")</f>
        <v>DefaultOrderType</v>
      </c>
      <c r="H5" s="28" t="str">
        <f>IFERROR(__xludf.DUMMYFUNCTION("""COMPUTED_VALUE"""),"AllowAllUserToGenerateSubs")</f>
        <v>AllowAllUserToGenerateSubs</v>
      </c>
      <c r="I5" s="28" t="str">
        <f>IFERROR(__xludf.DUMMYFUNCTION("""COMPUTED_VALUE"""),"LimitPriceRulesForStageOrdersOnly")</f>
        <v>LimitPriceRulesForStageOrdersOnly</v>
      </c>
      <c r="J5" s="28" t="str">
        <f>IFERROR(__xludf.DUMMYFUNCTION("""COMPUTED_VALUE"""),"LimitRulesForSubOrders")</f>
        <v>LimitRulesForSubOrders</v>
      </c>
      <c r="K5" s="28" t="str">
        <f>IFERROR(__xludf.DUMMYFUNCTION("""COMPUTED_VALUE"""),"LimitRulesForOrdersExceptStagedAndSubOrders")</f>
        <v>LimitRulesForOrdersExceptStagedAndSubOrders</v>
      </c>
      <c r="L5" s="28" t="str">
        <f>IFERROR(__xludf.DUMMYFUNCTION("""COMPUTED_VALUE"""),"LimitPriceRules")</f>
        <v>LimitPriceRules</v>
      </c>
      <c r="M5" s="28" t="str">
        <f>IFERROR(__xludf.DUMMYFUNCTION("""COMPUTED_VALUE"""),"CancelReplaceRemoveRules")</f>
        <v>CancelReplaceRemoveRules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IFERROR(__xludf.DUMMYFUNCTION("""COMPUTED_VALUE"""),"Order Type")</f>
        <v>Order Type</v>
      </c>
      <c r="E5" s="28" t="str">
        <f>IFERROR(__xludf.DUMMYFUNCTION("""COMPUTED_VALUE"""),"TIF")</f>
        <v>TIF</v>
      </c>
      <c r="F5" s="29" t="str">
        <f>IFERROR(__xludf.DUMMYFUNCTION("""COMPUTED_VALUE"""),"Handling Instruction")</f>
        <v>Handling Instruction</v>
      </c>
      <c r="G5" s="28" t="str">
        <f>IFERROR(__xludf.DUMMYFUNCTION("""COMPUTED_VALUE"""),"Execution Instruction")</f>
        <v>Execution Instruction</v>
      </c>
      <c r="H5" s="28" t="str">
        <f>IFERROR(__xludf.DUMMYFUNCTION("""COMPUTED_VALUE"""),"Strategy")</f>
        <v>Strategy</v>
      </c>
      <c r="I5" s="28" t="str">
        <f>IFERROR(__xludf.DUMMYFUNCTION("""COMPUTED_VALUE"""),"Account")</f>
        <v>Account</v>
      </c>
      <c r="J5" s="28" t="str">
        <f>IFERROR(__xludf.DUMMYFUNCTION("""COMPUTED_VALUE"""),"Settlement Currency")</f>
        <v>Settlement Currency</v>
      </c>
      <c r="K5" s="28" t="str">
        <f>IFERROR(__xludf.DUMMYFUNCTION("""COMPUTED_VALUE"""),"Trader")</f>
        <v>Trader</v>
      </c>
      <c r="L5" s="28" t="str">
        <f>IFERROR(__xludf.DUMMYFUNCTION("""COMPUTED_VALUE"""),"Default Quantity")</f>
        <v>Default Quantity</v>
      </c>
      <c r="M5" s="28" t="str">
        <f>IFERROR(__xludf.DUMMYFUNCTION("""COMPUTED_VALUE"""),"Apply Round Lots")</f>
        <v>Apply Round Lots</v>
      </c>
      <c r="N5" s="28" t="str">
        <f>IFERROR(__xludf.DUMMYFUNCTION("""COMPUTED_VALUE"""),"Quantity")</f>
        <v>Quantity</v>
      </c>
      <c r="O5" s="28" t="str">
        <f>IFERROR(__xludf.DUMMYFUNCTION("""COMPUTED_VALUE"""),"Increase On Quantity")</f>
        <v>Increase On Quantity</v>
      </c>
      <c r="P5" s="28" t="str">
        <f>IFERROR(__xludf.DUMMYFUNCTION("""COMPUTED_VALUE"""),"Increase On Stop")</f>
        <v>Increase On Stop</v>
      </c>
      <c r="Q5" s="28" t="str">
        <f>IFERROR(__xludf.DUMMYFUNCTION("""COMPUTED_VALUE"""),"Increase On Limit")</f>
        <v>Increase On Limit</v>
      </c>
      <c r="R5" s="28" t="str">
        <f>IFERROR(__xludf.DUMMYFUNCTION("""COMPUTED_VALUE"""),"Broker_Enable?")</f>
        <v>Broker_Enable?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18</v>
      </c>
      <c r="E6" s="13" t="s">
        <v>19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SetUIPreferencesTT!$4:$4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13">
        <v>100.0</v>
      </c>
      <c r="E6" s="13">
        <v>100.0</v>
      </c>
      <c r="F6" s="13" t="s">
        <v>23</v>
      </c>
      <c r="G6" s="13" t="s">
        <v>24</v>
      </c>
      <c r="H6" s="13" t="s">
        <v>19</v>
      </c>
      <c r="I6" s="13" t="s">
        <v>18</v>
      </c>
      <c r="J6" s="13">
        <v>10.0</v>
      </c>
      <c r="K6" s="8"/>
      <c r="L6" s="8"/>
      <c r="M6" s="8"/>
      <c r="N6" s="8"/>
      <c r="O6" s="8"/>
    </row>
    <row r="7" ht="15.75" customHeight="1">
      <c r="A7" s="13"/>
      <c r="B7" s="13" t="s">
        <v>21</v>
      </c>
      <c r="C7" s="13" t="s">
        <v>22</v>
      </c>
      <c r="D7" s="13">
        <v>1000.0</v>
      </c>
      <c r="E7" s="13">
        <v>1000.0</v>
      </c>
      <c r="F7" s="13" t="s">
        <v>25</v>
      </c>
      <c r="G7" s="13" t="s">
        <v>24</v>
      </c>
      <c r="H7" s="13" t="s">
        <v>19</v>
      </c>
      <c r="I7" s="13" t="s">
        <v>18</v>
      </c>
      <c r="J7" s="13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IFERROR(__xludf.DUMMYFUNCTION("""COMPUTED_VALUE"""),"UpdateMPAndFC")</f>
        <v>UpdateMPAndFC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>today()-1</f>
        <v>45868</v>
      </c>
      <c r="C6" s="33">
        <f>TODAY()</f>
        <v>45869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IFERROR(__xludf.DUMMYFUNCTION("""COMPUTED_VALUE"""),"UpdateMPAndFC")</f>
        <v>UpdateMPAndFC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30</v>
      </c>
      <c r="D6" s="13">
        <v>10000.0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25</v>
      </c>
      <c r="C7" s="13" t="s">
        <v>30</v>
      </c>
      <c r="D7" s="13">
        <v>10000.0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IFERROR(__xludf.DUMMYFUNCTION("""COMPUTED_VALUE"""),"OperationsonPTT")</f>
        <v>OperationsonPTT</v>
      </c>
      <c r="X4" s="26" t="str">
        <f>IFERROR(__xludf.DUMMYFUNCTION("""COMPUTED_VALUE"""),"RefreshCalculation")</f>
        <v>RefreshCalculation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33</v>
      </c>
      <c r="D6" s="13" t="s">
        <v>34</v>
      </c>
      <c r="E6" s="13">
        <v>5.0</v>
      </c>
      <c r="F6" s="13">
        <v>10.0</v>
      </c>
      <c r="G6" s="13" t="s">
        <v>35</v>
      </c>
      <c r="H6" s="13" t="s">
        <v>36</v>
      </c>
      <c r="I6" s="13" t="s">
        <v>37</v>
      </c>
      <c r="J6" s="8"/>
      <c r="K6" s="13" t="s">
        <v>35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IFERROR(__xludf.DUMMYFUNCTION("""COMPUTED_VALUE"""),"OperationsonPTT")</f>
        <v>OperationsonPTT</v>
      </c>
      <c r="X4" s="26" t="str">
        <f>IFERROR(__xludf.DUMMYFUNCTION("""COMPUTED_VALUE"""),"RefreshCalculation")</f>
        <v>RefreshCalculation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23</v>
      </c>
      <c r="C6" s="35">
        <v>10000.0</v>
      </c>
      <c r="D6" s="35">
        <v>10.0</v>
      </c>
      <c r="E6" s="35">
        <v>100.0</v>
      </c>
      <c r="F6" s="35">
        <v>1.0</v>
      </c>
      <c r="G6" s="8"/>
      <c r="H6" s="8"/>
      <c r="I6" s="35">
        <v>40.0</v>
      </c>
      <c r="J6" s="35">
        <v>50.0</v>
      </c>
      <c r="K6" s="35">
        <v>500.0</v>
      </c>
      <c r="L6" s="35">
        <v>100.0</v>
      </c>
      <c r="M6" s="35">
        <v>1.0</v>
      </c>
      <c r="N6" s="8"/>
      <c r="O6" s="8"/>
      <c r="R6" s="34" t="s">
        <v>22</v>
      </c>
    </row>
    <row r="7" ht="15.75" customHeight="1">
      <c r="A7" s="8"/>
      <c r="B7" s="34" t="s">
        <v>25</v>
      </c>
      <c r="C7" s="35">
        <v>10000.0</v>
      </c>
      <c r="D7" s="35">
        <v>100.0</v>
      </c>
      <c r="E7" s="35">
        <v>1000.0</v>
      </c>
      <c r="F7" s="35">
        <v>10.0</v>
      </c>
      <c r="G7" s="8"/>
      <c r="H7" s="8"/>
      <c r="I7" s="35">
        <v>50.0</v>
      </c>
      <c r="J7" s="35">
        <v>50.0</v>
      </c>
      <c r="K7" s="35">
        <v>500.0</v>
      </c>
      <c r="L7" s="35">
        <v>100.0</v>
      </c>
      <c r="M7" s="35">
        <v>1.0</v>
      </c>
      <c r="N7" s="8"/>
      <c r="O7" s="8"/>
      <c r="R7" s="34" t="s">
        <v>39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IFERROR(__xludf.DUMMYFUNCTION("""COMPUTED_VALUE"""),"OperationsonPTT")</f>
        <v>OperationsonPTT</v>
      </c>
      <c r="X4" s="26" t="str">
        <f>IFERROR(__xludf.DUMMYFUNCTION("""COMPUTED_VALUE"""),"RefreshCalculation")</f>
        <v>RefreshCalculation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 t="str">
        <f>IFERROR(__xludf.DUMMYFUNCTION("""COMPUTED_VALUE"""),"Use Custodian Broker")</f>
        <v>Use Custodian Broker</v>
      </c>
      <c r="L5" s="28" t="str">
        <f>IFERROR(__xludf.DUMMYFUNCTION("""COMPUTED_VALUE"""),"Round Lots")</f>
        <v>Round Lots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33</v>
      </c>
      <c r="D6" s="13" t="s">
        <v>34</v>
      </c>
      <c r="E6" s="13">
        <v>5.0</v>
      </c>
      <c r="F6" s="13">
        <v>10.0</v>
      </c>
      <c r="G6" s="13" t="s">
        <v>35</v>
      </c>
      <c r="H6" s="13" t="s">
        <v>36</v>
      </c>
      <c r="I6" s="13" t="s">
        <v>37</v>
      </c>
      <c r="J6" s="13" t="s">
        <v>41</v>
      </c>
      <c r="K6" s="13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IFERROR(__xludf.DUMMYFUNCTION("""COMPUTED_VALUE"""),"OperationsonPTT")</f>
        <v>OperationsonPTT</v>
      </c>
      <c r="X4" s="26" t="str">
        <f>IFERROR(__xludf.DUMMYFUNCTION("""COMPUTED_VALUE"""),"RefreshCalculation")</f>
        <v>RefreshCalculation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 t="str">
        <f>IFERROR(__xludf.DUMMYFUNCTION("""COMPUTED_VALUE"""),"Use Custodian Broker")</f>
        <v>Use Custodian Broker</v>
      </c>
      <c r="L5" s="28" t="str">
        <f>IFERROR(__xludf.DUMMYFUNCTION("""COMPUTED_VALUE"""),"Round Lots")</f>
        <v>Round Lots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33</v>
      </c>
      <c r="D6" s="13" t="s">
        <v>34</v>
      </c>
      <c r="E6" s="13">
        <v>5.0</v>
      </c>
      <c r="F6" s="13">
        <v>10.0</v>
      </c>
      <c r="G6" s="13" t="s">
        <v>35</v>
      </c>
      <c r="H6" s="13" t="s">
        <v>36</v>
      </c>
      <c r="I6" s="13" t="s">
        <v>37</v>
      </c>
      <c r="J6" s="13"/>
      <c r="K6" s="13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IFERROR(__xludf.DUMMYFUNCTION("""COMPUTED_VALUE"""),"ClearOldCA")</f>
        <v>ClearOldCA</v>
      </c>
      <c r="AL5" s="30" t="str">
        <f>IFERROR(__xludf.DUMMYFUNCTION("""COMPUTED_VALUE"""),"Custom Account")</f>
        <v>Custom Account</v>
      </c>
      <c r="AM5" s="30" t="str">
        <f>IFERROR(__xludf.DUMMYFUNCTION("""COMPUTED_VALUE"""),"Custom Account %")</f>
        <v>Custom Account %</v>
      </c>
      <c r="AN5" s="30" t="str">
        <f>IFERROR(__xludf.DUMMYFUNCTION("""COMPUTED_VALUE"""),"ClickOnCommit")</f>
        <v>ClickOnCommit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s">
        <v>44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BulkUpdateUsingMTT!$4:$4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IFERROR(__xludf.DUMMYFUNCTION("""COMPUTED_VALUE"""),"ImportFileName")</f>
        <v>ImportFileName</v>
      </c>
      <c r="AH5" s="30" t="str">
        <f>IFERROR(__xludf.DUMMYFUNCTION("""COMPUTED_VALUE"""),"FX Operator")</f>
        <v>FX Operator</v>
      </c>
      <c r="AI5" s="30" t="str">
        <f>IFERROR(__xludf.DUMMYFUNCTION("""COMPUTED_VALUE"""),"Algo Type")</f>
        <v>Algo Type</v>
      </c>
      <c r="AJ5" s="30" t="str">
        <f>IFERROR(__xludf.DUMMYFUNCTION("""COMPUTED_VALUE"""),"Borrow Rate(BPS)")</f>
        <v>Borrow Rate(BPS)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13">
        <v>40.0</v>
      </c>
      <c r="E6" s="13">
        <v>40.0</v>
      </c>
      <c r="F6" s="13" t="s">
        <v>23</v>
      </c>
      <c r="G6" s="13" t="s">
        <v>24</v>
      </c>
      <c r="H6" s="13" t="s">
        <v>44</v>
      </c>
      <c r="I6" s="13" t="s">
        <v>46</v>
      </c>
      <c r="J6" s="13">
        <v>10.0</v>
      </c>
      <c r="K6" s="8"/>
      <c r="L6" s="13">
        <v>10.0</v>
      </c>
      <c r="M6" s="8"/>
      <c r="N6" s="8"/>
      <c r="O6" s="8"/>
    </row>
    <row r="7" ht="15.75" customHeight="1">
      <c r="A7" s="13"/>
      <c r="B7" s="13" t="s">
        <v>21</v>
      </c>
      <c r="C7" s="13" t="s">
        <v>39</v>
      </c>
      <c r="D7" s="13">
        <v>50.0</v>
      </c>
      <c r="E7" s="13">
        <v>50.0</v>
      </c>
      <c r="F7" s="13" t="s">
        <v>25</v>
      </c>
      <c r="G7" s="13" t="s">
        <v>24</v>
      </c>
      <c r="H7" s="13" t="s">
        <v>44</v>
      </c>
      <c r="I7" s="13" t="s">
        <v>46</v>
      </c>
      <c r="J7" s="13">
        <v>10.0</v>
      </c>
      <c r="K7" s="8"/>
      <c r="L7" s="13">
        <v>10.0</v>
      </c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VerifyMTT!$4:$4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13">
        <v>200.0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s">
        <v>44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IFERROR(__xludf.DUMMYFUNCTION("""COMPUTED_VALUE"""),"ImportFileName")</f>
        <v>ImportFileName</v>
      </c>
      <c r="AH5" s="30" t="str">
        <f>IFERROR(__xludf.DUMMYFUNCTION("""COMPUTED_VALUE"""),"FX Operator")</f>
        <v>FX Operator</v>
      </c>
      <c r="AI5" s="30" t="str">
        <f>IFERROR(__xludf.DUMMYFUNCTION("""COMPUTED_VALUE"""),"Algo Type")</f>
        <v>Algo Type</v>
      </c>
      <c r="AJ5" s="30" t="str">
        <f>IFERROR(__xludf.DUMMYFUNCTION("""COMPUTED_VALUE"""),"Borrow Rate(BPS)")</f>
        <v>Borrow Rate(BPS)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13">
        <v>40.0</v>
      </c>
      <c r="E6" s="13">
        <v>40.0</v>
      </c>
      <c r="F6" s="13" t="s">
        <v>23</v>
      </c>
      <c r="G6" s="13" t="s">
        <v>24</v>
      </c>
      <c r="H6" s="13" t="s">
        <v>44</v>
      </c>
      <c r="I6" s="13" t="s">
        <v>46</v>
      </c>
      <c r="J6" s="13">
        <v>10.0</v>
      </c>
      <c r="K6" s="8"/>
      <c r="L6" s="13">
        <v>10.0</v>
      </c>
      <c r="M6" s="8"/>
      <c r="N6" s="8"/>
      <c r="O6" s="8"/>
    </row>
    <row r="7" ht="15.75" customHeight="1">
      <c r="A7" s="13"/>
      <c r="B7" s="13" t="s">
        <v>21</v>
      </c>
      <c r="C7" s="13" t="s">
        <v>39</v>
      </c>
      <c r="D7" s="13">
        <v>50.0</v>
      </c>
      <c r="E7" s="13">
        <v>50.0</v>
      </c>
      <c r="F7" s="13" t="s">
        <v>25</v>
      </c>
      <c r="G7" s="13" t="s">
        <v>24</v>
      </c>
      <c r="H7" s="13" t="s">
        <v>19</v>
      </c>
      <c r="I7" s="13" t="s">
        <v>18</v>
      </c>
      <c r="J7" s="13">
        <v>10.0</v>
      </c>
      <c r="K7" s="8"/>
      <c r="L7" s="13">
        <v>10.0</v>
      </c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IFERROR(__xludf.DUMMYFUNCTION("""COMPUTED_VALUE"""),"Button")</f>
        <v>Button</v>
      </c>
      <c r="AL5" s="30" t="str">
        <f>IFERROR(__xludf.DUMMYFUNCTION("""COMPUTED_VALUE"""),"Bulk Update Alert")</f>
        <v>Bulk Update Alert</v>
      </c>
      <c r="AM5" s="30" t="str">
        <f>IFERROR(__xludf.DUMMYFUNCTION("""COMPUTED_VALUE"""),"CancelWithoutReplace")</f>
        <v>CancelWithoutReplace</v>
      </c>
      <c r="AN5" s="30" t="str">
        <f>IFERROR(__xludf.DUMMYFUNCTION("""COMPUTED_VALUE"""),"BULK_OR_EDITTRADE")</f>
        <v>BULK_OR_EDITTRADE</v>
      </c>
      <c r="AO5" s="30" t="str">
        <f>IFERROR(__xludf.DUMMYFUNCTION("""COMPUTED_VALUE"""),"Click on Clear")</f>
        <v>Click on Clear</v>
      </c>
      <c r="AP5" s="30" t="str">
        <f>IFERROR(__xludf.DUMMYFUNCTION("""COMPUTED_VALUE"""),"Account")</f>
        <v>Account</v>
      </c>
      <c r="AQ5" s="30" t="str">
        <f>IFERROR(__xludf.DUMMYFUNCTION("""COMPUTED_VALUE"""),"Account %")</f>
        <v>Account %</v>
      </c>
      <c r="AR5" s="30" t="str">
        <f>IFERROR(__xludf.DUMMYFUNCTION("""COMPUTED_VALUE"""),"ClearOldCA")</f>
        <v>ClearOldCA</v>
      </c>
      <c r="AS5" s="30" t="str">
        <f>IFERROR(__xludf.DUMMYFUNCTION("""COMPUTED_VALUE"""),"ClickClearNotUpdate")</f>
        <v>ClickClearNotUpdate</v>
      </c>
      <c r="AT5" s="30" t="str">
        <f>IFERROR(__xludf.DUMMYFUNCTION("""COMPUTED_VALUE"""),"Expiration Date")</f>
        <v>Expiration Date</v>
      </c>
      <c r="AU5" s="30" t="str">
        <f>IFERROR(__xludf.DUMMYFUNCTION("""COMPUTED_VALUE"""),"VerifySuggestions")</f>
        <v>VerifySuggestions</v>
      </c>
      <c r="AV5" s="30" t="str">
        <f>IFERROR(__xludf.DUMMYFUNCTION("""COMPUTED_VALUE"""),"PriceButtonPressCount")</f>
        <v>PriceButtonPressCount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s">
        <v>50</v>
      </c>
      <c r="I6" s="8"/>
      <c r="J6" s="8"/>
      <c r="K6" s="8"/>
      <c r="L6" s="8"/>
      <c r="M6" s="8"/>
      <c r="N6" s="8"/>
      <c r="O6" s="8"/>
      <c r="AT6" s="36">
        <f>today()+1</f>
        <v>45870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BulkEditUpdateFromMTT!$4:$4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IFERROR(__xludf.DUMMYFUNCTION("""COMPUTED_VALUE"""),"ImportFileName")</f>
        <v>ImportFileName</v>
      </c>
      <c r="AH5" s="30" t="str">
        <f>IFERROR(__xludf.DUMMYFUNCTION("""COMPUTED_VALUE"""),"FX Operator")</f>
        <v>FX Operator</v>
      </c>
      <c r="AI5" s="30" t="str">
        <f>IFERROR(__xludf.DUMMYFUNCTION("""COMPUTED_VALUE"""),"Algo Type")</f>
        <v>Algo Type</v>
      </c>
      <c r="AJ5" s="30" t="str">
        <f>IFERROR(__xludf.DUMMYFUNCTION("""COMPUTED_VALUE"""),"Borrow Rate(BPS)")</f>
        <v>Borrow Rate(BPS)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13">
        <v>40.0</v>
      </c>
      <c r="E6" s="13">
        <v>40.0</v>
      </c>
      <c r="F6" s="13" t="s">
        <v>23</v>
      </c>
      <c r="G6" s="13" t="s">
        <v>24</v>
      </c>
      <c r="H6" s="13" t="s">
        <v>50</v>
      </c>
      <c r="I6" s="13" t="s">
        <v>46</v>
      </c>
      <c r="J6" s="13">
        <v>10.0</v>
      </c>
      <c r="K6" s="8"/>
      <c r="L6" s="13">
        <v>10.0</v>
      </c>
      <c r="M6" s="8"/>
      <c r="N6" s="8"/>
      <c r="O6" s="8"/>
    </row>
    <row r="7" ht="15.75" customHeight="1">
      <c r="A7" s="13"/>
      <c r="B7" s="13" t="s">
        <v>21</v>
      </c>
      <c r="C7" s="13" t="s">
        <v>39</v>
      </c>
      <c r="D7" s="13">
        <v>50.0</v>
      </c>
      <c r="E7" s="13">
        <v>50.0</v>
      </c>
      <c r="F7" s="13" t="s">
        <v>25</v>
      </c>
      <c r="G7" s="13" t="s">
        <v>24</v>
      </c>
      <c r="H7" s="13" t="s">
        <v>50</v>
      </c>
      <c r="I7" s="13" t="s">
        <v>46</v>
      </c>
      <c r="J7" s="13">
        <v>10.0</v>
      </c>
      <c r="K7" s="8"/>
      <c r="L7" s="13">
        <v>10.0</v>
      </c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VerifyMTT2!$4:$4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13">
        <v>40.0</v>
      </c>
      <c r="E6" s="13">
        <v>40.0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s">
        <v>50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IFERROR(__xludf.DUMMYFUNCTION("""COMPUTED_VALUE"""),"ImportFileName")</f>
        <v>ImportFileName</v>
      </c>
      <c r="AH5" s="30" t="str">
        <f>IFERROR(__xludf.DUMMYFUNCTION("""COMPUTED_VALUE"""),"FX Operator")</f>
        <v>FX Operator</v>
      </c>
      <c r="AI5" s="30" t="str">
        <f>IFERROR(__xludf.DUMMYFUNCTION("""COMPUTED_VALUE"""),"Algo Type")</f>
        <v>Algo Type</v>
      </c>
      <c r="AJ5" s="30" t="str">
        <f>IFERROR(__xludf.DUMMYFUNCTION("""COMPUTED_VALUE"""),"Borrow Rate(BPS)")</f>
        <v>Borrow Rate(BPS)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13">
        <v>40.0</v>
      </c>
      <c r="E6" s="13">
        <v>40.0</v>
      </c>
      <c r="F6" s="13" t="s">
        <v>23</v>
      </c>
      <c r="G6" s="13" t="s">
        <v>24</v>
      </c>
      <c r="H6" s="13" t="s">
        <v>50</v>
      </c>
      <c r="I6" s="13" t="s">
        <v>46</v>
      </c>
      <c r="J6" s="13">
        <v>10.0</v>
      </c>
      <c r="K6" s="8"/>
      <c r="L6" s="13">
        <v>10.0</v>
      </c>
      <c r="M6" s="8"/>
      <c r="N6" s="8"/>
      <c r="O6" s="8"/>
    </row>
    <row r="7" ht="15.75" customHeight="1">
      <c r="A7" s="13"/>
      <c r="B7" s="13" t="s">
        <v>21</v>
      </c>
      <c r="C7" s="13" t="s">
        <v>39</v>
      </c>
      <c r="D7" s="13">
        <v>50.0</v>
      </c>
      <c r="E7" s="13">
        <v>50.0</v>
      </c>
      <c r="F7" s="13" t="s">
        <v>25</v>
      </c>
      <c r="G7" s="13" t="s">
        <v>24</v>
      </c>
      <c r="H7" s="13" t="s">
        <v>19</v>
      </c>
      <c r="I7" s="13" t="s">
        <v>18</v>
      </c>
      <c r="J7" s="13">
        <v>10.0</v>
      </c>
      <c r="K7" s="8"/>
      <c r="L7" s="13">
        <v>10.0</v>
      </c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VerifyMTT3!$4:$4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