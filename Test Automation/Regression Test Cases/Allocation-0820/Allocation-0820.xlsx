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DoneAwayOrder1" sheetId="10" r:id="rId12"/>
    <sheet state="visible" name="PricingInput" sheetId="11" r:id="rId13"/>
    <sheet state="visible" name="GetDataAllocation" sheetId="12" r:id="rId14"/>
    <sheet state="visible" name="CheckAllocatedTaxlots" sheetId="13" r:id="rId15"/>
    <sheet state="visible" name="SetGeneralPreferences" sheetId="14" r:id="rId16"/>
    <sheet state="visible" name="SelectAllocatedGroup" sheetId="15" r:id="rId17"/>
    <sheet state="visible" name="EnterAccountValuesToAllocate" sheetId="16" r:id="rId18"/>
    <sheet state="visible" name="EnterStrategyValuesToAllocate" sheetId="17" r:id="rId19"/>
    <sheet state="visible" name="CheckAllocatedTaxlots1" sheetId="18" r:id="rId20"/>
  </sheets>
  <definedNames/>
  <calcPr/>
</workbook>
</file>

<file path=xl/sharedStrings.xml><?xml version="1.0" encoding="utf-8"?>
<sst xmlns="http://schemas.openxmlformats.org/spreadsheetml/2006/main" count="180" uniqueCount="48">
  <si>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</si>
  <si>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</si>
  <si>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</si>
  <si>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</si>
  <si>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</si>
  <si>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</si>
  <si>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</si>
  <si>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</si>
  <si>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</si>
  <si>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</si>
  <si>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</si>
  <si>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</si>
  <si>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</si>
  <si>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</si>
  <si>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</si>
  <si>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</si>
  <si>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</si>
  <si>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</si>
  <si>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</si>
  <si>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MSFT</t>
  </si>
  <si>
    <t>Allocation5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</si>
  <si>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</si>
  <si>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</si>
  <si>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</si>
  <si>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</si>
  <si>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</si>
  <si>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</si>
  <si>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</si>
  <si>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</si>
  <si>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</si>
  <si>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</si>
  <si>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</si>
  <si>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</si>
  <si>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</si>
  <si>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Leveling</t>
  </si>
  <si>
    <t>Allocation2,Allocation3,Allocation1</t>
  </si>
  <si>
    <t>PricingInput</t>
  </si>
  <si>
    <t>GetDataAllocation</t>
  </si>
  <si>
    <t>Current</t>
  </si>
  <si>
    <t>CheckAllocatedTaxlots</t>
  </si>
  <si>
    <t>M</t>
  </si>
  <si>
    <t>Strategy Unallocated</t>
  </si>
  <si>
    <t>Open</t>
  </si>
  <si>
    <t>SetGeneralPreferences</t>
  </si>
  <si>
    <t>SelectAllocatedGroup</t>
  </si>
  <si>
    <t>EnterAccountValuesToAllocate</t>
  </si>
  <si>
    <t>EnterStrategyValuesToAllocate</t>
  </si>
  <si>
    <t>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</si>
</sst>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200.0</v>
      </c>
      <c r="E7" s="8"/>
      <c r="F7" s="12" t="s">
        <v>18</v>
      </c>
      <c r="G7" s="8"/>
      <c r="H7" s="8"/>
      <c r="I7" s="8"/>
      <c r="J7" s="12">
        <v>4.0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801.0</v>
      </c>
      <c r="E8" s="8"/>
      <c r="F8" s="12" t="s">
        <v>18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 t="s">
        <v>17</v>
      </c>
      <c r="D9" s="12">
        <v>1000.0</v>
      </c>
      <c r="E9" s="8"/>
      <c r="F9" s="12" t="s">
        <v>20</v>
      </c>
      <c r="G9" s="8"/>
      <c r="H9" s="8"/>
      <c r="I9" s="8"/>
      <c r="J9" s="12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45848</v>
      </c>
      <c r="C6" s="32">
        <f>TODAY()</f>
        <v>45849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25</v>
      </c>
      <c r="D7" s="12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25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24</v>
      </c>
      <c r="D6" s="12">
        <v>45.0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26</v>
      </c>
      <c r="D7" s="12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30</v>
      </c>
      <c r="C8" s="12" t="s">
        <v>27</v>
      </c>
      <c r="D8" s="12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34</v>
      </c>
      <c r="E6" s="12" t="s">
        <v>35</v>
      </c>
      <c r="F6" s="8"/>
      <c r="G6" s="12" t="b">
        <v>0</v>
      </c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10000.0</v>
      </c>
      <c r="E6" s="30"/>
      <c r="F6" s="12" t="s">
        <v>30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814.0004</v>
      </c>
      <c r="C6" s="33">
        <v>814.0004</v>
      </c>
      <c r="D6" s="33">
        <v>800.0</v>
      </c>
      <c r="E6" s="33">
        <v>800.0</v>
      </c>
      <c r="F6" s="34" t="s">
        <v>40</v>
      </c>
      <c r="G6" s="8"/>
      <c r="H6" s="34" t="s">
        <v>25</v>
      </c>
      <c r="I6" s="8"/>
      <c r="J6" s="8"/>
      <c r="K6" s="8"/>
      <c r="L6" s="8"/>
      <c r="M6" s="8"/>
      <c r="N6" s="8"/>
      <c r="O6" s="34" t="s">
        <v>18</v>
      </c>
      <c r="P6" s="34" t="s">
        <v>41</v>
      </c>
      <c r="Q6" s="35">
        <v>100.0</v>
      </c>
      <c r="R6" s="33">
        <v>200.0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4" t="s">
        <v>42</v>
      </c>
      <c r="AG6" s="36"/>
      <c r="AH6" s="36"/>
      <c r="AI6" s="35">
        <v>4.0</v>
      </c>
      <c r="AJ6" s="35">
        <v>0.0</v>
      </c>
      <c r="AK6" s="35">
        <v>1.0</v>
      </c>
      <c r="AL6" s="35">
        <v>3.0</v>
      </c>
    </row>
    <row r="7" ht="15.75" customHeight="1">
      <c r="A7" s="8"/>
      <c r="B7" s="33">
        <v>414.0002</v>
      </c>
      <c r="C7" s="33">
        <v>414.0002</v>
      </c>
      <c r="D7" s="33">
        <v>400.0</v>
      </c>
      <c r="E7" s="33">
        <v>400.0</v>
      </c>
      <c r="F7" s="34" t="s">
        <v>40</v>
      </c>
      <c r="G7" s="8"/>
      <c r="H7" s="34" t="s">
        <v>25</v>
      </c>
      <c r="I7" s="8"/>
      <c r="J7" s="8"/>
      <c r="K7" s="8"/>
      <c r="L7" s="8"/>
      <c r="M7" s="8"/>
      <c r="N7" s="8"/>
      <c r="O7" s="34" t="s">
        <v>18</v>
      </c>
      <c r="P7" s="34" t="s">
        <v>41</v>
      </c>
      <c r="Q7" s="35">
        <v>100.0</v>
      </c>
      <c r="R7" s="33">
        <v>200.0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4" t="s">
        <v>42</v>
      </c>
      <c r="AG7" s="36"/>
      <c r="AH7" s="36"/>
      <c r="AI7" s="35">
        <v>2.0</v>
      </c>
      <c r="AJ7" s="35">
        <v>0.0</v>
      </c>
      <c r="AK7" s="35">
        <v>1.0</v>
      </c>
      <c r="AL7" s="35">
        <v>3.0</v>
      </c>
    </row>
    <row r="8" ht="15.75" customHeight="1">
      <c r="A8" s="8"/>
      <c r="B8" s="33">
        <v>815.0004</v>
      </c>
      <c r="C8" s="33">
        <v>815.0004</v>
      </c>
      <c r="D8" s="33">
        <v>801.0</v>
      </c>
      <c r="E8" s="33">
        <v>801.0</v>
      </c>
      <c r="F8" s="34" t="s">
        <v>40</v>
      </c>
      <c r="G8" s="8"/>
      <c r="H8" s="34" t="s">
        <v>25</v>
      </c>
      <c r="I8" s="8"/>
      <c r="J8" s="8"/>
      <c r="K8" s="8"/>
      <c r="L8" s="8"/>
      <c r="M8" s="8"/>
      <c r="N8" s="8"/>
      <c r="O8" s="34" t="s">
        <v>18</v>
      </c>
      <c r="P8" s="34" t="s">
        <v>41</v>
      </c>
      <c r="Q8" s="35">
        <v>100.0</v>
      </c>
      <c r="R8" s="35">
        <v>801.0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4" t="s">
        <v>42</v>
      </c>
      <c r="AG8" s="36"/>
      <c r="AH8" s="36"/>
      <c r="AI8" s="35">
        <v>1.0</v>
      </c>
      <c r="AJ8" s="35">
        <v>0.0</v>
      </c>
      <c r="AK8" s="35">
        <v>1.0</v>
      </c>
      <c r="AL8" s="35">
        <v>3.0</v>
      </c>
    </row>
    <row r="9" ht="15.75" customHeight="1">
      <c r="A9" s="8"/>
      <c r="B9" s="37">
        <v>1014.0006</v>
      </c>
      <c r="C9" s="37">
        <v>1014.0006</v>
      </c>
      <c r="D9" s="37">
        <v>1000.0</v>
      </c>
      <c r="E9" s="37">
        <v>1000.0</v>
      </c>
      <c r="F9" s="12" t="s">
        <v>40</v>
      </c>
      <c r="G9" s="8"/>
      <c r="H9" s="12" t="s">
        <v>25</v>
      </c>
      <c r="I9" s="8"/>
      <c r="J9" s="8"/>
      <c r="K9" s="8"/>
      <c r="L9" s="8"/>
      <c r="M9" s="8"/>
      <c r="N9" s="8"/>
      <c r="O9" s="12" t="s">
        <v>20</v>
      </c>
      <c r="P9" s="9" t="s">
        <v>41</v>
      </c>
      <c r="Q9" s="9">
        <v>100.0</v>
      </c>
      <c r="R9" s="38">
        <v>1000.0</v>
      </c>
      <c r="AF9" s="34" t="s">
        <v>42</v>
      </c>
      <c r="AI9" s="9">
        <v>1.0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1000.0</v>
      </c>
      <c r="E6" s="12" t="s">
        <v>20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IFERROR(__xludf.DUMMYFUNCTION("""COMPUTED_VALUE"""),"Strategy Name")</f>
        <v>Strategy Name</v>
      </c>
      <c r="D5" s="27" t="str">
        <f>IFERROR(__xludf.DUMMYFUNCTION("""COMPUTED_VALUE"""),"Strategy Percentage")</f>
        <v>Strategy Percentage</v>
      </c>
      <c r="E5" s="27" t="str">
        <f>IFERROR(__xludf.DUMMYFUNCTION("""COMPUTED_VALUE"""),"Strategy Quantity")</f>
        <v>Strategy 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47</v>
      </c>
      <c r="D6" s="12"/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EnterStrategyValuesToAllocate!$4:$4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1014.0006</v>
      </c>
      <c r="C6" s="33">
        <v>1014.0006</v>
      </c>
      <c r="D6" s="33">
        <v>1000.0</v>
      </c>
      <c r="E6" s="33">
        <v>1000.0</v>
      </c>
      <c r="F6" s="34" t="s">
        <v>40</v>
      </c>
      <c r="G6" s="8"/>
      <c r="H6" s="8"/>
      <c r="I6" s="8"/>
      <c r="J6" s="8"/>
      <c r="K6" s="8"/>
      <c r="L6" s="8"/>
      <c r="M6" s="8"/>
      <c r="N6" s="8"/>
      <c r="O6" s="34" t="s">
        <v>20</v>
      </c>
      <c r="P6" s="34" t="s">
        <v>47</v>
      </c>
      <c r="Q6" s="35">
        <v>100.0</v>
      </c>
      <c r="R6" s="33">
        <v>1000.0</v>
      </c>
      <c r="S6" s="35">
        <v>0.0</v>
      </c>
      <c r="T6" s="35">
        <v>0.0</v>
      </c>
      <c r="U6" s="35">
        <v>0.0</v>
      </c>
      <c r="V6" s="35">
        <v>0.0</v>
      </c>
      <c r="W6" s="35">
        <v>6.0E-4</v>
      </c>
      <c r="X6" s="35">
        <v>2.0</v>
      </c>
      <c r="Y6" s="35">
        <v>4.0</v>
      </c>
      <c r="Z6" s="35">
        <v>3.0</v>
      </c>
      <c r="AA6" s="35">
        <v>5.0</v>
      </c>
      <c r="AB6" s="35">
        <v>0.0</v>
      </c>
      <c r="AC6" s="35">
        <v>0.0</v>
      </c>
      <c r="AD6" s="35">
        <v>0.0</v>
      </c>
      <c r="AE6" s="35">
        <v>0.0</v>
      </c>
      <c r="AF6" s="34" t="s">
        <v>42</v>
      </c>
      <c r="AG6" s="36"/>
      <c r="AH6" s="36"/>
      <c r="AI6" s="35">
        <v>1.0</v>
      </c>
      <c r="AJ6" s="35">
        <v>0.0</v>
      </c>
      <c r="AK6" s="35">
        <v>1.0</v>
      </c>
      <c r="AL6" s="35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