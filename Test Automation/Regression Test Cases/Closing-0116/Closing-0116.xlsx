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1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AutoExercise" sheetId="9" r:id="rId11"/>
    <sheet state="visible" name="GetDataClosing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UnwindClosing" sheetId="14" r:id="rId16"/>
    <sheet state="visible" name="SelectTradeUnexpiredUnsettled" sheetId="15" r:id="rId17"/>
    <sheet state="visible" name="ExerciseAssignment" sheetId="16" r:id="rId18"/>
    <sheet state="visible" name="GetDataAllocation1" sheetId="17" r:id="rId19"/>
    <sheet state="visible" name="CheckPortfolioManagement2" sheetId="18" r:id="rId20"/>
  </sheets>
  <definedNames/>
  <calcPr/>
</workbook>
</file>

<file path=xl/sharedStrings.xml><?xml version="1.0" encoding="utf-8"?>
<sst xmlns="http://schemas.openxmlformats.org/spreadsheetml/2006/main" count="414" uniqueCount="75">
  <si>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</si>
  <si>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</si>
  <si>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</si>
  <si>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</si>
  <si>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</si>
  <si>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</si>
  <si>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</si>
  <si>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</si>
  <si>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</si>
  <si>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</si>
  <si>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</si>
  <si>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</si>
  <si>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</si>
  <si>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</si>
  <si>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</si>
  <si>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</si>
  <si>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</si>
  <si>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Closing</t>
  </si>
  <si>
    <t>SetClosingPreference</t>
  </si>
  <si>
    <t>TradingTicket</t>
  </si>
  <si>
    <t>CreateDoneAwayOrder</t>
  </si>
  <si>
    <t>ABM</t>
  </si>
  <si>
    <t>Sell short</t>
  </si>
  <si>
    <t>Allocation2</t>
  </si>
  <si>
    <t>Allocation1</t>
  </si>
  <si>
    <t>Sell to Open</t>
  </si>
  <si>
    <t>DailyValuation</t>
  </si>
  <si>
    <t>GetMarkPriceData</t>
  </si>
  <si>
    <t>UpdateMarkPrice</t>
  </si>
  <si>
    <t>AutoExercise</t>
  </si>
  <si>
    <t>EquityOption</t>
  </si>
  <si>
    <t>GetDataClosing</t>
  </si>
  <si>
    <t>Historical</t>
  </si>
  <si>
    <t>1/1/1800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</si>
  <si>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</si>
  <si>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</si>
  <si>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</si>
  <si>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</si>
  <si>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</si>
  <si>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</si>
  <si>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</si>
  <si>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</si>
  <si>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</si>
  <si>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</si>
  <si>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</si>
  <si>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</si>
  <si>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</si>
  <si>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Equity</t>
  </si>
  <si>
    <t>Open</t>
  </si>
  <si>
    <t>NYSE</t>
  </si>
  <si>
    <t>US0009571003</t>
  </si>
  <si>
    <t>InternalOrder</t>
  </si>
  <si>
    <t>GCCAP1</t>
  </si>
  <si>
    <t>SellShort</t>
  </si>
  <si>
    <t>NONE</t>
  </si>
  <si>
    <t>Closed</t>
  </si>
  <si>
    <t>C</t>
  </si>
  <si>
    <t>SelltoOpen</t>
  </si>
  <si>
    <t>Buy to Close</t>
  </si>
  <si>
    <t>Assignment</t>
  </si>
  <si>
    <t>UnwindClosing</t>
  </si>
  <si>
    <t>SelectTradeUnexpiredUnsettled</t>
  </si>
  <si>
    <t>ExerciseAssignment</t>
  </si>
  <si>
    <t>PortfolioManagement</t>
  </si>
  <si>
    <t>CheckPortfolioManagement</t>
  </si>
  <si>
    <t>NewMF1</t>
  </si>
  <si>
    <t>ABM INDUSTRIES</t>
  </si>
  <si>
    <t>Undefined</t>
  </si>
  <si>
    <t>ABM US EQUITY</t>
  </si>
  <si>
    <t>None</t>
  </si>
  <si>
    <t>Default</t>
  </si>
  <si>
    <t>ABM.N</t>
  </si>
  <si>
    <t>UK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</si>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</sst>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5" numFmtId="164" xfId="0" applyAlignment="1" applyFont="1" applyNumberFormat="1">
      <alignment shrinkToFit="0" wrapText="0"/>
    </xf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164" xfId="0" applyAlignment="1" applyBorder="1" applyFont="1" applyNumberForma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164" xfId="0" applyAlignment="1" applyFont="1" applyNumberForma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164" xfId="0" applyAlignment="1" applyBorder="1" applyFont="1" applyNumberForma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6" fontId="14" numFmtId="0" xfId="0" applyAlignment="1" applyFont="1">
      <alignment readingOrder="0"/>
    </xf>
    <xf borderId="0" fillId="6" fontId="14" numFmtId="164" xfId="0" applyAlignment="1" applyFont="1" applyNumberFormat="1">
      <alignment readingOrder="0"/>
    </xf>
    <xf borderId="0" fillId="4" fontId="15" numFmtId="0" xfId="0" applyFont="1"/>
    <xf borderId="0" fillId="6" fontId="14" numFmtId="164" xfId="0" applyFont="1" applyNumberFormat="1"/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5" fillId="0" fontId="3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IFERROR(__xludf.DUMMYFUNCTION("""COMPUTED_VALUE"""),"ApproveorRejectpendingapproval")</f>
        <v>ApproveorRejectpendingapproval</v>
      </c>
      <c r="C599" t="str">
        <f>IFERROR(__xludf.DUMMYFUNCTION("""COMPUTED_VALUE"""),"1y-sTWmoC_H1YDpnZGfQbhkY373SoIrYiLpMuGNBQ0Sg")</f>
        <v>1y-sTWmoC_H1YDpnZGfQbhkY373SoIrYiLpMuGNBQ0Sg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>
      <c r="A601" t="str">
        <f>IFERROR(__xludf.DUMMYFUNCTION("""COMPUTED_VALUE"""),"Blotter")</f>
        <v>Blotter</v>
      </c>
      <c r="B601" t="str">
        <f>IFERROR(__xludf.DUMMYFUNCTION("""COMPUTED_VALUE"""),"MergeOrder")</f>
        <v>MergeOrder</v>
      </c>
      <c r="C601" t="str">
        <f>IFERROR(__xludf.DUMMYFUNCTION("""COMPUTED_VALUE"""),"1R7f7syAvacBKywwhkXcXMcTmDvkomvyufkmtFJu4Zdw")</f>
        <v>1R7f7syAvacBKywwhkXcXMcTmDvkomvyufkmtFJu4Zdw</v>
      </c>
    </row>
    <row r="602" ht="15.75" customHeight="1">
      <c r="A602" t="str">
        <f>IFERROR(__xludf.DUMMYFUNCTION("""COMPUTED_VALUE"""),"Blotter")</f>
        <v>Blotter</v>
      </c>
      <c r="B602" t="str">
        <f>IFERROR(__xludf.DUMMYFUNCTION("""COMPUTED_VALUE"""),"VerifyMergeOrder")</f>
        <v>VerifyMergeOrder</v>
      </c>
      <c r="C602" t="str">
        <f>IFERROR(__xludf.DUMMYFUNCTION("""COMPUTED_VALUE"""),"1vAo56cQ5ngyfTbfrFWBvoHQRIF0cTJr0hScLG2DuLgI")</f>
        <v>1vAo56cQ5ngyfTbfrFWBvoHQRIF0cTJr0hScLG2DuLgI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IFERROR(__xludf.DUMMYFUNCTION("""COMPUTED_VALUE"""),"AddTabBlotter")</f>
        <v>AddTabBlotter</v>
      </c>
      <c r="C603" t="str">
        <f>IFERROR(__xludf.DUMMYFUNCTION("""COMPUTED_VALUE"""),"1lEizmaJ1dbPlCGjdjYS2EVdP54oAQCWFB_ER2lqO9kQ")</f>
        <v>1lEizmaJ1dbPlCGjdjYS2EVdP54oAQCWFB_ER2lqO9kQ</v>
      </c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21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5" t="s">
        <v>13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IFERROR(__xludf.DUMMYFUNCTION("IF(C3="""","""",Transpose(IMPORTRANGE('_Settings'!$B$3,C3&amp;""!A4:A1000"")))"),"SetTTUIPreferences")</f>
        <v>SetTTUIPreferences</v>
      </c>
      <c r="C4" s="28" t="str">
        <f>IFERROR(__xludf.DUMMYFUNCTION("""COMPUTED_VALUE"""),"TTPermissionLevel")</f>
        <v>TTPermissionLevel</v>
      </c>
      <c r="D4" s="27" t="str">
        <f>IFERROR(__xludf.DUMMYFUNCTION("""COMPUTED_VALUE"""),"SetCheckSide")</f>
        <v>SetCheckSide</v>
      </c>
      <c r="E4" s="27" t="str">
        <f>IFERROR(__xludf.DUMMYFUNCTION("""COMPUTED_VALUE"""),"SetRollover")</f>
        <v>SetRollover</v>
      </c>
      <c r="F4" s="27" t="str">
        <f>IFERROR(__xludf.DUMMYFUNCTION("""COMPUTED_VALUE"""),"SetActive")</f>
        <v>SetActive</v>
      </c>
      <c r="G4" s="27" t="str">
        <f>IFERROR(__xludf.DUMMYFUNCTION("""COMPUTED_VALUE"""),"SetThirdPartyFormat")</f>
        <v>SetThirdPartyFormat</v>
      </c>
      <c r="H4" s="27" t="str">
        <f>IFERROR(__xludf.DUMMYFUNCTION("""COMPUTED_VALUE"""),"SetTradingComplianceRules")</f>
        <v>SetTradingComplianceRules</v>
      </c>
      <c r="I4" s="27" t="str">
        <f>IFERROR(__xludf.DUMMYFUNCTION("""COMPUTED_VALUE"""),"EnableBreakdownRealizedPNL")</f>
        <v>EnableBreakdownRealizedPNL</v>
      </c>
      <c r="J4" s="27" t="str">
        <f>IFERROR(__xludf.DUMMYFUNCTION("""COMPUTED_VALUE"""),"SetTTGeneralPreferences")</f>
        <v>SetTTGeneralPreferences</v>
      </c>
      <c r="K4" s="27" t="str">
        <f>IFERROR(__xludf.DUMMYFUNCTION("""COMPUTED_VALUE"""),"SetDollarAmountPermission")</f>
        <v>SetDollarAmountPermission</v>
      </c>
      <c r="L4" s="27" t="str">
        <f>IFERROR(__xludf.DUMMYFUNCTION("""COMPUTED_VALUE"""),"EnableDisableModule")</f>
        <v>EnableDisableModule</v>
      </c>
      <c r="M4" s="27" t="str">
        <f>IFERROR(__xludf.DUMMYFUNCTION("""COMPUTED_VALUE"""),"IsImportOverrideOnShortLocate")</f>
        <v>IsImportOverrideOnShortLocate</v>
      </c>
      <c r="N4" s="27" t="str">
        <f>IFERROR(__xludf.DUMMYFUNCTION("""COMPUTED_VALUE"""),"SetShortLocateStructures")</f>
        <v>SetShortLocateStructures</v>
      </c>
      <c r="O4" s="27" t="str">
        <f>IFERROR(__xludf.DUMMYFUNCTION("""COMPUTED_VALUE"""),"SetComplianceAlert")</f>
        <v>SetComplianceAlert</v>
      </c>
      <c r="P4" s="29" t="str">
        <f>IFERROR(__xludf.DUMMYFUNCTION("""COMPUTED_VALUE"""),"UpdateExpirationDate")</f>
        <v>UpdateExpirationDate</v>
      </c>
      <c r="Q4" s="29" t="str">
        <f>IFERROR(__xludf.DUMMYFUNCTION("""COMPUTED_VALUE"""),"RenameMasterStrategy")</f>
        <v>RenameMasterStrategy</v>
      </c>
      <c r="R4" s="29" t="str">
        <f>IFERROR(__xludf.DUMMYFUNCTION("""COMPUTED_VALUE"""),"SetTTUIAdminPreferences")</f>
        <v>SetTTUIAdminPreferences</v>
      </c>
      <c r="S4" s="29" t="str">
        <f>IFERROR(__xludf.DUMMYFUNCTION("""COMPUTED_VALUE"""),"UpdateSecFee")</f>
        <v>UpdateSecFee</v>
      </c>
      <c r="T4" s="29" t="str">
        <f>IFERROR(__xludf.DUMMYFUNCTION("""COMPUTED_VALUE"""),"UpdateFee")</f>
        <v>UpdateFee</v>
      </c>
      <c r="U4" s="29" t="str">
        <f>IFERROR(__xludf.DUMMYFUNCTION("""COMPUTED_VALUE"""),"RevertingSMSharesOutValue")</f>
        <v>RevertingSMSharesOutValue</v>
      </c>
      <c r="V4" s="29" t="str">
        <f>IFERROR(__xludf.DUMMYFUNCTION("""COMPUTED_VALUE"""),"SetTTUIAdminPreferences")</f>
        <v>SetTTUIAdminPreferences</v>
      </c>
      <c r="W4" s="29" t="str">
        <f>IFERROR(__xludf.DUMMYFUNCTION("""COMPUTED_VALUE"""),"RestartSQL")</f>
        <v>RestartSQL</v>
      </c>
      <c r="X4" s="29" t="str">
        <f>IFERROR(__xludf.DUMMYFUNCTION("""COMPUTED_VALUE"""),"TradeAuditCleanUp")</f>
        <v>TradeAuditCleanUp</v>
      </c>
      <c r="Y4" s="29" t="str">
        <f>IFERROR(__xludf.DUMMYFUNCTION("""COMPUTED_VALUE"""),"DeleteSymbolFromSM")</f>
        <v>DeleteSymbolFromSM</v>
      </c>
      <c r="Z4" s="29" t="str">
        <f>IFERROR(__xludf.DUMMYFUNCTION("""COMPUTED_VALUE"""),"SetCompliancePermission")</f>
        <v>SetCompliancePermission</v>
      </c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IFERROR(__xludf.DUMMYFUNCTION("""COMPUTED_VALUE"""),"Option")</f>
        <v>Option</v>
      </c>
      <c r="C5" s="32" t="str">
        <f>IFERROR(__xludf.DUMMYFUNCTION("""COMPUTED_VALUE"""),"Expiration Date")</f>
        <v>Expiration Date</v>
      </c>
      <c r="D5" s="31" t="str">
        <f>IFERROR(__xludf.DUMMYFUNCTION("""COMPUTED_VALUE"""),"AssetClass")</f>
        <v>AssetClass</v>
      </c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35" t="s">
        <v>16</v>
      </c>
      <c r="C6" s="21">
        <f>today()-1</f>
        <v>44781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2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2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2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21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2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21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21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21"/>
      <c r="D14" s="8"/>
      <c r="E14" s="8"/>
      <c r="F14" s="8"/>
      <c r="G14" s="8"/>
      <c r="H14" s="8"/>
      <c r="I14" s="21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21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2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2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2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2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2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2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2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2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2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2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2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C27" s="37"/>
    </row>
    <row r="28" ht="15.75" customHeight="1">
      <c r="C28" s="37"/>
    </row>
    <row r="29" ht="15.75" customHeight="1">
      <c r="C29" s="37"/>
    </row>
    <row r="30" ht="15.75" customHeight="1">
      <c r="C30" s="37"/>
    </row>
    <row r="31" ht="15.75" customHeight="1">
      <c r="C31" s="37"/>
    </row>
    <row r="32" ht="15.75" customHeight="1">
      <c r="C32" s="37"/>
    </row>
    <row r="33" ht="15.75" customHeight="1">
      <c r="C33" s="37"/>
    </row>
    <row r="34" ht="15.75" customHeight="1">
      <c r="C34" s="37"/>
    </row>
    <row r="35" ht="15.75" customHeight="1">
      <c r="C35" s="37"/>
    </row>
    <row r="36" ht="15.75" customHeight="1">
      <c r="C36" s="37"/>
    </row>
    <row r="37" ht="15.75" customHeight="1">
      <c r="C37" s="37"/>
    </row>
    <row r="38" ht="15.75" customHeight="1">
      <c r="C38" s="37"/>
    </row>
    <row r="39" ht="15.75" customHeight="1">
      <c r="C39" s="37"/>
    </row>
    <row r="40" ht="15.75" customHeight="1">
      <c r="C40" s="37"/>
    </row>
    <row r="41" ht="15.75" customHeight="1">
      <c r="C41" s="37"/>
    </row>
    <row r="42" ht="15.75" customHeight="1">
      <c r="C42" s="37"/>
    </row>
    <row r="43" ht="15.75" customHeight="1">
      <c r="C43" s="37"/>
    </row>
    <row r="44" ht="15.75" customHeight="1">
      <c r="C44" s="37"/>
    </row>
    <row r="45" ht="15.75" customHeight="1">
      <c r="C45" s="37"/>
    </row>
    <row r="46" ht="15.75" customHeight="1">
      <c r="C46" s="37"/>
    </row>
    <row r="47" ht="15.75" customHeight="1">
      <c r="C47" s="37"/>
    </row>
    <row r="48" ht="15.75" customHeight="1">
      <c r="C48" s="37"/>
    </row>
    <row r="49" ht="15.75" customHeight="1">
      <c r="C49" s="37"/>
    </row>
    <row r="50" ht="15.75" customHeight="1">
      <c r="C50" s="37"/>
    </row>
    <row r="51" ht="15.75" customHeight="1">
      <c r="C51" s="37"/>
    </row>
    <row r="52" ht="15.75" customHeight="1">
      <c r="C52" s="37"/>
    </row>
    <row r="53" ht="15.75" customHeight="1">
      <c r="C53" s="37"/>
    </row>
    <row r="54" ht="15.75" customHeight="1">
      <c r="C54" s="37"/>
    </row>
    <row r="55" ht="15.75" customHeight="1">
      <c r="C55" s="37"/>
    </row>
    <row r="56" ht="15.75" customHeight="1">
      <c r="C56" s="37"/>
    </row>
    <row r="57" ht="15.75" customHeight="1">
      <c r="C57" s="37"/>
    </row>
    <row r="58" ht="15.75" customHeight="1">
      <c r="C58" s="37"/>
    </row>
    <row r="59" ht="15.75" customHeight="1">
      <c r="C59" s="37"/>
    </row>
    <row r="60" ht="15.75" customHeight="1">
      <c r="C60" s="37"/>
    </row>
    <row r="61" ht="15.75" customHeight="1">
      <c r="C61" s="37"/>
    </row>
    <row r="62" ht="15.75" customHeight="1">
      <c r="C62" s="37"/>
    </row>
    <row r="63" ht="15.75" customHeight="1">
      <c r="C63" s="37"/>
    </row>
    <row r="64" ht="15.75" customHeight="1">
      <c r="C64" s="37"/>
    </row>
    <row r="65" ht="15.75" customHeight="1">
      <c r="C65" s="37"/>
    </row>
    <row r="66" ht="15.75" customHeight="1">
      <c r="C66" s="37"/>
    </row>
    <row r="67" ht="15.75" customHeight="1">
      <c r="C67" s="37"/>
    </row>
    <row r="68" ht="15.75" customHeight="1">
      <c r="C68" s="37"/>
    </row>
    <row r="69" ht="15.75" customHeight="1">
      <c r="C69" s="37"/>
    </row>
    <row r="70" ht="15.75" customHeight="1">
      <c r="C70" s="37"/>
    </row>
    <row r="71" ht="15.75" customHeight="1">
      <c r="C71" s="37"/>
    </row>
    <row r="72" ht="15.75" customHeight="1">
      <c r="C72" s="37"/>
    </row>
    <row r="73" ht="15.75" customHeight="1">
      <c r="C73" s="37"/>
    </row>
    <row r="74" ht="15.75" customHeight="1">
      <c r="C74" s="37"/>
    </row>
    <row r="75" ht="15.75" customHeight="1">
      <c r="C75" s="37"/>
    </row>
    <row r="76" ht="15.75" customHeight="1">
      <c r="C76" s="37"/>
    </row>
    <row r="77" ht="15.75" customHeight="1">
      <c r="C77" s="37"/>
    </row>
    <row r="78" ht="15.75" customHeight="1">
      <c r="C78" s="37"/>
    </row>
    <row r="79" ht="15.75" customHeight="1">
      <c r="C79" s="37"/>
    </row>
    <row r="80" ht="15.75" customHeight="1">
      <c r="C80" s="37"/>
    </row>
    <row r="81" ht="15.75" customHeight="1">
      <c r="C81" s="37"/>
    </row>
    <row r="82" ht="15.75" customHeight="1">
      <c r="C82" s="37"/>
    </row>
    <row r="83" ht="15.75" customHeight="1">
      <c r="C83" s="37"/>
    </row>
    <row r="84" ht="15.75" customHeight="1">
      <c r="C84" s="37"/>
    </row>
    <row r="85" ht="15.75" customHeight="1">
      <c r="C85" s="37"/>
    </row>
    <row r="86" ht="15.75" customHeight="1">
      <c r="C86" s="37"/>
    </row>
    <row r="87" ht="15.75" customHeight="1">
      <c r="C87" s="37"/>
    </row>
    <row r="88" ht="15.75" customHeight="1">
      <c r="C88" s="37"/>
    </row>
    <row r="89" ht="15.75" customHeight="1">
      <c r="C89" s="37"/>
    </row>
    <row r="90" ht="15.75" customHeight="1">
      <c r="C90" s="37"/>
    </row>
    <row r="91" ht="15.75" customHeight="1">
      <c r="C91" s="37"/>
    </row>
    <row r="92" ht="15.75" customHeight="1">
      <c r="C92" s="37"/>
    </row>
    <row r="93" ht="15.75" customHeight="1">
      <c r="C93" s="37"/>
    </row>
    <row r="94" ht="15.75" customHeight="1">
      <c r="C94" s="37"/>
    </row>
    <row r="95" ht="15.75" customHeight="1">
      <c r="C95" s="37"/>
    </row>
    <row r="96" ht="15.75" customHeight="1">
      <c r="C96" s="37"/>
    </row>
    <row r="97" ht="15.75" customHeight="1">
      <c r="C97" s="37"/>
    </row>
    <row r="98" ht="15.75" customHeight="1">
      <c r="C98" s="37"/>
    </row>
    <row r="99" ht="15.75" customHeight="1">
      <c r="C99" s="37"/>
    </row>
    <row r="100" ht="15.75" customHeight="1">
      <c r="C100" s="3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18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IFERROR(__xludf.DUMMYFUNCTION("""COMPUTED_VALUE"""),"Method")</f>
        <v>Method</v>
      </c>
      <c r="C5" s="31" t="str">
        <f>IFERROR(__xludf.DUMMYFUNCTION("""COMPUTED_VALUE"""),"Global Algorithm")</f>
        <v>Global Algorithm</v>
      </c>
      <c r="D5" s="31" t="str">
        <f>IFERROR(__xludf.DUMMYFUNCTION("""COMPUTED_VALUE"""),"Secondary Sort Criteria")</f>
        <v>Secondary Sort Criteria</v>
      </c>
      <c r="E5" s="31" t="str">
        <f>IFERROR(__xludf.DUMMYFUNCTION("""COMPUTED_VALUE"""),"Override Global Algorithm")</f>
        <v>Override Global Algorithm</v>
      </c>
      <c r="F5" s="33" t="str">
        <f>IFERROR(__xludf.DUMMYFUNCTION("""COMPUTED_VALUE"""),"Can close Sell Short with Buy and Buy to Open")</f>
        <v>Can close Sell Short with Buy and Buy to Open</v>
      </c>
      <c r="G5" s="31" t="str">
        <f>IFERROR(__xludf.DUMMYFUNCTION("""COMPUTED_VALUE"""),"Can close Sell with Buy to Close")</f>
        <v>Can close Sell with Buy to Close</v>
      </c>
      <c r="H5" s="31" t="str">
        <f>IFERROR(__xludf.DUMMYFUNCTION("""COMPUTED_VALUE"""),"Fetch Data Automatically")</f>
        <v>Fetch Data Automatically</v>
      </c>
      <c r="I5" s="31" t="str">
        <f>IFERROR(__xludf.DUMMYFUNCTION("""COMPUTED_VALUE"""),"Auto Close Stategy")</f>
        <v>Auto Close Stategy</v>
      </c>
      <c r="J5" s="31" t="str">
        <f>IFERROR(__xludf.DUMMYFUNCTION("""COMPUTED_VALUE"""),"Exercise/Assign CheckSide Validation")</f>
        <v>Exercise/Assign CheckSide Validation</v>
      </c>
      <c r="K5" s="31" t="str">
        <f>IFERROR(__xludf.DUMMYFUNCTION("""COMPUTED_VALUE"""),"Long Term Tax Rate (%)")</f>
        <v>Long Term Tax Rate (%)</v>
      </c>
      <c r="L5" s="31" t="str">
        <f>IFERROR(__xludf.DUMMYFUNCTION("""COMPUTED_VALUE"""),"Short Term Tax Rate (%)")</f>
        <v>Short Term Tax Rate (%)</v>
      </c>
      <c r="M5" s="31" t="str">
        <f>IFERROR(__xludf.DUMMYFUNCTION("""COMPUTED_VALUE"""),"Quantity round off digits")</f>
        <v>Quantity round off digits</v>
      </c>
      <c r="N5" s="31" t="str">
        <f>IFERROR(__xludf.DUMMYFUNCTION("""COMPUTED_VALUE"""),"Price round off digits")</f>
        <v>Price round off digits</v>
      </c>
      <c r="O5" s="31" t="str">
        <f>IFERROR(__xludf.DUMMYFUNCTION("""COMPUTED_VALUE"""),"Closing Field")</f>
        <v>Closing Field</v>
      </c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8"/>
      <c r="B6" s="39"/>
      <c r="C6" s="40"/>
      <c r="D6" s="39"/>
      <c r="E6" s="41" t="b">
        <v>1</v>
      </c>
      <c r="F6" s="40"/>
      <c r="G6" s="40"/>
      <c r="H6" s="40"/>
      <c r="I6" s="40"/>
      <c r="J6" s="41" t="b">
        <v>1</v>
      </c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19</v>
      </c>
      <c r="D3" s="5" t="s">
        <v>9</v>
      </c>
      <c r="E3" s="25" t="s">
        <v>20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9" t="str">
        <f>IFERROR(__xludf.DUMMYFUNCTION("""COMPUTED_VALUE"""),"CreateLiveOrder")</f>
        <v>CreateLiveOrder</v>
      </c>
      <c r="Q4" s="29" t="str">
        <f>IFERROR(__xludf.DUMMYFUNCTION("""COMPUTED_VALUE"""),"UpdateMasterFundOnTT")</f>
        <v>UpdateMasterFundOnTT</v>
      </c>
      <c r="R4" s="29" t="str">
        <f>IFERROR(__xludf.DUMMYFUNCTION("""COMPUTED_VALUE"""),"SetTTCompliancePreference")</f>
        <v>SetTTCompliancePreference</v>
      </c>
      <c r="S4" s="29" t="str">
        <f>IFERROR(__xludf.DUMMYFUNCTION("""COMPUTED_VALUE"""),"ImportSymbol")</f>
        <v>ImportSymbol</v>
      </c>
      <c r="T4" s="29" t="str">
        <f>IFERROR(__xludf.DUMMYFUNCTION("""COMPUTED_VALUE"""),"ExportSymbolFromRAList")</f>
        <v>ExportSymbolFromRAList</v>
      </c>
      <c r="U4" s="29" t="str">
        <f>IFERROR(__xludf.DUMMYFUNCTION("""COMPUTED_VALUE"""),"CheckPendingNewOrderAlert")</f>
        <v>CheckPendingNewOrderAlert</v>
      </c>
      <c r="V4" s="29" t="str">
        <f>IFERROR(__xludf.DUMMYFUNCTION("""COMPUTED_VALUE"""),"AddSymbolOnRAList")</f>
        <v>AddSymbolOnRAList</v>
      </c>
      <c r="W4" s="29" t="str">
        <f>IFERROR(__xludf.DUMMYFUNCTION("""COMPUTED_VALUE"""),"DeleteSymbolListFromRA")</f>
        <v>DeleteSymbolListFromRA</v>
      </c>
      <c r="X4" s="29" t="str">
        <f>IFERROR(__xludf.DUMMYFUNCTION("""COMPUTED_VALUE"""),"RemoveSymbolFromRAList")</f>
        <v>RemoveSymbolFromRAList</v>
      </c>
      <c r="Y4" s="29" t="str">
        <f>IFERROR(__xludf.DUMMYFUNCTION("""COMPUTED_VALUE"""),"ToggleBlombergOnRA")</f>
        <v>ToggleBlombergOnRA</v>
      </c>
      <c r="Z4" s="29" t="str">
        <f>IFERROR(__xludf.DUMMYFUNCTION("""COMPUTED_VALUE"""),"CreateDoneAwayOrder")</f>
        <v>CreateDoneAwayOrder</v>
      </c>
      <c r="AA4" s="29" t="str">
        <f>IFERROR(__xludf.DUMMYFUNCTION("""COMPUTED_VALUE"""),"AddOptionTrade")</f>
        <v>AddOptionTrade</v>
      </c>
      <c r="AB4" s="29" t="str">
        <f>IFERROR(__xludf.DUMMYFUNCTION("""COMPUTED_VALUE"""),"SendLiveBloomberg")</f>
        <v>SendLiveBloomberg</v>
      </c>
      <c r="AC4" s="29" t="str">
        <f>IFERROR(__xludf.DUMMYFUNCTION("""COMPUTED_VALUE"""),"ViewAllocation")</f>
        <v>ViewAllocation</v>
      </c>
      <c r="AD4" s="29" t="str">
        <f>IFERROR(__xludf.DUMMYFUNCTION("""COMPUTED_VALUE"""),"CreateReplaceLiveOrder")</f>
        <v>CreateReplaceLiveOrder</v>
      </c>
      <c r="AE4" s="29" t="str">
        <f>IFERROR(__xludf.DUMMYFUNCTION("""COMPUTED_VALUE"""),"CreateNewSubLiveOrder")</f>
        <v>CreateNewSubLiveOrder</v>
      </c>
      <c r="AF4" s="29" t="str">
        <f>IFERROR(__xludf.DUMMYFUNCTION("""COMPUTED_VALUE"""),"VerifyBasketExport")</f>
        <v>VerifyBasketExport</v>
      </c>
      <c r="AG4" s="29" t="str">
        <f>IFERROR(__xludf.DUMMYFUNCTION("""COMPUTED_VALUE"""),"CreateComplianceOrder")</f>
        <v>CreateComplianceOrder</v>
      </c>
      <c r="AH4" s="29" t="str">
        <f>IFERROR(__xludf.DUMMYFUNCTION("""COMPUTED_VALUE"""),"VerifyComplianceOrder")</f>
        <v>VerifyComplianceOrder</v>
      </c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IFERROR(__xludf.DUMMYFUNCTION("""COMPUTED_VALUE"""),"Order Side")</f>
        <v>Order Side</v>
      </c>
      <c r="D5" s="31" t="str">
        <f>IFERROR(__xludf.DUMMYFUNCTION("""COMPUTED_VALUE"""),"Quantity")</f>
        <v>Quantity</v>
      </c>
      <c r="E5" s="31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1" t="str">
        <f>IFERROR(__xludf.DUMMYFUNCTION("""COMPUTED_VALUE"""),"Broker")</f>
        <v>Broker</v>
      </c>
      <c r="H5" s="31" t="str">
        <f>IFERROR(__xludf.DUMMYFUNCTION("""COMPUTED_VALUE"""),"TIF")</f>
        <v>TIF</v>
      </c>
      <c r="I5" s="31" t="str">
        <f>IFERROR(__xludf.DUMMYFUNCTION("""COMPUTED_VALUE"""),"Order Type")</f>
        <v>Order Type</v>
      </c>
      <c r="J5" s="31" t="str">
        <f>IFERROR(__xludf.DUMMYFUNCTION("""COMPUTED_VALUE"""),"Price")</f>
        <v>Price</v>
      </c>
      <c r="K5" s="31" t="str">
        <f>IFERROR(__xludf.DUMMYFUNCTION("""COMPUTED_VALUE"""),"Stop")</f>
        <v>Stop</v>
      </c>
      <c r="L5" s="31" t="str">
        <f>IFERROR(__xludf.DUMMYFUNCTION("""COMPUTED_VALUE"""),"Limit")</f>
        <v>Limit</v>
      </c>
      <c r="M5" s="31" t="str">
        <f>IFERROR(__xludf.DUMMYFUNCTION("""COMPUTED_VALUE"""),"Strategy")</f>
        <v>Strategy</v>
      </c>
      <c r="N5" s="31" t="str">
        <f>IFERROR(__xludf.DUMMYFUNCTION("""COMPUTED_VALUE"""),"Trade Date")</f>
        <v>Trade Date</v>
      </c>
      <c r="O5" s="31" t="str">
        <f>IFERROR(__xludf.DUMMYFUNCTION("""COMPUTED_VALUE"""),"FxRate")</f>
        <v>FxRate</v>
      </c>
      <c r="P5" s="31" t="str">
        <f>IFERROR(__xludf.DUMMYFUNCTION("""COMPUTED_VALUE"""),"Notes")</f>
        <v>Notes</v>
      </c>
      <c r="Q5" s="31" t="str">
        <f>IFERROR(__xludf.DUMMYFUNCTION("""COMPUTED_VALUE"""),"Broker Notes")</f>
        <v>Broker Notes</v>
      </c>
      <c r="R5" s="31" t="str">
        <f>IFERROR(__xludf.DUMMYFUNCTION("""COMPUTED_VALUE"""),"CommissionBasis")</f>
        <v>CommissionBasis</v>
      </c>
      <c r="S5" s="31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IFERROR(__xludf.DUMMYFUNCTION("""COMPUTED_VALUE"""),"PopUpQuantity")</f>
        <v>PopUpQuantity</v>
      </c>
      <c r="AP5" s="34" t="str">
        <f>IFERROR(__xludf.DUMMYFUNCTION("""COMPUTED_VALUE"""),"ShortLocate")</f>
        <v>ShortLocate</v>
      </c>
      <c r="AQ5" s="34" t="str">
        <f>IFERROR(__xludf.DUMMYFUNCTION("""COMPUTED_VALUE"""),"AllowTrade")</f>
        <v>AllowTrade</v>
      </c>
      <c r="AR5" s="34" t="str">
        <f>IFERROR(__xludf.DUMMYFUNCTION("""COMPUTED_VALUE"""),"SharesOutstandingPopUpQty")</f>
        <v>SharesOutstandingPopUpQty</v>
      </c>
      <c r="AS5" s="34" t="str">
        <f>IFERROR(__xludf.DUMMYFUNCTION("""COMPUTED_VALUE"""),"SharesOutstandingPopUp")</f>
        <v>SharesOutstandingPopUp</v>
      </c>
      <c r="AT5" s="34" t="str">
        <f>IFERROR(__xludf.DUMMYFUNCTION("""COMPUTED_VALUE"""),"ResAllowedListPopUp")</f>
        <v>ResAllowedListPopUp</v>
      </c>
      <c r="AU5" s="34" t="str">
        <f>IFERROR(__xludf.DUMMYFUNCTION("""COMPUTED_VALUE"""),"Rate(%)")</f>
        <v>Rate(%)</v>
      </c>
      <c r="AV5" s="34" t="str">
        <f>IFERROR(__xludf.DUMMYFUNCTION("""COMPUTED_VALUE"""),"Interest Rate")</f>
        <v>Interest Rate</v>
      </c>
      <c r="AW5" s="34" t="str">
        <f>IFERROR(__xludf.DUMMYFUNCTION("""COMPUTED_VALUE"""),"SelectAlgoStrategy")</f>
        <v>SelectAlgoStrategy</v>
      </c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8"/>
      <c r="B6" s="43" t="s">
        <v>21</v>
      </c>
      <c r="C6" s="43" t="s">
        <v>22</v>
      </c>
      <c r="D6" s="44">
        <v>100.0</v>
      </c>
      <c r="E6" s="45">
        <v>100.0</v>
      </c>
      <c r="F6" s="40" t="s">
        <v>23</v>
      </c>
      <c r="G6" s="40"/>
      <c r="H6" s="40"/>
      <c r="I6" s="40"/>
      <c r="J6" s="45">
        <v>10.0</v>
      </c>
      <c r="K6" s="40"/>
      <c r="L6" s="40"/>
      <c r="M6" s="40"/>
      <c r="N6" s="46">
        <f>today()-4</f>
        <v>44778</v>
      </c>
      <c r="O6" s="8"/>
    </row>
    <row r="7" ht="15.75" customHeight="1">
      <c r="A7" s="42"/>
      <c r="B7" s="43" t="s">
        <v>21</v>
      </c>
      <c r="C7" s="43" t="s">
        <v>22</v>
      </c>
      <c r="D7" s="45">
        <v>100.0</v>
      </c>
      <c r="E7" s="45">
        <v>100.0</v>
      </c>
      <c r="F7" s="40" t="s">
        <v>24</v>
      </c>
      <c r="G7" s="40"/>
      <c r="H7" s="40"/>
      <c r="I7" s="40"/>
      <c r="J7" s="45">
        <v>10.0</v>
      </c>
      <c r="K7" s="40"/>
      <c r="L7" s="40"/>
      <c r="M7" s="40"/>
      <c r="N7" s="46">
        <f>today()</f>
        <v>44782</v>
      </c>
      <c r="O7" s="8"/>
    </row>
    <row r="8" ht="15.75" customHeight="1">
      <c r="A8" s="40"/>
      <c r="B8" s="43" t="s">
        <v>16</v>
      </c>
      <c r="C8" s="47" t="s">
        <v>25</v>
      </c>
      <c r="D8" s="48">
        <v>10.0</v>
      </c>
      <c r="E8" s="48">
        <v>10.0</v>
      </c>
      <c r="F8" s="40" t="s">
        <v>24</v>
      </c>
      <c r="G8" s="40"/>
      <c r="H8" s="40"/>
      <c r="I8" s="40"/>
      <c r="J8" s="48">
        <v>10.0</v>
      </c>
      <c r="K8" s="40"/>
      <c r="L8" s="40"/>
      <c r="M8" s="40"/>
      <c r="N8" s="49">
        <f>today()-11</f>
        <v>44771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26</v>
      </c>
      <c r="D3" s="5" t="s">
        <v>9</v>
      </c>
      <c r="E3" s="25" t="s">
        <v>27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Date ")</f>
        <v>Copy Date 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50">
        <f>today()-1</f>
        <v>44781</v>
      </c>
      <c r="C6" s="21">
        <f>today()</f>
        <v>44782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26</v>
      </c>
      <c r="D3" s="5" t="s">
        <v>9</v>
      </c>
      <c r="E3" s="25" t="s">
        <v>28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IFERROR(__xludf.DUMMYFUNCTION("""COMPUTED_VALUE"""),"Price")</f>
        <v>Price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21</v>
      </c>
      <c r="C6" s="13">
        <v>120.0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29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IFERROR(__xludf.DUMMYFUNCTION("""COMPUTED_VALUE"""),"AccountValue")</f>
        <v>AccountValue</v>
      </c>
      <c r="D5" s="31" t="str">
        <f>IFERROR(__xludf.DUMMYFUNCTION("""COMPUTED_VALUE"""),"AccruedInterest")</f>
        <v>AccruedInterest</v>
      </c>
      <c r="E5" s="31" t="str">
        <f>IFERROR(__xludf.DUMMYFUNCTION("""COMPUTED_VALUE"""),"Asset")</f>
        <v>Asset</v>
      </c>
      <c r="F5" s="33" t="str">
        <f>IFERROR(__xludf.DUMMYFUNCTION("""COMPUTED_VALUE"""),"AUEC Fee1")</f>
        <v>AUEC Fee1</v>
      </c>
      <c r="G5" s="31" t="str">
        <f>IFERROR(__xludf.DUMMYFUNCTION("""COMPUTED_VALUE"""),"AUCE Fee2")</f>
        <v>AUCE Fee2</v>
      </c>
      <c r="H5" s="31" t="str">
        <f>IFERROR(__xludf.DUMMYFUNCTION("""COMPUTED_VALUE"""),"AUECID")</f>
        <v>AUECID</v>
      </c>
      <c r="I5" s="31" t="str">
        <f>IFERROR(__xludf.DUMMYFUNCTION("""COMPUTED_VALUE"""),"AUECLocalDateToday")</f>
        <v>AUECLocalDateToday</v>
      </c>
      <c r="J5" s="31" t="str">
        <f>IFERROR(__xludf.DUMMYFUNCTION("""COMPUTED_VALUE"""),"Average Price")</f>
        <v>Average Price</v>
      </c>
      <c r="K5" s="31" t="str">
        <f>IFERROR(__xludf.DUMMYFUNCTION("""COMPUTED_VALUE"""),"AvgPriceRealizedPL")</f>
        <v>AvgPriceRealizedPL</v>
      </c>
      <c r="L5" s="31" t="str">
        <f>IFERROR(__xludf.DUMMYFUNCTION("""COMPUTED_VALUE"""),"Broker")</f>
        <v>Broker</v>
      </c>
      <c r="M5" s="31" t="str">
        <f>IFERROR(__xludf.DUMMYFUNCTION("""COMPUTED_VALUE"""),"Clearing Broker Fee")</f>
        <v>Clearing Broker Fee</v>
      </c>
      <c r="N5" s="31" t="str">
        <f>IFERROR(__xludf.DUMMYFUNCTION("""COMPUTED_VALUE"""),"ClosedQty")</f>
        <v>ClosedQty</v>
      </c>
      <c r="O5" s="31" t="str">
        <f>IFERROR(__xludf.DUMMYFUNCTION("""COMPUTED_VALUE"""),"Commission")</f>
        <v>Commission</v>
      </c>
      <c r="P5" s="31" t="str">
        <f>IFERROR(__xludf.DUMMYFUNCTION("""COMPUTED_VALUE"""),"CostBasisRealizePNL")</f>
        <v>CostBasisRealizePNL</v>
      </c>
      <c r="Q5" s="31" t="str">
        <f>IFERROR(__xludf.DUMMYFUNCTION("""COMPUTED_VALUE"""),"Currency")</f>
        <v>Currency</v>
      </c>
      <c r="R5" s="31" t="str">
        <f>IFERROR(__xludf.DUMMYFUNCTION("""COMPUTED_VALUE"""),"Description")</f>
        <v>Description</v>
      </c>
      <c r="S5" s="31" t="str">
        <f>IFERROR(__xludf.DUMMYFUNCTION("""COMPUTED_VALUE"""),"EndDate")</f>
        <v>EndDate</v>
      </c>
      <c r="T5" s="34" t="str">
        <f>IFERROR(__xludf.DUMMYFUNCTION("""COMPUTED_VALUE"""),"ExchangeID")</f>
        <v>ExchangeID</v>
      </c>
      <c r="U5" s="34" t="str">
        <f>IFERROR(__xludf.DUMMYFUNCTION("""COMPUTED_VALUE"""),"Expiration Date")</f>
        <v>Expiration Date</v>
      </c>
      <c r="V5" s="34" t="str">
        <f>IFERROR(__xludf.DUMMYFUNCTION("""COMPUTED_VALUE"""),"ExpiredQty")</f>
        <v>ExpiredQty</v>
      </c>
      <c r="W5" s="34" t="str">
        <f>IFERROR(__xludf.DUMMYFUNCTION("""COMPUTED_VALUE"""),"ExpiredTaxlotID")</f>
        <v>ExpiredTaxlotID</v>
      </c>
      <c r="X5" s="34" t="str">
        <f>IFERROR(__xludf.DUMMYFUNCTION("""COMPUTED_VALUE"""),"FXRate")</f>
        <v>FXRate</v>
      </c>
      <c r="Y5" s="34" t="str">
        <f>IFERROR(__xludf.DUMMYFUNCTION("""COMPUTED_VALUE"""),"FXRateoperator")</f>
        <v>FXRateoperator</v>
      </c>
      <c r="Z5" s="34" t="str">
        <f>IFERROR(__xludf.DUMMYFUNCTION("""COMPUTED_VALUE"""),"ID")</f>
        <v>ID</v>
      </c>
      <c r="AA5" s="34" t="str">
        <f>IFERROR(__xludf.DUMMYFUNCTION("""COMPUTED_VALUE"""),"If Pay/Recevie Changes")</f>
        <v>If Pay/Recevie Changes</v>
      </c>
      <c r="AB5" s="34" t="str">
        <f>IFERROR(__xludf.DUMMYFUNCTION("""COMPUTED_VALUE"""),"IntPositionType")</f>
        <v>IntPositionType</v>
      </c>
      <c r="AC5" s="34" t="str">
        <f>IFERROR(__xludf.DUMMYFUNCTION("""COMPUTED_VALUE"""),"LeadCurrencyID")</f>
        <v>LeadCurrencyID</v>
      </c>
      <c r="AD5" s="34" t="str">
        <f>IFERROR(__xludf.DUMMYFUNCTION("""COMPUTED_VALUE"""),"Leveraged Factor")</f>
        <v>Leveraged Factor</v>
      </c>
      <c r="AE5" s="34" t="str">
        <f>IFERROR(__xludf.DUMMYFUNCTION("""COMPUTED_VALUE"""),"MarkPriceForMonth")</f>
        <v>MarkPriceForMonth</v>
      </c>
      <c r="AF5" s="34" t="str">
        <f>IFERROR(__xludf.DUMMYFUNCTION("""COMPUTED_VALUE"""),"MonthToDateRealizedProfit")</f>
        <v>MonthToDateRealizedProfit</v>
      </c>
      <c r="AG5" s="34" t="str">
        <f>IFERROR(__xludf.DUMMYFUNCTION("""COMPUTED_VALUE"""),"Multiplier")</f>
        <v>Multiplier</v>
      </c>
      <c r="AH5" s="34" t="str">
        <f>IFERROR(__xludf.DUMMYFUNCTION("""COMPUTED_VALUE"""),"NotionalValue")</f>
        <v>NotionalValue</v>
      </c>
      <c r="AI5" s="34" t="str">
        <f>IFERROR(__xludf.DUMMYFUNCTION("""COMPUTED_VALUE"""),"OCC Fee")</f>
        <v>OCC Fee</v>
      </c>
      <c r="AJ5" s="34" t="str">
        <f>IFERROR(__xludf.DUMMYFUNCTION("""COMPUTED_VALUE"""),"OpenQty")</f>
        <v>OpenQty</v>
      </c>
      <c r="AK5" s="34" t="str">
        <f>IFERROR(__xludf.DUMMYFUNCTION("""COMPUTED_VALUE"""),"Option Activated")</f>
        <v>Option Activated</v>
      </c>
      <c r="AL5" s="34" t="str">
        <f>IFERROR(__xludf.DUMMYFUNCTION("""COMPUTED_VALUE"""),"Option Type")</f>
        <v>Option Type</v>
      </c>
      <c r="AM5" s="34" t="str">
        <f>IFERROR(__xludf.DUMMYFUNCTION("""COMPUTED_VALUE"""),"OptionPremiumAdjustment")</f>
        <v>OptionPremiumAdjustment</v>
      </c>
      <c r="AN5" s="34" t="str">
        <f>IFERROR(__xludf.DUMMYFUNCTION("""COMPUTED_VALUE"""),"ORF Fee")</f>
        <v>ORF Fee</v>
      </c>
      <c r="AO5" s="34" t="str">
        <f>IFERROR(__xludf.DUMMYFUNCTION("""COMPUTED_VALUE"""),"Original Side")</f>
        <v>Original Side</v>
      </c>
      <c r="AP5" s="34" t="str">
        <f>IFERROR(__xludf.DUMMYFUNCTION("""COMPUTED_VALUE"""),"OriginalPurchaseDate")</f>
        <v>OriginalPurchaseDate</v>
      </c>
      <c r="AQ5" s="34" t="str">
        <f>IFERROR(__xludf.DUMMYFUNCTION("""COMPUTED_VALUE"""),"Other Broker Fees")</f>
        <v>Other Broker Fees</v>
      </c>
      <c r="AR5" s="34" t="str">
        <f>IFERROR(__xludf.DUMMYFUNCTION("""COMPUTED_VALUE"""),"ParentTradeDate")</f>
        <v>ParentTradeDate</v>
      </c>
      <c r="AS5" s="34" t="str">
        <f>IFERROR(__xludf.DUMMYFUNCTION("""COMPUTED_VALUE"""),"Pay/Recive")</f>
        <v>Pay/Recive</v>
      </c>
      <c r="AT5" s="34" t="str">
        <f>IFERROR(__xludf.DUMMYFUNCTION("""COMPUTED_VALUE"""),"PositionType")</f>
        <v>PositionType</v>
      </c>
      <c r="AU5" s="34" t="str">
        <f>IFERROR(__xludf.DUMMYFUNCTION("""COMPUTED_VALUE"""),"ProcessDate")</f>
        <v>ProcessDate</v>
      </c>
      <c r="AV5" s="34" t="str">
        <f>IFERROR(__xludf.DUMMYFUNCTION("""COMPUTED_VALUE"""),"QtyCurrency")</f>
        <v>QtyCurrency</v>
      </c>
      <c r="AW5" s="34" t="str">
        <f>IFERROR(__xludf.DUMMYFUNCTION("""COMPUTED_VALUE"""),"Quantity")</f>
        <v>Quantity</v>
      </c>
      <c r="AX5" s="34" t="str">
        <f>IFERROR(__xludf.DUMMYFUNCTION("""COMPUTED_VALUE"""),"RecordType")</f>
        <v>RecordType</v>
      </c>
      <c r="AY5" s="34" t="str">
        <f>IFERROR(__xludf.DUMMYFUNCTION("""COMPUTED_VALUE"""),"SEC Fee")</f>
        <v>SEC Fee</v>
      </c>
      <c r="AZ5" s="34" t="str">
        <f>IFERROR(__xludf.DUMMYFUNCTION("""COMPUTED_VALUE"""),"Settlement Currency")</f>
        <v>Settlement Currency</v>
      </c>
      <c r="BA5" s="34" t="str">
        <f>IFERROR(__xludf.DUMMYFUNCTION("""COMPUTED_VALUE"""),"Settlement Date")</f>
        <v>Settlement Date</v>
      </c>
      <c r="BB5" s="34" t="str">
        <f>IFERROR(__xludf.DUMMYFUNCTION("""COMPUTED_VALUE"""),"Settlement FxRate")</f>
        <v>Settlement FxRate</v>
      </c>
      <c r="BC5" s="34" t="str">
        <f>IFERROR(__xludf.DUMMYFUNCTION("""COMPUTED_VALUE"""),"Settlement FxRate Operator")</f>
        <v>Settlement FxRate Operator</v>
      </c>
      <c r="BD5" s="34" t="str">
        <f>IFERROR(__xludf.DUMMYFUNCTION("""COMPUTED_VALUE"""),"Settlement Price")</f>
        <v>Settlement Price</v>
      </c>
      <c r="BE5" s="34" t="str">
        <f>IFERROR(__xludf.DUMMYFUNCTION("""COMPUTED_VALUE"""),"Side")</f>
        <v>Side</v>
      </c>
      <c r="BF5" s="34" t="str">
        <f>IFERROR(__xludf.DUMMYFUNCTION("""COMPUTED_VALUE"""),"Soft Commission")</f>
        <v>Soft Commission</v>
      </c>
      <c r="BG5" s="34" t="str">
        <f>IFERROR(__xludf.DUMMYFUNCTION("""COMPUTED_VALUE"""),"Stamp Duty")</f>
        <v>Stamp Duty</v>
      </c>
      <c r="BH5" s="34" t="str">
        <f>IFERROR(__xludf.DUMMYFUNCTION("""COMPUTED_VALUE"""),"StartTaxlotID")</f>
        <v>StartTaxlotID</v>
      </c>
      <c r="BI5" s="34" t="str">
        <f>IFERROR(__xludf.DUMMYFUNCTION("""COMPUTED_VALUE"""),"Status")</f>
        <v>Status</v>
      </c>
      <c r="BJ5" s="34" t="str">
        <f>IFERROR(__xludf.DUMMYFUNCTION("""COMPUTED_VALUE"""),"Strategy")</f>
        <v>Strategy</v>
      </c>
      <c r="BK5" s="34" t="str">
        <f>IFERROR(__xludf.DUMMYFUNCTION("""COMPUTED_VALUE"""),"Strike Price")</f>
        <v>Strike Price</v>
      </c>
      <c r="BL5" s="34" t="str">
        <f>IFERROR(__xludf.DUMMYFUNCTION("""COMPUTED_VALUE"""),"Symbol")</f>
        <v>Symbol</v>
      </c>
      <c r="BM5" s="34" t="str">
        <f>IFERROR(__xludf.DUMMYFUNCTION("""COMPUTED_VALUE"""),"SymbolAveragePrice")</f>
        <v>SymbolAveragePrice</v>
      </c>
      <c r="BN5" s="34" t="str">
        <f>IFERROR(__xludf.DUMMYFUNCTION("""COMPUTED_VALUE"""),"Tax On Commissions")</f>
        <v>Tax On Commissions</v>
      </c>
      <c r="BO5" s="34" t="str">
        <f>IFERROR(__xludf.DUMMYFUNCTION("""COMPUTED_VALUE"""),"TaxLotClosingId")</f>
        <v>TaxLotClosingId</v>
      </c>
      <c r="BP5" s="34" t="str">
        <f>IFERROR(__xludf.DUMMYFUNCTION("""COMPUTED_VALUE"""),"Trade Date")</f>
        <v>Trade Date</v>
      </c>
      <c r="BQ5" s="34" t="str">
        <f>IFERROR(__xludf.DUMMYFUNCTION("""COMPUTED_VALUE"""),"Transaction Levy")</f>
        <v>Transaction Levy</v>
      </c>
      <c r="BR5" s="34" t="str">
        <f>IFERROR(__xludf.DUMMYFUNCTION("""COMPUTED_VALUE"""),"Transaction Type")</f>
        <v>Transaction Type</v>
      </c>
      <c r="BS5" s="34" t="str">
        <f>IFERROR(__xludf.DUMMYFUNCTION("""COMPUTED_VALUE"""),"TransactionSource")</f>
        <v>TransactionSource</v>
      </c>
      <c r="BT5" s="34" t="str">
        <f>IFERROR(__xludf.DUMMYFUNCTION("""COMPUTED_VALUE"""),"Underlying Symbol")</f>
        <v>Underlying Symbol</v>
      </c>
      <c r="BU5" s="34" t="str">
        <f>IFERROR(__xludf.DUMMYFUNCTION("""COMPUTED_VALUE"""),"UnderlyingID")</f>
        <v>UnderlyingID</v>
      </c>
      <c r="BV5" s="34" t="str">
        <f>IFERROR(__xludf.DUMMYFUNCTION("""COMPUTED_VALUE"""),"Venue")</f>
        <v>Venue</v>
      </c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8"/>
      <c r="B6" s="39" t="s">
        <v>24</v>
      </c>
      <c r="C6" s="40"/>
      <c r="D6" s="39"/>
      <c r="E6" s="40" t="s">
        <v>30</v>
      </c>
      <c r="F6" s="40"/>
      <c r="G6" s="40"/>
      <c r="H6" s="40"/>
      <c r="I6" s="40"/>
      <c r="J6" s="45">
        <v>100.0</v>
      </c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51">
        <v>1000.0</v>
      </c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52" t="s">
        <v>16</v>
      </c>
      <c r="BM6" s="42"/>
      <c r="BN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31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31" t="str">
        <f>IFERROR(__xludf.DUMMYFUNCTION("""COMPUTED_VALUE"""),"Account Filter")</f>
        <v>Account Filter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53" t="s">
        <v>32</v>
      </c>
      <c r="C6" s="54" t="s">
        <v>33</v>
      </c>
      <c r="D6" s="50">
        <f>today()</f>
        <v>44782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34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IFERROR(__xludf.DUMMYFUNCTION("""COMPUTED_VALUE"""),"Asset Class")</f>
        <v>Asset Class</v>
      </c>
      <c r="D5" s="31" t="str">
        <f>IFERROR(__xludf.DUMMYFUNCTION("""COMPUTED_VALUE"""),"checkBox")</f>
        <v>checkBox</v>
      </c>
      <c r="E5" s="31" t="str">
        <f>IFERROR(__xludf.DUMMYFUNCTION("""COMPUTED_VALUE"""),"Close Date")</f>
        <v>Close Date</v>
      </c>
      <c r="F5" s="33" t="str">
        <f>IFERROR(__xludf.DUMMYFUNCTION("""COMPUTED_VALUE"""),"ClosedAveragePrice")</f>
        <v>ClosedAveragePrice</v>
      </c>
      <c r="G5" s="31" t="str">
        <f>IFERROR(__xludf.DUMMYFUNCTION("""COMPUTED_VALUE"""),"ClosedQty")</f>
        <v>ClosedQty</v>
      </c>
      <c r="H5" s="31" t="str">
        <f>IFERROR(__xludf.DUMMYFUNCTION("""COMPUTED_VALUE"""),"Closing Method")</f>
        <v>Closing Method</v>
      </c>
      <c r="I5" s="31" t="str">
        <f>IFERROR(__xludf.DUMMYFUNCTION("""COMPUTED_VALUE"""),"ClosingID")</f>
        <v>ClosingID</v>
      </c>
      <c r="J5" s="31" t="str">
        <f>IFERROR(__xludf.DUMMYFUNCTION("""COMPUTED_VALUE"""),"ClosingMode")</f>
        <v>ClosingMode</v>
      </c>
      <c r="K5" s="31" t="str">
        <f>IFERROR(__xludf.DUMMYFUNCTION("""COMPUTED_VALUE"""),"ClosingPositionTag")</f>
        <v>ClosingPositionTag</v>
      </c>
      <c r="L5" s="31" t="str">
        <f>IFERROR(__xludf.DUMMYFUNCTION("""COMPUTED_VALUE"""),"ClosingSide")</f>
        <v>ClosingSide</v>
      </c>
      <c r="M5" s="31" t="str">
        <f>IFERROR(__xludf.DUMMYFUNCTION("""COMPUTED_VALUE"""),"ClosingTotalCommissionandFees")</f>
        <v>ClosingTotalCommissionandFees</v>
      </c>
      <c r="N5" s="31" t="str">
        <f>IFERROR(__xludf.DUMMYFUNCTION("""COMPUTED_VALUE"""),"Column1")</f>
        <v>Column1</v>
      </c>
      <c r="O5" s="31" t="str">
        <f>IFERROR(__xludf.DUMMYFUNCTION("""COMPUTED_VALUE"""),"CostBasisGrossPNL")</f>
        <v>CostBasisGrossPNL</v>
      </c>
      <c r="P5" s="31" t="str">
        <f>IFERROR(__xludf.DUMMYFUNCTION("""COMPUTED_VALUE"""),"Currency")</f>
        <v>Currency</v>
      </c>
      <c r="Q5" s="31" t="str">
        <f>IFERROR(__xludf.DUMMYFUNCTION("""COMPUTED_VALUE"""),"CurrencyID")</f>
        <v>CurrencyID</v>
      </c>
      <c r="R5" s="31" t="str">
        <f>IFERROR(__xludf.DUMMYFUNCTION("""COMPUTED_VALUE"""),"Exchange")</f>
        <v>Exchange</v>
      </c>
      <c r="S5" s="31" t="str">
        <f>IFERROR(__xludf.DUMMYFUNCTION("""COMPUTED_VALUE"""),"NotionalChange")</f>
        <v>NotionalChange</v>
      </c>
      <c r="T5" s="34" t="str">
        <f>IFERROR(__xludf.DUMMYFUNCTION("""COMPUTED_VALUE"""),"OpenAveragePrice")</f>
        <v>OpenAveragePrice</v>
      </c>
      <c r="U5" s="34" t="str">
        <f>IFERROR(__xludf.DUMMYFUNCTION("""COMPUTED_VALUE"""),"Original Purchase Date")</f>
        <v>Original Purchase Date</v>
      </c>
      <c r="V5" s="34" t="str">
        <f>IFERROR(__xludf.DUMMYFUNCTION("""COMPUTED_VALUE"""),"Position Type")</f>
        <v>Position Type</v>
      </c>
      <c r="W5" s="34" t="str">
        <f>IFERROR(__xludf.DUMMYFUNCTION("""COMPUTED_VALUE"""),"PositionSide")</f>
        <v>PositionSide</v>
      </c>
      <c r="X5" s="34" t="str">
        <f>IFERROR(__xludf.DUMMYFUNCTION("""COMPUTED_VALUE"""),"PositionTotalCommissionandFees")</f>
        <v>PositionTotalCommissionandFees</v>
      </c>
      <c r="Y5" s="34" t="str">
        <f>IFERROR(__xludf.DUMMYFUNCTION("""COMPUTED_VALUE"""),"Realized PNL(C.B.)")</f>
        <v>Realized PNL(C.B.)</v>
      </c>
      <c r="Z5" s="34" t="str">
        <f>IFERROR(__xludf.DUMMYFUNCTION("""COMPUTED_VALUE"""),"Side")</f>
        <v>Side</v>
      </c>
      <c r="AA5" s="34" t="str">
        <f>IFERROR(__xludf.DUMMYFUNCTION("""COMPUTED_VALUE"""),"Strategy")</f>
        <v>Strategy</v>
      </c>
      <c r="AB5" s="34" t="str">
        <f>IFERROR(__xludf.DUMMYFUNCTION("""COMPUTED_VALUE"""),"Symbol")</f>
        <v>Symbol</v>
      </c>
      <c r="AC5" s="34" t="str">
        <f>IFERROR(__xludf.DUMMYFUNCTION("""COMPUTED_VALUE"""),"Taxlot ID")</f>
        <v>Taxlot ID</v>
      </c>
      <c r="AD5" s="34" t="str">
        <f>IFERROR(__xludf.DUMMYFUNCTION("""COMPUTED_VALUE"""),"UnderlyingName")</f>
        <v>UnderlyingName</v>
      </c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24</v>
      </c>
      <c r="C6" s="13" t="s">
        <v>30</v>
      </c>
      <c r="D6" s="13"/>
      <c r="E6" s="36"/>
      <c r="F6" s="13">
        <v>0.0</v>
      </c>
      <c r="G6" s="13">
        <v>10.0</v>
      </c>
      <c r="H6" s="8"/>
      <c r="I6" s="8"/>
      <c r="J6" s="13" t="s">
        <v>35</v>
      </c>
      <c r="K6" s="13" t="s">
        <v>36</v>
      </c>
      <c r="L6" s="8"/>
      <c r="M6" s="13">
        <v>10000.0</v>
      </c>
      <c r="N6" s="8"/>
      <c r="O6" s="13">
        <v>10000.0</v>
      </c>
      <c r="P6" s="9" t="s">
        <v>37</v>
      </c>
      <c r="R6" s="9" t="s">
        <v>38</v>
      </c>
      <c r="S6" s="9">
        <v>0.0</v>
      </c>
      <c r="T6" s="9">
        <v>10.0</v>
      </c>
      <c r="V6" s="9" t="s">
        <v>39</v>
      </c>
      <c r="W6" s="9" t="s">
        <v>39</v>
      </c>
      <c r="Y6" s="9">
        <v>0.0</v>
      </c>
      <c r="Z6" s="9" t="s">
        <v>25</v>
      </c>
      <c r="AA6" s="9" t="s">
        <v>40</v>
      </c>
      <c r="AB6" s="9" t="s">
        <v>16</v>
      </c>
      <c r="AD6" s="9" t="s">
        <v>41</v>
      </c>
    </row>
    <row r="7" ht="15.75" customHeight="1">
      <c r="A7" s="13"/>
      <c r="B7" s="13" t="s">
        <v>24</v>
      </c>
      <c r="C7" s="13" t="s">
        <v>30</v>
      </c>
      <c r="D7" s="13"/>
      <c r="E7" s="36"/>
      <c r="F7" s="13">
        <v>0.0</v>
      </c>
      <c r="G7" s="13">
        <v>10.0</v>
      </c>
      <c r="H7" s="8"/>
      <c r="I7" s="8"/>
      <c r="J7" s="13" t="s">
        <v>35</v>
      </c>
      <c r="K7" s="13" t="s">
        <v>36</v>
      </c>
      <c r="L7" s="8"/>
      <c r="M7" s="13">
        <v>10000.0</v>
      </c>
      <c r="N7" s="8"/>
      <c r="O7" s="13">
        <v>10000.0</v>
      </c>
      <c r="P7" s="9" t="s">
        <v>37</v>
      </c>
      <c r="R7" s="9" t="s">
        <v>38</v>
      </c>
      <c r="S7" s="9">
        <v>0.0</v>
      </c>
      <c r="T7" s="9">
        <v>10.0</v>
      </c>
      <c r="V7" s="9" t="s">
        <v>39</v>
      </c>
      <c r="W7" s="9" t="s">
        <v>39</v>
      </c>
      <c r="Y7" s="9">
        <v>0.0</v>
      </c>
      <c r="Z7" s="9" t="s">
        <v>25</v>
      </c>
      <c r="AA7" s="9" t="s">
        <v>40</v>
      </c>
      <c r="AB7" s="9" t="s">
        <v>16</v>
      </c>
      <c r="AD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42</v>
      </c>
      <c r="D3" s="5" t="s">
        <v>9</v>
      </c>
      <c r="E3" s="25" t="s">
        <v>43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IFERROR(__xludf.DUMMYFUNCTION("""COMPUTED_VALUE"""),"Reallocate")</f>
        <v>Reallocate</v>
      </c>
      <c r="I4" s="27" t="str">
        <f>IFERROR(__xludf.DUMMYFUNCTION("""COMPUTED_VALUE"""),"EditUnallocatedGroupSidePanel")</f>
        <v>EditUnallocatedGroupSidePanel</v>
      </c>
      <c r="J4" s="27" t="str">
        <f>IFERROR(__xludf.DUMMYFUNCTION("""COMPUTED_VALUE"""),"TradeAttributeBulkChange")</f>
        <v>TradeAttributeBulkChange</v>
      </c>
      <c r="K4" s="27" t="str">
        <f>IFERROR(__xludf.DUMMYFUNCTION("""COMPUTED_VALUE"""),"ApplyBulkUpdateOnGroups")</f>
        <v>ApplyBulkUpdateOnGroups</v>
      </c>
      <c r="L4" s="27" t="str">
        <f>IFERROR(__xludf.DUMMYFUNCTION("""COMPUTED_VALUE"""),"ApplyPrefetchFilters")</f>
        <v>ApplyPrefetchFilters</v>
      </c>
      <c r="M4" s="27" t="str">
        <f>IFERROR(__xludf.DUMMYFUNCTION("""COMPUTED_VALUE"""),"GeneralPreferencesDefaultRule")</f>
        <v>GeneralPreferencesDefaultRule</v>
      </c>
      <c r="N4" s="27" t="str">
        <f>IFERROR(__xludf.DUMMYFUNCTION("""COMPUTED_VALUE"""),"GeneralPrefCompanyUserWise")</f>
        <v>GeneralPrefCompanyUserWise</v>
      </c>
      <c r="O4" s="27" t="str">
        <f>IFERROR(__xludf.DUMMYFUNCTION("""COMPUTED_VALUE"""),"RenameTradeAttributes")</f>
        <v>RenameTradeAttributes</v>
      </c>
      <c r="P4" s="29" t="str">
        <f>IFERROR(__xludf.DUMMYFUNCTION("""COMPUTED_VALUE"""),"SetGroupingRules")</f>
        <v>SetGroupingRules</v>
      </c>
      <c r="Q4" s="29" t="str">
        <f>IFERROR(__xludf.DUMMYFUNCTION("""COMPUTED_VALUE"""),"SetMasterFundRatio")</f>
        <v>SetMasterFundRatio</v>
      </c>
      <c r="R4" s="29" t="str">
        <f>IFERROR(__xludf.DUMMYFUNCTION("""COMPUTED_VALUE"""),"CheckFixedPreference")</f>
        <v>CheckFixedPreference</v>
      </c>
      <c r="S4" s="29" t="str">
        <f>IFERROR(__xludf.DUMMYFUNCTION("""COMPUTED_VALUE"""),"GetFixedPreference")</f>
        <v>GetFixedPreference</v>
      </c>
      <c r="T4" s="29" t="str">
        <f>IFERROR(__xludf.DUMMYFUNCTION("""COMPUTED_VALUE"""),"AddCalculatedPreferences")</f>
        <v>AddCalculatedPreferences</v>
      </c>
      <c r="U4" s="29" t="str">
        <f>IFERROR(__xludf.DUMMYFUNCTION("""COMPUTED_VALUE"""),"BulkChangeCalculatedPreferences")</f>
        <v>BulkChangeCalculatedPreferences</v>
      </c>
      <c r="V4" s="29" t="str">
        <f>IFERROR(__xludf.DUMMYFUNCTION("""COMPUTED_VALUE"""),"DeleteCalculatedPreferences")</f>
        <v>DeleteCalculatedPreferences</v>
      </c>
      <c r="W4" s="29" t="str">
        <f>IFERROR(__xludf.DUMMYFUNCTION("""COMPUTED_VALUE"""),"RenameCalculatedPreferences")</f>
        <v>RenameCalculatedPreferences</v>
      </c>
      <c r="X4" s="29" t="str">
        <f>IFERROR(__xludf.DUMMYFUNCTION("""COMPUTED_VALUE"""),"CopyCalculatedPreferences")</f>
        <v>CopyCalculatedPreferences</v>
      </c>
      <c r="Y4" s="29" t="str">
        <f>IFERROR(__xludf.DUMMYFUNCTION("""COMPUTED_VALUE"""),"RunAutoGroup")</f>
        <v>RunAutoGroup</v>
      </c>
      <c r="Z4" s="29" t="str">
        <f>IFERROR(__xludf.DUMMYFUNCTION("""COMPUTED_VALUE"""),"BookOrUpdateSwap")</f>
        <v>BookOrUpdateSwap</v>
      </c>
      <c r="AA4" s="29" t="str">
        <f>IFERROR(__xludf.DUMMYFUNCTION("""COMPUTED_VALUE"""),"RunProrata")</f>
        <v>RunProrata</v>
      </c>
      <c r="AB4" s="29" t="str">
        <f>IFERROR(__xludf.DUMMYFUNCTION("""COMPUTED_VALUE"""),"SetDefaultRuleCalculatedPref")</f>
        <v>SetDefaultRuleCalculatedPref</v>
      </c>
      <c r="AC4" s="29" t="str">
        <f>IFERROR(__xludf.DUMMYFUNCTION("""COMPUTED_VALUE"""),"SetAccountValueCalculatedPref")</f>
        <v>SetAccountValueCalculatedPref</v>
      </c>
      <c r="AD4" s="29" t="str">
        <f>IFERROR(__xludf.DUMMYFUNCTION("""COMPUTED_VALUE"""),"TradeAttributeBulkChangeGroups")</f>
        <v>TradeAttributeBulkChangeGroups</v>
      </c>
      <c r="AE4" s="29" t="str">
        <f>IFERROR(__xludf.DUMMYFUNCTION("""COMPUTED_VALUE"""),"TradeAttributeBulkChangeTaxlots")</f>
        <v>TradeAttributeBulkChangeTaxlots</v>
      </c>
      <c r="AF4" s="29" t="str">
        <f>IFERROR(__xludf.DUMMYFUNCTION("""COMPUTED_VALUE"""),"AddCalculatedPreferenceToolbar")</f>
        <v>AddCalculatedPreferenceToolbar</v>
      </c>
      <c r="AG4" s="29" t="str">
        <f>IFERROR(__xludf.DUMMYFUNCTION("""COMPUTED_VALUE"""),"SetStrategyValueCalculatedPref")</f>
        <v>SetStrategyValueCalculatedPref</v>
      </c>
      <c r="AH4" s="29" t="str">
        <f>IFERROR(__xludf.DUMMYFUNCTION("""COMPUTED_VALUE"""),"ApplyBulkUpdateOnTaxlots")</f>
        <v>ApplyBulkUpdateOnTaxlots</v>
      </c>
      <c r="AI4" s="29" t="str">
        <f>IFERROR(__xludf.DUMMYFUNCTION("""COMPUTED_VALUE"""),"CommissionBulkChangeOnGroups")</f>
        <v>CommissionBulkChangeOnGroups</v>
      </c>
      <c r="AJ4" s="29" t="str">
        <f>IFERROR(__xludf.DUMMYFUNCTION("""COMPUTED_VALUE"""),"CommissionBulkChangeOnTaxlots")</f>
        <v>CommissionBulkChangeOnTaxlots</v>
      </c>
      <c r="AK4" s="29" t="str">
        <f>IFERROR(__xludf.DUMMYFUNCTION("""COMPUTED_VALUE"""),"SelectUnallocatedGroup")</f>
        <v>SelectUnallocatedGroup</v>
      </c>
      <c r="AL4" s="29" t="str">
        <f>IFERROR(__xludf.DUMMYFUNCTION("""COMPUTED_VALUE"""),"EnterAccountValuesToAllocate")</f>
        <v>EnterAccountValuesToAllocate</v>
      </c>
      <c r="AM4" s="29" t="str">
        <f>IFERROR(__xludf.DUMMYFUNCTION("""COMPUTED_VALUE"""),"EnterAllocatePreference")</f>
        <v>EnterAllocatePreference</v>
      </c>
      <c r="AN4" s="29" t="str">
        <f>IFERROR(__xludf.DUMMYFUNCTION("""COMPUTED_VALUE"""),"EnterStrategyValuesToAllocate")</f>
        <v>EnterStrategyValuesToAllocate</v>
      </c>
      <c r="AO4" s="29" t="str">
        <f>IFERROR(__xludf.DUMMYFUNCTION("""COMPUTED_VALUE"""),"CopyCalculatedPreferenceToolbar")</f>
        <v>CopyCalculatedPreferenceToolbar</v>
      </c>
      <c r="AP4" s="29" t="str">
        <f>IFERROR(__xludf.DUMMYFUNCTION("""COMPUTED_VALUE"""),"SetGeneralRuleCalculatedPref")</f>
        <v>SetGeneralRuleCalculatedPref</v>
      </c>
      <c r="AQ4" s="29" t="str">
        <f>IFERROR(__xludf.DUMMYFUNCTION("""COMPUTED_VALUE"""),"ExportAllCalculatedPreferences")</f>
        <v>ExportAllCalculatedPreferences</v>
      </c>
      <c r="AR4" s="29" t="str">
        <f>IFERROR(__xludf.DUMMYFUNCTION("""COMPUTED_VALUE"""),"SaveCalculatedPreferences")</f>
        <v>SaveCalculatedPreferences</v>
      </c>
      <c r="AS4" s="29" t="str">
        <f>IFERROR(__xludf.DUMMYFUNCTION("""COMPUTED_VALUE"""),"CloseCalculatedPreferences")</f>
        <v>CloseCalculatedPreferences</v>
      </c>
      <c r="AT4" s="29" t="str">
        <f>IFERROR(__xludf.DUMMYFUNCTION("""COMPUTED_VALUE"""),"ExportCalculatedPreference")</f>
        <v>ExportCalculatedPreference</v>
      </c>
      <c r="AU4" s="29" t="str">
        <f>IFERROR(__xludf.DUMMYFUNCTION("""COMPUTED_VALUE"""),"ImportCalculatedPreferences")</f>
        <v>ImportCalculatedPreferences</v>
      </c>
      <c r="AV4" s="29" t="str">
        <f>IFERROR(__xludf.DUMMYFUNCTION("""COMPUTED_VALUE"""),"OpenAuditTrailUnallocatedGroup")</f>
        <v>OpenAuditTrailUnallocatedGroup</v>
      </c>
      <c r="AW4" s="29" t="str">
        <f>IFERROR(__xludf.DUMMYFUNCTION("""COMPUTED_VALUE"""),"DeleteCalculatedPreferencesTool")</f>
        <v>DeleteCalculatedPreferencesTool</v>
      </c>
      <c r="AX4" s="29" t="str">
        <f>IFERROR(__xludf.DUMMYFUNCTION("""COMPUTED_VALUE"""),"ImportCalculatedPreferencesTool")</f>
        <v>ImportCalculatedPreferencesTool</v>
      </c>
      <c r="AY4" s="29" t="str">
        <f>IFERROR(__xludf.DUMMYFUNCTION("""COMPUTED_VALUE"""),"ExportAllCalculatedPreferTool")</f>
        <v>ExportAllCalculatedPreferTool</v>
      </c>
      <c r="AZ4" s="29" t="str">
        <f>IFERROR(__xludf.DUMMYFUNCTION("""COMPUTED_VALUE"""),"OpenAuditTrailAllocatedGroup")</f>
        <v>OpenAuditTrailAllocatedGroup</v>
      </c>
      <c r="BA4" s="29" t="str">
        <f>IFERROR(__xludf.DUMMYFUNCTION("""COMPUTED_VALUE"""),"OpenSymbolLookupUnallocateGroup")</f>
        <v>OpenSymbolLookupUnallocateGroup</v>
      </c>
      <c r="BB4" s="29" t="str">
        <f>IFERROR(__xludf.DUMMYFUNCTION("""COMPUTED_VALUE"""),"OpenSymbolLookupAllocatedGroup")</f>
        <v>OpenSymbolLookupAllocatedGroup</v>
      </c>
      <c r="BC4" s="29" t="str">
        <f>IFERROR(__xludf.DUMMYFUNCTION("""COMPUTED_VALUE"""),"DeleteFixedPreference")</f>
        <v>DeleteFixedPreference</v>
      </c>
      <c r="BD4" s="29" t="str">
        <f>IFERROR(__xludf.DUMMYFUNCTION("""COMPUTED_VALUE"""),"EditAllocatedGroupSidePanel")</f>
        <v>EditAllocatedGroupSidePanel</v>
      </c>
      <c r="BE4" s="29" t="str">
        <f>IFERROR(__xludf.DUMMYFUNCTION("""COMPUTED_VALUE"""),"CheckUnallocatedGroups")</f>
        <v>CheckUnallocatedGroups</v>
      </c>
      <c r="BF4" s="29" t="str">
        <f>IFERROR(__xludf.DUMMYFUNCTION("""COMPUTED_VALUE"""),"SetGeneralPreferences")</f>
        <v>SetGeneralPreferences</v>
      </c>
      <c r="BG4" s="29" t="str">
        <f>IFERROR(__xludf.DUMMYFUNCTION("""COMPUTED_VALUE"""),"GroupTrades")</f>
        <v>GroupTrades</v>
      </c>
      <c r="BH4" s="29" t="str">
        <f>IFERROR(__xludf.DUMMYFUNCTION("""COMPUTED_VALUE"""),"UngroupTrades")</f>
        <v>UngroupTrades</v>
      </c>
      <c r="BI4" s="29" t="str">
        <f>IFERROR(__xludf.DUMMYFUNCTION("""COMPUTED_VALUE"""),"DeleteGroup")</f>
        <v>DeleteGroup</v>
      </c>
      <c r="BJ4" s="29" t="str">
        <f>IFERROR(__xludf.DUMMYFUNCTION("""COMPUTED_VALUE"""),"CloseOrder")</f>
        <v>CloseOrder</v>
      </c>
      <c r="BK4" s="29" t="str">
        <f>IFERROR(__xludf.DUMMYFUNCTION("""COMPUTED_VALUE"""),"Unallocate")</f>
        <v>Unallocate</v>
      </c>
      <c r="BL4" s="29" t="str">
        <f>IFERROR(__xludf.DUMMYFUNCTION("""COMPUTED_VALUE"""),"CloseAllocation")</f>
        <v>CloseAllocation</v>
      </c>
      <c r="BM4" s="29" t="str">
        <f>IFERROR(__xludf.DUMMYFUNCTION("""COMPUTED_VALUE"""),"UpdateGRAccountValue")</f>
        <v>UpdateGRAccountValue</v>
      </c>
      <c r="BN4" s="29" t="str">
        <f>IFERROR(__xludf.DUMMYFUNCTION("""COMPUTED_VALUE"""),"UpdateGRStrategyValue")</f>
        <v>UpdateGRStrategyValue</v>
      </c>
      <c r="BO4" s="29" t="str">
        <f>IFERROR(__xludf.DUMMYFUNCTION("""COMPUTED_VALUE"""),"UpdateGRDefaultRule")</f>
        <v>UpdateGRDefaultRule</v>
      </c>
      <c r="BP4" s="29" t="str">
        <f>IFERROR(__xludf.DUMMYFUNCTION("""COMPUTED_VALUE"""),"UpdateGeneralRulePref")</f>
        <v>UpdateGeneralRulePref</v>
      </c>
      <c r="BQ4" s="29" t="str">
        <f>IFERROR(__xludf.DUMMYFUNCTION("""COMPUTED_VALUE"""),"ModifyGRPreferenceValues")</f>
        <v>ModifyGRPreferenceValues</v>
      </c>
      <c r="BR4" s="29" t="str">
        <f>IFERROR(__xludf.DUMMYFUNCTION("""COMPUTED_VALUE"""),"AddMFPreferences")</f>
        <v>AddMFPreferences</v>
      </c>
      <c r="BS4" s="29" t="str">
        <f>IFERROR(__xludf.DUMMYFUNCTION("""COMPUTED_VALUE"""),"AddMFPreferenceToolbar")</f>
        <v>AddMFPreferenceToolbar</v>
      </c>
      <c r="BT4" s="29" t="str">
        <f>IFERROR(__xludf.DUMMYFUNCTION("""COMPUTED_VALUE"""),"DeleteMFPreferences")</f>
        <v>DeleteMFPreferences</v>
      </c>
      <c r="BU4" s="29" t="str">
        <f>IFERROR(__xludf.DUMMYFUNCTION("""COMPUTED_VALUE"""),"DeleteMFPreferenceToolbar")</f>
        <v>DeleteMFPreferenceToolbar</v>
      </c>
      <c r="BV4" s="29" t="str">
        <f>IFERROR(__xludf.DUMMYFUNCTION("""COMPUTED_VALUE"""),"RenameMFPreferences")</f>
        <v>RenameMFPreferences</v>
      </c>
      <c r="BW4" s="29" t="str">
        <f>IFERROR(__xludf.DUMMYFUNCTION("""COMPUTED_VALUE"""),"SaveCloseMFPreference")</f>
        <v>SaveCloseMFPreference</v>
      </c>
      <c r="BX4" s="29" t="str">
        <f>IFERROR(__xludf.DUMMYFUNCTION("""COMPUTED_VALUE"""),"SetMFPrefAccountValues")</f>
        <v>SetMFPrefAccountValues</v>
      </c>
      <c r="BY4" s="29" t="str">
        <f>IFERROR(__xludf.DUMMYFUNCTION("""COMPUTED_VALUE"""),"ModifyMFPrefGeneralRuleValues")</f>
        <v>ModifyMFPrefGeneralRuleValues</v>
      </c>
      <c r="BZ4" s="29" t="str">
        <f>IFERROR(__xludf.DUMMYFUNCTION("""COMPUTED_VALUE"""),"SetMFPrefStrategyValues")</f>
        <v>SetMFPrefStrategyValues</v>
      </c>
      <c r="CA4" s="29" t="str">
        <f>IFERROR(__xludf.DUMMYFUNCTION("""COMPUTED_VALUE"""),"SetMFPrefGeneralRule")</f>
        <v>SetMFPrefGeneralRule</v>
      </c>
      <c r="CB4" s="29" t="str">
        <f>IFERROR(__xludf.DUMMYFUNCTION("""COMPUTED_VALUE"""),"SetMFPrefFundDistribution")</f>
        <v>SetMFPrefFundDistribution</v>
      </c>
      <c r="CC4" s="29" t="str">
        <f>IFERROR(__xludf.DUMMYFUNCTION("""COMPUTED_VALUE"""),"SetMFPreferencesDefaultRule")</f>
        <v>SetMFPreferencesDefaultRule</v>
      </c>
      <c r="CD4" s="29" t="str">
        <f>IFERROR(__xludf.DUMMYFUNCTION("""COMPUTED_VALUE"""),"SetMFPrefFundDefaultRule")</f>
        <v>SetMFPrefFundDefaultRule</v>
      </c>
      <c r="CE4" s="29" t="str">
        <f>IFERROR(__xludf.DUMMYFUNCTION("""COMPUTED_VALUE"""),"ClearPrefetchFilters")</f>
        <v>ClearPrefetchFilters</v>
      </c>
      <c r="CF4" s="29" t="str">
        <f>IFERROR(__xludf.DUMMYFUNCTION("""COMPUTED_VALUE"""),"ExpandCollapseAllUnallocated")</f>
        <v>ExpandCollapseAllUnallocated</v>
      </c>
      <c r="CG4" s="29" t="str">
        <f>IFERROR(__xludf.DUMMYFUNCTION("""COMPUTED_VALUE"""),"ExpandCollapseAllAllocated")</f>
        <v>ExpandCollapseAllAllocated</v>
      </c>
      <c r="CH4" s="29" t="str">
        <f>IFERROR(__xludf.DUMMYFUNCTION("""COMPUTED_VALUE"""),"GenerateCashTransaction")</f>
        <v>GenerateCashTransaction</v>
      </c>
      <c r="CI4" s="29" t="str">
        <f>IFERROR(__xludf.DUMMYFUNCTION("""COMPUTED_VALUE"""),"SaveAllocation")</f>
        <v>SaveAllocation</v>
      </c>
      <c r="CJ4" s="29" t="str">
        <f>IFERROR(__xludf.DUMMYFUNCTION("""COMPUTED_VALUE"""),"UnallocateWithOutSave")</f>
        <v>UnallocateWithOutSave</v>
      </c>
      <c r="CK4" s="29" t="str">
        <f>IFERROR(__xludf.DUMMYFUNCTION("""COMPUTED_VALUE"""),"EditUnallocatedGrid")</f>
        <v>EditUnallocatedGrid</v>
      </c>
      <c r="CL4" s="29" t="str">
        <f>IFERROR(__xludf.DUMMYFUNCTION("""COMPUTED_VALUE"""),"EditAllocatedGrid")</f>
        <v>EditAllocatedGrid</v>
      </c>
      <c r="CM4" s="29" t="str">
        <f>IFERROR(__xludf.DUMMYFUNCTION("""COMPUTED_VALUE"""),"SaveLayoutAllocatedGrid")</f>
        <v>SaveLayoutAllocatedGrid</v>
      </c>
      <c r="CN4" s="29" t="str">
        <f>IFERROR(__xludf.DUMMYFUNCTION("""COMPUTED_VALUE"""),"SaveLayoutUnallocatedGrid")</f>
        <v>SaveLayoutUnallocatedGrid</v>
      </c>
      <c r="CO4" s="29" t="str">
        <f>IFERROR(__xludf.DUMMYFUNCTION("""COMPUTED_VALUE"""),"SaveLayoutAllocationUI")</f>
        <v>SaveLayoutAllocationUI</v>
      </c>
      <c r="CP4" s="29" t="str">
        <f>IFERROR(__xludf.DUMMYFUNCTION("""COMPUTED_VALUE"""),"ClearFiltersAllocatedGrid")</f>
        <v>ClearFiltersAllocatedGrid</v>
      </c>
      <c r="CQ4" s="29" t="str">
        <f>IFERROR(__xludf.DUMMYFUNCTION("""COMPUTED_VALUE"""),"ClearFiltersUnallocatedGrid")</f>
        <v>ClearFiltersUnallocatedGrid</v>
      </c>
      <c r="CR4" s="29" t="str">
        <f>IFERROR(__xludf.DUMMYFUNCTION("""COMPUTED_VALUE"""),"VerifyLayoutAllocatedGrid")</f>
        <v>VerifyLayoutAllocatedGrid</v>
      </c>
      <c r="CS4" s="29" t="str">
        <f>IFERROR(__xludf.DUMMYFUNCTION("""COMPUTED_VALUE"""),"VerifyLayoutUnallocatedGrid")</f>
        <v>VerifyLayoutUnallocatedGrid</v>
      </c>
      <c r="CT4" s="29" t="str">
        <f>IFERROR(__xludf.DUMMYFUNCTION("""COMPUTED_VALUE"""),"CleanUp")</f>
        <v>CleanUp</v>
      </c>
      <c r="CU4" s="29" t="str">
        <f>IFERROR(__xludf.DUMMYFUNCTION("""COMPUTED_VALUE"""),"CheckAllocatedTaxlots")</f>
        <v>CheckAllocatedTaxlots</v>
      </c>
      <c r="CV4" s="29" t="str">
        <f>IFERROR(__xludf.DUMMYFUNCTION("""COMPUTED_VALUE"""),"DisableChecksideForAsset")</f>
        <v>DisableChecksideForAsset</v>
      </c>
      <c r="CW4" s="29" t="str">
        <f>IFERROR(__xludf.DUMMYFUNCTION("""COMPUTED_VALUE"""),"DisableChecksideForAccount")</f>
        <v>DisableChecksideForAccount</v>
      </c>
      <c r="CX4" s="29" t="str">
        <f>IFERROR(__xludf.DUMMYFUNCTION("""COMPUTED_VALUE"""),"DisableChecksideForCounterParty")</f>
        <v>DisableChecksideForCounterParty</v>
      </c>
      <c r="CY4" s="29" t="str">
        <f>IFERROR(__xludf.DUMMYFUNCTION("""COMPUTED_VALUE"""),"DisableCheckside")</f>
        <v>DisableCheckside</v>
      </c>
      <c r="CZ4" s="29" t="str">
        <f>IFERROR(__xludf.DUMMYFUNCTION("""COMPUTED_VALUE"""),"ApplyMasterFundFilter")</f>
        <v>ApplyMasterFundFilter</v>
      </c>
      <c r="DA4" s="29" t="str">
        <f>IFERROR(__xludf.DUMMYFUNCTION("""COMPUTED_VALUE"""),"ShowMasterFundOnTT")</f>
        <v>ShowMasterFundOnTT</v>
      </c>
      <c r="DB4" s="29" t="str">
        <f>IFERROR(__xludf.DUMMYFUNCTION("""COMPUTED_VALUE"""),"ShowMasterFundAsClient")</f>
        <v>ShowMasterFundAsClient</v>
      </c>
      <c r="DC4" s="29" t="str">
        <f>IFERROR(__xludf.DUMMYFUNCTION("""COMPUTED_VALUE"""),"SetBrokerAccountMapping")</f>
        <v>SetBrokerAccountMapping</v>
      </c>
      <c r="DD4" s="29" t="str">
        <f>IFERROR(__xludf.DUMMYFUNCTION("""COMPUTED_VALUE"""),"EditUnallocatedGridWPF")</f>
        <v>EditUnallocatedGridWPF</v>
      </c>
      <c r="DE4" s="29" t="str">
        <f>IFERROR(__xludf.DUMMYFUNCTION("""COMPUTED_VALUE"""),"EditAllocatedGridWPF")</f>
        <v>EditAllocatedGridWPF</v>
      </c>
      <c r="DF4" s="29" t="str">
        <f>IFERROR(__xludf.DUMMYFUNCTION("""COMPUTED_VALUE"""),"EditAllocatedGridTaxlot")</f>
        <v>EditAllocatedGridTaxlot</v>
      </c>
      <c r="DG4" s="29" t="str">
        <f>IFERROR(__xludf.DUMMYFUNCTION("""COMPUTED_VALUE"""),"ExpandCollapseAllocatedGrid")</f>
        <v>ExpandCollapseAllocatedGrid</v>
      </c>
      <c r="DH4" s="29" t="str">
        <f>IFERROR(__xludf.DUMMYFUNCTION("""COMPUTED_VALUE"""),"ExpandCollapseUnallocatedGrid")</f>
        <v>ExpandCollapseUnallocatedGrid</v>
      </c>
      <c r="DI4" s="29" t="str">
        <f>IFERROR(__xludf.DUMMYFUNCTION("""COMPUTED_VALUE"""),"SetTradeAttributePreferences")</f>
        <v>SetTradeAttributePreferences</v>
      </c>
      <c r="DJ4" s="29" t="str">
        <f>IFERROR(__xludf.DUMMYFUNCTION("""COMPUTED_VALUE"""),"EnterCustomAllocatePreference")</f>
        <v>EnterCustomAllocatePreference</v>
      </c>
      <c r="DK4" s="29" t="str">
        <f>IFERROR(__xludf.DUMMYFUNCTION("""COMPUTED_VALUE"""),"SetAutoGroupingPreferences")</f>
        <v>SetAutoGroupingPreferences</v>
      </c>
      <c r="DL4" s="29" t="str">
        <f>IFERROR(__xludf.DUMMYFUNCTION("""COMPUTED_VALUE"""),"SetAutoGroupingAccount")</f>
        <v>SetAutoGroupingAccount</v>
      </c>
      <c r="DM4" s="29" t="str">
        <f>IFERROR(__xludf.DUMMYFUNCTION("""COMPUTED_VALUE"""),"SetAvgPriceRounding")</f>
        <v>SetAvgPriceRounding</v>
      </c>
      <c r="DN4" s="29" t="str">
        <f>IFERROR(__xludf.DUMMYFUNCTION("""COMPUTED_VALUE"""),"IsAllocationOpen")</f>
        <v>IsAllocationOpen</v>
      </c>
      <c r="DO4" s="29" t="str">
        <f>IFERROR(__xludf.DUMMYFUNCTION("""COMPUTED_VALUE"""),"AllocationAuditTrail")</f>
        <v>AllocationAuditTrail</v>
      </c>
      <c r="DP4" s="29" t="str">
        <f>IFERROR(__xludf.DUMMYFUNCTION("""COMPUTED_VALUE"""),"GetAuditTrailData")</f>
        <v>GetAuditTrailData</v>
      </c>
      <c r="DQ4" s="29" t="str">
        <f>IFERROR(__xludf.DUMMYFUNCTION("""COMPUTED_VALUE"""),"CheckAuditTrailData")</f>
        <v>CheckAuditTrailData</v>
      </c>
      <c r="DR4" s="29" t="str">
        <f>IFERROR(__xludf.DUMMYFUNCTION("""COMPUTED_VALUE"""),"Unallocate")</f>
        <v>Unallocate</v>
      </c>
      <c r="DS4" s="29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9" t="str">
        <f>IFERROR(__xludf.DUMMYFUNCTION("""COMPUTED_VALUE"""),"CheckPreferences")</f>
        <v>CheckPreferences</v>
      </c>
      <c r="DV4" s="29" t="str">
        <f>IFERROR(__xludf.DUMMYFUNCTION("""COMPUTED_VALUE"""),"AllocateWithPopUp")</f>
        <v>AllocateWithPopUp</v>
      </c>
      <c r="DW4" s="29" t="str">
        <f>IFERROR(__xludf.DUMMYFUNCTION("""COMPUTED_VALUE"""),"SelectAllRowsAllocated")</f>
        <v>SelectAllRowsAllocated</v>
      </c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31" t="str">
        <f>IFERROR(__xludf.DUMMYFUNCTION("""COMPUTED_VALUE"""),"FilterTabName")</f>
        <v>FilterTabName</v>
      </c>
      <c r="F5" s="33" t="str">
        <f>IFERROR(__xludf.DUMMYFUNCTION("""COMPUTED_VALUE"""),"Symbol")</f>
        <v>Symbol</v>
      </c>
      <c r="G5" s="31" t="str">
        <f>IFERROR(__xludf.DUMMYFUNCTION("""COMPUTED_VALUE"""),"Asset")</f>
        <v>Asset</v>
      </c>
      <c r="H5" s="31" t="str">
        <f>IFERROR(__xludf.DUMMYFUNCTION("""COMPUTED_VALUE"""),"Side")</f>
        <v>Side</v>
      </c>
      <c r="I5" s="31" t="str">
        <f>IFERROR(__xludf.DUMMYFUNCTION("""COMPUTED_VALUE"""),"Account")</f>
        <v>Account</v>
      </c>
      <c r="J5" s="31" t="str">
        <f>IFERROR(__xludf.DUMMYFUNCTION("""COMPUTED_VALUE"""),"Broker")</f>
        <v>Broker</v>
      </c>
      <c r="K5" s="31" t="str">
        <f>IFERROR(__xludf.DUMMYFUNCTION("""COMPUTED_VALUE"""),"Currency")</f>
        <v>Currency</v>
      </c>
      <c r="L5" s="31" t="str">
        <f>IFERROR(__xludf.DUMMYFUNCTION("""COMPUTED_VALUE"""),"Exchange")</f>
        <v>Exchange</v>
      </c>
      <c r="M5" s="31" t="str">
        <f>IFERROR(__xludf.DUMMYFUNCTION("""COMPUTED_VALUE"""),"StrategyName")</f>
        <v>StrategyName</v>
      </c>
      <c r="N5" s="31" t="str">
        <f>IFERROR(__xludf.DUMMYFUNCTION("""COMPUTED_VALUE"""),"Underlying")</f>
        <v>Underlying</v>
      </c>
      <c r="O5" s="31" t="str">
        <f>IFERROR(__xludf.DUMMYFUNCTION("""COMPUTED_VALUE"""),"Venue")</f>
        <v>Venue</v>
      </c>
      <c r="P5" s="31" t="str">
        <f>IFERROR(__xludf.DUMMYFUNCTION("""COMPUTED_VALUE"""),"TradingAccount")</f>
        <v>TradingAccount</v>
      </c>
      <c r="Q5" s="31" t="str">
        <f>IFERROR(__xludf.DUMMYFUNCTION("""COMPUTED_VALUE"""),"PreAllocated")</f>
        <v>PreAllocated</v>
      </c>
      <c r="R5" s="31" t="str">
        <f>IFERROR(__xludf.DUMMYFUNCTION("""COMPUTED_VALUE"""),"ManualGroup")</f>
        <v>ManualGroup</v>
      </c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53" t="s">
        <v>32</v>
      </c>
      <c r="C6" s="54" t="s">
        <v>33</v>
      </c>
      <c r="D6" s="56">
        <f>today()</f>
        <v>44782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42</v>
      </c>
      <c r="D3" s="5" t="s">
        <v>9</v>
      </c>
      <c r="E3" s="25" t="s">
        <v>44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IFERROR(__xludf.DUMMYFUNCTION("""COMPUTED_VALUE"""),"Reallocate")</f>
        <v>Reallocate</v>
      </c>
      <c r="I4" s="27" t="str">
        <f>IFERROR(__xludf.DUMMYFUNCTION("""COMPUTED_VALUE"""),"EditUnallocatedGroupSidePanel")</f>
        <v>EditUnallocatedGroupSidePanel</v>
      </c>
      <c r="J4" s="27" t="str">
        <f>IFERROR(__xludf.DUMMYFUNCTION("""COMPUTED_VALUE"""),"TradeAttributeBulkChange")</f>
        <v>TradeAttributeBulkChange</v>
      </c>
      <c r="K4" s="27" t="str">
        <f>IFERROR(__xludf.DUMMYFUNCTION("""COMPUTED_VALUE"""),"ApplyBulkUpdateOnGroups")</f>
        <v>ApplyBulkUpdateOnGroups</v>
      </c>
      <c r="L4" s="27" t="str">
        <f>IFERROR(__xludf.DUMMYFUNCTION("""COMPUTED_VALUE"""),"ApplyPrefetchFilters")</f>
        <v>ApplyPrefetchFilters</v>
      </c>
      <c r="M4" s="27" t="str">
        <f>IFERROR(__xludf.DUMMYFUNCTION("""COMPUTED_VALUE"""),"GeneralPreferencesDefaultRule")</f>
        <v>GeneralPreferencesDefaultRule</v>
      </c>
      <c r="N4" s="27" t="str">
        <f>IFERROR(__xludf.DUMMYFUNCTION("""COMPUTED_VALUE"""),"GeneralPrefCompanyUserWise")</f>
        <v>GeneralPrefCompanyUserWise</v>
      </c>
      <c r="O4" s="27" t="str">
        <f>IFERROR(__xludf.DUMMYFUNCTION("""COMPUTED_VALUE"""),"RenameTradeAttributes")</f>
        <v>RenameTradeAttributes</v>
      </c>
      <c r="P4" s="29" t="str">
        <f>IFERROR(__xludf.DUMMYFUNCTION("""COMPUTED_VALUE"""),"SetGroupingRules")</f>
        <v>SetGroupingRules</v>
      </c>
      <c r="Q4" s="29" t="str">
        <f>IFERROR(__xludf.DUMMYFUNCTION("""COMPUTED_VALUE"""),"SetMasterFundRatio")</f>
        <v>SetMasterFundRatio</v>
      </c>
      <c r="R4" s="29" t="str">
        <f>IFERROR(__xludf.DUMMYFUNCTION("""COMPUTED_VALUE"""),"CheckFixedPreference")</f>
        <v>CheckFixedPreference</v>
      </c>
      <c r="S4" s="29" t="str">
        <f>IFERROR(__xludf.DUMMYFUNCTION("""COMPUTED_VALUE"""),"GetFixedPreference")</f>
        <v>GetFixedPreference</v>
      </c>
      <c r="T4" s="29" t="str">
        <f>IFERROR(__xludf.DUMMYFUNCTION("""COMPUTED_VALUE"""),"AddCalculatedPreferences")</f>
        <v>AddCalculatedPreferences</v>
      </c>
      <c r="U4" s="29" t="str">
        <f>IFERROR(__xludf.DUMMYFUNCTION("""COMPUTED_VALUE"""),"BulkChangeCalculatedPreferences")</f>
        <v>BulkChangeCalculatedPreferences</v>
      </c>
      <c r="V4" s="29" t="str">
        <f>IFERROR(__xludf.DUMMYFUNCTION("""COMPUTED_VALUE"""),"DeleteCalculatedPreferences")</f>
        <v>DeleteCalculatedPreferences</v>
      </c>
      <c r="W4" s="29" t="str">
        <f>IFERROR(__xludf.DUMMYFUNCTION("""COMPUTED_VALUE"""),"RenameCalculatedPreferences")</f>
        <v>RenameCalculatedPreferences</v>
      </c>
      <c r="X4" s="29" t="str">
        <f>IFERROR(__xludf.DUMMYFUNCTION("""COMPUTED_VALUE"""),"CopyCalculatedPreferences")</f>
        <v>CopyCalculatedPreferences</v>
      </c>
      <c r="Y4" s="29" t="str">
        <f>IFERROR(__xludf.DUMMYFUNCTION("""COMPUTED_VALUE"""),"RunAutoGroup")</f>
        <v>RunAutoGroup</v>
      </c>
      <c r="Z4" s="29" t="str">
        <f>IFERROR(__xludf.DUMMYFUNCTION("""COMPUTED_VALUE"""),"BookOrUpdateSwap")</f>
        <v>BookOrUpdateSwap</v>
      </c>
      <c r="AA4" s="29" t="str">
        <f>IFERROR(__xludf.DUMMYFUNCTION("""COMPUTED_VALUE"""),"RunProrata")</f>
        <v>RunProrata</v>
      </c>
      <c r="AB4" s="29" t="str">
        <f>IFERROR(__xludf.DUMMYFUNCTION("""COMPUTED_VALUE"""),"SetDefaultRuleCalculatedPref")</f>
        <v>SetDefaultRuleCalculatedPref</v>
      </c>
      <c r="AC4" s="29" t="str">
        <f>IFERROR(__xludf.DUMMYFUNCTION("""COMPUTED_VALUE"""),"SetAccountValueCalculatedPref")</f>
        <v>SetAccountValueCalculatedPref</v>
      </c>
      <c r="AD4" s="29" t="str">
        <f>IFERROR(__xludf.DUMMYFUNCTION("""COMPUTED_VALUE"""),"TradeAttributeBulkChangeGroups")</f>
        <v>TradeAttributeBulkChangeGroups</v>
      </c>
      <c r="AE4" s="29" t="str">
        <f>IFERROR(__xludf.DUMMYFUNCTION("""COMPUTED_VALUE"""),"TradeAttributeBulkChangeTaxlots")</f>
        <v>TradeAttributeBulkChangeTaxlots</v>
      </c>
      <c r="AF4" s="29" t="str">
        <f>IFERROR(__xludf.DUMMYFUNCTION("""COMPUTED_VALUE"""),"AddCalculatedPreferenceToolbar")</f>
        <v>AddCalculatedPreferenceToolbar</v>
      </c>
      <c r="AG4" s="29" t="str">
        <f>IFERROR(__xludf.DUMMYFUNCTION("""COMPUTED_VALUE"""),"SetStrategyValueCalculatedPref")</f>
        <v>SetStrategyValueCalculatedPref</v>
      </c>
      <c r="AH4" s="29" t="str">
        <f>IFERROR(__xludf.DUMMYFUNCTION("""COMPUTED_VALUE"""),"ApplyBulkUpdateOnTaxlots")</f>
        <v>ApplyBulkUpdateOnTaxlots</v>
      </c>
      <c r="AI4" s="29" t="str">
        <f>IFERROR(__xludf.DUMMYFUNCTION("""COMPUTED_VALUE"""),"CommissionBulkChangeOnGroups")</f>
        <v>CommissionBulkChangeOnGroups</v>
      </c>
      <c r="AJ4" s="29" t="str">
        <f>IFERROR(__xludf.DUMMYFUNCTION("""COMPUTED_VALUE"""),"CommissionBulkChangeOnTaxlots")</f>
        <v>CommissionBulkChangeOnTaxlots</v>
      </c>
      <c r="AK4" s="29" t="str">
        <f>IFERROR(__xludf.DUMMYFUNCTION("""COMPUTED_VALUE"""),"SelectUnallocatedGroup")</f>
        <v>SelectUnallocatedGroup</v>
      </c>
      <c r="AL4" s="29" t="str">
        <f>IFERROR(__xludf.DUMMYFUNCTION("""COMPUTED_VALUE"""),"EnterAccountValuesToAllocate")</f>
        <v>EnterAccountValuesToAllocate</v>
      </c>
      <c r="AM4" s="29" t="str">
        <f>IFERROR(__xludf.DUMMYFUNCTION("""COMPUTED_VALUE"""),"EnterAllocatePreference")</f>
        <v>EnterAllocatePreference</v>
      </c>
      <c r="AN4" s="29" t="str">
        <f>IFERROR(__xludf.DUMMYFUNCTION("""COMPUTED_VALUE"""),"EnterStrategyValuesToAllocate")</f>
        <v>EnterStrategyValuesToAllocate</v>
      </c>
      <c r="AO4" s="29" t="str">
        <f>IFERROR(__xludf.DUMMYFUNCTION("""COMPUTED_VALUE"""),"CopyCalculatedPreferenceToolbar")</f>
        <v>CopyCalculatedPreferenceToolbar</v>
      </c>
      <c r="AP4" s="29" t="str">
        <f>IFERROR(__xludf.DUMMYFUNCTION("""COMPUTED_VALUE"""),"SetGeneralRuleCalculatedPref")</f>
        <v>SetGeneralRuleCalculatedPref</v>
      </c>
      <c r="AQ4" s="29" t="str">
        <f>IFERROR(__xludf.DUMMYFUNCTION("""COMPUTED_VALUE"""),"ExportAllCalculatedPreferences")</f>
        <v>ExportAllCalculatedPreferences</v>
      </c>
      <c r="AR4" s="29" t="str">
        <f>IFERROR(__xludf.DUMMYFUNCTION("""COMPUTED_VALUE"""),"SaveCalculatedPreferences")</f>
        <v>SaveCalculatedPreferences</v>
      </c>
      <c r="AS4" s="29" t="str">
        <f>IFERROR(__xludf.DUMMYFUNCTION("""COMPUTED_VALUE"""),"CloseCalculatedPreferences")</f>
        <v>CloseCalculatedPreferences</v>
      </c>
      <c r="AT4" s="29" t="str">
        <f>IFERROR(__xludf.DUMMYFUNCTION("""COMPUTED_VALUE"""),"ExportCalculatedPreference")</f>
        <v>ExportCalculatedPreference</v>
      </c>
      <c r="AU4" s="29" t="str">
        <f>IFERROR(__xludf.DUMMYFUNCTION("""COMPUTED_VALUE"""),"ImportCalculatedPreferences")</f>
        <v>ImportCalculatedPreferences</v>
      </c>
      <c r="AV4" s="29" t="str">
        <f>IFERROR(__xludf.DUMMYFUNCTION("""COMPUTED_VALUE"""),"OpenAuditTrailUnallocatedGroup")</f>
        <v>OpenAuditTrailUnallocatedGroup</v>
      </c>
      <c r="AW4" s="29" t="str">
        <f>IFERROR(__xludf.DUMMYFUNCTION("""COMPUTED_VALUE"""),"DeleteCalculatedPreferencesTool")</f>
        <v>DeleteCalculatedPreferencesTool</v>
      </c>
      <c r="AX4" s="29" t="str">
        <f>IFERROR(__xludf.DUMMYFUNCTION("""COMPUTED_VALUE"""),"ImportCalculatedPreferencesTool")</f>
        <v>ImportCalculatedPreferencesTool</v>
      </c>
      <c r="AY4" s="29" t="str">
        <f>IFERROR(__xludf.DUMMYFUNCTION("""COMPUTED_VALUE"""),"ExportAllCalculatedPreferTool")</f>
        <v>ExportAllCalculatedPreferTool</v>
      </c>
      <c r="AZ4" s="29" t="str">
        <f>IFERROR(__xludf.DUMMYFUNCTION("""COMPUTED_VALUE"""),"OpenAuditTrailAllocatedGroup")</f>
        <v>OpenAuditTrailAllocatedGroup</v>
      </c>
      <c r="BA4" s="29" t="str">
        <f>IFERROR(__xludf.DUMMYFUNCTION("""COMPUTED_VALUE"""),"OpenSymbolLookupUnallocateGroup")</f>
        <v>OpenSymbolLookupUnallocateGroup</v>
      </c>
      <c r="BB4" s="29" t="str">
        <f>IFERROR(__xludf.DUMMYFUNCTION("""COMPUTED_VALUE"""),"OpenSymbolLookupAllocatedGroup")</f>
        <v>OpenSymbolLookupAllocatedGroup</v>
      </c>
      <c r="BC4" s="29" t="str">
        <f>IFERROR(__xludf.DUMMYFUNCTION("""COMPUTED_VALUE"""),"DeleteFixedPreference")</f>
        <v>DeleteFixedPreference</v>
      </c>
      <c r="BD4" s="29" t="str">
        <f>IFERROR(__xludf.DUMMYFUNCTION("""COMPUTED_VALUE"""),"EditAllocatedGroupSidePanel")</f>
        <v>EditAllocatedGroupSidePanel</v>
      </c>
      <c r="BE4" s="29" t="str">
        <f>IFERROR(__xludf.DUMMYFUNCTION("""COMPUTED_VALUE"""),"CheckUnallocatedGroups")</f>
        <v>CheckUnallocatedGroups</v>
      </c>
      <c r="BF4" s="29" t="str">
        <f>IFERROR(__xludf.DUMMYFUNCTION("""COMPUTED_VALUE"""),"SetGeneralPreferences")</f>
        <v>SetGeneralPreferences</v>
      </c>
      <c r="BG4" s="29" t="str">
        <f>IFERROR(__xludf.DUMMYFUNCTION("""COMPUTED_VALUE"""),"GroupTrades")</f>
        <v>GroupTrades</v>
      </c>
      <c r="BH4" s="29" t="str">
        <f>IFERROR(__xludf.DUMMYFUNCTION("""COMPUTED_VALUE"""),"UngroupTrades")</f>
        <v>UngroupTrades</v>
      </c>
      <c r="BI4" s="29" t="str">
        <f>IFERROR(__xludf.DUMMYFUNCTION("""COMPUTED_VALUE"""),"DeleteGroup")</f>
        <v>DeleteGroup</v>
      </c>
      <c r="BJ4" s="29" t="str">
        <f>IFERROR(__xludf.DUMMYFUNCTION("""COMPUTED_VALUE"""),"CloseOrder")</f>
        <v>CloseOrder</v>
      </c>
      <c r="BK4" s="29" t="str">
        <f>IFERROR(__xludf.DUMMYFUNCTION("""COMPUTED_VALUE"""),"Unallocate")</f>
        <v>Unallocate</v>
      </c>
      <c r="BL4" s="29" t="str">
        <f>IFERROR(__xludf.DUMMYFUNCTION("""COMPUTED_VALUE"""),"CloseAllocation")</f>
        <v>CloseAllocation</v>
      </c>
      <c r="BM4" s="29" t="str">
        <f>IFERROR(__xludf.DUMMYFUNCTION("""COMPUTED_VALUE"""),"UpdateGRAccountValue")</f>
        <v>UpdateGRAccountValue</v>
      </c>
      <c r="BN4" s="29" t="str">
        <f>IFERROR(__xludf.DUMMYFUNCTION("""COMPUTED_VALUE"""),"UpdateGRStrategyValue")</f>
        <v>UpdateGRStrategyValue</v>
      </c>
      <c r="BO4" s="29" t="str">
        <f>IFERROR(__xludf.DUMMYFUNCTION("""COMPUTED_VALUE"""),"UpdateGRDefaultRule")</f>
        <v>UpdateGRDefaultRule</v>
      </c>
      <c r="BP4" s="29" t="str">
        <f>IFERROR(__xludf.DUMMYFUNCTION("""COMPUTED_VALUE"""),"UpdateGeneralRulePref")</f>
        <v>UpdateGeneralRulePref</v>
      </c>
      <c r="BQ4" s="29" t="str">
        <f>IFERROR(__xludf.DUMMYFUNCTION("""COMPUTED_VALUE"""),"ModifyGRPreferenceValues")</f>
        <v>ModifyGRPreferenceValues</v>
      </c>
      <c r="BR4" s="29" t="str">
        <f>IFERROR(__xludf.DUMMYFUNCTION("""COMPUTED_VALUE"""),"AddMFPreferences")</f>
        <v>AddMFPreferences</v>
      </c>
      <c r="BS4" s="29" t="str">
        <f>IFERROR(__xludf.DUMMYFUNCTION("""COMPUTED_VALUE"""),"AddMFPreferenceToolbar")</f>
        <v>AddMFPreferenceToolbar</v>
      </c>
      <c r="BT4" s="29" t="str">
        <f>IFERROR(__xludf.DUMMYFUNCTION("""COMPUTED_VALUE"""),"DeleteMFPreferences")</f>
        <v>DeleteMFPreferences</v>
      </c>
      <c r="BU4" s="29" t="str">
        <f>IFERROR(__xludf.DUMMYFUNCTION("""COMPUTED_VALUE"""),"DeleteMFPreferenceToolbar")</f>
        <v>DeleteMFPreferenceToolbar</v>
      </c>
      <c r="BV4" s="29" t="str">
        <f>IFERROR(__xludf.DUMMYFUNCTION("""COMPUTED_VALUE"""),"RenameMFPreferences")</f>
        <v>RenameMFPreferences</v>
      </c>
      <c r="BW4" s="29" t="str">
        <f>IFERROR(__xludf.DUMMYFUNCTION("""COMPUTED_VALUE"""),"SaveCloseMFPreference")</f>
        <v>SaveCloseMFPreference</v>
      </c>
      <c r="BX4" s="29" t="str">
        <f>IFERROR(__xludf.DUMMYFUNCTION("""COMPUTED_VALUE"""),"SetMFPrefAccountValues")</f>
        <v>SetMFPrefAccountValues</v>
      </c>
      <c r="BY4" s="29" t="str">
        <f>IFERROR(__xludf.DUMMYFUNCTION("""COMPUTED_VALUE"""),"ModifyMFPrefGeneralRuleValues")</f>
        <v>ModifyMFPrefGeneralRuleValues</v>
      </c>
      <c r="BZ4" s="29" t="str">
        <f>IFERROR(__xludf.DUMMYFUNCTION("""COMPUTED_VALUE"""),"SetMFPrefStrategyValues")</f>
        <v>SetMFPrefStrategyValues</v>
      </c>
      <c r="CA4" s="29" t="str">
        <f>IFERROR(__xludf.DUMMYFUNCTION("""COMPUTED_VALUE"""),"SetMFPrefGeneralRule")</f>
        <v>SetMFPrefGeneralRule</v>
      </c>
      <c r="CB4" s="29" t="str">
        <f>IFERROR(__xludf.DUMMYFUNCTION("""COMPUTED_VALUE"""),"SetMFPrefFundDistribution")</f>
        <v>SetMFPrefFundDistribution</v>
      </c>
      <c r="CC4" s="29" t="str">
        <f>IFERROR(__xludf.DUMMYFUNCTION("""COMPUTED_VALUE"""),"SetMFPreferencesDefaultRule")</f>
        <v>SetMFPreferencesDefaultRule</v>
      </c>
      <c r="CD4" s="29" t="str">
        <f>IFERROR(__xludf.DUMMYFUNCTION("""COMPUTED_VALUE"""),"SetMFPrefFundDefaultRule")</f>
        <v>SetMFPrefFundDefaultRule</v>
      </c>
      <c r="CE4" s="29" t="str">
        <f>IFERROR(__xludf.DUMMYFUNCTION("""COMPUTED_VALUE"""),"ClearPrefetchFilters")</f>
        <v>ClearPrefetchFilters</v>
      </c>
      <c r="CF4" s="29" t="str">
        <f>IFERROR(__xludf.DUMMYFUNCTION("""COMPUTED_VALUE"""),"ExpandCollapseAllUnallocated")</f>
        <v>ExpandCollapseAllUnallocated</v>
      </c>
      <c r="CG4" s="29" t="str">
        <f>IFERROR(__xludf.DUMMYFUNCTION("""COMPUTED_VALUE"""),"ExpandCollapseAllAllocated")</f>
        <v>ExpandCollapseAllAllocated</v>
      </c>
      <c r="CH4" s="29" t="str">
        <f>IFERROR(__xludf.DUMMYFUNCTION("""COMPUTED_VALUE"""),"GenerateCashTransaction")</f>
        <v>GenerateCashTransaction</v>
      </c>
      <c r="CI4" s="29" t="str">
        <f>IFERROR(__xludf.DUMMYFUNCTION("""COMPUTED_VALUE"""),"SaveAllocation")</f>
        <v>SaveAllocation</v>
      </c>
      <c r="CJ4" s="29" t="str">
        <f>IFERROR(__xludf.DUMMYFUNCTION("""COMPUTED_VALUE"""),"UnallocateWithOutSave")</f>
        <v>UnallocateWithOutSave</v>
      </c>
      <c r="CK4" s="29" t="str">
        <f>IFERROR(__xludf.DUMMYFUNCTION("""COMPUTED_VALUE"""),"EditUnallocatedGrid")</f>
        <v>EditUnallocatedGrid</v>
      </c>
      <c r="CL4" s="29" t="str">
        <f>IFERROR(__xludf.DUMMYFUNCTION("""COMPUTED_VALUE"""),"EditAllocatedGrid")</f>
        <v>EditAllocatedGrid</v>
      </c>
      <c r="CM4" s="29" t="str">
        <f>IFERROR(__xludf.DUMMYFUNCTION("""COMPUTED_VALUE"""),"SaveLayoutAllocatedGrid")</f>
        <v>SaveLayoutAllocatedGrid</v>
      </c>
      <c r="CN4" s="29" t="str">
        <f>IFERROR(__xludf.DUMMYFUNCTION("""COMPUTED_VALUE"""),"SaveLayoutUnallocatedGrid")</f>
        <v>SaveLayoutUnallocatedGrid</v>
      </c>
      <c r="CO4" s="29" t="str">
        <f>IFERROR(__xludf.DUMMYFUNCTION("""COMPUTED_VALUE"""),"SaveLayoutAllocationUI")</f>
        <v>SaveLayoutAllocationUI</v>
      </c>
      <c r="CP4" s="29" t="str">
        <f>IFERROR(__xludf.DUMMYFUNCTION("""COMPUTED_VALUE"""),"ClearFiltersAllocatedGrid")</f>
        <v>ClearFiltersAllocatedGrid</v>
      </c>
      <c r="CQ4" s="29" t="str">
        <f>IFERROR(__xludf.DUMMYFUNCTION("""COMPUTED_VALUE"""),"ClearFiltersUnallocatedGrid")</f>
        <v>ClearFiltersUnallocatedGrid</v>
      </c>
      <c r="CR4" s="29" t="str">
        <f>IFERROR(__xludf.DUMMYFUNCTION("""COMPUTED_VALUE"""),"VerifyLayoutAllocatedGrid")</f>
        <v>VerifyLayoutAllocatedGrid</v>
      </c>
      <c r="CS4" s="29" t="str">
        <f>IFERROR(__xludf.DUMMYFUNCTION("""COMPUTED_VALUE"""),"VerifyLayoutUnallocatedGrid")</f>
        <v>VerifyLayoutUnallocatedGrid</v>
      </c>
      <c r="CT4" s="29" t="str">
        <f>IFERROR(__xludf.DUMMYFUNCTION("""COMPUTED_VALUE"""),"CleanUp")</f>
        <v>CleanUp</v>
      </c>
      <c r="CU4" s="29" t="str">
        <f>IFERROR(__xludf.DUMMYFUNCTION("""COMPUTED_VALUE"""),"CheckAllocatedTaxlots")</f>
        <v>CheckAllocatedTaxlots</v>
      </c>
      <c r="CV4" s="29" t="str">
        <f>IFERROR(__xludf.DUMMYFUNCTION("""COMPUTED_VALUE"""),"DisableChecksideForAsset")</f>
        <v>DisableChecksideForAsset</v>
      </c>
      <c r="CW4" s="29" t="str">
        <f>IFERROR(__xludf.DUMMYFUNCTION("""COMPUTED_VALUE"""),"DisableChecksideForAccount")</f>
        <v>DisableChecksideForAccount</v>
      </c>
      <c r="CX4" s="29" t="str">
        <f>IFERROR(__xludf.DUMMYFUNCTION("""COMPUTED_VALUE"""),"DisableChecksideForCounterParty")</f>
        <v>DisableChecksideForCounterParty</v>
      </c>
      <c r="CY4" s="29" t="str">
        <f>IFERROR(__xludf.DUMMYFUNCTION("""COMPUTED_VALUE"""),"DisableCheckside")</f>
        <v>DisableCheckside</v>
      </c>
      <c r="CZ4" s="29" t="str">
        <f>IFERROR(__xludf.DUMMYFUNCTION("""COMPUTED_VALUE"""),"ApplyMasterFundFilter")</f>
        <v>ApplyMasterFundFilter</v>
      </c>
      <c r="DA4" s="29" t="str">
        <f>IFERROR(__xludf.DUMMYFUNCTION("""COMPUTED_VALUE"""),"ShowMasterFundOnTT")</f>
        <v>ShowMasterFundOnTT</v>
      </c>
      <c r="DB4" s="29" t="str">
        <f>IFERROR(__xludf.DUMMYFUNCTION("""COMPUTED_VALUE"""),"ShowMasterFundAsClient")</f>
        <v>ShowMasterFundAsClient</v>
      </c>
      <c r="DC4" s="29" t="str">
        <f>IFERROR(__xludf.DUMMYFUNCTION("""COMPUTED_VALUE"""),"SetBrokerAccountMapping")</f>
        <v>SetBrokerAccountMapping</v>
      </c>
      <c r="DD4" s="29" t="str">
        <f>IFERROR(__xludf.DUMMYFUNCTION("""COMPUTED_VALUE"""),"EditUnallocatedGridWPF")</f>
        <v>EditUnallocatedGridWPF</v>
      </c>
      <c r="DE4" s="29" t="str">
        <f>IFERROR(__xludf.DUMMYFUNCTION("""COMPUTED_VALUE"""),"EditAllocatedGridWPF")</f>
        <v>EditAllocatedGridWPF</v>
      </c>
      <c r="DF4" s="29" t="str">
        <f>IFERROR(__xludf.DUMMYFUNCTION("""COMPUTED_VALUE"""),"EditAllocatedGridTaxlot")</f>
        <v>EditAllocatedGridTaxlot</v>
      </c>
      <c r="DG4" s="29" t="str">
        <f>IFERROR(__xludf.DUMMYFUNCTION("""COMPUTED_VALUE"""),"ExpandCollapseAllocatedGrid")</f>
        <v>ExpandCollapseAllocatedGrid</v>
      </c>
      <c r="DH4" s="29" t="str">
        <f>IFERROR(__xludf.DUMMYFUNCTION("""COMPUTED_VALUE"""),"ExpandCollapseUnallocatedGrid")</f>
        <v>ExpandCollapseUnallocatedGrid</v>
      </c>
      <c r="DI4" s="29" t="str">
        <f>IFERROR(__xludf.DUMMYFUNCTION("""COMPUTED_VALUE"""),"SetTradeAttributePreferences")</f>
        <v>SetTradeAttributePreferences</v>
      </c>
      <c r="DJ4" s="29" t="str">
        <f>IFERROR(__xludf.DUMMYFUNCTION("""COMPUTED_VALUE"""),"EnterCustomAllocatePreference")</f>
        <v>EnterCustomAllocatePreference</v>
      </c>
      <c r="DK4" s="29" t="str">
        <f>IFERROR(__xludf.DUMMYFUNCTION("""COMPUTED_VALUE"""),"SetAutoGroupingPreferences")</f>
        <v>SetAutoGroupingPreferences</v>
      </c>
      <c r="DL4" s="29" t="str">
        <f>IFERROR(__xludf.DUMMYFUNCTION("""COMPUTED_VALUE"""),"SetAutoGroupingAccount")</f>
        <v>SetAutoGroupingAccount</v>
      </c>
      <c r="DM4" s="29" t="str">
        <f>IFERROR(__xludf.DUMMYFUNCTION("""COMPUTED_VALUE"""),"SetAvgPriceRounding")</f>
        <v>SetAvgPriceRounding</v>
      </c>
      <c r="DN4" s="29" t="str">
        <f>IFERROR(__xludf.DUMMYFUNCTION("""COMPUTED_VALUE"""),"IsAllocationOpen")</f>
        <v>IsAllocationOpen</v>
      </c>
      <c r="DO4" s="29" t="str">
        <f>IFERROR(__xludf.DUMMYFUNCTION("""COMPUTED_VALUE"""),"AllocationAuditTrail")</f>
        <v>AllocationAuditTrail</v>
      </c>
      <c r="DP4" s="29" t="str">
        <f>IFERROR(__xludf.DUMMYFUNCTION("""COMPUTED_VALUE"""),"GetAuditTrailData")</f>
        <v>GetAuditTrailData</v>
      </c>
      <c r="DQ4" s="29" t="str">
        <f>IFERROR(__xludf.DUMMYFUNCTION("""COMPUTED_VALUE"""),"CheckAuditTrailData")</f>
        <v>CheckAuditTrailData</v>
      </c>
      <c r="DR4" s="29" t="str">
        <f>IFERROR(__xludf.DUMMYFUNCTION("""COMPUTED_VALUE"""),"Unallocate")</f>
        <v>Unallocate</v>
      </c>
      <c r="DS4" s="29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9" t="str">
        <f>IFERROR(__xludf.DUMMYFUNCTION("""COMPUTED_VALUE"""),"CheckPreferences")</f>
        <v>CheckPreferences</v>
      </c>
      <c r="DV4" s="29" t="str">
        <f>IFERROR(__xludf.DUMMYFUNCTION("""COMPUTED_VALUE"""),"AllocateWithPopUp")</f>
        <v>AllocateWithPopUp</v>
      </c>
      <c r="DW4" s="29" t="str">
        <f>IFERROR(__xludf.DUMMYFUNCTION("""COMPUTED_VALUE"""),"SelectAllRowsAllocated")</f>
        <v>SelectAllRowsAllocated</v>
      </c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 Name")</f>
        <v>Account Name</v>
      </c>
      <c r="C5" s="31" t="str">
        <f>IFERROR(__xludf.DUMMYFUNCTION("""COMPUTED_VALUE"""),"Accrual Basis")</f>
        <v>Accrual Basis</v>
      </c>
      <c r="D5" s="31" t="str">
        <f>IFERROR(__xludf.DUMMYFUNCTION("""COMPUTED_VALUE"""),"Accrued Interest")</f>
        <v>Accrued Interest</v>
      </c>
      <c r="E5" s="31" t="str">
        <f>IFERROR(__xludf.DUMMYFUNCTION("""COMPUTED_VALUE"""),"Allocated Qty")</f>
        <v>Allocated Qty</v>
      </c>
      <c r="F5" s="33" t="str">
        <f>IFERROR(__xludf.DUMMYFUNCTION("""COMPUTED_VALUE"""),"Allocation Scheme Name")</f>
        <v>Allocation Scheme Name</v>
      </c>
      <c r="G5" s="31" t="str">
        <f>IFERROR(__xludf.DUMMYFUNCTION("""COMPUTED_VALUE"""),"Asset Category")</f>
        <v>Asset Category</v>
      </c>
      <c r="H5" s="31" t="str">
        <f>IFERROR(__xludf.DUMMYFUNCTION("""COMPUTED_VALUE"""),"AUEC Fee1")</f>
        <v>AUEC Fee1</v>
      </c>
      <c r="I5" s="31" t="str">
        <f>IFERROR(__xludf.DUMMYFUNCTION("""COMPUTED_VALUE"""),"AUEC Fee2")</f>
        <v>AUEC Fee2</v>
      </c>
      <c r="J5" s="31" t="str">
        <f>IFERROR(__xludf.DUMMYFUNCTION("""COMPUTED_VALUE"""),"AUECID")</f>
        <v>AUECID</v>
      </c>
      <c r="K5" s="31" t="str">
        <f>IFERROR(__xludf.DUMMYFUNCTION("""COMPUTED_VALUE"""),"Avg Price(Base)")</f>
        <v>Avg Price(Base)</v>
      </c>
      <c r="L5" s="31" t="str">
        <f>IFERROR(__xludf.DUMMYFUNCTION("""COMPUTED_VALUE"""),"Avg Price(Local)")</f>
        <v>Avg Price(Local)</v>
      </c>
      <c r="M5" s="31" t="str">
        <f>IFERROR(__xludf.DUMMYFUNCTION("""COMPUTED_VALUE"""),"Bloomberg")</f>
        <v>Bloomberg</v>
      </c>
      <c r="N5" s="31" t="str">
        <f>IFERROR(__xludf.DUMMYFUNCTION("""COMPUTED_VALUE"""),"Bond Type")</f>
        <v>Bond Type</v>
      </c>
      <c r="O5" s="31" t="str">
        <f>IFERROR(__xludf.DUMMYFUNCTION("""COMPUTED_VALUE"""),"Broker")</f>
        <v>Broker</v>
      </c>
      <c r="P5" s="31" t="str">
        <f>IFERROR(__xludf.DUMMYFUNCTION("""COMPUTED_VALUE"""),"Change Comment")</f>
        <v>Change Comment</v>
      </c>
      <c r="Q5" s="31" t="str">
        <f>IFERROR(__xludf.DUMMYFUNCTION("""COMPUTED_VALUE"""),"Change Type")</f>
        <v>Change Type</v>
      </c>
      <c r="R5" s="31" t="str">
        <f>IFERROR(__xludf.DUMMYFUNCTION("""COMPUTED_VALUE"""),"Clearing Broker Fee")</f>
        <v>Clearing Broker Fee</v>
      </c>
      <c r="S5" s="31" t="str">
        <f>IFERROR(__xludf.DUMMYFUNCTION("""COMPUTED_VALUE"""),"Closing Status")</f>
        <v>Closing Status</v>
      </c>
      <c r="T5" s="34" t="str">
        <f>IFERROR(__xludf.DUMMYFUNCTION("""COMPUTED_VALUE"""),"Commission")</f>
        <v>Commission</v>
      </c>
      <c r="U5" s="34" t="str">
        <f>IFERROR(__xludf.DUMMYFUNCTION("""COMPUTED_VALUE"""),"Commission Per Share")</f>
        <v>Commission Per Share</v>
      </c>
      <c r="V5" s="34" t="str">
        <f>IFERROR(__xludf.DUMMYFUNCTION("""COMPUTED_VALUE"""),"Company")</f>
        <v>Company</v>
      </c>
      <c r="W5" s="34" t="str">
        <f>IFERROR(__xludf.DUMMYFUNCTION("""COMPUTED_VALUE"""),"Contract Multiplier")</f>
        <v>Contract Multiplier</v>
      </c>
      <c r="X5" s="34" t="str">
        <f>IFERROR(__xludf.DUMMYFUNCTION("""COMPUTED_VALUE"""),"Coupon Rate")</f>
        <v>Coupon Rate</v>
      </c>
      <c r="Y5" s="34" t="str">
        <f>IFERROR(__xludf.DUMMYFUNCTION("""COMPUTED_VALUE"""),"Cum Qty For Sub Order")</f>
        <v>Cum Qty For Sub Order</v>
      </c>
      <c r="Z5" s="34" t="str">
        <f>IFERROR(__xludf.DUMMYFUNCTION("""COMPUTED_VALUE"""),"Currency")</f>
        <v>Currency</v>
      </c>
      <c r="AA5" s="34" t="str">
        <f>IFERROR(__xludf.DUMMYFUNCTION("""COMPUTED_VALUE"""),"Cusip Symbol")</f>
        <v>Cusip Symbol</v>
      </c>
      <c r="AB5" s="34" t="str">
        <f>IFERROR(__xludf.DUMMYFUNCTION("""COMPUTED_VALUE"""),"Delta")</f>
        <v>Delta</v>
      </c>
      <c r="AC5" s="34" t="str">
        <f>IFERROR(__xludf.DUMMYFUNCTION("""COMPUTED_VALUE"""),"Description")</f>
        <v>Description</v>
      </c>
      <c r="AD5" s="34" t="str">
        <f>IFERROR(__xludf.DUMMYFUNCTION("""COMPUTED_VALUE"""),"Exchange")</f>
        <v>Exchange</v>
      </c>
      <c r="AE5" s="34" t="str">
        <f>IFERROR(__xludf.DUMMYFUNCTION("""COMPUTED_VALUE"""),"Executed Qty")</f>
        <v>Executed Qty</v>
      </c>
      <c r="AF5" s="34" t="str">
        <f>IFERROR(__xludf.DUMMYFUNCTION("""COMPUTED_VALUE"""),"Exceution Time")</f>
        <v>Exceution Time</v>
      </c>
      <c r="AG5" s="34" t="str">
        <f>IFERROR(__xludf.DUMMYFUNCTION("""COMPUTED_VALUE"""),"Expiration Date")</f>
        <v>Expiration Date</v>
      </c>
      <c r="AH5" s="34" t="str">
        <f>IFERROR(__xludf.DUMMYFUNCTION("""COMPUTED_VALUE"""),"FX Conversion Operator")</f>
        <v>FX Conversion Operator</v>
      </c>
      <c r="AI5" s="34" t="str">
        <f>IFERROR(__xludf.DUMMYFUNCTION("""COMPUTED_VALUE"""),"FX Rate")</f>
        <v>FX Rate</v>
      </c>
      <c r="AJ5" s="34" t="str">
        <f>IFERROR(__xludf.DUMMYFUNCTION("""COMPUTED_VALUE"""),"Group Status")</f>
        <v>Group Status</v>
      </c>
      <c r="AK5" s="34" t="str">
        <f>IFERROR(__xludf.DUMMYFUNCTION("""COMPUTED_VALUE"""),"IDCOSymbol")</f>
        <v>IDCOSymbol</v>
      </c>
      <c r="AL5" s="34" t="str">
        <f>IFERROR(__xludf.DUMMYFUNCTION("""COMPUTED_VALUE"""),"Import File Name")</f>
        <v>Import File Name</v>
      </c>
      <c r="AM5" s="34" t="str">
        <f>IFERROR(__xludf.DUMMYFUNCTION("""COMPUTED_VALUE"""),"Internal Comments")</f>
        <v>Internal Comments</v>
      </c>
      <c r="AN5" s="34" t="str">
        <f>IFERROR(__xludf.DUMMYFUNCTION("""COMPUTED_VALUE"""),"IsAnotherTaxlotAttributesUpdated")</f>
        <v>IsAnotherTaxlotAttributesUpdated</v>
      </c>
      <c r="AO5" s="34" t="str">
        <f>IFERROR(__xludf.DUMMYFUNCTION("""COMPUTED_VALUE"""),"ISIN")</f>
        <v>ISIN</v>
      </c>
      <c r="AP5" s="34" t="str">
        <f>IFERROR(__xludf.DUMMYFUNCTION("""COMPUTED_VALUE"""),"IsManual Group")</f>
        <v>IsManual Group</v>
      </c>
      <c r="AQ5" s="34" t="str">
        <f>IFERROR(__xludf.DUMMYFUNCTION("""COMPUTED_VALUE"""),"ISNDF")</f>
        <v>ISNDF</v>
      </c>
      <c r="AR5" s="34" t="str">
        <f>IFERROR(__xludf.DUMMYFUNCTION("""COMPUTED_VALUE"""),"IsPreAllocated")</f>
        <v>IsPreAllocated</v>
      </c>
      <c r="AS5" s="34" t="str">
        <f>IFERROR(__xludf.DUMMYFUNCTION("""COMPUTED_VALUE"""),"M2MProfitLoss")</f>
        <v>M2MProfitLoss</v>
      </c>
      <c r="AT5" s="34" t="str">
        <f>IFERROR(__xludf.DUMMYFUNCTION("""COMPUTED_VALUE"""),"Net Amount( Base)")</f>
        <v>Net Amount( Base)</v>
      </c>
      <c r="AU5" s="34" t="str">
        <f>IFERROR(__xludf.DUMMYFUNCTION("""COMPUTED_VALUE"""),"Net Amount( Local)")</f>
        <v>Net Amount( Local)</v>
      </c>
      <c r="AV5" s="34" t="str">
        <f>IFERROR(__xludf.DUMMYFUNCTION("""COMPUTED_VALUE"""),"Nirvana Process Date")</f>
        <v>Nirvana Process Date</v>
      </c>
      <c r="AW5" s="34" t="str">
        <f>IFERROR(__xludf.DUMMYFUNCTION("""COMPUTED_VALUE"""),"OCC Fee")</f>
        <v>OCC Fee</v>
      </c>
      <c r="AX5" s="34" t="str">
        <f>IFERROR(__xludf.DUMMYFUNCTION("""COMPUTED_VALUE"""),"Option Premium Adjustment")</f>
        <v>Option Premium Adjustment</v>
      </c>
      <c r="AY5" s="34" t="str">
        <f>IFERROR(__xludf.DUMMYFUNCTION("""COMPUTED_VALUE"""),"Order Type")</f>
        <v>Order Type</v>
      </c>
      <c r="AZ5" s="34" t="str">
        <f>IFERROR(__xludf.DUMMYFUNCTION("""COMPUTED_VALUE"""),"ORF Fee")</f>
        <v>ORF Fee</v>
      </c>
      <c r="BA5" s="34" t="str">
        <f>IFERROR(__xludf.DUMMYFUNCTION("""COMPUTED_VALUE"""),"Original Purchase Date")</f>
        <v>Original Purchase Date</v>
      </c>
      <c r="BB5" s="34" t="str">
        <f>IFERROR(__xludf.DUMMYFUNCTION("""COMPUTED_VALUE"""),"OSISSymbol")</f>
        <v>OSISSymbol</v>
      </c>
      <c r="BC5" s="34" t="str">
        <f>IFERROR(__xludf.DUMMYFUNCTION("""COMPUTED_VALUE"""),"Other Broker Fees")</f>
        <v>Other Broker Fees</v>
      </c>
      <c r="BD5" s="34" t="str">
        <f>IFERROR(__xludf.DUMMYFUNCTION("""COMPUTED_VALUE"""),"Prana Msg Type")</f>
        <v>Prana Msg Type</v>
      </c>
      <c r="BE5" s="34" t="str">
        <f>IFERROR(__xludf.DUMMYFUNCTION("""COMPUTED_VALUE"""),"Principal Amount( Base)")</f>
        <v>Principal Amount( Base)</v>
      </c>
      <c r="BF5" s="34" t="str">
        <f>IFERROR(__xludf.DUMMYFUNCTION("""COMPUTED_VALUE"""),"Principal Amount( Local)")</f>
        <v>Principal Amount( Local)</v>
      </c>
      <c r="BG5" s="34" t="str">
        <f>IFERROR(__xludf.DUMMYFUNCTION("""COMPUTED_VALUE"""),"Process Date")</f>
        <v>Process Date</v>
      </c>
      <c r="BH5" s="34" t="str">
        <f>IFERROR(__xludf.DUMMYFUNCTION("""COMPUTED_VALUE"""),"Proxy Symbol")</f>
        <v>Proxy Symbol</v>
      </c>
      <c r="BI5" s="34" t="str">
        <f>IFERROR(__xludf.DUMMYFUNCTION("""COMPUTED_VALUE"""),"Put Or Call")</f>
        <v>Put Or Call</v>
      </c>
      <c r="BJ5" s="34" t="str">
        <f>IFERROR(__xludf.DUMMYFUNCTION("""COMPUTED_VALUE"""),"Quantity")</f>
        <v>Quantity</v>
      </c>
      <c r="BK5" s="34" t="str">
        <f>IFERROR(__xludf.DUMMYFUNCTION("""COMPUTED_VALUE"""),"SEC Fee")</f>
        <v>SEC Fee</v>
      </c>
      <c r="BL5" s="34" t="str">
        <f>IFERROR(__xludf.DUMMYFUNCTION("""COMPUTED_VALUE"""),"Sedol Symbol")</f>
        <v>Sedol Symbol</v>
      </c>
      <c r="BM5" s="34" t="str">
        <f>IFERROR(__xludf.DUMMYFUNCTION("""COMPUTED_VALUE"""),"Settlement Currency")</f>
        <v>Settlement Currency</v>
      </c>
      <c r="BN5" s="34" t="str">
        <f>IFERROR(__xludf.DUMMYFUNCTION("""COMPUTED_VALUE"""),"Settlement Date")</f>
        <v>Settlement Date</v>
      </c>
      <c r="BO5" s="34" t="str">
        <f>IFERROR(__xludf.DUMMYFUNCTION("""COMPUTED_VALUE"""),"Side")</f>
        <v>Side</v>
      </c>
      <c r="BP5" s="34" t="str">
        <f>IFERROR(__xludf.DUMMYFUNCTION("""COMPUTED_VALUE"""),"Soft Commission")</f>
        <v>Soft Commission</v>
      </c>
      <c r="BQ5" s="34" t="str">
        <f>IFERROR(__xludf.DUMMYFUNCTION("""COMPUTED_VALUE"""),"Soft Commission Per Share")</f>
        <v>Soft Commission Per Share</v>
      </c>
      <c r="BR5" s="34" t="str">
        <f>IFERROR(__xludf.DUMMYFUNCTION("""COMPUTED_VALUE"""),"Stamp Duty")</f>
        <v>Stamp Duty</v>
      </c>
      <c r="BS5" s="34" t="str">
        <f>IFERROR(__xludf.DUMMYFUNCTION("""COMPUTED_VALUE"""),"Strategy Name")</f>
        <v>Strategy Name</v>
      </c>
      <c r="BT5" s="34" t="str">
        <f>IFERROR(__xludf.DUMMYFUNCTION("""COMPUTED_VALUE"""),"Symbol")</f>
        <v>Symbol</v>
      </c>
      <c r="BU5" s="34" t="str">
        <f>IFERROR(__xludf.DUMMYFUNCTION("""COMPUTED_VALUE"""),"Tax On Commissions")</f>
        <v>Tax On Commissions</v>
      </c>
      <c r="BV5" s="34" t="str">
        <f>IFERROR(__xludf.DUMMYFUNCTION("""COMPUTED_VALUE"""),"Total Commission")</f>
        <v>Total Commission</v>
      </c>
      <c r="BW5" s="34" t="str">
        <f>IFERROR(__xludf.DUMMYFUNCTION("""COMPUTED_VALUE"""),"Total Commission And Fee")</f>
        <v>Total Commission And Fee</v>
      </c>
      <c r="BX5" s="34" t="str">
        <f>IFERROR(__xludf.DUMMYFUNCTION("""COMPUTED_VALUE"""),"Total Commission Per Share")</f>
        <v>Total Commission Per Share</v>
      </c>
      <c r="BY5" s="34" t="str">
        <f>IFERROR(__xludf.DUMMYFUNCTION("""COMPUTED_VALUE"""),"Trade Attribute 1")</f>
        <v>Trade Attribute 1</v>
      </c>
      <c r="BZ5" s="34" t="str">
        <f>IFERROR(__xludf.DUMMYFUNCTION("""COMPUTED_VALUE"""),"Trade Attribute 2")</f>
        <v>Trade Attribute 2</v>
      </c>
      <c r="CA5" s="34" t="str">
        <f>IFERROR(__xludf.DUMMYFUNCTION("""COMPUTED_VALUE"""),"Trade Attribute 3")</f>
        <v>Trade Attribute 3</v>
      </c>
      <c r="CB5" s="34" t="str">
        <f>IFERROR(__xludf.DUMMYFUNCTION("""COMPUTED_VALUE"""),"Trade Attribute 4")</f>
        <v>Trade Attribute 4</v>
      </c>
      <c r="CC5" s="34" t="str">
        <f>IFERROR(__xludf.DUMMYFUNCTION("""COMPUTED_VALUE"""),"Trade Attribute 5")</f>
        <v>Trade Attribute 5</v>
      </c>
      <c r="CD5" s="34" t="str">
        <f>IFERROR(__xludf.DUMMYFUNCTION("""COMPUTED_VALUE"""),"Trade Attribute 6")</f>
        <v>Trade Attribute 6</v>
      </c>
      <c r="CE5" s="34" t="str">
        <f>IFERROR(__xludf.DUMMYFUNCTION("""COMPUTED_VALUE"""),"Trade Date")</f>
        <v>Trade Date</v>
      </c>
      <c r="CF5" s="34" t="str">
        <f>IFERROR(__xludf.DUMMYFUNCTION("""COMPUTED_VALUE"""),"Trading Account")</f>
        <v>Trading Account</v>
      </c>
      <c r="CG5" s="34" t="str">
        <f>IFERROR(__xludf.DUMMYFUNCTION("""COMPUTED_VALUE"""),"Transaction Levy")</f>
        <v>Transaction Levy</v>
      </c>
      <c r="CH5" s="34" t="str">
        <f>IFERROR(__xludf.DUMMYFUNCTION("""COMPUTED_VALUE"""),"Transaction Source")</f>
        <v>Transaction Source</v>
      </c>
      <c r="CI5" s="34" t="str">
        <f>IFERROR(__xludf.DUMMYFUNCTION("""COMPUTED_VALUE"""),"Transaction Type")</f>
        <v>Transaction Type</v>
      </c>
      <c r="CJ5" s="34" t="str">
        <f>IFERROR(__xludf.DUMMYFUNCTION("""COMPUTED_VALUE"""),"UnAllocatedQty")</f>
        <v>UnAllocatedQty</v>
      </c>
      <c r="CK5" s="34" t="str">
        <f>IFERROR(__xludf.DUMMYFUNCTION("""COMPUTED_VALUE"""),"Underlying")</f>
        <v>Underlying</v>
      </c>
      <c r="CL5" s="34" t="str">
        <f>IFERROR(__xludf.DUMMYFUNCTION("""COMPUTED_VALUE"""),"Underlying Delta")</f>
        <v>Underlying Delta</v>
      </c>
      <c r="CM5" s="34" t="str">
        <f>IFERROR(__xludf.DUMMYFUNCTION("""COMPUTED_VALUE"""),"Underlying Symbol")</f>
        <v>Underlying Symbol</v>
      </c>
      <c r="CN5" s="34" t="str">
        <f>IFERROR(__xludf.DUMMYFUNCTION("""COMPUTED_VALUE"""),"User")</f>
        <v>User</v>
      </c>
      <c r="CO5" s="34" t="str">
        <f>IFERROR(__xludf.DUMMYFUNCTION("""COMPUTED_VALUE"""),"Venue")</f>
        <v>Venue</v>
      </c>
      <c r="CP5" s="34" t="str">
        <f>IFERROR(__xludf.DUMMYFUNCTION("""COMPUTED_VALUE"""),"Closing Method")</f>
        <v>Closing Method</v>
      </c>
      <c r="CQ5" s="34" t="str">
        <f>IFERROR(__xludf.DUMMYFUNCTION("""COMPUTED_VALUE"""),"Closing Date")</f>
        <v>Closing Date</v>
      </c>
      <c r="CR5" s="34" t="str">
        <f>IFERROR(__xludf.DUMMYFUNCTION("""COMPUTED_VALUE"""),"GroupID")</f>
        <v>GroupID</v>
      </c>
      <c r="CS5" s="34" t="str">
        <f>IFERROR(__xludf.DUMMYFUNCTION("""COMPUTED_VALUE"""),"Client")</f>
        <v>Client</v>
      </c>
      <c r="CT5" s="34" t="str">
        <f>IFERROR(__xludf.DUMMYFUNCTION("""COMPUTED_VALUE"""),"Borrow Broker")</f>
        <v>Borrow Broker</v>
      </c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57" t="s">
        <v>23</v>
      </c>
      <c r="C6" s="8" t="s">
        <v>45</v>
      </c>
      <c r="D6" s="57">
        <v>0.0</v>
      </c>
      <c r="E6" s="8">
        <v>100.0</v>
      </c>
      <c r="F6" s="8" t="s">
        <v>46</v>
      </c>
      <c r="G6" s="8" t="s">
        <v>47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S6" t="s">
        <v>48</v>
      </c>
      <c r="T6">
        <v>0.0</v>
      </c>
      <c r="U6">
        <v>0.0</v>
      </c>
      <c r="X6" t="s">
        <v>45</v>
      </c>
      <c r="Y6" t="s">
        <v>45</v>
      </c>
      <c r="Z6" t="s">
        <v>37</v>
      </c>
      <c r="AD6" t="s">
        <v>49</v>
      </c>
      <c r="AE6">
        <v>100.0</v>
      </c>
      <c r="AF6" t="s">
        <v>45</v>
      </c>
      <c r="AI6">
        <v>1.0</v>
      </c>
      <c r="AN6" t="b">
        <v>0</v>
      </c>
      <c r="AO6" t="s">
        <v>50</v>
      </c>
      <c r="AP6" t="b">
        <v>1</v>
      </c>
      <c r="AQ6" t="b">
        <v>0</v>
      </c>
      <c r="AR6" t="b">
        <v>1</v>
      </c>
      <c r="AS6">
        <v>0.0</v>
      </c>
      <c r="AT6">
        <v>988.825</v>
      </c>
      <c r="AU6">
        <v>988.825</v>
      </c>
      <c r="AW6">
        <v>0.0</v>
      </c>
      <c r="AX6">
        <v>0.0</v>
      </c>
      <c r="AZ6">
        <v>0.0</v>
      </c>
      <c r="BC6">
        <v>0.0</v>
      </c>
      <c r="BD6" t="s">
        <v>51</v>
      </c>
      <c r="BE6">
        <v>1000.0</v>
      </c>
      <c r="BF6">
        <v>1000.0</v>
      </c>
      <c r="BJ6">
        <v>100.0</v>
      </c>
      <c r="BK6">
        <v>0.0</v>
      </c>
      <c r="BL6" t="s">
        <v>45</v>
      </c>
      <c r="BM6" t="s">
        <v>37</v>
      </c>
      <c r="BO6" t="s">
        <v>22</v>
      </c>
      <c r="BP6">
        <v>0.0</v>
      </c>
      <c r="BQ6">
        <v>0.0</v>
      </c>
      <c r="BR6">
        <v>0.175</v>
      </c>
      <c r="BS6" t="s">
        <v>40</v>
      </c>
      <c r="BT6" t="s">
        <v>21</v>
      </c>
      <c r="BU6">
        <v>2.0</v>
      </c>
      <c r="BV6">
        <v>0.0</v>
      </c>
      <c r="BW6">
        <v>11.175</v>
      </c>
      <c r="BX6">
        <v>0.0</v>
      </c>
      <c r="CF6" t="s">
        <v>52</v>
      </c>
      <c r="CG6">
        <v>0.0</v>
      </c>
      <c r="CH6" t="s">
        <v>19</v>
      </c>
      <c r="CI6" t="s">
        <v>53</v>
      </c>
      <c r="CJ6">
        <v>0.0</v>
      </c>
      <c r="CK6" t="s">
        <v>41</v>
      </c>
      <c r="CL6">
        <v>1.0</v>
      </c>
      <c r="CM6" t="s">
        <v>21</v>
      </c>
      <c r="CP6" t="s">
        <v>54</v>
      </c>
      <c r="CS6" t="s">
        <v>45</v>
      </c>
    </row>
    <row r="7" ht="15.75" customHeight="1">
      <c r="A7" s="8"/>
      <c r="B7" s="8" t="s">
        <v>24</v>
      </c>
      <c r="C7" s="8" t="s">
        <v>45</v>
      </c>
      <c r="D7" s="8">
        <v>0.0</v>
      </c>
      <c r="E7" s="8">
        <v>100.0</v>
      </c>
      <c r="F7" s="8" t="s">
        <v>46</v>
      </c>
      <c r="G7" s="8" t="s">
        <v>47</v>
      </c>
      <c r="H7" s="8">
        <v>9.0</v>
      </c>
      <c r="I7" s="8">
        <v>0.0</v>
      </c>
      <c r="J7" s="8">
        <v>15.0</v>
      </c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S7" t="s">
        <v>48</v>
      </c>
      <c r="T7">
        <v>0.0</v>
      </c>
      <c r="U7">
        <v>0.0</v>
      </c>
      <c r="X7" t="s">
        <v>45</v>
      </c>
      <c r="Y7" t="s">
        <v>45</v>
      </c>
      <c r="Z7" t="s">
        <v>37</v>
      </c>
      <c r="AD7" t="s">
        <v>49</v>
      </c>
      <c r="AE7">
        <v>100.0</v>
      </c>
      <c r="AF7" t="s">
        <v>45</v>
      </c>
      <c r="AI7">
        <v>1.0</v>
      </c>
      <c r="AN7" t="b">
        <v>0</v>
      </c>
      <c r="AO7" t="s">
        <v>50</v>
      </c>
      <c r="AP7" t="b">
        <v>1</v>
      </c>
      <c r="AQ7" t="b">
        <v>0</v>
      </c>
      <c r="AR7" t="b">
        <v>1</v>
      </c>
      <c r="AS7">
        <v>0.0</v>
      </c>
      <c r="AT7">
        <v>988.825</v>
      </c>
      <c r="AU7">
        <v>988.825</v>
      </c>
      <c r="AW7">
        <v>0.0</v>
      </c>
      <c r="AX7">
        <v>0.0</v>
      </c>
      <c r="AZ7">
        <v>0.0</v>
      </c>
      <c r="BC7">
        <v>0.0</v>
      </c>
      <c r="BD7" t="s">
        <v>51</v>
      </c>
      <c r="BE7">
        <v>1000.0</v>
      </c>
      <c r="BF7">
        <v>1000.0</v>
      </c>
      <c r="BJ7">
        <v>100.0</v>
      </c>
      <c r="BK7">
        <v>0.0</v>
      </c>
      <c r="BL7" t="s">
        <v>45</v>
      </c>
      <c r="BM7" t="s">
        <v>37</v>
      </c>
      <c r="BO7" t="s">
        <v>22</v>
      </c>
      <c r="BP7">
        <v>0.0</v>
      </c>
      <c r="BQ7">
        <v>0.0</v>
      </c>
      <c r="BR7">
        <v>0.175</v>
      </c>
      <c r="BS7" t="s">
        <v>40</v>
      </c>
      <c r="BT7" t="s">
        <v>21</v>
      </c>
      <c r="BU7">
        <v>2.0</v>
      </c>
      <c r="BV7">
        <v>0.0</v>
      </c>
      <c r="BW7">
        <v>11.175</v>
      </c>
      <c r="BX7">
        <v>0.0</v>
      </c>
      <c r="CF7" t="s">
        <v>52</v>
      </c>
      <c r="CG7">
        <v>0.0</v>
      </c>
      <c r="CH7" t="s">
        <v>19</v>
      </c>
      <c r="CI7" t="s">
        <v>53</v>
      </c>
      <c r="CJ7">
        <v>0.0</v>
      </c>
      <c r="CK7" t="s">
        <v>41</v>
      </c>
      <c r="CL7">
        <v>1.0</v>
      </c>
      <c r="CM7" t="s">
        <v>21</v>
      </c>
      <c r="CP7" t="s">
        <v>54</v>
      </c>
      <c r="CS7" t="s">
        <v>45</v>
      </c>
    </row>
    <row r="8" ht="15.75" customHeight="1">
      <c r="A8" s="8"/>
      <c r="B8" s="8" t="s">
        <v>24</v>
      </c>
      <c r="C8" s="8" t="s">
        <v>45</v>
      </c>
      <c r="D8" s="8">
        <v>0.0</v>
      </c>
      <c r="E8" s="8">
        <v>10.0</v>
      </c>
      <c r="F8" s="8" t="s">
        <v>46</v>
      </c>
      <c r="G8" s="8" t="s">
        <v>30</v>
      </c>
      <c r="H8" s="8">
        <v>0.0</v>
      </c>
      <c r="I8" s="8">
        <v>0.0</v>
      </c>
      <c r="J8" s="8">
        <v>12.0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S8" t="s">
        <v>55</v>
      </c>
      <c r="T8">
        <v>0.0</v>
      </c>
      <c r="U8">
        <v>0.0</v>
      </c>
      <c r="X8" t="s">
        <v>45</v>
      </c>
      <c r="Y8" t="s">
        <v>45</v>
      </c>
      <c r="Z8" t="s">
        <v>37</v>
      </c>
      <c r="AD8" t="s">
        <v>38</v>
      </c>
      <c r="AE8">
        <v>10.0</v>
      </c>
      <c r="AF8" t="s">
        <v>45</v>
      </c>
      <c r="AI8">
        <v>1.0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10000.0</v>
      </c>
      <c r="AU8">
        <v>10000.0</v>
      </c>
      <c r="AW8">
        <v>0.0</v>
      </c>
      <c r="AX8">
        <v>0.0</v>
      </c>
      <c r="AZ8">
        <v>0.0</v>
      </c>
      <c r="BC8">
        <v>0.0</v>
      </c>
      <c r="BD8" t="s">
        <v>51</v>
      </c>
      <c r="BE8">
        <v>10000.0</v>
      </c>
      <c r="BF8">
        <v>10000.0</v>
      </c>
      <c r="BI8" t="s">
        <v>56</v>
      </c>
      <c r="BJ8">
        <v>10.0</v>
      </c>
      <c r="BK8">
        <v>0.0</v>
      </c>
      <c r="BL8" t="s">
        <v>45</v>
      </c>
      <c r="BM8" t="s">
        <v>37</v>
      </c>
      <c r="BO8" t="s">
        <v>25</v>
      </c>
      <c r="BP8">
        <v>0.0</v>
      </c>
      <c r="BQ8">
        <v>0.0</v>
      </c>
      <c r="BR8">
        <v>0.0</v>
      </c>
      <c r="BS8" t="s">
        <v>40</v>
      </c>
      <c r="BT8" t="s">
        <v>16</v>
      </c>
      <c r="BU8">
        <v>0.0</v>
      </c>
      <c r="BV8">
        <v>0.0</v>
      </c>
      <c r="BW8">
        <v>0.0</v>
      </c>
      <c r="BX8">
        <v>0.0</v>
      </c>
      <c r="CF8" t="s">
        <v>52</v>
      </c>
      <c r="CG8">
        <v>0.0</v>
      </c>
      <c r="CH8" t="s">
        <v>19</v>
      </c>
      <c r="CI8" t="s">
        <v>57</v>
      </c>
      <c r="CJ8">
        <v>0.0</v>
      </c>
      <c r="CK8" t="s">
        <v>41</v>
      </c>
      <c r="CL8">
        <v>1.0</v>
      </c>
      <c r="CM8" t="s">
        <v>21</v>
      </c>
      <c r="CP8" t="s">
        <v>54</v>
      </c>
      <c r="CS8" t="s">
        <v>45</v>
      </c>
    </row>
    <row r="9" ht="15.75" customHeight="1">
      <c r="A9" s="8"/>
      <c r="B9" s="8" t="s">
        <v>24</v>
      </c>
      <c r="C9" s="8" t="s">
        <v>45</v>
      </c>
      <c r="D9" s="8">
        <v>0.0</v>
      </c>
      <c r="E9" s="8">
        <v>10.0</v>
      </c>
      <c r="F9" s="8" t="s">
        <v>46</v>
      </c>
      <c r="G9" s="8" t="s">
        <v>30</v>
      </c>
      <c r="H9" s="8">
        <v>0.0</v>
      </c>
      <c r="I9" s="8">
        <v>0.0</v>
      </c>
      <c r="J9" s="8">
        <v>12.0</v>
      </c>
      <c r="K9" s="8">
        <v>0.0</v>
      </c>
      <c r="L9" s="8">
        <v>0.0</v>
      </c>
      <c r="M9" s="8"/>
      <c r="N9" s="8"/>
      <c r="O9" s="8"/>
      <c r="Q9">
        <v>3.0</v>
      </c>
      <c r="R9">
        <v>0.0</v>
      </c>
      <c r="S9" t="s">
        <v>55</v>
      </c>
      <c r="T9">
        <v>0.0</v>
      </c>
      <c r="U9">
        <v>0.0</v>
      </c>
      <c r="X9" t="s">
        <v>45</v>
      </c>
      <c r="Y9" t="s">
        <v>45</v>
      </c>
      <c r="Z9" t="s">
        <v>37</v>
      </c>
      <c r="AD9" t="s">
        <v>38</v>
      </c>
      <c r="AE9">
        <v>10.0</v>
      </c>
      <c r="AF9" t="s">
        <v>45</v>
      </c>
      <c r="AI9">
        <v>1.0</v>
      </c>
      <c r="AN9" t="b">
        <v>0</v>
      </c>
      <c r="AP9" t="b">
        <v>0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AW9">
        <v>0.0</v>
      </c>
      <c r="AX9">
        <v>10000.0</v>
      </c>
      <c r="AZ9">
        <v>0.0</v>
      </c>
      <c r="BC9">
        <v>0.0</v>
      </c>
      <c r="BD9" t="s">
        <v>51</v>
      </c>
      <c r="BE9">
        <v>0.0</v>
      </c>
      <c r="BF9">
        <v>0.0</v>
      </c>
      <c r="BI9" t="s">
        <v>56</v>
      </c>
      <c r="BJ9">
        <v>10.0</v>
      </c>
      <c r="BK9">
        <v>0.0</v>
      </c>
      <c r="BL9" t="s">
        <v>45</v>
      </c>
      <c r="BM9" t="s">
        <v>37</v>
      </c>
      <c r="BO9" t="s">
        <v>58</v>
      </c>
      <c r="BP9">
        <v>0.0</v>
      </c>
      <c r="BQ9">
        <v>0.0</v>
      </c>
      <c r="BR9">
        <v>0.0</v>
      </c>
      <c r="BS9" t="s">
        <v>40</v>
      </c>
      <c r="BT9" t="s">
        <v>16</v>
      </c>
      <c r="BU9">
        <v>0.0</v>
      </c>
      <c r="BV9">
        <v>0.0</v>
      </c>
      <c r="BW9">
        <v>10000.0</v>
      </c>
      <c r="BX9">
        <v>0.0</v>
      </c>
      <c r="CG9">
        <v>0.0</v>
      </c>
      <c r="CH9" t="s">
        <v>17</v>
      </c>
      <c r="CI9" t="s">
        <v>59</v>
      </c>
      <c r="CJ9">
        <v>0.0</v>
      </c>
      <c r="CK9" t="s">
        <v>41</v>
      </c>
      <c r="CL9">
        <v>1.0</v>
      </c>
      <c r="CM9" t="s">
        <v>21</v>
      </c>
      <c r="CP9" t="s">
        <v>54</v>
      </c>
      <c r="CS9" t="s">
        <v>45</v>
      </c>
    </row>
    <row r="10" ht="15.75" customHeight="1">
      <c r="A10" s="8"/>
      <c r="B10" s="8" t="s">
        <v>24</v>
      </c>
      <c r="C10" s="8" t="s">
        <v>45</v>
      </c>
      <c r="D10" s="8">
        <v>0.0</v>
      </c>
      <c r="E10" s="8">
        <v>1000.0</v>
      </c>
      <c r="F10" s="8" t="s">
        <v>46</v>
      </c>
      <c r="G10" s="8" t="s">
        <v>47</v>
      </c>
      <c r="H10" s="8">
        <v>0.0</v>
      </c>
      <c r="I10" s="8">
        <v>0.0</v>
      </c>
      <c r="J10" s="8">
        <v>15.0</v>
      </c>
      <c r="K10" s="8">
        <v>100.0</v>
      </c>
      <c r="L10" s="8">
        <v>100.0</v>
      </c>
      <c r="M10" s="8"/>
      <c r="N10" s="8"/>
      <c r="O10" s="8"/>
      <c r="Q10">
        <v>3.0</v>
      </c>
      <c r="R10">
        <v>0.0</v>
      </c>
      <c r="S10" t="s">
        <v>48</v>
      </c>
      <c r="T10">
        <v>0.0</v>
      </c>
      <c r="U10">
        <v>0.0</v>
      </c>
      <c r="X10" t="s">
        <v>45</v>
      </c>
      <c r="Y10" t="s">
        <v>45</v>
      </c>
      <c r="Z10" t="s">
        <v>37</v>
      </c>
      <c r="AD10" t="s">
        <v>49</v>
      </c>
      <c r="AE10">
        <v>1000.0</v>
      </c>
      <c r="AF10" t="s">
        <v>45</v>
      </c>
      <c r="AI10">
        <v>1.0</v>
      </c>
      <c r="AN10" t="b">
        <v>0</v>
      </c>
      <c r="AO10" t="s">
        <v>50</v>
      </c>
      <c r="AP10" t="b">
        <v>1</v>
      </c>
      <c r="AQ10" t="b">
        <v>0</v>
      </c>
      <c r="AR10" t="b">
        <v>1</v>
      </c>
      <c r="AS10">
        <v>0.0</v>
      </c>
      <c r="AT10">
        <v>110000.0</v>
      </c>
      <c r="AU10">
        <v>110000.0</v>
      </c>
      <c r="AW10">
        <v>0.0</v>
      </c>
      <c r="AX10">
        <v>-10000.0</v>
      </c>
      <c r="AZ10">
        <v>0.0</v>
      </c>
      <c r="BC10">
        <v>0.0</v>
      </c>
      <c r="BD10" t="s">
        <v>51</v>
      </c>
      <c r="BE10">
        <v>100000.0</v>
      </c>
      <c r="BF10">
        <v>100000.0</v>
      </c>
      <c r="BJ10">
        <v>1000.0</v>
      </c>
      <c r="BK10">
        <v>0.0</v>
      </c>
      <c r="BL10" t="s">
        <v>45</v>
      </c>
      <c r="BM10" t="s">
        <v>37</v>
      </c>
      <c r="BO10" t="s">
        <v>22</v>
      </c>
      <c r="BP10">
        <v>0.0</v>
      </c>
      <c r="BQ10">
        <v>0.0</v>
      </c>
      <c r="BR10">
        <v>0.0</v>
      </c>
      <c r="BS10" t="s">
        <v>40</v>
      </c>
      <c r="BT10" t="s">
        <v>21</v>
      </c>
      <c r="BU10">
        <v>0.0</v>
      </c>
      <c r="BV10">
        <v>0.0</v>
      </c>
      <c r="BW10">
        <v>-10000.0</v>
      </c>
      <c r="BX10">
        <v>0.0</v>
      </c>
      <c r="CF10" t="s">
        <v>52</v>
      </c>
      <c r="CG10">
        <v>0.0</v>
      </c>
      <c r="CH10" t="s">
        <v>17</v>
      </c>
      <c r="CI10" t="s">
        <v>59</v>
      </c>
      <c r="CJ10">
        <v>0.0</v>
      </c>
      <c r="CK10" t="s">
        <v>41</v>
      </c>
      <c r="CL10">
        <v>1.0</v>
      </c>
      <c r="CM10" t="s">
        <v>21</v>
      </c>
      <c r="CP10" t="s">
        <v>54</v>
      </c>
      <c r="CS10" t="s">
        <v>45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60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IFERROR(__xludf.DUMMYFUNCTION("""COMPUTED_VALUE"""),"Taxlot ID")</f>
        <v>Taxlot ID</v>
      </c>
      <c r="C5" s="31" t="str">
        <f>IFERROR(__xludf.DUMMYFUNCTION("""COMPUTED_VALUE"""),"Closing Date")</f>
        <v>Closing Date</v>
      </c>
      <c r="D5" s="31" t="str">
        <f>IFERROR(__xludf.DUMMYFUNCTION("""COMPUTED_VALUE"""),"Account")</f>
        <v>Account</v>
      </c>
      <c r="E5" s="31" t="str">
        <f>IFERROR(__xludf.DUMMYFUNCTION("""COMPUTED_VALUE"""),"Strategy")</f>
        <v>Strategy</v>
      </c>
      <c r="F5" s="33" t="str">
        <f>IFERROR(__xludf.DUMMYFUNCTION("""COMPUTED_VALUE"""),"Position Type")</f>
        <v>Position Type</v>
      </c>
      <c r="G5" s="31" t="str">
        <f>IFERROR(__xludf.DUMMYFUNCTION("""COMPUTED_VALUE"""),"Asset Class")</f>
        <v>Asset Class</v>
      </c>
      <c r="H5" s="31" t="str">
        <f>IFERROR(__xludf.DUMMYFUNCTION("""COMPUTED_VALUE"""),"Symbol")</f>
        <v>Symbol</v>
      </c>
      <c r="I5" s="31" t="str">
        <f>IFERROR(__xludf.DUMMYFUNCTION("""COMPUTED_VALUE"""),"Qty Closed")</f>
        <v>Qty Closed</v>
      </c>
      <c r="J5" s="31" t="str">
        <f>IFERROR(__xludf.DUMMYFUNCTION("""COMPUTED_VALUE"""),"Opening Price")</f>
        <v>Opening Price</v>
      </c>
      <c r="K5" s="31" t="str">
        <f>IFERROR(__xludf.DUMMYFUNCTION("""COMPUTED_VALUE"""),"Closing Price")</f>
        <v>Closing Price</v>
      </c>
      <c r="L5" s="31" t="str">
        <f>IFERROR(__xludf.DUMMYFUNCTION("""COMPUTED_VALUE"""),"ClosingTotalCommissionandFees")</f>
        <v>ClosingTotalCommissionandFees</v>
      </c>
      <c r="M5" s="31" t="str">
        <f>IFERROR(__xludf.DUMMYFUNCTION("""COMPUTED_VALUE"""),"Realized PNL(C.B.)")</f>
        <v>Realized PNL(C.B.)</v>
      </c>
      <c r="N5" s="31" t="str">
        <f>IFERROR(__xludf.DUMMYFUNCTION("""COMPUTED_VALUE"""),"Exchange")</f>
        <v>Exchange</v>
      </c>
      <c r="O5" s="31" t="str">
        <f>IFERROR(__xludf.DUMMYFUNCTION("""COMPUTED_VALUE"""),"Opening Side")</f>
        <v>Opening Side</v>
      </c>
      <c r="P5" s="31" t="str">
        <f>IFERROR(__xludf.DUMMYFUNCTION("""COMPUTED_VALUE"""),"Opening Fees &amp; Commission")</f>
        <v>Opening Fees &amp; Commission</v>
      </c>
      <c r="Q5" s="31" t="str">
        <f>IFERROR(__xludf.DUMMYFUNCTION("""COMPUTED_VALUE"""),"Closing Side")</f>
        <v>Closing Side</v>
      </c>
      <c r="R5" s="31" t="str">
        <f>IFERROR(__xludf.DUMMYFUNCTION("""COMPUTED_VALUE"""),"Closing Method")</f>
        <v>Closing Method</v>
      </c>
      <c r="S5" s="31" t="str">
        <f>IFERROR(__xludf.DUMMYFUNCTION("""COMPUTED_VALUE"""),"ClosingID")</f>
        <v>ClosingID</v>
      </c>
      <c r="T5" s="34" t="str">
        <f>IFERROR(__xludf.DUMMYFUNCTION("""COMPUTED_VALUE"""),"Original Purchase Date")</f>
        <v>Original Purchase Date</v>
      </c>
      <c r="U5" s="34" t="str">
        <f>IFERROR(__xludf.DUMMYFUNCTION("""COMPUTED_VALUE"""),"Description")</f>
        <v>Description</v>
      </c>
      <c r="V5" s="34" t="str">
        <f>IFERROR(__xludf.DUMMYFUNCTION("""COMPUTED_VALUE"""),"AccountID")</f>
        <v>AccountID</v>
      </c>
      <c r="W5" s="34" t="str">
        <f>IFERROR(__xludf.DUMMYFUNCTION("""COMPUTED_VALUE"""),"IsExpired_Settled")</f>
        <v>IsExpired_Settled</v>
      </c>
      <c r="X5" s="34" t="str">
        <f>IFERROR(__xludf.DUMMYFUNCTION("""COMPUTED_VALUE"""),"Underlying")</f>
        <v>Underlying</v>
      </c>
      <c r="Y5" s="34" t="str">
        <f>IFERROR(__xludf.DUMMYFUNCTION("""COMPUTED_VALUE"""),"CurrencyID")</f>
        <v>CurrencyID</v>
      </c>
      <c r="Z5" s="34" t="str">
        <f>IFERROR(__xludf.DUMMYFUNCTION("""COMPUTED_VALUE"""),"Currency")</f>
        <v>Currency</v>
      </c>
      <c r="AA5" s="34" t="str">
        <f>IFERROR(__xludf.DUMMYFUNCTION("""COMPUTED_VALUE"""),"AUECID")</f>
        <v>AUECID</v>
      </c>
      <c r="AB5" s="34" t="str">
        <f>IFERROR(__xludf.DUMMYFUNCTION("""COMPUTED_VALUE"""),"NotionalValue")</f>
        <v>NotionalValue</v>
      </c>
      <c r="AC5" s="34" t="str">
        <f>IFERROR(__xludf.DUMMYFUNCTION("""COMPUTED_VALUE"""),"Multiplier")</f>
        <v>Multiplier</v>
      </c>
      <c r="AD5" s="34" t="str">
        <f>IFERROR(__xludf.DUMMYFUNCTION("""COMPUTED_VALUE"""),"TimeOfSaveUTC")</f>
        <v>TimeOfSaveUTC</v>
      </c>
      <c r="AE5" s="34" t="str">
        <f>IFERROR(__xludf.DUMMYFUNCTION("""COMPUTED_VALUE"""),"Closing Position Type")</f>
        <v>Closing Position Type</v>
      </c>
      <c r="AF5" s="34" t="str">
        <f>IFERROR(__xludf.DUMMYFUNCTION("""COMPUTED_VALUE"""),"Closing Mode")</f>
        <v>Closing Mode</v>
      </c>
      <c r="AG5" s="34" t="str">
        <f>IFERROR(__xludf.DUMMYFUNCTION("""COMPUTED_VALUE"""),"StrategyID")</f>
        <v>StrategyID</v>
      </c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 t="s">
        <v>24</v>
      </c>
      <c r="E6" s="36"/>
      <c r="F6" s="8"/>
      <c r="G6" s="13" t="s">
        <v>30</v>
      </c>
      <c r="H6" s="35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61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IFERROR(__xludf.DUMMYFUNCTION("""COMPUTED_VALUE"""),"AccruedInterest")</f>
        <v>AccruedInterest</v>
      </c>
      <c r="D5" s="31" t="str">
        <f>IFERROR(__xludf.DUMMYFUNCTION("""COMPUTED_VALUE"""),"Analyst")</f>
        <v>Analyst</v>
      </c>
      <c r="E5" s="31" t="str">
        <f>IFERROR(__xludf.DUMMYFUNCTION("""COMPUTED_VALUE"""),"Asset Class")</f>
        <v>Asset Class</v>
      </c>
      <c r="F5" s="33" t="str">
        <f>IFERROR(__xludf.DUMMYFUNCTION("""COMPUTED_VALUE"""),"Asset Derivative")</f>
        <v>Asset Derivative</v>
      </c>
      <c r="G5" s="31" t="str">
        <f>IFERROR(__xludf.DUMMYFUNCTION("""COMPUTED_VALUE"""),"AUECID")</f>
        <v>AUECID</v>
      </c>
      <c r="H5" s="31" t="str">
        <f>IFERROR(__xludf.DUMMYFUNCTION("""COMPUTED_VALUE"""),"AUECModifiedDate")</f>
        <v>AUECModifiedDate</v>
      </c>
      <c r="I5" s="31" t="str">
        <f>IFERROR(__xludf.DUMMYFUNCTION("""COMPUTED_VALUE"""),"Average Price")</f>
        <v>Average Price</v>
      </c>
      <c r="J5" s="31" t="str">
        <f>IFERROR(__xludf.DUMMYFUNCTION("""COMPUTED_VALUE"""),"BloombergSymbol")</f>
        <v>BloombergSymbol</v>
      </c>
      <c r="K5" s="31" t="str">
        <f>IFERROR(__xludf.DUMMYFUNCTION("""COMPUTED_VALUE"""),"Broker")</f>
        <v>Broker</v>
      </c>
      <c r="L5" s="31" t="str">
        <f>IFERROR(__xludf.DUMMYFUNCTION("""COMPUTED_VALUE"""),"CalcBasis")</f>
        <v>CalcBasis</v>
      </c>
      <c r="M5" s="31" t="str">
        <f>IFERROR(__xludf.DUMMYFUNCTION("""COMPUTED_VALUE"""),"CashSettledPrice")</f>
        <v>CashSettledPrice</v>
      </c>
      <c r="N5" s="31" t="str">
        <f>IFERROR(__xludf.DUMMYFUNCTION("""COMPUTED_VALUE"""),"ChangeComment")</f>
        <v>ChangeComment</v>
      </c>
      <c r="O5" s="31" t="str">
        <f>IFERROR(__xludf.DUMMYFUNCTION("""COMPUTED_VALUE"""),"ChangeType")</f>
        <v>ChangeType</v>
      </c>
      <c r="P5" s="31" t="str">
        <f>IFERROR(__xludf.DUMMYFUNCTION("""COMPUTED_VALUE"""),"ClearingBrokerFee")</f>
        <v>ClearingBrokerFee</v>
      </c>
      <c r="Q5" s="31" t="str">
        <f>IFERROR(__xludf.DUMMYFUNCTION("""COMPUTED_VALUE"""),"ClearingFee")</f>
        <v>ClearingFee</v>
      </c>
      <c r="R5" s="31" t="str">
        <f>IFERROR(__xludf.DUMMYFUNCTION("""COMPUTED_VALUE"""),"ClosedTotalCommissionandFees")</f>
        <v>ClosedTotalCommissionandFees</v>
      </c>
      <c r="S5" s="31" t="str">
        <f>IFERROR(__xludf.DUMMYFUNCTION("""COMPUTED_VALUE"""),"ClosingAlgo")</f>
        <v>ClosingAlgo</v>
      </c>
      <c r="T5" s="34" t="str">
        <f>IFERROR(__xludf.DUMMYFUNCTION("""COMPUTED_VALUE"""),"ClosingDate")</f>
        <v>ClosingDate</v>
      </c>
      <c r="U5" s="34" t="str">
        <f>IFERROR(__xludf.DUMMYFUNCTION("""COMPUTED_VALUE"""),"ClosingStatus")</f>
        <v>ClosingStatus</v>
      </c>
      <c r="V5" s="34" t="str">
        <f>IFERROR(__xludf.DUMMYFUNCTION("""COMPUTED_VALUE"""),"Commission")</f>
        <v>Commission</v>
      </c>
      <c r="W5" s="34" t="str">
        <f>IFERROR(__xludf.DUMMYFUNCTION("""COMPUTED_VALUE"""),"CommissionAmt")</f>
        <v>CommissionAmt</v>
      </c>
      <c r="X5" s="34" t="str">
        <f>IFERROR(__xludf.DUMMYFUNCTION("""COMPUTED_VALUE"""),"CommissionRate")</f>
        <v>CommissionRate</v>
      </c>
      <c r="Y5" s="34" t="str">
        <f>IFERROR(__xludf.DUMMYFUNCTION("""COMPUTED_VALUE"""),"CompanyUserName")</f>
        <v>CompanyUserName</v>
      </c>
      <c r="Z5" s="34" t="str">
        <f>IFERROR(__xludf.DUMMYFUNCTION("""COMPUTED_VALUE"""),"ContractMultiplier")</f>
        <v>ContractMultiplier</v>
      </c>
      <c r="AA5" s="34" t="str">
        <f>IFERROR(__xludf.DUMMYFUNCTION("""COMPUTED_VALUE"""),"CountryName")</f>
        <v>CountryName</v>
      </c>
      <c r="AB5" s="34" t="str">
        <f>IFERROR(__xludf.DUMMYFUNCTION("""COMPUTED_VALUE"""),"CountryOfRisk")</f>
        <v>CountryOfRisk</v>
      </c>
      <c r="AC5" s="34" t="str">
        <f>IFERROR(__xludf.DUMMYFUNCTION("""COMPUTED_VALUE"""),"CumQty")</f>
        <v>CumQty</v>
      </c>
      <c r="AD5" s="34" t="str">
        <f>IFERROR(__xludf.DUMMYFUNCTION("""COMPUTED_VALUE"""),"CurrencyID")</f>
        <v>CurrencyID</v>
      </c>
      <c r="AE5" s="34" t="str">
        <f>IFERROR(__xludf.DUMMYFUNCTION("""COMPUTED_VALUE"""),"CurrencyName")</f>
        <v>CurrencyName</v>
      </c>
      <c r="AF5" s="34" t="str">
        <f>IFERROR(__xludf.DUMMYFUNCTION("""COMPUTED_VALUE"""),"CusipSymbol")</f>
        <v>CusipSymbol</v>
      </c>
      <c r="AG5" s="34" t="str">
        <f>IFERROR(__xludf.DUMMYFUNCTION("""COMPUTED_VALUE"""),"CustomUDA1")</f>
        <v>CustomUDA1</v>
      </c>
      <c r="AH5" s="34" t="str">
        <f>IFERROR(__xludf.DUMMYFUNCTION("""COMPUTED_VALUE"""),"CustomUDA2")</f>
        <v>CustomUDA2</v>
      </c>
      <c r="AI5" s="34" t="str">
        <f>IFERROR(__xludf.DUMMYFUNCTION("""COMPUTED_VALUE"""),"CustomUDA3")</f>
        <v>CustomUDA3</v>
      </c>
      <c r="AJ5" s="34" t="str">
        <f>IFERROR(__xludf.DUMMYFUNCTION("""COMPUTED_VALUE"""),"CustomUDA4")</f>
        <v>CustomUDA4</v>
      </c>
      <c r="AK5" s="34" t="str">
        <f>IFERROR(__xludf.DUMMYFUNCTION("""COMPUTED_VALUE"""),"CustomUDA5")</f>
        <v>CustomUDA5</v>
      </c>
      <c r="AL5" s="34" t="str">
        <f>IFERROR(__xludf.DUMMYFUNCTION("""COMPUTED_VALUE"""),"CustomUDA6")</f>
        <v>CustomUDA6</v>
      </c>
      <c r="AM5" s="34" t="str">
        <f>IFERROR(__xludf.DUMMYFUNCTION("""COMPUTED_VALUE"""),"CustomUDA7")</f>
        <v>CustomUDA7</v>
      </c>
      <c r="AN5" s="34" t="str">
        <f>IFERROR(__xludf.DUMMYFUNCTION("""COMPUTED_VALUE"""),"Delta")</f>
        <v>Delta</v>
      </c>
      <c r="AO5" s="34" t="str">
        <f>IFERROR(__xludf.DUMMYFUNCTION("""COMPUTED_VALUE"""),"Description")</f>
        <v>Description</v>
      </c>
      <c r="AP5" s="34" t="str">
        <f>IFERROR(__xludf.DUMMYFUNCTION("""COMPUTED_VALUE"""),"ExchangeName")</f>
        <v>ExchangeName</v>
      </c>
      <c r="AQ5" s="34" t="str">
        <f>IFERROR(__xludf.DUMMYFUNCTION("""COMPUTED_VALUE"""),"ExecutedQty")</f>
        <v>ExecutedQty</v>
      </c>
      <c r="AR5" s="34" t="str">
        <f>IFERROR(__xludf.DUMMYFUNCTION("""COMPUTED_VALUE"""),"ExpirationDate")</f>
        <v>ExpirationDate</v>
      </c>
      <c r="AS5" s="34" t="str">
        <f>IFERROR(__xludf.DUMMYFUNCTION("""COMPUTED_VALUE"""),"ExternalTransID")</f>
        <v>ExternalTransID</v>
      </c>
      <c r="AT5" s="34" t="str">
        <f>IFERROR(__xludf.DUMMYFUNCTION("""COMPUTED_VALUE"""),"FXConversionMethodOperator")</f>
        <v>FXConversionMethodOperator</v>
      </c>
      <c r="AU5" s="34" t="str">
        <f>IFERROR(__xludf.DUMMYFUNCTION("""COMPUTED_VALUE"""),"FXRate")</f>
        <v>FXRate</v>
      </c>
      <c r="AV5" s="34" t="str">
        <f>IFERROR(__xludf.DUMMYFUNCTION("""COMPUTED_VALUE"""),"GroupID")</f>
        <v>GroupID</v>
      </c>
      <c r="AW5" s="34" t="str">
        <f>IFERROR(__xludf.DUMMYFUNCTION("""COMPUTED_VALUE"""),"IDCOSymbol")</f>
        <v>IDCOSymbol</v>
      </c>
      <c r="AX5" s="34" t="str">
        <f>IFERROR(__xludf.DUMMYFUNCTION("""COMPUTED_VALUE"""),"InternalComments")</f>
        <v>InternalComments</v>
      </c>
      <c r="AY5" s="34" t="str">
        <f>IFERROR(__xludf.DUMMYFUNCTION("""COMPUTED_VALUE"""),"IsExerciseAtZero")</f>
        <v>IsExerciseAtZero</v>
      </c>
      <c r="AZ5" s="34" t="str">
        <f>IFERROR(__xludf.DUMMYFUNCTION("""COMPUTED_VALUE"""),"ISINSymbol")</f>
        <v>ISINSymbol</v>
      </c>
      <c r="BA5" s="34" t="str">
        <f>IFERROR(__xludf.DUMMYFUNCTION("""COMPUTED_VALUE"""),"IsNDF")</f>
        <v>IsNDF</v>
      </c>
      <c r="BB5" s="34" t="str">
        <f>IFERROR(__xludf.DUMMYFUNCTION("""COMPUTED_VALUE"""),"IsPosition")</f>
        <v>IsPosition</v>
      </c>
      <c r="BC5" s="34" t="str">
        <f>IFERROR(__xludf.DUMMYFUNCTION("""COMPUTED_VALUE"""),"IsPreAllocated")</f>
        <v>IsPreAllocated</v>
      </c>
      <c r="BD5" s="34" t="str">
        <f>IFERROR(__xludf.DUMMYFUNCTION("""COMPUTED_VALUE"""),"Issuer")</f>
        <v>Issuer</v>
      </c>
      <c r="BE5" s="34" t="str">
        <f>IFERROR(__xludf.DUMMYFUNCTION("""COMPUTED_VALUE"""),"IsSwapped")</f>
        <v>IsSwapped</v>
      </c>
      <c r="BF5" s="34" t="str">
        <f>IFERROR(__xludf.DUMMYFUNCTION("""COMPUTED_VALUE"""),"LeadCurrencyID")</f>
        <v>LeadCurrencyID</v>
      </c>
      <c r="BG5" s="34" t="str">
        <f>IFERROR(__xludf.DUMMYFUNCTION("""COMPUTED_VALUE"""),"LiquidTag")</f>
        <v>LiquidTag</v>
      </c>
      <c r="BH5" s="34" t="str">
        <f>IFERROR(__xludf.DUMMYFUNCTION("""COMPUTED_VALUE"""),"LongOrShort")</f>
        <v>LongOrShort</v>
      </c>
      <c r="BI5" s="34" t="str">
        <f>IFERROR(__xludf.DUMMYFUNCTION("""COMPUTED_VALUE"""),"LotId")</f>
        <v>LotId</v>
      </c>
      <c r="BJ5" s="34" t="str">
        <f>IFERROR(__xludf.DUMMYFUNCTION("""COMPUTED_VALUE"""),"M2MProfitLoss")</f>
        <v>M2MProfitLoss</v>
      </c>
      <c r="BK5" s="34" t="str">
        <f>IFERROR(__xludf.DUMMYFUNCTION("""COMPUTED_VALUE"""),"MarkPrice")</f>
        <v>MarkPrice</v>
      </c>
      <c r="BL5" s="34" t="str">
        <f>IFERROR(__xludf.DUMMYFUNCTION("""COMPUTED_VALUE"""),"MasterFund")</f>
        <v>MasterFund</v>
      </c>
      <c r="BM5" s="34" t="str">
        <f>IFERROR(__xludf.DUMMYFUNCTION("""COMPUTED_VALUE"""),"MiscFees")</f>
        <v>MiscFees</v>
      </c>
      <c r="BN5" s="34" t="str">
        <f>IFERROR(__xludf.DUMMYFUNCTION("""COMPUTED_VALUE"""),"NavLockStatus")</f>
        <v>NavLockStatus</v>
      </c>
      <c r="BO5" s="34" t="str">
        <f>IFERROR(__xludf.DUMMYFUNCTION("""COMPUTED_VALUE"""),"Net Notional")</f>
        <v>Net Notional</v>
      </c>
      <c r="BP5" s="34" t="str">
        <f>IFERROR(__xludf.DUMMYFUNCTION("""COMPUTED_VALUE"""),"NirvanaProcessDate")</f>
        <v>NirvanaProcessDate</v>
      </c>
      <c r="BQ5" s="34" t="str">
        <f>IFERROR(__xludf.DUMMYFUNCTION("""COMPUTED_VALUE"""),"OccFee")</f>
        <v>OccFee</v>
      </c>
      <c r="BR5" s="34" t="str">
        <f>IFERROR(__xludf.DUMMYFUNCTION("""COMPUTED_VALUE"""),"OptionPremiumAdjustment")</f>
        <v>OptionPremiumAdjustment</v>
      </c>
      <c r="BS5" s="34" t="str">
        <f>IFERROR(__xludf.DUMMYFUNCTION("""COMPUTED_VALUE"""),"OrderSideTagValue")</f>
        <v>OrderSideTagValue</v>
      </c>
      <c r="BT5" s="34" t="str">
        <f>IFERROR(__xludf.DUMMYFUNCTION("""COMPUTED_VALUE"""),"OrderType")</f>
        <v>OrderType</v>
      </c>
      <c r="BU5" s="34" t="str">
        <f>IFERROR(__xludf.DUMMYFUNCTION("""COMPUTED_VALUE"""),"OrfFee")</f>
        <v>OrfFee</v>
      </c>
      <c r="BV5" s="34" t="str">
        <f>IFERROR(__xludf.DUMMYFUNCTION("""COMPUTED_VALUE"""),"Original Side")</f>
        <v>Original Side</v>
      </c>
      <c r="BW5" s="34" t="str">
        <f>IFERROR(__xludf.DUMMYFUNCTION("""COMPUTED_VALUE"""),"OriginalPurchase Date")</f>
        <v>OriginalPurchase Date</v>
      </c>
      <c r="BX5" s="34" t="str">
        <f>IFERROR(__xludf.DUMMYFUNCTION("""COMPUTED_VALUE"""),"OSISymbol")</f>
        <v>OSISymbol</v>
      </c>
      <c r="BY5" s="34" t="str">
        <f>IFERROR(__xludf.DUMMYFUNCTION("""COMPUTED_VALUE"""),"OtherBrokerFees")</f>
        <v>OtherBrokerFees</v>
      </c>
      <c r="BZ5" s="34" t="str">
        <f>IFERROR(__xludf.DUMMYFUNCTION("""COMPUTED_VALUE"""),"ParentRowPK")</f>
        <v>ParentRowPK</v>
      </c>
      <c r="CA5" s="34" t="str">
        <f>IFERROR(__xludf.DUMMYFUNCTION("""COMPUTED_VALUE"""),"Percentage")</f>
        <v>Percentage</v>
      </c>
      <c r="CB5" s="34" t="str">
        <f>IFERROR(__xludf.DUMMYFUNCTION("""COMPUTED_VALUE"""),"PositionTag")</f>
        <v>PositionTag</v>
      </c>
      <c r="CC5" s="34" t="str">
        <f>IFERROR(__xludf.DUMMYFUNCTION("""COMPUTED_VALUE"""),"PositionType")</f>
        <v>PositionType</v>
      </c>
      <c r="CD5" s="34" t="str">
        <f>IFERROR(__xludf.DUMMYFUNCTION("""COMPUTED_VALUE"""),"Process Date")</f>
        <v>Process Date</v>
      </c>
      <c r="CE5" s="34" t="str">
        <f>IFERROR(__xludf.DUMMYFUNCTION("""COMPUTED_VALUE"""),"ProxySymbol")</f>
        <v>ProxySymbol</v>
      </c>
      <c r="CF5" s="34" t="str">
        <f>IFERROR(__xludf.DUMMYFUNCTION("""COMPUTED_VALUE"""),"PutOrCall")</f>
        <v>PutOrCall</v>
      </c>
      <c r="CG5" s="34" t="str">
        <f>IFERROR(__xludf.DUMMYFUNCTION("""COMPUTED_VALUE"""),"Quantity")</f>
        <v>Quantity</v>
      </c>
      <c r="CH5" s="34" t="str">
        <f>IFERROR(__xludf.DUMMYFUNCTION("""COMPUTED_VALUE"""),"Region")</f>
        <v>Region</v>
      </c>
      <c r="CI5" s="34" t="str">
        <f>IFERROR(__xludf.DUMMYFUNCTION("""COMPUTED_VALUE"""),"ReutersSymbol")</f>
        <v>ReutersSymbol</v>
      </c>
      <c r="CJ5" s="34" t="str">
        <f>IFERROR(__xludf.DUMMYFUNCTION("""COMPUTED_VALUE"""),"RiskCurrency")</f>
        <v>RiskCurrency</v>
      </c>
      <c r="CK5" s="34" t="str">
        <f>IFERROR(__xludf.DUMMYFUNCTION("""COMPUTED_VALUE"""),"SecFee")</f>
        <v>SecFee</v>
      </c>
      <c r="CL5" s="34" t="str">
        <f>IFERROR(__xludf.DUMMYFUNCTION("""COMPUTED_VALUE"""),"SectorName")</f>
        <v>SectorName</v>
      </c>
      <c r="CM5" s="34" t="str">
        <f>IFERROR(__xludf.DUMMYFUNCTION("""COMPUTED_VALUE"""),"Security Name")</f>
        <v>Security Name</v>
      </c>
      <c r="CN5" s="34" t="str">
        <f>IFERROR(__xludf.DUMMYFUNCTION("""COMPUTED_VALUE"""),"SecurityTypeName")</f>
        <v>SecurityTypeName</v>
      </c>
      <c r="CO5" s="34" t="str">
        <f>IFERROR(__xludf.DUMMYFUNCTION("""COMPUTED_VALUE"""),"SedolSymbol")</f>
        <v>SedolSymbol</v>
      </c>
      <c r="CP5" s="34" t="str">
        <f>IFERROR(__xludf.DUMMYFUNCTION("""COMPUTED_VALUE"""),"SettlCurrAmt")</f>
        <v>SettlCurrAmt</v>
      </c>
      <c r="CQ5" s="34" t="str">
        <f>IFERROR(__xludf.DUMMYFUNCTION("""COMPUTED_VALUE"""),"SettlCurrFxRate")</f>
        <v>SettlCurrFxRate</v>
      </c>
      <c r="CR5" s="34" t="str">
        <f>IFERROR(__xludf.DUMMYFUNCTION("""COMPUTED_VALUE"""),"SettlCurrFxRateCalc")</f>
        <v>SettlCurrFxRateCalc</v>
      </c>
      <c r="CS5" s="34" t="str">
        <f>IFERROR(__xludf.DUMMYFUNCTION("""COMPUTED_VALUE"""),"SettlCurrUnitCost")</f>
        <v>SettlCurrUnitCost</v>
      </c>
      <c r="CT5" s="34" t="str">
        <f>IFERROR(__xludf.DUMMYFUNCTION("""COMPUTED_VALUE"""),"Settlement Mode")</f>
        <v>Settlement Mode</v>
      </c>
      <c r="CU5" s="34" t="str">
        <f>IFERROR(__xludf.DUMMYFUNCTION("""COMPUTED_VALUE"""),"Settlement Qty")</f>
        <v>Settlement Qty</v>
      </c>
      <c r="CV5" s="34" t="str">
        <f>IFERROR(__xludf.DUMMYFUNCTION("""COMPUTED_VALUE"""),"SettlementCurrencyID")</f>
        <v>SettlementCurrencyID</v>
      </c>
      <c r="CW5" s="34" t="str">
        <f>IFERROR(__xludf.DUMMYFUNCTION("""COMPUTED_VALUE"""),"SettlementDate")</f>
        <v>SettlementDate</v>
      </c>
      <c r="CX5" s="34" t="str">
        <f>IFERROR(__xludf.DUMMYFUNCTION("""COMPUTED_VALUE"""),"SideMultiplier")</f>
        <v>SideMultiplier</v>
      </c>
      <c r="CY5" s="34" t="str">
        <f>IFERROR(__xludf.DUMMYFUNCTION("""COMPUTED_VALUE"""),"SoftCommission")</f>
        <v>SoftCommission</v>
      </c>
      <c r="CZ5" s="34" t="str">
        <f>IFERROR(__xludf.DUMMYFUNCTION("""COMPUTED_VALUE"""),"SoftCommissionAmt")</f>
        <v>SoftCommissionAmt</v>
      </c>
      <c r="DA5" s="34" t="str">
        <f>IFERROR(__xludf.DUMMYFUNCTION("""COMPUTED_VALUE"""),"SoftCommissionCalcBasis")</f>
        <v>SoftCommissionCalcBasis</v>
      </c>
      <c r="DB5" s="34" t="str">
        <f>IFERROR(__xludf.DUMMYFUNCTION("""COMPUTED_VALUE"""),"SoftCommissionRate")</f>
        <v>SoftCommissionRate</v>
      </c>
      <c r="DC5" s="34" t="str">
        <f>IFERROR(__xludf.DUMMYFUNCTION("""COMPUTED_VALUE"""),"StampDuty")</f>
        <v>StampDuty</v>
      </c>
      <c r="DD5" s="34" t="str">
        <f>IFERROR(__xludf.DUMMYFUNCTION("""COMPUTED_VALUE"""),"Strategy")</f>
        <v>Strategy</v>
      </c>
      <c r="DE5" s="34" t="str">
        <f>IFERROR(__xludf.DUMMYFUNCTION("""COMPUTED_VALUE"""),"Strike Price")</f>
        <v>Strike Price</v>
      </c>
      <c r="DF5" s="34" t="str">
        <f>IFERROR(__xludf.DUMMYFUNCTION("""COMPUTED_VALUE"""),"SubSectorName")</f>
        <v>SubSectorName</v>
      </c>
      <c r="DG5" s="34" t="str">
        <f>IFERROR(__xludf.DUMMYFUNCTION("""COMPUTED_VALUE"""),"SwapParameters")</f>
        <v>SwapParameters</v>
      </c>
      <c r="DH5" s="34" t="str">
        <f>IFERROR(__xludf.DUMMYFUNCTION("""COMPUTED_VALUE"""),"Symbol")</f>
        <v>Symbol</v>
      </c>
      <c r="DI5" s="34" t="str">
        <f>IFERROR(__xludf.DUMMYFUNCTION("""COMPUTED_VALUE"""),"TaxlotClosingId")</f>
        <v>TaxlotClosingId</v>
      </c>
      <c r="DJ5" s="34" t="str">
        <f>IFERROR(__xludf.DUMMYFUNCTION("""COMPUTED_VALUE"""),"TaxLotID")</f>
        <v>TaxLotID</v>
      </c>
      <c r="DK5" s="34" t="str">
        <f>IFERROR(__xludf.DUMMYFUNCTION("""COMPUTED_VALUE"""),"TaxlotPk")</f>
        <v>TaxlotPk</v>
      </c>
      <c r="DL5" s="34" t="str">
        <f>IFERROR(__xludf.DUMMYFUNCTION("""COMPUTED_VALUE"""),"TaxLotQtyToClose")</f>
        <v>TaxLotQtyToClose</v>
      </c>
      <c r="DM5" s="34" t="str">
        <f>IFERROR(__xludf.DUMMYFUNCTION("""COMPUTED_VALUE"""),"TaxonCommissions")</f>
        <v>TaxonCommissions</v>
      </c>
      <c r="DN5" s="34" t="str">
        <f>IFERROR(__xludf.DUMMYFUNCTION("""COMPUTED_VALUE"""),"TimeOfSaveUTC")</f>
        <v>TimeOfSaveUTC</v>
      </c>
      <c r="DO5" s="34" t="str">
        <f>IFERROR(__xludf.DUMMYFUNCTION("""COMPUTED_VALUE"""),"TotalCommission&amp;Fees")</f>
        <v>TotalCommission&amp;Fees</v>
      </c>
      <c r="DP5" s="34" t="str">
        <f>IFERROR(__xludf.DUMMYFUNCTION("""COMPUTED_VALUE"""),"TotalCommissionandFees")</f>
        <v>TotalCommissionandFees</v>
      </c>
      <c r="DQ5" s="34" t="str">
        <f>IFERROR(__xludf.DUMMYFUNCTION("""COMPUTED_VALUE"""),"Tradedate")</f>
        <v>Tradedate</v>
      </c>
      <c r="DR5" s="34" t="str">
        <f>IFERROR(__xludf.DUMMYFUNCTION("""COMPUTED_VALUE"""),"TradeAttribute1")</f>
        <v>TradeAttribute1</v>
      </c>
      <c r="DS5" s="34" t="str">
        <f>IFERROR(__xludf.DUMMYFUNCTION("""COMPUTED_VALUE"""),"TradeAttribute2")</f>
        <v>TradeAttribute2</v>
      </c>
      <c r="DT5" s="34" t="str">
        <f>IFERROR(__xludf.DUMMYFUNCTION("""COMPUTED_VALUE"""),"TradeAttribute3")</f>
        <v>TradeAttribute3</v>
      </c>
      <c r="DU5" s="34" t="str">
        <f>IFERROR(__xludf.DUMMYFUNCTION("""COMPUTED_VALUE"""),"TradeAttribute4")</f>
        <v>TradeAttribute4</v>
      </c>
      <c r="DV5" s="34" t="str">
        <f>IFERROR(__xludf.DUMMYFUNCTION("""COMPUTED_VALUE"""),"TradeAttribute5")</f>
        <v>TradeAttribute5</v>
      </c>
      <c r="DW5" s="34" t="str">
        <f>IFERROR(__xludf.DUMMYFUNCTION("""COMPUTED_VALUE"""),"TradeAttribute6")</f>
        <v>TradeAttribute6</v>
      </c>
      <c r="DX5" s="34" t="str">
        <f>IFERROR(__xludf.DUMMYFUNCTION("""COMPUTED_VALUE"""),"TradingAccountName")</f>
        <v>TradingAccountName</v>
      </c>
      <c r="DY5" s="34" t="str">
        <f>IFERROR(__xludf.DUMMYFUNCTION("""COMPUTED_VALUE"""),"TransactionLevy")</f>
        <v>TransactionLevy</v>
      </c>
      <c r="DZ5" s="34" t="str">
        <f>IFERROR(__xludf.DUMMYFUNCTION("""COMPUTED_VALUE"""),"TransactionType")</f>
        <v>TransactionType</v>
      </c>
      <c r="EA5" s="34" t="str">
        <f>IFERROR(__xludf.DUMMYFUNCTION("""COMPUTED_VALUE"""),"UcitsEligibleTag")</f>
        <v>UcitsEligibleTag</v>
      </c>
      <c r="EB5" s="34" t="str">
        <f>IFERROR(__xludf.DUMMYFUNCTION("""COMPUTED_VALUE"""),"UDAAsset")</f>
        <v>UDAAsset</v>
      </c>
      <c r="EC5" s="34" t="str">
        <f>IFERROR(__xludf.DUMMYFUNCTION("""COMPUTED_VALUE"""),"UnderlyingDelta")</f>
        <v>UnderlyingDelta</v>
      </c>
      <c r="ED5" s="34" t="str">
        <f>IFERROR(__xludf.DUMMYFUNCTION("""COMPUTED_VALUE"""),"UnderlyingName")</f>
        <v>UnderlyingName</v>
      </c>
      <c r="EE5" s="34" t="str">
        <f>IFERROR(__xludf.DUMMYFUNCTION("""COMPUTED_VALUE"""),"UnderlyingSymbol")</f>
        <v>UnderlyingSymbol</v>
      </c>
      <c r="EF5" s="34" t="str">
        <f>IFERROR(__xludf.DUMMYFUNCTION("""COMPUTED_VALUE"""),"UnitCost")</f>
        <v>UnitCost</v>
      </c>
      <c r="EG5" s="34" t="str">
        <f>IFERROR(__xludf.DUMMYFUNCTION("""COMPUTED_VALUE"""),"UnRealizedPNL")</f>
        <v>UnRealizedPNL</v>
      </c>
      <c r="EH5" s="34" t="str">
        <f>IFERROR(__xludf.DUMMYFUNCTION("""COMPUTED_VALUE"""),"Venue")</f>
        <v>Venue</v>
      </c>
      <c r="EI5" s="34" t="str">
        <f>IFERROR(__xludf.DUMMYFUNCTION("""COMPUTED_VALUE"""),"VsCurrencyID")</f>
        <v>VsCurrencyID</v>
      </c>
      <c r="EJ5" s="34" t="str">
        <f>IFERROR(__xludf.DUMMYFUNCTION("""COMPUTED_VALUE"""),"WorkflowState")</f>
        <v>WorkflowState</v>
      </c>
      <c r="EK5" s="34" t="str">
        <f>IFERROR(__xludf.DUMMYFUNCTION("""COMPUTED_VALUE"""),"AvgPriceBase")</f>
        <v>AvgPriceBase</v>
      </c>
      <c r="EL5" s="34" t="str">
        <f>IFERROR(__xludf.DUMMYFUNCTION("""COMPUTED_VALUE"""),"MarketCap")</f>
        <v>MarketCap</v>
      </c>
      <c r="EM5" s="34" t="str">
        <f>IFERROR(__xludf.DUMMYFUNCTION("""COMPUTED_VALUE"""),"UnitCostBase")</f>
        <v>UnitCostBase</v>
      </c>
      <c r="EN5" s="34" t="str">
        <f>IFERROR(__xludf.DUMMYFUNCTION("""COMPUTED_VALUE"""),"ITM/OTM")</f>
        <v>ITM/OTM</v>
      </c>
      <c r="EO5" s="34" t="str">
        <f>IFERROR(__xludf.DUMMYFUNCTION("""COMPUTED_VALUE"""),"Days to Expiry")</f>
        <v>Days to Expiry</v>
      </c>
      <c r="EP5" s="34" t="str">
        <f>IFERROR(__xludf.DUMMYFUNCTION("""COMPUTED_VALUE"""),"% of Underlying Price")</f>
        <v>% of Underlying Price</v>
      </c>
      <c r="EQ5" s="34" t="str">
        <f>IFERROR(__xludf.DUMMYFUNCTION("""COMPUTED_VALUE"""),"Intrinsic value")</f>
        <v>Intrinsic value</v>
      </c>
      <c r="ER5" s="34" t="str">
        <f>IFERROR(__xludf.DUMMYFUNCTION("""COMPUTED_VALUE"""),"Gain/Loss if Ex./Assign")</f>
        <v>Gain/Loss if Ex./Assign</v>
      </c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24</v>
      </c>
      <c r="C6" s="8"/>
      <c r="D6" s="13"/>
      <c r="E6" s="13" t="s">
        <v>30</v>
      </c>
      <c r="F6" s="8"/>
      <c r="G6" s="8"/>
      <c r="H6" s="8"/>
      <c r="I6" s="13">
        <v>10.0</v>
      </c>
      <c r="J6" s="8"/>
      <c r="K6" s="8"/>
      <c r="L6" s="8"/>
      <c r="M6" s="8"/>
      <c r="N6" s="8"/>
      <c r="O6" s="8"/>
      <c r="DH6" s="35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62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IFERROR(__xludf.DUMMYFUNCTION("""COMPUTED_VALUE"""),"AccountValue")</f>
        <v>AccountValue</v>
      </c>
      <c r="D5" s="31" t="str">
        <f>IFERROR(__xludf.DUMMYFUNCTION("""COMPUTED_VALUE"""),"AccruedInterest")</f>
        <v>AccruedInterest</v>
      </c>
      <c r="E5" s="31" t="str">
        <f>IFERROR(__xludf.DUMMYFUNCTION("""COMPUTED_VALUE"""),"Asset")</f>
        <v>Asset</v>
      </c>
      <c r="F5" s="33" t="str">
        <f>IFERROR(__xludf.DUMMYFUNCTION("""COMPUTED_VALUE"""),"AUEC Fee1")</f>
        <v>AUEC Fee1</v>
      </c>
      <c r="G5" s="31" t="str">
        <f>IFERROR(__xludf.DUMMYFUNCTION("""COMPUTED_VALUE"""),"AUCE Fee2")</f>
        <v>AUCE Fee2</v>
      </c>
      <c r="H5" s="31" t="str">
        <f>IFERROR(__xludf.DUMMYFUNCTION("""COMPUTED_VALUE"""),"AUECID")</f>
        <v>AUECID</v>
      </c>
      <c r="I5" s="31" t="str">
        <f>IFERROR(__xludf.DUMMYFUNCTION("""COMPUTED_VALUE"""),"AUECLocalDateToday")</f>
        <v>AUECLocalDateToday</v>
      </c>
      <c r="J5" s="31" t="str">
        <f>IFERROR(__xludf.DUMMYFUNCTION("""COMPUTED_VALUE"""),"Average Price")</f>
        <v>Average Price</v>
      </c>
      <c r="K5" s="31" t="str">
        <f>IFERROR(__xludf.DUMMYFUNCTION("""COMPUTED_VALUE"""),"AvgPriceRealizedPL")</f>
        <v>AvgPriceRealizedPL</v>
      </c>
      <c r="L5" s="31" t="str">
        <f>IFERROR(__xludf.DUMMYFUNCTION("""COMPUTED_VALUE"""),"Broker")</f>
        <v>Broker</v>
      </c>
      <c r="M5" s="31" t="str">
        <f>IFERROR(__xludf.DUMMYFUNCTION("""COMPUTED_VALUE"""),"Clearing Broker Fee")</f>
        <v>Clearing Broker Fee</v>
      </c>
      <c r="N5" s="31" t="str">
        <f>IFERROR(__xludf.DUMMYFUNCTION("""COMPUTED_VALUE"""),"ClosedQty")</f>
        <v>ClosedQty</v>
      </c>
      <c r="O5" s="31" t="str">
        <f>IFERROR(__xludf.DUMMYFUNCTION("""COMPUTED_VALUE"""),"Commission")</f>
        <v>Commission</v>
      </c>
      <c r="P5" s="31" t="str">
        <f>IFERROR(__xludf.DUMMYFUNCTION("""COMPUTED_VALUE"""),"CostBasisRealizePNL")</f>
        <v>CostBasisRealizePNL</v>
      </c>
      <c r="Q5" s="31" t="str">
        <f>IFERROR(__xludf.DUMMYFUNCTION("""COMPUTED_VALUE"""),"Currency")</f>
        <v>Currency</v>
      </c>
      <c r="R5" s="31" t="str">
        <f>IFERROR(__xludf.DUMMYFUNCTION("""COMPUTED_VALUE"""),"Description")</f>
        <v>Description</v>
      </c>
      <c r="S5" s="31" t="str">
        <f>IFERROR(__xludf.DUMMYFUNCTION("""COMPUTED_VALUE"""),"EndDate")</f>
        <v>EndDate</v>
      </c>
      <c r="T5" s="34" t="str">
        <f>IFERROR(__xludf.DUMMYFUNCTION("""COMPUTED_VALUE"""),"ExchangeID")</f>
        <v>ExchangeID</v>
      </c>
      <c r="U5" s="34" t="str">
        <f>IFERROR(__xludf.DUMMYFUNCTION("""COMPUTED_VALUE"""),"Expiration Date")</f>
        <v>Expiration Date</v>
      </c>
      <c r="V5" s="34" t="str">
        <f>IFERROR(__xludf.DUMMYFUNCTION("""COMPUTED_VALUE"""),"ExpiredQty")</f>
        <v>ExpiredQty</v>
      </c>
      <c r="W5" s="34" t="str">
        <f>IFERROR(__xludf.DUMMYFUNCTION("""COMPUTED_VALUE"""),"ExpiredTaxlotID")</f>
        <v>ExpiredTaxlotID</v>
      </c>
      <c r="X5" s="34" t="str">
        <f>IFERROR(__xludf.DUMMYFUNCTION("""COMPUTED_VALUE"""),"FXRate")</f>
        <v>FXRate</v>
      </c>
      <c r="Y5" s="34" t="str">
        <f>IFERROR(__xludf.DUMMYFUNCTION("""COMPUTED_VALUE"""),"FXRateoperator")</f>
        <v>FXRateoperator</v>
      </c>
      <c r="Z5" s="34" t="str">
        <f>IFERROR(__xludf.DUMMYFUNCTION("""COMPUTED_VALUE"""),"ID")</f>
        <v>ID</v>
      </c>
      <c r="AA5" s="34" t="str">
        <f>IFERROR(__xludf.DUMMYFUNCTION("""COMPUTED_VALUE"""),"If Pay/Recevie Changes")</f>
        <v>If Pay/Recevie Changes</v>
      </c>
      <c r="AB5" s="34" t="str">
        <f>IFERROR(__xludf.DUMMYFUNCTION("""COMPUTED_VALUE"""),"IntPositionType")</f>
        <v>IntPositionType</v>
      </c>
      <c r="AC5" s="34" t="str">
        <f>IFERROR(__xludf.DUMMYFUNCTION("""COMPUTED_VALUE"""),"LeadCurrencyID")</f>
        <v>LeadCurrencyID</v>
      </c>
      <c r="AD5" s="34" t="str">
        <f>IFERROR(__xludf.DUMMYFUNCTION("""COMPUTED_VALUE"""),"Leveraged Factor")</f>
        <v>Leveraged Factor</v>
      </c>
      <c r="AE5" s="34" t="str">
        <f>IFERROR(__xludf.DUMMYFUNCTION("""COMPUTED_VALUE"""),"MarkPriceForMonth")</f>
        <v>MarkPriceForMonth</v>
      </c>
      <c r="AF5" s="34" t="str">
        <f>IFERROR(__xludf.DUMMYFUNCTION("""COMPUTED_VALUE"""),"MonthToDateRealizedProfit")</f>
        <v>MonthToDateRealizedProfit</v>
      </c>
      <c r="AG5" s="34" t="str">
        <f>IFERROR(__xludf.DUMMYFUNCTION("""COMPUTED_VALUE"""),"Multiplier")</f>
        <v>Multiplier</v>
      </c>
      <c r="AH5" s="34" t="str">
        <f>IFERROR(__xludf.DUMMYFUNCTION("""COMPUTED_VALUE"""),"NotionalValue")</f>
        <v>NotionalValue</v>
      </c>
      <c r="AI5" s="34" t="str">
        <f>IFERROR(__xludf.DUMMYFUNCTION("""COMPUTED_VALUE"""),"OCC Fee")</f>
        <v>OCC Fee</v>
      </c>
      <c r="AJ5" s="34" t="str">
        <f>IFERROR(__xludf.DUMMYFUNCTION("""COMPUTED_VALUE"""),"OpenQty")</f>
        <v>OpenQty</v>
      </c>
      <c r="AK5" s="34" t="str">
        <f>IFERROR(__xludf.DUMMYFUNCTION("""COMPUTED_VALUE"""),"Option Activated")</f>
        <v>Option Activated</v>
      </c>
      <c r="AL5" s="34" t="str">
        <f>IFERROR(__xludf.DUMMYFUNCTION("""COMPUTED_VALUE"""),"Option Type")</f>
        <v>Option Type</v>
      </c>
      <c r="AM5" s="34" t="str">
        <f>IFERROR(__xludf.DUMMYFUNCTION("""COMPUTED_VALUE"""),"OptionPremiumAdjustment")</f>
        <v>OptionPremiumAdjustment</v>
      </c>
      <c r="AN5" s="34" t="str">
        <f>IFERROR(__xludf.DUMMYFUNCTION("""COMPUTED_VALUE"""),"ORF Fee")</f>
        <v>ORF Fee</v>
      </c>
      <c r="AO5" s="34" t="str">
        <f>IFERROR(__xludf.DUMMYFUNCTION("""COMPUTED_VALUE"""),"Original Side")</f>
        <v>Original Side</v>
      </c>
      <c r="AP5" s="34" t="str">
        <f>IFERROR(__xludf.DUMMYFUNCTION("""COMPUTED_VALUE"""),"OriginalPurchaseDate")</f>
        <v>OriginalPurchaseDate</v>
      </c>
      <c r="AQ5" s="34" t="str">
        <f>IFERROR(__xludf.DUMMYFUNCTION("""COMPUTED_VALUE"""),"Other Broker Fees")</f>
        <v>Other Broker Fees</v>
      </c>
      <c r="AR5" s="34" t="str">
        <f>IFERROR(__xludf.DUMMYFUNCTION("""COMPUTED_VALUE"""),"ParentTradeDate")</f>
        <v>ParentTradeDate</v>
      </c>
      <c r="AS5" s="34" t="str">
        <f>IFERROR(__xludf.DUMMYFUNCTION("""COMPUTED_VALUE"""),"Pay/Recive")</f>
        <v>Pay/Recive</v>
      </c>
      <c r="AT5" s="34" t="str">
        <f>IFERROR(__xludf.DUMMYFUNCTION("""COMPUTED_VALUE"""),"PositionType")</f>
        <v>PositionType</v>
      </c>
      <c r="AU5" s="34" t="str">
        <f>IFERROR(__xludf.DUMMYFUNCTION("""COMPUTED_VALUE"""),"ProcessDate")</f>
        <v>ProcessDate</v>
      </c>
      <c r="AV5" s="34" t="str">
        <f>IFERROR(__xludf.DUMMYFUNCTION("""COMPUTED_VALUE"""),"QtyCurrency")</f>
        <v>QtyCurrency</v>
      </c>
      <c r="AW5" s="34" t="str">
        <f>IFERROR(__xludf.DUMMYFUNCTION("""COMPUTED_VALUE"""),"Quantity")</f>
        <v>Quantity</v>
      </c>
      <c r="AX5" s="34" t="str">
        <f>IFERROR(__xludf.DUMMYFUNCTION("""COMPUTED_VALUE"""),"RecordType")</f>
        <v>RecordType</v>
      </c>
      <c r="AY5" s="34" t="str">
        <f>IFERROR(__xludf.DUMMYFUNCTION("""COMPUTED_VALUE"""),"SEC Fee")</f>
        <v>SEC Fee</v>
      </c>
      <c r="AZ5" s="34" t="str">
        <f>IFERROR(__xludf.DUMMYFUNCTION("""COMPUTED_VALUE"""),"Settlement Currency")</f>
        <v>Settlement Currency</v>
      </c>
      <c r="BA5" s="34" t="str">
        <f>IFERROR(__xludf.DUMMYFUNCTION("""COMPUTED_VALUE"""),"Settlement Date")</f>
        <v>Settlement Date</v>
      </c>
      <c r="BB5" s="34" t="str">
        <f>IFERROR(__xludf.DUMMYFUNCTION("""COMPUTED_VALUE"""),"Settlement FxRate")</f>
        <v>Settlement FxRate</v>
      </c>
      <c r="BC5" s="34" t="str">
        <f>IFERROR(__xludf.DUMMYFUNCTION("""COMPUTED_VALUE"""),"Settlement FxRate Operator")</f>
        <v>Settlement FxRate Operator</v>
      </c>
      <c r="BD5" s="34" t="str">
        <f>IFERROR(__xludf.DUMMYFUNCTION("""COMPUTED_VALUE"""),"Settlement Price")</f>
        <v>Settlement Price</v>
      </c>
      <c r="BE5" s="34" t="str">
        <f>IFERROR(__xludf.DUMMYFUNCTION("""COMPUTED_VALUE"""),"Side")</f>
        <v>Side</v>
      </c>
      <c r="BF5" s="34" t="str">
        <f>IFERROR(__xludf.DUMMYFUNCTION("""COMPUTED_VALUE"""),"Soft Commission")</f>
        <v>Soft Commission</v>
      </c>
      <c r="BG5" s="34" t="str">
        <f>IFERROR(__xludf.DUMMYFUNCTION("""COMPUTED_VALUE"""),"Stamp Duty")</f>
        <v>Stamp Duty</v>
      </c>
      <c r="BH5" s="34" t="str">
        <f>IFERROR(__xludf.DUMMYFUNCTION("""COMPUTED_VALUE"""),"StartTaxlotID")</f>
        <v>StartTaxlotID</v>
      </c>
      <c r="BI5" s="34" t="str">
        <f>IFERROR(__xludf.DUMMYFUNCTION("""COMPUTED_VALUE"""),"Status")</f>
        <v>Status</v>
      </c>
      <c r="BJ5" s="34" t="str">
        <f>IFERROR(__xludf.DUMMYFUNCTION("""COMPUTED_VALUE"""),"Strategy")</f>
        <v>Strategy</v>
      </c>
      <c r="BK5" s="34" t="str">
        <f>IFERROR(__xludf.DUMMYFUNCTION("""COMPUTED_VALUE"""),"Strike Price")</f>
        <v>Strike Price</v>
      </c>
      <c r="BL5" s="34" t="str">
        <f>IFERROR(__xludf.DUMMYFUNCTION("""COMPUTED_VALUE"""),"Symbol")</f>
        <v>Symbol</v>
      </c>
      <c r="BM5" s="34" t="str">
        <f>IFERROR(__xludf.DUMMYFUNCTION("""COMPUTED_VALUE"""),"SymbolAveragePrice")</f>
        <v>SymbolAveragePrice</v>
      </c>
      <c r="BN5" s="34" t="str">
        <f>IFERROR(__xludf.DUMMYFUNCTION("""COMPUTED_VALUE"""),"Tax On Commissions")</f>
        <v>Tax On Commissions</v>
      </c>
      <c r="BO5" s="34" t="str">
        <f>IFERROR(__xludf.DUMMYFUNCTION("""COMPUTED_VALUE"""),"TaxLotClosingId")</f>
        <v>TaxLotClosingId</v>
      </c>
      <c r="BP5" s="34" t="str">
        <f>IFERROR(__xludf.DUMMYFUNCTION("""COMPUTED_VALUE"""),"Trade Date")</f>
        <v>Trade Date</v>
      </c>
      <c r="BQ5" s="34" t="str">
        <f>IFERROR(__xludf.DUMMYFUNCTION("""COMPUTED_VALUE"""),"Transaction Levy")</f>
        <v>Transaction Levy</v>
      </c>
      <c r="BR5" s="34" t="str">
        <f>IFERROR(__xludf.DUMMYFUNCTION("""COMPUTED_VALUE"""),"Transaction Type")</f>
        <v>Transaction Type</v>
      </c>
      <c r="BS5" s="34" t="str">
        <f>IFERROR(__xludf.DUMMYFUNCTION("""COMPUTED_VALUE"""),"TransactionSource")</f>
        <v>TransactionSource</v>
      </c>
      <c r="BT5" s="34" t="str">
        <f>IFERROR(__xludf.DUMMYFUNCTION("""COMPUTED_VALUE"""),"Underlying Symbol")</f>
        <v>Underlying Symbol</v>
      </c>
      <c r="BU5" s="34" t="str">
        <f>IFERROR(__xludf.DUMMYFUNCTION("""COMPUTED_VALUE"""),"UnderlyingID")</f>
        <v>UnderlyingID</v>
      </c>
      <c r="BV5" s="34" t="str">
        <f>IFERROR(__xludf.DUMMYFUNCTION("""COMPUTED_VALUE"""),"Venue")</f>
        <v>Venue</v>
      </c>
      <c r="BW5" s="34" t="str">
        <f>IFERROR(__xludf.DUMMYFUNCTION("""COMPUTED_VALUE"""),"Settlement Qty")</f>
        <v>Settlement Qty</v>
      </c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24</v>
      </c>
      <c r="C6" s="8"/>
      <c r="D6" s="13"/>
      <c r="E6" s="13" t="s">
        <v>30</v>
      </c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W6" s="9">
        <v>1000.0</v>
      </c>
      <c r="BL6" s="35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42</v>
      </c>
      <c r="D3" s="5" t="s">
        <v>9</v>
      </c>
      <c r="E3" s="25" t="s">
        <v>43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IFERROR(__xludf.DUMMYFUNCTION("""COMPUTED_VALUE"""),"Reallocate")</f>
        <v>Reallocate</v>
      </c>
      <c r="I4" s="27" t="str">
        <f>IFERROR(__xludf.DUMMYFUNCTION("""COMPUTED_VALUE"""),"EditUnallocatedGroupSidePanel")</f>
        <v>EditUnallocatedGroupSidePanel</v>
      </c>
      <c r="J4" s="27" t="str">
        <f>IFERROR(__xludf.DUMMYFUNCTION("""COMPUTED_VALUE"""),"TradeAttributeBulkChange")</f>
        <v>TradeAttributeBulkChange</v>
      </c>
      <c r="K4" s="27" t="str">
        <f>IFERROR(__xludf.DUMMYFUNCTION("""COMPUTED_VALUE"""),"ApplyBulkUpdateOnGroups")</f>
        <v>ApplyBulkUpdateOnGroups</v>
      </c>
      <c r="L4" s="27" t="str">
        <f>IFERROR(__xludf.DUMMYFUNCTION("""COMPUTED_VALUE"""),"ApplyPrefetchFilters")</f>
        <v>ApplyPrefetchFilters</v>
      </c>
      <c r="M4" s="27" t="str">
        <f>IFERROR(__xludf.DUMMYFUNCTION("""COMPUTED_VALUE"""),"GeneralPreferencesDefaultRule")</f>
        <v>GeneralPreferencesDefaultRule</v>
      </c>
      <c r="N4" s="27" t="str">
        <f>IFERROR(__xludf.DUMMYFUNCTION("""COMPUTED_VALUE"""),"GeneralPrefCompanyUserWise")</f>
        <v>GeneralPrefCompanyUserWise</v>
      </c>
      <c r="O4" s="27" t="str">
        <f>IFERROR(__xludf.DUMMYFUNCTION("""COMPUTED_VALUE"""),"RenameTradeAttributes")</f>
        <v>RenameTradeAttributes</v>
      </c>
      <c r="P4" s="29" t="str">
        <f>IFERROR(__xludf.DUMMYFUNCTION("""COMPUTED_VALUE"""),"SetGroupingRules")</f>
        <v>SetGroupingRules</v>
      </c>
      <c r="Q4" s="29" t="str">
        <f>IFERROR(__xludf.DUMMYFUNCTION("""COMPUTED_VALUE"""),"SetMasterFundRatio")</f>
        <v>SetMasterFundRatio</v>
      </c>
      <c r="R4" s="29" t="str">
        <f>IFERROR(__xludf.DUMMYFUNCTION("""COMPUTED_VALUE"""),"CheckFixedPreference")</f>
        <v>CheckFixedPreference</v>
      </c>
      <c r="S4" s="29" t="str">
        <f>IFERROR(__xludf.DUMMYFUNCTION("""COMPUTED_VALUE"""),"GetFixedPreference")</f>
        <v>GetFixedPreference</v>
      </c>
      <c r="T4" s="29" t="str">
        <f>IFERROR(__xludf.DUMMYFUNCTION("""COMPUTED_VALUE"""),"AddCalculatedPreferences")</f>
        <v>AddCalculatedPreferences</v>
      </c>
      <c r="U4" s="29" t="str">
        <f>IFERROR(__xludf.DUMMYFUNCTION("""COMPUTED_VALUE"""),"BulkChangeCalculatedPreferences")</f>
        <v>BulkChangeCalculatedPreferences</v>
      </c>
      <c r="V4" s="29" t="str">
        <f>IFERROR(__xludf.DUMMYFUNCTION("""COMPUTED_VALUE"""),"DeleteCalculatedPreferences")</f>
        <v>DeleteCalculatedPreferences</v>
      </c>
      <c r="W4" s="29" t="str">
        <f>IFERROR(__xludf.DUMMYFUNCTION("""COMPUTED_VALUE"""),"RenameCalculatedPreferences")</f>
        <v>RenameCalculatedPreferences</v>
      </c>
      <c r="X4" s="29" t="str">
        <f>IFERROR(__xludf.DUMMYFUNCTION("""COMPUTED_VALUE"""),"CopyCalculatedPreferences")</f>
        <v>CopyCalculatedPreferences</v>
      </c>
      <c r="Y4" s="29" t="str">
        <f>IFERROR(__xludf.DUMMYFUNCTION("""COMPUTED_VALUE"""),"RunAutoGroup")</f>
        <v>RunAutoGroup</v>
      </c>
      <c r="Z4" s="29" t="str">
        <f>IFERROR(__xludf.DUMMYFUNCTION("""COMPUTED_VALUE"""),"BookOrUpdateSwap")</f>
        <v>BookOrUpdateSwap</v>
      </c>
      <c r="AA4" s="29" t="str">
        <f>IFERROR(__xludf.DUMMYFUNCTION("""COMPUTED_VALUE"""),"RunProrata")</f>
        <v>RunProrata</v>
      </c>
      <c r="AB4" s="29" t="str">
        <f>IFERROR(__xludf.DUMMYFUNCTION("""COMPUTED_VALUE"""),"SetDefaultRuleCalculatedPref")</f>
        <v>SetDefaultRuleCalculatedPref</v>
      </c>
      <c r="AC4" s="29" t="str">
        <f>IFERROR(__xludf.DUMMYFUNCTION("""COMPUTED_VALUE"""),"SetAccountValueCalculatedPref")</f>
        <v>SetAccountValueCalculatedPref</v>
      </c>
      <c r="AD4" s="29" t="str">
        <f>IFERROR(__xludf.DUMMYFUNCTION("""COMPUTED_VALUE"""),"TradeAttributeBulkChangeGroups")</f>
        <v>TradeAttributeBulkChangeGroups</v>
      </c>
      <c r="AE4" s="29" t="str">
        <f>IFERROR(__xludf.DUMMYFUNCTION("""COMPUTED_VALUE"""),"TradeAttributeBulkChangeTaxlots")</f>
        <v>TradeAttributeBulkChangeTaxlots</v>
      </c>
      <c r="AF4" s="29" t="str">
        <f>IFERROR(__xludf.DUMMYFUNCTION("""COMPUTED_VALUE"""),"AddCalculatedPreferenceToolbar")</f>
        <v>AddCalculatedPreferenceToolbar</v>
      </c>
      <c r="AG4" s="29" t="str">
        <f>IFERROR(__xludf.DUMMYFUNCTION("""COMPUTED_VALUE"""),"SetStrategyValueCalculatedPref")</f>
        <v>SetStrategyValueCalculatedPref</v>
      </c>
      <c r="AH4" s="29" t="str">
        <f>IFERROR(__xludf.DUMMYFUNCTION("""COMPUTED_VALUE"""),"ApplyBulkUpdateOnTaxlots")</f>
        <v>ApplyBulkUpdateOnTaxlots</v>
      </c>
      <c r="AI4" s="29" t="str">
        <f>IFERROR(__xludf.DUMMYFUNCTION("""COMPUTED_VALUE"""),"CommissionBulkChangeOnGroups")</f>
        <v>CommissionBulkChangeOnGroups</v>
      </c>
      <c r="AJ4" s="29" t="str">
        <f>IFERROR(__xludf.DUMMYFUNCTION("""COMPUTED_VALUE"""),"CommissionBulkChangeOnTaxlots")</f>
        <v>CommissionBulkChangeOnTaxlots</v>
      </c>
      <c r="AK4" s="29" t="str">
        <f>IFERROR(__xludf.DUMMYFUNCTION("""COMPUTED_VALUE"""),"SelectUnallocatedGroup")</f>
        <v>SelectUnallocatedGroup</v>
      </c>
      <c r="AL4" s="29" t="str">
        <f>IFERROR(__xludf.DUMMYFUNCTION("""COMPUTED_VALUE"""),"EnterAccountValuesToAllocate")</f>
        <v>EnterAccountValuesToAllocate</v>
      </c>
      <c r="AM4" s="29" t="str">
        <f>IFERROR(__xludf.DUMMYFUNCTION("""COMPUTED_VALUE"""),"EnterAllocatePreference")</f>
        <v>EnterAllocatePreference</v>
      </c>
      <c r="AN4" s="29" t="str">
        <f>IFERROR(__xludf.DUMMYFUNCTION("""COMPUTED_VALUE"""),"EnterStrategyValuesToAllocate")</f>
        <v>EnterStrategyValuesToAllocate</v>
      </c>
      <c r="AO4" s="29" t="str">
        <f>IFERROR(__xludf.DUMMYFUNCTION("""COMPUTED_VALUE"""),"CopyCalculatedPreferenceToolbar")</f>
        <v>CopyCalculatedPreferenceToolbar</v>
      </c>
      <c r="AP4" s="29" t="str">
        <f>IFERROR(__xludf.DUMMYFUNCTION("""COMPUTED_VALUE"""),"SetGeneralRuleCalculatedPref")</f>
        <v>SetGeneralRuleCalculatedPref</v>
      </c>
      <c r="AQ4" s="29" t="str">
        <f>IFERROR(__xludf.DUMMYFUNCTION("""COMPUTED_VALUE"""),"ExportAllCalculatedPreferences")</f>
        <v>ExportAllCalculatedPreferences</v>
      </c>
      <c r="AR4" s="29" t="str">
        <f>IFERROR(__xludf.DUMMYFUNCTION("""COMPUTED_VALUE"""),"SaveCalculatedPreferences")</f>
        <v>SaveCalculatedPreferences</v>
      </c>
      <c r="AS4" s="29" t="str">
        <f>IFERROR(__xludf.DUMMYFUNCTION("""COMPUTED_VALUE"""),"CloseCalculatedPreferences")</f>
        <v>CloseCalculatedPreferences</v>
      </c>
      <c r="AT4" s="29" t="str">
        <f>IFERROR(__xludf.DUMMYFUNCTION("""COMPUTED_VALUE"""),"ExportCalculatedPreference")</f>
        <v>ExportCalculatedPreference</v>
      </c>
      <c r="AU4" s="29" t="str">
        <f>IFERROR(__xludf.DUMMYFUNCTION("""COMPUTED_VALUE"""),"ImportCalculatedPreferences")</f>
        <v>ImportCalculatedPreferences</v>
      </c>
      <c r="AV4" s="29" t="str">
        <f>IFERROR(__xludf.DUMMYFUNCTION("""COMPUTED_VALUE"""),"OpenAuditTrailUnallocatedGroup")</f>
        <v>OpenAuditTrailUnallocatedGroup</v>
      </c>
      <c r="AW4" s="29" t="str">
        <f>IFERROR(__xludf.DUMMYFUNCTION("""COMPUTED_VALUE"""),"DeleteCalculatedPreferencesTool")</f>
        <v>DeleteCalculatedPreferencesTool</v>
      </c>
      <c r="AX4" s="29" t="str">
        <f>IFERROR(__xludf.DUMMYFUNCTION("""COMPUTED_VALUE"""),"ImportCalculatedPreferencesTool")</f>
        <v>ImportCalculatedPreferencesTool</v>
      </c>
      <c r="AY4" s="29" t="str">
        <f>IFERROR(__xludf.DUMMYFUNCTION("""COMPUTED_VALUE"""),"ExportAllCalculatedPreferTool")</f>
        <v>ExportAllCalculatedPreferTool</v>
      </c>
      <c r="AZ4" s="29" t="str">
        <f>IFERROR(__xludf.DUMMYFUNCTION("""COMPUTED_VALUE"""),"OpenAuditTrailAllocatedGroup")</f>
        <v>OpenAuditTrailAllocatedGroup</v>
      </c>
      <c r="BA4" s="29" t="str">
        <f>IFERROR(__xludf.DUMMYFUNCTION("""COMPUTED_VALUE"""),"OpenSymbolLookupUnallocateGroup")</f>
        <v>OpenSymbolLookupUnallocateGroup</v>
      </c>
      <c r="BB4" s="29" t="str">
        <f>IFERROR(__xludf.DUMMYFUNCTION("""COMPUTED_VALUE"""),"OpenSymbolLookupAllocatedGroup")</f>
        <v>OpenSymbolLookupAllocatedGroup</v>
      </c>
      <c r="BC4" s="29" t="str">
        <f>IFERROR(__xludf.DUMMYFUNCTION("""COMPUTED_VALUE"""),"DeleteFixedPreference")</f>
        <v>DeleteFixedPreference</v>
      </c>
      <c r="BD4" s="29" t="str">
        <f>IFERROR(__xludf.DUMMYFUNCTION("""COMPUTED_VALUE"""),"EditAllocatedGroupSidePanel")</f>
        <v>EditAllocatedGroupSidePanel</v>
      </c>
      <c r="BE4" s="29" t="str">
        <f>IFERROR(__xludf.DUMMYFUNCTION("""COMPUTED_VALUE"""),"CheckUnallocatedGroups")</f>
        <v>CheckUnallocatedGroups</v>
      </c>
      <c r="BF4" s="29" t="str">
        <f>IFERROR(__xludf.DUMMYFUNCTION("""COMPUTED_VALUE"""),"SetGeneralPreferences")</f>
        <v>SetGeneralPreferences</v>
      </c>
      <c r="BG4" s="29" t="str">
        <f>IFERROR(__xludf.DUMMYFUNCTION("""COMPUTED_VALUE"""),"GroupTrades")</f>
        <v>GroupTrades</v>
      </c>
      <c r="BH4" s="29" t="str">
        <f>IFERROR(__xludf.DUMMYFUNCTION("""COMPUTED_VALUE"""),"UngroupTrades")</f>
        <v>UngroupTrades</v>
      </c>
      <c r="BI4" s="29" t="str">
        <f>IFERROR(__xludf.DUMMYFUNCTION("""COMPUTED_VALUE"""),"DeleteGroup")</f>
        <v>DeleteGroup</v>
      </c>
      <c r="BJ4" s="29" t="str">
        <f>IFERROR(__xludf.DUMMYFUNCTION("""COMPUTED_VALUE"""),"CloseOrder")</f>
        <v>CloseOrder</v>
      </c>
      <c r="BK4" s="29" t="str">
        <f>IFERROR(__xludf.DUMMYFUNCTION("""COMPUTED_VALUE"""),"Unallocate")</f>
        <v>Unallocate</v>
      </c>
      <c r="BL4" s="29" t="str">
        <f>IFERROR(__xludf.DUMMYFUNCTION("""COMPUTED_VALUE"""),"CloseAllocation")</f>
        <v>CloseAllocation</v>
      </c>
      <c r="BM4" s="29" t="str">
        <f>IFERROR(__xludf.DUMMYFUNCTION("""COMPUTED_VALUE"""),"UpdateGRAccountValue")</f>
        <v>UpdateGRAccountValue</v>
      </c>
      <c r="BN4" s="29" t="str">
        <f>IFERROR(__xludf.DUMMYFUNCTION("""COMPUTED_VALUE"""),"UpdateGRStrategyValue")</f>
        <v>UpdateGRStrategyValue</v>
      </c>
      <c r="BO4" s="29" t="str">
        <f>IFERROR(__xludf.DUMMYFUNCTION("""COMPUTED_VALUE"""),"UpdateGRDefaultRule")</f>
        <v>UpdateGRDefaultRule</v>
      </c>
      <c r="BP4" s="29" t="str">
        <f>IFERROR(__xludf.DUMMYFUNCTION("""COMPUTED_VALUE"""),"UpdateGeneralRulePref")</f>
        <v>UpdateGeneralRulePref</v>
      </c>
      <c r="BQ4" s="29" t="str">
        <f>IFERROR(__xludf.DUMMYFUNCTION("""COMPUTED_VALUE"""),"ModifyGRPreferenceValues")</f>
        <v>ModifyGRPreferenceValues</v>
      </c>
      <c r="BR4" s="29" t="str">
        <f>IFERROR(__xludf.DUMMYFUNCTION("""COMPUTED_VALUE"""),"AddMFPreferences")</f>
        <v>AddMFPreferences</v>
      </c>
      <c r="BS4" s="29" t="str">
        <f>IFERROR(__xludf.DUMMYFUNCTION("""COMPUTED_VALUE"""),"AddMFPreferenceToolbar")</f>
        <v>AddMFPreferenceToolbar</v>
      </c>
      <c r="BT4" s="29" t="str">
        <f>IFERROR(__xludf.DUMMYFUNCTION("""COMPUTED_VALUE"""),"DeleteMFPreferences")</f>
        <v>DeleteMFPreferences</v>
      </c>
      <c r="BU4" s="29" t="str">
        <f>IFERROR(__xludf.DUMMYFUNCTION("""COMPUTED_VALUE"""),"DeleteMFPreferenceToolbar")</f>
        <v>DeleteMFPreferenceToolbar</v>
      </c>
      <c r="BV4" s="29" t="str">
        <f>IFERROR(__xludf.DUMMYFUNCTION("""COMPUTED_VALUE"""),"RenameMFPreferences")</f>
        <v>RenameMFPreferences</v>
      </c>
      <c r="BW4" s="29" t="str">
        <f>IFERROR(__xludf.DUMMYFUNCTION("""COMPUTED_VALUE"""),"SaveCloseMFPreference")</f>
        <v>SaveCloseMFPreference</v>
      </c>
      <c r="BX4" s="29" t="str">
        <f>IFERROR(__xludf.DUMMYFUNCTION("""COMPUTED_VALUE"""),"SetMFPrefAccountValues")</f>
        <v>SetMFPrefAccountValues</v>
      </c>
      <c r="BY4" s="29" t="str">
        <f>IFERROR(__xludf.DUMMYFUNCTION("""COMPUTED_VALUE"""),"ModifyMFPrefGeneralRuleValues")</f>
        <v>ModifyMFPrefGeneralRuleValues</v>
      </c>
      <c r="BZ4" s="29" t="str">
        <f>IFERROR(__xludf.DUMMYFUNCTION("""COMPUTED_VALUE"""),"SetMFPrefStrategyValues")</f>
        <v>SetMFPrefStrategyValues</v>
      </c>
      <c r="CA4" s="29" t="str">
        <f>IFERROR(__xludf.DUMMYFUNCTION("""COMPUTED_VALUE"""),"SetMFPrefGeneralRule")</f>
        <v>SetMFPrefGeneralRule</v>
      </c>
      <c r="CB4" s="29" t="str">
        <f>IFERROR(__xludf.DUMMYFUNCTION("""COMPUTED_VALUE"""),"SetMFPrefFundDistribution")</f>
        <v>SetMFPrefFundDistribution</v>
      </c>
      <c r="CC4" s="29" t="str">
        <f>IFERROR(__xludf.DUMMYFUNCTION("""COMPUTED_VALUE"""),"SetMFPreferencesDefaultRule")</f>
        <v>SetMFPreferencesDefaultRule</v>
      </c>
      <c r="CD4" s="29" t="str">
        <f>IFERROR(__xludf.DUMMYFUNCTION("""COMPUTED_VALUE"""),"SetMFPrefFundDefaultRule")</f>
        <v>SetMFPrefFundDefaultRule</v>
      </c>
      <c r="CE4" s="29" t="str">
        <f>IFERROR(__xludf.DUMMYFUNCTION("""COMPUTED_VALUE"""),"ClearPrefetchFilters")</f>
        <v>ClearPrefetchFilters</v>
      </c>
      <c r="CF4" s="29" t="str">
        <f>IFERROR(__xludf.DUMMYFUNCTION("""COMPUTED_VALUE"""),"ExpandCollapseAllUnallocated")</f>
        <v>ExpandCollapseAllUnallocated</v>
      </c>
      <c r="CG4" s="29" t="str">
        <f>IFERROR(__xludf.DUMMYFUNCTION("""COMPUTED_VALUE"""),"ExpandCollapseAllAllocated")</f>
        <v>ExpandCollapseAllAllocated</v>
      </c>
      <c r="CH4" s="29" t="str">
        <f>IFERROR(__xludf.DUMMYFUNCTION("""COMPUTED_VALUE"""),"GenerateCashTransaction")</f>
        <v>GenerateCashTransaction</v>
      </c>
      <c r="CI4" s="29" t="str">
        <f>IFERROR(__xludf.DUMMYFUNCTION("""COMPUTED_VALUE"""),"SaveAllocation")</f>
        <v>SaveAllocation</v>
      </c>
      <c r="CJ4" s="29" t="str">
        <f>IFERROR(__xludf.DUMMYFUNCTION("""COMPUTED_VALUE"""),"UnallocateWithOutSave")</f>
        <v>UnallocateWithOutSave</v>
      </c>
      <c r="CK4" s="29" t="str">
        <f>IFERROR(__xludf.DUMMYFUNCTION("""COMPUTED_VALUE"""),"EditUnallocatedGrid")</f>
        <v>EditUnallocatedGrid</v>
      </c>
      <c r="CL4" s="29" t="str">
        <f>IFERROR(__xludf.DUMMYFUNCTION("""COMPUTED_VALUE"""),"EditAllocatedGrid")</f>
        <v>EditAllocatedGrid</v>
      </c>
      <c r="CM4" s="29" t="str">
        <f>IFERROR(__xludf.DUMMYFUNCTION("""COMPUTED_VALUE"""),"SaveLayoutAllocatedGrid")</f>
        <v>SaveLayoutAllocatedGrid</v>
      </c>
      <c r="CN4" s="29" t="str">
        <f>IFERROR(__xludf.DUMMYFUNCTION("""COMPUTED_VALUE"""),"SaveLayoutUnallocatedGrid")</f>
        <v>SaveLayoutUnallocatedGrid</v>
      </c>
      <c r="CO4" s="29" t="str">
        <f>IFERROR(__xludf.DUMMYFUNCTION("""COMPUTED_VALUE"""),"SaveLayoutAllocationUI")</f>
        <v>SaveLayoutAllocationUI</v>
      </c>
      <c r="CP4" s="29" t="str">
        <f>IFERROR(__xludf.DUMMYFUNCTION("""COMPUTED_VALUE"""),"ClearFiltersAllocatedGrid")</f>
        <v>ClearFiltersAllocatedGrid</v>
      </c>
      <c r="CQ4" s="29" t="str">
        <f>IFERROR(__xludf.DUMMYFUNCTION("""COMPUTED_VALUE"""),"ClearFiltersUnallocatedGrid")</f>
        <v>ClearFiltersUnallocatedGrid</v>
      </c>
      <c r="CR4" s="29" t="str">
        <f>IFERROR(__xludf.DUMMYFUNCTION("""COMPUTED_VALUE"""),"VerifyLayoutAllocatedGrid")</f>
        <v>VerifyLayoutAllocatedGrid</v>
      </c>
      <c r="CS4" s="29" t="str">
        <f>IFERROR(__xludf.DUMMYFUNCTION("""COMPUTED_VALUE"""),"VerifyLayoutUnallocatedGrid")</f>
        <v>VerifyLayoutUnallocatedGrid</v>
      </c>
      <c r="CT4" s="29" t="str">
        <f>IFERROR(__xludf.DUMMYFUNCTION("""COMPUTED_VALUE"""),"CleanUp")</f>
        <v>CleanUp</v>
      </c>
      <c r="CU4" s="29" t="str">
        <f>IFERROR(__xludf.DUMMYFUNCTION("""COMPUTED_VALUE"""),"CheckAllocatedTaxlots")</f>
        <v>CheckAllocatedTaxlots</v>
      </c>
      <c r="CV4" s="29" t="str">
        <f>IFERROR(__xludf.DUMMYFUNCTION("""COMPUTED_VALUE"""),"DisableChecksideForAsset")</f>
        <v>DisableChecksideForAsset</v>
      </c>
      <c r="CW4" s="29" t="str">
        <f>IFERROR(__xludf.DUMMYFUNCTION("""COMPUTED_VALUE"""),"DisableChecksideForAccount")</f>
        <v>DisableChecksideForAccount</v>
      </c>
      <c r="CX4" s="29" t="str">
        <f>IFERROR(__xludf.DUMMYFUNCTION("""COMPUTED_VALUE"""),"DisableChecksideForCounterParty")</f>
        <v>DisableChecksideForCounterParty</v>
      </c>
      <c r="CY4" s="29" t="str">
        <f>IFERROR(__xludf.DUMMYFUNCTION("""COMPUTED_VALUE"""),"DisableCheckside")</f>
        <v>DisableCheckside</v>
      </c>
      <c r="CZ4" s="29" t="str">
        <f>IFERROR(__xludf.DUMMYFUNCTION("""COMPUTED_VALUE"""),"ApplyMasterFundFilter")</f>
        <v>ApplyMasterFundFilter</v>
      </c>
      <c r="DA4" s="29" t="str">
        <f>IFERROR(__xludf.DUMMYFUNCTION("""COMPUTED_VALUE"""),"ShowMasterFundOnTT")</f>
        <v>ShowMasterFundOnTT</v>
      </c>
      <c r="DB4" s="29" t="str">
        <f>IFERROR(__xludf.DUMMYFUNCTION("""COMPUTED_VALUE"""),"ShowMasterFundAsClient")</f>
        <v>ShowMasterFundAsClient</v>
      </c>
      <c r="DC4" s="29" t="str">
        <f>IFERROR(__xludf.DUMMYFUNCTION("""COMPUTED_VALUE"""),"SetBrokerAccountMapping")</f>
        <v>SetBrokerAccountMapping</v>
      </c>
      <c r="DD4" s="29" t="str">
        <f>IFERROR(__xludf.DUMMYFUNCTION("""COMPUTED_VALUE"""),"EditUnallocatedGridWPF")</f>
        <v>EditUnallocatedGridWPF</v>
      </c>
      <c r="DE4" s="29" t="str">
        <f>IFERROR(__xludf.DUMMYFUNCTION("""COMPUTED_VALUE"""),"EditAllocatedGridWPF")</f>
        <v>EditAllocatedGridWPF</v>
      </c>
      <c r="DF4" s="29" t="str">
        <f>IFERROR(__xludf.DUMMYFUNCTION("""COMPUTED_VALUE"""),"EditAllocatedGridTaxlot")</f>
        <v>EditAllocatedGridTaxlot</v>
      </c>
      <c r="DG4" s="29" t="str">
        <f>IFERROR(__xludf.DUMMYFUNCTION("""COMPUTED_VALUE"""),"ExpandCollapseAllocatedGrid")</f>
        <v>ExpandCollapseAllocatedGrid</v>
      </c>
      <c r="DH4" s="29" t="str">
        <f>IFERROR(__xludf.DUMMYFUNCTION("""COMPUTED_VALUE"""),"ExpandCollapseUnallocatedGrid")</f>
        <v>ExpandCollapseUnallocatedGrid</v>
      </c>
      <c r="DI4" s="29" t="str">
        <f>IFERROR(__xludf.DUMMYFUNCTION("""COMPUTED_VALUE"""),"SetTradeAttributePreferences")</f>
        <v>SetTradeAttributePreferences</v>
      </c>
      <c r="DJ4" s="29" t="str">
        <f>IFERROR(__xludf.DUMMYFUNCTION("""COMPUTED_VALUE"""),"EnterCustomAllocatePreference")</f>
        <v>EnterCustomAllocatePreference</v>
      </c>
      <c r="DK4" s="29" t="str">
        <f>IFERROR(__xludf.DUMMYFUNCTION("""COMPUTED_VALUE"""),"SetAutoGroupingPreferences")</f>
        <v>SetAutoGroupingPreferences</v>
      </c>
      <c r="DL4" s="29" t="str">
        <f>IFERROR(__xludf.DUMMYFUNCTION("""COMPUTED_VALUE"""),"SetAutoGroupingAccount")</f>
        <v>SetAutoGroupingAccount</v>
      </c>
      <c r="DM4" s="29" t="str">
        <f>IFERROR(__xludf.DUMMYFUNCTION("""COMPUTED_VALUE"""),"SetAvgPriceRounding")</f>
        <v>SetAvgPriceRounding</v>
      </c>
      <c r="DN4" s="29" t="str">
        <f>IFERROR(__xludf.DUMMYFUNCTION("""COMPUTED_VALUE"""),"IsAllocationOpen")</f>
        <v>IsAllocationOpen</v>
      </c>
      <c r="DO4" s="29" t="str">
        <f>IFERROR(__xludf.DUMMYFUNCTION("""COMPUTED_VALUE"""),"AllocationAuditTrail")</f>
        <v>AllocationAuditTrail</v>
      </c>
      <c r="DP4" s="29" t="str">
        <f>IFERROR(__xludf.DUMMYFUNCTION("""COMPUTED_VALUE"""),"GetAuditTrailData")</f>
        <v>GetAuditTrailData</v>
      </c>
      <c r="DQ4" s="29" t="str">
        <f>IFERROR(__xludf.DUMMYFUNCTION("""COMPUTED_VALUE"""),"CheckAuditTrailData")</f>
        <v>CheckAuditTrailData</v>
      </c>
      <c r="DR4" s="29" t="str">
        <f>IFERROR(__xludf.DUMMYFUNCTION("""COMPUTED_VALUE"""),"Unallocate")</f>
        <v>Unallocate</v>
      </c>
      <c r="DS4" s="29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9" t="str">
        <f>IFERROR(__xludf.DUMMYFUNCTION("""COMPUTED_VALUE"""),"CheckPreferences")</f>
        <v>CheckPreferences</v>
      </c>
      <c r="DV4" s="29" t="str">
        <f>IFERROR(__xludf.DUMMYFUNCTION("""COMPUTED_VALUE"""),"AllocateWithPopUp")</f>
        <v>AllocateWithPopUp</v>
      </c>
      <c r="DW4" s="29" t="str">
        <f>IFERROR(__xludf.DUMMYFUNCTION("""COMPUTED_VALUE"""),"SelectAllRowsAllocated")</f>
        <v>SelectAllRowsAllocated</v>
      </c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31" t="str">
        <f>IFERROR(__xludf.DUMMYFUNCTION("""COMPUTED_VALUE"""),"FilterTabName")</f>
        <v>FilterTabName</v>
      </c>
      <c r="F5" s="33" t="str">
        <f>IFERROR(__xludf.DUMMYFUNCTION("""COMPUTED_VALUE"""),"Symbol")</f>
        <v>Symbol</v>
      </c>
      <c r="G5" s="31" t="str">
        <f>IFERROR(__xludf.DUMMYFUNCTION("""COMPUTED_VALUE"""),"Asset")</f>
        <v>Asset</v>
      </c>
      <c r="H5" s="31" t="str">
        <f>IFERROR(__xludf.DUMMYFUNCTION("""COMPUTED_VALUE"""),"Side")</f>
        <v>Side</v>
      </c>
      <c r="I5" s="31" t="str">
        <f>IFERROR(__xludf.DUMMYFUNCTION("""COMPUTED_VALUE"""),"Account")</f>
        <v>Account</v>
      </c>
      <c r="J5" s="31" t="str">
        <f>IFERROR(__xludf.DUMMYFUNCTION("""COMPUTED_VALUE"""),"Broker")</f>
        <v>Broker</v>
      </c>
      <c r="K5" s="31" t="str">
        <f>IFERROR(__xludf.DUMMYFUNCTION("""COMPUTED_VALUE"""),"Currency")</f>
        <v>Currency</v>
      </c>
      <c r="L5" s="31" t="str">
        <f>IFERROR(__xludf.DUMMYFUNCTION("""COMPUTED_VALUE"""),"Exchange")</f>
        <v>Exchange</v>
      </c>
      <c r="M5" s="31" t="str">
        <f>IFERROR(__xludf.DUMMYFUNCTION("""COMPUTED_VALUE"""),"StrategyName")</f>
        <v>StrategyName</v>
      </c>
      <c r="N5" s="31" t="str">
        <f>IFERROR(__xludf.DUMMYFUNCTION("""COMPUTED_VALUE"""),"Underlying")</f>
        <v>Underlying</v>
      </c>
      <c r="O5" s="31" t="str">
        <f>IFERROR(__xludf.DUMMYFUNCTION("""COMPUTED_VALUE"""),"Venue")</f>
        <v>Venue</v>
      </c>
      <c r="P5" s="31" t="str">
        <f>IFERROR(__xludf.DUMMYFUNCTION("""COMPUTED_VALUE"""),"TradingAccount")</f>
        <v>TradingAccount</v>
      </c>
      <c r="Q5" s="31" t="str">
        <f>IFERROR(__xludf.DUMMYFUNCTION("""COMPUTED_VALUE"""),"PreAllocated")</f>
        <v>PreAllocated</v>
      </c>
      <c r="R5" s="31" t="str">
        <f>IFERROR(__xludf.DUMMYFUNCTION("""COMPUTED_VALUE"""),"ManualGroup")</f>
        <v>ManualGroup</v>
      </c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53" t="s">
        <v>32</v>
      </c>
      <c r="C6" s="54" t="s">
        <v>33</v>
      </c>
      <c r="D6" s="56">
        <f>today()</f>
        <v>44782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63</v>
      </c>
      <c r="D3" s="5" t="s">
        <v>9</v>
      </c>
      <c r="E3" s="25" t="s">
        <v>64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9" t="str">
        <f>IFERROR(__xludf.DUMMYFUNCTION("""COMPUTED_VALUE"""),"ShowSummaryToolFromPM")</f>
        <v>ShowSummaryToolFromPM</v>
      </c>
      <c r="Q4" s="29" t="str">
        <f>IFERROR(__xludf.DUMMYFUNCTION("""COMPUTED_VALUE"""),"HideSummaryToolFromPM")</f>
        <v>HideSummaryToolFromPM</v>
      </c>
      <c r="R4" s="29" t="str">
        <f>IFERROR(__xludf.DUMMYFUNCTION("""COMPUTED_VALUE"""),"CloseAccountPositionFromPM")</f>
        <v>CloseAccountPositionFromPM</v>
      </c>
      <c r="S4" s="29" t="str">
        <f>IFERROR(__xludf.DUMMYFUNCTION("""COMPUTED_VALUE"""),"CloseSelectedTaxlotsFromPM")</f>
        <v>CloseSelectedTaxlotsFromPM</v>
      </c>
      <c r="T4" s="29" t="str">
        <f>IFERROR(__xludf.DUMMYFUNCTION("""COMPUTED_VALUE"""),"ExpandCollapsePM")</f>
        <v>ExpandCollapsePM</v>
      </c>
      <c r="U4" s="29" t="str">
        <f>IFERROR(__xludf.DUMMYFUNCTION("""COMPUTED_VALUE"""),"AddCustomViewPM")</f>
        <v>AddCustomViewPM</v>
      </c>
      <c r="V4" s="29" t="str">
        <f>IFERROR(__xludf.DUMMYFUNCTION("""COMPUTED_VALUE"""),"AddCustomViewRightClickPM")</f>
        <v>AddCustomViewRightClickPM</v>
      </c>
      <c r="W4" s="29" t="str">
        <f>IFERROR(__xludf.DUMMYFUNCTION("""COMPUTED_VALUE"""),"RenameCustomViewPM")</f>
        <v>RenameCustomViewPM</v>
      </c>
      <c r="X4" s="29" t="str">
        <f>IFERROR(__xludf.DUMMYFUNCTION("""COMPUTED_VALUE"""),"DeleteCustomViewPM")</f>
        <v>DeleteCustomViewPM</v>
      </c>
      <c r="Y4" s="29" t="str">
        <f>IFERROR(__xludf.DUMMYFUNCTION("""COMPUTED_VALUE"""),"OpenCreateTransactionFromPM")</f>
        <v>OpenCreateTransactionFromPM</v>
      </c>
      <c r="Z4" s="29" t="str">
        <f>IFERROR(__xludf.DUMMYFUNCTION("""COMPUTED_VALUE"""),"RemoveGroupingFromPM")</f>
        <v>RemoveGroupingFromPM</v>
      </c>
      <c r="AA4" s="29" t="str">
        <f>IFERROR(__xludf.DUMMYFUNCTION("""COMPUTED_VALUE"""),"IncreasePositionFromPM")</f>
        <v>IncreasePositionFromPM</v>
      </c>
      <c r="AB4" s="29" t="str">
        <f>IFERROR(__xludf.DUMMYFUNCTION("""COMPUTED_VALUE"""),"CheckPMLiveFeed")</f>
        <v>CheckPMLiveFeed</v>
      </c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IFERROR(__xludf.DUMMYFUNCTION("""COMPUTED_VALUE"""),"Trade Date")</f>
        <v>Trade Date</v>
      </c>
      <c r="C5" s="31" t="str">
        <f>IFERROR(__xludf.DUMMYFUNCTION("""COMPUTED_VALUE"""),"Symbol")</f>
        <v>Symbol</v>
      </c>
      <c r="D5" s="31" t="str">
        <f>IFERROR(__xludf.DUMMYFUNCTION("""COMPUTED_VALUE"""),"Position")</f>
        <v>Position</v>
      </c>
      <c r="E5" s="31" t="str">
        <f>IFERROR(__xludf.DUMMYFUNCTION("""COMPUTED_VALUE"""),"Account")</f>
        <v>Account</v>
      </c>
      <c r="F5" s="33" t="str">
        <f>IFERROR(__xludf.DUMMYFUNCTION("""COMPUTED_VALUE"""),"MasterFund")</f>
        <v>MasterFund</v>
      </c>
      <c r="G5" s="31" t="str">
        <f>IFERROR(__xludf.DUMMYFUNCTION("""COMPUTED_VALUE"""),"Cost Basis")</f>
        <v>Cost Basis</v>
      </c>
      <c r="H5" s="31" t="str">
        <f>IFERROR(__xludf.DUMMYFUNCTION("""COMPUTED_VALUE"""),"Position Side")</f>
        <v>Position Side</v>
      </c>
      <c r="I5" s="31" t="str">
        <f>IFERROR(__xludf.DUMMYFUNCTION("""COMPUTED_VALUE"""),"Market Value (Base)")</f>
        <v>Market Value (Base)</v>
      </c>
      <c r="J5" s="31" t="str">
        <f>IFERROR(__xludf.DUMMYFUNCTION("""COMPUTED_VALUE"""),"% Day P&amp;L (Gross MV)")</f>
        <v>% Day P&amp;L (Gross MV)</v>
      </c>
      <c r="K5" s="31" t="str">
        <f>IFERROR(__xludf.DUMMYFUNCTION("""COMPUTED_VALUE"""),"Net Exposure (Base)")</f>
        <v>Net Exposure (Base)</v>
      </c>
      <c r="L5" s="31" t="str">
        <f>IFERROR(__xludf.DUMMYFUNCTION("""COMPUTED_VALUE"""),"Beta Adj. Gross Exposure (Base)")</f>
        <v>Beta Adj. Gross Exposure (Base)</v>
      </c>
      <c r="M5" s="31" t="str">
        <f>IFERROR(__xludf.DUMMYFUNCTION("""COMPUTED_VALUE"""),"Beta Adj. Gross Exposure (Underlying) (Base)")</f>
        <v>Beta Adj. Gross Exposure (Underlying) (Base)</v>
      </c>
      <c r="N5" s="31" t="str">
        <f>IFERROR(__xludf.DUMMYFUNCTION("""COMPUTED_VALUE"""),"Day P&amp;L (Base)")</f>
        <v>Day P&amp;L (Base)</v>
      </c>
      <c r="O5" s="31" t="str">
        <f>IFERROR(__xludf.DUMMYFUNCTION("""COMPUTED_VALUE"""),"Security Name")</f>
        <v>Security Name</v>
      </c>
      <c r="P5" s="31" t="str">
        <f>IFERROR(__xludf.DUMMYFUNCTION("""COMPUTED_VALUE"""),"Closing Mark")</f>
        <v>Closing Mark</v>
      </c>
      <c r="Q5" s="31" t="str">
        <f>IFERROR(__xludf.DUMMYFUNCTION("""COMPUTED_VALUE"""),"Cost Basis P&amp;L (Base)")</f>
        <v>Cost Basis P&amp;L (Base)</v>
      </c>
      <c r="R5" s="31" t="str">
        <f>IFERROR(__xludf.DUMMYFUNCTION("""COMPUTED_VALUE"""),"Prime Broker")</f>
        <v>Prime Broker</v>
      </c>
      <c r="S5" s="31" t="str">
        <f>IFERROR(__xludf.DUMMYFUNCTION("""COMPUTED_VALUE"""),"Strategy")</f>
        <v>Strategy</v>
      </c>
      <c r="T5" s="34" t="str">
        <f>IFERROR(__xludf.DUMMYFUNCTION("""COMPUTED_VALUE"""),"Asset Class")</f>
        <v>Asset Class</v>
      </c>
      <c r="U5" s="34" t="str">
        <f>IFERROR(__xludf.DUMMYFUNCTION("""COMPUTED_VALUE"""),"Underlying")</f>
        <v>Underlying</v>
      </c>
      <c r="V5" s="34" t="str">
        <f>IFERROR(__xludf.DUMMYFUNCTION("""COMPUTED_VALUE"""),"Exchange")</f>
        <v>Exchange</v>
      </c>
      <c r="W5" s="34" t="str">
        <f>IFERROR(__xludf.DUMMYFUNCTION("""COMPUTED_VALUE"""),"Trade Currency")</f>
        <v>Trade Currency</v>
      </c>
      <c r="X5" s="34" t="str">
        <f>IFERROR(__xludf.DUMMYFUNCTION("""COMPUTED_VALUE"""),"Multiplier")</f>
        <v>Multiplier</v>
      </c>
      <c r="Y5" s="34" t="str">
        <f>IFERROR(__xludf.DUMMYFUNCTION("""COMPUTED_VALUE"""),"FX Rate")</f>
        <v>FX Rate</v>
      </c>
      <c r="Z5" s="34" t="str">
        <f>IFERROR(__xludf.DUMMYFUNCTION("""COMPUTED_VALUE"""),"Vs Currency")</f>
        <v>Vs Currency</v>
      </c>
      <c r="AA5" s="34" t="str">
        <f>IFERROR(__xludf.DUMMYFUNCTION("""COMPUTED_VALUE"""),"Lead Currency")</f>
        <v>Lead Currency</v>
      </c>
      <c r="AB5" s="34" t="str">
        <f>IFERROR(__xludf.DUMMYFUNCTION("""COMPUTED_VALUE"""),"Dividend Yield (%)")</f>
        <v>Dividend Yield (%)</v>
      </c>
      <c r="AC5" s="34" t="str">
        <f>IFERROR(__xludf.DUMMYFUNCTION("""COMPUTED_VALUE"""),"% Change")</f>
        <v>% Change</v>
      </c>
      <c r="AD5" s="34" t="str">
        <f>IFERROR(__xludf.DUMMYFUNCTION("""COMPUTED_VALUE"""),"Net Exposure (Local)")</f>
        <v>Net Exposure (Local)</v>
      </c>
      <c r="AE5" s="34" t="str">
        <f>IFERROR(__xludf.DUMMYFUNCTION("""COMPUTED_VALUE"""),"Exposure (Local)")</f>
        <v>Exposure (Local)</v>
      </c>
      <c r="AF5" s="34" t="str">
        <f>IFERROR(__xludf.DUMMYFUNCTION("""COMPUTED_VALUE"""),"Delta Adj. Position")</f>
        <v>Delta Adj. Position</v>
      </c>
      <c r="AG5" s="34" t="str">
        <f>IFERROR(__xludf.DUMMYFUNCTION("""COMPUTED_VALUE"""),"Exposure (Base)")</f>
        <v>Exposure (Base)</v>
      </c>
      <c r="AH5" s="34" t="str">
        <f>IFERROR(__xludf.DUMMYFUNCTION("""COMPUTED_VALUE"""),"Beta Adj. Exposure (Local)")</f>
        <v>Beta Adj. Exposure (Local)</v>
      </c>
      <c r="AI5" s="34" t="str">
        <f>IFERROR(__xludf.DUMMYFUNCTION("""COMPUTED_VALUE"""),"Beta Adj. Exposure (Base)")</f>
        <v>Beta Adj. Exposure (Base)</v>
      </c>
      <c r="AJ5" s="34" t="str">
        <f>IFERROR(__xludf.DUMMYFUNCTION("""COMPUTED_VALUE"""),"Exposure (BP)(Base)")</f>
        <v>Exposure (BP)(Base)</v>
      </c>
      <c r="AK5" s="34" t="str">
        <f>IFERROR(__xludf.DUMMYFUNCTION("""COMPUTED_VALUE"""),"Day P&amp;L (Local)")</f>
        <v>Day P&amp;L (Local)</v>
      </c>
      <c r="AL5" s="34" t="str">
        <f>IFERROR(__xludf.DUMMYFUNCTION("""COMPUTED_VALUE"""),"Delta")</f>
        <v>Delta</v>
      </c>
      <c r="AM5" s="34" t="str">
        <f>IFERROR(__xludf.DUMMYFUNCTION("""COMPUTED_VALUE"""),"Leveraged Factor")</f>
        <v>Leveraged Factor</v>
      </c>
      <c r="AN5" s="34" t="str">
        <f>IFERROR(__xludf.DUMMYFUNCTION("""COMPUTED_VALUE"""),"Order Side")</f>
        <v>Order Side</v>
      </c>
      <c r="AO5" s="34" t="str">
        <f>IFERROR(__xludf.DUMMYFUNCTION("""COMPUTED_VALUE"""),"Master Strategy")</f>
        <v>Master Strategy</v>
      </c>
      <c r="AP5" s="34" t="str">
        <f>IFERROR(__xludf.DUMMYFUNCTION("""COMPUTED_VALUE"""),"Transaction Side")</f>
        <v>Transaction Side</v>
      </c>
      <c r="AQ5" s="34" t="str">
        <f>IFERROR(__xludf.DUMMYFUNCTION("""COMPUTED_VALUE"""),"Underlying Symbol")</f>
        <v>Underlying Symbol</v>
      </c>
      <c r="AR5" s="34" t="str">
        <f>IFERROR(__xludf.DUMMYFUNCTION("""COMPUTED_VALUE"""),"Underlying Price")</f>
        <v>Underlying Price</v>
      </c>
      <c r="AS5" s="34" t="str">
        <f>IFERROR(__xludf.DUMMYFUNCTION("""COMPUTED_VALUE"""),"Side Multiplier")</f>
        <v>Side Multiplier</v>
      </c>
      <c r="AT5" s="34" t="str">
        <f>IFERROR(__xludf.DUMMYFUNCTION("""COMPUTED_VALUE"""),"Description")</f>
        <v>Description</v>
      </c>
      <c r="AU5" s="34" t="str">
        <f>IFERROR(__xludf.DUMMYFUNCTION("""COMPUTED_VALUE"""),"Internal Comments")</f>
        <v>Internal Comments</v>
      </c>
      <c r="AV5" s="34" t="str">
        <f>IFERROR(__xludf.DUMMYFUNCTION("""COMPUTED_VALUE"""),"FX Rate On Trade Date")</f>
        <v>FX Rate On Trade Date</v>
      </c>
      <c r="AW5" s="34" t="str">
        <f>IFERROR(__xludf.DUMMYFUNCTION("""COMPUTED_VALUE"""),"Cost Basis P&amp;L (Local)")</f>
        <v>Cost Basis P&amp;L (Local)</v>
      </c>
      <c r="AX5" s="34" t="str">
        <f>IFERROR(__xludf.DUMMYFUNCTION("""COMPUTED_VALUE"""),"Day Interest")</f>
        <v>Day Interest</v>
      </c>
      <c r="AY5" s="34" t="str">
        <f>IFERROR(__xludf.DUMMYFUNCTION("""COMPUTED_VALUE"""),"Total Interest")</f>
        <v>Total Interest</v>
      </c>
      <c r="AZ5" s="34" t="str">
        <f>IFERROR(__xludf.DUMMYFUNCTION("""COMPUTED_VALUE"""),"Market Value (Local)")</f>
        <v>Market Value (Local)</v>
      </c>
      <c r="BA5" s="34" t="str">
        <f>IFERROR(__xludf.DUMMYFUNCTION("""COMPUTED_VALUE"""),"% Gain/Loss Day")</f>
        <v>% Gain/Loss Day</v>
      </c>
      <c r="BB5" s="34" t="str">
        <f>IFERROR(__xludf.DUMMYFUNCTION("""COMPUTED_VALUE"""),"Update Time (Last Price)")</f>
        <v>Update Time (Last Price)</v>
      </c>
      <c r="BC5" s="34" t="str">
        <f>IFERROR(__xludf.DUMMYFUNCTION("""COMPUTED_VALUE"""),"Beta")</f>
        <v>Beta</v>
      </c>
      <c r="BD5" s="34" t="str">
        <f>IFERROR(__xludf.DUMMYFUNCTION("""COMPUTED_VALUE"""),"Cash Impact (Local)")</f>
        <v>Cash Impact (Local)</v>
      </c>
      <c r="BE5" s="34" t="str">
        <f>IFERROR(__xludf.DUMMYFUNCTION("""COMPUTED_VALUE"""),"User Asset")</f>
        <v>User Asset</v>
      </c>
      <c r="BF5" s="34" t="str">
        <f>IFERROR(__xludf.DUMMYFUNCTION("""COMPUTED_VALUE"""),"Security Type")</f>
        <v>Security Type</v>
      </c>
      <c r="BG5" s="34" t="str">
        <f>IFERROR(__xludf.DUMMYFUNCTION("""COMPUTED_VALUE"""),"Sector")</f>
        <v>Sector</v>
      </c>
      <c r="BH5" s="34" t="str">
        <f>IFERROR(__xludf.DUMMYFUNCTION("""COMPUTED_VALUE"""),"Sub Sector")</f>
        <v>Sub Sector</v>
      </c>
      <c r="BI5" s="34" t="str">
        <f>IFERROR(__xludf.DUMMYFUNCTION("""COMPUTED_VALUE"""),"Country")</f>
        <v>Country</v>
      </c>
      <c r="BJ5" s="34" t="str">
        <f>IFERROR(__xludf.DUMMYFUNCTION("""COMPUTED_VALUE"""),"Market Cap")</f>
        <v>Market Cap</v>
      </c>
      <c r="BK5" s="34" t="str">
        <f>IFERROR(__xludf.DUMMYFUNCTION("""COMPUTED_VALUE"""),"Shares Outstanding (MM)")</f>
        <v>Shares Outstanding (MM)</v>
      </c>
      <c r="BL5" s="34" t="str">
        <f>IFERROR(__xludf.DUMMYFUNCTION("""COMPUTED_VALUE"""),"Avg Volume 20 Day")</f>
        <v>Avg Volume 20 Day</v>
      </c>
      <c r="BM5" s="34" t="str">
        <f>IFERROR(__xludf.DUMMYFUNCTION("""COMPUTED_VALUE"""),"% Avg Volume (Delta Adj.)")</f>
        <v>% Avg Volume (Delta Adj.)</v>
      </c>
      <c r="BN5" s="34" t="str">
        <f>IFERROR(__xludf.DUMMYFUNCTION("""COMPUTED_VALUE"""),"Ex Dividend Date")</f>
        <v>Ex Dividend Date</v>
      </c>
      <c r="BO5" s="34" t="str">
        <f>IFERROR(__xludf.DUMMYFUNCTION("""COMPUTED_VALUE"""),"Cash Impact (Base)")</f>
        <v>Cash Impact (Base)</v>
      </c>
      <c r="BP5" s="34" t="str">
        <f>IFERROR(__xludf.DUMMYFUNCTION("""COMPUTED_VALUE"""),"Volatility (%)")</f>
        <v>Volatility (%)</v>
      </c>
      <c r="BQ5" s="34" t="str">
        <f>IFERROR(__xludf.DUMMYFUNCTION("""COMPUTED_VALUE"""),"User")</f>
        <v>User</v>
      </c>
      <c r="BR5" s="34" t="str">
        <f>IFERROR(__xludf.DUMMYFUNCTION("""COMPUTED_VALUE"""),"Broker")</f>
        <v>Broker</v>
      </c>
      <c r="BS5" s="34" t="str">
        <f>IFERROR(__xludf.DUMMYFUNCTION("""COMPUTED_VALUE"""),"Earned Dividend (Local)")</f>
        <v>Earned Dividend (Local)</v>
      </c>
      <c r="BT5" s="34" t="str">
        <f>IFERROR(__xludf.DUMMYFUNCTION("""COMPUTED_VALUE"""),"Earned Dividend (Base)")</f>
        <v>Earned Dividend (Base)</v>
      </c>
      <c r="BU5" s="34" t="str">
        <f>IFERROR(__xludf.DUMMYFUNCTION("""COMPUTED_VALUE"""),"Put/Call")</f>
        <v>Put/Call</v>
      </c>
      <c r="BV5" s="34" t="str">
        <f>IFERROR(__xludf.DUMMYFUNCTION("""COMPUTED_VALUE"""),"Expiration Date")</f>
        <v>Expiration Date</v>
      </c>
      <c r="BW5" s="34" t="str">
        <f>IFERROR(__xludf.DUMMYFUNCTION("""COMPUTED_VALUE"""),"Strike Price")</f>
        <v>Strike Price</v>
      </c>
      <c r="BX5" s="34" t="str">
        <f>IFERROR(__xludf.DUMMYFUNCTION("""COMPUTED_VALUE"""),"Gross Exposure (Base)")</f>
        <v>Gross Exposure (Base)</v>
      </c>
      <c r="BY5" s="34" t="str">
        <f>IFERROR(__xludf.DUMMYFUNCTION("""COMPUTED_VALUE"""),"Gross Market Value (Base)")</f>
        <v>Gross Market Value (Base)</v>
      </c>
      <c r="BZ5" s="34" t="str">
        <f>IFERROR(__xludf.DUMMYFUNCTION("""COMPUTED_VALUE"""),"Px Selected Feed (Local)")</f>
        <v>Px Selected Feed (Local)</v>
      </c>
      <c r="CA5" s="34" t="str">
        <f>IFERROR(__xludf.DUMMYFUNCTION("""COMPUTED_VALUE"""),"Px Selected Feed (Base)")</f>
        <v>Px Selected Feed (Base)</v>
      </c>
      <c r="CB5" s="34" t="str">
        <f>IFERROR(__xludf.DUMMYFUNCTION("""COMPUTED_VALUE"""),"Settlement Date")</f>
        <v>Settlement Date</v>
      </c>
      <c r="CC5" s="34" t="str">
        <f>IFERROR(__xludf.DUMMYFUNCTION("""COMPUTED_VALUE"""),"% Avg Volume")</f>
        <v>% Avg Volume</v>
      </c>
      <c r="CD5" s="34" t="str">
        <f>IFERROR(__xludf.DUMMYFUNCTION("""COMPUTED_VALUE"""),"Day P&amp;L (Base)(Price Gain)")</f>
        <v>Day P&amp;L (Base)(Price Gain)</v>
      </c>
      <c r="CE5" s="34" t="str">
        <f>IFERROR(__xludf.DUMMYFUNCTION("""COMPUTED_VALUE"""),"Day P&amp;L (Base)(FX Gain)")</f>
        <v>Day P&amp;L (Base)(FX Gain)</v>
      </c>
      <c r="CF5" s="34" t="str">
        <f>IFERROR(__xludf.DUMMYFUNCTION("""COMPUTED_VALUE"""),"Cost Basis P&amp;L (Base)(FX Gain)")</f>
        <v>Cost Basis P&amp;L (Base)(FX Gain)</v>
      </c>
      <c r="CG5" s="34" t="str">
        <f>IFERROR(__xludf.DUMMYFUNCTION("""COMPUTED_VALUE"""),"Cost Basis P&amp;L (Base)(Price Gain)")</f>
        <v>Cost Basis P&amp;L (Base)(Price Gain)</v>
      </c>
      <c r="CH5" s="34" t="str">
        <f>IFERROR(__xludf.DUMMYFUNCTION("""COMPUTED_VALUE"""),"% Gain/Loss Cost")</f>
        <v>% Gain/Loss Cost</v>
      </c>
      <c r="CI5" s="34" t="str">
        <f>IFERROR(__xludf.DUMMYFUNCTION("""COMPUTED_VALUE"""),"Underlying Value (Options)")</f>
        <v>Underlying Value (Options)</v>
      </c>
      <c r="CJ5" s="34" t="str">
        <f>IFERROR(__xludf.DUMMYFUNCTION("""COMPUTED_VALUE"""),"Avg Volume 20 Day (Underlying Symbol)")</f>
        <v>Avg Volume 20 Day (Underlying Symbol)</v>
      </c>
      <c r="CK5" s="34" t="str">
        <f>IFERROR(__xludf.DUMMYFUNCTION("""COMPUTED_VALUE"""),"IsStaleData")</f>
        <v>IsStaleData</v>
      </c>
      <c r="CL5" s="34" t="str">
        <f>IFERROR(__xludf.DUMMYFUNCTION("""COMPUTED_VALUE"""),"IDCO")</f>
        <v>IDCO</v>
      </c>
      <c r="CM5" s="34" t="str">
        <f>IFERROR(__xludf.DUMMYFUNCTION("""COMPUTED_VALUE"""),"OSI")</f>
        <v>OSI</v>
      </c>
      <c r="CN5" s="34" t="str">
        <f>IFERROR(__xludf.DUMMYFUNCTION("""COMPUTED_VALUE"""),"SEDOL")</f>
        <v>SEDOL</v>
      </c>
      <c r="CO5" s="34" t="str">
        <f>IFERROR(__xludf.DUMMYFUNCTION("""COMPUTED_VALUE"""),"CUSIP")</f>
        <v>CUSIP</v>
      </c>
      <c r="CP5" s="34" t="str">
        <f>IFERROR(__xludf.DUMMYFUNCTION("""COMPUTED_VALUE"""),"Bloomberg")</f>
        <v>Bloomberg</v>
      </c>
      <c r="CQ5" s="34" t="str">
        <f>IFERROR(__xludf.DUMMYFUNCTION("""COMPUTED_VALUE"""),"ISIN")</f>
        <v>ISIN</v>
      </c>
      <c r="CR5" s="34" t="str">
        <f>IFERROR(__xludf.DUMMYFUNCTION("""COMPUTED_VALUE"""),"Start Trade Date")</f>
        <v>Start Trade Date</v>
      </c>
      <c r="CS5" s="34" t="str">
        <f>IFERROR(__xludf.DUMMYFUNCTION("""COMPUTED_VALUE"""),"Cost Basis (Break Even)")</f>
        <v>Cost Basis (Break Even)</v>
      </c>
      <c r="CT5" s="34" t="str">
        <f>IFERROR(__xludf.DUMMYFUNCTION("""COMPUTED_VALUE"""),"Trade Attribute 3")</f>
        <v>Trade Attribute 3</v>
      </c>
      <c r="CU5" s="34" t="str">
        <f>IFERROR(__xludf.DUMMYFUNCTION("""COMPUTED_VALUE"""),"Trade Attribute 4")</f>
        <v>Trade Attribute 4</v>
      </c>
      <c r="CV5" s="34" t="str">
        <f>IFERROR(__xludf.DUMMYFUNCTION("""COMPUTED_VALUE"""),"Trade Attribute 5")</f>
        <v>Trade Attribute 5</v>
      </c>
      <c r="CW5" s="34" t="str">
        <f>IFERROR(__xludf.DUMMYFUNCTION("""COMPUTED_VALUE"""),"Trade Attribute 6")</f>
        <v>Trade Attribute 6</v>
      </c>
      <c r="CX5" s="34" t="str">
        <f>IFERROR(__xludf.DUMMYFUNCTION("""COMPUTED_VALUE"""),"Proxy Symbol")</f>
        <v>Proxy Symbol</v>
      </c>
      <c r="CY5" s="34" t="str">
        <f>IFERROR(__xludf.DUMMYFUNCTION("""COMPUTED_VALUE"""),"Pricing Source")</f>
        <v>Pricing Source</v>
      </c>
      <c r="CZ5" s="34" t="str">
        <f>IFERROR(__xludf.DUMMYFUNCTION("""COMPUTED_VALUE"""),"Delta Source")</f>
        <v>Delta Source</v>
      </c>
      <c r="DA5" s="34" t="str">
        <f>IFERROR(__xludf.DUMMYFUNCTION("""COMPUTED_VALUE"""),"Gross Exposure (Local)")</f>
        <v>Gross Exposure (Local)</v>
      </c>
      <c r="DB5" s="34" t="str">
        <f>IFERROR(__xludf.DUMMYFUNCTION("""COMPUTED_VALUE"""),"% Day P&amp;L (Net MV)")</f>
        <v>% Day P&amp;L (Net MV)</v>
      </c>
      <c r="DC5" s="34" t="str">
        <f>IFERROR(__xludf.DUMMYFUNCTION("""COMPUTED_VALUE"""),"Expiration Month")</f>
        <v>Expiration Month</v>
      </c>
      <c r="DD5" s="34" t="str">
        <f>IFERROR(__xludf.DUMMYFUNCTION("""COMPUTED_VALUE"""),"Delta Adj. Position (LME)")</f>
        <v>Delta Adj. Position (LME)</v>
      </c>
      <c r="DE5" s="34" t="str">
        <f>IFERROR(__xludf.DUMMYFUNCTION("""COMPUTED_VALUE"""),"Premium")</f>
        <v>Premium</v>
      </c>
      <c r="DF5" s="34" t="str">
        <f>IFERROR(__xludf.DUMMYFUNCTION("""COMPUTED_VALUE"""),"Premium $")</f>
        <v>Premium $</v>
      </c>
      <c r="DG5" s="34" t="str">
        <f>IFERROR(__xludf.DUMMYFUNCTION("""COMPUTED_VALUE"""),"Forward Points")</f>
        <v>Forward Points</v>
      </c>
      <c r="DH5" s="34" t="str">
        <f>IFERROR(__xludf.DUMMYFUNCTION("""COMPUTED_VALUE"""),"Closing Mark (Underlying)")</f>
        <v>Closing Mark (Underlying)</v>
      </c>
      <c r="DI5" s="34" t="str">
        <f>IFERROR(__xludf.DUMMYFUNCTION("""COMPUTED_VALUE"""),"% Change (Underlying Price)")</f>
        <v>% Change (Underlying Price)</v>
      </c>
      <c r="DJ5" s="34" t="str">
        <f>IFERROR(__xludf.DUMMYFUNCTION("""COMPUTED_VALUE"""),"Transaction Type")</f>
        <v>Transaction Type</v>
      </c>
      <c r="DK5" s="34" t="str">
        <f>IFERROR(__xludf.DUMMYFUNCTION("""COMPUTED_VALUE"""),"Closing Market Value (Local)")</f>
        <v>Closing Market Value (Local)</v>
      </c>
      <c r="DL5" s="34" t="str">
        <f>IFERROR(__xludf.DUMMYFUNCTION("""COMPUTED_VALUE"""),"Closing Market Value (Base)")</f>
        <v>Closing Market Value (Base)</v>
      </c>
      <c r="DM5" s="34" t="str">
        <f>IFERROR(__xludf.DUMMYFUNCTION("""COMPUTED_VALUE"""),"Closing FX Rate")</f>
        <v>Closing FX Rate</v>
      </c>
      <c r="DN5" s="34" t="str">
        <f>IFERROR(__xludf.DUMMYFUNCTION("""COMPUTED_VALUE"""),"Change In Underlying Price")</f>
        <v>Change In Underlying Price</v>
      </c>
      <c r="DO5" s="34" t="str">
        <f>IFERROR(__xludf.DUMMYFUNCTION("""COMPUTED_VALUE"""),"RIC")</f>
        <v>RIC</v>
      </c>
      <c r="DP5" s="34" t="str">
        <f>IFERROR(__xludf.DUMMYFUNCTION("""COMPUTED_VALUE"""),"Position Side Exposure (Boxed)")</f>
        <v>Position Side Exposure (Boxed)</v>
      </c>
      <c r="DQ5" s="34" t="str">
        <f>IFERROR(__xludf.DUMMYFUNCTION("""COMPUTED_VALUE"""),"Analyst")</f>
        <v>Analyst</v>
      </c>
      <c r="DR5" s="34" t="str">
        <f>IFERROR(__xludf.DUMMYFUNCTION("""COMPUTED_VALUE"""),"Country Of Risk")</f>
        <v>Country Of Risk</v>
      </c>
      <c r="DS5" s="34" t="str">
        <f>IFERROR(__xludf.DUMMYFUNCTION("""COMPUTED_VALUE"""),"Custom UDA1")</f>
        <v>Custom UDA1</v>
      </c>
      <c r="DT5" s="34" t="str">
        <f>IFERROR(__xludf.DUMMYFUNCTION("""COMPUTED_VALUE"""),"Custom UDA2")</f>
        <v>Custom UDA2</v>
      </c>
      <c r="DU5" s="34" t="str">
        <f>IFERROR(__xludf.DUMMYFUNCTION("""COMPUTED_VALUE"""),"Custom UDA3")</f>
        <v>Custom UDA3</v>
      </c>
      <c r="DV5" s="34" t="str">
        <f>IFERROR(__xludf.DUMMYFUNCTION("""COMPUTED_VALUE"""),"Custom UDA4")</f>
        <v>Custom UDA4</v>
      </c>
      <c r="DW5" s="34" t="str">
        <f>IFERROR(__xludf.DUMMYFUNCTION("""COMPUTED_VALUE"""),"Custom UDA5")</f>
        <v>Custom UDA5</v>
      </c>
      <c r="DX5" s="34" t="str">
        <f>IFERROR(__xludf.DUMMYFUNCTION("""COMPUTED_VALUE"""),"Custom UDA6")</f>
        <v>Custom UDA6</v>
      </c>
      <c r="DY5" s="34" t="str">
        <f>IFERROR(__xludf.DUMMYFUNCTION("""COMPUTED_VALUE"""),"Custom UDA7")</f>
        <v>Custom UDA7</v>
      </c>
      <c r="DZ5" s="34" t="str">
        <f>IFERROR(__xludf.DUMMYFUNCTION("""COMPUTED_VALUE"""),"Issuer")</f>
        <v>Issuer</v>
      </c>
      <c r="EA5" s="34" t="str">
        <f>IFERROR(__xludf.DUMMYFUNCTION("""COMPUTED_VALUE"""),"Liquid Tag")</f>
        <v>Liquid Tag</v>
      </c>
      <c r="EB5" s="34" t="str">
        <f>IFERROR(__xludf.DUMMYFUNCTION("""COMPUTED_VALUE"""),"Market Cap UDA")</f>
        <v>Market Cap UDA</v>
      </c>
      <c r="EC5" s="34" t="str">
        <f>IFERROR(__xludf.DUMMYFUNCTION("""COMPUTED_VALUE"""),"Region")</f>
        <v>Region</v>
      </c>
      <c r="ED5" s="34" t="str">
        <f>IFERROR(__xludf.DUMMYFUNCTION("""COMPUTED_VALUE"""),"Risk Currency")</f>
        <v>Risk Currency</v>
      </c>
      <c r="EE5" s="34" t="str">
        <f>IFERROR(__xludf.DUMMYFUNCTION("""COMPUTED_VALUE"""),"UCITS Eligible Tag")</f>
        <v>UCITS Eligible Tag</v>
      </c>
      <c r="EF5" s="34" t="str">
        <f>IFERROR(__xludf.DUMMYFUNCTION("""COMPUTED_VALUE"""),"FX Rate (Display)")</f>
        <v>FX Rate (Display)</v>
      </c>
      <c r="EG5" s="34" t="str">
        <f>IFERROR(__xludf.DUMMYFUNCTION("""COMPUTED_VALUE"""),"% Net Exposure (Base)")</f>
        <v>% Net Exposure (Base)</v>
      </c>
      <c r="EH5" s="34" t="str">
        <f>IFERROR(__xludf.DUMMYFUNCTION("""COMPUTED_VALUE"""),"% Gross Exposure (Base)")</f>
        <v>% Gross Exposure (Base)</v>
      </c>
      <c r="EI5" s="34" t="str">
        <f>IFERROR(__xludf.DUMMYFUNCTION("""COMPUTED_VALUE"""),"% Exposure (Base)")</f>
        <v>% Exposure (Base)</v>
      </c>
      <c r="EJ5" s="34" t="str">
        <f>IFERROR(__xludf.DUMMYFUNCTION("""COMPUTED_VALUE"""),"% Gross Exposure (Underlying) (Base)")</f>
        <v>% Gross Exposure (Underlying) (Base)</v>
      </c>
      <c r="EK5" s="34" t="str">
        <f>IFERROR(__xludf.DUMMYFUNCTION("""COMPUTED_VALUE"""),"% Beta Adj. Gross Exposure (Base)")</f>
        <v>% Beta Adj. Gross Exposure (Base)</v>
      </c>
      <c r="EL5" s="34" t="str">
        <f>IFERROR(__xludf.DUMMYFUNCTION("""COMPUTED_VALUE"""),"Position Side Exposure (Underlying)")</f>
        <v>Position Side Exposure (Underlying)</v>
      </c>
      <c r="EM5" s="34" t="str">
        <f>IFERROR(__xludf.DUMMYFUNCTION("""COMPUTED_VALUE"""),"Gross Exposure (Underlying) (Base)")</f>
        <v>Gross Exposure (Underlying) (Base)</v>
      </c>
      <c r="EN5" s="34" t="str">
        <f>IFERROR(__xludf.DUMMYFUNCTION("""COMPUTED_VALUE"""),"Gross Exposure (Underlying)")</f>
        <v>Gross Exposure (Underlying)</v>
      </c>
      <c r="EO5" s="34" t="str">
        <f>IFERROR(__xludf.DUMMYFUNCTION("""COMPUTED_VALUE"""),"Day Return")</f>
        <v>Day Return</v>
      </c>
      <c r="EP5" s="34" t="str">
        <f>IFERROR(__xludf.DUMMYFUNCTION("""COMPUTED_VALUE"""),"Start of Day NAV")</f>
        <v>Start of Day NAV</v>
      </c>
      <c r="EQ5" s="34" t="str">
        <f>IFERROR(__xludf.DUMMYFUNCTION("""COMPUTED_VALUE"""),"% Gross Market Value (Base)")</f>
        <v>% Gross Market Value (Base)</v>
      </c>
      <c r="ER5" s="34" t="str">
        <f>IFERROR(__xludf.DUMMYFUNCTION("""COMPUTED_VALUE"""),"Beta Adj. Gross Exposure (Underlying) (Local)")</f>
        <v>Beta Adj. Gross Exposure (Underlying) (Local)</v>
      </c>
      <c r="ES5" s="34" t="str">
        <f>IFERROR(__xludf.DUMMYFUNCTION("""COMPUTED_VALUE"""),"NAV")</f>
        <v>NAV</v>
      </c>
      <c r="ET5" s="34" t="str">
        <f>IFERROR(__xludf.DUMMYFUNCTION("""COMPUTED_VALUE"""),"% P&amp;L Contribution")</f>
        <v>% P&amp;L Contribution</v>
      </c>
      <c r="EU5" s="34" t="str">
        <f>IFERROR(__xludf.DUMMYFUNCTION("""COMPUTED_VALUE"""),"% Net Market Value (Base)")</f>
        <v>% Net Market Value (Base)</v>
      </c>
      <c r="EV5" s="34" t="str">
        <f>IFERROR(__xludf.DUMMYFUNCTION("""COMPUTED_VALUE"""),"Position Side Exposure")</f>
        <v>Position Side Exposure</v>
      </c>
      <c r="EW5" s="34" t="str">
        <f>IFERROR(__xludf.DUMMYFUNCTION("""COMPUTED_VALUE"""),"NAV (Touch)")</f>
        <v>NAV (Touch)</v>
      </c>
      <c r="EX5" s="34" t="str">
        <f>IFERROR(__xludf.DUMMYFUNCTION("""COMPUTED_VALUE"""),"IgnorePropertyChangeEvents")</f>
        <v>IgnorePropertyChangeEvents</v>
      </c>
      <c r="EY5" s="34" t="str">
        <f>IFERROR(__xludf.DUMMYFUNCTION("""COMPUTED_VALUE"""),"Trade Attribute 1")</f>
        <v>Trade Attribute 1</v>
      </c>
      <c r="EZ5" s="34" t="str">
        <f>IFERROR(__xludf.DUMMYFUNCTION("""COMPUTED_VALUE"""),"Trade Attribute 2")</f>
        <v>Trade Attribute 2</v>
      </c>
      <c r="FA5" s="34" t="str">
        <f>IFERROR(__xludf.DUMMYFUNCTION("""COMPUTED_VALUE"""),"Client")</f>
        <v>Client</v>
      </c>
      <c r="FB5" s="34" t="str">
        <f>IFERROR(__xludf.DUMMYFUNCTION("""COMPUTED_VALUE"""),"IsCustomViewTab")</f>
        <v>IsCustomViewTab</v>
      </c>
      <c r="FC5" s="34" t="str">
        <f>IFERROR(__xludf.DUMMYFUNCTION("""COMPUTED_VALUE"""),"ITM/OTM")</f>
        <v>ITM/OTM</v>
      </c>
      <c r="FD5" s="34" t="str">
        <f>IFERROR(__xludf.DUMMYFUNCTION("""COMPUTED_VALUE"""),"Days to Expiry")</f>
        <v>Days to Expiry</v>
      </c>
      <c r="FE5" s="34" t="str">
        <f>IFERROR(__xludf.DUMMYFUNCTION("""COMPUTED_VALUE"""),"% of Underlying Price")</f>
        <v>% of Underlying Price</v>
      </c>
      <c r="FF5" s="34" t="str">
        <f>IFERROR(__xludf.DUMMYFUNCTION("""COMPUTED_VALUE"""),"Intrinsic value")</f>
        <v>Intrinsic value</v>
      </c>
      <c r="FG5" s="34" t="str">
        <f>IFERROR(__xludf.DUMMYFUNCTION("""COMPUTED_VALUE"""),"Gain/Loss if Ex./Assign")</f>
        <v>Gain/Loss if Ex./Assign</v>
      </c>
      <c r="FH5" s="34" t="str">
        <f>IFERROR(__xludf.DUMMYFUNCTION("""COMPUTED_VALUE"""),"Day Traded Position")</f>
        <v>Day Traded Position</v>
      </c>
      <c r="FI5" s="34" t="str">
        <f>IFERROR(__xludf.DUMMYFUNCTION("""COMPUTED_VALUE"""),"isRowCountCheck")</f>
        <v>isRowCountCheck</v>
      </c>
      <c r="FJ5" s="34"/>
      <c r="FK5" s="34"/>
      <c r="FL5" s="34"/>
      <c r="FM5" s="34"/>
      <c r="FN5" s="34"/>
      <c r="FO5" s="34"/>
      <c r="FP5" s="34"/>
      <c r="FQ5" s="34"/>
      <c r="FR5" s="34"/>
    </row>
    <row r="6" ht="15.75" customHeight="1">
      <c r="A6" s="13"/>
      <c r="B6" s="13"/>
      <c r="C6" s="58" t="s">
        <v>21</v>
      </c>
      <c r="D6" s="59">
        <v>-100.0</v>
      </c>
      <c r="E6" s="60" t="s">
        <v>23</v>
      </c>
      <c r="F6" s="60" t="s">
        <v>65</v>
      </c>
      <c r="G6" s="59">
        <v>10.0</v>
      </c>
      <c r="H6" s="60" t="s">
        <v>39</v>
      </c>
      <c r="I6" s="59">
        <v>0.0</v>
      </c>
      <c r="J6" s="59">
        <v>0.0</v>
      </c>
      <c r="K6" s="59">
        <v>0.0</v>
      </c>
      <c r="L6" s="59">
        <v>0.0</v>
      </c>
      <c r="M6" s="59">
        <v>0.0</v>
      </c>
      <c r="N6" s="59">
        <v>12000.0</v>
      </c>
      <c r="O6" s="60" t="s">
        <v>66</v>
      </c>
      <c r="P6" s="59">
        <v>120.0</v>
      </c>
      <c r="Q6" s="59">
        <v>1000.0</v>
      </c>
      <c r="R6" s="61"/>
      <c r="S6" s="60" t="s">
        <v>40</v>
      </c>
      <c r="T6" s="62" t="s">
        <v>47</v>
      </c>
      <c r="U6" s="62" t="s">
        <v>41</v>
      </c>
      <c r="V6" s="62" t="s">
        <v>49</v>
      </c>
      <c r="W6" s="62" t="s">
        <v>37</v>
      </c>
      <c r="X6" s="63">
        <v>1.0</v>
      </c>
      <c r="Y6" s="63">
        <v>1.0</v>
      </c>
      <c r="Z6" s="64"/>
      <c r="AA6" s="64"/>
      <c r="AB6" s="63">
        <v>0.0</v>
      </c>
      <c r="AC6" s="63">
        <v>-100.0</v>
      </c>
      <c r="AD6" s="63">
        <v>0.0</v>
      </c>
      <c r="AE6" s="63">
        <v>0.0</v>
      </c>
      <c r="AF6" s="63">
        <v>-100.0</v>
      </c>
      <c r="AG6" s="63">
        <v>0.0</v>
      </c>
      <c r="AH6" s="63">
        <v>0.0</v>
      </c>
      <c r="AI6" s="63">
        <v>0.0</v>
      </c>
      <c r="AJ6" s="63">
        <v>0.0</v>
      </c>
      <c r="AK6" s="63">
        <v>12000.0</v>
      </c>
      <c r="AL6" s="63">
        <v>1.0</v>
      </c>
      <c r="AM6" s="63">
        <v>1.0</v>
      </c>
      <c r="AN6" s="62" t="s">
        <v>22</v>
      </c>
      <c r="AO6" s="64"/>
      <c r="AP6" s="62" t="s">
        <v>39</v>
      </c>
      <c r="AQ6" s="62" t="s">
        <v>21</v>
      </c>
      <c r="AR6" s="63">
        <v>0.0</v>
      </c>
      <c r="AS6" s="63">
        <v>-1.0</v>
      </c>
      <c r="AT6" s="64"/>
      <c r="AU6" s="64"/>
      <c r="AV6" s="63">
        <v>1.0</v>
      </c>
      <c r="AW6" s="63">
        <v>1000.0</v>
      </c>
      <c r="AX6" s="63">
        <v>0.0</v>
      </c>
      <c r="AY6" s="63">
        <v>0.0</v>
      </c>
      <c r="AZ6" s="63">
        <v>0.0</v>
      </c>
      <c r="BA6" s="63">
        <v>1200.0</v>
      </c>
      <c r="BB6" s="65"/>
      <c r="BC6" s="63">
        <v>1.0</v>
      </c>
      <c r="BD6" s="63">
        <v>0.0</v>
      </c>
      <c r="BE6" s="62" t="s">
        <v>47</v>
      </c>
      <c r="BF6" s="62" t="s">
        <v>67</v>
      </c>
      <c r="BG6" s="62" t="s">
        <v>67</v>
      </c>
      <c r="BH6" s="62" t="s">
        <v>67</v>
      </c>
      <c r="BI6" s="62" t="s">
        <v>67</v>
      </c>
      <c r="BJ6" s="63">
        <v>0.0</v>
      </c>
      <c r="BK6" s="63">
        <v>0.0</v>
      </c>
      <c r="BL6" s="63">
        <v>0.0</v>
      </c>
      <c r="BM6" s="63">
        <v>0.0</v>
      </c>
      <c r="BN6" s="65"/>
      <c r="BO6" s="63">
        <v>0.0</v>
      </c>
      <c r="BP6" s="63">
        <v>0.0</v>
      </c>
      <c r="BQ6" s="64"/>
      <c r="BR6" s="64"/>
      <c r="BS6" s="63">
        <v>0.0</v>
      </c>
      <c r="BT6" s="63">
        <v>0.0</v>
      </c>
      <c r="BU6" s="62" t="s">
        <v>47</v>
      </c>
      <c r="BV6" s="64"/>
      <c r="BW6" s="63">
        <v>0.0</v>
      </c>
      <c r="BX6" s="63">
        <v>0.0</v>
      </c>
      <c r="BY6" s="63">
        <v>0.0</v>
      </c>
      <c r="BZ6" s="63">
        <v>0.0</v>
      </c>
      <c r="CA6" s="63">
        <v>0.0</v>
      </c>
      <c r="CB6" s="65"/>
      <c r="CC6" s="63">
        <v>0.0</v>
      </c>
      <c r="CD6" s="63">
        <v>12000.0</v>
      </c>
      <c r="CE6" s="63">
        <v>0.0</v>
      </c>
      <c r="CF6" s="63">
        <v>0.0</v>
      </c>
      <c r="CG6" s="63">
        <v>1000.0</v>
      </c>
      <c r="CH6" s="63">
        <v>100.0</v>
      </c>
      <c r="CI6" s="63">
        <v>0.0</v>
      </c>
      <c r="CJ6" s="63">
        <v>0.0</v>
      </c>
      <c r="CK6" s="66" t="b">
        <v>0</v>
      </c>
      <c r="CL6" s="64"/>
      <c r="CM6" s="64"/>
      <c r="CN6" s="65"/>
      <c r="CO6" s="65"/>
      <c r="CP6" s="62" t="s">
        <v>68</v>
      </c>
      <c r="CR6" s="65"/>
      <c r="CS6" s="63">
        <v>10.0</v>
      </c>
      <c r="CT6" s="64"/>
      <c r="CU6" s="64"/>
      <c r="CV6" s="64"/>
      <c r="CW6" s="64"/>
      <c r="CX6" s="64"/>
      <c r="CY6" s="62" t="s">
        <v>69</v>
      </c>
      <c r="CZ6" s="62" t="s">
        <v>70</v>
      </c>
      <c r="DA6" s="63">
        <v>0.0</v>
      </c>
      <c r="DB6" s="63">
        <v>0.0</v>
      </c>
      <c r="DC6" s="65"/>
      <c r="DD6" s="63">
        <v>-100.0</v>
      </c>
      <c r="DE6" s="63">
        <v>0.0</v>
      </c>
      <c r="DF6" s="63">
        <v>0.0</v>
      </c>
      <c r="DG6" s="63">
        <v>0.0</v>
      </c>
      <c r="DH6" s="63">
        <v>120.0</v>
      </c>
      <c r="DI6" s="63">
        <v>-100.0</v>
      </c>
      <c r="DJ6" s="62" t="s">
        <v>22</v>
      </c>
      <c r="DK6" s="63">
        <v>-12000.0</v>
      </c>
      <c r="DL6" s="63">
        <v>-12000.0</v>
      </c>
      <c r="DM6" s="63">
        <v>1.0</v>
      </c>
      <c r="DN6" s="63">
        <v>-120.0</v>
      </c>
      <c r="DO6" s="62" t="s">
        <v>71</v>
      </c>
      <c r="DP6" s="62" t="s">
        <v>39</v>
      </c>
      <c r="DQ6" s="62" t="s">
        <v>67</v>
      </c>
      <c r="DR6" s="62" t="s">
        <v>72</v>
      </c>
      <c r="DS6" s="62" t="s">
        <v>67</v>
      </c>
      <c r="DT6" s="62" t="s">
        <v>67</v>
      </c>
      <c r="DU6" s="62" t="s">
        <v>67</v>
      </c>
      <c r="DV6" s="62" t="s">
        <v>67</v>
      </c>
      <c r="DW6" s="62" t="s">
        <v>67</v>
      </c>
      <c r="DX6" s="62" t="s">
        <v>67</v>
      </c>
      <c r="DY6" s="62" t="s">
        <v>67</v>
      </c>
      <c r="DZ6" s="62" t="s">
        <v>66</v>
      </c>
      <c r="EA6" s="62" t="s">
        <v>73</v>
      </c>
      <c r="EB6" s="62" t="s">
        <v>67</v>
      </c>
      <c r="EC6" s="62" t="s">
        <v>67</v>
      </c>
      <c r="ED6" s="62" t="s">
        <v>37</v>
      </c>
      <c r="EE6" s="62" t="s">
        <v>73</v>
      </c>
      <c r="EF6" s="63">
        <v>0.0</v>
      </c>
      <c r="EG6" s="63">
        <v>0.0</v>
      </c>
      <c r="EH6" s="63">
        <v>0.0</v>
      </c>
      <c r="EI6" s="63">
        <v>0.0</v>
      </c>
      <c r="EJ6" s="63">
        <v>0.0</v>
      </c>
      <c r="EK6" s="63">
        <v>0.0</v>
      </c>
      <c r="EL6" s="62" t="s">
        <v>36</v>
      </c>
      <c r="EM6" s="63">
        <v>0.0</v>
      </c>
      <c r="EN6" s="63">
        <v>0.0</v>
      </c>
      <c r="EO6" s="65"/>
      <c r="EP6" s="65"/>
      <c r="EQ6" s="63">
        <v>0.0</v>
      </c>
      <c r="ER6" s="63">
        <v>0.0</v>
      </c>
      <c r="ES6" s="65"/>
      <c r="ET6" s="65"/>
      <c r="EU6" s="63">
        <v>0.0</v>
      </c>
      <c r="EV6" s="62" t="s">
        <v>36</v>
      </c>
      <c r="EW6" s="65"/>
      <c r="EX6" s="66" t="b">
        <v>0</v>
      </c>
      <c r="EY6" s="64"/>
      <c r="EZ6" s="64"/>
      <c r="FA6" s="64"/>
      <c r="FB6" s="64"/>
      <c r="FC6" s="64"/>
      <c r="FD6" s="65"/>
      <c r="FE6" s="64"/>
      <c r="FF6" s="65"/>
      <c r="FG6" s="65"/>
      <c r="FH6" s="67"/>
    </row>
    <row r="7" ht="15.75" customHeight="1">
      <c r="A7" s="8"/>
      <c r="B7" s="8"/>
      <c r="C7" s="62" t="s">
        <v>21</v>
      </c>
      <c r="D7" s="63">
        <v>-1000.0</v>
      </c>
      <c r="E7" s="62" t="s">
        <v>24</v>
      </c>
      <c r="F7" s="62" t="s">
        <v>74</v>
      </c>
      <c r="G7" s="63">
        <v>100.0</v>
      </c>
      <c r="H7" s="62" t="s">
        <v>39</v>
      </c>
      <c r="I7" s="63">
        <v>0.0</v>
      </c>
      <c r="J7" s="63">
        <v>0.0</v>
      </c>
      <c r="K7" s="63">
        <v>0.0</v>
      </c>
      <c r="L7" s="63">
        <v>0.0</v>
      </c>
      <c r="M7" s="63">
        <v>0.0</v>
      </c>
      <c r="N7" s="63">
        <v>120000.0</v>
      </c>
      <c r="O7" s="62" t="s">
        <v>66</v>
      </c>
      <c r="P7" s="63">
        <v>120.0</v>
      </c>
      <c r="Q7" s="63">
        <v>100000.0</v>
      </c>
      <c r="R7" s="64"/>
      <c r="S7" s="62" t="s">
        <v>40</v>
      </c>
      <c r="T7" s="62" t="s">
        <v>47</v>
      </c>
      <c r="U7" s="62" t="s">
        <v>41</v>
      </c>
      <c r="V7" s="62" t="s">
        <v>49</v>
      </c>
      <c r="W7" s="62" t="s">
        <v>37</v>
      </c>
      <c r="X7" s="63">
        <v>1.0</v>
      </c>
      <c r="Y7" s="63">
        <v>1.0</v>
      </c>
      <c r="Z7" s="64"/>
      <c r="AA7" s="64"/>
      <c r="AB7" s="63">
        <v>0.0</v>
      </c>
      <c r="AC7" s="63">
        <v>-100.0</v>
      </c>
      <c r="AD7" s="63">
        <v>0.0</v>
      </c>
      <c r="AE7" s="63">
        <v>0.0</v>
      </c>
      <c r="AF7" s="63">
        <v>-1000.0</v>
      </c>
      <c r="AG7" s="63">
        <v>0.0</v>
      </c>
      <c r="AH7" s="63">
        <v>0.0</v>
      </c>
      <c r="AI7" s="63">
        <v>0.0</v>
      </c>
      <c r="AJ7" s="63">
        <v>0.0</v>
      </c>
      <c r="AK7" s="63">
        <v>120000.0</v>
      </c>
      <c r="AL7" s="63">
        <v>1.0</v>
      </c>
      <c r="AM7" s="63">
        <v>1.0</v>
      </c>
      <c r="AN7" s="62" t="s">
        <v>22</v>
      </c>
      <c r="AO7" s="64"/>
      <c r="AP7" s="62" t="s">
        <v>39</v>
      </c>
      <c r="AQ7" s="62" t="s">
        <v>21</v>
      </c>
      <c r="AR7" s="63">
        <v>0.0</v>
      </c>
      <c r="AS7" s="63">
        <v>-1.0</v>
      </c>
      <c r="AT7" s="64"/>
      <c r="AU7" s="64"/>
      <c r="AV7" s="63">
        <v>1.0</v>
      </c>
      <c r="AW7" s="63">
        <v>100000.0</v>
      </c>
      <c r="AX7" s="63">
        <v>0.0</v>
      </c>
      <c r="AY7" s="63">
        <v>0.0</v>
      </c>
      <c r="AZ7" s="63">
        <v>0.0</v>
      </c>
      <c r="BA7" s="63">
        <v>120.0</v>
      </c>
      <c r="BB7" s="65"/>
      <c r="BC7" s="63">
        <v>1.0</v>
      </c>
      <c r="BD7" s="63">
        <v>0.0</v>
      </c>
      <c r="BE7" s="62" t="s">
        <v>47</v>
      </c>
      <c r="BF7" s="62" t="s">
        <v>67</v>
      </c>
      <c r="BG7" s="62" t="s">
        <v>67</v>
      </c>
      <c r="BH7" s="62" t="s">
        <v>67</v>
      </c>
      <c r="BI7" s="62" t="s">
        <v>67</v>
      </c>
      <c r="BJ7" s="63">
        <v>0.0</v>
      </c>
      <c r="BK7" s="63">
        <v>0.0</v>
      </c>
      <c r="BL7" s="63">
        <v>0.0</v>
      </c>
      <c r="BM7" s="63">
        <v>0.0</v>
      </c>
      <c r="BN7" s="65"/>
      <c r="BO7" s="63">
        <v>0.0</v>
      </c>
      <c r="BP7" s="63">
        <v>0.0</v>
      </c>
      <c r="BQ7" s="64"/>
      <c r="BR7" s="64"/>
      <c r="BS7" s="63">
        <v>0.0</v>
      </c>
      <c r="BT7" s="63">
        <v>0.0</v>
      </c>
      <c r="BU7" s="62" t="s">
        <v>47</v>
      </c>
      <c r="BV7" s="64"/>
      <c r="BW7" s="63">
        <v>0.0</v>
      </c>
      <c r="BX7" s="63">
        <v>0.0</v>
      </c>
      <c r="BY7" s="63">
        <v>0.0</v>
      </c>
      <c r="BZ7" s="63">
        <v>0.0</v>
      </c>
      <c r="CA7" s="63">
        <v>0.0</v>
      </c>
      <c r="CB7" s="65"/>
      <c r="CC7" s="63">
        <v>0.0</v>
      </c>
      <c r="CD7" s="63">
        <v>120000.0</v>
      </c>
      <c r="CE7" s="63">
        <v>0.0</v>
      </c>
      <c r="CF7" s="63">
        <v>0.0</v>
      </c>
      <c r="CG7" s="63">
        <v>100000.0</v>
      </c>
      <c r="CH7" s="63">
        <v>100.0</v>
      </c>
      <c r="CI7" s="63">
        <v>0.0</v>
      </c>
      <c r="CJ7" s="63">
        <v>0.0</v>
      </c>
      <c r="CK7" s="66" t="b">
        <v>0</v>
      </c>
      <c r="CL7" s="64"/>
      <c r="CM7" s="64"/>
      <c r="CN7" s="65"/>
      <c r="CO7" s="65"/>
      <c r="CP7" s="62" t="s">
        <v>68</v>
      </c>
      <c r="CR7" s="65"/>
      <c r="CS7" s="63">
        <v>100.0</v>
      </c>
      <c r="CT7" s="64"/>
      <c r="CU7" s="64"/>
      <c r="CV7" s="64"/>
      <c r="CW7" s="64"/>
      <c r="CX7" s="64"/>
      <c r="CY7" s="62" t="s">
        <v>69</v>
      </c>
      <c r="CZ7" s="62" t="s">
        <v>70</v>
      </c>
      <c r="DA7" s="63">
        <v>0.0</v>
      </c>
      <c r="DB7" s="63">
        <v>0.0</v>
      </c>
      <c r="DC7" s="65"/>
      <c r="DD7" s="63">
        <v>-1000.0</v>
      </c>
      <c r="DE7" s="63">
        <v>0.0</v>
      </c>
      <c r="DF7" s="63">
        <v>0.0</v>
      </c>
      <c r="DG7" s="63">
        <v>0.0</v>
      </c>
      <c r="DH7" s="63">
        <v>120.0</v>
      </c>
      <c r="DI7" s="63">
        <v>-100.0</v>
      </c>
      <c r="DJ7" s="62" t="s">
        <v>59</v>
      </c>
      <c r="DK7" s="63">
        <v>-120000.0</v>
      </c>
      <c r="DL7" s="63">
        <v>-120000.0</v>
      </c>
      <c r="DM7" s="63">
        <v>1.0</v>
      </c>
      <c r="DN7" s="63">
        <v>-120.0</v>
      </c>
      <c r="DO7" s="62" t="s">
        <v>71</v>
      </c>
      <c r="DP7" s="62" t="s">
        <v>39</v>
      </c>
      <c r="DQ7" s="62" t="s">
        <v>67</v>
      </c>
      <c r="DR7" s="62" t="s">
        <v>72</v>
      </c>
      <c r="DS7" s="62" t="s">
        <v>67</v>
      </c>
      <c r="DT7" s="62" t="s">
        <v>67</v>
      </c>
      <c r="DU7" s="62" t="s">
        <v>67</v>
      </c>
      <c r="DV7" s="62" t="s">
        <v>67</v>
      </c>
      <c r="DW7" s="62" t="s">
        <v>67</v>
      </c>
      <c r="DX7" s="62" t="s">
        <v>67</v>
      </c>
      <c r="DY7" s="62" t="s">
        <v>67</v>
      </c>
      <c r="DZ7" s="62" t="s">
        <v>66</v>
      </c>
      <c r="EA7" s="62" t="s">
        <v>73</v>
      </c>
      <c r="EB7" s="62" t="s">
        <v>67</v>
      </c>
      <c r="EC7" s="62" t="s">
        <v>67</v>
      </c>
      <c r="ED7" s="62" t="s">
        <v>37</v>
      </c>
      <c r="EE7" s="62" t="s">
        <v>73</v>
      </c>
      <c r="EF7" s="63">
        <v>0.0</v>
      </c>
      <c r="EG7" s="63">
        <v>0.0</v>
      </c>
      <c r="EH7" s="63">
        <v>0.0</v>
      </c>
      <c r="EI7" s="63">
        <v>0.0</v>
      </c>
      <c r="EJ7" s="63">
        <v>0.0</v>
      </c>
      <c r="EK7" s="63">
        <v>0.0</v>
      </c>
      <c r="EL7" s="62" t="s">
        <v>36</v>
      </c>
      <c r="EM7" s="63">
        <v>0.0</v>
      </c>
      <c r="EN7" s="63">
        <v>0.0</v>
      </c>
      <c r="EO7" s="65"/>
      <c r="EP7" s="65"/>
      <c r="EQ7" s="63">
        <v>0.0</v>
      </c>
      <c r="ER7" s="63">
        <v>0.0</v>
      </c>
      <c r="ES7" s="65"/>
      <c r="ET7" s="65"/>
      <c r="EU7" s="63">
        <v>0.0</v>
      </c>
      <c r="EV7" s="62" t="s">
        <v>36</v>
      </c>
      <c r="EW7" s="65"/>
      <c r="EX7" s="66" t="b">
        <v>0</v>
      </c>
      <c r="EY7" s="64"/>
      <c r="EZ7" s="64"/>
      <c r="FA7" s="64"/>
      <c r="FB7" s="64"/>
      <c r="FC7" s="64"/>
      <c r="FD7" s="65"/>
      <c r="FE7" s="64"/>
      <c r="FF7" s="65"/>
      <c r="FG7" s="65"/>
      <c r="FH7" s="65"/>
    </row>
    <row r="8" ht="15.75" customHeight="1">
      <c r="A8" s="8"/>
      <c r="B8" s="8"/>
      <c r="C8" s="62" t="s">
        <v>21</v>
      </c>
      <c r="D8" s="63">
        <v>-100.0</v>
      </c>
      <c r="E8" s="62" t="s">
        <v>24</v>
      </c>
      <c r="F8" s="62" t="s">
        <v>74</v>
      </c>
      <c r="G8" s="63">
        <v>10.0</v>
      </c>
      <c r="H8" s="62" t="s">
        <v>39</v>
      </c>
      <c r="I8" s="63">
        <v>0.0</v>
      </c>
      <c r="J8" s="63">
        <v>0.0</v>
      </c>
      <c r="K8" s="63">
        <v>0.0</v>
      </c>
      <c r="L8" s="63">
        <v>0.0</v>
      </c>
      <c r="M8" s="63">
        <v>0.0</v>
      </c>
      <c r="N8" s="63">
        <v>1000.0</v>
      </c>
      <c r="O8" s="62" t="s">
        <v>66</v>
      </c>
      <c r="P8" s="63">
        <v>120.0</v>
      </c>
      <c r="Q8" s="63">
        <v>1000.0</v>
      </c>
      <c r="R8" s="64"/>
      <c r="S8" s="62" t="s">
        <v>40</v>
      </c>
      <c r="T8" s="62" t="s">
        <v>47</v>
      </c>
      <c r="U8" s="62" t="s">
        <v>41</v>
      </c>
      <c r="V8" s="62" t="s">
        <v>49</v>
      </c>
      <c r="W8" s="62" t="s">
        <v>37</v>
      </c>
      <c r="X8" s="63">
        <v>1.0</v>
      </c>
      <c r="Y8" s="63">
        <v>1.0</v>
      </c>
      <c r="Z8" s="64"/>
      <c r="AA8" s="64"/>
      <c r="AB8" s="63">
        <v>0.0</v>
      </c>
      <c r="AC8" s="63">
        <v>-100.0</v>
      </c>
      <c r="AD8" s="63">
        <v>0.0</v>
      </c>
      <c r="AE8" s="63">
        <v>0.0</v>
      </c>
      <c r="AF8" s="63">
        <v>-100.0</v>
      </c>
      <c r="AG8" s="63">
        <v>0.0</v>
      </c>
      <c r="AH8" s="63">
        <v>0.0</v>
      </c>
      <c r="AI8" s="63">
        <v>0.0</v>
      </c>
      <c r="AJ8" s="63">
        <v>0.0</v>
      </c>
      <c r="AK8" s="63">
        <v>1000.0</v>
      </c>
      <c r="AL8" s="63">
        <v>1.0</v>
      </c>
      <c r="AM8" s="63">
        <v>1.0</v>
      </c>
      <c r="AN8" s="62" t="s">
        <v>22</v>
      </c>
      <c r="AO8" s="64"/>
      <c r="AP8" s="62" t="s">
        <v>39</v>
      </c>
      <c r="AQ8" s="62" t="s">
        <v>21</v>
      </c>
      <c r="AR8" s="63">
        <v>0.0</v>
      </c>
      <c r="AS8" s="63">
        <v>-1.0</v>
      </c>
      <c r="AT8" s="64"/>
      <c r="AU8" s="64"/>
      <c r="AV8" s="63">
        <v>1.0</v>
      </c>
      <c r="AW8" s="63">
        <v>1000.0</v>
      </c>
      <c r="AX8" s="63">
        <v>0.0</v>
      </c>
      <c r="AY8" s="63">
        <v>0.0</v>
      </c>
      <c r="AZ8" s="63">
        <v>0.0</v>
      </c>
      <c r="BA8" s="63">
        <v>100.0</v>
      </c>
      <c r="BB8" s="65"/>
      <c r="BC8" s="63">
        <v>1.0</v>
      </c>
      <c r="BD8" s="63">
        <v>1000.0</v>
      </c>
      <c r="BE8" s="62" t="s">
        <v>47</v>
      </c>
      <c r="BF8" s="62" t="s">
        <v>67</v>
      </c>
      <c r="BG8" s="62" t="s">
        <v>67</v>
      </c>
      <c r="BH8" s="62" t="s">
        <v>67</v>
      </c>
      <c r="BI8" s="62" t="s">
        <v>67</v>
      </c>
      <c r="BJ8" s="63">
        <v>0.0</v>
      </c>
      <c r="BK8" s="63">
        <v>0.0</v>
      </c>
      <c r="BL8" s="63">
        <v>0.0</v>
      </c>
      <c r="BM8" s="63">
        <v>0.0</v>
      </c>
      <c r="BN8" s="65"/>
      <c r="BO8" s="63">
        <v>1000.0</v>
      </c>
      <c r="BP8" s="63">
        <v>0.0</v>
      </c>
      <c r="BQ8" s="64"/>
      <c r="BR8" s="64"/>
      <c r="BS8" s="63">
        <v>0.0</v>
      </c>
      <c r="BT8" s="63">
        <v>0.0</v>
      </c>
      <c r="BU8" s="62" t="s">
        <v>47</v>
      </c>
      <c r="BV8" s="64"/>
      <c r="BW8" s="63">
        <v>0.0</v>
      </c>
      <c r="BX8" s="63">
        <v>0.0</v>
      </c>
      <c r="BY8" s="63">
        <v>0.0</v>
      </c>
      <c r="BZ8" s="63">
        <v>0.0</v>
      </c>
      <c r="CA8" s="63">
        <v>0.0</v>
      </c>
      <c r="CB8" s="65"/>
      <c r="CC8" s="63">
        <v>0.0</v>
      </c>
      <c r="CD8" s="63">
        <v>1000.0</v>
      </c>
      <c r="CE8" s="63">
        <v>0.0</v>
      </c>
      <c r="CF8" s="63">
        <v>0.0</v>
      </c>
      <c r="CG8" s="63">
        <v>1000.0</v>
      </c>
      <c r="CH8" s="63">
        <v>100.0</v>
      </c>
      <c r="CI8" s="63">
        <v>0.0</v>
      </c>
      <c r="CJ8" s="63">
        <v>0.0</v>
      </c>
      <c r="CK8" s="66" t="b">
        <v>0</v>
      </c>
      <c r="CL8" s="64"/>
      <c r="CM8" s="64"/>
      <c r="CN8" s="65"/>
      <c r="CO8" s="65"/>
      <c r="CP8" s="62" t="s">
        <v>68</v>
      </c>
      <c r="CR8" s="65"/>
      <c r="CS8" s="63">
        <v>10.0</v>
      </c>
      <c r="CT8" s="64"/>
      <c r="CU8" s="64"/>
      <c r="CV8" s="64"/>
      <c r="CW8" s="64"/>
      <c r="CX8" s="64"/>
      <c r="CY8" s="62" t="s">
        <v>69</v>
      </c>
      <c r="CZ8" s="62" t="s">
        <v>70</v>
      </c>
      <c r="DA8" s="63">
        <v>0.0</v>
      </c>
      <c r="DB8" s="63">
        <v>0.0</v>
      </c>
      <c r="DC8" s="65"/>
      <c r="DD8" s="63">
        <v>-100.0</v>
      </c>
      <c r="DE8" s="63">
        <v>0.0</v>
      </c>
      <c r="DF8" s="63">
        <v>0.0</v>
      </c>
      <c r="DG8" s="63">
        <v>0.0</v>
      </c>
      <c r="DH8" s="63">
        <v>120.0</v>
      </c>
      <c r="DI8" s="63">
        <v>-100.0</v>
      </c>
      <c r="DJ8" s="62" t="s">
        <v>22</v>
      </c>
      <c r="DK8" s="63">
        <v>0.0</v>
      </c>
      <c r="DL8" s="63">
        <v>0.0</v>
      </c>
      <c r="DM8" s="63">
        <v>1.0</v>
      </c>
      <c r="DN8" s="63">
        <v>-120.0</v>
      </c>
      <c r="DO8" s="62" t="s">
        <v>71</v>
      </c>
      <c r="DP8" s="62" t="s">
        <v>39</v>
      </c>
      <c r="DQ8" s="62" t="s">
        <v>67</v>
      </c>
      <c r="DR8" s="62" t="s">
        <v>72</v>
      </c>
      <c r="DS8" s="62" t="s">
        <v>67</v>
      </c>
      <c r="DT8" s="62" t="s">
        <v>67</v>
      </c>
      <c r="DU8" s="62" t="s">
        <v>67</v>
      </c>
      <c r="DV8" s="62" t="s">
        <v>67</v>
      </c>
      <c r="DW8" s="62" t="s">
        <v>67</v>
      </c>
      <c r="DX8" s="62" t="s">
        <v>67</v>
      </c>
      <c r="DY8" s="62" t="s">
        <v>67</v>
      </c>
      <c r="DZ8" s="62" t="s">
        <v>66</v>
      </c>
      <c r="EA8" s="62" t="s">
        <v>73</v>
      </c>
      <c r="EB8" s="62" t="s">
        <v>67</v>
      </c>
      <c r="EC8" s="62" t="s">
        <v>67</v>
      </c>
      <c r="ED8" s="62" t="s">
        <v>37</v>
      </c>
      <c r="EE8" s="62" t="s">
        <v>73</v>
      </c>
      <c r="EF8" s="63">
        <v>0.0</v>
      </c>
      <c r="EG8" s="63">
        <v>0.0</v>
      </c>
      <c r="EH8" s="63">
        <v>0.0</v>
      </c>
      <c r="EI8" s="63">
        <v>0.0</v>
      </c>
      <c r="EJ8" s="63">
        <v>0.0</v>
      </c>
      <c r="EK8" s="63">
        <v>0.0</v>
      </c>
      <c r="EL8" s="62" t="s">
        <v>36</v>
      </c>
      <c r="EM8" s="63">
        <v>0.0</v>
      </c>
      <c r="EN8" s="63">
        <v>0.0</v>
      </c>
      <c r="EO8" s="65"/>
      <c r="EP8" s="65"/>
      <c r="EQ8" s="63">
        <v>0.0</v>
      </c>
      <c r="ER8" s="63">
        <v>0.0</v>
      </c>
      <c r="ES8" s="65"/>
      <c r="ET8" s="65"/>
      <c r="EU8" s="63">
        <v>0.0</v>
      </c>
      <c r="EV8" s="62" t="s">
        <v>36</v>
      </c>
      <c r="EW8" s="65"/>
      <c r="EX8" s="66" t="b">
        <v>0</v>
      </c>
      <c r="EY8" s="64"/>
      <c r="EZ8" s="64"/>
      <c r="FA8" s="64"/>
      <c r="FB8" s="64"/>
      <c r="FC8" s="64"/>
      <c r="FD8" s="65"/>
      <c r="FE8" s="64"/>
      <c r="FF8" s="65"/>
      <c r="FG8" s="65"/>
      <c r="FH8" s="6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B1:H1"/>
    <mergeCell ref="CP6:CQ6"/>
    <mergeCell ref="CP7:CQ7"/>
    <mergeCell ref="CP8:CQ8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