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VerifyOrder" sheetId="11" r:id="rId13"/>
    <sheet state="visible" name="TradePTT" sheetId="12" r:id="rId14"/>
    <sheet state="visible" name="CreateDoneAwayOrder1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<sst xmlns="http://schemas.openxmlformats.org/spreadsheetml/2006/main" count="168" uniqueCount="47">
  <si>
    <t>Master Data Info</t>
  </si>
  <si>
    <t>Modules Info</t>
  </si>
  <si>
    <t>Settings</t>
  </si>
  <si>
    <t>Module Step Setting File</t>
  </si>
  <si>
    <t>1EIOAnn5_ydURa9w8aagTvOqRzTyrnNiyPEGPgiL87Y4</t>
  </si>
  <si>
    <t>Master Data Settings File</t>
  </si>
  <si>
    <t>1Nt_rf5DtgjbN9Ag4AMMlUkZYROxKZLH5m54YOl7tRT0</t>
  </si>
  <si>
    <t>Module</t>
  </si>
  <si>
    <t>Step</t>
  </si>
  <si>
    <t>Master Data Sheet</t>
  </si>
  <si>
    <t>Modules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</si>
  <si>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</si>
  <si>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</si>
  <si>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</si>
  <si>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</si>
  <si>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</si>
  <si>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</si>
  <si>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</si>
  <si>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</si>
  <si>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</si>
  <si>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PricingInput</t>
  </si>
  <si>
    <t>TradingTicket</t>
  </si>
  <si>
    <t>CreateDoneAwayOrder</t>
  </si>
  <si>
    <t>AAPL</t>
  </si>
  <si>
    <t>MSFT</t>
  </si>
  <si>
    <t>Buy</t>
  </si>
  <si>
    <t>PTT</t>
  </si>
  <si>
    <t>CalculatePTT</t>
  </si>
  <si>
    <t>VerifyPTT</t>
  </si>
  <si>
    <t>Increase</t>
  </si>
  <si>
    <t>Basis Point</t>
  </si>
  <si>
    <t>No</t>
  </si>
  <si>
    <t>Account</t>
  </si>
  <si>
    <t>Allocation1,Allocation2</t>
  </si>
  <si>
    <t>CreateOrderPTT</t>
  </si>
  <si>
    <t>Blotter</t>
  </si>
  <si>
    <t>VerifyOrder</t>
  </si>
  <si>
    <t>New</t>
  </si>
  <si>
    <t>Multiple</t>
  </si>
  <si>
    <t>Market</t>
  </si>
  <si>
    <t>TradePTT</t>
  </si>
  <si>
    <t>Allocation</t>
  </si>
  <si>
    <t>GetDataAllocation</t>
  </si>
  <si>
    <t>CheckAllocatedGroups</t>
  </si>
  <si>
    <t>Current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</si>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</sst>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9" numFmtId="0" xfId="0" applyFont="1"/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4" xfId="0" applyAlignment="1" applyFont="1" applyNumberFormat="1">
      <alignment readingOrder="0" shrinkToFit="0" wrapText="0"/>
    </xf>
    <xf borderId="0" fillId="0" fontId="3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3" numFmtId="14" xfId="0" applyFill="1" applyFont="1" applyNumberFormat="1"/>
    <xf borderId="0" fillId="0" fontId="2" numFmtId="0" xfId="0" applyAlignment="1" applyFont="1">
      <alignment readingOrder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3" t="s">
        <v>1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10</v>
      </c>
      <c r="B3" s="15"/>
      <c r="C3" s="16"/>
      <c r="D3" s="16"/>
      <c r="E3" s="16"/>
      <c r="F3" s="16"/>
    </row>
    <row r="4" ht="15.75" customHeight="1">
      <c r="A4" s="4" t="str">
        <f>IFERROR(__xludf.DUMMYFUNCTION("IMPORTRANGE('_Settings'!B3,""Modules!A4:L1000"")"),"Allocation")</f>
        <v>Allocation</v>
      </c>
      <c r="B4" s="10" t="str">
        <f>IFERROR(__xludf.DUMMYFUNCTION("""COMPUTED_VALUE"""),"Allocate")</f>
        <v>Allocate</v>
      </c>
      <c r="C4" s="10" t="str">
        <f>IFERROR(__xludf.DUMMYFUNCTION("""COMPUTED_VALUE"""),"1g8wLprruaWRC_5pQcovqkv8ZCiMt5fspCOACibdkz7g")</f>
        <v>1g8wLprruaWRC_5pQcovqkv8ZCiMt5fspCOACibdkz7g</v>
      </c>
      <c r="D4" s="10" t="str">
        <f>IFERROR(__xludf.DUMMYFUNCTION("""COMPUTED_VALUE"""),"")</f>
        <v/>
      </c>
      <c r="E4" s="10" t="str">
        <f>IFERROR(__xludf.DUMMYFUNCTION("""COMPUTED_VALUE"""),"")</f>
        <v/>
      </c>
      <c r="F4" s="10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0" t="str">
        <f>IFERROR(__xludf.DUMMYFUNCTION("""COMPUTED_VALUE"""),"CheckAllocatedGroups")</f>
        <v>CheckAllocatedGroups</v>
      </c>
      <c r="C5" s="10" t="str">
        <f>IFERROR(__xludf.DUMMYFUNCTION("""COMPUTED_VALUE"""),"1aecq-HMDoDkIInONjPC11z5TBFHyJhv4ro66e2ZOphg")</f>
        <v>1aecq-HMDoDkIInONjPC11z5TBFHyJhv4ro66e2ZOphg</v>
      </c>
      <c r="D5" s="10" t="str">
        <f>IFERROR(__xludf.DUMMYFUNCTION("""COMPUTED_VALUE"""),"")</f>
        <v/>
      </c>
      <c r="E5" s="10" t="str">
        <f>IFERROR(__xludf.DUMMYFUNCTION("""COMPUTED_VALUE"""),"")</f>
        <v/>
      </c>
      <c r="F5" s="10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0" t="str">
        <f>IFERROR(__xludf.DUMMYFUNCTION("""COMPUTED_VALUE"""),"Allocation")</f>
        <v>Allocation</v>
      </c>
      <c r="B6" s="10" t="str">
        <f>IFERROR(__xludf.DUMMYFUNCTION("""COMPUTED_VALUE"""),"Unallocate")</f>
        <v>Unallocate</v>
      </c>
      <c r="C6" s="10" t="str">
        <f>IFERROR(__xludf.DUMMYFUNCTION("""COMPUTED_VALUE"""),"1eDZq-_vllq4jwvwpk9qGnwQUhlb-sFvyFKPBriT2dA0")</f>
        <v>1eDZq-_vllq4jwvwpk9qGnwQUhlb-sFvyFKPBriT2dA0</v>
      </c>
      <c r="D6" s="10" t="str">
        <f>IFERROR(__xludf.DUMMYFUNCTION("""COMPUTED_VALUE"""),"")</f>
        <v/>
      </c>
      <c r="E6" s="10" t="str">
        <f>IFERROR(__xludf.DUMMYFUNCTION("""COMPUTED_VALUE"""),"")</f>
        <v/>
      </c>
      <c r="F6" s="10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0" t="str">
        <f>IFERROR(__xludf.DUMMYFUNCTION("""COMPUTED_VALUE"""),"Allocation")</f>
        <v>Allocation</v>
      </c>
      <c r="B7" s="10" t="str">
        <f>IFERROR(__xludf.DUMMYFUNCTION("""COMPUTED_VALUE"""),"GetDataAllocation")</f>
        <v>GetDataAllocation</v>
      </c>
      <c r="C7" s="10" t="str">
        <f>IFERROR(__xludf.DUMMYFUNCTION("""COMPUTED_VALUE"""),"1FBTO3wCB7odq-jpQMbYHgSrAL5-rFO2_kp9Kr2iXqXE")</f>
        <v>1FBTO3wCB7odq-jpQMbYHgSrAL5-rFO2_kp9Kr2iXqXE</v>
      </c>
      <c r="D7" s="10" t="str">
        <f>IFERROR(__xludf.DUMMYFUNCTION("""COMPUTED_VALUE"""),"")</f>
        <v/>
      </c>
      <c r="E7" s="10" t="str">
        <f>IFERROR(__xludf.DUMMYFUNCTION("""COMPUTED_VALUE"""),"")</f>
        <v/>
      </c>
      <c r="F7" s="10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0" t="str">
        <f>IFERROR(__xludf.DUMMYFUNCTION("""COMPUTED_VALUE"""),"Allocation")</f>
        <v>Allocation</v>
      </c>
      <c r="B8" s="10" t="str">
        <f>IFERROR(__xludf.DUMMYFUNCTION("""COMPUTED_VALUE"""),"SelectAllocatedGroup")</f>
        <v>SelectAllocatedGroup</v>
      </c>
      <c r="C8" s="10" t="str">
        <f>IFERROR(__xludf.DUMMYFUNCTION("""COMPUTED_VALUE"""),"1G0ZkXDrIDX_loGmAyLs_Shy8hExtTELtFXERbX-HdPo")</f>
        <v>1G0ZkXDrIDX_loGmAyLs_Shy8hExtTELtFXERbX-HdPo</v>
      </c>
      <c r="D8" s="10" t="str">
        <f>IFERROR(__xludf.DUMMYFUNCTION("""COMPUTED_VALUE"""),"")</f>
        <v/>
      </c>
      <c r="E8" s="10" t="str">
        <f>IFERROR(__xludf.DUMMYFUNCTION("""COMPUTED_VALUE"""),"")</f>
        <v/>
      </c>
      <c r="F8" s="10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0" t="str">
        <f>IFERROR(__xludf.DUMMYFUNCTION("""COMPUTED_VALUE"""),"Allocation")</f>
        <v>Allocation</v>
      </c>
      <c r="B9" s="10" t="str">
        <f>IFERROR(__xludf.DUMMYFUNCTION("""COMPUTED_VALUE"""),"EditTradesAllocated")</f>
        <v>EditTradesAllocated</v>
      </c>
      <c r="C9" s="10" t="str">
        <f>IFERROR(__xludf.DUMMYFUNCTION("""COMPUTED_VALUE"""),"1YgVZ1jEVgjUF1Dp8FAj_W_zLEZCyqvNMlWJIg0Tmkq4")</f>
        <v>1YgVZ1jEVgjUF1Dp8FAj_W_zLEZCyqvNMlWJIg0Tmkq4</v>
      </c>
      <c r="D9" s="10" t="str">
        <f>IFERROR(__xludf.DUMMYFUNCTION("""COMPUTED_VALUE"""),"")</f>
        <v/>
      </c>
      <c r="E9" s="10" t="str">
        <f>IFERROR(__xludf.DUMMYFUNCTION("""COMPUTED_VALUE"""),"")</f>
        <v/>
      </c>
      <c r="F9" s="10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0" t="str">
        <f>IFERROR(__xludf.DUMMYFUNCTION("""COMPUTED_VALUE"""),"Allocation")</f>
        <v>Allocation</v>
      </c>
      <c r="B10" s="10" t="str">
        <f>IFERROR(__xludf.DUMMYFUNCTION("""COMPUTED_VALUE"""),"EditTradesUnallocated")</f>
        <v>EditTradesUnallocated</v>
      </c>
      <c r="C10" s="10" t="str">
        <f>IFERROR(__xludf.DUMMYFUNCTION("""COMPUTED_VALUE"""),"1MyB61T39MDAUyQqCUJLATzUT2f5UlE8nFq4ltWy_DJ4")</f>
        <v>1MyB61T39MDAUyQqCUJLATzUT2f5UlE8nFq4ltWy_DJ4</v>
      </c>
      <c r="D10" s="10" t="str">
        <f>IFERROR(__xludf.DUMMYFUNCTION("""COMPUTED_VALUE"""),"")</f>
        <v/>
      </c>
      <c r="E10" s="10" t="str">
        <f>IFERROR(__xludf.DUMMYFUNCTION("""COMPUTED_VALUE"""),"")</f>
        <v/>
      </c>
      <c r="F10" s="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0" t="str">
        <f>IFERROR(__xludf.DUMMYFUNCTION("""COMPUTED_VALUE"""),"Allocation")</f>
        <v>Allocation</v>
      </c>
      <c r="B11" s="10" t="str">
        <f>IFERROR(__xludf.DUMMYFUNCTION("""COMPUTED_VALUE"""),"Reallocate")</f>
        <v>Reallocate</v>
      </c>
      <c r="C11" s="10" t="str">
        <f>IFERROR(__xludf.DUMMYFUNCTION("""COMPUTED_VALUE"""),"undefined")</f>
        <v>undefined</v>
      </c>
      <c r="D11" s="10" t="str">
        <f>IFERROR(__xludf.DUMMYFUNCTION("""COMPUTED_VALUE"""),"")</f>
        <v/>
      </c>
      <c r="E11" s="10" t="str">
        <f>IFERROR(__xludf.DUMMYFUNCTION("""COMPUTED_VALUE"""),"")</f>
        <v/>
      </c>
      <c r="F11" s="10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0" t="str">
        <f>IFERROR(__xludf.DUMMYFUNCTION("""COMPUTED_VALUE"""),"Blotter")</f>
        <v>Blotter</v>
      </c>
      <c r="B12" s="10" t="str">
        <f>IFERROR(__xludf.DUMMYFUNCTION("""COMPUTED_VALUE"""),"ReplaceFillsOnBlotter")</f>
        <v>ReplaceFillsOnBlotter</v>
      </c>
      <c r="C12" s="10" t="str">
        <f>IFERROR(__xludf.DUMMYFUNCTION("""COMPUTED_VALUE"""),"undefined")</f>
        <v>undefined</v>
      </c>
      <c r="D12" s="10" t="str">
        <f>IFERROR(__xludf.DUMMYFUNCTION("""COMPUTED_VALUE"""),"")</f>
        <v/>
      </c>
      <c r="E12" s="10" t="str">
        <f>IFERROR(__xludf.DUMMYFUNCTION("""COMPUTED_VALUE"""),"")</f>
        <v/>
      </c>
      <c r="F12" s="10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0" t="str">
        <f>IFERROR(__xludf.DUMMYFUNCTION("""COMPUTED_VALUE"""),"Blotter")</f>
        <v>Blotter</v>
      </c>
      <c r="B13" s="10" t="str">
        <f>IFERROR(__xludf.DUMMYFUNCTION("""COMPUTED_VALUE"""),"CheckBlotter")</f>
        <v>CheckBlotter</v>
      </c>
      <c r="C13" s="10" t="str">
        <f>IFERROR(__xludf.DUMMYFUNCTION("""COMPUTED_VALUE"""),"16qheLbvgC92hKxalWDlpWfHBMyDDVqHERUCc7bQiO2A")</f>
        <v>16qheLbvgC92hKxalWDlpWfHBMyDDVqHERUCc7bQiO2A</v>
      </c>
      <c r="D13" s="10" t="str">
        <f>IFERROR(__xludf.DUMMYFUNCTION("""COMPUTED_VALUE"""),"")</f>
        <v/>
      </c>
      <c r="E13" s="10" t="str">
        <f>IFERROR(__xludf.DUMMYFUNCTION("""COMPUTED_VALUE"""),"")</f>
        <v/>
      </c>
      <c r="F13" s="10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0" t="str">
        <f>IFERROR(__xludf.DUMMYFUNCTION("""COMPUTED_VALUE"""),"GeneralLedger")</f>
        <v>GeneralLedger</v>
      </c>
      <c r="B14" s="10" t="str">
        <f>IFERROR(__xludf.DUMMYFUNCTION("""COMPUTED_VALUE"""),"GetDataCash")</f>
        <v>GetDataCash</v>
      </c>
      <c r="C14" s="10" t="str">
        <f>IFERROR(__xludf.DUMMYFUNCTION("""COMPUTED_VALUE"""),"1zLd3ju-mV8f6PZiQUYLU-cAgAUwLwyoIAKuu0WgG2zI")</f>
        <v>1zLd3ju-mV8f6PZiQUYLU-cAgAUwLwyoIAKuu0WgG2zI</v>
      </c>
      <c r="D14" s="10" t="str">
        <f>IFERROR(__xludf.DUMMYFUNCTION("""COMPUTED_VALUE"""),"")</f>
        <v/>
      </c>
      <c r="E14" s="10" t="str">
        <f>IFERROR(__xludf.DUMMYFUNCTION("""COMPUTED_VALUE"""),"")</f>
        <v/>
      </c>
      <c r="F14" s="10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0" t="str">
        <f>IFERROR(__xludf.DUMMYFUNCTION("""COMPUTED_VALUE"""),"GeneralLedger")</f>
        <v>GeneralLedger</v>
      </c>
      <c r="B15" s="10" t="str">
        <f>IFERROR(__xludf.DUMMYFUNCTION("""COMPUTED_VALUE"""),"EnterCashDividends")</f>
        <v>EnterCashDividends</v>
      </c>
      <c r="C15" s="10" t="str">
        <f>IFERROR(__xludf.DUMMYFUNCTION("""COMPUTED_VALUE"""),"1sjDsI5FIL_l_G6osMJQ7e8auBgYd3R3JDaKWKV_8Og0")</f>
        <v>1sjDsI5FIL_l_G6osMJQ7e8auBgYd3R3JDaKWKV_8Og0</v>
      </c>
      <c r="D15" s="10" t="str">
        <f>IFERROR(__xludf.DUMMYFUNCTION("""COMPUTED_VALUE"""),"")</f>
        <v/>
      </c>
      <c r="E15" s="10" t="str">
        <f>IFERROR(__xludf.DUMMYFUNCTION("""COMPUTED_VALUE"""),"")</f>
        <v/>
      </c>
      <c r="F15" s="10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0" t="str">
        <f>IFERROR(__xludf.DUMMYFUNCTION("""COMPUTED_VALUE"""),"GeneralLedger")</f>
        <v>GeneralLedger</v>
      </c>
      <c r="B16" s="10" t="str">
        <f>IFERROR(__xludf.DUMMYFUNCTION("""COMPUTED_VALUE"""),"EnterNonTradingTransaction")</f>
        <v>EnterNonTradingTransaction</v>
      </c>
      <c r="C16" s="10" t="str">
        <f>IFERROR(__xludf.DUMMYFUNCTION("""COMPUTED_VALUE"""),"1xn1P_Z-3N4d2BC1SUPly2HiVZazly5ZQcS18BfaTyho")</f>
        <v>1xn1P_Z-3N4d2BC1SUPly2HiVZazly5ZQcS18BfaTyho</v>
      </c>
      <c r="D16" s="10" t="str">
        <f>IFERROR(__xludf.DUMMYFUNCTION("""COMPUTED_VALUE"""),"")</f>
        <v/>
      </c>
      <c r="E16" s="10" t="str">
        <f>IFERROR(__xludf.DUMMYFUNCTION("""COMPUTED_VALUE"""),"")</f>
        <v/>
      </c>
      <c r="F16" s="10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0" t="str">
        <f>IFERROR(__xludf.DUMMYFUNCTION("""COMPUTED_VALUE"""),"GeneralLedger")</f>
        <v>GeneralLedger</v>
      </c>
      <c r="B17" s="10" t="str">
        <f>IFERROR(__xludf.DUMMYFUNCTION("""COMPUTED_VALUE"""),"VerifyCash")</f>
        <v>VerifyCash</v>
      </c>
      <c r="C17" s="10" t="str">
        <f>IFERROR(__xludf.DUMMYFUNCTION("""COMPUTED_VALUE"""),"1vlvYPsiFAWjsnFrbkGn_fAvkwF00V3e7htalalU6QN4")</f>
        <v>1vlvYPsiFAWjsnFrbkGn_fAvkwF00V3e7htalalU6QN4</v>
      </c>
      <c r="D17" s="10" t="str">
        <f>IFERROR(__xludf.DUMMYFUNCTION("""COMPUTED_VALUE"""),"")</f>
        <v/>
      </c>
      <c r="E17" s="10" t="str">
        <f>IFERROR(__xludf.DUMMYFUNCTION("""COMPUTED_VALUE"""),"")</f>
        <v/>
      </c>
      <c r="F17" s="10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0" t="str">
        <f>IFERROR(__xludf.DUMMYFUNCTION("""COMPUTED_VALUE"""),"GeneralLedger")</f>
        <v>GeneralLedger</v>
      </c>
      <c r="B18" s="10" t="str">
        <f>IFERROR(__xludf.DUMMYFUNCTION("""COMPUTED_VALUE"""),"VerifyActivity")</f>
        <v>VerifyActivity</v>
      </c>
      <c r="C18" s="10" t="str">
        <f>IFERROR(__xludf.DUMMYFUNCTION("""COMPUTED_VALUE"""),"1o2rCg2FuoAOT5Pl8i4iFP_TwpPm0UB1dd49GbpkytfM")</f>
        <v>1o2rCg2FuoAOT5Pl8i4iFP_TwpPm0UB1dd49GbpkytfM</v>
      </c>
      <c r="D18" s="10" t="str">
        <f>IFERROR(__xludf.DUMMYFUNCTION("""COMPUTED_VALUE"""),"")</f>
        <v/>
      </c>
      <c r="E18" s="10" t="str">
        <f>IFERROR(__xludf.DUMMYFUNCTION("""COMPUTED_VALUE"""),"")</f>
        <v/>
      </c>
      <c r="F18" s="10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0" t="str">
        <f>IFERROR(__xludf.DUMMYFUNCTION("""COMPUTED_VALUE"""),"GeneralLedger")</f>
        <v>GeneralLedger</v>
      </c>
      <c r="B19" s="10" t="str">
        <f>IFERROR(__xludf.DUMMYFUNCTION("""COMPUTED_VALUE"""),"VerifyTradingTransaction")</f>
        <v>VerifyTradingTransaction</v>
      </c>
      <c r="C19" s="10" t="str">
        <f>IFERROR(__xludf.DUMMYFUNCTION("""COMPUTED_VALUE"""),"1_v2niCJ9VGNvgEBpvz030BFqEISSUhYRHyWcAJAn_Eg")</f>
        <v>1_v2niCJ9VGNvgEBpvz030BFqEISSUhYRHyWcAJAn_Eg</v>
      </c>
      <c r="D19" s="10" t="str">
        <f>IFERROR(__xludf.DUMMYFUNCTION("""COMPUTED_VALUE"""),"")</f>
        <v/>
      </c>
      <c r="E19" s="10" t="str">
        <f>IFERROR(__xludf.DUMMYFUNCTION("""COMPUTED_VALUE"""),"")</f>
        <v/>
      </c>
      <c r="F19" s="10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0" t="str">
        <f>IFERROR(__xludf.DUMMYFUNCTION("""COMPUTED_VALUE"""),"GeneralLedger")</f>
        <v>GeneralLedger</v>
      </c>
      <c r="B20" s="10" t="str">
        <f>IFERROR(__xludf.DUMMYFUNCTION("""COMPUTED_VALUE"""),"VerifyRevaluationData")</f>
        <v>VerifyRevaluationData</v>
      </c>
      <c r="C20" s="10" t="str">
        <f>IFERROR(__xludf.DUMMYFUNCTION("""COMPUTED_VALUE"""),"1hsRs1-LY0akTrMe91ArnbLtk6GUy_bKxVwMYCaiMs-8")</f>
        <v>1hsRs1-LY0akTrMe91ArnbLtk6GUy_bKxVwMYCaiMs-8</v>
      </c>
      <c r="D20" s="10" t="str">
        <f>IFERROR(__xludf.DUMMYFUNCTION("""COMPUTED_VALUE"""),"")</f>
        <v/>
      </c>
      <c r="E20" s="10" t="str">
        <f>IFERROR(__xludf.DUMMYFUNCTION("""COMPUTED_VALUE"""),"")</f>
        <v/>
      </c>
      <c r="F20" s="1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0" t="str">
        <f>IFERROR(__xludf.DUMMYFUNCTION("""COMPUTED_VALUE"""),"CorporateAction")</f>
        <v>CorporateAction</v>
      </c>
      <c r="B21" s="10" t="str">
        <f>IFERROR(__xludf.DUMMYFUNCTION("""COMPUTED_VALUE"""),"CorporateAction")</f>
        <v>CorporateAction</v>
      </c>
      <c r="C21" s="10" t="str">
        <f>IFERROR(__xludf.DUMMYFUNCTION("""COMPUTED_VALUE"""),"14rwUHTx4auE_hf60WN-tNOx3atNg7QGvErWNwVQIRqE")</f>
        <v>14rwUHTx4auE_hf60WN-tNOx3atNg7QGvErWNwVQIRqE</v>
      </c>
      <c r="D21" s="10" t="str">
        <f>IFERROR(__xludf.DUMMYFUNCTION("""COMPUTED_VALUE"""),"")</f>
        <v/>
      </c>
      <c r="E21" s="10" t="str">
        <f>IFERROR(__xludf.DUMMYFUNCTION("""COMPUTED_VALUE"""),"")</f>
        <v/>
      </c>
      <c r="F21" s="10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0" t="str">
        <f>IFERROR(__xludf.DUMMYFUNCTION("""COMPUTED_VALUE"""),"CreateTransaction")</f>
        <v>CreateTransaction</v>
      </c>
      <c r="B22" s="10" t="str">
        <f>IFERROR(__xludf.DUMMYFUNCTION("""COMPUTED_VALUE"""),"CreateTransaction")</f>
        <v>CreateTransaction</v>
      </c>
      <c r="C22" s="10" t="str">
        <f>IFERROR(__xludf.DUMMYFUNCTION("""COMPUTED_VALUE"""),"1amshi8Ns36lsDpccBK0y_9bL_pQ2rHdGNYypcgzceUg")</f>
        <v>1amshi8Ns36lsDpccBK0y_9bL_pQ2rHdGNYypcgzceUg</v>
      </c>
      <c r="D22" s="10" t="str">
        <f>IFERROR(__xludf.DUMMYFUNCTION("""COMPUTED_VALUE"""),"")</f>
        <v/>
      </c>
      <c r="E22" s="10" t="str">
        <f>IFERROR(__xludf.DUMMYFUNCTION("""COMPUTED_VALUE"""),"")</f>
        <v/>
      </c>
      <c r="F22" s="10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0" t="str">
        <f>IFERROR(__xludf.DUMMYFUNCTION("""COMPUTED_VALUE"""),"DailyValuation")</f>
        <v>DailyValuation</v>
      </c>
      <c r="B23" s="10" t="str">
        <f>IFERROR(__xludf.DUMMYFUNCTION("""COMPUTED_VALUE"""),"UpdateBeta")</f>
        <v>UpdateBeta</v>
      </c>
      <c r="C23" s="10" t="str">
        <f>IFERROR(__xludf.DUMMYFUNCTION("""COMPUTED_VALUE"""),"1YKttwHsdIskNDoo0Sl7HF2DWikROW-KA05qfT3GLIyI")</f>
        <v>1YKttwHsdIskNDoo0Sl7HF2DWikROW-KA05qfT3GLIyI</v>
      </c>
      <c r="D23" s="10" t="str">
        <f>IFERROR(__xludf.DUMMYFUNCTION("""COMPUTED_VALUE"""),"")</f>
        <v/>
      </c>
      <c r="E23" s="10" t="str">
        <f>IFERROR(__xludf.DUMMYFUNCTION("""COMPUTED_VALUE"""),"")</f>
        <v/>
      </c>
      <c r="F23" s="10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0" t="str">
        <f>IFERROR(__xludf.DUMMYFUNCTION("""COMPUTED_VALUE"""),"DailyValuation")</f>
        <v>DailyValuation</v>
      </c>
      <c r="B24" s="10" t="str">
        <f>IFERROR(__xludf.DUMMYFUNCTION("""COMPUTED_VALUE"""),"UpdateDailyCash")</f>
        <v>UpdateDailyCash</v>
      </c>
      <c r="C24" s="10" t="str">
        <f>IFERROR(__xludf.DUMMYFUNCTION("""COMPUTED_VALUE"""),"1YJ2rTp-OqQTGjubvs_cBC6fl0l94pyHI2eaLJzbddS4")</f>
        <v>1YJ2rTp-OqQTGjubvs_cBC6fl0l94pyHI2eaLJzbddS4</v>
      </c>
      <c r="D24" s="10" t="str">
        <f>IFERROR(__xludf.DUMMYFUNCTION("""COMPUTED_VALUE"""),"")</f>
        <v/>
      </c>
      <c r="E24" s="10" t="str">
        <f>IFERROR(__xludf.DUMMYFUNCTION("""COMPUTED_VALUE"""),"")</f>
        <v/>
      </c>
      <c r="F24" s="10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0" t="str">
        <f>IFERROR(__xludf.DUMMYFUNCTION("""COMPUTED_VALUE"""),"DailyValuation")</f>
        <v>DailyValuation</v>
      </c>
      <c r="B25" s="10" t="str">
        <f>IFERROR(__xludf.DUMMYFUNCTION("""COMPUTED_VALUE"""),"UpdateForexConversion")</f>
        <v>UpdateForexConversion</v>
      </c>
      <c r="C25" s="10" t="str">
        <f>IFERROR(__xludf.DUMMYFUNCTION("""COMPUTED_VALUE"""),"1mLyEfNTVFd65cnE6GfgCRD6TdpKg1BgqNIDjHCFzyO4")</f>
        <v>1mLyEfNTVFd65cnE6GfgCRD6TdpKg1BgqNIDjHCFzyO4</v>
      </c>
      <c r="D25" s="10" t="str">
        <f>IFERROR(__xludf.DUMMYFUNCTION("""COMPUTED_VALUE"""),"")</f>
        <v/>
      </c>
      <c r="E25" s="10" t="str">
        <f>IFERROR(__xludf.DUMMYFUNCTION("""COMPUTED_VALUE"""),"")</f>
        <v/>
      </c>
      <c r="F25" s="10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0" t="str">
        <f>IFERROR(__xludf.DUMMYFUNCTION("""COMPUTED_VALUE"""),"DailyValuation")</f>
        <v>DailyValuation</v>
      </c>
      <c r="B26" s="10" t="str">
        <f>IFERROR(__xludf.DUMMYFUNCTION("""COMPUTED_VALUE"""),"UpdateMarkPrice")</f>
        <v>UpdateMarkPrice</v>
      </c>
      <c r="C26" s="10" t="str">
        <f>IFERROR(__xludf.DUMMYFUNCTION("""COMPUTED_VALUE"""),"1M8d9TyOhMnA65NSIYvS6dR68SH5RL6oKahd6uz7yp6c")</f>
        <v>1M8d9TyOhMnA65NSIYvS6dR68SH5RL6oKahd6uz7yp6c</v>
      </c>
      <c r="D26" s="10" t="str">
        <f>IFERROR(__xludf.DUMMYFUNCTION("""COMPUTED_VALUE"""),"")</f>
        <v/>
      </c>
      <c r="E26" s="10" t="str">
        <f>IFERROR(__xludf.DUMMYFUNCTION("""COMPUTED_VALUE"""),"")</f>
        <v/>
      </c>
      <c r="F26" s="10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0" t="str">
        <f>IFERROR(__xludf.DUMMYFUNCTION("""COMPUTED_VALUE"""),"Import")</f>
        <v>Import</v>
      </c>
      <c r="B27" s="10" t="str">
        <f>IFERROR(__xludf.DUMMYFUNCTION("""COMPUTED_VALUE"""),"Import")</f>
        <v>Import</v>
      </c>
      <c r="C27" s="10" t="str">
        <f>IFERROR(__xludf.DUMMYFUNCTION("""COMPUTED_VALUE"""),"1Q5uOVYo1NMRks6hQRJuV8XWMPb6VFEAbSzpgP1dot1I")</f>
        <v>1Q5uOVYo1NMRks6hQRJuV8XWMPb6VFEAbSzpgP1dot1I</v>
      </c>
      <c r="D27" s="10" t="str">
        <f>IFERROR(__xludf.DUMMYFUNCTION("""COMPUTED_VALUE"""),"")</f>
        <v/>
      </c>
      <c r="E27" s="10" t="str">
        <f>IFERROR(__xludf.DUMMYFUNCTION("""COMPUTED_VALUE"""),"")</f>
        <v/>
      </c>
      <c r="F27" s="10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0" t="str">
        <f>IFERROR(__xludf.DUMMYFUNCTION("""COMPUTED_VALUE"""),"PortfolioManagement")</f>
        <v>PortfolioManagement</v>
      </c>
      <c r="B28" s="10" t="str">
        <f>IFERROR(__xludf.DUMMYFUNCTION("""COMPUTED_VALUE"""),"CheckDashboardPM")</f>
        <v>CheckDashboardPM</v>
      </c>
      <c r="C28" s="10" t="str">
        <f>IFERROR(__xludf.DUMMYFUNCTION("""COMPUTED_VALUE"""),"1iqfUyYqyebXIeNBGljH7-T8whBcywTlkBBU3dBZV06s")</f>
        <v>1iqfUyYqyebXIeNBGljH7-T8whBcywTlkBBU3dBZV06s</v>
      </c>
      <c r="D28" s="10" t="str">
        <f>IFERROR(__xludf.DUMMYFUNCTION("""COMPUTED_VALUE"""),"")</f>
        <v/>
      </c>
      <c r="E28" s="10" t="str">
        <f>IFERROR(__xludf.DUMMYFUNCTION("""COMPUTED_VALUE"""),"")</f>
        <v/>
      </c>
      <c r="F28" s="10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0" t="str">
        <f>IFERROR(__xludf.DUMMYFUNCTION("""COMPUTED_VALUE"""),"PortfolioManagement")</f>
        <v>PortfolioManagement</v>
      </c>
      <c r="B29" s="10" t="str">
        <f>IFERROR(__xludf.DUMMYFUNCTION("""COMPUTED_VALUE"""),"CheckPortfolioManagement")</f>
        <v>CheckPortfolioManagement</v>
      </c>
      <c r="C29" s="10" t="str">
        <f>IFERROR(__xludf.DUMMYFUNCTION("""COMPUTED_VALUE"""),"1u0XMlZJy_Slp7uXMwirinW7StOOdTcWD-D8V07sO0VA")</f>
        <v>1u0XMlZJy_Slp7uXMwirinW7StOOdTcWD-D8V07sO0VA</v>
      </c>
      <c r="D29" s="10" t="str">
        <f>IFERROR(__xludf.DUMMYFUNCTION("""COMPUTED_VALUE"""),"")</f>
        <v/>
      </c>
      <c r="E29" s="10" t="str">
        <f>IFERROR(__xludf.DUMMYFUNCTION("""COMPUTED_VALUE"""),"")</f>
        <v/>
      </c>
      <c r="F29" s="10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0" t="str">
        <f>IFERROR(__xludf.DUMMYFUNCTION("""COMPUTED_VALUE"""),"PricingInput")</f>
        <v>PricingInput</v>
      </c>
      <c r="B30" s="10" t="str">
        <f>IFERROR(__xludf.DUMMYFUNCTION("""COMPUTED_VALUE"""),"PricingInput")</f>
        <v>PricingInput</v>
      </c>
      <c r="C30" s="10" t="str">
        <f>IFERROR(__xludf.DUMMYFUNCTION("""COMPUTED_VALUE"""),"1mh3Z5PifhJ3yzX8TPeoc3H3nteNiA0V2tWFse0rVChE")</f>
        <v>1mh3Z5PifhJ3yzX8TPeoc3H3nteNiA0V2tWFse0rVChE</v>
      </c>
      <c r="D30" s="10" t="str">
        <f>IFERROR(__xludf.DUMMYFUNCTION("""COMPUTED_VALUE"""),"")</f>
        <v/>
      </c>
      <c r="E30" s="10" t="str">
        <f>IFERROR(__xludf.DUMMYFUNCTION("""COMPUTED_VALUE"""),"")</f>
        <v/>
      </c>
      <c r="F30" s="1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0" t="str">
        <f>IFERROR(__xludf.DUMMYFUNCTION("""COMPUTED_VALUE"""),"PricingInput")</f>
        <v>PricingInput</v>
      </c>
      <c r="B31" s="10" t="str">
        <f>IFERROR(__xludf.DUMMYFUNCTION("""COMPUTED_VALUE"""),"UpdateSharesOutstanding")</f>
        <v>UpdateSharesOutstanding</v>
      </c>
      <c r="C31" s="10" t="str">
        <f>IFERROR(__xludf.DUMMYFUNCTION("""COMPUTED_VALUE"""),"1vmZ6v1OyZ8SSi8bqqjK3ap3KtM_yPA_SEcIQgYiRInY")</f>
        <v>1vmZ6v1OyZ8SSi8bqqjK3ap3KtM_yPA_SEcIQgYiRInY</v>
      </c>
      <c r="D31" s="10" t="str">
        <f>IFERROR(__xludf.DUMMYFUNCTION("""COMPUTED_VALUE"""),"")</f>
        <v/>
      </c>
      <c r="E31" s="10" t="str">
        <f>IFERROR(__xludf.DUMMYFUNCTION("""COMPUTED_VALUE"""),"")</f>
        <v/>
      </c>
      <c r="F31" s="10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0" t="str">
        <f>IFERROR(__xludf.DUMMYFUNCTION("""COMPUTED_VALUE"""),"SymbolLookup")</f>
        <v>SymbolLookup</v>
      </c>
      <c r="B32" s="10" t="str">
        <f>IFERROR(__xludf.DUMMYFUNCTION("""COMPUTED_VALUE"""),"VerifySymbolLookUp")</f>
        <v>VerifySymbolLookUp</v>
      </c>
      <c r="C32" s="10" t="str">
        <f>IFERROR(__xludf.DUMMYFUNCTION("""COMPUTED_VALUE"""),"1OiI1Pi_JAFOFi8ByMaD3_qqEXSv6yQMo_u6aGTozbl8")</f>
        <v>1OiI1Pi_JAFOFi8ByMaD3_qqEXSv6yQMo_u6aGTozbl8</v>
      </c>
      <c r="D32" s="10" t="str">
        <f>IFERROR(__xludf.DUMMYFUNCTION("""COMPUTED_VALUE"""),"")</f>
        <v/>
      </c>
      <c r="E32" s="10" t="str">
        <f>IFERROR(__xludf.DUMMYFUNCTION("""COMPUTED_VALUE"""),"")</f>
        <v/>
      </c>
      <c r="F32" s="10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0" t="str">
        <f>IFERROR(__xludf.DUMMYFUNCTION("""COMPUTED_VALUE"""),"SymbolLookup")</f>
        <v>SymbolLookup</v>
      </c>
      <c r="B33" s="10" t="str">
        <f>IFERROR(__xludf.DUMMYFUNCTION("""COMPUTED_VALUE"""),"SymbolLookupFromTT")</f>
        <v>SymbolLookupFromTT</v>
      </c>
      <c r="C33" s="10" t="str">
        <f>IFERROR(__xludf.DUMMYFUNCTION("""COMPUTED_VALUE"""),"1ubfvE9sHq5KpJ9NazeH96CrVMJqAuol5Ya9GPjxWrgI")</f>
        <v>1ubfvE9sHq5KpJ9NazeH96CrVMJqAuol5Ya9GPjxWrgI</v>
      </c>
      <c r="D33" s="10" t="str">
        <f>IFERROR(__xludf.DUMMYFUNCTION("""COMPUTED_VALUE"""),"")</f>
        <v/>
      </c>
      <c r="E33" s="10" t="str">
        <f>IFERROR(__xludf.DUMMYFUNCTION("""COMPUTED_VALUE"""),"")</f>
        <v/>
      </c>
      <c r="F33" s="10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0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7</v>
      </c>
      <c r="B3" s="11" t="s">
        <v>8</v>
      </c>
      <c r="C3" s="11" t="s">
        <v>9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>
        <f t="shared" ref="B6:C6" si="1">TODAY()-1</f>
        <v>43699</v>
      </c>
      <c r="C6" s="30">
        <f t="shared" si="1"/>
        <v>43699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16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1" t="s">
        <v>17</v>
      </c>
      <c r="C6" s="33" t="s">
        <v>18</v>
      </c>
      <c r="D6" s="34">
        <v>10000.0</v>
      </c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5" t="s">
        <v>19</v>
      </c>
      <c r="C7" s="35" t="s">
        <v>18</v>
      </c>
      <c r="D7" s="36">
        <v>20000.0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21</v>
      </c>
      <c r="D3" s="5" t="s">
        <v>8</v>
      </c>
      <c r="E3" s="21" t="s">
        <v>22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1" t="s">
        <v>23</v>
      </c>
      <c r="C6" s="33" t="s">
        <v>25</v>
      </c>
      <c r="D6" s="34">
        <v>100.0</v>
      </c>
      <c r="E6" s="37">
        <v>100.0</v>
      </c>
      <c r="F6" s="33" t="s">
        <v>17</v>
      </c>
      <c r="G6" s="4"/>
      <c r="H6" s="4"/>
      <c r="I6" s="4"/>
      <c r="J6" s="37">
        <v>20.0</v>
      </c>
      <c r="K6" s="4"/>
      <c r="L6" s="4"/>
      <c r="M6" s="4"/>
      <c r="N6" s="38">
        <f t="shared" ref="N6:N9" si="1">TODAY()</f>
        <v>43700</v>
      </c>
      <c r="O6" s="4"/>
    </row>
    <row r="7" ht="15.75" customHeight="1">
      <c r="A7" s="4"/>
      <c r="B7" s="35" t="s">
        <v>23</v>
      </c>
      <c r="C7" s="35" t="s">
        <v>25</v>
      </c>
      <c r="D7" s="36">
        <v>50.0</v>
      </c>
      <c r="E7" s="36">
        <v>50.0</v>
      </c>
      <c r="F7" s="35" t="s">
        <v>19</v>
      </c>
      <c r="G7" s="4"/>
      <c r="H7" s="4"/>
      <c r="I7" s="4"/>
      <c r="J7" s="36">
        <v>20.0</v>
      </c>
      <c r="K7" s="4"/>
      <c r="L7" s="4"/>
      <c r="M7" s="4"/>
      <c r="N7" s="38">
        <f t="shared" si="1"/>
        <v>43700</v>
      </c>
      <c r="O7" s="4"/>
    </row>
    <row r="8" ht="15.75" customHeight="1">
      <c r="A8" s="4"/>
      <c r="B8" s="6" t="s">
        <v>24</v>
      </c>
      <c r="C8" s="6" t="s">
        <v>25</v>
      </c>
      <c r="D8" s="6">
        <v>100.0</v>
      </c>
      <c r="E8" s="6">
        <v>100.0</v>
      </c>
      <c r="F8" s="6" t="s">
        <v>17</v>
      </c>
      <c r="G8" s="4"/>
      <c r="H8" s="4"/>
      <c r="I8" s="4"/>
      <c r="J8" s="6">
        <v>20.0</v>
      </c>
      <c r="K8" s="4"/>
      <c r="L8" s="4"/>
      <c r="M8" s="4"/>
      <c r="N8" s="38">
        <f t="shared" si="1"/>
        <v>43700</v>
      </c>
      <c r="O8" s="4"/>
    </row>
    <row r="9" ht="15.75" customHeight="1">
      <c r="A9" s="4"/>
      <c r="B9" s="6" t="s">
        <v>24</v>
      </c>
      <c r="C9" s="6" t="s">
        <v>25</v>
      </c>
      <c r="D9" s="6">
        <v>50.0</v>
      </c>
      <c r="E9" s="6">
        <v>50.0</v>
      </c>
      <c r="F9" s="6" t="s">
        <v>19</v>
      </c>
      <c r="G9" s="4"/>
      <c r="H9" s="4"/>
      <c r="I9" s="4"/>
      <c r="J9" s="6">
        <v>20.0</v>
      </c>
      <c r="K9" s="4"/>
      <c r="L9" s="4"/>
      <c r="M9" s="4"/>
      <c r="N9" s="38">
        <f t="shared" si="1"/>
        <v>43700</v>
      </c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20</v>
      </c>
      <c r="D3" s="5" t="s">
        <v>8</v>
      </c>
      <c r="E3" s="21" t="s">
        <v>20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1" t="s">
        <v>23</v>
      </c>
      <c r="C6" s="37">
        <v>20.0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6" t="s">
        <v>24</v>
      </c>
      <c r="C7" s="6">
        <v>20.0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26</v>
      </c>
      <c r="D3" s="5" t="s">
        <v>8</v>
      </c>
      <c r="E3" s="21" t="s">
        <v>27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IFERROR(__xludf.DUMMYFUNCTION("""COMPUTED_VALUE"""),"SelectPTTRecord")</f>
        <v>SelectPTTRecord</v>
      </c>
      <c r="O4" s="23" t="str">
        <f>IFERROR(__xludf.DUMMYFUNCTION("""COMPUTED_VALUE"""),"EditPTTRecord")</f>
        <v>EditPTTRecord</v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IFERROR(__xludf.DUMMYFUNCTION("""COMPUTED_VALUE"""),"Add/Set")</f>
        <v>Add/Set</v>
      </c>
      <c r="D5" s="26" t="str">
        <f>IFERROR(__xludf.DUMMYFUNCTION("""COMPUTED_VALUE"""),"Type")</f>
        <v>Type</v>
      </c>
      <c r="E5" s="26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6" t="str">
        <f>IFERROR(__xludf.DUMMYFUNCTION("""COMPUTED_VALUE"""),"Combined Account Total")</f>
        <v>Combined Account Total</v>
      </c>
      <c r="H5" s="26" t="str">
        <f>IFERROR(__xludf.DUMMYFUNCTION("""COMPUTED_VALUE"""),"MasterFund/Account")</f>
        <v>MasterFund/Account</v>
      </c>
      <c r="I5" s="26" t="str">
        <f>IFERROR(__xludf.DUMMYFUNCTION("""COMPUTED_VALUE"""),"Accounts")</f>
        <v>Accounts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23</v>
      </c>
      <c r="C6" s="6" t="s">
        <v>29</v>
      </c>
      <c r="D6" s="6" t="s">
        <v>30</v>
      </c>
      <c r="E6" s="6">
        <v>2500.0</v>
      </c>
      <c r="F6" s="4"/>
      <c r="G6" s="6" t="s">
        <v>31</v>
      </c>
      <c r="H6" s="6" t="s">
        <v>32</v>
      </c>
      <c r="I6" s="6" t="s">
        <v>33</v>
      </c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26</v>
      </c>
      <c r="D3" s="5" t="s">
        <v>8</v>
      </c>
      <c r="E3" s="21" t="s">
        <v>28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IFERROR(__xludf.DUMMYFUNCTION("""COMPUTED_VALUE"""),"SelectPTTRecord")</f>
        <v>SelectPTTRecord</v>
      </c>
      <c r="O4" s="23" t="str">
        <f>IFERROR(__xludf.DUMMYFUNCTION("""COMPUTED_VALUE"""),"EditPTTRecord")</f>
        <v>EditPTTRecord</v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IFERROR(__xludf.DUMMYFUNCTION("""COMPUTED_VALUE"""),"Account NAV")</f>
        <v>Account NAV</v>
      </c>
      <c r="D5" s="26" t="str">
        <f>IFERROR(__xludf.DUMMYFUNCTION("""COMPUTED_VALUE"""),"Starting Position")</f>
        <v>Starting Position</v>
      </c>
      <c r="E5" s="26" t="str">
        <f>IFERROR(__xludf.DUMMYFUNCTION("""COMPUTED_VALUE"""),"Starting Value")</f>
        <v>Starting Value</v>
      </c>
      <c r="F5" s="27" t="str">
        <f>IFERROR(__xludf.DUMMYFUNCTION("""COMPUTED_VALUE"""),"Starting %")</f>
        <v>Starting %</v>
      </c>
      <c r="G5" s="26" t="str">
        <f>IFERROR(__xludf.DUMMYFUNCTION("""COMPUTED_VALUE"""),"% Change")</f>
        <v>% Change</v>
      </c>
      <c r="H5" s="26" t="str">
        <f>IFERROR(__xludf.DUMMYFUNCTION("""COMPUTED_VALUE"""),"Ending %")</f>
        <v>Ending %</v>
      </c>
      <c r="I5" s="26" t="str">
        <f>IFERROR(__xludf.DUMMYFUNCTION("""COMPUTED_VALUE"""),"Trade Quantity")</f>
        <v>Trade Quantity</v>
      </c>
      <c r="J5" s="26" t="str">
        <f>IFERROR(__xludf.DUMMYFUNCTION("""COMPUTED_VALUE"""),"Ending Position")</f>
        <v>Ending Position</v>
      </c>
      <c r="K5" s="26" t="str">
        <f>IFERROR(__xludf.DUMMYFUNCTION("""COMPUTED_VALUE"""),"Ending Value")</f>
        <v>Ending Value</v>
      </c>
      <c r="L5" s="26" t="str">
        <f>IFERROR(__xludf.DUMMYFUNCTION("""COMPUTED_VALUE"""),"% Allocation")</f>
        <v>% Allocation</v>
      </c>
      <c r="M5" s="26" t="str">
        <f>IFERROR(__xludf.DUMMYFUNCTION("""COMPUTED_VALUE"""),"Fx Rate")</f>
        <v>Fx Rate</v>
      </c>
      <c r="N5" s="26" t="str">
        <f>IFERROR(__xludf.DUMMYFUNCTION("""COMPUTED_VALUE"""),"Starting BP")</f>
        <v>Starting BP</v>
      </c>
      <c r="O5" s="26" t="str">
        <f>IFERROR(__xludf.DUMMYFUNCTION("""COMPUTED_VALUE"""),"BP Change")</f>
        <v>BP Change</v>
      </c>
      <c r="P5" s="26" t="str">
        <f>IFERROR(__xludf.DUMMYFUNCTION("""COMPUTED_VALUE"""),"Ending BP")</f>
        <v>Ending BP</v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17</v>
      </c>
      <c r="C6" s="6">
        <v>10000.0</v>
      </c>
      <c r="D6" s="6">
        <v>100.0</v>
      </c>
      <c r="E6" s="6">
        <v>2000.0</v>
      </c>
      <c r="F6" s="4"/>
      <c r="G6" s="4"/>
      <c r="H6" s="4"/>
      <c r="I6" s="6">
        <v>125.0</v>
      </c>
      <c r="J6" s="6">
        <v>225.0</v>
      </c>
      <c r="K6" s="6">
        <v>4500.0</v>
      </c>
      <c r="L6" s="6">
        <v>33.33</v>
      </c>
      <c r="M6" s="6">
        <v>1.0</v>
      </c>
      <c r="N6" s="6">
        <v>2000.0</v>
      </c>
      <c r="O6" s="6">
        <v>2500.0</v>
      </c>
      <c r="P6" s="39">
        <v>4500.0</v>
      </c>
    </row>
    <row r="7" ht="15.75" customHeight="1">
      <c r="A7" s="4"/>
      <c r="B7" s="6" t="s">
        <v>19</v>
      </c>
      <c r="C7" s="6">
        <v>20000.0</v>
      </c>
      <c r="D7" s="6">
        <v>50.0</v>
      </c>
      <c r="E7" s="6">
        <v>1000.0</v>
      </c>
      <c r="F7" s="4"/>
      <c r="G7" s="4"/>
      <c r="H7" s="4"/>
      <c r="I7" s="6">
        <v>250.0</v>
      </c>
      <c r="J7" s="6">
        <v>300.0</v>
      </c>
      <c r="K7" s="6">
        <v>6000.0</v>
      </c>
      <c r="L7" s="6">
        <v>66.67</v>
      </c>
      <c r="M7" s="6">
        <v>1.0</v>
      </c>
      <c r="N7" s="6">
        <v>500.0</v>
      </c>
      <c r="O7" s="6">
        <v>2500.0</v>
      </c>
      <c r="P7" s="39">
        <v>3000.0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26</v>
      </c>
      <c r="D3" s="5" t="s">
        <v>8</v>
      </c>
      <c r="E3" s="21" t="s">
        <v>34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IFERROR(__xludf.DUMMYFUNCTION("""COMPUTED_VALUE"""),"SelectPTTRecord")</f>
        <v>SelectPTTRecord</v>
      </c>
      <c r="O4" s="23" t="str">
        <f>IFERROR(__xludf.DUMMYFUNCTION("""COMPUTED_VALUE"""),"EditPTTRecord")</f>
        <v>EditPTTRecord</v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IFERROR(__xludf.DUMMYFUNCTION("""COMPUTED_VALUE"""),"Add/Set")</f>
        <v>Add/Set</v>
      </c>
      <c r="D5" s="26" t="str">
        <f>IFERROR(__xludf.DUMMYFUNCTION("""COMPUTED_VALUE"""),"Type")</f>
        <v>Type</v>
      </c>
      <c r="E5" s="26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6" t="str">
        <f>IFERROR(__xludf.DUMMYFUNCTION("""COMPUTED_VALUE"""),"Combined Account Total")</f>
        <v>Combined Account Total</v>
      </c>
      <c r="H5" s="26" t="str">
        <f>IFERROR(__xludf.DUMMYFUNCTION("""COMPUTED_VALUE"""),"MasterFund/Account")</f>
        <v>MasterFund/Account</v>
      </c>
      <c r="I5" s="26" t="str">
        <f>IFERROR(__xludf.DUMMYFUNCTION("""COMPUTED_VALUE"""),"Accounts")</f>
        <v>Accounts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0" t="s">
        <v>23</v>
      </c>
      <c r="C6" s="41" t="s">
        <v>29</v>
      </c>
      <c r="D6" s="42" t="s">
        <v>30</v>
      </c>
      <c r="E6" s="43">
        <v>2500.0</v>
      </c>
      <c r="F6" s="44">
        <v>20.0</v>
      </c>
      <c r="G6" s="41" t="s">
        <v>31</v>
      </c>
      <c r="H6" s="41" t="s">
        <v>32</v>
      </c>
      <c r="I6" s="41" t="s">
        <v>33</v>
      </c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35</v>
      </c>
      <c r="D3" s="5" t="s">
        <v>8</v>
      </c>
      <c r="E3" s="21" t="s">
        <v>36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4"/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  <c r="AI6" s="39" t="s">
        <v>23</v>
      </c>
      <c r="AJ6" s="39" t="s">
        <v>25</v>
      </c>
      <c r="AK6" s="39" t="s">
        <v>37</v>
      </c>
      <c r="AL6" s="39">
        <v>375.0</v>
      </c>
      <c r="AP6" s="39">
        <v>375.0</v>
      </c>
      <c r="AQ6" s="39">
        <v>20.0</v>
      </c>
      <c r="AR6" s="39">
        <v>20.0</v>
      </c>
      <c r="AT6" s="39" t="s">
        <v>38</v>
      </c>
      <c r="AU6" s="39" t="s">
        <v>39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26</v>
      </c>
      <c r="D3" s="5" t="s">
        <v>8</v>
      </c>
      <c r="E3" s="21" t="s">
        <v>40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IFERROR(__xludf.DUMMYFUNCTION("""COMPUTED_VALUE"""),"SelectPTTRecord")</f>
        <v>SelectPTTRecord</v>
      </c>
      <c r="O4" s="23" t="str">
        <f>IFERROR(__xludf.DUMMYFUNCTION("""COMPUTED_VALUE"""),"EditPTTRecord")</f>
        <v>EditPTTRecord</v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IFERROR(__xludf.DUMMYFUNCTION("""COMPUTED_VALUE"""),"Add/Set")</f>
        <v>Add/Set</v>
      </c>
      <c r="D5" s="26" t="str">
        <f>IFERROR(__xludf.DUMMYFUNCTION("""COMPUTED_VALUE"""),"Type")</f>
        <v>Type</v>
      </c>
      <c r="E5" s="26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6" t="str">
        <f>IFERROR(__xludf.DUMMYFUNCTION("""COMPUTED_VALUE"""),"Combined Account Total")</f>
        <v>Combined Account Total</v>
      </c>
      <c r="H5" s="26" t="str">
        <f>IFERROR(__xludf.DUMMYFUNCTION("""COMPUTED_VALUE"""),"MasterFund/Account")</f>
        <v>MasterFund/Account</v>
      </c>
      <c r="I5" s="26" t="str">
        <f>IFERROR(__xludf.DUMMYFUNCTION("""COMPUTED_VALUE"""),"Accounts")</f>
        <v>Accounts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24</v>
      </c>
      <c r="C6" s="6" t="s">
        <v>29</v>
      </c>
      <c r="D6" s="6" t="s">
        <v>30</v>
      </c>
      <c r="E6" s="6">
        <v>2500.0</v>
      </c>
      <c r="F6" s="6">
        <v>20.0</v>
      </c>
      <c r="G6" s="6" t="s">
        <v>31</v>
      </c>
      <c r="H6" s="6" t="s">
        <v>32</v>
      </c>
      <c r="I6" s="6" t="s">
        <v>33</v>
      </c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21</v>
      </c>
      <c r="D3" s="5" t="s">
        <v>8</v>
      </c>
      <c r="E3" s="21" t="s">
        <v>22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24</v>
      </c>
      <c r="C6" s="4"/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41</v>
      </c>
      <c r="D3" s="5" t="s">
        <v>8</v>
      </c>
      <c r="E3" s="21" t="s">
        <v>42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44</v>
      </c>
      <c r="C6" s="4"/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41</v>
      </c>
      <c r="D3" s="5" t="s">
        <v>8</v>
      </c>
      <c r="E3" s="21" t="s">
        <v>43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17</v>
      </c>
      <c r="C6" s="4"/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  <c r="BO6" s="39" t="s">
        <v>25</v>
      </c>
      <c r="BT6" s="39" t="s">
        <v>24</v>
      </c>
    </row>
    <row r="7" ht="15.75" customHeight="1">
      <c r="A7" s="4"/>
      <c r="B7" s="6" t="s">
        <v>19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BO7" s="39" t="s">
        <v>25</v>
      </c>
      <c r="BT7" s="39" t="s">
        <v>24</v>
      </c>
    </row>
    <row r="8" ht="15.75" customHeight="1">
      <c r="A8" s="4"/>
      <c r="B8" s="6" t="s">
        <v>38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BO8" s="39" t="s">
        <v>25</v>
      </c>
      <c r="BT8" s="39" t="s">
        <v>24</v>
      </c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17"/>
      <c r="B1" s="13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7</v>
      </c>
      <c r="C3" s="21" t="s">
        <v>45</v>
      </c>
      <c r="D3" s="5" t="s">
        <v>8</v>
      </c>
      <c r="E3" s="21" t="s">
        <v>46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</row>
    <row r="6" ht="15.75" customHeight="1">
      <c r="A6" s="6"/>
      <c r="B6" s="6"/>
      <c r="C6" s="6" t="s">
        <v>24</v>
      </c>
      <c r="D6" s="6"/>
      <c r="E6" s="6" t="s">
        <v>17</v>
      </c>
      <c r="F6" s="4"/>
      <c r="G6" s="4"/>
      <c r="H6" s="4"/>
      <c r="I6" s="4"/>
      <c r="J6" s="4"/>
      <c r="K6" s="4"/>
      <c r="L6" s="4"/>
      <c r="M6" s="4"/>
      <c r="N6" s="4"/>
      <c r="O6" s="4"/>
      <c r="AN6" s="39" t="s">
        <v>25</v>
      </c>
    </row>
    <row r="7" ht="15.75" customHeight="1">
      <c r="A7" s="4"/>
      <c r="B7" s="4"/>
      <c r="C7" s="6" t="s">
        <v>24</v>
      </c>
      <c r="D7" s="4"/>
      <c r="E7" s="6" t="s">
        <v>17</v>
      </c>
      <c r="F7" s="4"/>
      <c r="G7" s="4"/>
      <c r="H7" s="4"/>
      <c r="I7" s="4"/>
      <c r="J7" s="4"/>
      <c r="K7" s="4"/>
      <c r="L7" s="4"/>
      <c r="M7" s="4"/>
      <c r="N7" s="4"/>
      <c r="O7" s="4"/>
      <c r="AN7" s="39" t="s">
        <v>25</v>
      </c>
    </row>
    <row r="8" ht="15.75" customHeight="1">
      <c r="A8" s="4"/>
      <c r="B8" s="4"/>
      <c r="C8" s="6" t="s">
        <v>24</v>
      </c>
      <c r="D8" s="4"/>
      <c r="E8" s="6" t="s">
        <v>19</v>
      </c>
      <c r="F8" s="4"/>
      <c r="G8" s="4"/>
      <c r="H8" s="4"/>
      <c r="I8" s="4"/>
      <c r="J8" s="4"/>
      <c r="K8" s="4"/>
      <c r="L8" s="4"/>
      <c r="M8" s="4"/>
      <c r="N8" s="4"/>
      <c r="O8" s="4"/>
      <c r="AN8" s="39" t="s">
        <v>25</v>
      </c>
    </row>
    <row r="9" ht="15.75" customHeight="1">
      <c r="A9" s="4"/>
      <c r="B9" s="4"/>
      <c r="C9" s="6" t="s">
        <v>24</v>
      </c>
      <c r="D9" s="4"/>
      <c r="E9" s="6" t="s">
        <v>19</v>
      </c>
      <c r="F9" s="4"/>
      <c r="G9" s="4"/>
      <c r="H9" s="4"/>
      <c r="I9" s="4"/>
      <c r="J9" s="4"/>
      <c r="K9" s="4"/>
      <c r="L9" s="4"/>
      <c r="M9" s="4"/>
      <c r="N9" s="4"/>
      <c r="O9" s="4"/>
      <c r="AN9" s="39" t="s">
        <v>25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