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UpdateExpirationDate" sheetId="4" r:id="rId6"/>
    <sheet state="visible" name="SetClosingPreference" sheetId="5" r:id="rId7"/>
    <sheet state="visible" name="CreateDoneAwayOrder" sheetId="6" r:id="rId8"/>
    <sheet state="visible" name="GetMarkPriceData" sheetId="7" r:id="rId9"/>
    <sheet state="visible" name="UpdateMarkPrice" sheetId="8" r:id="rId10"/>
    <sheet state="visible" name="GetDataClosing" sheetId="9" r:id="rId11"/>
    <sheet state="visible" name="SelectTradeUnexpiredUnsettled" sheetId="10" r:id="rId12"/>
    <sheet state="visible" name="ExerciseAssignment" sheetId="11" r:id="rId13"/>
    <sheet state="visible" name="GetDataAllocation" sheetId="12" r:id="rId14"/>
    <sheet state="visible" name="CheckAllocatedGroups" sheetId="13" r:id="rId15"/>
    <sheet state="visible" name="CheckAllocatedTaxlots" sheetId="14" r:id="rId16"/>
    <sheet state="visible" name="CheckPortfolioManagement" sheetId="15" r:id="rId17"/>
  </sheets>
  <definedNames/>
  <calcPr/>
</workbook>
</file>

<file path=xl/sharedStrings.xml><?xml version="1.0" encoding="utf-8"?>
<sst xmlns="http://schemas.openxmlformats.org/spreadsheetml/2006/main" count="2617" uniqueCount="60">
  <si>
    <t>Modules Info</t>
  </si>
  <si>
    <t>Modules</t>
  </si>
  <si>
    <t>Settings</t>
  </si>
  <si>
    <t>Module Step Setting File</t>
  </si>
  <si>
    <t>1-OnCJJHP2ByjdYbF53fJwv9z4thBiHnNugUdMvYm2nU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</si>
  <si>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</si>
  <si>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</si>
  <si>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</si>
  <si>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</si>
  <si>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</si>
  <si>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</si>
  <si>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</si>
  <si>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</si>
  <si>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UpdateExpirationDate</t>
  </si>
  <si>
    <t>Data Format</t>
  </si>
  <si>
    <t>Input Format</t>
  </si>
  <si>
    <t>O:AAPL 23P60.00D21</t>
  </si>
  <si>
    <t>Closing</t>
  </si>
  <si>
    <t>SetClosingPreference</t>
  </si>
  <si>
    <t>HIFO</t>
  </si>
  <si>
    <t>TradingTicket</t>
  </si>
  <si>
    <t>CreateDoneAwayOrder</t>
  </si>
  <si>
    <t>AAPL</t>
  </si>
  <si>
    <t>Buy</t>
  </si>
  <si>
    <t>Buy to Open</t>
  </si>
  <si>
    <t>GS</t>
  </si>
  <si>
    <t>Long</t>
  </si>
  <si>
    <t>DailyValuation</t>
  </si>
  <si>
    <t>GetMarkPriceData</t>
  </si>
  <si>
    <t>UpdateMarkPrice</t>
  </si>
  <si>
    <t>GetDataClosing</t>
  </si>
  <si>
    <t>Historical</t>
  </si>
  <si>
    <t>1/1/1800</t>
  </si>
  <si>
    <t>SelectTradeUnexpiredUnsettled</t>
  </si>
  <si>
    <t>Allocation1</t>
  </si>
  <si>
    <t>ExerciseAssignment</t>
  </si>
  <si>
    <t>Allocation</t>
  </si>
  <si>
    <t>GetDataAllocation</t>
  </si>
  <si>
    <t>CheckAllocatedGroups</t>
  </si>
  <si>
    <t/>
  </si>
  <si>
    <t>Manual</t>
  </si>
  <si>
    <t>Equity</t>
  </si>
  <si>
    <t>MS</t>
  </si>
  <si>
    <t>USD</t>
  </si>
  <si>
    <t>NASDAQ</t>
  </si>
  <si>
    <t>US</t>
  </si>
  <si>
    <t>EquityOption</t>
  </si>
  <si>
    <t>OPTS</t>
  </si>
  <si>
    <t>BuytoOpen</t>
  </si>
  <si>
    <t>Sell to Close</t>
  </si>
  <si>
    <t>Exercise</t>
  </si>
  <si>
    <t>Sell short</t>
  </si>
  <si>
    <t>Sell</t>
  </si>
  <si>
    <t>CheckAllocatedTaxlots</t>
  </si>
  <si>
    <t>PortfolioManagement</t>
  </si>
  <si>
    <t>CheckPortfolioManagement</t>
  </si>
  <si>
    <t>NewMF</t>
  </si>
  <si>
    <t>Short</t>
  </si>
  <si>
    <t>Strategy Unallocated</t>
  </si>
  <si>
    <t>jpearce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</si>
</sst>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0.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14" numFmtId="0" xfId="0" applyAlignment="1" applyFont="1">
      <alignment vertical="bottom"/>
    </xf>
    <xf borderId="0" fillId="0" fontId="14" numFmtId="0" xfId="0" applyAlignment="1" applyFont="1">
      <alignment readingOrder="0"/>
    </xf>
    <xf borderId="0" fillId="0" fontId="14" numFmtId="14" xfId="0" applyAlignment="1" applyFont="1" applyNumberFormat="1">
      <alignment horizontal="right" vertical="bottom"/>
    </xf>
    <xf borderId="0" fillId="0" fontId="14" numFmtId="0" xfId="0" applyAlignment="1" applyFont="1">
      <alignment vertical="bottom"/>
    </xf>
    <xf borderId="0" fillId="0" fontId="14" numFmtId="0" xfId="0" applyAlignment="1" applyFont="1">
      <alignment horizontal="center" vertical="bottom"/>
    </xf>
    <xf borderId="0" fillId="0" fontId="14" numFmtId="0" xfId="0" applyAlignment="1" applyFont="1">
      <alignment horizontal="right" vertical="bottom"/>
    </xf>
    <xf borderId="0" fillId="0" fontId="14" numFmtId="0" xfId="0" applyAlignment="1" applyFont="1">
      <alignment horizontal="right" vertical="bottom"/>
    </xf>
    <xf borderId="0" fillId="0" fontId="14" numFmtId="0" xfId="0" applyAlignment="1" applyFont="1">
      <alignment readingOrder="0" vertical="bottom"/>
    </xf>
    <xf borderId="0" fillId="0" fontId="3" numFmtId="0" xfId="0" applyAlignment="1" applyFont="1">
      <alignment vertical="bottom"/>
    </xf>
    <xf borderId="0" fillId="0" fontId="5" numFmtId="14" xfId="0" applyAlignment="1" applyFont="1" applyNumberFormat="1">
      <alignment horizontal="right" vertical="bottom"/>
    </xf>
    <xf borderId="0" fillId="0" fontId="3" numFmtId="0" xfId="0" applyAlignment="1" applyFont="1">
      <alignment vertical="bottom"/>
    </xf>
    <xf borderId="0" fillId="0" fontId="14" numFmtId="164" xfId="0" applyAlignment="1" applyFont="1" applyNumberFormat="1">
      <alignment horizontal="right" vertical="bottom"/>
    </xf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IFERROR(__xludf.DUMMYFUNCTION("""COMPUTED_VALUE"""),"1kXWX5XbWkcCarG3_NeoZcsMD84Dg7Y1HBOol0fT3llw")</f>
        <v>1kXWX5XbWkcCarG3_NeoZcsMD84Dg7Y1HBOol0fT3llw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IFERROR(__xludf.DUMMYFUNCTION("""COMPUTED_VALUE"""),"1Fsx99xjLV4wXC7CsT9wtcnBrZWmyHtcJTabwhtzutts")</f>
        <v>1Fsx99xjLV4wXC7CsT9wtcnBrZWmyHtcJTabwhtzutts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IFERROR(__xludf.DUMMYFUNCTION("""COMPUTED_VALUE"""),"1u6KqBelmQQ2oYAB3PeSwYS-Dl3oOd1Dhuag0CXdBdWI")</f>
        <v>1u6KqBelmQQ2oYAB3PeSwYS-Dl3oOd1Dhuag0CXdBdWI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IFERROR(__xludf.DUMMYFUNCTION("""COMPUTED_VALUE"""),"Option")</f>
        <v>Option</v>
      </c>
      <c r="C5" s="28" t="str">
        <f>IFERROR(__xludf.DUMMYFUNCTION("""COMPUTED_VALUE"""),"Expiration Date")</f>
        <v>Expiration Date</v>
      </c>
      <c r="D5" s="28" t="str">
        <f>IFERROR(__xludf.DUMMYFUNCTION("""COMPUTED_VALUE"""),"AssetClass")</f>
        <v>AssetClass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16</v>
      </c>
      <c r="C6" s="33">
        <f>TODAY()+20</f>
        <v>45068</v>
      </c>
      <c r="D6" s="31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2" t="s">
        <v>16</v>
      </c>
      <c r="C7" s="33">
        <f>TODAY()+21</f>
        <v>45069</v>
      </c>
      <c r="D7" s="34"/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34"/>
      <c r="B8" s="32" t="s">
        <v>16</v>
      </c>
      <c r="C8" s="33">
        <f>TODAY()+22</f>
        <v>45070</v>
      </c>
      <c r="D8" s="34"/>
      <c r="E8" s="34"/>
      <c r="F8" s="34"/>
      <c r="G8" s="34"/>
      <c r="H8" s="34"/>
      <c r="I8" s="34"/>
      <c r="J8" s="34"/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/>
      <c r="AH8" s="34"/>
      <c r="AI8" s="34"/>
      <c r="AJ8" s="34"/>
      <c r="AK8" s="34"/>
      <c r="AL8" s="34"/>
      <c r="AM8" s="34"/>
      <c r="AN8" s="34"/>
      <c r="AO8" s="34"/>
      <c r="AP8" s="34"/>
      <c r="AQ8" s="34"/>
      <c r="AR8" s="34"/>
      <c r="AS8" s="34"/>
      <c r="AT8" s="34"/>
      <c r="AU8" s="34"/>
      <c r="AV8" s="34"/>
      <c r="AW8" s="34"/>
      <c r="AX8" s="34"/>
      <c r="AY8" s="34"/>
      <c r="AZ8" s="34"/>
      <c r="BA8" s="34"/>
      <c r="BB8" s="34"/>
      <c r="BC8" s="34"/>
      <c r="BD8" s="34"/>
      <c r="BE8" s="34"/>
      <c r="BF8" s="34"/>
      <c r="BG8" s="34"/>
      <c r="BH8" s="34"/>
      <c r="BI8" s="34"/>
      <c r="BJ8" s="34"/>
      <c r="BK8" s="34"/>
      <c r="BL8" s="34"/>
      <c r="BM8" s="34"/>
      <c r="BN8" s="34"/>
      <c r="BO8" s="34"/>
      <c r="BP8" s="34"/>
      <c r="BQ8" s="34"/>
      <c r="BR8" s="34"/>
      <c r="BS8" s="34"/>
      <c r="BT8" s="34"/>
      <c r="BU8" s="34"/>
      <c r="BV8" s="34"/>
      <c r="BW8" s="34"/>
      <c r="BX8" s="34"/>
      <c r="BY8" s="34"/>
      <c r="BZ8" s="34"/>
      <c r="CA8" s="34"/>
      <c r="CB8" s="34"/>
      <c r="CC8" s="34"/>
      <c r="CD8" s="34"/>
      <c r="CE8" s="34"/>
      <c r="CF8" s="34"/>
      <c r="CG8" s="34"/>
      <c r="CH8" s="34"/>
      <c r="CI8" s="34"/>
      <c r="CJ8" s="34"/>
      <c r="CK8" s="34"/>
      <c r="CL8" s="34"/>
      <c r="CM8" s="34"/>
      <c r="CN8" s="34"/>
      <c r="CO8" s="34"/>
      <c r="CP8" s="34"/>
      <c r="CQ8" s="34"/>
      <c r="CR8" s="34"/>
      <c r="CS8" s="34"/>
      <c r="CT8" s="34"/>
      <c r="CU8" s="34"/>
      <c r="CV8" s="34"/>
      <c r="CW8" s="34"/>
      <c r="CX8" s="34"/>
      <c r="CY8" s="34"/>
      <c r="CZ8" s="34"/>
      <c r="DA8" s="34"/>
      <c r="DB8" s="34"/>
      <c r="DC8" s="34"/>
      <c r="DD8" s="34"/>
      <c r="DE8" s="34"/>
      <c r="DF8" s="34"/>
      <c r="DG8" s="34"/>
      <c r="DH8" s="34"/>
      <c r="DI8" s="34"/>
      <c r="DJ8" s="34"/>
      <c r="DK8" s="34"/>
      <c r="DL8" s="34"/>
      <c r="DM8" s="34"/>
      <c r="DN8" s="34"/>
      <c r="DO8" s="34"/>
      <c r="DP8" s="34"/>
      <c r="DQ8" s="34"/>
      <c r="DR8" s="34"/>
      <c r="DS8" s="34"/>
      <c r="DT8" s="34"/>
      <c r="DU8" s="34"/>
      <c r="DV8" s="34"/>
      <c r="DW8" s="34"/>
      <c r="DX8" s="34"/>
      <c r="DY8" s="34"/>
      <c r="DZ8" s="34"/>
      <c r="EA8" s="34"/>
      <c r="EB8" s="34"/>
      <c r="EC8" s="34"/>
      <c r="ED8" s="34"/>
      <c r="EE8" s="34"/>
      <c r="EF8" s="34"/>
      <c r="EG8" s="34"/>
      <c r="EH8" s="34"/>
      <c r="EI8" s="34"/>
      <c r="EJ8" s="34"/>
      <c r="EK8" s="34"/>
      <c r="EL8" s="34"/>
      <c r="EM8" s="34"/>
      <c r="EN8" s="34"/>
      <c r="EO8" s="34"/>
      <c r="EP8" s="34"/>
      <c r="EQ8" s="34"/>
      <c r="ER8" s="34"/>
      <c r="ES8" s="34"/>
      <c r="ET8" s="34"/>
      <c r="EU8" s="34"/>
      <c r="EV8" s="34"/>
      <c r="EW8" s="34"/>
      <c r="EX8" s="34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UpdateExpirationDate!$4:$4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18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IFERROR(__xludf.DUMMYFUNCTION("""COMPUTED_VALUE"""),"Method")</f>
        <v>Method</v>
      </c>
      <c r="C5" s="28" t="str">
        <f>IFERROR(__xludf.DUMMYFUNCTION("""COMPUTED_VALUE"""),"Global Algorithm")</f>
        <v>Global Algorithm</v>
      </c>
      <c r="D5" s="28" t="str">
        <f>IFERROR(__xludf.DUMMYFUNCTION("""COMPUTED_VALUE"""),"Secondary Sort Criteria")</f>
        <v>Secondary Sort Criteria</v>
      </c>
      <c r="E5" s="28" t="str">
        <f>IFERROR(__xludf.DUMMYFUNCTION("""COMPUTED_VALUE"""),"Override Global Algorithm")</f>
        <v>Override Global Algorithm</v>
      </c>
      <c r="F5" s="29" t="str">
        <f>IFERROR(__xludf.DUMMYFUNCTION("""COMPUTED_VALUE"""),"Can close Sell Short with Buy and Buy to Open")</f>
        <v>Can close Sell Short with Buy and Buy to Open</v>
      </c>
      <c r="G5" s="28" t="str">
        <f>IFERROR(__xludf.DUMMYFUNCTION("""COMPUTED_VALUE"""),"Can close Sell with Buy to Close")</f>
        <v>Can close Sell with Buy to Close</v>
      </c>
      <c r="H5" s="28" t="str">
        <f>IFERROR(__xludf.DUMMYFUNCTION("""COMPUTED_VALUE"""),"Fetch Data Automatically")</f>
        <v>Fetch Data Automatically</v>
      </c>
      <c r="I5" s="28" t="str">
        <f>IFERROR(__xludf.DUMMYFUNCTION("""COMPUTED_VALUE"""),"Auto Close Stategy")</f>
        <v>Auto Close Stategy</v>
      </c>
      <c r="J5" s="28" t="str">
        <f>IFERROR(__xludf.DUMMYFUNCTION("""COMPUTED_VALUE"""),"Exercise/Assign CheckSide Validation")</f>
        <v>Exercise/Assign CheckSide Validation</v>
      </c>
      <c r="K5" s="28" t="str">
        <f>IFERROR(__xludf.DUMMYFUNCTION("""COMPUTED_VALUE"""),"Long Term Tax Rate (%)")</f>
        <v>Long Term Tax Rate (%)</v>
      </c>
      <c r="L5" s="28" t="str">
        <f>IFERROR(__xludf.DUMMYFUNCTION("""COMPUTED_VALUE"""),"Short Term Tax Rate (%)")</f>
        <v>Short Term Tax Rate (%)</v>
      </c>
      <c r="M5" s="28" t="str">
        <f>IFERROR(__xludf.DUMMYFUNCTION("""COMPUTED_VALUE"""),"Quantity round off digits")</f>
        <v>Quantity round off digits</v>
      </c>
      <c r="N5" s="28" t="str">
        <f>IFERROR(__xludf.DUMMYFUNCTION("""COMPUTED_VALUE"""),"Price round off digits")</f>
        <v>Price round off digits</v>
      </c>
      <c r="O5" s="28" t="str">
        <f>IFERROR(__xludf.DUMMYFUNCTION("""COMPUTED_VALUE"""),"Closing Field")</f>
        <v>Closing Field</v>
      </c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4" t="s">
        <v>19</v>
      </c>
      <c r="D6" s="31"/>
      <c r="E6" s="35" t="b">
        <v>1</v>
      </c>
      <c r="F6" s="34"/>
      <c r="G6" s="34"/>
      <c r="H6" s="34"/>
      <c r="I6" s="34"/>
      <c r="J6" s="35" t="b">
        <v>1</v>
      </c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SetClosingPreference!$4:$4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22</v>
      </c>
      <c r="C6" s="34" t="s">
        <v>23</v>
      </c>
      <c r="D6" s="36">
        <v>1100.0</v>
      </c>
      <c r="E6" s="34"/>
      <c r="F6" s="34"/>
      <c r="G6" s="34"/>
      <c r="H6" s="34"/>
      <c r="I6" s="34"/>
      <c r="J6" s="37">
        <v>1.0</v>
      </c>
      <c r="K6" s="34"/>
      <c r="L6" s="34"/>
      <c r="M6" s="34"/>
      <c r="N6" s="33">
        <f t="shared" ref="N6:N7" si="1">TODAY()-8</f>
        <v>45040</v>
      </c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2" t="s">
        <v>16</v>
      </c>
      <c r="C7" s="38" t="s">
        <v>24</v>
      </c>
      <c r="D7" s="37">
        <v>10.0</v>
      </c>
      <c r="E7" s="34"/>
      <c r="F7" s="34"/>
      <c r="G7" s="34"/>
      <c r="H7" s="34"/>
      <c r="I7" s="34"/>
      <c r="J7" s="37">
        <v>10.0</v>
      </c>
      <c r="K7" s="34"/>
      <c r="L7" s="34"/>
      <c r="M7" s="34"/>
      <c r="N7" s="33">
        <f t="shared" si="1"/>
        <v>45040</v>
      </c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34"/>
      <c r="B8" s="32" t="s">
        <v>16</v>
      </c>
      <c r="C8" s="38" t="s">
        <v>24</v>
      </c>
      <c r="D8" s="37">
        <v>10.0</v>
      </c>
      <c r="E8" s="34"/>
      <c r="F8" s="34"/>
      <c r="G8" s="34" t="s">
        <v>25</v>
      </c>
      <c r="H8" s="34"/>
      <c r="I8" s="34"/>
      <c r="J8" s="37">
        <v>10.0</v>
      </c>
      <c r="K8" s="34"/>
      <c r="L8" s="34"/>
      <c r="M8" s="34"/>
      <c r="N8" s="33">
        <f>TODAY()-7</f>
        <v>45041</v>
      </c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/>
      <c r="AH8" s="34"/>
      <c r="AI8" s="34"/>
      <c r="AJ8" s="34"/>
      <c r="AK8" s="34"/>
      <c r="AL8" s="34"/>
      <c r="AM8" s="34"/>
      <c r="AN8" s="34"/>
      <c r="AO8" s="34"/>
      <c r="AP8" s="34"/>
      <c r="AQ8" s="34"/>
      <c r="AR8" s="34"/>
      <c r="AS8" s="34"/>
      <c r="AT8" s="34"/>
      <c r="AU8" s="34"/>
      <c r="AV8" s="34"/>
      <c r="AW8" s="34"/>
      <c r="AX8" s="34"/>
      <c r="AY8" s="34"/>
      <c r="AZ8" s="34"/>
      <c r="BA8" s="34"/>
      <c r="BB8" s="34"/>
      <c r="BC8" s="34"/>
      <c r="BD8" s="34"/>
      <c r="BE8" s="34"/>
      <c r="BF8" s="34"/>
      <c r="BG8" s="34"/>
      <c r="BH8" s="34"/>
      <c r="BI8" s="34"/>
      <c r="BJ8" s="34"/>
      <c r="BK8" s="34"/>
      <c r="BL8" s="34"/>
      <c r="BM8" s="34"/>
      <c r="BN8" s="34"/>
      <c r="BO8" s="34"/>
      <c r="BP8" s="34"/>
      <c r="BQ8" s="34"/>
      <c r="BR8" s="34"/>
      <c r="BS8" s="34"/>
      <c r="BT8" s="34"/>
      <c r="BU8" s="34"/>
      <c r="BV8" s="34"/>
      <c r="BW8" s="34"/>
      <c r="BX8" s="34"/>
      <c r="BY8" s="34"/>
      <c r="BZ8" s="34"/>
      <c r="CA8" s="34"/>
      <c r="CB8" s="34"/>
      <c r="CC8" s="34"/>
      <c r="CD8" s="34"/>
      <c r="CE8" s="34"/>
      <c r="CF8" s="34"/>
      <c r="CG8" s="34"/>
      <c r="CH8" s="34"/>
      <c r="CI8" s="34"/>
      <c r="CJ8" s="34"/>
      <c r="CK8" s="34"/>
      <c r="CL8" s="34"/>
      <c r="CM8" s="34"/>
      <c r="CN8" s="34"/>
      <c r="CO8" s="34"/>
      <c r="CP8" s="34"/>
      <c r="CQ8" s="34"/>
      <c r="CR8" s="34"/>
      <c r="CS8" s="34"/>
      <c r="CT8" s="34"/>
      <c r="CU8" s="34"/>
      <c r="CV8" s="34"/>
      <c r="CW8" s="34"/>
      <c r="CX8" s="34"/>
      <c r="CY8" s="34"/>
      <c r="CZ8" s="34"/>
      <c r="DA8" s="34"/>
      <c r="DB8" s="34"/>
      <c r="DC8" s="34"/>
      <c r="DD8" s="34"/>
      <c r="DE8" s="34"/>
      <c r="DF8" s="34"/>
      <c r="DG8" s="34"/>
      <c r="DH8" s="34"/>
      <c r="DI8" s="34"/>
      <c r="DJ8" s="34"/>
      <c r="DK8" s="34"/>
      <c r="DL8" s="34"/>
      <c r="DM8" s="34"/>
      <c r="DN8" s="34"/>
      <c r="DO8" s="34"/>
      <c r="DP8" s="34"/>
      <c r="DQ8" s="34"/>
      <c r="DR8" s="34"/>
      <c r="DS8" s="34"/>
      <c r="DT8" s="34"/>
      <c r="DU8" s="34"/>
      <c r="DV8" s="34"/>
      <c r="DW8" s="34"/>
      <c r="DX8" s="34"/>
      <c r="DY8" s="34"/>
      <c r="DZ8" s="34"/>
      <c r="EA8" s="34"/>
      <c r="EB8" s="34"/>
      <c r="EC8" s="34"/>
      <c r="ED8" s="34"/>
      <c r="EE8" s="34"/>
      <c r="EF8" s="34"/>
      <c r="EG8" s="34"/>
      <c r="EH8" s="34"/>
      <c r="EI8" s="34"/>
      <c r="EJ8" s="34"/>
      <c r="EK8" s="34"/>
      <c r="EL8" s="34"/>
      <c r="EM8" s="34"/>
      <c r="EN8" s="34"/>
      <c r="EO8" s="34"/>
      <c r="EP8" s="34"/>
      <c r="EQ8" s="34"/>
      <c r="ER8" s="34"/>
      <c r="ES8" s="34"/>
      <c r="ET8" s="34"/>
      <c r="EU8" s="34"/>
      <c r="EV8" s="34"/>
      <c r="EW8" s="34"/>
      <c r="EX8" s="34"/>
    </row>
    <row r="9" ht="15.75" customHeight="1">
      <c r="A9" s="34"/>
      <c r="B9" s="32" t="s">
        <v>16</v>
      </c>
      <c r="C9" s="38" t="s">
        <v>24</v>
      </c>
      <c r="D9" s="37">
        <v>10.0</v>
      </c>
      <c r="E9" s="34"/>
      <c r="F9" s="34"/>
      <c r="G9" s="34"/>
      <c r="H9" s="34"/>
      <c r="I9" s="34"/>
      <c r="J9" s="37">
        <v>10.0</v>
      </c>
      <c r="K9" s="34"/>
      <c r="L9" s="34"/>
      <c r="M9" s="38" t="s">
        <v>26</v>
      </c>
      <c r="N9" s="33">
        <f>TODAY()-6</f>
        <v>45042</v>
      </c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  <c r="AA9" s="34"/>
      <c r="AB9" s="34"/>
      <c r="AC9" s="34"/>
      <c r="AD9" s="34"/>
      <c r="AE9" s="34"/>
      <c r="AF9" s="34"/>
      <c r="AG9" s="34"/>
      <c r="AH9" s="34"/>
      <c r="AI9" s="34"/>
      <c r="AJ9" s="34"/>
      <c r="AK9" s="34"/>
      <c r="AL9" s="34"/>
      <c r="AM9" s="34"/>
      <c r="AN9" s="34"/>
      <c r="AO9" s="34"/>
      <c r="AP9" s="34"/>
      <c r="AQ9" s="34"/>
      <c r="AR9" s="34"/>
      <c r="AS9" s="34"/>
      <c r="AT9" s="34"/>
      <c r="AU9" s="34"/>
      <c r="AV9" s="34"/>
      <c r="AW9" s="34"/>
      <c r="AX9" s="34"/>
      <c r="AY9" s="34"/>
      <c r="AZ9" s="34"/>
      <c r="BA9" s="34"/>
      <c r="BB9" s="34"/>
      <c r="BC9" s="34"/>
      <c r="BD9" s="34"/>
      <c r="BE9" s="34"/>
      <c r="BF9" s="34"/>
      <c r="BG9" s="34"/>
      <c r="BH9" s="34"/>
      <c r="BI9" s="34"/>
      <c r="BJ9" s="34"/>
      <c r="BK9" s="34"/>
      <c r="BL9" s="34"/>
      <c r="BM9" s="34"/>
      <c r="BN9" s="34"/>
      <c r="BO9" s="34"/>
      <c r="BP9" s="34"/>
      <c r="BQ9" s="34"/>
      <c r="BR9" s="34"/>
      <c r="BS9" s="34"/>
      <c r="BT9" s="34"/>
      <c r="BU9" s="34"/>
      <c r="BV9" s="34"/>
      <c r="BW9" s="34"/>
      <c r="BX9" s="34"/>
      <c r="BY9" s="34"/>
      <c r="BZ9" s="34"/>
      <c r="CA9" s="34"/>
      <c r="CB9" s="34"/>
      <c r="CC9" s="34"/>
      <c r="CD9" s="34"/>
      <c r="CE9" s="34"/>
      <c r="CF9" s="34"/>
      <c r="CG9" s="34"/>
      <c r="CH9" s="34"/>
      <c r="CI9" s="34"/>
      <c r="CJ9" s="34"/>
      <c r="CK9" s="34"/>
      <c r="CL9" s="34"/>
      <c r="CM9" s="34"/>
      <c r="CN9" s="34"/>
      <c r="CO9" s="34"/>
      <c r="CP9" s="34"/>
      <c r="CQ9" s="34"/>
      <c r="CR9" s="34"/>
      <c r="CS9" s="34"/>
      <c r="CT9" s="34"/>
      <c r="CU9" s="34"/>
      <c r="CV9" s="34"/>
      <c r="CW9" s="34"/>
      <c r="CX9" s="34"/>
      <c r="CY9" s="34"/>
      <c r="CZ9" s="34"/>
      <c r="DA9" s="34"/>
      <c r="DB9" s="34"/>
      <c r="DC9" s="34"/>
      <c r="DD9" s="34"/>
      <c r="DE9" s="34"/>
      <c r="DF9" s="34"/>
      <c r="DG9" s="34"/>
      <c r="DH9" s="34"/>
      <c r="DI9" s="34"/>
      <c r="DJ9" s="34"/>
      <c r="DK9" s="34"/>
      <c r="DL9" s="34"/>
      <c r="DM9" s="34"/>
      <c r="DN9" s="34"/>
      <c r="DO9" s="34"/>
      <c r="DP9" s="34"/>
      <c r="DQ9" s="34"/>
      <c r="DR9" s="34"/>
      <c r="DS9" s="34"/>
      <c r="DT9" s="34"/>
      <c r="DU9" s="34"/>
      <c r="DV9" s="34"/>
      <c r="DW9" s="34"/>
      <c r="DX9" s="34"/>
      <c r="DY9" s="34"/>
      <c r="DZ9" s="34"/>
      <c r="EA9" s="34"/>
      <c r="EB9" s="34"/>
      <c r="EC9" s="34"/>
      <c r="ED9" s="34"/>
      <c r="EE9" s="34"/>
      <c r="EF9" s="34"/>
      <c r="EG9" s="34"/>
      <c r="EH9" s="34"/>
      <c r="EI9" s="34"/>
      <c r="EJ9" s="34"/>
      <c r="EK9" s="34"/>
      <c r="EL9" s="34"/>
      <c r="EM9" s="34"/>
      <c r="EN9" s="34"/>
      <c r="EO9" s="34"/>
      <c r="EP9" s="34"/>
      <c r="EQ9" s="34"/>
      <c r="ER9" s="34"/>
      <c r="ES9" s="34"/>
      <c r="ET9" s="34"/>
      <c r="EU9" s="34"/>
      <c r="EV9" s="34"/>
      <c r="EW9" s="34"/>
      <c r="EX9" s="34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Date ")</f>
        <v>Copy Date 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9"/>
      <c r="B6" s="40">
        <f>TODAY()-1</f>
        <v>45047</v>
      </c>
      <c r="C6" s="40">
        <f>TODAY()</f>
        <v>45048</v>
      </c>
      <c r="D6" s="39"/>
      <c r="E6" s="41"/>
      <c r="F6" s="41"/>
      <c r="G6" s="41"/>
      <c r="H6" s="41"/>
      <c r="I6" s="41"/>
      <c r="J6" s="41"/>
      <c r="K6" s="41"/>
      <c r="L6" s="41"/>
      <c r="M6" s="41"/>
      <c r="N6" s="41"/>
      <c r="O6" s="41"/>
      <c r="P6" s="41"/>
      <c r="Q6" s="41"/>
      <c r="R6" s="41"/>
      <c r="S6" s="41"/>
      <c r="T6" s="41"/>
      <c r="U6" s="41"/>
      <c r="V6" s="41"/>
      <c r="W6" s="41"/>
      <c r="X6" s="41"/>
      <c r="Y6" s="41"/>
      <c r="Z6" s="41"/>
      <c r="AA6" s="41"/>
      <c r="AB6" s="41"/>
      <c r="AC6" s="41"/>
      <c r="AD6" s="41"/>
      <c r="AE6" s="41"/>
      <c r="AF6" s="41"/>
      <c r="AG6" s="41"/>
      <c r="AH6" s="41"/>
      <c r="AI6" s="41"/>
      <c r="AJ6" s="41"/>
      <c r="AK6" s="41"/>
      <c r="AL6" s="41"/>
      <c r="AM6" s="41"/>
      <c r="AN6" s="41"/>
      <c r="AO6" s="41"/>
      <c r="AP6" s="41"/>
      <c r="AQ6" s="41"/>
      <c r="AR6" s="41"/>
      <c r="AS6" s="41"/>
      <c r="AT6" s="41"/>
      <c r="AU6" s="41"/>
      <c r="AV6" s="41"/>
      <c r="AW6" s="41"/>
      <c r="AX6" s="41"/>
      <c r="AY6" s="41"/>
      <c r="AZ6" s="41"/>
      <c r="BA6" s="41"/>
      <c r="BB6" s="41"/>
      <c r="BC6" s="41"/>
      <c r="BD6" s="41"/>
      <c r="BE6" s="41"/>
      <c r="BF6" s="41"/>
      <c r="BG6" s="41"/>
      <c r="BH6" s="41"/>
      <c r="BI6" s="41"/>
      <c r="BJ6" s="41"/>
      <c r="BK6" s="41"/>
      <c r="BL6" s="41"/>
      <c r="BM6" s="41"/>
      <c r="BN6" s="41"/>
      <c r="BO6" s="41"/>
      <c r="BP6" s="41"/>
      <c r="BQ6" s="41"/>
      <c r="BR6" s="41"/>
      <c r="BS6" s="41"/>
      <c r="BT6" s="41"/>
      <c r="BU6" s="41"/>
      <c r="BV6" s="41"/>
      <c r="BW6" s="41"/>
      <c r="BX6" s="41"/>
      <c r="BY6" s="41"/>
      <c r="BZ6" s="41"/>
      <c r="CA6" s="41"/>
      <c r="CB6" s="41"/>
      <c r="CC6" s="41"/>
      <c r="CD6" s="41"/>
      <c r="CE6" s="41"/>
      <c r="CF6" s="41"/>
      <c r="CG6" s="41"/>
      <c r="CH6" s="41"/>
      <c r="CI6" s="41"/>
      <c r="CJ6" s="41"/>
      <c r="CK6" s="41"/>
      <c r="CL6" s="41"/>
      <c r="CM6" s="41"/>
      <c r="CN6" s="41"/>
      <c r="CO6" s="41"/>
      <c r="CP6" s="41"/>
      <c r="CQ6" s="41"/>
      <c r="CR6" s="41"/>
      <c r="CS6" s="41"/>
      <c r="CT6" s="41"/>
      <c r="CU6" s="41"/>
      <c r="CV6" s="41"/>
      <c r="CW6" s="41"/>
      <c r="CX6" s="41"/>
      <c r="CY6" s="41"/>
      <c r="CZ6" s="41"/>
      <c r="DA6" s="41"/>
      <c r="DB6" s="41"/>
      <c r="DC6" s="41"/>
      <c r="DD6" s="41"/>
      <c r="DE6" s="41"/>
      <c r="DF6" s="41"/>
      <c r="DG6" s="41"/>
      <c r="DH6" s="41"/>
      <c r="DI6" s="41"/>
      <c r="DJ6" s="41"/>
      <c r="DK6" s="41"/>
      <c r="DL6" s="41"/>
      <c r="DM6" s="41"/>
      <c r="DN6" s="41"/>
      <c r="DO6" s="41"/>
      <c r="DP6" s="41"/>
      <c r="DQ6" s="41"/>
      <c r="DR6" s="41"/>
      <c r="DS6" s="41"/>
      <c r="DT6" s="41"/>
      <c r="DU6" s="41"/>
      <c r="DV6" s="41"/>
      <c r="DW6" s="41"/>
      <c r="DX6" s="41"/>
      <c r="DY6" s="41"/>
      <c r="DZ6" s="41"/>
      <c r="EA6" s="41"/>
      <c r="EB6" s="41"/>
      <c r="EC6" s="41"/>
      <c r="ED6" s="41"/>
      <c r="EE6" s="41"/>
      <c r="EF6" s="41"/>
      <c r="EG6" s="41"/>
      <c r="EH6" s="41"/>
      <c r="EI6" s="41"/>
      <c r="EJ6" s="41"/>
      <c r="EK6" s="41"/>
      <c r="EL6" s="41"/>
      <c r="EM6" s="41"/>
      <c r="EN6" s="41"/>
      <c r="EO6" s="41"/>
      <c r="EP6" s="41"/>
      <c r="EQ6" s="41"/>
      <c r="ER6" s="41"/>
      <c r="ES6" s="41"/>
      <c r="ET6" s="41"/>
      <c r="EU6" s="41"/>
      <c r="EV6" s="41"/>
      <c r="EW6" s="41"/>
      <c r="EX6" s="4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GetMarkPriceData!$4:$4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IFERROR(__xludf.DUMMYFUNCTION("""COMPUTED_VALUE"""),"Price")</f>
        <v>Price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22</v>
      </c>
      <c r="C6" s="37">
        <v>120.0</v>
      </c>
      <c r="D6" s="31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UpdateMarkPrice!$4:$4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IFERROR(__xludf.DUMMYFUNCTION("""COMPUTED_VALUE"""),"Account Filter")</f>
        <v>Account Filter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31</v>
      </c>
      <c r="C6" s="42" t="s">
        <v>32</v>
      </c>
      <c r="D6" s="42">
        <f>TODAY()</f>
        <v>45048</v>
      </c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GetDataClosing!$4:$4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IFERROR(__xludf.DUMMYFUNCTION("""COMPUTED_VALUE"""),"AccruedInterest")</f>
        <v>AccruedInterest</v>
      </c>
      <c r="D5" s="28" t="str">
        <f>IFERROR(__xludf.DUMMYFUNCTION("""COMPUTED_VALUE"""),"Analyst")</f>
        <v>Analyst</v>
      </c>
      <c r="E5" s="28" t="str">
        <f>IFERROR(__xludf.DUMMYFUNCTION("""COMPUTED_VALUE"""),"Asset Class")</f>
        <v>Asset Class</v>
      </c>
      <c r="F5" s="29" t="str">
        <f>IFERROR(__xludf.DUMMYFUNCTION("""COMPUTED_VALUE"""),"Asset Derivative")</f>
        <v>Asset Derivative</v>
      </c>
      <c r="G5" s="28" t="str">
        <f>IFERROR(__xludf.DUMMYFUNCTION("""COMPUTED_VALUE"""),"AUECID")</f>
        <v>AUECID</v>
      </c>
      <c r="H5" s="28" t="str">
        <f>IFERROR(__xludf.DUMMYFUNCTION("""COMPUTED_VALUE"""),"AUECModifiedDate")</f>
        <v>AUECModifiedDate</v>
      </c>
      <c r="I5" s="28" t="str">
        <f>IFERROR(__xludf.DUMMYFUNCTION("""COMPUTED_VALUE"""),"Average Price")</f>
        <v>Average Price</v>
      </c>
      <c r="J5" s="28" t="str">
        <f>IFERROR(__xludf.DUMMYFUNCTION("""COMPUTED_VALUE"""),"BloombergSymbol")</f>
        <v>BloombergSymbol</v>
      </c>
      <c r="K5" s="28" t="str">
        <f>IFERROR(__xludf.DUMMYFUNCTION("""COMPUTED_VALUE"""),"Broker")</f>
        <v>Broker</v>
      </c>
      <c r="L5" s="28" t="str">
        <f>IFERROR(__xludf.DUMMYFUNCTION("""COMPUTED_VALUE"""),"CalcBasis")</f>
        <v>CalcBasis</v>
      </c>
      <c r="M5" s="28" t="str">
        <f>IFERROR(__xludf.DUMMYFUNCTION("""COMPUTED_VALUE"""),"CashSettledPrice")</f>
        <v>CashSettledPrice</v>
      </c>
      <c r="N5" s="28" t="str">
        <f>IFERROR(__xludf.DUMMYFUNCTION("""COMPUTED_VALUE"""),"ChangeComment")</f>
        <v>ChangeComment</v>
      </c>
      <c r="O5" s="28" t="str">
        <f>IFERROR(__xludf.DUMMYFUNCTION("""COMPUTED_VALUE"""),"ChangeType")</f>
        <v>ChangeType</v>
      </c>
      <c r="P5" s="28" t="str">
        <f>IFERROR(__xludf.DUMMYFUNCTION("""COMPUTED_VALUE"""),"ClearingBrokerFee")</f>
        <v>ClearingBrokerFee</v>
      </c>
      <c r="Q5" s="28" t="str">
        <f>IFERROR(__xludf.DUMMYFUNCTION("""COMPUTED_VALUE"""),"ClearingFee")</f>
        <v>ClearingFee</v>
      </c>
      <c r="R5" s="28" t="str">
        <f>IFERROR(__xludf.DUMMYFUNCTION("""COMPUTED_VALUE"""),"ClosedTotalCommissionandFees")</f>
        <v>ClosedTotalCommissionandFees</v>
      </c>
      <c r="S5" s="28" t="str">
        <f>IFERROR(__xludf.DUMMYFUNCTION("""COMPUTED_VALUE"""),"ClosingAlgo")</f>
        <v>ClosingAlgo</v>
      </c>
      <c r="T5" s="30" t="str">
        <f>IFERROR(__xludf.DUMMYFUNCTION("""COMPUTED_VALUE"""),"ClosingDate")</f>
        <v>ClosingDate</v>
      </c>
      <c r="U5" s="30" t="str">
        <f>IFERROR(__xludf.DUMMYFUNCTION("""COMPUTED_VALUE"""),"ClosingStatus")</f>
        <v>ClosingStatus</v>
      </c>
      <c r="V5" s="30" t="str">
        <f>IFERROR(__xludf.DUMMYFUNCTION("""COMPUTED_VALUE"""),"Commission")</f>
        <v>Commission</v>
      </c>
      <c r="W5" s="30" t="str">
        <f>IFERROR(__xludf.DUMMYFUNCTION("""COMPUTED_VALUE"""),"CommissionAmt")</f>
        <v>CommissionAmt</v>
      </c>
      <c r="X5" s="30" t="str">
        <f>IFERROR(__xludf.DUMMYFUNCTION("""COMPUTED_VALUE"""),"CommissionRate")</f>
        <v>CommissionRate</v>
      </c>
      <c r="Y5" s="30" t="str">
        <f>IFERROR(__xludf.DUMMYFUNCTION("""COMPUTED_VALUE"""),"CompanyUserName")</f>
        <v>CompanyUserName</v>
      </c>
      <c r="Z5" s="30" t="str">
        <f>IFERROR(__xludf.DUMMYFUNCTION("""COMPUTED_VALUE"""),"ContractMultiplier")</f>
        <v>ContractMultiplier</v>
      </c>
      <c r="AA5" s="30" t="str">
        <f>IFERROR(__xludf.DUMMYFUNCTION("""COMPUTED_VALUE"""),"CountryName")</f>
        <v>CountryName</v>
      </c>
      <c r="AB5" s="30" t="str">
        <f>IFERROR(__xludf.DUMMYFUNCTION("""COMPUTED_VALUE"""),"CountryOfRisk")</f>
        <v>CountryOfRisk</v>
      </c>
      <c r="AC5" s="30" t="str">
        <f>IFERROR(__xludf.DUMMYFUNCTION("""COMPUTED_VALUE"""),"CumQty")</f>
        <v>CumQty</v>
      </c>
      <c r="AD5" s="30" t="str">
        <f>IFERROR(__xludf.DUMMYFUNCTION("""COMPUTED_VALUE"""),"CurrencyID")</f>
        <v>CurrencyID</v>
      </c>
      <c r="AE5" s="30" t="str">
        <f>IFERROR(__xludf.DUMMYFUNCTION("""COMPUTED_VALUE"""),"CurrencyName")</f>
        <v>CurrencyName</v>
      </c>
      <c r="AF5" s="30" t="str">
        <f>IFERROR(__xludf.DUMMYFUNCTION("""COMPUTED_VALUE"""),"CusipSymbol")</f>
        <v>CusipSymbol</v>
      </c>
      <c r="AG5" s="30" t="str">
        <f>IFERROR(__xludf.DUMMYFUNCTION("""COMPUTED_VALUE"""),"CustomUDA1")</f>
        <v>CustomUDA1</v>
      </c>
      <c r="AH5" s="30" t="str">
        <f>IFERROR(__xludf.DUMMYFUNCTION("""COMPUTED_VALUE"""),"CustomUDA2")</f>
        <v>CustomUDA2</v>
      </c>
      <c r="AI5" s="30" t="str">
        <f>IFERROR(__xludf.DUMMYFUNCTION("""COMPUTED_VALUE"""),"CustomUDA3")</f>
        <v>CustomUDA3</v>
      </c>
      <c r="AJ5" s="30" t="str">
        <f>IFERROR(__xludf.DUMMYFUNCTION("""COMPUTED_VALUE"""),"CustomUDA4")</f>
        <v>CustomUDA4</v>
      </c>
      <c r="AK5" s="30" t="str">
        <f>IFERROR(__xludf.DUMMYFUNCTION("""COMPUTED_VALUE"""),"CustomUDA5")</f>
        <v>CustomUDA5</v>
      </c>
      <c r="AL5" s="30" t="str">
        <f>IFERROR(__xludf.DUMMYFUNCTION("""COMPUTED_VALUE"""),"CustomUDA6")</f>
        <v>CustomUDA6</v>
      </c>
      <c r="AM5" s="30" t="str">
        <f>IFERROR(__xludf.DUMMYFUNCTION("""COMPUTED_VALUE"""),"CustomUDA7")</f>
        <v>CustomUDA7</v>
      </c>
      <c r="AN5" s="30" t="str">
        <f>IFERROR(__xludf.DUMMYFUNCTION("""COMPUTED_VALUE"""),"Delta")</f>
        <v>Delta</v>
      </c>
      <c r="AO5" s="30" t="str">
        <f>IFERROR(__xludf.DUMMYFUNCTION("""COMPUTED_VALUE"""),"Description")</f>
        <v>Description</v>
      </c>
      <c r="AP5" s="30" t="str">
        <f>IFERROR(__xludf.DUMMYFUNCTION("""COMPUTED_VALUE"""),"ExchangeName")</f>
        <v>ExchangeName</v>
      </c>
      <c r="AQ5" s="30" t="str">
        <f>IFERROR(__xludf.DUMMYFUNCTION("""COMPUTED_VALUE"""),"ExecutedQty")</f>
        <v>ExecutedQty</v>
      </c>
      <c r="AR5" s="30" t="str">
        <f>IFERROR(__xludf.DUMMYFUNCTION("""COMPUTED_VALUE"""),"ExpirationDate")</f>
        <v>ExpirationDate</v>
      </c>
      <c r="AS5" s="30" t="str">
        <f>IFERROR(__xludf.DUMMYFUNCTION("""COMPUTED_VALUE"""),"ExternalTransID")</f>
        <v>ExternalTransID</v>
      </c>
      <c r="AT5" s="30" t="str">
        <f>IFERROR(__xludf.DUMMYFUNCTION("""COMPUTED_VALUE"""),"FXConversionMethodOperator")</f>
        <v>FXConversionMethodOperator</v>
      </c>
      <c r="AU5" s="30" t="str">
        <f>IFERROR(__xludf.DUMMYFUNCTION("""COMPUTED_VALUE"""),"FXRate")</f>
        <v>FXRate</v>
      </c>
      <c r="AV5" s="30" t="str">
        <f>IFERROR(__xludf.DUMMYFUNCTION("""COMPUTED_VALUE"""),"GroupID")</f>
        <v>GroupID</v>
      </c>
      <c r="AW5" s="30" t="str">
        <f>IFERROR(__xludf.DUMMYFUNCTION("""COMPUTED_VALUE"""),"IDCOSymbol")</f>
        <v>IDCOSymbol</v>
      </c>
      <c r="AX5" s="30" t="str">
        <f>IFERROR(__xludf.DUMMYFUNCTION("""COMPUTED_VALUE"""),"InternalComments")</f>
        <v>InternalComments</v>
      </c>
      <c r="AY5" s="30" t="str">
        <f>IFERROR(__xludf.DUMMYFUNCTION("""COMPUTED_VALUE"""),"IsExerciseAtZero")</f>
        <v>IsExerciseAtZero</v>
      </c>
      <c r="AZ5" s="30" t="str">
        <f>IFERROR(__xludf.DUMMYFUNCTION("""COMPUTED_VALUE"""),"ISINSymbol")</f>
        <v>ISINSymbol</v>
      </c>
      <c r="BA5" s="30" t="str">
        <f>IFERROR(__xludf.DUMMYFUNCTION("""COMPUTED_VALUE"""),"IsNDF")</f>
        <v>IsNDF</v>
      </c>
      <c r="BB5" s="30" t="str">
        <f>IFERROR(__xludf.DUMMYFUNCTION("""COMPUTED_VALUE"""),"IsPosition")</f>
        <v>IsPosition</v>
      </c>
      <c r="BC5" s="30" t="str">
        <f>IFERROR(__xludf.DUMMYFUNCTION("""COMPUTED_VALUE"""),"IsPreAllocated")</f>
        <v>IsPreAllocated</v>
      </c>
      <c r="BD5" s="30" t="str">
        <f>IFERROR(__xludf.DUMMYFUNCTION("""COMPUTED_VALUE"""),"Issuer")</f>
        <v>Issuer</v>
      </c>
      <c r="BE5" s="30" t="str">
        <f>IFERROR(__xludf.DUMMYFUNCTION("""COMPUTED_VALUE"""),"IsSwapped")</f>
        <v>IsSwapped</v>
      </c>
      <c r="BF5" s="30" t="str">
        <f>IFERROR(__xludf.DUMMYFUNCTION("""COMPUTED_VALUE"""),"LeadCurrencyID")</f>
        <v>LeadCurrencyID</v>
      </c>
      <c r="BG5" s="30" t="str">
        <f>IFERROR(__xludf.DUMMYFUNCTION("""COMPUTED_VALUE"""),"LiquidTag")</f>
        <v>LiquidTag</v>
      </c>
      <c r="BH5" s="30" t="str">
        <f>IFERROR(__xludf.DUMMYFUNCTION("""COMPUTED_VALUE"""),"LongOrShort")</f>
        <v>LongOrShort</v>
      </c>
      <c r="BI5" s="30" t="str">
        <f>IFERROR(__xludf.DUMMYFUNCTION("""COMPUTED_VALUE"""),"LotId")</f>
        <v>LotId</v>
      </c>
      <c r="BJ5" s="30" t="str">
        <f>IFERROR(__xludf.DUMMYFUNCTION("""COMPUTED_VALUE"""),"M2MProfitLoss")</f>
        <v>M2MProfitLoss</v>
      </c>
      <c r="BK5" s="30" t="str">
        <f>IFERROR(__xludf.DUMMYFUNCTION("""COMPUTED_VALUE"""),"MarkPrice")</f>
        <v>MarkPrice</v>
      </c>
      <c r="BL5" s="30" t="str">
        <f>IFERROR(__xludf.DUMMYFUNCTION("""COMPUTED_VALUE"""),"MasterFund")</f>
        <v>MasterFund</v>
      </c>
      <c r="BM5" s="30" t="str">
        <f>IFERROR(__xludf.DUMMYFUNCTION("""COMPUTED_VALUE"""),"MiscFees")</f>
        <v>MiscFees</v>
      </c>
      <c r="BN5" s="30" t="str">
        <f>IFERROR(__xludf.DUMMYFUNCTION("""COMPUTED_VALUE"""),"NavLockStatus")</f>
        <v>NavLockStatus</v>
      </c>
      <c r="BO5" s="30" t="str">
        <f>IFERROR(__xludf.DUMMYFUNCTION("""COMPUTED_VALUE"""),"Net Notional")</f>
        <v>Net Notional</v>
      </c>
      <c r="BP5" s="30" t="str">
        <f>IFERROR(__xludf.DUMMYFUNCTION("""COMPUTED_VALUE"""),"NirvanaProcessDate")</f>
        <v>NirvanaProcessDate</v>
      </c>
      <c r="BQ5" s="30" t="str">
        <f>IFERROR(__xludf.DUMMYFUNCTION("""COMPUTED_VALUE"""),"OccFee")</f>
        <v>OccFee</v>
      </c>
      <c r="BR5" s="30" t="str">
        <f>IFERROR(__xludf.DUMMYFUNCTION("""COMPUTED_VALUE"""),"OptionPremiumAdjustment")</f>
        <v>OptionPremiumAdjustment</v>
      </c>
      <c r="BS5" s="30" t="str">
        <f>IFERROR(__xludf.DUMMYFUNCTION("""COMPUTED_VALUE"""),"OrderSideTagValue")</f>
        <v>OrderSideTagValue</v>
      </c>
      <c r="BT5" s="30" t="str">
        <f>IFERROR(__xludf.DUMMYFUNCTION("""COMPUTED_VALUE"""),"OrderType")</f>
        <v>OrderType</v>
      </c>
      <c r="BU5" s="30" t="str">
        <f>IFERROR(__xludf.DUMMYFUNCTION("""COMPUTED_VALUE"""),"OrfFee")</f>
        <v>OrfFee</v>
      </c>
      <c r="BV5" s="30" t="str">
        <f>IFERROR(__xludf.DUMMYFUNCTION("""COMPUTED_VALUE"""),"Original Side")</f>
        <v>Original Side</v>
      </c>
      <c r="BW5" s="30" t="str">
        <f>IFERROR(__xludf.DUMMYFUNCTION("""COMPUTED_VALUE"""),"OriginalPurchase Date")</f>
        <v>OriginalPurchase Date</v>
      </c>
      <c r="BX5" s="30" t="str">
        <f>IFERROR(__xludf.DUMMYFUNCTION("""COMPUTED_VALUE"""),"OSISymbol")</f>
        <v>OSISymbol</v>
      </c>
      <c r="BY5" s="30" t="str">
        <f>IFERROR(__xludf.DUMMYFUNCTION("""COMPUTED_VALUE"""),"OtherBrokerFees")</f>
        <v>OtherBrokerFees</v>
      </c>
      <c r="BZ5" s="30" t="str">
        <f>IFERROR(__xludf.DUMMYFUNCTION("""COMPUTED_VALUE"""),"ParentRowPK")</f>
        <v>ParentRowPK</v>
      </c>
      <c r="CA5" s="30" t="str">
        <f>IFERROR(__xludf.DUMMYFUNCTION("""COMPUTED_VALUE"""),"Percentage")</f>
        <v>Percentage</v>
      </c>
      <c r="CB5" s="30" t="str">
        <f>IFERROR(__xludf.DUMMYFUNCTION("""COMPUTED_VALUE"""),"PositionTag")</f>
        <v>PositionTag</v>
      </c>
      <c r="CC5" s="30" t="str">
        <f>IFERROR(__xludf.DUMMYFUNCTION("""COMPUTED_VALUE"""),"PositionType")</f>
        <v>PositionType</v>
      </c>
      <c r="CD5" s="30" t="str">
        <f>IFERROR(__xludf.DUMMYFUNCTION("""COMPUTED_VALUE"""),"Process Date")</f>
        <v>Process Date</v>
      </c>
      <c r="CE5" s="30" t="str">
        <f>IFERROR(__xludf.DUMMYFUNCTION("""COMPUTED_VALUE"""),"ProxySymbol")</f>
        <v>ProxySymbol</v>
      </c>
      <c r="CF5" s="30" t="str">
        <f>IFERROR(__xludf.DUMMYFUNCTION("""COMPUTED_VALUE"""),"PutOrCall")</f>
        <v>PutOrCall</v>
      </c>
      <c r="CG5" s="30" t="str">
        <f>IFERROR(__xludf.DUMMYFUNCTION("""COMPUTED_VALUE"""),"Quantity")</f>
        <v>Quantity</v>
      </c>
      <c r="CH5" s="30" t="str">
        <f>IFERROR(__xludf.DUMMYFUNCTION("""COMPUTED_VALUE"""),"Region")</f>
        <v>Region</v>
      </c>
      <c r="CI5" s="30" t="str">
        <f>IFERROR(__xludf.DUMMYFUNCTION("""COMPUTED_VALUE"""),"ReutersSymbol")</f>
        <v>ReutersSymbol</v>
      </c>
      <c r="CJ5" s="30" t="str">
        <f>IFERROR(__xludf.DUMMYFUNCTION("""COMPUTED_VALUE"""),"RiskCurrency")</f>
        <v>RiskCurrency</v>
      </c>
      <c r="CK5" s="30" t="str">
        <f>IFERROR(__xludf.DUMMYFUNCTION("""COMPUTED_VALUE"""),"SecFee")</f>
        <v>SecFee</v>
      </c>
      <c r="CL5" s="30" t="str">
        <f>IFERROR(__xludf.DUMMYFUNCTION("""COMPUTED_VALUE"""),"SectorName")</f>
        <v>SectorName</v>
      </c>
      <c r="CM5" s="30" t="str">
        <f>IFERROR(__xludf.DUMMYFUNCTION("""COMPUTED_VALUE"""),"Security Name")</f>
        <v>Security Name</v>
      </c>
      <c r="CN5" s="30" t="str">
        <f>IFERROR(__xludf.DUMMYFUNCTION("""COMPUTED_VALUE"""),"SecurityTypeName")</f>
        <v>SecurityTypeName</v>
      </c>
      <c r="CO5" s="30" t="str">
        <f>IFERROR(__xludf.DUMMYFUNCTION("""COMPUTED_VALUE"""),"SedolSymbol")</f>
        <v>SedolSymbol</v>
      </c>
      <c r="CP5" s="30" t="str">
        <f>IFERROR(__xludf.DUMMYFUNCTION("""COMPUTED_VALUE"""),"SettlCurrAmt")</f>
        <v>SettlCurrAmt</v>
      </c>
      <c r="CQ5" s="30" t="str">
        <f>IFERROR(__xludf.DUMMYFUNCTION("""COMPUTED_VALUE"""),"SettlCurrFxRate")</f>
        <v>SettlCurrFxRate</v>
      </c>
      <c r="CR5" s="30" t="str">
        <f>IFERROR(__xludf.DUMMYFUNCTION("""COMPUTED_VALUE"""),"SettlCurrFxRateCalc")</f>
        <v>SettlCurrFxRateCalc</v>
      </c>
      <c r="CS5" s="30" t="str">
        <f>IFERROR(__xludf.DUMMYFUNCTION("""COMPUTED_VALUE"""),"SettlCurrUnitCost")</f>
        <v>SettlCurrUnitCost</v>
      </c>
      <c r="CT5" s="30" t="str">
        <f>IFERROR(__xludf.DUMMYFUNCTION("""COMPUTED_VALUE"""),"Settlement Mode")</f>
        <v>Settlement Mode</v>
      </c>
      <c r="CU5" s="30" t="str">
        <f>IFERROR(__xludf.DUMMYFUNCTION("""COMPUTED_VALUE"""),"Settlement Qty")</f>
        <v>Settlement Qty</v>
      </c>
      <c r="CV5" s="30" t="str">
        <f>IFERROR(__xludf.DUMMYFUNCTION("""COMPUTED_VALUE"""),"SettlementCurrencyID")</f>
        <v>SettlementCurrencyID</v>
      </c>
      <c r="CW5" s="30" t="str">
        <f>IFERROR(__xludf.DUMMYFUNCTION("""COMPUTED_VALUE"""),"SettlementDate")</f>
        <v>SettlementDate</v>
      </c>
      <c r="CX5" s="30" t="str">
        <f>IFERROR(__xludf.DUMMYFUNCTION("""COMPUTED_VALUE"""),"SideMultiplier")</f>
        <v>SideMultiplier</v>
      </c>
      <c r="CY5" s="30" t="str">
        <f>IFERROR(__xludf.DUMMYFUNCTION("""COMPUTED_VALUE"""),"SoftCommission")</f>
        <v>SoftCommission</v>
      </c>
      <c r="CZ5" s="30" t="str">
        <f>IFERROR(__xludf.DUMMYFUNCTION("""COMPUTED_VALUE"""),"SoftCommissionAmt")</f>
        <v>SoftCommissionAmt</v>
      </c>
      <c r="DA5" s="30" t="str">
        <f>IFERROR(__xludf.DUMMYFUNCTION("""COMPUTED_VALUE"""),"SoftCommissionCalcBasis")</f>
        <v>SoftCommissionCalcBasis</v>
      </c>
      <c r="DB5" s="30" t="str">
        <f>IFERROR(__xludf.DUMMYFUNCTION("""COMPUTED_VALUE"""),"SoftCommissionRate")</f>
        <v>SoftCommissionRate</v>
      </c>
      <c r="DC5" s="30" t="str">
        <f>IFERROR(__xludf.DUMMYFUNCTION("""COMPUTED_VALUE"""),"StampDuty")</f>
        <v>StampDuty</v>
      </c>
      <c r="DD5" s="30" t="str">
        <f>IFERROR(__xludf.DUMMYFUNCTION("""COMPUTED_VALUE"""),"Strategy")</f>
        <v>Strategy</v>
      </c>
      <c r="DE5" s="30" t="str">
        <f>IFERROR(__xludf.DUMMYFUNCTION("""COMPUTED_VALUE"""),"Strike Price")</f>
        <v>Strike Price</v>
      </c>
      <c r="DF5" s="30" t="str">
        <f>IFERROR(__xludf.DUMMYFUNCTION("""COMPUTED_VALUE"""),"SubSectorName")</f>
        <v>SubSectorName</v>
      </c>
      <c r="DG5" s="30" t="str">
        <f>IFERROR(__xludf.DUMMYFUNCTION("""COMPUTED_VALUE"""),"SwapParameters")</f>
        <v>SwapParameters</v>
      </c>
      <c r="DH5" s="30" t="str">
        <f>IFERROR(__xludf.DUMMYFUNCTION("""COMPUTED_VALUE"""),"Symbol")</f>
        <v>Symbol</v>
      </c>
      <c r="DI5" s="30" t="str">
        <f>IFERROR(__xludf.DUMMYFUNCTION("""COMPUTED_VALUE"""),"TaxlotClosingId")</f>
        <v>TaxlotClosingId</v>
      </c>
      <c r="DJ5" s="30" t="str">
        <f>IFERROR(__xludf.DUMMYFUNCTION("""COMPUTED_VALUE"""),"TaxLotID")</f>
        <v>TaxLotID</v>
      </c>
      <c r="DK5" s="30" t="str">
        <f>IFERROR(__xludf.DUMMYFUNCTION("""COMPUTED_VALUE"""),"TaxlotPk")</f>
        <v>TaxlotPk</v>
      </c>
      <c r="DL5" s="30" t="str">
        <f>IFERROR(__xludf.DUMMYFUNCTION("""COMPUTED_VALUE"""),"TaxLotQtyToClose")</f>
        <v>TaxLotQtyToClose</v>
      </c>
      <c r="DM5" s="30" t="str">
        <f>IFERROR(__xludf.DUMMYFUNCTION("""COMPUTED_VALUE"""),"TaxonCommissions")</f>
        <v>TaxonCommissions</v>
      </c>
      <c r="DN5" s="30" t="str">
        <f>IFERROR(__xludf.DUMMYFUNCTION("""COMPUTED_VALUE"""),"TimeOfSaveUTC")</f>
        <v>TimeOfSaveUTC</v>
      </c>
      <c r="DO5" s="30" t="str">
        <f>IFERROR(__xludf.DUMMYFUNCTION("""COMPUTED_VALUE"""),"TotalCommission&amp;Fees")</f>
        <v>TotalCommission&amp;Fees</v>
      </c>
      <c r="DP5" s="30" t="str">
        <f>IFERROR(__xludf.DUMMYFUNCTION("""COMPUTED_VALUE"""),"TotalCommissionandFees")</f>
        <v>TotalCommissionandFees</v>
      </c>
      <c r="DQ5" s="30" t="str">
        <f>IFERROR(__xludf.DUMMYFUNCTION("""COMPUTED_VALUE"""),"Tradedate")</f>
        <v>Tradedate</v>
      </c>
      <c r="DR5" s="30" t="str">
        <f>IFERROR(__xludf.DUMMYFUNCTION("""COMPUTED_VALUE"""),"TradeAttribute1")</f>
        <v>TradeAttribute1</v>
      </c>
      <c r="DS5" s="30" t="str">
        <f>IFERROR(__xludf.DUMMYFUNCTION("""COMPUTED_VALUE"""),"TradeAttribute2")</f>
        <v>TradeAttribute2</v>
      </c>
      <c r="DT5" s="30" t="str">
        <f>IFERROR(__xludf.DUMMYFUNCTION("""COMPUTED_VALUE"""),"TradeAttribute3")</f>
        <v>TradeAttribute3</v>
      </c>
      <c r="DU5" s="30" t="str">
        <f>IFERROR(__xludf.DUMMYFUNCTION("""COMPUTED_VALUE"""),"TradeAttribute4")</f>
        <v>TradeAttribute4</v>
      </c>
      <c r="DV5" s="30" t="str">
        <f>IFERROR(__xludf.DUMMYFUNCTION("""COMPUTED_VALUE"""),"TradeAttribute5")</f>
        <v>TradeAttribute5</v>
      </c>
      <c r="DW5" s="30" t="str">
        <f>IFERROR(__xludf.DUMMYFUNCTION("""COMPUTED_VALUE"""),"TradeAttribute6")</f>
        <v>TradeAttribute6</v>
      </c>
      <c r="DX5" s="30" t="str">
        <f>IFERROR(__xludf.DUMMYFUNCTION("""COMPUTED_VALUE"""),"TradingAccountName")</f>
        <v>TradingAccountName</v>
      </c>
      <c r="DY5" s="30" t="str">
        <f>IFERROR(__xludf.DUMMYFUNCTION("""COMPUTED_VALUE"""),"TransactionLevy")</f>
        <v>TransactionLevy</v>
      </c>
      <c r="DZ5" s="30" t="str">
        <f>IFERROR(__xludf.DUMMYFUNCTION("""COMPUTED_VALUE"""),"TransactionType")</f>
        <v>TransactionType</v>
      </c>
      <c r="EA5" s="30" t="str">
        <f>IFERROR(__xludf.DUMMYFUNCTION("""COMPUTED_VALUE"""),"UcitsEligibleTag")</f>
        <v>UcitsEligibleTag</v>
      </c>
      <c r="EB5" s="30" t="str">
        <f>IFERROR(__xludf.DUMMYFUNCTION("""COMPUTED_VALUE"""),"UDAAsset")</f>
        <v>UDAAsset</v>
      </c>
      <c r="EC5" s="30" t="str">
        <f>IFERROR(__xludf.DUMMYFUNCTION("""COMPUTED_VALUE"""),"UnderlyingDelta")</f>
        <v>UnderlyingDelta</v>
      </c>
      <c r="ED5" s="30" t="str">
        <f>IFERROR(__xludf.DUMMYFUNCTION("""COMPUTED_VALUE"""),"UnderlyingName")</f>
        <v>UnderlyingName</v>
      </c>
      <c r="EE5" s="30" t="str">
        <f>IFERROR(__xludf.DUMMYFUNCTION("""COMPUTED_VALUE"""),"UnderlyingSymbol")</f>
        <v>UnderlyingSymbol</v>
      </c>
      <c r="EF5" s="30" t="str">
        <f>IFERROR(__xludf.DUMMYFUNCTION("""COMPUTED_VALUE"""),"UnitCost")</f>
        <v>UnitCost</v>
      </c>
      <c r="EG5" s="30" t="str">
        <f>IFERROR(__xludf.DUMMYFUNCTION("""COMPUTED_VALUE"""),"UnRealizedPNL")</f>
        <v>UnRealizedPNL</v>
      </c>
      <c r="EH5" s="30" t="str">
        <f>IFERROR(__xludf.DUMMYFUNCTION("""COMPUTED_VALUE"""),"Venue")</f>
        <v>Venue</v>
      </c>
      <c r="EI5" s="30" t="str">
        <f>IFERROR(__xludf.DUMMYFUNCTION("""COMPUTED_VALUE"""),"VsCurrencyID")</f>
        <v>VsCurrencyID</v>
      </c>
      <c r="EJ5" s="30" t="str">
        <f>IFERROR(__xludf.DUMMYFUNCTION("""COMPUTED_VALUE"""),"WorkflowState")</f>
        <v>WorkflowState</v>
      </c>
      <c r="EK5" s="30" t="str">
        <f>IFERROR(__xludf.DUMMYFUNCTION("""COMPUTED_VALUE"""),"AvgPriceBase")</f>
        <v>AvgPriceBase</v>
      </c>
      <c r="EL5" s="30" t="str">
        <f>IFERROR(__xludf.DUMMYFUNCTION("""COMPUTED_VALUE"""),"MarketCap")</f>
        <v>MarketCap</v>
      </c>
      <c r="EM5" s="30" t="str">
        <f>IFERROR(__xludf.DUMMYFUNCTION("""COMPUTED_VALUE"""),"UnitCostBase")</f>
        <v>UnitCostBase</v>
      </c>
      <c r="EN5" s="30" t="str">
        <f>IFERROR(__xludf.DUMMYFUNCTION("""COMPUTED_VALUE"""),"ITM/OTM")</f>
        <v>ITM/OTM</v>
      </c>
      <c r="EO5" s="30" t="str">
        <f>IFERROR(__xludf.DUMMYFUNCTION("""COMPUTED_VALUE"""),"Days to Expiry")</f>
        <v>Days to Expiry</v>
      </c>
      <c r="EP5" s="30" t="str">
        <f>IFERROR(__xludf.DUMMYFUNCTION("""COMPUTED_VALUE"""),"% of Underlying Price")</f>
        <v>% of Underlying Price</v>
      </c>
      <c r="EQ5" s="30" t="str">
        <f>IFERROR(__xludf.DUMMYFUNCTION("""COMPUTED_VALUE"""),"Intrinsic value")</f>
        <v>Intrinsic value</v>
      </c>
      <c r="ER5" s="30" t="str">
        <f>IFERROR(__xludf.DUMMYFUNCTION("""COMPUTED_VALUE"""),"Gain/Loss if Ex./Assign")</f>
        <v>Gain/Loss if Ex./Assign</v>
      </c>
      <c r="ES5" s="30"/>
      <c r="ET5" s="30"/>
      <c r="EU5" s="30"/>
      <c r="EV5" s="30"/>
      <c r="EW5" s="30"/>
      <c r="EX5" s="30"/>
    </row>
    <row r="6" ht="15.75" customHeight="1">
      <c r="A6" s="31"/>
      <c r="B6" s="31" t="s">
        <v>34</v>
      </c>
      <c r="C6" s="34"/>
      <c r="D6" s="31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2" t="s">
        <v>16</v>
      </c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4" t="s">
        <v>34</v>
      </c>
      <c r="C7" s="34"/>
      <c r="D7" s="34"/>
      <c r="E7" s="34"/>
      <c r="F7" s="34"/>
      <c r="G7" s="34"/>
      <c r="H7" s="34"/>
      <c r="I7" s="34"/>
      <c r="J7" s="34"/>
      <c r="K7" s="34" t="s">
        <v>25</v>
      </c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34"/>
      <c r="B8" s="34" t="s">
        <v>34</v>
      </c>
      <c r="C8" s="34"/>
      <c r="D8" s="34"/>
      <c r="E8" s="34"/>
      <c r="F8" s="34"/>
      <c r="G8" s="34"/>
      <c r="H8" s="34"/>
      <c r="I8" s="34"/>
      <c r="J8" s="34"/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/>
      <c r="AH8" s="34"/>
      <c r="AI8" s="34"/>
      <c r="AJ8" s="34"/>
      <c r="AK8" s="34"/>
      <c r="AL8" s="34"/>
      <c r="AM8" s="34"/>
      <c r="AN8" s="34"/>
      <c r="AO8" s="34"/>
      <c r="AP8" s="34"/>
      <c r="AQ8" s="34"/>
      <c r="AR8" s="34"/>
      <c r="AS8" s="34"/>
      <c r="AT8" s="34"/>
      <c r="AU8" s="34"/>
      <c r="AV8" s="34"/>
      <c r="AW8" s="34"/>
      <c r="AX8" s="34"/>
      <c r="AY8" s="34"/>
      <c r="AZ8" s="34"/>
      <c r="BA8" s="34"/>
      <c r="BB8" s="34"/>
      <c r="BC8" s="34"/>
      <c r="BD8" s="34"/>
      <c r="BE8" s="34"/>
      <c r="BF8" s="34"/>
      <c r="BG8" s="34"/>
      <c r="BH8" s="34"/>
      <c r="BI8" s="34"/>
      <c r="BJ8" s="34"/>
      <c r="BK8" s="34"/>
      <c r="BL8" s="34"/>
      <c r="BM8" s="34"/>
      <c r="BN8" s="34"/>
      <c r="BO8" s="34"/>
      <c r="BP8" s="34"/>
      <c r="BQ8" s="34"/>
      <c r="BR8" s="34"/>
      <c r="BS8" s="34"/>
      <c r="BT8" s="34"/>
      <c r="BU8" s="34"/>
      <c r="BV8" s="34"/>
      <c r="BW8" s="34"/>
      <c r="BX8" s="34"/>
      <c r="BY8" s="34"/>
      <c r="BZ8" s="34"/>
      <c r="CA8" s="34"/>
      <c r="CB8" s="34"/>
      <c r="CC8" s="34"/>
      <c r="CD8" s="34"/>
      <c r="CE8" s="34"/>
      <c r="CF8" s="34"/>
      <c r="CG8" s="34"/>
      <c r="CH8" s="34"/>
      <c r="CI8" s="34"/>
      <c r="CJ8" s="34"/>
      <c r="CK8" s="34"/>
      <c r="CL8" s="34"/>
      <c r="CM8" s="34"/>
      <c r="CN8" s="34"/>
      <c r="CO8" s="34"/>
      <c r="CP8" s="34"/>
      <c r="CQ8" s="34"/>
      <c r="CR8" s="34"/>
      <c r="CS8" s="34"/>
      <c r="CT8" s="34"/>
      <c r="CU8" s="34"/>
      <c r="CV8" s="34"/>
      <c r="CW8" s="34"/>
      <c r="CX8" s="34"/>
      <c r="CY8" s="34"/>
      <c r="CZ8" s="34"/>
      <c r="DA8" s="34"/>
      <c r="DB8" s="34"/>
      <c r="DC8" s="34"/>
      <c r="DD8" s="38" t="s">
        <v>26</v>
      </c>
      <c r="DE8" s="34"/>
      <c r="DF8" s="34"/>
      <c r="DG8" s="34"/>
      <c r="DH8" s="34"/>
      <c r="DI8" s="34"/>
      <c r="DJ8" s="34"/>
      <c r="DK8" s="34"/>
      <c r="DL8" s="34"/>
      <c r="DM8" s="34"/>
      <c r="DN8" s="34"/>
      <c r="DO8" s="34"/>
      <c r="DP8" s="34"/>
      <c r="DQ8" s="34"/>
      <c r="DR8" s="34"/>
      <c r="DS8" s="34"/>
      <c r="DT8" s="34"/>
      <c r="DU8" s="34"/>
      <c r="DV8" s="34"/>
      <c r="DW8" s="34"/>
      <c r="DX8" s="34"/>
      <c r="DY8" s="34"/>
      <c r="DZ8" s="34"/>
      <c r="EA8" s="34"/>
      <c r="EB8" s="34"/>
      <c r="EC8" s="34"/>
      <c r="ED8" s="34"/>
      <c r="EE8" s="34"/>
      <c r="EF8" s="34"/>
      <c r="EG8" s="34"/>
      <c r="EH8" s="34"/>
      <c r="EI8" s="34"/>
      <c r="EJ8" s="34"/>
      <c r="EK8" s="34"/>
      <c r="EL8" s="34"/>
      <c r="EM8" s="34"/>
      <c r="EN8" s="34"/>
      <c r="EO8" s="34"/>
      <c r="EP8" s="34"/>
      <c r="EQ8" s="34"/>
      <c r="ER8" s="34"/>
      <c r="ES8" s="34"/>
      <c r="ET8" s="34"/>
      <c r="EU8" s="34"/>
      <c r="EV8" s="34"/>
      <c r="EW8" s="34"/>
      <c r="EX8" s="34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SelectTradeUnexpiredUnsettled!$4:$4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IFERROR(__xludf.DUMMYFUNCTION("""COMPUTED_VALUE"""),"AccountValue")</f>
        <v>AccountValue</v>
      </c>
      <c r="D5" s="28" t="str">
        <f>IFERROR(__xludf.DUMMYFUNCTION("""COMPUTED_VALUE"""),"AccruedInterest")</f>
        <v>AccruedInterest</v>
      </c>
      <c r="E5" s="28" t="str">
        <f>IFERROR(__xludf.DUMMYFUNCTION("""COMPUTED_VALUE"""),"Asset")</f>
        <v>Asset</v>
      </c>
      <c r="F5" s="29" t="str">
        <f>IFERROR(__xludf.DUMMYFUNCTION("""COMPUTED_VALUE"""),"AUEC Fee1")</f>
        <v>AUEC Fee1</v>
      </c>
      <c r="G5" s="28" t="str">
        <f>IFERROR(__xludf.DUMMYFUNCTION("""COMPUTED_VALUE"""),"AUCE Fee2")</f>
        <v>AUCE Fee2</v>
      </c>
      <c r="H5" s="28" t="str">
        <f>IFERROR(__xludf.DUMMYFUNCTION("""COMPUTED_VALUE"""),"AUECID")</f>
        <v>AUECID</v>
      </c>
      <c r="I5" s="28" t="str">
        <f>IFERROR(__xludf.DUMMYFUNCTION("""COMPUTED_VALUE"""),"AUECLocalDateToday")</f>
        <v>AUECLocalDateToday</v>
      </c>
      <c r="J5" s="28" t="str">
        <f>IFERROR(__xludf.DUMMYFUNCTION("""COMPUTED_VALUE"""),"Average Price")</f>
        <v>Average Price</v>
      </c>
      <c r="K5" s="28" t="str">
        <f>IFERROR(__xludf.DUMMYFUNCTION("""COMPUTED_VALUE"""),"AvgPriceRealizedPL")</f>
        <v>AvgPriceRealizedPL</v>
      </c>
      <c r="L5" s="28" t="str">
        <f>IFERROR(__xludf.DUMMYFUNCTION("""COMPUTED_VALUE"""),"Broker")</f>
        <v>Broker</v>
      </c>
      <c r="M5" s="28" t="str">
        <f>IFERROR(__xludf.DUMMYFUNCTION("""COMPUTED_VALUE"""),"Clearing Broker Fee")</f>
        <v>Clearing Broker Fee</v>
      </c>
      <c r="N5" s="28" t="str">
        <f>IFERROR(__xludf.DUMMYFUNCTION("""COMPUTED_VALUE"""),"ClosedQty")</f>
        <v>ClosedQty</v>
      </c>
      <c r="O5" s="28" t="str">
        <f>IFERROR(__xludf.DUMMYFUNCTION("""COMPUTED_VALUE"""),"Commission")</f>
        <v>Commission</v>
      </c>
      <c r="P5" s="28" t="str">
        <f>IFERROR(__xludf.DUMMYFUNCTION("""COMPUTED_VALUE"""),"CostBasisRealizePNL")</f>
        <v>CostBasisRealizePNL</v>
      </c>
      <c r="Q5" s="28" t="str">
        <f>IFERROR(__xludf.DUMMYFUNCTION("""COMPUTED_VALUE"""),"Currency")</f>
        <v>Currency</v>
      </c>
      <c r="R5" s="28" t="str">
        <f>IFERROR(__xludf.DUMMYFUNCTION("""COMPUTED_VALUE"""),"Description")</f>
        <v>Description</v>
      </c>
      <c r="S5" s="28" t="str">
        <f>IFERROR(__xludf.DUMMYFUNCTION("""COMPUTED_VALUE"""),"EndDate")</f>
        <v>EndDate</v>
      </c>
      <c r="T5" s="30" t="str">
        <f>IFERROR(__xludf.DUMMYFUNCTION("""COMPUTED_VALUE"""),"ExchangeID")</f>
        <v>ExchangeID</v>
      </c>
      <c r="U5" s="30" t="str">
        <f>IFERROR(__xludf.DUMMYFUNCTION("""COMPUTED_VALUE"""),"Expiration Date")</f>
        <v>Expiration Date</v>
      </c>
      <c r="V5" s="30" t="str">
        <f>IFERROR(__xludf.DUMMYFUNCTION("""COMPUTED_VALUE"""),"ExpiredQty")</f>
        <v>ExpiredQty</v>
      </c>
      <c r="W5" s="30" t="str">
        <f>IFERROR(__xludf.DUMMYFUNCTION("""COMPUTED_VALUE"""),"ExpiredTaxlotID")</f>
        <v>ExpiredTaxlotID</v>
      </c>
      <c r="X5" s="30" t="str">
        <f>IFERROR(__xludf.DUMMYFUNCTION("""COMPUTED_VALUE"""),"FXRate")</f>
        <v>FXRate</v>
      </c>
      <c r="Y5" s="30" t="str">
        <f>IFERROR(__xludf.DUMMYFUNCTION("""COMPUTED_VALUE"""),"FXRateoperator")</f>
        <v>FXRateoperator</v>
      </c>
      <c r="Z5" s="30" t="str">
        <f>IFERROR(__xludf.DUMMYFUNCTION("""COMPUTED_VALUE"""),"ID")</f>
        <v>ID</v>
      </c>
      <c r="AA5" s="30" t="str">
        <f>IFERROR(__xludf.DUMMYFUNCTION("""COMPUTED_VALUE"""),"If Pay/Recevie Changes")</f>
        <v>If Pay/Recevie Changes</v>
      </c>
      <c r="AB5" s="30" t="str">
        <f>IFERROR(__xludf.DUMMYFUNCTION("""COMPUTED_VALUE"""),"IntPositionType")</f>
        <v>IntPositionType</v>
      </c>
      <c r="AC5" s="30" t="str">
        <f>IFERROR(__xludf.DUMMYFUNCTION("""COMPUTED_VALUE"""),"LeadCurrencyID")</f>
        <v>LeadCurrencyID</v>
      </c>
      <c r="AD5" s="30" t="str">
        <f>IFERROR(__xludf.DUMMYFUNCTION("""COMPUTED_VALUE"""),"Leveraged Factor")</f>
        <v>Leveraged Factor</v>
      </c>
      <c r="AE5" s="30" t="str">
        <f>IFERROR(__xludf.DUMMYFUNCTION("""COMPUTED_VALUE"""),"MarkPriceForMonth")</f>
        <v>MarkPriceForMonth</v>
      </c>
      <c r="AF5" s="30" t="str">
        <f>IFERROR(__xludf.DUMMYFUNCTION("""COMPUTED_VALUE"""),"MonthToDateRealizedProfit")</f>
        <v>MonthToDateRealizedProfit</v>
      </c>
      <c r="AG5" s="30" t="str">
        <f>IFERROR(__xludf.DUMMYFUNCTION("""COMPUTED_VALUE"""),"Multiplier")</f>
        <v>Multiplier</v>
      </c>
      <c r="AH5" s="30" t="str">
        <f>IFERROR(__xludf.DUMMYFUNCTION("""COMPUTED_VALUE"""),"NotionalValue")</f>
        <v>NotionalValue</v>
      </c>
      <c r="AI5" s="30" t="str">
        <f>IFERROR(__xludf.DUMMYFUNCTION("""COMPUTED_VALUE"""),"OCC Fee")</f>
        <v>OCC Fee</v>
      </c>
      <c r="AJ5" s="30" t="str">
        <f>IFERROR(__xludf.DUMMYFUNCTION("""COMPUTED_VALUE"""),"OpenQty")</f>
        <v>OpenQty</v>
      </c>
      <c r="AK5" s="30" t="str">
        <f>IFERROR(__xludf.DUMMYFUNCTION("""COMPUTED_VALUE"""),"Option Activated")</f>
        <v>Option Activated</v>
      </c>
      <c r="AL5" s="30" t="str">
        <f>IFERROR(__xludf.DUMMYFUNCTION("""COMPUTED_VALUE"""),"Option Type")</f>
        <v>Option Type</v>
      </c>
      <c r="AM5" s="30" t="str">
        <f>IFERROR(__xludf.DUMMYFUNCTION("""COMPUTED_VALUE"""),"OptionPremiumAdjustment")</f>
        <v>OptionPremiumAdjustment</v>
      </c>
      <c r="AN5" s="30" t="str">
        <f>IFERROR(__xludf.DUMMYFUNCTION("""COMPUTED_VALUE"""),"ORF Fee")</f>
        <v>ORF Fee</v>
      </c>
      <c r="AO5" s="30" t="str">
        <f>IFERROR(__xludf.DUMMYFUNCTION("""COMPUTED_VALUE"""),"Original Side")</f>
        <v>Original Side</v>
      </c>
      <c r="AP5" s="30" t="str">
        <f>IFERROR(__xludf.DUMMYFUNCTION("""COMPUTED_VALUE"""),"OriginalPurchaseDate")</f>
        <v>OriginalPurchaseDate</v>
      </c>
      <c r="AQ5" s="30" t="str">
        <f>IFERROR(__xludf.DUMMYFUNCTION("""COMPUTED_VALUE"""),"Other Broker Fees")</f>
        <v>Other Broker Fees</v>
      </c>
      <c r="AR5" s="30" t="str">
        <f>IFERROR(__xludf.DUMMYFUNCTION("""COMPUTED_VALUE"""),"ParentTradeDate")</f>
        <v>ParentTradeDate</v>
      </c>
      <c r="AS5" s="30" t="str">
        <f>IFERROR(__xludf.DUMMYFUNCTION("""COMPUTED_VALUE"""),"Pay/Recive")</f>
        <v>Pay/Recive</v>
      </c>
      <c r="AT5" s="30" t="str">
        <f>IFERROR(__xludf.DUMMYFUNCTION("""COMPUTED_VALUE"""),"PositionType")</f>
        <v>PositionType</v>
      </c>
      <c r="AU5" s="30" t="str">
        <f>IFERROR(__xludf.DUMMYFUNCTION("""COMPUTED_VALUE"""),"ProcessDate")</f>
        <v>ProcessDate</v>
      </c>
      <c r="AV5" s="30" t="str">
        <f>IFERROR(__xludf.DUMMYFUNCTION("""COMPUTED_VALUE"""),"QtyCurrency")</f>
        <v>QtyCurrency</v>
      </c>
      <c r="AW5" s="30" t="str">
        <f>IFERROR(__xludf.DUMMYFUNCTION("""COMPUTED_VALUE"""),"Quantity")</f>
        <v>Quantity</v>
      </c>
      <c r="AX5" s="30" t="str">
        <f>IFERROR(__xludf.DUMMYFUNCTION("""COMPUTED_VALUE"""),"RecordType")</f>
        <v>RecordType</v>
      </c>
      <c r="AY5" s="30" t="str">
        <f>IFERROR(__xludf.DUMMYFUNCTION("""COMPUTED_VALUE"""),"SEC Fee")</f>
        <v>SEC Fee</v>
      </c>
      <c r="AZ5" s="30" t="str">
        <f>IFERROR(__xludf.DUMMYFUNCTION("""COMPUTED_VALUE"""),"Settlement Currency")</f>
        <v>Settlement Currency</v>
      </c>
      <c r="BA5" s="30" t="str">
        <f>IFERROR(__xludf.DUMMYFUNCTION("""COMPUTED_VALUE"""),"Settlement Date")</f>
        <v>Settlement Date</v>
      </c>
      <c r="BB5" s="30" t="str">
        <f>IFERROR(__xludf.DUMMYFUNCTION("""COMPUTED_VALUE"""),"Settlement FxRate")</f>
        <v>Settlement FxRate</v>
      </c>
      <c r="BC5" s="30" t="str">
        <f>IFERROR(__xludf.DUMMYFUNCTION("""COMPUTED_VALUE"""),"Settlement FxRate Operator")</f>
        <v>Settlement FxRate Operator</v>
      </c>
      <c r="BD5" s="30" t="str">
        <f>IFERROR(__xludf.DUMMYFUNCTION("""COMPUTED_VALUE"""),"Settlement Price")</f>
        <v>Settlement Price</v>
      </c>
      <c r="BE5" s="30" t="str">
        <f>IFERROR(__xludf.DUMMYFUNCTION("""COMPUTED_VALUE"""),"Side")</f>
        <v>Side</v>
      </c>
      <c r="BF5" s="30" t="str">
        <f>IFERROR(__xludf.DUMMYFUNCTION("""COMPUTED_VALUE"""),"Soft Commission")</f>
        <v>Soft Commission</v>
      </c>
      <c r="BG5" s="30" t="str">
        <f>IFERROR(__xludf.DUMMYFUNCTION("""COMPUTED_VALUE"""),"Stamp Duty")</f>
        <v>Stamp Duty</v>
      </c>
      <c r="BH5" s="30" t="str">
        <f>IFERROR(__xludf.DUMMYFUNCTION("""COMPUTED_VALUE"""),"StartTaxlotID")</f>
        <v>StartTaxlotID</v>
      </c>
      <c r="BI5" s="30" t="str">
        <f>IFERROR(__xludf.DUMMYFUNCTION("""COMPUTED_VALUE"""),"Status")</f>
        <v>Status</v>
      </c>
      <c r="BJ5" s="30" t="str">
        <f>IFERROR(__xludf.DUMMYFUNCTION("""COMPUTED_VALUE"""),"Strategy")</f>
        <v>Strategy</v>
      </c>
      <c r="BK5" s="30" t="str">
        <f>IFERROR(__xludf.DUMMYFUNCTION("""COMPUTED_VALUE"""),"Strike Price")</f>
        <v>Strike Price</v>
      </c>
      <c r="BL5" s="30" t="str">
        <f>IFERROR(__xludf.DUMMYFUNCTION("""COMPUTED_VALUE"""),"Symbol")</f>
        <v>Symbol</v>
      </c>
      <c r="BM5" s="30" t="str">
        <f>IFERROR(__xludf.DUMMYFUNCTION("""COMPUTED_VALUE"""),"SymbolAveragePrice")</f>
        <v>SymbolAveragePrice</v>
      </c>
      <c r="BN5" s="30" t="str">
        <f>IFERROR(__xludf.DUMMYFUNCTION("""COMPUTED_VALUE"""),"Tax On Commissions")</f>
        <v>Tax On Commissions</v>
      </c>
      <c r="BO5" s="30" t="str">
        <f>IFERROR(__xludf.DUMMYFUNCTION("""COMPUTED_VALUE"""),"TaxLotClosingId")</f>
        <v>TaxLotClosingId</v>
      </c>
      <c r="BP5" s="30" t="str">
        <f>IFERROR(__xludf.DUMMYFUNCTION("""COMPUTED_VALUE"""),"Trade Date")</f>
        <v>Trade Date</v>
      </c>
      <c r="BQ5" s="30" t="str">
        <f>IFERROR(__xludf.DUMMYFUNCTION("""COMPUTED_VALUE"""),"Transaction Levy")</f>
        <v>Transaction Levy</v>
      </c>
      <c r="BR5" s="30" t="str">
        <f>IFERROR(__xludf.DUMMYFUNCTION("""COMPUTED_VALUE"""),"Transaction Type")</f>
        <v>Transaction Type</v>
      </c>
      <c r="BS5" s="30" t="str">
        <f>IFERROR(__xludf.DUMMYFUNCTION("""COMPUTED_VALUE"""),"TransactionSource")</f>
        <v>TransactionSource</v>
      </c>
      <c r="BT5" s="30" t="str">
        <f>IFERROR(__xludf.DUMMYFUNCTION("""COMPUTED_VALUE"""),"Underlying Symbol")</f>
        <v>Underlying Symbol</v>
      </c>
      <c r="BU5" s="30" t="str">
        <f>IFERROR(__xludf.DUMMYFUNCTION("""COMPUTED_VALUE"""),"UnderlyingID")</f>
        <v>UnderlyingID</v>
      </c>
      <c r="BV5" s="30" t="str">
        <f>IFERROR(__xludf.DUMMYFUNCTION("""COMPUTED_VALUE"""),"Venue")</f>
        <v>Venue</v>
      </c>
      <c r="BW5" s="30" t="str">
        <f>IFERROR(__xludf.DUMMYFUNCTION("""COMPUTED_VALUE"""),"Settlement Qty")</f>
        <v>Settlement Qty</v>
      </c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4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ExerciseAssignment!$4:$4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36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31</v>
      </c>
      <c r="C6" s="42" t="s">
        <v>32</v>
      </c>
      <c r="D6" s="42">
        <f>TODAY()</f>
        <v>45048</v>
      </c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36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44" t="s">
        <v>39</v>
      </c>
      <c r="B6" s="44" t="s">
        <v>34</v>
      </c>
      <c r="C6" s="8" t="s">
        <v>39</v>
      </c>
      <c r="D6" s="44"/>
      <c r="E6" s="8">
        <v>1100.0</v>
      </c>
      <c r="F6" s="8" t="s">
        <v>40</v>
      </c>
      <c r="G6" s="8" t="s">
        <v>41</v>
      </c>
      <c r="H6" s="8"/>
      <c r="I6" s="8"/>
      <c r="J6" s="8"/>
      <c r="K6" s="8"/>
      <c r="L6" s="8"/>
      <c r="M6" s="8"/>
      <c r="N6" s="8" t="s">
        <v>39</v>
      </c>
      <c r="O6" s="8" t="s">
        <v>42</v>
      </c>
      <c r="Y6" t="s">
        <v>39</v>
      </c>
      <c r="Z6" t="s">
        <v>43</v>
      </c>
      <c r="AD6" t="s">
        <v>44</v>
      </c>
      <c r="AF6" t="s">
        <v>39</v>
      </c>
      <c r="BM6" t="s">
        <v>43</v>
      </c>
      <c r="BO6" t="s">
        <v>23</v>
      </c>
      <c r="BT6" t="s">
        <v>22</v>
      </c>
      <c r="CI6" t="s">
        <v>23</v>
      </c>
      <c r="CK6" t="s">
        <v>45</v>
      </c>
      <c r="CM6" t="s">
        <v>22</v>
      </c>
      <c r="CV6" t="s">
        <v>39</v>
      </c>
      <c r="CW6" t="s">
        <v>39</v>
      </c>
      <c r="CX6" t="s">
        <v>39</v>
      </c>
      <c r="CY6" t="s">
        <v>39</v>
      </c>
      <c r="CZ6" t="s">
        <v>39</v>
      </c>
      <c r="DA6" t="s">
        <v>39</v>
      </c>
      <c r="DB6" t="s">
        <v>39</v>
      </c>
      <c r="DC6" t="s">
        <v>39</v>
      </c>
      <c r="DD6" t="s">
        <v>39</v>
      </c>
      <c r="DE6" t="s">
        <v>39</v>
      </c>
      <c r="DF6" t="s">
        <v>39</v>
      </c>
      <c r="DG6" t="s">
        <v>39</v>
      </c>
      <c r="DH6" t="s">
        <v>39</v>
      </c>
      <c r="DI6" t="s">
        <v>39</v>
      </c>
      <c r="DJ6" t="s">
        <v>39</v>
      </c>
      <c r="DK6" t="s">
        <v>39</v>
      </c>
      <c r="DL6" t="s">
        <v>39</v>
      </c>
      <c r="DM6" t="s">
        <v>39</v>
      </c>
      <c r="DN6" t="s">
        <v>39</v>
      </c>
      <c r="DO6" t="s">
        <v>39</v>
      </c>
      <c r="DP6" t="s">
        <v>39</v>
      </c>
      <c r="DQ6" t="s">
        <v>39</v>
      </c>
      <c r="DR6" t="s">
        <v>39</v>
      </c>
      <c r="DS6" t="s">
        <v>39</v>
      </c>
      <c r="DT6" t="s">
        <v>39</v>
      </c>
      <c r="DU6" t="s">
        <v>39</v>
      </c>
      <c r="DV6" t="s">
        <v>39</v>
      </c>
      <c r="DW6" t="s">
        <v>39</v>
      </c>
      <c r="DX6" t="s">
        <v>39</v>
      </c>
      <c r="DY6" t="s">
        <v>39</v>
      </c>
      <c r="DZ6" t="s">
        <v>39</v>
      </c>
      <c r="EA6" t="s">
        <v>39</v>
      </c>
      <c r="EB6" t="s">
        <v>39</v>
      </c>
      <c r="EC6" t="s">
        <v>39</v>
      </c>
      <c r="ED6" t="s">
        <v>39</v>
      </c>
      <c r="EE6" t="s">
        <v>39</v>
      </c>
      <c r="EF6" t="s">
        <v>39</v>
      </c>
      <c r="EG6" t="s">
        <v>39</v>
      </c>
      <c r="EH6" t="s">
        <v>39</v>
      </c>
      <c r="EI6" t="s">
        <v>39</v>
      </c>
      <c r="EJ6" t="s">
        <v>39</v>
      </c>
      <c r="EK6" t="s">
        <v>39</v>
      </c>
      <c r="EL6" t="s">
        <v>39</v>
      </c>
      <c r="EM6" t="s">
        <v>39</v>
      </c>
      <c r="EN6" t="s">
        <v>39</v>
      </c>
      <c r="EO6" t="s">
        <v>39</v>
      </c>
      <c r="EP6" t="s">
        <v>39</v>
      </c>
      <c r="EQ6" t="s">
        <v>39</v>
      </c>
      <c r="ER6" t="s">
        <v>39</v>
      </c>
      <c r="ES6" t="s">
        <v>39</v>
      </c>
      <c r="ET6" t="s">
        <v>39</v>
      </c>
      <c r="EU6" t="s">
        <v>39</v>
      </c>
      <c r="EV6" t="s">
        <v>39</v>
      </c>
      <c r="EW6" t="s">
        <v>39</v>
      </c>
      <c r="EX6" t="s">
        <v>39</v>
      </c>
      <c r="FA6" t="s">
        <v>39</v>
      </c>
      <c r="FB6" t="s">
        <v>39</v>
      </c>
      <c r="FC6" t="s">
        <v>39</v>
      </c>
      <c r="FI6" t="s">
        <v>39</v>
      </c>
      <c r="FK6" t="s">
        <v>39</v>
      </c>
      <c r="FL6" t="s">
        <v>39</v>
      </c>
      <c r="FM6" t="s">
        <v>39</v>
      </c>
      <c r="FN6" t="s">
        <v>39</v>
      </c>
      <c r="FO6" t="s">
        <v>39</v>
      </c>
      <c r="FP6" t="s">
        <v>39</v>
      </c>
      <c r="FQ6" t="s">
        <v>39</v>
      </c>
    </row>
    <row r="7" ht="15.75" customHeight="1">
      <c r="A7" s="8" t="s">
        <v>39</v>
      </c>
      <c r="B7" s="8" t="s">
        <v>34</v>
      </c>
      <c r="C7" s="8" t="s">
        <v>39</v>
      </c>
      <c r="D7" s="8"/>
      <c r="E7" s="8">
        <v>10.0</v>
      </c>
      <c r="F7" s="8" t="s">
        <v>40</v>
      </c>
      <c r="G7" s="8" t="s">
        <v>46</v>
      </c>
      <c r="H7" s="8"/>
      <c r="I7" s="8"/>
      <c r="J7" s="8"/>
      <c r="K7" s="8"/>
      <c r="L7" s="8"/>
      <c r="M7" s="8"/>
      <c r="N7" s="8" t="s">
        <v>39</v>
      </c>
      <c r="O7" s="8" t="s">
        <v>42</v>
      </c>
      <c r="Y7" t="s">
        <v>39</v>
      </c>
      <c r="Z7" t="s">
        <v>43</v>
      </c>
      <c r="AD7" t="s">
        <v>47</v>
      </c>
      <c r="AF7" t="s">
        <v>39</v>
      </c>
      <c r="BM7" t="s">
        <v>43</v>
      </c>
      <c r="BO7" t="s">
        <v>24</v>
      </c>
      <c r="BT7" t="s">
        <v>16</v>
      </c>
      <c r="CI7" t="s">
        <v>48</v>
      </c>
      <c r="CK7" t="s">
        <v>45</v>
      </c>
      <c r="CM7" t="s">
        <v>22</v>
      </c>
      <c r="CV7" t="s">
        <v>39</v>
      </c>
      <c r="CW7" t="s">
        <v>39</v>
      </c>
      <c r="CX7" t="s">
        <v>39</v>
      </c>
      <c r="CY7" t="s">
        <v>39</v>
      </c>
      <c r="CZ7" t="s">
        <v>39</v>
      </c>
      <c r="DA7" t="s">
        <v>39</v>
      </c>
      <c r="DB7" t="s">
        <v>39</v>
      </c>
      <c r="DC7" t="s">
        <v>39</v>
      </c>
      <c r="DD7" t="s">
        <v>39</v>
      </c>
      <c r="DE7" t="s">
        <v>39</v>
      </c>
      <c r="DF7" t="s">
        <v>39</v>
      </c>
      <c r="DG7" t="s">
        <v>39</v>
      </c>
      <c r="DH7" t="s">
        <v>39</v>
      </c>
      <c r="DI7" t="s">
        <v>39</v>
      </c>
      <c r="DJ7" t="s">
        <v>39</v>
      </c>
      <c r="DK7" t="s">
        <v>39</v>
      </c>
      <c r="DL7" t="s">
        <v>39</v>
      </c>
      <c r="DM7" t="s">
        <v>39</v>
      </c>
      <c r="DN7" t="s">
        <v>39</v>
      </c>
      <c r="DO7" t="s">
        <v>39</v>
      </c>
      <c r="DP7" t="s">
        <v>39</v>
      </c>
      <c r="DQ7" t="s">
        <v>39</v>
      </c>
      <c r="DR7" t="s">
        <v>39</v>
      </c>
      <c r="DS7" t="s">
        <v>39</v>
      </c>
      <c r="DT7" t="s">
        <v>39</v>
      </c>
      <c r="DU7" t="s">
        <v>39</v>
      </c>
      <c r="DV7" t="s">
        <v>39</v>
      </c>
      <c r="DW7" t="s">
        <v>39</v>
      </c>
      <c r="DX7" t="s">
        <v>39</v>
      </c>
      <c r="DY7" t="s">
        <v>39</v>
      </c>
      <c r="DZ7" t="s">
        <v>39</v>
      </c>
      <c r="EA7" t="s">
        <v>39</v>
      </c>
      <c r="EB7" t="s">
        <v>39</v>
      </c>
      <c r="EC7" t="s">
        <v>39</v>
      </c>
      <c r="ED7" t="s">
        <v>39</v>
      </c>
      <c r="EE7" t="s">
        <v>39</v>
      </c>
      <c r="EF7" t="s">
        <v>39</v>
      </c>
      <c r="EG7" t="s">
        <v>39</v>
      </c>
      <c r="EH7" t="s">
        <v>39</v>
      </c>
      <c r="EI7" t="s">
        <v>39</v>
      </c>
      <c r="EJ7" t="s">
        <v>39</v>
      </c>
      <c r="EK7" t="s">
        <v>39</v>
      </c>
      <c r="EL7" t="s">
        <v>39</v>
      </c>
      <c r="EM7" t="s">
        <v>39</v>
      </c>
      <c r="EN7" t="s">
        <v>39</v>
      </c>
      <c r="EO7" t="s">
        <v>39</v>
      </c>
      <c r="EP7" t="s">
        <v>39</v>
      </c>
      <c r="EQ7" t="s">
        <v>39</v>
      </c>
      <c r="ER7" t="s">
        <v>39</v>
      </c>
      <c r="ES7" t="s">
        <v>39</v>
      </c>
      <c r="ET7" t="s">
        <v>39</v>
      </c>
      <c r="EU7" t="s">
        <v>39</v>
      </c>
      <c r="EV7" t="s">
        <v>39</v>
      </c>
      <c r="EW7" t="s">
        <v>39</v>
      </c>
      <c r="EX7" t="s">
        <v>39</v>
      </c>
      <c r="FA7" t="s">
        <v>39</v>
      </c>
      <c r="FB7" t="s">
        <v>39</v>
      </c>
      <c r="FC7" t="s">
        <v>39</v>
      </c>
      <c r="FI7" t="s">
        <v>39</v>
      </c>
      <c r="FK7" t="s">
        <v>39</v>
      </c>
      <c r="FL7" t="s">
        <v>39</v>
      </c>
      <c r="FM7" t="s">
        <v>39</v>
      </c>
      <c r="FN7" t="s">
        <v>39</v>
      </c>
      <c r="FO7" t="s">
        <v>39</v>
      </c>
      <c r="FP7" t="s">
        <v>39</v>
      </c>
      <c r="FQ7" t="s">
        <v>39</v>
      </c>
    </row>
    <row r="8" ht="15.75" customHeight="1">
      <c r="A8" s="8" t="s">
        <v>39</v>
      </c>
      <c r="B8" s="8" t="s">
        <v>34</v>
      </c>
      <c r="C8" s="8" t="s">
        <v>39</v>
      </c>
      <c r="D8" s="8"/>
      <c r="E8" s="8">
        <v>10.0</v>
      </c>
      <c r="F8" s="8" t="s">
        <v>40</v>
      </c>
      <c r="G8" s="8" t="s">
        <v>46</v>
      </c>
      <c r="H8" s="8"/>
      <c r="I8" s="8"/>
      <c r="J8" s="8"/>
      <c r="K8" s="8"/>
      <c r="L8" s="8"/>
      <c r="M8" s="8"/>
      <c r="N8" s="8" t="s">
        <v>39</v>
      </c>
      <c r="O8" s="8" t="s">
        <v>42</v>
      </c>
      <c r="Y8" t="s">
        <v>39</v>
      </c>
      <c r="Z8" t="s">
        <v>43</v>
      </c>
      <c r="AD8" t="s">
        <v>47</v>
      </c>
      <c r="AF8" t="s">
        <v>39</v>
      </c>
      <c r="BM8" t="s">
        <v>43</v>
      </c>
      <c r="BO8" t="s">
        <v>24</v>
      </c>
      <c r="BT8" t="s">
        <v>16</v>
      </c>
      <c r="CI8" t="s">
        <v>48</v>
      </c>
      <c r="CK8" t="s">
        <v>45</v>
      </c>
      <c r="CM8" t="s">
        <v>22</v>
      </c>
      <c r="CV8" t="s">
        <v>39</v>
      </c>
      <c r="CW8" t="s">
        <v>39</v>
      </c>
      <c r="CX8" t="s">
        <v>39</v>
      </c>
      <c r="CY8" t="s">
        <v>39</v>
      </c>
      <c r="CZ8" t="s">
        <v>39</v>
      </c>
      <c r="DA8" t="s">
        <v>39</v>
      </c>
      <c r="DB8" t="s">
        <v>39</v>
      </c>
      <c r="DC8" t="s">
        <v>39</v>
      </c>
      <c r="DD8" t="s">
        <v>39</v>
      </c>
      <c r="DE8" t="s">
        <v>39</v>
      </c>
      <c r="DF8" t="s">
        <v>39</v>
      </c>
      <c r="DG8" t="s">
        <v>39</v>
      </c>
      <c r="DH8" t="s">
        <v>39</v>
      </c>
      <c r="DI8" t="s">
        <v>39</v>
      </c>
      <c r="DJ8" t="s">
        <v>39</v>
      </c>
      <c r="DK8" t="s">
        <v>39</v>
      </c>
      <c r="DL8" t="s">
        <v>39</v>
      </c>
      <c r="DM8" t="s">
        <v>39</v>
      </c>
      <c r="DN8" t="s">
        <v>39</v>
      </c>
      <c r="DO8" t="s">
        <v>39</v>
      </c>
      <c r="DP8" t="s">
        <v>39</v>
      </c>
      <c r="DQ8" t="s">
        <v>39</v>
      </c>
      <c r="DR8" t="s">
        <v>39</v>
      </c>
      <c r="DS8" t="s">
        <v>39</v>
      </c>
      <c r="DT8" t="s">
        <v>39</v>
      </c>
      <c r="DU8" t="s">
        <v>39</v>
      </c>
      <c r="DV8" t="s">
        <v>39</v>
      </c>
      <c r="DW8" t="s">
        <v>39</v>
      </c>
      <c r="DX8" t="s">
        <v>39</v>
      </c>
      <c r="DY8" t="s">
        <v>39</v>
      </c>
      <c r="DZ8" t="s">
        <v>39</v>
      </c>
      <c r="EA8" t="s">
        <v>39</v>
      </c>
      <c r="EB8" t="s">
        <v>39</v>
      </c>
      <c r="EC8" t="s">
        <v>39</v>
      </c>
      <c r="ED8" t="s">
        <v>39</v>
      </c>
      <c r="EE8" t="s">
        <v>39</v>
      </c>
      <c r="EF8" t="s">
        <v>39</v>
      </c>
      <c r="EG8" t="s">
        <v>39</v>
      </c>
      <c r="EH8" t="s">
        <v>39</v>
      </c>
      <c r="EI8" t="s">
        <v>39</v>
      </c>
      <c r="EJ8" t="s">
        <v>39</v>
      </c>
      <c r="EK8" t="s">
        <v>39</v>
      </c>
      <c r="EL8" t="s">
        <v>39</v>
      </c>
      <c r="EM8" t="s">
        <v>39</v>
      </c>
      <c r="EN8" t="s">
        <v>39</v>
      </c>
      <c r="EO8" t="s">
        <v>39</v>
      </c>
      <c r="EP8" t="s">
        <v>39</v>
      </c>
      <c r="EQ8" t="s">
        <v>39</v>
      </c>
      <c r="ER8" t="s">
        <v>39</v>
      </c>
      <c r="ES8" t="s">
        <v>39</v>
      </c>
      <c r="ET8" t="s">
        <v>39</v>
      </c>
      <c r="EU8" t="s">
        <v>39</v>
      </c>
      <c r="EV8" t="s">
        <v>39</v>
      </c>
      <c r="EW8" t="s">
        <v>39</v>
      </c>
      <c r="EX8" t="s">
        <v>39</v>
      </c>
      <c r="FA8" t="s">
        <v>39</v>
      </c>
      <c r="FB8" t="s">
        <v>39</v>
      </c>
      <c r="FC8" t="s">
        <v>39</v>
      </c>
      <c r="FI8" t="s">
        <v>39</v>
      </c>
      <c r="FK8" t="s">
        <v>39</v>
      </c>
      <c r="FL8" t="s">
        <v>39</v>
      </c>
      <c r="FM8" t="s">
        <v>39</v>
      </c>
      <c r="FN8" t="s">
        <v>39</v>
      </c>
      <c r="FO8" t="s">
        <v>39</v>
      </c>
      <c r="FP8" t="s">
        <v>39</v>
      </c>
      <c r="FQ8" t="s">
        <v>39</v>
      </c>
    </row>
    <row r="9" ht="15.75" customHeight="1">
      <c r="A9" s="8" t="s">
        <v>39</v>
      </c>
      <c r="B9" s="8" t="s">
        <v>34</v>
      </c>
      <c r="C9" s="8" t="s">
        <v>39</v>
      </c>
      <c r="D9" s="8"/>
      <c r="E9" s="8">
        <v>10.0</v>
      </c>
      <c r="F9" s="8" t="s">
        <v>40</v>
      </c>
      <c r="G9" s="8" t="s">
        <v>46</v>
      </c>
      <c r="H9" s="8"/>
      <c r="I9" s="8"/>
      <c r="J9" s="8"/>
      <c r="K9" s="8"/>
      <c r="L9" s="8"/>
      <c r="M9" s="8"/>
      <c r="N9" s="8" t="s">
        <v>39</v>
      </c>
      <c r="O9" s="8" t="s">
        <v>25</v>
      </c>
      <c r="Y9" t="s">
        <v>39</v>
      </c>
      <c r="Z9" t="s">
        <v>43</v>
      </c>
      <c r="AD9" t="s">
        <v>47</v>
      </c>
      <c r="AF9" t="s">
        <v>39</v>
      </c>
      <c r="BM9" t="s">
        <v>43</v>
      </c>
      <c r="BO9" t="s">
        <v>24</v>
      </c>
      <c r="BT9" t="s">
        <v>16</v>
      </c>
      <c r="CI9" t="s">
        <v>48</v>
      </c>
      <c r="CK9" t="s">
        <v>45</v>
      </c>
      <c r="CM9" t="s">
        <v>22</v>
      </c>
      <c r="CV9" t="s">
        <v>39</v>
      </c>
      <c r="CW9" t="s">
        <v>39</v>
      </c>
      <c r="CX9" t="s">
        <v>39</v>
      </c>
      <c r="CY9" t="s">
        <v>39</v>
      </c>
      <c r="CZ9" t="s">
        <v>39</v>
      </c>
      <c r="DA9" t="s">
        <v>39</v>
      </c>
      <c r="DB9" t="s">
        <v>39</v>
      </c>
      <c r="DC9" t="s">
        <v>39</v>
      </c>
      <c r="DD9" t="s">
        <v>39</v>
      </c>
      <c r="DE9" t="s">
        <v>39</v>
      </c>
      <c r="DF9" t="s">
        <v>39</v>
      </c>
      <c r="DG9" t="s">
        <v>39</v>
      </c>
      <c r="DH9" t="s">
        <v>39</v>
      </c>
      <c r="DI9" t="s">
        <v>39</v>
      </c>
      <c r="DJ9" t="s">
        <v>39</v>
      </c>
      <c r="DK9" t="s">
        <v>39</v>
      </c>
      <c r="DL9" t="s">
        <v>39</v>
      </c>
      <c r="DM9" t="s">
        <v>39</v>
      </c>
      <c r="DN9" t="s">
        <v>39</v>
      </c>
      <c r="DO9" t="s">
        <v>39</v>
      </c>
      <c r="DP9" t="s">
        <v>39</v>
      </c>
      <c r="DQ9" t="s">
        <v>39</v>
      </c>
      <c r="DR9" t="s">
        <v>39</v>
      </c>
      <c r="DS9" t="s">
        <v>39</v>
      </c>
      <c r="DT9" t="s">
        <v>39</v>
      </c>
      <c r="DU9" t="s">
        <v>39</v>
      </c>
      <c r="DV9" t="s">
        <v>39</v>
      </c>
      <c r="DW9" t="s">
        <v>39</v>
      </c>
      <c r="DX9" t="s">
        <v>39</v>
      </c>
      <c r="DY9" t="s">
        <v>39</v>
      </c>
      <c r="DZ9" t="s">
        <v>39</v>
      </c>
      <c r="EA9" t="s">
        <v>39</v>
      </c>
      <c r="EB9" t="s">
        <v>39</v>
      </c>
      <c r="EC9" t="s">
        <v>39</v>
      </c>
      <c r="ED9" t="s">
        <v>39</v>
      </c>
      <c r="EE9" t="s">
        <v>39</v>
      </c>
      <c r="EF9" t="s">
        <v>39</v>
      </c>
      <c r="EG9" t="s">
        <v>39</v>
      </c>
      <c r="EH9" t="s">
        <v>39</v>
      </c>
      <c r="EI9" t="s">
        <v>39</v>
      </c>
      <c r="EJ9" t="s">
        <v>39</v>
      </c>
      <c r="EK9" t="s">
        <v>39</v>
      </c>
      <c r="EL9" t="s">
        <v>39</v>
      </c>
      <c r="EM9" t="s">
        <v>39</v>
      </c>
      <c r="EN9" t="s">
        <v>39</v>
      </c>
      <c r="EO9" t="s">
        <v>39</v>
      </c>
      <c r="EP9" t="s">
        <v>39</v>
      </c>
      <c r="EQ9" t="s">
        <v>39</v>
      </c>
      <c r="ER9" t="s">
        <v>39</v>
      </c>
      <c r="ES9" t="s">
        <v>39</v>
      </c>
      <c r="ET9" t="s">
        <v>39</v>
      </c>
      <c r="EU9" t="s">
        <v>39</v>
      </c>
      <c r="EV9" t="s">
        <v>39</v>
      </c>
      <c r="EW9" t="s">
        <v>39</v>
      </c>
      <c r="EX9" t="s">
        <v>39</v>
      </c>
      <c r="FA9" t="s">
        <v>39</v>
      </c>
      <c r="FB9" t="s">
        <v>39</v>
      </c>
      <c r="FC9" t="s">
        <v>39</v>
      </c>
      <c r="FI9" t="s">
        <v>39</v>
      </c>
      <c r="FK9" t="s">
        <v>39</v>
      </c>
      <c r="FL9" t="s">
        <v>39</v>
      </c>
      <c r="FM9" t="s">
        <v>39</v>
      </c>
      <c r="FN9" t="s">
        <v>39</v>
      </c>
      <c r="FO9" t="s">
        <v>39</v>
      </c>
      <c r="FP9" t="s">
        <v>39</v>
      </c>
      <c r="FQ9" t="s">
        <v>39</v>
      </c>
    </row>
    <row r="10" ht="15.75" customHeight="1">
      <c r="A10" s="8" t="s">
        <v>39</v>
      </c>
      <c r="B10" s="8" t="s">
        <v>34</v>
      </c>
      <c r="C10" s="8" t="s">
        <v>39</v>
      </c>
      <c r="D10" s="8"/>
      <c r="E10" s="8">
        <v>10.0</v>
      </c>
      <c r="F10" s="8" t="s">
        <v>40</v>
      </c>
      <c r="G10" s="8" t="s">
        <v>46</v>
      </c>
      <c r="H10" s="8"/>
      <c r="I10" s="8"/>
      <c r="J10" s="8"/>
      <c r="K10" s="8"/>
      <c r="L10" s="8"/>
      <c r="M10" s="8"/>
      <c r="N10" s="8" t="s">
        <v>39</v>
      </c>
      <c r="O10" s="8" t="s">
        <v>25</v>
      </c>
      <c r="Y10" t="s">
        <v>39</v>
      </c>
      <c r="Z10" t="s">
        <v>43</v>
      </c>
      <c r="AD10" t="s">
        <v>47</v>
      </c>
      <c r="AF10" t="s">
        <v>39</v>
      </c>
      <c r="BM10" t="s">
        <v>43</v>
      </c>
      <c r="BO10" t="s">
        <v>49</v>
      </c>
      <c r="BT10" t="s">
        <v>16</v>
      </c>
      <c r="CI10" t="s">
        <v>50</v>
      </c>
      <c r="CK10" t="s">
        <v>45</v>
      </c>
      <c r="CM10" t="s">
        <v>22</v>
      </c>
      <c r="CV10" t="s">
        <v>39</v>
      </c>
      <c r="CW10" t="s">
        <v>39</v>
      </c>
      <c r="CX10" t="s">
        <v>39</v>
      </c>
      <c r="CY10" t="s">
        <v>39</v>
      </c>
      <c r="CZ10" t="s">
        <v>39</v>
      </c>
      <c r="DA10" t="s">
        <v>39</v>
      </c>
      <c r="DB10" t="s">
        <v>39</v>
      </c>
      <c r="DC10" t="s">
        <v>39</v>
      </c>
      <c r="DD10" t="s">
        <v>39</v>
      </c>
      <c r="DE10" t="s">
        <v>39</v>
      </c>
      <c r="DF10" t="s">
        <v>39</v>
      </c>
      <c r="DG10" t="s">
        <v>39</v>
      </c>
      <c r="DH10" t="s">
        <v>39</v>
      </c>
      <c r="DI10" t="s">
        <v>39</v>
      </c>
      <c r="DJ10" t="s">
        <v>39</v>
      </c>
      <c r="DK10" t="s">
        <v>39</v>
      </c>
      <c r="DL10" t="s">
        <v>39</v>
      </c>
      <c r="DM10" t="s">
        <v>39</v>
      </c>
      <c r="DN10" t="s">
        <v>39</v>
      </c>
      <c r="DO10" t="s">
        <v>39</v>
      </c>
      <c r="DP10" t="s">
        <v>39</v>
      </c>
      <c r="DQ10" t="s">
        <v>39</v>
      </c>
      <c r="DR10" t="s">
        <v>39</v>
      </c>
      <c r="DS10" t="s">
        <v>39</v>
      </c>
      <c r="DT10" t="s">
        <v>39</v>
      </c>
      <c r="DU10" t="s">
        <v>39</v>
      </c>
      <c r="DV10" t="s">
        <v>39</v>
      </c>
      <c r="DW10" t="s">
        <v>39</v>
      </c>
      <c r="DX10" t="s">
        <v>39</v>
      </c>
      <c r="DY10" t="s">
        <v>39</v>
      </c>
      <c r="DZ10" t="s">
        <v>39</v>
      </c>
      <c r="EA10" t="s">
        <v>39</v>
      </c>
      <c r="EB10" t="s">
        <v>39</v>
      </c>
      <c r="EC10" t="s">
        <v>39</v>
      </c>
      <c r="ED10" t="s">
        <v>39</v>
      </c>
      <c r="EE10" t="s">
        <v>39</v>
      </c>
      <c r="EF10" t="s">
        <v>39</v>
      </c>
      <c r="EG10" t="s">
        <v>39</v>
      </c>
      <c r="EH10" t="s">
        <v>39</v>
      </c>
      <c r="EI10" t="s">
        <v>39</v>
      </c>
      <c r="EJ10" t="s">
        <v>39</v>
      </c>
      <c r="EK10" t="s">
        <v>39</v>
      </c>
      <c r="EL10" t="s">
        <v>39</v>
      </c>
      <c r="EM10" t="s">
        <v>39</v>
      </c>
      <c r="EN10" t="s">
        <v>39</v>
      </c>
      <c r="EO10" t="s">
        <v>39</v>
      </c>
      <c r="EP10" t="s">
        <v>39</v>
      </c>
      <c r="EQ10" t="s">
        <v>39</v>
      </c>
      <c r="ER10" t="s">
        <v>39</v>
      </c>
      <c r="ES10" t="s">
        <v>39</v>
      </c>
      <c r="ET10" t="s">
        <v>39</v>
      </c>
      <c r="EU10" t="s">
        <v>39</v>
      </c>
      <c r="EV10" t="s">
        <v>39</v>
      </c>
      <c r="EW10" t="s">
        <v>39</v>
      </c>
      <c r="EX10" t="s">
        <v>39</v>
      </c>
      <c r="FA10" t="s">
        <v>39</v>
      </c>
      <c r="FB10" t="s">
        <v>39</v>
      </c>
      <c r="FC10" t="s">
        <v>39</v>
      </c>
      <c r="FI10" t="s">
        <v>39</v>
      </c>
      <c r="FK10" t="s">
        <v>39</v>
      </c>
      <c r="FL10" t="s">
        <v>39</v>
      </c>
      <c r="FM10" t="s">
        <v>39</v>
      </c>
      <c r="FN10" t="s">
        <v>39</v>
      </c>
      <c r="FO10" t="s">
        <v>39</v>
      </c>
      <c r="FP10" t="s">
        <v>39</v>
      </c>
      <c r="FQ10" t="s">
        <v>39</v>
      </c>
    </row>
    <row r="11" ht="15.75" customHeight="1">
      <c r="A11" s="8" t="s">
        <v>39</v>
      </c>
      <c r="B11" s="8" t="s">
        <v>34</v>
      </c>
      <c r="C11" s="8" t="s">
        <v>39</v>
      </c>
      <c r="D11" s="8"/>
      <c r="E11" s="8">
        <v>10.0</v>
      </c>
      <c r="F11" s="8" t="s">
        <v>40</v>
      </c>
      <c r="G11" s="8" t="s">
        <v>46</v>
      </c>
      <c r="H11" s="8"/>
      <c r="I11" s="8"/>
      <c r="J11" s="8"/>
      <c r="K11" s="8"/>
      <c r="L11" s="8"/>
      <c r="M11" s="8"/>
      <c r="N11" s="8" t="s">
        <v>39</v>
      </c>
      <c r="O11" s="8" t="s">
        <v>42</v>
      </c>
      <c r="Y11" t="s">
        <v>39</v>
      </c>
      <c r="Z11" t="s">
        <v>43</v>
      </c>
      <c r="AD11" t="s">
        <v>47</v>
      </c>
      <c r="AF11" t="s">
        <v>39</v>
      </c>
      <c r="BM11" t="s">
        <v>43</v>
      </c>
      <c r="BO11" t="s">
        <v>49</v>
      </c>
      <c r="BT11" t="s">
        <v>16</v>
      </c>
      <c r="CI11" t="s">
        <v>50</v>
      </c>
      <c r="CK11" t="s">
        <v>45</v>
      </c>
      <c r="CM11" t="s">
        <v>22</v>
      </c>
      <c r="CV11" t="s">
        <v>39</v>
      </c>
      <c r="CW11" t="s">
        <v>39</v>
      </c>
      <c r="CX11" t="s">
        <v>39</v>
      </c>
      <c r="CY11" t="s">
        <v>39</v>
      </c>
      <c r="CZ11" t="s">
        <v>39</v>
      </c>
      <c r="DA11" t="s">
        <v>39</v>
      </c>
      <c r="DB11" t="s">
        <v>39</v>
      </c>
      <c r="DC11" t="s">
        <v>39</v>
      </c>
      <c r="DD11" t="s">
        <v>39</v>
      </c>
      <c r="DE11" t="s">
        <v>39</v>
      </c>
      <c r="DF11" t="s">
        <v>39</v>
      </c>
      <c r="DG11" t="s">
        <v>39</v>
      </c>
      <c r="DH11" t="s">
        <v>39</v>
      </c>
      <c r="DI11" t="s">
        <v>39</v>
      </c>
      <c r="DJ11" t="s">
        <v>39</v>
      </c>
      <c r="DK11" t="s">
        <v>39</v>
      </c>
      <c r="DL11" t="s">
        <v>39</v>
      </c>
      <c r="DM11" t="s">
        <v>39</v>
      </c>
      <c r="DN11" t="s">
        <v>39</v>
      </c>
      <c r="DO11" t="s">
        <v>39</v>
      </c>
      <c r="DP11" t="s">
        <v>39</v>
      </c>
      <c r="DQ11" t="s">
        <v>39</v>
      </c>
      <c r="DR11" t="s">
        <v>39</v>
      </c>
      <c r="DS11" t="s">
        <v>39</v>
      </c>
      <c r="DT11" t="s">
        <v>39</v>
      </c>
      <c r="DU11" t="s">
        <v>39</v>
      </c>
      <c r="DV11" t="s">
        <v>39</v>
      </c>
      <c r="DW11" t="s">
        <v>39</v>
      </c>
      <c r="DX11" t="s">
        <v>39</v>
      </c>
      <c r="DY11" t="s">
        <v>39</v>
      </c>
      <c r="DZ11" t="s">
        <v>39</v>
      </c>
      <c r="EA11" t="s">
        <v>39</v>
      </c>
      <c r="EB11" t="s">
        <v>39</v>
      </c>
      <c r="EC11" t="s">
        <v>39</v>
      </c>
      <c r="ED11" t="s">
        <v>39</v>
      </c>
      <c r="EE11" t="s">
        <v>39</v>
      </c>
      <c r="EF11" t="s">
        <v>39</v>
      </c>
      <c r="EG11" t="s">
        <v>39</v>
      </c>
      <c r="EH11" t="s">
        <v>39</v>
      </c>
      <c r="EI11" t="s">
        <v>39</v>
      </c>
      <c r="EJ11" t="s">
        <v>39</v>
      </c>
      <c r="EK11" t="s">
        <v>39</v>
      </c>
      <c r="EL11" t="s">
        <v>39</v>
      </c>
      <c r="EM11" t="s">
        <v>39</v>
      </c>
      <c r="EN11" t="s">
        <v>39</v>
      </c>
      <c r="EO11" t="s">
        <v>39</v>
      </c>
      <c r="EP11" t="s">
        <v>39</v>
      </c>
      <c r="EQ11" t="s">
        <v>39</v>
      </c>
      <c r="ER11" t="s">
        <v>39</v>
      </c>
      <c r="ES11" t="s">
        <v>39</v>
      </c>
      <c r="ET11" t="s">
        <v>39</v>
      </c>
      <c r="EU11" t="s">
        <v>39</v>
      </c>
      <c r="EV11" t="s">
        <v>39</v>
      </c>
      <c r="EW11" t="s">
        <v>39</v>
      </c>
      <c r="EX11" t="s">
        <v>39</v>
      </c>
      <c r="FA11" t="s">
        <v>39</v>
      </c>
      <c r="FB11" t="s">
        <v>39</v>
      </c>
      <c r="FC11" t="s">
        <v>39</v>
      </c>
      <c r="FI11" t="s">
        <v>39</v>
      </c>
      <c r="FK11" t="s">
        <v>39</v>
      </c>
      <c r="FL11" t="s">
        <v>39</v>
      </c>
      <c r="FM11" t="s">
        <v>39</v>
      </c>
      <c r="FN11" t="s">
        <v>39</v>
      </c>
      <c r="FO11" t="s">
        <v>39</v>
      </c>
      <c r="FP11" t="s">
        <v>39</v>
      </c>
      <c r="FQ11" t="s">
        <v>39</v>
      </c>
    </row>
    <row r="12" ht="15.75" customHeight="1">
      <c r="A12" s="8" t="s">
        <v>39</v>
      </c>
      <c r="B12" s="8" t="s">
        <v>34</v>
      </c>
      <c r="C12" s="8" t="s">
        <v>39</v>
      </c>
      <c r="D12" s="8"/>
      <c r="E12" s="8">
        <v>1000.0</v>
      </c>
      <c r="F12" s="8" t="s">
        <v>40</v>
      </c>
      <c r="G12" s="8" t="s">
        <v>41</v>
      </c>
      <c r="H12" s="8"/>
      <c r="I12" s="8"/>
      <c r="J12" s="8"/>
      <c r="K12" s="8"/>
      <c r="L12" s="8"/>
      <c r="M12" s="8"/>
      <c r="N12" s="8" t="s">
        <v>39</v>
      </c>
      <c r="O12" s="8" t="s">
        <v>42</v>
      </c>
      <c r="Y12" t="s">
        <v>39</v>
      </c>
      <c r="Z12" t="s">
        <v>43</v>
      </c>
      <c r="AD12" t="s">
        <v>44</v>
      </c>
      <c r="AF12" t="s">
        <v>39</v>
      </c>
      <c r="BM12" t="s">
        <v>43</v>
      </c>
      <c r="BO12" t="s">
        <v>51</v>
      </c>
      <c r="BT12" t="s">
        <v>22</v>
      </c>
      <c r="CI12" t="s">
        <v>50</v>
      </c>
      <c r="CK12" t="s">
        <v>45</v>
      </c>
      <c r="CM12" t="s">
        <v>22</v>
      </c>
      <c r="CV12" t="s">
        <v>39</v>
      </c>
      <c r="CW12" t="s">
        <v>39</v>
      </c>
      <c r="CX12" t="s">
        <v>39</v>
      </c>
      <c r="CY12" t="s">
        <v>39</v>
      </c>
      <c r="CZ12" t="s">
        <v>39</v>
      </c>
      <c r="DA12" t="s">
        <v>39</v>
      </c>
      <c r="DB12" t="s">
        <v>39</v>
      </c>
      <c r="DC12" t="s">
        <v>39</v>
      </c>
      <c r="DD12" t="s">
        <v>39</v>
      </c>
      <c r="DE12" t="s">
        <v>39</v>
      </c>
      <c r="DF12" t="s">
        <v>39</v>
      </c>
      <c r="DG12" t="s">
        <v>39</v>
      </c>
      <c r="DH12" t="s">
        <v>39</v>
      </c>
      <c r="DI12" t="s">
        <v>39</v>
      </c>
      <c r="DJ12" t="s">
        <v>39</v>
      </c>
      <c r="DK12" t="s">
        <v>39</v>
      </c>
      <c r="DL12" t="s">
        <v>39</v>
      </c>
      <c r="DM12" t="s">
        <v>39</v>
      </c>
      <c r="DN12" t="s">
        <v>39</v>
      </c>
      <c r="DO12" t="s">
        <v>39</v>
      </c>
      <c r="DP12" t="s">
        <v>39</v>
      </c>
      <c r="DQ12" t="s">
        <v>39</v>
      </c>
      <c r="DR12" t="s">
        <v>39</v>
      </c>
      <c r="DS12" t="s">
        <v>39</v>
      </c>
      <c r="DT12" t="s">
        <v>39</v>
      </c>
      <c r="DU12" t="s">
        <v>39</v>
      </c>
      <c r="DV12" t="s">
        <v>39</v>
      </c>
      <c r="DW12" t="s">
        <v>39</v>
      </c>
      <c r="DX12" t="s">
        <v>39</v>
      </c>
      <c r="DY12" t="s">
        <v>39</v>
      </c>
      <c r="DZ12" t="s">
        <v>39</v>
      </c>
      <c r="EA12" t="s">
        <v>39</v>
      </c>
      <c r="EB12" t="s">
        <v>39</v>
      </c>
      <c r="EC12" t="s">
        <v>39</v>
      </c>
      <c r="ED12" t="s">
        <v>39</v>
      </c>
      <c r="EE12" t="s">
        <v>39</v>
      </c>
      <c r="EF12" t="s">
        <v>39</v>
      </c>
      <c r="EG12" t="s">
        <v>39</v>
      </c>
      <c r="EH12" t="s">
        <v>39</v>
      </c>
      <c r="EI12" t="s">
        <v>39</v>
      </c>
      <c r="EJ12" t="s">
        <v>39</v>
      </c>
      <c r="EK12" t="s">
        <v>39</v>
      </c>
      <c r="EL12" t="s">
        <v>39</v>
      </c>
      <c r="EM12" t="s">
        <v>39</v>
      </c>
      <c r="EN12" t="s">
        <v>39</v>
      </c>
      <c r="EO12" t="s">
        <v>39</v>
      </c>
      <c r="EP12" t="s">
        <v>39</v>
      </c>
      <c r="EQ12" t="s">
        <v>39</v>
      </c>
      <c r="ER12" t="s">
        <v>39</v>
      </c>
      <c r="ES12" t="s">
        <v>39</v>
      </c>
      <c r="ET12" t="s">
        <v>39</v>
      </c>
      <c r="EU12" t="s">
        <v>39</v>
      </c>
      <c r="EV12" t="s">
        <v>39</v>
      </c>
      <c r="EW12" t="s">
        <v>39</v>
      </c>
      <c r="EX12" t="s">
        <v>39</v>
      </c>
      <c r="FA12" t="s">
        <v>39</v>
      </c>
      <c r="FB12" t="s">
        <v>39</v>
      </c>
      <c r="FC12" t="s">
        <v>39</v>
      </c>
      <c r="FI12" t="s">
        <v>39</v>
      </c>
      <c r="FK12" t="s">
        <v>39</v>
      </c>
      <c r="FL12" t="s">
        <v>39</v>
      </c>
      <c r="FM12" t="s">
        <v>39</v>
      </c>
      <c r="FN12" t="s">
        <v>39</v>
      </c>
      <c r="FO12" t="s">
        <v>39</v>
      </c>
      <c r="FP12" t="s">
        <v>39</v>
      </c>
      <c r="FQ12" t="s">
        <v>39</v>
      </c>
    </row>
    <row r="13" ht="15.75" customHeight="1">
      <c r="A13" s="8" t="s">
        <v>39</v>
      </c>
      <c r="B13" s="8" t="s">
        <v>34</v>
      </c>
      <c r="C13" s="8" t="s">
        <v>39</v>
      </c>
      <c r="D13" s="8"/>
      <c r="E13" s="8">
        <v>100.0</v>
      </c>
      <c r="F13" s="8" t="s">
        <v>40</v>
      </c>
      <c r="G13" s="8" t="s">
        <v>41</v>
      </c>
      <c r="H13" s="8"/>
      <c r="I13" s="8"/>
      <c r="J13" s="8"/>
      <c r="K13" s="8"/>
      <c r="L13" s="8"/>
      <c r="M13" s="8"/>
      <c r="N13" s="8" t="s">
        <v>39</v>
      </c>
      <c r="O13" s="8" t="s">
        <v>25</v>
      </c>
      <c r="Y13" t="s">
        <v>39</v>
      </c>
      <c r="Z13" t="s">
        <v>43</v>
      </c>
      <c r="AD13" t="s">
        <v>44</v>
      </c>
      <c r="AF13" t="s">
        <v>39</v>
      </c>
      <c r="BM13" t="s">
        <v>43</v>
      </c>
      <c r="BO13" t="s">
        <v>52</v>
      </c>
      <c r="BT13" t="s">
        <v>22</v>
      </c>
      <c r="CI13" t="s">
        <v>50</v>
      </c>
      <c r="CK13" t="s">
        <v>45</v>
      </c>
      <c r="CM13" t="s">
        <v>22</v>
      </c>
      <c r="CV13" t="s">
        <v>39</v>
      </c>
      <c r="CW13" t="s">
        <v>39</v>
      </c>
      <c r="CX13" t="s">
        <v>39</v>
      </c>
      <c r="CY13" t="s">
        <v>39</v>
      </c>
      <c r="CZ13" t="s">
        <v>39</v>
      </c>
      <c r="DA13" t="s">
        <v>39</v>
      </c>
      <c r="DB13" t="s">
        <v>39</v>
      </c>
      <c r="DC13" t="s">
        <v>39</v>
      </c>
      <c r="DD13" t="s">
        <v>39</v>
      </c>
      <c r="DE13" t="s">
        <v>39</v>
      </c>
      <c r="DF13" t="s">
        <v>39</v>
      </c>
      <c r="DG13" t="s">
        <v>39</v>
      </c>
      <c r="DH13" t="s">
        <v>39</v>
      </c>
      <c r="DI13" t="s">
        <v>39</v>
      </c>
      <c r="DJ13" t="s">
        <v>39</v>
      </c>
      <c r="DK13" t="s">
        <v>39</v>
      </c>
      <c r="DL13" t="s">
        <v>39</v>
      </c>
      <c r="DM13" t="s">
        <v>39</v>
      </c>
      <c r="DN13" t="s">
        <v>39</v>
      </c>
      <c r="DO13" t="s">
        <v>39</v>
      </c>
      <c r="DP13" t="s">
        <v>39</v>
      </c>
      <c r="DQ13" t="s">
        <v>39</v>
      </c>
      <c r="DR13" t="s">
        <v>39</v>
      </c>
      <c r="DS13" t="s">
        <v>39</v>
      </c>
      <c r="DT13" t="s">
        <v>39</v>
      </c>
      <c r="DU13" t="s">
        <v>39</v>
      </c>
      <c r="DV13" t="s">
        <v>39</v>
      </c>
      <c r="DW13" t="s">
        <v>39</v>
      </c>
      <c r="DX13" t="s">
        <v>39</v>
      </c>
      <c r="DY13" t="s">
        <v>39</v>
      </c>
      <c r="DZ13" t="s">
        <v>39</v>
      </c>
      <c r="EA13" t="s">
        <v>39</v>
      </c>
      <c r="EB13" t="s">
        <v>39</v>
      </c>
      <c r="EC13" t="s">
        <v>39</v>
      </c>
      <c r="ED13" t="s">
        <v>39</v>
      </c>
      <c r="EE13" t="s">
        <v>39</v>
      </c>
      <c r="EF13" t="s">
        <v>39</v>
      </c>
      <c r="EG13" t="s">
        <v>39</v>
      </c>
      <c r="EH13" t="s">
        <v>39</v>
      </c>
      <c r="EI13" t="s">
        <v>39</v>
      </c>
      <c r="EJ13" t="s">
        <v>39</v>
      </c>
      <c r="EK13" t="s">
        <v>39</v>
      </c>
      <c r="EL13" t="s">
        <v>39</v>
      </c>
      <c r="EM13" t="s">
        <v>39</v>
      </c>
      <c r="EN13" t="s">
        <v>39</v>
      </c>
      <c r="EO13" t="s">
        <v>39</v>
      </c>
      <c r="EP13" t="s">
        <v>39</v>
      </c>
      <c r="EQ13" t="s">
        <v>39</v>
      </c>
      <c r="ER13" t="s">
        <v>39</v>
      </c>
      <c r="ES13" t="s">
        <v>39</v>
      </c>
      <c r="ET13" t="s">
        <v>39</v>
      </c>
      <c r="EU13" t="s">
        <v>39</v>
      </c>
      <c r="EV13" t="s">
        <v>39</v>
      </c>
      <c r="EW13" t="s">
        <v>39</v>
      </c>
      <c r="EX13" t="s">
        <v>39</v>
      </c>
      <c r="FA13" t="s">
        <v>39</v>
      </c>
      <c r="FB13" t="s">
        <v>39</v>
      </c>
      <c r="FC13" t="s">
        <v>39</v>
      </c>
      <c r="FI13" t="s">
        <v>39</v>
      </c>
      <c r="FK13" t="s">
        <v>39</v>
      </c>
      <c r="FL13" t="s">
        <v>39</v>
      </c>
      <c r="FM13" t="s">
        <v>39</v>
      </c>
      <c r="FN13" t="s">
        <v>39</v>
      </c>
      <c r="FO13" t="s">
        <v>39</v>
      </c>
      <c r="FP13" t="s">
        <v>39</v>
      </c>
      <c r="FQ13" t="s">
        <v>39</v>
      </c>
    </row>
    <row r="14" ht="15.75" customHeight="1">
      <c r="A14" s="8" t="s">
        <v>39</v>
      </c>
      <c r="B14" s="8" t="s">
        <v>34</v>
      </c>
      <c r="C14" s="8" t="s">
        <v>39</v>
      </c>
      <c r="D14" s="8"/>
      <c r="E14" s="8">
        <v>1000.0</v>
      </c>
      <c r="F14" s="8" t="s">
        <v>40</v>
      </c>
      <c r="G14" s="8" t="s">
        <v>41</v>
      </c>
      <c r="H14" s="8"/>
      <c r="I14" s="8"/>
      <c r="J14" s="8"/>
      <c r="K14" s="8"/>
      <c r="L14" s="8"/>
      <c r="M14" s="8"/>
      <c r="N14" s="8" t="s">
        <v>39</v>
      </c>
      <c r="O14" s="8" t="s">
        <v>42</v>
      </c>
      <c r="Y14" t="s">
        <v>39</v>
      </c>
      <c r="Z14" t="s">
        <v>43</v>
      </c>
      <c r="AD14" t="s">
        <v>44</v>
      </c>
      <c r="AF14" t="s">
        <v>39</v>
      </c>
      <c r="BM14" t="s">
        <v>43</v>
      </c>
      <c r="BO14" t="s">
        <v>52</v>
      </c>
      <c r="BT14" t="s">
        <v>22</v>
      </c>
      <c r="CI14" t="s">
        <v>50</v>
      </c>
      <c r="CK14" t="s">
        <v>45</v>
      </c>
      <c r="CM14" t="s">
        <v>22</v>
      </c>
      <c r="CV14" t="s">
        <v>39</v>
      </c>
      <c r="CW14" t="s">
        <v>39</v>
      </c>
      <c r="CX14" t="s">
        <v>39</v>
      </c>
      <c r="CY14" t="s">
        <v>39</v>
      </c>
      <c r="CZ14" t="s">
        <v>39</v>
      </c>
      <c r="DA14" t="s">
        <v>39</v>
      </c>
      <c r="DB14" t="s">
        <v>39</v>
      </c>
      <c r="DC14" t="s">
        <v>39</v>
      </c>
      <c r="DD14" t="s">
        <v>39</v>
      </c>
      <c r="DE14" t="s">
        <v>39</v>
      </c>
      <c r="DF14" t="s">
        <v>39</v>
      </c>
      <c r="DG14" t="s">
        <v>39</v>
      </c>
      <c r="DH14" t="s">
        <v>39</v>
      </c>
      <c r="DI14" t="s">
        <v>39</v>
      </c>
      <c r="DJ14" t="s">
        <v>39</v>
      </c>
      <c r="DK14" t="s">
        <v>39</v>
      </c>
      <c r="DL14" t="s">
        <v>39</v>
      </c>
      <c r="DM14" t="s">
        <v>39</v>
      </c>
      <c r="DN14" t="s">
        <v>39</v>
      </c>
      <c r="DO14" t="s">
        <v>39</v>
      </c>
      <c r="DP14" t="s">
        <v>39</v>
      </c>
      <c r="DQ14" t="s">
        <v>39</v>
      </c>
      <c r="DR14" t="s">
        <v>39</v>
      </c>
      <c r="DS14" t="s">
        <v>39</v>
      </c>
      <c r="DT14" t="s">
        <v>39</v>
      </c>
      <c r="DU14" t="s">
        <v>39</v>
      </c>
      <c r="DV14" t="s">
        <v>39</v>
      </c>
      <c r="DW14" t="s">
        <v>39</v>
      </c>
      <c r="DX14" t="s">
        <v>39</v>
      </c>
      <c r="DY14" t="s">
        <v>39</v>
      </c>
      <c r="DZ14" t="s">
        <v>39</v>
      </c>
      <c r="EA14" t="s">
        <v>39</v>
      </c>
      <c r="EB14" t="s">
        <v>39</v>
      </c>
      <c r="EC14" t="s">
        <v>39</v>
      </c>
      <c r="ED14" t="s">
        <v>39</v>
      </c>
      <c r="EE14" t="s">
        <v>39</v>
      </c>
      <c r="EF14" t="s">
        <v>39</v>
      </c>
      <c r="EG14" t="s">
        <v>39</v>
      </c>
      <c r="EH14" t="s">
        <v>39</v>
      </c>
      <c r="EI14" t="s">
        <v>39</v>
      </c>
      <c r="EJ14" t="s">
        <v>39</v>
      </c>
      <c r="EK14" t="s">
        <v>39</v>
      </c>
      <c r="EL14" t="s">
        <v>39</v>
      </c>
      <c r="EM14" t="s">
        <v>39</v>
      </c>
      <c r="EN14" t="s">
        <v>39</v>
      </c>
      <c r="EO14" t="s">
        <v>39</v>
      </c>
      <c r="EP14" t="s">
        <v>39</v>
      </c>
      <c r="EQ14" t="s">
        <v>39</v>
      </c>
      <c r="ER14" t="s">
        <v>39</v>
      </c>
      <c r="ES14" t="s">
        <v>39</v>
      </c>
      <c r="ET14" t="s">
        <v>39</v>
      </c>
      <c r="EU14" t="s">
        <v>39</v>
      </c>
      <c r="EV14" t="s">
        <v>39</v>
      </c>
      <c r="EW14" t="s">
        <v>39</v>
      </c>
      <c r="EX14" t="s">
        <v>39</v>
      </c>
      <c r="FA14" t="s">
        <v>39</v>
      </c>
      <c r="FB14" t="s">
        <v>39</v>
      </c>
      <c r="FC14" t="s">
        <v>39</v>
      </c>
      <c r="FI14" t="s">
        <v>39</v>
      </c>
      <c r="FK14" t="s">
        <v>39</v>
      </c>
      <c r="FL14" t="s">
        <v>39</v>
      </c>
      <c r="FM14" t="s">
        <v>39</v>
      </c>
      <c r="FN14" t="s">
        <v>39</v>
      </c>
      <c r="FO14" t="s">
        <v>39</v>
      </c>
      <c r="FP14" t="s">
        <v>39</v>
      </c>
      <c r="FQ14" t="s">
        <v>39</v>
      </c>
    </row>
    <row r="15" ht="15.75" customHeight="1">
      <c r="A15" s="8" t="s">
        <v>39</v>
      </c>
      <c r="B15" s="8" t="s">
        <v>34</v>
      </c>
      <c r="C15" s="8" t="s">
        <v>39</v>
      </c>
      <c r="D15" s="8"/>
      <c r="E15" s="8">
        <v>900.0</v>
      </c>
      <c r="F15" s="8" t="s">
        <v>40</v>
      </c>
      <c r="G15" s="8" t="s">
        <v>41</v>
      </c>
      <c r="H15" s="8"/>
      <c r="I15" s="8"/>
      <c r="J15" s="8"/>
      <c r="K15" s="8"/>
      <c r="L15" s="8"/>
      <c r="M15" s="8"/>
      <c r="N15" s="8" t="s">
        <v>39</v>
      </c>
      <c r="O15" s="8" t="s">
        <v>25</v>
      </c>
      <c r="Y15" t="s">
        <v>39</v>
      </c>
      <c r="Z15" t="s">
        <v>43</v>
      </c>
      <c r="AD15" t="s">
        <v>44</v>
      </c>
      <c r="AF15" t="s">
        <v>39</v>
      </c>
      <c r="BM15" t="s">
        <v>43</v>
      </c>
      <c r="BO15" t="s">
        <v>51</v>
      </c>
      <c r="BT15" t="s">
        <v>22</v>
      </c>
      <c r="CI15" t="s">
        <v>50</v>
      </c>
      <c r="CK15" t="s">
        <v>45</v>
      </c>
      <c r="CM15" t="s">
        <v>22</v>
      </c>
      <c r="CV15" t="s">
        <v>39</v>
      </c>
      <c r="CW15" t="s">
        <v>39</v>
      </c>
      <c r="CX15" t="s">
        <v>39</v>
      </c>
      <c r="CY15" t="s">
        <v>39</v>
      </c>
      <c r="CZ15" t="s">
        <v>39</v>
      </c>
      <c r="DA15" t="s">
        <v>39</v>
      </c>
      <c r="DB15" t="s">
        <v>39</v>
      </c>
      <c r="DC15" t="s">
        <v>39</v>
      </c>
      <c r="DD15" t="s">
        <v>39</v>
      </c>
      <c r="DE15" t="s">
        <v>39</v>
      </c>
      <c r="DF15" t="s">
        <v>39</v>
      </c>
      <c r="DG15" t="s">
        <v>39</v>
      </c>
      <c r="DH15" t="s">
        <v>39</v>
      </c>
      <c r="DI15" t="s">
        <v>39</v>
      </c>
      <c r="DJ15" t="s">
        <v>39</v>
      </c>
      <c r="DK15" t="s">
        <v>39</v>
      </c>
      <c r="DL15" t="s">
        <v>39</v>
      </c>
      <c r="DM15" t="s">
        <v>39</v>
      </c>
      <c r="DN15" t="s">
        <v>39</v>
      </c>
      <c r="DO15" t="s">
        <v>39</v>
      </c>
      <c r="DP15" t="s">
        <v>39</v>
      </c>
      <c r="DQ15" t="s">
        <v>39</v>
      </c>
      <c r="DR15" t="s">
        <v>39</v>
      </c>
      <c r="DS15" t="s">
        <v>39</v>
      </c>
      <c r="DT15" t="s">
        <v>39</v>
      </c>
      <c r="DU15" t="s">
        <v>39</v>
      </c>
      <c r="DV15" t="s">
        <v>39</v>
      </c>
      <c r="DW15" t="s">
        <v>39</v>
      </c>
      <c r="DX15" t="s">
        <v>39</v>
      </c>
      <c r="DY15" t="s">
        <v>39</v>
      </c>
      <c r="DZ15" t="s">
        <v>39</v>
      </c>
      <c r="EA15" t="s">
        <v>39</v>
      </c>
      <c r="EB15" t="s">
        <v>39</v>
      </c>
      <c r="EC15" t="s">
        <v>39</v>
      </c>
      <c r="ED15" t="s">
        <v>39</v>
      </c>
      <c r="EE15" t="s">
        <v>39</v>
      </c>
      <c r="EF15" t="s">
        <v>39</v>
      </c>
      <c r="EG15" t="s">
        <v>39</v>
      </c>
      <c r="EH15" t="s">
        <v>39</v>
      </c>
      <c r="EI15" t="s">
        <v>39</v>
      </c>
      <c r="EJ15" t="s">
        <v>39</v>
      </c>
      <c r="EK15" t="s">
        <v>39</v>
      </c>
      <c r="EL15" t="s">
        <v>39</v>
      </c>
      <c r="EM15" t="s">
        <v>39</v>
      </c>
      <c r="EN15" t="s">
        <v>39</v>
      </c>
      <c r="EO15" t="s">
        <v>39</v>
      </c>
      <c r="EP15" t="s">
        <v>39</v>
      </c>
      <c r="EQ15" t="s">
        <v>39</v>
      </c>
      <c r="ER15" t="s">
        <v>39</v>
      </c>
      <c r="ES15" t="s">
        <v>39</v>
      </c>
      <c r="ET15" t="s">
        <v>39</v>
      </c>
      <c r="EU15" t="s">
        <v>39</v>
      </c>
      <c r="EV15" t="s">
        <v>39</v>
      </c>
      <c r="EW15" t="s">
        <v>39</v>
      </c>
      <c r="EX15" t="s">
        <v>39</v>
      </c>
      <c r="FA15" t="s">
        <v>39</v>
      </c>
      <c r="FB15" t="s">
        <v>39</v>
      </c>
      <c r="FC15" t="s">
        <v>39</v>
      </c>
      <c r="FI15" t="s">
        <v>39</v>
      </c>
      <c r="FK15" t="s">
        <v>39</v>
      </c>
      <c r="FL15" t="s">
        <v>39</v>
      </c>
      <c r="FM15" t="s">
        <v>39</v>
      </c>
      <c r="FN15" t="s">
        <v>39</v>
      </c>
      <c r="FO15" t="s">
        <v>39</v>
      </c>
      <c r="FP15" t="s">
        <v>39</v>
      </c>
      <c r="FQ15" t="s">
        <v>39</v>
      </c>
    </row>
    <row r="16" ht="15.75" customHeight="1">
      <c r="A16" s="8" t="s">
        <v>39</v>
      </c>
      <c r="B16" s="8" t="s">
        <v>34</v>
      </c>
      <c r="C16" s="8" t="s">
        <v>39</v>
      </c>
      <c r="D16" s="8"/>
      <c r="E16" s="8">
        <v>10.0</v>
      </c>
      <c r="F16" s="8" t="s">
        <v>40</v>
      </c>
      <c r="G16" s="8" t="s">
        <v>46</v>
      </c>
      <c r="H16" s="8"/>
      <c r="I16" s="8"/>
      <c r="J16" s="8"/>
      <c r="K16" s="8"/>
      <c r="L16" s="8"/>
      <c r="M16" s="8"/>
      <c r="N16" s="8" t="s">
        <v>39</v>
      </c>
      <c r="O16" s="8" t="s">
        <v>42</v>
      </c>
      <c r="Y16" t="s">
        <v>39</v>
      </c>
      <c r="Z16" t="s">
        <v>43</v>
      </c>
      <c r="AD16" t="s">
        <v>47</v>
      </c>
      <c r="AF16" t="s">
        <v>39</v>
      </c>
      <c r="BM16" t="s">
        <v>43</v>
      </c>
      <c r="BO16" t="s">
        <v>49</v>
      </c>
      <c r="BT16" t="s">
        <v>16</v>
      </c>
      <c r="CI16" t="s">
        <v>50</v>
      </c>
      <c r="CK16" t="s">
        <v>45</v>
      </c>
      <c r="CM16" t="s">
        <v>22</v>
      </c>
      <c r="CV16" t="s">
        <v>39</v>
      </c>
      <c r="CW16" t="s">
        <v>39</v>
      </c>
      <c r="CX16" t="s">
        <v>39</v>
      </c>
      <c r="CY16" t="s">
        <v>39</v>
      </c>
      <c r="CZ16" t="s">
        <v>39</v>
      </c>
      <c r="DA16" t="s">
        <v>39</v>
      </c>
      <c r="DB16" t="s">
        <v>39</v>
      </c>
      <c r="DC16" t="s">
        <v>39</v>
      </c>
      <c r="DD16" t="s">
        <v>39</v>
      </c>
      <c r="DE16" t="s">
        <v>39</v>
      </c>
      <c r="DF16" t="s">
        <v>39</v>
      </c>
      <c r="DG16" t="s">
        <v>39</v>
      </c>
      <c r="DH16" t="s">
        <v>39</v>
      </c>
      <c r="DI16" t="s">
        <v>39</v>
      </c>
      <c r="DJ16" t="s">
        <v>39</v>
      </c>
      <c r="DK16" t="s">
        <v>39</v>
      </c>
      <c r="DL16" t="s">
        <v>39</v>
      </c>
      <c r="DM16" t="s">
        <v>39</v>
      </c>
      <c r="DN16" t="s">
        <v>39</v>
      </c>
      <c r="DO16" t="s">
        <v>39</v>
      </c>
      <c r="DP16" t="s">
        <v>39</v>
      </c>
      <c r="DQ16" t="s">
        <v>39</v>
      </c>
      <c r="DR16" t="s">
        <v>39</v>
      </c>
      <c r="DS16" t="s">
        <v>39</v>
      </c>
      <c r="DT16" t="s">
        <v>39</v>
      </c>
      <c r="DU16" t="s">
        <v>39</v>
      </c>
      <c r="DV16" t="s">
        <v>39</v>
      </c>
      <c r="DW16" t="s">
        <v>39</v>
      </c>
      <c r="DX16" t="s">
        <v>39</v>
      </c>
      <c r="DY16" t="s">
        <v>39</v>
      </c>
      <c r="DZ16" t="s">
        <v>39</v>
      </c>
      <c r="EA16" t="s">
        <v>39</v>
      </c>
      <c r="EB16" t="s">
        <v>39</v>
      </c>
      <c r="EC16" t="s">
        <v>39</v>
      </c>
      <c r="ED16" t="s">
        <v>39</v>
      </c>
      <c r="EE16" t="s">
        <v>39</v>
      </c>
      <c r="EF16" t="s">
        <v>39</v>
      </c>
      <c r="EG16" t="s">
        <v>39</v>
      </c>
      <c r="EH16" t="s">
        <v>39</v>
      </c>
      <c r="EI16" t="s">
        <v>39</v>
      </c>
      <c r="EJ16" t="s">
        <v>39</v>
      </c>
      <c r="EK16" t="s">
        <v>39</v>
      </c>
      <c r="EL16" t="s">
        <v>39</v>
      </c>
      <c r="EM16" t="s">
        <v>39</v>
      </c>
      <c r="EN16" t="s">
        <v>39</v>
      </c>
      <c r="EO16" t="s">
        <v>39</v>
      </c>
      <c r="EP16" t="s">
        <v>39</v>
      </c>
      <c r="EQ16" t="s">
        <v>39</v>
      </c>
      <c r="ER16" t="s">
        <v>39</v>
      </c>
      <c r="ES16" t="s">
        <v>39</v>
      </c>
      <c r="ET16" t="s">
        <v>39</v>
      </c>
      <c r="EU16" t="s">
        <v>39</v>
      </c>
      <c r="EV16" t="s">
        <v>39</v>
      </c>
      <c r="EW16" t="s">
        <v>39</v>
      </c>
      <c r="EX16" t="s">
        <v>39</v>
      </c>
      <c r="FA16" t="s">
        <v>39</v>
      </c>
      <c r="FB16" t="s">
        <v>39</v>
      </c>
      <c r="FC16" t="s">
        <v>39</v>
      </c>
      <c r="FI16" t="s">
        <v>39</v>
      </c>
      <c r="FK16" t="s">
        <v>39</v>
      </c>
      <c r="FL16" t="s">
        <v>39</v>
      </c>
      <c r="FM16" t="s">
        <v>39</v>
      </c>
      <c r="FN16" t="s">
        <v>39</v>
      </c>
      <c r="FO16" t="s">
        <v>39</v>
      </c>
      <c r="FP16" t="s">
        <v>39</v>
      </c>
      <c r="FQ16" t="s">
        <v>39</v>
      </c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36</v>
      </c>
      <c r="D3" s="5" t="s">
        <v>9</v>
      </c>
      <c r="E3" s="23" t="s">
        <v>53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IFERROR(__xludf.DUMMYFUNCTION("""COMPUTED_VALUE"""),"Net Amount(Local)")</f>
        <v>Net Amount(Local)</v>
      </c>
      <c r="C5" s="28" t="str">
        <f>IFERROR(__xludf.DUMMYFUNCTION("""COMPUTED_VALUE"""),"Net Amount(Base)")</f>
        <v>Net Amount(Base)</v>
      </c>
      <c r="D5" s="28" t="str">
        <f>IFERROR(__xludf.DUMMYFUNCTION("""COMPUTED_VALUE"""),"Principal Amount(Local)")</f>
        <v>Principal Amount(Local)</v>
      </c>
      <c r="E5" s="28" t="str">
        <f>IFERROR(__xludf.DUMMYFUNCTION("""COMPUTED_VALUE"""),"Principal Amount(Base)")</f>
        <v>Principal Amount(Base)</v>
      </c>
      <c r="F5" s="29" t="str">
        <f>IFERROR(__xludf.DUMMYFUNCTION("""COMPUTED_VALUE"""),"FX Conversion Operator")</f>
        <v>FX Conversion Operator</v>
      </c>
      <c r="G5" s="28" t="str">
        <f>IFERROR(__xludf.DUMMYFUNCTION("""COMPUTED_VALUE"""),"TaxLotID")</f>
        <v>TaxLotID</v>
      </c>
      <c r="H5" s="28" t="str">
        <f>IFERROR(__xludf.DUMMYFUNCTION("""COMPUTED_VALUE"""),"Settlement Currency")</f>
        <v>Settlement Currency</v>
      </c>
      <c r="I5" s="28" t="str">
        <f>IFERROR(__xludf.DUMMYFUNCTION("""COMPUTED_VALUE"""),"Trade Attribute 1")</f>
        <v>Trade Attribute 1</v>
      </c>
      <c r="J5" s="28" t="str">
        <f>IFERROR(__xludf.DUMMYFUNCTION("""COMPUTED_VALUE"""),"Trade Attribute 2")</f>
        <v>Trade Attribute 2</v>
      </c>
      <c r="K5" s="28" t="str">
        <f>IFERROR(__xludf.DUMMYFUNCTION("""COMPUTED_VALUE"""),"Trade Attribute 3")</f>
        <v>Trade Attribute 3</v>
      </c>
      <c r="L5" s="28" t="str">
        <f>IFERROR(__xludf.DUMMYFUNCTION("""COMPUTED_VALUE"""),"Trade Attribute 4")</f>
        <v>Trade Attribute 4</v>
      </c>
      <c r="M5" s="28" t="str">
        <f>IFERROR(__xludf.DUMMYFUNCTION("""COMPUTED_VALUE"""),"Trade Attribute 5")</f>
        <v>Trade Attribute 5</v>
      </c>
      <c r="N5" s="28" t="str">
        <f>IFERROR(__xludf.DUMMYFUNCTION("""COMPUTED_VALUE"""),"Trade Attribute 6")</f>
        <v>Trade Attribute 6</v>
      </c>
      <c r="O5" s="28" t="str">
        <f>IFERROR(__xludf.DUMMYFUNCTION("""COMPUTED_VALUE"""),"Account Name")</f>
        <v>Account Name</v>
      </c>
      <c r="P5" s="28" t="str">
        <f>IFERROR(__xludf.DUMMYFUNCTION("""COMPUTED_VALUE"""),"Strategy Name")</f>
        <v>Strategy Name</v>
      </c>
      <c r="Q5" s="28" t="str">
        <f>IFERROR(__xludf.DUMMYFUNCTION("""COMPUTED_VALUE"""),"Percentage")</f>
        <v>Percentage</v>
      </c>
      <c r="R5" s="28" t="str">
        <f>IFERROR(__xludf.DUMMYFUNCTION("""COMPUTED_VALUE"""),"Taxlot Qty")</f>
        <v>Taxlot Qty</v>
      </c>
      <c r="S5" s="28" t="str">
        <f>IFERROR(__xludf.DUMMYFUNCTION("""COMPUTED_VALUE"""),"Commission")</f>
        <v>Commission</v>
      </c>
      <c r="T5" s="30" t="str">
        <f>IFERROR(__xludf.DUMMYFUNCTION("""COMPUTED_VALUE"""),"Soft Commission")</f>
        <v>Soft Commission</v>
      </c>
      <c r="U5" s="30" t="str">
        <f>IFERROR(__xludf.DUMMYFUNCTION("""COMPUTED_VALUE"""),"Other Broker Fees")</f>
        <v>Other Broker Fees</v>
      </c>
      <c r="V5" s="30" t="str">
        <f>IFERROR(__xludf.DUMMYFUNCTION("""COMPUTED_VALUE"""),"Clearing Broker Fees")</f>
        <v>Clearing Broker Fees</v>
      </c>
      <c r="W5" s="30" t="str">
        <f>IFERROR(__xludf.DUMMYFUNCTION("""COMPUTED_VALUE"""),"Stamp Duty")</f>
        <v>Stamp Duty</v>
      </c>
      <c r="X5" s="30" t="str">
        <f>IFERROR(__xludf.DUMMYFUNCTION("""COMPUTED_VALUE"""),"Transaction Levy")</f>
        <v>Transaction Levy</v>
      </c>
      <c r="Y5" s="30" t="str">
        <f>IFERROR(__xludf.DUMMYFUNCTION("""COMPUTED_VALUE"""),"AUEC Fee1")</f>
        <v>AUEC Fee1</v>
      </c>
      <c r="Z5" s="30" t="str">
        <f>IFERROR(__xludf.DUMMYFUNCTION("""COMPUTED_VALUE"""),"Tax On Commissions")</f>
        <v>Tax On Commissions</v>
      </c>
      <c r="AA5" s="30" t="str">
        <f>IFERROR(__xludf.DUMMYFUNCTION("""COMPUTED_VALUE"""),"AUEC Fee2")</f>
        <v>AUEC Fee2</v>
      </c>
      <c r="AB5" s="30" t="str">
        <f>IFERROR(__xludf.DUMMYFUNCTION("""COMPUTED_VALUE"""),"SEC Fee")</f>
        <v>SEC Fee</v>
      </c>
      <c r="AC5" s="30" t="str">
        <f>IFERROR(__xludf.DUMMYFUNCTION("""COMPUTED_VALUE"""),"OCC Fee")</f>
        <v>OCC Fee</v>
      </c>
      <c r="AD5" s="30" t="str">
        <f>IFERROR(__xludf.DUMMYFUNCTION("""COMPUTED_VALUE"""),"ORF Fee")</f>
        <v>ORF Fee</v>
      </c>
      <c r="AE5" s="30" t="str">
        <f>IFERROR(__xludf.DUMMYFUNCTION("""COMPUTED_VALUE"""),"Option Premium Adjustment")</f>
        <v>Option Premium Adjustment</v>
      </c>
      <c r="AF5" s="30" t="str">
        <f>IFERROR(__xludf.DUMMYFUNCTION("""COMPUTED_VALUE"""),"Closing Status")</f>
        <v>Closing Status</v>
      </c>
      <c r="AG5" s="30" t="str">
        <f>IFERROR(__xludf.DUMMYFUNCTION("""COMPUTED_VALUE"""),"External Transaction ID")</f>
        <v>External Transaction ID</v>
      </c>
      <c r="AH5" s="30" t="str">
        <f>IFERROR(__xludf.DUMMYFUNCTION("""COMPUTED_VALUE"""),"Lot ID")</f>
        <v>Lot ID</v>
      </c>
      <c r="AI5" s="30" t="str">
        <f>IFERROR(__xludf.DUMMYFUNCTION("""COMPUTED_VALUE"""),"AvgPriceBase")</f>
        <v>AvgPriceBase</v>
      </c>
      <c r="AJ5" s="30" t="str">
        <f>IFERROR(__xludf.DUMMYFUNCTION("""COMPUTED_VALUE"""),"Accrued Interest")</f>
        <v>Accrued Interest</v>
      </c>
      <c r="AK5" s="30" t="str">
        <f>IFERROR(__xludf.DUMMYFUNCTION("""COMPUTED_VALUE"""),"FXRate")</f>
        <v>FXRate</v>
      </c>
      <c r="AL5" s="30" t="str">
        <f>IFERROR(__xludf.DUMMYFUNCTION("""COMPUTED_VALUE"""),"Change Type")</f>
        <v>Change Type</v>
      </c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44" t="s">
        <v>39</v>
      </c>
      <c r="B6" s="44">
        <v>1114.0006</v>
      </c>
      <c r="C6" s="8">
        <v>1114.0006</v>
      </c>
      <c r="D6" s="44">
        <v>1100.0</v>
      </c>
      <c r="E6" s="8">
        <v>1100.0</v>
      </c>
      <c r="F6" s="8"/>
      <c r="G6" s="8"/>
      <c r="H6" s="8"/>
      <c r="I6" s="8"/>
      <c r="J6" s="8"/>
      <c r="K6" s="8"/>
      <c r="L6" s="8"/>
      <c r="M6" s="8"/>
      <c r="N6" s="8"/>
      <c r="O6" s="8"/>
      <c r="AV6" t="s">
        <v>39</v>
      </c>
      <c r="AW6" t="s">
        <v>39</v>
      </c>
      <c r="AX6" t="s">
        <v>39</v>
      </c>
      <c r="AY6" t="s">
        <v>39</v>
      </c>
      <c r="AZ6" t="s">
        <v>39</v>
      </c>
      <c r="BA6" t="s">
        <v>39</v>
      </c>
      <c r="BB6" t="s">
        <v>39</v>
      </c>
      <c r="BC6" t="s">
        <v>39</v>
      </c>
      <c r="BD6" t="s">
        <v>39</v>
      </c>
      <c r="BE6" t="s">
        <v>39</v>
      </c>
      <c r="BF6" t="s">
        <v>39</v>
      </c>
      <c r="BG6" t="s">
        <v>39</v>
      </c>
      <c r="BH6" t="s">
        <v>39</v>
      </c>
      <c r="BI6" t="s">
        <v>39</v>
      </c>
      <c r="BJ6" t="s">
        <v>39</v>
      </c>
      <c r="BK6" t="s">
        <v>39</v>
      </c>
      <c r="BL6" t="s">
        <v>39</v>
      </c>
      <c r="BM6" t="s">
        <v>39</v>
      </c>
      <c r="BN6" t="s">
        <v>39</v>
      </c>
      <c r="BO6" t="s">
        <v>39</v>
      </c>
      <c r="BP6" t="s">
        <v>39</v>
      </c>
      <c r="BQ6" t="s">
        <v>39</v>
      </c>
      <c r="BR6" t="s">
        <v>39</v>
      </c>
      <c r="BS6" t="s">
        <v>39</v>
      </c>
      <c r="BT6" t="s">
        <v>39</v>
      </c>
      <c r="BU6" t="s">
        <v>39</v>
      </c>
      <c r="BV6" t="s">
        <v>39</v>
      </c>
      <c r="BW6" t="s">
        <v>39</v>
      </c>
      <c r="BX6" t="s">
        <v>39</v>
      </c>
      <c r="BY6" t="s">
        <v>39</v>
      </c>
      <c r="BZ6" t="s">
        <v>39</v>
      </c>
      <c r="CA6" t="s">
        <v>39</v>
      </c>
      <c r="CB6" t="s">
        <v>39</v>
      </c>
      <c r="CC6" t="s">
        <v>39</v>
      </c>
      <c r="CD6" t="s">
        <v>39</v>
      </c>
      <c r="CE6" t="s">
        <v>39</v>
      </c>
      <c r="CF6" t="s">
        <v>39</v>
      </c>
      <c r="CG6" t="s">
        <v>39</v>
      </c>
      <c r="CH6" t="s">
        <v>39</v>
      </c>
      <c r="CI6" t="s">
        <v>39</v>
      </c>
      <c r="CJ6" t="s">
        <v>39</v>
      </c>
      <c r="CK6" t="s">
        <v>39</v>
      </c>
      <c r="CL6" t="s">
        <v>39</v>
      </c>
      <c r="CM6" t="s">
        <v>39</v>
      </c>
      <c r="CN6" t="s">
        <v>39</v>
      </c>
      <c r="CO6" t="s">
        <v>39</v>
      </c>
      <c r="CP6" t="s">
        <v>39</v>
      </c>
      <c r="CQ6" t="s">
        <v>39</v>
      </c>
      <c r="CR6" t="s">
        <v>39</v>
      </c>
      <c r="CS6" t="s">
        <v>39</v>
      </c>
      <c r="CT6" t="s">
        <v>39</v>
      </c>
      <c r="CU6" t="s">
        <v>39</v>
      </c>
      <c r="CV6" t="s">
        <v>39</v>
      </c>
      <c r="CW6" t="s">
        <v>39</v>
      </c>
      <c r="CX6" t="s">
        <v>39</v>
      </c>
      <c r="CY6" t="s">
        <v>39</v>
      </c>
      <c r="CZ6" t="s">
        <v>39</v>
      </c>
      <c r="DA6" t="s">
        <v>39</v>
      </c>
      <c r="DB6" t="s">
        <v>39</v>
      </c>
      <c r="DC6" t="s">
        <v>39</v>
      </c>
      <c r="DD6" t="s">
        <v>39</v>
      </c>
      <c r="DE6" t="s">
        <v>39</v>
      </c>
      <c r="DF6" t="s">
        <v>39</v>
      </c>
      <c r="DG6" t="s">
        <v>39</v>
      </c>
      <c r="DH6" t="s">
        <v>39</v>
      </c>
      <c r="DI6" t="s">
        <v>39</v>
      </c>
      <c r="DJ6" t="s">
        <v>39</v>
      </c>
      <c r="DK6" t="s">
        <v>39</v>
      </c>
      <c r="DL6" t="s">
        <v>39</v>
      </c>
      <c r="DM6" t="s">
        <v>39</v>
      </c>
      <c r="DN6" t="s">
        <v>39</v>
      </c>
      <c r="DO6" t="s">
        <v>39</v>
      </c>
      <c r="DP6" t="s">
        <v>39</v>
      </c>
      <c r="DQ6" t="s">
        <v>39</v>
      </c>
      <c r="DR6" t="s">
        <v>39</v>
      </c>
      <c r="DS6" t="s">
        <v>39</v>
      </c>
      <c r="DT6" t="s">
        <v>39</v>
      </c>
      <c r="DU6" t="s">
        <v>39</v>
      </c>
      <c r="DV6" t="s">
        <v>39</v>
      </c>
      <c r="DW6" t="s">
        <v>39</v>
      </c>
      <c r="DX6" t="s">
        <v>39</v>
      </c>
      <c r="DY6" t="s">
        <v>39</v>
      </c>
      <c r="DZ6" t="s">
        <v>39</v>
      </c>
      <c r="EA6" t="s">
        <v>39</v>
      </c>
      <c r="EB6" t="s">
        <v>39</v>
      </c>
      <c r="EC6" t="s">
        <v>39</v>
      </c>
      <c r="ED6" t="s">
        <v>39</v>
      </c>
      <c r="EE6" t="s">
        <v>39</v>
      </c>
      <c r="EF6" t="s">
        <v>39</v>
      </c>
      <c r="EG6" t="s">
        <v>39</v>
      </c>
      <c r="EH6" t="s">
        <v>39</v>
      </c>
      <c r="EI6" t="s">
        <v>39</v>
      </c>
      <c r="EJ6" t="s">
        <v>39</v>
      </c>
      <c r="EK6" t="s">
        <v>39</v>
      </c>
      <c r="EL6" t="s">
        <v>39</v>
      </c>
      <c r="EM6" t="s">
        <v>39</v>
      </c>
      <c r="EN6" t="s">
        <v>39</v>
      </c>
      <c r="EO6" t="s">
        <v>39</v>
      </c>
      <c r="EP6" t="s">
        <v>39</v>
      </c>
      <c r="EQ6" t="s">
        <v>39</v>
      </c>
      <c r="ER6" t="s">
        <v>39</v>
      </c>
      <c r="ES6" t="s">
        <v>39</v>
      </c>
      <c r="ET6" t="s">
        <v>39</v>
      </c>
      <c r="EU6" t="s">
        <v>39</v>
      </c>
      <c r="EV6" t="s">
        <v>39</v>
      </c>
      <c r="EW6" t="s">
        <v>39</v>
      </c>
      <c r="EX6" t="s">
        <v>39</v>
      </c>
      <c r="FA6" t="s">
        <v>39</v>
      </c>
      <c r="FB6" t="s">
        <v>39</v>
      </c>
      <c r="FC6" t="s">
        <v>39</v>
      </c>
      <c r="FH6" t="s">
        <v>39</v>
      </c>
      <c r="FI6" t="s">
        <v>39</v>
      </c>
      <c r="FJ6" t="s">
        <v>39</v>
      </c>
      <c r="FK6" t="s">
        <v>39</v>
      </c>
      <c r="FL6" t="s">
        <v>39</v>
      </c>
      <c r="FM6" t="s">
        <v>39</v>
      </c>
      <c r="FN6" t="s">
        <v>39</v>
      </c>
      <c r="FO6" t="s">
        <v>39</v>
      </c>
      <c r="FP6" t="s">
        <v>39</v>
      </c>
      <c r="FQ6" t="s">
        <v>39</v>
      </c>
    </row>
    <row r="7" ht="15.75" customHeight="1">
      <c r="A7" s="8" t="s">
        <v>39</v>
      </c>
      <c r="B7" s="8">
        <v>10000.0</v>
      </c>
      <c r="C7" s="8">
        <v>10000.0</v>
      </c>
      <c r="D7" s="8">
        <v>10000.0</v>
      </c>
      <c r="E7" s="8">
        <v>10000.0</v>
      </c>
      <c r="F7" s="8"/>
      <c r="G7" s="8"/>
      <c r="H7" s="8"/>
      <c r="I7" s="8"/>
      <c r="J7" s="8"/>
      <c r="K7" s="8"/>
      <c r="L7" s="8"/>
      <c r="M7" s="8"/>
      <c r="N7" s="8"/>
      <c r="O7" s="8"/>
      <c r="AV7" t="s">
        <v>39</v>
      </c>
      <c r="AW7" t="s">
        <v>39</v>
      </c>
      <c r="AX7" t="s">
        <v>39</v>
      </c>
      <c r="AY7" t="s">
        <v>39</v>
      </c>
      <c r="AZ7" t="s">
        <v>39</v>
      </c>
      <c r="BA7" t="s">
        <v>39</v>
      </c>
      <c r="BB7" t="s">
        <v>39</v>
      </c>
      <c r="BC7" t="s">
        <v>39</v>
      </c>
      <c r="BD7" t="s">
        <v>39</v>
      </c>
      <c r="BE7" t="s">
        <v>39</v>
      </c>
      <c r="BF7" t="s">
        <v>39</v>
      </c>
      <c r="BG7" t="s">
        <v>39</v>
      </c>
      <c r="BH7" t="s">
        <v>39</v>
      </c>
      <c r="BI7" t="s">
        <v>39</v>
      </c>
      <c r="BJ7" t="s">
        <v>39</v>
      </c>
      <c r="BK7" t="s">
        <v>39</v>
      </c>
      <c r="BL7" t="s">
        <v>39</v>
      </c>
      <c r="BM7" t="s">
        <v>39</v>
      </c>
      <c r="BN7" t="s">
        <v>39</v>
      </c>
      <c r="BO7" t="s">
        <v>39</v>
      </c>
      <c r="BP7" t="s">
        <v>39</v>
      </c>
      <c r="BQ7" t="s">
        <v>39</v>
      </c>
      <c r="BR7" t="s">
        <v>39</v>
      </c>
      <c r="BS7" t="s">
        <v>39</v>
      </c>
      <c r="BT7" t="s">
        <v>39</v>
      </c>
      <c r="BU7" t="s">
        <v>39</v>
      </c>
      <c r="BV7" t="s">
        <v>39</v>
      </c>
      <c r="BW7" t="s">
        <v>39</v>
      </c>
      <c r="BX7" t="s">
        <v>39</v>
      </c>
      <c r="BY7" t="s">
        <v>39</v>
      </c>
      <c r="BZ7" t="s">
        <v>39</v>
      </c>
      <c r="CA7" t="s">
        <v>39</v>
      </c>
      <c r="CB7" t="s">
        <v>39</v>
      </c>
      <c r="CC7" t="s">
        <v>39</v>
      </c>
      <c r="CD7" t="s">
        <v>39</v>
      </c>
      <c r="CE7" t="s">
        <v>39</v>
      </c>
      <c r="CF7" t="s">
        <v>39</v>
      </c>
      <c r="CG7" t="s">
        <v>39</v>
      </c>
      <c r="CH7" t="s">
        <v>39</v>
      </c>
      <c r="CI7" t="s">
        <v>39</v>
      </c>
      <c r="CJ7" t="s">
        <v>39</v>
      </c>
      <c r="CK7" t="s">
        <v>39</v>
      </c>
      <c r="CL7" t="s">
        <v>39</v>
      </c>
      <c r="CM7" t="s">
        <v>39</v>
      </c>
      <c r="CN7" t="s">
        <v>39</v>
      </c>
      <c r="CO7" t="s">
        <v>39</v>
      </c>
      <c r="CP7" t="s">
        <v>39</v>
      </c>
      <c r="CQ7" t="s">
        <v>39</v>
      </c>
      <c r="CR7" t="s">
        <v>39</v>
      </c>
      <c r="CS7" t="s">
        <v>39</v>
      </c>
      <c r="CT7" t="s">
        <v>39</v>
      </c>
      <c r="CU7" t="s">
        <v>39</v>
      </c>
      <c r="CV7" t="s">
        <v>39</v>
      </c>
      <c r="CW7" t="s">
        <v>39</v>
      </c>
      <c r="CX7" t="s">
        <v>39</v>
      </c>
      <c r="CY7" t="s">
        <v>39</v>
      </c>
      <c r="CZ7" t="s">
        <v>39</v>
      </c>
      <c r="DA7" t="s">
        <v>39</v>
      </c>
      <c r="DB7" t="s">
        <v>39</v>
      </c>
      <c r="DC7" t="s">
        <v>39</v>
      </c>
      <c r="DD7" t="s">
        <v>39</v>
      </c>
      <c r="DE7" t="s">
        <v>39</v>
      </c>
      <c r="DF7" t="s">
        <v>39</v>
      </c>
      <c r="DG7" t="s">
        <v>39</v>
      </c>
      <c r="DH7" t="s">
        <v>39</v>
      </c>
      <c r="DI7" t="s">
        <v>39</v>
      </c>
      <c r="DJ7" t="s">
        <v>39</v>
      </c>
      <c r="DK7" t="s">
        <v>39</v>
      </c>
      <c r="DL7" t="s">
        <v>39</v>
      </c>
      <c r="DM7" t="s">
        <v>39</v>
      </c>
      <c r="DN7" t="s">
        <v>39</v>
      </c>
      <c r="DO7" t="s">
        <v>39</v>
      </c>
      <c r="DP7" t="s">
        <v>39</v>
      </c>
      <c r="DQ7" t="s">
        <v>39</v>
      </c>
      <c r="DR7" t="s">
        <v>39</v>
      </c>
      <c r="DS7" t="s">
        <v>39</v>
      </c>
      <c r="DT7" t="s">
        <v>39</v>
      </c>
      <c r="DU7" t="s">
        <v>39</v>
      </c>
      <c r="DV7" t="s">
        <v>39</v>
      </c>
      <c r="DW7" t="s">
        <v>39</v>
      </c>
      <c r="DX7" t="s">
        <v>39</v>
      </c>
      <c r="DY7" t="s">
        <v>39</v>
      </c>
      <c r="DZ7" t="s">
        <v>39</v>
      </c>
      <c r="EA7" t="s">
        <v>39</v>
      </c>
      <c r="EB7" t="s">
        <v>39</v>
      </c>
      <c r="EC7" t="s">
        <v>39</v>
      </c>
      <c r="ED7" t="s">
        <v>39</v>
      </c>
      <c r="EE7" t="s">
        <v>39</v>
      </c>
      <c r="EF7" t="s">
        <v>39</v>
      </c>
      <c r="EG7" t="s">
        <v>39</v>
      </c>
      <c r="EH7" t="s">
        <v>39</v>
      </c>
      <c r="EI7" t="s">
        <v>39</v>
      </c>
      <c r="EJ7" t="s">
        <v>39</v>
      </c>
      <c r="EK7" t="s">
        <v>39</v>
      </c>
      <c r="EL7" t="s">
        <v>39</v>
      </c>
      <c r="EM7" t="s">
        <v>39</v>
      </c>
      <c r="EN7" t="s">
        <v>39</v>
      </c>
      <c r="EO7" t="s">
        <v>39</v>
      </c>
      <c r="EP7" t="s">
        <v>39</v>
      </c>
      <c r="EQ7" t="s">
        <v>39</v>
      </c>
      <c r="ER7" t="s">
        <v>39</v>
      </c>
      <c r="ES7" t="s">
        <v>39</v>
      </c>
      <c r="ET7" t="s">
        <v>39</v>
      </c>
      <c r="EU7" t="s">
        <v>39</v>
      </c>
      <c r="EV7" t="s">
        <v>39</v>
      </c>
      <c r="EW7" t="s">
        <v>39</v>
      </c>
      <c r="EX7" t="s">
        <v>39</v>
      </c>
      <c r="FA7" t="s">
        <v>39</v>
      </c>
      <c r="FB7" t="s">
        <v>39</v>
      </c>
      <c r="FC7" t="s">
        <v>39</v>
      </c>
      <c r="FH7" t="s">
        <v>39</v>
      </c>
      <c r="FI7" t="s">
        <v>39</v>
      </c>
      <c r="FJ7" t="s">
        <v>39</v>
      </c>
      <c r="FK7" t="s">
        <v>39</v>
      </c>
      <c r="FL7" t="s">
        <v>39</v>
      </c>
      <c r="FM7" t="s">
        <v>39</v>
      </c>
      <c r="FN7" t="s">
        <v>39</v>
      </c>
      <c r="FO7" t="s">
        <v>39</v>
      </c>
      <c r="FP7" t="s">
        <v>39</v>
      </c>
      <c r="FQ7" t="s">
        <v>39</v>
      </c>
    </row>
    <row r="8" ht="15.75" customHeight="1">
      <c r="A8" s="8" t="s">
        <v>39</v>
      </c>
      <c r="B8" s="8">
        <v>10000.0</v>
      </c>
      <c r="C8" s="8">
        <v>10000.0</v>
      </c>
      <c r="D8" s="8">
        <v>10000.0</v>
      </c>
      <c r="E8" s="8">
        <v>10000.0</v>
      </c>
      <c r="F8" s="8"/>
      <c r="G8" s="8"/>
      <c r="H8" s="8"/>
      <c r="I8" s="8"/>
      <c r="J8" s="8"/>
      <c r="K8" s="8"/>
      <c r="L8" s="8"/>
      <c r="M8" s="8"/>
      <c r="N8" s="8"/>
      <c r="O8" s="8"/>
      <c r="AV8" t="s">
        <v>39</v>
      </c>
      <c r="AW8" t="s">
        <v>39</v>
      </c>
      <c r="AX8" t="s">
        <v>39</v>
      </c>
      <c r="AY8" t="s">
        <v>39</v>
      </c>
      <c r="AZ8" t="s">
        <v>39</v>
      </c>
      <c r="BA8" t="s">
        <v>39</v>
      </c>
      <c r="BB8" t="s">
        <v>39</v>
      </c>
      <c r="BC8" t="s">
        <v>39</v>
      </c>
      <c r="BD8" t="s">
        <v>39</v>
      </c>
      <c r="BE8" t="s">
        <v>39</v>
      </c>
      <c r="BF8" t="s">
        <v>39</v>
      </c>
      <c r="BG8" t="s">
        <v>39</v>
      </c>
      <c r="BH8" t="s">
        <v>39</v>
      </c>
      <c r="BI8" t="s">
        <v>39</v>
      </c>
      <c r="BJ8" t="s">
        <v>39</v>
      </c>
      <c r="BK8" t="s">
        <v>39</v>
      </c>
      <c r="BL8" t="s">
        <v>39</v>
      </c>
      <c r="BM8" t="s">
        <v>39</v>
      </c>
      <c r="BN8" t="s">
        <v>39</v>
      </c>
      <c r="BO8" t="s">
        <v>39</v>
      </c>
      <c r="BP8" t="s">
        <v>39</v>
      </c>
      <c r="BQ8" t="s">
        <v>39</v>
      </c>
      <c r="BR8" t="s">
        <v>39</v>
      </c>
      <c r="BS8" t="s">
        <v>39</v>
      </c>
      <c r="BT8" t="s">
        <v>39</v>
      </c>
      <c r="BU8" t="s">
        <v>39</v>
      </c>
      <c r="BV8" t="s">
        <v>39</v>
      </c>
      <c r="BW8" t="s">
        <v>39</v>
      </c>
      <c r="BX8" t="s">
        <v>39</v>
      </c>
      <c r="BY8" t="s">
        <v>39</v>
      </c>
      <c r="BZ8" t="s">
        <v>39</v>
      </c>
      <c r="CA8" t="s">
        <v>39</v>
      </c>
      <c r="CB8" t="s">
        <v>39</v>
      </c>
      <c r="CC8" t="s">
        <v>39</v>
      </c>
      <c r="CD8" t="s">
        <v>39</v>
      </c>
      <c r="CE8" t="s">
        <v>39</v>
      </c>
      <c r="CF8" t="s">
        <v>39</v>
      </c>
      <c r="CG8" t="s">
        <v>39</v>
      </c>
      <c r="CH8" t="s">
        <v>39</v>
      </c>
      <c r="CI8" t="s">
        <v>39</v>
      </c>
      <c r="CJ8" t="s">
        <v>39</v>
      </c>
      <c r="CK8" t="s">
        <v>39</v>
      </c>
      <c r="CL8" t="s">
        <v>39</v>
      </c>
      <c r="CM8" t="s">
        <v>39</v>
      </c>
      <c r="CN8" t="s">
        <v>39</v>
      </c>
      <c r="CO8" t="s">
        <v>39</v>
      </c>
      <c r="CP8" t="s">
        <v>39</v>
      </c>
      <c r="CQ8" t="s">
        <v>39</v>
      </c>
      <c r="CR8" t="s">
        <v>39</v>
      </c>
      <c r="CS8" t="s">
        <v>39</v>
      </c>
      <c r="CT8" t="s">
        <v>39</v>
      </c>
      <c r="CU8" t="s">
        <v>39</v>
      </c>
      <c r="CV8" t="s">
        <v>39</v>
      </c>
      <c r="CW8" t="s">
        <v>39</v>
      </c>
      <c r="CX8" t="s">
        <v>39</v>
      </c>
      <c r="CY8" t="s">
        <v>39</v>
      </c>
      <c r="CZ8" t="s">
        <v>39</v>
      </c>
      <c r="DA8" t="s">
        <v>39</v>
      </c>
      <c r="DB8" t="s">
        <v>39</v>
      </c>
      <c r="DC8" t="s">
        <v>39</v>
      </c>
      <c r="DD8" t="s">
        <v>39</v>
      </c>
      <c r="DE8" t="s">
        <v>39</v>
      </c>
      <c r="DF8" t="s">
        <v>39</v>
      </c>
      <c r="DG8" t="s">
        <v>39</v>
      </c>
      <c r="DH8" t="s">
        <v>39</v>
      </c>
      <c r="DI8" t="s">
        <v>39</v>
      </c>
      <c r="DJ8" t="s">
        <v>39</v>
      </c>
      <c r="DK8" t="s">
        <v>39</v>
      </c>
      <c r="DL8" t="s">
        <v>39</v>
      </c>
      <c r="DM8" t="s">
        <v>39</v>
      </c>
      <c r="DN8" t="s">
        <v>39</v>
      </c>
      <c r="DO8" t="s">
        <v>39</v>
      </c>
      <c r="DP8" t="s">
        <v>39</v>
      </c>
      <c r="DQ8" t="s">
        <v>39</v>
      </c>
      <c r="DR8" t="s">
        <v>39</v>
      </c>
      <c r="DS8" t="s">
        <v>39</v>
      </c>
      <c r="DT8" t="s">
        <v>39</v>
      </c>
      <c r="DU8" t="s">
        <v>39</v>
      </c>
      <c r="DV8" t="s">
        <v>39</v>
      </c>
      <c r="DW8" t="s">
        <v>39</v>
      </c>
      <c r="DX8" t="s">
        <v>39</v>
      </c>
      <c r="DY8" t="s">
        <v>39</v>
      </c>
      <c r="DZ8" t="s">
        <v>39</v>
      </c>
      <c r="EA8" t="s">
        <v>39</v>
      </c>
      <c r="EB8" t="s">
        <v>39</v>
      </c>
      <c r="EC8" t="s">
        <v>39</v>
      </c>
      <c r="ED8" t="s">
        <v>39</v>
      </c>
      <c r="EE8" t="s">
        <v>39</v>
      </c>
      <c r="EF8" t="s">
        <v>39</v>
      </c>
      <c r="EG8" t="s">
        <v>39</v>
      </c>
      <c r="EH8" t="s">
        <v>39</v>
      </c>
      <c r="EI8" t="s">
        <v>39</v>
      </c>
      <c r="EJ8" t="s">
        <v>39</v>
      </c>
      <c r="EK8" t="s">
        <v>39</v>
      </c>
      <c r="EL8" t="s">
        <v>39</v>
      </c>
      <c r="EM8" t="s">
        <v>39</v>
      </c>
      <c r="EN8" t="s">
        <v>39</v>
      </c>
      <c r="EO8" t="s">
        <v>39</v>
      </c>
      <c r="EP8" t="s">
        <v>39</v>
      </c>
      <c r="EQ8" t="s">
        <v>39</v>
      </c>
      <c r="ER8" t="s">
        <v>39</v>
      </c>
      <c r="ES8" t="s">
        <v>39</v>
      </c>
      <c r="ET8" t="s">
        <v>39</v>
      </c>
      <c r="EU8" t="s">
        <v>39</v>
      </c>
      <c r="EV8" t="s">
        <v>39</v>
      </c>
      <c r="EW8" t="s">
        <v>39</v>
      </c>
      <c r="EX8" t="s">
        <v>39</v>
      </c>
      <c r="FA8" t="s">
        <v>39</v>
      </c>
      <c r="FB8" t="s">
        <v>39</v>
      </c>
      <c r="FC8" t="s">
        <v>39</v>
      </c>
      <c r="FH8" t="s">
        <v>39</v>
      </c>
      <c r="FI8" t="s">
        <v>39</v>
      </c>
      <c r="FJ8" t="s">
        <v>39</v>
      </c>
      <c r="FK8" t="s">
        <v>39</v>
      </c>
      <c r="FL8" t="s">
        <v>39</v>
      </c>
      <c r="FM8" t="s">
        <v>39</v>
      </c>
      <c r="FN8" t="s">
        <v>39</v>
      </c>
      <c r="FO8" t="s">
        <v>39</v>
      </c>
      <c r="FP8" t="s">
        <v>39</v>
      </c>
      <c r="FQ8" t="s">
        <v>39</v>
      </c>
    </row>
    <row r="9" ht="15.75" customHeight="1">
      <c r="A9" s="8" t="s">
        <v>39</v>
      </c>
      <c r="B9" s="8">
        <v>10000.0</v>
      </c>
      <c r="C9" s="8">
        <v>10000.0</v>
      </c>
      <c r="D9" s="8">
        <v>10000.0</v>
      </c>
      <c r="E9" s="8">
        <v>10000.0</v>
      </c>
      <c r="F9" s="8"/>
      <c r="G9" s="8"/>
      <c r="H9" s="8"/>
      <c r="I9" s="8"/>
      <c r="J9" s="8"/>
      <c r="K9" s="8"/>
      <c r="L9" s="8"/>
      <c r="M9" s="8"/>
      <c r="N9" s="8"/>
      <c r="O9" s="8"/>
      <c r="AV9" t="s">
        <v>39</v>
      </c>
      <c r="AW9" t="s">
        <v>39</v>
      </c>
      <c r="AX9" t="s">
        <v>39</v>
      </c>
      <c r="AY9" t="s">
        <v>39</v>
      </c>
      <c r="AZ9" t="s">
        <v>39</v>
      </c>
      <c r="BA9" t="s">
        <v>39</v>
      </c>
      <c r="BB9" t="s">
        <v>39</v>
      </c>
      <c r="BC9" t="s">
        <v>39</v>
      </c>
      <c r="BD9" t="s">
        <v>39</v>
      </c>
      <c r="BE9" t="s">
        <v>39</v>
      </c>
      <c r="BF9" t="s">
        <v>39</v>
      </c>
      <c r="BG9" t="s">
        <v>39</v>
      </c>
      <c r="BH9" t="s">
        <v>39</v>
      </c>
      <c r="BI9" t="s">
        <v>39</v>
      </c>
      <c r="BJ9" t="s">
        <v>39</v>
      </c>
      <c r="BK9" t="s">
        <v>39</v>
      </c>
      <c r="BL9" t="s">
        <v>39</v>
      </c>
      <c r="BM9" t="s">
        <v>39</v>
      </c>
      <c r="BN9" t="s">
        <v>39</v>
      </c>
      <c r="BO9" t="s">
        <v>39</v>
      </c>
      <c r="BP9" t="s">
        <v>39</v>
      </c>
      <c r="BQ9" t="s">
        <v>39</v>
      </c>
      <c r="BR9" t="s">
        <v>39</v>
      </c>
      <c r="BS9" t="s">
        <v>39</v>
      </c>
      <c r="BT9" t="s">
        <v>39</v>
      </c>
      <c r="BU9" t="s">
        <v>39</v>
      </c>
      <c r="BV9" t="s">
        <v>39</v>
      </c>
      <c r="BW9" t="s">
        <v>39</v>
      </c>
      <c r="BX9" t="s">
        <v>39</v>
      </c>
      <c r="BY9" t="s">
        <v>39</v>
      </c>
      <c r="BZ9" t="s">
        <v>39</v>
      </c>
      <c r="CA9" t="s">
        <v>39</v>
      </c>
      <c r="CB9" t="s">
        <v>39</v>
      </c>
      <c r="CC9" t="s">
        <v>39</v>
      </c>
      <c r="CD9" t="s">
        <v>39</v>
      </c>
      <c r="CE9" t="s">
        <v>39</v>
      </c>
      <c r="CF9" t="s">
        <v>39</v>
      </c>
      <c r="CG9" t="s">
        <v>39</v>
      </c>
      <c r="CH9" t="s">
        <v>39</v>
      </c>
      <c r="CI9" t="s">
        <v>39</v>
      </c>
      <c r="CJ9" t="s">
        <v>39</v>
      </c>
      <c r="CK9" t="s">
        <v>39</v>
      </c>
      <c r="CL9" t="s">
        <v>39</v>
      </c>
      <c r="CM9" t="s">
        <v>39</v>
      </c>
      <c r="CN9" t="s">
        <v>39</v>
      </c>
      <c r="CO9" t="s">
        <v>39</v>
      </c>
      <c r="CP9" t="s">
        <v>39</v>
      </c>
      <c r="CQ9" t="s">
        <v>39</v>
      </c>
      <c r="CR9" t="s">
        <v>39</v>
      </c>
      <c r="CS9" t="s">
        <v>39</v>
      </c>
      <c r="CT9" t="s">
        <v>39</v>
      </c>
      <c r="CU9" t="s">
        <v>39</v>
      </c>
      <c r="CV9" t="s">
        <v>39</v>
      </c>
      <c r="CW9" t="s">
        <v>39</v>
      </c>
      <c r="CX9" t="s">
        <v>39</v>
      </c>
      <c r="CY9" t="s">
        <v>39</v>
      </c>
      <c r="CZ9" t="s">
        <v>39</v>
      </c>
      <c r="DA9" t="s">
        <v>39</v>
      </c>
      <c r="DB9" t="s">
        <v>39</v>
      </c>
      <c r="DC9" t="s">
        <v>39</v>
      </c>
      <c r="DD9" t="s">
        <v>39</v>
      </c>
      <c r="DE9" t="s">
        <v>39</v>
      </c>
      <c r="DF9" t="s">
        <v>39</v>
      </c>
      <c r="DG9" t="s">
        <v>39</v>
      </c>
      <c r="DH9" t="s">
        <v>39</v>
      </c>
      <c r="DI9" t="s">
        <v>39</v>
      </c>
      <c r="DJ9" t="s">
        <v>39</v>
      </c>
      <c r="DK9" t="s">
        <v>39</v>
      </c>
      <c r="DL9" t="s">
        <v>39</v>
      </c>
      <c r="DM9" t="s">
        <v>39</v>
      </c>
      <c r="DN9" t="s">
        <v>39</v>
      </c>
      <c r="DO9" t="s">
        <v>39</v>
      </c>
      <c r="DP9" t="s">
        <v>39</v>
      </c>
      <c r="DQ9" t="s">
        <v>39</v>
      </c>
      <c r="DR9" t="s">
        <v>39</v>
      </c>
      <c r="DS9" t="s">
        <v>39</v>
      </c>
      <c r="DT9" t="s">
        <v>39</v>
      </c>
      <c r="DU9" t="s">
        <v>39</v>
      </c>
      <c r="DV9" t="s">
        <v>39</v>
      </c>
      <c r="DW9" t="s">
        <v>39</v>
      </c>
      <c r="DX9" t="s">
        <v>39</v>
      </c>
      <c r="DY9" t="s">
        <v>39</v>
      </c>
      <c r="DZ9" t="s">
        <v>39</v>
      </c>
      <c r="EA9" t="s">
        <v>39</v>
      </c>
      <c r="EB9" t="s">
        <v>39</v>
      </c>
      <c r="EC9" t="s">
        <v>39</v>
      </c>
      <c r="ED9" t="s">
        <v>39</v>
      </c>
      <c r="EE9" t="s">
        <v>39</v>
      </c>
      <c r="EF9" t="s">
        <v>39</v>
      </c>
      <c r="EG9" t="s">
        <v>39</v>
      </c>
      <c r="EH9" t="s">
        <v>39</v>
      </c>
      <c r="EI9" t="s">
        <v>39</v>
      </c>
      <c r="EJ9" t="s">
        <v>39</v>
      </c>
      <c r="EK9" t="s">
        <v>39</v>
      </c>
      <c r="EL9" t="s">
        <v>39</v>
      </c>
      <c r="EM9" t="s">
        <v>39</v>
      </c>
      <c r="EN9" t="s">
        <v>39</v>
      </c>
      <c r="EO9" t="s">
        <v>39</v>
      </c>
      <c r="EP9" t="s">
        <v>39</v>
      </c>
      <c r="EQ9" t="s">
        <v>39</v>
      </c>
      <c r="ER9" t="s">
        <v>39</v>
      </c>
      <c r="ES9" t="s">
        <v>39</v>
      </c>
      <c r="ET9" t="s">
        <v>39</v>
      </c>
      <c r="EU9" t="s">
        <v>39</v>
      </c>
      <c r="EV9" t="s">
        <v>39</v>
      </c>
      <c r="EW9" t="s">
        <v>39</v>
      </c>
      <c r="EX9" t="s">
        <v>39</v>
      </c>
      <c r="FA9" t="s">
        <v>39</v>
      </c>
      <c r="FB9" t="s">
        <v>39</v>
      </c>
      <c r="FC9" t="s">
        <v>39</v>
      </c>
      <c r="FH9" t="s">
        <v>39</v>
      </c>
      <c r="FI9" t="s">
        <v>39</v>
      </c>
      <c r="FJ9" t="s">
        <v>39</v>
      </c>
      <c r="FK9" t="s">
        <v>39</v>
      </c>
      <c r="FL9" t="s">
        <v>39</v>
      </c>
      <c r="FM9" t="s">
        <v>39</v>
      </c>
      <c r="FN9" t="s">
        <v>39</v>
      </c>
      <c r="FO9" t="s">
        <v>39</v>
      </c>
      <c r="FP9" t="s">
        <v>39</v>
      </c>
      <c r="FQ9" t="s">
        <v>39</v>
      </c>
    </row>
    <row r="10" ht="15.75" customHeight="1">
      <c r="A10" s="8" t="s">
        <v>39</v>
      </c>
      <c r="B10" s="8">
        <v>0.0</v>
      </c>
      <c r="C10" s="8">
        <v>0.0</v>
      </c>
      <c r="D10" s="8">
        <v>0.0</v>
      </c>
      <c r="E10" s="8">
        <v>0.0</v>
      </c>
      <c r="F10" s="8"/>
      <c r="G10" s="8"/>
      <c r="H10" s="8"/>
      <c r="I10" s="8"/>
      <c r="J10" s="8"/>
      <c r="K10" s="8"/>
      <c r="L10" s="8"/>
      <c r="M10" s="8"/>
      <c r="N10" s="8"/>
      <c r="O10" s="8"/>
      <c r="AV10" t="s">
        <v>39</v>
      </c>
      <c r="AW10" t="s">
        <v>39</v>
      </c>
      <c r="AX10" t="s">
        <v>39</v>
      </c>
      <c r="AY10" t="s">
        <v>39</v>
      </c>
      <c r="AZ10" t="s">
        <v>39</v>
      </c>
      <c r="BA10" t="s">
        <v>39</v>
      </c>
      <c r="BB10" t="s">
        <v>39</v>
      </c>
      <c r="BC10" t="s">
        <v>39</v>
      </c>
      <c r="BD10" t="s">
        <v>39</v>
      </c>
      <c r="BE10" t="s">
        <v>39</v>
      </c>
      <c r="BF10" t="s">
        <v>39</v>
      </c>
      <c r="BG10" t="s">
        <v>39</v>
      </c>
      <c r="BH10" t="s">
        <v>39</v>
      </c>
      <c r="BI10" t="s">
        <v>39</v>
      </c>
      <c r="BJ10" t="s">
        <v>39</v>
      </c>
      <c r="BK10" t="s">
        <v>39</v>
      </c>
      <c r="BL10" t="s">
        <v>39</v>
      </c>
      <c r="BM10" t="s">
        <v>39</v>
      </c>
      <c r="BN10" t="s">
        <v>39</v>
      </c>
      <c r="BO10" t="s">
        <v>39</v>
      </c>
      <c r="BP10" t="s">
        <v>39</v>
      </c>
      <c r="BQ10" t="s">
        <v>39</v>
      </c>
      <c r="BR10" t="s">
        <v>39</v>
      </c>
      <c r="BS10" t="s">
        <v>39</v>
      </c>
      <c r="BT10" t="s">
        <v>39</v>
      </c>
      <c r="BU10" t="s">
        <v>39</v>
      </c>
      <c r="BV10" t="s">
        <v>39</v>
      </c>
      <c r="BW10" t="s">
        <v>39</v>
      </c>
      <c r="BX10" t="s">
        <v>39</v>
      </c>
      <c r="BY10" t="s">
        <v>39</v>
      </c>
      <c r="BZ10" t="s">
        <v>39</v>
      </c>
      <c r="CA10" t="s">
        <v>39</v>
      </c>
      <c r="CB10" t="s">
        <v>39</v>
      </c>
      <c r="CC10" t="s">
        <v>39</v>
      </c>
      <c r="CD10" t="s">
        <v>39</v>
      </c>
      <c r="CE10" t="s">
        <v>39</v>
      </c>
      <c r="CF10" t="s">
        <v>39</v>
      </c>
      <c r="CG10" t="s">
        <v>39</v>
      </c>
      <c r="CH10" t="s">
        <v>39</v>
      </c>
      <c r="CI10" t="s">
        <v>39</v>
      </c>
      <c r="CJ10" t="s">
        <v>39</v>
      </c>
      <c r="CK10" t="s">
        <v>39</v>
      </c>
      <c r="CL10" t="s">
        <v>39</v>
      </c>
      <c r="CM10" t="s">
        <v>39</v>
      </c>
      <c r="CN10" t="s">
        <v>39</v>
      </c>
      <c r="CO10" t="s">
        <v>39</v>
      </c>
      <c r="CP10" t="s">
        <v>39</v>
      </c>
      <c r="CQ10" t="s">
        <v>39</v>
      </c>
      <c r="CR10" t="s">
        <v>39</v>
      </c>
      <c r="CS10" t="s">
        <v>39</v>
      </c>
      <c r="CT10" t="s">
        <v>39</v>
      </c>
      <c r="CU10" t="s">
        <v>39</v>
      </c>
      <c r="CV10" t="s">
        <v>39</v>
      </c>
      <c r="CW10" t="s">
        <v>39</v>
      </c>
      <c r="CX10" t="s">
        <v>39</v>
      </c>
      <c r="CY10" t="s">
        <v>39</v>
      </c>
      <c r="CZ10" t="s">
        <v>39</v>
      </c>
      <c r="DA10" t="s">
        <v>39</v>
      </c>
      <c r="DB10" t="s">
        <v>39</v>
      </c>
      <c r="DC10" t="s">
        <v>39</v>
      </c>
      <c r="DD10" t="s">
        <v>39</v>
      </c>
      <c r="DE10" t="s">
        <v>39</v>
      </c>
      <c r="DF10" t="s">
        <v>39</v>
      </c>
      <c r="DG10" t="s">
        <v>39</v>
      </c>
      <c r="DH10" t="s">
        <v>39</v>
      </c>
      <c r="DI10" t="s">
        <v>39</v>
      </c>
      <c r="DJ10" t="s">
        <v>39</v>
      </c>
      <c r="DK10" t="s">
        <v>39</v>
      </c>
      <c r="DL10" t="s">
        <v>39</v>
      </c>
      <c r="DM10" t="s">
        <v>39</v>
      </c>
      <c r="DN10" t="s">
        <v>39</v>
      </c>
      <c r="DO10" t="s">
        <v>39</v>
      </c>
      <c r="DP10" t="s">
        <v>39</v>
      </c>
      <c r="DQ10" t="s">
        <v>39</v>
      </c>
      <c r="DR10" t="s">
        <v>39</v>
      </c>
      <c r="DS10" t="s">
        <v>39</v>
      </c>
      <c r="DT10" t="s">
        <v>39</v>
      </c>
      <c r="DU10" t="s">
        <v>39</v>
      </c>
      <c r="DV10" t="s">
        <v>39</v>
      </c>
      <c r="DW10" t="s">
        <v>39</v>
      </c>
      <c r="DX10" t="s">
        <v>39</v>
      </c>
      <c r="DY10" t="s">
        <v>39</v>
      </c>
      <c r="DZ10" t="s">
        <v>39</v>
      </c>
      <c r="EA10" t="s">
        <v>39</v>
      </c>
      <c r="EB10" t="s">
        <v>39</v>
      </c>
      <c r="EC10" t="s">
        <v>39</v>
      </c>
      <c r="ED10" t="s">
        <v>39</v>
      </c>
      <c r="EE10" t="s">
        <v>39</v>
      </c>
      <c r="EF10" t="s">
        <v>39</v>
      </c>
      <c r="EG10" t="s">
        <v>39</v>
      </c>
      <c r="EH10" t="s">
        <v>39</v>
      </c>
      <c r="EI10" t="s">
        <v>39</v>
      </c>
      <c r="EJ10" t="s">
        <v>39</v>
      </c>
      <c r="EK10" t="s">
        <v>39</v>
      </c>
      <c r="EL10" t="s">
        <v>39</v>
      </c>
      <c r="EM10" t="s">
        <v>39</v>
      </c>
      <c r="EN10" t="s">
        <v>39</v>
      </c>
      <c r="EO10" t="s">
        <v>39</v>
      </c>
      <c r="EP10" t="s">
        <v>39</v>
      </c>
      <c r="EQ10" t="s">
        <v>39</v>
      </c>
      <c r="ER10" t="s">
        <v>39</v>
      </c>
      <c r="ES10" t="s">
        <v>39</v>
      </c>
      <c r="ET10" t="s">
        <v>39</v>
      </c>
      <c r="EU10" t="s">
        <v>39</v>
      </c>
      <c r="EV10" t="s">
        <v>39</v>
      </c>
      <c r="EW10" t="s">
        <v>39</v>
      </c>
      <c r="EX10" t="s">
        <v>39</v>
      </c>
      <c r="FA10" t="s">
        <v>39</v>
      </c>
      <c r="FB10" t="s">
        <v>39</v>
      </c>
      <c r="FC10" t="s">
        <v>39</v>
      </c>
      <c r="FH10" t="s">
        <v>39</v>
      </c>
      <c r="FI10" t="s">
        <v>39</v>
      </c>
      <c r="FJ10" t="s">
        <v>39</v>
      </c>
      <c r="FK10" t="s">
        <v>39</v>
      </c>
      <c r="FL10" t="s">
        <v>39</v>
      </c>
      <c r="FM10" t="s">
        <v>39</v>
      </c>
      <c r="FN10" t="s">
        <v>39</v>
      </c>
      <c r="FO10" t="s">
        <v>39</v>
      </c>
      <c r="FP10" t="s">
        <v>39</v>
      </c>
      <c r="FQ10" t="s">
        <v>39</v>
      </c>
    </row>
    <row r="11" ht="15.75" customHeight="1">
      <c r="A11" s="8" t="s">
        <v>39</v>
      </c>
      <c r="B11" s="8">
        <v>0.0</v>
      </c>
      <c r="C11" s="8">
        <v>0.0</v>
      </c>
      <c r="D11" s="8">
        <v>0.0</v>
      </c>
      <c r="E11" s="8">
        <v>0.0</v>
      </c>
      <c r="F11" s="8"/>
      <c r="G11" s="8"/>
      <c r="H11" s="8"/>
      <c r="I11" s="8"/>
      <c r="J11" s="8"/>
      <c r="K11" s="8"/>
      <c r="L11" s="8"/>
      <c r="M11" s="8"/>
      <c r="N11" s="8"/>
      <c r="O11" s="8"/>
      <c r="AV11" t="s">
        <v>39</v>
      </c>
      <c r="AW11" t="s">
        <v>39</v>
      </c>
      <c r="AX11" t="s">
        <v>39</v>
      </c>
      <c r="AY11" t="s">
        <v>39</v>
      </c>
      <c r="AZ11" t="s">
        <v>39</v>
      </c>
      <c r="BA11" t="s">
        <v>39</v>
      </c>
      <c r="BB11" t="s">
        <v>39</v>
      </c>
      <c r="BC11" t="s">
        <v>39</v>
      </c>
      <c r="BD11" t="s">
        <v>39</v>
      </c>
      <c r="BE11" t="s">
        <v>39</v>
      </c>
      <c r="BF11" t="s">
        <v>39</v>
      </c>
      <c r="BG11" t="s">
        <v>39</v>
      </c>
      <c r="BH11" t="s">
        <v>39</v>
      </c>
      <c r="BI11" t="s">
        <v>39</v>
      </c>
      <c r="BJ11" t="s">
        <v>39</v>
      </c>
      <c r="BK11" t="s">
        <v>39</v>
      </c>
      <c r="BL11" t="s">
        <v>39</v>
      </c>
      <c r="BM11" t="s">
        <v>39</v>
      </c>
      <c r="BN11" t="s">
        <v>39</v>
      </c>
      <c r="BO11" t="s">
        <v>39</v>
      </c>
      <c r="BP11" t="s">
        <v>39</v>
      </c>
      <c r="BQ11" t="s">
        <v>39</v>
      </c>
      <c r="BR11" t="s">
        <v>39</v>
      </c>
      <c r="BS11" t="s">
        <v>39</v>
      </c>
      <c r="BT11" t="s">
        <v>39</v>
      </c>
      <c r="BU11" t="s">
        <v>39</v>
      </c>
      <c r="BV11" t="s">
        <v>39</v>
      </c>
      <c r="BW11" t="s">
        <v>39</v>
      </c>
      <c r="BX11" t="s">
        <v>39</v>
      </c>
      <c r="BY11" t="s">
        <v>39</v>
      </c>
      <c r="BZ11" t="s">
        <v>39</v>
      </c>
      <c r="CA11" t="s">
        <v>39</v>
      </c>
      <c r="CB11" t="s">
        <v>39</v>
      </c>
      <c r="CC11" t="s">
        <v>39</v>
      </c>
      <c r="CD11" t="s">
        <v>39</v>
      </c>
      <c r="CE11" t="s">
        <v>39</v>
      </c>
      <c r="CF11" t="s">
        <v>39</v>
      </c>
      <c r="CG11" t="s">
        <v>39</v>
      </c>
      <c r="CH11" t="s">
        <v>39</v>
      </c>
      <c r="CI11" t="s">
        <v>39</v>
      </c>
      <c r="CJ11" t="s">
        <v>39</v>
      </c>
      <c r="CK11" t="s">
        <v>39</v>
      </c>
      <c r="CL11" t="s">
        <v>39</v>
      </c>
      <c r="CM11" t="s">
        <v>39</v>
      </c>
      <c r="CN11" t="s">
        <v>39</v>
      </c>
      <c r="CO11" t="s">
        <v>39</v>
      </c>
      <c r="CP11" t="s">
        <v>39</v>
      </c>
      <c r="CQ11" t="s">
        <v>39</v>
      </c>
      <c r="CR11" t="s">
        <v>39</v>
      </c>
      <c r="CS11" t="s">
        <v>39</v>
      </c>
      <c r="CT11" t="s">
        <v>39</v>
      </c>
      <c r="CU11" t="s">
        <v>39</v>
      </c>
      <c r="CV11" t="s">
        <v>39</v>
      </c>
      <c r="CW11" t="s">
        <v>39</v>
      </c>
      <c r="CX11" t="s">
        <v>39</v>
      </c>
      <c r="CY11" t="s">
        <v>39</v>
      </c>
      <c r="CZ11" t="s">
        <v>39</v>
      </c>
      <c r="DA11" t="s">
        <v>39</v>
      </c>
      <c r="DB11" t="s">
        <v>39</v>
      </c>
      <c r="DC11" t="s">
        <v>39</v>
      </c>
      <c r="DD11" t="s">
        <v>39</v>
      </c>
      <c r="DE11" t="s">
        <v>39</v>
      </c>
      <c r="DF11" t="s">
        <v>39</v>
      </c>
      <c r="DG11" t="s">
        <v>39</v>
      </c>
      <c r="DH11" t="s">
        <v>39</v>
      </c>
      <c r="DI11" t="s">
        <v>39</v>
      </c>
      <c r="DJ11" t="s">
        <v>39</v>
      </c>
      <c r="DK11" t="s">
        <v>39</v>
      </c>
      <c r="DL11" t="s">
        <v>39</v>
      </c>
      <c r="DM11" t="s">
        <v>39</v>
      </c>
      <c r="DN11" t="s">
        <v>39</v>
      </c>
      <c r="DO11" t="s">
        <v>39</v>
      </c>
      <c r="DP11" t="s">
        <v>39</v>
      </c>
      <c r="DQ11" t="s">
        <v>39</v>
      </c>
      <c r="DR11" t="s">
        <v>39</v>
      </c>
      <c r="DS11" t="s">
        <v>39</v>
      </c>
      <c r="DT11" t="s">
        <v>39</v>
      </c>
      <c r="DU11" t="s">
        <v>39</v>
      </c>
      <c r="DV11" t="s">
        <v>39</v>
      </c>
      <c r="DW11" t="s">
        <v>39</v>
      </c>
      <c r="DX11" t="s">
        <v>39</v>
      </c>
      <c r="DY11" t="s">
        <v>39</v>
      </c>
      <c r="DZ11" t="s">
        <v>39</v>
      </c>
      <c r="EA11" t="s">
        <v>39</v>
      </c>
      <c r="EB11" t="s">
        <v>39</v>
      </c>
      <c r="EC11" t="s">
        <v>39</v>
      </c>
      <c r="ED11" t="s">
        <v>39</v>
      </c>
      <c r="EE11" t="s">
        <v>39</v>
      </c>
      <c r="EF11" t="s">
        <v>39</v>
      </c>
      <c r="EG11" t="s">
        <v>39</v>
      </c>
      <c r="EH11" t="s">
        <v>39</v>
      </c>
      <c r="EI11" t="s">
        <v>39</v>
      </c>
      <c r="EJ11" t="s">
        <v>39</v>
      </c>
      <c r="EK11" t="s">
        <v>39</v>
      </c>
      <c r="EL11" t="s">
        <v>39</v>
      </c>
      <c r="EM11" t="s">
        <v>39</v>
      </c>
      <c r="EN11" t="s">
        <v>39</v>
      </c>
      <c r="EO11" t="s">
        <v>39</v>
      </c>
      <c r="EP11" t="s">
        <v>39</v>
      </c>
      <c r="EQ11" t="s">
        <v>39</v>
      </c>
      <c r="ER11" t="s">
        <v>39</v>
      </c>
      <c r="ES11" t="s">
        <v>39</v>
      </c>
      <c r="ET11" t="s">
        <v>39</v>
      </c>
      <c r="EU11" t="s">
        <v>39</v>
      </c>
      <c r="EV11" t="s">
        <v>39</v>
      </c>
      <c r="EW11" t="s">
        <v>39</v>
      </c>
      <c r="EX11" t="s">
        <v>39</v>
      </c>
      <c r="FA11" t="s">
        <v>39</v>
      </c>
      <c r="FB11" t="s">
        <v>39</v>
      </c>
      <c r="FC11" t="s">
        <v>39</v>
      </c>
      <c r="FH11" t="s">
        <v>39</v>
      </c>
      <c r="FI11" t="s">
        <v>39</v>
      </c>
      <c r="FJ11" t="s">
        <v>39</v>
      </c>
      <c r="FK11" t="s">
        <v>39</v>
      </c>
      <c r="FL11" t="s">
        <v>39</v>
      </c>
      <c r="FM11" t="s">
        <v>39</v>
      </c>
      <c r="FN11" t="s">
        <v>39</v>
      </c>
      <c r="FO11" t="s">
        <v>39</v>
      </c>
      <c r="FP11" t="s">
        <v>39</v>
      </c>
      <c r="FQ11" t="s">
        <v>39</v>
      </c>
    </row>
    <row r="12" ht="15.75" customHeight="1">
      <c r="A12" s="8" t="s">
        <v>39</v>
      </c>
      <c r="B12" s="8">
        <v>60000.0</v>
      </c>
      <c r="C12" s="8">
        <v>60000.0</v>
      </c>
      <c r="D12" s="8">
        <v>60000.0</v>
      </c>
      <c r="E12" s="8">
        <v>60000.0</v>
      </c>
      <c r="F12" s="8"/>
      <c r="G12" s="8"/>
      <c r="H12" s="8"/>
      <c r="I12" s="8"/>
      <c r="J12" s="8"/>
      <c r="K12" s="8"/>
      <c r="L12" s="8"/>
      <c r="M12" s="8"/>
      <c r="N12" s="8"/>
      <c r="O12" s="8"/>
      <c r="AV12" t="s">
        <v>39</v>
      </c>
      <c r="AW12" t="s">
        <v>39</v>
      </c>
      <c r="AX12" t="s">
        <v>39</v>
      </c>
      <c r="AY12" t="s">
        <v>39</v>
      </c>
      <c r="AZ12" t="s">
        <v>39</v>
      </c>
      <c r="BA12" t="s">
        <v>39</v>
      </c>
      <c r="BB12" t="s">
        <v>39</v>
      </c>
      <c r="BC12" t="s">
        <v>39</v>
      </c>
      <c r="BD12" t="s">
        <v>39</v>
      </c>
      <c r="BE12" t="s">
        <v>39</v>
      </c>
      <c r="BF12" t="s">
        <v>39</v>
      </c>
      <c r="BG12" t="s">
        <v>39</v>
      </c>
      <c r="BH12" t="s">
        <v>39</v>
      </c>
      <c r="BI12" t="s">
        <v>39</v>
      </c>
      <c r="BJ12" t="s">
        <v>39</v>
      </c>
      <c r="BK12" t="s">
        <v>39</v>
      </c>
      <c r="BL12" t="s">
        <v>39</v>
      </c>
      <c r="BM12" t="s">
        <v>39</v>
      </c>
      <c r="BN12" t="s">
        <v>39</v>
      </c>
      <c r="BO12" t="s">
        <v>39</v>
      </c>
      <c r="BP12" t="s">
        <v>39</v>
      </c>
      <c r="BQ12" t="s">
        <v>39</v>
      </c>
      <c r="BR12" t="s">
        <v>39</v>
      </c>
      <c r="BS12" t="s">
        <v>39</v>
      </c>
      <c r="BT12" t="s">
        <v>39</v>
      </c>
      <c r="BU12" t="s">
        <v>39</v>
      </c>
      <c r="BV12" t="s">
        <v>39</v>
      </c>
      <c r="BW12" t="s">
        <v>39</v>
      </c>
      <c r="BX12" t="s">
        <v>39</v>
      </c>
      <c r="BY12" t="s">
        <v>39</v>
      </c>
      <c r="BZ12" t="s">
        <v>39</v>
      </c>
      <c r="CA12" t="s">
        <v>39</v>
      </c>
      <c r="CB12" t="s">
        <v>39</v>
      </c>
      <c r="CC12" t="s">
        <v>39</v>
      </c>
      <c r="CD12" t="s">
        <v>39</v>
      </c>
      <c r="CE12" t="s">
        <v>39</v>
      </c>
      <c r="CF12" t="s">
        <v>39</v>
      </c>
      <c r="CG12" t="s">
        <v>39</v>
      </c>
      <c r="CH12" t="s">
        <v>39</v>
      </c>
      <c r="CI12" t="s">
        <v>39</v>
      </c>
      <c r="CJ12" t="s">
        <v>39</v>
      </c>
      <c r="CK12" t="s">
        <v>39</v>
      </c>
      <c r="CL12" t="s">
        <v>39</v>
      </c>
      <c r="CM12" t="s">
        <v>39</v>
      </c>
      <c r="CN12" t="s">
        <v>39</v>
      </c>
      <c r="CO12" t="s">
        <v>39</v>
      </c>
      <c r="CP12" t="s">
        <v>39</v>
      </c>
      <c r="CQ12" t="s">
        <v>39</v>
      </c>
      <c r="CR12" t="s">
        <v>39</v>
      </c>
      <c r="CS12" t="s">
        <v>39</v>
      </c>
      <c r="CT12" t="s">
        <v>39</v>
      </c>
      <c r="CU12" t="s">
        <v>39</v>
      </c>
      <c r="CV12" t="s">
        <v>39</v>
      </c>
      <c r="CW12" t="s">
        <v>39</v>
      </c>
      <c r="CX12" t="s">
        <v>39</v>
      </c>
      <c r="CY12" t="s">
        <v>39</v>
      </c>
      <c r="CZ12" t="s">
        <v>39</v>
      </c>
      <c r="DA12" t="s">
        <v>39</v>
      </c>
      <c r="DB12" t="s">
        <v>39</v>
      </c>
      <c r="DC12" t="s">
        <v>39</v>
      </c>
      <c r="DD12" t="s">
        <v>39</v>
      </c>
      <c r="DE12" t="s">
        <v>39</v>
      </c>
      <c r="DF12" t="s">
        <v>39</v>
      </c>
      <c r="DG12" t="s">
        <v>39</v>
      </c>
      <c r="DH12" t="s">
        <v>39</v>
      </c>
      <c r="DI12" t="s">
        <v>39</v>
      </c>
      <c r="DJ12" t="s">
        <v>39</v>
      </c>
      <c r="DK12" t="s">
        <v>39</v>
      </c>
      <c r="DL12" t="s">
        <v>39</v>
      </c>
      <c r="DM12" t="s">
        <v>39</v>
      </c>
      <c r="DN12" t="s">
        <v>39</v>
      </c>
      <c r="DO12" t="s">
        <v>39</v>
      </c>
      <c r="DP12" t="s">
        <v>39</v>
      </c>
      <c r="DQ12" t="s">
        <v>39</v>
      </c>
      <c r="DR12" t="s">
        <v>39</v>
      </c>
      <c r="DS12" t="s">
        <v>39</v>
      </c>
      <c r="DT12" t="s">
        <v>39</v>
      </c>
      <c r="DU12" t="s">
        <v>39</v>
      </c>
      <c r="DV12" t="s">
        <v>39</v>
      </c>
      <c r="DW12" t="s">
        <v>39</v>
      </c>
      <c r="DX12" t="s">
        <v>39</v>
      </c>
      <c r="DY12" t="s">
        <v>39</v>
      </c>
      <c r="DZ12" t="s">
        <v>39</v>
      </c>
      <c r="EA12" t="s">
        <v>39</v>
      </c>
      <c r="EB12" t="s">
        <v>39</v>
      </c>
      <c r="EC12" t="s">
        <v>39</v>
      </c>
      <c r="ED12" t="s">
        <v>39</v>
      </c>
      <c r="EE12" t="s">
        <v>39</v>
      </c>
      <c r="EF12" t="s">
        <v>39</v>
      </c>
      <c r="EG12" t="s">
        <v>39</v>
      </c>
      <c r="EH12" t="s">
        <v>39</v>
      </c>
      <c r="EI12" t="s">
        <v>39</v>
      </c>
      <c r="EJ12" t="s">
        <v>39</v>
      </c>
      <c r="EK12" t="s">
        <v>39</v>
      </c>
      <c r="EL12" t="s">
        <v>39</v>
      </c>
      <c r="EM12" t="s">
        <v>39</v>
      </c>
      <c r="EN12" t="s">
        <v>39</v>
      </c>
      <c r="EO12" t="s">
        <v>39</v>
      </c>
      <c r="EP12" t="s">
        <v>39</v>
      </c>
      <c r="EQ12" t="s">
        <v>39</v>
      </c>
      <c r="ER12" t="s">
        <v>39</v>
      </c>
      <c r="ES12" t="s">
        <v>39</v>
      </c>
      <c r="ET12" t="s">
        <v>39</v>
      </c>
      <c r="EU12" t="s">
        <v>39</v>
      </c>
      <c r="EV12" t="s">
        <v>39</v>
      </c>
      <c r="EW12" t="s">
        <v>39</v>
      </c>
      <c r="EX12" t="s">
        <v>39</v>
      </c>
      <c r="FA12" t="s">
        <v>39</v>
      </c>
      <c r="FB12" t="s">
        <v>39</v>
      </c>
      <c r="FC12" t="s">
        <v>39</v>
      </c>
      <c r="FH12" t="s">
        <v>39</v>
      </c>
      <c r="FI12" t="s">
        <v>39</v>
      </c>
      <c r="FJ12" t="s">
        <v>39</v>
      </c>
      <c r="FK12" t="s">
        <v>39</v>
      </c>
      <c r="FL12" t="s">
        <v>39</v>
      </c>
      <c r="FM12" t="s">
        <v>39</v>
      </c>
      <c r="FN12" t="s">
        <v>39</v>
      </c>
      <c r="FO12" t="s">
        <v>39</v>
      </c>
      <c r="FP12" t="s">
        <v>39</v>
      </c>
      <c r="FQ12" t="s">
        <v>39</v>
      </c>
    </row>
    <row r="13" ht="15.75" customHeight="1">
      <c r="A13" s="8" t="s">
        <v>39</v>
      </c>
      <c r="B13" s="8">
        <v>6000.0</v>
      </c>
      <c r="C13" s="8">
        <v>6000.0</v>
      </c>
      <c r="D13" s="8">
        <v>6000.0</v>
      </c>
      <c r="E13" s="8">
        <v>6000.0</v>
      </c>
      <c r="F13" s="8"/>
      <c r="G13" s="8"/>
      <c r="H13" s="8"/>
      <c r="I13" s="8"/>
      <c r="J13" s="8"/>
      <c r="K13" s="8"/>
      <c r="L13" s="8"/>
      <c r="M13" s="8"/>
      <c r="N13" s="8"/>
      <c r="O13" s="8"/>
      <c r="AV13" t="s">
        <v>39</v>
      </c>
      <c r="AW13" t="s">
        <v>39</v>
      </c>
      <c r="AX13" t="s">
        <v>39</v>
      </c>
      <c r="AY13" t="s">
        <v>39</v>
      </c>
      <c r="AZ13" t="s">
        <v>39</v>
      </c>
      <c r="BA13" t="s">
        <v>39</v>
      </c>
      <c r="BB13" t="s">
        <v>39</v>
      </c>
      <c r="BC13" t="s">
        <v>39</v>
      </c>
      <c r="BD13" t="s">
        <v>39</v>
      </c>
      <c r="BE13" t="s">
        <v>39</v>
      </c>
      <c r="BF13" t="s">
        <v>39</v>
      </c>
      <c r="BG13" t="s">
        <v>39</v>
      </c>
      <c r="BH13" t="s">
        <v>39</v>
      </c>
      <c r="BI13" t="s">
        <v>39</v>
      </c>
      <c r="BJ13" t="s">
        <v>39</v>
      </c>
      <c r="BK13" t="s">
        <v>39</v>
      </c>
      <c r="BL13" t="s">
        <v>39</v>
      </c>
      <c r="BM13" t="s">
        <v>39</v>
      </c>
      <c r="BN13" t="s">
        <v>39</v>
      </c>
      <c r="BO13" t="s">
        <v>39</v>
      </c>
      <c r="BP13" t="s">
        <v>39</v>
      </c>
      <c r="BQ13" t="s">
        <v>39</v>
      </c>
      <c r="BR13" t="s">
        <v>39</v>
      </c>
      <c r="BS13" t="s">
        <v>39</v>
      </c>
      <c r="BT13" t="s">
        <v>39</v>
      </c>
      <c r="BU13" t="s">
        <v>39</v>
      </c>
      <c r="BV13" t="s">
        <v>39</v>
      </c>
      <c r="BW13" t="s">
        <v>39</v>
      </c>
      <c r="BX13" t="s">
        <v>39</v>
      </c>
      <c r="BY13" t="s">
        <v>39</v>
      </c>
      <c r="BZ13" t="s">
        <v>39</v>
      </c>
      <c r="CA13" t="s">
        <v>39</v>
      </c>
      <c r="CB13" t="s">
        <v>39</v>
      </c>
      <c r="CC13" t="s">
        <v>39</v>
      </c>
      <c r="CD13" t="s">
        <v>39</v>
      </c>
      <c r="CE13" t="s">
        <v>39</v>
      </c>
      <c r="CF13" t="s">
        <v>39</v>
      </c>
      <c r="CG13" t="s">
        <v>39</v>
      </c>
      <c r="CH13" t="s">
        <v>39</v>
      </c>
      <c r="CI13" t="s">
        <v>39</v>
      </c>
      <c r="CJ13" t="s">
        <v>39</v>
      </c>
      <c r="CK13" t="s">
        <v>39</v>
      </c>
      <c r="CL13" t="s">
        <v>39</v>
      </c>
      <c r="CM13" t="s">
        <v>39</v>
      </c>
      <c r="CN13" t="s">
        <v>39</v>
      </c>
      <c r="CO13" t="s">
        <v>39</v>
      </c>
      <c r="CP13" t="s">
        <v>39</v>
      </c>
      <c r="CQ13" t="s">
        <v>39</v>
      </c>
      <c r="CR13" t="s">
        <v>39</v>
      </c>
      <c r="CS13" t="s">
        <v>39</v>
      </c>
      <c r="CT13" t="s">
        <v>39</v>
      </c>
      <c r="CU13" t="s">
        <v>39</v>
      </c>
      <c r="CV13" t="s">
        <v>39</v>
      </c>
      <c r="CW13" t="s">
        <v>39</v>
      </c>
      <c r="CX13" t="s">
        <v>39</v>
      </c>
      <c r="CY13" t="s">
        <v>39</v>
      </c>
      <c r="CZ13" t="s">
        <v>39</v>
      </c>
      <c r="DA13" t="s">
        <v>39</v>
      </c>
      <c r="DB13" t="s">
        <v>39</v>
      </c>
      <c r="DC13" t="s">
        <v>39</v>
      </c>
      <c r="DD13" t="s">
        <v>39</v>
      </c>
      <c r="DE13" t="s">
        <v>39</v>
      </c>
      <c r="DF13" t="s">
        <v>39</v>
      </c>
      <c r="DG13" t="s">
        <v>39</v>
      </c>
      <c r="DH13" t="s">
        <v>39</v>
      </c>
      <c r="DI13" t="s">
        <v>39</v>
      </c>
      <c r="DJ13" t="s">
        <v>39</v>
      </c>
      <c r="DK13" t="s">
        <v>39</v>
      </c>
      <c r="DL13" t="s">
        <v>39</v>
      </c>
      <c r="DM13" t="s">
        <v>39</v>
      </c>
      <c r="DN13" t="s">
        <v>39</v>
      </c>
      <c r="DO13" t="s">
        <v>39</v>
      </c>
      <c r="DP13" t="s">
        <v>39</v>
      </c>
      <c r="DQ13" t="s">
        <v>39</v>
      </c>
      <c r="DR13" t="s">
        <v>39</v>
      </c>
      <c r="DS13" t="s">
        <v>39</v>
      </c>
      <c r="DT13" t="s">
        <v>39</v>
      </c>
      <c r="DU13" t="s">
        <v>39</v>
      </c>
      <c r="DV13" t="s">
        <v>39</v>
      </c>
      <c r="DW13" t="s">
        <v>39</v>
      </c>
      <c r="DX13" t="s">
        <v>39</v>
      </c>
      <c r="DY13" t="s">
        <v>39</v>
      </c>
      <c r="DZ13" t="s">
        <v>39</v>
      </c>
      <c r="EA13" t="s">
        <v>39</v>
      </c>
      <c r="EB13" t="s">
        <v>39</v>
      </c>
      <c r="EC13" t="s">
        <v>39</v>
      </c>
      <c r="ED13" t="s">
        <v>39</v>
      </c>
      <c r="EE13" t="s">
        <v>39</v>
      </c>
      <c r="EF13" t="s">
        <v>39</v>
      </c>
      <c r="EG13" t="s">
        <v>39</v>
      </c>
      <c r="EH13" t="s">
        <v>39</v>
      </c>
      <c r="EI13" t="s">
        <v>39</v>
      </c>
      <c r="EJ13" t="s">
        <v>39</v>
      </c>
      <c r="EK13" t="s">
        <v>39</v>
      </c>
      <c r="EL13" t="s">
        <v>39</v>
      </c>
      <c r="EM13" t="s">
        <v>39</v>
      </c>
      <c r="EN13" t="s">
        <v>39</v>
      </c>
      <c r="EO13" t="s">
        <v>39</v>
      </c>
      <c r="EP13" t="s">
        <v>39</v>
      </c>
      <c r="EQ13" t="s">
        <v>39</v>
      </c>
      <c r="ER13" t="s">
        <v>39</v>
      </c>
      <c r="ES13" t="s">
        <v>39</v>
      </c>
      <c r="ET13" t="s">
        <v>39</v>
      </c>
      <c r="EU13" t="s">
        <v>39</v>
      </c>
      <c r="EV13" t="s">
        <v>39</v>
      </c>
      <c r="EW13" t="s">
        <v>39</v>
      </c>
      <c r="EX13" t="s">
        <v>39</v>
      </c>
      <c r="FA13" t="s">
        <v>39</v>
      </c>
      <c r="FB13" t="s">
        <v>39</v>
      </c>
      <c r="FC13" t="s">
        <v>39</v>
      </c>
      <c r="FH13" t="s">
        <v>39</v>
      </c>
      <c r="FI13" t="s">
        <v>39</v>
      </c>
      <c r="FJ13" t="s">
        <v>39</v>
      </c>
      <c r="FK13" t="s">
        <v>39</v>
      </c>
      <c r="FL13" t="s">
        <v>39</v>
      </c>
      <c r="FM13" t="s">
        <v>39</v>
      </c>
      <c r="FN13" t="s">
        <v>39</v>
      </c>
      <c r="FO13" t="s">
        <v>39</v>
      </c>
      <c r="FP13" t="s">
        <v>39</v>
      </c>
      <c r="FQ13" t="s">
        <v>39</v>
      </c>
    </row>
    <row r="14" ht="15.75" customHeight="1">
      <c r="A14" s="8" t="s">
        <v>39</v>
      </c>
      <c r="B14" s="8">
        <v>60000.0</v>
      </c>
      <c r="C14" s="8">
        <v>60000.0</v>
      </c>
      <c r="D14" s="8">
        <v>60000.0</v>
      </c>
      <c r="E14" s="8">
        <v>60000.0</v>
      </c>
      <c r="F14" s="8"/>
      <c r="G14" s="8"/>
      <c r="H14" s="8"/>
      <c r="I14" s="8"/>
      <c r="J14" s="8"/>
      <c r="K14" s="8"/>
      <c r="L14" s="8"/>
      <c r="M14" s="8"/>
      <c r="N14" s="8"/>
      <c r="O14" s="8"/>
      <c r="AV14" t="s">
        <v>39</v>
      </c>
      <c r="AW14" t="s">
        <v>39</v>
      </c>
      <c r="AX14" t="s">
        <v>39</v>
      </c>
      <c r="AY14" t="s">
        <v>39</v>
      </c>
      <c r="AZ14" t="s">
        <v>39</v>
      </c>
      <c r="BA14" t="s">
        <v>39</v>
      </c>
      <c r="BB14" t="s">
        <v>39</v>
      </c>
      <c r="BC14" t="s">
        <v>39</v>
      </c>
      <c r="BD14" t="s">
        <v>39</v>
      </c>
      <c r="BE14" t="s">
        <v>39</v>
      </c>
      <c r="BF14" t="s">
        <v>39</v>
      </c>
      <c r="BG14" t="s">
        <v>39</v>
      </c>
      <c r="BH14" t="s">
        <v>39</v>
      </c>
      <c r="BI14" t="s">
        <v>39</v>
      </c>
      <c r="BJ14" t="s">
        <v>39</v>
      </c>
      <c r="BK14" t="s">
        <v>39</v>
      </c>
      <c r="BL14" t="s">
        <v>39</v>
      </c>
      <c r="BM14" t="s">
        <v>39</v>
      </c>
      <c r="BN14" t="s">
        <v>39</v>
      </c>
      <c r="BO14" t="s">
        <v>39</v>
      </c>
      <c r="BP14" t="s">
        <v>39</v>
      </c>
      <c r="BQ14" t="s">
        <v>39</v>
      </c>
      <c r="BR14" t="s">
        <v>39</v>
      </c>
      <c r="BS14" t="s">
        <v>39</v>
      </c>
      <c r="BT14" t="s">
        <v>39</v>
      </c>
      <c r="BU14" t="s">
        <v>39</v>
      </c>
      <c r="BV14" t="s">
        <v>39</v>
      </c>
      <c r="BW14" t="s">
        <v>39</v>
      </c>
      <c r="BX14" t="s">
        <v>39</v>
      </c>
      <c r="BY14" t="s">
        <v>39</v>
      </c>
      <c r="BZ14" t="s">
        <v>39</v>
      </c>
      <c r="CA14" t="s">
        <v>39</v>
      </c>
      <c r="CB14" t="s">
        <v>39</v>
      </c>
      <c r="CC14" t="s">
        <v>39</v>
      </c>
      <c r="CD14" t="s">
        <v>39</v>
      </c>
      <c r="CE14" t="s">
        <v>39</v>
      </c>
      <c r="CF14" t="s">
        <v>39</v>
      </c>
      <c r="CG14" t="s">
        <v>39</v>
      </c>
      <c r="CH14" t="s">
        <v>39</v>
      </c>
      <c r="CI14" t="s">
        <v>39</v>
      </c>
      <c r="CJ14" t="s">
        <v>39</v>
      </c>
      <c r="CK14" t="s">
        <v>39</v>
      </c>
      <c r="CL14" t="s">
        <v>39</v>
      </c>
      <c r="CM14" t="s">
        <v>39</v>
      </c>
      <c r="CN14" t="s">
        <v>39</v>
      </c>
      <c r="CO14" t="s">
        <v>39</v>
      </c>
      <c r="CP14" t="s">
        <v>39</v>
      </c>
      <c r="CQ14" t="s">
        <v>39</v>
      </c>
      <c r="CR14" t="s">
        <v>39</v>
      </c>
      <c r="CS14" t="s">
        <v>39</v>
      </c>
      <c r="CT14" t="s">
        <v>39</v>
      </c>
      <c r="CU14" t="s">
        <v>39</v>
      </c>
      <c r="CV14" t="s">
        <v>39</v>
      </c>
      <c r="CW14" t="s">
        <v>39</v>
      </c>
      <c r="CX14" t="s">
        <v>39</v>
      </c>
      <c r="CY14" t="s">
        <v>39</v>
      </c>
      <c r="CZ14" t="s">
        <v>39</v>
      </c>
      <c r="DA14" t="s">
        <v>39</v>
      </c>
      <c r="DB14" t="s">
        <v>39</v>
      </c>
      <c r="DC14" t="s">
        <v>39</v>
      </c>
      <c r="DD14" t="s">
        <v>39</v>
      </c>
      <c r="DE14" t="s">
        <v>39</v>
      </c>
      <c r="DF14" t="s">
        <v>39</v>
      </c>
      <c r="DG14" t="s">
        <v>39</v>
      </c>
      <c r="DH14" t="s">
        <v>39</v>
      </c>
      <c r="DI14" t="s">
        <v>39</v>
      </c>
      <c r="DJ14" t="s">
        <v>39</v>
      </c>
      <c r="DK14" t="s">
        <v>39</v>
      </c>
      <c r="DL14" t="s">
        <v>39</v>
      </c>
      <c r="DM14" t="s">
        <v>39</v>
      </c>
      <c r="DN14" t="s">
        <v>39</v>
      </c>
      <c r="DO14" t="s">
        <v>39</v>
      </c>
      <c r="DP14" t="s">
        <v>39</v>
      </c>
      <c r="DQ14" t="s">
        <v>39</v>
      </c>
      <c r="DR14" t="s">
        <v>39</v>
      </c>
      <c r="DS14" t="s">
        <v>39</v>
      </c>
      <c r="DT14" t="s">
        <v>39</v>
      </c>
      <c r="DU14" t="s">
        <v>39</v>
      </c>
      <c r="DV14" t="s">
        <v>39</v>
      </c>
      <c r="DW14" t="s">
        <v>39</v>
      </c>
      <c r="DX14" t="s">
        <v>39</v>
      </c>
      <c r="DY14" t="s">
        <v>39</v>
      </c>
      <c r="DZ14" t="s">
        <v>39</v>
      </c>
      <c r="EA14" t="s">
        <v>39</v>
      </c>
      <c r="EB14" t="s">
        <v>39</v>
      </c>
      <c r="EC14" t="s">
        <v>39</v>
      </c>
      <c r="ED14" t="s">
        <v>39</v>
      </c>
      <c r="EE14" t="s">
        <v>39</v>
      </c>
      <c r="EF14" t="s">
        <v>39</v>
      </c>
      <c r="EG14" t="s">
        <v>39</v>
      </c>
      <c r="EH14" t="s">
        <v>39</v>
      </c>
      <c r="EI14" t="s">
        <v>39</v>
      </c>
      <c r="EJ14" t="s">
        <v>39</v>
      </c>
      <c r="EK14" t="s">
        <v>39</v>
      </c>
      <c r="EL14" t="s">
        <v>39</v>
      </c>
      <c r="EM14" t="s">
        <v>39</v>
      </c>
      <c r="EN14" t="s">
        <v>39</v>
      </c>
      <c r="EO14" t="s">
        <v>39</v>
      </c>
      <c r="EP14" t="s">
        <v>39</v>
      </c>
      <c r="EQ14" t="s">
        <v>39</v>
      </c>
      <c r="ER14" t="s">
        <v>39</v>
      </c>
      <c r="ES14" t="s">
        <v>39</v>
      </c>
      <c r="ET14" t="s">
        <v>39</v>
      </c>
      <c r="EU14" t="s">
        <v>39</v>
      </c>
      <c r="EV14" t="s">
        <v>39</v>
      </c>
      <c r="EW14" t="s">
        <v>39</v>
      </c>
      <c r="EX14" t="s">
        <v>39</v>
      </c>
      <c r="FA14" t="s">
        <v>39</v>
      </c>
      <c r="FB14" t="s">
        <v>39</v>
      </c>
      <c r="FC14" t="s">
        <v>39</v>
      </c>
      <c r="FH14" t="s">
        <v>39</v>
      </c>
      <c r="FI14" t="s">
        <v>39</v>
      </c>
      <c r="FJ14" t="s">
        <v>39</v>
      </c>
      <c r="FK14" t="s">
        <v>39</v>
      </c>
      <c r="FL14" t="s">
        <v>39</v>
      </c>
      <c r="FM14" t="s">
        <v>39</v>
      </c>
      <c r="FN14" t="s">
        <v>39</v>
      </c>
      <c r="FO14" t="s">
        <v>39</v>
      </c>
      <c r="FP14" t="s">
        <v>39</v>
      </c>
      <c r="FQ14" t="s">
        <v>39</v>
      </c>
    </row>
    <row r="15" ht="15.75" customHeight="1">
      <c r="A15" s="8" t="s">
        <v>39</v>
      </c>
      <c r="B15" s="8">
        <v>54000.0</v>
      </c>
      <c r="C15" s="8">
        <v>54000.0</v>
      </c>
      <c r="D15" s="8">
        <v>54000.0</v>
      </c>
      <c r="E15" s="8">
        <v>54000.0</v>
      </c>
      <c r="F15" s="8"/>
      <c r="G15" s="8"/>
      <c r="H15" s="8"/>
      <c r="I15" s="8"/>
      <c r="J15" s="8"/>
      <c r="K15" s="8"/>
      <c r="L15" s="8"/>
      <c r="M15" s="8"/>
      <c r="N15" s="8"/>
      <c r="O15" s="8"/>
      <c r="AV15" t="s">
        <v>39</v>
      </c>
      <c r="AW15" t="s">
        <v>39</v>
      </c>
      <c r="AX15" t="s">
        <v>39</v>
      </c>
      <c r="AY15" t="s">
        <v>39</v>
      </c>
      <c r="AZ15" t="s">
        <v>39</v>
      </c>
      <c r="BA15" t="s">
        <v>39</v>
      </c>
      <c r="BB15" t="s">
        <v>39</v>
      </c>
      <c r="BC15" t="s">
        <v>39</v>
      </c>
      <c r="BD15" t="s">
        <v>39</v>
      </c>
      <c r="BE15" t="s">
        <v>39</v>
      </c>
      <c r="BF15" t="s">
        <v>39</v>
      </c>
      <c r="BG15" t="s">
        <v>39</v>
      </c>
      <c r="BH15" t="s">
        <v>39</v>
      </c>
      <c r="BI15" t="s">
        <v>39</v>
      </c>
      <c r="BJ15" t="s">
        <v>39</v>
      </c>
      <c r="BK15" t="s">
        <v>39</v>
      </c>
      <c r="BL15" t="s">
        <v>39</v>
      </c>
      <c r="BM15" t="s">
        <v>39</v>
      </c>
      <c r="BN15" t="s">
        <v>39</v>
      </c>
      <c r="BO15" t="s">
        <v>39</v>
      </c>
      <c r="BP15" t="s">
        <v>39</v>
      </c>
      <c r="BQ15" t="s">
        <v>39</v>
      </c>
      <c r="BR15" t="s">
        <v>39</v>
      </c>
      <c r="BS15" t="s">
        <v>39</v>
      </c>
      <c r="BT15" t="s">
        <v>39</v>
      </c>
      <c r="BU15" t="s">
        <v>39</v>
      </c>
      <c r="BV15" t="s">
        <v>39</v>
      </c>
      <c r="BW15" t="s">
        <v>39</v>
      </c>
      <c r="BX15" t="s">
        <v>39</v>
      </c>
      <c r="BY15" t="s">
        <v>39</v>
      </c>
      <c r="BZ15" t="s">
        <v>39</v>
      </c>
      <c r="CA15" t="s">
        <v>39</v>
      </c>
      <c r="CB15" t="s">
        <v>39</v>
      </c>
      <c r="CC15" t="s">
        <v>39</v>
      </c>
      <c r="CD15" t="s">
        <v>39</v>
      </c>
      <c r="CE15" t="s">
        <v>39</v>
      </c>
      <c r="CF15" t="s">
        <v>39</v>
      </c>
      <c r="CG15" t="s">
        <v>39</v>
      </c>
      <c r="CH15" t="s">
        <v>39</v>
      </c>
      <c r="CI15" t="s">
        <v>39</v>
      </c>
      <c r="CJ15" t="s">
        <v>39</v>
      </c>
      <c r="CK15" t="s">
        <v>39</v>
      </c>
      <c r="CL15" t="s">
        <v>39</v>
      </c>
      <c r="CM15" t="s">
        <v>39</v>
      </c>
      <c r="CN15" t="s">
        <v>39</v>
      </c>
      <c r="CO15" t="s">
        <v>39</v>
      </c>
      <c r="CP15" t="s">
        <v>39</v>
      </c>
      <c r="CQ15" t="s">
        <v>39</v>
      </c>
      <c r="CR15" t="s">
        <v>39</v>
      </c>
      <c r="CS15" t="s">
        <v>39</v>
      </c>
      <c r="CT15" t="s">
        <v>39</v>
      </c>
      <c r="CU15" t="s">
        <v>39</v>
      </c>
      <c r="CV15" t="s">
        <v>39</v>
      </c>
      <c r="CW15" t="s">
        <v>39</v>
      </c>
      <c r="CX15" t="s">
        <v>39</v>
      </c>
      <c r="CY15" t="s">
        <v>39</v>
      </c>
      <c r="CZ15" t="s">
        <v>39</v>
      </c>
      <c r="DA15" t="s">
        <v>39</v>
      </c>
      <c r="DB15" t="s">
        <v>39</v>
      </c>
      <c r="DC15" t="s">
        <v>39</v>
      </c>
      <c r="DD15" t="s">
        <v>39</v>
      </c>
      <c r="DE15" t="s">
        <v>39</v>
      </c>
      <c r="DF15" t="s">
        <v>39</v>
      </c>
      <c r="DG15" t="s">
        <v>39</v>
      </c>
      <c r="DH15" t="s">
        <v>39</v>
      </c>
      <c r="DI15" t="s">
        <v>39</v>
      </c>
      <c r="DJ15" t="s">
        <v>39</v>
      </c>
      <c r="DK15" t="s">
        <v>39</v>
      </c>
      <c r="DL15" t="s">
        <v>39</v>
      </c>
      <c r="DM15" t="s">
        <v>39</v>
      </c>
      <c r="DN15" t="s">
        <v>39</v>
      </c>
      <c r="DO15" t="s">
        <v>39</v>
      </c>
      <c r="DP15" t="s">
        <v>39</v>
      </c>
      <c r="DQ15" t="s">
        <v>39</v>
      </c>
      <c r="DR15" t="s">
        <v>39</v>
      </c>
      <c r="DS15" t="s">
        <v>39</v>
      </c>
      <c r="DT15" t="s">
        <v>39</v>
      </c>
      <c r="DU15" t="s">
        <v>39</v>
      </c>
      <c r="DV15" t="s">
        <v>39</v>
      </c>
      <c r="DW15" t="s">
        <v>39</v>
      </c>
      <c r="DX15" t="s">
        <v>39</v>
      </c>
      <c r="DY15" t="s">
        <v>39</v>
      </c>
      <c r="DZ15" t="s">
        <v>39</v>
      </c>
      <c r="EA15" t="s">
        <v>39</v>
      </c>
      <c r="EB15" t="s">
        <v>39</v>
      </c>
      <c r="EC15" t="s">
        <v>39</v>
      </c>
      <c r="ED15" t="s">
        <v>39</v>
      </c>
      <c r="EE15" t="s">
        <v>39</v>
      </c>
      <c r="EF15" t="s">
        <v>39</v>
      </c>
      <c r="EG15" t="s">
        <v>39</v>
      </c>
      <c r="EH15" t="s">
        <v>39</v>
      </c>
      <c r="EI15" t="s">
        <v>39</v>
      </c>
      <c r="EJ15" t="s">
        <v>39</v>
      </c>
      <c r="EK15" t="s">
        <v>39</v>
      </c>
      <c r="EL15" t="s">
        <v>39</v>
      </c>
      <c r="EM15" t="s">
        <v>39</v>
      </c>
      <c r="EN15" t="s">
        <v>39</v>
      </c>
      <c r="EO15" t="s">
        <v>39</v>
      </c>
      <c r="EP15" t="s">
        <v>39</v>
      </c>
      <c r="EQ15" t="s">
        <v>39</v>
      </c>
      <c r="ER15" t="s">
        <v>39</v>
      </c>
      <c r="ES15" t="s">
        <v>39</v>
      </c>
      <c r="ET15" t="s">
        <v>39</v>
      </c>
      <c r="EU15" t="s">
        <v>39</v>
      </c>
      <c r="EV15" t="s">
        <v>39</v>
      </c>
      <c r="EW15" t="s">
        <v>39</v>
      </c>
      <c r="EX15" t="s">
        <v>39</v>
      </c>
      <c r="FA15" t="s">
        <v>39</v>
      </c>
      <c r="FB15" t="s">
        <v>39</v>
      </c>
      <c r="FC15" t="s">
        <v>39</v>
      </c>
      <c r="FH15" t="s">
        <v>39</v>
      </c>
      <c r="FI15" t="s">
        <v>39</v>
      </c>
      <c r="FJ15" t="s">
        <v>39</v>
      </c>
      <c r="FK15" t="s">
        <v>39</v>
      </c>
      <c r="FL15" t="s">
        <v>39</v>
      </c>
      <c r="FM15" t="s">
        <v>39</v>
      </c>
      <c r="FN15" t="s">
        <v>39</v>
      </c>
      <c r="FO15" t="s">
        <v>39</v>
      </c>
      <c r="FP15" t="s">
        <v>39</v>
      </c>
      <c r="FQ15" t="s">
        <v>39</v>
      </c>
    </row>
    <row r="16" ht="15.75" customHeight="1">
      <c r="A16" s="8" t="s">
        <v>39</v>
      </c>
      <c r="B16" s="8">
        <v>0.0</v>
      </c>
      <c r="C16" s="8">
        <v>0.0</v>
      </c>
      <c r="D16" s="8">
        <v>0.0</v>
      </c>
      <c r="E16" s="8">
        <v>0.0</v>
      </c>
      <c r="F16" s="8"/>
      <c r="G16" s="8"/>
      <c r="H16" s="8"/>
      <c r="I16" s="8"/>
      <c r="J16" s="8"/>
      <c r="K16" s="8"/>
      <c r="L16" s="8"/>
      <c r="M16" s="8"/>
      <c r="N16" s="8"/>
      <c r="O16" s="8"/>
      <c r="AV16" t="s">
        <v>39</v>
      </c>
      <c r="AW16" t="s">
        <v>39</v>
      </c>
      <c r="AX16" t="s">
        <v>39</v>
      </c>
      <c r="AY16" t="s">
        <v>39</v>
      </c>
      <c r="AZ16" t="s">
        <v>39</v>
      </c>
      <c r="BA16" t="s">
        <v>39</v>
      </c>
      <c r="BB16" t="s">
        <v>39</v>
      </c>
      <c r="BC16" t="s">
        <v>39</v>
      </c>
      <c r="BD16" t="s">
        <v>39</v>
      </c>
      <c r="BE16" t="s">
        <v>39</v>
      </c>
      <c r="BF16" t="s">
        <v>39</v>
      </c>
      <c r="BG16" t="s">
        <v>39</v>
      </c>
      <c r="BH16" t="s">
        <v>39</v>
      </c>
      <c r="BI16" t="s">
        <v>39</v>
      </c>
      <c r="BJ16" t="s">
        <v>39</v>
      </c>
      <c r="BK16" t="s">
        <v>39</v>
      </c>
      <c r="BL16" t="s">
        <v>39</v>
      </c>
      <c r="BM16" t="s">
        <v>39</v>
      </c>
      <c r="BN16" t="s">
        <v>39</v>
      </c>
      <c r="BO16" t="s">
        <v>39</v>
      </c>
      <c r="BP16" t="s">
        <v>39</v>
      </c>
      <c r="BQ16" t="s">
        <v>39</v>
      </c>
      <c r="BR16" t="s">
        <v>39</v>
      </c>
      <c r="BS16" t="s">
        <v>39</v>
      </c>
      <c r="BT16" t="s">
        <v>39</v>
      </c>
      <c r="BU16" t="s">
        <v>39</v>
      </c>
      <c r="BV16" t="s">
        <v>39</v>
      </c>
      <c r="BW16" t="s">
        <v>39</v>
      </c>
      <c r="BX16" t="s">
        <v>39</v>
      </c>
      <c r="BY16" t="s">
        <v>39</v>
      </c>
      <c r="BZ16" t="s">
        <v>39</v>
      </c>
      <c r="CA16" t="s">
        <v>39</v>
      </c>
      <c r="CB16" t="s">
        <v>39</v>
      </c>
      <c r="CC16" t="s">
        <v>39</v>
      </c>
      <c r="CD16" t="s">
        <v>39</v>
      </c>
      <c r="CE16" t="s">
        <v>39</v>
      </c>
      <c r="CF16" t="s">
        <v>39</v>
      </c>
      <c r="CG16" t="s">
        <v>39</v>
      </c>
      <c r="CH16" t="s">
        <v>39</v>
      </c>
      <c r="CI16" t="s">
        <v>39</v>
      </c>
      <c r="CJ16" t="s">
        <v>39</v>
      </c>
      <c r="CK16" t="s">
        <v>39</v>
      </c>
      <c r="CL16" t="s">
        <v>39</v>
      </c>
      <c r="CM16" t="s">
        <v>39</v>
      </c>
      <c r="CN16" t="s">
        <v>39</v>
      </c>
      <c r="CO16" t="s">
        <v>39</v>
      </c>
      <c r="CP16" t="s">
        <v>39</v>
      </c>
      <c r="CQ16" t="s">
        <v>39</v>
      </c>
      <c r="CR16" t="s">
        <v>39</v>
      </c>
      <c r="CS16" t="s">
        <v>39</v>
      </c>
      <c r="CT16" t="s">
        <v>39</v>
      </c>
      <c r="CU16" t="s">
        <v>39</v>
      </c>
      <c r="CV16" t="s">
        <v>39</v>
      </c>
      <c r="CW16" t="s">
        <v>39</v>
      </c>
      <c r="CX16" t="s">
        <v>39</v>
      </c>
      <c r="CY16" t="s">
        <v>39</v>
      </c>
      <c r="CZ16" t="s">
        <v>39</v>
      </c>
      <c r="DA16" t="s">
        <v>39</v>
      </c>
      <c r="DB16" t="s">
        <v>39</v>
      </c>
      <c r="DC16" t="s">
        <v>39</v>
      </c>
      <c r="DD16" t="s">
        <v>39</v>
      </c>
      <c r="DE16" t="s">
        <v>39</v>
      </c>
      <c r="DF16" t="s">
        <v>39</v>
      </c>
      <c r="DG16" t="s">
        <v>39</v>
      </c>
      <c r="DH16" t="s">
        <v>39</v>
      </c>
      <c r="DI16" t="s">
        <v>39</v>
      </c>
      <c r="DJ16" t="s">
        <v>39</v>
      </c>
      <c r="DK16" t="s">
        <v>39</v>
      </c>
      <c r="DL16" t="s">
        <v>39</v>
      </c>
      <c r="DM16" t="s">
        <v>39</v>
      </c>
      <c r="DN16" t="s">
        <v>39</v>
      </c>
      <c r="DO16" t="s">
        <v>39</v>
      </c>
      <c r="DP16" t="s">
        <v>39</v>
      </c>
      <c r="DQ16" t="s">
        <v>39</v>
      </c>
      <c r="DR16" t="s">
        <v>39</v>
      </c>
      <c r="DS16" t="s">
        <v>39</v>
      </c>
      <c r="DT16" t="s">
        <v>39</v>
      </c>
      <c r="DU16" t="s">
        <v>39</v>
      </c>
      <c r="DV16" t="s">
        <v>39</v>
      </c>
      <c r="DW16" t="s">
        <v>39</v>
      </c>
      <c r="DX16" t="s">
        <v>39</v>
      </c>
      <c r="DY16" t="s">
        <v>39</v>
      </c>
      <c r="DZ16" t="s">
        <v>39</v>
      </c>
      <c r="EA16" t="s">
        <v>39</v>
      </c>
      <c r="EB16" t="s">
        <v>39</v>
      </c>
      <c r="EC16" t="s">
        <v>39</v>
      </c>
      <c r="ED16" t="s">
        <v>39</v>
      </c>
      <c r="EE16" t="s">
        <v>39</v>
      </c>
      <c r="EF16" t="s">
        <v>39</v>
      </c>
      <c r="EG16" t="s">
        <v>39</v>
      </c>
      <c r="EH16" t="s">
        <v>39</v>
      </c>
      <c r="EI16" t="s">
        <v>39</v>
      </c>
      <c r="EJ16" t="s">
        <v>39</v>
      </c>
      <c r="EK16" t="s">
        <v>39</v>
      </c>
      <c r="EL16" t="s">
        <v>39</v>
      </c>
      <c r="EM16" t="s">
        <v>39</v>
      </c>
      <c r="EN16" t="s">
        <v>39</v>
      </c>
      <c r="EO16" t="s">
        <v>39</v>
      </c>
      <c r="EP16" t="s">
        <v>39</v>
      </c>
      <c r="EQ16" t="s">
        <v>39</v>
      </c>
      <c r="ER16" t="s">
        <v>39</v>
      </c>
      <c r="ES16" t="s">
        <v>39</v>
      </c>
      <c r="ET16" t="s">
        <v>39</v>
      </c>
      <c r="EU16" t="s">
        <v>39</v>
      </c>
      <c r="EV16" t="s">
        <v>39</v>
      </c>
      <c r="EW16" t="s">
        <v>39</v>
      </c>
      <c r="EX16" t="s">
        <v>39</v>
      </c>
      <c r="FA16" t="s">
        <v>39</v>
      </c>
      <c r="FB16" t="s">
        <v>39</v>
      </c>
      <c r="FC16" t="s">
        <v>39</v>
      </c>
      <c r="FH16" t="s">
        <v>39</v>
      </c>
      <c r="FI16" t="s">
        <v>39</v>
      </c>
      <c r="FJ16" t="s">
        <v>39</v>
      </c>
      <c r="FK16" t="s">
        <v>39</v>
      </c>
      <c r="FL16" t="s">
        <v>39</v>
      </c>
      <c r="FM16" t="s">
        <v>39</v>
      </c>
      <c r="FN16" t="s">
        <v>39</v>
      </c>
      <c r="FO16" t="s">
        <v>39</v>
      </c>
      <c r="FP16" t="s">
        <v>39</v>
      </c>
      <c r="FQ16" t="s">
        <v>39</v>
      </c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CheckAllocatedTaxlots!$4:$4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54</v>
      </c>
      <c r="D3" s="5" t="s">
        <v>9</v>
      </c>
      <c r="E3" s="23" t="s">
        <v>55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IFERROR(__xludf.DUMMYFUNCTION("""COMPUTED_VALUE"""),"IncreasePositionFromPM")</f>
        <v>IncreasePositionFromPM</v>
      </c>
      <c r="G4" s="25" t="str">
        <f>IFERROR(__xludf.DUMMYFUNCTION("""COMPUTED_VALUE"""),"ClosePM")</f>
        <v>ClosePM</v>
      </c>
      <c r="H4" s="25" t="str">
        <f>IFERROR(__xludf.DUMMYFUNCTION("""COMPUTED_VALUE"""),"RemoveGroupingFromPM")</f>
        <v>RemoveGroupingFromPM</v>
      </c>
      <c r="I4" s="25" t="str">
        <f>IFERROR(__xludf.DUMMYFUNCTION("""COMPUTED_VALUE"""),"OpenCreateTransactionFromPM")</f>
        <v>OpenCreateTransactionFromPM</v>
      </c>
      <c r="J4" s="25" t="str">
        <f>IFERROR(__xludf.DUMMYFUNCTION("""COMPUTED_VALUE"""),"FilterPM")</f>
        <v>FilterPM</v>
      </c>
      <c r="K4" s="25" t="str">
        <f>IFERROR(__xludf.DUMMYFUNCTION("""COMPUTED_VALUE"""),"GroupRowPM")</f>
        <v>GroupRowPM</v>
      </c>
      <c r="L4" s="25" t="str">
        <f>IFERROR(__xludf.DUMMYFUNCTION("""COMPUTED_VALUE"""),"CheckDashboardWithPM")</f>
        <v>CheckDashboardWithPM</v>
      </c>
      <c r="M4" s="25" t="str">
        <f>IFERROR(__xludf.DUMMYFUNCTION("""COMPUTED_VALUE"""),"RemoveFilterPM")</f>
        <v>RemoveFilterPM</v>
      </c>
      <c r="N4" s="25" t="str">
        <f>IFERROR(__xludf.DUMMYFUNCTION("""COMPUTED_VALUE"""),"CheckSummaryRowsPM")</f>
        <v>CheckSummaryRowsPM</v>
      </c>
      <c r="O4" s="25" t="str">
        <f>IFERROR(__xludf.DUMMYFUNCTION("""COMPUTED_VALUE"""),"OpenPTTFromPM")</f>
        <v>OpenPTTFromPM</v>
      </c>
      <c r="P4" s="26" t="str">
        <f>IFERROR(__xludf.DUMMYFUNCTION("""COMPUTED_VALUE"""),"DeleteCustomViewPM")</f>
        <v>DeleteCustomViewPM</v>
      </c>
      <c r="Q4" s="26" t="str">
        <f>IFERROR(__xludf.DUMMYFUNCTION("""COMPUTED_VALUE"""),"RenameCustomViewPM")</f>
        <v>RenameCustomViewPM</v>
      </c>
      <c r="R4" s="26" t="str">
        <f>IFERROR(__xludf.DUMMYFUNCTION("""COMPUTED_VALUE"""),"AddCustomViewRightClickPM")</f>
        <v>AddCustomViewRightClickPM</v>
      </c>
      <c r="S4" s="26" t="str">
        <f>IFERROR(__xludf.DUMMYFUNCTION("""COMPUTED_VALUE"""),"AddCustomViewPM")</f>
        <v>AddCustomViewPM</v>
      </c>
      <c r="T4" s="26" t="str">
        <f>IFERROR(__xludf.DUMMYFUNCTION("""COMPUTED_VALUE"""),"ExpandCollapsePM")</f>
        <v>ExpandCollapsePM</v>
      </c>
      <c r="U4" s="26" t="str">
        <f>IFERROR(__xludf.DUMMYFUNCTION("""COMPUTED_VALUE"""),"CloseSelectedTaxlotsFromPM")</f>
        <v>CloseSelectedTaxlotsFromPM</v>
      </c>
      <c r="V4" s="26" t="str">
        <f>IFERROR(__xludf.DUMMYFUNCTION("""COMPUTED_VALUE"""),"CloseAccountPositionFromPM")</f>
        <v>CloseAccountPositionFromPM</v>
      </c>
      <c r="W4" s="26" t="str">
        <f>IFERROR(__xludf.DUMMYFUNCTION("""COMPUTED_VALUE"""),"HideSummaryToolFromPM")</f>
        <v>HideSummaryToolFromPM</v>
      </c>
      <c r="X4" s="26" t="str">
        <f>IFERROR(__xludf.DUMMYFUNCTION("""COMPUTED_VALUE"""),"ShowSummaryToolFromPM")</f>
        <v>ShowSummaryToolFromPM</v>
      </c>
      <c r="Y4" s="26" t="str">
        <f>IFERROR(__xludf.DUMMYFUNCTION("""COMPUTED_VALUE"""),"ClosePositionFromPM")</f>
        <v>ClosePositionFromPM</v>
      </c>
      <c r="Z4" s="26" t="str">
        <f>IFERROR(__xludf.DUMMYFUNCTION("""COMPUTED_VALUE"""),"OpenDailyValuationFromPM")</f>
        <v>OpenDailyValuationFromPM</v>
      </c>
      <c r="AA4" s="26" t="str">
        <f>IFERROR(__xludf.DUMMYFUNCTION("""COMPUTED_VALUE"""),"OpenCorporateActionFromPM")</f>
        <v>OpenCorporateActionFromPM</v>
      </c>
      <c r="AB4" s="26" t="str">
        <f>IFERROR(__xludf.DUMMYFUNCTION("""COMPUTED_VALUE"""),"OpenClosingFromPM")</f>
        <v>OpenClosingFromPM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44" t="s">
        <v>39</v>
      </c>
      <c r="B6" s="44"/>
      <c r="C6" s="8" t="s">
        <v>22</v>
      </c>
      <c r="D6" s="44"/>
      <c r="E6" s="8" t="s">
        <v>34</v>
      </c>
      <c r="F6" s="8" t="s">
        <v>56</v>
      </c>
      <c r="G6" s="8"/>
      <c r="H6" s="8" t="s">
        <v>57</v>
      </c>
      <c r="I6" s="8"/>
      <c r="J6" s="8"/>
      <c r="K6" s="8"/>
      <c r="L6" s="8"/>
      <c r="M6" s="8"/>
      <c r="N6" s="8"/>
      <c r="O6" s="8"/>
      <c r="S6" t="s">
        <v>58</v>
      </c>
      <c r="V6" t="s">
        <v>44</v>
      </c>
      <c r="W6" t="s">
        <v>43</v>
      </c>
      <c r="AN6" t="s">
        <v>23</v>
      </c>
      <c r="AP6" t="s">
        <v>26</v>
      </c>
      <c r="AQ6" t="s">
        <v>22</v>
      </c>
      <c r="BQ6" t="s">
        <v>59</v>
      </c>
      <c r="BR6" t="s">
        <v>42</v>
      </c>
      <c r="DJ6" t="s">
        <v>23</v>
      </c>
      <c r="EL6" t="s">
        <v>26</v>
      </c>
      <c r="EV6" t="s">
        <v>26</v>
      </c>
      <c r="EX6" t="b">
        <v>0</v>
      </c>
      <c r="FK6" t="s">
        <v>39</v>
      </c>
      <c r="FL6" t="s">
        <v>39</v>
      </c>
      <c r="FM6" t="s">
        <v>39</v>
      </c>
      <c r="FN6" t="s">
        <v>39</v>
      </c>
      <c r="FO6" t="s">
        <v>39</v>
      </c>
      <c r="FP6" t="s">
        <v>39</v>
      </c>
      <c r="FQ6" t="s">
        <v>39</v>
      </c>
    </row>
    <row r="7" ht="15.75" customHeight="1">
      <c r="A7" s="8" t="s">
        <v>39</v>
      </c>
      <c r="B7" s="8"/>
      <c r="C7" s="8" t="s">
        <v>16</v>
      </c>
      <c r="D7" s="8"/>
      <c r="E7" s="8" t="s">
        <v>34</v>
      </c>
      <c r="F7" s="8" t="s">
        <v>56</v>
      </c>
      <c r="G7" s="8"/>
      <c r="H7" s="8" t="s">
        <v>26</v>
      </c>
      <c r="I7" s="8"/>
      <c r="J7" s="8"/>
      <c r="K7" s="8"/>
      <c r="L7" s="8"/>
      <c r="M7" s="8"/>
      <c r="N7" s="8"/>
      <c r="O7" s="8"/>
      <c r="S7" t="s">
        <v>58</v>
      </c>
      <c r="V7" t="s">
        <v>47</v>
      </c>
      <c r="W7" t="s">
        <v>43</v>
      </c>
      <c r="AN7" t="s">
        <v>24</v>
      </c>
      <c r="AP7" t="s">
        <v>26</v>
      </c>
      <c r="AQ7" t="s">
        <v>22</v>
      </c>
      <c r="BQ7" t="s">
        <v>59</v>
      </c>
      <c r="BR7" t="s">
        <v>42</v>
      </c>
      <c r="DJ7" t="s">
        <v>24</v>
      </c>
      <c r="EL7" t="s">
        <v>26</v>
      </c>
      <c r="EV7" t="s">
        <v>26</v>
      </c>
      <c r="EX7" t="b">
        <v>0</v>
      </c>
      <c r="FK7" t="s">
        <v>39</v>
      </c>
      <c r="FL7" t="s">
        <v>39</v>
      </c>
      <c r="FM7" t="s">
        <v>39</v>
      </c>
      <c r="FN7" t="s">
        <v>39</v>
      </c>
      <c r="FO7" t="s">
        <v>39</v>
      </c>
      <c r="FP7" t="s">
        <v>39</v>
      </c>
      <c r="FQ7" t="s">
        <v>39</v>
      </c>
    </row>
    <row r="8" ht="15.75" customHeight="1">
      <c r="A8" s="8" t="s">
        <v>39</v>
      </c>
      <c r="B8" s="8"/>
      <c r="C8" s="8" t="s">
        <v>16</v>
      </c>
      <c r="D8" s="8"/>
      <c r="E8" s="8" t="s">
        <v>34</v>
      </c>
      <c r="F8" s="8" t="s">
        <v>56</v>
      </c>
      <c r="G8" s="8"/>
      <c r="H8" s="8" t="s">
        <v>26</v>
      </c>
      <c r="I8" s="8"/>
      <c r="J8" s="8"/>
      <c r="K8" s="8"/>
      <c r="L8" s="8"/>
      <c r="M8" s="8"/>
      <c r="N8" s="8"/>
      <c r="O8" s="8"/>
      <c r="S8" t="s">
        <v>58</v>
      </c>
      <c r="V8" t="s">
        <v>47</v>
      </c>
      <c r="W8" t="s">
        <v>43</v>
      </c>
      <c r="AN8" t="s">
        <v>24</v>
      </c>
      <c r="AP8" t="s">
        <v>26</v>
      </c>
      <c r="AQ8" t="s">
        <v>22</v>
      </c>
      <c r="BQ8" t="s">
        <v>59</v>
      </c>
      <c r="BR8" t="s">
        <v>25</v>
      </c>
      <c r="DJ8" t="s">
        <v>24</v>
      </c>
      <c r="EL8" t="s">
        <v>26</v>
      </c>
      <c r="EV8" t="s">
        <v>26</v>
      </c>
      <c r="EX8" t="b">
        <v>0</v>
      </c>
      <c r="FK8" t="s">
        <v>39</v>
      </c>
      <c r="FL8" t="s">
        <v>39</v>
      </c>
      <c r="FM8" t="s">
        <v>39</v>
      </c>
      <c r="FN8" t="s">
        <v>39</v>
      </c>
      <c r="FO8" t="s">
        <v>39</v>
      </c>
      <c r="FP8" t="s">
        <v>39</v>
      </c>
      <c r="FQ8" t="s">
        <v>39</v>
      </c>
    </row>
    <row r="9" ht="15.75" customHeight="1">
      <c r="A9" s="8" t="s">
        <v>39</v>
      </c>
      <c r="B9" s="8"/>
      <c r="C9" s="8" t="s">
        <v>16</v>
      </c>
      <c r="D9" s="8"/>
      <c r="E9" s="8" t="s">
        <v>34</v>
      </c>
      <c r="F9" s="8" t="s">
        <v>56</v>
      </c>
      <c r="G9" s="8"/>
      <c r="H9" s="8" t="s">
        <v>26</v>
      </c>
      <c r="I9" s="8"/>
      <c r="J9" s="8"/>
      <c r="K9" s="8"/>
      <c r="L9" s="8"/>
      <c r="M9" s="8"/>
      <c r="N9" s="8"/>
      <c r="O9" s="8"/>
      <c r="S9" t="s">
        <v>26</v>
      </c>
      <c r="V9" t="s">
        <v>47</v>
      </c>
      <c r="W9" t="s">
        <v>43</v>
      </c>
      <c r="AN9" t="s">
        <v>24</v>
      </c>
      <c r="AP9" t="s">
        <v>26</v>
      </c>
      <c r="AQ9" t="s">
        <v>22</v>
      </c>
      <c r="BQ9" t="s">
        <v>59</v>
      </c>
      <c r="BR9" t="s">
        <v>42</v>
      </c>
      <c r="DJ9" t="s">
        <v>24</v>
      </c>
      <c r="EL9" t="s">
        <v>26</v>
      </c>
      <c r="EV9" t="s">
        <v>26</v>
      </c>
      <c r="EX9" t="b">
        <v>0</v>
      </c>
      <c r="FK9" t="s">
        <v>39</v>
      </c>
      <c r="FL9" t="s">
        <v>39</v>
      </c>
      <c r="FM9" t="s">
        <v>39</v>
      </c>
      <c r="FN9" t="s">
        <v>39</v>
      </c>
      <c r="FO9" t="s">
        <v>39</v>
      </c>
      <c r="FP9" t="s">
        <v>39</v>
      </c>
      <c r="FQ9" t="s">
        <v>39</v>
      </c>
    </row>
    <row r="10" ht="15.75" customHeight="1">
      <c r="A10" s="8" t="s">
        <v>39</v>
      </c>
      <c r="B10" s="8"/>
      <c r="C10" s="8" t="s">
        <v>16</v>
      </c>
      <c r="D10" s="8"/>
      <c r="E10" s="8" t="s">
        <v>34</v>
      </c>
      <c r="F10" s="8" t="s">
        <v>56</v>
      </c>
      <c r="G10" s="8"/>
      <c r="H10" s="8" t="s">
        <v>26</v>
      </c>
      <c r="I10" s="8"/>
      <c r="J10" s="8"/>
      <c r="K10" s="8"/>
      <c r="L10" s="8"/>
      <c r="M10" s="8"/>
      <c r="N10" s="8"/>
      <c r="O10" s="8"/>
      <c r="S10" t="s">
        <v>58</v>
      </c>
      <c r="V10" t="s">
        <v>47</v>
      </c>
      <c r="W10" t="s">
        <v>43</v>
      </c>
      <c r="AN10" t="s">
        <v>49</v>
      </c>
      <c r="AP10" t="s">
        <v>26</v>
      </c>
      <c r="AQ10" t="s">
        <v>22</v>
      </c>
      <c r="BQ10" t="s">
        <v>59</v>
      </c>
      <c r="BR10" t="s">
        <v>42</v>
      </c>
      <c r="DJ10" t="s">
        <v>50</v>
      </c>
      <c r="EL10" t="s">
        <v>26</v>
      </c>
      <c r="EV10" t="s">
        <v>26</v>
      </c>
      <c r="EX10" t="b">
        <v>0</v>
      </c>
      <c r="FK10" t="s">
        <v>39</v>
      </c>
      <c r="FL10" t="s">
        <v>39</v>
      </c>
      <c r="FM10" t="s">
        <v>39</v>
      </c>
      <c r="FN10" t="s">
        <v>39</v>
      </c>
      <c r="FO10" t="s">
        <v>39</v>
      </c>
      <c r="FP10" t="s">
        <v>39</v>
      </c>
      <c r="FQ10" t="s">
        <v>39</v>
      </c>
    </row>
    <row r="11" ht="15.75" customHeight="1">
      <c r="A11" s="8" t="s">
        <v>39</v>
      </c>
      <c r="B11" s="8"/>
      <c r="C11" s="8" t="s">
        <v>16</v>
      </c>
      <c r="D11" s="8"/>
      <c r="E11" s="8" t="s">
        <v>34</v>
      </c>
      <c r="F11" s="8" t="s">
        <v>56</v>
      </c>
      <c r="G11" s="8"/>
      <c r="H11" s="8" t="s">
        <v>26</v>
      </c>
      <c r="I11" s="8"/>
      <c r="J11" s="8"/>
      <c r="K11" s="8"/>
      <c r="L11" s="8"/>
      <c r="M11" s="8"/>
      <c r="N11" s="8"/>
      <c r="O11" s="8"/>
      <c r="S11" t="s">
        <v>58</v>
      </c>
      <c r="V11" t="s">
        <v>47</v>
      </c>
      <c r="W11" t="s">
        <v>43</v>
      </c>
      <c r="AN11" t="s">
        <v>49</v>
      </c>
      <c r="AP11" t="s">
        <v>26</v>
      </c>
      <c r="AQ11" t="s">
        <v>22</v>
      </c>
      <c r="BQ11" t="s">
        <v>59</v>
      </c>
      <c r="BR11" t="s">
        <v>25</v>
      </c>
      <c r="DJ11" t="s">
        <v>50</v>
      </c>
      <c r="EL11" t="s">
        <v>26</v>
      </c>
      <c r="EV11" t="s">
        <v>26</v>
      </c>
      <c r="EX11" t="b">
        <v>0</v>
      </c>
      <c r="FK11" t="s">
        <v>39</v>
      </c>
      <c r="FL11" t="s">
        <v>39</v>
      </c>
      <c r="FM11" t="s">
        <v>39</v>
      </c>
      <c r="FN11" t="s">
        <v>39</v>
      </c>
      <c r="FO11" t="s">
        <v>39</v>
      </c>
      <c r="FP11" t="s">
        <v>39</v>
      </c>
      <c r="FQ11" t="s">
        <v>39</v>
      </c>
    </row>
    <row r="12" ht="15.75" customHeight="1">
      <c r="A12" s="8" t="s">
        <v>39</v>
      </c>
      <c r="B12" s="8"/>
      <c r="C12" s="8" t="s">
        <v>16</v>
      </c>
      <c r="D12" s="8"/>
      <c r="E12" s="8" t="s">
        <v>34</v>
      </c>
      <c r="F12" s="8" t="s">
        <v>56</v>
      </c>
      <c r="G12" s="8"/>
      <c r="H12" s="8" t="s">
        <v>26</v>
      </c>
      <c r="I12" s="8"/>
      <c r="J12" s="8"/>
      <c r="K12" s="8"/>
      <c r="L12" s="8"/>
      <c r="M12" s="8"/>
      <c r="N12" s="8"/>
      <c r="O12" s="8"/>
      <c r="S12" t="s">
        <v>26</v>
      </c>
      <c r="V12" t="s">
        <v>47</v>
      </c>
      <c r="W12" t="s">
        <v>43</v>
      </c>
      <c r="AN12" t="s">
        <v>49</v>
      </c>
      <c r="AP12" t="s">
        <v>26</v>
      </c>
      <c r="AQ12" t="s">
        <v>22</v>
      </c>
      <c r="BQ12" t="s">
        <v>59</v>
      </c>
      <c r="BR12" t="s">
        <v>42</v>
      </c>
      <c r="DJ12" t="s">
        <v>50</v>
      </c>
      <c r="EL12" t="s">
        <v>26</v>
      </c>
      <c r="EV12" t="s">
        <v>26</v>
      </c>
      <c r="EX12" t="b">
        <v>0</v>
      </c>
      <c r="FK12" t="s">
        <v>39</v>
      </c>
      <c r="FL12" t="s">
        <v>39</v>
      </c>
      <c r="FM12" t="s">
        <v>39</v>
      </c>
      <c r="FN12" t="s">
        <v>39</v>
      </c>
      <c r="FO12" t="s">
        <v>39</v>
      </c>
      <c r="FP12" t="s">
        <v>39</v>
      </c>
      <c r="FQ12" t="s">
        <v>39</v>
      </c>
    </row>
    <row r="13" ht="15.75" customHeight="1">
      <c r="A13" s="8" t="s">
        <v>39</v>
      </c>
      <c r="B13" s="8"/>
      <c r="C13" s="8" t="s">
        <v>22</v>
      </c>
      <c r="D13" s="8"/>
      <c r="E13" s="8" t="s">
        <v>34</v>
      </c>
      <c r="F13" s="8" t="s">
        <v>56</v>
      </c>
      <c r="G13" s="8"/>
      <c r="H13" s="8" t="s">
        <v>57</v>
      </c>
      <c r="I13" s="8"/>
      <c r="J13" s="8"/>
      <c r="K13" s="8"/>
      <c r="L13" s="8"/>
      <c r="M13" s="8"/>
      <c r="N13" s="8"/>
      <c r="O13" s="8"/>
      <c r="S13" t="s">
        <v>26</v>
      </c>
      <c r="V13" t="s">
        <v>44</v>
      </c>
      <c r="W13" t="s">
        <v>43</v>
      </c>
      <c r="AN13" t="s">
        <v>51</v>
      </c>
      <c r="AP13" t="s">
        <v>57</v>
      </c>
      <c r="AQ13" t="s">
        <v>22</v>
      </c>
      <c r="BQ13" t="s">
        <v>59</v>
      </c>
      <c r="BR13" t="s">
        <v>42</v>
      </c>
      <c r="DJ13" t="s">
        <v>50</v>
      </c>
      <c r="EL13" t="s">
        <v>26</v>
      </c>
      <c r="EV13" t="s">
        <v>26</v>
      </c>
      <c r="EX13" t="b">
        <v>0</v>
      </c>
      <c r="FK13" t="s">
        <v>39</v>
      </c>
      <c r="FL13" t="s">
        <v>39</v>
      </c>
      <c r="FM13" t="s">
        <v>39</v>
      </c>
      <c r="FN13" t="s">
        <v>39</v>
      </c>
      <c r="FO13" t="s">
        <v>39</v>
      </c>
      <c r="FP13" t="s">
        <v>39</v>
      </c>
      <c r="FQ13" t="s">
        <v>39</v>
      </c>
    </row>
    <row r="14" ht="15.75" customHeight="1">
      <c r="A14" s="8" t="s">
        <v>39</v>
      </c>
      <c r="B14" s="8"/>
      <c r="C14" s="8" t="s">
        <v>22</v>
      </c>
      <c r="D14" s="8"/>
      <c r="E14" s="8" t="s">
        <v>34</v>
      </c>
      <c r="F14" s="8" t="s">
        <v>56</v>
      </c>
      <c r="G14" s="8"/>
      <c r="H14" s="8" t="s">
        <v>57</v>
      </c>
      <c r="I14" s="8"/>
      <c r="J14" s="8"/>
      <c r="K14" s="8"/>
      <c r="L14" s="8"/>
      <c r="M14" s="8"/>
      <c r="N14" s="8"/>
      <c r="O14" s="8"/>
      <c r="S14" t="s">
        <v>58</v>
      </c>
      <c r="V14" t="s">
        <v>44</v>
      </c>
      <c r="W14" t="s">
        <v>43</v>
      </c>
      <c r="AN14" t="s">
        <v>52</v>
      </c>
      <c r="AP14" t="s">
        <v>26</v>
      </c>
      <c r="AQ14" t="s">
        <v>22</v>
      </c>
      <c r="BQ14" t="s">
        <v>59</v>
      </c>
      <c r="BR14" t="s">
        <v>25</v>
      </c>
      <c r="DJ14" t="s">
        <v>50</v>
      </c>
      <c r="EL14" t="s">
        <v>26</v>
      </c>
      <c r="EV14" t="s">
        <v>26</v>
      </c>
      <c r="EX14" t="b">
        <v>0</v>
      </c>
      <c r="FK14" t="s">
        <v>39</v>
      </c>
      <c r="FL14" t="s">
        <v>39</v>
      </c>
      <c r="FM14" t="s">
        <v>39</v>
      </c>
      <c r="FN14" t="s">
        <v>39</v>
      </c>
      <c r="FO14" t="s">
        <v>39</v>
      </c>
      <c r="FP14" t="s">
        <v>39</v>
      </c>
      <c r="FQ14" t="s">
        <v>39</v>
      </c>
    </row>
    <row r="15" ht="15.75" customHeight="1">
      <c r="A15" s="8" t="s">
        <v>39</v>
      </c>
      <c r="B15" s="8"/>
      <c r="C15" s="8" t="s">
        <v>22</v>
      </c>
      <c r="D15" s="8"/>
      <c r="E15" s="8" t="s">
        <v>34</v>
      </c>
      <c r="F15" s="8" t="s">
        <v>56</v>
      </c>
      <c r="G15" s="8"/>
      <c r="H15" s="8" t="s">
        <v>57</v>
      </c>
      <c r="I15" s="8"/>
      <c r="J15" s="8"/>
      <c r="K15" s="8"/>
      <c r="L15" s="8"/>
      <c r="M15" s="8"/>
      <c r="N15" s="8"/>
      <c r="O15" s="8"/>
      <c r="S15" t="s">
        <v>58</v>
      </c>
      <c r="V15" t="s">
        <v>44</v>
      </c>
      <c r="W15" t="s">
        <v>43</v>
      </c>
      <c r="AN15" t="s">
        <v>51</v>
      </c>
      <c r="AP15" t="s">
        <v>57</v>
      </c>
      <c r="AQ15" t="s">
        <v>22</v>
      </c>
      <c r="BQ15" t="s">
        <v>59</v>
      </c>
      <c r="BR15" t="s">
        <v>25</v>
      </c>
      <c r="DJ15" t="s">
        <v>50</v>
      </c>
      <c r="EL15" t="s">
        <v>26</v>
      </c>
      <c r="EV15" t="s">
        <v>26</v>
      </c>
      <c r="EX15" t="b">
        <v>0</v>
      </c>
      <c r="FK15" t="s">
        <v>39</v>
      </c>
      <c r="FL15" t="s">
        <v>39</v>
      </c>
      <c r="FM15" t="s">
        <v>39</v>
      </c>
      <c r="FN15" t="s">
        <v>39</v>
      </c>
      <c r="FO15" t="s">
        <v>39</v>
      </c>
      <c r="FP15" t="s">
        <v>39</v>
      </c>
      <c r="FQ15" t="s">
        <v>39</v>
      </c>
    </row>
    <row r="16" ht="15.75" customHeight="1">
      <c r="A16" s="8" t="s">
        <v>39</v>
      </c>
      <c r="B16" s="8"/>
      <c r="C16" s="8" t="s">
        <v>22</v>
      </c>
      <c r="D16" s="8"/>
      <c r="E16" s="8" t="s">
        <v>34</v>
      </c>
      <c r="F16" s="8" t="s">
        <v>56</v>
      </c>
      <c r="G16" s="8"/>
      <c r="H16" s="8" t="s">
        <v>57</v>
      </c>
      <c r="I16" s="8"/>
      <c r="J16" s="8"/>
      <c r="K16" s="8"/>
      <c r="L16" s="8"/>
      <c r="M16" s="8"/>
      <c r="N16" s="8"/>
      <c r="O16" s="8"/>
      <c r="S16" t="s">
        <v>58</v>
      </c>
      <c r="V16" t="s">
        <v>44</v>
      </c>
      <c r="W16" t="s">
        <v>43</v>
      </c>
      <c r="AN16" t="s">
        <v>52</v>
      </c>
      <c r="AP16" t="s">
        <v>26</v>
      </c>
      <c r="AQ16" t="s">
        <v>22</v>
      </c>
      <c r="BQ16" t="s">
        <v>59</v>
      </c>
      <c r="BR16" t="s">
        <v>42</v>
      </c>
      <c r="DJ16" t="s">
        <v>50</v>
      </c>
      <c r="EL16" t="s">
        <v>26</v>
      </c>
      <c r="EV16" t="s">
        <v>26</v>
      </c>
      <c r="EX16" t="b">
        <v>0</v>
      </c>
      <c r="FK16" t="s">
        <v>39</v>
      </c>
      <c r="FL16" t="s">
        <v>39</v>
      </c>
      <c r="FM16" t="s">
        <v>39</v>
      </c>
      <c r="FN16" t="s">
        <v>39</v>
      </c>
      <c r="FO16" t="s">
        <v>39</v>
      </c>
      <c r="FP16" t="s">
        <v>39</v>
      </c>
      <c r="FQ16" t="s">
        <v>39</v>
      </c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