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OpenRTPNL" sheetId="5" r:id="rId7"/>
    <sheet state="visible" name="LinkDashboardTabs" sheetId="6" r:id="rId8"/>
    <sheet state="visible" name="SelectRowAtFLAggregation" sheetId="7" r:id="rId9"/>
    <sheet state="visible" name="ExtractTabOutsidePMDashboard" sheetId="8" r:id="rId10"/>
    <sheet state="visible" name="CloseRTPNL" sheetId="9" r:id="rId11"/>
    <sheet state="visible" name="LinkDashboardTabs1" sheetId="10" r:id="rId12"/>
    <sheet state="visible" name="SelectRowAtALAggregation" sheetId="11" r:id="rId13"/>
    <sheet state="visible" name="ExtractTabOutsidePMDashboard1" sheetId="12" r:id="rId14"/>
    <sheet state="visible" name="CloseRTPNL1" sheetId="13" r:id="rId15"/>
    <sheet state="visible" name="SelectRowAtSLAggregation" sheetId="14" r:id="rId16"/>
    <sheet state="visible" name="ExtractTabOutsidePMDashboard2" sheetId="15" r:id="rId17"/>
    <sheet state="visible" name="CloseRTPNL2" sheetId="16" r:id="rId18"/>
    <sheet state="visible" name="LinkDashboardTabs2" sheetId="17" r:id="rId19"/>
    <sheet state="visible" name="ExtractTabOutsidePMDashboard3" sheetId="18" r:id="rId20"/>
    <sheet state="visible" name="CloseRTPNL3" sheetId="19" r:id="rId21"/>
    <sheet state="visible" name="ExtractTabOutsidePMDashboard4" sheetId="20" r:id="rId22"/>
    <sheet state="visible" name="CloseRTPNL4" sheetId="21" r:id="rId23"/>
  </sheets>
  <definedNames/>
  <calcPr/>
</workbook>
</file>

<file path=xl/sharedStrings.xml><?xml version="1.0" encoding="utf-8"?>
<sst xmlns="http://schemas.openxmlformats.org/spreadsheetml/2006/main" count="188" uniqueCount="42">
  <si>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</si>
  <si>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</si>
  <si>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</si>
  <si>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</si>
  <si>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</si>
  <si>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</si>
  <si>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</si>
  <si>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</si>
  <si>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</si>
  <si>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</si>
  <si>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</si>
  <si>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</si>
  <si>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</si>
  <si>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</si>
  <si>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</si>
  <si>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</si>
  <si>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</si>
  <si>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</si>
  <si>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RTPNL</t>
  </si>
  <si>
    <t>OpenRTPNL</t>
  </si>
  <si>
    <t>Nirvana,PM</t>
  </si>
  <si>
    <t>SummaryDashboard</t>
  </si>
  <si>
    <t>LinkDashboardTabs</t>
  </si>
  <si>
    <t>FundLevelAggregation,AccountLevelAggregation</t>
  </si>
  <si>
    <t>yellow</t>
  </si>
  <si>
    <t>SelectRowAtFLAggregation</t>
  </si>
  <si>
    <t>NewMF</t>
  </si>
  <si>
    <t>ExtractTabOutsidePMDashboard</t>
  </si>
  <si>
    <t>AccountLevelAggregation</t>
  </si>
  <si>
    <t>Green</t>
  </si>
  <si>
    <t>Yes</t>
  </si>
  <si>
    <t>Nirvana,PM_AccountLevelAggregation</t>
  </si>
  <si>
    <t>CloseRTPNL</t>
  </si>
  <si>
    <t>SymbolLevelAggregation,AccountLevelAggregation</t>
  </si>
  <si>
    <t>SelectRowAtALAggregation</t>
  </si>
  <si>
    <t>Allocation1</t>
  </si>
  <si>
    <t>SymbolLevelAggregation</t>
  </si>
  <si>
    <t>Nirvana,PM_SymbolLevelAggregation</t>
  </si>
  <si>
    <t>SelectRowAtSLAggregation</t>
  </si>
  <si>
    <t>FundLevelAggregation,SymbolLevelAggregation</t>
  </si>
  <si>
    <t>FundLevelAggregation</t>
  </si>
  <si>
    <t>Nirvana,PM_FundLevelAggregation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</si>
</sst>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vertical="bottom"/>
    </xf>
    <xf borderId="0" fillId="6" fontId="13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20</v>
      </c>
      <c r="C6" s="32" t="s">
        <v>21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IFERROR(__xludf.DUMMYFUNCTION("""COMPUTED_VALUE"""),"LinkingTabName")</f>
        <v>LinkingTabName</v>
      </c>
      <c r="D5" s="27" t="str">
        <f>IFERROR(__xludf.DUMMYFUNCTION("""COMPUTED_VALUE"""),"Color")</f>
        <v>Color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20</v>
      </c>
      <c r="C6" s="33" t="s">
        <v>23</v>
      </c>
      <c r="D6" s="33" t="s">
        <v>24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LinkDashboardTabs!$4:$4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IFERROR(__xludf.DUMMYFUNCTION("""COMPUTED_VALUE"""),"Fund")</f>
        <v>Fund</v>
      </c>
      <c r="C5" s="27" t="str">
        <f>IFERROR(__xludf.DUMMYFUNCTION("""COMPUTED_VALUE"""),"Market Value")</f>
        <v>Market Value</v>
      </c>
      <c r="D5" s="27" t="str">
        <f>IFERROR(__xludf.DUMMYFUNCTION("""COMPUTED_VALUE"""),"P&amp;L")</f>
        <v>P&amp;L</v>
      </c>
      <c r="E5" s="27" t="str">
        <f>IFERROR(__xludf.DUMMYFUNCTION("""COMPUTED_VALUE"""),"Day P&amp;L")</f>
        <v>Day P&amp;L</v>
      </c>
      <c r="F5" s="28" t="str">
        <f>IFERROR(__xludf.DUMMYFUNCTION("""COMPUTED_VALUE"""),"Exposure")</f>
        <v>Exposure</v>
      </c>
      <c r="G5" s="27" t="str">
        <f>IFERROR(__xludf.DUMMYFUNCTION("""COMPUTED_VALUE"""),"% Gain/Loss Day")</f>
        <v>% Gain/Loss Day</v>
      </c>
      <c r="H5" s="27" t="str">
        <f>IFERROR(__xludf.DUMMYFUNCTION("""COMPUTED_VALUE"""),"% Gain/Loss Cost")</f>
        <v>% Gain/Loss Cost</v>
      </c>
      <c r="I5" s="27" t="str">
        <f>IFERROR(__xludf.DUMMYFUNCTION("""COMPUTED_VALUE"""),"% Market Value")</f>
        <v>% Market Value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IFERROR(__xludf.DUMMYFUNCTION("""COMPUTED_VALUE"""),"Long Exposure")</f>
        <v>Long Exposure</v>
      </c>
      <c r="N5" s="27" t="str">
        <f>IFERROR(__xludf.DUMMYFUNCTION("""COMPUTED_VALUE"""),"% Long Exposure")</f>
        <v>% Long Exposure</v>
      </c>
      <c r="O5" s="27" t="str">
        <f>IFERROR(__xludf.DUMMYFUNCTION("""COMPUTED_VALUE"""),"Accruals")</f>
        <v>Accruals</v>
      </c>
      <c r="P5" s="27" t="str">
        <f>IFERROR(__xludf.DUMMYFUNCTION("""COMPUTED_VALUE"""),"Cash")</f>
        <v>Cash</v>
      </c>
      <c r="Q5" s="27" t="str">
        <f>IFERROR(__xludf.DUMMYFUNCTION("""COMPUTED_VALUE"""),"NAV")</f>
        <v>NAV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SelectRowAtFLAggregation!$4:$4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IFERROR(__xludf.DUMMYFUNCTION("""COMPUTED_VALUE"""),"ExtractTabName")</f>
        <v>ExtractTabName</v>
      </c>
      <c r="D5" s="27" t="str">
        <f>IFERROR(__xludf.DUMMYFUNCTION("""COMPUTED_VALUE"""),"Color")</f>
        <v>Color</v>
      </c>
      <c r="E5" s="27" t="str">
        <f>IFERROR(__xludf.DUMMYFUNCTION("""COMPUTED_VALUE"""),"FetchDataAndVerifyBeforeAndAfterExtraction")</f>
        <v>FetchDataAndVerifyBeforeAndAfterExtraction</v>
      </c>
      <c r="F5" s="28" t="str">
        <f>IFERROR(__xludf.DUMMYFUNCTION("""COMPUTED_VALUE"""),"UnlinkBeforeVerify")</f>
        <v>UnlinkBeforeVerify</v>
      </c>
      <c r="G5" s="27" t="str">
        <f>IFERROR(__xludf.DUMMYFUNCTION("""COMPUTED_VALUE"""),"AfterExtractDashboardName")</f>
        <v>AfterExtractDashboardName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20</v>
      </c>
      <c r="C6" s="34" t="s">
        <v>28</v>
      </c>
      <c r="D6" s="35" t="s">
        <v>29</v>
      </c>
      <c r="E6" s="36" t="s">
        <v>30</v>
      </c>
      <c r="F6" s="37"/>
      <c r="G6" s="38" t="s">
        <v>31</v>
      </c>
      <c r="H6" s="37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ExtractTabOutsidePMDashboard!$4:$4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31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IFERROR(__xludf.DUMMYFUNCTION("""COMPUTED_VALUE"""),"LinkingTabName")</f>
        <v>LinkingTabName</v>
      </c>
      <c r="D5" s="27" t="str">
        <f>IFERROR(__xludf.DUMMYFUNCTION("""COMPUTED_VALUE"""),"Color")</f>
        <v>Color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20</v>
      </c>
      <c r="C6" s="33" t="s">
        <v>33</v>
      </c>
      <c r="D6" s="33" t="s">
        <v>24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LinkDashboardTabs1!$4:$4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IFERROR(__xludf.DUMMYFUNCTION("""COMPUTED_VALUE"""),"Fund")</f>
        <v>Fund</v>
      </c>
      <c r="D5" s="27" t="str">
        <f>IFERROR(__xludf.DUMMYFUNCTION("""COMPUTED_VALUE"""),"Market Value")</f>
        <v>Market Value</v>
      </c>
      <c r="E5" s="27" t="str">
        <f>IFERROR(__xludf.DUMMYFUNCTION("""COMPUTED_VALUE"""),"P&amp;L")</f>
        <v>P&amp;L</v>
      </c>
      <c r="F5" s="28" t="str">
        <f>IFERROR(__xludf.DUMMYFUNCTION("""COMPUTED_VALUE"""),"Day P&amp;L")</f>
        <v>Day P&amp;L</v>
      </c>
      <c r="G5" s="27" t="str">
        <f>IFERROR(__xludf.DUMMYFUNCTION("""COMPUTED_VALUE"""),"Exposure")</f>
        <v>Exposure</v>
      </c>
      <c r="H5" s="27" t="str">
        <f>IFERROR(__xludf.DUMMYFUNCTION("""COMPUTED_VALUE"""),"% Gain/Loss Day")</f>
        <v>% Gain/Loss Day</v>
      </c>
      <c r="I5" s="27" t="str">
        <f>IFERROR(__xludf.DUMMYFUNCTION("""COMPUTED_VALUE"""),"% Gain/Loss Cost")</f>
        <v>% Gain/Loss Cost</v>
      </c>
      <c r="J5" s="27" t="str">
        <f>IFERROR(__xludf.DUMMYFUNCTION("""COMPUTED_VALUE"""),"% Market Value")</f>
        <v>% Market Value</v>
      </c>
      <c r="K5" s="27" t="str">
        <f>IFERROR(__xludf.DUMMYFUNCTION("""COMPUTED_VALUE"""),"% Exposure")</f>
        <v>% Exposure</v>
      </c>
      <c r="L5" s="27" t="str">
        <f>IFERROR(__xludf.DUMMYFUNCTION("""COMPUTED_VALUE"""),"Short Exposure")</f>
        <v>Short Exposure</v>
      </c>
      <c r="M5" s="27" t="str">
        <f>IFERROR(__xludf.DUMMYFUNCTION("""COMPUTED_VALUE"""),"% Short Exposure")</f>
        <v>% Short Exposure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IFERROR(__xludf.DUMMYFUNCTION("""COMPUTED_VALUE"""),"Accruals")</f>
        <v>Accruals</v>
      </c>
      <c r="Q5" s="27" t="str">
        <f>IFERROR(__xludf.DUMMYFUNCTION("""COMPUTED_VALUE"""),"Cash")</f>
        <v>Cash</v>
      </c>
      <c r="R5" s="27" t="str">
        <f>IFERROR(__xludf.DUMMYFUNCTION("""COMPUTED_VALUE"""),"NAV")</f>
        <v>NAV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SelectRowAtALAggregation!$4:$4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IFERROR(__xludf.DUMMYFUNCTION("""COMPUTED_VALUE"""),"ExtractTabName")</f>
        <v>ExtractTabName</v>
      </c>
      <c r="D5" s="27" t="str">
        <f>IFERROR(__xludf.DUMMYFUNCTION("""COMPUTED_VALUE"""),"Color")</f>
        <v>Color</v>
      </c>
      <c r="E5" s="27" t="str">
        <f>IFERROR(__xludf.DUMMYFUNCTION("""COMPUTED_VALUE"""),"FetchDataAndVerifyBeforeAndAfterExtraction")</f>
        <v>FetchDataAndVerifyBeforeAndAfterExtraction</v>
      </c>
      <c r="F5" s="28" t="str">
        <f>IFERROR(__xludf.DUMMYFUNCTION("""COMPUTED_VALUE"""),"UnlinkBeforeVerify")</f>
        <v>UnlinkBeforeVerify</v>
      </c>
      <c r="G5" s="27" t="str">
        <f>IFERROR(__xludf.DUMMYFUNCTION("""COMPUTED_VALUE"""),"AfterExtractDashboardName")</f>
        <v>AfterExtractDashboardName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20</v>
      </c>
      <c r="C6" s="34" t="s">
        <v>36</v>
      </c>
      <c r="D6" s="35" t="s">
        <v>29</v>
      </c>
      <c r="E6" s="36" t="s">
        <v>30</v>
      </c>
      <c r="F6" s="37"/>
      <c r="G6" s="38" t="s">
        <v>37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ExtractTabOutsidePMDashboard1!$4:$4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37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CloseRTPNL1!$4:$4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SelectRowAtSLAggregation!$4:$4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IFERROR(__xludf.DUMMYFUNCTION("""COMPUTED_VALUE"""),"ExtractTabName")</f>
        <v>ExtractTabName</v>
      </c>
      <c r="D5" s="27" t="str">
        <f>IFERROR(__xludf.DUMMYFUNCTION("""COMPUTED_VALUE"""),"Color")</f>
        <v>Color</v>
      </c>
      <c r="E5" s="27" t="str">
        <f>IFERROR(__xludf.DUMMYFUNCTION("""COMPUTED_VALUE"""),"FetchDataAndVerifyBeforeAndAfterExtraction")</f>
        <v>FetchDataAndVerifyBeforeAndAfterExtraction</v>
      </c>
      <c r="F5" s="28" t="str">
        <f>IFERROR(__xludf.DUMMYFUNCTION("""COMPUTED_VALUE"""),"UnlinkBeforeVerify")</f>
        <v>UnlinkBeforeVerify</v>
      </c>
      <c r="G5" s="27" t="str">
        <f>IFERROR(__xludf.DUMMYFUNCTION("""COMPUTED_VALUE"""),"AfterExtractDashboardName")</f>
        <v>AfterExtractDashboardName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20</v>
      </c>
      <c r="C6" s="34" t="s">
        <v>28</v>
      </c>
      <c r="D6" s="35" t="s">
        <v>29</v>
      </c>
      <c r="E6" s="36" t="s">
        <v>30</v>
      </c>
      <c r="F6" s="37"/>
      <c r="G6" s="38" t="s">
        <v>31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ExtractTabOutsidePMDashboard2!$4:$4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31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32.38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IFERROR(__xludf.DUMMYFUNCTION("""COMPUTED_VALUE"""),"LinkingTabName")</f>
        <v>LinkingTabName</v>
      </c>
      <c r="D5" s="27" t="str">
        <f>IFERROR(__xludf.DUMMYFUNCTION("""COMPUTED_VALUE"""),"Color")</f>
        <v>Color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20</v>
      </c>
      <c r="C6" s="33" t="s">
        <v>39</v>
      </c>
      <c r="D6" s="33" t="s">
        <v>24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LinkDashboardTabs2!$4:$4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IFERROR(__xludf.DUMMYFUNCTION("""COMPUTED_VALUE"""),"ExtractTabName")</f>
        <v>ExtractTabName</v>
      </c>
      <c r="D5" s="27" t="str">
        <f>IFERROR(__xludf.DUMMYFUNCTION("""COMPUTED_VALUE"""),"Color")</f>
        <v>Color</v>
      </c>
      <c r="E5" s="27" t="str">
        <f>IFERROR(__xludf.DUMMYFUNCTION("""COMPUTED_VALUE"""),"FetchDataAndVerifyBeforeAndAfterExtraction")</f>
        <v>FetchDataAndVerifyBeforeAndAfterExtraction</v>
      </c>
      <c r="F5" s="28" t="str">
        <f>IFERROR(__xludf.DUMMYFUNCTION("""COMPUTED_VALUE"""),"UnlinkBeforeVerify")</f>
        <v>UnlinkBeforeVerify</v>
      </c>
      <c r="G5" s="27" t="str">
        <f>IFERROR(__xludf.DUMMYFUNCTION("""COMPUTED_VALUE"""),"AfterExtractDashboardName")</f>
        <v>AfterExtractDashboardName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20</v>
      </c>
      <c r="C6" s="34" t="s">
        <v>40</v>
      </c>
      <c r="D6" s="35" t="s">
        <v>29</v>
      </c>
      <c r="E6" s="36" t="s">
        <v>30</v>
      </c>
      <c r="F6" s="37"/>
      <c r="G6" s="38" t="s">
        <v>41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ExtractTabOutsidePMDashboard3!$4:$4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41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IFERROR(__xludf.DUMMYFUNCTION("""COMPUTED_VALUE"""),"ExtractTabName")</f>
        <v>ExtractTabName</v>
      </c>
      <c r="D5" s="27" t="str">
        <f>IFERROR(__xludf.DUMMYFUNCTION("""COMPUTED_VALUE"""),"Color")</f>
        <v>Color</v>
      </c>
      <c r="E5" s="27" t="str">
        <f>IFERROR(__xludf.DUMMYFUNCTION("""COMPUTED_VALUE"""),"FetchDataAndVerifyBeforeAndAfterExtraction")</f>
        <v>FetchDataAndVerifyBeforeAndAfterExtraction</v>
      </c>
      <c r="F5" s="28" t="str">
        <f>IFERROR(__xludf.DUMMYFUNCTION("""COMPUTED_VALUE"""),"UnlinkBeforeVerify")</f>
        <v>UnlinkBeforeVerify</v>
      </c>
      <c r="G5" s="27" t="str">
        <f>IFERROR(__xludf.DUMMYFUNCTION("""COMPUTED_VALUE"""),"AfterExtractDashboardName")</f>
        <v>AfterExtractDashboardName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20</v>
      </c>
      <c r="C6" s="34" t="s">
        <v>36</v>
      </c>
      <c r="D6" s="35" t="s">
        <v>29</v>
      </c>
      <c r="E6" s="36" t="s">
        <v>30</v>
      </c>
      <c r="F6" s="37"/>
      <c r="G6" s="38" t="s">
        <v>37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ExtractTabOutsidePMDashboard4!$4:$4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37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