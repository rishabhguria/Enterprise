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AllocatedGroups" sheetId="7" r:id="rId9"/>
    <sheet state="visible" name="RunProrata" sheetId="8" r:id="rId10"/>
    <sheet state="visible" name="VerifyActivity" sheetId="9" r:id="rId11"/>
    <sheet state="visible" name="CheckPortfolioManagement" sheetId="10" r:id="rId12"/>
    <sheet state="visible" name="VerifyLongPositionsGrid" sheetId="11" r:id="rId13"/>
    <sheet state="visible" name="GetActivityData" sheetId="12" r:id="rId14"/>
    <sheet state="visible" name="GetDataAllocation" sheetId="13" r:id="rId15"/>
    <sheet state="visible" name="GetDataClosing" sheetId="14" r:id="rId16"/>
  </sheets>
  <definedNames/>
  <calcPr/>
</workbook>
</file>

<file path=xl/sharedStrings.xml><?xml version="1.0" encoding="utf-8"?>
<sst xmlns="http://schemas.openxmlformats.org/spreadsheetml/2006/main" count="119" uniqueCount="44">
  <si>
    <t>Modules Info</t>
  </si>
  <si>
    <t>Settings</t>
  </si>
  <si>
    <t>Master Data Info</t>
  </si>
  <si>
    <t>Module Step Setting File</t>
  </si>
  <si>
    <t>Module</t>
  </si>
  <si>
    <t>1bjzFzn7sq_aNk1B-5bCREqf7Fqdi4GeZC91op3sddBc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</si>
  <si>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</si>
  <si>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</si>
  <si>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</si>
  <si>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</si>
  <si>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</si>
  <si>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</si>
  <si>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TradingTicket</t>
  </si>
  <si>
    <t>CreateDoneAwayOrder</t>
  </si>
  <si>
    <t>Data Format</t>
  </si>
  <si>
    <t>Input Format</t>
  </si>
  <si>
    <t>App</t>
  </si>
  <si>
    <t>Buy</t>
  </si>
  <si>
    <t>Allocation2</t>
  </si>
  <si>
    <t>Unallocated</t>
  </si>
  <si>
    <t>Allocation</t>
  </si>
  <si>
    <t>SelectUnallocatedGroup</t>
  </si>
  <si>
    <t>APP</t>
  </si>
  <si>
    <t>EnterAllocatePreference</t>
  </si>
  <si>
    <t>Fixed</t>
  </si>
  <si>
    <t>Positions</t>
  </si>
  <si>
    <t>CheckAllocatedGroups</t>
  </si>
  <si>
    <t>RunProrata</t>
  </si>
  <si>
    <t>GeneralLedger</t>
  </si>
  <si>
    <t>VerifyActivity</t>
  </si>
  <si>
    <t>EquityL</t>
  </si>
  <si>
    <t>USD</t>
  </si>
  <si>
    <t>PortfolioManagement</t>
  </si>
  <si>
    <t>CheckPortfolioManagement</t>
  </si>
  <si>
    <t>Closing</t>
  </si>
  <si>
    <t>VerifyLongPositionsGrid</t>
  </si>
  <si>
    <t>Equity</t>
  </si>
  <si>
    <t>GetActivityData</t>
  </si>
  <si>
    <t>SelectAll</t>
  </si>
  <si>
    <t>No</t>
  </si>
  <si>
    <t>Yes</t>
  </si>
  <si>
    <t>GetDataAllocation</t>
  </si>
  <si>
    <t>GetDataClosing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</si>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</sst>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3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 t="s">
        <v>17</v>
      </c>
      <c r="D6" s="10">
        <v>20.0</v>
      </c>
      <c r="E6" s="29"/>
      <c r="F6" s="10" t="s">
        <v>18</v>
      </c>
      <c r="G6" s="6"/>
      <c r="H6" s="6"/>
      <c r="I6" s="6"/>
      <c r="J6" s="10">
        <v>10.0</v>
      </c>
      <c r="K6" s="6"/>
      <c r="L6" s="6"/>
      <c r="M6" s="6"/>
      <c r="N6" s="30">
        <v>42789.0</v>
      </c>
      <c r="O6" s="6"/>
    </row>
    <row r="7" ht="15.75" customHeight="1">
      <c r="A7" s="6"/>
      <c r="B7" s="10" t="s">
        <v>16</v>
      </c>
      <c r="C7" s="10" t="s">
        <v>17</v>
      </c>
      <c r="D7" s="10">
        <v>20.0</v>
      </c>
      <c r="E7" s="6"/>
      <c r="F7" s="10" t="s">
        <v>19</v>
      </c>
      <c r="G7" s="6"/>
      <c r="H7" s="6"/>
      <c r="I7" s="6"/>
      <c r="J7" s="10">
        <v>10.0</v>
      </c>
      <c r="K7" s="6"/>
      <c r="L7" s="6"/>
      <c r="M7" s="6"/>
      <c r="N7" s="31">
        <f>TODAY()</f>
        <v>43634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10" t="s">
        <v>17</v>
      </c>
      <c r="D6" s="10">
        <v>20.0</v>
      </c>
      <c r="E6" s="10">
        <v>20.0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 t="s">
        <v>25</v>
      </c>
      <c r="D6" s="10" t="b">
        <v>1</v>
      </c>
      <c r="E6" s="10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  <c r="AE6" s="32">
        <v>20.0</v>
      </c>
      <c r="BJ6" s="32">
        <v>20.0</v>
      </c>
      <c r="BO6" s="32" t="s">
        <v>17</v>
      </c>
      <c r="BT6" s="32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IFERROR(__xludf.DUMMYFUNCTION("""COMPUTED_VALUE"""),"SchemeName")</f>
        <v>SchemeName</v>
      </c>
      <c r="D5" s="26" t="str">
        <f>IFERROR(__xludf.DUMMYFUNCTION("""COMPUTED_VALUE"""),"SchemeBasis")</f>
        <v>SchemeBasis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>
        <v>42789.0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29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 t="s">
        <v>30</v>
      </c>
      <c r="E6" s="29"/>
      <c r="F6" s="6"/>
      <c r="G6" s="6"/>
      <c r="H6" s="6"/>
      <c r="I6" s="6"/>
      <c r="J6" s="6"/>
      <c r="K6" s="10" t="s">
        <v>31</v>
      </c>
      <c r="L6" s="6"/>
      <c r="M6" s="6"/>
      <c r="N6" s="6"/>
      <c r="O6" s="6"/>
      <c r="AB6" s="32" t="s">
        <v>22</v>
      </c>
      <c r="AH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6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10" t="s">
        <v>22</v>
      </c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  <c r="AN6" s="32" t="s">
        <v>17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34</v>
      </c>
      <c r="D3" s="8" t="s">
        <v>6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10" t="s">
        <v>36</v>
      </c>
      <c r="D6" s="10"/>
      <c r="E6" s="29"/>
      <c r="F6" s="6"/>
      <c r="G6" s="6"/>
      <c r="H6" s="6"/>
      <c r="I6" s="6"/>
      <c r="J6" s="6"/>
      <c r="K6" s="10"/>
      <c r="L6" s="6"/>
      <c r="M6" s="10"/>
      <c r="N6" s="10"/>
      <c r="O6" s="10" t="s">
        <v>31</v>
      </c>
      <c r="P6" s="32" t="s">
        <v>17</v>
      </c>
      <c r="R6" s="32" t="s">
        <v>22</v>
      </c>
      <c r="U6" s="33">
        <v>42789.0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38</v>
      </c>
      <c r="C6" s="10" t="s">
        <v>18</v>
      </c>
      <c r="D6" s="30">
        <v>42788.0</v>
      </c>
      <c r="E6" s="30">
        <f>TODAY()</f>
        <v>43634</v>
      </c>
      <c r="F6" s="10" t="s">
        <v>39</v>
      </c>
      <c r="G6" s="10" t="s">
        <v>39</v>
      </c>
      <c r="H6" s="10" t="s">
        <v>40</v>
      </c>
      <c r="I6" s="6"/>
      <c r="J6" s="6"/>
      <c r="K6" s="10"/>
      <c r="L6" s="6"/>
      <c r="M6" s="6"/>
      <c r="N6" s="6"/>
      <c r="O6" s="6"/>
      <c r="AE6" s="32" t="s">
        <v>22</v>
      </c>
    </row>
    <row r="7" ht="15.75" customHeight="1">
      <c r="A7" s="6"/>
      <c r="B7" s="6"/>
      <c r="C7" s="6"/>
      <c r="D7" s="34"/>
      <c r="E7" s="34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34"/>
      <c r="E8" s="34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43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34</v>
      </c>
      <c r="D3" s="8" t="s">
        <v>6</v>
      </c>
      <c r="E3" s="21" t="s">
        <v>42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43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