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SelectTrade" sheetId="11" r:id="rId13"/>
    <sheet state="visible" name="RejectTrade" sheetId="12" r:id="rId14"/>
    <sheet state="visible" name="CreateLiveOrder1" sheetId="13" r:id="rId15"/>
    <sheet state="visible" name="SelectTrade1" sheetId="14" r:id="rId16"/>
    <sheet state="visible" name="AcknowledgeTrade" sheetId="15" r:id="rId17"/>
    <sheet state="visible" name="ExecuteTrade" sheetId="16" r:id="rId18"/>
    <sheet state="visible" name="GetDataAllocation" sheetId="17" r:id="rId19"/>
    <sheet state="visible" name="CheckAllocatedGroups" sheetId="18" r:id="rId20"/>
    <sheet state="visible" name="CheckAllocatedTaxlot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<sst xmlns="http://schemas.openxmlformats.org/spreadsheetml/2006/main" count="691" uniqueCount="71">
  <si>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</si>
  <si>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</si>
  <si>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</si>
  <si>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</si>
  <si>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</si>
  <si>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</si>
  <si>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</si>
  <si>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</si>
  <si>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</si>
  <si>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</si>
  <si>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</si>
  <si>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</si>
  <si>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</si>
  <si>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</si>
  <si>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</si>
  <si>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</si>
  <si>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 xml:space="preserve"> 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</si>
  <si>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</si>
  <si>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</si>
  <si>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</si>
  <si>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</si>
  <si>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</si>
  <si>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</si>
  <si>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</si>
  <si>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</si>
  <si>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</si>
  <si>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</si>
  <si>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</si>
  <si>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</si>
  <si>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</si>
  <si>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</si>
  <si>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</si>
  <si>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</si>
  <si>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</si>
  <si>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</si>
  <si>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Simulator</t>
  </si>
  <si>
    <t>SelectTrade</t>
  </si>
  <si>
    <t>RejectTrade</t>
  </si>
  <si>
    <t>AcknowledgeTrade</t>
  </si>
  <si>
    <t>ExecuteTrade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</si>
  <si>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</si>
  <si>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</si>
  <si>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</si>
  <si>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</si>
  <si>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</si>
  <si>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</si>
  <si>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</si>
  <si>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</si>
  <si>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</si>
  <si>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</si>
  <si>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</si>
  <si>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None</t>
  </si>
  <si>
    <t>Market</t>
  </si>
  <si>
    <t>GCCAP1</t>
  </si>
  <si>
    <t>US</t>
  </si>
  <si>
    <t>jpearce</t>
  </si>
  <si>
    <t>FIX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</si>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</sst>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6" t="s">
        <v>16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IFERROR(__xludf.DUMMYFUNCTION("""COMPUTED_VALUE"""),"OverSellTradingRule")</f>
        <v>OverSellTradingRule</v>
      </c>
      <c r="C5" s="29" t="str">
        <f>IFERROR(__xludf.DUMMYFUNCTION("""COMPUTED_VALUE"""),"OverBuyTradingRule")</f>
        <v>OverBuyTradingRule</v>
      </c>
      <c r="D5" s="29" t="str">
        <f>IFERROR(__xludf.DUMMYFUNCTION("""COMPUTED_VALUE"""),"FatFingerTradingRule")</f>
        <v>FatFingerTradingRule</v>
      </c>
      <c r="E5" s="29" t="str">
        <f>IFERROR(__xludf.DUMMYFUNCTION("""COMPUTED_VALUE"""),"UnallocatedTradeAlert")</f>
        <v>UnallocatedTradeAlert</v>
      </c>
      <c r="F5" s="30" t="str">
        <f>IFERROR(__xludf.DUMMYFUNCTION("""COMPUTED_VALUE"""),"DuplicateTradeAlert")</f>
        <v>DuplicateTradeAlert</v>
      </c>
      <c r="G5" s="29" t="str">
        <f>IFERROR(__xludf.DUMMYFUNCTION("""COMPUTED_VALUE"""),"PendingNewOrderAlert")</f>
        <v>PendingNewOrderAlert</v>
      </c>
      <c r="H5" s="29" t="str">
        <f>IFERROR(__xludf.DUMMYFUNCTION("""COMPUTED_VALUE"""),"FatFingerPercent")</f>
        <v>FatFingerPercent</v>
      </c>
      <c r="I5" s="29" t="str">
        <f>IFERROR(__xludf.DUMMYFUNCTION("""COMPUTED_VALUE"""),"DuplicateTradeAlertTime")</f>
        <v>DuplicateTradeAlertTime</v>
      </c>
      <c r="J5" s="29" t="str">
        <f>IFERROR(__xludf.DUMMYFUNCTION("""COMPUTED_VALUE"""),"PendingNewOrderAlertTime")</f>
        <v>PendingNewOrderAlertTime</v>
      </c>
      <c r="K5" s="29" t="str">
        <f>IFERROR(__xludf.DUMMYFUNCTION("""COMPUTED_VALUE"""),"FatFingerAccountOrMasterFund")</f>
        <v>FatFingerAccountOrMasterFund</v>
      </c>
      <c r="L5" s="29" t="str">
        <f>IFERROR(__xludf.DUMMYFUNCTION("""COMPUTED_VALUE"""),"IsAbsoluteAmountOrDefinePercent")</f>
        <v>IsAbsoluteAmountOrDefinePercent</v>
      </c>
      <c r="M5" s="29" t="str">
        <f>IFERROR(__xludf.DUMMYFUNCTION("""COMPUTED_VALUE"""),"IsInMarketIncluded")</f>
        <v>IsInMarketIncluded</v>
      </c>
      <c r="N5" s="29" t="str">
        <f>IFERROR(__xludf.DUMMYFUNCTION("""COMPUTED_VALUE"""),"IsSharesOutstandingRule")</f>
        <v>IsSharesOutstandingRule</v>
      </c>
      <c r="O5" s="29" t="str">
        <f>IFERROR(__xludf.DUMMYFUNCTION("""COMPUTED_VALUE"""),"SharesOutstandingPercent")</f>
        <v>SharesOutstandingPercent</v>
      </c>
      <c r="P5" s="29" t="str">
        <f>IFERROR(__xludf.DUMMYFUNCTION("""COMPUTED_VALUE"""),"SharesOutstandingAccountOrMF")</f>
        <v>SharesOutstandingAccountOrMF</v>
      </c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 t="b">
        <v>1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 t="s">
        <v>19</v>
      </c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19</v>
      </c>
      <c r="C6" s="39" t="s">
        <v>21</v>
      </c>
      <c r="D6" s="40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22</v>
      </c>
      <c r="D7" s="41">
        <v>50.0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19</v>
      </c>
      <c r="C6" s="39" t="s">
        <v>21</v>
      </c>
      <c r="D6" s="42" t="s">
        <v>24</v>
      </c>
      <c r="E6" s="43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19</v>
      </c>
      <c r="C7" s="39" t="s">
        <v>21</v>
      </c>
      <c r="D7" s="44" t="s">
        <v>25</v>
      </c>
      <c r="E7" s="41">
        <v>50.0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19</v>
      </c>
      <c r="C8" s="37" t="s">
        <v>22</v>
      </c>
      <c r="D8" s="44" t="s">
        <v>24</v>
      </c>
      <c r="E8" s="41">
        <v>75.0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22</v>
      </c>
      <c r="D9" s="44" t="s">
        <v>25</v>
      </c>
      <c r="E9" s="41">
        <v>25.0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 t="s">
        <v>27</v>
      </c>
      <c r="C6" s="36"/>
      <c r="D6" s="45" t="s">
        <v>28</v>
      </c>
      <c r="E6" s="36"/>
      <c r="F6" s="36"/>
      <c r="G6" s="46" t="b">
        <v>0</v>
      </c>
      <c r="H6" s="47" t="s">
        <v>19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 t="s">
        <v>31</v>
      </c>
      <c r="C6" s="36" t="s">
        <v>32</v>
      </c>
      <c r="D6" s="40">
        <v>100.0</v>
      </c>
      <c r="E6" s="43">
        <v>100.0</v>
      </c>
      <c r="F6" s="47" t="s">
        <v>19</v>
      </c>
      <c r="G6" s="36"/>
      <c r="H6" s="36"/>
      <c r="I6" s="36"/>
      <c r="J6" s="43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31</v>
      </c>
      <c r="C6" s="36" t="s">
        <v>34</v>
      </c>
      <c r="D6" s="48">
        <v>90.0</v>
      </c>
      <c r="E6" s="48">
        <v>90.0</v>
      </c>
      <c r="F6" s="47" t="s">
        <v>19</v>
      </c>
      <c r="G6" s="36"/>
      <c r="H6" s="36"/>
      <c r="I6" s="36"/>
      <c r="J6" s="43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34</v>
      </c>
      <c r="C6" s="13" t="s">
        <v>31</v>
      </c>
      <c r="D6" s="13"/>
      <c r="E6" s="49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34</v>
      </c>
      <c r="C6" s="13" t="s">
        <v>31</v>
      </c>
      <c r="D6" s="13"/>
      <c r="E6" s="49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 t="s">
        <v>31</v>
      </c>
      <c r="C6" s="36" t="s">
        <v>34</v>
      </c>
      <c r="D6" s="48">
        <v>110.0</v>
      </c>
      <c r="E6" s="48">
        <v>110.0</v>
      </c>
      <c r="F6" s="47" t="s">
        <v>19</v>
      </c>
      <c r="G6" s="36"/>
      <c r="H6" s="36"/>
      <c r="I6" s="36"/>
      <c r="J6" s="43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34</v>
      </c>
      <c r="C6" s="13" t="s">
        <v>31</v>
      </c>
      <c r="D6" s="13"/>
      <c r="E6" s="49"/>
      <c r="F6" s="8"/>
      <c r="G6" s="13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34</v>
      </c>
      <c r="C6" s="13" t="s">
        <v>31</v>
      </c>
      <c r="D6" s="13"/>
      <c r="E6" s="49"/>
      <c r="F6" s="8"/>
      <c r="G6" s="13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110.0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41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50" t="s">
        <v>43</v>
      </c>
      <c r="C6" s="8" t="s">
        <v>44</v>
      </c>
      <c r="D6" s="50">
        <v>0.0</v>
      </c>
      <c r="E6" s="8">
        <v>100.0</v>
      </c>
      <c r="F6" s="8" t="s">
        <v>19</v>
      </c>
      <c r="G6" s="8" t="s">
        <v>45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46</v>
      </c>
      <c r="N6" s="8" t="s">
        <v>44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W6">
        <v>1.0</v>
      </c>
      <c r="X6" t="s">
        <v>44</v>
      </c>
      <c r="Y6" t="s">
        <v>44</v>
      </c>
      <c r="Z6" t="s">
        <v>49</v>
      </c>
      <c r="AA6" t="s">
        <v>31</v>
      </c>
      <c r="AD6" t="s">
        <v>50</v>
      </c>
      <c r="AE6">
        <v>100.0</v>
      </c>
      <c r="AF6" t="s">
        <v>44</v>
      </c>
      <c r="AI6">
        <v>1.0</v>
      </c>
      <c r="AJ6" t="s">
        <v>51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Y6" t="s">
        <v>52</v>
      </c>
      <c r="AZ6">
        <v>0.0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M6" t="s">
        <v>49</v>
      </c>
      <c r="BO6" t="s">
        <v>32</v>
      </c>
      <c r="BP6">
        <v>0.0</v>
      </c>
      <c r="BQ6">
        <v>0.0</v>
      </c>
      <c r="BT6" t="s">
        <v>31</v>
      </c>
      <c r="BU6">
        <v>3.0</v>
      </c>
      <c r="BV6">
        <v>0.0</v>
      </c>
      <c r="BX6">
        <v>0.0</v>
      </c>
      <c r="CF6" t="s">
        <v>53</v>
      </c>
      <c r="CG6">
        <v>2.0</v>
      </c>
      <c r="CH6" t="s">
        <v>29</v>
      </c>
      <c r="CI6" t="s">
        <v>32</v>
      </c>
      <c r="CJ6">
        <v>0.0</v>
      </c>
      <c r="CK6" t="s">
        <v>54</v>
      </c>
      <c r="CL6">
        <v>1.0</v>
      </c>
      <c r="CM6" t="s">
        <v>31</v>
      </c>
      <c r="CN6" t="s">
        <v>55</v>
      </c>
      <c r="CO6" t="s">
        <v>50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 t="s">
        <v>43</v>
      </c>
      <c r="C7" s="8" t="s">
        <v>44</v>
      </c>
      <c r="D7" s="8">
        <v>0.0</v>
      </c>
      <c r="E7" s="8">
        <v>110.0</v>
      </c>
      <c r="F7" s="8" t="s">
        <v>19</v>
      </c>
      <c r="G7" s="8" t="s">
        <v>45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46</v>
      </c>
      <c r="N7" s="8" t="s">
        <v>44</v>
      </c>
      <c r="O7" s="8" t="s">
        <v>47</v>
      </c>
      <c r="Q7">
        <v>3.0</v>
      </c>
      <c r="R7">
        <v>0.0</v>
      </c>
      <c r="S7" t="s">
        <v>48</v>
      </c>
      <c r="T7">
        <v>0.0</v>
      </c>
      <c r="U7">
        <v>0.0</v>
      </c>
      <c r="W7">
        <v>1.0</v>
      </c>
      <c r="X7" t="s">
        <v>44</v>
      </c>
      <c r="Y7" t="s">
        <v>44</v>
      </c>
      <c r="Z7" t="s">
        <v>49</v>
      </c>
      <c r="AA7" t="s">
        <v>31</v>
      </c>
      <c r="AD7" t="s">
        <v>50</v>
      </c>
      <c r="AE7">
        <v>110.0</v>
      </c>
      <c r="AF7" t="s">
        <v>44</v>
      </c>
      <c r="AI7">
        <v>1.0</v>
      </c>
      <c r="AJ7" t="s">
        <v>51</v>
      </c>
      <c r="AN7" t="b">
        <v>0</v>
      </c>
      <c r="AQ7" t="b">
        <v>0</v>
      </c>
      <c r="AR7" t="b">
        <v>1</v>
      </c>
      <c r="AS7">
        <v>0.0</v>
      </c>
      <c r="AT7">
        <v>1085.9994</v>
      </c>
      <c r="AU7">
        <v>1085.9994</v>
      </c>
      <c r="AY7" t="s">
        <v>52</v>
      </c>
      <c r="AZ7">
        <v>0.0</v>
      </c>
      <c r="BE7">
        <v>1100.0</v>
      </c>
      <c r="BF7">
        <v>1100.0</v>
      </c>
      <c r="BJ7">
        <v>110.0</v>
      </c>
      <c r="BK7">
        <v>0.0</v>
      </c>
      <c r="BL7" t="s">
        <v>44</v>
      </c>
      <c r="BM7" t="s">
        <v>49</v>
      </c>
      <c r="BO7" t="s">
        <v>34</v>
      </c>
      <c r="BP7">
        <v>0.0</v>
      </c>
      <c r="BQ7">
        <v>0.0</v>
      </c>
      <c r="BT7" t="s">
        <v>31</v>
      </c>
      <c r="BU7">
        <v>3.0</v>
      </c>
      <c r="BV7">
        <v>0.0</v>
      </c>
      <c r="BX7">
        <v>0.0</v>
      </c>
      <c r="CF7" t="s">
        <v>53</v>
      </c>
      <c r="CG7">
        <v>2.0</v>
      </c>
      <c r="CH7" t="s">
        <v>56</v>
      </c>
      <c r="CI7" t="s">
        <v>34</v>
      </c>
      <c r="CJ7">
        <v>0.0</v>
      </c>
      <c r="CK7" t="s">
        <v>54</v>
      </c>
      <c r="CL7">
        <v>1.0</v>
      </c>
      <c r="CM7" t="s">
        <v>31</v>
      </c>
      <c r="CN7" t="s">
        <v>55</v>
      </c>
      <c r="CO7" t="s">
        <v>50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7" t="str">
        <f>IFERROR(__xludf.DUMMYFUNCTION("""COMPUTED_VALUE"""),"SetGroupingRules")</f>
        <v>SetGroupingRules</v>
      </c>
      <c r="Q4" s="27" t="str">
        <f>IFERROR(__xludf.DUMMYFUNCTION("""COMPUTED_VALUE"""),"SetMasterFundRatio")</f>
        <v>SetMasterFundRatio</v>
      </c>
      <c r="R4" s="27" t="str">
        <f>IFERROR(__xludf.DUMMYFUNCTION("""COMPUTED_VALUE"""),"CheckFixedPreference")</f>
        <v>CheckFixedPreference</v>
      </c>
      <c r="S4" s="27" t="str">
        <f>IFERROR(__xludf.DUMMYFUNCTION("""COMPUTED_VALUE"""),"GetFixedPreference")</f>
        <v>GetFixedPreference</v>
      </c>
      <c r="T4" s="27" t="str">
        <f>IFERROR(__xludf.DUMMYFUNCTION("""COMPUTED_VALUE"""),"AddCalculatedPreferences")</f>
        <v>AddCalculatedPreferences</v>
      </c>
      <c r="U4" s="27" t="str">
        <f>IFERROR(__xludf.DUMMYFUNCTION("""COMPUTED_VALUE"""),"BulkChangeCalculatedPreferences")</f>
        <v>BulkChangeCalculatedPreferences</v>
      </c>
      <c r="V4" s="27" t="str">
        <f>IFERROR(__xludf.DUMMYFUNCTION("""COMPUTED_VALUE"""),"DeleteCalculatedPreferences")</f>
        <v>DeleteCalculatedPreferences</v>
      </c>
      <c r="W4" s="27" t="str">
        <f>IFERROR(__xludf.DUMMYFUNCTION("""COMPUTED_VALUE"""),"RenameCalculatedPreferences")</f>
        <v>RenameCalculatedPreferences</v>
      </c>
      <c r="X4" s="27" t="str">
        <f>IFERROR(__xludf.DUMMYFUNCTION("""COMPUTED_VALUE"""),"CopyCalculatedPreferences")</f>
        <v>CopyCalculatedPreferences</v>
      </c>
      <c r="Y4" s="27" t="str">
        <f>IFERROR(__xludf.DUMMYFUNCTION("""COMPUTED_VALUE"""),"RunAutoGroup")</f>
        <v>RunAutoGroup</v>
      </c>
      <c r="Z4" s="27" t="str">
        <f>IFERROR(__xludf.DUMMYFUNCTION("""COMPUTED_VALUE"""),"BookOrUpdateSwap")</f>
        <v>BookOrUpdateSwap</v>
      </c>
      <c r="AA4" s="27" t="str">
        <f>IFERROR(__xludf.DUMMYFUNCTION("""COMPUTED_VALUE"""),"RunProrata")</f>
        <v>RunProrata</v>
      </c>
      <c r="AB4" s="27" t="str">
        <f>IFERROR(__xludf.DUMMYFUNCTION("""COMPUTED_VALUE"""),"SetDefaultRuleCalculatedPref")</f>
        <v>SetDefaultRuleCalculatedPref</v>
      </c>
      <c r="AC4" s="27" t="str">
        <f>IFERROR(__xludf.DUMMYFUNCTION("""COMPUTED_VALUE"""),"SetAccountValueCalculatedPref")</f>
        <v>SetAccountValueCalculatedPref</v>
      </c>
      <c r="AD4" s="27" t="str">
        <f>IFERROR(__xludf.DUMMYFUNCTION("""COMPUTED_VALUE"""),"TradeAttributeBulkChangeGroups")</f>
        <v>TradeAttributeBulkChangeGroups</v>
      </c>
      <c r="AE4" s="27" t="str">
        <f>IFERROR(__xludf.DUMMYFUNCTION("""COMPUTED_VALUE"""),"TradeAttributeBulkChangeTaxlots")</f>
        <v>TradeAttributeBulkChangeTaxlots</v>
      </c>
      <c r="AF4" s="27" t="str">
        <f>IFERROR(__xludf.DUMMYFUNCTION("""COMPUTED_VALUE"""),"AddCalculatedPreferenceToolbar")</f>
        <v>AddCalculatedPreferenceToolbar</v>
      </c>
      <c r="AG4" s="27" t="str">
        <f>IFERROR(__xludf.DUMMYFUNCTION("""COMPUTED_VALUE"""),"SetStrategyValueCalculatedPref")</f>
        <v>SetStrategyValueCalculatedPref</v>
      </c>
      <c r="AH4" s="27" t="str">
        <f>IFERROR(__xludf.DUMMYFUNCTION("""COMPUTED_VALUE"""),"ApplyBulkUpdateOnTaxlots")</f>
        <v>ApplyBulkUpdateOnTaxlots</v>
      </c>
      <c r="AI4" s="27" t="str">
        <f>IFERROR(__xludf.DUMMYFUNCTION("""COMPUTED_VALUE"""),"CommissionBulkChangeOnGroups")</f>
        <v>CommissionBulkChangeOnGroups</v>
      </c>
      <c r="AJ4" s="27" t="str">
        <f>IFERROR(__xludf.DUMMYFUNCTION("""COMPUTED_VALUE"""),"CommissionBulkChangeOnTaxlots")</f>
        <v>CommissionBulkChangeOnTaxlots</v>
      </c>
      <c r="AK4" s="27" t="str">
        <f>IFERROR(__xludf.DUMMYFUNCTION("""COMPUTED_VALUE"""),"SelectUnallocatedGroup")</f>
        <v>SelectUnallocatedGroup</v>
      </c>
      <c r="AL4" s="27" t="str">
        <f>IFERROR(__xludf.DUMMYFUNCTION("""COMPUTED_VALUE"""),"EnterAccountValuesToAllocate")</f>
        <v>EnterAccountValuesToAllocate</v>
      </c>
      <c r="AM4" s="27" t="str">
        <f>IFERROR(__xludf.DUMMYFUNCTION("""COMPUTED_VALUE"""),"EnterAllocatePreference")</f>
        <v>EnterAllocatePreference</v>
      </c>
      <c r="AN4" s="27" t="str">
        <f>IFERROR(__xludf.DUMMYFUNCTION("""COMPUTED_VALUE"""),"EnterStrategyValuesToAllocate")</f>
        <v>EnterStrategyValuesToAllocate</v>
      </c>
      <c r="AO4" s="27" t="str">
        <f>IFERROR(__xludf.DUMMYFUNCTION("""COMPUTED_VALUE"""),"CopyCalculatedPreferenceToolbar")</f>
        <v>CopyCalculatedPreferenceToolbar</v>
      </c>
      <c r="AP4" s="27" t="str">
        <f>IFERROR(__xludf.DUMMYFUNCTION("""COMPUTED_VALUE"""),"SetGeneralRuleCalculatedPref")</f>
        <v>SetGeneralRuleCalculatedPref</v>
      </c>
      <c r="AQ4" s="27" t="str">
        <f>IFERROR(__xludf.DUMMYFUNCTION("""COMPUTED_VALUE"""),"ExportAllCalculatedPreferences")</f>
        <v>ExportAllCalculatedPreferences</v>
      </c>
      <c r="AR4" s="27" t="str">
        <f>IFERROR(__xludf.DUMMYFUNCTION("""COMPUTED_VALUE"""),"SaveCalculatedPreferences")</f>
        <v>SaveCalculatedPreferences</v>
      </c>
      <c r="AS4" s="27" t="str">
        <f>IFERROR(__xludf.DUMMYFUNCTION("""COMPUTED_VALUE"""),"CloseCalculatedPreferences")</f>
        <v>CloseCalculatedPreferences</v>
      </c>
      <c r="AT4" s="27" t="str">
        <f>IFERROR(__xludf.DUMMYFUNCTION("""COMPUTED_VALUE"""),"ExportCalculatedPreference")</f>
        <v>ExportCalculatedPreference</v>
      </c>
      <c r="AU4" s="27" t="str">
        <f>IFERROR(__xludf.DUMMYFUNCTION("""COMPUTED_VALUE"""),"ImportCalculatedPreferences")</f>
        <v>ImportCalculatedPreferences</v>
      </c>
      <c r="AV4" s="27" t="str">
        <f>IFERROR(__xludf.DUMMYFUNCTION("""COMPUTED_VALUE"""),"OpenAuditTrailUnallocatedGroup")</f>
        <v>OpenAuditTrailUnallocatedGroup</v>
      </c>
      <c r="AW4" s="27" t="str">
        <f>IFERROR(__xludf.DUMMYFUNCTION("""COMPUTED_VALUE"""),"DeleteCalculatedPreferencesTool")</f>
        <v>DeleteCalculatedPreferencesTool</v>
      </c>
      <c r="AX4" s="27" t="str">
        <f>IFERROR(__xludf.DUMMYFUNCTION("""COMPUTED_VALUE"""),"ImportCalculatedPreferencesTool")</f>
        <v>ImportCalculatedPreferencesTool</v>
      </c>
      <c r="AY4" s="27" t="str">
        <f>IFERROR(__xludf.DUMMYFUNCTION("""COMPUTED_VALUE"""),"ExportAllCalculatedPreferTool")</f>
        <v>ExportAllCalculatedPreferTool</v>
      </c>
      <c r="AZ4" s="27" t="str">
        <f>IFERROR(__xludf.DUMMYFUNCTION("""COMPUTED_VALUE"""),"OpenAuditTrailAllocatedGroup")</f>
        <v>OpenAuditTrailAllocatedGroup</v>
      </c>
      <c r="BA4" s="27" t="str">
        <f>IFERROR(__xludf.DUMMYFUNCTION("""COMPUTED_VALUE"""),"OpenSymbolLookupUnallocateGroup")</f>
        <v>OpenSymbolLookupUnallocateGroup</v>
      </c>
      <c r="BB4" s="27" t="str">
        <f>IFERROR(__xludf.DUMMYFUNCTION("""COMPUTED_VALUE"""),"OpenSymbolLookupAllocatedGroup")</f>
        <v>OpenSymbolLookupAllocatedGroup</v>
      </c>
      <c r="BC4" s="27" t="str">
        <f>IFERROR(__xludf.DUMMYFUNCTION("""COMPUTED_VALUE"""),"DeleteFixedPreference")</f>
        <v>DeleteFixedPreference</v>
      </c>
      <c r="BD4" s="27" t="str">
        <f>IFERROR(__xludf.DUMMYFUNCTION("""COMPUTED_VALUE"""),"EditAllocatedGroupSidePanel")</f>
        <v>EditAllocatedGroupSidePanel</v>
      </c>
      <c r="BE4" s="27" t="str">
        <f>IFERROR(__xludf.DUMMYFUNCTION("""COMPUTED_VALUE"""),"CheckUnallocatedGroups")</f>
        <v>CheckUnallocatedGroups</v>
      </c>
      <c r="BF4" s="27" t="str">
        <f>IFERROR(__xludf.DUMMYFUNCTION("""COMPUTED_VALUE"""),"SetGeneralPreferences")</f>
        <v>SetGeneralPreferences</v>
      </c>
      <c r="BG4" s="27" t="str">
        <f>IFERROR(__xludf.DUMMYFUNCTION("""COMPUTED_VALUE"""),"GroupTrades")</f>
        <v>GroupTrades</v>
      </c>
      <c r="BH4" s="27" t="str">
        <f>IFERROR(__xludf.DUMMYFUNCTION("""COMPUTED_VALUE"""),"UngroupTrades")</f>
        <v>UngroupTrades</v>
      </c>
      <c r="BI4" s="27" t="str">
        <f>IFERROR(__xludf.DUMMYFUNCTION("""COMPUTED_VALUE"""),"DeleteGroup")</f>
        <v>DeleteGroup</v>
      </c>
      <c r="BJ4" s="27" t="str">
        <f>IFERROR(__xludf.DUMMYFUNCTION("""COMPUTED_VALUE"""),"CloseOrder")</f>
        <v>CloseOrder</v>
      </c>
      <c r="BK4" s="27" t="str">
        <f>IFERROR(__xludf.DUMMYFUNCTION("""COMPUTED_VALUE"""),"Unallocate")</f>
        <v>Unallocate</v>
      </c>
      <c r="BL4" s="27" t="str">
        <f>IFERROR(__xludf.DUMMYFUNCTION("""COMPUTED_VALUE"""),"CloseAllocation")</f>
        <v>CloseAllocation</v>
      </c>
      <c r="BM4" s="27" t="str">
        <f>IFERROR(__xludf.DUMMYFUNCTION("""COMPUTED_VALUE"""),"UpdateGRAccountValue")</f>
        <v>UpdateGRAccountValue</v>
      </c>
      <c r="BN4" s="27" t="str">
        <f>IFERROR(__xludf.DUMMYFUNCTION("""COMPUTED_VALUE"""),"UpdateGRStrategyValue")</f>
        <v>UpdateGRStrategyValue</v>
      </c>
      <c r="BO4" s="27" t="str">
        <f>IFERROR(__xludf.DUMMYFUNCTION("""COMPUTED_VALUE"""),"UpdateGRDefaultRule")</f>
        <v>UpdateGRDefaultRule</v>
      </c>
      <c r="BP4" s="27" t="str">
        <f>IFERROR(__xludf.DUMMYFUNCTION("""COMPUTED_VALUE"""),"UpdateGeneralRulePref")</f>
        <v>UpdateGeneralRulePref</v>
      </c>
      <c r="BQ4" s="27" t="str">
        <f>IFERROR(__xludf.DUMMYFUNCTION("""COMPUTED_VALUE"""),"ModifyGRPreferenceValues")</f>
        <v>ModifyGRPreferenceValues</v>
      </c>
      <c r="BR4" s="27" t="str">
        <f>IFERROR(__xludf.DUMMYFUNCTION("""COMPUTED_VALUE"""),"AddMFPreferences")</f>
        <v>AddMFPreferences</v>
      </c>
      <c r="BS4" s="27" t="str">
        <f>IFERROR(__xludf.DUMMYFUNCTION("""COMPUTED_VALUE"""),"AddMFPreferenceToolbar")</f>
        <v>AddMFPreferenceToolbar</v>
      </c>
      <c r="BT4" s="27" t="str">
        <f>IFERROR(__xludf.DUMMYFUNCTION("""COMPUTED_VALUE"""),"DeleteMFPreferences")</f>
        <v>DeleteMFPreferences</v>
      </c>
      <c r="BU4" s="27" t="str">
        <f>IFERROR(__xludf.DUMMYFUNCTION("""COMPUTED_VALUE"""),"DeleteMFPreferenceToolbar")</f>
        <v>DeleteMFPreferenceToolbar</v>
      </c>
      <c r="BV4" s="27" t="str">
        <f>IFERROR(__xludf.DUMMYFUNCTION("""COMPUTED_VALUE"""),"RenameMFPreferences")</f>
        <v>RenameMFPreferences</v>
      </c>
      <c r="BW4" s="27" t="str">
        <f>IFERROR(__xludf.DUMMYFUNCTION("""COMPUTED_VALUE"""),"SaveCloseMFPreference")</f>
        <v>SaveCloseMFPreference</v>
      </c>
      <c r="BX4" s="27" t="str">
        <f>IFERROR(__xludf.DUMMYFUNCTION("""COMPUTED_VALUE"""),"SetMFPrefAccountValues")</f>
        <v>SetMFPrefAccountValues</v>
      </c>
      <c r="BY4" s="27" t="str">
        <f>IFERROR(__xludf.DUMMYFUNCTION("""COMPUTED_VALUE"""),"ModifyMFPrefGeneralRuleValues")</f>
        <v>ModifyMFPrefGeneralRuleValues</v>
      </c>
      <c r="BZ4" s="27" t="str">
        <f>IFERROR(__xludf.DUMMYFUNCTION("""COMPUTED_VALUE"""),"SetMFPrefStrategyValues")</f>
        <v>SetMFPrefStrategyValues</v>
      </c>
      <c r="CA4" s="27" t="str">
        <f>IFERROR(__xludf.DUMMYFUNCTION("""COMPUTED_VALUE"""),"SetMFPrefGeneralRule")</f>
        <v>SetMFPrefGeneralRule</v>
      </c>
      <c r="CB4" s="27" t="str">
        <f>IFERROR(__xludf.DUMMYFUNCTION("""COMPUTED_VALUE"""),"SetMFPrefFundDistribution")</f>
        <v>SetMFPrefFundDistribution</v>
      </c>
      <c r="CC4" s="27" t="str">
        <f>IFERROR(__xludf.DUMMYFUNCTION("""COMPUTED_VALUE"""),"SetMFPreferencesDefaultRule")</f>
        <v>SetMFPreferencesDefaultRule</v>
      </c>
      <c r="CD4" s="27" t="str">
        <f>IFERROR(__xludf.DUMMYFUNCTION("""COMPUTED_VALUE"""),"SetMFPrefFundDefaultRule")</f>
        <v>SetMFPrefFundDefaultRule</v>
      </c>
      <c r="CE4" s="27" t="str">
        <f>IFERROR(__xludf.DUMMYFUNCTION("""COMPUTED_VALUE"""),"ClearPrefetchFilters")</f>
        <v>ClearPrefetchFilters</v>
      </c>
      <c r="CF4" s="27" t="str">
        <f>IFERROR(__xludf.DUMMYFUNCTION("""COMPUTED_VALUE"""),"ExpandCollapseAllUnallocated")</f>
        <v>ExpandCollapseAllUnallocated</v>
      </c>
      <c r="CG4" s="27" t="str">
        <f>IFERROR(__xludf.DUMMYFUNCTION("""COMPUTED_VALUE"""),"ExpandCollapseAllAllocated")</f>
        <v>ExpandCollapseAllAllocated</v>
      </c>
      <c r="CH4" s="27" t="str">
        <f>IFERROR(__xludf.DUMMYFUNCTION("""COMPUTED_VALUE"""),"GenerateCashTransaction")</f>
        <v>GenerateCashTransaction</v>
      </c>
      <c r="CI4" s="27" t="str">
        <f>IFERROR(__xludf.DUMMYFUNCTION("""COMPUTED_VALUE"""),"SaveAllocation")</f>
        <v>SaveAllocation</v>
      </c>
      <c r="CJ4" s="27" t="str">
        <f>IFERROR(__xludf.DUMMYFUNCTION("""COMPUTED_VALUE"""),"UnallocateWithOutSave")</f>
        <v>UnallocateWithOutSave</v>
      </c>
      <c r="CK4" s="27" t="str">
        <f>IFERROR(__xludf.DUMMYFUNCTION("""COMPUTED_VALUE"""),"EditUnallocatedGrid")</f>
        <v>EditUnallocatedGrid</v>
      </c>
      <c r="CL4" s="27" t="str">
        <f>IFERROR(__xludf.DUMMYFUNCTION("""COMPUTED_VALUE"""),"EditAllocatedGrid")</f>
        <v>EditAllocatedGrid</v>
      </c>
      <c r="CM4" s="27" t="str">
        <f>IFERROR(__xludf.DUMMYFUNCTION("""COMPUTED_VALUE"""),"SaveLayoutAllocatedGrid")</f>
        <v>SaveLayoutAllocatedGrid</v>
      </c>
      <c r="CN4" s="27" t="str">
        <f>IFERROR(__xludf.DUMMYFUNCTION("""COMPUTED_VALUE"""),"SaveLayoutUnallocatedGrid")</f>
        <v>SaveLayoutUnallocatedGrid</v>
      </c>
      <c r="CO4" s="27" t="str">
        <f>IFERROR(__xludf.DUMMYFUNCTION("""COMPUTED_VALUE"""),"SaveLayoutAllocationUI")</f>
        <v>SaveLayoutAllocationUI</v>
      </c>
      <c r="CP4" s="27" t="str">
        <f>IFERROR(__xludf.DUMMYFUNCTION("""COMPUTED_VALUE"""),"ClearFiltersAllocatedGrid")</f>
        <v>ClearFiltersAllocatedGrid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IFERROR(__xludf.DUMMYFUNCTION("""COMPUTED_VALUE"""),"VerifyLayoutAllocatedGrid")</f>
        <v>VerifyLayoutAllocatedGrid</v>
      </c>
      <c r="CS4" s="27" t="str">
        <f>IFERROR(__xludf.DUMMYFUNCTION("""COMPUTED_VALUE"""),"VerifyLayoutUnallocatedGrid")</f>
        <v>VerifyLayoutUnallocatedGrid</v>
      </c>
      <c r="CT4" s="27" t="str">
        <f>IFERROR(__xludf.DUMMYFUNCTION("""COMPUTED_VALUE"""),"CleanUp")</f>
        <v>CleanUp</v>
      </c>
      <c r="CU4" s="27" t="str">
        <f>IFERROR(__xludf.DUMMYFUNCTION("""COMPUTED_VALUE"""),"CheckAllocatedTaxlots")</f>
        <v>CheckAllocatedTaxlots</v>
      </c>
      <c r="CV4" s="27" t="str">
        <f>IFERROR(__xludf.DUMMYFUNCTION("""COMPUTED_VALUE"""),"DisableChecksideForAsset")</f>
        <v>DisableChecksideForAsset</v>
      </c>
      <c r="CW4" s="27" t="str">
        <f>IFERROR(__xludf.DUMMYFUNCTION("""COMPUTED_VALUE"""),"DisableChecksideForAccount")</f>
        <v>DisableChecksideForAccount</v>
      </c>
      <c r="CX4" s="27" t="str">
        <f>IFERROR(__xludf.DUMMYFUNCTION("""COMPUTED_VALUE"""),"DisableChecksideForCounterParty")</f>
        <v>DisableChecksideForCounterParty</v>
      </c>
      <c r="CY4" s="27" t="str">
        <f>IFERROR(__xludf.DUMMYFUNCTION("""COMPUTED_VALUE"""),"DisableCheckside")</f>
        <v>DisableCheckside</v>
      </c>
      <c r="CZ4" s="27" t="str">
        <f>IFERROR(__xludf.DUMMYFUNCTION("""COMPUTED_VALUE"""),"ApplyMasterFundFilter")</f>
        <v>ApplyMasterFundFilter</v>
      </c>
      <c r="DA4" s="27" t="str">
        <f>IFERROR(__xludf.DUMMYFUNCTION("""COMPUTED_VALUE"""),"ShowMasterFundOnTT")</f>
        <v>ShowMasterFundOnTT</v>
      </c>
      <c r="DB4" s="27" t="str">
        <f>IFERROR(__xludf.DUMMYFUNCTION("""COMPUTED_VALUE"""),"ShowMasterFundAsClient")</f>
        <v>ShowMasterFundAsClient</v>
      </c>
      <c r="DC4" s="27" t="str">
        <f>IFERROR(__xludf.DUMMYFUNCTION("""COMPUTED_VALUE"""),"SetBrokerAccountMapping")</f>
        <v>SetBrokerAccountMapping</v>
      </c>
      <c r="DD4" s="27" t="str">
        <f>IFERROR(__xludf.DUMMYFUNCTION("""COMPUTED_VALUE"""),"EditUnallocatedGridWPF")</f>
        <v>EditUnallocatedGridWPF</v>
      </c>
      <c r="DE4" s="27" t="str">
        <f>IFERROR(__xludf.DUMMYFUNCTION("""COMPUTED_VALUE"""),"EditAllocatedGridWPF")</f>
        <v>EditAllocatedGridWPF</v>
      </c>
      <c r="DF4" s="27" t="str">
        <f>IFERROR(__xludf.DUMMYFUNCTION("""COMPUTED_VALUE"""),"EditAllocatedGridTaxlot")</f>
        <v>EditAllocatedGridTaxlot</v>
      </c>
      <c r="DG4" s="27" t="str">
        <f>IFERROR(__xludf.DUMMYFUNCTION("""COMPUTED_VALUE"""),"ExpandCollapseAllocatedGrid")</f>
        <v>ExpandCollapseAllocatedGrid</v>
      </c>
      <c r="DH4" s="27" t="str">
        <f>IFERROR(__xludf.DUMMYFUNCTION("""COMPUTED_VALUE"""),"ExpandCollapseUnallocatedGrid")</f>
        <v>ExpandCollapseUnallocatedGrid</v>
      </c>
      <c r="DI4" s="27" t="str">
        <f>IFERROR(__xludf.DUMMYFUNCTION("""COMPUTED_VALUE"""),"SetTradeAttributePreferences")</f>
        <v>SetTradeAttributePreferences</v>
      </c>
      <c r="DJ4" s="27" t="str">
        <f>IFERROR(__xludf.DUMMYFUNCTION("""COMPUTED_VALUE"""),"EnterCustomAllocatePreference")</f>
        <v>EnterCustomAllocatePreference</v>
      </c>
      <c r="DK4" s="27" t="str">
        <f>IFERROR(__xludf.DUMMYFUNCTION("""COMPUTED_VALUE"""),"SetAutoGroupingPreferences")</f>
        <v>SetAutoGroupingPreferences</v>
      </c>
      <c r="DL4" s="27" t="str">
        <f>IFERROR(__xludf.DUMMYFUNCTION("""COMPUTED_VALUE"""),"SetAutoGroupingAccount")</f>
        <v>SetAutoGroupingAccount</v>
      </c>
      <c r="DM4" s="27" t="str">
        <f>IFERROR(__xludf.DUMMYFUNCTION("""COMPUTED_VALUE"""),"SetAvgPriceRounding")</f>
        <v>SetAvgPriceRounding</v>
      </c>
      <c r="DN4" s="27" t="str">
        <f>IFERROR(__xludf.DUMMYFUNCTION("""COMPUTED_VALUE"""),"IsAllocationOpen")</f>
        <v>IsAllocationOpen</v>
      </c>
      <c r="DO4" s="27" t="str">
        <f>IFERROR(__xludf.DUMMYFUNCTION("""COMPUTED_VALUE"""),"AllocationAuditTrail")</f>
        <v>AllocationAuditTrail</v>
      </c>
      <c r="DP4" s="27" t="str">
        <f>IFERROR(__xludf.DUMMYFUNCTION("""COMPUTED_VALUE"""),"GetAuditTrailData")</f>
        <v>GetAuditTrailData</v>
      </c>
      <c r="DQ4" s="27" t="str">
        <f>IFERROR(__xludf.DUMMYFUNCTION("""COMPUTED_VALUE"""),"CheckAuditTrailData")</f>
        <v>CheckAuditTrailData</v>
      </c>
      <c r="DR4" s="27" t="str">
        <f>IFERROR(__xludf.DUMMYFUNCTION("""COMPUTED_VALUE"""),"Unallocate")</f>
        <v>Unallocate</v>
      </c>
      <c r="DS4" s="27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7" t="str">
        <f>IFERROR(__xludf.DUMMYFUNCTION("""COMPUTED_VALUE"""),"CheckPreferences")</f>
        <v>CheckPreferences</v>
      </c>
      <c r="DV4" s="27" t="str">
        <f>IFERROR(__xludf.DUMMYFUNCTION("""COMPUTED_VALUE"""),"AllocateWithPopUp")</f>
        <v>AllocateWithPopUp</v>
      </c>
      <c r="DW4" s="27" t="str">
        <f>IFERROR(__xludf.DUMMYFUNCTION("""COMPUTED_VALUE"""),"SelectAllRowsAllocated")</f>
        <v>SelectAllRowsAllocated</v>
      </c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IFERROR(__xludf.DUMMYFUNCTION("""COMPUTED_VALUE"""),"Net Amount(Local)")</f>
        <v>Net Amount(Local)</v>
      </c>
      <c r="C5" s="29" t="str">
        <f>IFERROR(__xludf.DUMMYFUNCTION("""COMPUTED_VALUE"""),"Net Amount(Base)")</f>
        <v>Net Amount(Base)</v>
      </c>
      <c r="D5" s="29" t="str">
        <f>IFERROR(__xludf.DUMMYFUNCTION("""COMPUTED_VALUE"""),"Principal Amount(Local)")</f>
        <v>Principal Amount(Local)</v>
      </c>
      <c r="E5" s="29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9" t="str">
        <f>IFERROR(__xludf.DUMMYFUNCTION("""COMPUTED_VALUE"""),"TaxLotID")</f>
        <v>TaxLotID</v>
      </c>
      <c r="H5" s="29" t="str">
        <f>IFERROR(__xludf.DUMMYFUNCTION("""COMPUTED_VALUE"""),"Settlement Currency")</f>
        <v>Settlement Currency</v>
      </c>
      <c r="I5" s="29" t="str">
        <f>IFERROR(__xludf.DUMMYFUNCTION("""COMPUTED_VALUE"""),"Trade Attribute 1")</f>
        <v>Trade Attribute 1</v>
      </c>
      <c r="J5" s="29" t="str">
        <f>IFERROR(__xludf.DUMMYFUNCTION("""COMPUTED_VALUE"""),"Trade Attribute 2")</f>
        <v>Trade Attribute 2</v>
      </c>
      <c r="K5" s="29" t="str">
        <f>IFERROR(__xludf.DUMMYFUNCTION("""COMPUTED_VALUE"""),"Trade Attribute 3")</f>
        <v>Trade Attribute 3</v>
      </c>
      <c r="L5" s="29" t="str">
        <f>IFERROR(__xludf.DUMMYFUNCTION("""COMPUTED_VALUE"""),"Trade Attribute 4")</f>
        <v>Trade Attribute 4</v>
      </c>
      <c r="M5" s="29" t="str">
        <f>IFERROR(__xludf.DUMMYFUNCTION("""COMPUTED_VALUE"""),"Trade Attribute 5")</f>
        <v>Trade Attribute 5</v>
      </c>
      <c r="N5" s="29" t="str">
        <f>IFERROR(__xludf.DUMMYFUNCTION("""COMPUTED_VALUE"""),"Trade Attribute 6")</f>
        <v>Trade Attribute 6</v>
      </c>
      <c r="O5" s="29" t="str">
        <f>IFERROR(__xludf.DUMMYFUNCTION("""COMPUTED_VALUE"""),"Account Name")</f>
        <v>Account Name</v>
      </c>
      <c r="P5" s="29" t="str">
        <f>IFERROR(__xludf.DUMMYFUNCTION("""COMPUTED_VALUE"""),"Strategy Name")</f>
        <v>Strategy Name</v>
      </c>
      <c r="Q5" s="29" t="str">
        <f>IFERROR(__xludf.DUMMYFUNCTION("""COMPUTED_VALUE"""),"Percentage")</f>
        <v>Percentage</v>
      </c>
      <c r="R5" s="29" t="str">
        <f>IFERROR(__xludf.DUMMYFUNCTION("""COMPUTED_VALUE"""),"Taxlot Qty")</f>
        <v>Taxlot Qty</v>
      </c>
      <c r="S5" s="29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B6" s="51">
        <v>385.320228</v>
      </c>
      <c r="C6" s="51">
        <v>385.320228</v>
      </c>
      <c r="D6" s="51">
        <v>380.0</v>
      </c>
      <c r="E6" s="51">
        <v>380.0</v>
      </c>
      <c r="F6" s="52" t="s">
        <v>58</v>
      </c>
      <c r="G6" s="51"/>
      <c r="H6" s="52" t="s">
        <v>49</v>
      </c>
      <c r="I6" s="53"/>
      <c r="J6" s="53"/>
      <c r="K6" s="53"/>
      <c r="L6" s="53"/>
      <c r="M6" s="53"/>
      <c r="N6" s="53"/>
      <c r="O6" s="52" t="s">
        <v>22</v>
      </c>
      <c r="P6" s="52" t="s">
        <v>24</v>
      </c>
      <c r="Q6" s="51">
        <v>38.0</v>
      </c>
      <c r="R6" s="51">
        <v>38.0</v>
      </c>
      <c r="S6" s="51">
        <v>0.0</v>
      </c>
      <c r="T6" s="51">
        <v>0.0</v>
      </c>
      <c r="U6" s="51">
        <v>0.0</v>
      </c>
      <c r="V6" s="51">
        <v>0.0</v>
      </c>
      <c r="W6" s="51"/>
      <c r="X6" s="51"/>
      <c r="Y6" s="51"/>
      <c r="Z6" s="51"/>
      <c r="AA6" s="51"/>
      <c r="AB6" s="51">
        <v>0.0</v>
      </c>
      <c r="AC6" s="51">
        <v>0.0</v>
      </c>
      <c r="AD6" s="51">
        <v>0.0</v>
      </c>
      <c r="AE6" s="51">
        <v>0.0</v>
      </c>
      <c r="AF6" s="52" t="s">
        <v>48</v>
      </c>
      <c r="AG6" s="53"/>
      <c r="AH6" s="53"/>
      <c r="AI6" s="51">
        <v>10.0</v>
      </c>
      <c r="AJ6" s="51">
        <v>0.0</v>
      </c>
      <c r="AK6" s="51">
        <v>1.0</v>
      </c>
      <c r="AL6" s="51">
        <v>3.0</v>
      </c>
    </row>
    <row r="7" ht="15.75" customHeight="1">
      <c r="B7" s="51">
        <v>121.680072</v>
      </c>
      <c r="C7" s="51">
        <v>121.680072</v>
      </c>
      <c r="D7" s="51">
        <v>120.0</v>
      </c>
      <c r="E7" s="51">
        <v>120.0</v>
      </c>
      <c r="F7" s="52" t="s">
        <v>58</v>
      </c>
      <c r="G7" s="51"/>
      <c r="H7" s="52" t="s">
        <v>49</v>
      </c>
      <c r="I7" s="53"/>
      <c r="J7" s="53"/>
      <c r="K7" s="53"/>
      <c r="L7" s="53"/>
      <c r="M7" s="53"/>
      <c r="N7" s="53"/>
      <c r="O7" s="52" t="s">
        <v>22</v>
      </c>
      <c r="P7" s="52" t="s">
        <v>25</v>
      </c>
      <c r="Q7" s="51">
        <v>12.0</v>
      </c>
      <c r="R7" s="51">
        <v>12.0</v>
      </c>
      <c r="S7" s="51">
        <v>0.0</v>
      </c>
      <c r="T7" s="51">
        <v>0.0</v>
      </c>
      <c r="U7" s="51">
        <v>0.0</v>
      </c>
      <c r="V7" s="51">
        <v>0.0</v>
      </c>
      <c r="W7" s="51"/>
      <c r="X7" s="51"/>
      <c r="Y7" s="51"/>
      <c r="Z7" s="51"/>
      <c r="AA7" s="51"/>
      <c r="AB7" s="51">
        <v>0.0</v>
      </c>
      <c r="AC7" s="51">
        <v>0.0</v>
      </c>
      <c r="AD7" s="51">
        <v>0.0</v>
      </c>
      <c r="AE7" s="51">
        <v>0.0</v>
      </c>
      <c r="AF7" s="52" t="s">
        <v>48</v>
      </c>
      <c r="AG7" s="53"/>
      <c r="AH7" s="53"/>
      <c r="AI7" s="51">
        <v>10.0</v>
      </c>
      <c r="AJ7" s="51">
        <v>0.0</v>
      </c>
      <c r="AK7" s="51">
        <v>1.0</v>
      </c>
      <c r="AL7" s="51">
        <v>3.0</v>
      </c>
    </row>
    <row r="8" ht="15.75" customHeight="1">
      <c r="B8" s="51">
        <v>253.50015</v>
      </c>
      <c r="C8" s="51">
        <v>253.50015</v>
      </c>
      <c r="D8" s="51">
        <v>250.0</v>
      </c>
      <c r="E8" s="51">
        <v>250.0</v>
      </c>
      <c r="F8" s="52" t="s">
        <v>58</v>
      </c>
      <c r="G8" s="51"/>
      <c r="H8" s="52" t="s">
        <v>49</v>
      </c>
      <c r="I8" s="53"/>
      <c r="J8" s="53"/>
      <c r="K8" s="53"/>
      <c r="L8" s="53"/>
      <c r="M8" s="53"/>
      <c r="N8" s="53"/>
      <c r="O8" s="52" t="s">
        <v>21</v>
      </c>
      <c r="P8" s="52" t="s">
        <v>24</v>
      </c>
      <c r="Q8" s="51">
        <v>25.0</v>
      </c>
      <c r="R8" s="51">
        <v>25.0</v>
      </c>
      <c r="S8" s="51">
        <v>0.0</v>
      </c>
      <c r="T8" s="51">
        <v>0.0</v>
      </c>
      <c r="U8" s="51">
        <v>0.0</v>
      </c>
      <c r="V8" s="51">
        <v>0.0</v>
      </c>
      <c r="W8" s="51"/>
      <c r="X8" s="51"/>
      <c r="Y8" s="51"/>
      <c r="Z8" s="51"/>
      <c r="AA8" s="51"/>
      <c r="AB8" s="51">
        <v>0.0</v>
      </c>
      <c r="AC8" s="51">
        <v>0.0</v>
      </c>
      <c r="AD8" s="51">
        <v>0.0</v>
      </c>
      <c r="AE8" s="51">
        <v>0.0</v>
      </c>
      <c r="AF8" s="52" t="s">
        <v>48</v>
      </c>
      <c r="AG8" s="53"/>
      <c r="AH8" s="53"/>
      <c r="AI8" s="51">
        <v>10.0</v>
      </c>
      <c r="AJ8" s="51">
        <v>0.0</v>
      </c>
      <c r="AK8" s="51">
        <v>1.0</v>
      </c>
      <c r="AL8" s="51">
        <v>3.0</v>
      </c>
    </row>
    <row r="9" ht="15.75" customHeight="1">
      <c r="B9" s="51">
        <v>253.50015</v>
      </c>
      <c r="C9" s="51">
        <v>253.50015</v>
      </c>
      <c r="D9" s="51">
        <v>250.0</v>
      </c>
      <c r="E9" s="51">
        <v>250.0</v>
      </c>
      <c r="F9" s="52" t="s">
        <v>58</v>
      </c>
      <c r="G9" s="51"/>
      <c r="H9" s="52" t="s">
        <v>49</v>
      </c>
      <c r="I9" s="53"/>
      <c r="J9" s="53"/>
      <c r="K9" s="53"/>
      <c r="L9" s="53"/>
      <c r="M9" s="53"/>
      <c r="N9" s="53"/>
      <c r="O9" s="52" t="s">
        <v>21</v>
      </c>
      <c r="P9" s="52" t="s">
        <v>25</v>
      </c>
      <c r="Q9" s="51">
        <v>25.0</v>
      </c>
      <c r="R9" s="51">
        <v>25.0</v>
      </c>
      <c r="S9" s="51">
        <v>0.0</v>
      </c>
      <c r="T9" s="51">
        <v>0.0</v>
      </c>
      <c r="U9" s="51">
        <v>0.0</v>
      </c>
      <c r="V9" s="51">
        <v>0.0</v>
      </c>
      <c r="W9" s="51"/>
      <c r="X9" s="51"/>
      <c r="Y9" s="51"/>
      <c r="Z9" s="51"/>
      <c r="AA9" s="51"/>
      <c r="AB9" s="51">
        <v>0.0</v>
      </c>
      <c r="AC9" s="51">
        <v>0.0</v>
      </c>
      <c r="AD9" s="51">
        <v>0.0</v>
      </c>
      <c r="AE9" s="51">
        <v>0.0</v>
      </c>
      <c r="AF9" s="52" t="s">
        <v>48</v>
      </c>
      <c r="AG9" s="53"/>
      <c r="AH9" s="53"/>
      <c r="AI9" s="51">
        <v>10.0</v>
      </c>
      <c r="AJ9" s="51">
        <v>0.0</v>
      </c>
      <c r="AK9" s="51">
        <v>1.0</v>
      </c>
      <c r="AL9" s="51">
        <v>3.0</v>
      </c>
    </row>
    <row r="10" ht="15.75" customHeight="1">
      <c r="B10" s="51">
        <v>404.781594545455</v>
      </c>
      <c r="C10" s="51">
        <v>404.781594545455</v>
      </c>
      <c r="D10" s="51">
        <v>410.0</v>
      </c>
      <c r="E10" s="51">
        <v>410.0</v>
      </c>
      <c r="F10" s="52" t="s">
        <v>58</v>
      </c>
      <c r="G10" s="51"/>
      <c r="H10" s="52" t="s">
        <v>49</v>
      </c>
      <c r="I10" s="53"/>
      <c r="J10" s="53"/>
      <c r="K10" s="53"/>
      <c r="L10" s="53"/>
      <c r="M10" s="53"/>
      <c r="N10" s="53"/>
      <c r="O10" s="52" t="s">
        <v>22</v>
      </c>
      <c r="P10" s="52" t="s">
        <v>24</v>
      </c>
      <c r="Q10" s="51">
        <v>37.27272797</v>
      </c>
      <c r="R10" s="51">
        <v>41.0</v>
      </c>
      <c r="S10" s="51">
        <v>0.0</v>
      </c>
      <c r="T10" s="51">
        <v>0.0</v>
      </c>
      <c r="U10" s="51">
        <v>0.0</v>
      </c>
      <c r="V10" s="51">
        <v>0.0</v>
      </c>
      <c r="W10" s="51"/>
      <c r="X10" s="51"/>
      <c r="Y10" s="51"/>
      <c r="Z10" s="51"/>
      <c r="AA10" s="51"/>
      <c r="AB10" s="51">
        <v>0.0</v>
      </c>
      <c r="AC10" s="51">
        <v>0.0</v>
      </c>
      <c r="AD10" s="51">
        <v>0.0</v>
      </c>
      <c r="AE10" s="51">
        <v>0.0</v>
      </c>
      <c r="AF10" s="52" t="s">
        <v>48</v>
      </c>
      <c r="AG10" s="53"/>
      <c r="AH10" s="53"/>
      <c r="AI10" s="51">
        <v>10.0</v>
      </c>
      <c r="AJ10" s="51">
        <v>0.0</v>
      </c>
      <c r="AK10" s="51">
        <v>1.0</v>
      </c>
      <c r="AL10" s="51">
        <v>3.0</v>
      </c>
    </row>
    <row r="11" ht="15.75" customHeight="1">
      <c r="B11" s="51">
        <v>138.218105454545</v>
      </c>
      <c r="C11" s="51">
        <v>138.218105454545</v>
      </c>
      <c r="D11" s="51">
        <v>140.0</v>
      </c>
      <c r="E11" s="51">
        <v>140.0</v>
      </c>
      <c r="F11" s="52" t="s">
        <v>58</v>
      </c>
      <c r="G11" s="51"/>
      <c r="H11" s="52" t="s">
        <v>49</v>
      </c>
      <c r="I11" s="53"/>
      <c r="J11" s="53"/>
      <c r="K11" s="53"/>
      <c r="L11" s="53"/>
      <c r="M11" s="53"/>
      <c r="N11" s="53"/>
      <c r="O11" s="52" t="s">
        <v>22</v>
      </c>
      <c r="P11" s="52" t="s">
        <v>25</v>
      </c>
      <c r="Q11" s="51">
        <v>12.72727299</v>
      </c>
      <c r="R11" s="51">
        <v>14.0</v>
      </c>
      <c r="S11" s="51">
        <v>0.0</v>
      </c>
      <c r="T11" s="51">
        <v>0.0</v>
      </c>
      <c r="U11" s="51">
        <v>0.0</v>
      </c>
      <c r="V11" s="51">
        <v>0.0</v>
      </c>
      <c r="W11" s="51"/>
      <c r="X11" s="51"/>
      <c r="Y11" s="51"/>
      <c r="Z11" s="51"/>
      <c r="AA11" s="51"/>
      <c r="AB11" s="51">
        <v>0.0</v>
      </c>
      <c r="AC11" s="51">
        <v>0.0</v>
      </c>
      <c r="AD11" s="51">
        <v>0.0</v>
      </c>
      <c r="AE11" s="51">
        <v>0.0</v>
      </c>
      <c r="AF11" s="52" t="s">
        <v>48</v>
      </c>
      <c r="AG11" s="53"/>
      <c r="AH11" s="53"/>
      <c r="AI11" s="51">
        <v>10.0</v>
      </c>
      <c r="AJ11" s="51">
        <v>0.0</v>
      </c>
      <c r="AK11" s="51">
        <v>1.0</v>
      </c>
      <c r="AL11" s="51">
        <v>3.0</v>
      </c>
    </row>
    <row r="12" ht="15.75" customHeight="1">
      <c r="B12" s="51">
        <v>276.436210909091</v>
      </c>
      <c r="C12" s="51">
        <v>276.436210909091</v>
      </c>
      <c r="D12" s="51">
        <v>280.0</v>
      </c>
      <c r="E12" s="51">
        <v>280.0</v>
      </c>
      <c r="F12" s="52" t="s">
        <v>58</v>
      </c>
      <c r="G12" s="51"/>
      <c r="H12" s="52" t="s">
        <v>49</v>
      </c>
      <c r="I12" s="53"/>
      <c r="J12" s="53"/>
      <c r="K12" s="53"/>
      <c r="L12" s="53"/>
      <c r="M12" s="53"/>
      <c r="N12" s="53"/>
      <c r="O12" s="52" t="s">
        <v>21</v>
      </c>
      <c r="P12" s="52" t="s">
        <v>24</v>
      </c>
      <c r="Q12" s="51">
        <v>25.45454597</v>
      </c>
      <c r="R12" s="51">
        <v>28.0</v>
      </c>
      <c r="S12" s="51">
        <v>0.0</v>
      </c>
      <c r="T12" s="51">
        <v>0.0</v>
      </c>
      <c r="U12" s="51">
        <v>0.0</v>
      </c>
      <c r="V12" s="51">
        <v>0.0</v>
      </c>
      <c r="W12" s="51"/>
      <c r="X12" s="51"/>
      <c r="Y12" s="51"/>
      <c r="Z12" s="51"/>
      <c r="AA12" s="51"/>
      <c r="AB12" s="51">
        <v>0.0</v>
      </c>
      <c r="AC12" s="51">
        <v>0.0</v>
      </c>
      <c r="AD12" s="51">
        <v>0.0</v>
      </c>
      <c r="AE12" s="51">
        <v>0.0</v>
      </c>
      <c r="AF12" s="52" t="s">
        <v>48</v>
      </c>
      <c r="AG12" s="53"/>
      <c r="AH12" s="53"/>
      <c r="AI12" s="51">
        <v>10.0</v>
      </c>
      <c r="AJ12" s="51">
        <v>0.0</v>
      </c>
      <c r="AK12" s="51">
        <v>1.0</v>
      </c>
      <c r="AL12" s="51">
        <v>3.0</v>
      </c>
    </row>
    <row r="13" ht="15.75" customHeight="1">
      <c r="B13" s="51">
        <v>266.563489090909</v>
      </c>
      <c r="C13" s="51">
        <v>266.563489090909</v>
      </c>
      <c r="D13" s="51">
        <v>270.0</v>
      </c>
      <c r="E13" s="51">
        <v>270.0</v>
      </c>
      <c r="F13" s="52" t="s">
        <v>58</v>
      </c>
      <c r="G13" s="51"/>
      <c r="H13" s="52" t="s">
        <v>49</v>
      </c>
      <c r="I13" s="53"/>
      <c r="J13" s="53"/>
      <c r="K13" s="53"/>
      <c r="L13" s="53"/>
      <c r="M13" s="53"/>
      <c r="N13" s="53"/>
      <c r="O13" s="52" t="s">
        <v>21</v>
      </c>
      <c r="P13" s="52" t="s">
        <v>25</v>
      </c>
      <c r="Q13" s="51">
        <v>24.54545403</v>
      </c>
      <c r="R13" s="51">
        <v>27.0</v>
      </c>
      <c r="S13" s="51">
        <v>0.0</v>
      </c>
      <c r="T13" s="51">
        <v>0.0</v>
      </c>
      <c r="U13" s="51">
        <v>0.0</v>
      </c>
      <c r="V13" s="51">
        <v>0.0</v>
      </c>
      <c r="W13" s="51"/>
      <c r="X13" s="51"/>
      <c r="Y13" s="51"/>
      <c r="Z13" s="51"/>
      <c r="AA13" s="51"/>
      <c r="AB13" s="51">
        <v>0.0</v>
      </c>
      <c r="AC13" s="51">
        <v>0.0</v>
      </c>
      <c r="AD13" s="51">
        <v>0.0</v>
      </c>
      <c r="AE13" s="51">
        <v>0.0</v>
      </c>
      <c r="AF13" s="52" t="s">
        <v>48</v>
      </c>
      <c r="AG13" s="53"/>
      <c r="AH13" s="53"/>
      <c r="AI13" s="51">
        <v>10.0</v>
      </c>
      <c r="AJ13" s="51">
        <v>0.0</v>
      </c>
      <c r="AK13" s="51">
        <v>1.0</v>
      </c>
      <c r="AL13" s="51">
        <v>3.0</v>
      </c>
    </row>
    <row r="14" ht="15.75" customHeight="1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7" t="str">
        <f>IFERROR(__xludf.DUMMYFUNCTION("""COMPUTED_VALUE"""),"ShowSummaryToolFromPM")</f>
        <v>ShowSummaryToolFromPM</v>
      </c>
      <c r="Q4" s="27" t="str">
        <f>IFERROR(__xludf.DUMMYFUNCTION("""COMPUTED_VALUE"""),"HideSummaryToolFromPM")</f>
        <v>HideSummaryToolFromPM</v>
      </c>
      <c r="R4" s="27" t="str">
        <f>IFERROR(__xludf.DUMMYFUNCTION("""COMPUTED_VALUE"""),"CloseAccountPositionFromPM")</f>
        <v>CloseAccountPositionFromPM</v>
      </c>
      <c r="S4" s="27" t="str">
        <f>IFERROR(__xludf.DUMMYFUNCTION("""COMPUTED_VALUE"""),"CloseSelectedTaxlotsFromPM")</f>
        <v>CloseSelectedTaxlotsFromPM</v>
      </c>
      <c r="T4" s="27" t="str">
        <f>IFERROR(__xludf.DUMMYFUNCTION("""COMPUTED_VALUE"""),"ExpandCollapsePM")</f>
        <v>ExpandCollapsePM</v>
      </c>
      <c r="U4" s="27" t="str">
        <f>IFERROR(__xludf.DUMMYFUNCTION("""COMPUTED_VALUE"""),"AddCustomViewPM")</f>
        <v>AddCustomViewPM</v>
      </c>
      <c r="V4" s="27" t="str">
        <f>IFERROR(__xludf.DUMMYFUNCTION("""COMPUTED_VALUE"""),"AddCustomViewRightClickPM")</f>
        <v>AddCustomViewRightClickPM</v>
      </c>
      <c r="W4" s="27" t="str">
        <f>IFERROR(__xludf.DUMMYFUNCTION("""COMPUTED_VALUE"""),"RenameCustomViewPM")</f>
        <v>RenameCustomViewPM</v>
      </c>
      <c r="X4" s="27" t="str">
        <f>IFERROR(__xludf.DUMMYFUNCTION("""COMPUTED_VALUE"""),"DeleteCustomViewPM")</f>
        <v>DeleteCustomViewPM</v>
      </c>
      <c r="Y4" s="27" t="str">
        <f>IFERROR(__xludf.DUMMYFUNCTION("""COMPUTED_VALUE"""),"OpenCreateTransactionFromPM")</f>
        <v>OpenCreateTransactionFromPM</v>
      </c>
      <c r="Z4" s="27" t="str">
        <f>IFERROR(__xludf.DUMMYFUNCTION("""COMPUTED_VALUE"""),"RemoveGroupingFromPM")</f>
        <v>RemoveGroupingFromPM</v>
      </c>
      <c r="AA4" s="27" t="str">
        <f>IFERROR(__xludf.DUMMYFUNCTION("""COMPUTED_VALUE"""),"IncreasePositionFromPM")</f>
        <v>IncreasePositionFromPM</v>
      </c>
      <c r="AB4" s="27" t="str">
        <f>IFERROR(__xludf.DUMMYFUNCTION("""COMPUTED_VALUE"""),"CheckPMLiveFeed")</f>
        <v>CheckPMLiveFeed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  <c r="AMK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</row>
    <row r="6" ht="15.75" customHeight="1">
      <c r="A6" s="8"/>
      <c r="B6" s="8"/>
      <c r="C6" s="53" t="s">
        <v>31</v>
      </c>
      <c r="D6" s="53">
        <v>38.0</v>
      </c>
      <c r="E6" s="53" t="s">
        <v>22</v>
      </c>
      <c r="F6" s="53" t="s">
        <v>61</v>
      </c>
      <c r="G6" s="53">
        <v>10.0</v>
      </c>
      <c r="H6" s="53" t="s">
        <v>62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53">
        <v>-380.0</v>
      </c>
      <c r="O6" s="53" t="s">
        <v>63</v>
      </c>
      <c r="P6" s="53" t="s">
        <v>64</v>
      </c>
      <c r="Q6" s="53">
        <v>-380.0</v>
      </c>
      <c r="R6" s="53" t="s">
        <v>47</v>
      </c>
      <c r="S6" s="53" t="s">
        <v>24</v>
      </c>
      <c r="T6" s="53" t="s">
        <v>45</v>
      </c>
      <c r="U6" s="53" t="s">
        <v>54</v>
      </c>
      <c r="V6" s="53" t="s">
        <v>50</v>
      </c>
      <c r="W6" s="53" t="s">
        <v>49</v>
      </c>
      <c r="X6" s="53">
        <v>1.0</v>
      </c>
      <c r="Y6" s="53">
        <v>1.0</v>
      </c>
      <c r="Z6" s="53"/>
      <c r="AA6" s="53"/>
      <c r="AB6" s="53">
        <v>0.0</v>
      </c>
      <c r="AC6" s="53">
        <v>0.0</v>
      </c>
      <c r="AD6" s="53">
        <v>0.0</v>
      </c>
      <c r="AE6" s="53">
        <v>0.0</v>
      </c>
      <c r="AF6" s="53">
        <v>38.0</v>
      </c>
      <c r="AG6" s="53">
        <v>0.0</v>
      </c>
      <c r="AH6" s="53">
        <v>0.0</v>
      </c>
      <c r="AI6" s="53">
        <v>0.0</v>
      </c>
      <c r="AJ6" s="53">
        <v>0.0</v>
      </c>
      <c r="AK6" s="53">
        <v>-380.0</v>
      </c>
      <c r="AL6" s="53">
        <v>1.0</v>
      </c>
      <c r="AM6" s="53">
        <v>1.0</v>
      </c>
      <c r="AN6" s="53" t="s">
        <v>32</v>
      </c>
      <c r="AO6" s="53"/>
      <c r="AP6" s="53" t="s">
        <v>65</v>
      </c>
      <c r="AQ6" s="53" t="s">
        <v>31</v>
      </c>
      <c r="AR6" s="53">
        <v>0.0</v>
      </c>
      <c r="AS6" s="53"/>
      <c r="AT6" s="53"/>
      <c r="AU6" s="53"/>
      <c r="AV6" s="53"/>
      <c r="AW6" s="53">
        <v>-380.0</v>
      </c>
      <c r="AX6" s="53">
        <v>0.0</v>
      </c>
      <c r="AY6" s="53">
        <v>0.0</v>
      </c>
      <c r="AZ6" s="53">
        <v>0.0</v>
      </c>
      <c r="BA6" s="53">
        <v>-100.0</v>
      </c>
      <c r="BB6" s="53"/>
      <c r="BC6" s="53"/>
      <c r="BD6" s="53">
        <v>-380.0</v>
      </c>
      <c r="BE6" s="53"/>
      <c r="BF6" s="53"/>
      <c r="BG6" s="53"/>
      <c r="BH6" s="53"/>
      <c r="BI6" s="53">
        <v>5.0</v>
      </c>
      <c r="BJ6" s="53">
        <v>0.0</v>
      </c>
      <c r="BK6" s="53">
        <v>0.0</v>
      </c>
      <c r="BL6" s="53">
        <v>0.0</v>
      </c>
      <c r="BM6" s="53"/>
      <c r="BN6" s="53"/>
      <c r="BO6" s="53">
        <v>-380.0</v>
      </c>
      <c r="BP6" s="53">
        <v>0.0</v>
      </c>
      <c r="BQ6" s="53" t="s">
        <v>55</v>
      </c>
      <c r="BR6" s="53" t="s">
        <v>47</v>
      </c>
      <c r="BS6" s="53">
        <v>0.0</v>
      </c>
      <c r="BT6" s="53">
        <v>0.0</v>
      </c>
      <c r="BU6" s="53"/>
      <c r="BV6" s="53"/>
      <c r="BW6" s="53"/>
      <c r="BX6" s="53">
        <v>0.0</v>
      </c>
      <c r="BY6" s="53">
        <v>0.0</v>
      </c>
      <c r="BZ6" s="53">
        <v>0.0</v>
      </c>
      <c r="CA6" s="53">
        <v>0.0</v>
      </c>
      <c r="CB6" s="53"/>
      <c r="CC6" s="53"/>
      <c r="CD6" s="53">
        <v>-380.0</v>
      </c>
      <c r="CE6" s="53">
        <v>0.0</v>
      </c>
      <c r="CF6" s="53">
        <v>0.0</v>
      </c>
      <c r="CG6" s="53">
        <v>-380.0</v>
      </c>
      <c r="CH6" s="53">
        <v>-100.0</v>
      </c>
      <c r="CI6" s="53">
        <v>0.0</v>
      </c>
      <c r="CJ6" s="53">
        <v>0.0</v>
      </c>
      <c r="CK6" s="53" t="b">
        <v>0</v>
      </c>
      <c r="CL6" s="53"/>
      <c r="CM6" s="53"/>
      <c r="CN6" s="53"/>
      <c r="CO6" s="53"/>
      <c r="CP6" s="53"/>
      <c r="CQ6" s="53"/>
      <c r="CR6" s="53"/>
      <c r="CS6" s="53">
        <v>10.0</v>
      </c>
      <c r="CT6" s="53"/>
      <c r="CU6" s="53"/>
      <c r="CV6" s="53"/>
      <c r="CW6" s="53"/>
      <c r="CX6" s="53"/>
      <c r="CY6" s="53"/>
      <c r="CZ6" s="53"/>
      <c r="DA6" s="53">
        <v>0.0</v>
      </c>
      <c r="DB6" s="53">
        <v>0.0</v>
      </c>
      <c r="DC6" s="53"/>
      <c r="DD6" s="53">
        <v>38.0</v>
      </c>
      <c r="DE6" s="53">
        <v>0.0</v>
      </c>
      <c r="DF6" s="53">
        <v>0.0</v>
      </c>
      <c r="DG6" s="53">
        <v>0.0</v>
      </c>
      <c r="DH6" s="53" t="s">
        <v>64</v>
      </c>
      <c r="DI6" s="53">
        <v>0.0</v>
      </c>
      <c r="DJ6" s="53" t="s">
        <v>32</v>
      </c>
      <c r="DK6" s="53">
        <v>0.0</v>
      </c>
      <c r="DL6" s="53">
        <v>0.0</v>
      </c>
      <c r="DM6" s="53">
        <v>1.0</v>
      </c>
      <c r="DN6" s="53">
        <v>0.0</v>
      </c>
      <c r="DO6" s="53"/>
      <c r="DP6" s="53" t="s">
        <v>65</v>
      </c>
      <c r="DQ6" s="53" t="s">
        <v>66</v>
      </c>
      <c r="DR6" s="53" t="s">
        <v>67</v>
      </c>
      <c r="DS6" s="53" t="s">
        <v>66</v>
      </c>
      <c r="DT6" s="53" t="s">
        <v>66</v>
      </c>
      <c r="DU6" s="53" t="s">
        <v>68</v>
      </c>
      <c r="DV6" s="53" t="s">
        <v>66</v>
      </c>
      <c r="DW6" s="53" t="s">
        <v>66</v>
      </c>
      <c r="DX6" s="53" t="s">
        <v>66</v>
      </c>
      <c r="DY6" s="53" t="s">
        <v>66</v>
      </c>
      <c r="DZ6" s="53" t="s">
        <v>63</v>
      </c>
      <c r="EA6" s="53" t="s">
        <v>68</v>
      </c>
      <c r="EB6" s="53" t="s">
        <v>66</v>
      </c>
      <c r="EC6" s="53" t="s">
        <v>66</v>
      </c>
      <c r="ED6" s="53" t="s">
        <v>49</v>
      </c>
      <c r="EE6" s="53" t="s">
        <v>69</v>
      </c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53" t="s">
        <v>65</v>
      </c>
      <c r="EM6" s="53">
        <v>0.0</v>
      </c>
      <c r="EN6" s="53">
        <v>0.0</v>
      </c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 t="s">
        <v>44</v>
      </c>
      <c r="FB6" s="53"/>
      <c r="FC6" s="53"/>
      <c r="FD6" s="53"/>
      <c r="FE6" s="53"/>
      <c r="FF6" s="53"/>
      <c r="FG6" s="53"/>
      <c r="FH6" s="53"/>
    </row>
    <row r="7" ht="15.75" customHeight="1">
      <c r="C7" t="s">
        <v>31</v>
      </c>
      <c r="D7">
        <v>12.0</v>
      </c>
      <c r="E7" t="s">
        <v>22</v>
      </c>
      <c r="F7" t="s">
        <v>61</v>
      </c>
      <c r="G7">
        <v>10.0</v>
      </c>
      <c r="H7" t="s">
        <v>62</v>
      </c>
      <c r="I7">
        <v>0.0</v>
      </c>
      <c r="J7">
        <v>0.0</v>
      </c>
      <c r="K7">
        <v>0.0</v>
      </c>
      <c r="L7">
        <v>0.0</v>
      </c>
      <c r="M7">
        <v>0.0</v>
      </c>
      <c r="N7">
        <v>-120.0</v>
      </c>
      <c r="O7" t="s">
        <v>63</v>
      </c>
      <c r="P7" t="s">
        <v>64</v>
      </c>
      <c r="Q7">
        <v>-120.0</v>
      </c>
      <c r="R7" t="s">
        <v>47</v>
      </c>
      <c r="S7" t="s">
        <v>25</v>
      </c>
      <c r="T7" t="s">
        <v>45</v>
      </c>
      <c r="U7" t="s">
        <v>54</v>
      </c>
      <c r="V7" t="s">
        <v>50</v>
      </c>
      <c r="W7" t="s">
        <v>49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32</v>
      </c>
      <c r="AP7" t="s">
        <v>65</v>
      </c>
      <c r="AQ7" t="s">
        <v>31</v>
      </c>
      <c r="AR7">
        <v>0.0</v>
      </c>
      <c r="AW7">
        <v>-120.0</v>
      </c>
      <c r="AX7">
        <v>0.0</v>
      </c>
      <c r="AY7">
        <v>0.0</v>
      </c>
      <c r="AZ7">
        <v>0.0</v>
      </c>
      <c r="BA7">
        <v>-100.0</v>
      </c>
      <c r="BD7">
        <v>-120.0</v>
      </c>
      <c r="BI7">
        <v>5.0</v>
      </c>
      <c r="BJ7">
        <v>0.0</v>
      </c>
      <c r="BK7">
        <v>0.0</v>
      </c>
      <c r="BL7">
        <v>0.0</v>
      </c>
      <c r="BO7">
        <v>-120.0</v>
      </c>
      <c r="BP7">
        <v>0.0</v>
      </c>
      <c r="BQ7" t="s">
        <v>55</v>
      </c>
      <c r="BR7" t="s">
        <v>47</v>
      </c>
      <c r="BS7">
        <v>0.0</v>
      </c>
      <c r="BT7">
        <v>0.0</v>
      </c>
      <c r="BX7">
        <v>0.0</v>
      </c>
      <c r="BY7">
        <v>0.0</v>
      </c>
      <c r="BZ7">
        <v>0.0</v>
      </c>
      <c r="CA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64</v>
      </c>
      <c r="DI7">
        <v>0.0</v>
      </c>
      <c r="DJ7" t="s">
        <v>32</v>
      </c>
      <c r="DK7">
        <v>0.0</v>
      </c>
      <c r="DL7">
        <v>0.0</v>
      </c>
      <c r="DM7">
        <v>1.0</v>
      </c>
      <c r="DN7">
        <v>0.0</v>
      </c>
      <c r="DP7" t="s">
        <v>65</v>
      </c>
      <c r="DQ7" t="s">
        <v>66</v>
      </c>
      <c r="DR7" t="s">
        <v>67</v>
      </c>
      <c r="DS7" t="s">
        <v>66</v>
      </c>
      <c r="DT7" t="s">
        <v>66</v>
      </c>
      <c r="DU7" t="s">
        <v>68</v>
      </c>
      <c r="DV7" t="s">
        <v>66</v>
      </c>
      <c r="DW7" t="s">
        <v>66</v>
      </c>
      <c r="DX7" t="s">
        <v>66</v>
      </c>
      <c r="DY7" t="s">
        <v>66</v>
      </c>
      <c r="DZ7" t="s">
        <v>63</v>
      </c>
      <c r="EA7" t="s">
        <v>68</v>
      </c>
      <c r="EB7" t="s">
        <v>66</v>
      </c>
      <c r="EC7" t="s">
        <v>66</v>
      </c>
      <c r="ED7" t="s">
        <v>49</v>
      </c>
      <c r="EE7" t="s">
        <v>69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65</v>
      </c>
      <c r="EM7">
        <v>0.0</v>
      </c>
      <c r="EN7">
        <v>0.0</v>
      </c>
      <c r="FA7" t="s">
        <v>44</v>
      </c>
    </row>
    <row r="8" ht="15.75" customHeight="1">
      <c r="C8" t="s">
        <v>31</v>
      </c>
      <c r="D8">
        <v>-41.0</v>
      </c>
      <c r="E8" t="s">
        <v>22</v>
      </c>
      <c r="F8" t="s">
        <v>61</v>
      </c>
      <c r="G8">
        <v>10.0</v>
      </c>
      <c r="H8" t="s">
        <v>62</v>
      </c>
      <c r="I8">
        <v>0.0</v>
      </c>
      <c r="J8">
        <v>0.0</v>
      </c>
      <c r="K8">
        <v>0.0</v>
      </c>
      <c r="L8">
        <v>0.0</v>
      </c>
      <c r="M8">
        <v>0.0</v>
      </c>
      <c r="N8">
        <v>410.0</v>
      </c>
      <c r="O8" t="s">
        <v>63</v>
      </c>
      <c r="P8" t="s">
        <v>64</v>
      </c>
      <c r="Q8">
        <v>410.0</v>
      </c>
      <c r="R8" t="s">
        <v>47</v>
      </c>
      <c r="S8" t="s">
        <v>24</v>
      </c>
      <c r="T8" t="s">
        <v>45</v>
      </c>
      <c r="U8" t="s">
        <v>54</v>
      </c>
      <c r="V8" t="s">
        <v>50</v>
      </c>
      <c r="W8" t="s">
        <v>49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-41.0</v>
      </c>
      <c r="AG8">
        <v>0.0</v>
      </c>
      <c r="AH8">
        <v>0.0</v>
      </c>
      <c r="AI8">
        <v>0.0</v>
      </c>
      <c r="AJ8">
        <v>0.0</v>
      </c>
      <c r="AK8">
        <v>410.0</v>
      </c>
      <c r="AL8">
        <v>1.0</v>
      </c>
      <c r="AM8">
        <v>1.0</v>
      </c>
      <c r="AN8" t="s">
        <v>34</v>
      </c>
      <c r="AP8" t="s">
        <v>65</v>
      </c>
      <c r="AQ8" t="s">
        <v>31</v>
      </c>
      <c r="AR8">
        <v>0.0</v>
      </c>
      <c r="AW8">
        <v>410.0</v>
      </c>
      <c r="AX8">
        <v>0.0</v>
      </c>
      <c r="AY8">
        <v>0.0</v>
      </c>
      <c r="AZ8">
        <v>0.0</v>
      </c>
      <c r="BA8">
        <v>100.0</v>
      </c>
      <c r="BD8">
        <v>410.0</v>
      </c>
      <c r="BI8">
        <v>5.0</v>
      </c>
      <c r="BJ8">
        <v>0.0</v>
      </c>
      <c r="BK8">
        <v>0.0</v>
      </c>
      <c r="BL8">
        <v>0.0</v>
      </c>
      <c r="BO8">
        <v>410.0</v>
      </c>
      <c r="BP8">
        <v>0.0</v>
      </c>
      <c r="BQ8" t="s">
        <v>55</v>
      </c>
      <c r="BR8" t="s">
        <v>47</v>
      </c>
      <c r="BS8">
        <v>0.0</v>
      </c>
      <c r="BT8">
        <v>0.0</v>
      </c>
      <c r="BX8">
        <v>0.0</v>
      </c>
      <c r="BY8">
        <v>0.0</v>
      </c>
      <c r="BZ8">
        <v>0.0</v>
      </c>
      <c r="CA8">
        <v>0.0</v>
      </c>
      <c r="CD8">
        <v>410.0</v>
      </c>
      <c r="CE8">
        <v>0.0</v>
      </c>
      <c r="CF8">
        <v>0.0</v>
      </c>
      <c r="CG8">
        <v>410.0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-41.0</v>
      </c>
      <c r="DE8">
        <v>0.0</v>
      </c>
      <c r="DF8">
        <v>0.0</v>
      </c>
      <c r="DG8">
        <v>0.0</v>
      </c>
      <c r="DH8" t="s">
        <v>64</v>
      </c>
      <c r="DI8">
        <v>0.0</v>
      </c>
      <c r="DJ8" t="s">
        <v>34</v>
      </c>
      <c r="DK8">
        <v>0.0</v>
      </c>
      <c r="DL8">
        <v>0.0</v>
      </c>
      <c r="DM8">
        <v>1.0</v>
      </c>
      <c r="DN8">
        <v>0.0</v>
      </c>
      <c r="DP8" t="s">
        <v>65</v>
      </c>
      <c r="DQ8" t="s">
        <v>66</v>
      </c>
      <c r="DR8" t="s">
        <v>67</v>
      </c>
      <c r="DS8" t="s">
        <v>66</v>
      </c>
      <c r="DT8" t="s">
        <v>66</v>
      </c>
      <c r="DU8" t="s">
        <v>68</v>
      </c>
      <c r="DV8" t="s">
        <v>66</v>
      </c>
      <c r="DW8" t="s">
        <v>66</v>
      </c>
      <c r="DX8" t="s">
        <v>66</v>
      </c>
      <c r="DY8" t="s">
        <v>66</v>
      </c>
      <c r="DZ8" t="s">
        <v>63</v>
      </c>
      <c r="EA8" t="s">
        <v>68</v>
      </c>
      <c r="EB8" t="s">
        <v>66</v>
      </c>
      <c r="EC8" t="s">
        <v>66</v>
      </c>
      <c r="ED8" t="s">
        <v>49</v>
      </c>
      <c r="EE8" t="s">
        <v>69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65</v>
      </c>
      <c r="EM8">
        <v>0.0</v>
      </c>
      <c r="EN8">
        <v>0.0</v>
      </c>
      <c r="FA8" t="s">
        <v>44</v>
      </c>
    </row>
    <row r="9" ht="15.75" customHeight="1">
      <c r="C9" t="s">
        <v>31</v>
      </c>
      <c r="D9">
        <v>-14.0</v>
      </c>
      <c r="E9" t="s">
        <v>22</v>
      </c>
      <c r="F9" t="s">
        <v>61</v>
      </c>
      <c r="G9">
        <v>10.0</v>
      </c>
      <c r="H9" t="s">
        <v>62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140.0</v>
      </c>
      <c r="O9" t="s">
        <v>63</v>
      </c>
      <c r="P9" t="s">
        <v>64</v>
      </c>
      <c r="Q9">
        <v>140.0</v>
      </c>
      <c r="R9" t="s">
        <v>47</v>
      </c>
      <c r="S9" t="s">
        <v>25</v>
      </c>
      <c r="T9" t="s">
        <v>45</v>
      </c>
      <c r="U9" t="s">
        <v>54</v>
      </c>
      <c r="V9" t="s">
        <v>50</v>
      </c>
      <c r="W9" t="s">
        <v>49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-14.0</v>
      </c>
      <c r="AG9">
        <v>0.0</v>
      </c>
      <c r="AH9">
        <v>0.0</v>
      </c>
      <c r="AI9">
        <v>0.0</v>
      </c>
      <c r="AJ9">
        <v>0.0</v>
      </c>
      <c r="AK9">
        <v>140.0</v>
      </c>
      <c r="AL9">
        <v>1.0</v>
      </c>
      <c r="AM9">
        <v>1.0</v>
      </c>
      <c r="AN9" t="s">
        <v>34</v>
      </c>
      <c r="AP9" t="s">
        <v>65</v>
      </c>
      <c r="AQ9" t="s">
        <v>31</v>
      </c>
      <c r="AR9">
        <v>0.0</v>
      </c>
      <c r="AW9">
        <v>140.0</v>
      </c>
      <c r="AX9">
        <v>0.0</v>
      </c>
      <c r="AY9">
        <v>0.0</v>
      </c>
      <c r="AZ9">
        <v>0.0</v>
      </c>
      <c r="BA9">
        <v>100.0</v>
      </c>
      <c r="BD9">
        <v>140.0</v>
      </c>
      <c r="BI9">
        <v>5.0</v>
      </c>
      <c r="BJ9">
        <v>0.0</v>
      </c>
      <c r="BK9">
        <v>0.0</v>
      </c>
      <c r="BL9">
        <v>0.0</v>
      </c>
      <c r="BO9">
        <v>140.0</v>
      </c>
      <c r="BP9">
        <v>0.0</v>
      </c>
      <c r="BQ9" t="s">
        <v>55</v>
      </c>
      <c r="BR9" t="s">
        <v>47</v>
      </c>
      <c r="BS9">
        <v>0.0</v>
      </c>
      <c r="BT9">
        <v>0.0</v>
      </c>
      <c r="BX9">
        <v>0.0</v>
      </c>
      <c r="BY9">
        <v>0.0</v>
      </c>
      <c r="BZ9">
        <v>0.0</v>
      </c>
      <c r="CA9">
        <v>0.0</v>
      </c>
      <c r="CD9">
        <v>140.0</v>
      </c>
      <c r="CE9">
        <v>0.0</v>
      </c>
      <c r="CF9">
        <v>0.0</v>
      </c>
      <c r="CG9">
        <v>140.0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>
        <v>-14.0</v>
      </c>
      <c r="DE9">
        <v>0.0</v>
      </c>
      <c r="DF9">
        <v>0.0</v>
      </c>
      <c r="DG9">
        <v>0.0</v>
      </c>
      <c r="DH9" t="s">
        <v>64</v>
      </c>
      <c r="DI9">
        <v>0.0</v>
      </c>
      <c r="DJ9" t="s">
        <v>34</v>
      </c>
      <c r="DK9">
        <v>0.0</v>
      </c>
      <c r="DL9">
        <v>0.0</v>
      </c>
      <c r="DM9">
        <v>1.0</v>
      </c>
      <c r="DN9">
        <v>0.0</v>
      </c>
      <c r="DP9" t="s">
        <v>65</v>
      </c>
      <c r="DQ9" t="s">
        <v>66</v>
      </c>
      <c r="DR9" t="s">
        <v>67</v>
      </c>
      <c r="DS9" t="s">
        <v>66</v>
      </c>
      <c r="DT9" t="s">
        <v>66</v>
      </c>
      <c r="DU9" t="s">
        <v>68</v>
      </c>
      <c r="DV9" t="s">
        <v>66</v>
      </c>
      <c r="DW9" t="s">
        <v>66</v>
      </c>
      <c r="DX9" t="s">
        <v>66</v>
      </c>
      <c r="DY9" t="s">
        <v>66</v>
      </c>
      <c r="DZ9" t="s">
        <v>63</v>
      </c>
      <c r="EA9" t="s">
        <v>68</v>
      </c>
      <c r="EB9" t="s">
        <v>66</v>
      </c>
      <c r="EC9" t="s">
        <v>66</v>
      </c>
      <c r="ED9" t="s">
        <v>49</v>
      </c>
      <c r="EE9" t="s">
        <v>69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65</v>
      </c>
      <c r="EM9">
        <v>0.0</v>
      </c>
      <c r="EN9">
        <v>0.0</v>
      </c>
      <c r="FA9" t="s">
        <v>44</v>
      </c>
    </row>
    <row r="10" ht="15.75" customHeight="1">
      <c r="C10" t="s">
        <v>31</v>
      </c>
      <c r="D10">
        <v>25.0</v>
      </c>
      <c r="E10" t="s">
        <v>21</v>
      </c>
      <c r="F10" t="s">
        <v>70</v>
      </c>
      <c r="G10">
        <v>10.0</v>
      </c>
      <c r="H10" t="s">
        <v>62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-250.0</v>
      </c>
      <c r="O10" t="s">
        <v>63</v>
      </c>
      <c r="P10" t="s">
        <v>64</v>
      </c>
      <c r="Q10">
        <v>-250.0</v>
      </c>
      <c r="R10" t="s">
        <v>47</v>
      </c>
      <c r="S10" t="s">
        <v>24</v>
      </c>
      <c r="T10" t="s">
        <v>45</v>
      </c>
      <c r="U10" t="s">
        <v>54</v>
      </c>
      <c r="V10" t="s">
        <v>50</v>
      </c>
      <c r="W10" t="s">
        <v>49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32</v>
      </c>
      <c r="AP10" t="s">
        <v>65</v>
      </c>
      <c r="AQ10" t="s">
        <v>31</v>
      </c>
      <c r="AR10">
        <v>0.0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D10">
        <v>-250.0</v>
      </c>
      <c r="BI10">
        <v>5.0</v>
      </c>
      <c r="BJ10">
        <v>0.0</v>
      </c>
      <c r="BK10">
        <v>0.0</v>
      </c>
      <c r="BL10">
        <v>0.0</v>
      </c>
      <c r="BO10">
        <v>-250.0</v>
      </c>
      <c r="BP10">
        <v>0.0</v>
      </c>
      <c r="BQ10" t="s">
        <v>55</v>
      </c>
      <c r="BR10" t="s">
        <v>47</v>
      </c>
      <c r="BS10">
        <v>0.0</v>
      </c>
      <c r="BT10">
        <v>0.0</v>
      </c>
      <c r="BX10">
        <v>0.0</v>
      </c>
      <c r="BY10">
        <v>0.0</v>
      </c>
      <c r="BZ10">
        <v>0.0</v>
      </c>
      <c r="CA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>
        <v>25.0</v>
      </c>
      <c r="DE10">
        <v>0.0</v>
      </c>
      <c r="DF10">
        <v>0.0</v>
      </c>
      <c r="DG10">
        <v>0.0</v>
      </c>
      <c r="DH10" t="s">
        <v>64</v>
      </c>
      <c r="DI10">
        <v>0.0</v>
      </c>
      <c r="DJ10" t="s">
        <v>32</v>
      </c>
      <c r="DK10">
        <v>0.0</v>
      </c>
      <c r="DL10">
        <v>0.0</v>
      </c>
      <c r="DM10">
        <v>1.0</v>
      </c>
      <c r="DN10">
        <v>0.0</v>
      </c>
      <c r="DP10" t="s">
        <v>65</v>
      </c>
      <c r="DQ10" t="s">
        <v>66</v>
      </c>
      <c r="DR10" t="s">
        <v>67</v>
      </c>
      <c r="DS10" t="s">
        <v>66</v>
      </c>
      <c r="DT10" t="s">
        <v>66</v>
      </c>
      <c r="DU10" t="s">
        <v>68</v>
      </c>
      <c r="DV10" t="s">
        <v>66</v>
      </c>
      <c r="DW10" t="s">
        <v>66</v>
      </c>
      <c r="DX10" t="s">
        <v>66</v>
      </c>
      <c r="DY10" t="s">
        <v>66</v>
      </c>
      <c r="DZ10" t="s">
        <v>63</v>
      </c>
      <c r="EA10" t="s">
        <v>68</v>
      </c>
      <c r="EB10" t="s">
        <v>66</v>
      </c>
      <c r="EC10" t="s">
        <v>66</v>
      </c>
      <c r="ED10" t="s">
        <v>49</v>
      </c>
      <c r="EE10" t="s">
        <v>69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65</v>
      </c>
      <c r="EM10">
        <v>0.0</v>
      </c>
      <c r="EN10">
        <v>0.0</v>
      </c>
      <c r="FA10" t="s">
        <v>44</v>
      </c>
    </row>
    <row r="11" ht="15.75" customHeight="1">
      <c r="C11" t="s">
        <v>31</v>
      </c>
      <c r="D11">
        <v>25.0</v>
      </c>
      <c r="E11" t="s">
        <v>21</v>
      </c>
      <c r="F11" t="s">
        <v>70</v>
      </c>
      <c r="G11">
        <v>10.0</v>
      </c>
      <c r="H11" t="s">
        <v>62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-250.0</v>
      </c>
      <c r="O11" t="s">
        <v>63</v>
      </c>
      <c r="P11" t="s">
        <v>64</v>
      </c>
      <c r="Q11">
        <v>-250.0</v>
      </c>
      <c r="R11" t="s">
        <v>47</v>
      </c>
      <c r="S11" t="s">
        <v>25</v>
      </c>
      <c r="T11" t="s">
        <v>45</v>
      </c>
      <c r="U11" t="s">
        <v>54</v>
      </c>
      <c r="V11" t="s">
        <v>50</v>
      </c>
      <c r="W11" t="s">
        <v>49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32</v>
      </c>
      <c r="AP11" t="s">
        <v>65</v>
      </c>
      <c r="AQ11" t="s">
        <v>31</v>
      </c>
      <c r="AR11">
        <v>0.0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D11">
        <v>-250.0</v>
      </c>
      <c r="BI11">
        <v>5.0</v>
      </c>
      <c r="BJ11">
        <v>0.0</v>
      </c>
      <c r="BK11">
        <v>0.0</v>
      </c>
      <c r="BL11">
        <v>0.0</v>
      </c>
      <c r="BO11">
        <v>-250.0</v>
      </c>
      <c r="BP11">
        <v>0.0</v>
      </c>
      <c r="BQ11" t="s">
        <v>55</v>
      </c>
      <c r="BR11" t="s">
        <v>47</v>
      </c>
      <c r="BS11">
        <v>0.0</v>
      </c>
      <c r="BT11">
        <v>0.0</v>
      </c>
      <c r="BX11">
        <v>0.0</v>
      </c>
      <c r="BY11">
        <v>0.0</v>
      </c>
      <c r="BZ11">
        <v>0.0</v>
      </c>
      <c r="CA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K11" t="b">
        <v>0</v>
      </c>
      <c r="CS11">
        <v>10.0</v>
      </c>
      <c r="DA11">
        <v>0.0</v>
      </c>
      <c r="DB11">
        <v>0.0</v>
      </c>
      <c r="DD11">
        <v>25.0</v>
      </c>
      <c r="DE11">
        <v>0.0</v>
      </c>
      <c r="DF11">
        <v>0.0</v>
      </c>
      <c r="DG11">
        <v>0.0</v>
      </c>
      <c r="DH11" t="s">
        <v>64</v>
      </c>
      <c r="DI11">
        <v>0.0</v>
      </c>
      <c r="DJ11" t="s">
        <v>32</v>
      </c>
      <c r="DK11">
        <v>0.0</v>
      </c>
      <c r="DL11">
        <v>0.0</v>
      </c>
      <c r="DM11">
        <v>1.0</v>
      </c>
      <c r="DN11">
        <v>0.0</v>
      </c>
      <c r="DP11" t="s">
        <v>65</v>
      </c>
      <c r="DQ11" t="s">
        <v>66</v>
      </c>
      <c r="DR11" t="s">
        <v>67</v>
      </c>
      <c r="DS11" t="s">
        <v>66</v>
      </c>
      <c r="DT11" t="s">
        <v>66</v>
      </c>
      <c r="DU11" t="s">
        <v>68</v>
      </c>
      <c r="DV11" t="s">
        <v>66</v>
      </c>
      <c r="DW11" t="s">
        <v>66</v>
      </c>
      <c r="DX11" t="s">
        <v>66</v>
      </c>
      <c r="DY11" t="s">
        <v>66</v>
      </c>
      <c r="DZ11" t="s">
        <v>63</v>
      </c>
      <c r="EA11" t="s">
        <v>68</v>
      </c>
      <c r="EB11" t="s">
        <v>66</v>
      </c>
      <c r="EC11" t="s">
        <v>66</v>
      </c>
      <c r="ED11" t="s">
        <v>49</v>
      </c>
      <c r="EE11" t="s">
        <v>69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65</v>
      </c>
      <c r="EM11">
        <v>0.0</v>
      </c>
      <c r="EN11">
        <v>0.0</v>
      </c>
      <c r="FA11" t="s">
        <v>44</v>
      </c>
    </row>
    <row r="12" ht="15.75" customHeight="1">
      <c r="C12" t="s">
        <v>31</v>
      </c>
      <c r="D12">
        <v>-28.0</v>
      </c>
      <c r="E12" t="s">
        <v>21</v>
      </c>
      <c r="F12" t="s">
        <v>70</v>
      </c>
      <c r="G12">
        <v>10.0</v>
      </c>
      <c r="H12" t="s">
        <v>62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280.0</v>
      </c>
      <c r="O12" t="s">
        <v>63</v>
      </c>
      <c r="P12" t="s">
        <v>64</v>
      </c>
      <c r="Q12">
        <v>280.0</v>
      </c>
      <c r="R12" t="s">
        <v>47</v>
      </c>
      <c r="S12" t="s">
        <v>24</v>
      </c>
      <c r="T12" t="s">
        <v>45</v>
      </c>
      <c r="U12" t="s">
        <v>54</v>
      </c>
      <c r="V12" t="s">
        <v>50</v>
      </c>
      <c r="W12" t="s">
        <v>49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-28.0</v>
      </c>
      <c r="AG12">
        <v>0.0</v>
      </c>
      <c r="AH12">
        <v>0.0</v>
      </c>
      <c r="AI12">
        <v>0.0</v>
      </c>
      <c r="AJ12">
        <v>0.0</v>
      </c>
      <c r="AK12">
        <v>280.0</v>
      </c>
      <c r="AL12">
        <v>1.0</v>
      </c>
      <c r="AM12">
        <v>1.0</v>
      </c>
      <c r="AN12" t="s">
        <v>34</v>
      </c>
      <c r="AP12" t="s">
        <v>65</v>
      </c>
      <c r="AQ12" t="s">
        <v>31</v>
      </c>
      <c r="AR12">
        <v>0.0</v>
      </c>
      <c r="AW12">
        <v>280.0</v>
      </c>
      <c r="AX12">
        <v>0.0</v>
      </c>
      <c r="AY12">
        <v>0.0</v>
      </c>
      <c r="AZ12">
        <v>0.0</v>
      </c>
      <c r="BA12">
        <v>100.0</v>
      </c>
      <c r="BD12">
        <v>280.0</v>
      </c>
      <c r="BI12">
        <v>5.0</v>
      </c>
      <c r="BJ12">
        <v>0.0</v>
      </c>
      <c r="BK12">
        <v>0.0</v>
      </c>
      <c r="BL12">
        <v>0.0</v>
      </c>
      <c r="BO12">
        <v>280.0</v>
      </c>
      <c r="BP12">
        <v>0.0</v>
      </c>
      <c r="BQ12" t="s">
        <v>55</v>
      </c>
      <c r="BR12" t="s">
        <v>47</v>
      </c>
      <c r="BS12">
        <v>0.0</v>
      </c>
      <c r="BT12">
        <v>0.0</v>
      </c>
      <c r="BX12">
        <v>0.0</v>
      </c>
      <c r="BY12">
        <v>0.0</v>
      </c>
      <c r="BZ12">
        <v>0.0</v>
      </c>
      <c r="CA12">
        <v>0.0</v>
      </c>
      <c r="CD12">
        <v>280.0</v>
      </c>
      <c r="CE12">
        <v>0.0</v>
      </c>
      <c r="CF12">
        <v>0.0</v>
      </c>
      <c r="CG12">
        <v>280.0</v>
      </c>
      <c r="CH12">
        <v>100.0</v>
      </c>
      <c r="CI12">
        <v>0.0</v>
      </c>
      <c r="CJ12">
        <v>0.0</v>
      </c>
      <c r="CK12" t="b">
        <v>0</v>
      </c>
      <c r="CS12">
        <v>10.0</v>
      </c>
      <c r="DA12">
        <v>0.0</v>
      </c>
      <c r="DB12">
        <v>0.0</v>
      </c>
      <c r="DD12">
        <v>-28.0</v>
      </c>
      <c r="DE12">
        <v>0.0</v>
      </c>
      <c r="DF12">
        <v>0.0</v>
      </c>
      <c r="DG12">
        <v>0.0</v>
      </c>
      <c r="DH12" t="s">
        <v>64</v>
      </c>
      <c r="DI12">
        <v>0.0</v>
      </c>
      <c r="DJ12" t="s">
        <v>34</v>
      </c>
      <c r="DK12">
        <v>0.0</v>
      </c>
      <c r="DL12">
        <v>0.0</v>
      </c>
      <c r="DM12">
        <v>1.0</v>
      </c>
      <c r="DN12">
        <v>0.0</v>
      </c>
      <c r="DP12" t="s">
        <v>65</v>
      </c>
      <c r="DQ12" t="s">
        <v>66</v>
      </c>
      <c r="DR12" t="s">
        <v>67</v>
      </c>
      <c r="DS12" t="s">
        <v>66</v>
      </c>
      <c r="DT12" t="s">
        <v>66</v>
      </c>
      <c r="DU12" t="s">
        <v>68</v>
      </c>
      <c r="DV12" t="s">
        <v>66</v>
      </c>
      <c r="DW12" t="s">
        <v>66</v>
      </c>
      <c r="DX12" t="s">
        <v>66</v>
      </c>
      <c r="DY12" t="s">
        <v>66</v>
      </c>
      <c r="DZ12" t="s">
        <v>63</v>
      </c>
      <c r="EA12" t="s">
        <v>68</v>
      </c>
      <c r="EB12" t="s">
        <v>66</v>
      </c>
      <c r="EC12" t="s">
        <v>66</v>
      </c>
      <c r="ED12" t="s">
        <v>49</v>
      </c>
      <c r="EE12" t="s">
        <v>69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65</v>
      </c>
      <c r="EM12">
        <v>0.0</v>
      </c>
      <c r="EN12">
        <v>0.0</v>
      </c>
      <c r="FA12" t="s">
        <v>44</v>
      </c>
    </row>
    <row r="13" ht="15.75" customHeight="1">
      <c r="C13" t="s">
        <v>31</v>
      </c>
      <c r="D13">
        <v>-27.0</v>
      </c>
      <c r="E13" t="s">
        <v>21</v>
      </c>
      <c r="F13" t="s">
        <v>70</v>
      </c>
      <c r="G13">
        <v>10.0</v>
      </c>
      <c r="H13" t="s">
        <v>62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270.0</v>
      </c>
      <c r="O13" t="s">
        <v>63</v>
      </c>
      <c r="P13" t="s">
        <v>64</v>
      </c>
      <c r="Q13">
        <v>270.0</v>
      </c>
      <c r="R13" t="s">
        <v>47</v>
      </c>
      <c r="S13" t="s">
        <v>25</v>
      </c>
      <c r="T13" t="s">
        <v>45</v>
      </c>
      <c r="U13" t="s">
        <v>54</v>
      </c>
      <c r="V13" t="s">
        <v>50</v>
      </c>
      <c r="W13" t="s">
        <v>49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-27.0</v>
      </c>
      <c r="AG13">
        <v>0.0</v>
      </c>
      <c r="AH13">
        <v>0.0</v>
      </c>
      <c r="AI13">
        <v>0.0</v>
      </c>
      <c r="AJ13">
        <v>0.0</v>
      </c>
      <c r="AK13">
        <v>270.0</v>
      </c>
      <c r="AL13">
        <v>1.0</v>
      </c>
      <c r="AM13">
        <v>1.0</v>
      </c>
      <c r="AN13" t="s">
        <v>34</v>
      </c>
      <c r="AP13" t="s">
        <v>65</v>
      </c>
      <c r="AQ13" t="s">
        <v>31</v>
      </c>
      <c r="AR13">
        <v>0.0</v>
      </c>
      <c r="AW13">
        <v>270.0</v>
      </c>
      <c r="AX13">
        <v>0.0</v>
      </c>
      <c r="AY13">
        <v>0.0</v>
      </c>
      <c r="AZ13">
        <v>0.0</v>
      </c>
      <c r="BA13">
        <v>100.0</v>
      </c>
      <c r="BD13">
        <v>270.0</v>
      </c>
      <c r="BI13">
        <v>5.0</v>
      </c>
      <c r="BJ13">
        <v>0.0</v>
      </c>
      <c r="BK13">
        <v>0.0</v>
      </c>
      <c r="BL13">
        <v>0.0</v>
      </c>
      <c r="BO13">
        <v>270.0</v>
      </c>
      <c r="BP13">
        <v>0.0</v>
      </c>
      <c r="BQ13" t="s">
        <v>55</v>
      </c>
      <c r="BR13" t="s">
        <v>47</v>
      </c>
      <c r="BS13">
        <v>0.0</v>
      </c>
      <c r="BT13">
        <v>0.0</v>
      </c>
      <c r="BX13">
        <v>0.0</v>
      </c>
      <c r="BY13">
        <v>0.0</v>
      </c>
      <c r="BZ13">
        <v>0.0</v>
      </c>
      <c r="CA13">
        <v>0.0</v>
      </c>
      <c r="CD13">
        <v>270.0</v>
      </c>
      <c r="CE13">
        <v>0.0</v>
      </c>
      <c r="CF13">
        <v>0.0</v>
      </c>
      <c r="CG13">
        <v>270.0</v>
      </c>
      <c r="CH13">
        <v>100.0</v>
      </c>
      <c r="CI13">
        <v>0.0</v>
      </c>
      <c r="CJ13">
        <v>0.0</v>
      </c>
      <c r="CK13" t="b">
        <v>0</v>
      </c>
      <c r="CS13">
        <v>10.0</v>
      </c>
      <c r="DA13">
        <v>0.0</v>
      </c>
      <c r="DB13">
        <v>0.0</v>
      </c>
      <c r="DD13">
        <v>-27.0</v>
      </c>
      <c r="DE13">
        <v>0.0</v>
      </c>
      <c r="DF13">
        <v>0.0</v>
      </c>
      <c r="DG13">
        <v>0.0</v>
      </c>
      <c r="DH13" t="s">
        <v>64</v>
      </c>
      <c r="DI13">
        <v>0.0</v>
      </c>
      <c r="DJ13" t="s">
        <v>34</v>
      </c>
      <c r="DK13">
        <v>0.0</v>
      </c>
      <c r="DL13">
        <v>0.0</v>
      </c>
      <c r="DM13">
        <v>1.0</v>
      </c>
      <c r="DN13">
        <v>0.0</v>
      </c>
      <c r="DP13" t="s">
        <v>65</v>
      </c>
      <c r="DQ13" t="s">
        <v>66</v>
      </c>
      <c r="DR13" t="s">
        <v>67</v>
      </c>
      <c r="DS13" t="s">
        <v>66</v>
      </c>
      <c r="DT13" t="s">
        <v>66</v>
      </c>
      <c r="DU13" t="s">
        <v>68</v>
      </c>
      <c r="DV13" t="s">
        <v>66</v>
      </c>
      <c r="DW13" t="s">
        <v>66</v>
      </c>
      <c r="DX13" t="s">
        <v>66</v>
      </c>
      <c r="DY13" t="s">
        <v>66</v>
      </c>
      <c r="DZ13" t="s">
        <v>63</v>
      </c>
      <c r="EA13" t="s">
        <v>68</v>
      </c>
      <c r="EB13" t="s">
        <v>66</v>
      </c>
      <c r="EC13" t="s">
        <v>66</v>
      </c>
      <c r="ED13" t="s">
        <v>49</v>
      </c>
      <c r="EE13" t="s">
        <v>69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65</v>
      </c>
      <c r="EM13">
        <v>0.0</v>
      </c>
      <c r="EN13">
        <v>0.0</v>
      </c>
      <c r="FA13" t="s">
        <v>44</v>
      </c>
    </row>
    <row r="14" ht="15.75" customHeight="1"/>
    <row r="15" ht="15.75" customHeight="1"/>
    <row r="1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