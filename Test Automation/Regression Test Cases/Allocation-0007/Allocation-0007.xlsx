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Ratio" sheetId="4" r:id="rId6"/>
    <sheet state="visible" name="RunProrata" sheetId="5" r:id="rId7"/>
    <sheet state="visible" name="GetFixedPreference" sheetId="6" r:id="rId8"/>
    <sheet state="visible" name="CheckFixedPreference" sheetId="7" r:id="rId9"/>
    <sheet state="visible" name="CreateDoneAwayOrder" sheetId="8" r:id="rId10"/>
    <sheet state="visible" name="SetGeneralPreferences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  <sheet state="visible" name="GetDataClosing" sheetId="13" r:id="rId15"/>
    <sheet state="visible" name="VerifyLongPositionsGrid" sheetId="14" r:id="rId16"/>
    <sheet state="visible" name="ResetPreferences" sheetId="15" r:id="rId17"/>
    <sheet state="visible" name="GetDataAllocation" sheetId="16" r:id="rId18"/>
  </sheets>
  <definedNames/>
  <calcPr/>
</workbook>
</file>

<file path=xl/sharedStrings.xml><?xml version="1.0" encoding="utf-8"?>
<sst xmlns="http://schemas.openxmlformats.org/spreadsheetml/2006/main" count="136" uniqueCount="40">
  <si>
    <t>Master Data Info</t>
  </si>
  <si>
    <t>Modules Info</t>
  </si>
  <si>
    <t>Settings</t>
  </si>
  <si>
    <t>Modules</t>
  </si>
  <si>
    <t>Module Step Setting File</t>
  </si>
  <si>
    <t>1l_e8VvGuwCFxAKLBGkTuz3SAc2MbR8Czf_PhA-Ma5cc</t>
  </si>
  <si>
    <t>Module</t>
  </si>
  <si>
    <t>Master Data Settings File</t>
  </si>
  <si>
    <t>Step</t>
  </si>
  <si>
    <t>Master Data Sheet</t>
  </si>
  <si>
    <t>1IgG4rPFvDd69IZFqvmXQloBfQky1cnS4suoIvGHGhF4</t>
  </si>
  <si>
    <t>Data</t>
  </si>
  <si>
    <t>Allocation</t>
  </si>
  <si>
    <t>SetMasterFundRatio</t>
  </si>
  <si>
    <t>Data Format</t>
  </si>
  <si>
    <t>RunProrata</t>
  </si>
  <si>
    <t>Input Format</t>
  </si>
  <si>
    <t>Date</t>
  </si>
  <si>
    <t>NewMF</t>
  </si>
  <si>
    <t>NewMF1</t>
  </si>
  <si>
    <t>CheckFixedPreference</t>
  </si>
  <si>
    <t>GetFixedPreference</t>
  </si>
  <si>
    <t>Allocation2</t>
  </si>
  <si>
    <t>MSFT</t>
  </si>
  <si>
    <t>Symbol</t>
  </si>
  <si>
    <t>Positions</t>
  </si>
  <si>
    <t>TradingTicket</t>
  </si>
  <si>
    <t>CreateDoneAwayOrder</t>
  </si>
  <si>
    <t>Buy</t>
  </si>
  <si>
    <t>SetGeneralPreferences</t>
  </si>
  <si>
    <t>Unallocated</t>
  </si>
  <si>
    <t>SelectUnallocatedGroup</t>
  </si>
  <si>
    <t>EnterAllocatePreference</t>
  </si>
  <si>
    <t>Fixed</t>
  </si>
  <si>
    <t>CheckAllocatedGroups</t>
  </si>
  <si>
    <t>Closing</t>
  </si>
  <si>
    <t>GetDataClosing</t>
  </si>
  <si>
    <t>Historical</t>
  </si>
  <si>
    <t>VerifyLongPositionsGrid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</si>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</sst>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000000"/>
      <name val="Arial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4" fontId="7" numFmtId="0" xfId="0" applyAlignment="1" applyFill="1" applyFont="1">
      <alignment readingOrder="0"/>
    </xf>
    <xf borderId="4" fillId="3" fontId="6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10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10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4" fillId="6" fontId="6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5" numFmtId="14" xfId="0" applyAlignment="1" applyFont="1" applyNumberFormat="1">
      <alignment shrinkToFit="0" wrapText="0"/>
    </xf>
    <xf borderId="0" fillId="4" fontId="7" numFmtId="165" xfId="0" applyAlignment="1" applyFont="1" applyNumberFormat="1">
      <alignment readingOrder="0"/>
    </xf>
    <xf borderId="0" fillId="0" fontId="5" numFmtId="1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5"/>
      <c r="C3" s="17"/>
      <c r="D3" s="17"/>
      <c r="E3" s="17"/>
      <c r="F3" s="17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IFERROR(__xludf.DUMMYFUNCTION("""COMPUTED_VALUE"""),"1s6xSSuH2dXhiPG92ak5HNMCcI_5om5xTW9weKdOggF4")</f>
        <v>1s6xSSuH2dXhiPG92ak5HNMCcI_5om5xTW9weKdOggF4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IFERROR(__xludf.DUMMYFUNCTION("""COMPUTED_VALUE"""),"1XyIil3zqcvapCkiTWmnbLfcWEXl6C6APSGdFr3NZJG8")</f>
        <v>1XyIil3zqcvapCkiTWmnbLfcWEXl6C6APSGdFr3NZJG8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IFERROR(__xludf.DUMMYFUNCTION("""COMPUTED_VALUE"""),"1a3Dn4n6eD-X9nnNbnU92sB5jG5LSO7Qo2tpxFa3FQt8")</f>
        <v>1a3Dn4n6eD-X9nnNbnU92sB5jG5LSO7Qo2tpxFa3FQt8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IFERROR(__xludf.DUMMYFUNCTION("""COMPUTED_VALUE"""),"1XyIil3zqcvapCkiTWmnbLfcWEXl6C6APSGdFr3NZJG8")</f>
        <v>1XyIil3zqcvapCkiTWmnbLfcWEXl6C6APSGdFr3NZJG8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IFERROR(__xludf.DUMMYFUNCTION("""COMPUTED_VALUE"""),"1pbt55ATYJHDR4SfOXUZo6zw1nd03tFCXi4meQToVOBk")</f>
        <v>1pbt55ATYJHDR4SfOXUZo6zw1nd03tFCXi4meQToVOBk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IFERROR(__xludf.DUMMYFUNCTION("""COMPUTED_VALUE"""),"1AoXvD1WHILQO_2sX7IbQf5JgEoe6FpY-VpIQA7JK_RM")</f>
        <v>1AoXvD1WHILQO_2sX7IbQf5JgEoe6FpY-VpIQA7JK_RM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IFERROR(__xludf.DUMMYFUNCTION("""COMPUTED_VALUE"""),"1CLA7rrLA5DYmgmrJpMLY00RZXOdGHHAH4HzdV5sucnQ")</f>
        <v>1CLA7rrLA5DYmgmrJpMLY00RZXOdGHHAH4HzdV5sucnQ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IFERROR(__xludf.DUMMYFUNCTION("""COMPUTED_VALUE"""),"1j7mHywxV-bGmOO0NXRqFuArg1pE3qwseCBFuZmok0dg")</f>
        <v>1j7mHywxV-bGmOO0NXRqFuArg1pE3qwseCBFuZmok0dg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IFERROR(__xludf.DUMMYFUNCTION("""COMPUTED_VALUE"""),"1njex5IOqy-lKaVwNV8iaqbo0KCZQr13futyhB4ZWQqw")</f>
        <v>1njex5IOqy-lKaVwNV8iaqbo0KCZQr13futyhB4ZWQqw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IFERROR(__xludf.DUMMYFUNCTION("""COMPUTED_VALUE"""),"16L2ujbIr6SzTq33MV6LrLSIBTCT4Kwi26Dt0Qyfi94I")</f>
        <v>16L2ujbIr6SzTq33MV6LrLSIBTCT4Kwi26Dt0Qyfi94I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IFERROR(__xludf.DUMMYFUNCTION("""COMPUTED_VALUE"""),"1SsLd4sOgY_XjtKsG3IS1PZPKETuQFvFZQf6VcOjnGUQ")</f>
        <v>1SsLd4sOgY_XjtKsG3IS1PZPKETuQFvFZQf6VcOjnGUQ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IFERROR(__xludf.DUMMYFUNCTION("""COMPUTED_VALUE"""),"1cetF5KuOyaaLq9q3P3yLlECNGu_bXx7nzMnrCl9rkdQ")</f>
        <v>1cetF5KuOyaaLq9q3P3yLlECNGu_bXx7nzMnrCl9rkdQ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IFERROR(__xludf.DUMMYFUNCTION("""COMPUTED_VALUE"""),"1FPB0TqEqotday5tjp7Y8Se6CFTnfu3U83o7mNVD5a80")</f>
        <v>1FPB0TqEqotday5tjp7Y8Se6CFTnfu3U83o7mNVD5a80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IFERROR(__xludf.DUMMYFUNCTION("""COMPUTED_VALUE"""),"1XsBKs-c4WOmR_seBFfBsK6_y2tKDJLpt3MD-SUrqKY8")</f>
        <v>1XsBKs-c4WOmR_seBFfBsK6_y2tKDJLpt3MD-SUrqKY8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IFERROR(__xludf.DUMMYFUNCTION("""COMPUTED_VALUE"""),"1-PqRFfqV15-ahZkhHoFwcm-i8e9MOayD4y-ng9zdLVs")</f>
        <v>1-PqRFfqV15-ahZkhHoFwcm-i8e9MOayD4y-ng9zdLVs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IFERROR(__xludf.DUMMYFUNCTION("""COMPUTED_VALUE"""),"15GEh0heJ8gu0u5B0ojIh6QwIdqxGJaMxToL6HEyVuck")</f>
        <v>15GEh0heJ8gu0u5B0ojIh6QwIdqxGJaMxToL6HEyVuck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IFERROR(__xludf.DUMMYFUNCTION("""COMPUTED_VALUE"""),"1rv5oF9D2E7LqmWNCLIjcDLU5k4Svb9D-aHkVfgBv7o4")</f>
        <v>1rv5oF9D2E7LqmWNCLIjcDLU5k4Svb9D-aHkVfgBv7o4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IFERROR(__xludf.DUMMYFUNCTION("""COMPUTED_VALUE"""),"1v-SW82H6MnQ7NBMcjk8AYQnEYMtf4SsetBhLRhswC-s")</f>
        <v>1v-SW82H6MnQ7NBMcjk8AYQnEYMtf4SsetBhLRhswC-s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IFERROR(__xludf.DUMMYFUNCTION("""COMPUTED_VALUE"""),"1fq9ZUxk00F3L052WfXUgBObr1nOz5PQ2HM_Usk2J3_g")</f>
        <v>1fq9ZUxk00F3L052WfXUgBObr1nOz5PQ2HM_Usk2J3_g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IFERROR(__xludf.DUMMYFUNCTION("""COMPUTED_VALUE"""),"1C-tYpbCaVwVNNz361gZLw9AH_XfWWG9EZ9HEGCopmis")</f>
        <v>1C-tYpbCaVwVNNz361gZLw9AH_XfWWG9EZ9HEGCopmis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IFERROR(__xludf.DUMMYFUNCTION("""COMPUTED_VALUE"""),"1aXtkIfTSeFYIizAFfHuCRrTByfZOzKGd8AtTcYE0o44")</f>
        <v>1aXtkIfTSeFYIizAFfHuCRrTByfZOzKGd8AtTcYE0o44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IFERROR(__xludf.DUMMYFUNCTION("""COMPUTED_VALUE"""),"1plZvIKcbCZx5rGnRVkH1019zmHA55jRjRTPK6qNBlWQ")</f>
        <v>1plZvIKcbCZx5rGnRVkH1019zmHA55jRjRTPK6qNBlWQ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IFERROR(__xludf.DUMMYFUNCTION("""COMPUTED_VALUE"""),"11rNFtzuJahHYf6KEGFCqTOcf_TJgtCyrK7hUopBWqIc")</f>
        <v>11rNFtzuJahHYf6KEGFCqTOcf_TJgtCyrK7hUopBWqIc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IFERROR(__xludf.DUMMYFUNCTION("""COMPUTED_VALUE"""),"1aPFFIEyeXSdJh1OFdYvHV_1j7GawVkXWBgvbFd3udQY")</f>
        <v>1aPFFIEyeXSdJh1OFdYvHV_1j7GawVkXWBgvbFd3udQY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IFERROR(__xludf.DUMMYFUNCTION("""COMPUTED_VALUE"""),"1fAGlX_ogcTw4_j7XUgcDIYrZzqQuIfvSB79B7whCKe0")</f>
        <v>1fAGlX_ogcTw4_j7XUgcDIYrZzqQuIfvSB79B7whCKe0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IFERROR(__xludf.DUMMYFUNCTION("""COMPUTED_VALUE"""),"1rtXYZaeYE0ybt3M-UifxnsPBnM7ZSP4H1lfarFsSp6k")</f>
        <v>1rtXYZaeYE0ybt3M-UifxnsPBnM7ZSP4H1lfarFsSp6k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IFERROR(__xludf.DUMMYFUNCTION("""COMPUTED_VALUE"""),"1HQwq3Y6njDGRumebc7U0do_9J7fLwZmw9qJypmM3wwo")</f>
        <v>1HQwq3Y6njDGRumebc7U0do_9J7fLwZmw9qJypmM3wwo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IFERROR(__xludf.DUMMYFUNCTION("""COMPUTED_VALUE"""),"1wJXBjkmugFwoWqKdV7Cn_GooM5BkKrzu9qyidQ8sQ3I")</f>
        <v>1wJXBjkmugFwoWqKdV7Cn_GooM5BkKrzu9qyidQ8sQ3I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IFERROR(__xludf.DUMMYFUNCTION("""COMPUTED_VALUE"""),"1RhA7O5T7Z_rmhfC44RmFJ-Jr5ewWW9mwXNGiuAJYO2Q")</f>
        <v>1RhA7O5T7Z_rmhfC44RmFJ-Jr5ewWW9mwXNGiuAJYO2Q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IFERROR(__xludf.DUMMYFUNCTION("""COMPUTED_VALUE"""),"1rYKl1KPJvJNY4ALqeFf2ghBCrtiMs9H_hMwzXFPP2hY")</f>
        <v>1rYKl1KPJvJNY4ALqeFf2ghBCrtiMs9H_hMwzXFPP2hY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IFERROR(__xludf.DUMMYFUNCTION("""COMPUTED_VALUE"""),"1zWgM8KkYrKfef4TZ7z2t7eby2ZpsrQ-IfiQZpZ5FZuo")</f>
        <v>1zWgM8KkYrKfef4TZ7z2t7eby2ZpsrQ-IfiQZpZ5FZuo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IFERROR(__xludf.DUMMYFUNCTION("""COMPUTED_VALUE"""),"undefined")</f>
        <v>undefined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IFERROR(__xludf.DUMMYFUNCTION("""COMPUTED_VALUE"""),"1HxKjFUwryj3MGk7isuiSVRPjpJPSD90XoCg-Z4Nss4Y")</f>
        <v>1HxKjFUwryj3MGk7isuiSVRPjpJPSD90XoCg-Z4Nss4Y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IFERROR(__xludf.DUMMYFUNCTION("""COMPUTED_VALUE"""),"1iEmb4f5nuVlonidt7R5gnQ7yrzId0tariSAiW4KPUpA")</f>
        <v>1iEmb4f5nuVlonidt7R5gnQ7yrzId0tariSAiW4KPUpA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IFERROR(__xludf.DUMMYFUNCTION("""COMPUTED_VALUE"""),"1xGqHy2vUC3UZxouviTr6l7ZvIq1PvUoTX2H5P6tX95s")</f>
        <v>1xGqHy2vUC3UZxouviTr6l7ZvIq1PvUoTX2H5P6tX95s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IFERROR(__xludf.DUMMYFUNCTION("""COMPUTED_VALUE"""),"Allocation")</f>
        <v>Allocation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IFERROR(__xludf.DUMMYFUNCTION("""COMPUTED_VALUE"""),"1uGE1aQr4DBxmRsib8dqJjXw-c3pwdp9WVl_QDLgY9s0")</f>
        <v>1uGE1aQr4DBxmRsib8dqJjXw-c3pwdp9WVl_QDLgY9s0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IFERROR(__xludf.DUMMYFUNCTION("""COMPUTED_VALUE"""),"1wy8NpNeqchtsKsrn7LLkFnGJignCCBamzUR-DxLJbTU")</f>
        <v>1wy8NpNeqchtsKsrn7LLkFnGJignCCBamzUR-DxLJbTU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IFERROR(__xludf.DUMMYFUNCTION("""COMPUTED_VALUE"""),"11ljWSBO1aNKQv6pi4kUlZvr8R0ugfbdhuz8H7-W7p1A")</f>
        <v>11ljWSBO1aNKQv6pi4kUlZvr8R0ugfbdhuz8H7-W7p1A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IFERROR(__xludf.DUMMYFUNCTION("""COMPUTED_VALUE"""),"1QvoX-RbaOgB6jei68_SXCkkNTa58UtfyAXTFlVkvimg")</f>
        <v>1QvoX-RbaOgB6jei68_SXCkkNTa58UtfyAXTFlVkvimg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IFERROR(__xludf.DUMMYFUNCTION("""COMPUTED_VALUE"""),"1deulEbBGy49CItqU3hyeilQ_1JAhUrouTAlOulZYCz0")</f>
        <v>1deulEbBGy49CItqU3hyeilQ_1JAhUrouTAlOulZYCz0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IFERROR(__xludf.DUMMYFUNCTION("""COMPUTED_VALUE"""),"1RDeIsXTvgnBqrC4yhZQIopfE0_-_h9epYFfrnFl32y8")</f>
        <v>1RDeIsXTvgnBqrC4yhZQIopfE0_-_h9epYFfrnFl32y8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IFERROR(__xludf.DUMMYFUNCTION("""COMPUTED_VALUE"""),"1Is8NpHr5JlAG6kj-GF-pmzTvKRiVs5BS-NJM41TcU14")</f>
        <v>1Is8NpHr5JlAG6kj-GF-pmzTvKRiVs5BS-NJM41TcU14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IFERROR(__xludf.DUMMYFUNCTION("""COMPUTED_VALUE"""),"1oUT4Pe6pvbfDJa73OwWavfSTamd5NRAAATNPyuLH1Bk")</f>
        <v>1oUT4Pe6pvbfDJa73OwWavfSTamd5NRAAATNPyuLH1Bk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IFERROR(__xludf.DUMMYFUNCTION("""COMPUTED_VALUE"""),"1ZnF3aLL7qBwfUNxr4ELIQO5KQiQN5HqkvmaBGB_JniU")</f>
        <v>1ZnF3aLL7qBwfUNxr4ELIQO5KQiQN5HqkvmaBGB_JniU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IFERROR(__xludf.DUMMYFUNCTION("""COMPUTED_VALUE"""),"1gwNZTAVVzb24WLwpEEVCwGJyZquGxvxAZKdA2s3-tzc")</f>
        <v>1gwNZTAVVzb24WLwpEEVCwGJyZquGxvxAZKdA2s3-tzc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IFERROR(__xludf.DUMMYFUNCTION("""COMPUTED_VALUE"""),"1myT19Eg1eo9CoQ3azc9T6juibWvmMoO_kNYttcGBWvw")</f>
        <v>1myT19Eg1eo9CoQ3azc9T6juibWvmMoO_kNYttcGBWvw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IFERROR(__xludf.DUMMYFUNCTION("""COMPUTED_VALUE"""),"1IX_MRyyZzYC-f8V_utOp6sqmMjq938jr_yuhCPRad9U")</f>
        <v>1IX_MRyyZzYC-f8V_utOp6sqmMjq938jr_yuhCPRad9U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IFERROR(__xludf.DUMMYFUNCTION("""COMPUTED_VALUE"""),"1Yn0CgkhRuRcSkbxhoS8XbKNeUHBW45ddESirgLIVXJA")</f>
        <v>1Yn0CgkhRuRcSkbxhoS8XbKNeUHBW45ddESirgLIVXJA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IFERROR(__xludf.DUMMYFUNCTION("""COMPUTED_VALUE"""),"15f6EYXad_E0_Ik4-D3bI3UkmMNesFLZNrYZq9gai8dQ")</f>
        <v>15f6EYXad_E0_Ik4-D3bI3UkmMNesFLZNrYZq9gai8dQ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IFERROR(__xludf.DUMMYFUNCTION("""COMPUTED_VALUE"""),"Undefined")</f>
        <v>Undefined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IFERROR(__xludf.DUMMYFUNCTION("""COMPUTED_VALUE"""),"1YwoTR5djSyFhf35UH_jDzG8JhPSVZa98B0RWpmTqa8A")</f>
        <v>1YwoTR5djSyFhf35UH_jDzG8JhPSVZa98B0RWpmTqa8A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IFERROR(__xludf.DUMMYFUNCTION("""COMPUTED_VALUE"""),"1I7DE7LMaHMRv033wqlsGMUAE4dcnOwqpuxDjieYnrtQ")</f>
        <v>1I7DE7LMaHMRv033wqlsGMUAE4dcnOwqpuxDjieYnrtQ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IFERROR(__xludf.DUMMYFUNCTION("""COMPUTED_VALUE"""),"1zFKQyyGtbvnOwy05ITvZQUxny-x-Pd6TaWS0M-GlwhM")</f>
        <v>1zFKQyyGtbvnOwy05ITvZQUxny-x-Pd6TaWS0M-GlwhM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IFERROR(__xludf.DUMMYFUNCTION("""COMPUTED_VALUE"""),"1_S39k6RwgSmaXpTVQpqkEgUcafPUcV98p_FPaPfX0wc")</f>
        <v>1_S39k6RwgSmaXpTVQpqkEgUcafPUcV98p_FPaPfX0wc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IFERROR(__xludf.DUMMYFUNCTION("""COMPUTED_VALUE"""),"1FyH9_DNuLhpE4nmsqmShmBalNFvOSJkXWmfwJFAGIbY")</f>
        <v>1FyH9_DNuLhpE4nmsqmShmBalNFvOSJkXWmfwJFAGIbY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IFERROR(__xludf.DUMMYFUNCTION("""COMPUTED_VALUE"""),"11B1jS02Qx8stlME1xlV2pDUG1XBNwnRJIbJvyhXVQTU")</f>
        <v>11B1jS02Qx8stlME1xlV2pDUG1XBNwnRJIbJvyhXVQTU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IFERROR(__xludf.DUMMYFUNCTION("""COMPUTED_VALUE"""),"1rM-78MS8N6cdStjZaSerf7wpy1tZk7L-YtMZdZF1e4I")</f>
        <v>1rM-78MS8N6cdStjZaSerf7wpy1tZk7L-YtMZdZF1e4I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IFERROR(__xludf.DUMMYFUNCTION("""COMPUTED_VALUE"""),"1yl8pvx2BNnssjdam12jw9grBzAPaEEZdWreBrV9r8ww")</f>
        <v>1yl8pvx2BNnssjdam12jw9grBzAPaEEZdWreBrV9r8ww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IFERROR(__xludf.DUMMYFUNCTION("""COMPUTED_VALUE"""),"1HQQyHuRHEwTC2Ds9-AwpQigPJmb1LMaDaDe45i75cQw")</f>
        <v>1HQQyHuRHEwTC2Ds9-AwpQigPJmb1LMaDaDe45i75cQw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IFERROR(__xludf.DUMMYFUNCTION("""COMPUTED_VALUE"""),"1RNnQ4Nfw8o74ttcT62JGNNFxapCqPHQNfLv9kJvphSU")</f>
        <v>1RNnQ4Nfw8o74ttcT62JGNNFxapCqPHQNfLv9kJvphSU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IFERROR(__xludf.DUMMYFUNCTION("""COMPUTED_VALUE"""),"1_b49aYNEj_YONJYVz6p7hTBRm2BFonqFasahFG8vGgc")</f>
        <v>1_b49aYNEj_YONJYVz6p7hTBRm2BFonqFasahFG8vGgc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IFERROR(__xludf.DUMMYFUNCTION("""COMPUTED_VALUE"""),"1wbG8cnDPRKoaRyt79Fe5WmZI5rZFtqbn3XESQsLM4-E")</f>
        <v>1wbG8cnDPRKoaRyt79Fe5WmZI5rZFtqbn3XESQsLM4-E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IFERROR(__xludf.DUMMYFUNCTION("""COMPUTED_VALUE"""),"1wQ1Czs5qMloCpjnUnYFzA3ZPpy62NtYuDMbBhUwwPV4")</f>
        <v>1wQ1Czs5qMloCpjnUnYFzA3ZPpy62NtYuDMbBhUwwPV4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IFERROR(__xludf.DUMMYFUNCTION("""COMPUTED_VALUE"""),"1o-nK-5oTv8xVcqmmtf07Qpc_o-f1YlliaaNQSFbvUtA")</f>
        <v>1o-nK-5oTv8xVcqmmtf07Qpc_o-f1YlliaaNQSFbvUtA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IFERROR(__xludf.DUMMYFUNCTION("""COMPUTED_VALUE"""),"1r-rMymfiQkk-4oXgetY1hJd6Ru31YECA24osD6q0lrs")</f>
        <v>1r-rMymfiQkk-4oXgetY1hJd6Ru31YECA24osD6q0lrs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IFERROR(__xludf.DUMMYFUNCTION("""COMPUTED_VALUE"""),"1tCaScf5ydPICAJ_JbmAN6eJSvxhLJHv41XxhhntFBjs")</f>
        <v>1tCaScf5ydPICAJ_JbmAN6eJSvxhLJHv41XxhhntFBjs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IFERROR(__xludf.DUMMYFUNCTION("""COMPUTED_VALUE"""),"1CnHR97Lyb-4vsS3cwR0KY3i_FCpUisCt0Ae3Ca1IycA")</f>
        <v>1CnHR97Lyb-4vsS3cwR0KY3i_FCpUisCt0Ae3Ca1IycA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IFERROR(__xludf.DUMMYFUNCTION("""COMPUTED_VALUE"""),"1SJc9vH_y42Cigo_7pqd9Syu0d-8uRrLr4XqM3QCg49M")</f>
        <v>1SJc9vH_y42Cigo_7pqd9Syu0d-8uRrLr4XqM3QCg49M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IFERROR(__xludf.DUMMYFUNCTION("""COMPUTED_VALUE"""),"1SnIeBnf8817c3o0OXAXiezTwXMr7jOJsGKAt-nLSI94")</f>
        <v>1SnIeBnf8817c3o0OXAXiezTwXMr7jOJsGKAt-nLSI94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IFERROR(__xludf.DUMMYFUNCTION("""COMPUTED_VALUE"""),"1QDn_E6hD05PJ3t8QlLTw51WCwcTrxto-R7fQ4_Q8GW0")</f>
        <v>1QDn_E6hD05PJ3t8QlLTw51WCwcTrxto-R7fQ4_Q8GW0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IFERROR(__xludf.DUMMYFUNCTION("""COMPUTED_VALUE"""),"1VdChSDfU_-32dK9ZTrg2HIS4IQAFkFf0a8t9jhedu6U")</f>
        <v>1VdChSDfU_-32dK9ZTrg2HIS4IQAFkFf0a8t9jhedu6U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IFERROR(__xludf.DUMMYFUNCTION("""COMPUTED_VALUE"""),"13ThXipmVTl-UE2lEeOw5qSsi6f9Uj926CgAVoGohrEA")</f>
        <v>13ThXipmVTl-UE2lEeOw5qSsi6f9Uj926CgAVoGohrEA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IFERROR(__xludf.DUMMYFUNCTION("""COMPUTED_VALUE"""),"1iYVinyCS8A2fHXhEqa3JM4B7dTIiPc6JtDLkabh8dgQ")</f>
        <v>1iYVinyCS8A2fHXhEqa3JM4B7dTIiPc6JtDLkabh8dgQ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IFERROR(__xludf.DUMMYFUNCTION("""COMPUTED_VALUE"""),"1eXqUHxPWH5TQSCe9Yr63lKdby4uC4kardYXDVW6bX10")</f>
        <v>1eXqUHxPWH5TQSCe9Yr63lKdby4uC4kardYXDVW6bX10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IFERROR(__xludf.DUMMYFUNCTION("""COMPUTED_VALUE"""),"1ugyC42YiaZebCKUHfPyviPO8zxaj4hDFwgly8sPIGF8")</f>
        <v>1ugyC42YiaZebCKUHfPyviPO8zxaj4hDFwgly8sPIGF8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IFERROR(__xludf.DUMMYFUNCTION("""COMPUTED_VALUE"""),"1Dzl7_H0y7TYoHTxLzSaiMCiP_8qn0Y_OBAQyvxuLT_c")</f>
        <v>1Dzl7_H0y7TYoHTxLzSaiMCiP_8qn0Y_OBAQyvxuLT_c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IFERROR(__xludf.DUMMYFUNCTION("""COMPUTED_VALUE"""),"1yYFA77f-KwqRazl8F9PTngCKWATlxu1dFXmXQ5vcVWw")</f>
        <v>1yYFA77f-KwqRazl8F9PTngCKWATlxu1dFXmXQ5vcVWw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IFERROR(__xludf.DUMMYFUNCTION("""COMPUTED_VALUE"""),"1E1Rmm3lbok6xt_iV8lqaYCY_SYj6ng9UKRtZYINHdvM")</f>
        <v>1E1Rmm3lbok6xt_iV8lqaYCY_SYj6ng9UKRtZYINHdvM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IFERROR(__xludf.DUMMYFUNCTION("""COMPUTED_VALUE"""),"1LnJnVemZi7c_dppP6PdZz6Oim8YovO4MjdXRBdYwIoQ")</f>
        <v>1LnJnVemZi7c_dppP6PdZz6Oim8YovO4MjdXRBdYwIoQ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IFERROR(__xludf.DUMMYFUNCTION("""COMPUTED_VALUE"""),"1ltO7G-JFSPFzTr4hk55tnmnEOb9HtAB0oppG3LDEhbw")</f>
        <v>1ltO7G-JFSPFzTr4hk55tnmnEOb9HtAB0oppG3LDEhbw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IFERROR(__xludf.DUMMYFUNCTION("""COMPUTED_VALUE"""),"1w0cjjObNfOBYCgihwWci-M80Y3GyOU6NzRMf3woTo4E")</f>
        <v>1w0cjjObNfOBYCgihwWci-M80Y3GyOU6NzRMf3woTo4E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IFERROR(__xludf.DUMMYFUNCTION("""COMPUTED_VALUE"""),"1-igrPAKu0gxwrD8PWjB530zZDcLfBjU43j1tXDVZ4sE")</f>
        <v>1-igrPAKu0gxwrD8PWjB530zZDcLfBjU43j1tXDVZ4sE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IFERROR(__xludf.DUMMYFUNCTION("""COMPUTED_VALUE"""),"1wbG8cnDPRKoaRyt79Fe5WmZI5rZFtqbn3XESQsLM4-E")</f>
        <v>1wbG8cnDPRKoaRyt79Fe5WmZI5rZFtqbn3XESQsLM4-E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IFERROR(__xludf.DUMMYFUNCTION("""COMPUTED_VALUE"""),"1bKkoPXNcsDHYOnWl7itugMaTppikbTixU0mXzY7LAuI")</f>
        <v>1bKkoPXNcsDHYOnWl7itugMaTppikbTixU0mXzY7LAuI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IFERROR(__xludf.DUMMYFUNCTION("""COMPUTED_VALUE"""),"17hDSNUaJDWAzLtqHjZYfkWPOaySRt8z-mZNIymPcatQ")</f>
        <v>17hDSNUaJDWAzLtqHjZYfkWPOaySRt8z-mZNIymPcatQ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IFERROR(__xludf.DUMMYFUNCTION("""COMPUTED_VALUE"""),"18Ywbe0n3H-uc51K0PY1H4MAkfVLfcR6JQb3-g0cJGac")</f>
        <v>18Ywbe0n3H-uc51K0PY1H4MAkfVLfcR6JQb3-g0cJGac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IFERROR(__xludf.DUMMYFUNCTION("""COMPUTED_VALUE"""),"1C2zOcZodO8SfuLk6dilOHKtMypDRKeR5NIAS4yUe64g")</f>
        <v>1C2zOcZodO8SfuLk6dilOHKtMypDRKeR5NIAS4yUe64g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IFERROR(__xludf.DUMMYFUNCTION("""COMPUTED_VALUE"""),"1eJTCUnBm1h18ZEqTbzcYRkvfGSCW0cl0n5v5WOrcP-I")</f>
        <v>1eJTCUnBm1h18ZEqTbzcYRkvfGSCW0cl0n5v5WOrcP-I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IFERROR(__xludf.DUMMYFUNCTION("""COMPUTED_VALUE"""),"1c2eAL2iNKgET5GJWSrDjxCluSomwOSKtFpdETkzxpGI")</f>
        <v>1c2eAL2iNKgET5GJWSrDjxCluSomwOSKtFpdETkzxpGI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IFERROR(__xludf.DUMMYFUNCTION("""COMPUTED_VALUE"""),"1iF1R8w7QWX2T1BLXqMuzKlc4SGm_l03ZAz9jIt-m02g")</f>
        <v>1iF1R8w7QWX2T1BLXqMuzKlc4SGm_l03ZAz9jIt-m02g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IFERROR(__xludf.DUMMYFUNCTION("""COMPUTED_VALUE"""),"1K60YC305hEgzcG1DBcAA1BzfxfW5yNIRX0lJOjci8pM")</f>
        <v>1K60YC305hEgzcG1DBcAA1BzfxfW5yNIRX0lJOjci8pM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IFERROR(__xludf.DUMMYFUNCTION("""COMPUTED_VALUE"""),"1yICcVuUMykNMXUOJWLWB1WzbAmnXgWMaL_EoNDeLCS8")</f>
        <v>1yICcVuUMykNMXUOJWLWB1WzbAmnXgWMaL_EoNDeLCS8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IFERROR(__xludf.DUMMYFUNCTION("""COMPUTED_VALUE"""),"1DwZwgsw7tW2e2lhdRKpSj9zrjTbWw5bY9UgkL2vDhCM")</f>
        <v>1DwZwgsw7tW2e2lhdRKpSj9zrjTbWw5bY9UgkL2vDhCM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IFERROR(__xludf.DUMMYFUNCTION("""COMPUTED_VALUE"""),"1elD1Pq644nFifDwoC-pUr3iyE_JMl_MFz6VBvFnr7rM")</f>
        <v>1elD1Pq644nFifDwoC-pUr3iyE_JMl_MFz6VBvFnr7rM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IFERROR(__xludf.DUMMYFUNCTION("""COMPUTED_VALUE"""),"1BZIvpRyTHAlRTjqAm9DvMXwUBcTZAtmbPM21k_IicDs")</f>
        <v>1BZIvpRyTHAlRTjqAm9DvMXwUBcTZAtmbPM21k_IicDs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IFERROR(__xludf.DUMMYFUNCTION("""COMPUTED_VALUE"""),"13WkHLtODh4yNTrcrwzsloDJmD852tz5yIFGvRNcHYrc")</f>
        <v>13WkHLtODh4yNTrcrwzsloDJmD852tz5yIFGvRNcHYrc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IFERROR(__xludf.DUMMYFUNCTION("""COMPUTED_VALUE"""),"1-dKwEVK32UJs75pisAQjrwfooakV50gff546x-JNRTE")</f>
        <v>1-dKwEVK32UJs75pisAQjrwfooakV50gff546x-JNRTE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IFERROR(__xludf.DUMMYFUNCTION("""COMPUTED_VALUE"""),"1Ybcs6SD0FOxIs1M5FKBG72f_uk5DTuu0mg2wBjST8_4")</f>
        <v>1Ybcs6SD0FOxIs1M5FKBG72f_uk5DTuu0mg2wBjST8_4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IFERROR(__xludf.DUMMYFUNCTION("""COMPUTED_VALUE"""),"1UDMKRt2OyTxEICYbwBJ_Mmg5362L26wUrHAWSctlOIQ")</f>
        <v>1UDMKRt2OyTxEICYbwBJ_Mmg5362L26wUrHAWSctlOIQ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IFERROR(__xludf.DUMMYFUNCTION("""COMPUTED_VALUE"""),"1FO6eJYiLMaWf6fEHjBnL0g3zDaat5q1IQYDCigq-clY")</f>
        <v>1FO6eJYiLMaWf6fEHjBnL0g3zDaat5q1IQYDCigq-clY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IFERROR(__xludf.DUMMYFUNCTION("""COMPUTED_VALUE"""),"1byAtsvh_Oe78J5zZ0QBlSYsnkfHa2TumUE4IjjwpxSI")</f>
        <v>1byAtsvh_Oe78J5zZ0QBlSYsnkfHa2TumUE4IjjwpxSI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IFERROR(__xludf.DUMMYFUNCTION("""COMPUTED_VALUE"""),"1mhlttD-FZlMf0Zy85_KSFYaiyeKbrhLLF-qKZ6RaBRM")</f>
        <v>1mhlttD-FZlMf0Zy85_KSFYaiyeKbrhLLF-qKZ6RaBRM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IFERROR(__xludf.DUMMYFUNCTION("""COMPUTED_VALUE"""),"1Mf_t2w8ags8flXmNBtysrkB68IYvqpGh6vILV_dSGFk")</f>
        <v>1Mf_t2w8ags8flXmNBtysrkB68IYvqpGh6vILV_dSGFk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IFERROR(__xludf.DUMMYFUNCTION("""COMPUTED_VALUE"""),"1NstG9FxIu2p1qqLaFhZUbNGv9yVrsG7P0db6MTPImto")</f>
        <v>1NstG9FxIu2p1qqLaFhZUbNGv9yVrsG7P0db6MTPImto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IFERROR(__xludf.DUMMYFUNCTION("""COMPUTED_VALUE"""),"1v6GWTmt-aUZ9abE2mFaf0XkUSeg1g36N-u9TlGW82rc")</f>
        <v>1v6GWTmt-aUZ9abE2mFaf0XkUSeg1g36N-u9TlGW82rc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IFERROR(__xludf.DUMMYFUNCTION("""COMPUTED_VALUE"""),"1WUYD-nLua_BjpW2TWAmfhgZA_ZugfYcx-A7EzkRhqsg")</f>
        <v>1WUYD-nLua_BjpW2TWAmfhgZA_ZugfYcx-A7EzkRhqsg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IFERROR(__xludf.DUMMYFUNCTION("""COMPUTED_VALUE"""),"1CgUEbKPChih494FzdW-B7BFEKt-06p4BkZ8HuUtsWvU")</f>
        <v>1CgUEbKPChih494FzdW-B7BFEKt-06p4BkZ8HuUtsWvU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IFERROR(__xludf.DUMMYFUNCTION("""COMPUTED_VALUE"""),"1rDR5w8KR-Nsr3qoUm9QI5vFJOKQQIOhAb88u1VlIKGQ")</f>
        <v>1rDR5w8KR-Nsr3qoUm9QI5vFJOKQQIOhAb88u1VlIKGQ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IFERROR(__xludf.DUMMYFUNCTION("""COMPUTED_VALUE"""),"19nZEtBS6VvRpTZfw_K3nZ2n34J2__mFGXFin1dpkTms")</f>
        <v>19nZEtBS6VvRpTZfw_K3nZ2n34J2__mFGXFin1dpkTms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IFERROR(__xludf.DUMMYFUNCTION("""COMPUTED_VALUE"""),"undefined")</f>
        <v>undefined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IFERROR(__xludf.DUMMYFUNCTION("""COMPUTED_VALUE"""),"1sPieTNuG7sP293pB2uSdk2ci1aY3JUWurOkIDsdSBK4")</f>
        <v>1sPieTNuG7sP293pB2uSdk2ci1aY3JUWurOkIDsdSBK4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IFERROR(__xludf.DUMMYFUNCTION("""COMPUTED_VALUE"""),"1MtodGFMnVnf39NuVM9-ghHMpcJqk-z-Q26y-pYvi8LI")</f>
        <v>1MtodGFMnVnf39NuVM9-ghHMpcJqk-z-Q26y-pYvi8LI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IFERROR(__xludf.DUMMYFUNCTION("""COMPUTED_VALUE"""),"1EE2Qn4lJ7KjHI-COjVVQULo7VFzJBj36w8UeQd-sj8s")</f>
        <v>1EE2Qn4lJ7KjHI-COjVVQULo7VFzJBj36w8UeQd-sj8s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IFERROR(__xludf.DUMMYFUNCTION("""COMPUTED_VALUE"""),"1UnTDtGwLhO93dc64s3PsUhvBwR7dqmJE7ZnAzt7Wl2k")</f>
        <v>1UnTDtGwLhO93dc64s3PsUhvBwR7dqmJE7ZnAzt7Wl2k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IFERROR(__xludf.DUMMYFUNCTION("""COMPUTED_VALUE"""),"1rLVSKP06wzRbYv_Q1Qa1oktigobZxYdHgdaGspFz9_c")</f>
        <v>1rLVSKP06wzRbYv_Q1Qa1oktigobZxYdHgdaGspFz9_c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IFERROR(__xludf.DUMMYFUNCTION("""COMPUTED_VALUE"""),"1l6YpVHjCo2Pxdh816MVSJcwh-BuQf_OeCeIsQ36l128")</f>
        <v>1l6YpVHjCo2Pxdh816MVSJcwh-BuQf_OeCeIsQ36l128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IFERROR(__xludf.DUMMYFUNCTION("""COMPUTED_VALUE"""),"1NROL_tyRiVBzd2RDIIe-m6kdrXruO38EuC_hrFIKD9w")</f>
        <v>1NROL_tyRiVBzd2RDIIe-m6kdrXruO38EuC_hrFIKD9w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IFERROR(__xludf.DUMMYFUNCTION("""COMPUTED_VALUE"""),"1G5ksBRg70Wnh0LJ7Aj4n_jg7OLQCz-fWGrKPwUwXTWU")</f>
        <v>1G5ksBRg70Wnh0LJ7Aj4n_jg7OLQCz-fWGrKPwUwXTWU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IFERROR(__xludf.DUMMYFUNCTION("""COMPUTED_VALUE"""),"1u70zOkZzd-vl-hmdHugN8GvWvIjS3XerIv89jdm5mh0")</f>
        <v>1u70zOkZzd-vl-hmdHugN8GvWvIjS3XerIv89jdm5mh0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IFERROR(__xludf.DUMMYFUNCTION("""COMPUTED_VALUE"""),"16r6M6Zv0kPGUembrEFGykdk_Qs21L89jMqH-OYJdlHw")</f>
        <v>16r6M6Zv0kPGUembrEFGykdk_Qs21L89jMqH-OYJdlHw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IFERROR(__xludf.DUMMYFUNCTION("""COMPUTED_VALUE"""),"1lubIDj_6NZ-fs9oFMwGk7LcMkGkjng_nRuhGdago5Zo")</f>
        <v>1lubIDj_6NZ-fs9oFMwGk7LcMkGkjng_nRuhGdago5Zo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IFERROR(__xludf.DUMMYFUNCTION("""COMPUTED_VALUE"""),"1KoM-W8Ap1bhvpWa6BM5oFA4J-mLt5R9D9iOvq6lCSLc")</f>
        <v>1KoM-W8Ap1bhvpWa6BM5oFA4J-mLt5R9D9iOvq6lCSLc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IFERROR(__xludf.DUMMYFUNCTION("""COMPUTED_VALUE"""),"1GDRvPqtcEMNHUkzmTznRpIZT-1vliZj0grYcE31o78w")</f>
        <v>1GDRvPqtcEMNHUkzmTznRpIZT-1vliZj0grYcE31o78w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IFERROR(__xludf.DUMMYFUNCTION("""COMPUTED_VALUE"""),"15ZNEYlKD98ImkSgKeCiBKxx9f9i5WOXyCyy3xs7X5PQ")</f>
        <v>15ZNEYlKD98ImkSgKeCiBKxx9f9i5WOXyCyy3xs7X5PQ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IFERROR(__xludf.DUMMYFUNCTION("""COMPUTED_VALUE"""),"1humDgQ2IHmxwdO6tG5cFKxhqFHv86CRCnkTFQU30PDE")</f>
        <v>1humDgQ2IHmxwdO6tG5cFKxhqFHv86CRCnkTFQU30PDE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IFERROR(__xludf.DUMMYFUNCTION("""COMPUTED_VALUE"""),"13H5BvVwQ2vDv6reJBp_wdw8QvgvYcTxu7VhQ0_jlbGI")</f>
        <v>13H5BvVwQ2vDv6reJBp_wdw8QvgvYcTxu7VhQ0_jlbGI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IFERROR(__xludf.DUMMYFUNCTION("""COMPUTED_VALUE"""),"1HieUFNahA0Ynbr0l-FOo3fJMK3isp-HBt4f6Anm8Rik")</f>
        <v>1HieUFNahA0Ynbr0l-FOo3fJMK3isp-HBt4f6Anm8Rik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IFERROR(__xludf.DUMMYFUNCTION("""COMPUTED_VALUE"""),"1O2rPwFuGUs6amVZ-bTvdZjXwNajT_BBjAETBrVsuSoI")</f>
        <v>1O2rPwFuGUs6amVZ-bTvdZjXwNajT_BBjAETBrVsuSoI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IFERROR(__xludf.DUMMYFUNCTION("""COMPUTED_VALUE"""),"1cNG6EBUYTksqVpqN9GQmSnfLLRt2DgHBPIHDbDGaxGM")</f>
        <v>1cNG6EBUYTksqVpqN9GQmSnfLLRt2DgHBPIHDbDGaxGM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IFERROR(__xludf.DUMMYFUNCTION("""COMPUTED_VALUE"""),"10EowMcZ_xiIjuewbkRqoGUgzzFr5BKxuAI3EGQleztQ")</f>
        <v>10EowMcZ_xiIjuewbkRqoGUgzzFr5BKxuAI3EGQleztQ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IFERROR(__xludf.DUMMYFUNCTION("""COMPUTED_VALUE"""),"1YavVPhJw24wl-vz8Vy93oG8P66xyKNidXcbsIWwSA_A")</f>
        <v>1YavVPhJw24wl-vz8Vy93oG8P66xyKNidXcbsIWwSA_A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IFERROR(__xludf.DUMMYFUNCTION("""COMPUTED_VALUE"""),"1oqvBSe9jbvMOaK8Gxlbo_Ylh-2o3AuGaEyaJbr3SctM")</f>
        <v>1oqvBSe9jbvMOaK8Gxlbo_Ylh-2o3AuGaEyaJbr3SctM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IFERROR(__xludf.DUMMYFUNCTION("""COMPUTED_VALUE"""),"1p6aIVJqJtjjHsyfrcvCLR88GL3DBxP3ZbjRWHoMzMsY")</f>
        <v>1p6aIVJqJtjjHsyfrcvCLR88GL3DBxP3ZbjRWHoMzMsY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IFERROR(__xludf.DUMMYFUNCTION("""COMPUTED_VALUE"""),"1b7eh2Ho8oxyrnu1I-wg2vv9ueMmHUKA681AmqLWLVgk")</f>
        <v>1b7eh2Ho8oxyrnu1I-wg2vv9ueMmHUKA681AmqLWLVgk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IFERROR(__xludf.DUMMYFUNCTION("""COMPUTED_VALUE"""),"1frUGX7ejqKZ-sHZFF4QRCZX3myd-p59Zp_gbJ5OTPHc")</f>
        <v>1frUGX7ejqKZ-sHZFF4QRCZX3myd-p59Zp_gbJ5OTPHc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IFERROR(__xludf.DUMMYFUNCTION("""COMPUTED_VALUE"""),"1wj5FNrpD5l4kHAGG9El_wLyoJM1UlA-tZscPY-51LBE")</f>
        <v>1wj5FNrpD5l4kHAGG9El_wLyoJM1UlA-tZscPY-51LBE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IFERROR(__xludf.DUMMYFUNCTION("""COMPUTED_VALUE"""),"1Ep_FswKLx59R3emL8ldne_-4WDhKGm1CEwx8HKs9JQI")</f>
        <v>1Ep_FswKLx59R3emL8ldne_-4WDhKGm1CEwx8HKs9JQI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IFERROR(__xludf.DUMMYFUNCTION("""COMPUTED_VALUE"""),"1NnZ8i6Ex0qgilG5aupFD5QbPhHOHuht5brqUAb354kk")</f>
        <v>1NnZ8i6Ex0qgilG5aupFD5QbPhHOHuht5brqUAb354kk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IFERROR(__xludf.DUMMYFUNCTION("""COMPUTED_VALUE"""),"CreateDoneAwayOrder")</f>
        <v>CreateDoneAwayOrder</v>
      </c>
      <c r="C150" t="str">
        <f>IFERROR(__xludf.DUMMYFUNCTION("""COMPUTED_VALUE"""),"1WWxNCcljMkpDyT2bqHuhARMiak2Wd5moMBGA6Xe1u_A")</f>
        <v>1WWxNCcljMkpDyT2bqHuhARMiak2Wd5moMBGA6Xe1u_A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IFERROR(__xludf.DUMMYFUNCTION("""COMPUTED_VALUE"""),"1yIb1ZfINbCmwlknp-jXupQ9Wf025JOfwZ1OdKgYV2YE")</f>
        <v>1yIb1ZfINbCmwlknp-jXupQ9Wf025JOfwZ1OdKgYV2YE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IFERROR(__xludf.DUMMYFUNCTION("""COMPUTED_VALUE"""),"1M60tOEuCXbXpY-jVRdLw9180xNNoxYYqPLw9SSmW1Ms")</f>
        <v>1M60tOEuCXbXpY-jVRdLw9180xNNoxYYqPLw9SSmW1Ms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IFERROR(__xludf.DUMMYFUNCTION("""COMPUTED_VALUE"""),"1r33Ikr3hIGV9w5EZHI-kf4KaFImFJoRWEK3BjdQ1imw")</f>
        <v>1r33Ikr3hIGV9w5EZHI-kf4KaFImFJoRWEK3BjdQ1imw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IFERROR(__xludf.DUMMYFUNCTION("""COMPUTED_VALUE"""),"1FcASw-6JeS3I5VRUWfh_q-9JTrkeNg2HJaXQwt0a4lA")</f>
        <v>1FcASw-6JeS3I5VRUWfh_q-9JTrkeNg2HJaXQwt0a4lA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IFERROR(__xludf.DUMMYFUNCTION("""COMPUTED_VALUE"""),"1gCcL09gvaXR-6Y9PT1Yaiu46S1LcYZR4D4faASYPMAU")</f>
        <v>1gCcL09gvaXR-6Y9PT1Yaiu46S1LcYZR4D4faASYPMAU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IFERROR(__xludf.DUMMYFUNCTION("""COMPUTED_VALUE"""),"14fCt7kBI1LmM_UtnNE9-6hJeM9lmSDe0uBoiKjZZP6s")</f>
        <v>14fCt7kBI1LmM_UtnNE9-6hJeM9lmSDe0uBoiKjZZP6s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IFERROR(__xludf.DUMMYFUNCTION("""COMPUTED_VALUE"""),"1W-nPuJYay9GxRzxG7zHMyyATo6OlD4NfahQkdLjprM4")</f>
        <v>1W-nPuJYay9GxRzxG7zHMyyATo6OlD4NfahQkdLjprM4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IFERROR(__xludf.DUMMYFUNCTION("""COMPUTED_VALUE"""),"1Tt7qb5X2ytTvmUGj49onMi46IhBO7TQD9W72IAUevfo")</f>
        <v>1Tt7qb5X2ytTvmUGj49onMi46IhBO7TQD9W72IAUevfo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IFERROR(__xludf.DUMMYFUNCTION("""COMPUTED_VALUE"""),"1-fq_18Jxm5xSlHVNqyFZejrj1B_NU393izT5dlHeuxU")</f>
        <v>1-fq_18Jxm5xSlHVNqyFZejrj1B_NU393izT5dlHeuxU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IFERROR(__xludf.DUMMYFUNCTION("""COMPUTED_VALUE"""),"1_kChYg5l3yV7QH_HFoTMWAcmeQBJqffcl0lju3L67ts")</f>
        <v>1_kChYg5l3yV7QH_HFoTMWAcmeQBJqffcl0lju3L67ts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IFERROR(__xludf.DUMMYFUNCTION("""COMPUTED_VALUE"""),"1SZE-McX9z8Rsd3m1Xq0v-xubIiPnXfpWwkpVBWlZTTc")</f>
        <v>1SZE-McX9z8Rsd3m1Xq0v-xubIiPnXfpWwkpVBWlZTTc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IFERROR(__xludf.DUMMYFUNCTION("""COMPUTED_VALUE"""),"19iqXomze2adrfqNNeJ5i-wdJp_ffOca0_r2BhpO2YvA")</f>
        <v>19iqXomze2adrfqNNeJ5i-wdJp_ffOca0_r2BhpO2YvA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IFERROR(__xludf.DUMMYFUNCTION("""COMPUTED_VALUE"""),"1WLGkB6HQ_3SSjaOLP_kf3SG-Q3Ws-tXCNKTUpQcrepY")</f>
        <v>1WLGkB6HQ_3SSjaOLP_kf3SG-Q3Ws-tXCNKTUpQcrepY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IFERROR(__xludf.DUMMYFUNCTION("""COMPUTED_VALUE"""),"14PN56mFDbPXrASeBPQLKAvNA63ymhVrDUeu39EdDKaA")</f>
        <v>14PN56mFDbPXrASeBPQLKAvNA63ymhVrDUeu39EdDKaA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IFERROR(__xludf.DUMMYFUNCTION("""COMPUTED_VALUE"""),"1vjxnjIOPJvHPR0k7y7PfORLGAPyEf4BojqAg_NpAEts")</f>
        <v>1vjxnjIOPJvHPR0k7y7PfORLGAPyEf4BojqAg_NpAEts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IFERROR(__xludf.DUMMYFUNCTION("""COMPUTED_VALUE"""),"1VKV55LPMWMna6kj0b4fot6gZpSZ0XpkxEFX7x2HRJgQ")</f>
        <v>1VKV55LPMWMna6kj0b4fot6gZpSZ0XpkxEFX7x2HRJgQ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IFERROR(__xludf.DUMMYFUNCTION("""COMPUTED_VALUE"""),"1C6yttP5lG5uETgDxqCNAkOohnkZ8vRjVKseGDcd6RFs")</f>
        <v>1C6yttP5lG5uETgDxqCNAkOohnkZ8vRjVKseGDcd6RFs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IFERROR(__xludf.DUMMYFUNCTION("""COMPUTED_VALUE"""),"1DwZwgsw7tW2e2lhdRKpSj9zrjTbWw5bY9UgkL2vDhCM")</f>
        <v>1DwZwgsw7tW2e2lhdRKpSj9zrjTbWw5bY9UgkL2vDhCM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IFERROR(__xludf.DUMMYFUNCTION("""COMPUTED_VALUE"""),"1XyIil3zqcvapCkiTWmnbLfcWEXl6C6APSGdFr3NZJG8")</f>
        <v>1XyIil3zqcvapCkiTWmnbLfcWEXl6C6APSGdFr3NZJG8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IFERROR(__xludf.DUMMYFUNCTION("""COMPUTED_VALUE"""),"1Lc-ML_4b7mnzXBfCq-LRzFQuGbQPc39jG1KhSPiuFlE")</f>
        <v>1Lc-ML_4b7mnzXBfCq-LRzFQuGbQPc39jG1KhSPiuFlE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IFERROR(__xludf.DUMMYFUNCTION("""COMPUTED_VALUE"""),"1JMP-lQIkD2QwHSSHVwOE1j_7tIv85AktZPPB_zFBu4g")</f>
        <v>1JMP-lQIkD2QwHSSHVwOE1j_7tIv85AktZPPB_zFBu4g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IFERROR(__xludf.DUMMYFUNCTION("""COMPUTED_VALUE"""),"135vbRrrwrzk897F89o7GD1m6iNZsBp_lnj4InoCVNE0")</f>
        <v>135vbRrrwrzk897F89o7GD1m6iNZsBp_lnj4InoCVNE0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IFERROR(__xludf.DUMMYFUNCTION("""COMPUTED_VALUE"""),"1Ec_IWzMeUliNjKol2y6pmSgRum2J9VsqCvZFt3xqFco")</f>
        <v>1Ec_IWzMeUliNjKol2y6pmSgRum2J9VsqCvZFt3xqFco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IFERROR(__xludf.DUMMYFUNCTION("""COMPUTED_VALUE"""),"1ObGJiH8e0w2LI1lmBMhqnl9SViMwVKJ6px28_Q92VNM")</f>
        <v>1ObGJiH8e0w2LI1lmBMhqnl9SViMwVKJ6px28_Q92VNM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IFERROR(__xludf.DUMMYFUNCTION("""COMPUTED_VALUE"""),"1ymnL8brS4piIejGIiuAnnzgM1bziR2xhL2jzSBV1qRM")</f>
        <v>1ymnL8brS4piIejGIiuAnnzgM1bziR2xhL2jzSBV1qRM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IFERROR(__xludf.DUMMYFUNCTION("""COMPUTED_VALUE"""),"1_72nhxMbXkh8VooECOna0J5TKUPJnCq8jqNpW1z0NLM")</f>
        <v>1_72nhxMbXkh8VooECOna0J5TKUPJnCq8jqNpW1z0NLM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IFERROR(__xludf.DUMMYFUNCTION("""COMPUTED_VALUE"""),"1i3gHTkEvO5RFvfa-_RWAOm_qeL_f-wJCsrC-8wIGZ6Y")</f>
        <v>1i3gHTkEvO5RFvfa-_RWAOm_qeL_f-wJCsrC-8wIGZ6Y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IFERROR(__xludf.DUMMYFUNCTION("""COMPUTED_VALUE"""),"1SLMbiVp1idCSKBTzPSSDLhDhozgBNQCfpVukbyB7thY")</f>
        <v>1SLMbiVp1idCSKBTzPSSDLhDhozgBNQCfpVukbyB7thY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IFERROR(__xludf.DUMMYFUNCTION("""COMPUTED_VALUE"""),"1Qa9CdxxS5Z0S3jnxvulMJqhgE9McUwgc6YNzBXw9Ue0")</f>
        <v>1Qa9CdxxS5Z0S3jnxvulMJqhgE9McUwgc6YNzBXw9Ue0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IFERROR(__xludf.DUMMYFUNCTION("""COMPUTED_VALUE"""),"1mmYBpr0GlamOHVnmMvTZu5SWwPHjlSn9Hew0JcEclE4")</f>
        <v>1mmYBpr0GlamOHVnmMvTZu5SWwPHjlSn9Hew0JcEclE4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IFERROR(__xludf.DUMMYFUNCTION("""COMPUTED_VALUE"""),"1pyS-o6xgxAyAaaFbTNxj2s4ymyId-H_d2BS1ZiAwZ90")</f>
        <v>1pyS-o6xgxAyAaaFbTNxj2s4ymyId-H_d2BS1ZiAwZ90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IFERROR(__xludf.DUMMYFUNCTION("""COMPUTED_VALUE"""),"1jUmzfa1fZ7C-rrxlKoQVdKNqnwXhUqaOJdbxYFFu9hs")</f>
        <v>1jUmzfa1fZ7C-rrxlKoQVdKNqnwXhUqaOJdbxYFFu9hs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IFERROR(__xludf.DUMMYFUNCTION("""COMPUTED_VALUE"""),"1DrF0eK7q4Xrydy8povblZrW4zstSeUwz_8-DXeIKDSM")</f>
        <v>1DrF0eK7q4Xrydy8povblZrW4zstSeUwz_8-DXeIKDSM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IFERROR(__xludf.DUMMYFUNCTION("""COMPUTED_VALUE"""),"1M69A0LGgDhksi1STYVGScxM0VltOmlNqES0oO1qZC3k")</f>
        <v>1M69A0LGgDhksi1STYVGScxM0VltOmlNqES0oO1qZC3k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IFERROR(__xludf.DUMMYFUNCTION("""COMPUTED_VALUE"""),"1Ejc3KTqLiozGL3xbu8H4mY-bluIwP7JnkGw-vML9xAs")</f>
        <v>1Ejc3KTqLiozGL3xbu8H4mY-bluIwP7JnkGw-vML9xAs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IFERROR(__xludf.DUMMYFUNCTION("""COMPUTED_VALUE"""),"1TBG9WB37Tejt4i__5Z6O9DOoHWwlHSJtRC2wvWl4T2A")</f>
        <v>1TBG9WB37Tejt4i__5Z6O9DOoHWwlHSJtRC2wvWl4T2A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IFERROR(__xludf.DUMMYFUNCTION("""COMPUTED_VALUE"""),"1ONkDQ-nmco_dgxArIydbCMAm9SKxJTcGJg44Ae52xf4")</f>
        <v>1ONkDQ-nmco_dgxArIydbCMAm9SKxJTcGJg44Ae52xf4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IFERROR(__xludf.DUMMYFUNCTION("""COMPUTED_VALUE"""),"1vmW4vXeNj4LyGabWEForqZJm7m6oi1iZDGAKyw3rkz4")</f>
        <v>1vmW4vXeNj4LyGabWEForqZJm7m6oi1iZDGAKyw3rkz4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IFERROR(__xludf.DUMMYFUNCTION("""COMPUTED_VALUE"""),"1SZTnx-5lAi0A-pLpa1rd_n5DO56tq9e0FEQ29hMKOXc")</f>
        <v>1SZTnx-5lAi0A-pLpa1rd_n5DO56tq9e0FEQ29hMKOXc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IFERROR(__xludf.DUMMYFUNCTION("""COMPUTED_VALUE"""),"18NbyjC9m1q4Loj25twoC0VgvLescZQ-9DldSvRaf66k")</f>
        <v>18NbyjC9m1q4Loj25twoC0VgvLescZQ-9DldSvRaf66k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IFERROR(__xludf.DUMMYFUNCTION("""COMPUTED_VALUE"""),"1lj_zXObvdONHFT3sx7oYdroKJ-2inBXqykTXTx7hAt8")</f>
        <v>1lj_zXObvdONHFT3sx7oYdroKJ-2inBXqykTXTx7hAt8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IFERROR(__xludf.DUMMYFUNCTION("""COMPUTED_VALUE"""),"1J-j6Ygxf7XjRXk5bhqq6Ad_W-EtUa7HqYL9Rbe-DPB4")</f>
        <v>1J-j6Ygxf7XjRXk5bhqq6Ad_W-EtUa7HqYL9Rbe-DPB4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IFERROR(__xludf.DUMMYFUNCTION("""COMPUTED_VALUE"""),"1JB-2CaRKOzDCM_a5zzW5u75jr1Z7wd_3e-QRZjtmR1M")</f>
        <v>1JB-2CaRKOzDCM_a5zzW5u75jr1Z7wd_3e-QRZjtmR1M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IFERROR(__xludf.DUMMYFUNCTION("""COMPUTED_VALUE"""),"1LOrO6A_4G2yz5WYAzFyG35DN6UA5GGBMFL26bFj86gQ")</f>
        <v>1LOrO6A_4G2yz5WYAzFyG35DN6UA5GGBMFL26bFj86gQ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IFERROR(__xludf.DUMMYFUNCTION("""COMPUTED_VALUE"""),"1DwZwgsw7tW2e2lhdRKpSj9zrjTbWw5bY9UgkL2vDhCM")</f>
        <v>1DwZwgsw7tW2e2lhdRKpSj9zrjTbWw5bY9UgkL2vDhCM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IFERROR(__xludf.DUMMYFUNCTION("""COMPUTED_VALUE"""),"1KqGbYM2VWhOT7rFvXwCXbwBHtU76y2xsY21OwBaIefw")</f>
        <v>1KqGbYM2VWhOT7rFvXwCXbwBHtU76y2xsY21OwBaIefw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IFERROR(__xludf.DUMMYFUNCTION("""COMPUTED_VALUE"""),"1x6Y1D1wePO5kpJNM6_zy2bb4oBcYilmqN0_9DJSbUZk")</f>
        <v>1x6Y1D1wePO5kpJNM6_zy2bb4oBcYilmqN0_9DJSbUZk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IFERROR(__xludf.DUMMYFUNCTION("""COMPUTED_VALUE"""),"1BHD6CIu9kwPwx3o6St6Pqr5CHOJcDtR64K9t0OINqzQ")</f>
        <v>1BHD6CIu9kwPwx3o6St6Pqr5CHOJcDtR64K9t0OINqzQ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IFERROR(__xludf.DUMMYFUNCTION("""COMPUTED_VALUE"""),"1ZQlGjU5crZZ51m481SHGztb58CodNUTcnx1199lD3OA")</f>
        <v>1ZQlGjU5crZZ51m481SHGztb58CodNUTcnx1199lD3OA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IFERROR(__xludf.DUMMYFUNCTION("""COMPUTED_VALUE"""),"1Bnx8HDHZOGy0uEa4zDZRNYdEWK9MWHKlTNcj_yYnicI")</f>
        <v>1Bnx8HDHZOGy0uEa4zDZRNYdEWK9MWHKlTNcj_yYnicI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IFERROR(__xludf.DUMMYFUNCTION("""COMPUTED_VALUE"""),"1ZbzcO6YbBitmL6yGKW4dCu4GMTx76RB-KVM-gmc5iog")</f>
        <v>1ZbzcO6YbBitmL6yGKW4dCu4GMTx76RB-KVM-gmc5iog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IFERROR(__xludf.DUMMYFUNCTION("""COMPUTED_VALUE"""),"1ll8iIIhauD7nWbO1NLOLB3yZYku0G0Wck73zIyoO6rM")</f>
        <v>1ll8iIIhauD7nWbO1NLOLB3yZYku0G0Wck73zIyoO6rM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IFERROR(__xludf.DUMMYFUNCTION("""COMPUTED_VALUE"""),"1Efblv6HqiaY9hKklb16A6-Ggm4KDwhrN4EL42c3QgkM")</f>
        <v>1Efblv6HqiaY9hKklb16A6-Ggm4KDwhrN4EL42c3QgkM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IFERROR(__xludf.DUMMYFUNCTION("""COMPUTED_VALUE"""),"1ebKKL8wTd_hdu-a3Uzxf91Kqon1eb2GhJ-qj9w_8HdM")</f>
        <v>1ebKKL8wTd_hdu-a3Uzxf91Kqon1eb2GhJ-qj9w_8HdM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IFERROR(__xludf.DUMMYFUNCTION("""COMPUTED_VALUE"""),"1mPlqV4lGaG_Rj6-uHuMM29jBq3qpLCxB3q5msNB7Img")</f>
        <v>1mPlqV4lGaG_Rj6-uHuMM29jBq3qpLCxB3q5msNB7Img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IFERROR(__xludf.DUMMYFUNCTION("""COMPUTED_VALUE"""),"15Pj_b3KWXADWtlfBK9Jy_HqIOFmsT7ayZE8vJEZmbTw")</f>
        <v>15Pj_b3KWXADWtlfBK9Jy_HqIOFmsT7ayZE8vJEZmbTw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IFERROR(__xludf.DUMMYFUNCTION("""COMPUTED_VALUE"""),"1zaSnQ9Q0OzN6dhNNATesyaXKI7dzuhtvBdyZz8Q17lo")</f>
        <v>1zaSnQ9Q0OzN6dhNNATesyaXKI7dzuhtvBdyZz8Q17lo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IFERROR(__xludf.DUMMYFUNCTION("""COMPUTED_VALUE"""),"1qunG1qJzTO_vW12XNN7MAvzIcQB-MFr7vH1OL9gONVc")</f>
        <v>1qunG1qJzTO_vW12XNN7MAvzIcQB-MFr7vH1OL9gONVc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IFERROR(__xludf.DUMMYFUNCTION("""COMPUTED_VALUE"""),"11mPz7oqPdJcUR10EIbEhiqoa0u13ILKo6eddxWOxuSU")</f>
        <v>11mPz7oqPdJcUR10EIbEhiqoa0u13ILKo6eddxWOxuSU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IFERROR(__xludf.DUMMYFUNCTION("""COMPUTED_VALUE"""),"1l8J_nh1KWs_cg1OkbyYUYtUYw_0ffRgNEa7sJz5z_8k")</f>
        <v>1l8J_nh1KWs_cg1OkbyYUYtUYw_0ffRgNEa7sJz5z_8k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IFERROR(__xludf.DUMMYFUNCTION("""COMPUTED_VALUE"""),"1RVDmN8aeYzjrcVG9wkfbXSi4jbLF3t0MHlAQu9K1HwI")</f>
        <v>1RVDmN8aeYzjrcVG9wkfbXSi4jbLF3t0MHlAQu9K1HwI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IFERROR(__xludf.DUMMYFUNCTION("""COMPUTED_VALUE"""),"19lZaKF0pGtHaiAPfiaJP9_M4wuM-lqdqiwXHFELZA90")</f>
        <v>19lZaKF0pGtHaiAPfiaJP9_M4wuM-lqdqiwXHFELZA90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IFERROR(__xludf.DUMMYFUNCTION("""COMPUTED_VALUE"""),"1t8lUDiQD6H1FTDPSGFRfeeJmaxQA_Y3ElFwkrLyRF8I")</f>
        <v>1t8lUDiQD6H1FTDPSGFRfeeJmaxQA_Y3ElFwkrLyRF8I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IFERROR(__xludf.DUMMYFUNCTION("""COMPUTED_VALUE"""),"1QXEwWFGXIe26d9sPAKwtVam2EJpcaZ68-07Xnv7SGAw")</f>
        <v>1QXEwWFGXIe26d9sPAKwtVam2EJpcaZ68-07Xnv7SGAw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IFERROR(__xludf.DUMMYFUNCTION("""COMPUTED_VALUE"""),"1L4VqyaZUuGhqSH2pOWEYaVXqGCtFrtAJQQHkuTsromw")</f>
        <v>1L4VqyaZUuGhqSH2pOWEYaVXqGCtFrtAJQQHkuTsromw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IFERROR(__xludf.DUMMYFUNCTION("""COMPUTED_VALUE"""),"1RZJkALgTkwiKP01XMPaSS01rghPIfExvHrIW_a20wWw")</f>
        <v>1RZJkALgTkwiKP01XMPaSS01rghPIfExvHrIW_a20wWw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IFERROR(__xludf.DUMMYFUNCTION("""COMPUTED_VALUE"""),"16zU9dU2xnHueAuU-cKw0-VtH83dOnx7gk7a5vOfR1vA")</f>
        <v>16zU9dU2xnHueAuU-cKw0-VtH83dOnx7gk7a5vOfR1vA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IFERROR(__xludf.DUMMYFUNCTION("""COMPUTED_VALUE"""),"1OuEW8KD05XyVWWmzo3UgNmSqSF7F0XCCWnB94KPIIKE")</f>
        <v>1OuEW8KD05XyVWWmzo3UgNmSqSF7F0XCCWnB94KPIIKE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IFERROR(__xludf.DUMMYFUNCTION("""COMPUTED_VALUE"""),"1trBzCi2iVR-sKp4uH_TB6qJa0MO4cbcJNLdLrF-wKbQ")</f>
        <v>1trBzCi2iVR-sKp4uH_TB6qJa0MO4cbcJNLdLrF-wKbQ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IFERROR(__xludf.DUMMYFUNCTION("""COMPUTED_VALUE"""),"1ilzfr8vVYU9mYRkXW2hIzax17cptVwD8p6XOV7831Jo")</f>
        <v>1ilzfr8vVYU9mYRkXW2hIzax17cptVwD8p6XOV7831Jo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IFERROR(__xludf.DUMMYFUNCTION("""COMPUTED_VALUE"""),"1W4QZwMSt59S5dLE_ZJHlhi2ubx_r0SfiLev0LTMHmH4")</f>
        <v>1W4QZwMSt59S5dLE_ZJHlhi2ubx_r0SfiLev0LTMHmH4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IFERROR(__xludf.DUMMYFUNCTION("""COMPUTED_VALUE"""),"1Z7gPOsoe9xmXt8IkQe7NyC2ZevqOixx2DD-Sud7crBE")</f>
        <v>1Z7gPOsoe9xmXt8IkQe7NyC2ZevqOixx2DD-Sud7crBE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IFERROR(__xludf.DUMMYFUNCTION("""COMPUTED_VALUE"""),"1E9VHzrQDXtuVGqNZ2FbQyYUmvRaDPvhOwoxj0OLJ11c")</f>
        <v>1E9VHzrQDXtuVGqNZ2FbQyYUmvRaDPvhOwoxj0OLJ11c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IFERROR(__xludf.DUMMYFUNCTION("""COMPUTED_VALUE"""),"10zlz5dNOc9qyLcV82osJUwjQCO2QTSn0V5I5u6KdiDk")</f>
        <v>10zlz5dNOc9qyLcV82osJUwjQCO2QTSn0V5I5u6KdiDk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IFERROR(__xludf.DUMMYFUNCTION("""COMPUTED_VALUE"""),"1yHjuZafoiMYgKGplBef8LeB7g8lKsKI1zkEgRjJeyFE")</f>
        <v>1yHjuZafoiMYgKGplBef8LeB7g8lKsKI1zkEgRjJeyFE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IFERROR(__xludf.DUMMYFUNCTION("""COMPUTED_VALUE"""),"1tl3XuOfHFcWOgANduZw41xCLKHgxlScn6ADigCdHpD4")</f>
        <v>1tl3XuOfHFcWOgANduZw41xCLKHgxlScn6ADigCdHpD4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IFERROR(__xludf.DUMMYFUNCTION("""COMPUTED_VALUE"""),"1hTjjel3iQG5iBDhOa6xjiwSaTwzXuDd_2kjwDUof5U8")</f>
        <v>1hTjjel3iQG5iBDhOa6xjiwSaTwzXuDd_2kjwDUof5U8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IFERROR(__xludf.DUMMYFUNCTION("""COMPUTED_VALUE"""),"1PpvHufSZriwqLSu9QJQ-wxL4HBhzshNLU9Y8EzR6ZHc")</f>
        <v>1PpvHufSZriwqLSu9QJQ-wxL4HBhzshNLU9Y8EzR6ZHc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IFERROR(__xludf.DUMMYFUNCTION("""COMPUTED_VALUE"""),"1E97T3DqTd4NCQ67sK27799hB3AV1XW326vGz6HCOcZc")</f>
        <v>1E97T3DqTd4NCQ67sK27799hB3AV1XW326vGz6HCOcZc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IFERROR(__xludf.DUMMYFUNCTION("""COMPUTED_VALUE"""),"1D49cajPUfra80LT3CQew7uCftGqnPxGaC6bb1Wxo7So")</f>
        <v>1D49cajPUfra80LT3CQew7uCftGqnPxGaC6bb1Wxo7So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IFERROR(__xludf.DUMMYFUNCTION("""COMPUTED_VALUE"""),"19t9NwrjYpPbmrER1ciFp8Hgt3YjKNc8fmfYYFpLZi7k")</f>
        <v>19t9NwrjYpPbmrER1ciFp8Hgt3YjKNc8fmfYYFpLZi7k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IFERROR(__xludf.DUMMYFUNCTION("""COMPUTED_VALUE"""),"1clM0ivXhnGUCoqNk3q9YLuaM9EXVJWEdqgBrYE291z4")</f>
        <v>1clM0ivXhnGUCoqNk3q9YLuaM9EXVJWEdqgBrYE291z4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IFERROR(__xludf.DUMMYFUNCTION("""COMPUTED_VALUE"""),"15ZNEYlKD98ImkSgKeCiBKxx9f9i5WOXyCyy3xs7X5PQ")</f>
        <v>15ZNEYlKD98ImkSgKeCiBKxx9f9i5WOXyCyy3xs7X5PQ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IFERROR(__xludf.DUMMYFUNCTION("""COMPUTED_VALUE"""),"1Sly3_62p5sXA-qqADJ2RyA0-Rux6Lp26sku2Wp2V3UE")</f>
        <v>1Sly3_62p5sXA-qqADJ2RyA0-Rux6Lp26sku2Wp2V3UE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IFERROR(__xludf.DUMMYFUNCTION("""COMPUTED_VALUE"""),"1M7r8Y-gyLWrpVvU_QIxzGvLbBw6MX5qBZbxxiEKE-rw")</f>
        <v>1M7r8Y-gyLWrpVvU_QIxzGvLbBw6MX5qBZbxxiEKE-rw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IFERROR(__xludf.DUMMYFUNCTION("""COMPUTED_VALUE"""),"1VsltPWZf5CWSFqozHTYsK0krCBto6Fxo_50GgxNek3Y")</f>
        <v>1VsltPWZf5CWSFqozHTYsK0krCBto6Fxo_50GgxNek3Y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IFERROR(__xludf.DUMMYFUNCTION("""COMPUTED_VALUE"""),"1x0kp_Q4wtAuTiyoleB1ytyJUjd6VHgVpi5ny_KdL6bc")</f>
        <v>1x0kp_Q4wtAuTiyoleB1ytyJUjd6VHgVpi5ny_KdL6bc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IFERROR(__xludf.DUMMYFUNCTION("""COMPUTED_VALUE"""),"1D98N_KzSStHkoZLPL8ohyGdq2ey-Ovs8oVC-J-SlSjw")</f>
        <v>1D98N_KzSStHkoZLPL8ohyGdq2ey-Ovs8oVC-J-SlSjw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IFERROR(__xludf.DUMMYFUNCTION("""COMPUTED_VALUE"""),"1nw_IGeRDUCZg3GPE9V2G4bGBs23Do4FHcl7xiP4GtJg")</f>
        <v>1nw_IGeRDUCZg3GPE9V2G4bGBs23Do4FHcl7xiP4GtJg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IFERROR(__xludf.DUMMYFUNCTION("""COMPUTED_VALUE"""),"16G5iA8C2jT2GNLJ2K1pqGEnUA0Fre_Vqnm-Mq6s1O3E")</f>
        <v>16G5iA8C2jT2GNLJ2K1pqGEnUA0Fre_Vqnm-Mq6s1O3E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IFERROR(__xludf.DUMMYFUNCTION("""COMPUTED_VALUE"""),"1UU1K4a7XLX9c-cB-AImks5BVS4BRH8VAlg8F65Hl_D4")</f>
        <v>1UU1K4a7XLX9c-cB-AImks5BVS4BRH8VAlg8F65Hl_D4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IFERROR(__xludf.DUMMYFUNCTION("""COMPUTED_VALUE"""),"1Dm1uNmTms-zyjqixEKW9p-k1JmFk3IrgdQPIxyvSjQU")</f>
        <v>1Dm1uNmTms-zyjqixEKW9p-k1JmFk3IrgdQPIxyvSjQU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IFERROR(__xludf.DUMMYFUNCTION("""COMPUTED_VALUE"""),"1oM292mQYb3-uS9NpY4QsQuhlX1O5NlxqmyDXhrCVueU")</f>
        <v>1oM292mQYb3-uS9NpY4QsQuhlX1O5NlxqmyDXhrCVueU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IFERROR(__xludf.DUMMYFUNCTION("""COMPUTED_VALUE"""),"1TD64fWGpZHbImxXH_ZDrH7QaWVGtsZ89ssxAPr3can4")</f>
        <v>1TD64fWGpZHbImxXH_ZDrH7QaWVGtsZ89ssxAPr3can4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IFERROR(__xludf.DUMMYFUNCTION("""COMPUTED_VALUE"""),"1rv5oF9D2E7LqmWNCLIjcDLU5k4Svb9D-aHkVfgBv7o4")</f>
        <v>1rv5oF9D2E7LqmWNCLIjcDLU5k4Svb9D-aHkVfgBv7o4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IFERROR(__xludf.DUMMYFUNCTION("""COMPUTED_VALUE"""),"1qSjDf274j-E4NWUGb3VF2wbNJmjd5t-f_zoBUEcIwxo")</f>
        <v>1qSjDf274j-E4NWUGb3VF2wbNJmjd5t-f_zoBUEcIwxo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IFERROR(__xludf.DUMMYFUNCTION("""COMPUTED_VALUE"""),"1v-SW82H6MnQ7NBMcjk8AYQnEYMtf4SsetBhLRhswC-s")</f>
        <v>1v-SW82H6MnQ7NBMcjk8AYQnEYMtf4SsetBhLRhswC-s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IFERROR(__xludf.DUMMYFUNCTION("""COMPUTED_VALUE"""),"1sencc2Sxcn04gttGrJdnT7pmmwsMovvC-hjMt1MyEp4")</f>
        <v>1sencc2Sxcn04gttGrJdnT7pmmwsMovvC-hjMt1MyEp4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IFERROR(__xludf.DUMMYFUNCTION("""COMPUTED_VALUE"""),"17MLjTM4rUHtVhEpmjSpy3P9xH3uijaQfk3YcRkzZqGA")</f>
        <v>17MLjTM4rUHtVhEpmjSpy3P9xH3uijaQfk3YcRkzZqGA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IFERROR(__xludf.DUMMYFUNCTION("""COMPUTED_VALUE"""),"1aVmOOQDDPOJKnfxC3ntbAJAxkShSRJ0NEAugAsfdKn4")</f>
        <v>1aVmOOQDDPOJKnfxC3ntbAJAxkShSRJ0NEAugAsfdKn4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IFERROR(__xludf.DUMMYFUNCTION("""COMPUTED_VALUE"""),"1asUqwmdhgDB9F_WNL47A-lPdU6Rmu5eSVJx6ES1t9_E")</f>
        <v>1asUqwmdhgDB9F_WNL47A-lPdU6Rmu5eSVJx6ES1t9_E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IFERROR(__xludf.DUMMYFUNCTION("""COMPUTED_VALUE"""),"1bVrCnqVmmz-2YBcVR1ZsabgmpGpQljHDn9FaWExjaLg")</f>
        <v>1bVrCnqVmmz-2YBcVR1ZsabgmpGpQljHDn9FaWExjaLg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IFERROR(__xludf.DUMMYFUNCTION("""COMPUTED_VALUE"""),"1W7kVEsqP46gOw8-XcXYdxZiracuoXXHFsjtXtRRYldI")</f>
        <v>1W7kVEsqP46gOw8-XcXYdxZiracuoXXHFsjtXtRRYldI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IFERROR(__xludf.DUMMYFUNCTION("""COMPUTED_VALUE"""),"1HZUI4_0Rl00tWUcOq6nMFPE-VS-gK3Mma-sWYoQWUM8")</f>
        <v>1HZUI4_0Rl00tWUcOq6nMFPE-VS-gK3Mma-sWYoQWUM8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IFERROR(__xludf.DUMMYFUNCTION("""COMPUTED_VALUE"""),"1lSSb3ld7gGiZPyrQsMiB6fw3PKRGBJdzbBUq-9Dc_Y0")</f>
        <v>1lSSb3ld7gGiZPyrQsMiB6fw3PKRGBJdzbBUq-9Dc_Y0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IFERROR(__xludf.DUMMYFUNCTION("""COMPUTED_VALUE"""),"1Jdbda0ZCJ3HJv7_BB7-8Q-o1dK9lYDJHpxskMoHCkks")</f>
        <v>1Jdbda0ZCJ3HJv7_BB7-8Q-o1dK9lYDJHpxskMoHCkks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IFERROR(__xludf.DUMMYFUNCTION("""COMPUTED_VALUE"""),"19CNffroShadt1hgRoDE-YGpZQ1d2aH-DjJPUrEijw_g")</f>
        <v>19CNffroShadt1hgRoDE-YGpZQ1d2aH-DjJPUrEijw_g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IFERROR(__xludf.DUMMYFUNCTION("""COMPUTED_VALUE"""),"1fBaES21Jq-3lcyz6Zlq71qejwg4l5nbSp0tOigIQB6Q")</f>
        <v>1fBaES21Jq-3lcyz6Zlq71qejwg4l5nbSp0tOigIQB6Q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IFERROR(__xludf.DUMMYFUNCTION("""COMPUTED_VALUE"""),"1cQ1o1bxOaqTHakGtKWNnP51GARdQwE3-oo2XppAALC8")</f>
        <v>1cQ1o1bxOaqTHakGtKWNnP51GARdQwE3-oo2XppAALC8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IFERROR(__xludf.DUMMYFUNCTION("""COMPUTED_VALUE"""),"1zi_VdDKx0AddpqAMWyw6rgf5oi_qo5fEsz0PH8PQtcI")</f>
        <v>1zi_VdDKx0AddpqAMWyw6rgf5oi_qo5fEsz0PH8PQtcI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IFERROR(__xludf.DUMMYFUNCTION("""COMPUTED_VALUE"""),"1w7Ngskl06f1rfspOgnU8ftzAB6wlkgjKJmD7_8mU1fc")</f>
        <v>1w7Ngskl06f1rfspOgnU8ftzAB6wlkgjKJmD7_8mU1fc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IFERROR(__xludf.DUMMYFUNCTION("""COMPUTED_VALUE"""),"1vhJLjcp212wDPOVmMNjqvWx9pDxB7W67ECMmHBUJBnk")</f>
        <v>1vhJLjcp212wDPOVmMNjqvWx9pDxB7W67ECMmHBUJBnk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IFERROR(__xludf.DUMMYFUNCTION("""COMPUTED_VALUE"""),"1BA3gzXknolF6k5W7-S0WGIIPoiQqrZwYCcrbsgSW4QU")</f>
        <v>1BA3gzXknolF6k5W7-S0WGIIPoiQqrZwYCcrbsgSW4QU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IFERROR(__xludf.DUMMYFUNCTION("""COMPUTED_VALUE"""),"1dO9MBKxjCNj_n5NF-Nxvq7EImDHUucj4JZSaOoBo0pw")</f>
        <v>1dO9MBKxjCNj_n5NF-Nxvq7EImDHUucj4JZSaOoBo0pw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IFERROR(__xludf.DUMMYFUNCTION("""COMPUTED_VALUE"""),"1crJ5UiE9vpKV47xp-oYpZy9miim1WBTL0cdpQI9FxCQ")</f>
        <v>1crJ5UiE9vpKV47xp-oYpZy9miim1WBTL0cdpQI9FxCQ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IFERROR(__xludf.DUMMYFUNCTION("""COMPUTED_VALUE"""),"1WA0pmsfLq_-dZxaJn5eJIHziRsLJsDszhvcYhhwCh9U")</f>
        <v>1WA0pmsfLq_-dZxaJn5eJIHziRsLJsDszhvcYhhwCh9U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IFERROR(__xludf.DUMMYFUNCTION("""COMPUTED_VALUE"""),"1u929XEjqActk13kal_YS2bmPczY68TMTaKpZSycRPT8")</f>
        <v>1u929XEjqActk13kal_YS2bmPczY68TMTaKpZSycRPT8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IFERROR(__xludf.DUMMYFUNCTION("""COMPUTED_VALUE"""),"14QABl8Dt73KhKybL_muWKM38k0MOwBPFKbmJmIfu-e8")</f>
        <v>14QABl8Dt73KhKybL_muWKM38k0MOwBPFKbmJmIfu-e8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IFERROR(__xludf.DUMMYFUNCTION("""COMPUTED_VALUE"""),"1pwW4Onz0SuAWYtSLu52egV_Rj7tuRBkgAEYT0kGp9nk")</f>
        <v>1pwW4Onz0SuAWYtSLu52egV_Rj7tuRBkgAEYT0kGp9nk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IFERROR(__xludf.DUMMYFUNCTION("""COMPUTED_VALUE"""),"16a70EP3CEex51ahBQH32ftqC0tg6DSEThIl9JxyhDNU")</f>
        <v>16a70EP3CEex51ahBQH32ftqC0tg6DSEThIl9JxyhDNU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IFERROR(__xludf.DUMMYFUNCTION("""COMPUTED_VALUE"""),"1XpWGbE0QW2giiI8fH2euJ7W2amp5NXgYjJbtsBS4YvY")</f>
        <v>1XpWGbE0QW2giiI8fH2euJ7W2amp5NXgYjJbtsBS4YvY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IFERROR(__xludf.DUMMYFUNCTION("""COMPUTED_VALUE"""),"1mU1gWxT2Mi4hKl-wOeaRSlj-4gVISgwsj35gBWcyG0E")</f>
        <v>1mU1gWxT2Mi4hKl-wOeaRSlj-4gVISgwsj35gBWcyG0E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IFERROR(__xludf.DUMMYFUNCTION("""COMPUTED_VALUE"""),"1ARSBUMfSeOoL8cbPQVTGMKLxYXKekNqQx3lEHNDhQhc")</f>
        <v>1ARSBUMfSeOoL8cbPQVTGMKLxYXKekNqQx3lEHNDhQhc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IFERROR(__xludf.DUMMYFUNCTION("""COMPUTED_VALUE"""),"1_6kMLuAKbqokLODQ4CTzGuA1PzGwzyWau0cuIz0FmU0")</f>
        <v>1_6kMLuAKbqokLODQ4CTzGuA1PzGwzyWau0cuIz0FmU0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IFERROR(__xludf.DUMMYFUNCTION("""COMPUTED_VALUE"""),"1d-uzM6R5Qq3AuDPkFkjsPgTvZr3CLEvkpBhcP541UXg")</f>
        <v>1d-uzM6R5Qq3AuDPkFkjsPgTvZr3CLEvkpBhcP541UXg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IFERROR(__xludf.DUMMYFUNCTION("""COMPUTED_VALUE"""),"1DBJ6c5tLC9R8ZehVU_d1xULydc6K-QwYWVJtC-NiAGQ")</f>
        <v>1DBJ6c5tLC9R8ZehVU_d1xULydc6K-QwYWVJtC-NiAGQ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IFERROR(__xludf.DUMMYFUNCTION("""COMPUTED_VALUE"""),"1FG3fss4M4Hy5ydirkT8FaWQlPdshExJLqnqHaJf7uOg")</f>
        <v>1FG3fss4M4Hy5ydirkT8FaWQlPdshExJLqnqHaJf7uOg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IFERROR(__xludf.DUMMYFUNCTION("""COMPUTED_VALUE"""),"1RzEgF3EcG_1--FLw-YJG-sdlb3OqPu-w0lHPM6S2wT4")</f>
        <v>1RzEgF3EcG_1--FLw-YJG-sdlb3OqPu-w0lHPM6S2wT4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IFERROR(__xludf.DUMMYFUNCTION("""COMPUTED_VALUE"""),"1CQrKM4stpTDrx_QyLtejhgejpj7NhKohUgZR--_lWqY")</f>
        <v>1CQrKM4stpTDrx_QyLtejhgejpj7NhKohUgZR--_lWqY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IFERROR(__xludf.DUMMYFUNCTION("""COMPUTED_VALUE"""),"1Jt8pnRsamKhU30eeob6hS8memffsxEwV5A3cadwEc58")</f>
        <v>1Jt8pnRsamKhU30eeob6hS8memffsxEwV5A3cadwEc58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IFERROR(__xludf.DUMMYFUNCTION("""COMPUTED_VALUE"""),"1JjS94nKtGAKa0tgBXP-0KYVuutS_uOlalcLpfmo7uTM")</f>
        <v>1JjS94nKtGAKa0tgBXP-0KYVuutS_uOlalcLpfmo7uTM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IFERROR(__xludf.DUMMYFUNCTION("""COMPUTED_VALUE"""),"14wV2FgjZtddP6kzcdKY65tC2xbx0d7lXYzGl03Kdp_c")</f>
        <v>14wV2FgjZtddP6kzcdKY65tC2xbx0d7lXYzGl03Kdp_c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
UpdateGRDefaultRule")</f>
        <v>
UpdateGRDefaultRule</v>
      </c>
      <c r="C289" t="str">
        <f>IFERROR(__xludf.DUMMYFUNCTION("""COMPUTED_VALUE"""),"1MA8idaakq8HQ9FQUUrhEF7wXIBGxEnA-6YlE5YFWIm4")</f>
        <v>1MA8idaakq8HQ9FQUUrhEF7wXIBGxEnA-6YlE5YFWIm4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IFERROR(__xludf.DUMMYFUNCTION("""COMPUTED_VALUE"""),"1qKWqJWcUWQb3Ff7izeX9CwUEedF8IpyvRvQtcoifZ10")</f>
        <v>1qKWqJWcUWQb3Ff7izeX9CwUEedF8IpyvRvQtcoifZ10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IFERROR(__xludf.DUMMYFUNCTION("""COMPUTED_VALUE"""),"12oK1TYX9VRBLogDdN1I0b2ulPtNltViCpex96kUdGbg")</f>
        <v>12oK1TYX9VRBLogDdN1I0b2ulPtNltViCpex96kUdGbg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IFERROR(__xludf.DUMMYFUNCTION("""COMPUTED_VALUE"""),"1wbG8cnDPRKoaRyt79Fe5WmZI5rZFtqbn3XESQsLM4-E")</f>
        <v>1wbG8cnDPRKoaRyt79Fe5WmZI5rZFtqbn3XESQsLM4-E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IFERROR(__xludf.DUMMYFUNCTION("""COMPUTED_VALUE"""),"1wbG8cnDPRKoaRyt79Fe5WmZI5rZFtqbn3XESQsLM4-E")</f>
        <v>1wbG8cnDPRKoaRyt79Fe5WmZI5rZFtqbn3XESQsLM4-E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IFERROR(__xludf.DUMMYFUNCTION("""COMPUTED_VALUE"""),"1CN0M5o0Y7lH3vP3cbpnYp-QUInb0sFucqwfWhFY00no")</f>
        <v>1CN0M5o0Y7lH3vP3cbpnYp-QUInb0sFucqwfWhFY00no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IFERROR(__xludf.DUMMYFUNCTION("""COMPUTED_VALUE"""),"1WN9R-pvqz2NsQfk64WGKiJ7UY_jPPJ6EI0_LovU__S8")</f>
        <v>1WN9R-pvqz2NsQfk64WGKiJ7UY_jPPJ6EI0_LovU__S8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IFERROR(__xludf.DUMMYFUNCTION("""COMPUTED_VALUE"""),"1cnoifmwk2_mhDammLTE8exfFa9SVUBflv61-RYIHNLE")</f>
        <v>1cnoifmwk2_mhDammLTE8exfFa9SVUBflv61-RYIHNLE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IFERROR(__xludf.DUMMYFUNCTION("""COMPUTED_VALUE"""),"15c2IasjQ1wPY7JIjX8ybpGNV74W41ZD9KeKRx6jOd1A")</f>
        <v>15c2IasjQ1wPY7JIjX8ybpGNV74W41ZD9KeKRx6jOd1A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IFERROR(__xludf.DUMMYFUNCTION("""COMPUTED_VALUE"""),"1cpQYUkaEsecAILkjdP_L6tgBvuNBeE5I_bc9RaVxqFU")</f>
        <v>1cpQYUkaEsecAILkjdP_L6tgBvuNBeE5I_bc9RaVxqFU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IFERROR(__xludf.DUMMYFUNCTION("""COMPUTED_VALUE"""),"1CdLoryx_3sspiEs7KkleQsjFGoBy3v15h2RI33KkBx0")</f>
        <v>1CdLoryx_3sspiEs7KkleQsjFGoBy3v15h2RI33KkBx0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IFERROR(__xludf.DUMMYFUNCTION("""COMPUTED_VALUE"""),"14TADwpK5rkI4OdZQyBoYlBUjFXUeqVkm7cX8lEWmDIY")</f>
        <v>14TADwpK5rkI4OdZQyBoYlBUjFXUeqVkm7cX8lEWmDIY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IFERROR(__xludf.DUMMYFUNCTION("""COMPUTED_VALUE"""),"1Zrcmocb_o_441ppRP0oX7cFHeu6Wxe2QcduSF9h8W3Y")</f>
        <v>1Zrcmocb_o_441ppRP0oX7cFHeu6Wxe2QcduSF9h8W3Y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IFERROR(__xludf.DUMMYFUNCTION("""COMPUTED_VALUE"""),"1IKTvCJwSJpPs6B38DXywrwDC91yngvM62Fywsx86zM0")</f>
        <v>1IKTvCJwSJpPs6B38DXywrwDC91yngvM62Fywsx86zM0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IFERROR(__xludf.DUMMYFUNCTION("""COMPUTED_VALUE"""),"1_PygB6FoYxIqeliO-DoKrN-5mpQ_zsgdlfPEt8ulVlk")</f>
        <v>1_PygB6FoYxIqeliO-DoKrN-5mpQ_zsgdlfPEt8ulVlk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IFERROR(__xludf.DUMMYFUNCTION("""COMPUTED_VALUE"""),"1DwZwgsw7tW2e2lhdRKpSj9zrjTbWw5bY9UgkL2vDhCM")</f>
        <v>1DwZwgsw7tW2e2lhdRKpSj9zrjTbWw5bY9UgkL2vDhCM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IFERROR(__xludf.DUMMYFUNCTION("""COMPUTED_VALUE"""),"1XyIil3zqcvapCkiTWmnbLfcWEXl6C6APSGdFr3NZJG8")</f>
        <v>1XyIil3zqcvapCkiTWmnbLfcWEXl6C6APSGdFr3NZJG8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IFERROR(__xludf.DUMMYFUNCTION("""COMPUTED_VALUE"""),"1t7AKjMWTtXFWFC2QBdWPVU27s8QxDux60_9v0Q8F3Pg")</f>
        <v>1t7AKjMWTtXFWFC2QBdWPVU27s8QxDux60_9v0Q8F3Pg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IFERROR(__xludf.DUMMYFUNCTION("""COMPUTED_VALUE"""),"1tV7q6NTOLJEaO6lZHstePuzxrCvJl4mFbuhn1YaWMOo")</f>
        <v>1tV7q6NTOLJEaO6lZHstePuzxrCvJl4mFbuhn1YaWMOo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IFERROR(__xludf.DUMMYFUNCTION("""COMPUTED_VALUE"""),"1vdn31c0_2fVtxEuxkTtd313fbzYqXpg-siCQHA6iDBg")</f>
        <v>1vdn31c0_2fVtxEuxkTtd313fbzYqXpg-siCQHA6iDBg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IFERROR(__xludf.DUMMYFUNCTION("""COMPUTED_VALUE"""),"1UUpqeNz3rEhEqJlWurUZbEfSpfBb5Z4YLQfOBa-VIqA")</f>
        <v>1UUpqeNz3rEhEqJlWurUZbEfSpfBb5Z4YLQfOBa-VIqA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IFERROR(__xludf.DUMMYFUNCTION("""COMPUTED_VALUE"""),"Expnl")</f>
        <v>Expnl</v>
      </c>
      <c r="B316" t="str">
        <f>IFERROR(__xludf.DUMMYFUNCTION("""COMPUTED_VALUE"""),"UpdateExpnlConfig")</f>
        <v>UpdateExpnlConfig</v>
      </c>
      <c r="C316" t="str">
        <f>IFERROR(__xludf.DUMMYFUNCTION("""COMPUTED_VALUE"""),"1NamH1pbqJndvNiEqFUwegB5VZSbO1D7R-jY33KVUJrk")</f>
        <v>1NamH1pbqJndvNiEqFUwegB5VZSbO1D7R-jY33KVUJrk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IFERROR(__xludf.DUMMYFUNCTION("""COMPUTED_VALUE"""),"PranaClient")</f>
        <v>PranaClient</v>
      </c>
      <c r="B317" t="str">
        <f>IFERROR(__xludf.DUMMYFUNCTION("""COMPUTED_VALUE"""),"UpdateClientConfig")</f>
        <v>UpdateClientConfig</v>
      </c>
      <c r="C317" t="str">
        <f>IFERROR(__xludf.DUMMYFUNCTION("""COMPUTED_VALUE"""),"1a7WMd0x-7LoNSxzc0WID0blUxt1LCTpF8joVV3hdiU4")</f>
        <v>1a7WMd0x-7LoNSxzc0WID0blUxt1LCTpF8joVV3hdiU4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IFERROR(__xludf.DUMMYFUNCTION("""COMPUTED_VALUE"""),"OpenCreateTransactionFromPM")</f>
        <v>OpenCreateTransactionFromPM</v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IFERROR(__xludf.DUMMYFUNCTION("""COMPUTED_VALUE"""),"1lqzFOWUrYKxoDnXLz4pSl7IbQ58dClWYoXV5ZqrvALk")</f>
        <v>1lqzFOWUrYKxoDnXLz4pSl7IbQ58dClWYoXV5ZqrvALk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IFERROR(__xludf.DUMMYFUNCTION("""COMPUTED_VALUE"""),"1mbyX9Qx7CqsBHx2DP1Ud_WO4PSBJ8NOFJGoygOAJGJc")</f>
        <v>1mbyX9Qx7CqsBHx2DP1Ud_WO4PSBJ8NOFJGoygOAJGJc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IFERROR(__xludf.DUMMYFUNCTION("""COMPUTED_VALUE"""),"143gM8knN6s60Ymg0rc7hCpeDOm77XzBA0AK8e0xGS9I")</f>
        <v>143gM8knN6s60Ymg0rc7hCpeDOm77XzBA0AK8e0xGS9I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IFERROR(__xludf.DUMMYFUNCTION("""COMPUTED_VALUE"""),"1fljn34JKrRLrz8idSQMJMe5V_igl9MlkR3NQ4gJ5wro")</f>
        <v>1fljn34JKrRLrz8idSQMJMe5V_igl9MlkR3NQ4gJ5wro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IFERROR(__xludf.DUMMYFUNCTION("""COMPUTED_VALUE"""),"1ieqOx4TijIbdZYpQS5KFdsJpFFMP4DCg-vYsu92Qxko")</f>
        <v>1ieqOx4TijIbdZYpQS5KFdsJpFFMP4DCg-vYsu92Qxko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IFERROR(__xludf.DUMMYFUNCTION("""COMPUTED_VALUE"""),"1OvHqXo5b9AZEGUb_-7ioHFcuNKq1euJiMfRkoxc0wAk")</f>
        <v>1OvHqXo5b9AZEGUb_-7ioHFcuNKq1euJiMfRkoxc0wAk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IFERROR(__xludf.DUMMYFUNCTION("""COMPUTED_VALUE"""),"1mbtlmfgL0zovE8RNk74TWhQCdQxJaFIfWP951bZOSaQ")</f>
        <v>1mbtlmfgL0zovE8RNk74TWhQCdQxJaFIfWP951bZOSaQ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IFERROR(__xludf.DUMMYFUNCTION("""COMPUTED_VALUE"""),"1DBFXDXPFAe46_WmLuRRAXpUTeRFn5sCnWKxmPkEQbiY")</f>
        <v>1DBFXDXPFAe46_WmLuRRAXpUTeRFn5sCnWKxmPkEQbiY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IFERROR(__xludf.DUMMYFUNCTION("""COMPUTED_VALUE"""),"1AW0W5OpNI8piJti92bvV6r4Yi53xl_tnAzVVBt4KToI")</f>
        <v>1AW0W5OpNI8piJti92bvV6r4Yi53xl_tnAzVVBt4KToI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IFERROR(__xludf.DUMMYFUNCTION("""COMPUTED_VALUE"""),"1DKgJA8AMVIdQUIQVRiMHraFRWjR_rCX9KidYAyE9ZV0")</f>
        <v>1DKgJA8AMVIdQUIQVRiMHraFRWjR_rCX9KidYAyE9ZV0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IFERROR(__xludf.DUMMYFUNCTION("""COMPUTED_VALUE"""),"1m7dGjzUpb9-mSm1HayiYgk3XVU2qiiAWjKpgYl5Xnvg")</f>
        <v>1m7dGjzUpb9-mSm1HayiYgk3XVU2qiiAWjKpgYl5Xnvg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IFERROR(__xludf.DUMMYFUNCTION("""COMPUTED_VALUE"""),"1AaEGGpI-apb5EQdrymeF0ecCcEcvh9QqoDVa_4vm9OU")</f>
        <v>1AaEGGpI-apb5EQdrymeF0ecCcEcvh9QqoDVa_4vm9OU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IFERROR(__xludf.DUMMYFUNCTION("""COMPUTED_VALUE"""),"16UvNO-gIBaNIB-zupdPBI5NlUJ-G_ZFve0HvTQXrNnI")</f>
        <v>16UvNO-gIBaNIB-zupdPBI5NlUJ-G_ZFve0HvTQXrNnI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IFERROR(__xludf.DUMMYFUNCTION("""COMPUTED_VALUE"""),"1XVANRGHR72EtI4gMeC8w6z1bfz73dlrTInlK2H7ZoKk")</f>
        <v>1XVANRGHR72EtI4gMeC8w6z1bfz73dlrTInlK2H7ZoKk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IFERROR(__xludf.DUMMYFUNCTION("""COMPUTED_VALUE"""),"1XVANRGHR72EtI4gMeC8w6z1bfz73dlrTInlK2H7ZoKk")</f>
        <v>1XVANRGHR72EtI4gMeC8w6z1bfz73dlrTInlK2H7ZoKk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IFERROR(__xludf.DUMMYFUNCTION("""COMPUTED_VALUE"""),"1QLQ-b7wpLxxRpXuiwaP2UmfqEQKMMiLseYWch10z3q4")</f>
        <v>1QLQ-b7wpLxxRpXuiwaP2UmfqEQKMMiLseYWch10z3q4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IFERROR(__xludf.DUMMYFUNCTION("""COMPUTED_VALUE"""),"1IbsqNoVe3AANVe9RF_s3dzDgPh-TdCwzEFl-kQfv97E")</f>
        <v>1IbsqNoVe3AANVe9RF_s3dzDgPh-TdCwzEFl-kQfv97E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IFERROR(__xludf.DUMMYFUNCTION("""COMPUTED_VALUE"""),"1IbsqNoVe3AANVe9RF_s3dzDgPh-TdCwzEFl-kQfv97E")</f>
        <v>1IbsqNoVe3AANVe9RF_s3dzDgPh-TdCwzEFl-kQfv97E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IFERROR(__xludf.DUMMYFUNCTION("""COMPUTED_VALUE"""),"16GgprnT3OM6eiXC407Ex18m2-CxYezhGQ7aVXwMZ49Q")</f>
        <v>16GgprnT3OM6eiXC407Ex18m2-CxYezhGQ7aVXwMZ49Q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IFERROR(__xludf.DUMMYFUNCTION("""COMPUTED_VALUE"""),"1dEvI-MMoahmF_AfUINg_abDbKcusElSTQ1QJkj6gzLU")</f>
        <v>1dEvI-MMoahmF_AfUINg_abDbKcusElSTQ1QJkj6gzLU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IFERROR(__xludf.DUMMYFUNCTION("""COMPUTED_VALUE"""),"Simulator")</f>
        <v>Simulator</v>
      </c>
      <c r="B349" t="str">
        <f>IFERROR(__xludf.DUMMYFUNCTION("""COMPUTED_VALUE"""),"SelectTrade")</f>
        <v>SelectTrade</v>
      </c>
      <c r="C349" t="str">
        <f>IFERROR(__xludf.DUMMYFUNCTION("""COMPUTED_VALUE"""),"13xGlSZfhBmVETaZPNAHkDBo54pH0fX89F1jCdfHRoK8")</f>
        <v>13xGlSZfhBmVETaZPNAHkDBo54pH0fX89F1jCdfHRoK8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IFERROR(__xludf.DUMMYFUNCTION("""COMPUTED_VALUE"""),"Simulator")</f>
        <v>Simulator</v>
      </c>
      <c r="B350" t="str">
        <f>IFERROR(__xludf.DUMMYFUNCTION("""COMPUTED_VALUE"""),"AcknowledgeTrade")</f>
        <v>AcknowledgeTrade</v>
      </c>
      <c r="C350" t="str">
        <f>IFERROR(__xludf.DUMMYFUNCTION("""COMPUTED_VALUE"""),"1db9kZ1EGtyi_9tPzsf1GngLTLGnOenDJdmT1Va_NqC8")</f>
        <v>1db9kZ1EGtyi_9tPzsf1GngLTLGnOenDJdmT1Va_NqC8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IFERROR(__xludf.DUMMYFUNCTION("""COMPUTED_VALUE"""),"Simulator")</f>
        <v>Simulator</v>
      </c>
      <c r="B351" t="str">
        <f>IFERROR(__xludf.DUMMYFUNCTION("""COMPUTED_VALUE"""),"ExecuteTrade")</f>
        <v>ExecuteTrade</v>
      </c>
      <c r="C351" t="str">
        <f>IFERROR(__xludf.DUMMYFUNCTION("""COMPUTED_VALUE"""),"1pseWwDSWP5MtF7elaC76swh0N3OjwfrAmJJr_HVtwHk")</f>
        <v>1pseWwDSWP5MtF7elaC76swh0N3OjwfrAmJJr_HVtwHk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IFERROR(__xludf.DUMMYFUNCTION("""COMPUTED_VALUE"""),"Simulator")</f>
        <v>Simulator</v>
      </c>
      <c r="B352" t="str">
        <f>IFERROR(__xludf.DUMMYFUNCTION("""COMPUTED_VALUE"""),"CancelTrade")</f>
        <v>CancelTrade</v>
      </c>
      <c r="C352" t="str">
        <f>IFERROR(__xludf.DUMMYFUNCTION("""COMPUTED_VALUE"""),"1joPs6YcHpp0vEsOoM502L6x54P_wzdWyhCvL3kF-Q7o")</f>
        <v>1joPs6YcHpp0vEsOoM502L6x54P_wzdWyhCvL3kF-Q7o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IFERROR(__xludf.DUMMYFUNCTION("""COMPUTED_VALUE"""),"Simulator")</f>
        <v>Simulator</v>
      </c>
      <c r="B353" t="str">
        <f>IFERROR(__xludf.DUMMYFUNCTION("""COMPUTED_VALUE"""),"OpenLiveTT")</f>
        <v>OpenLiveTT</v>
      </c>
      <c r="C353" t="str">
        <f>IFERROR(__xludf.DUMMYFUNCTION("""COMPUTED_VALUE"""),"1WkYlMePzeK9ShXbizZS7mvUUierPHeQAR6NuE6GS87w")</f>
        <v>1WkYlMePzeK9ShXbizZS7mvUUierPHeQAR6NuE6GS87w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IFERROR(__xludf.DUMMYFUNCTION("""COMPUTED_VALUE"""),"Simulator")</f>
        <v>Simulator</v>
      </c>
      <c r="B354" t="str">
        <f>IFERROR(__xludf.DUMMYFUNCTION("""COMPUTED_VALUE"""),"RejectTrade")</f>
        <v>RejectTrade</v>
      </c>
      <c r="C354" t="str">
        <f>IFERROR(__xludf.DUMMYFUNCTION("""COMPUTED_VALUE"""),"1WqHgq6xvcK6OcYA5UpO-uYEkFLhvAxjJ76Jb55BS8ok")</f>
        <v>1WqHgq6xvcK6OcYA5UpO-uYEkFLhvAxjJ76Jb55BS8ok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IFERROR(__xludf.DUMMYFUNCTION("""COMPUTED_VALUE"""),"TradingTicket")</f>
        <v>TradingTicket</v>
      </c>
      <c r="B355" t="str">
        <f>IFERROR(__xludf.DUMMYFUNCTION("""COMPUTED_VALUE"""),"CreateLiveOrder")</f>
        <v>CreateLiveOrder</v>
      </c>
      <c r="C355" t="str">
        <f>IFERROR(__xludf.DUMMYFUNCTION("""COMPUTED_VALUE"""),"13xdcDMx8WP31CqtMPhCXOpZ-r_goNNP2blePA2BUjkg")</f>
        <v>13xdcDMx8WP31CqtMPhCXOpZ-r_goNNP2blePA2BUjkg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IFERROR(__xludf.DUMMYFUNCTION("""COMPUTED_VALUE"""),"Simulator ")</f>
        <v>Simulator </v>
      </c>
      <c r="B356" t="str">
        <f>IFERROR(__xludf.DUMMYFUNCTION("""COMPUTED_VALUE"""),"SetManualResponse ")</f>
        <v>SetManualResponse </v>
      </c>
      <c r="C356" t="str">
        <f>IFERROR(__xludf.DUMMYFUNCTION("""COMPUTED_VALUE"""),"19krNqwP_Id7j5VZWPMyF3JrLz_SkuDr7r_DoYW3sqD4")</f>
        <v>19krNqwP_Id7j5VZWPMyF3JrLz_SkuDr7r_DoYW3sqD4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IFERROR(__xludf.DUMMYFUNCTION("""COMPUTED_VALUE"""),"Simulator")</f>
        <v>Simulator</v>
      </c>
      <c r="B357" t="str">
        <f>IFERROR(__xludf.DUMMYFUNCTION("""COMPUTED_VALUE"""),"ClearUI")</f>
        <v>ClearUI</v>
      </c>
      <c r="C357" t="str">
        <f>IFERROR(__xludf.DUMMYFUNCTION("""COMPUTED_VALUE"""),"1w9YD-HgRiVIrAaTAwdWJBP16pc50TTFcsstey3Ecb8E")</f>
        <v>1w9YD-HgRiVIrAaTAwdWJBP16pc50TTFcsstey3Ecb8E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IFERROR(__xludf.DUMMYFUNCTION("""COMPUTED_VALUE"""),"Closing")</f>
        <v>Closing</v>
      </c>
      <c r="B358" t="str">
        <f>IFERROR(__xludf.DUMMYFUNCTION("""COMPUTED_VALUE"""),"EditTradeUnexpiredUnsettled")</f>
        <v>EditTradeUnexpiredUnsettled</v>
      </c>
      <c r="C358" t="str">
        <f>IFERROR(__xludf.DUMMYFUNCTION("""COMPUTED_VALUE"""),"1MizLnZXxzqUGVQFQs2cU3MpkG6rU5tgJs9s5UDhtUMs")</f>
        <v>1MizLnZXxzqUGVQFQs2cU3MpkG6rU5tgJs9s5UDhtUMs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2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9" t="s">
        <v>5</v>
      </c>
      <c r="C3" s="7"/>
    </row>
    <row r="4" ht="15.75" customHeight="1">
      <c r="A4" s="10" t="s">
        <v>7</v>
      </c>
      <c r="B4" s="14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0" t="s">
        <v>6</v>
      </c>
      <c r="B3" s="11" t="s">
        <v>8</v>
      </c>
      <c r="C3" s="11" t="s">
        <v>9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13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IFERROR(__xludf.DUMMYFUNCTION("""COMPUTED_VALUE"""),"MasterFundName")</f>
        <v>MasterFundName</v>
      </c>
      <c r="C5" s="27" t="str">
        <f>IFERROR(__xludf.DUMMYFUNCTION("""COMPUTED_VALUE"""),"TargetPercentage")</f>
        <v>TargetPercentage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 t="s">
        <v>18</v>
      </c>
      <c r="C6" s="32">
        <v>0.0</v>
      </c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4" t="s">
        <v>19</v>
      </c>
      <c r="C7" s="32">
        <v>100.0</v>
      </c>
      <c r="D7" s="14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SetMasterFundRatio!$4:$4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15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/>
      <c r="B5" s="28" t="s">
        <v>17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4"/>
      <c r="B6" s="30">
        <v>42789.0</v>
      </c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21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 t="s">
        <v>25</v>
      </c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20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IFERROR(__xludf.DUMMYFUNCTION("""COMPUTED_VALUE"""),"Ticker Symbol")</f>
        <v>Ticker Symbol</v>
      </c>
      <c r="D5" s="27" t="str">
        <f>IFERROR(__xludf.DUMMYFUNCTION("""COMPUTED_VALUE"""),"Description")</f>
        <v>Description</v>
      </c>
      <c r="E5" s="27" t="str">
        <f>IFERROR(__xludf.DUMMYFUNCTION("""COMPUTED_VALUE"""),"Sedol Symbol")</f>
        <v>Sedol Symbol</v>
      </c>
      <c r="F5" s="28" t="str">
        <f>IFERROR(__xludf.DUMMYFUNCTION("""COMPUTED_VALUE"""),"Bloomberg Symbol")</f>
        <v>Bloomberg Symbol</v>
      </c>
      <c r="G5" s="27" t="str">
        <f>IFERROR(__xludf.DUMMYFUNCTION("""COMPUTED_VALUE"""),"Side")</f>
        <v>Side</v>
      </c>
      <c r="H5" s="27" t="str">
        <f>IFERROR(__xludf.DUMMYFUNCTION("""COMPUTED_VALUE"""),"Quantity")</f>
        <v>Quantity</v>
      </c>
      <c r="I5" s="27" t="str">
        <f>IFERROR(__xludf.DUMMYFUNCTION("""COMPUTED_VALUE"""),"Total Quantity")</f>
        <v>Total Quantity</v>
      </c>
      <c r="J5" s="27" t="str">
        <f>IFERROR(__xludf.DUMMYFUNCTION("""COMPUTED_VALUE"""),"Allocation %")</f>
        <v>Allocation %</v>
      </c>
      <c r="K5" s="27" t="str">
        <f>IFERROR(__xludf.DUMMYFUNCTION("""COMPUTED_VALUE"""),"RoundLots")</f>
        <v>RoundLots</v>
      </c>
      <c r="L5" s="27" t="str">
        <f>IFERROR(__xludf.DUMMYFUNCTION("""COMPUTED_VALUE"""),"Trade Type")</f>
        <v>Trade Type</v>
      </c>
      <c r="M5" s="27" t="str">
        <f>IFERROR(__xludf.DUMMYFUNCTION("""COMPUTED_VALUE"""),"Currency")</f>
        <v>Currency</v>
      </c>
      <c r="N5" s="27" t="str">
        <f>IFERROR(__xludf.DUMMYFUNCTION("""COMPUTED_VALUE"""),"PB")</f>
        <v>PB</v>
      </c>
      <c r="O5" s="27" t="str">
        <f>IFERROR(__xludf.DUMMYFUNCTION("""COMPUTED_VALUE"""),"Allocation Scheme Key")</f>
        <v>Allocation Scheme Key</v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33"/>
      <c r="B6" s="34" t="s">
        <v>22</v>
      </c>
      <c r="C6" s="34" t="s">
        <v>23</v>
      </c>
      <c r="D6" s="33"/>
      <c r="E6" s="33"/>
      <c r="F6" s="33"/>
      <c r="G6" s="35"/>
      <c r="H6" s="35">
        <v>1150.0</v>
      </c>
      <c r="I6" s="36">
        <v>1150.0</v>
      </c>
      <c r="J6" s="36">
        <v>100.0</v>
      </c>
      <c r="K6" s="37">
        <v>0.0</v>
      </c>
      <c r="L6" s="33"/>
      <c r="M6" s="33"/>
      <c r="N6" s="35"/>
      <c r="O6" s="34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CheckFixedPreference!$4:$4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26</v>
      </c>
      <c r="D3" s="8" t="s">
        <v>8</v>
      </c>
      <c r="E3" s="22" t="s">
        <v>27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9" t="s">
        <v>23</v>
      </c>
      <c r="C6" s="39" t="s">
        <v>28</v>
      </c>
      <c r="D6" s="40">
        <v>1000.0</v>
      </c>
      <c r="E6" s="36">
        <v>1000.0</v>
      </c>
      <c r="F6" s="39" t="s">
        <v>22</v>
      </c>
      <c r="G6" s="33"/>
      <c r="H6" s="33"/>
      <c r="I6" s="33"/>
      <c r="J6" s="36">
        <v>200.0</v>
      </c>
      <c r="K6" s="33"/>
      <c r="L6" s="33"/>
      <c r="M6" s="33"/>
      <c r="N6" s="41">
        <v>42789.0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23</v>
      </c>
      <c r="C7" s="39" t="s">
        <v>28</v>
      </c>
      <c r="D7" s="36">
        <v>150.0</v>
      </c>
      <c r="E7" s="36">
        <v>150.0</v>
      </c>
      <c r="F7" s="39" t="s">
        <v>22</v>
      </c>
      <c r="G7" s="33"/>
      <c r="H7" s="33"/>
      <c r="I7" s="33"/>
      <c r="J7" s="36">
        <v>200.0</v>
      </c>
      <c r="K7" s="33"/>
      <c r="L7" s="33"/>
      <c r="M7" s="33"/>
      <c r="N7" s="41">
        <v>42789.0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14" t="s">
        <v>23</v>
      </c>
      <c r="C8" s="14" t="s">
        <v>28</v>
      </c>
      <c r="D8" s="14">
        <v>100.0</v>
      </c>
      <c r="E8" s="14">
        <v>100.0</v>
      </c>
      <c r="F8" s="14" t="s">
        <v>30</v>
      </c>
      <c r="G8" s="7"/>
      <c r="H8" s="7"/>
      <c r="I8" s="7"/>
      <c r="J8" s="14">
        <v>10.0</v>
      </c>
      <c r="K8" s="7"/>
      <c r="L8" s="7"/>
      <c r="M8" s="7"/>
      <c r="N8" s="42">
        <f>TODAY()</f>
        <v>43643</v>
      </c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29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/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V6" s="32" t="b">
        <v>1</v>
      </c>
      <c r="W6" s="32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31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 t="s">
        <v>23</v>
      </c>
      <c r="C6" s="14" t="s">
        <v>28</v>
      </c>
      <c r="D6" s="14">
        <v>100.0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32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 t="s">
        <v>33</v>
      </c>
      <c r="C6" s="14" t="s">
        <v>25</v>
      </c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34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 t="s">
        <v>22</v>
      </c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AE6" s="32">
        <v>100.0</v>
      </c>
      <c r="BJ6" s="32">
        <v>100.0</v>
      </c>
      <c r="BO6" s="32" t="s">
        <v>28</v>
      </c>
      <c r="BT6" s="32" t="s">
        <v>23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35</v>
      </c>
      <c r="D3" s="8" t="s">
        <v>8</v>
      </c>
      <c r="E3" s="22" t="s">
        <v>36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 t="s">
        <v>37</v>
      </c>
      <c r="C6" s="43">
        <v>42789.0</v>
      </c>
      <c r="D6" s="44">
        <f>TODAY()</f>
        <v>43643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35</v>
      </c>
      <c r="D3" s="8" t="s">
        <v>8</v>
      </c>
      <c r="E3" s="22" t="s">
        <v>38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 t="s">
        <v>22</v>
      </c>
      <c r="C6" s="7"/>
      <c r="D6" s="14"/>
      <c r="E6" s="31"/>
      <c r="F6" s="7"/>
      <c r="G6" s="7"/>
      <c r="H6" s="7"/>
      <c r="I6" s="7"/>
      <c r="J6" s="7"/>
      <c r="K6" s="7"/>
      <c r="L6" s="7"/>
      <c r="M6" s="40">
        <v>1000.0</v>
      </c>
      <c r="N6" s="7"/>
      <c r="O6" s="7"/>
      <c r="P6" s="32" t="s">
        <v>28</v>
      </c>
      <c r="R6" s="32" t="s">
        <v>23</v>
      </c>
      <c r="U6" s="45">
        <v>42789.0</v>
      </c>
    </row>
    <row r="7" ht="15.75" customHeight="1">
      <c r="A7" s="7"/>
      <c r="B7" s="14" t="s">
        <v>22</v>
      </c>
      <c r="C7" s="7"/>
      <c r="D7" s="7"/>
      <c r="E7" s="7"/>
      <c r="F7" s="7"/>
      <c r="G7" s="7"/>
      <c r="H7" s="7"/>
      <c r="I7" s="7"/>
      <c r="J7" s="7"/>
      <c r="K7" s="7"/>
      <c r="L7" s="7"/>
      <c r="M7" s="36">
        <v>150.0</v>
      </c>
      <c r="N7" s="7"/>
      <c r="O7" s="7"/>
      <c r="P7" s="32" t="s">
        <v>28</v>
      </c>
      <c r="R7" s="32" t="s">
        <v>23</v>
      </c>
      <c r="U7" s="45">
        <v>42789.0</v>
      </c>
    </row>
    <row r="8" ht="15.75" customHeight="1">
      <c r="A8" s="7"/>
      <c r="B8" s="14" t="s">
        <v>22</v>
      </c>
      <c r="C8" s="7"/>
      <c r="D8" s="7"/>
      <c r="E8" s="7"/>
      <c r="F8" s="7"/>
      <c r="G8" s="7"/>
      <c r="H8" s="7"/>
      <c r="I8" s="7"/>
      <c r="J8" s="7"/>
      <c r="K8" s="7"/>
      <c r="L8" s="7"/>
      <c r="M8" s="14">
        <v>100.0</v>
      </c>
      <c r="N8" s="7"/>
      <c r="O8" s="7"/>
      <c r="P8" s="32" t="s">
        <v>28</v>
      </c>
      <c r="R8" s="32" t="s">
        <v>23</v>
      </c>
      <c r="U8" s="46">
        <f>TODAY()</f>
        <v>43643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29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/>
      <c r="C6" s="7"/>
      <c r="D6" s="14"/>
      <c r="E6" s="31"/>
      <c r="F6" s="7"/>
      <c r="G6" s="7"/>
      <c r="H6" s="7"/>
      <c r="I6" s="7"/>
      <c r="J6" s="7"/>
      <c r="K6" s="7"/>
      <c r="L6" s="7"/>
      <c r="M6" s="7"/>
      <c r="N6" s="7"/>
      <c r="O6" s="7"/>
      <c r="V6" s="32" t="b">
        <v>0</v>
      </c>
      <c r="W6" s="32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ResetPreferences!$4:$4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3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6</v>
      </c>
      <c r="C3" s="22" t="s">
        <v>12</v>
      </c>
      <c r="D3" s="8" t="s">
        <v>8</v>
      </c>
      <c r="E3" s="22" t="s">
        <v>39</v>
      </c>
      <c r="F3" s="8" t="s">
        <v>14</v>
      </c>
      <c r="G3" s="16" t="s">
        <v>16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IFERROR(__xludf.DUMMYFUNCTION("""COMPUTED_VALUE"""),"CleanUp")</f>
        <v>CleanUp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IFERROR(__xludf.DUMMYFUNCTION("""COMPUTED_VALUE"""),"TradeAttributeBulkChange")</f>
        <v>TradeAttributeBulkChange</v>
      </c>
      <c r="M4" s="24" t="str">
        <f>IFERROR(__xludf.DUMMYFUNCTION("""COMPUTED_VALUE"""),"ApplyBulkUpdateOnGroups")</f>
        <v>ApplyBulkUpdateOnGroups</v>
      </c>
      <c r="N4" s="24" t="str">
        <f>IFERROR(__xludf.DUMMYFUNCTION("""COMPUTED_VALUE"""),"ApplyPrefetchFilters")</f>
        <v>ApplyPrefetchFilters</v>
      </c>
      <c r="O4" s="24" t="str">
        <f>IFERROR(__xludf.DUMMYFUNCTION("""COMPUTED_VALUE"""),"GeneralPreferencesDefaultRule")</f>
        <v>GeneralPreferencesDefaultRule</v>
      </c>
      <c r="P4" s="25" t="str">
        <f>IFERROR(__xludf.DUMMYFUNCTION("""COMPUTED_VALUE"""),"GeneralPrefCompanyUserWise")</f>
        <v>GeneralPrefCompanyUserWise</v>
      </c>
      <c r="Q4" s="25" t="str">
        <f>IFERROR(__xludf.DUMMYFUNCTION("""COMPUTED_VALUE"""),"RenameTradeAttributes")</f>
        <v>RenameTradeAttributes</v>
      </c>
      <c r="R4" s="25" t="str">
        <f>IFERROR(__xludf.DUMMYFUNCTION("""COMPUTED_VALUE"""),"SetGroupingRules")</f>
        <v>SetGroupingRules</v>
      </c>
      <c r="S4" s="25" t="str">
        <f>IFERROR(__xludf.DUMMYFUNCTION("""COMPUTED_VALUE"""),"SetMasterFundRatio")</f>
        <v>SetMasterFundRatio</v>
      </c>
      <c r="T4" s="25" t="str">
        <f>IFERROR(__xludf.DUMMYFUNCTION("""COMPUTED_VALUE"""),"CheckFixedPreference")</f>
        <v>CheckFixedPreference</v>
      </c>
      <c r="U4" s="25" t="str">
        <f>IFERROR(__xludf.DUMMYFUNCTION("""COMPUTED_VALUE"""),"GetFixedPreference")</f>
        <v>GetFixedPreference</v>
      </c>
      <c r="V4" s="25" t="str">
        <f>IFERROR(__xludf.DUMMYFUNCTION("""COMPUTED_VALUE"""),"AddCalculatedPreferences")</f>
        <v>AddCalculatedPreferences</v>
      </c>
      <c r="W4" s="25" t="str">
        <f>IFERROR(__xludf.DUMMYFUNCTION("""COMPUTED_VALUE"""),"BulkChangeCalculatedPreferences")</f>
        <v>BulkChangeCalculatedPreferences</v>
      </c>
      <c r="X4" s="25" t="str">
        <f>IFERROR(__xludf.DUMMYFUNCTION("""COMPUTED_VALUE"""),"DeleteCalculatedPreferences")</f>
        <v>DeleteCalculatedPreferences</v>
      </c>
      <c r="Y4" s="25" t="str">
        <f>IFERROR(__xludf.DUMMYFUNCTION("""COMPUTED_VALUE"""),"RenameCalculatedPreferences")</f>
        <v>RenameCalculatedPreferences</v>
      </c>
      <c r="Z4" s="25" t="str">
        <f>IFERROR(__xludf.DUMMYFUNCTION("""COMPUTED_VALUE"""),"CopyCalculatedPreferences")</f>
        <v>CopyCalculatedPreferences</v>
      </c>
      <c r="AA4" s="25" t="str">
        <f>IFERROR(__xludf.DUMMYFUNCTION("""COMPUTED_VALUE"""),"RunAutoGroup")</f>
        <v>RunAutoGroup</v>
      </c>
      <c r="AB4" s="25" t="str">
        <f>IFERROR(__xludf.DUMMYFUNCTION("""COMPUTED_VALUE"""),"BookOrUpdateSwap")</f>
        <v>BookOrUpdateSwap</v>
      </c>
      <c r="AC4" s="25" t="str">
        <f>IFERROR(__xludf.DUMMYFUNCTION("""COMPUTED_VALUE"""),"RunProrata")</f>
        <v>RunProrata</v>
      </c>
      <c r="AD4" s="25" t="str">
        <f>IFERROR(__xludf.DUMMYFUNCTION("""COMPUTED_VALUE"""),"SetDefaultRuleCalculatedPref")</f>
        <v>SetDefaultRuleCalculatedPref</v>
      </c>
      <c r="AE4" s="25" t="str">
        <f>IFERROR(__xludf.DUMMYFUNCTION("""COMPUTED_VALUE"""),"SetAccountValueCalculatedPref")</f>
        <v>SetAccountValueCalculatedPref</v>
      </c>
      <c r="AF4" s="25" t="str">
        <f>IFERROR(__xludf.DUMMYFUNCTION("""COMPUTED_VALUE"""),"TradeAttributeBulkChangeGroups")</f>
        <v>TradeAttributeBulkChangeGroups</v>
      </c>
      <c r="AG4" s="25" t="str">
        <f>IFERROR(__xludf.DUMMYFUNCTION("""COMPUTED_VALUE"""),"TradeAttributeBulkChangeTaxlots")</f>
        <v>TradeAttributeBulkChangeTaxlots</v>
      </c>
      <c r="AH4" s="25" t="str">
        <f>IFERROR(__xludf.DUMMYFUNCTION("""COMPUTED_VALUE"""),"AddCalculatedPreferenceToolbar")</f>
        <v>AddCalculatedPreferenceToolbar</v>
      </c>
      <c r="AI4" s="25" t="str">
        <f>IFERROR(__xludf.DUMMYFUNCTION("""COMPUTED_VALUE"""),"SetStrategyValueCalculatedPref")</f>
        <v>SetStrategyValueCalculatedPref</v>
      </c>
      <c r="AJ4" s="25" t="str">
        <f>IFERROR(__xludf.DUMMYFUNCTION("""COMPUTED_VALUE"""),"ApplyBulkUpdateOnTaxlots")</f>
        <v>ApplyBulkUpdateOnTaxlots</v>
      </c>
      <c r="AK4" s="25" t="str">
        <f>IFERROR(__xludf.DUMMYFUNCTION("""COMPUTED_VALUE"""),"CommissionBulkChangeOnGroups")</f>
        <v>CommissionBulkChangeOnGroups</v>
      </c>
      <c r="AL4" s="25" t="str">
        <f>IFERROR(__xludf.DUMMYFUNCTION("""COMPUTED_VALUE"""),"CommissionBulkChangeOnTaxlots")</f>
        <v>CommissionBulkChangeOnTaxlots</v>
      </c>
      <c r="AM4" s="25" t="str">
        <f>IFERROR(__xludf.DUMMYFUNCTION("""COMPUTED_VALUE"""),"SelectUnallocatedGroup")</f>
        <v>SelectUnallocatedGroup</v>
      </c>
      <c r="AN4" s="25" t="str">
        <f>IFERROR(__xludf.DUMMYFUNCTION("""COMPUTED_VALUE"""),"EnterAccountValuesToAllocate")</f>
        <v>EnterAccountValuesToAllocate</v>
      </c>
      <c r="AO4" s="25" t="str">
        <f>IFERROR(__xludf.DUMMYFUNCTION("""COMPUTED_VALUE"""),"EnterAllocatePreference")</f>
        <v>EnterAllocatePreference</v>
      </c>
      <c r="AP4" s="25" t="str">
        <f>IFERROR(__xludf.DUMMYFUNCTION("""COMPUTED_VALUE"""),"EnterStrategyValuesToAllocate")</f>
        <v>EnterStrategyValuesToAllocate</v>
      </c>
      <c r="AQ4" s="25" t="str">
        <f>IFERROR(__xludf.DUMMYFUNCTION("""COMPUTED_VALUE"""),"CopyCalculatedPreferenceToolbar")</f>
        <v>CopyCalculatedPreferenceToolbar</v>
      </c>
      <c r="AR4" s="25" t="str">
        <f>IFERROR(__xludf.DUMMYFUNCTION("""COMPUTED_VALUE"""),"SetGeneralRuleCalculatedPref")</f>
        <v>SetGeneralRuleCalculatedPref</v>
      </c>
      <c r="AS4" s="25" t="str">
        <f>IFERROR(__xludf.DUMMYFUNCTION("""COMPUTED_VALUE"""),"ExportAllCalculatedPreferences")</f>
        <v>ExportAllCalculatedPreferences</v>
      </c>
      <c r="AT4" s="25" t="str">
        <f>IFERROR(__xludf.DUMMYFUNCTION("""COMPUTED_VALUE"""),"SaveCalculatedPreferences")</f>
        <v>SaveCalculatedPreferences</v>
      </c>
      <c r="AU4" s="25" t="str">
        <f>IFERROR(__xludf.DUMMYFUNCTION("""COMPUTED_VALUE"""),"SaveCalculatedPreferences")</f>
        <v>SaveCalculatedPreferences</v>
      </c>
      <c r="AV4" s="25" t="str">
        <f>IFERROR(__xludf.DUMMYFUNCTION("""COMPUTED_VALUE"""),"CloseCalculatedPreferences")</f>
        <v>CloseCalculatedPreferences</v>
      </c>
      <c r="AW4" s="25" t="str">
        <f>IFERROR(__xludf.DUMMYFUNCTION("""COMPUTED_VALUE"""),"ExportCalculatedPreference")</f>
        <v>ExportCalculatedPreference</v>
      </c>
      <c r="AX4" s="25" t="str">
        <f>IFERROR(__xludf.DUMMYFUNCTION("""COMPUTED_VALUE"""),"ImportCalculatedPreferences")</f>
        <v>ImportCalculatedPreferences</v>
      </c>
      <c r="AY4" s="25" t="str">
        <f>IFERROR(__xludf.DUMMYFUNCTION("""COMPUTED_VALUE"""),"OpenAuditTrailUnallocatedGroup")</f>
        <v>OpenAuditTrailUnallocatedGroup</v>
      </c>
      <c r="AZ4" s="25" t="str">
        <f>IFERROR(__xludf.DUMMYFUNCTION("""COMPUTED_VALUE"""),"DeleteCalculatedPreferencesTool")</f>
        <v>DeleteCalculatedPreferencesTool</v>
      </c>
      <c r="BA4" s="25" t="str">
        <f>IFERROR(__xludf.DUMMYFUNCTION("""COMPUTED_VALUE"""),"ImportCalculatedPreferencesTool")</f>
        <v>ImportCalculatedPreferencesTool</v>
      </c>
      <c r="BB4" s="25" t="str">
        <f>IFERROR(__xludf.DUMMYFUNCTION("""COMPUTED_VALUE"""),"ExportAllCalculatedPreferTool")</f>
        <v>ExportAllCalculatedPreferTool</v>
      </c>
      <c r="BC4" s="25" t="str">
        <f>IFERROR(__xludf.DUMMYFUNCTION("""COMPUTED_VALUE"""),"OpenAuditTrailAllocatedGroup")</f>
        <v>OpenAuditTrailAllocatedGroup</v>
      </c>
      <c r="BD4" s="25" t="str">
        <f>IFERROR(__xludf.DUMMYFUNCTION("""COMPUTED_VALUE"""),"OpenSymbolLookupUnallocateGroup")</f>
        <v>OpenSymbolLookupUnallocateGroup</v>
      </c>
      <c r="BE4" s="25" t="str">
        <f>IFERROR(__xludf.DUMMYFUNCTION("""COMPUTED_VALUE"""),"OpenSymbolLookupAllocatedGroup")</f>
        <v>OpenSymbolLookupAllocatedGroup</v>
      </c>
      <c r="BF4" s="25" t="str">
        <f>IFERROR(__xludf.DUMMYFUNCTION("""COMPUTED_VALUE"""),"DeleteFixedPreference")</f>
        <v>DeleteFixedPreference</v>
      </c>
      <c r="BG4" s="25" t="str">
        <f>IFERROR(__xludf.DUMMYFUNCTION("""COMPUTED_VALUE"""),"EditAllocatedGroupSidePanel")</f>
        <v>EditAllocatedGroupSidePanel</v>
      </c>
      <c r="BH4" s="25" t="str">
        <f>IFERROR(__xludf.DUMMYFUNCTION("""COMPUTED_VALUE"""),"CheckUnallocatedGroups")</f>
        <v>CheckUnallocatedGroups</v>
      </c>
      <c r="BI4" s="25" t="str">
        <f>IFERROR(__xludf.DUMMYFUNCTION("""COMPUTED_VALUE"""),"SetGeneralPreferences")</f>
        <v>SetGeneralPreferences</v>
      </c>
      <c r="BJ4" s="25" t="str">
        <f>IFERROR(__xludf.DUMMYFUNCTION("""COMPUTED_VALUE"""),"UngroupTrades")</f>
        <v>UngroupTrades</v>
      </c>
      <c r="BK4" s="25" t="str">
        <f>IFERROR(__xludf.DUMMYFUNCTION("""COMPUTED_VALUE"""),"GroupTrades")</f>
        <v>GroupTrades</v>
      </c>
      <c r="BL4" s="25" t="str">
        <f>IFERROR(__xludf.DUMMYFUNCTION("""COMPUTED_VALUE"""),"DeleteGroup")</f>
        <v>DeleteGroup</v>
      </c>
      <c r="BM4" s="25" t="str">
        <f>IFERROR(__xludf.DUMMYFUNCTION("""COMPUTED_VALUE"""),"CloseOrder")</f>
        <v>CloseOrder</v>
      </c>
      <c r="BN4" s="25" t="str">
        <f>IFERROR(__xludf.DUMMYFUNCTION("""COMPUTED_VALUE"""),"Unallocate")</f>
        <v>Unallocate</v>
      </c>
      <c r="BO4" s="25" t="str">
        <f>IFERROR(__xludf.DUMMYFUNCTION("""COMPUTED_VALUE"""),"CloseAllocation")</f>
        <v>CloseAllocation</v>
      </c>
      <c r="BP4" s="25" t="str">
        <f>IFERROR(__xludf.DUMMYFUNCTION("""COMPUTED_VALUE"""),"UpdateGRAccountValue")</f>
        <v>UpdateGRAccountValue</v>
      </c>
      <c r="BQ4" s="25" t="str">
        <f>IFERROR(__xludf.DUMMYFUNCTION("""COMPUTED_VALUE"""),"UpdateGRStrategyValue")</f>
        <v>UpdateGRStrategyValue</v>
      </c>
      <c r="BR4" s="25" t="str">
        <f>IFERROR(__xludf.DUMMYFUNCTION("""COMPUTED_VALUE"""),"UpdateGRDefaultRule")</f>
        <v>UpdateGRDefaultRule</v>
      </c>
      <c r="BS4" s="25" t="str">
        <f>IFERROR(__xludf.DUMMYFUNCTION("""COMPUTED_VALUE"""),"UpdateGeneralRulePref")</f>
        <v>UpdateGeneralRulePref</v>
      </c>
      <c r="BT4" s="25" t="str">
        <f>IFERROR(__xludf.DUMMYFUNCTION("""COMPUTED_VALUE"""),"ModifyGRPreferenceValues")</f>
        <v>ModifyGRPreferenceValues</v>
      </c>
      <c r="BU4" s="25" t="str">
        <f>IFERROR(__xludf.DUMMYFUNCTION("""COMPUTED_VALUE"""),"AddMFPreferences")</f>
        <v>AddMFPreferences</v>
      </c>
      <c r="BV4" s="25" t="str">
        <f>IFERROR(__xludf.DUMMYFUNCTION("""COMPUTED_VALUE"""),"AddMFPreferenceToolbar")</f>
        <v>AddMFPreferenceToolbar</v>
      </c>
      <c r="BW4" s="25" t="str">
        <f>IFERROR(__xludf.DUMMYFUNCTION("""COMPUTED_VALUE"""),"DeleteMFPreferences")</f>
        <v>DeleteMFPreferences</v>
      </c>
      <c r="BX4" s="25" t="str">
        <f>IFERROR(__xludf.DUMMYFUNCTION("""COMPUTED_VALUE"""),"DeleteMFPreferenceToolbar")</f>
        <v>DeleteMFPreferenceToolbar</v>
      </c>
      <c r="BY4" s="25" t="str">
        <f>IFERROR(__xludf.DUMMYFUNCTION("""COMPUTED_VALUE"""),"RenameMFPreferences")</f>
        <v>RenameMFPreferences</v>
      </c>
      <c r="BZ4" s="25" t="str">
        <f>IFERROR(__xludf.DUMMYFUNCTION("""COMPUTED_VALUE"""),"SaveCloseMFPreference")</f>
        <v>SaveCloseMFPreference</v>
      </c>
      <c r="CA4" s="25" t="str">
        <f>IFERROR(__xludf.DUMMYFUNCTION("""COMPUTED_VALUE"""),"SetMFPrefAccountValues")</f>
        <v>SetMFPrefAccountValues</v>
      </c>
      <c r="CB4" s="25" t="str">
        <f>IFERROR(__xludf.DUMMYFUNCTION("""COMPUTED_VALUE"""),"ModifyMFPrefGeneralRuleValues")</f>
        <v>ModifyMFPrefGeneralRuleValues</v>
      </c>
      <c r="CC4" s="25" t="str">
        <f>IFERROR(__xludf.DUMMYFUNCTION("""COMPUTED_VALUE"""),"SetMFPrefStrategyValues")</f>
        <v>SetMFPrefStrategyValues</v>
      </c>
      <c r="CD4" s="25" t="str">
        <f>IFERROR(__xludf.DUMMYFUNCTION("""COMPUTED_VALUE"""),"SetMFPrefGeneralRule")</f>
        <v>SetMFPrefGeneralRule</v>
      </c>
      <c r="CE4" s="25" t="str">
        <f>IFERROR(__xludf.DUMMYFUNCTION("""COMPUTED_VALUE"""),"SetMFPrefFundDistribution")</f>
        <v>SetMFPrefFundDistribution</v>
      </c>
      <c r="CF4" s="25" t="str">
        <f>IFERROR(__xludf.DUMMYFUNCTION("""COMPUTED_VALUE"""),"SetMFPreferencesDefaultRule")</f>
        <v>SetMFPreferencesDefaultRule</v>
      </c>
      <c r="CG4" s="25" t="str">
        <f>IFERROR(__xludf.DUMMYFUNCTION("""COMPUTED_VALUE"""),"SetMFPrefFundDefaultRule")</f>
        <v>SetMFPrefFundDefaultRule</v>
      </c>
      <c r="CH4" s="25" t="str">
        <f>IFERROR(__xludf.DUMMYFUNCTION("""COMPUTED_VALUE"""),"ClearPrefetchFilters")</f>
        <v>ClearPrefetchFilters</v>
      </c>
      <c r="CI4" s="25" t="str">
        <f>IFERROR(__xludf.DUMMYFUNCTION("""COMPUTED_VALUE"""),"ExpandCollapseAllUnallocated")</f>
        <v>ExpandCollapseAllUnallocated</v>
      </c>
      <c r="CJ4" s="25" t="str">
        <f>IFERROR(__xludf.DUMMYFUNCTION("""COMPUTED_VALUE"""),"ExpandCollapseAllAllocated")</f>
        <v>ExpandCollapseAllAllocated</v>
      </c>
      <c r="CK4" s="25" t="str">
        <f>IFERROR(__xludf.DUMMYFUNCTION("""COMPUTED_VALUE"""),"GenerateCashTransaction")</f>
        <v>GenerateCashTransaction</v>
      </c>
      <c r="CL4" s="25" t="str">
        <f>IFERROR(__xludf.DUMMYFUNCTION("""COMPUTED_VALUE"""),"SaveAllocation")</f>
        <v>SaveAllocation</v>
      </c>
      <c r="CM4" s="25" t="str">
        <f>IFERROR(__xludf.DUMMYFUNCTION("""COMPUTED_VALUE"""),"SaveAllocation")</f>
        <v>SaveAllocation</v>
      </c>
      <c r="CN4" s="25" t="str">
        <f>IFERROR(__xludf.DUMMYFUNCTION("""COMPUTED_VALUE"""),"UnallocateWithOutSave")</f>
        <v>UnallocateWithOutSave</v>
      </c>
      <c r="CO4" s="25" t="str">
        <f>IFERROR(__xludf.DUMMYFUNCTION("""COMPUTED_VALUE"""),"EditUnallocatedGrid")</f>
        <v>EditUnallocatedGrid</v>
      </c>
      <c r="CP4" s="25" t="str">
        <f>IFERROR(__xludf.DUMMYFUNCTION("""COMPUTED_VALUE"""),"EditAllocatedGrid")</f>
        <v>EditAllocatedGrid</v>
      </c>
      <c r="CQ4" s="25" t="str">
        <f>IFERROR(__xludf.DUMMYFUNCTION("""COMPUTED_VALUE"""),"SaveLayoutAllocatedGrid")</f>
        <v>SaveLayoutAllocatedGrid</v>
      </c>
      <c r="CR4" s="25" t="str">
        <f>IFERROR(__xludf.DUMMYFUNCTION("""COMPUTED_VALUE"""),"SaveLayoutUnallocatedGrid")</f>
        <v>SaveLayoutUnallocatedGrid</v>
      </c>
      <c r="CS4" s="25" t="str">
        <f>IFERROR(__xludf.DUMMYFUNCTION("""COMPUTED_VALUE"""),"SaveLayoutAllocationUI")</f>
        <v>SaveLayoutAllocationUI</v>
      </c>
      <c r="CT4" s="25" t="str">
        <f>IFERROR(__xludf.DUMMYFUNCTION("""COMPUTED_VALUE"""),"ClearFiltersAllocatedGrid")</f>
        <v>ClearFiltersAllocatedGrid</v>
      </c>
      <c r="CU4" s="25" t="str">
        <f>IFERROR(__xludf.DUMMYFUNCTION("""COMPUTED_VALUE"""),"ClearFiltersUnallocatedGrid")</f>
        <v>ClearFiltersUnallocatedGrid</v>
      </c>
      <c r="CV4" s="25" t="str">
        <f>IFERROR(__xludf.DUMMYFUNCTION("""COMPUTED_VALUE"""),"VerifyLayoutAllocatedGrid")</f>
        <v>VerifyLayoutAllocatedGrid</v>
      </c>
      <c r="CW4" s="25" t="str">
        <f>IFERROR(__xludf.DUMMYFUNCTION("""COMPUTED_VALUE"""),"VerifyLayoutUnallocatedGrid")</f>
        <v>VerifyLayoutUnallocatedGrid</v>
      </c>
      <c r="CX4" s="25" t="str">
        <f>IFERROR(__xludf.DUMMYFUNCTION("""COMPUTED_VALUE"""),"BookOrUpdateSwap")</f>
        <v>BookOrUpdateSwap</v>
      </c>
      <c r="CY4" s="25" t="str">
        <f>IFERROR(__xludf.DUMMYFUNCTION("""COMPUTED_VALUE"""),"RunProrata")</f>
        <v>RunProrata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</row>
    <row r="6" ht="15.75" customHeight="1">
      <c r="A6" s="14"/>
      <c r="B6" s="14" t="s">
        <v>37</v>
      </c>
      <c r="C6" s="41">
        <v>42789.0</v>
      </c>
      <c r="D6" s="42">
        <f>TODAY()</f>
        <v>43643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