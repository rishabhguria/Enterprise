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ilyCash" sheetId="5" r:id="rId7"/>
    <sheet state="visible" name="UpdateMultipleDailyCash" sheetId="6" r:id="rId8"/>
    <sheet state="visible" name="PricingInput" sheetId="7" r:id="rId9"/>
    <sheet state="visible" name="SelectUnallocatedGroup" sheetId="8" r:id="rId10"/>
    <sheet state="visible" name="EnterAllocatePreference" sheetId="9" r:id="rId11"/>
    <sheet state="visible" name="GetDataAllocation" sheetId="10" r:id="rId12"/>
    <sheet state="visible" name="CheckAllocatedGroups" sheetId="11" r:id="rId13"/>
    <sheet state="visible" name="GetDataClosing" sheetId="12" r:id="rId14"/>
    <sheet state="visible" name="VerifyLongPositionsGrid" sheetId="13" r:id="rId15"/>
    <sheet state="visible" name="GetActivityData" sheetId="14" r:id="rId16"/>
    <sheet state="visible" name="VerifyActivity" sheetId="15" r:id="rId17"/>
    <sheet state="visible" name="CheckPortfolioManagement" sheetId="16" r:id="rId18"/>
  </sheets>
  <definedNames/>
  <calcPr/>
</workbook>
</file>

<file path=xl/sharedStrings.xml><?xml version="1.0" encoding="utf-8"?>
<sst xmlns="http://schemas.openxmlformats.org/spreadsheetml/2006/main" count="416" uniqueCount="65">
  <si>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</si>
  <si>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</si>
  <si>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</si>
  <si>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</si>
  <si>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</si>
  <si>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</si>
  <si>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</si>
  <si>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</si>
  <si>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</si>
  <si>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</si>
  <si>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</si>
  <si>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</si>
  <si>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</si>
  <si>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</si>
  <si>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</si>
  <si>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</si>
  <si>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</si>
  <si>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</si>
  <si>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Allocation2</t>
  </si>
  <si>
    <t>Allocation3</t>
  </si>
  <si>
    <t>Unallocated</t>
  </si>
  <si>
    <t>MSFT</t>
  </si>
  <si>
    <t>Sell</t>
  </si>
  <si>
    <t>Allocation1</t>
  </si>
  <si>
    <t>DailyValuation</t>
  </si>
  <si>
    <t>GetDailyCash</t>
  </si>
  <si>
    <t>UpdateMultipleDailyCash</t>
  </si>
  <si>
    <t>USD</t>
  </si>
  <si>
    <t>PricingInput</t>
  </si>
  <si>
    <t>Allocation</t>
  </si>
  <si>
    <t>SelectUnallocatedGroup</t>
  </si>
  <si>
    <t>EnterAllocatePreference</t>
  </si>
  <si>
    <t>Leveling</t>
  </si>
  <si>
    <t>Allocation1,Allocation2,Allocation3</t>
  </si>
  <si>
    <t>GetDataAllocation</t>
  </si>
  <si>
    <t>Current</t>
  </si>
  <si>
    <t>CheckAllocatedGroups</t>
  </si>
  <si>
    <t>Multiple</t>
  </si>
  <si>
    <t>Closing</t>
  </si>
  <si>
    <t>GetDataClosing</t>
  </si>
  <si>
    <t>VerifyLongPositionsGrid</t>
  </si>
  <si>
    <t>Equity</t>
  </si>
  <si>
    <t>Long</t>
  </si>
  <si>
    <t>APPLE</t>
  </si>
  <si>
    <t>Strategy Unallocated</t>
  </si>
  <si>
    <t>MICROSOFT INC</t>
  </si>
  <si>
    <t>GeneralLedger</t>
  </si>
  <si>
    <t>GetActivityData</t>
  </si>
  <si>
    <t>SelectAll</t>
  </si>
  <si>
    <t>No</t>
  </si>
  <si>
    <t>Yes</t>
  </si>
  <si>
    <t>VerifyActivity</t>
  </si>
  <si>
    <t>EquityL</t>
  </si>
  <si>
    <t>Cash</t>
  </si>
  <si>
    <t>Trading</t>
  </si>
  <si>
    <t>PortfolioManagement</t>
  </si>
  <si>
    <t>CheckPortfolioManagement</t>
  </si>
  <si>
    <t>NewMF1</t>
  </si>
  <si>
    <t>MS</t>
  </si>
  <si>
    <t>US</t>
  </si>
  <si>
    <t>NASDAQ</t>
  </si>
  <si>
    <t>jpearce</t>
  </si>
  <si>
    <t>Short</t>
  </si>
  <si>
    <t>NewMF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</si>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</sst>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wrapText="0"/>
    </xf>
    <xf borderId="0" fillId="0" fontId="14" numFmtId="0" xfId="0" applyAlignment="1" applyFont="1">
      <alignment horizontal="right"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3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800.0</v>
      </c>
      <c r="E6" s="33">
        <v>800.0</v>
      </c>
      <c r="F6" s="32" t="s">
        <v>18</v>
      </c>
      <c r="G6" s="32"/>
      <c r="H6" s="32"/>
      <c r="I6" s="32"/>
      <c r="J6" s="33">
        <v>1.0</v>
      </c>
      <c r="K6" s="32"/>
      <c r="L6" s="32"/>
      <c r="M6" s="32"/>
      <c r="N6" s="34">
        <f t="shared" ref="N6:N12" si="1">TODAY()</f>
        <v>45033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16</v>
      </c>
      <c r="C7" s="32" t="s">
        <v>17</v>
      </c>
      <c r="D7" s="33">
        <v>801.0</v>
      </c>
      <c r="E7" s="33">
        <v>801.0</v>
      </c>
      <c r="F7" s="32" t="s">
        <v>19</v>
      </c>
      <c r="G7" s="32"/>
      <c r="H7" s="32"/>
      <c r="I7" s="32"/>
      <c r="J7" s="33">
        <v>1.0</v>
      </c>
      <c r="K7" s="32"/>
      <c r="L7" s="32"/>
      <c r="M7" s="32"/>
      <c r="N7" s="34">
        <f t="shared" si="1"/>
        <v>45033</v>
      </c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16</v>
      </c>
      <c r="C8" s="32" t="s">
        <v>17</v>
      </c>
      <c r="D8" s="35">
        <v>5000.0</v>
      </c>
      <c r="E8" s="35">
        <v>5000.0</v>
      </c>
      <c r="F8" s="32" t="s">
        <v>20</v>
      </c>
      <c r="G8" s="32"/>
      <c r="H8" s="32"/>
      <c r="I8" s="32"/>
      <c r="J8" s="35">
        <v>1.0</v>
      </c>
      <c r="K8" s="32"/>
      <c r="L8" s="32"/>
      <c r="M8" s="32"/>
      <c r="N8" s="34">
        <f t="shared" si="1"/>
        <v>45033</v>
      </c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 t="s">
        <v>21</v>
      </c>
      <c r="C9" s="36" t="s">
        <v>22</v>
      </c>
      <c r="D9" s="35">
        <v>5000.0</v>
      </c>
      <c r="E9" s="35">
        <v>5000.0</v>
      </c>
      <c r="F9" s="32" t="s">
        <v>20</v>
      </c>
      <c r="G9" s="32"/>
      <c r="H9" s="32"/>
      <c r="I9" s="32"/>
      <c r="J9" s="35">
        <v>1.0</v>
      </c>
      <c r="K9" s="32"/>
      <c r="L9" s="32"/>
      <c r="M9" s="32"/>
      <c r="N9" s="34">
        <f t="shared" si="1"/>
        <v>45033</v>
      </c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2" t="s">
        <v>21</v>
      </c>
      <c r="C10" s="32" t="s">
        <v>17</v>
      </c>
      <c r="D10" s="33">
        <v>200.0</v>
      </c>
      <c r="E10" s="33">
        <v>200.0</v>
      </c>
      <c r="F10" s="32" t="s">
        <v>23</v>
      </c>
      <c r="G10" s="32"/>
      <c r="H10" s="32"/>
      <c r="I10" s="32"/>
      <c r="J10" s="33">
        <v>1.0</v>
      </c>
      <c r="K10" s="32"/>
      <c r="L10" s="32"/>
      <c r="M10" s="32"/>
      <c r="N10" s="34">
        <f t="shared" si="1"/>
        <v>45033</v>
      </c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32"/>
      <c r="B11" s="32" t="s">
        <v>21</v>
      </c>
      <c r="C11" s="32" t="s">
        <v>17</v>
      </c>
      <c r="D11" s="33">
        <v>800.0</v>
      </c>
      <c r="E11" s="33">
        <v>800.0</v>
      </c>
      <c r="F11" s="32" t="s">
        <v>18</v>
      </c>
      <c r="G11" s="32"/>
      <c r="H11" s="32"/>
      <c r="I11" s="32"/>
      <c r="J11" s="33">
        <v>1.0</v>
      </c>
      <c r="K11" s="32"/>
      <c r="L11" s="32"/>
      <c r="M11" s="32"/>
      <c r="N11" s="34">
        <f t="shared" si="1"/>
        <v>45033</v>
      </c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ht="15.75" customHeight="1">
      <c r="A12" s="32"/>
      <c r="B12" s="32" t="s">
        <v>21</v>
      </c>
      <c r="C12" s="32" t="s">
        <v>17</v>
      </c>
      <c r="D12" s="33">
        <v>500.0</v>
      </c>
      <c r="E12" s="33">
        <v>500.0</v>
      </c>
      <c r="F12" s="32" t="s">
        <v>19</v>
      </c>
      <c r="G12" s="32"/>
      <c r="H12" s="32"/>
      <c r="I12" s="32"/>
      <c r="J12" s="33">
        <v>1.0</v>
      </c>
      <c r="K12" s="32"/>
      <c r="L12" s="32"/>
      <c r="M12" s="32"/>
      <c r="N12" s="34">
        <f t="shared" si="1"/>
        <v>45033</v>
      </c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>
        <f>TODAY()-1</f>
        <v>45032</v>
      </c>
      <c r="C6" s="34">
        <f>TODAY()</f>
        <v>45033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2" t="s">
        <v>27</v>
      </c>
      <c r="D6" s="37">
        <v>10000.0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18</v>
      </c>
      <c r="C7" s="32" t="s">
        <v>27</v>
      </c>
      <c r="D7" s="35">
        <v>15000.0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19</v>
      </c>
      <c r="C8" s="32" t="s">
        <v>27</v>
      </c>
      <c r="D8" s="35">
        <v>17500.0</v>
      </c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3">
        <v>1.0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21</v>
      </c>
      <c r="C7" s="33">
        <v>1.0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7">
        <v>5000.0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21</v>
      </c>
      <c r="C7" s="36" t="s">
        <v>22</v>
      </c>
      <c r="D7" s="35">
        <v>5000.0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8" t="b">
        <v>0</v>
      </c>
      <c r="E6" s="39" t="b">
        <v>0</v>
      </c>
      <c r="F6" s="32"/>
      <c r="G6" s="32"/>
      <c r="H6" s="32" t="s">
        <v>32</v>
      </c>
      <c r="I6" s="32" t="s">
        <v>33</v>
      </c>
      <c r="J6" s="32"/>
      <c r="K6" s="39" t="b">
        <v>0</v>
      </c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8"/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37</v>
      </c>
      <c r="C6" s="32"/>
      <c r="D6" s="31"/>
      <c r="E6" s="35">
        <v>5000.0</v>
      </c>
      <c r="F6" s="32"/>
      <c r="G6" s="32"/>
      <c r="H6" s="32"/>
      <c r="I6" s="32"/>
      <c r="J6" s="32"/>
      <c r="K6" s="35">
        <v>1.0</v>
      </c>
      <c r="L6" s="35">
        <v>1.0</v>
      </c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5">
        <v>5000.0</v>
      </c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5">
        <v>5000.0</v>
      </c>
      <c r="BK6" s="32"/>
      <c r="BL6" s="32"/>
      <c r="BM6" s="32"/>
      <c r="BN6" s="32"/>
      <c r="BO6" s="32" t="s">
        <v>17</v>
      </c>
      <c r="BP6" s="32"/>
      <c r="BQ6" s="32"/>
      <c r="BR6" s="32"/>
      <c r="BS6" s="32"/>
      <c r="BT6" s="32" t="s">
        <v>16</v>
      </c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37</v>
      </c>
      <c r="C7" s="32"/>
      <c r="D7" s="32"/>
      <c r="E7" s="35">
        <v>5000.0</v>
      </c>
      <c r="F7" s="32"/>
      <c r="G7" s="32"/>
      <c r="H7" s="32"/>
      <c r="I7" s="32"/>
      <c r="J7" s="32"/>
      <c r="K7" s="35">
        <v>1.0</v>
      </c>
      <c r="L7" s="35">
        <v>1.0</v>
      </c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5">
        <v>5000.0</v>
      </c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5">
        <v>5000.0</v>
      </c>
      <c r="BK7" s="32"/>
      <c r="BL7" s="32"/>
      <c r="BM7" s="32"/>
      <c r="BN7" s="32"/>
      <c r="BO7" s="36" t="s">
        <v>22</v>
      </c>
      <c r="BP7" s="32"/>
      <c r="BQ7" s="32"/>
      <c r="BR7" s="32"/>
      <c r="BS7" s="32"/>
      <c r="BT7" s="32" t="s">
        <v>21</v>
      </c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18</v>
      </c>
      <c r="C8" s="32"/>
      <c r="D8" s="32"/>
      <c r="E8" s="33">
        <v>800.0</v>
      </c>
      <c r="F8" s="32"/>
      <c r="G8" s="32"/>
      <c r="H8" s="32"/>
      <c r="I8" s="32"/>
      <c r="J8" s="32"/>
      <c r="K8" s="35">
        <v>1.0</v>
      </c>
      <c r="L8" s="35">
        <v>1.0</v>
      </c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3">
        <v>800.0</v>
      </c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3">
        <v>800.0</v>
      </c>
      <c r="BK8" s="32"/>
      <c r="BL8" s="32"/>
      <c r="BM8" s="32"/>
      <c r="BN8" s="32"/>
      <c r="BO8" s="32" t="s">
        <v>17</v>
      </c>
      <c r="BP8" s="32"/>
      <c r="BQ8" s="32"/>
      <c r="BR8" s="32"/>
      <c r="BS8" s="32"/>
      <c r="BT8" s="32" t="s">
        <v>16</v>
      </c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 t="s">
        <v>19</v>
      </c>
      <c r="C9" s="32"/>
      <c r="D9" s="32"/>
      <c r="E9" s="33">
        <v>801.0</v>
      </c>
      <c r="F9" s="32"/>
      <c r="G9" s="32"/>
      <c r="H9" s="32"/>
      <c r="I9" s="32"/>
      <c r="J9" s="32"/>
      <c r="K9" s="35">
        <v>1.0</v>
      </c>
      <c r="L9" s="35">
        <v>1.0</v>
      </c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3">
        <v>801.0</v>
      </c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3">
        <v>801.0</v>
      </c>
      <c r="BK9" s="32"/>
      <c r="BL9" s="32"/>
      <c r="BM9" s="32"/>
      <c r="BN9" s="32"/>
      <c r="BO9" s="32" t="s">
        <v>17</v>
      </c>
      <c r="BP9" s="32"/>
      <c r="BQ9" s="32"/>
      <c r="BR9" s="32"/>
      <c r="BS9" s="32"/>
      <c r="BT9" s="32" t="s">
        <v>16</v>
      </c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2" t="s">
        <v>23</v>
      </c>
      <c r="C10" s="32"/>
      <c r="D10" s="32"/>
      <c r="E10" s="33">
        <v>200.0</v>
      </c>
      <c r="F10" s="32"/>
      <c r="G10" s="32"/>
      <c r="H10" s="32"/>
      <c r="I10" s="32"/>
      <c r="J10" s="32"/>
      <c r="K10" s="35">
        <v>1.0</v>
      </c>
      <c r="L10" s="35">
        <v>1.0</v>
      </c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3">
        <v>200.0</v>
      </c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3">
        <v>200.0</v>
      </c>
      <c r="BK10" s="32"/>
      <c r="BL10" s="32"/>
      <c r="BM10" s="32"/>
      <c r="BN10" s="32"/>
      <c r="BO10" s="32" t="s">
        <v>17</v>
      </c>
      <c r="BP10" s="32"/>
      <c r="BQ10" s="32"/>
      <c r="BR10" s="32"/>
      <c r="BS10" s="32"/>
      <c r="BT10" s="32" t="s">
        <v>21</v>
      </c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32"/>
      <c r="B11" s="32" t="s">
        <v>18</v>
      </c>
      <c r="C11" s="32"/>
      <c r="D11" s="32"/>
      <c r="E11" s="33">
        <v>800.0</v>
      </c>
      <c r="F11" s="32"/>
      <c r="G11" s="32"/>
      <c r="H11" s="32"/>
      <c r="I11" s="32"/>
      <c r="J11" s="32"/>
      <c r="K11" s="35">
        <v>1.0</v>
      </c>
      <c r="L11" s="35">
        <v>1.0</v>
      </c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3">
        <v>800.0</v>
      </c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3">
        <v>800.0</v>
      </c>
      <c r="BK11" s="32"/>
      <c r="BL11" s="32"/>
      <c r="BM11" s="32"/>
      <c r="BN11" s="32"/>
      <c r="BO11" s="32" t="s">
        <v>17</v>
      </c>
      <c r="BP11" s="32"/>
      <c r="BQ11" s="32"/>
      <c r="BR11" s="32"/>
      <c r="BS11" s="32"/>
      <c r="BT11" s="32" t="s">
        <v>21</v>
      </c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ht="15.75" customHeight="1">
      <c r="A12" s="32"/>
      <c r="B12" s="32" t="s">
        <v>19</v>
      </c>
      <c r="C12" s="32"/>
      <c r="D12" s="32"/>
      <c r="E12" s="33">
        <v>500.0</v>
      </c>
      <c r="F12" s="32"/>
      <c r="G12" s="32"/>
      <c r="H12" s="32"/>
      <c r="I12" s="32"/>
      <c r="J12" s="32"/>
      <c r="K12" s="35">
        <v>1.0</v>
      </c>
      <c r="L12" s="35">
        <v>1.0</v>
      </c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3">
        <v>500.0</v>
      </c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3">
        <v>500.0</v>
      </c>
      <c r="BK12" s="32"/>
      <c r="BL12" s="32"/>
      <c r="BM12" s="32"/>
      <c r="BN12" s="32"/>
      <c r="BO12" s="32" t="s">
        <v>17</v>
      </c>
      <c r="BP12" s="32"/>
      <c r="BQ12" s="32"/>
      <c r="BR12" s="32"/>
      <c r="BS12" s="32"/>
      <c r="BT12" s="32" t="s">
        <v>21</v>
      </c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8"/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IFERROR(__xludf.DUMMYFUNCTION("""COMPUTED_VALUE"""),"AUECID")</f>
        <v>AUECID</v>
      </c>
      <c r="E5" s="28" t="str">
        <f>IFERROR(__xludf.DUMMYFUNCTION("""COMPUTED_VALUE"""),"ExternalTransId")</f>
        <v>ExternalTransId</v>
      </c>
      <c r="F5" s="29" t="str">
        <f>IFERROR(__xludf.DUMMYFUNCTION("""COMPUTED_VALUE"""),"IsSwapped")</f>
        <v>IsSwapped</v>
      </c>
      <c r="G5" s="28" t="str">
        <f>IFERROR(__xludf.DUMMYFUNCTION("""COMPUTED_VALUE"""),"LotId")</f>
        <v>LotId</v>
      </c>
      <c r="H5" s="28" t="str">
        <f>IFERROR(__xludf.DUMMYFUNCTION("""COMPUTED_VALUE"""),"Net Notional")</f>
        <v>Net Notional</v>
      </c>
      <c r="I5" s="28" t="str">
        <f>IFERROR(__xludf.DUMMYFUNCTION("""COMPUTED_VALUE"""),"Opening Price")</f>
        <v>Opening Price</v>
      </c>
      <c r="J5" s="28" t="str">
        <f>IFERROR(__xludf.DUMMYFUNCTION("""COMPUTED_VALUE"""),"Original Purchase Date")</f>
        <v>Original Purchase Date</v>
      </c>
      <c r="K5" s="28" t="str">
        <f>IFERROR(__xludf.DUMMYFUNCTION("""COMPUTED_VALUE"""),"PositionTag")</f>
        <v>PositionTag</v>
      </c>
      <c r="L5" s="28" t="str">
        <f>IFERROR(__xludf.DUMMYFUNCTION("""COMPUTED_VALUE"""),"Process Date")</f>
        <v>Process Date</v>
      </c>
      <c r="M5" s="28" t="str">
        <f>IFERROR(__xludf.DUMMYFUNCTION("""COMPUTED_VALUE"""),"Quantity")</f>
        <v>Quantity</v>
      </c>
      <c r="N5" s="28" t="str">
        <f>IFERROR(__xludf.DUMMYFUNCTION("""COMPUTED_VALUE"""),"Security Name")</f>
        <v>Security Name</v>
      </c>
      <c r="O5" s="28" t="str">
        <f>IFERROR(__xludf.DUMMYFUNCTION("""COMPUTED_VALUE"""),"Settlement Currency")</f>
        <v>Settlement Currency</v>
      </c>
      <c r="P5" s="28" t="str">
        <f>IFERROR(__xludf.DUMMYFUNCTION("""COMPUTED_VALUE"""),"Side")</f>
        <v>Side</v>
      </c>
      <c r="Q5" s="28" t="str">
        <f>IFERROR(__xludf.DUMMYFUNCTION("""COMPUTED_VALUE"""),"Strategy")</f>
        <v>Strategy</v>
      </c>
      <c r="R5" s="28" t="str">
        <f>IFERROR(__xludf.DUMMYFUNCTION("""COMPUTED_VALUE"""),"Symbol")</f>
        <v>Symbol</v>
      </c>
      <c r="S5" s="28" t="str">
        <f>IFERROR(__xludf.DUMMYFUNCTION("""COMPUTED_VALUE"""),"Taxlot ID")</f>
        <v>Taxlot ID</v>
      </c>
      <c r="T5" s="30" t="str">
        <f>IFERROR(__xludf.DUMMYFUNCTION("""COMPUTED_VALUE"""),"Total Fees and Commission")</f>
        <v>Total Fees and Commission</v>
      </c>
      <c r="U5" s="30" t="str">
        <f>IFERROR(__xludf.DUMMYFUNCTION("""COMPUTED_VALUE"""),"Trade Date")</f>
        <v>Trade Date</v>
      </c>
      <c r="V5" s="30" t="str">
        <f>IFERROR(__xludf.DUMMYFUNCTION("""COMPUTED_VALUE"""),"Transaction Type")</f>
        <v>Transaction Type</v>
      </c>
      <c r="W5" s="30" t="str">
        <f>IFERROR(__xludf.DUMMYFUNCTION("""COMPUTED_VALUE"""),"UnderlyingName")</f>
        <v>UnderlyingName</v>
      </c>
      <c r="X5" s="30" t="str">
        <f>IFERROR(__xludf.DUMMYFUNCTION("""COMPUTED_VALUE"""),"UnitCost")</f>
        <v>UnitCost</v>
      </c>
      <c r="Y5" s="30" t="str">
        <f>IFERROR(__xludf.DUMMYFUNCTION("""COMPUTED_VALUE"""),"Unit Cost(Base)")</f>
        <v>Unit Cost(Base)</v>
      </c>
      <c r="Z5" s="30" t="str">
        <f>IFERROR(__xludf.DUMMYFUNCTION("""COMPUTED_VALUE"""),"AvgPriceBase")</f>
        <v>AvgPriceBase</v>
      </c>
      <c r="AA5" s="30" t="str">
        <f>IFERROR(__xludf.DUMMYFUNCTION("""COMPUTED_VALUE"""),"isRowCountCheck")</f>
        <v>isRowCountCheck</v>
      </c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41" t="s">
        <v>18</v>
      </c>
      <c r="C6" s="41" t="s">
        <v>41</v>
      </c>
      <c r="D6" s="42">
        <v>1.0</v>
      </c>
      <c r="E6" s="32"/>
      <c r="F6" s="41" t="b">
        <v>0</v>
      </c>
      <c r="G6" s="32"/>
      <c r="H6" s="32"/>
      <c r="I6" s="35">
        <v>1.0</v>
      </c>
      <c r="J6" s="32"/>
      <c r="K6" s="41" t="s">
        <v>42</v>
      </c>
      <c r="L6" s="32"/>
      <c r="M6" s="42">
        <v>800.0</v>
      </c>
      <c r="N6" s="41" t="s">
        <v>43</v>
      </c>
      <c r="O6" s="32"/>
      <c r="P6" s="41" t="s">
        <v>17</v>
      </c>
      <c r="Q6" s="41" t="s">
        <v>44</v>
      </c>
      <c r="R6" s="41" t="s">
        <v>16</v>
      </c>
      <c r="S6" s="32"/>
      <c r="T6" s="42">
        <v>14.0004</v>
      </c>
      <c r="U6" s="32"/>
      <c r="V6" s="41" t="s">
        <v>17</v>
      </c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41" t="s">
        <v>19</v>
      </c>
      <c r="C7" s="41" t="s">
        <v>41</v>
      </c>
      <c r="D7" s="42">
        <v>1.0</v>
      </c>
      <c r="E7" s="32"/>
      <c r="F7" s="41" t="b">
        <v>0</v>
      </c>
      <c r="G7" s="32"/>
      <c r="H7" s="32"/>
      <c r="I7" s="35">
        <v>1.0</v>
      </c>
      <c r="J7" s="32"/>
      <c r="K7" s="41" t="s">
        <v>42</v>
      </c>
      <c r="L7" s="32"/>
      <c r="M7" s="42">
        <v>801.0</v>
      </c>
      <c r="N7" s="41" t="s">
        <v>43</v>
      </c>
      <c r="O7" s="32"/>
      <c r="P7" s="41" t="s">
        <v>17</v>
      </c>
      <c r="Q7" s="41" t="s">
        <v>44</v>
      </c>
      <c r="R7" s="41" t="s">
        <v>16</v>
      </c>
      <c r="S7" s="32"/>
      <c r="T7" s="42">
        <v>14.0004</v>
      </c>
      <c r="U7" s="32"/>
      <c r="V7" s="41" t="s">
        <v>17</v>
      </c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41" t="s">
        <v>18</v>
      </c>
      <c r="C8" s="41" t="s">
        <v>41</v>
      </c>
      <c r="D8" s="42">
        <v>1.0</v>
      </c>
      <c r="E8" s="32"/>
      <c r="F8" s="41" t="b">
        <v>0</v>
      </c>
      <c r="G8" s="32"/>
      <c r="H8" s="32"/>
      <c r="I8" s="35">
        <v>1.0</v>
      </c>
      <c r="J8" s="32"/>
      <c r="K8" s="41" t="s">
        <v>42</v>
      </c>
      <c r="L8" s="32"/>
      <c r="M8" s="42">
        <v>1529.0</v>
      </c>
      <c r="N8" s="41" t="s">
        <v>43</v>
      </c>
      <c r="O8" s="32"/>
      <c r="P8" s="41" t="s">
        <v>17</v>
      </c>
      <c r="Q8" s="41" t="s">
        <v>44</v>
      </c>
      <c r="R8" s="41" t="s">
        <v>16</v>
      </c>
      <c r="S8" s="32"/>
      <c r="T8" s="42">
        <v>4.28205624</v>
      </c>
      <c r="U8" s="32"/>
      <c r="V8" s="41" t="s">
        <v>17</v>
      </c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41" t="s">
        <v>19</v>
      </c>
      <c r="C9" s="41" t="s">
        <v>41</v>
      </c>
      <c r="D9" s="42">
        <v>1.0</v>
      </c>
      <c r="E9" s="32"/>
      <c r="F9" s="41" t="b">
        <v>0</v>
      </c>
      <c r="G9" s="32"/>
      <c r="H9" s="32"/>
      <c r="I9" s="35">
        <v>1.0</v>
      </c>
      <c r="J9" s="32"/>
      <c r="K9" s="41" t="s">
        <v>42</v>
      </c>
      <c r="L9" s="32"/>
      <c r="M9" s="42">
        <v>1918.0</v>
      </c>
      <c r="N9" s="41" t="s">
        <v>43</v>
      </c>
      <c r="O9" s="32"/>
      <c r="P9" s="41" t="s">
        <v>17</v>
      </c>
      <c r="Q9" s="41" t="s">
        <v>44</v>
      </c>
      <c r="R9" s="41" t="s">
        <v>16</v>
      </c>
      <c r="S9" s="32"/>
      <c r="T9" s="42">
        <v>5.37147408</v>
      </c>
      <c r="U9" s="32"/>
      <c r="V9" s="41" t="s">
        <v>17</v>
      </c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41" t="s">
        <v>23</v>
      </c>
      <c r="C10" s="41" t="s">
        <v>41</v>
      </c>
      <c r="D10" s="42">
        <v>1.0</v>
      </c>
      <c r="E10" s="32"/>
      <c r="F10" s="41" t="b">
        <v>0</v>
      </c>
      <c r="G10" s="32"/>
      <c r="H10" s="32"/>
      <c r="I10" s="35">
        <v>1.0</v>
      </c>
      <c r="J10" s="32"/>
      <c r="K10" s="41" t="s">
        <v>42</v>
      </c>
      <c r="L10" s="32"/>
      <c r="M10" s="42">
        <v>1553.0</v>
      </c>
      <c r="N10" s="41" t="s">
        <v>43</v>
      </c>
      <c r="O10" s="32"/>
      <c r="P10" s="41" t="s">
        <v>17</v>
      </c>
      <c r="Q10" s="41" t="s">
        <v>44</v>
      </c>
      <c r="R10" s="41" t="s">
        <v>16</v>
      </c>
      <c r="S10" s="32"/>
      <c r="T10" s="42">
        <v>4.34926968</v>
      </c>
      <c r="U10" s="32"/>
      <c r="V10" s="41" t="s">
        <v>17</v>
      </c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32"/>
      <c r="B11" s="41" t="s">
        <v>23</v>
      </c>
      <c r="C11" s="41" t="s">
        <v>41</v>
      </c>
      <c r="D11" s="42">
        <v>1.0</v>
      </c>
      <c r="E11" s="32"/>
      <c r="F11" s="41" t="b">
        <v>0</v>
      </c>
      <c r="G11" s="32"/>
      <c r="H11" s="32"/>
      <c r="I11" s="35">
        <v>1.0</v>
      </c>
      <c r="J11" s="32"/>
      <c r="K11" s="41" t="s">
        <v>42</v>
      </c>
      <c r="L11" s="32"/>
      <c r="M11" s="42">
        <v>200.0</v>
      </c>
      <c r="N11" s="41" t="s">
        <v>45</v>
      </c>
      <c r="O11" s="32"/>
      <c r="P11" s="41" t="s">
        <v>17</v>
      </c>
      <c r="Q11" s="41" t="s">
        <v>44</v>
      </c>
      <c r="R11" s="41" t="s">
        <v>21</v>
      </c>
      <c r="S11" s="32"/>
      <c r="T11" s="42">
        <v>14.0001</v>
      </c>
      <c r="U11" s="32"/>
      <c r="V11" s="41" t="s">
        <v>17</v>
      </c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ht="15.75" customHeight="1">
      <c r="A12" s="32"/>
      <c r="B12" s="41" t="s">
        <v>18</v>
      </c>
      <c r="C12" s="41" t="s">
        <v>41</v>
      </c>
      <c r="D12" s="42">
        <v>1.0</v>
      </c>
      <c r="E12" s="32"/>
      <c r="F12" s="41" t="b">
        <v>0</v>
      </c>
      <c r="G12" s="32"/>
      <c r="H12" s="32"/>
      <c r="I12" s="35">
        <v>1.0</v>
      </c>
      <c r="J12" s="32"/>
      <c r="K12" s="41" t="s">
        <v>42</v>
      </c>
      <c r="L12" s="32"/>
      <c r="M12" s="42">
        <v>800.0</v>
      </c>
      <c r="N12" s="41" t="s">
        <v>45</v>
      </c>
      <c r="O12" s="32"/>
      <c r="P12" s="41" t="s">
        <v>17</v>
      </c>
      <c r="Q12" s="41" t="s">
        <v>44</v>
      </c>
      <c r="R12" s="41" t="s">
        <v>21</v>
      </c>
      <c r="S12" s="32"/>
      <c r="T12" s="42">
        <v>14.0004</v>
      </c>
      <c r="U12" s="32"/>
      <c r="V12" s="41" t="s">
        <v>17</v>
      </c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</row>
    <row r="13" ht="15.75" customHeight="1">
      <c r="A13" s="32"/>
      <c r="B13" s="41" t="s">
        <v>19</v>
      </c>
      <c r="C13" s="41" t="s">
        <v>41</v>
      </c>
      <c r="D13" s="42">
        <v>1.0</v>
      </c>
      <c r="E13" s="32"/>
      <c r="F13" s="41" t="b">
        <v>0</v>
      </c>
      <c r="G13" s="32"/>
      <c r="H13" s="32"/>
      <c r="I13" s="35">
        <v>1.0</v>
      </c>
      <c r="J13" s="32"/>
      <c r="K13" s="41" t="s">
        <v>42</v>
      </c>
      <c r="L13" s="32"/>
      <c r="M13" s="42">
        <v>500.0</v>
      </c>
      <c r="N13" s="41" t="s">
        <v>45</v>
      </c>
      <c r="O13" s="32"/>
      <c r="P13" s="41" t="s">
        <v>17</v>
      </c>
      <c r="Q13" s="41" t="s">
        <v>44</v>
      </c>
      <c r="R13" s="41" t="s">
        <v>21</v>
      </c>
      <c r="S13" s="32"/>
      <c r="T13" s="42">
        <v>14.0003</v>
      </c>
      <c r="U13" s="32"/>
      <c r="V13" s="41" t="s">
        <v>17</v>
      </c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  <c r="EW13" s="32"/>
      <c r="EX13" s="32"/>
    </row>
    <row r="14" ht="15.75" customHeight="1">
      <c r="A14" s="32"/>
      <c r="B14" s="41"/>
      <c r="C14" s="41"/>
      <c r="D14" s="42"/>
      <c r="E14" s="32"/>
      <c r="F14" s="41"/>
      <c r="G14" s="32"/>
      <c r="H14" s="32"/>
      <c r="I14" s="35"/>
      <c r="J14" s="32"/>
      <c r="K14" s="41"/>
      <c r="L14" s="32"/>
      <c r="M14" s="42"/>
      <c r="N14" s="41"/>
      <c r="O14" s="32"/>
      <c r="P14" s="41"/>
      <c r="Q14" s="41"/>
      <c r="R14" s="41"/>
      <c r="S14" s="32"/>
      <c r="T14" s="42"/>
      <c r="U14" s="32"/>
      <c r="V14" s="41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  <c r="EW14" s="32"/>
      <c r="EX14" s="32"/>
    </row>
    <row r="15" ht="15.75" customHeight="1">
      <c r="A15" s="32"/>
      <c r="B15" s="41"/>
      <c r="C15" s="41"/>
      <c r="D15" s="42"/>
      <c r="E15" s="32"/>
      <c r="F15" s="41"/>
      <c r="G15" s="32"/>
      <c r="H15" s="32"/>
      <c r="I15" s="35"/>
      <c r="J15" s="32"/>
      <c r="K15" s="41"/>
      <c r="L15" s="32"/>
      <c r="M15" s="42"/>
      <c r="N15" s="41"/>
      <c r="O15" s="32"/>
      <c r="P15" s="41"/>
      <c r="Q15" s="41"/>
      <c r="R15" s="41"/>
      <c r="S15" s="32"/>
      <c r="T15" s="42"/>
      <c r="U15" s="32"/>
      <c r="V15" s="41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  <c r="DJ15" s="32"/>
      <c r="DK15" s="32"/>
      <c r="DL15" s="32"/>
      <c r="DM15" s="32"/>
      <c r="DN15" s="32"/>
      <c r="DO15" s="32"/>
      <c r="DP15" s="32"/>
      <c r="DQ15" s="32"/>
      <c r="DR15" s="32"/>
      <c r="DS15" s="32"/>
      <c r="DT15" s="32"/>
      <c r="DU15" s="32"/>
      <c r="DV15" s="32"/>
      <c r="DW15" s="32"/>
      <c r="DX15" s="32"/>
      <c r="DY15" s="32"/>
      <c r="DZ15" s="32"/>
      <c r="EA15" s="32"/>
      <c r="EB15" s="32"/>
      <c r="EC15" s="32"/>
      <c r="ED15" s="32"/>
      <c r="EE15" s="32"/>
      <c r="EF15" s="32"/>
      <c r="EG15" s="32"/>
      <c r="EH15" s="32"/>
      <c r="EI15" s="32"/>
      <c r="EJ15" s="32"/>
      <c r="EK15" s="32"/>
      <c r="EL15" s="32"/>
      <c r="EM15" s="32"/>
      <c r="EN15" s="32"/>
      <c r="EO15" s="32"/>
      <c r="EP15" s="32"/>
      <c r="EQ15" s="32"/>
      <c r="ER15" s="32"/>
      <c r="ES15" s="32"/>
      <c r="ET15" s="32"/>
      <c r="EU15" s="32"/>
      <c r="EV15" s="32"/>
      <c r="EW15" s="32"/>
      <c r="EX15" s="32"/>
    </row>
    <row r="16" ht="15.75" customHeight="1">
      <c r="A16" s="32"/>
      <c r="B16" s="41"/>
      <c r="C16" s="41"/>
      <c r="D16" s="42"/>
      <c r="E16" s="32"/>
      <c r="F16" s="41"/>
      <c r="G16" s="32"/>
      <c r="H16" s="32"/>
      <c r="I16" s="35"/>
      <c r="J16" s="32"/>
      <c r="K16" s="41"/>
      <c r="L16" s="32"/>
      <c r="M16" s="42"/>
      <c r="N16" s="41"/>
      <c r="O16" s="32"/>
      <c r="P16" s="41"/>
      <c r="Q16" s="41"/>
      <c r="R16" s="41"/>
      <c r="S16" s="32"/>
      <c r="T16" s="42"/>
      <c r="U16" s="32"/>
      <c r="V16" s="41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2"/>
      <c r="DN16" s="32"/>
      <c r="DO16" s="32"/>
      <c r="DP16" s="32"/>
      <c r="DQ16" s="32"/>
      <c r="DR16" s="32"/>
      <c r="DS16" s="32"/>
      <c r="DT16" s="32"/>
      <c r="DU16" s="32"/>
      <c r="DV16" s="32"/>
      <c r="DW16" s="32"/>
      <c r="DX16" s="32"/>
      <c r="DY16" s="32"/>
      <c r="DZ16" s="32"/>
      <c r="EA16" s="32"/>
      <c r="EB16" s="32"/>
      <c r="EC16" s="32"/>
      <c r="ED16" s="32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32"/>
      <c r="ES16" s="32"/>
      <c r="ET16" s="32"/>
      <c r="EU16" s="32"/>
      <c r="EV16" s="32"/>
      <c r="EW16" s="32"/>
      <c r="EX16" s="32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IFERROR(__xludf.DUMMYFUNCTION("""COMPUTED_VALUE"""),"RunManualRevaluation")</f>
        <v>RunManualRevaluation</v>
      </c>
      <c r="J4" s="25" t="str">
        <f>IFERROR(__xludf.DUMMYFUNCTION("""COMPUTED_VALUE"""),"SaveCashTransaction")</f>
        <v>SaveCashTransaction</v>
      </c>
      <c r="K4" s="25" t="str">
        <f>IFERROR(__xludf.DUMMYFUNCTION("""COMPUTED_VALUE"""),"EditGridCashTransactions")</f>
        <v>EditGridCashTransactions</v>
      </c>
      <c r="L4" s="25" t="str">
        <f>IFERROR(__xludf.DUMMYFUNCTION("""COMPUTED_VALUE"""),"FilterCashTransactionGrid")</f>
        <v>FilterCashTransactionGrid</v>
      </c>
      <c r="M4" s="25" t="str">
        <f>IFERROR(__xludf.DUMMYFUNCTION("""COMPUTED_VALUE"""),"GetTradingTransaction")</f>
        <v>GetTradingTransaction</v>
      </c>
      <c r="N4" s="25" t="str">
        <f>IFERROR(__xludf.DUMMYFUNCTION("""COMPUTED_VALUE"""),"GetActivityData")</f>
        <v>GetActivityData</v>
      </c>
      <c r="O4" s="25" t="str">
        <f>IFERROR(__xludf.DUMMYFUNCTION("""COMPUTED_VALUE"""),"GetRevaluationData")</f>
        <v>GetRevaluationData</v>
      </c>
      <c r="P4" s="26" t="str">
        <f>IFERROR(__xludf.DUMMYFUNCTION("""COMPUTED_VALUE"""),"GetAccountDetails")</f>
        <v>GetAccountDetails</v>
      </c>
      <c r="Q4" s="26" t="str">
        <f>IFERROR(__xludf.DUMMYFUNCTION("""COMPUTED_VALUE"""),"GetNonTradingTransaction")</f>
        <v>GetNonTradingTransaction</v>
      </c>
      <c r="R4" s="26" t="str">
        <f>IFERROR(__xludf.DUMMYFUNCTION("""COMPUTED_VALUE"""),"GetDividendData")</f>
        <v>GetDividendData</v>
      </c>
      <c r="S4" s="26" t="str">
        <f>IFERROR(__xludf.DUMMYFUNCTION("""COMPUTED_VALUE"""),"VerifyNonTradingTransaction")</f>
        <v>VerifyNonTradingTransaction</v>
      </c>
      <c r="T4" s="26" t="str">
        <f>IFERROR(__xludf.DUMMYFUNCTION("""COMPUTED_VALUE"""),"VerifyDividend")</f>
        <v>VerifyDividend</v>
      </c>
      <c r="U4" s="26" t="str">
        <f>IFERROR(__xludf.DUMMYFUNCTION("""COMPUTED_VALUE"""),"GetOpeningBalanceData")</f>
        <v>GetOpeningBalanceData</v>
      </c>
      <c r="V4" s="26" t="str">
        <f>IFERROR(__xludf.DUMMYFUNCTION("""COMPUTED_VALUE"""),"GetAccountBalance")</f>
        <v>GetAccountBalance</v>
      </c>
      <c r="W4" s="26" t="str">
        <f>IFERROR(__xludf.DUMMYFUNCTION("""COMPUTED_VALUE"""),"SelectNonTradingTransaction")</f>
        <v>SelectNonTradingTransaction</v>
      </c>
      <c r="X4" s="26" t="str">
        <f>IFERROR(__xludf.DUMMYFUNCTION("""COMPUTED_VALUE"""),"SelectNonTradingTranItem")</f>
        <v>SelectNonTradingTranItem</v>
      </c>
      <c r="Y4" s="26" t="str">
        <f>IFERROR(__xludf.DUMMYFUNCTION("""COMPUTED_VALUE"""),"DeleteNonTradingTransaction")</f>
        <v>DeleteNonTradingTransaction</v>
      </c>
      <c r="Z4" s="26" t="str">
        <f>IFERROR(__xludf.DUMMYFUNCTION("""COMPUTED_VALUE"""),"DeleteNonTradingTranItem")</f>
        <v>DeleteNonTradingTranItem</v>
      </c>
      <c r="AA4" s="26" t="str">
        <f>IFERROR(__xludf.DUMMYFUNCTION("""COMPUTED_VALUE"""),"AddNonTradingTransaction")</f>
        <v>AddNonTradingTransaction</v>
      </c>
      <c r="AB4" s="26" t="str">
        <f>IFERROR(__xludf.DUMMYFUNCTION("""COMPUTED_VALUE"""),"AddNonTradingTranItem")</f>
        <v>AddNonTradingTranItem</v>
      </c>
      <c r="AC4" s="26" t="str">
        <f>IFERROR(__xludf.DUMMYFUNCTION("""COMPUTED_VALUE"""),"VerifyOpeningBalanceData")</f>
        <v>VerifyOpeningBalanceData</v>
      </c>
      <c r="AD4" s="26" t="str">
        <f>IFERROR(__xludf.DUMMYFUNCTION("""COMPUTED_VALUE"""),"SelectOpeningBalanceTransaction")</f>
        <v>SelectOpeningBalanceTransaction</v>
      </c>
      <c r="AE4" s="26" t="str">
        <f>IFERROR(__xludf.DUMMYFUNCTION("""COMPUTED_VALUE"""),"SelectOpeningBalanceTranItem")</f>
        <v>SelectOpeningBalanceTranItem</v>
      </c>
      <c r="AF4" s="26" t="str">
        <f>IFERROR(__xludf.DUMMYFUNCTION("""COMPUTED_VALUE"""),"EditNonTradingTransaction")</f>
        <v>EditNonTradingTransaction</v>
      </c>
      <c r="AG4" s="26" t="str">
        <f>IFERROR(__xludf.DUMMYFUNCTION("""COMPUTED_VALUE"""),"EditNonTradingTranItem")</f>
        <v>EditNonTradingTranItem</v>
      </c>
      <c r="AH4" s="26" t="str">
        <f>IFERROR(__xludf.DUMMYFUNCTION("""COMPUTED_VALUE"""),"DeleteOpeningBalanceTransaction")</f>
        <v>DeleteOpeningBalanceTransaction</v>
      </c>
      <c r="AI4" s="26" t="str">
        <f>IFERROR(__xludf.DUMMYFUNCTION("""COMPUTED_VALUE"""),"DeleteOpeningBalanceTranItem")</f>
        <v>DeleteOpeningBalanceTranItem</v>
      </c>
      <c r="AJ4" s="26" t="str">
        <f>IFERROR(__xludf.DUMMYFUNCTION("""COMPUTED_VALUE"""),"GetDayEndCash")</f>
        <v>GetDayEndCash</v>
      </c>
      <c r="AK4" s="26" t="str">
        <f>IFERROR(__xludf.DUMMYFUNCTION("""COMPUTED_VALUE"""),"VerifyDayEndCash")</f>
        <v>VerifyDayEndCash</v>
      </c>
      <c r="AL4" s="26" t="str">
        <f>IFERROR(__xludf.DUMMYFUNCTION("""COMPUTED_VALUE"""),"RunRevaluation")</f>
        <v>RunRevaluation</v>
      </c>
      <c r="AM4" s="26" t="str">
        <f>IFERROR(__xludf.DUMMYFUNCTION("""COMPUTED_VALUE"""),"CalculateDayEndCash")</f>
        <v>CalculateDayEndCash</v>
      </c>
      <c r="AN4" s="26" t="str">
        <f>IFERROR(__xludf.DUMMYFUNCTION("""COMPUTED_VALUE"""),"AddMultipleOpeningBalTranItem")</f>
        <v>AddMultipleOpeningBalTranItem</v>
      </c>
      <c r="AO4" s="26" t="str">
        <f>IFERROR(__xludf.DUMMYFUNCTION("""COMPUTED_VALUE"""),"VerifyAccountBalances")</f>
        <v>VerifyAccountBalances</v>
      </c>
      <c r="AP4" s="26" t="str">
        <f>IFERROR(__xludf.DUMMYFUNCTION("""COMPUTED_VALUE"""),"GetCashTransaction")</f>
        <v>GetCashTransaction</v>
      </c>
      <c r="AQ4" s="26" t="str">
        <f>IFERROR(__xludf.DUMMYFUNCTION("""COMPUTED_VALUE"""),"SelectCashTransaction")</f>
        <v>SelectCashTransaction</v>
      </c>
      <c r="AR4" s="26" t="str">
        <f>IFERROR(__xludf.DUMMYFUNCTION("""COMPUTED_VALUE"""),"DeleteCashTransaction")</f>
        <v>DeleteCashTransaction</v>
      </c>
      <c r="AS4" s="26" t="str">
        <f>IFERROR(__xludf.DUMMYFUNCTION("""COMPUTED_VALUE"""),"EditCashTransaction")</f>
        <v>EditCashTransaction</v>
      </c>
      <c r="AT4" s="26" t="str">
        <f>IFERROR(__xludf.DUMMYFUNCTION("""COMPUTED_VALUE"""),"AddCashTransaction")</f>
        <v>AddCashTransaction</v>
      </c>
      <c r="AU4" s="26" t="str">
        <f>IFERROR(__xludf.DUMMYFUNCTION("""COMPUTED_VALUE"""),"VerifyCashTransaction")</f>
        <v>VerifyCashTransaction</v>
      </c>
      <c r="AV4" s="26" t="str">
        <f>IFERROR(__xludf.DUMMYFUNCTION("""COMPUTED_VALUE"""),"AddOpeningBalanceTransaction")</f>
        <v>AddOpeningBalanceTransaction</v>
      </c>
      <c r="AW4" s="26" t="str">
        <f>IFERROR(__xludf.DUMMYFUNCTION("""COMPUTED_VALUE"""),"AddOpeningBalanceTranItem")</f>
        <v>AddOpeningBalanceTranItem</v>
      </c>
      <c r="AX4" s="26" t="str">
        <f>IFERROR(__xludf.DUMMYFUNCTION("""COMPUTED_VALUE"""),"GetDailyCalculationsData")</f>
        <v>GetDailyCalculationsData</v>
      </c>
      <c r="AY4" s="26" t="str">
        <f>IFERROR(__xludf.DUMMYFUNCTION("""COMPUTED_VALUE"""),"CalculateDailyCalculations")</f>
        <v>CalculateDailyCalculations</v>
      </c>
      <c r="AZ4" s="26" t="str">
        <f>IFERROR(__xludf.DUMMYFUNCTION("""COMPUTED_VALUE"""),"EditOpeningBalanceTransaction")</f>
        <v>EditOpeningBalanceTransaction</v>
      </c>
      <c r="BA4" s="26" t="str">
        <f>IFERROR(__xludf.DUMMYFUNCTION("""COMPUTED_VALUE"""),"EditOpeningBalanceTranItem")</f>
        <v>EditOpeningBalanceTranItem</v>
      </c>
      <c r="BB4" s="26" t="str">
        <f>IFERROR(__xludf.DUMMYFUNCTION("""COMPUTED_VALUE"""),"VerifyDailyCalTransactions")</f>
        <v>VerifyDailyCalTransactions</v>
      </c>
      <c r="BC4" s="26" t="str">
        <f>IFERROR(__xludf.DUMMYFUNCTION("""COMPUTED_VALUE"""),"CloseGeneralLedger")</f>
        <v>CloseGeneralLedger</v>
      </c>
      <c r="BD4" s="26" t="str">
        <f>IFERROR(__xludf.DUMMYFUNCTION("""COMPUTED_VALUE"""),"VerifyAccountDetails")</f>
        <v>VerifyAccountDetails</v>
      </c>
      <c r="BE4" s="26" t="str">
        <f>IFERROR(__xludf.DUMMYFUNCTION("""COMPUTED_VALUE"""),"SaveTransaction")</f>
        <v>SaveTransaction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 t="str">
        <f>IFERROR(__xludf.DUMMYFUNCTION("""COMPUTED_VALUE"""),"Accounts")</f>
        <v>Accounts</v>
      </c>
      <c r="D5" s="28" t="str">
        <f>IFERROR(__xludf.DUMMYFUNCTION("""COMPUTED_VALUE"""),"From")</f>
        <v>From</v>
      </c>
      <c r="E5" s="28" t="str">
        <f>IFERROR(__xludf.DUMMYFUNCTION("""COMPUTED_VALUE"""),"To")</f>
        <v>To</v>
      </c>
      <c r="F5" s="29" t="str">
        <f>IFERROR(__xludf.DUMMYFUNCTION("""COMPUTED_VALUE"""),"SettlementDate")</f>
        <v>SettlementDate</v>
      </c>
      <c r="G5" s="28" t="str">
        <f>IFERROR(__xludf.DUMMYFUNCTION("""COMPUTED_VALUE"""),"TradeDate")</f>
        <v>TradeDate</v>
      </c>
      <c r="H5" s="28" t="str">
        <f>IFERROR(__xludf.DUMMYFUNCTION("""COMPUTED_VALUE"""),"All")</f>
        <v>All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48</v>
      </c>
      <c r="C6" s="32" t="s">
        <v>33</v>
      </c>
      <c r="D6" s="34">
        <f t="shared" ref="D6:E6" si="1">TODAY()</f>
        <v>45033</v>
      </c>
      <c r="E6" s="34">
        <f t="shared" si="1"/>
        <v>45033</v>
      </c>
      <c r="F6" s="32" t="s">
        <v>49</v>
      </c>
      <c r="G6" s="32" t="s">
        <v>50</v>
      </c>
      <c r="H6" s="32" t="s">
        <v>49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IFERROR(__xludf.DUMMYFUNCTION("""COMPUTED_VALUE"""),"RunManualRevaluation")</f>
        <v>RunManualRevaluation</v>
      </c>
      <c r="J4" s="25" t="str">
        <f>IFERROR(__xludf.DUMMYFUNCTION("""COMPUTED_VALUE"""),"SaveCashTransaction")</f>
        <v>SaveCashTransaction</v>
      </c>
      <c r="K4" s="25" t="str">
        <f>IFERROR(__xludf.DUMMYFUNCTION("""COMPUTED_VALUE"""),"EditGridCashTransactions")</f>
        <v>EditGridCashTransactions</v>
      </c>
      <c r="L4" s="25" t="str">
        <f>IFERROR(__xludf.DUMMYFUNCTION("""COMPUTED_VALUE"""),"FilterCashTransactionGrid")</f>
        <v>FilterCashTransactionGrid</v>
      </c>
      <c r="M4" s="25" t="str">
        <f>IFERROR(__xludf.DUMMYFUNCTION("""COMPUTED_VALUE"""),"GetTradingTransaction")</f>
        <v>GetTradingTransaction</v>
      </c>
      <c r="N4" s="25" t="str">
        <f>IFERROR(__xludf.DUMMYFUNCTION("""COMPUTED_VALUE"""),"GetActivityData")</f>
        <v>GetActivityData</v>
      </c>
      <c r="O4" s="25" t="str">
        <f>IFERROR(__xludf.DUMMYFUNCTION("""COMPUTED_VALUE"""),"GetRevaluationData")</f>
        <v>GetRevaluationData</v>
      </c>
      <c r="P4" s="26" t="str">
        <f>IFERROR(__xludf.DUMMYFUNCTION("""COMPUTED_VALUE"""),"GetAccountDetails")</f>
        <v>GetAccountDetails</v>
      </c>
      <c r="Q4" s="26" t="str">
        <f>IFERROR(__xludf.DUMMYFUNCTION("""COMPUTED_VALUE"""),"GetNonTradingTransaction")</f>
        <v>GetNonTradingTransaction</v>
      </c>
      <c r="R4" s="26" t="str">
        <f>IFERROR(__xludf.DUMMYFUNCTION("""COMPUTED_VALUE"""),"GetDividendData")</f>
        <v>GetDividendData</v>
      </c>
      <c r="S4" s="26" t="str">
        <f>IFERROR(__xludf.DUMMYFUNCTION("""COMPUTED_VALUE"""),"VerifyNonTradingTransaction")</f>
        <v>VerifyNonTradingTransaction</v>
      </c>
      <c r="T4" s="26" t="str">
        <f>IFERROR(__xludf.DUMMYFUNCTION("""COMPUTED_VALUE"""),"VerifyDividend")</f>
        <v>VerifyDividend</v>
      </c>
      <c r="U4" s="26" t="str">
        <f>IFERROR(__xludf.DUMMYFUNCTION("""COMPUTED_VALUE"""),"GetOpeningBalanceData")</f>
        <v>GetOpeningBalanceData</v>
      </c>
      <c r="V4" s="26" t="str">
        <f>IFERROR(__xludf.DUMMYFUNCTION("""COMPUTED_VALUE"""),"GetAccountBalance")</f>
        <v>GetAccountBalance</v>
      </c>
      <c r="W4" s="26" t="str">
        <f>IFERROR(__xludf.DUMMYFUNCTION("""COMPUTED_VALUE"""),"SelectNonTradingTransaction")</f>
        <v>SelectNonTradingTransaction</v>
      </c>
      <c r="X4" s="26" t="str">
        <f>IFERROR(__xludf.DUMMYFUNCTION("""COMPUTED_VALUE"""),"SelectNonTradingTranItem")</f>
        <v>SelectNonTradingTranItem</v>
      </c>
      <c r="Y4" s="26" t="str">
        <f>IFERROR(__xludf.DUMMYFUNCTION("""COMPUTED_VALUE"""),"DeleteNonTradingTransaction")</f>
        <v>DeleteNonTradingTransaction</v>
      </c>
      <c r="Z4" s="26" t="str">
        <f>IFERROR(__xludf.DUMMYFUNCTION("""COMPUTED_VALUE"""),"DeleteNonTradingTranItem")</f>
        <v>DeleteNonTradingTranItem</v>
      </c>
      <c r="AA4" s="26" t="str">
        <f>IFERROR(__xludf.DUMMYFUNCTION("""COMPUTED_VALUE"""),"AddNonTradingTransaction")</f>
        <v>AddNonTradingTransaction</v>
      </c>
      <c r="AB4" s="26" t="str">
        <f>IFERROR(__xludf.DUMMYFUNCTION("""COMPUTED_VALUE"""),"AddNonTradingTranItem")</f>
        <v>AddNonTradingTranItem</v>
      </c>
      <c r="AC4" s="26" t="str">
        <f>IFERROR(__xludf.DUMMYFUNCTION("""COMPUTED_VALUE"""),"VerifyOpeningBalanceData")</f>
        <v>VerifyOpeningBalanceData</v>
      </c>
      <c r="AD4" s="26" t="str">
        <f>IFERROR(__xludf.DUMMYFUNCTION("""COMPUTED_VALUE"""),"SelectOpeningBalanceTransaction")</f>
        <v>SelectOpeningBalanceTransaction</v>
      </c>
      <c r="AE4" s="26" t="str">
        <f>IFERROR(__xludf.DUMMYFUNCTION("""COMPUTED_VALUE"""),"SelectOpeningBalanceTranItem")</f>
        <v>SelectOpeningBalanceTranItem</v>
      </c>
      <c r="AF4" s="26" t="str">
        <f>IFERROR(__xludf.DUMMYFUNCTION("""COMPUTED_VALUE"""),"EditNonTradingTransaction")</f>
        <v>EditNonTradingTransaction</v>
      </c>
      <c r="AG4" s="26" t="str">
        <f>IFERROR(__xludf.DUMMYFUNCTION("""COMPUTED_VALUE"""),"EditNonTradingTranItem")</f>
        <v>EditNonTradingTranItem</v>
      </c>
      <c r="AH4" s="26" t="str">
        <f>IFERROR(__xludf.DUMMYFUNCTION("""COMPUTED_VALUE"""),"DeleteOpeningBalanceTransaction")</f>
        <v>DeleteOpeningBalanceTransaction</v>
      </c>
      <c r="AI4" s="26" t="str">
        <f>IFERROR(__xludf.DUMMYFUNCTION("""COMPUTED_VALUE"""),"DeleteOpeningBalanceTranItem")</f>
        <v>DeleteOpeningBalanceTranItem</v>
      </c>
      <c r="AJ4" s="26" t="str">
        <f>IFERROR(__xludf.DUMMYFUNCTION("""COMPUTED_VALUE"""),"GetDayEndCash")</f>
        <v>GetDayEndCash</v>
      </c>
      <c r="AK4" s="26" t="str">
        <f>IFERROR(__xludf.DUMMYFUNCTION("""COMPUTED_VALUE"""),"VerifyDayEndCash")</f>
        <v>VerifyDayEndCash</v>
      </c>
      <c r="AL4" s="26" t="str">
        <f>IFERROR(__xludf.DUMMYFUNCTION("""COMPUTED_VALUE"""),"RunRevaluation")</f>
        <v>RunRevaluation</v>
      </c>
      <c r="AM4" s="26" t="str">
        <f>IFERROR(__xludf.DUMMYFUNCTION("""COMPUTED_VALUE"""),"CalculateDayEndCash")</f>
        <v>CalculateDayEndCash</v>
      </c>
      <c r="AN4" s="26" t="str">
        <f>IFERROR(__xludf.DUMMYFUNCTION("""COMPUTED_VALUE"""),"AddMultipleOpeningBalTranItem")</f>
        <v>AddMultipleOpeningBalTranItem</v>
      </c>
      <c r="AO4" s="26" t="str">
        <f>IFERROR(__xludf.DUMMYFUNCTION("""COMPUTED_VALUE"""),"VerifyAccountBalances")</f>
        <v>VerifyAccountBalances</v>
      </c>
      <c r="AP4" s="26" t="str">
        <f>IFERROR(__xludf.DUMMYFUNCTION("""COMPUTED_VALUE"""),"GetCashTransaction")</f>
        <v>GetCashTransaction</v>
      </c>
      <c r="AQ4" s="26" t="str">
        <f>IFERROR(__xludf.DUMMYFUNCTION("""COMPUTED_VALUE"""),"SelectCashTransaction")</f>
        <v>SelectCashTransaction</v>
      </c>
      <c r="AR4" s="26" t="str">
        <f>IFERROR(__xludf.DUMMYFUNCTION("""COMPUTED_VALUE"""),"DeleteCashTransaction")</f>
        <v>DeleteCashTransaction</v>
      </c>
      <c r="AS4" s="26" t="str">
        <f>IFERROR(__xludf.DUMMYFUNCTION("""COMPUTED_VALUE"""),"EditCashTransaction")</f>
        <v>EditCashTransaction</v>
      </c>
      <c r="AT4" s="26" t="str">
        <f>IFERROR(__xludf.DUMMYFUNCTION("""COMPUTED_VALUE"""),"AddCashTransaction")</f>
        <v>AddCashTransaction</v>
      </c>
      <c r="AU4" s="26" t="str">
        <f>IFERROR(__xludf.DUMMYFUNCTION("""COMPUTED_VALUE"""),"VerifyCashTransaction")</f>
        <v>VerifyCashTransaction</v>
      </c>
      <c r="AV4" s="26" t="str">
        <f>IFERROR(__xludf.DUMMYFUNCTION("""COMPUTED_VALUE"""),"AddOpeningBalanceTransaction")</f>
        <v>AddOpeningBalanceTransaction</v>
      </c>
      <c r="AW4" s="26" t="str">
        <f>IFERROR(__xludf.DUMMYFUNCTION("""COMPUTED_VALUE"""),"AddOpeningBalanceTranItem")</f>
        <v>AddOpeningBalanceTranItem</v>
      </c>
      <c r="AX4" s="26" t="str">
        <f>IFERROR(__xludf.DUMMYFUNCTION("""COMPUTED_VALUE"""),"GetDailyCalculationsData")</f>
        <v>GetDailyCalculationsData</v>
      </c>
      <c r="AY4" s="26" t="str">
        <f>IFERROR(__xludf.DUMMYFUNCTION("""COMPUTED_VALUE"""),"CalculateDailyCalculations")</f>
        <v>CalculateDailyCalculations</v>
      </c>
      <c r="AZ4" s="26" t="str">
        <f>IFERROR(__xludf.DUMMYFUNCTION("""COMPUTED_VALUE"""),"EditOpeningBalanceTransaction")</f>
        <v>EditOpeningBalanceTransaction</v>
      </c>
      <c r="BA4" s="26" t="str">
        <f>IFERROR(__xludf.DUMMYFUNCTION("""COMPUTED_VALUE"""),"EditOpeningBalanceTranItem")</f>
        <v>EditOpeningBalanceTranItem</v>
      </c>
      <c r="BB4" s="26" t="str">
        <f>IFERROR(__xludf.DUMMYFUNCTION("""COMPUTED_VALUE"""),"VerifyDailyCalTransactions")</f>
        <v>VerifyDailyCalTransactions</v>
      </c>
      <c r="BC4" s="26" t="str">
        <f>IFERROR(__xludf.DUMMYFUNCTION("""COMPUTED_VALUE"""),"CloseGeneralLedger")</f>
        <v>CloseGeneralLedger</v>
      </c>
      <c r="BD4" s="26" t="str">
        <f>IFERROR(__xludf.DUMMYFUNCTION("""COMPUTED_VALUE"""),"VerifyAccountDetails")</f>
        <v>VerifyAccountDetails</v>
      </c>
      <c r="BE4" s="26" t="str">
        <f>IFERROR(__xludf.DUMMYFUNCTION("""COMPUTED_VALUE"""),"SaveTransaction")</f>
        <v>SaveTransaction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IFERROR(__xludf.DUMMYFUNCTION("""COMPUTED_VALUE"""),"Activity Source")</f>
        <v>Activity Source</v>
      </c>
      <c r="D5" s="28" t="str">
        <f>IFERROR(__xludf.DUMMYFUNCTION("""COMPUTED_VALUE"""),"ActivityType")</f>
        <v>ActivityType</v>
      </c>
      <c r="E5" s="28" t="str">
        <f>IFERROR(__xludf.DUMMYFUNCTION("""COMPUTED_VALUE"""),"Net Amount(Local)")</f>
        <v>Net Amount(Local)</v>
      </c>
      <c r="F5" s="29" t="str">
        <f>IFERROR(__xludf.DUMMYFUNCTION("""COMPUTED_VALUE"""),"AUEC Fee1")</f>
        <v>AUEC Fee1</v>
      </c>
      <c r="G5" s="28" t="str">
        <f>IFERROR(__xludf.DUMMYFUNCTION("""COMPUTED_VALUE"""),"AUEC Fee2")</f>
        <v>AUEC Fee2</v>
      </c>
      <c r="H5" s="28" t="str">
        <f>IFERROR(__xludf.DUMMYFUNCTION("""COMPUTED_VALUE"""),"Balance Type")</f>
        <v>Balance Type</v>
      </c>
      <c r="I5" s="28" t="str">
        <f>IFERROR(__xludf.DUMMYFUNCTION("""COMPUTED_VALUE"""),"Clearing Broker Fees")</f>
        <v>Clearing Broker Fees</v>
      </c>
      <c r="J5" s="28" t="str">
        <f>IFERROR(__xludf.DUMMYFUNCTION("""COMPUTED_VALUE"""),"Commission")</f>
        <v>Commission</v>
      </c>
      <c r="K5" s="28" t="str">
        <f>IFERROR(__xludf.DUMMYFUNCTION("""COMPUTED_VALUE"""),"Currency")</f>
        <v>Currency</v>
      </c>
      <c r="L5" s="28" t="str">
        <f>IFERROR(__xludf.DUMMYFUNCTION("""COMPUTED_VALUE"""),"Description")</f>
        <v>Description</v>
      </c>
      <c r="M5" s="28" t="str">
        <f>IFERROR(__xludf.DUMMYFUNCTION("""COMPUTED_VALUE"""),"Entry Date")</f>
        <v>Entry Date</v>
      </c>
      <c r="N5" s="28" t="str">
        <f>IFERROR(__xludf.DUMMYFUNCTION("""COMPUTED_VALUE"""),"FX Conversion Method Operator")</f>
        <v>FX Conversion Method Operator</v>
      </c>
      <c r="O5" s="28" t="str">
        <f>IFERROR(__xludf.DUMMYFUNCTION("""COMPUTED_VALUE"""),"Fx Rate")</f>
        <v>Fx Rate</v>
      </c>
      <c r="P5" s="28" t="str">
        <f>IFERROR(__xludf.DUMMYFUNCTION("""COMPUTED_VALUE"""),"Lead Currency")</f>
        <v>Lead Currency</v>
      </c>
      <c r="Q5" s="28" t="str">
        <f>IFERROR(__xludf.DUMMYFUNCTION("""COMPUTED_VALUE"""),"Modify date")</f>
        <v>Modify date</v>
      </c>
      <c r="R5" s="28" t="str">
        <f>IFERROR(__xludf.DUMMYFUNCTION("""COMPUTED_VALUE"""),"OCC Fee")</f>
        <v>OCC Fee</v>
      </c>
      <c r="S5" s="28" t="str">
        <f>IFERROR(__xludf.DUMMYFUNCTION("""COMPUTED_VALUE"""),"OptionPremiumAdjustment")</f>
        <v>OptionPremiumAdjustment</v>
      </c>
      <c r="T5" s="30" t="str">
        <f>IFERROR(__xludf.DUMMYFUNCTION("""COMPUTED_VALUE"""),"ORF Fee")</f>
        <v>ORF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IFERROR(__xludf.DUMMYFUNCTION("""COMPUTED_VALUE"""),"Quantity")</f>
        <v>Quantity</v>
      </c>
      <c r="W5" s="30" t="str">
        <f>IFERROR(__xludf.DUMMYFUNCTION("""COMPUTED_VALUE"""),"SEC Fee")</f>
        <v>SEC Fee</v>
      </c>
      <c r="X5" s="30" t="str">
        <f>IFERROR(__xludf.DUMMYFUNCTION("""COMPUTED_VALUE"""),"Settlement Currency")</f>
        <v>Settlement Currency</v>
      </c>
      <c r="Y5" s="30" t="str">
        <f>IFERROR(__xludf.DUMMYFUNCTION("""COMPUTED_VALUE"""),"Settlement Date")</f>
        <v>Settlement Date</v>
      </c>
      <c r="Z5" s="30" t="str">
        <f>IFERROR(__xludf.DUMMYFUNCTION("""COMPUTED_VALUE"""),"Soft Commission")</f>
        <v>Soft Commission</v>
      </c>
      <c r="AA5" s="30" t="str">
        <f>IFERROR(__xludf.DUMMYFUNCTION("""COMPUTED_VALUE"""),"Stamp Duty")</f>
        <v>Stamp Duty</v>
      </c>
      <c r="AB5" s="30" t="str">
        <f>IFERROR(__xludf.DUMMYFUNCTION("""COMPUTED_VALUE"""),"Symbol")</f>
        <v>Symbol</v>
      </c>
      <c r="AC5" s="30" t="str">
        <f>IFERROR(__xludf.DUMMYFUNCTION("""COMPUTED_VALUE"""),"Tax On Commissions")</f>
        <v>Tax On Commissions</v>
      </c>
      <c r="AD5" s="30" t="str">
        <f>IFERROR(__xludf.DUMMYFUNCTION("""COMPUTED_VALUE"""),"Total Commissions")</f>
        <v>Total Commissions</v>
      </c>
      <c r="AE5" s="30" t="str">
        <f>IFERROR(__xludf.DUMMYFUNCTION("""COMPUTED_VALUE"""),"Trade Date")</f>
        <v>Trade Date</v>
      </c>
      <c r="AF5" s="30" t="str">
        <f>IFERROR(__xludf.DUMMYFUNCTION("""COMPUTED_VALUE"""),"Transaction Levy")</f>
        <v>Transaction Levy</v>
      </c>
      <c r="AG5" s="30" t="str">
        <f>IFERROR(__xludf.DUMMYFUNCTION("""COMPUTED_VALUE"""),"Transaction Source")</f>
        <v>Transaction Source</v>
      </c>
      <c r="AH5" s="30" t="str">
        <f>IFERROR(__xludf.DUMMYFUNCTION("""COMPUTED_VALUE"""),"User")</f>
        <v>User</v>
      </c>
      <c r="AI5" s="30" t="str">
        <f>IFERROR(__xludf.DUMMYFUNCTION("""COMPUTED_VALUE"""),"Vs Currency")</f>
        <v>Vs Currency</v>
      </c>
      <c r="AJ5" s="30" t="str">
        <f>IFERROR(__xludf.DUMMYFUNCTION("""COMPUTED_VALUE"""),"SettlCurrencyID")</f>
        <v>SettlCurrencyID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43" t="s">
        <v>52</v>
      </c>
      <c r="E6" s="40"/>
      <c r="F6" s="8"/>
      <c r="G6" s="8"/>
      <c r="H6" s="13" t="s">
        <v>53</v>
      </c>
      <c r="I6" s="8"/>
      <c r="J6" s="8"/>
      <c r="K6" s="44" t="s">
        <v>27</v>
      </c>
      <c r="L6" s="8"/>
      <c r="M6" s="8"/>
      <c r="N6" s="8"/>
      <c r="O6" s="8"/>
      <c r="AB6" s="9" t="s">
        <v>16</v>
      </c>
      <c r="AG6" s="9" t="s">
        <v>54</v>
      </c>
    </row>
    <row r="7" ht="15.75" customHeight="1">
      <c r="A7" s="8"/>
      <c r="B7" s="13" t="s">
        <v>19</v>
      </c>
      <c r="C7" s="8"/>
      <c r="D7" s="44" t="s">
        <v>52</v>
      </c>
      <c r="E7" s="8"/>
      <c r="F7" s="8"/>
      <c r="G7" s="8"/>
      <c r="H7" s="13" t="s">
        <v>53</v>
      </c>
      <c r="I7" s="8"/>
      <c r="J7" s="8"/>
      <c r="K7" s="44" t="s">
        <v>27</v>
      </c>
      <c r="L7" s="8"/>
      <c r="M7" s="8"/>
      <c r="N7" s="8"/>
      <c r="O7" s="8"/>
      <c r="AB7" s="9" t="s">
        <v>16</v>
      </c>
      <c r="AG7" s="9" t="s">
        <v>54</v>
      </c>
    </row>
    <row r="8" ht="15.75" customHeight="1">
      <c r="A8" s="8"/>
      <c r="B8" s="13" t="s">
        <v>23</v>
      </c>
      <c r="C8" s="8"/>
      <c r="D8" s="44" t="s">
        <v>52</v>
      </c>
      <c r="E8" s="8"/>
      <c r="F8" s="8"/>
      <c r="G8" s="8"/>
      <c r="H8" s="13" t="s">
        <v>53</v>
      </c>
      <c r="I8" s="8"/>
      <c r="J8" s="8"/>
      <c r="K8" s="44" t="s">
        <v>27</v>
      </c>
      <c r="L8" s="8"/>
      <c r="M8" s="8"/>
      <c r="N8" s="8"/>
      <c r="O8" s="8"/>
      <c r="AB8" s="9" t="s">
        <v>16</v>
      </c>
      <c r="AG8" s="9" t="s">
        <v>54</v>
      </c>
    </row>
    <row r="9" ht="15.75" customHeight="1">
      <c r="A9" s="8"/>
      <c r="B9" s="13" t="s">
        <v>18</v>
      </c>
      <c r="C9" s="8"/>
      <c r="D9" s="44" t="s">
        <v>52</v>
      </c>
      <c r="E9" s="8"/>
      <c r="F9" s="8"/>
      <c r="G9" s="8"/>
      <c r="H9" s="13" t="s">
        <v>53</v>
      </c>
      <c r="I9" s="8"/>
      <c r="J9" s="8"/>
      <c r="K9" s="44" t="s">
        <v>27</v>
      </c>
      <c r="L9" s="8"/>
      <c r="M9" s="8"/>
      <c r="N9" s="8"/>
      <c r="O9" s="8"/>
      <c r="AB9" s="9" t="s">
        <v>16</v>
      </c>
      <c r="AG9" s="9" t="s">
        <v>54</v>
      </c>
    </row>
    <row r="10" ht="15.75" customHeight="1">
      <c r="A10" s="8"/>
      <c r="B10" s="13" t="s">
        <v>19</v>
      </c>
      <c r="C10" s="8"/>
      <c r="D10" s="44" t="s">
        <v>52</v>
      </c>
      <c r="E10" s="8"/>
      <c r="F10" s="8"/>
      <c r="G10" s="8"/>
      <c r="H10" s="13" t="s">
        <v>53</v>
      </c>
      <c r="I10" s="8"/>
      <c r="J10" s="8"/>
      <c r="K10" s="44" t="s">
        <v>27</v>
      </c>
      <c r="L10" s="8"/>
      <c r="M10" s="8"/>
      <c r="N10" s="8"/>
      <c r="O10" s="8"/>
      <c r="AB10" s="9" t="s">
        <v>16</v>
      </c>
      <c r="AG10" s="9" t="s">
        <v>54</v>
      </c>
    </row>
    <row r="11" ht="15.75" customHeight="1">
      <c r="A11" s="8"/>
      <c r="B11" s="13" t="s">
        <v>19</v>
      </c>
      <c r="C11" s="8"/>
      <c r="D11" s="44" t="s">
        <v>52</v>
      </c>
      <c r="E11" s="8"/>
      <c r="F11" s="8"/>
      <c r="G11" s="8"/>
      <c r="H11" s="13" t="s">
        <v>53</v>
      </c>
      <c r="I11" s="8"/>
      <c r="J11" s="8"/>
      <c r="K11" s="44" t="s">
        <v>27</v>
      </c>
      <c r="L11" s="8"/>
      <c r="M11" s="8"/>
      <c r="N11" s="8"/>
      <c r="O11" s="8"/>
      <c r="AB11" s="9" t="s">
        <v>21</v>
      </c>
      <c r="AG11" s="9" t="s">
        <v>54</v>
      </c>
    </row>
    <row r="12" ht="15.75" customHeight="1">
      <c r="A12" s="8"/>
      <c r="B12" s="13" t="s">
        <v>23</v>
      </c>
      <c r="C12" s="8"/>
      <c r="D12" s="44" t="s">
        <v>52</v>
      </c>
      <c r="E12" s="8"/>
      <c r="F12" s="8"/>
      <c r="G12" s="8"/>
      <c r="H12" s="13" t="s">
        <v>53</v>
      </c>
      <c r="I12" s="8"/>
      <c r="J12" s="8"/>
      <c r="K12" s="44" t="s">
        <v>27</v>
      </c>
      <c r="L12" s="8"/>
      <c r="M12" s="8"/>
      <c r="N12" s="8"/>
      <c r="O12" s="8"/>
      <c r="AB12" s="9" t="s">
        <v>21</v>
      </c>
      <c r="AG12" s="9" t="s">
        <v>54</v>
      </c>
    </row>
    <row r="13" ht="15.75" customHeight="1">
      <c r="A13" s="8"/>
      <c r="B13" s="13" t="s">
        <v>18</v>
      </c>
      <c r="C13" s="8"/>
      <c r="D13" s="44" t="s">
        <v>52</v>
      </c>
      <c r="E13" s="8"/>
      <c r="F13" s="8"/>
      <c r="G13" s="8"/>
      <c r="H13" s="13" t="s">
        <v>53</v>
      </c>
      <c r="I13" s="8"/>
      <c r="J13" s="8"/>
      <c r="K13" s="44" t="s">
        <v>27</v>
      </c>
      <c r="L13" s="8"/>
      <c r="M13" s="8"/>
      <c r="N13" s="8"/>
      <c r="O13" s="8"/>
      <c r="AB13" s="9" t="s">
        <v>21</v>
      </c>
      <c r="AG13" s="9" t="s">
        <v>54</v>
      </c>
    </row>
    <row r="14" ht="15.75" customHeight="1">
      <c r="A14" s="8"/>
      <c r="B14" s="13" t="s">
        <v>23</v>
      </c>
      <c r="C14" s="8"/>
      <c r="D14" s="44" t="s">
        <v>52</v>
      </c>
      <c r="E14" s="8"/>
      <c r="F14" s="8"/>
      <c r="G14" s="8"/>
      <c r="H14" s="13" t="s">
        <v>53</v>
      </c>
      <c r="I14" s="8"/>
      <c r="J14" s="8"/>
      <c r="K14" s="44" t="s">
        <v>27</v>
      </c>
      <c r="L14" s="8"/>
      <c r="M14" s="8"/>
      <c r="N14" s="8"/>
      <c r="O14" s="8"/>
      <c r="AB14" s="9" t="s">
        <v>21</v>
      </c>
      <c r="AG14" s="9" t="s">
        <v>54</v>
      </c>
    </row>
    <row r="15" ht="15.75" customHeight="1">
      <c r="A15" s="8"/>
      <c r="B15" s="13" t="s">
        <v>18</v>
      </c>
      <c r="C15" s="8"/>
      <c r="D15" s="44" t="s">
        <v>52</v>
      </c>
      <c r="E15" s="8"/>
      <c r="F15" s="8"/>
      <c r="G15" s="8"/>
      <c r="H15" s="13" t="s">
        <v>53</v>
      </c>
      <c r="I15" s="8"/>
      <c r="J15" s="8"/>
      <c r="K15" s="44" t="s">
        <v>27</v>
      </c>
      <c r="L15" s="8"/>
      <c r="M15" s="8"/>
      <c r="N15" s="8"/>
      <c r="O15" s="8"/>
      <c r="AB15" s="9" t="s">
        <v>21</v>
      </c>
      <c r="AG15" s="9" t="s">
        <v>54</v>
      </c>
    </row>
    <row r="16" ht="15.75" customHeight="1">
      <c r="A16" s="8"/>
      <c r="B16" s="13" t="s">
        <v>19</v>
      </c>
      <c r="C16" s="8"/>
      <c r="D16" s="44" t="s">
        <v>52</v>
      </c>
      <c r="E16" s="8"/>
      <c r="F16" s="8"/>
      <c r="G16" s="8"/>
      <c r="H16" s="13" t="s">
        <v>53</v>
      </c>
      <c r="I16" s="8"/>
      <c r="J16" s="8"/>
      <c r="K16" s="44" t="s">
        <v>27</v>
      </c>
      <c r="L16" s="8"/>
      <c r="M16" s="8"/>
      <c r="N16" s="8"/>
      <c r="O16" s="8"/>
      <c r="AB16" s="9" t="s">
        <v>21</v>
      </c>
      <c r="AG16" s="9" t="s">
        <v>54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8"/>
      <c r="B6" s="8"/>
      <c r="C6" s="45" t="s">
        <v>16</v>
      </c>
      <c r="D6" s="46">
        <v>800.0</v>
      </c>
      <c r="E6" s="45" t="s">
        <v>18</v>
      </c>
      <c r="F6" s="45" t="s">
        <v>57</v>
      </c>
      <c r="G6" s="47">
        <v>1.0</v>
      </c>
      <c r="H6" s="45" t="s">
        <v>42</v>
      </c>
      <c r="I6" s="46">
        <v>800.0</v>
      </c>
      <c r="J6" s="8"/>
      <c r="K6" s="46">
        <v>800.0</v>
      </c>
      <c r="L6" s="8"/>
      <c r="M6" s="8"/>
      <c r="N6" s="8"/>
      <c r="O6" s="45" t="s">
        <v>43</v>
      </c>
      <c r="Q6" s="47">
        <v>0.0</v>
      </c>
      <c r="R6" s="45" t="s">
        <v>58</v>
      </c>
      <c r="U6" s="45" t="s">
        <v>59</v>
      </c>
      <c r="V6" s="45" t="s">
        <v>60</v>
      </c>
      <c r="X6" s="47">
        <v>1.0</v>
      </c>
      <c r="Y6" s="47">
        <v>1.0</v>
      </c>
      <c r="AD6" s="47">
        <v>800.0</v>
      </c>
      <c r="AE6" s="47">
        <v>800.0</v>
      </c>
      <c r="AF6" s="47">
        <v>800.0</v>
      </c>
      <c r="AG6" s="47">
        <v>800.0</v>
      </c>
      <c r="AH6" s="47">
        <v>800.0</v>
      </c>
      <c r="AI6" s="47">
        <v>800.0</v>
      </c>
      <c r="AJ6" s="48">
        <v>188.24</v>
      </c>
      <c r="AN6" s="45" t="s">
        <v>17</v>
      </c>
      <c r="AQ6" s="49"/>
      <c r="AZ6" s="47">
        <v>800.0</v>
      </c>
      <c r="BD6" s="49"/>
      <c r="BF6" s="49"/>
      <c r="BQ6" s="45" t="s">
        <v>61</v>
      </c>
      <c r="BR6" s="45" t="s">
        <v>58</v>
      </c>
      <c r="EP6" s="50">
        <v>42500.0</v>
      </c>
    </row>
    <row r="7" ht="15.75" customHeight="1">
      <c r="A7" s="8"/>
      <c r="B7" s="8"/>
      <c r="C7" s="45" t="s">
        <v>16</v>
      </c>
      <c r="D7" s="51">
        <v>1529.0</v>
      </c>
      <c r="E7" s="45" t="s">
        <v>18</v>
      </c>
      <c r="F7" s="45" t="s">
        <v>57</v>
      </c>
      <c r="G7" s="47">
        <v>1.0</v>
      </c>
      <c r="H7" s="45" t="s">
        <v>42</v>
      </c>
      <c r="I7" s="51">
        <v>1529.0</v>
      </c>
      <c r="J7" s="8"/>
      <c r="K7" s="51">
        <v>1529.0</v>
      </c>
      <c r="L7" s="8"/>
      <c r="M7" s="8"/>
      <c r="N7" s="8"/>
      <c r="O7" s="45" t="s">
        <v>43</v>
      </c>
      <c r="Q7" s="47">
        <v>0.0</v>
      </c>
      <c r="R7" s="45" t="s">
        <v>58</v>
      </c>
      <c r="U7" s="45" t="s">
        <v>59</v>
      </c>
      <c r="V7" s="45" t="s">
        <v>60</v>
      </c>
      <c r="X7" s="47">
        <v>1.0</v>
      </c>
      <c r="Y7" s="47">
        <v>1.0</v>
      </c>
      <c r="AD7" s="50">
        <v>1529.0</v>
      </c>
      <c r="AE7" s="50">
        <v>1529.0</v>
      </c>
      <c r="AF7" s="50">
        <v>1529.0</v>
      </c>
      <c r="AG7" s="50">
        <v>1529.0</v>
      </c>
      <c r="AH7" s="50">
        <v>1529.0</v>
      </c>
      <c r="AI7" s="50">
        <v>1529.0</v>
      </c>
      <c r="AJ7" s="47">
        <v>359.76</v>
      </c>
      <c r="AN7" s="45" t="s">
        <v>17</v>
      </c>
      <c r="AZ7" s="50">
        <v>1529.0</v>
      </c>
      <c r="BQ7" s="45" t="s">
        <v>61</v>
      </c>
      <c r="BR7" s="45" t="s">
        <v>58</v>
      </c>
      <c r="EP7" s="50">
        <v>42500.0</v>
      </c>
    </row>
    <row r="8" ht="15.75" customHeight="1">
      <c r="A8" s="8"/>
      <c r="B8" s="8"/>
      <c r="C8" s="45" t="s">
        <v>21</v>
      </c>
      <c r="D8" s="51">
        <v>-2036.0</v>
      </c>
      <c r="E8" s="45" t="s">
        <v>18</v>
      </c>
      <c r="F8" s="45" t="s">
        <v>57</v>
      </c>
      <c r="G8" s="47">
        <v>1.0</v>
      </c>
      <c r="H8" s="45" t="s">
        <v>62</v>
      </c>
      <c r="I8" s="51">
        <v>-2036.0</v>
      </c>
      <c r="J8" s="8"/>
      <c r="K8" s="51">
        <v>-2036.0</v>
      </c>
      <c r="L8" s="8"/>
      <c r="M8" s="8"/>
      <c r="N8" s="8"/>
      <c r="O8" s="45" t="s">
        <v>45</v>
      </c>
      <c r="Q8" s="47">
        <v>0.0</v>
      </c>
      <c r="R8" s="45" t="s">
        <v>58</v>
      </c>
      <c r="U8" s="45" t="s">
        <v>59</v>
      </c>
      <c r="V8" s="45" t="s">
        <v>60</v>
      </c>
      <c r="X8" s="47">
        <v>1.0</v>
      </c>
      <c r="Y8" s="47">
        <v>1.0</v>
      </c>
      <c r="AD8" s="50">
        <v>-2036.0</v>
      </c>
      <c r="AE8" s="50">
        <v>-2036.0</v>
      </c>
      <c r="AF8" s="50">
        <v>-2036.0</v>
      </c>
      <c r="AG8" s="50">
        <v>-2036.0</v>
      </c>
      <c r="AH8" s="50">
        <v>-2036.0</v>
      </c>
      <c r="AI8" s="50">
        <v>-2036.0</v>
      </c>
      <c r="AJ8" s="47">
        <v>-479.06</v>
      </c>
      <c r="AN8" s="45" t="s">
        <v>22</v>
      </c>
      <c r="AZ8" s="50">
        <v>-2036.0</v>
      </c>
      <c r="BQ8" s="45" t="s">
        <v>61</v>
      </c>
      <c r="BR8" s="45" t="s">
        <v>58</v>
      </c>
      <c r="EP8" s="50">
        <v>42500.0</v>
      </c>
    </row>
    <row r="9" ht="15.75" customHeight="1">
      <c r="A9" s="8"/>
      <c r="B9" s="8"/>
      <c r="C9" s="45" t="s">
        <v>21</v>
      </c>
      <c r="D9" s="46">
        <v>800.0</v>
      </c>
      <c r="E9" s="45" t="s">
        <v>18</v>
      </c>
      <c r="F9" s="45" t="s">
        <v>57</v>
      </c>
      <c r="G9" s="47">
        <v>1.0</v>
      </c>
      <c r="H9" s="45" t="s">
        <v>62</v>
      </c>
      <c r="I9" s="46">
        <v>800.0</v>
      </c>
      <c r="J9" s="8"/>
      <c r="K9" s="46">
        <v>800.0</v>
      </c>
      <c r="L9" s="8"/>
      <c r="M9" s="8"/>
      <c r="N9" s="8"/>
      <c r="O9" s="45" t="s">
        <v>45</v>
      </c>
      <c r="Q9" s="47">
        <v>0.0</v>
      </c>
      <c r="R9" s="45" t="s">
        <v>58</v>
      </c>
      <c r="U9" s="45" t="s">
        <v>59</v>
      </c>
      <c r="V9" s="45" t="s">
        <v>60</v>
      </c>
      <c r="X9" s="47">
        <v>1.0</v>
      </c>
      <c r="Y9" s="47">
        <v>1.0</v>
      </c>
      <c r="AD9" s="47">
        <v>800.0</v>
      </c>
      <c r="AE9" s="47">
        <v>800.0</v>
      </c>
      <c r="AF9" s="47">
        <v>800.0</v>
      </c>
      <c r="AG9" s="47">
        <v>800.0</v>
      </c>
      <c r="AH9" s="47">
        <v>800.0</v>
      </c>
      <c r="AI9" s="47">
        <v>800.0</v>
      </c>
      <c r="AJ9" s="47">
        <v>188.24</v>
      </c>
      <c r="AN9" s="45" t="s">
        <v>17</v>
      </c>
      <c r="AZ9" s="47">
        <v>800.0</v>
      </c>
      <c r="BQ9" s="45" t="s">
        <v>61</v>
      </c>
      <c r="BR9" s="45" t="s">
        <v>58</v>
      </c>
      <c r="EP9" s="50">
        <v>42500.0</v>
      </c>
    </row>
    <row r="10" ht="15.75" customHeight="1">
      <c r="A10" s="8"/>
      <c r="B10" s="8"/>
      <c r="C10" s="45" t="s">
        <v>16</v>
      </c>
      <c r="D10" s="46">
        <v>801.0</v>
      </c>
      <c r="E10" s="45" t="s">
        <v>19</v>
      </c>
      <c r="F10" s="45" t="s">
        <v>63</v>
      </c>
      <c r="G10" s="47">
        <v>1.0</v>
      </c>
      <c r="H10" s="45" t="s">
        <v>42</v>
      </c>
      <c r="I10" s="46">
        <v>801.0</v>
      </c>
      <c r="J10" s="8"/>
      <c r="K10" s="46">
        <v>801.0</v>
      </c>
      <c r="L10" s="8"/>
      <c r="M10" s="8"/>
      <c r="N10" s="8"/>
      <c r="O10" s="45" t="s">
        <v>43</v>
      </c>
      <c r="Q10" s="47">
        <v>0.0</v>
      </c>
      <c r="R10" s="45" t="s">
        <v>58</v>
      </c>
      <c r="U10" s="45" t="s">
        <v>59</v>
      </c>
      <c r="V10" s="45" t="s">
        <v>60</v>
      </c>
      <c r="X10" s="47">
        <v>1.0</v>
      </c>
      <c r="Y10" s="47">
        <v>1.0</v>
      </c>
      <c r="AD10" s="47">
        <v>801.0</v>
      </c>
      <c r="AE10" s="47">
        <v>801.0</v>
      </c>
      <c r="AF10" s="47">
        <v>801.0</v>
      </c>
      <c r="AG10" s="47">
        <v>801.0</v>
      </c>
      <c r="AH10" s="47">
        <v>801.0</v>
      </c>
      <c r="AI10" s="47">
        <v>801.0</v>
      </c>
      <c r="AJ10" s="47">
        <v>188.47</v>
      </c>
      <c r="AN10" s="45" t="s">
        <v>17</v>
      </c>
      <c r="AZ10" s="47">
        <v>801.0</v>
      </c>
      <c r="BQ10" s="45" t="s">
        <v>61</v>
      </c>
      <c r="BR10" s="45" t="s">
        <v>58</v>
      </c>
      <c r="EP10" s="50">
        <v>42500.0</v>
      </c>
    </row>
    <row r="11" ht="15.75" customHeight="1">
      <c r="A11" s="8"/>
      <c r="B11" s="8"/>
      <c r="C11" s="45" t="s">
        <v>16</v>
      </c>
      <c r="D11" s="51">
        <v>1918.0</v>
      </c>
      <c r="E11" s="45" t="s">
        <v>19</v>
      </c>
      <c r="F11" s="45" t="s">
        <v>63</v>
      </c>
      <c r="G11" s="47">
        <v>1.0</v>
      </c>
      <c r="H11" s="45" t="s">
        <v>42</v>
      </c>
      <c r="I11" s="51">
        <v>1918.0</v>
      </c>
      <c r="J11" s="8"/>
      <c r="K11" s="51">
        <v>1918.0</v>
      </c>
      <c r="L11" s="8"/>
      <c r="M11" s="8"/>
      <c r="N11" s="8"/>
      <c r="O11" s="45" t="s">
        <v>43</v>
      </c>
      <c r="Q11" s="47">
        <v>0.0</v>
      </c>
      <c r="R11" s="45" t="s">
        <v>58</v>
      </c>
      <c r="U11" s="45" t="s">
        <v>59</v>
      </c>
      <c r="V11" s="45" t="s">
        <v>60</v>
      </c>
      <c r="X11" s="47">
        <v>1.0</v>
      </c>
      <c r="Y11" s="47">
        <v>1.0</v>
      </c>
      <c r="AD11" s="50">
        <v>1918.0</v>
      </c>
      <c r="AE11" s="50">
        <v>1918.0</v>
      </c>
      <c r="AF11" s="50">
        <v>1918.0</v>
      </c>
      <c r="AG11" s="50">
        <v>1918.0</v>
      </c>
      <c r="AH11" s="50">
        <v>1918.0</v>
      </c>
      <c r="AI11" s="50">
        <v>1918.0</v>
      </c>
      <c r="AJ11" s="47">
        <v>451.29</v>
      </c>
      <c r="AN11" s="45" t="s">
        <v>17</v>
      </c>
      <c r="AZ11" s="50">
        <v>1918.0</v>
      </c>
      <c r="BQ11" s="45" t="s">
        <v>61</v>
      </c>
      <c r="BR11" s="45" t="s">
        <v>58</v>
      </c>
      <c r="EP11" s="50">
        <v>42500.0</v>
      </c>
    </row>
    <row r="12" ht="15.75" customHeight="1">
      <c r="A12" s="8"/>
      <c r="B12" s="8"/>
      <c r="C12" s="45" t="s">
        <v>21</v>
      </c>
      <c r="D12" s="51">
        <v>-1941.0</v>
      </c>
      <c r="E12" s="45" t="s">
        <v>19</v>
      </c>
      <c r="F12" s="45" t="s">
        <v>63</v>
      </c>
      <c r="G12" s="47">
        <v>1.0</v>
      </c>
      <c r="H12" s="45" t="s">
        <v>62</v>
      </c>
      <c r="I12" s="51">
        <v>-1941.0</v>
      </c>
      <c r="J12" s="8"/>
      <c r="K12" s="51">
        <v>-1941.0</v>
      </c>
      <c r="L12" s="8"/>
      <c r="M12" s="8"/>
      <c r="N12" s="8"/>
      <c r="O12" s="45" t="s">
        <v>45</v>
      </c>
      <c r="Q12" s="47">
        <v>0.0</v>
      </c>
      <c r="R12" s="45" t="s">
        <v>58</v>
      </c>
      <c r="U12" s="45" t="s">
        <v>59</v>
      </c>
      <c r="V12" s="45" t="s">
        <v>60</v>
      </c>
      <c r="X12" s="47">
        <v>1.0</v>
      </c>
      <c r="Y12" s="47">
        <v>1.0</v>
      </c>
      <c r="AD12" s="50">
        <v>-1941.0</v>
      </c>
      <c r="AE12" s="50">
        <v>-1941.0</v>
      </c>
      <c r="AF12" s="50">
        <v>-1941.0</v>
      </c>
      <c r="AG12" s="50">
        <v>-1941.0</v>
      </c>
      <c r="AH12" s="50">
        <v>-1941.0</v>
      </c>
      <c r="AI12" s="50">
        <v>-1941.0</v>
      </c>
      <c r="AJ12" s="47">
        <v>-456.71</v>
      </c>
      <c r="AN12" s="45" t="s">
        <v>22</v>
      </c>
      <c r="AZ12" s="50">
        <v>-1941.0</v>
      </c>
      <c r="BQ12" s="45" t="s">
        <v>61</v>
      </c>
      <c r="BR12" s="45" t="s">
        <v>58</v>
      </c>
      <c r="EP12" s="50">
        <v>42500.0</v>
      </c>
    </row>
    <row r="13" ht="15.75" customHeight="1">
      <c r="A13" s="8"/>
      <c r="B13" s="8"/>
      <c r="C13" s="45" t="s">
        <v>21</v>
      </c>
      <c r="D13" s="46">
        <v>500.0</v>
      </c>
      <c r="E13" s="45" t="s">
        <v>19</v>
      </c>
      <c r="F13" s="45" t="s">
        <v>63</v>
      </c>
      <c r="G13" s="47">
        <v>1.0</v>
      </c>
      <c r="H13" s="45" t="s">
        <v>62</v>
      </c>
      <c r="I13" s="46">
        <v>500.0</v>
      </c>
      <c r="J13" s="8"/>
      <c r="K13" s="46">
        <v>500.0</v>
      </c>
      <c r="L13" s="8"/>
      <c r="M13" s="8"/>
      <c r="N13" s="8"/>
      <c r="O13" s="45" t="s">
        <v>45</v>
      </c>
      <c r="Q13" s="47">
        <v>0.0</v>
      </c>
      <c r="R13" s="45" t="s">
        <v>58</v>
      </c>
      <c r="U13" s="45" t="s">
        <v>59</v>
      </c>
      <c r="V13" s="45" t="s">
        <v>60</v>
      </c>
      <c r="X13" s="47">
        <v>1.0</v>
      </c>
      <c r="Y13" s="47">
        <v>1.0</v>
      </c>
      <c r="AD13" s="47">
        <v>500.0</v>
      </c>
      <c r="AE13" s="47">
        <v>500.0</v>
      </c>
      <c r="AF13" s="47">
        <v>500.0</v>
      </c>
      <c r="AG13" s="47">
        <v>500.0</v>
      </c>
      <c r="AH13" s="47">
        <v>500.0</v>
      </c>
      <c r="AI13" s="47">
        <v>500.0</v>
      </c>
      <c r="AJ13" s="47">
        <v>117.65</v>
      </c>
      <c r="AN13" s="45" t="s">
        <v>17</v>
      </c>
      <c r="AZ13" s="47">
        <v>500.0</v>
      </c>
      <c r="BQ13" s="45" t="s">
        <v>61</v>
      </c>
      <c r="BR13" s="45" t="s">
        <v>58</v>
      </c>
      <c r="EP13" s="50">
        <v>42500.0</v>
      </c>
    </row>
    <row r="14" ht="15.75" customHeight="1">
      <c r="A14" s="8"/>
      <c r="B14" s="8"/>
      <c r="C14" s="45" t="s">
        <v>16</v>
      </c>
      <c r="D14" s="51">
        <v>1553.0</v>
      </c>
      <c r="E14" s="45" t="s">
        <v>23</v>
      </c>
      <c r="F14" s="45" t="s">
        <v>63</v>
      </c>
      <c r="G14" s="47">
        <v>1.0</v>
      </c>
      <c r="H14" s="45" t="s">
        <v>42</v>
      </c>
      <c r="I14" s="51">
        <v>1553.0</v>
      </c>
      <c r="J14" s="8"/>
      <c r="K14" s="51">
        <v>1553.0</v>
      </c>
      <c r="L14" s="8"/>
      <c r="M14" s="8"/>
      <c r="N14" s="8"/>
      <c r="O14" s="45" t="s">
        <v>43</v>
      </c>
      <c r="Q14" s="47">
        <v>0.0</v>
      </c>
      <c r="R14" s="45" t="s">
        <v>64</v>
      </c>
      <c r="U14" s="45" t="s">
        <v>59</v>
      </c>
      <c r="V14" s="45" t="s">
        <v>60</v>
      </c>
      <c r="X14" s="47">
        <v>1.0</v>
      </c>
      <c r="Y14" s="47">
        <v>1.0</v>
      </c>
      <c r="AD14" s="50">
        <v>1553.0</v>
      </c>
      <c r="AE14" s="50">
        <v>1553.0</v>
      </c>
      <c r="AF14" s="50">
        <v>1553.0</v>
      </c>
      <c r="AG14" s="50">
        <v>1553.0</v>
      </c>
      <c r="AH14" s="50">
        <v>1553.0</v>
      </c>
      <c r="AI14" s="50">
        <v>1553.0</v>
      </c>
      <c r="AJ14" s="47">
        <v>365.41</v>
      </c>
      <c r="AN14" s="45" t="s">
        <v>17</v>
      </c>
      <c r="AZ14" s="50">
        <v>1553.0</v>
      </c>
      <c r="BQ14" s="45" t="s">
        <v>61</v>
      </c>
      <c r="BR14" s="45" t="s">
        <v>58</v>
      </c>
      <c r="EP14" s="50">
        <v>42500.0</v>
      </c>
    </row>
    <row r="15" ht="15.75" customHeight="1">
      <c r="A15" s="8"/>
      <c r="B15" s="8"/>
      <c r="C15" s="45" t="s">
        <v>21</v>
      </c>
      <c r="D15" s="51">
        <v>-1023.0</v>
      </c>
      <c r="E15" s="45" t="s">
        <v>23</v>
      </c>
      <c r="F15" s="45" t="s">
        <v>63</v>
      </c>
      <c r="G15" s="47">
        <v>1.0</v>
      </c>
      <c r="H15" s="45" t="s">
        <v>62</v>
      </c>
      <c r="I15" s="51">
        <v>-1023.0</v>
      </c>
      <c r="J15" s="8"/>
      <c r="K15" s="51">
        <v>-1023.0</v>
      </c>
      <c r="L15" s="8"/>
      <c r="M15" s="8"/>
      <c r="N15" s="8"/>
      <c r="O15" s="45" t="s">
        <v>45</v>
      </c>
      <c r="Q15" s="47">
        <v>0.0</v>
      </c>
      <c r="R15" s="45" t="s">
        <v>64</v>
      </c>
      <c r="U15" s="45" t="s">
        <v>59</v>
      </c>
      <c r="V15" s="45" t="s">
        <v>60</v>
      </c>
      <c r="X15" s="47">
        <v>1.0</v>
      </c>
      <c r="Y15" s="47">
        <v>1.0</v>
      </c>
      <c r="AD15" s="50">
        <v>-1023.0</v>
      </c>
      <c r="AE15" s="50">
        <v>-1023.0</v>
      </c>
      <c r="AF15" s="50">
        <v>-1023.0</v>
      </c>
      <c r="AG15" s="50">
        <v>-1023.0</v>
      </c>
      <c r="AH15" s="50">
        <v>-1023.0</v>
      </c>
      <c r="AI15" s="50">
        <v>-1023.0</v>
      </c>
      <c r="AJ15" s="47">
        <v>-240.71</v>
      </c>
      <c r="AN15" s="45" t="s">
        <v>22</v>
      </c>
      <c r="AZ15" s="50">
        <v>-1023.0</v>
      </c>
      <c r="BQ15" s="45" t="s">
        <v>61</v>
      </c>
      <c r="BR15" s="45" t="s">
        <v>58</v>
      </c>
      <c r="EP15" s="50">
        <v>42500.0</v>
      </c>
    </row>
    <row r="16" ht="15.75" customHeight="1">
      <c r="C16" s="45" t="s">
        <v>21</v>
      </c>
      <c r="D16" s="46">
        <v>200.0</v>
      </c>
      <c r="E16" s="45" t="s">
        <v>23</v>
      </c>
      <c r="F16" s="45" t="s">
        <v>63</v>
      </c>
      <c r="G16" s="47">
        <v>1.0</v>
      </c>
      <c r="H16" s="45" t="s">
        <v>62</v>
      </c>
      <c r="I16" s="46">
        <v>200.0</v>
      </c>
      <c r="K16" s="46">
        <v>200.0</v>
      </c>
      <c r="O16" s="45" t="s">
        <v>45</v>
      </c>
      <c r="Q16" s="47">
        <v>0.0</v>
      </c>
      <c r="R16" s="45" t="s">
        <v>64</v>
      </c>
      <c r="U16" s="45" t="s">
        <v>59</v>
      </c>
      <c r="V16" s="45" t="s">
        <v>60</v>
      </c>
      <c r="X16" s="47">
        <v>1.0</v>
      </c>
      <c r="Y16" s="47">
        <v>1.0</v>
      </c>
      <c r="AD16" s="47">
        <v>200.0</v>
      </c>
      <c r="AE16" s="47">
        <v>200.0</v>
      </c>
      <c r="AF16" s="47">
        <v>200.0</v>
      </c>
      <c r="AG16" s="47">
        <v>200.0</v>
      </c>
      <c r="AH16" s="47">
        <v>200.0</v>
      </c>
      <c r="AI16" s="47">
        <v>200.0</v>
      </c>
      <c r="AJ16" s="47">
        <v>47.06</v>
      </c>
      <c r="AN16" s="45" t="s">
        <v>17</v>
      </c>
      <c r="AZ16" s="47">
        <v>200.0</v>
      </c>
      <c r="BQ16" s="45" t="s">
        <v>61</v>
      </c>
      <c r="BR16" s="45" t="s">
        <v>58</v>
      </c>
      <c r="EP16" s="50">
        <v>42500.0</v>
      </c>
    </row>
    <row r="17" ht="15.75" customHeight="1">
      <c r="EP17" s="49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