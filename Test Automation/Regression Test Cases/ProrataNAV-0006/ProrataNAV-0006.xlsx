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  <sheet state="visible" name="GetDataAllocation" sheetId="10" r:id="rId12"/>
    <sheet state="visible" name="GetDataClosing" sheetId="11" r:id="rId13"/>
    <sheet state="visible" name="VerifyLongPositionsGrid" sheetId="12" r:id="rId14"/>
  </sheets>
  <definedNames/>
  <calcPr/>
</workbook>
</file>

<file path=xl/sharedStrings.xml><?xml version="1.0" encoding="utf-8"?>
<sst xmlns="http://schemas.openxmlformats.org/spreadsheetml/2006/main" count="94" uniqueCount="36">
  <si>
    <t>Master Data Info</t>
  </si>
  <si>
    <t>Modules Info</t>
  </si>
  <si>
    <t>Settings</t>
  </si>
  <si>
    <t>Module Step Setting File</t>
  </si>
  <si>
    <t>Module</t>
  </si>
  <si>
    <t>1eFq-0rBBBruaRgYp8Plf3EAV1IQUFSYg9ee_wKGGGko</t>
  </si>
  <si>
    <t>Step</t>
  </si>
  <si>
    <t>Master Data Settings File</t>
  </si>
  <si>
    <t>1Nt_rf5DtgjbN9Ag4AMMlUkZYROxKZLH5m54YOl7tRT0</t>
  </si>
  <si>
    <t>Master Data Sheet</t>
  </si>
  <si>
    <t>Modules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</si>
  <si>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</si>
  <si>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</si>
  <si>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</si>
  <si>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</si>
  <si>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</si>
  <si>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</si>
  <si>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</si>
  <si>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</si>
  <si>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</si>
  <si>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</si>
  <si>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</si>
  <si>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</si>
  <si>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Unallocated</t>
  </si>
  <si>
    <t>Allocation</t>
  </si>
  <si>
    <t>SelectUnallocatedGroup</t>
  </si>
  <si>
    <t>EnterAllocatePreference</t>
  </si>
  <si>
    <t>Calculated</t>
  </si>
  <si>
    <t>Pro-rata (NAV)</t>
  </si>
  <si>
    <t>Allocation1,Allocation2</t>
  </si>
  <si>
    <t>CheckAllocatedGroups</t>
  </si>
  <si>
    <t>GetDataAllocation</t>
  </si>
  <si>
    <t>Current</t>
  </si>
  <si>
    <t>Closing</t>
  </si>
  <si>
    <t>GetDataClosing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</si>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</sst>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f>TODAY()-1</f>
        <v>43633</v>
      </c>
      <c r="C6" s="30">
        <f>TODAY()</f>
        <v>43634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17</v>
      </c>
      <c r="C6" s="10" t="s">
        <v>18</v>
      </c>
      <c r="D6" s="10">
        <v>1000.0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0"/>
      <c r="C7" s="10"/>
      <c r="D7" s="10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0"/>
      <c r="C8" s="10"/>
      <c r="D8" s="10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10"/>
      <c r="C9" s="10"/>
      <c r="D9" s="10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10"/>
      <c r="C10" s="10"/>
      <c r="D10" s="10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10"/>
      <c r="C11" s="10"/>
      <c r="D11" s="1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19</v>
      </c>
      <c r="D3" s="8" t="s">
        <v>6</v>
      </c>
      <c r="E3" s="21" t="s">
        <v>20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21</v>
      </c>
      <c r="C6" s="10" t="s">
        <v>22</v>
      </c>
      <c r="D6" s="10">
        <v>100.0</v>
      </c>
      <c r="E6" s="31"/>
      <c r="F6" s="10" t="s">
        <v>23</v>
      </c>
      <c r="G6" s="6"/>
      <c r="H6" s="6"/>
      <c r="I6" s="6"/>
      <c r="J6" s="10">
        <v>10.0</v>
      </c>
      <c r="K6" s="6"/>
      <c r="L6" s="6"/>
      <c r="M6" s="6"/>
      <c r="N6" s="30">
        <f>TODAY()</f>
        <v>43634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1-RJhOo2E5PhyqaiMEjsPi8RpfYBuiSqE9fj_-bRpkKw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21</v>
      </c>
      <c r="C6" s="10" t="s">
        <v>22</v>
      </c>
      <c r="D6" s="10">
        <v>100.0</v>
      </c>
      <c r="E6" s="10">
        <v>100.0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IFERROR(__xludf.DUMMYFUNCTION("""COMPUTED_VALUE"""),"PreferenceType")</f>
        <v>PreferenceType</v>
      </c>
      <c r="C5" s="26" t="str">
        <f>IFERROR(__xludf.DUMMYFUNCTION("""COMPUTED_VALUE"""),"PreferenceName")</f>
        <v>PreferenceName</v>
      </c>
      <c r="D5" s="26" t="str">
        <f>IFERROR(__xludf.DUMMYFUNCTION("""COMPUTED_VALUE"""),"PTTPrefNeeded")</f>
        <v>PTTPrefNeeded</v>
      </c>
      <c r="E5" s="26" t="str">
        <f>IFERROR(__xludf.DUMMYFUNCTION("""COMPUTED_VALUE"""),"IsForceAllocation")</f>
        <v>IsForceAllocation</v>
      </c>
      <c r="F5" s="27" t="str">
        <f>IFERROR(__xludf.DUMMYFUNCTION("""COMPUTED_VALUE"""),"AllocationMethod")</f>
        <v>AllocationMethod</v>
      </c>
      <c r="G5" s="26" t="str">
        <f>IFERROR(__xludf.DUMMYFUNCTION("""COMPUTED_VALUE"""),"RemainderAllocationTo")</f>
        <v>RemainderAllocationTo</v>
      </c>
      <c r="H5" s="26" t="str">
        <f>IFERROR(__xludf.DUMMYFUNCTION("""COMPUTED_VALUE"""),"Target%AsOf")</f>
        <v>Target%AsOf</v>
      </c>
      <c r="I5" s="26" t="str">
        <f>IFERROR(__xludf.DUMMYFUNCTION("""COMPUTED_VALUE"""),"AccountsForProrata")</f>
        <v>AccountsForProrata</v>
      </c>
      <c r="J5" s="26" t="str">
        <f>IFERROR(__xludf.DUMMYFUNCTION("""COMPUTED_VALUE"""),"DateUptoDays")</f>
        <v>DateUptoDays</v>
      </c>
      <c r="K5" s="26" t="str">
        <f>IFERROR(__xludf.DUMMYFUNCTION("""COMPUTED_VALUE"""),"MatchClosingTransactions")</f>
        <v>MatchClosingTransactions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4" t="s">
        <v>27</v>
      </c>
      <c r="C6" s="33"/>
      <c r="D6" s="33"/>
      <c r="E6" s="35" t="b">
        <v>0</v>
      </c>
      <c r="F6" s="33"/>
      <c r="G6" s="33"/>
      <c r="H6" s="34" t="s">
        <v>28</v>
      </c>
      <c r="I6" s="34" t="s">
        <v>29</v>
      </c>
      <c r="J6" s="33"/>
      <c r="K6" s="35" t="b">
        <v>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17</v>
      </c>
      <c r="C6" s="6"/>
      <c r="D6" s="10"/>
      <c r="E6" s="10">
        <v>100.0</v>
      </c>
      <c r="F6" s="6"/>
      <c r="G6" s="6"/>
      <c r="H6" s="6"/>
      <c r="I6" s="6"/>
      <c r="J6" s="6"/>
      <c r="K6" s="6"/>
      <c r="L6" s="6"/>
      <c r="M6" s="6"/>
      <c r="N6" s="6"/>
      <c r="O6" s="6"/>
      <c r="AE6" s="32">
        <v>100.0</v>
      </c>
      <c r="BJ6" s="32">
        <v>100.0</v>
      </c>
      <c r="BO6" s="32" t="s">
        <v>22</v>
      </c>
      <c r="BT6" s="32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32</v>
      </c>
      <c r="C6" s="6"/>
      <c r="D6" s="10"/>
      <c r="E6" s="10"/>
      <c r="F6" s="6"/>
      <c r="G6" s="6"/>
      <c r="H6" s="6"/>
      <c r="I6" s="6"/>
      <c r="J6" s="6"/>
      <c r="K6" s="6"/>
      <c r="L6" s="6"/>
      <c r="M6" s="6"/>
      <c r="N6" s="6"/>
      <c r="O6" s="6"/>
      <c r="AG6" s="32">
        <v>100.0</v>
      </c>
      <c r="BM6" s="32">
        <v>100.0</v>
      </c>
      <c r="BU6" s="32" t="s">
        <v>22</v>
      </c>
      <c r="BZ6" s="32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32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17</v>
      </c>
      <c r="C6" s="6"/>
      <c r="D6" s="10"/>
      <c r="E6" s="31"/>
      <c r="F6" s="6"/>
      <c r="G6" s="6"/>
      <c r="H6" s="6"/>
      <c r="I6" s="6"/>
      <c r="J6" s="6"/>
      <c r="K6" s="6"/>
      <c r="L6" s="6"/>
      <c r="M6" s="10">
        <v>100.0</v>
      </c>
      <c r="N6" s="6"/>
      <c r="O6" s="6"/>
      <c r="P6" s="32" t="s">
        <v>22</v>
      </c>
      <c r="R6" s="32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