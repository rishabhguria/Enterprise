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ctionOnImport" sheetId="4" r:id="rId6"/>
    <sheet state="visible" name="ValidateImportPositions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<sst xmlns="http://schemas.openxmlformats.org/spreadsheetml/2006/main" count="146" uniqueCount="80">
  <si>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</si>
  <si>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</si>
  <si>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</si>
  <si>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</si>
  <si>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</si>
  <si>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</si>
  <si>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</si>
  <si>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</si>
  <si>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</si>
  <si>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</si>
  <si>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</si>
  <si>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</si>
  <si>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</si>
  <si>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</si>
  <si>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</si>
  <si>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</si>
  <si>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</si>
  <si>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</si>
  <si>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</si>
  <si>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</si>
  <si>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</si>
  <si>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</si>
  <si>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</si>
  <si>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</si>
  <si>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</si>
  <si>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</si>
  <si>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</si>
  <si>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</si>
  <si>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</si>
  <si>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</si>
  <si>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</si>
  <si>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</si>
  <si>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</si>
  <si>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</si>
  <si>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>FIMAT</t>
  </si>
  <si>
    <t>Transaction</t>
  </si>
  <si>
    <t>ToggleState_Off</t>
  </si>
  <si>
    <t>TODAY()</t>
  </si>
  <si>
    <t>Test</t>
  </si>
  <si>
    <t>Mark Price</t>
  </si>
  <si>
    <t>Cameron</t>
  </si>
  <si>
    <t>\\192.168.2.108\DistributedAutomation_Master\Import Cases\Transaction_Import1 - ImpY.csv</t>
  </si>
  <si>
    <t>ToggleState_On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</si>
  <si>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</si>
  <si>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</si>
  <si>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</si>
  <si>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</si>
  <si>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</si>
  <si>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</si>
  <si>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</si>
  <si>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</si>
  <si>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</si>
  <si>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SelectAllOnImport</t>
  </si>
  <si>
    <t>Continue</t>
  </si>
  <si>
    <t>Abort</t>
  </si>
  <si>
    <t>Security Master</t>
  </si>
  <si>
    <t>Allocation</t>
  </si>
  <si>
    <t>GetDataAllocation</t>
  </si>
  <si>
    <t>Current</t>
  </si>
  <si>
    <t>CheckAllocatedGroups</t>
  </si>
  <si>
    <t>Allocation1</t>
  </si>
  <si>
    <t>Buy</t>
  </si>
  <si>
    <t>INFY</t>
  </si>
  <si>
    <t>CheckUnallocatedGroups</t>
  </si>
  <si>
    <t>Equity</t>
  </si>
  <si>
    <t>AAPL US EQUITY</t>
  </si>
  <si>
    <t>NONE</t>
  </si>
  <si>
    <t>Open</t>
  </si>
  <si>
    <t>APPLE</t>
  </si>
  <si>
    <t>USD</t>
  </si>
  <si>
    <t>AAPL</t>
  </si>
  <si>
    <t>NASDAQ</t>
  </si>
  <si>
    <t>M</t>
  </si>
  <si>
    <t>None</t>
  </si>
  <si>
    <t>GCCAP1</t>
  </si>
  <si>
    <t>TradeImport</t>
  </si>
  <si>
    <t>US</t>
  </si>
  <si>
    <t>jpearce</t>
  </si>
  <si>
    <t>Sell short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</si>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</sst>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Alignment="1" applyFont="1">
      <alignment readingOrder="0"/>
    </xf>
    <xf borderId="0" fillId="5" fontId="11" numFmtId="0" xfId="0" applyFont="1"/>
    <xf borderId="0" fillId="0" fontId="5" numFmtId="0" xfId="0" applyAlignment="1" applyFont="1">
      <alignment horizontal="center" readingOrder="0" vertical="bottom"/>
    </xf>
    <xf borderId="4" fillId="5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15</v>
      </c>
      <c r="C5" s="28" t="s">
        <v>16</v>
      </c>
      <c r="D5" s="28" t="s">
        <v>17</v>
      </c>
      <c r="E5" s="28" t="s">
        <v>18</v>
      </c>
      <c r="F5" s="28" t="s">
        <v>19</v>
      </c>
      <c r="G5" s="28" t="s">
        <v>20</v>
      </c>
      <c r="H5" s="28" t="s">
        <v>21</v>
      </c>
      <c r="I5" s="28" t="s">
        <v>22</v>
      </c>
      <c r="J5" s="28" t="s">
        <v>23</v>
      </c>
      <c r="K5" s="28" t="s">
        <v>24</v>
      </c>
      <c r="L5" s="28" t="s">
        <v>25</v>
      </c>
      <c r="M5" s="28" t="s">
        <v>26</v>
      </c>
      <c r="N5" s="28" t="s">
        <v>27</v>
      </c>
      <c r="O5" s="28" t="s">
        <v>28</v>
      </c>
      <c r="P5" s="28" t="s">
        <v>29</v>
      </c>
      <c r="Q5" s="28" t="s">
        <v>30</v>
      </c>
      <c r="R5" s="28" t="s">
        <v>31</v>
      </c>
      <c r="S5" s="28" t="s">
        <v>32</v>
      </c>
      <c r="T5" s="29" t="s">
        <v>33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34</v>
      </c>
      <c r="D6" s="13"/>
      <c r="E6" s="13"/>
      <c r="F6" s="13" t="s">
        <v>35</v>
      </c>
      <c r="G6" s="13"/>
      <c r="H6" s="8"/>
      <c r="I6" s="8"/>
      <c r="J6" s="8"/>
      <c r="K6" s="8"/>
      <c r="L6" s="8"/>
      <c r="M6" s="8"/>
      <c r="N6" s="8"/>
      <c r="O6" s="8"/>
      <c r="R6" s="9">
        <v>-2.147483648E9</v>
      </c>
      <c r="S6" s="9" t="s">
        <v>36</v>
      </c>
      <c r="T6" s="9" t="s">
        <v>37</v>
      </c>
    </row>
    <row r="7" ht="15.75" customHeight="1">
      <c r="A7" s="8"/>
      <c r="B7" s="8"/>
      <c r="C7" s="13" t="s">
        <v>38</v>
      </c>
      <c r="D7" s="8"/>
      <c r="E7" s="8"/>
      <c r="F7" s="13" t="s">
        <v>39</v>
      </c>
      <c r="G7" s="8"/>
      <c r="H7" s="8"/>
      <c r="I7" s="8"/>
      <c r="J7" s="8"/>
      <c r="K7" s="8"/>
      <c r="L7" s="8"/>
      <c r="M7" s="8"/>
      <c r="N7" s="8"/>
      <c r="O7" s="8"/>
      <c r="R7" s="9">
        <v>-2.147483648E9</v>
      </c>
      <c r="S7" s="9" t="s">
        <v>36</v>
      </c>
      <c r="T7" s="9" t="s">
        <v>37</v>
      </c>
    </row>
    <row r="8" ht="15.75" customHeight="1">
      <c r="A8" s="8"/>
      <c r="B8" s="8"/>
      <c r="C8" s="13" t="s">
        <v>40</v>
      </c>
      <c r="D8" s="8"/>
      <c r="E8" s="8"/>
      <c r="F8" s="13" t="s">
        <v>35</v>
      </c>
      <c r="G8" s="13" t="s">
        <v>41</v>
      </c>
      <c r="H8" s="8"/>
      <c r="I8" s="8"/>
      <c r="J8" s="8"/>
      <c r="K8" s="8"/>
      <c r="L8" s="8"/>
      <c r="M8" s="8"/>
      <c r="N8" s="8"/>
      <c r="O8" s="8"/>
      <c r="S8" s="9" t="s">
        <v>42</v>
      </c>
    </row>
    <row r="9" ht="15.75" customHeight="1">
      <c r="A9" s="8"/>
      <c r="B9" s="8"/>
      <c r="C9" s="13" t="s">
        <v>43</v>
      </c>
      <c r="D9" s="8"/>
      <c r="E9" s="8"/>
      <c r="F9" s="13" t="s">
        <v>44</v>
      </c>
      <c r="G9" s="8"/>
      <c r="H9" s="8"/>
      <c r="I9" s="8"/>
      <c r="J9" s="8"/>
      <c r="K9" s="8"/>
      <c r="L9" s="8"/>
      <c r="M9" s="8"/>
      <c r="N9" s="8"/>
      <c r="O9" s="8"/>
      <c r="R9" s="9">
        <v>-2.147483648E9</v>
      </c>
      <c r="S9" s="9" t="s">
        <v>36</v>
      </c>
      <c r="T9" s="9" t="s">
        <v>37</v>
      </c>
    </row>
    <row r="10" ht="15.75" customHeight="1">
      <c r="A10" s="8"/>
      <c r="B10" s="8"/>
      <c r="C10" s="13" t="s">
        <v>45</v>
      </c>
      <c r="D10" s="8"/>
      <c r="E10" s="8"/>
      <c r="F10" s="13" t="s">
        <v>46</v>
      </c>
      <c r="G10" s="8"/>
      <c r="H10" s="8"/>
      <c r="I10" s="8"/>
      <c r="J10" s="8"/>
      <c r="K10" s="8"/>
      <c r="L10" s="8"/>
      <c r="M10" s="8"/>
      <c r="N10" s="8"/>
      <c r="O10" s="8"/>
      <c r="R10" s="9">
        <v>-2.147483648E9</v>
      </c>
      <c r="S10" s="9" t="s">
        <v>36</v>
      </c>
      <c r="T10" s="9" t="s">
        <v>37</v>
      </c>
    </row>
    <row r="11" ht="15.75" customHeight="1">
      <c r="A11" s="8"/>
      <c r="B11" s="8"/>
      <c r="C11" s="13" t="s">
        <v>47</v>
      </c>
      <c r="D11" s="8"/>
      <c r="E11" s="8"/>
      <c r="F11" s="13" t="s">
        <v>46</v>
      </c>
      <c r="G11" s="8"/>
      <c r="H11" s="8"/>
      <c r="I11" s="8"/>
      <c r="J11" s="8"/>
      <c r="K11" s="8"/>
      <c r="L11" s="8"/>
      <c r="M11" s="8"/>
      <c r="N11" s="8"/>
      <c r="O11" s="8"/>
      <c r="R11" s="9">
        <v>-2.147483648E9</v>
      </c>
      <c r="S11" s="9" t="s">
        <v>36</v>
      </c>
      <c r="T11" s="9" t="s">
        <v>37</v>
      </c>
    </row>
    <row r="12" ht="15.75" customHeight="1">
      <c r="A12" s="8"/>
      <c r="B12" s="8"/>
      <c r="C12" s="13" t="s">
        <v>48</v>
      </c>
      <c r="D12" s="8"/>
      <c r="E12" s="8"/>
      <c r="F12" s="13" t="s">
        <v>49</v>
      </c>
      <c r="G12" s="8"/>
      <c r="H12" s="8"/>
      <c r="I12" s="8"/>
      <c r="J12" s="8"/>
      <c r="K12" s="8"/>
      <c r="L12" s="8"/>
      <c r="M12" s="8"/>
      <c r="N12" s="8"/>
      <c r="O12" s="8"/>
      <c r="R12" s="9">
        <v>-2.147483648E9</v>
      </c>
      <c r="S12" s="9" t="s">
        <v>36</v>
      </c>
      <c r="T12" s="9" t="s">
        <v>37</v>
      </c>
    </row>
    <row r="13" ht="15.75" customHeight="1">
      <c r="A13" s="8"/>
      <c r="B13" s="8"/>
      <c r="C13" s="13" t="s">
        <v>50</v>
      </c>
      <c r="D13" s="8"/>
      <c r="E13" s="8"/>
      <c r="F13" s="13" t="s">
        <v>51</v>
      </c>
      <c r="G13" s="8"/>
      <c r="H13" s="8"/>
      <c r="I13" s="8"/>
      <c r="J13" s="8"/>
      <c r="K13" s="8"/>
      <c r="L13" s="8"/>
      <c r="M13" s="8"/>
      <c r="N13" s="8"/>
      <c r="O13" s="8"/>
      <c r="R13" s="9">
        <v>-2.147483648E9</v>
      </c>
      <c r="S13" s="9" t="s">
        <v>36</v>
      </c>
      <c r="T13" s="9" t="s">
        <v>37</v>
      </c>
    </row>
    <row r="14" ht="15.75" customHeight="1">
      <c r="A14" s="8"/>
      <c r="B14" s="8"/>
      <c r="C14" s="13" t="s">
        <v>34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R14" s="9">
        <v>-2.147483648E9</v>
      </c>
      <c r="S14" s="9" t="s">
        <v>36</v>
      </c>
      <c r="T14" s="9" t="s">
        <v>37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 t="str">
        <f>IFERROR(__xludf.DUMMYFUNCTION("""COMPUTED_VALUE"""),"VerifyImportNavLockPopup")</f>
        <v>VerifyImportNavLockPopup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53</v>
      </c>
      <c r="C5" s="28" t="s">
        <v>54</v>
      </c>
      <c r="D5" s="28" t="s">
        <v>55</v>
      </c>
      <c r="E5" s="32"/>
      <c r="F5" s="28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ValidateImportPositions!$4:$4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2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32" t="str">
        <f>IFERROR(__xludf.DUMMYFUNCTION("""COMPUTED_VALUE"""),"Asset")</f>
        <v>Asset</v>
      </c>
      <c r="H5" s="32" t="str">
        <f>IFERROR(__xludf.DUMMYFUNCTION("""COMPUTED_VALUE"""),"Side")</f>
        <v>Side</v>
      </c>
      <c r="I5" s="32" t="str">
        <f>IFERROR(__xludf.DUMMYFUNCTION("""COMPUTED_VALUE"""),"Account")</f>
        <v>Account</v>
      </c>
      <c r="J5" s="32" t="str">
        <f>IFERROR(__xludf.DUMMYFUNCTION("""COMPUTED_VALUE"""),"Broker")</f>
        <v>Broker</v>
      </c>
      <c r="K5" s="32" t="str">
        <f>IFERROR(__xludf.DUMMYFUNCTION("""COMPUTED_VALUE"""),"Currency")</f>
        <v>Currency</v>
      </c>
      <c r="L5" s="32" t="str">
        <f>IFERROR(__xludf.DUMMYFUNCTION("""COMPUTED_VALUE"""),"Exchange")</f>
        <v>Exchange</v>
      </c>
      <c r="M5" s="32" t="str">
        <f>IFERROR(__xludf.DUMMYFUNCTION("""COMPUTED_VALUE"""),"StrategyName")</f>
        <v>StrategyName</v>
      </c>
      <c r="N5" s="32" t="str">
        <f>IFERROR(__xludf.DUMMYFUNCTION("""COMPUTED_VALUE"""),"Underlying")</f>
        <v>Underlying</v>
      </c>
      <c r="O5" s="32" t="str">
        <f>IFERROR(__xludf.DUMMYFUNCTION("""COMPUTED_VALUE"""),"Venue")</f>
        <v>Venue</v>
      </c>
      <c r="P5" s="32" t="str">
        <f>IFERROR(__xludf.DUMMYFUNCTION("""COMPUTED_VALUE"""),"TradingAccount")</f>
        <v>TradingAccount</v>
      </c>
      <c r="Q5" s="32" t="str">
        <f>IFERROR(__xludf.DUMMYFUNCTION("""COMPUTED_VALUE"""),"PreAllocated")</f>
        <v>PreAllocated</v>
      </c>
      <c r="R5" s="32" t="str">
        <f>IFERROR(__xludf.DUMMYFUNCTION("""COMPUTED_VALUE"""),"ManualGroup")</f>
        <v>ManualGroup</v>
      </c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 Name")</f>
        <v>Account Name</v>
      </c>
      <c r="C5" s="32" t="str">
        <f>IFERROR(__xludf.DUMMYFUNCTION("""COMPUTED_VALUE"""),"Accrual Basis")</f>
        <v>Accrual Basis</v>
      </c>
      <c r="D5" s="32" t="str">
        <f>IFERROR(__xludf.DUMMYFUNCTION("""COMPUTED_VALUE"""),"Accrued Interest")</f>
        <v>Accrued Interest</v>
      </c>
      <c r="E5" s="32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32" t="str">
        <f>IFERROR(__xludf.DUMMYFUNCTION("""COMPUTED_VALUE"""),"Asset Category")</f>
        <v>Asset Category</v>
      </c>
      <c r="H5" s="32" t="str">
        <f>IFERROR(__xludf.DUMMYFUNCTION("""COMPUTED_VALUE"""),"AUEC Fee1")</f>
        <v>AUEC Fee1</v>
      </c>
      <c r="I5" s="32" t="str">
        <f>IFERROR(__xludf.DUMMYFUNCTION("""COMPUTED_VALUE"""),"AUEC Fee2")</f>
        <v>AUEC Fee2</v>
      </c>
      <c r="J5" s="32" t="str">
        <f>IFERROR(__xludf.DUMMYFUNCTION("""COMPUTED_VALUE"""),"AUECID")</f>
        <v>AUECID</v>
      </c>
      <c r="K5" s="32" t="str">
        <f>IFERROR(__xludf.DUMMYFUNCTION("""COMPUTED_VALUE"""),"Avg Price(Base)")</f>
        <v>Avg Price(Base)</v>
      </c>
      <c r="L5" s="32" t="str">
        <f>IFERROR(__xludf.DUMMYFUNCTION("""COMPUTED_VALUE"""),"Avg Price(Local)")</f>
        <v>Avg Price(Local)</v>
      </c>
      <c r="M5" s="32" t="str">
        <f>IFERROR(__xludf.DUMMYFUNCTION("""COMPUTED_VALUE"""),"Bloomberg")</f>
        <v>Bloomberg</v>
      </c>
      <c r="N5" s="32" t="str">
        <f>IFERROR(__xludf.DUMMYFUNCTION("""COMPUTED_VALUE"""),"Bond Type")</f>
        <v>Bond Type</v>
      </c>
      <c r="O5" s="32" t="str">
        <f>IFERROR(__xludf.DUMMYFUNCTION("""COMPUTED_VALUE"""),"Broker")</f>
        <v>Broker</v>
      </c>
      <c r="P5" s="32" t="str">
        <f>IFERROR(__xludf.DUMMYFUNCTION("""COMPUTED_VALUE"""),"Change Comment")</f>
        <v>Change Comment</v>
      </c>
      <c r="Q5" s="32" t="str">
        <f>IFERROR(__xludf.DUMMYFUNCTION("""COMPUTED_VALUE"""),"Change Type")</f>
        <v>Change Type</v>
      </c>
      <c r="R5" s="32" t="str">
        <f>IFERROR(__xludf.DUMMYFUNCTION("""COMPUTED_VALUE"""),"Clearing Broker Fee")</f>
        <v>Clearing Broker Fee</v>
      </c>
      <c r="S5" s="32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100.0</v>
      </c>
      <c r="BO6" s="9" t="s">
        <v>61</v>
      </c>
      <c r="BT6" s="9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IFERROR(__xludf.DUMMYFUNCTION("""COMPUTED_VALUE"""),"Accrual Basis")</f>
        <v>Accrual Basis</v>
      </c>
      <c r="C5" s="32" t="str">
        <f>IFERROR(__xludf.DUMMYFUNCTION("""COMPUTED_VALUE"""),"Accrued Interest")</f>
        <v>Accrued Interest</v>
      </c>
      <c r="D5" s="32" t="str">
        <f>IFERROR(__xludf.DUMMYFUNCTION("""COMPUTED_VALUE"""),"Allocated Qty")</f>
        <v>Allocated Qty</v>
      </c>
      <c r="E5" s="32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32" t="str">
        <f>IFERROR(__xludf.DUMMYFUNCTION("""COMPUTED_VALUE"""),"AUEC Fee1")</f>
        <v>AUEC Fee1</v>
      </c>
      <c r="H5" s="32" t="str">
        <f>IFERROR(__xludf.DUMMYFUNCTION("""COMPUTED_VALUE"""),"AUEC Fee2")</f>
        <v>AUEC Fee2</v>
      </c>
      <c r="I5" s="32" t="str">
        <f>IFERROR(__xludf.DUMMYFUNCTION("""COMPUTED_VALUE"""),"AUECID")</f>
        <v>AUECID</v>
      </c>
      <c r="J5" s="32" t="str">
        <f>IFERROR(__xludf.DUMMYFUNCTION("""COMPUTED_VALUE"""),"Avg Price(Base)")</f>
        <v>Avg Price(Base)</v>
      </c>
      <c r="K5" s="32" t="str">
        <f>IFERROR(__xludf.DUMMYFUNCTION("""COMPUTED_VALUE"""),"Avg Price(Local)")</f>
        <v>Avg Price(Local)</v>
      </c>
      <c r="L5" s="32" t="str">
        <f>IFERROR(__xludf.DUMMYFUNCTION("""COMPUTED_VALUE"""),"Bloomberg")</f>
        <v>Bloomberg</v>
      </c>
      <c r="M5" s="32" t="str">
        <f>IFERROR(__xludf.DUMMYFUNCTION("""COMPUTED_VALUE"""),"Bond Type")</f>
        <v>Bond Type</v>
      </c>
      <c r="N5" s="32" t="str">
        <f>IFERROR(__xludf.DUMMYFUNCTION("""COMPUTED_VALUE"""),"Broker")</f>
        <v>Broker</v>
      </c>
      <c r="O5" s="32" t="str">
        <f>IFERROR(__xludf.DUMMYFUNCTION("""COMPUTED_VALUE"""),"Change Comment")</f>
        <v>Change Comment</v>
      </c>
      <c r="P5" s="32" t="str">
        <f>IFERROR(__xludf.DUMMYFUNCTION("""COMPUTED_VALUE"""),"Change Type")</f>
        <v>Change Type</v>
      </c>
      <c r="Q5" s="32" t="str">
        <f>IFERROR(__xludf.DUMMYFUNCTION("""COMPUTED_VALUE"""),"Clearing Broker Fee")</f>
        <v>Clearing Broker Fee</v>
      </c>
      <c r="R5" s="32" t="str">
        <f>IFERROR(__xludf.DUMMYFUNCTION("""COMPUTED_VALUE"""),"Closing Method")</f>
        <v>Closing Method</v>
      </c>
      <c r="S5" s="32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13"/>
      <c r="B6" s="13"/>
      <c r="C6" s="13"/>
      <c r="D6" s="13"/>
      <c r="E6" s="33"/>
      <c r="F6" s="13" t="s">
        <v>64</v>
      </c>
      <c r="G6" s="13"/>
      <c r="H6" s="13"/>
      <c r="I6" s="13"/>
      <c r="J6" s="13"/>
      <c r="K6" s="13"/>
      <c r="L6" s="13" t="s">
        <v>65</v>
      </c>
      <c r="M6" s="8"/>
      <c r="N6" s="8"/>
      <c r="O6" s="8"/>
      <c r="P6" s="9">
        <v>3.0</v>
      </c>
      <c r="Q6" s="9">
        <v>0.0</v>
      </c>
      <c r="R6" s="9" t="s">
        <v>66</v>
      </c>
      <c r="S6" s="9" t="s">
        <v>67</v>
      </c>
      <c r="V6" s="9" t="s">
        <v>68</v>
      </c>
      <c r="W6" s="9">
        <v>1.0</v>
      </c>
      <c r="Z6" s="9" t="s">
        <v>69</v>
      </c>
      <c r="AA6" s="9" t="s">
        <v>70</v>
      </c>
      <c r="AB6" s="9">
        <v>1.0</v>
      </c>
      <c r="AD6" s="9" t="s">
        <v>71</v>
      </c>
      <c r="AE6" s="9">
        <v>50.0</v>
      </c>
      <c r="AF6" s="34"/>
      <c r="AG6" s="9" t="s">
        <v>72</v>
      </c>
      <c r="AH6" s="9">
        <v>1.0</v>
      </c>
      <c r="AI6" s="9" t="s">
        <v>73</v>
      </c>
      <c r="AV6" s="34"/>
      <c r="BA6" s="34"/>
      <c r="BG6" s="34"/>
      <c r="BJ6" s="9">
        <v>50.0</v>
      </c>
      <c r="BM6" s="9" t="s">
        <v>69</v>
      </c>
      <c r="BN6" s="34"/>
      <c r="BO6" s="9" t="s">
        <v>61</v>
      </c>
      <c r="BS6" s="9" t="s">
        <v>70</v>
      </c>
      <c r="CD6" s="34"/>
      <c r="CE6" s="9" t="s">
        <v>74</v>
      </c>
      <c r="CG6" s="9" t="s">
        <v>75</v>
      </c>
      <c r="CH6" s="9" t="s">
        <v>61</v>
      </c>
      <c r="CI6" s="9">
        <v>50.0</v>
      </c>
      <c r="CJ6" s="9" t="s">
        <v>76</v>
      </c>
      <c r="CK6" s="9">
        <v>1.0</v>
      </c>
      <c r="CL6" s="9" t="s">
        <v>70</v>
      </c>
      <c r="CM6" s="9" t="s">
        <v>77</v>
      </c>
      <c r="CO6" s="34"/>
      <c r="CP6" s="34"/>
    </row>
    <row r="7" ht="15.75" customHeight="1">
      <c r="A7" s="8"/>
      <c r="B7" s="8"/>
      <c r="C7" s="13"/>
      <c r="D7" s="13"/>
      <c r="E7" s="8"/>
      <c r="F7" s="13" t="s">
        <v>64</v>
      </c>
      <c r="G7" s="13"/>
      <c r="H7" s="13"/>
      <c r="I7" s="13"/>
      <c r="J7" s="13"/>
      <c r="K7" s="13"/>
      <c r="L7" s="13" t="s">
        <v>65</v>
      </c>
      <c r="M7" s="8"/>
      <c r="N7" s="8"/>
      <c r="O7" s="8"/>
      <c r="P7" s="9">
        <v>3.0</v>
      </c>
      <c r="Q7" s="9">
        <v>0.0</v>
      </c>
      <c r="R7" s="9" t="s">
        <v>66</v>
      </c>
      <c r="S7" s="9" t="s">
        <v>67</v>
      </c>
      <c r="V7" s="9" t="s">
        <v>68</v>
      </c>
      <c r="W7" s="9">
        <v>1.0</v>
      </c>
      <c r="Z7" s="9" t="s">
        <v>69</v>
      </c>
      <c r="AA7" s="9" t="s">
        <v>70</v>
      </c>
      <c r="AB7" s="9">
        <v>1.0</v>
      </c>
      <c r="AD7" s="9" t="s">
        <v>71</v>
      </c>
      <c r="AE7" s="9">
        <v>60.0</v>
      </c>
      <c r="AF7" s="34"/>
      <c r="AG7" s="9" t="s">
        <v>72</v>
      </c>
      <c r="AH7" s="9">
        <v>1.0</v>
      </c>
      <c r="AI7" s="9" t="s">
        <v>73</v>
      </c>
      <c r="AV7" s="34"/>
      <c r="BA7" s="34"/>
      <c r="BG7" s="34"/>
      <c r="BJ7" s="9">
        <v>60.0</v>
      </c>
      <c r="BM7" s="9" t="s">
        <v>69</v>
      </c>
      <c r="BN7" s="34"/>
      <c r="BO7" s="9" t="s">
        <v>78</v>
      </c>
      <c r="BS7" s="9" t="s">
        <v>70</v>
      </c>
      <c r="CD7" s="34"/>
      <c r="CE7" s="9" t="s">
        <v>74</v>
      </c>
      <c r="CG7" s="9" t="s">
        <v>75</v>
      </c>
      <c r="CH7" s="9" t="s">
        <v>79</v>
      </c>
      <c r="CI7" s="9">
        <v>60.0</v>
      </c>
      <c r="CJ7" s="9" t="s">
        <v>76</v>
      </c>
      <c r="CK7" s="9">
        <v>1.0</v>
      </c>
      <c r="CL7" s="9" t="s">
        <v>70</v>
      </c>
      <c r="CM7" s="9" t="s">
        <v>77</v>
      </c>
      <c r="CO7" s="34"/>
      <c r="CP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