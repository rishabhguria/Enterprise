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UIPreferencesTT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VerifyOrder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<sst xmlns="http://schemas.openxmlformats.org/spreadsheetml/2006/main" count="160" uniqueCount="63">
  <si>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</si>
  <si>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</si>
  <si>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</si>
  <si>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</si>
  <si>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</si>
  <si>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</si>
  <si>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</si>
  <si>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</si>
  <si>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</si>
  <si>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</si>
  <si>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</si>
  <si>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</si>
  <si>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</si>
  <si>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</si>
  <si>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</si>
  <si>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</si>
  <si>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FIMAT</t>
  </si>
  <si>
    <t>TradingTicket</t>
  </si>
  <si>
    <t>SetUIPreferencesTT</t>
  </si>
  <si>
    <t>Source</t>
  </si>
  <si>
    <t>Quantity</t>
  </si>
  <si>
    <t>CreateDoneAwayOrder</t>
  </si>
  <si>
    <t>AAPL</t>
  </si>
  <si>
    <t>Buy</t>
  </si>
  <si>
    <t>Allocation1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</si>
  <si>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</si>
  <si>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</si>
  <si>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</si>
  <si>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</si>
  <si>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</si>
  <si>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</si>
  <si>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</si>
  <si>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</si>
  <si>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</si>
  <si>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</si>
  <si>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</si>
  <si>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</si>
  <si>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</si>
  <si>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</si>
  <si>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</si>
  <si>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</si>
  <si>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</si>
  <si>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</si>
  <si>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</si>
  <si>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</si>
  <si>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Auto</t>
  </si>
  <si>
    <t>NONE</t>
  </si>
  <si>
    <t>Blotter</t>
  </si>
  <si>
    <t>VerifyOrder</t>
  </si>
  <si>
    <t>NewMF</t>
  </si>
  <si>
    <t>Filled</t>
  </si>
  <si>
    <t>PortfolioManagement</t>
  </si>
  <si>
    <t>CheckPortfolioManagement</t>
  </si>
  <si>
    <t>Long</t>
  </si>
  <si>
    <t>APPLE</t>
  </si>
  <si>
    <t>Undefined</t>
  </si>
  <si>
    <t>New Hedge</t>
  </si>
  <si>
    <t>Small Cap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</si>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</sst>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5" fillId="7" fontId="14" numFmtId="0" xfId="0" applyAlignment="1" applyBorder="1" applyFill="1" applyFont="1">
      <alignment horizontal="right" vertical="top"/>
    </xf>
    <xf borderId="0" fillId="7" fontId="14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IFERROR(__xludf.DUMMYFUNCTION("""COMPUTED_VALUE"""),"Order Type")</f>
        <v>Order Type</v>
      </c>
      <c r="D5" s="27" t="str">
        <f>IFERROR(__xludf.DUMMYFUNCTION("""COMPUTED_VALUE"""),"TIF")</f>
        <v>TIF</v>
      </c>
      <c r="E5" s="27" t="str">
        <f>IFERROR(__xludf.DUMMYFUNCTION("""COMPUTED_VALUE"""),"Handling Instruction")</f>
        <v>Handling Instruction</v>
      </c>
      <c r="F5" s="28" t="str">
        <f>IFERROR(__xludf.DUMMYFUNCTION("""COMPUTED_VALUE"""),"Execution Instruction")</f>
        <v>Execution Instruction</v>
      </c>
      <c r="G5" s="27" t="str">
        <f>IFERROR(__xludf.DUMMYFUNCTION("""COMPUTED_VALUE"""),"Strategy")</f>
        <v>Strategy</v>
      </c>
      <c r="H5" s="27" t="str">
        <f>IFERROR(__xludf.DUMMYFUNCTION("""COMPUTED_VALUE"""),"Account")</f>
        <v>Account</v>
      </c>
      <c r="I5" s="27" t="str">
        <f>IFERROR(__xludf.DUMMYFUNCTION("""COMPUTED_VALUE"""),"Settlement Currency")</f>
        <v>Settlement Currency</v>
      </c>
      <c r="J5" s="27" t="str">
        <f>IFERROR(__xludf.DUMMYFUNCTION("""COMPUTED_VALUE"""),"Trader")</f>
        <v>Trader</v>
      </c>
      <c r="K5" s="27" t="str">
        <f>IFERROR(__xludf.DUMMYFUNCTION("""COMPUTED_VALUE"""),"Default Quantity")</f>
        <v>Default Quantity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11" t="s">
        <v>20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30"/>
      <c r="F6" s="11" t="s">
        <v>24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24</v>
      </c>
      <c r="C6" s="31"/>
      <c r="D6" s="32"/>
      <c r="E6" s="32">
        <v>100.0</v>
      </c>
      <c r="F6" s="31" t="s">
        <v>29</v>
      </c>
      <c r="G6" s="31" t="s">
        <v>30</v>
      </c>
      <c r="H6" s="32">
        <v>4.0</v>
      </c>
      <c r="I6" s="32">
        <v>5.0</v>
      </c>
      <c r="J6" s="32">
        <v>1.0</v>
      </c>
      <c r="K6" s="32">
        <v>10.0</v>
      </c>
      <c r="L6" s="32">
        <v>10.0</v>
      </c>
      <c r="M6" s="31" t="s">
        <v>31</v>
      </c>
      <c r="N6" s="31"/>
      <c r="O6" s="31" t="s">
        <v>19</v>
      </c>
      <c r="P6" s="33"/>
      <c r="Q6" s="32">
        <v>3.0</v>
      </c>
      <c r="R6" s="32">
        <v>0.0</v>
      </c>
      <c r="S6" s="31" t="s">
        <v>32</v>
      </c>
      <c r="T6" s="32">
        <v>0.0</v>
      </c>
      <c r="U6" s="32">
        <v>0.0</v>
      </c>
      <c r="V6" s="31"/>
      <c r="W6" s="32">
        <v>1.0</v>
      </c>
      <c r="X6" s="32"/>
      <c r="Y6" s="33"/>
      <c r="Z6" s="31" t="s">
        <v>33</v>
      </c>
      <c r="AA6" s="31"/>
      <c r="AB6" s="32">
        <v>1.0</v>
      </c>
      <c r="AC6" s="31" t="s">
        <v>34</v>
      </c>
      <c r="AD6" s="31" t="s">
        <v>35</v>
      </c>
      <c r="AE6" s="32">
        <v>100.0</v>
      </c>
      <c r="AF6" s="34"/>
      <c r="AG6" s="34"/>
      <c r="AH6" s="31" t="s">
        <v>36</v>
      </c>
      <c r="AI6" s="32">
        <v>1.0</v>
      </c>
      <c r="AJ6" s="31" t="s">
        <v>37</v>
      </c>
      <c r="AK6" s="33"/>
      <c r="AL6" s="33"/>
      <c r="AM6" s="31" t="s">
        <v>38</v>
      </c>
      <c r="AN6" s="31" t="b">
        <v>0</v>
      </c>
      <c r="AO6" s="33"/>
      <c r="AP6" s="31" t="b">
        <v>1</v>
      </c>
      <c r="AQ6" s="31" t="b">
        <v>0</v>
      </c>
      <c r="AR6" s="31" t="b">
        <v>1</v>
      </c>
      <c r="AS6" s="32"/>
      <c r="AT6" s="35">
        <v>1014.0006</v>
      </c>
      <c r="AU6" s="35">
        <v>1014.0006</v>
      </c>
      <c r="AV6" s="36"/>
      <c r="AW6" s="32">
        <v>0.0</v>
      </c>
      <c r="AX6" s="32">
        <v>0.0</v>
      </c>
      <c r="AY6" s="31" t="s">
        <v>39</v>
      </c>
      <c r="AZ6" s="32">
        <v>0.0</v>
      </c>
      <c r="BA6" s="36"/>
      <c r="BB6" s="33"/>
      <c r="BC6" s="32">
        <v>0.0</v>
      </c>
      <c r="BD6" s="31" t="s">
        <v>40</v>
      </c>
      <c r="BE6" s="35">
        <v>1000.0</v>
      </c>
      <c r="BF6" s="35">
        <v>1000.0</v>
      </c>
      <c r="BG6" s="36"/>
      <c r="BH6" s="33"/>
      <c r="BI6" s="33"/>
      <c r="BJ6" s="32">
        <v>100.0</v>
      </c>
      <c r="BK6" s="32">
        <v>0.0</v>
      </c>
      <c r="BL6" s="31"/>
      <c r="BM6" s="31" t="s">
        <v>33</v>
      </c>
      <c r="BN6" s="36"/>
      <c r="BO6" s="31" t="s">
        <v>23</v>
      </c>
      <c r="BP6" s="32">
        <v>0.0</v>
      </c>
      <c r="BQ6" s="32">
        <v>0.0</v>
      </c>
      <c r="BR6" s="32">
        <v>6.0E-4</v>
      </c>
      <c r="BS6" s="31" t="s">
        <v>41</v>
      </c>
      <c r="BT6" s="31" t="s">
        <v>22</v>
      </c>
      <c r="BU6" s="32">
        <v>3.0</v>
      </c>
      <c r="BV6" s="32">
        <v>0.0</v>
      </c>
      <c r="BW6" s="32">
        <v>14.0006</v>
      </c>
      <c r="BX6" s="32">
        <v>0.0</v>
      </c>
      <c r="CF6" s="31" t="s">
        <v>42</v>
      </c>
      <c r="CG6" s="32">
        <v>2.0</v>
      </c>
      <c r="CH6" s="31" t="s">
        <v>17</v>
      </c>
      <c r="CI6" s="31" t="s">
        <v>23</v>
      </c>
      <c r="CJ6" s="32">
        <v>0.0</v>
      </c>
      <c r="CK6" s="31" t="s">
        <v>43</v>
      </c>
      <c r="CL6" s="32">
        <v>1.0</v>
      </c>
      <c r="CM6" s="31" t="s">
        <v>22</v>
      </c>
      <c r="CN6" s="31" t="s">
        <v>44</v>
      </c>
      <c r="CO6" s="31" t="s">
        <v>45</v>
      </c>
      <c r="CP6" s="37" t="s">
        <v>46</v>
      </c>
      <c r="CQ6" s="33"/>
      <c r="CR6" s="33"/>
      <c r="CS6" s="32"/>
      <c r="CT6" s="33"/>
      <c r="CU6" s="33"/>
      <c r="CV6" s="36"/>
      <c r="CW6" s="34"/>
      <c r="CX6" s="33"/>
      <c r="CY6" s="33"/>
      <c r="CZ6" s="32"/>
      <c r="DA6" s="33"/>
      <c r="DB6" s="32"/>
      <c r="DC6" s="33"/>
      <c r="DD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39"/>
      <c r="C8" s="39"/>
      <c r="D8" s="40"/>
      <c r="E8" s="40"/>
      <c r="F8" s="39"/>
      <c r="G8" s="39"/>
      <c r="H8" s="40"/>
      <c r="I8" s="40"/>
      <c r="J8" s="40"/>
      <c r="K8" s="40"/>
      <c r="L8" s="40"/>
      <c r="M8" s="39"/>
      <c r="N8" s="39"/>
      <c r="O8" s="39"/>
      <c r="P8" s="40"/>
      <c r="Q8" s="40"/>
      <c r="R8" s="40"/>
      <c r="S8" s="39"/>
      <c r="T8" s="38"/>
      <c r="U8" s="38"/>
      <c r="V8" s="37"/>
      <c r="W8" s="38"/>
      <c r="X8" s="38"/>
      <c r="Y8" s="38"/>
      <c r="Z8" s="37"/>
      <c r="AA8" s="37"/>
      <c r="AB8" s="38"/>
      <c r="AC8" s="37"/>
      <c r="AD8" s="37"/>
      <c r="AE8" s="38"/>
      <c r="AF8" s="41"/>
      <c r="AG8" s="41"/>
      <c r="AH8" s="37"/>
      <c r="AI8" s="38"/>
      <c r="AJ8" s="37"/>
      <c r="AK8" s="38"/>
      <c r="AL8" s="38"/>
      <c r="AM8" s="37"/>
      <c r="AN8" s="42"/>
      <c r="AO8" s="38"/>
      <c r="AP8" s="42"/>
      <c r="AQ8" s="42"/>
      <c r="AR8" s="42"/>
      <c r="AS8" s="38"/>
      <c r="AT8" s="43"/>
      <c r="AU8" s="43"/>
      <c r="AV8" s="44"/>
      <c r="AW8" s="38"/>
      <c r="AX8" s="38"/>
      <c r="AY8" s="37"/>
      <c r="AZ8" s="38"/>
      <c r="BA8" s="44"/>
      <c r="BB8" s="38"/>
      <c r="BC8" s="38"/>
      <c r="BD8" s="37"/>
      <c r="BE8" s="43"/>
      <c r="BF8" s="43"/>
      <c r="BG8" s="44"/>
      <c r="BH8" s="38"/>
      <c r="BI8" s="38"/>
      <c r="BJ8" s="38"/>
      <c r="BK8" s="38"/>
      <c r="BL8" s="37"/>
      <c r="BM8" s="37"/>
      <c r="BN8" s="44"/>
      <c r="BO8" s="37"/>
      <c r="BP8" s="38"/>
      <c r="BQ8" s="38"/>
      <c r="BR8" s="45"/>
      <c r="BS8" s="37"/>
      <c r="BT8" s="37"/>
      <c r="BU8" s="38"/>
      <c r="BV8" s="38"/>
      <c r="BW8" s="45"/>
      <c r="BX8" s="38"/>
      <c r="BY8" s="38"/>
      <c r="BZ8" s="38"/>
      <c r="CA8" s="38"/>
      <c r="CB8" s="38"/>
      <c r="CC8" s="38"/>
      <c r="CD8" s="38"/>
      <c r="CE8" s="38"/>
      <c r="CF8" s="37"/>
      <c r="CG8" s="38"/>
      <c r="CH8" s="37"/>
      <c r="CI8" s="37"/>
      <c r="CJ8" s="38"/>
      <c r="CK8" s="37"/>
      <c r="CL8" s="38"/>
      <c r="CM8" s="37"/>
      <c r="CN8" s="37"/>
      <c r="CO8" s="37"/>
      <c r="CP8" s="37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44"/>
      <c r="DC8" s="37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6">
        <v>10.0</v>
      </c>
      <c r="E6" s="46" t="s">
        <v>31</v>
      </c>
      <c r="F6" s="46">
        <v>0.0</v>
      </c>
      <c r="G6" s="46"/>
      <c r="H6" s="46" t="s">
        <v>45</v>
      </c>
      <c r="I6" s="46" t="s">
        <v>44</v>
      </c>
      <c r="J6" s="46" t="s">
        <v>22</v>
      </c>
      <c r="K6" s="46" t="s">
        <v>43</v>
      </c>
      <c r="L6" s="46" t="s">
        <v>42</v>
      </c>
      <c r="S6" s="46">
        <v>0.0</v>
      </c>
      <c r="T6" s="46">
        <v>0.0</v>
      </c>
      <c r="U6" s="47" t="s">
        <v>33</v>
      </c>
      <c r="V6" s="48" t="s">
        <v>46</v>
      </c>
      <c r="W6" s="46"/>
      <c r="X6" s="46">
        <v>0.0</v>
      </c>
      <c r="Y6" s="46"/>
      <c r="Z6" s="46"/>
      <c r="AA6" s="46" t="s">
        <v>49</v>
      </c>
      <c r="AB6" s="46">
        <v>100.0</v>
      </c>
      <c r="AC6" s="46"/>
      <c r="AD6" s="46">
        <v>1.0</v>
      </c>
      <c r="AE6" s="49"/>
      <c r="AF6" s="46" t="s">
        <v>36</v>
      </c>
      <c r="AG6" s="46"/>
      <c r="AH6" s="46" t="s">
        <v>30</v>
      </c>
      <c r="AI6" s="46" t="s">
        <v>22</v>
      </c>
      <c r="AJ6" s="46" t="s">
        <v>23</v>
      </c>
      <c r="AK6" s="46" t="s">
        <v>50</v>
      </c>
      <c r="AL6" s="46">
        <v>100.0</v>
      </c>
      <c r="AM6" s="46">
        <v>100.0</v>
      </c>
      <c r="AN6" s="46">
        <v>100.0</v>
      </c>
      <c r="AO6" s="46">
        <v>100.0</v>
      </c>
      <c r="AQ6" s="46">
        <v>10.0</v>
      </c>
      <c r="AR6" s="46">
        <v>10.0</v>
      </c>
      <c r="AS6" s="46" t="s">
        <v>19</v>
      </c>
      <c r="AT6" s="46" t="s">
        <v>24</v>
      </c>
      <c r="AU6" s="46" t="s">
        <v>39</v>
      </c>
      <c r="AV6" s="46">
        <v>1000.0</v>
      </c>
      <c r="AW6" s="46">
        <v>1000.0</v>
      </c>
      <c r="AX6" s="46" t="s">
        <v>29</v>
      </c>
      <c r="AY6" s="46">
        <v>100.0</v>
      </c>
      <c r="AZ6" s="49"/>
      <c r="BA6" s="50"/>
      <c r="BB6" s="50"/>
      <c r="BC6" s="46"/>
      <c r="BD6" s="50"/>
      <c r="BE6" s="50"/>
      <c r="BF6" s="46"/>
      <c r="BG6" s="50"/>
      <c r="BH6" s="46"/>
      <c r="BI6" s="46"/>
      <c r="BJ6" s="50"/>
      <c r="BK6" s="50"/>
      <c r="BL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40"/>
      <c r="C8" s="40"/>
      <c r="D8" s="51"/>
      <c r="E8" s="51"/>
      <c r="F8" s="51"/>
      <c r="G8" s="51"/>
      <c r="H8" s="51"/>
      <c r="I8" s="51"/>
      <c r="J8" s="51"/>
      <c r="K8" s="51"/>
      <c r="L8" s="51"/>
      <c r="M8" s="40"/>
      <c r="N8" s="40"/>
      <c r="O8" s="40"/>
      <c r="P8" s="40"/>
      <c r="Q8" s="40"/>
      <c r="R8" s="40"/>
      <c r="S8" s="51"/>
      <c r="T8" s="52"/>
      <c r="U8" s="53"/>
      <c r="V8" s="54"/>
      <c r="W8" s="38"/>
      <c r="X8" s="52"/>
      <c r="Y8" s="52"/>
      <c r="Z8" s="52"/>
      <c r="AA8" s="52"/>
      <c r="AB8" s="52"/>
      <c r="AC8" s="52"/>
      <c r="AD8" s="52"/>
      <c r="AE8" s="55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5"/>
      <c r="BA8" s="56"/>
      <c r="BB8" s="56"/>
      <c r="BC8" s="56"/>
      <c r="BD8" s="52"/>
      <c r="BE8" s="56"/>
      <c r="BF8" s="56"/>
      <c r="BG8" s="52"/>
      <c r="BH8" s="56"/>
      <c r="BI8" s="52"/>
      <c r="BJ8" s="52"/>
      <c r="BK8" s="56"/>
      <c r="BL8" s="56"/>
      <c r="BM8" s="56"/>
      <c r="BN8" s="56"/>
      <c r="BO8" s="56"/>
      <c r="BP8" s="56"/>
      <c r="BQ8" s="52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36"/>
      <c r="C6" s="31" t="s">
        <v>22</v>
      </c>
      <c r="D6" s="32">
        <v>100.0</v>
      </c>
      <c r="E6" s="31" t="s">
        <v>24</v>
      </c>
      <c r="F6" s="31" t="s">
        <v>49</v>
      </c>
      <c r="G6" s="32">
        <v>10.0</v>
      </c>
      <c r="H6" s="31" t="s">
        <v>53</v>
      </c>
      <c r="I6" s="32">
        <v>0.0</v>
      </c>
      <c r="J6" s="32">
        <v>0.0</v>
      </c>
      <c r="K6" s="32">
        <v>0.0</v>
      </c>
      <c r="L6" s="32">
        <v>0.0</v>
      </c>
      <c r="M6" s="32">
        <v>0.0</v>
      </c>
      <c r="N6" s="57">
        <v>-1000.0</v>
      </c>
      <c r="O6" s="31" t="s">
        <v>54</v>
      </c>
      <c r="P6" s="31" t="s">
        <v>55</v>
      </c>
      <c r="Q6" s="57">
        <v>-1000.0</v>
      </c>
      <c r="R6" s="31" t="s">
        <v>16</v>
      </c>
      <c r="S6" s="31" t="s">
        <v>41</v>
      </c>
      <c r="T6" s="31" t="s">
        <v>30</v>
      </c>
      <c r="U6" s="31" t="s">
        <v>43</v>
      </c>
      <c r="V6" s="31" t="s">
        <v>35</v>
      </c>
      <c r="W6" s="31" t="s">
        <v>33</v>
      </c>
      <c r="X6" s="32">
        <v>1.0</v>
      </c>
      <c r="Y6" s="32">
        <v>1.0</v>
      </c>
      <c r="Z6" s="33"/>
      <c r="AA6" s="33"/>
      <c r="AB6" s="32">
        <v>0.0</v>
      </c>
      <c r="AC6" s="32">
        <v>0.0</v>
      </c>
      <c r="AD6" s="32">
        <v>0.0</v>
      </c>
      <c r="AE6" s="32">
        <v>0.0</v>
      </c>
      <c r="AF6" s="32">
        <v>100.0</v>
      </c>
      <c r="AG6" s="32">
        <v>0.0</v>
      </c>
      <c r="AH6" s="32">
        <v>0.0</v>
      </c>
      <c r="AI6" s="32">
        <v>0.0</v>
      </c>
      <c r="AJ6" s="32">
        <v>0.0</v>
      </c>
      <c r="AK6" s="57">
        <v>-1000.0</v>
      </c>
      <c r="AL6" s="32">
        <v>1.0</v>
      </c>
      <c r="AM6" s="32">
        <v>1.0</v>
      </c>
      <c r="AN6" s="31" t="s">
        <v>23</v>
      </c>
      <c r="AO6" s="33"/>
      <c r="AP6" s="31" t="s">
        <v>53</v>
      </c>
      <c r="AQ6" s="31" t="s">
        <v>22</v>
      </c>
      <c r="AR6" s="32">
        <v>0.0</v>
      </c>
      <c r="AS6" s="32">
        <v>1.0</v>
      </c>
      <c r="AT6" s="31" t="s">
        <v>34</v>
      </c>
      <c r="AU6" s="31" t="s">
        <v>38</v>
      </c>
      <c r="AV6" s="32">
        <v>1.0</v>
      </c>
      <c r="AW6" s="57">
        <v>-1000.0</v>
      </c>
      <c r="AX6" s="32">
        <v>0.0</v>
      </c>
      <c r="AY6" s="32">
        <v>0.0</v>
      </c>
      <c r="AZ6" s="32">
        <v>0.0</v>
      </c>
      <c r="BA6" s="32">
        <v>-100.0</v>
      </c>
      <c r="BB6" s="34"/>
      <c r="BC6" s="32">
        <v>1.0</v>
      </c>
      <c r="BD6" s="57">
        <v>-1000.0</v>
      </c>
      <c r="BE6" s="31" t="s">
        <v>30</v>
      </c>
      <c r="BF6" s="31" t="s">
        <v>56</v>
      </c>
      <c r="BG6" s="31" t="s">
        <v>57</v>
      </c>
      <c r="BH6" s="31" t="s">
        <v>55</v>
      </c>
      <c r="BI6" s="32">
        <v>5.0</v>
      </c>
      <c r="BJ6" s="32">
        <v>0.0</v>
      </c>
      <c r="BK6" s="32">
        <v>0.0</v>
      </c>
      <c r="BL6" s="32">
        <v>0.0</v>
      </c>
      <c r="BM6" s="32">
        <v>0.0</v>
      </c>
      <c r="BN6" s="34"/>
      <c r="BO6" s="57">
        <v>-1000.0</v>
      </c>
      <c r="BP6" s="32">
        <v>0.0</v>
      </c>
      <c r="BQ6" s="31" t="s">
        <v>44</v>
      </c>
      <c r="BR6" s="31" t="s">
        <v>19</v>
      </c>
      <c r="BS6" s="32">
        <v>0.0</v>
      </c>
      <c r="BT6" s="32">
        <v>0.0</v>
      </c>
      <c r="BU6" s="31" t="s">
        <v>30</v>
      </c>
      <c r="BV6" s="32"/>
      <c r="BW6" s="32">
        <v>0.0</v>
      </c>
      <c r="BX6" s="32">
        <v>0.0</v>
      </c>
      <c r="BY6" s="32">
        <v>0.0</v>
      </c>
      <c r="BZ6" s="32">
        <v>0.0</v>
      </c>
      <c r="CA6" s="32">
        <v>0.0</v>
      </c>
      <c r="CB6" s="36"/>
      <c r="CC6" s="32">
        <v>0.0</v>
      </c>
      <c r="CD6" s="57">
        <v>-1000.0</v>
      </c>
      <c r="CE6" s="32">
        <v>0.0</v>
      </c>
      <c r="CF6" s="32">
        <v>0.0</v>
      </c>
      <c r="CG6" s="57">
        <v>-1000.0</v>
      </c>
      <c r="CH6" s="32">
        <v>-100.0</v>
      </c>
      <c r="CI6" s="32">
        <v>0.0</v>
      </c>
      <c r="CJ6" s="32">
        <v>0.0</v>
      </c>
      <c r="CK6" s="31" t="b">
        <v>0</v>
      </c>
      <c r="CL6" s="33"/>
      <c r="CM6" s="33"/>
      <c r="CN6" s="31" t="s">
        <v>22</v>
      </c>
      <c r="CO6" s="31" t="s">
        <v>22</v>
      </c>
      <c r="CP6" s="31" t="s">
        <v>31</v>
      </c>
      <c r="CQ6" s="33"/>
      <c r="CR6" s="36"/>
      <c r="CS6" s="32">
        <v>10.0</v>
      </c>
      <c r="CT6" s="33"/>
      <c r="CU6" s="33"/>
      <c r="CV6" s="33"/>
      <c r="CW6" s="33"/>
      <c r="CX6" s="33"/>
      <c r="CY6" s="31" t="s">
        <v>37</v>
      </c>
      <c r="CZ6" s="31" t="s">
        <v>58</v>
      </c>
      <c r="DA6" s="32">
        <v>0.0</v>
      </c>
      <c r="DB6" s="32">
        <v>0.0</v>
      </c>
      <c r="DC6" s="34"/>
      <c r="DD6" s="32">
        <v>100.0</v>
      </c>
      <c r="DE6" s="32">
        <v>0.0</v>
      </c>
      <c r="DF6" s="32">
        <v>0.0</v>
      </c>
      <c r="DG6" s="32">
        <v>0.0</v>
      </c>
      <c r="DH6" s="31" t="s">
        <v>55</v>
      </c>
      <c r="DI6" s="32">
        <v>0.0</v>
      </c>
      <c r="DJ6" s="31" t="s">
        <v>23</v>
      </c>
      <c r="DK6" s="32">
        <v>0.0</v>
      </c>
      <c r="DL6" s="32">
        <v>0.0</v>
      </c>
      <c r="DM6" s="32">
        <v>1.0</v>
      </c>
      <c r="DN6" s="32">
        <v>0.0</v>
      </c>
      <c r="DO6" s="33"/>
      <c r="DP6" s="31" t="s">
        <v>53</v>
      </c>
      <c r="DQ6" s="31" t="s">
        <v>59</v>
      </c>
      <c r="DR6" s="31" t="s">
        <v>60</v>
      </c>
      <c r="DS6" s="31" t="s">
        <v>59</v>
      </c>
      <c r="DT6" s="31" t="s">
        <v>59</v>
      </c>
      <c r="DU6" s="31" t="s">
        <v>61</v>
      </c>
      <c r="DV6" s="31" t="s">
        <v>59</v>
      </c>
      <c r="DW6" s="31" t="s">
        <v>59</v>
      </c>
      <c r="DX6" s="31" t="s">
        <v>59</v>
      </c>
      <c r="DY6" s="31" t="s">
        <v>59</v>
      </c>
      <c r="DZ6" s="31" t="s">
        <v>54</v>
      </c>
      <c r="EA6" s="31" t="s">
        <v>61</v>
      </c>
      <c r="EB6" s="31" t="s">
        <v>59</v>
      </c>
      <c r="EC6" s="31" t="s">
        <v>59</v>
      </c>
      <c r="ED6" s="31" t="s">
        <v>33</v>
      </c>
      <c r="EE6" s="31" t="s">
        <v>62</v>
      </c>
      <c r="EF6" s="32">
        <v>0.0</v>
      </c>
      <c r="EG6" s="32">
        <v>0.0</v>
      </c>
      <c r="EH6" s="32">
        <v>0.0</v>
      </c>
      <c r="EI6" s="32">
        <v>0.0</v>
      </c>
      <c r="EJ6" s="32">
        <v>0.0</v>
      </c>
      <c r="EK6" s="32">
        <v>0.0</v>
      </c>
      <c r="EL6" s="31" t="s">
        <v>53</v>
      </c>
      <c r="EM6" s="32">
        <v>0.0</v>
      </c>
      <c r="EN6" s="32">
        <v>0.0</v>
      </c>
      <c r="EO6" s="32">
        <v>0.0</v>
      </c>
      <c r="EP6" s="32">
        <v>0.0</v>
      </c>
      <c r="EQ6" s="32">
        <v>0.0</v>
      </c>
      <c r="ER6" s="32">
        <v>0.0</v>
      </c>
      <c r="ES6" s="57">
        <v>-1000.0</v>
      </c>
      <c r="ET6" s="32">
        <v>0.0</v>
      </c>
      <c r="EU6" s="32">
        <v>0.0</v>
      </c>
      <c r="EV6" s="31" t="s">
        <v>53</v>
      </c>
      <c r="EW6" s="57">
        <v>-1000.0</v>
      </c>
      <c r="EX6" s="31" t="b">
        <v>0</v>
      </c>
      <c r="EY6" s="31"/>
      <c r="EZ6" s="32"/>
      <c r="FA6" s="32"/>
      <c r="FB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44"/>
      <c r="C8" s="37"/>
      <c r="D8" s="58"/>
      <c r="E8" s="37"/>
      <c r="F8" s="37"/>
      <c r="G8" s="58"/>
      <c r="H8" s="37"/>
      <c r="I8" s="58"/>
      <c r="J8" s="58"/>
      <c r="K8" s="58"/>
      <c r="L8" s="58"/>
      <c r="M8" s="58"/>
      <c r="N8" s="59"/>
      <c r="O8" s="37"/>
      <c r="P8" s="58"/>
      <c r="Q8" s="59"/>
      <c r="R8" s="37"/>
      <c r="S8" s="37"/>
      <c r="T8" s="37"/>
      <c r="U8" s="37"/>
      <c r="V8" s="37"/>
      <c r="W8" s="37"/>
      <c r="X8" s="58"/>
      <c r="Y8" s="58"/>
      <c r="Z8" s="38"/>
      <c r="AA8" s="38"/>
      <c r="AB8" s="58"/>
      <c r="AC8" s="58"/>
      <c r="AD8" s="58"/>
      <c r="AE8" s="58"/>
      <c r="AF8" s="58"/>
      <c r="AG8" s="58"/>
      <c r="AH8" s="58"/>
      <c r="AI8" s="58"/>
      <c r="AJ8" s="58"/>
      <c r="AK8" s="59"/>
      <c r="AL8" s="58"/>
      <c r="AM8" s="58"/>
      <c r="AN8" s="37"/>
      <c r="AO8" s="38"/>
      <c r="AP8" s="37"/>
      <c r="AQ8" s="37"/>
      <c r="AR8" s="58"/>
      <c r="AS8" s="58"/>
      <c r="AT8" s="37"/>
      <c r="AU8" s="37"/>
      <c r="AV8" s="58"/>
      <c r="AW8" s="59"/>
      <c r="AX8" s="58"/>
      <c r="AY8" s="58"/>
      <c r="AZ8" s="58"/>
      <c r="BA8" s="58"/>
      <c r="BB8" s="41"/>
      <c r="BC8" s="58"/>
      <c r="BD8" s="59"/>
      <c r="BE8" s="37"/>
      <c r="BF8" s="37"/>
      <c r="BG8" s="37"/>
      <c r="BH8" s="37"/>
      <c r="BI8" s="58"/>
      <c r="BJ8" s="58"/>
      <c r="BK8" s="58"/>
      <c r="BL8" s="58"/>
      <c r="BM8" s="58"/>
      <c r="BN8" s="41"/>
      <c r="BO8" s="59"/>
      <c r="BP8" s="58"/>
      <c r="BQ8" s="37"/>
      <c r="BR8" s="37"/>
      <c r="BS8" s="58"/>
      <c r="BT8" s="58"/>
      <c r="BU8" s="37"/>
      <c r="BV8" s="58"/>
      <c r="BW8" s="58"/>
      <c r="BX8" s="58"/>
      <c r="BY8" s="58"/>
      <c r="BZ8" s="58"/>
      <c r="CA8" s="58"/>
      <c r="CB8" s="44"/>
      <c r="CC8" s="58"/>
      <c r="CD8" s="59"/>
      <c r="CE8" s="58"/>
      <c r="CF8" s="58"/>
      <c r="CG8" s="59"/>
      <c r="CH8" s="58"/>
      <c r="CI8" s="58"/>
      <c r="CJ8" s="58"/>
      <c r="CK8" s="42"/>
      <c r="CL8" s="38"/>
      <c r="CM8" s="38"/>
      <c r="CN8" s="37"/>
      <c r="CO8" s="37"/>
      <c r="CP8" s="37"/>
      <c r="CQ8" s="38"/>
      <c r="CR8" s="44"/>
      <c r="CS8" s="58"/>
      <c r="CT8" s="38"/>
      <c r="CU8" s="38"/>
      <c r="CV8" s="38"/>
      <c r="CW8" s="38"/>
      <c r="CX8" s="38"/>
      <c r="CY8" s="37"/>
      <c r="CZ8" s="37"/>
      <c r="DA8" s="58"/>
      <c r="DB8" s="58"/>
      <c r="DC8" s="41"/>
      <c r="DD8" s="58"/>
      <c r="DE8" s="58"/>
      <c r="DF8" s="58"/>
      <c r="DG8" s="58"/>
      <c r="DH8" s="58"/>
      <c r="DI8" s="58"/>
      <c r="DJ8" s="37"/>
      <c r="DK8" s="58"/>
      <c r="DL8" s="58"/>
      <c r="DM8" s="58"/>
      <c r="DN8" s="58"/>
      <c r="DO8" s="38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58"/>
      <c r="EG8" s="58"/>
      <c r="EH8" s="58"/>
      <c r="EI8" s="58"/>
      <c r="EJ8" s="58"/>
      <c r="EK8" s="58"/>
      <c r="EL8" s="37"/>
      <c r="EM8" s="58"/>
      <c r="EN8" s="58"/>
      <c r="EO8" s="58"/>
      <c r="EP8" s="58"/>
      <c r="EQ8" s="58"/>
      <c r="ER8" s="58"/>
      <c r="ES8" s="59"/>
      <c r="ET8" s="58"/>
      <c r="EU8" s="58"/>
      <c r="EV8" s="37"/>
      <c r="EW8" s="59"/>
      <c r="EX8" s="42"/>
      <c r="EY8" s="37"/>
      <c r="EZ8" s="58"/>
      <c r="FA8" s="58"/>
      <c r="FB8" s="58"/>
      <c r="FC8" s="5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