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SavePage" sheetId="6" r:id="rId8"/>
    <sheet state="visible" name="CloseRTPNL" sheetId="7" r:id="rId9"/>
    <sheet state="visible" name="CheckFundLevelAggregation" sheetId="8" r:id="rId10"/>
    <sheet state="visible" name="CheckFundLevelAggregation1" sheetId="9" r:id="rId11"/>
    <sheet state="visible" name="RestartReleasesAndServices" sheetId="10" r:id="rId12"/>
    <sheet state="visible" name="CheckFundLevelAggregation2" sheetId="11" r:id="rId13"/>
    <sheet state="visible" name="PricingInput" sheetId="12" r:id="rId14"/>
  </sheets>
  <definedNames/>
  <calcPr/>
</workbook>
</file>

<file path=xl/sharedStrings.xml><?xml version="1.0" encoding="utf-8"?>
<sst xmlns="http://schemas.openxmlformats.org/spreadsheetml/2006/main" count="244" uniqueCount="33">
  <si>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</si>
  <si>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</si>
  <si>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</si>
  <si>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</si>
  <si>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</si>
  <si>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</si>
  <si>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</si>
  <si>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</si>
  <si>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</si>
  <si>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</si>
  <si>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</si>
  <si>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</si>
  <si>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</si>
  <si>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</si>
  <si>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</si>
  <si>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</si>
  <si>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</si>
  <si>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</si>
  <si>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Yes</t>
  </si>
  <si>
    <t>RTPNL</t>
  </si>
  <si>
    <t>OpenRTPNL</t>
  </si>
  <si>
    <t>Nirvana,PM</t>
  </si>
  <si>
    <t>FundLevelAggregation</t>
  </si>
  <si>
    <t>SavePage</t>
  </si>
  <si>
    <t>Save</t>
  </si>
  <si>
    <t>CloseRTPNL</t>
  </si>
  <si>
    <t>CheckFundLevelAggregation</t>
  </si>
  <si>
    <t>NewMF</t>
  </si>
  <si>
    <t>Compliance</t>
  </si>
  <si>
    <t>RestartReleasesAndServices</t>
  </si>
  <si>
    <t>No</t>
  </si>
  <si>
    <t/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</si>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</sst>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Q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3" t="s">
        <v>22</v>
      </c>
      <c r="C6" s="35" t="s">
        <v>24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50.0</v>
      </c>
      <c r="D6" s="12">
        <v>0.0</v>
      </c>
      <c r="E6" s="12">
        <v>0.0</v>
      </c>
      <c r="F6" s="12">
        <v>50.0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50.0</v>
      </c>
      <c r="N6" s="12">
        <v>0.0</v>
      </c>
      <c r="O6" s="12">
        <v>0.0</v>
      </c>
      <c r="P6" s="9">
        <v>-50.0</v>
      </c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100.0</v>
      </c>
      <c r="D6" s="12">
        <v>0.0</v>
      </c>
      <c r="E6" s="12">
        <v>0.0</v>
      </c>
      <c r="F6" s="12">
        <v>100.0</v>
      </c>
      <c r="G6" s="12">
        <v>0.0</v>
      </c>
      <c r="H6" s="12">
        <v>0.0</v>
      </c>
      <c r="I6" s="12">
        <v>0.0</v>
      </c>
      <c r="J6" s="12">
        <v>0.0</v>
      </c>
      <c r="K6" s="12">
        <v>0.0</v>
      </c>
      <c r="L6" s="12">
        <v>0.0</v>
      </c>
      <c r="M6" s="12">
        <v>100.0</v>
      </c>
      <c r="N6" s="12">
        <v>0.0</v>
      </c>
      <c r="O6" s="12">
        <v>0.0</v>
      </c>
      <c r="P6" s="9">
        <v>-100.0</v>
      </c>
      <c r="Q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CheckFundLevelAggregation1!$4:$4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IFERROR(__xludf.DUMMYFUNCTION("""COMPUTED_VALUE"""),"Fund")</f>
        <v>Fund</v>
      </c>
      <c r="C5" s="27" t="str">
        <f>IFERROR(__xludf.DUMMYFUNCTION("""COMPUTED_VALUE"""),"Market Value")</f>
        <v>Market Value</v>
      </c>
      <c r="D5" s="27" t="str">
        <f>IFERROR(__xludf.DUMMYFUNCTION("""COMPUTED_VALUE"""),"P&amp;L")</f>
        <v>P&amp;L</v>
      </c>
      <c r="E5" s="27" t="str">
        <f>IFERROR(__xludf.DUMMYFUNCTION("""COMPUTED_VALUE"""),"Day P&amp;L")</f>
        <v>Day P&amp;L</v>
      </c>
      <c r="F5" s="28" t="str">
        <f>IFERROR(__xludf.DUMMYFUNCTION("""COMPUTED_VALUE"""),"Exposure")</f>
        <v>Exposure</v>
      </c>
      <c r="G5" s="27" t="str">
        <f>IFERROR(__xludf.DUMMYFUNCTION("""COMPUTED_VALUE"""),"% Gain/Loss Day")</f>
        <v>% Gain/Loss Day</v>
      </c>
      <c r="H5" s="27" t="str">
        <f>IFERROR(__xludf.DUMMYFUNCTION("""COMPUTED_VALUE"""),"% Gain/Loss Cost")</f>
        <v>% Gain/Loss Cost</v>
      </c>
      <c r="I5" s="27" t="str">
        <f>IFERROR(__xludf.DUMMYFUNCTION("""COMPUTED_VALUE"""),"% Market Value")</f>
        <v>% Market Value</v>
      </c>
      <c r="J5" s="27" t="str">
        <f>IFERROR(__xludf.DUMMYFUNCTION("""COMPUTED_VALUE"""),"% Exposure")</f>
        <v>% Exposure</v>
      </c>
      <c r="K5" s="27" t="str">
        <f>IFERROR(__xludf.DUMMYFUNCTION("""COMPUTED_VALUE"""),"Short Exposure")</f>
        <v>Short Exposure</v>
      </c>
      <c r="L5" s="27" t="str">
        <f>IFERROR(__xludf.DUMMYFUNCTION("""COMPUTED_VALUE"""),"% Short Exposure")</f>
        <v>% Short Exposure</v>
      </c>
      <c r="M5" s="27" t="str">
        <f>IFERROR(__xludf.DUMMYFUNCTION("""COMPUTED_VALUE"""),"Long Exposure")</f>
        <v>Long Exposure</v>
      </c>
      <c r="N5" s="27" t="str">
        <f>IFERROR(__xludf.DUMMYFUNCTION("""COMPUTED_VALUE"""),"% Long Exposure")</f>
        <v>% Long Exposure</v>
      </c>
      <c r="O5" s="27" t="str">
        <f>IFERROR(__xludf.DUMMYFUNCTION("""COMPUTED_VALUE"""),"Accruals")</f>
        <v>Accruals</v>
      </c>
      <c r="P5" s="27" t="str">
        <f>IFERROR(__xludf.DUMMYFUNCTION("""COMPUTED_VALUE"""),"Cash")</f>
        <v>Cash</v>
      </c>
      <c r="Q5" s="27" t="str">
        <f>IFERROR(__xludf.DUMMYFUNCTION("""COMPUTED_VALUE"""),"NAV")</f>
        <v>NAV</v>
      </c>
      <c r="R5" s="27" t="str">
        <f>IFERROR(__xludf.DUMMYFUNCTION("""COMPUTED_VALUE"""),"Testing Type")</f>
        <v>Testing Type</v>
      </c>
      <c r="S5" s="27" t="str">
        <f>IFERROR(__xludf.DUMMYFUNCTION("""COMPUTED_VALUE"""),"Testing Column")</f>
        <v>Testing Column</v>
      </c>
      <c r="T5" s="29" t="str">
        <f>IFERROR(__xludf.DUMMYFUNCTION("""COMPUTED_VALUE"""),"Testing Col Value")</f>
        <v>Testing Col Value</v>
      </c>
      <c r="U5" s="29" t="str">
        <f>IFERROR(__xludf.DUMMYFUNCTION("""COMPUTED_VALUE"""),"DuplicateCountOnUI")</f>
        <v>DuplicateCountOnUI</v>
      </c>
      <c r="V5" s="29" t="str">
        <f>IFERROR(__xludf.DUMMYFUNCTION("""COMPUTED_VALUE"""),"DuplicateRow")</f>
        <v>DuplicateRow</v>
      </c>
      <c r="W5" s="29" t="str">
        <f>IFERROR(__xludf.DUMMYFUNCTION("""COMPUTED_VALUE"""),"TabName")</f>
        <v>TabName</v>
      </c>
      <c r="X5" s="29" t="str">
        <f>IFERROR(__xludf.DUMMYFUNCTION("""COMPUTED_VALUE"""),"GridDataWidgetName")</f>
        <v>GridDataWidgetName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31</v>
      </c>
      <c r="B6" s="36" t="s">
        <v>27</v>
      </c>
      <c r="C6" s="36">
        <v>50.0</v>
      </c>
      <c r="D6" s="36">
        <v>0.0</v>
      </c>
      <c r="E6" s="36">
        <v>0.0</v>
      </c>
      <c r="F6" s="36">
        <v>50.0</v>
      </c>
      <c r="G6" s="36">
        <v>0.0</v>
      </c>
      <c r="H6" s="36">
        <v>0.0</v>
      </c>
      <c r="I6" s="36">
        <v>0.0</v>
      </c>
      <c r="J6" s="36">
        <v>0.0</v>
      </c>
      <c r="K6" s="36">
        <v>0.0</v>
      </c>
      <c r="L6" s="36">
        <v>0.0</v>
      </c>
      <c r="M6" s="36">
        <v>50.0</v>
      </c>
      <c r="N6" s="36">
        <v>0.0</v>
      </c>
      <c r="O6" s="36">
        <v>0.0</v>
      </c>
      <c r="P6" s="37">
        <v>-50.0</v>
      </c>
      <c r="Q6" s="37">
        <v>0.0</v>
      </c>
      <c r="R6" t="s">
        <v>31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  <c r="AB6" t="s">
        <v>31</v>
      </c>
      <c r="AC6" t="s">
        <v>31</v>
      </c>
      <c r="AD6" t="s">
        <v>31</v>
      </c>
      <c r="AE6" t="s">
        <v>31</v>
      </c>
      <c r="AF6" t="s">
        <v>31</v>
      </c>
      <c r="AG6" t="s">
        <v>31</v>
      </c>
      <c r="AH6" t="s">
        <v>31</v>
      </c>
      <c r="AI6" t="s">
        <v>31</v>
      </c>
      <c r="AJ6" t="s">
        <v>31</v>
      </c>
      <c r="AK6" t="s">
        <v>31</v>
      </c>
      <c r="AL6" t="s">
        <v>31</v>
      </c>
      <c r="AM6" t="s">
        <v>31</v>
      </c>
      <c r="AN6" t="s">
        <v>31</v>
      </c>
      <c r="AO6" t="s">
        <v>31</v>
      </c>
      <c r="AP6" t="s">
        <v>31</v>
      </c>
      <c r="AQ6" t="s">
        <v>31</v>
      </c>
      <c r="AR6" t="s">
        <v>31</v>
      </c>
      <c r="AS6" t="s">
        <v>31</v>
      </c>
      <c r="AT6" t="s">
        <v>31</v>
      </c>
      <c r="AU6" t="s">
        <v>31</v>
      </c>
      <c r="AV6" t="s">
        <v>31</v>
      </c>
      <c r="AW6" t="s">
        <v>31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  <c r="BD6" t="s">
        <v>31</v>
      </c>
      <c r="BE6" t="s">
        <v>31</v>
      </c>
      <c r="BF6" t="s">
        <v>31</v>
      </c>
      <c r="BG6" t="s">
        <v>31</v>
      </c>
      <c r="BH6" t="s">
        <v>31</v>
      </c>
      <c r="BI6" t="s">
        <v>31</v>
      </c>
      <c r="BJ6" t="s">
        <v>31</v>
      </c>
      <c r="BK6" t="s">
        <v>31</v>
      </c>
      <c r="BL6" t="s">
        <v>31</v>
      </c>
      <c r="BM6" t="s">
        <v>31</v>
      </c>
      <c r="BN6" t="s">
        <v>31</v>
      </c>
      <c r="BO6" t="s">
        <v>31</v>
      </c>
      <c r="BP6" t="s">
        <v>31</v>
      </c>
      <c r="BQ6" t="s">
        <v>31</v>
      </c>
      <c r="BR6" t="s">
        <v>31</v>
      </c>
      <c r="BS6" t="s">
        <v>31</v>
      </c>
      <c r="BT6" t="s">
        <v>31</v>
      </c>
      <c r="BU6" t="s">
        <v>31</v>
      </c>
      <c r="BV6" t="s">
        <v>31</v>
      </c>
      <c r="BW6" t="s">
        <v>31</v>
      </c>
      <c r="BX6" t="s">
        <v>31</v>
      </c>
      <c r="BY6" t="s">
        <v>31</v>
      </c>
      <c r="BZ6" t="s">
        <v>31</v>
      </c>
      <c r="CA6" t="s">
        <v>31</v>
      </c>
      <c r="CB6" t="s">
        <v>31</v>
      </c>
      <c r="CC6" t="s">
        <v>31</v>
      </c>
      <c r="CD6" t="s">
        <v>31</v>
      </c>
      <c r="CE6" t="s">
        <v>31</v>
      </c>
      <c r="CF6" t="s">
        <v>31</v>
      </c>
      <c r="CG6" t="s">
        <v>31</v>
      </c>
      <c r="CH6" t="s">
        <v>31</v>
      </c>
      <c r="CI6" t="s">
        <v>31</v>
      </c>
      <c r="CJ6" t="s">
        <v>31</v>
      </c>
      <c r="CK6" t="s">
        <v>31</v>
      </c>
      <c r="CL6" t="s">
        <v>31</v>
      </c>
      <c r="CM6" t="s">
        <v>31</v>
      </c>
      <c r="CN6" t="s">
        <v>31</v>
      </c>
      <c r="CO6" t="s">
        <v>31</v>
      </c>
      <c r="CP6" t="s">
        <v>31</v>
      </c>
      <c r="CQ6" t="s">
        <v>31</v>
      </c>
      <c r="CR6" t="s">
        <v>31</v>
      </c>
      <c r="CS6" t="s">
        <v>31</v>
      </c>
      <c r="CT6" t="s">
        <v>31</v>
      </c>
      <c r="CU6" t="s">
        <v>31</v>
      </c>
      <c r="CV6" t="s">
        <v>31</v>
      </c>
      <c r="CW6" t="s">
        <v>31</v>
      </c>
      <c r="CX6" t="s">
        <v>31</v>
      </c>
      <c r="CY6" t="s">
        <v>31</v>
      </c>
      <c r="CZ6" t="s">
        <v>31</v>
      </c>
      <c r="DA6" t="s">
        <v>31</v>
      </c>
      <c r="DB6" t="s">
        <v>31</v>
      </c>
      <c r="DC6" t="s">
        <v>31</v>
      </c>
      <c r="DD6" t="s">
        <v>31</v>
      </c>
      <c r="DE6" t="s">
        <v>31</v>
      </c>
      <c r="DF6" t="s">
        <v>31</v>
      </c>
      <c r="DG6" t="s">
        <v>31</v>
      </c>
      <c r="DH6" t="s">
        <v>31</v>
      </c>
      <c r="DI6" t="s">
        <v>31</v>
      </c>
      <c r="DJ6" t="s">
        <v>31</v>
      </c>
      <c r="DK6" t="s">
        <v>31</v>
      </c>
      <c r="DL6" t="s">
        <v>31</v>
      </c>
      <c r="DM6" t="s">
        <v>31</v>
      </c>
      <c r="DN6" t="s">
        <v>31</v>
      </c>
      <c r="DO6" t="s">
        <v>31</v>
      </c>
      <c r="DP6" t="s">
        <v>31</v>
      </c>
      <c r="DQ6" t="s">
        <v>31</v>
      </c>
      <c r="DR6" t="s">
        <v>31</v>
      </c>
      <c r="DS6" t="s">
        <v>31</v>
      </c>
      <c r="DT6" t="s">
        <v>31</v>
      </c>
      <c r="DU6" t="s">
        <v>31</v>
      </c>
      <c r="DV6" t="s">
        <v>31</v>
      </c>
      <c r="DW6" t="s">
        <v>31</v>
      </c>
      <c r="DX6" t="s">
        <v>31</v>
      </c>
      <c r="DY6" t="s">
        <v>31</v>
      </c>
      <c r="DZ6" t="s">
        <v>31</v>
      </c>
      <c r="EA6" t="s">
        <v>31</v>
      </c>
      <c r="EB6" t="s">
        <v>31</v>
      </c>
      <c r="EC6" t="s">
        <v>31</v>
      </c>
      <c r="ED6" t="s">
        <v>31</v>
      </c>
      <c r="EE6" t="s">
        <v>31</v>
      </c>
      <c r="EF6" t="s">
        <v>31</v>
      </c>
      <c r="EG6" t="s">
        <v>31</v>
      </c>
      <c r="EH6" t="s">
        <v>31</v>
      </c>
      <c r="EI6" t="s">
        <v>31</v>
      </c>
      <c r="EJ6" t="s">
        <v>31</v>
      </c>
      <c r="EK6" t="s">
        <v>31</v>
      </c>
      <c r="EL6" t="s">
        <v>31</v>
      </c>
      <c r="EM6" t="s">
        <v>31</v>
      </c>
      <c r="EN6" t="s">
        <v>31</v>
      </c>
      <c r="EO6" t="s">
        <v>31</v>
      </c>
      <c r="EP6" t="s">
        <v>31</v>
      </c>
      <c r="EQ6" t="s">
        <v>31</v>
      </c>
      <c r="ER6" t="s">
        <v>31</v>
      </c>
      <c r="ES6" t="s">
        <v>31</v>
      </c>
      <c r="ET6" t="s">
        <v>31</v>
      </c>
      <c r="EU6" t="s">
        <v>31</v>
      </c>
      <c r="EV6" t="s">
        <v>31</v>
      </c>
      <c r="EW6" t="s">
        <v>31</v>
      </c>
      <c r="EX6" t="s">
        <v>31</v>
      </c>
      <c r="EY6" t="s">
        <v>31</v>
      </c>
      <c r="EZ6" t="s">
        <v>31</v>
      </c>
      <c r="FA6" t="s">
        <v>31</v>
      </c>
      <c r="FB6" t="s">
        <v>31</v>
      </c>
      <c r="FC6" t="s">
        <v>31</v>
      </c>
      <c r="FD6" t="s">
        <v>31</v>
      </c>
      <c r="FE6" t="s">
        <v>31</v>
      </c>
      <c r="FF6" t="s">
        <v>31</v>
      </c>
      <c r="FG6" t="s">
        <v>31</v>
      </c>
      <c r="FH6" t="s">
        <v>31</v>
      </c>
      <c r="FI6" t="s">
        <v>31</v>
      </c>
      <c r="FJ6" t="s">
        <v>31</v>
      </c>
      <c r="FK6" t="s">
        <v>31</v>
      </c>
      <c r="FL6" t="s">
        <v>31</v>
      </c>
      <c r="FM6" t="s">
        <v>31</v>
      </c>
      <c r="FN6" t="s">
        <v>31</v>
      </c>
      <c r="FO6" t="s">
        <v>31</v>
      </c>
      <c r="FP6" t="s">
        <v>31</v>
      </c>
      <c r="FQ6" t="s">
        <v>31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CheckFundLevelAggregation2!$4:$4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