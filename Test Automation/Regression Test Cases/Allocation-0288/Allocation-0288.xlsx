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ClientConfig" sheetId="4" r:id="rId6"/>
    <sheet state="visible" name="Import" sheetId="5" r:id="rId7"/>
    <sheet state="visible" name="SelectAllOnImport" sheetId="6" r:id="rId8"/>
    <sheet state="visible" name="TradeNewSubOrder" sheetId="7" r:id="rId9"/>
    <sheet state="visible" name="CreateLiveOrder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ReplaceSubOrder" sheetId="12" r:id="rId14"/>
    <sheet state="visible" name="SelectTradeOnOrderGrid" sheetId="13" r:id="rId15"/>
    <sheet state="visible" name="CreateReplaceOrder" sheetId="14" r:id="rId16"/>
    <sheet state="visible" name="SelectTrade1" sheetId="15" r:id="rId17"/>
    <sheet state="visible" name="AcknowledgeTrade1" sheetId="16" r:id="rId18"/>
    <sheet state="visible" name="ExecuteTrade1" sheetId="17" r:id="rId19"/>
    <sheet state="visible" name="VerifyOrder" sheetId="18" r:id="rId20"/>
    <sheet state="visible" name="GetDataAllocation" sheetId="19" r:id="rId21"/>
    <sheet state="visible" name="CheckAllocatedGroups" sheetId="20" r:id="rId22"/>
    <sheet state="visible" name="CheckPortfolioManagement" sheetId="21" r:id="rId23"/>
    <sheet state="visible" name="SelectTrade2" sheetId="22" r:id="rId24"/>
    <sheet state="visible" name="ExecuteTrade2" sheetId="23" r:id="rId25"/>
    <sheet state="visible" name="VerifyOrder1" sheetId="24" r:id="rId26"/>
    <sheet state="visible" name="GetDataAllocation1" sheetId="25" r:id="rId27"/>
    <sheet state="visible" name="CheckAllocatedGroups1" sheetId="26" r:id="rId28"/>
    <sheet state="visible" name="CheckPortfolioManagement1" sheetId="27" r:id="rId29"/>
    <sheet state="visible" name="SelectTrade3" sheetId="28" r:id="rId30"/>
    <sheet state="visible" name="ExecuteTrade3" sheetId="29" r:id="rId31"/>
    <sheet state="visible" name="VerifyOrder2" sheetId="30" r:id="rId32"/>
    <sheet state="visible" name="GetDataAllocation3" sheetId="31" r:id="rId33"/>
    <sheet state="visible" name="CheckAllocatedGroups2" sheetId="32" r:id="rId34"/>
    <sheet state="visible" name="CheckPortfolioManagement2" sheetId="33" r:id="rId35"/>
  </sheets>
  <definedNames/>
  <calcPr/>
</workbook>
</file>

<file path=xl/sharedStrings.xml><?xml version="1.0" encoding="utf-8"?>
<sst xmlns="http://schemas.openxmlformats.org/spreadsheetml/2006/main" count="562" uniqueCount="69">
  <si>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</si>
  <si>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</si>
  <si>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</si>
  <si>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</si>
  <si>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</si>
  <si>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</si>
  <si>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</si>
  <si>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</si>
  <si>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</si>
  <si>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</si>
  <si>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</si>
  <si>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</si>
  <si>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</si>
  <si>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UpdateClientConfig</t>
  </si>
  <si>
    <t>Data Format</t>
  </si>
  <si>
    <t>Input Format</t>
  </si>
  <si>
    <t>IsGroupingReqBlotterStageImport</t>
  </si>
  <si>
    <t>Import</t>
  </si>
  <si>
    <t>\\192.168.2.108\DistributedAutomation_Master\Import Cases\Stage(Allocation).csv</t>
  </si>
  <si>
    <t>ISOX</t>
  </si>
  <si>
    <t>Staged Order</t>
  </si>
  <si>
    <t>SelectAllOnImport</t>
  </si>
  <si>
    <t>Blotter</t>
  </si>
  <si>
    <t>TradeNewSubOrder</t>
  </si>
  <si>
    <t>AMZN</t>
  </si>
  <si>
    <t>Buy</t>
  </si>
  <si>
    <t>New</t>
  </si>
  <si>
    <t>MS</t>
  </si>
  <si>
    <t>Multiple</t>
  </si>
  <si>
    <t>TradingTicket</t>
  </si>
  <si>
    <t>CreateLiveOrder</t>
  </si>
  <si>
    <t>Simulator</t>
  </si>
  <si>
    <t>SelectTrade</t>
  </si>
  <si>
    <t>AcknowledgeTrade</t>
  </si>
  <si>
    <t>ExecuteTrade</t>
  </si>
  <si>
    <t>ReplaceSubOrder</t>
  </si>
  <si>
    <t>PartiallyFilled</t>
  </si>
  <si>
    <t>SelectTradeOnOrderGrid</t>
  </si>
  <si>
    <t>CreateReplaceOrder</t>
  </si>
  <si>
    <t>VerifyOrder</t>
  </si>
  <si>
    <t>AMZN US EQUITY</t>
  </si>
  <si>
    <t>NASDAQ</t>
  </si>
  <si>
    <t>jpearce</t>
  </si>
  <si>
    <t>US</t>
  </si>
  <si>
    <t>GCCAP1</t>
  </si>
  <si>
    <t>USD</t>
  </si>
  <si>
    <t>M</t>
  </si>
  <si>
    <t>Equity</t>
  </si>
  <si>
    <t>Limit</t>
  </si>
  <si>
    <t/>
  </si>
  <si>
    <t>Allocation</t>
  </si>
  <si>
    <t>GetDataAllocation</t>
  </si>
  <si>
    <t>Current</t>
  </si>
  <si>
    <t>CheckAllocatedGroups</t>
  </si>
  <si>
    <t>Manual</t>
  </si>
  <si>
    <t>Strategy Unallocated</t>
  </si>
  <si>
    <t>PortfolioManagement</t>
  </si>
  <si>
    <t>CheckPortfolioManagement</t>
  </si>
  <si>
    <t>Allocation1</t>
  </si>
  <si>
    <t>Long</t>
  </si>
  <si>
    <t>Allocation2</t>
  </si>
  <si>
    <t>Allocation3</t>
  </si>
  <si>
    <t>Open</t>
  </si>
  <si>
    <t>None</t>
  </si>
  <si>
    <t>InternalOrder</t>
  </si>
  <si>
    <t>NONE</t>
  </si>
  <si>
    <t>NewMF</t>
  </si>
  <si>
    <t>NewMF1</t>
  </si>
  <si>
    <t>TradeImport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</si>
</sst>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>
      <c r="A648" t="str">
        <f>IFERROR(__xludf.DUMMYFUNCTION("""COMPUTED_VALUE"""),"PranaClient")</f>
        <v>PranaClient</v>
      </c>
      <c r="B648" t="str">
        <f>IFERROR(__xludf.DUMMYFUNCTION("""COMPUTED_VALUE"""),"Action")</f>
        <v>Action</v>
      </c>
      <c r="C648" t="str">
        <f>IFERROR(__xludf.DUMMYFUNCTION("""COMPUTED_VALUE"""),"16YwhwfE3ekYXCEMATeZ129RipXXg6a0WjcUVWOBSLF4")</f>
        <v>16YwhwfE3ekYXCEMATeZ129RipXXg6a0WjcUVWOBSLF4</v>
      </c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 t="str">
        <f>IFERROR(__xludf.DUMMYFUNCTION("""COMPUTED_VALUE"""),"CompareXML")</f>
        <v>CompareXML</v>
      </c>
      <c r="G4" s="25" t="str">
        <f>IFERROR(__xludf.DUMMYFUNCTION("""COMPUTED_VALUE"""),"LoginClient")</f>
        <v>LoginClient</v>
      </c>
      <c r="H4" s="25" t="str">
        <f>IFERROR(__xludf.DUMMYFUNCTION("""COMPUTED_VALUE"""),"Action")</f>
        <v>Action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b">
        <v>1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UpdateClientConfig!$4:$4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b">
        <v>0</v>
      </c>
      <c r="D6" s="34"/>
      <c r="E6" s="35" t="s">
        <v>18</v>
      </c>
      <c r="F6" s="33" t="s">
        <v>19</v>
      </c>
      <c r="G6" s="33" t="s">
        <v>20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20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I6" s="9" t="s">
        <v>24</v>
      </c>
      <c r="AJ6" s="9" t="s">
        <v>25</v>
      </c>
      <c r="AK6" s="9" t="s">
        <v>26</v>
      </c>
      <c r="AL6" s="9">
        <v>300.0</v>
      </c>
      <c r="AS6" s="9" t="s">
        <v>27</v>
      </c>
      <c r="AT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300.0</v>
      </c>
      <c r="E6" s="36"/>
      <c r="F6" s="8"/>
      <c r="G6" s="13" t="s">
        <v>27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24</v>
      </c>
      <c r="D6" s="13"/>
      <c r="E6" s="36"/>
      <c r="F6" s="8"/>
      <c r="G6" s="1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24</v>
      </c>
      <c r="D6" s="13"/>
      <c r="E6" s="36"/>
      <c r="F6" s="8"/>
      <c r="G6" s="1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25.0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E6" s="9">
        <v>1.0</v>
      </c>
      <c r="AJ6" s="9" t="s">
        <v>24</v>
      </c>
      <c r="AK6" s="9" t="s">
        <v>25</v>
      </c>
      <c r="AL6" s="9" t="s">
        <v>36</v>
      </c>
      <c r="AM6" s="9">
        <v>300.0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C6" s="8"/>
      <c r="D6" s="9" t="s">
        <v>24</v>
      </c>
      <c r="E6" s="36"/>
      <c r="F6" s="9" t="s">
        <v>25</v>
      </c>
      <c r="G6" s="9" t="s">
        <v>36</v>
      </c>
      <c r="H6" s="9">
        <v>300.0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152.0</v>
      </c>
      <c r="E6" s="36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24</v>
      </c>
      <c r="D6" s="13"/>
      <c r="E6" s="36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24</v>
      </c>
      <c r="D6" s="13"/>
      <c r="E6" s="36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/>
      <c r="C6" s="8"/>
      <c r="D6" s="37">
        <v>10.0</v>
      </c>
      <c r="E6" s="8" t="s">
        <v>40</v>
      </c>
      <c r="F6" s="8">
        <v>10.0</v>
      </c>
      <c r="G6" s="8">
        <v>117.0</v>
      </c>
      <c r="H6" s="8" t="s">
        <v>41</v>
      </c>
      <c r="I6" s="8" t="s">
        <v>42</v>
      </c>
      <c r="J6" s="8" t="s">
        <v>24</v>
      </c>
      <c r="K6" s="8" t="s">
        <v>43</v>
      </c>
      <c r="L6" s="8" t="s">
        <v>44</v>
      </c>
      <c r="M6" s="8"/>
      <c r="N6" s="8"/>
      <c r="O6" s="8"/>
      <c r="U6" t="s">
        <v>45</v>
      </c>
      <c r="AB6">
        <v>10.0</v>
      </c>
      <c r="AD6">
        <v>1.0</v>
      </c>
      <c r="AF6" t="s">
        <v>46</v>
      </c>
      <c r="AH6" t="s">
        <v>47</v>
      </c>
      <c r="AI6" t="s">
        <v>24</v>
      </c>
      <c r="AJ6" t="s">
        <v>25</v>
      </c>
      <c r="AK6" t="s">
        <v>36</v>
      </c>
      <c r="AL6">
        <v>300.0</v>
      </c>
      <c r="AM6">
        <v>35.0</v>
      </c>
      <c r="AP6">
        <v>148.0</v>
      </c>
      <c r="AQ6">
        <v>10.0</v>
      </c>
      <c r="AR6">
        <v>10.0</v>
      </c>
      <c r="AS6" t="s">
        <v>27</v>
      </c>
      <c r="AT6" t="s">
        <v>28</v>
      </c>
      <c r="AU6" t="s">
        <v>48</v>
      </c>
      <c r="AV6">
        <v>350.0</v>
      </c>
      <c r="AW6">
        <v>350.0</v>
      </c>
      <c r="AZ6">
        <v>265.0</v>
      </c>
      <c r="BA6" t="s">
        <v>42</v>
      </c>
      <c r="BB6" t="s">
        <v>49</v>
      </c>
      <c r="BC6" t="s">
        <v>49</v>
      </c>
      <c r="BD6" t="s">
        <v>49</v>
      </c>
      <c r="BE6" t="s">
        <v>49</v>
      </c>
      <c r="BF6" t="s">
        <v>49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52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28</v>
      </c>
      <c r="C6" s="8" t="s">
        <v>49</v>
      </c>
      <c r="D6" s="37"/>
      <c r="E6" s="8">
        <v>35.0</v>
      </c>
      <c r="F6" s="8" t="s">
        <v>54</v>
      </c>
      <c r="G6" s="8" t="s">
        <v>47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40</v>
      </c>
      <c r="N6" s="8" t="s">
        <v>49</v>
      </c>
      <c r="O6" s="8" t="s">
        <v>27</v>
      </c>
      <c r="W6">
        <v>1.0</v>
      </c>
      <c r="X6" t="s">
        <v>49</v>
      </c>
      <c r="Y6" t="s">
        <v>49</v>
      </c>
      <c r="Z6" t="s">
        <v>45</v>
      </c>
      <c r="AD6" t="s">
        <v>41</v>
      </c>
      <c r="AE6">
        <v>35.0</v>
      </c>
      <c r="AF6" t="s">
        <v>49</v>
      </c>
      <c r="AH6" t="s">
        <v>46</v>
      </c>
      <c r="AI6">
        <v>1.0</v>
      </c>
      <c r="AY6" t="s">
        <v>48</v>
      </c>
      <c r="BO6" t="s">
        <v>25</v>
      </c>
      <c r="BS6" t="s">
        <v>55</v>
      </c>
      <c r="BT6" t="s">
        <v>24</v>
      </c>
      <c r="BU6">
        <v>3.0</v>
      </c>
      <c r="CI6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37"/>
      <c r="C6" s="8" t="s">
        <v>24</v>
      </c>
      <c r="D6" s="37">
        <v>12.0</v>
      </c>
      <c r="E6" s="8" t="s">
        <v>58</v>
      </c>
      <c r="F6" s="8"/>
      <c r="G6" s="8">
        <v>10.0</v>
      </c>
      <c r="H6" s="8" t="s">
        <v>59</v>
      </c>
      <c r="I6" s="8"/>
      <c r="J6" s="8"/>
      <c r="K6" s="8"/>
      <c r="L6" s="8"/>
      <c r="M6" s="8"/>
      <c r="N6" s="8"/>
      <c r="O6" s="8"/>
      <c r="T6" t="s">
        <v>47</v>
      </c>
      <c r="U6" t="s">
        <v>43</v>
      </c>
      <c r="V6" t="s">
        <v>41</v>
      </c>
      <c r="W6" t="s">
        <v>45</v>
      </c>
      <c r="X6">
        <v>1.0</v>
      </c>
      <c r="Y6">
        <v>1.0</v>
      </c>
      <c r="AN6" t="s">
        <v>25</v>
      </c>
      <c r="AP6" t="s">
        <v>59</v>
      </c>
      <c r="AQ6" t="s">
        <v>24</v>
      </c>
      <c r="AS6">
        <v>1.0</v>
      </c>
      <c r="AV6">
        <v>1.0</v>
      </c>
      <c r="BE6" t="s">
        <v>47</v>
      </c>
      <c r="BQ6" t="s">
        <v>42</v>
      </c>
      <c r="BR6" t="s">
        <v>27</v>
      </c>
      <c r="BU6" t="s">
        <v>47</v>
      </c>
      <c r="CP6" t="s">
        <v>40</v>
      </c>
      <c r="DJ6" t="s">
        <v>25</v>
      </c>
      <c r="DP6" t="s">
        <v>59</v>
      </c>
    </row>
    <row r="7" ht="15.75" customHeight="1">
      <c r="A7" s="8"/>
      <c r="B7" s="8"/>
      <c r="C7" s="8" t="s">
        <v>24</v>
      </c>
      <c r="D7" s="8">
        <v>12.0</v>
      </c>
      <c r="E7" s="8" t="s">
        <v>60</v>
      </c>
      <c r="F7" s="8"/>
      <c r="G7" s="8">
        <v>10.0</v>
      </c>
      <c r="H7" s="8" t="s">
        <v>59</v>
      </c>
      <c r="I7" s="8"/>
      <c r="J7" s="8"/>
      <c r="K7" s="8"/>
      <c r="L7" s="8"/>
      <c r="M7" s="8"/>
      <c r="N7" s="8"/>
      <c r="O7" s="8"/>
      <c r="T7" t="s">
        <v>47</v>
      </c>
      <c r="U7" t="s">
        <v>43</v>
      </c>
      <c r="V7" t="s">
        <v>41</v>
      </c>
      <c r="W7" t="s">
        <v>45</v>
      </c>
      <c r="X7">
        <v>1.0</v>
      </c>
      <c r="Y7">
        <v>1.0</v>
      </c>
      <c r="AN7" t="s">
        <v>25</v>
      </c>
      <c r="AP7" t="s">
        <v>59</v>
      </c>
      <c r="AQ7" t="s">
        <v>24</v>
      </c>
      <c r="AS7">
        <v>1.0</v>
      </c>
      <c r="AV7">
        <v>1.0</v>
      </c>
      <c r="BE7" t="s">
        <v>47</v>
      </c>
      <c r="BQ7" t="s">
        <v>42</v>
      </c>
      <c r="BR7" t="s">
        <v>27</v>
      </c>
      <c r="BU7" t="s">
        <v>47</v>
      </c>
      <c r="CP7" t="s">
        <v>40</v>
      </c>
      <c r="DJ7" t="s">
        <v>25</v>
      </c>
      <c r="DP7" t="s">
        <v>59</v>
      </c>
    </row>
    <row r="8" ht="15.75" customHeight="1">
      <c r="A8" s="8"/>
      <c r="B8" s="8"/>
      <c r="C8" s="8" t="s">
        <v>24</v>
      </c>
      <c r="D8" s="8">
        <v>11.0</v>
      </c>
      <c r="E8" s="8" t="s">
        <v>61</v>
      </c>
      <c r="F8" s="8"/>
      <c r="G8" s="8">
        <v>10.0</v>
      </c>
      <c r="H8" s="8" t="s">
        <v>59</v>
      </c>
      <c r="I8" s="8"/>
      <c r="J8" s="8"/>
      <c r="K8" s="8"/>
      <c r="L8" s="8"/>
      <c r="M8" s="8"/>
      <c r="N8" s="8"/>
      <c r="O8" s="8"/>
      <c r="T8" t="s">
        <v>47</v>
      </c>
      <c r="U8" t="s">
        <v>43</v>
      </c>
      <c r="V8" t="s">
        <v>41</v>
      </c>
      <c r="W8" t="s">
        <v>45</v>
      </c>
      <c r="X8">
        <v>1.0</v>
      </c>
      <c r="Y8">
        <v>1.0</v>
      </c>
      <c r="AN8" t="s">
        <v>25</v>
      </c>
      <c r="AP8" t="s">
        <v>59</v>
      </c>
      <c r="AQ8" t="s">
        <v>24</v>
      </c>
      <c r="AS8">
        <v>1.0</v>
      </c>
      <c r="AV8">
        <v>1.0</v>
      </c>
      <c r="BE8" t="s">
        <v>47</v>
      </c>
      <c r="BQ8" t="s">
        <v>42</v>
      </c>
      <c r="BR8" t="s">
        <v>27</v>
      </c>
      <c r="BU8" t="s">
        <v>47</v>
      </c>
      <c r="CP8" t="s">
        <v>40</v>
      </c>
      <c r="DJ8" t="s">
        <v>25</v>
      </c>
      <c r="DP8" t="s">
        <v>59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24</v>
      </c>
      <c r="D6" s="13"/>
      <c r="E6" s="36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/>
      <c r="C6" s="8"/>
      <c r="D6" s="37">
        <v>10.0</v>
      </c>
      <c r="E6" s="8" t="s">
        <v>40</v>
      </c>
      <c r="F6" s="8">
        <v>10.0</v>
      </c>
      <c r="G6" s="13">
        <v>112.0</v>
      </c>
      <c r="H6" s="8" t="s">
        <v>41</v>
      </c>
      <c r="I6" s="8" t="s">
        <v>42</v>
      </c>
      <c r="J6" s="8" t="s">
        <v>24</v>
      </c>
      <c r="K6" s="8" t="s">
        <v>43</v>
      </c>
      <c r="L6" s="8" t="s">
        <v>44</v>
      </c>
      <c r="M6" s="8"/>
      <c r="N6" s="8"/>
      <c r="O6" s="8"/>
      <c r="U6" t="s">
        <v>45</v>
      </c>
      <c r="AA6" t="s">
        <v>28</v>
      </c>
      <c r="AB6" s="9">
        <v>5.0</v>
      </c>
      <c r="AD6">
        <v>1.0</v>
      </c>
      <c r="AF6" t="s">
        <v>46</v>
      </c>
      <c r="AH6" t="s">
        <v>47</v>
      </c>
      <c r="AI6" t="s">
        <v>24</v>
      </c>
      <c r="AJ6" t="s">
        <v>25</v>
      </c>
      <c r="AK6" t="s">
        <v>36</v>
      </c>
      <c r="AL6">
        <v>300.0</v>
      </c>
      <c r="AM6" s="9">
        <v>40.0</v>
      </c>
      <c r="AQ6">
        <v>10.0</v>
      </c>
      <c r="AR6">
        <v>10.0</v>
      </c>
      <c r="AS6" t="s">
        <v>27</v>
      </c>
      <c r="AT6" t="s">
        <v>28</v>
      </c>
      <c r="AU6" t="s">
        <v>48</v>
      </c>
      <c r="AV6" s="9">
        <v>400.0</v>
      </c>
      <c r="AW6" s="9">
        <v>400.0</v>
      </c>
      <c r="BA6" t="s">
        <v>42</v>
      </c>
      <c r="BB6" t="s">
        <v>49</v>
      </c>
      <c r="BC6" t="s">
        <v>49</v>
      </c>
      <c r="BD6" t="s">
        <v>49</v>
      </c>
      <c r="BE6" t="s">
        <v>49</v>
      </c>
      <c r="BF6" t="s">
        <v>49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52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28</v>
      </c>
      <c r="C6" s="8" t="s">
        <v>49</v>
      </c>
      <c r="D6" s="37"/>
      <c r="E6" s="13">
        <v>40.0</v>
      </c>
      <c r="F6" s="8" t="s">
        <v>54</v>
      </c>
      <c r="G6" s="8" t="s">
        <v>47</v>
      </c>
      <c r="H6" s="8"/>
      <c r="I6" s="8"/>
      <c r="J6" s="8"/>
      <c r="K6" s="8">
        <v>10.0</v>
      </c>
      <c r="L6" s="8">
        <v>10.0</v>
      </c>
      <c r="M6" s="8" t="s">
        <v>40</v>
      </c>
      <c r="N6" s="8" t="s">
        <v>49</v>
      </c>
      <c r="O6" s="8" t="s">
        <v>27</v>
      </c>
      <c r="Q6">
        <v>3.0</v>
      </c>
      <c r="S6" t="s">
        <v>62</v>
      </c>
      <c r="W6">
        <v>1.0</v>
      </c>
      <c r="X6" t="s">
        <v>49</v>
      </c>
      <c r="Y6" t="s">
        <v>49</v>
      </c>
      <c r="Z6" t="s">
        <v>45</v>
      </c>
      <c r="AB6">
        <v>1.0</v>
      </c>
      <c r="AD6" t="s">
        <v>41</v>
      </c>
      <c r="AE6" s="9">
        <v>40.0</v>
      </c>
      <c r="AF6" t="s">
        <v>49</v>
      </c>
      <c r="AH6" t="s">
        <v>46</v>
      </c>
      <c r="AI6">
        <v>1.0</v>
      </c>
      <c r="AJ6" t="s">
        <v>63</v>
      </c>
      <c r="AY6" t="s">
        <v>48</v>
      </c>
      <c r="BD6" t="s">
        <v>64</v>
      </c>
      <c r="BE6" s="9">
        <v>400.0</v>
      </c>
      <c r="BF6" s="9">
        <v>400.0</v>
      </c>
      <c r="BJ6">
        <v>152.0</v>
      </c>
      <c r="BL6" t="s">
        <v>49</v>
      </c>
      <c r="BM6" t="s">
        <v>45</v>
      </c>
      <c r="BO6" t="s">
        <v>25</v>
      </c>
      <c r="BS6" t="s">
        <v>55</v>
      </c>
      <c r="BT6" t="s">
        <v>24</v>
      </c>
      <c r="BU6">
        <v>3.0</v>
      </c>
      <c r="CF6" t="s">
        <v>44</v>
      </c>
      <c r="CG6">
        <v>2.0</v>
      </c>
      <c r="CI6" t="s">
        <v>25</v>
      </c>
      <c r="CK6" t="s">
        <v>43</v>
      </c>
      <c r="CL6">
        <v>1.0</v>
      </c>
      <c r="CM6" t="s">
        <v>24</v>
      </c>
      <c r="CN6" t="s">
        <v>42</v>
      </c>
      <c r="CO6" t="s">
        <v>41</v>
      </c>
      <c r="CP6" t="s">
        <v>65</v>
      </c>
      <c r="CS6" t="s">
        <v>49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37"/>
      <c r="C6" s="8" t="s">
        <v>24</v>
      </c>
      <c r="D6" s="13">
        <v>14.0</v>
      </c>
      <c r="E6" s="8" t="s">
        <v>58</v>
      </c>
      <c r="F6" s="8" t="s">
        <v>66</v>
      </c>
      <c r="G6" s="8"/>
      <c r="H6" s="8" t="s">
        <v>59</v>
      </c>
      <c r="I6" s="8"/>
      <c r="J6" s="8"/>
      <c r="K6" s="8"/>
      <c r="L6" s="8"/>
      <c r="M6" s="8"/>
      <c r="N6" s="8"/>
      <c r="O6" s="8"/>
      <c r="S6" t="s">
        <v>55</v>
      </c>
      <c r="T6" t="s">
        <v>47</v>
      </c>
      <c r="U6" t="s">
        <v>43</v>
      </c>
      <c r="V6" t="s">
        <v>41</v>
      </c>
      <c r="W6" t="s">
        <v>45</v>
      </c>
      <c r="X6">
        <v>1.0</v>
      </c>
      <c r="Y6">
        <v>1.0</v>
      </c>
      <c r="AN6" t="s">
        <v>25</v>
      </c>
      <c r="AP6" t="s">
        <v>59</v>
      </c>
      <c r="AQ6" t="s">
        <v>24</v>
      </c>
      <c r="AS6">
        <v>1.0</v>
      </c>
      <c r="AV6">
        <v>1.0</v>
      </c>
      <c r="BE6" t="s">
        <v>47</v>
      </c>
      <c r="BQ6" t="s">
        <v>42</v>
      </c>
      <c r="BR6" t="s">
        <v>27</v>
      </c>
      <c r="BU6" t="s">
        <v>47</v>
      </c>
      <c r="CP6" t="s">
        <v>40</v>
      </c>
      <c r="DJ6" t="s">
        <v>25</v>
      </c>
      <c r="DP6" t="s">
        <v>59</v>
      </c>
      <c r="EL6" t="s">
        <v>59</v>
      </c>
    </row>
    <row r="7" ht="15.75" customHeight="1">
      <c r="A7" s="8"/>
      <c r="B7" s="8"/>
      <c r="C7" s="8" t="s">
        <v>24</v>
      </c>
      <c r="D7" s="13">
        <v>13.0</v>
      </c>
      <c r="E7" s="8" t="s">
        <v>60</v>
      </c>
      <c r="F7" s="8" t="s">
        <v>67</v>
      </c>
      <c r="G7" s="8"/>
      <c r="H7" s="8" t="s">
        <v>59</v>
      </c>
      <c r="I7" s="8"/>
      <c r="J7" s="8"/>
      <c r="K7" s="8"/>
      <c r="L7" s="8"/>
      <c r="M7" s="8"/>
      <c r="N7" s="8"/>
      <c r="O7" s="8"/>
      <c r="S7" t="s">
        <v>55</v>
      </c>
      <c r="T7" t="s">
        <v>47</v>
      </c>
      <c r="U7" t="s">
        <v>43</v>
      </c>
      <c r="V7" t="s">
        <v>41</v>
      </c>
      <c r="W7" t="s">
        <v>45</v>
      </c>
      <c r="X7">
        <v>1.0</v>
      </c>
      <c r="Y7">
        <v>1.0</v>
      </c>
      <c r="AN7" t="s">
        <v>25</v>
      </c>
      <c r="AP7" t="s">
        <v>59</v>
      </c>
      <c r="AQ7" t="s">
        <v>24</v>
      </c>
      <c r="AS7">
        <v>1.0</v>
      </c>
      <c r="AV7">
        <v>1.0</v>
      </c>
      <c r="BE7" t="s">
        <v>47</v>
      </c>
      <c r="BQ7" t="s">
        <v>42</v>
      </c>
      <c r="BR7" t="s">
        <v>27</v>
      </c>
      <c r="BU7" t="s">
        <v>47</v>
      </c>
      <c r="CP7" t="s">
        <v>40</v>
      </c>
      <c r="DJ7" t="s">
        <v>25</v>
      </c>
      <c r="DP7" t="s">
        <v>59</v>
      </c>
      <c r="EL7" t="s">
        <v>59</v>
      </c>
    </row>
    <row r="8" ht="15.75" customHeight="1">
      <c r="A8" s="8"/>
      <c r="B8" s="8"/>
      <c r="C8" s="8" t="s">
        <v>24</v>
      </c>
      <c r="D8" s="13">
        <v>13.0</v>
      </c>
      <c r="E8" s="8" t="s">
        <v>61</v>
      </c>
      <c r="F8" s="8" t="s">
        <v>66</v>
      </c>
      <c r="G8" s="8"/>
      <c r="H8" s="8" t="s">
        <v>59</v>
      </c>
      <c r="I8" s="8"/>
      <c r="J8" s="8"/>
      <c r="K8" s="8"/>
      <c r="L8" s="8"/>
      <c r="M8" s="8"/>
      <c r="N8" s="8"/>
      <c r="O8" s="8"/>
      <c r="S8" t="s">
        <v>55</v>
      </c>
      <c r="T8" t="s">
        <v>47</v>
      </c>
      <c r="U8" t="s">
        <v>43</v>
      </c>
      <c r="V8" t="s">
        <v>41</v>
      </c>
      <c r="W8" t="s">
        <v>45</v>
      </c>
      <c r="X8">
        <v>1.0</v>
      </c>
      <c r="Y8">
        <v>1.0</v>
      </c>
      <c r="AN8" t="s">
        <v>25</v>
      </c>
      <c r="AP8" t="s">
        <v>59</v>
      </c>
      <c r="AQ8" t="s">
        <v>24</v>
      </c>
      <c r="AS8">
        <v>1.0</v>
      </c>
      <c r="AV8">
        <v>1.0</v>
      </c>
      <c r="BE8" t="s">
        <v>47</v>
      </c>
      <c r="BQ8" t="s">
        <v>42</v>
      </c>
      <c r="BR8" t="s">
        <v>27</v>
      </c>
      <c r="BU8" t="s">
        <v>47</v>
      </c>
      <c r="CP8" t="s">
        <v>40</v>
      </c>
      <c r="DJ8" t="s">
        <v>25</v>
      </c>
      <c r="DP8" t="s">
        <v>59</v>
      </c>
      <c r="EL8" t="s">
        <v>59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24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112.0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/>
      <c r="C6" s="8"/>
      <c r="D6" s="37">
        <v>10.0</v>
      </c>
      <c r="E6" s="8" t="s">
        <v>40</v>
      </c>
      <c r="F6" s="8">
        <v>10.0</v>
      </c>
      <c r="G6" s="8"/>
      <c r="H6" s="8" t="s">
        <v>41</v>
      </c>
      <c r="I6" s="8" t="s">
        <v>42</v>
      </c>
      <c r="J6" s="8" t="s">
        <v>24</v>
      </c>
      <c r="K6" s="8" t="s">
        <v>43</v>
      </c>
      <c r="L6" s="8" t="s">
        <v>44</v>
      </c>
      <c r="M6" s="8"/>
      <c r="N6" s="8"/>
      <c r="O6" s="8"/>
      <c r="U6" t="s">
        <v>45</v>
      </c>
      <c r="AB6">
        <v>112.0</v>
      </c>
      <c r="AD6">
        <v>1.0</v>
      </c>
      <c r="AF6" t="s">
        <v>46</v>
      </c>
      <c r="AH6" t="s">
        <v>47</v>
      </c>
      <c r="AI6" t="s">
        <v>24</v>
      </c>
      <c r="AJ6" t="s">
        <v>25</v>
      </c>
      <c r="AK6" t="s">
        <v>36</v>
      </c>
      <c r="AL6">
        <v>300.0</v>
      </c>
      <c r="AQ6">
        <v>10.0</v>
      </c>
      <c r="AR6">
        <v>10.0</v>
      </c>
      <c r="AS6" t="s">
        <v>27</v>
      </c>
      <c r="AT6" t="s">
        <v>28</v>
      </c>
      <c r="AU6" t="s">
        <v>48</v>
      </c>
      <c r="BA6" t="s">
        <v>42</v>
      </c>
      <c r="BB6" t="s">
        <v>49</v>
      </c>
      <c r="BC6" t="s">
        <v>49</v>
      </c>
      <c r="BD6" t="s">
        <v>49</v>
      </c>
      <c r="BE6" t="s">
        <v>49</v>
      </c>
      <c r="BF6" t="s">
        <v>49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52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28</v>
      </c>
      <c r="C6" s="8" t="s">
        <v>49</v>
      </c>
      <c r="D6" s="37"/>
      <c r="E6" s="8">
        <v>152.0</v>
      </c>
      <c r="F6" s="8" t="s">
        <v>54</v>
      </c>
      <c r="G6" s="8" t="s">
        <v>47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40</v>
      </c>
      <c r="N6" s="8" t="s">
        <v>49</v>
      </c>
      <c r="O6" s="8" t="s">
        <v>27</v>
      </c>
      <c r="Q6">
        <v>3.0</v>
      </c>
      <c r="S6" t="s">
        <v>62</v>
      </c>
      <c r="W6">
        <v>1.0</v>
      </c>
      <c r="X6" t="s">
        <v>49</v>
      </c>
      <c r="Y6" t="s">
        <v>49</v>
      </c>
      <c r="Z6" t="s">
        <v>45</v>
      </c>
      <c r="AD6" t="s">
        <v>41</v>
      </c>
      <c r="AE6">
        <v>152.0</v>
      </c>
      <c r="AF6" t="s">
        <v>49</v>
      </c>
      <c r="AH6" t="s">
        <v>46</v>
      </c>
      <c r="AI6">
        <v>1.0</v>
      </c>
      <c r="AJ6" t="s">
        <v>63</v>
      </c>
      <c r="AY6" t="s">
        <v>48</v>
      </c>
      <c r="BJ6">
        <v>152.0</v>
      </c>
      <c r="BL6" t="s">
        <v>49</v>
      </c>
      <c r="BM6" t="s">
        <v>45</v>
      </c>
      <c r="BO6" t="s">
        <v>25</v>
      </c>
      <c r="BS6" t="s">
        <v>55</v>
      </c>
      <c r="BT6" t="s">
        <v>24</v>
      </c>
      <c r="BU6">
        <v>3.0</v>
      </c>
      <c r="CF6" t="s">
        <v>44</v>
      </c>
      <c r="CG6">
        <v>2.0</v>
      </c>
      <c r="CH6" t="s">
        <v>68</v>
      </c>
      <c r="CI6" t="s">
        <v>25</v>
      </c>
      <c r="CK6" t="s">
        <v>43</v>
      </c>
      <c r="CL6">
        <v>1.0</v>
      </c>
      <c r="CM6" t="s">
        <v>24</v>
      </c>
      <c r="CN6" t="s">
        <v>42</v>
      </c>
      <c r="CO6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37"/>
      <c r="C6" s="8" t="s">
        <v>24</v>
      </c>
      <c r="D6" s="37">
        <v>51.0</v>
      </c>
      <c r="E6" s="8" t="s">
        <v>58</v>
      </c>
      <c r="F6" s="8"/>
      <c r="G6" s="8">
        <v>10.0</v>
      </c>
      <c r="H6" s="8" t="s">
        <v>59</v>
      </c>
      <c r="I6" s="8"/>
      <c r="J6" s="8"/>
      <c r="K6" s="8"/>
      <c r="L6" s="8"/>
      <c r="M6" s="8"/>
      <c r="N6" s="8"/>
      <c r="O6" s="8"/>
      <c r="S6" t="s">
        <v>55</v>
      </c>
      <c r="T6" t="s">
        <v>47</v>
      </c>
      <c r="U6" t="s">
        <v>43</v>
      </c>
      <c r="V6" t="s">
        <v>41</v>
      </c>
      <c r="W6" t="s">
        <v>45</v>
      </c>
      <c r="X6">
        <v>1.0</v>
      </c>
      <c r="Y6">
        <v>1.0</v>
      </c>
      <c r="AN6" t="s">
        <v>25</v>
      </c>
      <c r="AP6" t="s">
        <v>59</v>
      </c>
      <c r="AQ6" t="s">
        <v>24</v>
      </c>
      <c r="AS6">
        <v>1.0</v>
      </c>
      <c r="AV6">
        <v>1.0</v>
      </c>
      <c r="BE6" t="s">
        <v>47</v>
      </c>
      <c r="BQ6" t="s">
        <v>42</v>
      </c>
      <c r="BR6" t="s">
        <v>27</v>
      </c>
      <c r="CP6" t="s">
        <v>40</v>
      </c>
      <c r="DJ6" t="s">
        <v>25</v>
      </c>
      <c r="EL6" t="s">
        <v>59</v>
      </c>
      <c r="EV6" t="s">
        <v>59</v>
      </c>
    </row>
    <row r="7" ht="15.75" customHeight="1">
      <c r="A7" s="8"/>
      <c r="B7" s="8"/>
      <c r="C7" s="8" t="s">
        <v>24</v>
      </c>
      <c r="D7" s="8">
        <v>51.0</v>
      </c>
      <c r="E7" s="8" t="s">
        <v>60</v>
      </c>
      <c r="F7" s="8"/>
      <c r="G7" s="8">
        <v>10.0</v>
      </c>
      <c r="H7" s="8" t="s">
        <v>59</v>
      </c>
      <c r="I7" s="8"/>
      <c r="J7" s="8"/>
      <c r="K7" s="8"/>
      <c r="L7" s="8"/>
      <c r="M7" s="8"/>
      <c r="N7" s="8"/>
      <c r="O7" s="8"/>
      <c r="S7" t="s">
        <v>55</v>
      </c>
      <c r="T7" t="s">
        <v>47</v>
      </c>
      <c r="U7" t="s">
        <v>43</v>
      </c>
      <c r="V7" t="s">
        <v>41</v>
      </c>
      <c r="W7" t="s">
        <v>45</v>
      </c>
      <c r="X7">
        <v>1.0</v>
      </c>
      <c r="Y7">
        <v>1.0</v>
      </c>
      <c r="AN7" t="s">
        <v>25</v>
      </c>
      <c r="AP7" t="s">
        <v>59</v>
      </c>
      <c r="AQ7" t="s">
        <v>24</v>
      </c>
      <c r="AS7">
        <v>1.0</v>
      </c>
      <c r="AV7">
        <v>1.0</v>
      </c>
      <c r="BE7" t="s">
        <v>47</v>
      </c>
      <c r="BQ7" t="s">
        <v>42</v>
      </c>
      <c r="BR7" t="s">
        <v>27</v>
      </c>
      <c r="CP7" t="s">
        <v>40</v>
      </c>
      <c r="DJ7" t="s">
        <v>25</v>
      </c>
      <c r="EL7" t="s">
        <v>59</v>
      </c>
      <c r="EV7" t="s">
        <v>59</v>
      </c>
    </row>
    <row r="8" ht="15.75" customHeight="1">
      <c r="A8" s="8"/>
      <c r="B8" s="8"/>
      <c r="C8" s="8" t="s">
        <v>24</v>
      </c>
      <c r="D8" s="8">
        <v>50.0</v>
      </c>
      <c r="E8" s="8" t="s">
        <v>61</v>
      </c>
      <c r="F8" s="8"/>
      <c r="G8" s="8">
        <v>10.0</v>
      </c>
      <c r="H8" s="8" t="s">
        <v>59</v>
      </c>
      <c r="I8" s="8"/>
      <c r="J8" s="8"/>
      <c r="K8" s="8"/>
      <c r="L8" s="8"/>
      <c r="M8" s="8"/>
      <c r="N8" s="8"/>
      <c r="O8" s="8"/>
      <c r="S8" t="s">
        <v>55</v>
      </c>
      <c r="T8" t="s">
        <v>47</v>
      </c>
      <c r="U8" t="s">
        <v>43</v>
      </c>
      <c r="V8" t="s">
        <v>41</v>
      </c>
      <c r="W8" t="s">
        <v>45</v>
      </c>
      <c r="X8">
        <v>1.0</v>
      </c>
      <c r="Y8">
        <v>1.0</v>
      </c>
      <c r="AN8" t="s">
        <v>25</v>
      </c>
      <c r="AP8" t="s">
        <v>59</v>
      </c>
      <c r="AQ8" t="s">
        <v>24</v>
      </c>
      <c r="AS8">
        <v>1.0</v>
      </c>
      <c r="AV8">
        <v>1.0</v>
      </c>
      <c r="BE8" t="s">
        <v>47</v>
      </c>
      <c r="BQ8" t="s">
        <v>42</v>
      </c>
      <c r="BR8" t="s">
        <v>27</v>
      </c>
      <c r="CP8" t="s">
        <v>40</v>
      </c>
      <c r="DJ8" t="s">
        <v>25</v>
      </c>
      <c r="EL8" t="s">
        <v>59</v>
      </c>
      <c r="EV8" t="s">
        <v>59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CheckPortfolioManagement2!$4:$4</formula1>
    </dataValidation>
  </dataValidations>
  <drawing r:id="rId1"/>
</worksheet>
</file>