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ServerConfig" sheetId="4" r:id="rId6"/>
    <sheet state="visible" name="Import" sheetId="5" r:id="rId7"/>
    <sheet state="visible" name="SelectAllOnImport" sheetId="6" r:id="rId8"/>
    <sheet state="visible" name="CheckAllocatedGroups" sheetId="7" r:id="rId9"/>
    <sheet state="visible" name="Unallocate" sheetId="8" r:id="rId10"/>
    <sheet state="visible" name="CheckUnallocatedGroups" sheetId="9" r:id="rId11"/>
    <sheet state="visible" name="SelectUnallocatedGroup" sheetId="10" r:id="rId12"/>
    <sheet state="visible" name="EnterAccountValuesToAllocate" sheetId="11" r:id="rId13"/>
    <sheet state="visible" name="CheckAllocatedGroups1" sheetId="12" r:id="rId14"/>
    <sheet state="visible" name="GetDataAllocation" sheetId="13" r:id="rId15"/>
  </sheets>
  <definedNames/>
  <calcPr/>
</workbook>
</file>

<file path=xl/sharedStrings.xml><?xml version="1.0" encoding="utf-8"?>
<sst xmlns="http://schemas.openxmlformats.org/spreadsheetml/2006/main" count="128" uniqueCount="44">
  <si>
    <t>Modules Info</t>
  </si>
  <si>
    <t>Modules</t>
  </si>
  <si>
    <t>Settings</t>
  </si>
  <si>
    <t>Module Step Setting File</t>
  </si>
  <si>
    <t>1ljlGTi8Qdd2556nf5TIe5Xaj9i7pwkldGcheiC4kHCM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</si>
  <si>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</si>
  <si>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</si>
  <si>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</si>
  <si>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</si>
  <si>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</si>
  <si>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</si>
  <si>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</si>
  <si>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TradeServer</t>
  </si>
  <si>
    <t>UpdateServerConfig</t>
  </si>
  <si>
    <t>Data Format</t>
  </si>
  <si>
    <t>Input Format</t>
  </si>
  <si>
    <t>UseCacheInAllocation</t>
  </si>
  <si>
    <t>CreateCacheInAllocation</t>
  </si>
  <si>
    <t>Import</t>
  </si>
  <si>
    <t>\\192.168.2.108\DistributedAutomation_Master\Import Cases\Transaction(Allocation-0836).csv</t>
  </si>
  <si>
    <t>Cameron</t>
  </si>
  <si>
    <t>Transaction</t>
  </si>
  <si>
    <t>SelectAllOnImport</t>
  </si>
  <si>
    <t>Allocation</t>
  </si>
  <si>
    <t>CheckAllocatedGroups</t>
  </si>
  <si>
    <t>Allocation1</t>
  </si>
  <si>
    <t>Manual</t>
  </si>
  <si>
    <t>FixedIncome</t>
  </si>
  <si>
    <t>EF828225</t>
  </si>
  <si>
    <t>AUD</t>
  </si>
  <si>
    <t>M</t>
  </si>
  <si>
    <t>Buy</t>
  </si>
  <si>
    <t>Strategy Unallocated</t>
  </si>
  <si>
    <t>NewMF</t>
  </si>
  <si>
    <t>Unallocate</t>
  </si>
  <si>
    <t>CheckUnallocatedGroups</t>
  </si>
  <si>
    <t>jpearce</t>
  </si>
  <si>
    <t>SelectUnallocatedGroup</t>
  </si>
  <si>
    <t>EnterAccountValuesToAllocate</t>
  </si>
  <si>
    <t>Treasury</t>
  </si>
  <si>
    <t>TradeImport</t>
  </si>
  <si>
    <t>GetDataAllocation</t>
  </si>
  <si>
    <t>Historical</t>
  </si>
  <si>
    <t>9/22/1800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</si>
</sst>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0" xfId="0" applyAlignment="1" applyFont="1">
      <alignment shrinkToFit="0" vertical="bottom" wrapText="0"/>
    </xf>
    <xf borderId="0" fillId="0" fontId="1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1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  <xf borderId="0" fillId="0" fontId="5" numFmtId="164" xfId="0" applyAlignment="1" applyFont="1" applyNumberFormat="1">
      <alignment horizontal="right" readingOrder="0" vertical="bottom"/>
    </xf>
    <xf borderId="0" fillId="0" fontId="5" numFmtId="14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IFERROR(__xludf.DUMMYFUNCTION("""COMPUTED_VALUE"""),"ActionOnCFI")</f>
        <v>ActionOnCFI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IFERROR(__xludf.DUMMYFUNCTION("""COMPUTED_VALUE"""),"Rebalancer")</f>
        <v>Rebalancer</v>
      </c>
      <c r="B879" t="str">
        <f>IFERROR(__xludf.DUMMYFUNCTION("""COMPUTED_VALUE"""),"VerifyCFI")</f>
        <v>VerifyCFI</v>
      </c>
      <c r="C879" t="str">
        <f>IFERROR(__xludf.DUMMYFUNCTION("""COMPUTED_VALUE"""),"1DUwxSUq_47EK60XmK3LOdCXa1fkWqWJE9bLuGS3ccv412")</f>
        <v>1DUwxSUq_47EK60XmK3LOdCXa1fkWqWJE9bLuGS3ccv412</v>
      </c>
    </row>
    <row r="880" ht="15.75" customHeight="1">
      <c r="A880" t="str">
        <f>IFERROR(__xludf.DUMMYFUNCTION("""COMPUTED_VALUE"""),"Blotter")</f>
        <v>Blotter</v>
      </c>
      <c r="B880" t="str">
        <f>IFERROR(__xludf.DUMMYFUNCTION("""COMPUTED_VALUE"""),"EnableOrVerifyHotButton")</f>
        <v>EnableOrVerifyHotButton</v>
      </c>
      <c r="C880" t="str">
        <f>IFERROR(__xludf.DUMMYFUNCTION("""COMPUTED_VALUE"""),"1wa8x9d9kPOHEp49mT2DEW0cyjjOClvAgixk1H2w-Tos")</f>
        <v>1wa8x9d9kPOHEp49mT2DEW0cyjjOClvAgixk1H2w-Tos</v>
      </c>
    </row>
    <row r="881" ht="15.75" customHeight="1">
      <c r="A881" t="str">
        <f>IFERROR(__xludf.DUMMYFUNCTION("""COMPUTED_VALUE"""),"TradeServer")</f>
        <v>TradeServer</v>
      </c>
      <c r="B881" t="str">
        <f>IFERROR(__xludf.DUMMYFUNCTION("""COMPUTED_VALUE"""),"RestartServerOnly")</f>
        <v>RestartServerOnly</v>
      </c>
      <c r="C881" t="str">
        <f>IFERROR(__xludf.DUMMYFUNCTION("""COMPUTED_VALUE"""),"Undefined")</f>
        <v>Undefined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IFERROR(__xludf.DUMMYFUNCTION("""COMPUTED_VALUE"""),"ActionOnCFI")</f>
        <v>ActionOnCFI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IFERROR(__xludf.DUMMYFUNCTION("""COMPUTED_VALUE"""),"VerifyCFI")</f>
        <v>VerifyCFI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IFERROR(__xludf.DUMMYFUNCTION("""COMPUTED_VALUE"""),"Rebalancer")</f>
        <v>Rebalancer</v>
      </c>
      <c r="B884" t="str">
        <f>IFERROR(__xludf.DUMMYFUNCTION("""COMPUTED_VALUE"""),"VerifyDelRASGrid")</f>
        <v>VerifyDelRASGrid</v>
      </c>
      <c r="C884" t="str">
        <f>IFERROR(__xludf.DUMMYFUNCTION("""COMPUTED_VALUE"""),"1DUwxSUq_47EK60XmK3LOdCXa1fkWqWJE9bLuGS3ccv412")</f>
        <v>1DUwxSUq_47EK60XmK3LOdCXa1fkWqWJE9bLuGS3ccv412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IFERROR(__xludf.DUMMYFUNCTION("""COMPUTED_VALUE"""),"ActionOnUPW")</f>
        <v>ActionOnUPW</v>
      </c>
      <c r="C885" t="str">
        <f>IFERROR(__xludf.DUMMYFUNCTION("""COMPUTED_VALUE"""),"1DUwxSUq_47EK60XmK3LOdCXa1fkWqWJE9bLuGS3ccv413")</f>
        <v>1DUwxSUq_47EK60XmK3LOdCXa1fkWqWJE9bLuGS3ccv413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IFERROR(__xludf.DUMMYFUNCTION("""COMPUTED_VALUE"""),"DefaultRuleUPW")</f>
        <v>DefaultRuleUPW</v>
      </c>
      <c r="C886" t="str">
        <f>IFERROR(__xludf.DUMMYFUNCTION("""COMPUTED_VALUE"""),"1DUwxSUq_47EK60XmK3LOdCXa1fkWqWJE9bLuGS3ccv414")</f>
        <v>1DUwxSUq_47EK60XmK3LOdCXa1fkWqWJE9bLuGS3ccv414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IFERROR(__xludf.DUMMYFUNCTION("""COMPUTED_VALUE"""),"AccountStrategyUPW")</f>
        <v>AccountStrategyUPW</v>
      </c>
      <c r="C887" t="str">
        <f>IFERROR(__xludf.DUMMYFUNCTION("""COMPUTED_VALUE"""),"1DUwxSUq_47EK60XmK3LOdCXa1fkWqWJE9bLuGS3ccv415")</f>
        <v>1DUwxSUq_47EK60XmK3LOdCXa1fkWqWJE9bLuGS3ccv415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IFERROR(__xludf.DUMMYFUNCTION("""COMPUTED_VALUE"""),"ActionOnCalPref")</f>
        <v>ActionOnCalPref</v>
      </c>
      <c r="C888" t="str">
        <f>IFERROR(__xludf.DUMMYFUNCTION("""COMPUTED_VALUE"""),"1DUwxSUq_47EK60XmK3LOdCXa1fkWqWJE9bLuGS3ccv416")</f>
        <v>1DUwxSUq_47EK60XmK3LOdCXa1fkWqWJE9bLuGS3ccv416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IFERROR(__xludf.DUMMYFUNCTION("""COMPUTED_VALUE"""),"SetMFDefaultRule")</f>
        <v>SetMFDefaultRule</v>
      </c>
      <c r="C889" t="str">
        <f>IFERROR(__xludf.DUMMYFUNCTION("""COMPUTED_VALUE"""),"1DUwxSUq_47EK60XmK3LOdCXa1fkWqWJE9bLuGS3ccv417")</f>
        <v>1DUwxSUq_47EK60XmK3LOdCXa1fkWqWJE9bLuGS3ccv417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IFERROR(__xludf.DUMMYFUNCTION("""COMPUTED_VALUE"""),"ActionOnPrefWindow")</f>
        <v>ActionOnPrefWindow</v>
      </c>
      <c r="C890" t="str">
        <f>IFERROR(__xludf.DUMMYFUNCTION("""COMPUTED_VALUE"""),"1DUwxSUq_47EK60XmK3LOdCXa1fkWqWJE9bLuGS3ccv418")</f>
        <v>1DUwxSUq_47EK60XmK3LOdCXa1fkWqWJE9bLuGS3ccv418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IFERROR(__xludf.DUMMYFUNCTION("""COMPUTED_VALUE"""),"GetFixedPrefScheme")</f>
        <v>GetFixedPrefScheme</v>
      </c>
      <c r="C891" t="str">
        <f>IFERROR(__xludf.DUMMYFUNCTION("""COMPUTED_VALUE"""),"1DUwxSUq_47EK60XmK3LOdCXa1fkWqWJE9bLuGS3ccv419")</f>
        <v>1DUwxSUq_47EK60XmK3LOdCXa1fkWqWJE9bLuGS3ccv419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IFERROR(__xludf.DUMMYFUNCTION("""COMPUTED_VALUE"""),"VerifyFixedPref")</f>
        <v>VerifyFixedPref</v>
      </c>
      <c r="C892" t="str">
        <f>IFERROR(__xludf.DUMMYFUNCTION("""COMPUTED_VALUE"""),"1DUwxSUq_47EK60XmK3LOdCXa1fkWqWJE9bLuGS3ccv420")</f>
        <v>1DUwxSUq_47EK60XmK3LOdCXa1fkWqWJE9bLuGS3ccv420</v>
      </c>
    </row>
    <row r="893" ht="15.75" customHeight="1">
      <c r="A893" t="str">
        <f>IFERROR(__xludf.DUMMYFUNCTION("""COMPUTED_VALUE"""),"Allocation")</f>
        <v>Allocation</v>
      </c>
      <c r="B893" t="str">
        <f>IFERROR(__xludf.DUMMYFUNCTION("""COMPUTED_VALUE"""),"ActionOnToolBar")</f>
        <v>ActionOnToolBar</v>
      </c>
      <c r="C893" t="str">
        <f>IFERROR(__xludf.DUMMYFUNCTION("""COMPUTED_VALUE"""),"1DUwxSUq_47EK60XmK3LOdCXa1fkWqWJE9bLuGS3ccv421")</f>
        <v>1DUwxSUq_47EK60XmK3LOdCXa1fkWqWJE9bLuGS3ccv421</v>
      </c>
    </row>
    <row r="894" ht="15.75" customHeight="1">
      <c r="A894" t="str">
        <f>IFERROR(__xludf.DUMMYFUNCTION("""COMPUTED_VALUE"""),"Rebalancer")</f>
        <v>Rebalancer</v>
      </c>
      <c r="B894" t="str">
        <f>IFERROR(__xludf.DUMMYFUNCTION("""COMPUTED_VALUE"""),"VerifyCustomGroupModel")</f>
        <v>VerifyCustomGroupModel</v>
      </c>
      <c r="C894" t="str">
        <f>IFERROR(__xludf.DUMMYFUNCTION("""COMPUTED_VALUE"""),"1DUwxSUq_47EK60XmK3LOdCXa1fkWqWJE9bLuGS3ccv422")</f>
        <v>1DUwxSUq_47EK60XmK3LOdCXa1fkWqWJE9bLuGS3ccv422</v>
      </c>
    </row>
    <row r="895" ht="15.75" customHeight="1">
      <c r="A895" t="str">
        <f>IFERROR(__xludf.DUMMYFUNCTION("""COMPUTED_VALUE"""),"Blotter")</f>
        <v>Blotter</v>
      </c>
      <c r="B895" t="str">
        <f>IFERROR(__xludf.DUMMYFUNCTION("""COMPUTED_VALUE"""),"VerifyFilterUiRC")</f>
        <v>VerifyFilterUiRC</v>
      </c>
      <c r="C895" t="str">
        <f>IFERROR(__xludf.DUMMYFUNCTION("""COMPUTED_VALUE"""),"1QQZEZqPXfPnxfNID2a3__xw8RnEAn77igg5Q32S3Sm0")</f>
        <v>1QQZEZqPXfPnxfNID2a3__xw8RnEAn77igg5Q32S3Sm0</v>
      </c>
    </row>
    <row r="896" ht="15.75" customHeight="1">
      <c r="A896" t="str">
        <f>IFERROR(__xludf.DUMMYFUNCTION("""COMPUTED_VALUE"""),"TradingTicket")</f>
        <v>TradingTicket</v>
      </c>
      <c r="B896" t="str">
        <f>IFERROR(__xludf.DUMMYFUNCTION("""COMPUTED_VALUE"""),"SymbolSuggestionVerify")</f>
        <v>SymbolSuggestionVerify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IFERROR(__xludf.DUMMYFUNCTION("""COMPUTED_VALUE"""),"UpdatePTTPref")</f>
        <v>UpdatePTTPref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IFERROR(__xludf.DUMMYFUNCTION("""COMPUTED_VALUE"""),"ActionOnPreferencesMain")</f>
        <v>ActionOnPreferencesMain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IFERROR(__xludf.DUMMYFUNCTION("""COMPUTED_VALUE"""),"VerifyUpdategrdAccountFactor")</f>
        <v>VerifyUpdategrdAccountFactor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IFERROR(__xludf.DUMMYFUNCTION("""COMPUTED_VALUE"""),"VerifyUpdategrdMFA")</f>
        <v>VerifyUpdategrdMFA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IFERROR(__xludf.DUMMYFUNCTION("""COMPUTED_VALUE"""),"SwitchTabMFA")</f>
        <v>SwitchTabMFA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IFERROR(__xludf.DUMMYFUNCTION("""COMPUTED_VALUE"""),"UpdateBlotterPref")</f>
        <v>UpdateBlotterPref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IFERROR(__xludf.DUMMYFUNCTION("""COMPUTED_VALUE"""),"UpdatePMPref")</f>
        <v>UpdatePMPref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IFERROR(__xludf.DUMMYFUNCTION("""COMPUTED_VALUE"""),"UpdateGenPref")</f>
        <v>UpdateGenPref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IFERROR(__xludf.DUMMYFUNCTION("""COMPUTED_VALUE"""),"VerifyUpdateAssetSide")</f>
        <v>VerifyUpdateAssetSide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IFERROR(__xludf.DUMMYFUNCTION("""COMPUTED_VALUE"""),"SwicthTabPref")</f>
        <v>SwicthTabPref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IFERROR(__xludf.DUMMYFUNCTION("""COMPUTED_VALUE"""),"TTDefaultSelection")</f>
        <v>TTDefaultSelection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IFERROR(__xludf.DUMMYFUNCTION("""COMPUTED_VALUE"""),"TTNumSelection")</f>
        <v>TTNumSelection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IFERROR(__xludf.DUMMYFUNCTION("""COMPUTED_VALUE"""),"TTConfirmationPopUps")</f>
        <v>TTConfirmationPopUps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IFERROR(__xludf.DUMMYFUNCTION("""COMPUTED_VALUE"""),"VerifyUpdateBrokerPref")</f>
        <v>VerifyUpdateBrokerPref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IFERROR(__xludf.DUMMYFUNCTION("""COMPUTED_VALUE"""),"TTGeneralPref")</f>
        <v>TTGeneralPref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IFERROR(__xludf.DUMMYFUNCTION("""COMPUTED_VALUE"""),"PreferencesMain")</f>
        <v>PreferencesMain</v>
      </c>
      <c r="B912" t="str">
        <f>IFERROR(__xludf.DUMMYFUNCTION("""COMPUTED_VALUE"""),"UpdateClosingPref")</f>
        <v>UpdateClosingPref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IFERROR(__xludf.DUMMYFUNCTION("""COMPUTED_VALUE"""),"Allocation")</f>
        <v>Allocation</v>
      </c>
      <c r="B913" t="str">
        <f>IFERROR(__xludf.DUMMYFUNCTION("""COMPUTED_VALUE"""),"VerifyEditAttRenaming")</f>
        <v>VerifyEditAttRenaming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IFERROR(__xludf.DUMMYFUNCTION("""COMPUTED_VALUE"""),"Rebalancer")</f>
        <v>Rebalancer</v>
      </c>
      <c r="B914" t="str">
        <f>IFERROR(__xludf.DUMMYFUNCTION("""COMPUTED_VALUE"""),"VerifyTradeList")</f>
        <v>VerifyTradeList</v>
      </c>
      <c r="C914" t="str">
        <f>IFERROR(__xludf.DUMMYFUNCTION("""COMPUTED_VALUE"""),"14aTeLjmUbS-nhaQwjtZAMGxdQ5DS6UsBjE5OTWN-LQU")</f>
        <v>14aTeLjmUbS-nhaQwjtZAMGxdQ5DS6UsBjE5OTWN-LQU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IFERROR(__xludf.DUMMYFUNCTION("""COMPUTED_VALUE"""),"TTMainControls")</f>
        <v>TTMainControls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IFERROR(__xludf.DUMMYFUNCTION("""COMPUTED_VALUE"""),"VerifySymStrip")</f>
        <v>VerifySymStrip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IFERROR(__xludf.DUMMYFUNCTION("""COMPUTED_VALUE"""),"TTBottomTab")</f>
        <v>TTBottomTab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IFERROR(__xludf.DUMMYFUNCTION("IF(C3="""","""",Transpose(IMPORTRANGE('_Settings'!$B$3,C3&amp;""!A4:A1000"")))"),"RestartServer")</f>
        <v>RestartServer</v>
      </c>
      <c r="C4" s="24" t="str">
        <f>IFERROR(__xludf.DUMMYFUNCTION("""COMPUTED_VALUE"""),"UpdateServerConfig")</f>
        <v>UpdateServerConfig</v>
      </c>
      <c r="D4" s="24" t="str">
        <f>IFERROR(__xludf.DUMMYFUNCTION("""COMPUTED_VALUE"""),"StartTradeServer")</f>
        <v>StartTradeServer</v>
      </c>
      <c r="E4" s="24" t="str">
        <f>IFERROR(__xludf.DUMMYFUNCTION("""COMPUTED_VALUE"""),"CloseTradeServer")</f>
        <v>CloseTradeServer</v>
      </c>
      <c r="F4" s="24" t="str">
        <f>IFERROR(__xludf.DUMMYFUNCTION("""COMPUTED_VALUE"""),"ConnectToSimAutoMan")</f>
        <v>ConnectToSimAutoMan</v>
      </c>
      <c r="G4" s="24" t="str">
        <f>IFERROR(__xludf.DUMMYFUNCTION("""COMPUTED_VALUE"""),"BrokerConnectionThroughTUI")</f>
        <v>BrokerConnectionThroughTUI</v>
      </c>
      <c r="H4" s="24" t="str">
        <f>IFERROR(__xludf.DUMMYFUNCTION("""COMPUTED_VALUE"""),"RestartServerOnly")</f>
        <v>RestartServerOnly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IFERROR(__xludf.DUMMYFUNCTION("""COMPUTED_VALUE"""),"AppSetting_Key")</f>
        <v>AppSetting_Key</v>
      </c>
      <c r="C5" s="27" t="str">
        <f>IFERROR(__xludf.DUMMYFUNCTION("""COMPUTED_VALUE"""),"AppSetting_Value")</f>
        <v>AppSetting_Value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16</v>
      </c>
      <c r="C6" s="12" t="b">
        <v>0</v>
      </c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2" t="s">
        <v>17</v>
      </c>
      <c r="C7" s="12" t="b">
        <v>1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UpdateServerConfig!$4:$4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IFERROR(__xludf.DUMMYFUNCTION("IF(C3="""","""",Transpose(IMPORTRANGE('_Settings'!$B$3,C3&amp;""!A4:A1000"")))"),"Import")</f>
        <v>Import</v>
      </c>
      <c r="C4" s="24" t="str">
        <f>IFERROR(__xludf.DUMMYFUNCTION("""COMPUTED_VALUE"""),"SelectTransactionImportType")</f>
        <v>SelectTransactionImportType</v>
      </c>
      <c r="D4" s="24" t="str">
        <f>IFERROR(__xludf.DUMMYFUNCTION("""COMPUTED_VALUE"""),"SelectAllOnImport")</f>
        <v>SelectAllOnImport</v>
      </c>
      <c r="E4" s="24" t="str">
        <f>IFERROR(__xludf.DUMMYFUNCTION("""COMPUTED_VALUE"""),"SelectMarkPriceImportType")</f>
        <v>SelectMarkPriceImportType</v>
      </c>
      <c r="F4" s="24" t="str">
        <f>IFERROR(__xludf.DUMMYFUNCTION("""COMPUTED_VALUE"""),"SelectForexImportType")</f>
        <v>SelectForexImportType</v>
      </c>
      <c r="G4" s="24" t="str">
        <f>IFERROR(__xludf.DUMMYFUNCTION("""COMPUTED_VALUE"""),"SelectDoubleEntryCashImportType")</f>
        <v>SelectDoubleEntryCashImportType</v>
      </c>
      <c r="H4" s="24" t="str">
        <f>IFERROR(__xludf.DUMMYFUNCTION("""COMPUTED_VALUE"""),"SelectActivitiesImportType")</f>
        <v>SelectActivitiesImportType</v>
      </c>
      <c r="I4" s="24" t="str">
        <f>IFERROR(__xludf.DUMMYFUNCTION("""COMPUTED_VALUE"""),"ApplyFilterOnImport")</f>
        <v>ApplyFilterOnImport</v>
      </c>
      <c r="J4" s="24" t="str">
        <f>IFERROR(__xludf.DUMMYFUNCTION("""COMPUTED_VALUE"""),"SelectTradeOnImport")</f>
        <v>SelectTradeOnImport</v>
      </c>
      <c r="K4" s="24" t="str">
        <f>IFERROR(__xludf.DUMMYFUNCTION("""COMPUTED_VALUE"""),"VerifyImportNavLockPopup")</f>
        <v>VerifyImportNavLockPopup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IFERROR(__xludf.DUMMYFUNCTION("""COMPUTED_VALUE"""),"Select Date")</f>
        <v>Select Date</v>
      </c>
      <c r="D5" s="27" t="str">
        <f>IFERROR(__xludf.DUMMYFUNCTION("""COMPUTED_VALUE"""),"Date")</f>
        <v>Date</v>
      </c>
      <c r="E5" s="27" t="str">
        <f>IFERROR(__xludf.DUMMYFUNCTION("""COMPUTED_VALUE"""),"Select File")</f>
        <v>Select File</v>
      </c>
      <c r="F5" s="28" t="str">
        <f>IFERROR(__xludf.DUMMYFUNCTION("""COMPUTED_VALUE"""),"Upload ThirdParty")</f>
        <v>Upload ThirdParty</v>
      </c>
      <c r="G5" s="27" t="str">
        <f>IFERROR(__xludf.DUMMYFUNCTION("""COMPUTED_VALUE"""),"Import Type")</f>
        <v>Import Type</v>
      </c>
      <c r="H5" s="27" t="str">
        <f>IFERROR(__xludf.DUMMYFUNCTION("""COMPUTED_VALUE"""),"Import Type Format Name")</f>
        <v>Import Type Format 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33" t="b">
        <v>1</v>
      </c>
      <c r="D6" s="34">
        <v>45919.0</v>
      </c>
      <c r="E6" s="32" t="s">
        <v>19</v>
      </c>
      <c r="F6" s="35" t="s">
        <v>20</v>
      </c>
      <c r="G6" s="35" t="s">
        <v>21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Import!$4:$4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IFERROR(__xludf.DUMMYFUNCTION("IF(C3="""","""",Transpose(IMPORTRANGE('_Settings'!$B$3,C3&amp;""!A4:A1000"")))"),"Import")</f>
        <v>Import</v>
      </c>
      <c r="C4" s="24" t="str">
        <f>IFERROR(__xludf.DUMMYFUNCTION("""COMPUTED_VALUE"""),"SelectTransactionImportType")</f>
        <v>SelectTransactionImportType</v>
      </c>
      <c r="D4" s="24" t="str">
        <f>IFERROR(__xludf.DUMMYFUNCTION("""COMPUTED_VALUE"""),"SelectAllOnImport")</f>
        <v>SelectAllOnImport</v>
      </c>
      <c r="E4" s="24" t="str">
        <f>IFERROR(__xludf.DUMMYFUNCTION("""COMPUTED_VALUE"""),"SelectMarkPriceImportType")</f>
        <v>SelectMarkPriceImportType</v>
      </c>
      <c r="F4" s="24" t="str">
        <f>IFERROR(__xludf.DUMMYFUNCTION("""COMPUTED_VALUE"""),"SelectForexImportType")</f>
        <v>SelectForexImportType</v>
      </c>
      <c r="G4" s="24" t="str">
        <f>IFERROR(__xludf.DUMMYFUNCTION("""COMPUTED_VALUE"""),"SelectDoubleEntryCashImportType")</f>
        <v>SelectDoubleEntryCashImportType</v>
      </c>
      <c r="H4" s="24" t="str">
        <f>IFERROR(__xludf.DUMMYFUNCTION("""COMPUTED_VALUE"""),"SelectActivitiesImportType")</f>
        <v>SelectActivitiesImportType</v>
      </c>
      <c r="I4" s="24" t="str">
        <f>IFERROR(__xludf.DUMMYFUNCTION("""COMPUTED_VALUE"""),"ApplyFilterOnImport")</f>
        <v>ApplyFilterOnImport</v>
      </c>
      <c r="J4" s="24" t="str">
        <f>IFERROR(__xludf.DUMMYFUNCTION("""COMPUTED_VALUE"""),"SelectTradeOnImport")</f>
        <v>SelectTradeOnImport</v>
      </c>
      <c r="K4" s="24" t="str">
        <f>IFERROR(__xludf.DUMMYFUNCTION("""COMPUTED_VALUE"""),"VerifyImportNavLockPopup")</f>
        <v>VerifyImportNavLockPopup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IFERROR(__xludf.DUMMYFUNCTION("""COMPUTED_VALUE"""),"Import Type")</f>
        <v>Import Type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6" t="s">
        <v>21</v>
      </c>
      <c r="C6" s="8"/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SelectAllOnImport!$4:$4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7" t="s">
        <v>25</v>
      </c>
      <c r="C6" s="8"/>
      <c r="D6" s="38">
        <v>0.0</v>
      </c>
      <c r="E6" s="38">
        <v>100.0</v>
      </c>
      <c r="F6" s="37" t="s">
        <v>26</v>
      </c>
      <c r="G6" s="37" t="s">
        <v>27</v>
      </c>
      <c r="H6" s="38">
        <v>4.0</v>
      </c>
      <c r="I6" s="38">
        <v>5.0</v>
      </c>
      <c r="J6" s="38">
        <v>80.0</v>
      </c>
      <c r="K6" s="38">
        <v>0.0</v>
      </c>
      <c r="L6" s="38">
        <v>2.0</v>
      </c>
      <c r="M6" s="37" t="s">
        <v>28</v>
      </c>
      <c r="N6" s="8"/>
      <c r="O6" s="8"/>
      <c r="T6" s="38">
        <v>10.0</v>
      </c>
      <c r="Z6" s="37" t="s">
        <v>29</v>
      </c>
      <c r="AE6" s="38">
        <v>100.0</v>
      </c>
      <c r="AH6" s="37" t="s">
        <v>30</v>
      </c>
      <c r="AT6" s="38">
        <v>0.0</v>
      </c>
      <c r="AU6" s="38">
        <v>231.0</v>
      </c>
      <c r="BE6" s="38">
        <v>0.0</v>
      </c>
      <c r="BF6" s="38">
        <v>206.0</v>
      </c>
      <c r="BJ6" s="38">
        <v>100.0</v>
      </c>
      <c r="BK6" s="38">
        <v>0.0</v>
      </c>
      <c r="BL6" s="39"/>
      <c r="BM6" s="37" t="s">
        <v>29</v>
      </c>
      <c r="BO6" s="37" t="s">
        <v>31</v>
      </c>
      <c r="BR6" s="38">
        <v>1.0</v>
      </c>
      <c r="BS6" s="37" t="s">
        <v>32</v>
      </c>
      <c r="BT6" s="37" t="s">
        <v>28</v>
      </c>
      <c r="CX6" s="37" t="s">
        <v>33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6"/>
      <c r="B6" s="40" t="s">
        <v>28</v>
      </c>
      <c r="C6" s="41">
        <v>100.0</v>
      </c>
      <c r="D6" s="36"/>
      <c r="E6" s="32" t="s">
        <v>25</v>
      </c>
      <c r="F6" s="42" t="s">
        <v>31</v>
      </c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Unallocate!$4:$4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IFERROR(__xludf.DUMMYFUNCTION("""COMPUTED_VALUE"""),"Accrual Basis")</f>
        <v>Accrual Basis</v>
      </c>
      <c r="C5" s="27" t="str">
        <f>IFERROR(__xludf.DUMMYFUNCTION("""COMPUTED_VALUE"""),"Accrued Interest")</f>
        <v>Accrued Interest</v>
      </c>
      <c r="D5" s="27" t="str">
        <f>IFERROR(__xludf.DUMMYFUNCTION("""COMPUTED_VALUE"""),"Allocated Qty")</f>
        <v>Allocated Qty</v>
      </c>
      <c r="E5" s="27" t="str">
        <f>IFERROR(__xludf.DUMMYFUNCTION("""COMPUTED_VALUE"""),"Allocation Scheme Name")</f>
        <v>Allocation Scheme Name</v>
      </c>
      <c r="F5" s="28" t="str">
        <f>IFERROR(__xludf.DUMMYFUNCTION("""COMPUTED_VALUE"""),"Asset Category")</f>
        <v>Asset Category</v>
      </c>
      <c r="G5" s="27" t="str">
        <f>IFERROR(__xludf.DUMMYFUNCTION("""COMPUTED_VALUE"""),"AUEC Fee1")</f>
        <v>AUEC Fee1</v>
      </c>
      <c r="H5" s="27" t="str">
        <f>IFERROR(__xludf.DUMMYFUNCTION("""COMPUTED_VALUE"""),"AUEC Fee2")</f>
        <v>AUEC Fee2</v>
      </c>
      <c r="I5" s="27" t="str">
        <f>IFERROR(__xludf.DUMMYFUNCTION("""COMPUTED_VALUE"""),"AUECID")</f>
        <v>AUECID</v>
      </c>
      <c r="J5" s="27" t="str">
        <f>IFERROR(__xludf.DUMMYFUNCTION("""COMPUTED_VALUE"""),"Avg Price(Base)")</f>
        <v>Avg Price(Base)</v>
      </c>
      <c r="K5" s="27" t="str">
        <f>IFERROR(__xludf.DUMMYFUNCTION("""COMPUTED_VALUE"""),"Avg Price(Local)")</f>
        <v>Avg Price(Local)</v>
      </c>
      <c r="L5" s="27" t="str">
        <f>IFERROR(__xludf.DUMMYFUNCTION("""COMPUTED_VALUE"""),"Bloomberg")</f>
        <v>Bloomberg</v>
      </c>
      <c r="M5" s="27" t="str">
        <f>IFERROR(__xludf.DUMMYFUNCTION("""COMPUTED_VALUE"""),"Bond Type")</f>
        <v>Bond Type</v>
      </c>
      <c r="N5" s="27" t="str">
        <f>IFERROR(__xludf.DUMMYFUNCTION("""COMPUTED_VALUE"""),"Broker")</f>
        <v>Broker</v>
      </c>
      <c r="O5" s="27" t="str">
        <f>IFERROR(__xludf.DUMMYFUNCTION("""COMPUTED_VALUE"""),"Change Comment")</f>
        <v>Change Comment</v>
      </c>
      <c r="P5" s="27" t="str">
        <f>IFERROR(__xludf.DUMMYFUNCTION("""COMPUTED_VALUE"""),"Change Type")</f>
        <v>Change Type</v>
      </c>
      <c r="Q5" s="27" t="str">
        <f>IFERROR(__xludf.DUMMYFUNCTION("""COMPUTED_VALUE"""),"Clearing Broker Fee")</f>
        <v>Clearing Broker Fee</v>
      </c>
      <c r="R5" s="27" t="str">
        <f>IFERROR(__xludf.DUMMYFUNCTION("""COMPUTED_VALUE"""),"Closing Method")</f>
        <v>Closing Method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IFERROR(__xludf.DUMMYFUNCTION("""COMPUTED_VALUE"""),"Execution Time")</f>
        <v>Execution Time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IFERROR(__xludf.DUMMYFUNCTION("""COMPUTED_VALUE"""),"FX Rate")</f>
        <v>FX Rate</v>
      </c>
      <c r="AI5" s="29" t="str">
        <f>IFERROR(__xludf.DUMMYFUNCTION("""COMPUTED_VALUE"""),"Group Status")</f>
        <v>Group Status</v>
      </c>
      <c r="AJ5" s="29" t="str">
        <f>IFERROR(__xludf.DUMMYFUNCTION("""COMPUTED_VALUE"""),"GroupID")</f>
        <v>GroupID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IFERROR(__xludf.DUMMYFUNCTION("""COMPUTED_VALUE"""),"Symbol")</f>
        <v>Symbol</v>
      </c>
      <c r="BT5" s="29" t="str">
        <f>IFERROR(__xludf.DUMMYFUNCTION("""COMPUTED_VALUE"""),"Tax On Commissions")</f>
        <v>Tax On Commissions</v>
      </c>
      <c r="BU5" s="29" t="str">
        <f>IFERROR(__xludf.DUMMYFUNCTION("""COMPUTED_VALUE"""),"Total Commission")</f>
        <v>Total Commission</v>
      </c>
      <c r="BV5" s="29" t="str">
        <f>IFERROR(__xludf.DUMMYFUNCTION("""COMPUTED_VALUE"""),"Total Commission And Fee")</f>
        <v>Total Commission And Fee</v>
      </c>
      <c r="BW5" s="29" t="str">
        <f>IFERROR(__xludf.DUMMYFUNCTION("""COMPUTED_VALUE"""),"Total Commission Per Share")</f>
        <v>Total Commission Per Share</v>
      </c>
      <c r="BX5" s="29" t="str">
        <f>IFERROR(__xludf.DUMMYFUNCTION("""COMPUTED_VALUE"""),"Trade Attribute 1")</f>
        <v>Trade Attribute 1</v>
      </c>
      <c r="BY5" s="29" t="str">
        <f>IFERROR(__xludf.DUMMYFUNCTION("""COMPUTED_VALUE"""),"Trade Attribute 2")</f>
        <v>Trade Attribute 2</v>
      </c>
      <c r="BZ5" s="29" t="str">
        <f>IFERROR(__xludf.DUMMYFUNCTION("""COMPUTED_VALUE"""),"Trade Attribute 3")</f>
        <v>Trade Attribute 3</v>
      </c>
      <c r="CA5" s="29" t="str">
        <f>IFERROR(__xludf.DUMMYFUNCTION("""COMPUTED_VALUE"""),"Trade Attribute 4")</f>
        <v>Trade Attribute 4</v>
      </c>
      <c r="CB5" s="29" t="str">
        <f>IFERROR(__xludf.DUMMYFUNCTION("""COMPUTED_VALUE"""),"Trade Attribute 5")</f>
        <v>Trade Attribute 5</v>
      </c>
      <c r="CC5" s="29" t="str">
        <f>IFERROR(__xludf.DUMMYFUNCTION("""COMPUTED_VALUE"""),"Trade Attribute 6")</f>
        <v>Trade Attribute 6</v>
      </c>
      <c r="CD5" s="29" t="str">
        <f>IFERROR(__xludf.DUMMYFUNCTION("""COMPUTED_VALUE"""),"Trade Date")</f>
        <v>Trade Date</v>
      </c>
      <c r="CE5" s="29" t="str">
        <f>IFERROR(__xludf.DUMMYFUNCTION("""COMPUTED_VALUE"""),"Trading Account")</f>
        <v>Trading Account</v>
      </c>
      <c r="CF5" s="29" t="str">
        <f>IFERROR(__xludf.DUMMYFUNCTION("""COMPUTED_VALUE"""),"Transaction Levy")</f>
        <v>Transaction Levy</v>
      </c>
      <c r="CG5" s="29" t="str">
        <f>IFERROR(__xludf.DUMMYFUNCTION("""COMPUTED_VALUE"""),"Transaction Source")</f>
        <v>Transaction Source</v>
      </c>
      <c r="CH5" s="29" t="str">
        <f>IFERROR(__xludf.DUMMYFUNCTION("""COMPUTED_VALUE"""),"Transaction Type")</f>
        <v>Transaction Type</v>
      </c>
      <c r="CI5" s="29" t="str">
        <f>IFERROR(__xludf.DUMMYFUNCTION("""COMPUTED_VALUE"""),"UnAllocatedQty")</f>
        <v>UnAllocatedQty</v>
      </c>
      <c r="CJ5" s="29" t="str">
        <f>IFERROR(__xludf.DUMMYFUNCTION("""COMPUTED_VALUE"""),"Underlying")</f>
        <v>Underlying</v>
      </c>
      <c r="CK5" s="29" t="str">
        <f>IFERROR(__xludf.DUMMYFUNCTION("""COMPUTED_VALUE"""),"Underlying Delta")</f>
        <v>Underlying Delta</v>
      </c>
      <c r="CL5" s="29" t="str">
        <f>IFERROR(__xludf.DUMMYFUNCTION("""COMPUTED_VALUE"""),"Underlying Symbol")</f>
        <v>Underlying Symbol</v>
      </c>
      <c r="CM5" s="29" t="str">
        <f>IFERROR(__xludf.DUMMYFUNCTION("""COMPUTED_VALUE"""),"User")</f>
        <v>User</v>
      </c>
      <c r="CN5" s="29" t="str">
        <f>IFERROR(__xludf.DUMMYFUNCTION("""COMPUTED_VALUE"""),"Venue")</f>
        <v>Venue</v>
      </c>
      <c r="CO5" s="29" t="str">
        <f>IFERROR(__xludf.DUMMYFUNCTION("""COMPUTED_VALUE"""),"Closing Date")</f>
        <v>Closing Date</v>
      </c>
      <c r="CP5" s="29" t="str">
        <f>IFERROR(__xludf.DUMMYFUNCTION("""COMPUTED_VALUE"""),"Expiration Date")</f>
        <v>Expiration Date</v>
      </c>
      <c r="CQ5" s="29" t="str">
        <f>IFERROR(__xludf.DUMMYFUNCTION("""COMPUTED_VALUE"""),"Master Fund")</f>
        <v>Master Fund</v>
      </c>
      <c r="CR5" s="29" t="str">
        <f>IFERROR(__xludf.DUMMYFUNCTION("""COMPUTED_VALUE"""),"Borrow Broker")</f>
        <v>Borrow Broker</v>
      </c>
      <c r="CS5" s="29" t="str">
        <f>IFERROR(__xludf.DUMMYFUNCTION("""COMPUTED_VALUE"""),"MandatoryColumn")</f>
        <v>MandatoryColumn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38">
        <v>11.8520547945205</v>
      </c>
      <c r="D6" s="12"/>
      <c r="E6" s="31"/>
      <c r="F6" s="37" t="s">
        <v>27</v>
      </c>
      <c r="G6" s="8"/>
      <c r="H6" s="8"/>
      <c r="I6" s="8"/>
      <c r="J6" s="8"/>
      <c r="K6" s="8"/>
      <c r="L6" s="8"/>
      <c r="M6" s="8"/>
      <c r="N6" s="8"/>
      <c r="O6" s="8"/>
      <c r="T6" s="38">
        <v>10.0</v>
      </c>
      <c r="Z6" s="37" t="s">
        <v>29</v>
      </c>
      <c r="AE6" s="38">
        <v>100.0</v>
      </c>
      <c r="AG6" s="37" t="s">
        <v>30</v>
      </c>
      <c r="BE6" s="38">
        <v>0.0</v>
      </c>
      <c r="BF6" s="38">
        <v>206.0</v>
      </c>
      <c r="BJ6" s="38">
        <v>100.0</v>
      </c>
      <c r="BM6" s="37" t="s">
        <v>29</v>
      </c>
      <c r="BO6" s="37" t="s">
        <v>31</v>
      </c>
      <c r="BR6" s="38">
        <v>1.0</v>
      </c>
      <c r="BS6" s="37" t="s">
        <v>28</v>
      </c>
      <c r="BV6" s="38">
        <v>25.0</v>
      </c>
      <c r="CI6" s="38">
        <v>100.0</v>
      </c>
      <c r="CM6" s="37" t="s">
        <v>36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CheckUnallocatedGroups!$4:$4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IFERROR(__xludf.DUMMYFUNCTION("""COMPUTED_VALUE"""),"Trade Date")</f>
        <v>Trade Date</v>
      </c>
      <c r="G5" s="27" t="str">
        <f>IFERROR(__xludf.DUMMYFUNCTION("""COMPUTED_VALUE"""),"Net Amount( Local)")</f>
        <v>Net Amount( Local)</v>
      </c>
      <c r="H5" s="27" t="str">
        <f>IFERROR(__xludf.DUMMYFUNCTION("""COMPUTED_VALUE"""),"Net Amount( Base)")</f>
        <v>Net Amount( Base)</v>
      </c>
      <c r="I5" s="27" t="str">
        <f>IFERROR(__xludf.DUMMYFUNCTION("""COMPUTED_VALUE"""),"Principal Amount( Local)")</f>
        <v>Principal Amount( Local)</v>
      </c>
      <c r="J5" s="27" t="str">
        <f>IFERROR(__xludf.DUMMYFUNCTION("""COMPUTED_VALUE"""),"Transaction Type")</f>
        <v>Transaction Type</v>
      </c>
      <c r="K5" s="27" t="str">
        <f>IFERROR(__xludf.DUMMYFUNCTION("""COMPUTED_VALUE"""),"Principal Amount( Base)")</f>
        <v>Principal Amount( Base)</v>
      </c>
      <c r="L5" s="27" t="str">
        <f>IFERROR(__xludf.DUMMYFUNCTION("""COMPUTED_VALUE"""),"Execution Time")</f>
        <v>Execution Time</v>
      </c>
      <c r="M5" s="27" t="str">
        <f>IFERROR(__xludf.DUMMYFUNCTION("""COMPUTED_VALUE"""),"Trading Account")</f>
        <v>Trading Account</v>
      </c>
      <c r="N5" s="27" t="str">
        <f>IFERROR(__xludf.DUMMYFUNCTION("""COMPUTED_VALUE"""),"Avg Price(Local)")</f>
        <v>Avg Price(Local)</v>
      </c>
      <c r="O5" s="27" t="str">
        <f>IFERROR(__xludf.DUMMYFUNCTION("""COMPUTED_VALUE"""),"Avg Price(Base)")</f>
        <v>Avg Price(Base)</v>
      </c>
      <c r="P5" s="27" t="str">
        <f>IFERROR(__xludf.DUMMYFUNCTION("""COMPUTED_VALUE"""),"Broker")</f>
        <v>Broker</v>
      </c>
      <c r="Q5" s="27" t="str">
        <f>IFERROR(__xludf.DUMMYFUNCTION("""COMPUTED_VALUE"""),"FX Rate")</f>
        <v>FX Rate</v>
      </c>
      <c r="R5" s="27" t="str">
        <f>IFERROR(__xludf.DUMMYFUNCTION("""COMPUTED_VALUE"""),"Venue")</f>
        <v>Venue</v>
      </c>
      <c r="S5" s="27" t="str">
        <f>IFERROR(__xludf.DUMMYFUNCTION("""COMPUTED_VALUE"""),"FX Conversion Operator")</f>
        <v>FX Conversion Operator</v>
      </c>
      <c r="T5" s="29" t="str">
        <f>IFERROR(__xludf.DUMMYFUNCTION("""COMPUTED_VALUE"""),"User")</f>
        <v>User</v>
      </c>
      <c r="U5" s="29" t="str">
        <f>IFERROR(__xludf.DUMMYFUNCTION("""COMPUTED_VALUE"""),"Asset Category")</f>
        <v>Asset Category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IFERROR(__xludf.DUMMYFUNCTION("""COMPUTED_VALUE"""),"Commission Per Share")</f>
        <v>Commission Per Share</v>
      </c>
      <c r="X5" s="29" t="str">
        <f>IFERROR(__xludf.DUMMYFUNCTION("""COMPUTED_VALUE"""),"Soft Commission Per Share")</f>
        <v>Soft Commission Per Share</v>
      </c>
      <c r="Y5" s="29" t="str">
        <f>IFERROR(__xludf.DUMMYFUNCTION("""COMPUTED_VALUE"""),"Total Commission Per Share")</f>
        <v>Total Commission Per Share</v>
      </c>
      <c r="Z5" s="29" t="str">
        <f>IFERROR(__xludf.DUMMYFUNCTION("""COMPUTED_VALUE"""),"Change Type")</f>
        <v>Change Type</v>
      </c>
      <c r="AA5" s="29" t="str">
        <f>IFERROR(__xludf.DUMMYFUNCTION("""COMPUTED_VALUE"""),"Trade Attribute 1")</f>
        <v>Trade Attribute 1</v>
      </c>
      <c r="AB5" s="29" t="str">
        <f>IFERROR(__xludf.DUMMYFUNCTION("""COMPUTED_VALUE"""),"Trade Attribute 2")</f>
        <v>Trade Attribute 2</v>
      </c>
      <c r="AC5" s="29" t="str">
        <f>IFERROR(__xludf.DUMMYFUNCTION("""COMPUTED_VALUE"""),"Trade Attribute 3")</f>
        <v>Trade Attribute 3</v>
      </c>
      <c r="AD5" s="29" t="str">
        <f>IFERROR(__xludf.DUMMYFUNCTION("""COMPUTED_VALUE"""),"Trade Attribute 4")</f>
        <v>Trade Attribute 4</v>
      </c>
      <c r="AE5" s="29" t="str">
        <f>IFERROR(__xludf.DUMMYFUNCTION("""COMPUTED_VALUE"""),"Trade Attribute 5")</f>
        <v>Trade Attribute 5</v>
      </c>
      <c r="AF5" s="29" t="str">
        <f>IFERROR(__xludf.DUMMYFUNCTION("""COMPUTED_VALUE"""),"Trade Attribute 6")</f>
        <v>Trade Attribute 6</v>
      </c>
      <c r="AG5" s="29" t="str">
        <f>IFERROR(__xludf.DUMMYFUNCTION("""COMPUTED_VALUE"""),"IsPreAllocated")</f>
        <v>IsPreAllocated</v>
      </c>
      <c r="AH5" s="29" t="str">
        <f>IFERROR(__xludf.DUMMYFUNCTION("""COMPUTED_VALUE"""),"IsManual Group")</f>
        <v>IsManual Group</v>
      </c>
      <c r="AI5" s="29" t="str">
        <f>IFERROR(__xludf.DUMMYFUNCTION("""COMPUTED_VALUE"""),"IsAnotherTaxlotAttributesUpdated")</f>
        <v>IsAnotherTaxlotAttributesUpdated</v>
      </c>
      <c r="AJ5" s="29" t="str">
        <f>IFERROR(__xludf.DUMMYFUNCTION("""COMPUTED_VALUE"""),"ISNDF")</f>
        <v>ISNDF</v>
      </c>
      <c r="AK5" s="29" t="str">
        <f>IFERROR(__xludf.DUMMYFUNCTION("""COMPUTED_VALUE"""),"M2MProfitLoss")</f>
        <v>M2MProfitLoss</v>
      </c>
      <c r="AL5" s="29" t="str">
        <f>IFERROR(__xludf.DUMMYFUNCTION("""COMPUTED_VALUE"""),"Put Or Call")</f>
        <v>Put Or Call</v>
      </c>
      <c r="AM5" s="29" t="str">
        <f>IFERROR(__xludf.DUMMYFUNCTION("""COMPUTED_VALUE"""),"GroupID")</f>
        <v>GroupID</v>
      </c>
      <c r="AN5" s="29" t="str">
        <f>IFERROR(__xludf.DUMMYFUNCTION("""COMPUTED_VALUE"""),"UnAllocatedQty")</f>
        <v>UnAllocatedQty</v>
      </c>
      <c r="AO5" s="29" t="str">
        <f>IFERROR(__xludf.DUMMYFUNCTION("""COMPUTED_VALUE"""),"Allocated Qty")</f>
        <v>Allocated Qty</v>
      </c>
      <c r="AP5" s="29" t="str">
        <f>IFERROR(__xludf.DUMMYFUNCTION("""COMPUTED_VALUE"""),"Commission")</f>
        <v>Commission</v>
      </c>
      <c r="AQ5" s="29" t="str">
        <f>IFERROR(__xludf.DUMMYFUNCTION("""COMPUTED_VALUE"""),"Soft Commission")</f>
        <v>Soft Commission</v>
      </c>
      <c r="AR5" s="29" t="str">
        <f>IFERROR(__xludf.DUMMYFUNCTION("""COMPUTED_VALUE"""),"Other Broker Fees")</f>
        <v>Other Broker Fees</v>
      </c>
      <c r="AS5" s="29" t="str">
        <f>IFERROR(__xludf.DUMMYFUNCTION("""COMPUTED_VALUE"""),"Clearing Broker Fee")</f>
        <v>Clearing Broker Fee</v>
      </c>
      <c r="AT5" s="29" t="str">
        <f>IFERROR(__xludf.DUMMYFUNCTION("""COMPUTED_VALUE"""),"Total Commission And Fee")</f>
        <v>Total Commission And Fee</v>
      </c>
      <c r="AU5" s="29" t="str">
        <f>IFERROR(__xludf.DUMMYFUNCTION("""COMPUTED_VALUE"""),"Transaction Levy")</f>
        <v>Transaction Levy</v>
      </c>
      <c r="AV5" s="29" t="str">
        <f>IFERROR(__xludf.DUMMYFUNCTION("""COMPUTED_VALUE"""),"Stamp Duty")</f>
        <v>Stamp Duty</v>
      </c>
      <c r="AW5" s="29" t="str">
        <f>IFERROR(__xludf.DUMMYFUNCTION("""COMPUTED_VALUE"""),"AUEC Fee1")</f>
        <v>AUEC Fee1</v>
      </c>
      <c r="AX5" s="29" t="str">
        <f>IFERROR(__xludf.DUMMYFUNCTION("""COMPUTED_VALUE"""),"Tax On Commissions")</f>
        <v>Tax On Commissions</v>
      </c>
      <c r="AY5" s="29" t="str">
        <f>IFERROR(__xludf.DUMMYFUNCTION("""COMPUTED_VALUE"""),"AUEC Fee2")</f>
        <v>AUEC Fee2</v>
      </c>
      <c r="AZ5" s="29" t="str">
        <f>IFERROR(__xludf.DUMMYFUNCTION("""COMPUTED_VALUE"""),"SEC Fee")</f>
        <v>SEC Fee</v>
      </c>
      <c r="BA5" s="29" t="str">
        <f>IFERROR(__xludf.DUMMYFUNCTION("""COMPUTED_VALUE"""),"OCC Fee")</f>
        <v>OCC Fee</v>
      </c>
      <c r="BB5" s="29" t="str">
        <f>IFERROR(__xludf.DUMMYFUNCTION("""COMPUTED_VALUE"""),"ORF Fee")</f>
        <v>ORF Fee</v>
      </c>
      <c r="BC5" s="29" t="str">
        <f>IFERROR(__xludf.DUMMYFUNCTION("""COMPUTED_VALUE"""),"Option Premium Adjustment")</f>
        <v>Option Premium Adjustment</v>
      </c>
      <c r="BD5" s="29" t="str">
        <f>IFERROR(__xludf.DUMMYFUNCTION("""COMPUTED_VALUE"""),"Prana Msg Type")</f>
        <v>Prana Msg Type</v>
      </c>
      <c r="BE5" s="29" t="str">
        <f>IFERROR(__xludf.DUMMYFUNCTION("""COMPUTED_VALUE"""),"Total Commission")</f>
        <v>Total Commission</v>
      </c>
      <c r="BF5" s="29" t="str">
        <f>IFERROR(__xludf.DUMMYFUNCTION("""COMPUTED_VALUE"""),"Closing Status")</f>
        <v>Closing Status</v>
      </c>
      <c r="BG5" s="29" t="str">
        <f>IFERROR(__xludf.DUMMYFUNCTION("""COMPUTED_VALUE"""),"Closing Method")</f>
        <v>Closing Method</v>
      </c>
      <c r="BH5" s="29" t="str">
        <f>IFERROR(__xludf.DUMMYFUNCTION("""COMPUTED_VALUE"""),"Group Status")</f>
        <v>Group Status</v>
      </c>
      <c r="BI5" s="29" t="str">
        <f>IFERROR(__xludf.DUMMYFUNCTION("""COMPUTED_VALUE"""),"Allocation Scheme Name")</f>
        <v>Allocation Scheme Name</v>
      </c>
      <c r="BJ5" s="29" t="str">
        <f>IFERROR(__xludf.DUMMYFUNCTION("""COMPUTED_VALUE"""),"Change Comment")</f>
        <v>Change Comment</v>
      </c>
      <c r="BK5" s="29" t="str">
        <f>IFERROR(__xludf.DUMMYFUNCTION("""COMPUTED_VALUE"""),"Order Type")</f>
        <v>Order Type</v>
      </c>
      <c r="BL5" s="29" t="str">
        <f>IFERROR(__xludf.DUMMYFUNCTION("""COMPUTED_VALUE"""),"Underlying")</f>
        <v>Underlying</v>
      </c>
      <c r="BM5" s="29" t="str">
        <f>IFERROR(__xludf.DUMMYFUNCTION("""COMPUTED_VALUE"""),"Exchange")</f>
        <v>Exchange</v>
      </c>
      <c r="BN5" s="29" t="str">
        <f>IFERROR(__xludf.DUMMYFUNCTION("""COMPUTED_VALUE"""),"Currency")</f>
        <v>Currency</v>
      </c>
      <c r="BO5" s="29" t="str">
        <f>IFERROR(__xludf.DUMMYFUNCTION("""COMPUTED_VALUE"""),"AUECID")</f>
        <v>AUECID</v>
      </c>
      <c r="BP5" s="29" t="str">
        <f>IFERROR(__xludf.DUMMYFUNCTION("""COMPUTED_VALUE"""),"Cum Qty For Sub Order")</f>
        <v>Cum Qty For Sub Order</v>
      </c>
      <c r="BQ5" s="29" t="str">
        <f>IFERROR(__xludf.DUMMYFUNCTION("""COMPUTED_VALUE"""),"Contract Multiplier")</f>
        <v>Contract Multiplier</v>
      </c>
      <c r="BR5" s="29" t="str">
        <f>IFERROR(__xludf.DUMMYFUNCTION("""COMPUTED_VALUE"""),"Company")</f>
        <v>Company</v>
      </c>
      <c r="BS5" s="29" t="str">
        <f>IFERROR(__xludf.DUMMYFUNCTION("""COMPUTED_VALUE"""),"Nirvana Process Date")</f>
        <v>Nirvana Process Date</v>
      </c>
      <c r="BT5" s="29" t="str">
        <f>IFERROR(__xludf.DUMMYFUNCTION("""COMPUTED_VALUE"""),"Process Date")</f>
        <v>Process Date</v>
      </c>
      <c r="BU5" s="29" t="str">
        <f>IFERROR(__xludf.DUMMYFUNCTION("""COMPUTED_VALUE"""),"Original Purchase Date")</f>
        <v>Original Purchase Date</v>
      </c>
      <c r="BV5" s="29" t="str">
        <f>IFERROR(__xludf.DUMMYFUNCTION("""COMPUTED_VALUE"""),"Closing Date")</f>
        <v>Closing Date</v>
      </c>
      <c r="BW5" s="29" t="str">
        <f>IFERROR(__xludf.DUMMYFUNCTION("""COMPUTED_VALUE"""),"Settlement Date")</f>
        <v>Settlement Date</v>
      </c>
      <c r="BX5" s="29" t="str">
        <f>IFERROR(__xludf.DUMMYFUNCTION("""COMPUTED_VALUE"""),"Expiration Date")</f>
        <v>Expiration Date</v>
      </c>
      <c r="BY5" s="29" t="str">
        <f>IFERROR(__xludf.DUMMYFUNCTION("""COMPUTED_VALUE"""),"Description")</f>
        <v>Description</v>
      </c>
      <c r="BZ5" s="29" t="str">
        <f>IFERROR(__xludf.DUMMYFUNCTION("""COMPUTED_VALUE"""),"Underlying Symbol")</f>
        <v>Underlying Symbol</v>
      </c>
      <c r="CA5" s="29" t="str">
        <f>IFERROR(__xludf.DUMMYFUNCTION("""COMPUTED_VALUE"""),"Accrued Interest")</f>
        <v>Accrued Interest</v>
      </c>
      <c r="CB5" s="29" t="str">
        <f>IFERROR(__xludf.DUMMYFUNCTION("""COMPUTED_VALUE"""),"Accrual Basis")</f>
        <v>Accrual Basis</v>
      </c>
      <c r="CC5" s="29" t="str">
        <f>IFERROR(__xludf.DUMMYFUNCTION("""COMPUTED_VALUE"""),"Bond Type")</f>
        <v>Bond Type</v>
      </c>
      <c r="CD5" s="29" t="str">
        <f>IFERROR(__xludf.DUMMYFUNCTION("""COMPUTED_VALUE"""),"Coupon Rate")</f>
        <v>Coupon Rate</v>
      </c>
      <c r="CE5" s="29" t="str">
        <f>IFERROR(__xludf.DUMMYFUNCTION("""COMPUTED_VALUE"""),"Delta")</f>
        <v>Delta</v>
      </c>
      <c r="CF5" s="29" t="str">
        <f>IFERROR(__xludf.DUMMYFUNCTION("""COMPUTED_VALUE"""),"Bloomberg")</f>
        <v>Bloomberg</v>
      </c>
      <c r="CG5" s="29" t="str">
        <f>IFERROR(__xludf.DUMMYFUNCTION("""COMPUTED_VALUE"""),"Sedol Symbol")</f>
        <v>Sedol Symbol</v>
      </c>
      <c r="CH5" s="29" t="str">
        <f>IFERROR(__xludf.DUMMYFUNCTION("""COMPUTED_VALUE"""),"Cusip Symbol")</f>
        <v>Cusip Symbol</v>
      </c>
      <c r="CI5" s="29" t="str">
        <f>IFERROR(__xludf.DUMMYFUNCTION("""COMPUTED_VALUE"""),"ISIN")</f>
        <v>ISIN</v>
      </c>
      <c r="CJ5" s="29" t="str">
        <f>IFERROR(__xludf.DUMMYFUNCTION("""COMPUTED_VALUE"""),"OSISSymbol")</f>
        <v>OSISSymbol</v>
      </c>
      <c r="CK5" s="29" t="str">
        <f>IFERROR(__xludf.DUMMYFUNCTION("""COMPUTED_VALUE"""),"IDCOSymbol")</f>
        <v>IDCOSymbol</v>
      </c>
      <c r="CL5" s="29" t="str">
        <f>IFERROR(__xludf.DUMMYFUNCTION("""COMPUTED_VALUE"""),"Underlying Delta")</f>
        <v>Underlying Delta</v>
      </c>
      <c r="CM5" s="29" t="str">
        <f>IFERROR(__xludf.DUMMYFUNCTION("""COMPUTED_VALUE"""),"Internal Comments")</f>
        <v>Internal Comments</v>
      </c>
      <c r="CN5" s="29" t="str">
        <f>IFERROR(__xludf.DUMMYFUNCTION("""COMPUTED_VALUE"""),"Proxy Symbol")</f>
        <v>Proxy Symbol</v>
      </c>
      <c r="CO5" s="29" t="str">
        <f>IFERROR(__xludf.DUMMYFUNCTION("""COMPUTED_VALUE"""),"Transaction Source")</f>
        <v>Transaction Source</v>
      </c>
      <c r="CP5" s="29" t="str">
        <f>IFERROR(__xludf.DUMMYFUNCTION("""COMPUTED_VALUE"""),"Import File Name")</f>
        <v>Import File Name</v>
      </c>
      <c r="CQ5" s="29" t="str">
        <f>IFERROR(__xludf.DUMMYFUNCTION("""COMPUTED_VALUE"""),"Master Fund")</f>
        <v>Master Fund</v>
      </c>
      <c r="CR5" s="29" t="str">
        <f>IFERROR(__xludf.DUMMYFUNCTION("""COMPUTED_VALUE"""),"Client")</f>
        <v>Client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0" t="s">
        <v>28</v>
      </c>
      <c r="C6" s="42" t="s">
        <v>31</v>
      </c>
      <c r="D6" s="43">
        <v>100.0</v>
      </c>
      <c r="E6" s="38">
        <v>100.0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Percentage")</f>
        <v>Account Percentage</v>
      </c>
      <c r="D5" s="27" t="str">
        <f>IFERROR(__xludf.DUMMYFUNCTION("""COMPUTED_VALUE"""),"Account Quantity")</f>
        <v>Account Quantity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6"/>
      <c r="B6" s="30" t="s">
        <v>25</v>
      </c>
      <c r="C6" s="41">
        <v>100.0</v>
      </c>
      <c r="D6" s="36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EnterAccountValuesToAllocate!$4:$4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7" t="s">
        <v>25</v>
      </c>
      <c r="C6" s="8"/>
      <c r="D6" s="38">
        <v>11.8520547945205</v>
      </c>
      <c r="E6" s="38">
        <v>100.0</v>
      </c>
      <c r="F6" s="37" t="s">
        <v>26</v>
      </c>
      <c r="G6" s="37" t="s">
        <v>27</v>
      </c>
      <c r="H6" s="38">
        <v>4.0</v>
      </c>
      <c r="I6" s="38">
        <v>5.0</v>
      </c>
      <c r="J6" s="38">
        <v>80.0</v>
      </c>
      <c r="K6" s="38">
        <v>0.0</v>
      </c>
      <c r="L6" s="38">
        <v>2.0</v>
      </c>
      <c r="M6" s="37" t="s">
        <v>28</v>
      </c>
      <c r="N6" s="37" t="s">
        <v>39</v>
      </c>
      <c r="O6" s="8"/>
      <c r="Z6" s="37" t="s">
        <v>29</v>
      </c>
      <c r="AE6" s="38">
        <v>100.0</v>
      </c>
      <c r="AH6" s="37" t="s">
        <v>30</v>
      </c>
      <c r="AT6" s="38">
        <v>0.0</v>
      </c>
      <c r="AU6" s="38"/>
      <c r="BJ6" s="38">
        <v>100.0</v>
      </c>
      <c r="BM6" s="37" t="s">
        <v>29</v>
      </c>
      <c r="BO6" s="37" t="s">
        <v>31</v>
      </c>
      <c r="BP6" s="38">
        <v>0.0</v>
      </c>
      <c r="BQ6" s="38">
        <v>0.0</v>
      </c>
      <c r="BR6" s="38">
        <v>1.0</v>
      </c>
      <c r="BS6" s="37" t="s">
        <v>32</v>
      </c>
      <c r="BT6" s="37" t="s">
        <v>28</v>
      </c>
      <c r="CG6" s="38">
        <v>2.0</v>
      </c>
      <c r="CH6" s="37" t="s">
        <v>40</v>
      </c>
      <c r="CI6" s="37" t="s">
        <v>31</v>
      </c>
      <c r="CN6" s="37" t="s">
        <v>36</v>
      </c>
      <c r="CX6" s="37" t="s">
        <v>33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6"/>
      <c r="B6" s="44" t="s">
        <v>42</v>
      </c>
      <c r="C6" s="45" t="s">
        <v>43</v>
      </c>
      <c r="D6" s="46">
        <f>TODAY()</f>
        <v>45922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