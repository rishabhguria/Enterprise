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DoneAwayOrder" sheetId="4" r:id="rId6"/>
    <sheet state="visible" name="SelectTradeOnOrderGrid" sheetId="5" r:id="rId7"/>
    <sheet state="visible" name="ReAllocateFromBlotterByAllocate" sheetId="6" r:id="rId8"/>
    <sheet state="visible" name="AddCalculatedPreferences" sheetId="7" r:id="rId9"/>
    <sheet state="visible" name="SetAccountValueCalculatedPref" sheetId="8" r:id="rId10"/>
    <sheet state="visible" name="SetDefaultRuleCalculatedPref" sheetId="9" r:id="rId11"/>
    <sheet state="visible" name="GetDataAllocation" sheetId="10" r:id="rId12"/>
    <sheet state="visible" name="CheckAllocatedGroups" sheetId="11" r:id="rId13"/>
    <sheet state="visible" name="CheckAllocatedTaxlots" sheetId="12" r:id="rId14"/>
    <sheet state="visible" name="CheckPortfolioManagement" sheetId="13" r:id="rId15"/>
  </sheets>
  <definedNames/>
  <calcPr/>
</workbook>
</file>

<file path=xl/sharedStrings.xml><?xml version="1.0" encoding="utf-8"?>
<sst xmlns="http://schemas.openxmlformats.org/spreadsheetml/2006/main" count="167" uniqueCount="56">
  <si>
    <t>Modules Info</t>
  </si>
  <si>
    <t>Modules</t>
  </si>
  <si>
    <t>Settings</t>
  </si>
  <si>
    <t>Module Step Setting File</t>
  </si>
  <si>
    <t>1HDGslINsX2xvwv6GJ3A4R106X2n1r8EbCpymEmKvxA8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</si>
  <si>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</si>
  <si>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</si>
  <si>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</si>
  <si>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</si>
  <si>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</si>
  <si>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</si>
  <si>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</si>
  <si>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</si>
  <si>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CreateDoneAwayOrder</t>
  </si>
  <si>
    <t>Data Format</t>
  </si>
  <si>
    <t>Input Format</t>
  </si>
  <si>
    <t>AAPL</t>
  </si>
  <si>
    <t>Buy</t>
  </si>
  <si>
    <t>Allocation1</t>
  </si>
  <si>
    <t>MS</t>
  </si>
  <si>
    <t>Blotter</t>
  </si>
  <si>
    <t>SelectTradeOnOrderGrid</t>
  </si>
  <si>
    <t>Filled</t>
  </si>
  <si>
    <t>Market</t>
  </si>
  <si>
    <t>NASDAQ</t>
  </si>
  <si>
    <t>ReAllocateFromBlotterByAllocate</t>
  </si>
  <si>
    <t>PrefStrategy</t>
  </si>
  <si>
    <t>Allocation</t>
  </si>
  <si>
    <t>AddCalculatedPreferences</t>
  </si>
  <si>
    <t>SetAccountValueCalculatedPref</t>
  </si>
  <si>
    <t>Allocation2</t>
  </si>
  <si>
    <t>Allocation3</t>
  </si>
  <si>
    <t>SetDefaultRuleCalculatedPref</t>
  </si>
  <si>
    <t>Trade Quantity</t>
  </si>
  <si>
    <t>Current Preference</t>
  </si>
  <si>
    <t>GetDataAllocation</t>
  </si>
  <si>
    <t>Current</t>
  </si>
  <si>
    <t>CheckAllocatedGroups</t>
  </si>
  <si>
    <t>Multiple</t>
  </si>
  <si>
    <t/>
  </si>
  <si>
    <t>Equity</t>
  </si>
  <si>
    <t>AAPL US EQUITY</t>
  </si>
  <si>
    <t>APPLE</t>
  </si>
  <si>
    <t>USD</t>
  </si>
  <si>
    <t>US</t>
  </si>
  <si>
    <t>jpearce</t>
  </si>
  <si>
    <t>CheckAllocatedTaxlots</t>
  </si>
  <si>
    <t>M</t>
  </si>
  <si>
    <t>Strategy Unallocated</t>
  </si>
  <si>
    <t>PortfolioManagement</t>
  </si>
  <si>
    <t>CheckPortfolioManagement</t>
  </si>
  <si>
    <t>NewMF1</t>
  </si>
  <si>
    <t>Long</t>
  </si>
  <si>
    <t>Small Cap</t>
  </si>
  <si>
    <t>Undefined</t>
  </si>
  <si>
    <t>NewMF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</si>
</sst>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3" numFmtId="0" xfId="0" applyAlignment="1" applyFont="1">
      <alignment vertical="bottom"/>
    </xf>
    <xf borderId="0" fillId="0" fontId="3" numFmtId="0" xfId="0" applyAlignment="1" applyFont="1">
      <alignment readingOrder="0" vertical="bottom"/>
    </xf>
    <xf borderId="0" fillId="0" fontId="5" numFmtId="0" xfId="0" applyAlignment="1" applyFont="1">
      <alignment horizontal="right" vertical="bottom"/>
    </xf>
    <xf borderId="0" fillId="0" fontId="3" numFmtId="0" xfId="0" applyAlignment="1" applyFont="1">
      <alignment horizontal="right" readingOrder="0" vertical="bottom"/>
    </xf>
    <xf borderId="0" fillId="0" fontId="5" numFmtId="0" xfId="0" applyAlignment="1" applyFont="1">
      <alignment readingOrder="0" shrinkToFit="0" wrapText="0"/>
    </xf>
    <xf borderId="0" fillId="0" fontId="5" numFmtId="4" xfId="0" applyAlignment="1" applyFont="1" applyNumberFormat="1">
      <alignment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6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6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6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6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6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6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6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6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6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6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IFERROR(__xludf.DUMMYFUNCTION("""COMPUTED_VALUE"""),"1kXWX5XbWkcCarG3_NeoZcsMD84Dg7Y1HBOol0fT3llw")</f>
        <v>1kXWX5XbWkcCarG3_NeoZcsMD84Dg7Y1HBOol0fT3llw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IFERROR(__xludf.DUMMYFUNCTION("""COMPUTED_VALUE"""),"1Fsx99xjLV4wXC7CsT9wtcnBrZWmyHtcJTabwhtzutts")</f>
        <v>1Fsx99xjLV4wXC7CsT9wtcnBrZWmyHtcJTabwhtzutts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IFERROR(__xludf.DUMMYFUNCTION("""COMPUTED_VALUE"""),"1dhMZot7F9QQRFijtknpohXOzfw-LKDG0jNChXBmHnV0")</f>
        <v>1dhMZot7F9QQRFijtknpohXOzfw-LKDG0jNChXBmHnV0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IFERROR(__xludf.DUMMYFUNCTION("""COMPUTED_VALUE"""),"10JstdZ0oAMKlf3YcIFD3LEy3lSUVJZ88BP-uXbM_37M")</f>
        <v>10JstdZ0oAMKlf3YcIFD3LEy3lSUVJZ88BP-uXbM_37M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IFERROR(__xludf.DUMMYFUNCTION("""COMPUTED_VALUE"""),"19Sn1yI9trlccQAGFXG-Y-afytOt_KfoVnPQzvl6XROo")</f>
        <v>19Sn1yI9trlccQAGFXG-Y-afytOt_KfoVnPQzvl6XROo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IFERROR(__xludf.DUMMYFUNCTION("""COMPUTED_VALUE"""),"1eq2tbYNZTU6VAfgYF2-ao4AM8-9yiVmbLsTlsY4KXro")</f>
        <v>1eq2tbYNZTU6VAfgYF2-ao4AM8-9yiVmbLsTlsY4KXro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>
      <c r="A629" t="str">
        <f>IFERROR(__xludf.DUMMYFUNCTION("""COMPUTED_VALUE"""),"PranaClient")</f>
        <v>PranaClient</v>
      </c>
      <c r="B629" t="str">
        <f>IFERROR(__xludf.DUMMYFUNCTION("""COMPUTED_VALUE"""),"LoginClient")</f>
        <v>LoginClient</v>
      </c>
      <c r="C629" t="str">
        <f>IFERROR(__xludf.DUMMYFUNCTION("""COMPUTED_VALUE"""),"15s_MBgGJ0dfZ8sabmSGlh8UnFHbnEhlY_4upAbjXzmg")</f>
        <v>15s_MBgGJ0dfZ8sabmSGlh8UnFHbnEhlY_4upAbjXzmg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IFERROR(__xludf.DUMMYFUNCTION("""COMPUTED_VALUE"""),"BulkChangeCreateStageOrder")</f>
        <v>BulkChangeCreateStageOrder</v>
      </c>
      <c r="C630" t="str">
        <f>IFERROR(__xludf.DUMMYFUNCTION("""COMPUTED_VALUE"""),"1XpPlMHrXIkdrEc4GgpL4YGWBTY6izs1MK6Jy7Z3jR-Q")</f>
        <v>1XpPlMHrXIkdrEc4GgpL4YGWBTY6izs1MK6Jy7Z3jR-Q</v>
      </c>
    </row>
    <row r="631" ht="15.75" customHeight="1">
      <c r="A631" t="str">
        <f>IFERROR(__xludf.DUMMYFUNCTION("""COMPUTED_VALUE"""),"MultiTradingTicket")</f>
        <v>MultiTradingTicket</v>
      </c>
      <c r="B631" t="str">
        <f>IFERROR(__xludf.DUMMYFUNCTION("""COMPUTED_VALUE"""),"BulkUpdateUsingMTT")</f>
        <v>BulkUpdateUsingMTT</v>
      </c>
      <c r="C631" t="str">
        <f>IFERROR(__xludf.DUMMYFUNCTION("""COMPUTED_VALUE"""),"1z5unUI4CMAB-Y1nnow1quueM3t3SDsE_5x7GoqlPJdo")</f>
        <v>1z5unUI4CMAB-Y1nnow1quueM3t3SDsE_5x7GoqlPJdo</v>
      </c>
    </row>
    <row r="632" ht="15.75" customHeight="1">
      <c r="A632" t="str">
        <f>IFERROR(__xludf.DUMMYFUNCTION("""COMPUTED_VALUE"""),"PranaClient")</f>
        <v>PranaClient</v>
      </c>
      <c r="B632" t="str">
        <f>IFERROR(__xludf.DUMMYFUNCTION("""COMPUTED_VALUE"""),"CompareXML")</f>
        <v>CompareXML</v>
      </c>
      <c r="C632" t="str">
        <f>IFERROR(__xludf.DUMMYFUNCTION("""COMPUTED_VALUE"""),"1UbkLLvFc4omZgamtV9FPjYfaLw9XLbjQYRKGGO3lyPE")</f>
        <v>1UbkLLvFc4omZgamtV9FPjYfaLw9XLbjQYRKGGO3lyPE</v>
      </c>
    </row>
    <row r="633" ht="15.75" customHeight="1">
      <c r="A633" t="str">
        <f>IFERROR(__xludf.DUMMYFUNCTION("""COMPUTED_VALUE"""),"Admin")</f>
        <v>Admin</v>
      </c>
      <c r="B633" t="str">
        <f>IFERROR(__xludf.DUMMYFUNCTION("""COMPUTED_VALUE"""),"SetMasterFundOnTT")</f>
        <v>SetMasterFundOnTT</v>
      </c>
      <c r="C633" t="str">
        <f>IFERROR(__xludf.DUMMYFUNCTION("""COMPUTED_VALUE"""),"1LK3f7jczHzLHkY7I_RK-58BnR45KNGpebn0hHO3eSgo")</f>
        <v>1LK3f7jczHzLHkY7I_RK-58BnR45KNGpebn0hHO3eSgo</v>
      </c>
    </row>
    <row r="634" ht="15.75" customHeight="1">
      <c r="A634" t="str">
        <f>IFERROR(__xludf.DUMMYFUNCTION("""COMPUTED_VALUE"""),"TradingTicket")</f>
        <v>TradingTicket</v>
      </c>
      <c r="B634" t="str">
        <f>IFERROR(__xludf.DUMMYFUNCTION("""COMPUTED_VALUE"""),"VerifyCustomAllocationonTT")</f>
        <v>VerifyCustomAllocationonTT</v>
      </c>
      <c r="C634" t="str">
        <f>IFERROR(__xludf.DUMMYFUNCTION("""COMPUTED_VALUE"""),"10ici7f6_wpSFiwpn22nHeSOFsZ1dU_pzk6nMLQKHIRY")</f>
        <v>10ici7f6_wpSFiwpn22nHeSOFsZ1dU_pzk6nMLQKHIRY</v>
      </c>
    </row>
    <row r="635" ht="15.75" customHeight="1">
      <c r="A635" t="str">
        <f>IFERROR(__xludf.DUMMYFUNCTION("""COMPUTED_VALUE"""),"Blotter")</f>
        <v>Blotter</v>
      </c>
      <c r="B635" t="str">
        <f>IFERROR(__xludf.DUMMYFUNCTION("""COMPUTED_VALUE"""),"ReAllocateFromBlotterByAllocate")</f>
        <v>ReAllocateFromBlotterByAllocate</v>
      </c>
      <c r="C635" t="str">
        <f>IFERROR(__xludf.DUMMYFUNCTION("""COMPUTED_VALUE"""),"1RA-PKK7Kzfl_fgl03zAC8sp1VOE9HjaY5EL7ItkPBK4")</f>
        <v>1RA-PKK7Kzfl_fgl03zAC8sp1VOE9HjaY5EL7ItkPBK4</v>
      </c>
    </row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1b5S4Xpp4fgZ1ez6cK92QFnVBylqz8jhwxdAyEvwDqUI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 t="str">
        <f>IFERROR(__xludf.DUMMYFUNCTION("""COMPUTED_VALUE"""),"VerifyCustomAllocationonTT")</f>
        <v>VerifyCustomAllocationonTT</v>
      </c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s">
        <v>16</v>
      </c>
      <c r="C6" s="31" t="s">
        <v>17</v>
      </c>
      <c r="D6" s="33">
        <v>1000.0</v>
      </c>
      <c r="E6" s="31"/>
      <c r="F6" s="32" t="s">
        <v>18</v>
      </c>
      <c r="G6" s="31" t="s">
        <v>19</v>
      </c>
      <c r="H6" s="31"/>
      <c r="I6" s="31"/>
      <c r="J6" s="34">
        <v>10.0</v>
      </c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 t="str">
        <f>IFERROR(__xludf.DUMMYFUNCTION("""COMPUTED_VALUE"""),"AllocateFromBlotter")</f>
        <v>AllocateFromBlotter</v>
      </c>
      <c r="BT4" s="26" t="str">
        <f>IFERROR(__xludf.DUMMYFUNCTION("""COMPUTED_VALUE"""),"ReAllocateFromBlotterUsingAllocate")</f>
        <v>ReAllocateFromBlotterUsingAllocate</v>
      </c>
      <c r="BU4" s="26" t="str">
        <f>IFERROR(__xludf.DUMMYFUNCTION("""COMPUTED_VALUE"""),"ReAllocateFromBlotterByAllocate")</f>
        <v>ReAllocateFromBlotterByAllocate</v>
      </c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13">
        <v>10.0</v>
      </c>
      <c r="C6" s="8"/>
      <c r="D6" s="13" t="s">
        <v>16</v>
      </c>
      <c r="E6" s="8"/>
      <c r="F6" s="13" t="s">
        <v>17</v>
      </c>
      <c r="G6" s="13" t="s">
        <v>22</v>
      </c>
      <c r="H6" s="13">
        <v>1000.0</v>
      </c>
      <c r="I6" s="13">
        <v>1000.0</v>
      </c>
      <c r="J6" s="8"/>
      <c r="K6" s="8"/>
      <c r="L6" s="8"/>
      <c r="M6" s="8"/>
      <c r="N6" s="8"/>
      <c r="O6" s="8"/>
      <c r="Q6" s="9" t="s">
        <v>19</v>
      </c>
      <c r="R6" s="9" t="s">
        <v>18</v>
      </c>
      <c r="T6" s="9" t="s">
        <v>23</v>
      </c>
      <c r="AJ6" s="9" t="s">
        <v>24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SelectTradeOnOrderGrid!$4:$4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 t="str">
        <f>IFERROR(__xludf.DUMMYFUNCTION("""COMPUTED_VALUE"""),"AllocateFromBlotter")</f>
        <v>AllocateFromBlotter</v>
      </c>
      <c r="BT4" s="26" t="str">
        <f>IFERROR(__xludf.DUMMYFUNCTION("""COMPUTED_VALUE"""),"ReAllocateFromBlotterUsingAllocate")</f>
        <v>ReAllocateFromBlotterUsingAllocate</v>
      </c>
      <c r="BU4" s="26" t="str">
        <f>IFERROR(__xludf.DUMMYFUNCTION("""COMPUTED_VALUE"""),"ReAllocateFromBlotterByAllocate")</f>
        <v>ReAllocateFromBlotterByAllocate</v>
      </c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IFERROR(__xludf.DUMMYFUNCTION("""COMPUTED_VALUE"""),"PreferenceName")</f>
        <v>PreferenceName</v>
      </c>
      <c r="C5" s="28" t="str">
        <f>IFERROR(__xludf.DUMMYFUNCTION("""COMPUTED_VALUE"""),"Account")</f>
        <v>Account</v>
      </c>
      <c r="D5" s="28" t="str">
        <f>IFERROR(__xludf.DUMMYFUNCTION("""COMPUTED_VALUE"""),"Target Allocation Percentage")</f>
        <v>Target Allocation Percentage</v>
      </c>
      <c r="E5" s="28" t="str">
        <f>IFERROR(__xludf.DUMMYFUNCTION("""COMPUTED_VALUE"""),"Target Allocation Quantity")</f>
        <v>Target Allocation Quantity</v>
      </c>
      <c r="F5" s="29" t="str">
        <f>IFERROR(__xludf.DUMMYFUNCTION("""COMPUTED_VALUE"""),"LowerStripMessage")</f>
        <v>LowerStripMessage</v>
      </c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13" t="s">
        <v>26</v>
      </c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ReAllocateFromBlotterByAllocate!$4:$4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27</v>
      </c>
      <c r="D3" s="5" t="s">
        <v>9</v>
      </c>
      <c r="E3" s="23" t="s">
        <v>28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IFERROR(__xludf.DUMMYFUNCTION("""COMPUTED_VALUE"""),"PreferenceName")</f>
        <v>PreferenceName</v>
      </c>
      <c r="C5" s="28"/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13" t="s">
        <v>26</v>
      </c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AddCalculatedPreferences!$4:$4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1svq-61dzaRHeNDz1TSSUPXQbbN3Mi4bhNQabvGVoz2c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27</v>
      </c>
      <c r="D3" s="5" t="s">
        <v>9</v>
      </c>
      <c r="E3" s="23" t="s">
        <v>29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IFERROR(__xludf.DUMMYFUNCTION("""COMPUTED_VALUE"""),"PreferenceName")</f>
        <v>PreferenceName</v>
      </c>
      <c r="C5" s="28" t="str">
        <f>IFERROR(__xludf.DUMMYFUNCTION("""COMPUTED_VALUE"""),"AccountName")</f>
        <v>AccountName</v>
      </c>
      <c r="D5" s="28" t="str">
        <f>IFERROR(__xludf.DUMMYFUNCTION("""COMPUTED_VALUE"""),"Percentage")</f>
        <v>Percentage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13" t="s">
        <v>26</v>
      </c>
      <c r="C6" s="13" t="s">
        <v>30</v>
      </c>
      <c r="D6" s="13">
        <v>25.0</v>
      </c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3" t="s">
        <v>26</v>
      </c>
      <c r="C7" s="13" t="s">
        <v>31</v>
      </c>
      <c r="D7" s="13">
        <v>75.0</v>
      </c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SetAccountValueCalculatedPref!$4:$4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1j6MD8nFEuJNo52Mp8uXbXRmrJs802rnEIiTOEuZFdWA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27</v>
      </c>
      <c r="D3" s="5" t="s">
        <v>9</v>
      </c>
      <c r="E3" s="23" t="s">
        <v>32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IFERROR(__xludf.DUMMYFUNCTION("""COMPUTED_VALUE"""),"AllocationMethod")</f>
        <v>AllocationMethod</v>
      </c>
      <c r="C5" s="28" t="str">
        <f>IFERROR(__xludf.DUMMYFUNCTION("""COMPUTED_VALUE"""),"RemainderAllocationTo")</f>
        <v>RemainderAllocationTo</v>
      </c>
      <c r="D5" s="28" t="str">
        <f>IFERROR(__xludf.DUMMYFUNCTION("""COMPUTED_VALUE"""),"Target%AsOf")</f>
        <v>Target%AsOf</v>
      </c>
      <c r="E5" s="28" t="str">
        <f>IFERROR(__xludf.DUMMYFUNCTION("""COMPUTED_VALUE"""),"ProrataAccounts")</f>
        <v>ProrataAccounts</v>
      </c>
      <c r="F5" s="29" t="str">
        <f>IFERROR(__xludf.DUMMYFUNCTION("""COMPUTED_VALUE"""),"DateUptoDays")</f>
        <v>DateUptoDays</v>
      </c>
      <c r="G5" s="28" t="str">
        <f>IFERROR(__xludf.DUMMYFUNCTION("""COMPUTED_VALUE"""),"MatchClosingTransactions")</f>
        <v>MatchClosingTransactions</v>
      </c>
      <c r="H5" s="28" t="str">
        <f>IFERROR(__xludf.DUMMYFUNCTION("""COMPUTED_VALUE"""),"PreferenceName")</f>
        <v>PreferenceName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33</v>
      </c>
      <c r="C6" s="8"/>
      <c r="D6" s="13" t="s">
        <v>34</v>
      </c>
      <c r="E6" s="35"/>
      <c r="F6" s="8"/>
      <c r="G6" s="13" t="b">
        <v>0</v>
      </c>
      <c r="H6" s="13" t="s">
        <v>26</v>
      </c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SetDefaultRuleCalculatedPref!$4:$4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27</v>
      </c>
      <c r="D3" s="5" t="s">
        <v>9</v>
      </c>
      <c r="E3" s="23" t="s">
        <v>35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IFERROR(__xludf.DUMMYFUNCTION("""COMPUTED_VALUE"""),"FilterTabName")</f>
        <v>FilterTabName</v>
      </c>
      <c r="F5" s="29" t="str">
        <f>IFERROR(__xludf.DUMMYFUNCTION("""COMPUTED_VALUE"""),"Symbol")</f>
        <v>Symbol</v>
      </c>
      <c r="G5" s="28" t="str">
        <f>IFERROR(__xludf.DUMMYFUNCTION("""COMPUTED_VALUE"""),"Asset")</f>
        <v>Asset</v>
      </c>
      <c r="H5" s="28" t="str">
        <f>IFERROR(__xludf.DUMMYFUNCTION("""COMPUTED_VALUE"""),"Side")</f>
        <v>Side</v>
      </c>
      <c r="I5" s="28" t="str">
        <f>IFERROR(__xludf.DUMMYFUNCTION("""COMPUTED_VALUE"""),"Account")</f>
        <v>Account</v>
      </c>
      <c r="J5" s="28" t="str">
        <f>IFERROR(__xludf.DUMMYFUNCTION("""COMPUTED_VALUE"""),"Broker")</f>
        <v>Broker</v>
      </c>
      <c r="K5" s="28" t="str">
        <f>IFERROR(__xludf.DUMMYFUNCTION("""COMPUTED_VALUE"""),"Currency")</f>
        <v>Currency</v>
      </c>
      <c r="L5" s="28" t="str">
        <f>IFERROR(__xludf.DUMMYFUNCTION("""COMPUTED_VALUE"""),"Exchange")</f>
        <v>Exchange</v>
      </c>
      <c r="M5" s="28" t="str">
        <f>IFERROR(__xludf.DUMMYFUNCTION("""COMPUTED_VALUE"""),"StrategyName")</f>
        <v>StrategyName</v>
      </c>
      <c r="N5" s="28" t="str">
        <f>IFERROR(__xludf.DUMMYFUNCTION("""COMPUTED_VALUE"""),"Underlying")</f>
        <v>Underlying</v>
      </c>
      <c r="O5" s="28" t="str">
        <f>IFERROR(__xludf.DUMMYFUNCTION("""COMPUTED_VALUE"""),"Venue")</f>
        <v>Venue</v>
      </c>
      <c r="P5" s="28" t="str">
        <f>IFERROR(__xludf.DUMMYFUNCTION("""COMPUTED_VALUE"""),"TradingAccount")</f>
        <v>TradingAccount</v>
      </c>
      <c r="Q5" s="28" t="str">
        <f>IFERROR(__xludf.DUMMYFUNCTION("""COMPUTED_VALUE"""),"PreAllocated")</f>
        <v>PreAllocated</v>
      </c>
      <c r="R5" s="28" t="str">
        <f>IFERROR(__xludf.DUMMYFUNCTION("""COMPUTED_VALUE"""),"ManualGroup")</f>
        <v>ManualGroup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13" t="s">
        <v>36</v>
      </c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GetDataAllocation!$4:$4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27</v>
      </c>
      <c r="D3" s="5" t="s">
        <v>9</v>
      </c>
      <c r="E3" s="23" t="s">
        <v>37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IFERROR(__xludf.DUMMYFUNCTION("""COMPUTED_VALUE"""),"Accrual Basis")</f>
        <v>Accrual Basis</v>
      </c>
      <c r="D5" s="28" t="str">
        <f>IFERROR(__xludf.DUMMYFUNCTION("""COMPUTED_VALUE"""),"Accrued Interest")</f>
        <v>Accrued Interest</v>
      </c>
      <c r="E5" s="28" t="str">
        <f>IFERROR(__xludf.DUMMYFUNCTION("""COMPUTED_VALUE"""),"Allocated Qty")</f>
        <v>Allocated Qty</v>
      </c>
      <c r="F5" s="29" t="str">
        <f>IFERROR(__xludf.DUMMYFUNCTION("""COMPUTED_VALUE"""),"Allocation Scheme Name")</f>
        <v>Allocation Scheme Name</v>
      </c>
      <c r="G5" s="28" t="str">
        <f>IFERROR(__xludf.DUMMYFUNCTION("""COMPUTED_VALUE"""),"Asset Category")</f>
        <v>Asset Category</v>
      </c>
      <c r="H5" s="28" t="str">
        <f>IFERROR(__xludf.DUMMYFUNCTION("""COMPUTED_VALUE"""),"AUEC Fee1")</f>
        <v>AUEC Fee1</v>
      </c>
      <c r="I5" s="28" t="str">
        <f>IFERROR(__xludf.DUMMYFUNCTION("""COMPUTED_VALUE"""),"AUEC Fee2")</f>
        <v>AUEC Fee2</v>
      </c>
      <c r="J5" s="28" t="str">
        <f>IFERROR(__xludf.DUMMYFUNCTION("""COMPUTED_VALUE"""),"AUECID")</f>
        <v>AUECID</v>
      </c>
      <c r="K5" s="28" t="str">
        <f>IFERROR(__xludf.DUMMYFUNCTION("""COMPUTED_VALUE"""),"Avg Price(Base)")</f>
        <v>Avg Price(Base)</v>
      </c>
      <c r="L5" s="28" t="str">
        <f>IFERROR(__xludf.DUMMYFUNCTION("""COMPUTED_VALUE"""),"Avg Price(Local)")</f>
        <v>Avg Price(Local)</v>
      </c>
      <c r="M5" s="28" t="str">
        <f>IFERROR(__xludf.DUMMYFUNCTION("""COMPUTED_VALUE"""),"Bloomberg")</f>
        <v>Bloomberg</v>
      </c>
      <c r="N5" s="28" t="str">
        <f>IFERROR(__xludf.DUMMYFUNCTION("""COMPUTED_VALUE"""),"Bond Type")</f>
        <v>Bond Type</v>
      </c>
      <c r="O5" s="28" t="str">
        <f>IFERROR(__xludf.DUMMYFUNCTION("""COMPUTED_VALUE"""),"Broker")</f>
        <v>Broker</v>
      </c>
      <c r="P5" s="28" t="str">
        <f>IFERROR(__xludf.DUMMYFUNCTION("""COMPUTED_VALUE"""),"Change Comment")</f>
        <v>Change Comment</v>
      </c>
      <c r="Q5" s="28" t="str">
        <f>IFERROR(__xludf.DUMMYFUNCTION("""COMPUTED_VALUE"""),"Change Type")</f>
        <v>Change Type</v>
      </c>
      <c r="R5" s="28" t="str">
        <f>IFERROR(__xludf.DUMMYFUNCTION("""COMPUTED_VALUE"""),"Clearing Broker Fee")</f>
        <v>Clearing Broker Fee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IFERROR(__xludf.DUMMYFUNCTION("""COMPUTED_VALUE"""),"Exceution Time")</f>
        <v>Exceution Time</v>
      </c>
      <c r="AG5" s="30" t="str">
        <f>IFERROR(__xludf.DUMMYFUNCTION("""COMPUTED_VALUE"""),"Expiration Date")</f>
        <v>Expiration Date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IFERROR(__xludf.DUMMYFUNCTION("""COMPUTED_VALUE"""),"FX Rate")</f>
        <v>FX Rate</v>
      </c>
      <c r="AJ5" s="30" t="str">
        <f>IFERROR(__xludf.DUMMYFUNCTION("""COMPUTED_VALUE"""),"Group Status")</f>
        <v>Group Status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IFERROR(__xludf.DUMMYFUNCTION("""COMPUTED_VALUE"""),"Strategy Name")</f>
        <v>Strategy Name</v>
      </c>
      <c r="BT5" s="30" t="str">
        <f>IFERROR(__xludf.DUMMYFUNCTION("""COMPUTED_VALUE"""),"Symbol")</f>
        <v>Symbol</v>
      </c>
      <c r="BU5" s="30" t="str">
        <f>IFERROR(__xludf.DUMMYFUNCTION("""COMPUTED_VALUE"""),"Tax On Commissions")</f>
        <v>Tax On Commissions</v>
      </c>
      <c r="BV5" s="30" t="str">
        <f>IFERROR(__xludf.DUMMYFUNCTION("""COMPUTED_VALUE"""),"Total Commission")</f>
        <v>Total Commission</v>
      </c>
      <c r="BW5" s="30" t="str">
        <f>IFERROR(__xludf.DUMMYFUNCTION("""COMPUTED_VALUE"""),"Total Commission And Fee")</f>
        <v>Total Commission And Fee</v>
      </c>
      <c r="BX5" s="30" t="str">
        <f>IFERROR(__xludf.DUMMYFUNCTION("""COMPUTED_VALUE"""),"Total Commission Per Share")</f>
        <v>Total Commission Per Share</v>
      </c>
      <c r="BY5" s="30" t="str">
        <f>IFERROR(__xludf.DUMMYFUNCTION("""COMPUTED_VALUE"""),"Trade Attribute 1")</f>
        <v>Trade Attribute 1</v>
      </c>
      <c r="BZ5" s="30" t="str">
        <f>IFERROR(__xludf.DUMMYFUNCTION("""COMPUTED_VALUE"""),"Trade Attribute 2")</f>
        <v>Trade Attribute 2</v>
      </c>
      <c r="CA5" s="30" t="str">
        <f>IFERROR(__xludf.DUMMYFUNCTION("""COMPUTED_VALUE"""),"Trade Attribute 3")</f>
        <v>Trade Attribute 3</v>
      </c>
      <c r="CB5" s="30" t="str">
        <f>IFERROR(__xludf.DUMMYFUNCTION("""COMPUTED_VALUE"""),"Trade Attribute 4")</f>
        <v>Trade Attribute 4</v>
      </c>
      <c r="CC5" s="30" t="str">
        <f>IFERROR(__xludf.DUMMYFUNCTION("""COMPUTED_VALUE"""),"Trade Attribute 5")</f>
        <v>Trade Attribute 5</v>
      </c>
      <c r="CD5" s="30" t="str">
        <f>IFERROR(__xludf.DUMMYFUNCTION("""COMPUTED_VALUE"""),"Trade Attribute 6")</f>
        <v>Trade Attribute 6</v>
      </c>
      <c r="CE5" s="30" t="str">
        <f>IFERROR(__xludf.DUMMYFUNCTION("""COMPUTED_VALUE"""),"Trade Date")</f>
        <v>Trade Date</v>
      </c>
      <c r="CF5" s="30" t="str">
        <f>IFERROR(__xludf.DUMMYFUNCTION("""COMPUTED_VALUE"""),"Trading Account")</f>
        <v>Trading Account</v>
      </c>
      <c r="CG5" s="30" t="str">
        <f>IFERROR(__xludf.DUMMYFUNCTION("""COMPUTED_VALUE"""),"Transaction Levy")</f>
        <v>Transaction Levy</v>
      </c>
      <c r="CH5" s="30" t="str">
        <f>IFERROR(__xludf.DUMMYFUNCTION("""COMPUTED_VALUE"""),"Transaction Source")</f>
        <v>Transaction Source</v>
      </c>
      <c r="CI5" s="30" t="str">
        <f>IFERROR(__xludf.DUMMYFUNCTION("""COMPUTED_VALUE"""),"Transaction Type")</f>
        <v>Transaction Type</v>
      </c>
      <c r="CJ5" s="30" t="str">
        <f>IFERROR(__xludf.DUMMYFUNCTION("""COMPUTED_VALUE"""),"UnAllocatedQty")</f>
        <v>UnAllocatedQty</v>
      </c>
      <c r="CK5" s="30" t="str">
        <f>IFERROR(__xludf.DUMMYFUNCTION("""COMPUTED_VALUE"""),"Underlying")</f>
        <v>Underlying</v>
      </c>
      <c r="CL5" s="30" t="str">
        <f>IFERROR(__xludf.DUMMYFUNCTION("""COMPUTED_VALUE"""),"Underlying Delta")</f>
        <v>Underlying Delta</v>
      </c>
      <c r="CM5" s="30" t="str">
        <f>IFERROR(__xludf.DUMMYFUNCTION("""COMPUTED_VALUE"""),"Underlying Symbol")</f>
        <v>Underlying Symbol</v>
      </c>
      <c r="CN5" s="30" t="str">
        <f>IFERROR(__xludf.DUMMYFUNCTION("""COMPUTED_VALUE"""),"User")</f>
        <v>User</v>
      </c>
      <c r="CO5" s="30" t="str">
        <f>IFERROR(__xludf.DUMMYFUNCTION("""COMPUTED_VALUE"""),"Venue")</f>
        <v>Venue</v>
      </c>
      <c r="CP5" s="30" t="str">
        <f>IFERROR(__xludf.DUMMYFUNCTION("""COMPUTED_VALUE"""),"Closing Method")</f>
        <v>Closing Method</v>
      </c>
      <c r="CQ5" s="30" t="str">
        <f>IFERROR(__xludf.DUMMYFUNCTION("""COMPUTED_VALUE"""),"Closing Date")</f>
        <v>Closing Date</v>
      </c>
      <c r="CR5" s="30" t="str">
        <f>IFERROR(__xludf.DUMMYFUNCTION("""COMPUTED_VALUE"""),"GroupID")</f>
        <v>GroupID</v>
      </c>
      <c r="CS5" s="30" t="str">
        <f>IFERROR(__xludf.DUMMYFUNCTION("""COMPUTED_VALUE"""),"Client")</f>
        <v>Client</v>
      </c>
      <c r="CT5" s="30" t="str">
        <f>IFERROR(__xludf.DUMMYFUNCTION("""COMPUTED_VALUE"""),"Borrow Broker")</f>
        <v>Borrow Broker</v>
      </c>
      <c r="CU5" s="30" t="str">
        <f>IFERROR(__xludf.DUMMYFUNCTION("""COMPUTED_VALUE"""),"ACTIV Symbol")</f>
        <v>ACTIV Symbol</v>
      </c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</row>
    <row r="6" ht="15.75" customHeight="1">
      <c r="A6" s="8"/>
      <c r="B6" s="8" t="s">
        <v>38</v>
      </c>
      <c r="C6" s="8" t="s">
        <v>39</v>
      </c>
      <c r="D6" s="8"/>
      <c r="E6" s="8">
        <v>1000.0</v>
      </c>
      <c r="F6" s="8" t="s">
        <v>26</v>
      </c>
      <c r="G6" s="8" t="s">
        <v>40</v>
      </c>
      <c r="H6" s="8">
        <v>4.0</v>
      </c>
      <c r="I6" s="8">
        <v>5.0</v>
      </c>
      <c r="J6" s="8">
        <v>1.0</v>
      </c>
      <c r="K6" s="8">
        <v>10.0</v>
      </c>
      <c r="L6" s="8">
        <v>10.0</v>
      </c>
      <c r="M6" s="8" t="s">
        <v>41</v>
      </c>
      <c r="N6" s="8" t="s">
        <v>39</v>
      </c>
      <c r="O6" s="8" t="s">
        <v>19</v>
      </c>
      <c r="V6" t="s">
        <v>42</v>
      </c>
      <c r="Z6" t="s">
        <v>43</v>
      </c>
      <c r="AA6" t="s">
        <v>16</v>
      </c>
      <c r="AB6">
        <v>1.0</v>
      </c>
      <c r="AD6" t="s">
        <v>24</v>
      </c>
      <c r="AE6">
        <v>1000.0</v>
      </c>
      <c r="AI6">
        <v>1.0</v>
      </c>
      <c r="AT6">
        <v>10014.0056</v>
      </c>
      <c r="AU6">
        <v>10014.0056</v>
      </c>
      <c r="AY6" t="s">
        <v>23</v>
      </c>
      <c r="BE6">
        <v>10000.0</v>
      </c>
      <c r="BF6">
        <v>10000.0</v>
      </c>
      <c r="BJ6">
        <v>1000.0</v>
      </c>
      <c r="BL6" t="s">
        <v>39</v>
      </c>
      <c r="BO6" t="s">
        <v>17</v>
      </c>
      <c r="BT6" t="s">
        <v>16</v>
      </c>
      <c r="BW6">
        <v>14.0056</v>
      </c>
      <c r="CH6" t="s">
        <v>12</v>
      </c>
      <c r="CK6" t="s">
        <v>44</v>
      </c>
      <c r="CM6" t="s">
        <v>16</v>
      </c>
      <c r="CN6" t="s">
        <v>45</v>
      </c>
      <c r="CO6" t="s">
        <v>24</v>
      </c>
      <c r="CS6" t="s">
        <v>39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27</v>
      </c>
      <c r="D3" s="5" t="s">
        <v>9</v>
      </c>
      <c r="E3" s="23" t="s">
        <v>46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IFERROR(__xludf.DUMMYFUNCTION("""COMPUTED_VALUE"""),"Net Amount(Local)")</f>
        <v>Net Amount(Local)</v>
      </c>
      <c r="C5" s="28" t="str">
        <f>IFERROR(__xludf.DUMMYFUNCTION("""COMPUTED_VALUE"""),"Net Amount(Base)")</f>
        <v>Net Amount(Base)</v>
      </c>
      <c r="D5" s="28" t="str">
        <f>IFERROR(__xludf.DUMMYFUNCTION("""COMPUTED_VALUE"""),"Principal Amount(Local)")</f>
        <v>Principal Amount(Local)</v>
      </c>
      <c r="E5" s="28" t="str">
        <f>IFERROR(__xludf.DUMMYFUNCTION("""COMPUTED_VALUE"""),"Principal Amount(Base)")</f>
        <v>Principal Amount(Base)</v>
      </c>
      <c r="F5" s="29" t="str">
        <f>IFERROR(__xludf.DUMMYFUNCTION("""COMPUTED_VALUE"""),"FX Conversion Operator")</f>
        <v>FX Conversion Operator</v>
      </c>
      <c r="G5" s="28" t="str">
        <f>IFERROR(__xludf.DUMMYFUNCTION("""COMPUTED_VALUE"""),"TaxLotID")</f>
        <v>TaxLotID</v>
      </c>
      <c r="H5" s="28" t="str">
        <f>IFERROR(__xludf.DUMMYFUNCTION("""COMPUTED_VALUE"""),"Settlement Currency")</f>
        <v>Settlement Currency</v>
      </c>
      <c r="I5" s="28" t="str">
        <f>IFERROR(__xludf.DUMMYFUNCTION("""COMPUTED_VALUE"""),"Trade Attribute 1")</f>
        <v>Trade Attribute 1</v>
      </c>
      <c r="J5" s="28" t="str">
        <f>IFERROR(__xludf.DUMMYFUNCTION("""COMPUTED_VALUE"""),"Trade Attribute 2")</f>
        <v>Trade Attribute 2</v>
      </c>
      <c r="K5" s="28" t="str">
        <f>IFERROR(__xludf.DUMMYFUNCTION("""COMPUTED_VALUE"""),"Trade Attribute 3")</f>
        <v>Trade Attribute 3</v>
      </c>
      <c r="L5" s="28" t="str">
        <f>IFERROR(__xludf.DUMMYFUNCTION("""COMPUTED_VALUE"""),"Trade Attribute 4")</f>
        <v>Trade Attribute 4</v>
      </c>
      <c r="M5" s="28" t="str">
        <f>IFERROR(__xludf.DUMMYFUNCTION("""COMPUTED_VALUE"""),"Trade Attribute 5")</f>
        <v>Trade Attribute 5</v>
      </c>
      <c r="N5" s="28" t="str">
        <f>IFERROR(__xludf.DUMMYFUNCTION("""COMPUTED_VALUE"""),"Trade Attribute 6")</f>
        <v>Trade Attribute 6</v>
      </c>
      <c r="O5" s="28" t="str">
        <f>IFERROR(__xludf.DUMMYFUNCTION("""COMPUTED_VALUE"""),"Account Name")</f>
        <v>Account Name</v>
      </c>
      <c r="P5" s="28" t="str">
        <f>IFERROR(__xludf.DUMMYFUNCTION("""COMPUTED_VALUE"""),"Strategy Name")</f>
        <v>Strategy Name</v>
      </c>
      <c r="Q5" s="28" t="str">
        <f>IFERROR(__xludf.DUMMYFUNCTION("""COMPUTED_VALUE"""),"Percentage")</f>
        <v>Percentage</v>
      </c>
      <c r="R5" s="28" t="str">
        <f>IFERROR(__xludf.DUMMYFUNCTION("""COMPUTED_VALUE"""),"Taxlot Qty")</f>
        <v>Taxlot Qty</v>
      </c>
      <c r="S5" s="28" t="str">
        <f>IFERROR(__xludf.DUMMYFUNCTION("""COMPUTED_VALUE"""),"Commission")</f>
        <v>Commission</v>
      </c>
      <c r="T5" s="30" t="str">
        <f>IFERROR(__xludf.DUMMYFUNCTION("""COMPUTED_VALUE"""),"Soft Commission")</f>
        <v>Soft Commission</v>
      </c>
      <c r="U5" s="30" t="str">
        <f>IFERROR(__xludf.DUMMYFUNCTION("""COMPUTED_VALUE"""),"Other Broker Fees")</f>
        <v>Other Broker Fees</v>
      </c>
      <c r="V5" s="30" t="str">
        <f>IFERROR(__xludf.DUMMYFUNCTION("""COMPUTED_VALUE"""),"Clearing Broker Fees")</f>
        <v>Clearing Broker Fees</v>
      </c>
      <c r="W5" s="30" t="str">
        <f>IFERROR(__xludf.DUMMYFUNCTION("""COMPUTED_VALUE"""),"Stamp Duty")</f>
        <v>Stamp Duty</v>
      </c>
      <c r="X5" s="30" t="str">
        <f>IFERROR(__xludf.DUMMYFUNCTION("""COMPUTED_VALUE"""),"Transaction Levy")</f>
        <v>Transaction Levy</v>
      </c>
      <c r="Y5" s="30" t="str">
        <f>IFERROR(__xludf.DUMMYFUNCTION("""COMPUTED_VALUE"""),"AUEC Fee1")</f>
        <v>AUEC Fee1</v>
      </c>
      <c r="Z5" s="30" t="str">
        <f>IFERROR(__xludf.DUMMYFUNCTION("""COMPUTED_VALUE"""),"Tax On Commissions")</f>
        <v>Tax On Commissions</v>
      </c>
      <c r="AA5" s="30" t="str">
        <f>IFERROR(__xludf.DUMMYFUNCTION("""COMPUTED_VALUE"""),"AUEC Fee2")</f>
        <v>AUEC Fee2</v>
      </c>
      <c r="AB5" s="30" t="str">
        <f>IFERROR(__xludf.DUMMYFUNCTION("""COMPUTED_VALUE"""),"SEC Fee")</f>
        <v>SEC Fee</v>
      </c>
      <c r="AC5" s="30" t="str">
        <f>IFERROR(__xludf.DUMMYFUNCTION("""COMPUTED_VALUE"""),"OCC Fee")</f>
        <v>OCC Fee</v>
      </c>
      <c r="AD5" s="30" t="str">
        <f>IFERROR(__xludf.DUMMYFUNCTION("""COMPUTED_VALUE"""),"ORF Fee")</f>
        <v>ORF Fee</v>
      </c>
      <c r="AE5" s="30" t="str">
        <f>IFERROR(__xludf.DUMMYFUNCTION("""COMPUTED_VALUE"""),"Option Premium Adjustment")</f>
        <v>Option Premium Adjustment</v>
      </c>
      <c r="AF5" s="30" t="str">
        <f>IFERROR(__xludf.DUMMYFUNCTION("""COMPUTED_VALUE"""),"Closing Status")</f>
        <v>Closing Status</v>
      </c>
      <c r="AG5" s="30" t="str">
        <f>IFERROR(__xludf.DUMMYFUNCTION("""COMPUTED_VALUE"""),"External Transaction ID")</f>
        <v>External Transaction ID</v>
      </c>
      <c r="AH5" s="30" t="str">
        <f>IFERROR(__xludf.DUMMYFUNCTION("""COMPUTED_VALUE"""),"Lot ID")</f>
        <v>Lot ID</v>
      </c>
      <c r="AI5" s="30" t="str">
        <f>IFERROR(__xludf.DUMMYFUNCTION("""COMPUTED_VALUE"""),"AvgPriceBase")</f>
        <v>AvgPriceBase</v>
      </c>
      <c r="AJ5" s="30" t="str">
        <f>IFERROR(__xludf.DUMMYFUNCTION("""COMPUTED_VALUE"""),"Accrued Interest")</f>
        <v>Accrued Interest</v>
      </c>
      <c r="AK5" s="30" t="str">
        <f>IFERROR(__xludf.DUMMYFUNCTION("""COMPUTED_VALUE"""),"FXRate")</f>
        <v>FXRate</v>
      </c>
      <c r="AL5" s="30" t="str">
        <f>IFERROR(__xludf.DUMMYFUNCTION("""COMPUTED_VALUE"""),"Change Type")</f>
        <v>Change Type</v>
      </c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36">
        <v>7510.5042</v>
      </c>
      <c r="C6" s="36">
        <v>7510.5042</v>
      </c>
      <c r="D6" s="36">
        <v>7500.0</v>
      </c>
      <c r="E6" s="36">
        <v>7500.0</v>
      </c>
      <c r="F6" s="13" t="s">
        <v>47</v>
      </c>
      <c r="G6" s="13"/>
      <c r="H6" s="13" t="s">
        <v>43</v>
      </c>
      <c r="I6" s="8"/>
      <c r="J6" s="8"/>
      <c r="K6" s="8"/>
      <c r="L6" s="8"/>
      <c r="M6" s="8"/>
      <c r="N6" s="8"/>
      <c r="O6" s="13" t="s">
        <v>31</v>
      </c>
      <c r="P6" s="9" t="s">
        <v>48</v>
      </c>
      <c r="Q6" s="9">
        <v>75.0</v>
      </c>
      <c r="R6" s="9">
        <v>750.0</v>
      </c>
      <c r="AI6" s="9">
        <v>10.0</v>
      </c>
      <c r="AK6" s="9">
        <v>1.0</v>
      </c>
    </row>
    <row r="7" ht="15.75" customHeight="1">
      <c r="A7" s="8"/>
      <c r="B7" s="36">
        <v>2503.5014</v>
      </c>
      <c r="C7" s="36">
        <v>2503.5014</v>
      </c>
      <c r="D7" s="36">
        <v>2500.0</v>
      </c>
      <c r="E7" s="36">
        <v>2500.0</v>
      </c>
      <c r="F7" s="13" t="s">
        <v>47</v>
      </c>
      <c r="G7" s="13"/>
      <c r="H7" s="13" t="s">
        <v>43</v>
      </c>
      <c r="I7" s="8"/>
      <c r="J7" s="8"/>
      <c r="K7" s="8"/>
      <c r="L7" s="8"/>
      <c r="M7" s="8"/>
      <c r="N7" s="8"/>
      <c r="O7" s="13" t="s">
        <v>30</v>
      </c>
      <c r="P7" s="9" t="s">
        <v>48</v>
      </c>
      <c r="Q7" s="9">
        <v>25.0</v>
      </c>
      <c r="R7" s="9">
        <v>250.0</v>
      </c>
      <c r="AI7" s="9">
        <v>10.0</v>
      </c>
      <c r="AK7" s="9">
        <v>1.0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CheckAllocatedTaxlots!$4:$4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76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49</v>
      </c>
      <c r="D3" s="5" t="s">
        <v>9</v>
      </c>
      <c r="E3" s="23" t="s">
        <v>50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IFERROR(__xludf.DUMMYFUNCTION("""COMPUTED_VALUE"""),"CheckPMLiveFeed")</f>
        <v>CheckPMLiveFeed</v>
      </c>
      <c r="E4" s="25" t="str">
        <f>IFERROR(__xludf.DUMMYFUNCTION("""COMPUTED_VALUE"""),"OpenPSTFromPM")</f>
        <v>OpenPSTFromPM</v>
      </c>
      <c r="F4" s="25" t="str">
        <f>IFERROR(__xludf.DUMMYFUNCTION("""COMPUTED_VALUE"""),"IncreasePositionFromPM")</f>
        <v>IncreasePositionFromPM</v>
      </c>
      <c r="G4" s="25" t="str">
        <f>IFERROR(__xludf.DUMMYFUNCTION("""COMPUTED_VALUE"""),"ClosePM")</f>
        <v>ClosePM</v>
      </c>
      <c r="H4" s="25" t="str">
        <f>IFERROR(__xludf.DUMMYFUNCTION("""COMPUTED_VALUE"""),"RemoveGroupingFromPM")</f>
        <v>RemoveGroupingFromPM</v>
      </c>
      <c r="I4" s="25" t="str">
        <f>IFERROR(__xludf.DUMMYFUNCTION("""COMPUTED_VALUE"""),"OpenCreateTransactionFromPM")</f>
        <v>OpenCreateTransactionFromPM</v>
      </c>
      <c r="J4" s="25" t="str">
        <f>IFERROR(__xludf.DUMMYFUNCTION("""COMPUTED_VALUE"""),"FilterPM")</f>
        <v>FilterPM</v>
      </c>
      <c r="K4" s="25" t="str">
        <f>IFERROR(__xludf.DUMMYFUNCTION("""COMPUTED_VALUE"""),"GroupRowPM")</f>
        <v>GroupRowPM</v>
      </c>
      <c r="L4" s="25" t="str">
        <f>IFERROR(__xludf.DUMMYFUNCTION("""COMPUTED_VALUE"""),"CheckDashboardWithPM")</f>
        <v>CheckDashboardWithPM</v>
      </c>
      <c r="M4" s="25" t="str">
        <f>IFERROR(__xludf.DUMMYFUNCTION("""COMPUTED_VALUE"""),"RemoveFilterPM")</f>
        <v>RemoveFilterPM</v>
      </c>
      <c r="N4" s="25" t="str">
        <f>IFERROR(__xludf.DUMMYFUNCTION("""COMPUTED_VALUE"""),"CheckSummaryRowsPM")</f>
        <v>CheckSummaryRowsPM</v>
      </c>
      <c r="O4" s="25" t="str">
        <f>IFERROR(__xludf.DUMMYFUNCTION("""COMPUTED_VALUE"""),"OpenPTTFromPM")</f>
        <v>OpenPTTFromPM</v>
      </c>
      <c r="P4" s="26" t="str">
        <f>IFERROR(__xludf.DUMMYFUNCTION("""COMPUTED_VALUE"""),"DeleteCustomViewPM")</f>
        <v>DeleteCustomViewPM</v>
      </c>
      <c r="Q4" s="26" t="str">
        <f>IFERROR(__xludf.DUMMYFUNCTION("""COMPUTED_VALUE"""),"RenameCustomViewPM")</f>
        <v>RenameCustomViewPM</v>
      </c>
      <c r="R4" s="26" t="str">
        <f>IFERROR(__xludf.DUMMYFUNCTION("""COMPUTED_VALUE"""),"AddCustomViewRightClickPM")</f>
        <v>AddCustomViewRightClickPM</v>
      </c>
      <c r="S4" s="26" t="str">
        <f>IFERROR(__xludf.DUMMYFUNCTION("""COMPUTED_VALUE"""),"AddCustomViewPM")</f>
        <v>AddCustomViewPM</v>
      </c>
      <c r="T4" s="26" t="str">
        <f>IFERROR(__xludf.DUMMYFUNCTION("""COMPUTED_VALUE"""),"ExpandCollapsePM")</f>
        <v>ExpandCollapsePM</v>
      </c>
      <c r="U4" s="26" t="str">
        <f>IFERROR(__xludf.DUMMYFUNCTION("""COMPUTED_VALUE"""),"CloseSelectedTaxlotsFromPM")</f>
        <v>CloseSelectedTaxlotsFromPM</v>
      </c>
      <c r="V4" s="26" t="str">
        <f>IFERROR(__xludf.DUMMYFUNCTION("""COMPUTED_VALUE"""),"CloseAccountPositionFromPM")</f>
        <v>CloseAccountPositionFromPM</v>
      </c>
      <c r="W4" s="26" t="str">
        <f>IFERROR(__xludf.DUMMYFUNCTION("""COMPUTED_VALUE"""),"HideSummaryToolFromPM")</f>
        <v>HideSummaryToolFromPM</v>
      </c>
      <c r="X4" s="26" t="str">
        <f>IFERROR(__xludf.DUMMYFUNCTION("""COMPUTED_VALUE"""),"ShowSummaryToolFromPM")</f>
        <v>ShowSummaryToolFromPM</v>
      </c>
      <c r="Y4" s="26" t="str">
        <f>IFERROR(__xludf.DUMMYFUNCTION("""COMPUTED_VALUE"""),"ClosePositionFromPM")</f>
        <v>ClosePositionFromPM</v>
      </c>
      <c r="Z4" s="26" t="str">
        <f>IFERROR(__xludf.DUMMYFUNCTION("""COMPUTED_VALUE"""),"OpenDailyValuationFromPM")</f>
        <v>OpenDailyValuationFromPM</v>
      </c>
      <c r="AA4" s="26" t="str">
        <f>IFERROR(__xludf.DUMMYFUNCTION("""COMPUTED_VALUE"""),"OpenCorporateActionFromPM")</f>
        <v>OpenCorporateActionFromPM</v>
      </c>
      <c r="AB4" s="26" t="str">
        <f>IFERROR(__xludf.DUMMYFUNCTION("""COMPUTED_VALUE"""),"OpenClosingFromPM")</f>
        <v>OpenClosingFromPM</v>
      </c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 Date")</f>
        <v>Trade Date</v>
      </c>
      <c r="C5" s="28" t="str">
        <f>IFERROR(__xludf.DUMMYFUNCTION("""COMPUTED_VALUE"""),"Symbol")</f>
        <v>Symbol</v>
      </c>
      <c r="D5" s="28" t="str">
        <f>IFERROR(__xludf.DUMMYFUNCTION("""COMPUTED_VALUE"""),"Position")</f>
        <v>Position</v>
      </c>
      <c r="E5" s="28" t="str">
        <f>IFERROR(__xludf.DUMMYFUNCTION("""COMPUTED_VALUE"""),"Account")</f>
        <v>Account</v>
      </c>
      <c r="F5" s="29" t="str">
        <f>IFERROR(__xludf.DUMMYFUNCTION("""COMPUTED_VALUE"""),"MasterFund")</f>
        <v>MasterFund</v>
      </c>
      <c r="G5" s="28" t="str">
        <f>IFERROR(__xludf.DUMMYFUNCTION("""COMPUTED_VALUE"""),"Cost Basis")</f>
        <v>Cost Basis</v>
      </c>
      <c r="H5" s="28" t="str">
        <f>IFERROR(__xludf.DUMMYFUNCTION("""COMPUTED_VALUE"""),"Position Side")</f>
        <v>Position Side</v>
      </c>
      <c r="I5" s="28" t="str">
        <f>IFERROR(__xludf.DUMMYFUNCTION("""COMPUTED_VALUE"""),"Market Value (Base)")</f>
        <v>Market Value (Base)</v>
      </c>
      <c r="J5" s="28" t="str">
        <f>IFERROR(__xludf.DUMMYFUNCTION("""COMPUTED_VALUE"""),"% Day P&amp;L (Gross MV)")</f>
        <v>% Day P&amp;L (Gross MV)</v>
      </c>
      <c r="K5" s="28" t="str">
        <f>IFERROR(__xludf.DUMMYFUNCTION("""COMPUTED_VALUE"""),"Net Exposure (Base)")</f>
        <v>Net Exposure (Base)</v>
      </c>
      <c r="L5" s="28" t="str">
        <f>IFERROR(__xludf.DUMMYFUNCTION("""COMPUTED_VALUE"""),"Beta Adj. Gross Exposure (Base)")</f>
        <v>Beta Adj. Gross Exposure (Base)</v>
      </c>
      <c r="M5" s="28" t="str">
        <f>IFERROR(__xludf.DUMMYFUNCTION("""COMPUTED_VALUE"""),"Beta Adj. Gross Exposure (Underlying) (Base)")</f>
        <v>Beta Adj. Gross Exposure (Underlying) (Base)</v>
      </c>
      <c r="N5" s="28" t="str">
        <f>IFERROR(__xludf.DUMMYFUNCTION("""COMPUTED_VALUE"""),"Day P&amp;L (Base)")</f>
        <v>Day P&amp;L (Base)</v>
      </c>
      <c r="O5" s="28" t="str">
        <f>IFERROR(__xludf.DUMMYFUNCTION("""COMPUTED_VALUE"""),"Security Name")</f>
        <v>Security Name</v>
      </c>
      <c r="P5" s="28" t="str">
        <f>IFERROR(__xludf.DUMMYFUNCTION("""COMPUTED_VALUE"""),"Closing Mark")</f>
        <v>Closing Mark</v>
      </c>
      <c r="Q5" s="28" t="str">
        <f>IFERROR(__xludf.DUMMYFUNCTION("""COMPUTED_VALUE"""),"Cost Basis P&amp;L (Base)")</f>
        <v>Cost Basis P&amp;L (Base)</v>
      </c>
      <c r="R5" s="28" t="str">
        <f>IFERROR(__xludf.DUMMYFUNCTION("""COMPUTED_VALUE"""),"Prime Broker")</f>
        <v>Prime Broker</v>
      </c>
      <c r="S5" s="28" t="str">
        <f>IFERROR(__xludf.DUMMYFUNCTION("""COMPUTED_VALUE"""),"Strategy")</f>
        <v>Strategy</v>
      </c>
      <c r="T5" s="30" t="str">
        <f>IFERROR(__xludf.DUMMYFUNCTION("""COMPUTED_VALUE"""),"Asset Class")</f>
        <v>Asset Class</v>
      </c>
      <c r="U5" s="30" t="str">
        <f>IFERROR(__xludf.DUMMYFUNCTION("""COMPUTED_VALUE"""),"Underlying")</f>
        <v>Underlying</v>
      </c>
      <c r="V5" s="30" t="str">
        <f>IFERROR(__xludf.DUMMYFUNCTION("""COMPUTED_VALUE"""),"Exchange")</f>
        <v>Exchange</v>
      </c>
      <c r="W5" s="30" t="str">
        <f>IFERROR(__xludf.DUMMYFUNCTION("""COMPUTED_VALUE"""),"Trade Currency")</f>
        <v>Trade Currency</v>
      </c>
      <c r="X5" s="30" t="str">
        <f>IFERROR(__xludf.DUMMYFUNCTION("""COMPUTED_VALUE"""),"Multiplier")</f>
        <v>Multiplier</v>
      </c>
      <c r="Y5" s="30" t="str">
        <f>IFERROR(__xludf.DUMMYFUNCTION("""COMPUTED_VALUE"""),"FX Rate")</f>
        <v>FX Rate</v>
      </c>
      <c r="Z5" s="30" t="str">
        <f>IFERROR(__xludf.DUMMYFUNCTION("""COMPUTED_VALUE"""),"Vs Currency")</f>
        <v>Vs Currency</v>
      </c>
      <c r="AA5" s="30" t="str">
        <f>IFERROR(__xludf.DUMMYFUNCTION("""COMPUTED_VALUE"""),"Lead Currency")</f>
        <v>Lead Currency</v>
      </c>
      <c r="AB5" s="30" t="str">
        <f>IFERROR(__xludf.DUMMYFUNCTION("""COMPUTED_VALUE"""),"Dividend Yield (%)")</f>
        <v>Dividend Yield (%)</v>
      </c>
      <c r="AC5" s="30" t="str">
        <f>IFERROR(__xludf.DUMMYFUNCTION("""COMPUTED_VALUE"""),"% Change")</f>
        <v>% Change</v>
      </c>
      <c r="AD5" s="30" t="str">
        <f>IFERROR(__xludf.DUMMYFUNCTION("""COMPUTED_VALUE"""),"Net Exposure (Local)")</f>
        <v>Net Exposure (Local)</v>
      </c>
      <c r="AE5" s="30" t="str">
        <f>IFERROR(__xludf.DUMMYFUNCTION("""COMPUTED_VALUE"""),"Exposure (Local)")</f>
        <v>Exposure (Local)</v>
      </c>
      <c r="AF5" s="30" t="str">
        <f>IFERROR(__xludf.DUMMYFUNCTION("""COMPUTED_VALUE"""),"Delta Adj. Position")</f>
        <v>Delta Adj. Position</v>
      </c>
      <c r="AG5" s="30" t="str">
        <f>IFERROR(__xludf.DUMMYFUNCTION("""COMPUTED_VALUE"""),"Exposure (Base)")</f>
        <v>Exposure (Base)</v>
      </c>
      <c r="AH5" s="30" t="str">
        <f>IFERROR(__xludf.DUMMYFUNCTION("""COMPUTED_VALUE"""),"Beta Adj. Exposure (Local)")</f>
        <v>Beta Adj. Exposure (Local)</v>
      </c>
      <c r="AI5" s="30" t="str">
        <f>IFERROR(__xludf.DUMMYFUNCTION("""COMPUTED_VALUE"""),"Beta Adj. Exposure (Base)")</f>
        <v>Beta Adj. Exposure (Base)</v>
      </c>
      <c r="AJ5" s="30" t="str">
        <f>IFERROR(__xludf.DUMMYFUNCTION("""COMPUTED_VALUE"""),"Exposure (BP)(Base)")</f>
        <v>Exposure (BP)(Base)</v>
      </c>
      <c r="AK5" s="30" t="str">
        <f>IFERROR(__xludf.DUMMYFUNCTION("""COMPUTED_VALUE"""),"Day P&amp;L (Local)")</f>
        <v>Day P&amp;L (Local)</v>
      </c>
      <c r="AL5" s="30" t="str">
        <f>IFERROR(__xludf.DUMMYFUNCTION("""COMPUTED_VALUE"""),"Delta")</f>
        <v>Delta</v>
      </c>
      <c r="AM5" s="30" t="str">
        <f>IFERROR(__xludf.DUMMYFUNCTION("""COMPUTED_VALUE"""),"Leveraged Factor")</f>
        <v>Leveraged Factor</v>
      </c>
      <c r="AN5" s="30" t="str">
        <f>IFERROR(__xludf.DUMMYFUNCTION("""COMPUTED_VALUE"""),"Order Side")</f>
        <v>Order Side</v>
      </c>
      <c r="AO5" s="30" t="str">
        <f>IFERROR(__xludf.DUMMYFUNCTION("""COMPUTED_VALUE"""),"Master Strategy")</f>
        <v>Master Strategy</v>
      </c>
      <c r="AP5" s="30" t="str">
        <f>IFERROR(__xludf.DUMMYFUNCTION("""COMPUTED_VALUE"""),"Transaction Side")</f>
        <v>Transaction Side</v>
      </c>
      <c r="AQ5" s="30" t="str">
        <f>IFERROR(__xludf.DUMMYFUNCTION("""COMPUTED_VALUE"""),"Underlying Symbol")</f>
        <v>Underlying Symbol</v>
      </c>
      <c r="AR5" s="30" t="str">
        <f>IFERROR(__xludf.DUMMYFUNCTION("""COMPUTED_VALUE"""),"Underlying Price")</f>
        <v>Underlying Price</v>
      </c>
      <c r="AS5" s="30" t="str">
        <f>IFERROR(__xludf.DUMMYFUNCTION("""COMPUTED_VALUE"""),"Side Multiplier")</f>
        <v>Side Multiplier</v>
      </c>
      <c r="AT5" s="30" t="str">
        <f>IFERROR(__xludf.DUMMYFUNCTION("""COMPUTED_VALUE"""),"Description")</f>
        <v>Description</v>
      </c>
      <c r="AU5" s="30" t="str">
        <f>IFERROR(__xludf.DUMMYFUNCTION("""COMPUTED_VALUE"""),"Internal Comments")</f>
        <v>Internal Comments</v>
      </c>
      <c r="AV5" s="30" t="str">
        <f>IFERROR(__xludf.DUMMYFUNCTION("""COMPUTED_VALUE"""),"FX Rate On Trade Date")</f>
        <v>FX Rate On Trade Date</v>
      </c>
      <c r="AW5" s="30" t="str">
        <f>IFERROR(__xludf.DUMMYFUNCTION("""COMPUTED_VALUE"""),"Cost Basis P&amp;L (Local)")</f>
        <v>Cost Basis P&amp;L (Local)</v>
      </c>
      <c r="AX5" s="30" t="str">
        <f>IFERROR(__xludf.DUMMYFUNCTION("""COMPUTED_VALUE"""),"Day Interest")</f>
        <v>Day Interest</v>
      </c>
      <c r="AY5" s="30" t="str">
        <f>IFERROR(__xludf.DUMMYFUNCTION("""COMPUTED_VALUE"""),"Total Interest")</f>
        <v>Total Interest</v>
      </c>
      <c r="AZ5" s="30" t="str">
        <f>IFERROR(__xludf.DUMMYFUNCTION("""COMPUTED_VALUE"""),"Market Value (Local)")</f>
        <v>Market Value (Local)</v>
      </c>
      <c r="BA5" s="30" t="str">
        <f>IFERROR(__xludf.DUMMYFUNCTION("""COMPUTED_VALUE"""),"% Gain/Loss Day")</f>
        <v>% Gain/Loss Day</v>
      </c>
      <c r="BB5" s="30" t="str">
        <f>IFERROR(__xludf.DUMMYFUNCTION("""COMPUTED_VALUE"""),"Update Time (Last Price)")</f>
        <v>Update Time (Last Price)</v>
      </c>
      <c r="BC5" s="30" t="str">
        <f>IFERROR(__xludf.DUMMYFUNCTION("""COMPUTED_VALUE"""),"Beta")</f>
        <v>Beta</v>
      </c>
      <c r="BD5" s="30" t="str">
        <f>IFERROR(__xludf.DUMMYFUNCTION("""COMPUTED_VALUE"""),"Cash Impact (Local)")</f>
        <v>Cash Impact (Local)</v>
      </c>
      <c r="BE5" s="30" t="str">
        <f>IFERROR(__xludf.DUMMYFUNCTION("""COMPUTED_VALUE"""),"User Asset")</f>
        <v>User Asset</v>
      </c>
      <c r="BF5" s="30" t="str">
        <f>IFERROR(__xludf.DUMMYFUNCTION("""COMPUTED_VALUE"""),"Security Type")</f>
        <v>Security Type</v>
      </c>
      <c r="BG5" s="30" t="str">
        <f>IFERROR(__xludf.DUMMYFUNCTION("""COMPUTED_VALUE"""),"Sector")</f>
        <v>Sector</v>
      </c>
      <c r="BH5" s="30" t="str">
        <f>IFERROR(__xludf.DUMMYFUNCTION("""COMPUTED_VALUE"""),"Sub Sector")</f>
        <v>Sub Sector</v>
      </c>
      <c r="BI5" s="30" t="str">
        <f>IFERROR(__xludf.DUMMYFUNCTION("""COMPUTED_VALUE"""),"Country")</f>
        <v>Country</v>
      </c>
      <c r="BJ5" s="30" t="str">
        <f>IFERROR(__xludf.DUMMYFUNCTION("""COMPUTED_VALUE"""),"Market Cap")</f>
        <v>Market Cap</v>
      </c>
      <c r="BK5" s="30" t="str">
        <f>IFERROR(__xludf.DUMMYFUNCTION("""COMPUTED_VALUE"""),"Shares Outstanding (MM)")</f>
        <v>Shares Outstanding (MM)</v>
      </c>
      <c r="BL5" s="30" t="str">
        <f>IFERROR(__xludf.DUMMYFUNCTION("""COMPUTED_VALUE"""),"Avg Volume 20 Day")</f>
        <v>Avg Volume 20 Day</v>
      </c>
      <c r="BM5" s="30" t="str">
        <f>IFERROR(__xludf.DUMMYFUNCTION("""COMPUTED_VALUE"""),"% Avg Volume (Delta Adj.)")</f>
        <v>% Avg Volume (Delta Adj.)</v>
      </c>
      <c r="BN5" s="30" t="str">
        <f>IFERROR(__xludf.DUMMYFUNCTION("""COMPUTED_VALUE"""),"Ex Dividend Date")</f>
        <v>Ex Dividend Date</v>
      </c>
      <c r="BO5" s="30" t="str">
        <f>IFERROR(__xludf.DUMMYFUNCTION("""COMPUTED_VALUE"""),"Cash Impact (Base)")</f>
        <v>Cash Impact (Base)</v>
      </c>
      <c r="BP5" s="30" t="str">
        <f>IFERROR(__xludf.DUMMYFUNCTION("""COMPUTED_VALUE"""),"Volatility (%)")</f>
        <v>Volatility (%)</v>
      </c>
      <c r="BQ5" s="30" t="str">
        <f>IFERROR(__xludf.DUMMYFUNCTION("""COMPUTED_VALUE"""),"User")</f>
        <v>User</v>
      </c>
      <c r="BR5" s="30" t="str">
        <f>IFERROR(__xludf.DUMMYFUNCTION("""COMPUTED_VALUE"""),"Broker")</f>
        <v>Broker</v>
      </c>
      <c r="BS5" s="30" t="str">
        <f>IFERROR(__xludf.DUMMYFUNCTION("""COMPUTED_VALUE"""),"Earned Dividend (Local)")</f>
        <v>Earned Dividend (Local)</v>
      </c>
      <c r="BT5" s="30" t="str">
        <f>IFERROR(__xludf.DUMMYFUNCTION("""COMPUTED_VALUE"""),"Earned Dividend (Base)")</f>
        <v>Earned Dividend (Base)</v>
      </c>
      <c r="BU5" s="30" t="str">
        <f>IFERROR(__xludf.DUMMYFUNCTION("""COMPUTED_VALUE"""),"Put/Call")</f>
        <v>Put/Call</v>
      </c>
      <c r="BV5" s="30" t="str">
        <f>IFERROR(__xludf.DUMMYFUNCTION("""COMPUTED_VALUE"""),"Expiration Date")</f>
        <v>Expiration Date</v>
      </c>
      <c r="BW5" s="30" t="str">
        <f>IFERROR(__xludf.DUMMYFUNCTION("""COMPUTED_VALUE"""),"Strike Price")</f>
        <v>Strike Price</v>
      </c>
      <c r="BX5" s="30" t="str">
        <f>IFERROR(__xludf.DUMMYFUNCTION("""COMPUTED_VALUE"""),"Gross Exposure (Base)")</f>
        <v>Gross Exposure (Base)</v>
      </c>
      <c r="BY5" s="30" t="str">
        <f>IFERROR(__xludf.DUMMYFUNCTION("""COMPUTED_VALUE"""),"Gross Market Value (Base)")</f>
        <v>Gross Market Value (Base)</v>
      </c>
      <c r="BZ5" s="30" t="str">
        <f>IFERROR(__xludf.DUMMYFUNCTION("""COMPUTED_VALUE"""),"Px Selected Feed (Local)")</f>
        <v>Px Selected Feed (Local)</v>
      </c>
      <c r="CA5" s="30" t="str">
        <f>IFERROR(__xludf.DUMMYFUNCTION("""COMPUTED_VALUE"""),"Px Selected Feed (Base)")</f>
        <v>Px Selected Feed (Base)</v>
      </c>
      <c r="CB5" s="30" t="str">
        <f>IFERROR(__xludf.DUMMYFUNCTION("""COMPUTED_VALUE"""),"Settlement Date")</f>
        <v>Settlement Date</v>
      </c>
      <c r="CC5" s="30" t="str">
        <f>IFERROR(__xludf.DUMMYFUNCTION("""COMPUTED_VALUE"""),"% Avg Volume")</f>
        <v>% Avg Volume</v>
      </c>
      <c r="CD5" s="30" t="str">
        <f>IFERROR(__xludf.DUMMYFUNCTION("""COMPUTED_VALUE"""),"Day P&amp;L (Base)(Price Gain)")</f>
        <v>Day P&amp;L (Base)(Price Gain)</v>
      </c>
      <c r="CE5" s="30" t="str">
        <f>IFERROR(__xludf.DUMMYFUNCTION("""COMPUTED_VALUE"""),"Day P&amp;L (Base)(FX Gain)")</f>
        <v>Day P&amp;L (Base)(FX Gain)</v>
      </c>
      <c r="CF5" s="30" t="str">
        <f>IFERROR(__xludf.DUMMYFUNCTION("""COMPUTED_VALUE"""),"Cost Basis P&amp;L (Base)(FX Gain)")</f>
        <v>Cost Basis P&amp;L (Base)(FX Gain)</v>
      </c>
      <c r="CG5" s="30" t="str">
        <f>IFERROR(__xludf.DUMMYFUNCTION("""COMPUTED_VALUE"""),"Cost Basis P&amp;L (Base)(Price Gain)")</f>
        <v>Cost Basis P&amp;L (Base)(Price Gain)</v>
      </c>
      <c r="CH5" s="30" t="str">
        <f>IFERROR(__xludf.DUMMYFUNCTION("""COMPUTED_VALUE"""),"% Gain/Loss Cost")</f>
        <v>% Gain/Loss Cost</v>
      </c>
      <c r="CI5" s="30" t="str">
        <f>IFERROR(__xludf.DUMMYFUNCTION("""COMPUTED_VALUE"""),"Underlying Value (Options)")</f>
        <v>Underlying Value (Options)</v>
      </c>
      <c r="CJ5" s="30" t="str">
        <f>IFERROR(__xludf.DUMMYFUNCTION("""COMPUTED_VALUE"""),"Avg Volume 20 Day (Underlying Symbol)")</f>
        <v>Avg Volume 20 Day (Underlying Symbol)</v>
      </c>
      <c r="CK5" s="30" t="str">
        <f>IFERROR(__xludf.DUMMYFUNCTION("""COMPUTED_VALUE"""),"IsStaleData")</f>
        <v>IsStaleData</v>
      </c>
      <c r="CL5" s="30" t="str">
        <f>IFERROR(__xludf.DUMMYFUNCTION("""COMPUTED_VALUE"""),"IDCO")</f>
        <v>IDCO</v>
      </c>
      <c r="CM5" s="30" t="str">
        <f>IFERROR(__xludf.DUMMYFUNCTION("""COMPUTED_VALUE"""),"OSI")</f>
        <v>OSI</v>
      </c>
      <c r="CN5" s="30" t="str">
        <f>IFERROR(__xludf.DUMMYFUNCTION("""COMPUTED_VALUE"""),"SEDOL")</f>
        <v>SEDOL</v>
      </c>
      <c r="CO5" s="30" t="str">
        <f>IFERROR(__xludf.DUMMYFUNCTION("""COMPUTED_VALUE"""),"CUSIP")</f>
        <v>CUSIP</v>
      </c>
      <c r="CP5" s="30" t="str">
        <f>IFERROR(__xludf.DUMMYFUNCTION("""COMPUTED_VALUE"""),"Bloomberg")</f>
        <v>Bloomberg</v>
      </c>
      <c r="CQ5" s="30" t="str">
        <f>IFERROR(__xludf.DUMMYFUNCTION("""COMPUTED_VALUE"""),"ISIN")</f>
        <v>ISIN</v>
      </c>
      <c r="CR5" s="30" t="str">
        <f>IFERROR(__xludf.DUMMYFUNCTION("""COMPUTED_VALUE"""),"Start Trade Date")</f>
        <v>Start Trade Date</v>
      </c>
      <c r="CS5" s="30" t="str">
        <f>IFERROR(__xludf.DUMMYFUNCTION("""COMPUTED_VALUE"""),"Cost Basis (Break Even)")</f>
        <v>Cost Basis (Break Even)</v>
      </c>
      <c r="CT5" s="30" t="str">
        <f>IFERROR(__xludf.DUMMYFUNCTION("""COMPUTED_VALUE"""),"Trade Attribute 3")</f>
        <v>Trade Attribute 3</v>
      </c>
      <c r="CU5" s="30" t="str">
        <f>IFERROR(__xludf.DUMMYFUNCTION("""COMPUTED_VALUE"""),"Trade Attribute 4")</f>
        <v>Trade Attribute 4</v>
      </c>
      <c r="CV5" s="30" t="str">
        <f>IFERROR(__xludf.DUMMYFUNCTION("""COMPUTED_VALUE"""),"Trade Attribute 5")</f>
        <v>Trade Attribute 5</v>
      </c>
      <c r="CW5" s="30" t="str">
        <f>IFERROR(__xludf.DUMMYFUNCTION("""COMPUTED_VALUE"""),"Trade Attribute 6")</f>
        <v>Trade Attribute 6</v>
      </c>
      <c r="CX5" s="30" t="str">
        <f>IFERROR(__xludf.DUMMYFUNCTION("""COMPUTED_VALUE"""),"Proxy Symbol")</f>
        <v>Proxy Symbol</v>
      </c>
      <c r="CY5" s="30" t="str">
        <f>IFERROR(__xludf.DUMMYFUNCTION("""COMPUTED_VALUE"""),"Pricing Source")</f>
        <v>Pricing Source</v>
      </c>
      <c r="CZ5" s="30" t="str">
        <f>IFERROR(__xludf.DUMMYFUNCTION("""COMPUTED_VALUE"""),"Delta Source")</f>
        <v>Delta Source</v>
      </c>
      <c r="DA5" s="30" t="str">
        <f>IFERROR(__xludf.DUMMYFUNCTION("""COMPUTED_VALUE"""),"Gross Exposure (Local)")</f>
        <v>Gross Exposure (Local)</v>
      </c>
      <c r="DB5" s="30" t="str">
        <f>IFERROR(__xludf.DUMMYFUNCTION("""COMPUTED_VALUE"""),"% Day P&amp;L (Net MV)")</f>
        <v>% Day P&amp;L (Net MV)</v>
      </c>
      <c r="DC5" s="30" t="str">
        <f>IFERROR(__xludf.DUMMYFUNCTION("""COMPUTED_VALUE"""),"Expiration Month")</f>
        <v>Expiration Month</v>
      </c>
      <c r="DD5" s="30" t="str">
        <f>IFERROR(__xludf.DUMMYFUNCTION("""COMPUTED_VALUE"""),"Delta Adj. Position (LME)")</f>
        <v>Delta Adj. Position (LME)</v>
      </c>
      <c r="DE5" s="30" t="str">
        <f>IFERROR(__xludf.DUMMYFUNCTION("""COMPUTED_VALUE"""),"Premium")</f>
        <v>Premium</v>
      </c>
      <c r="DF5" s="30" t="str">
        <f>IFERROR(__xludf.DUMMYFUNCTION("""COMPUTED_VALUE"""),"Premium $")</f>
        <v>Premium $</v>
      </c>
      <c r="DG5" s="30" t="str">
        <f>IFERROR(__xludf.DUMMYFUNCTION("""COMPUTED_VALUE"""),"Forward Points")</f>
        <v>Forward Points</v>
      </c>
      <c r="DH5" s="30" t="str">
        <f>IFERROR(__xludf.DUMMYFUNCTION("""COMPUTED_VALUE"""),"Closing Mark (Underlying)")</f>
        <v>Closing Mark (Underlying)</v>
      </c>
      <c r="DI5" s="30" t="str">
        <f>IFERROR(__xludf.DUMMYFUNCTION("""COMPUTED_VALUE"""),"% Change (Underlying Price)")</f>
        <v>% Change (Underlying Price)</v>
      </c>
      <c r="DJ5" s="30" t="str">
        <f>IFERROR(__xludf.DUMMYFUNCTION("""COMPUTED_VALUE"""),"Transaction Type")</f>
        <v>Transaction Type</v>
      </c>
      <c r="DK5" s="30" t="str">
        <f>IFERROR(__xludf.DUMMYFUNCTION("""COMPUTED_VALUE"""),"Closing Market Value (Local)")</f>
        <v>Closing Market Value (Local)</v>
      </c>
      <c r="DL5" s="30" t="str">
        <f>IFERROR(__xludf.DUMMYFUNCTION("""COMPUTED_VALUE"""),"Closing Market Value (Base)")</f>
        <v>Closing Market Value (Base)</v>
      </c>
      <c r="DM5" s="30" t="str">
        <f>IFERROR(__xludf.DUMMYFUNCTION("""COMPUTED_VALUE"""),"Closing FX Rate")</f>
        <v>Closing FX Rate</v>
      </c>
      <c r="DN5" s="30" t="str">
        <f>IFERROR(__xludf.DUMMYFUNCTION("""COMPUTED_VALUE"""),"Change In Underlying Price")</f>
        <v>Change In Underlying Price</v>
      </c>
      <c r="DO5" s="30" t="str">
        <f>IFERROR(__xludf.DUMMYFUNCTION("""COMPUTED_VALUE"""),"RIC")</f>
        <v>RIC</v>
      </c>
      <c r="DP5" s="30" t="str">
        <f>IFERROR(__xludf.DUMMYFUNCTION("""COMPUTED_VALUE"""),"Position Side Exposure (Boxed)")</f>
        <v>Position Side Exposure (Boxed)</v>
      </c>
      <c r="DQ5" s="30" t="str">
        <f>IFERROR(__xludf.DUMMYFUNCTION("""COMPUTED_VALUE"""),"Analyst")</f>
        <v>Analyst</v>
      </c>
      <c r="DR5" s="30" t="str">
        <f>IFERROR(__xludf.DUMMYFUNCTION("""COMPUTED_VALUE"""),"Country Of Risk")</f>
        <v>Country Of Risk</v>
      </c>
      <c r="DS5" s="30" t="str">
        <f>IFERROR(__xludf.DUMMYFUNCTION("""COMPUTED_VALUE"""),"Custom UDA1")</f>
        <v>Custom UDA1</v>
      </c>
      <c r="DT5" s="30" t="str">
        <f>IFERROR(__xludf.DUMMYFUNCTION("""COMPUTED_VALUE"""),"Custom UDA2")</f>
        <v>Custom UDA2</v>
      </c>
      <c r="DU5" s="30" t="str">
        <f>IFERROR(__xludf.DUMMYFUNCTION("""COMPUTED_VALUE"""),"Custom UDA3")</f>
        <v>Custom UDA3</v>
      </c>
      <c r="DV5" s="30" t="str">
        <f>IFERROR(__xludf.DUMMYFUNCTION("""COMPUTED_VALUE"""),"Custom UDA4")</f>
        <v>Custom UDA4</v>
      </c>
      <c r="DW5" s="30" t="str">
        <f>IFERROR(__xludf.DUMMYFUNCTION("""COMPUTED_VALUE"""),"Custom UDA5")</f>
        <v>Custom UDA5</v>
      </c>
      <c r="DX5" s="30" t="str">
        <f>IFERROR(__xludf.DUMMYFUNCTION("""COMPUTED_VALUE"""),"Custom UDA6")</f>
        <v>Custom UDA6</v>
      </c>
      <c r="DY5" s="30" t="str">
        <f>IFERROR(__xludf.DUMMYFUNCTION("""COMPUTED_VALUE"""),"Custom UDA7")</f>
        <v>Custom UDA7</v>
      </c>
      <c r="DZ5" s="30" t="str">
        <f>IFERROR(__xludf.DUMMYFUNCTION("""COMPUTED_VALUE"""),"Issuer")</f>
        <v>Issuer</v>
      </c>
      <c r="EA5" s="30" t="str">
        <f>IFERROR(__xludf.DUMMYFUNCTION("""COMPUTED_VALUE"""),"Liquid Tag")</f>
        <v>Liquid Tag</v>
      </c>
      <c r="EB5" s="30" t="str">
        <f>IFERROR(__xludf.DUMMYFUNCTION("""COMPUTED_VALUE"""),"Market Cap UDA")</f>
        <v>Market Cap UDA</v>
      </c>
      <c r="EC5" s="30" t="str">
        <f>IFERROR(__xludf.DUMMYFUNCTION("""COMPUTED_VALUE"""),"Region")</f>
        <v>Region</v>
      </c>
      <c r="ED5" s="30" t="str">
        <f>IFERROR(__xludf.DUMMYFUNCTION("""COMPUTED_VALUE"""),"Risk Currency")</f>
        <v>Risk Currency</v>
      </c>
      <c r="EE5" s="30" t="str">
        <f>IFERROR(__xludf.DUMMYFUNCTION("""COMPUTED_VALUE"""),"UCITS Eligible Tag")</f>
        <v>UCITS Eligible Tag</v>
      </c>
      <c r="EF5" s="30" t="str">
        <f>IFERROR(__xludf.DUMMYFUNCTION("""COMPUTED_VALUE"""),"FX Rate (Display)")</f>
        <v>FX Rate (Display)</v>
      </c>
      <c r="EG5" s="30" t="str">
        <f>IFERROR(__xludf.DUMMYFUNCTION("""COMPUTED_VALUE"""),"% Net Exposure (Base)")</f>
        <v>% Net Exposure (Base)</v>
      </c>
      <c r="EH5" s="30" t="str">
        <f>IFERROR(__xludf.DUMMYFUNCTION("""COMPUTED_VALUE"""),"% Gross Exposure (Base)")</f>
        <v>% Gross Exposure (Base)</v>
      </c>
      <c r="EI5" s="30" t="str">
        <f>IFERROR(__xludf.DUMMYFUNCTION("""COMPUTED_VALUE"""),"% Exposure (Base)")</f>
        <v>% Exposure (Base)</v>
      </c>
      <c r="EJ5" s="30" t="str">
        <f>IFERROR(__xludf.DUMMYFUNCTION("""COMPUTED_VALUE"""),"% Gross Exposure (Underlying) (Base)")</f>
        <v>% Gross Exposure (Underlying) (Base)</v>
      </c>
      <c r="EK5" s="30" t="str">
        <f>IFERROR(__xludf.DUMMYFUNCTION("""COMPUTED_VALUE"""),"% Beta Adj. Gross Exposure (Base)")</f>
        <v>% Beta Adj. Gross Exposure (Base)</v>
      </c>
      <c r="EL5" s="30" t="str">
        <f>IFERROR(__xludf.DUMMYFUNCTION("""COMPUTED_VALUE"""),"Position Side Exposure (Underlying)")</f>
        <v>Position Side Exposure (Underlying)</v>
      </c>
      <c r="EM5" s="30" t="str">
        <f>IFERROR(__xludf.DUMMYFUNCTION("""COMPUTED_VALUE"""),"Gross Exposure (Underlying) (Base)")</f>
        <v>Gross Exposure (Underlying) (Base)</v>
      </c>
      <c r="EN5" s="30" t="str">
        <f>IFERROR(__xludf.DUMMYFUNCTION("""COMPUTED_VALUE"""),"Gross Exposure (Underlying)")</f>
        <v>Gross Exposure (Underlying)</v>
      </c>
      <c r="EO5" s="30" t="str">
        <f>IFERROR(__xludf.DUMMYFUNCTION("""COMPUTED_VALUE"""),"Day Return")</f>
        <v>Day Return</v>
      </c>
      <c r="EP5" s="30" t="str">
        <f>IFERROR(__xludf.DUMMYFUNCTION("""COMPUTED_VALUE"""),"Start of Day NAV")</f>
        <v>Start of Day NAV</v>
      </c>
      <c r="EQ5" s="30" t="str">
        <f>IFERROR(__xludf.DUMMYFUNCTION("""COMPUTED_VALUE"""),"% Gross Market Value (Base)")</f>
        <v>% Gross Market Value (Base)</v>
      </c>
      <c r="ER5" s="30" t="str">
        <f>IFERROR(__xludf.DUMMYFUNCTION("""COMPUTED_VALUE"""),"Beta Adj. Gross Exposure (Underlying) (Local)")</f>
        <v>Beta Adj. Gross Exposure (Underlying) (Local)</v>
      </c>
      <c r="ES5" s="30" t="str">
        <f>IFERROR(__xludf.DUMMYFUNCTION("""COMPUTED_VALUE"""),"NAV")</f>
        <v>NAV</v>
      </c>
      <c r="ET5" s="30" t="str">
        <f>IFERROR(__xludf.DUMMYFUNCTION("""COMPUTED_VALUE"""),"% P&amp;L Contribution")</f>
        <v>% P&amp;L Contribution</v>
      </c>
      <c r="EU5" s="30" t="str">
        <f>IFERROR(__xludf.DUMMYFUNCTION("""COMPUTED_VALUE"""),"% Net Market Value (Base)")</f>
        <v>% Net Market Value (Base)</v>
      </c>
      <c r="EV5" s="30" t="str">
        <f>IFERROR(__xludf.DUMMYFUNCTION("""COMPUTED_VALUE"""),"Position Side Exposure")</f>
        <v>Position Side Exposure</v>
      </c>
      <c r="EW5" s="30" t="str">
        <f>IFERROR(__xludf.DUMMYFUNCTION("""COMPUTED_VALUE"""),"NAV (Touch)")</f>
        <v>NAV (Touch)</v>
      </c>
      <c r="EX5" s="30" t="str">
        <f>IFERROR(__xludf.DUMMYFUNCTION("""COMPUTED_VALUE"""),"IgnorePropertyChangeEvents")</f>
        <v>IgnorePropertyChangeEvents</v>
      </c>
      <c r="EY5" s="30" t="str">
        <f>IFERROR(__xludf.DUMMYFUNCTION("""COMPUTED_VALUE"""),"Trade Attribute 1")</f>
        <v>Trade Attribute 1</v>
      </c>
      <c r="EZ5" s="30" t="str">
        <f>IFERROR(__xludf.DUMMYFUNCTION("""COMPUTED_VALUE"""),"Trade Attribute 2")</f>
        <v>Trade Attribute 2</v>
      </c>
      <c r="FA5" s="30" t="str">
        <f>IFERROR(__xludf.DUMMYFUNCTION("""COMPUTED_VALUE"""),"Client")</f>
        <v>Client</v>
      </c>
      <c r="FB5" s="30" t="str">
        <f>IFERROR(__xludf.DUMMYFUNCTION("""COMPUTED_VALUE"""),"IsCustomViewTab")</f>
        <v>IsCustomViewTab</v>
      </c>
      <c r="FC5" s="30" t="str">
        <f>IFERROR(__xludf.DUMMYFUNCTION("""COMPUTED_VALUE"""),"ITM/OTM")</f>
        <v>ITM/OTM</v>
      </c>
      <c r="FD5" s="30" t="str">
        <f>IFERROR(__xludf.DUMMYFUNCTION("""COMPUTED_VALUE"""),"Days to Expiry")</f>
        <v>Days to Expiry</v>
      </c>
      <c r="FE5" s="30" t="str">
        <f>IFERROR(__xludf.DUMMYFUNCTION("""COMPUTED_VALUE"""),"% of Underlying Price")</f>
        <v>% of Underlying Price</v>
      </c>
      <c r="FF5" s="30" t="str">
        <f>IFERROR(__xludf.DUMMYFUNCTION("""COMPUTED_VALUE"""),"Intrinsic value")</f>
        <v>Intrinsic value</v>
      </c>
      <c r="FG5" s="30" t="str">
        <f>IFERROR(__xludf.DUMMYFUNCTION("""COMPUTED_VALUE"""),"Gain/Loss if Ex./Assign")</f>
        <v>Gain/Loss if Ex./Assign</v>
      </c>
      <c r="FH5" s="30" t="str">
        <f>IFERROR(__xludf.DUMMYFUNCTION("""COMPUTED_VALUE"""),"Day Traded Position")</f>
        <v>Day Traded Position</v>
      </c>
      <c r="FI5" s="30" t="str">
        <f>IFERROR(__xludf.DUMMYFUNCTION("""COMPUTED_VALUE"""),"isRowCountCheck")</f>
        <v>isRowCountCheck</v>
      </c>
      <c r="FJ5" s="30" t="str">
        <f>IFERROR(__xludf.DUMMYFUNCTION("""COMPUTED_VALUE"""),"ACTIV Symbol")</f>
        <v>ACTIV Symbol</v>
      </c>
      <c r="FK5" s="30"/>
      <c r="FL5" s="30"/>
      <c r="FM5" s="30"/>
      <c r="FN5" s="30"/>
      <c r="FO5" s="30"/>
      <c r="FP5" s="30"/>
      <c r="FQ5" s="30"/>
      <c r="FR5" s="30"/>
      <c r="FS5" s="30"/>
      <c r="FT5" s="30"/>
    </row>
    <row r="6" ht="15.75" customHeight="1">
      <c r="A6" s="8"/>
      <c r="B6" s="8"/>
      <c r="C6" s="13" t="s">
        <v>16</v>
      </c>
      <c r="D6" s="13">
        <v>250.0</v>
      </c>
      <c r="E6" s="13" t="s">
        <v>30</v>
      </c>
      <c r="F6" s="13" t="s">
        <v>51</v>
      </c>
      <c r="G6" s="13"/>
      <c r="H6" s="13" t="s">
        <v>52</v>
      </c>
      <c r="I6" s="8"/>
      <c r="J6" s="8"/>
      <c r="K6" s="8"/>
      <c r="L6" s="8"/>
      <c r="M6" s="8"/>
      <c r="N6" s="8"/>
      <c r="O6" s="9" t="s">
        <v>42</v>
      </c>
      <c r="T6" s="9" t="s">
        <v>40</v>
      </c>
      <c r="U6" s="9" t="s">
        <v>44</v>
      </c>
      <c r="V6" s="9" t="s">
        <v>24</v>
      </c>
      <c r="W6" s="9" t="s">
        <v>43</v>
      </c>
      <c r="Y6" s="9">
        <v>1.0</v>
      </c>
      <c r="AF6" s="9">
        <v>250.0</v>
      </c>
      <c r="AN6" s="13" t="s">
        <v>17</v>
      </c>
      <c r="AP6" s="9" t="s">
        <v>52</v>
      </c>
      <c r="AQ6" s="9" t="s">
        <v>16</v>
      </c>
      <c r="BE6" s="9" t="s">
        <v>40</v>
      </c>
      <c r="BG6" s="9" t="s">
        <v>53</v>
      </c>
      <c r="BH6" s="9" t="s">
        <v>54</v>
      </c>
      <c r="BQ6" s="9" t="s">
        <v>45</v>
      </c>
      <c r="BR6" s="9" t="s">
        <v>19</v>
      </c>
      <c r="BU6" s="9" t="s">
        <v>40</v>
      </c>
    </row>
    <row r="7" ht="15.75" customHeight="1">
      <c r="A7" s="8"/>
      <c r="B7" s="8"/>
      <c r="C7" s="13" t="s">
        <v>16</v>
      </c>
      <c r="D7" s="13">
        <v>750.0</v>
      </c>
      <c r="E7" s="13" t="s">
        <v>31</v>
      </c>
      <c r="F7" s="13" t="s">
        <v>55</v>
      </c>
      <c r="G7" s="13"/>
      <c r="H7" s="13" t="s">
        <v>52</v>
      </c>
      <c r="I7" s="8"/>
      <c r="J7" s="8"/>
      <c r="K7" s="8"/>
      <c r="L7" s="8"/>
      <c r="M7" s="8"/>
      <c r="N7" s="8"/>
      <c r="O7" s="9" t="s">
        <v>42</v>
      </c>
      <c r="T7" s="9" t="s">
        <v>40</v>
      </c>
      <c r="U7" s="9" t="s">
        <v>44</v>
      </c>
      <c r="V7" s="9" t="s">
        <v>24</v>
      </c>
      <c r="W7" s="9" t="s">
        <v>43</v>
      </c>
      <c r="Y7" s="9">
        <v>1.0</v>
      </c>
      <c r="AF7" s="9">
        <v>750.0</v>
      </c>
      <c r="AN7" s="13" t="s">
        <v>17</v>
      </c>
      <c r="AP7" s="9" t="s">
        <v>52</v>
      </c>
      <c r="AQ7" s="9" t="s">
        <v>16</v>
      </c>
      <c r="BE7" s="9" t="s">
        <v>40</v>
      </c>
      <c r="BG7" s="9" t="s">
        <v>53</v>
      </c>
      <c r="BH7" s="9" t="s">
        <v>54</v>
      </c>
      <c r="BQ7" s="9" t="s">
        <v>45</v>
      </c>
      <c r="BR7" s="9" t="s">
        <v>19</v>
      </c>
      <c r="BU7" s="9" t="s">
        <v>40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CheckPortfolioManagement!$4:$4</formula1>
    </dataValidation>
  </dataValidations>
  <drawing r:id="rId1"/>
</worksheet>
</file>