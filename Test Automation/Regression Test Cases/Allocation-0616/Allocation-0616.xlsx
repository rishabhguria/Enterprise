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ustomOrderTT1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TransferToUserOrder" sheetId="12" r:id="rId14"/>
    <sheet state="visible" name="ExecuteTrade2" sheetId="13" r:id="rId15"/>
    <sheet state="visible" name="GetDataAllocation" sheetId="14" r:id="rId16"/>
    <sheet state="visible" name="CheckAllocatedGroups" sheetId="15" r:id="rId17"/>
    <sheet state="visible" name="CheckAllocatedTaxlots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SelectTradeOnOrderGrid1" sheetId="20" r:id="rId22"/>
    <sheet state="visible" name="CancelAllSubs" sheetId="21" r:id="rId23"/>
    <sheet state="visible" name="TransferToUserOrder1" sheetId="22" r:id="rId24"/>
    <sheet state="visible" name="CheckAllocatedGroups1" sheetId="23" r:id="rId25"/>
    <sheet state="visible" name="CheckAllocatedTaxlots1" sheetId="24" r:id="rId26"/>
    <sheet state="visible" name="SelectTrade3" sheetId="25" r:id="rId27"/>
    <sheet state="visible" name="AcknowledgeTrade3" sheetId="26" r:id="rId28"/>
    <sheet state="visible" name="ExecuteTrade3" sheetId="27" r:id="rId29"/>
    <sheet state="visible" name="SelectTradeOnOrderGrid2" sheetId="28" r:id="rId30"/>
    <sheet state="visible" name="CancelAllSubs1" sheetId="29" r:id="rId31"/>
    <sheet state="visible" name="TransferToUserOrder2" sheetId="30" r:id="rId32"/>
    <sheet state="visible" name="CheckAllocatedGroups2" sheetId="31" r:id="rId33"/>
    <sheet state="visible" name="CheckAllocatedTaxlots2" sheetId="32" r:id="rId34"/>
  </sheets>
  <definedNames/>
  <calcPr/>
</workbook>
</file>

<file path=xl/sharedStrings.xml><?xml version="1.0" encoding="utf-8"?>
<sst xmlns="http://schemas.openxmlformats.org/spreadsheetml/2006/main" count="865" uniqueCount="67">
  <si>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</si>
  <si>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</si>
  <si>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</si>
  <si>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</si>
  <si>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</si>
  <si>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</si>
  <si>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</si>
  <si>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</si>
  <si>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</si>
  <si>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</si>
  <si>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</si>
  <si>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</si>
  <si>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</si>
  <si>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</si>
  <si>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</si>
  <si>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</si>
  <si>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ASX</t>
  </si>
  <si>
    <t>Send</t>
  </si>
  <si>
    <t>Buy</t>
  </si>
  <si>
    <t>Good Till Date</t>
  </si>
  <si>
    <t>Limit</t>
  </si>
  <si>
    <t>MJN</t>
  </si>
  <si>
    <t>GTC</t>
  </si>
  <si>
    <t>BALT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</si>
  <si>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</si>
  <si>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</si>
  <si>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</si>
  <si>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</si>
  <si>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</si>
  <si>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</si>
  <si>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</si>
  <si>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CreateReplaceOrder</t>
  </si>
  <si>
    <t>TransferToUserOrder</t>
  </si>
  <si>
    <t>jgulbrandsen</t>
  </si>
  <si>
    <t>Yes</t>
  </si>
  <si>
    <t>Allocation</t>
  </si>
  <si>
    <t>GetDataAllocation</t>
  </si>
  <si>
    <t>Historical</t>
  </si>
  <si>
    <t>CheckAllocatedGroups</t>
  </si>
  <si>
    <t/>
  </si>
  <si>
    <t>Allocation1</t>
  </si>
  <si>
    <t>Actual_365</t>
  </si>
  <si>
    <t>Manual</t>
  </si>
  <si>
    <t>Equity</t>
  </si>
  <si>
    <t>ASX US EQUITY</t>
  </si>
  <si>
    <t>Treasury</t>
  </si>
  <si>
    <t>MS</t>
  </si>
  <si>
    <t>Open</t>
  </si>
  <si>
    <t>ADV SEMICND SP.ADR</t>
  </si>
  <si>
    <t>USD</t>
  </si>
  <si>
    <t>00756M404</t>
  </si>
  <si>
    <t>NYSE</t>
  </si>
  <si>
    <t>M</t>
  </si>
  <si>
    <t>None</t>
  </si>
  <si>
    <t>DefaultNotes</t>
  </si>
  <si>
    <t>InternalOrder</t>
  </si>
  <si>
    <t>Strategy Unallocated</t>
  </si>
  <si>
    <t>GCCAP1</t>
  </si>
  <si>
    <t>US</t>
  </si>
  <si>
    <t>NASDAQ</t>
  </si>
  <si>
    <t>NONE</t>
  </si>
  <si>
    <t>NewMF</t>
  </si>
  <si>
    <t>CheckAllocatedTaxlots</t>
  </si>
  <si>
    <t>CancelAllSubs</t>
  </si>
  <si>
    <t>MJN US EQUITY</t>
  </si>
  <si>
    <t>BALT US EQUITY</t>
  </si>
  <si>
    <t>BALTIC TRADING LIMITED 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</si>
</sst>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6">
        <v>100.0</v>
      </c>
      <c r="Y6" s="37">
        <f>today()+1</f>
        <v>45303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0"/>
      <c r="B7" s="31" t="s">
        <v>21</v>
      </c>
      <c r="C7" s="32">
        <v>1000.0</v>
      </c>
      <c r="D7" s="33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0" t="s">
        <v>22</v>
      </c>
      <c r="V7" s="30" t="s">
        <v>20</v>
      </c>
      <c r="W7" s="35"/>
      <c r="X7" s="36">
        <v>100.0</v>
      </c>
      <c r="Y7" s="37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6">
        <v>100.0</v>
      </c>
      <c r="Y6" s="37">
        <f>today()+1</f>
        <v>45303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500.0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8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35" t="s">
        <v>16</v>
      </c>
      <c r="AJ6" s="35" t="s">
        <v>18</v>
      </c>
      <c r="AK6" s="35"/>
      <c r="AL6" s="36">
        <v>1000.0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33</v>
      </c>
      <c r="AY6" s="35"/>
      <c r="AZ6" s="35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200.0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39">
        <f t="shared" ref="C6:D6" si="1">today()</f>
        <v>45302</v>
      </c>
      <c r="D6" s="40">
        <f t="shared" si="1"/>
        <v>45302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39</v>
      </c>
      <c r="B6" s="42" t="s">
        <v>40</v>
      </c>
      <c r="C6" s="34" t="s">
        <v>41</v>
      </c>
      <c r="D6" s="33">
        <v>0.0</v>
      </c>
      <c r="E6" s="32">
        <v>700.0</v>
      </c>
      <c r="F6" s="34" t="s">
        <v>42</v>
      </c>
      <c r="G6" s="34" t="s">
        <v>43</v>
      </c>
      <c r="H6" s="32">
        <v>76.0</v>
      </c>
      <c r="I6" s="32">
        <v>0.0</v>
      </c>
      <c r="J6" s="32">
        <v>15.0</v>
      </c>
      <c r="K6" s="32">
        <v>12.0</v>
      </c>
      <c r="L6" s="32">
        <v>12.0</v>
      </c>
      <c r="M6" s="34" t="s">
        <v>44</v>
      </c>
      <c r="N6" s="34" t="s">
        <v>45</v>
      </c>
      <c r="O6" s="34" t="s">
        <v>46</v>
      </c>
      <c r="P6" s="35"/>
      <c r="Q6" s="36">
        <v>3.0</v>
      </c>
      <c r="R6" s="36">
        <v>0.0</v>
      </c>
      <c r="S6" s="35" t="s">
        <v>47</v>
      </c>
      <c r="T6" s="36">
        <v>0.0</v>
      </c>
      <c r="U6" s="36">
        <v>0.0</v>
      </c>
      <c r="V6" s="35" t="s">
        <v>48</v>
      </c>
      <c r="W6" s="36">
        <v>1.0</v>
      </c>
      <c r="X6" s="36">
        <v>0.0</v>
      </c>
      <c r="Y6" s="35" t="s">
        <v>39</v>
      </c>
      <c r="Z6" s="35" t="s">
        <v>49</v>
      </c>
      <c r="AA6" s="36" t="s">
        <v>50</v>
      </c>
      <c r="AB6" s="36">
        <v>1.0</v>
      </c>
      <c r="AC6" s="35"/>
      <c r="AD6" s="35" t="s">
        <v>51</v>
      </c>
      <c r="AE6" s="36">
        <v>700.0</v>
      </c>
      <c r="AF6" s="35" t="s">
        <v>39</v>
      </c>
      <c r="AG6" s="35"/>
      <c r="AH6" s="35" t="s">
        <v>52</v>
      </c>
      <c r="AI6" s="36">
        <v>1.0</v>
      </c>
      <c r="AJ6" s="35" t="s">
        <v>53</v>
      </c>
      <c r="AK6" s="35"/>
      <c r="AL6" s="35"/>
      <c r="AM6" s="35" t="s">
        <v>54</v>
      </c>
      <c r="AN6" s="43" t="b">
        <v>0</v>
      </c>
      <c r="AO6" s="35"/>
      <c r="AP6" s="43" t="b">
        <v>0</v>
      </c>
      <c r="AQ6" s="43" t="b">
        <v>0</v>
      </c>
      <c r="AR6" s="43" t="b">
        <v>1</v>
      </c>
      <c r="AS6" s="36">
        <v>0.0</v>
      </c>
      <c r="AT6" s="36">
        <v>8478.47</v>
      </c>
      <c r="AU6" s="36">
        <v>8478.47</v>
      </c>
      <c r="AV6" s="35"/>
      <c r="AW6" s="36">
        <v>0.0</v>
      </c>
      <c r="AX6" s="36">
        <v>0.0</v>
      </c>
      <c r="AY6" s="35" t="s">
        <v>20</v>
      </c>
      <c r="AZ6" s="36">
        <v>0.0</v>
      </c>
      <c r="BA6" s="35"/>
      <c r="BB6" s="35"/>
      <c r="BC6" s="36">
        <v>0.0</v>
      </c>
      <c r="BD6" s="35" t="s">
        <v>55</v>
      </c>
      <c r="BE6" s="36">
        <v>8400.0</v>
      </c>
      <c r="BF6" s="36">
        <v>8400.0</v>
      </c>
      <c r="BG6" s="35"/>
      <c r="BH6" s="35"/>
      <c r="BI6" s="35"/>
      <c r="BJ6" s="36">
        <v>2000.0</v>
      </c>
      <c r="BK6" s="36">
        <v>0.0</v>
      </c>
      <c r="BL6" s="35" t="s">
        <v>39</v>
      </c>
      <c r="BM6" s="35" t="s">
        <v>49</v>
      </c>
      <c r="BN6" s="35"/>
      <c r="BO6" s="35" t="s">
        <v>18</v>
      </c>
      <c r="BP6" s="36">
        <v>0.0</v>
      </c>
      <c r="BQ6" s="36">
        <v>0.0</v>
      </c>
      <c r="BR6" s="36">
        <v>1.47</v>
      </c>
      <c r="BS6" s="35" t="s">
        <v>56</v>
      </c>
      <c r="BT6" s="35" t="s">
        <v>16</v>
      </c>
      <c r="BU6" s="36">
        <v>1.0</v>
      </c>
      <c r="BV6" s="36">
        <v>0.0</v>
      </c>
      <c r="BW6" s="36">
        <v>78.47</v>
      </c>
      <c r="BX6" s="36">
        <v>0.0</v>
      </c>
      <c r="BY6" s="35"/>
      <c r="BZ6" s="35"/>
      <c r="CA6" s="35"/>
      <c r="CB6" s="35"/>
      <c r="CC6" s="35"/>
      <c r="CD6" s="35"/>
      <c r="CE6" s="35"/>
      <c r="CF6" s="35" t="s">
        <v>57</v>
      </c>
      <c r="CG6" s="36">
        <v>0.0</v>
      </c>
      <c r="CH6" s="35" t="s">
        <v>12</v>
      </c>
      <c r="CI6" s="35" t="s">
        <v>18</v>
      </c>
      <c r="CJ6" s="36">
        <v>0.0</v>
      </c>
      <c r="CK6" s="35" t="s">
        <v>58</v>
      </c>
      <c r="CL6" s="36">
        <v>1.0</v>
      </c>
      <c r="CM6" s="35" t="s">
        <v>16</v>
      </c>
      <c r="CN6" s="35" t="s">
        <v>33</v>
      </c>
      <c r="CO6" s="35" t="s">
        <v>59</v>
      </c>
      <c r="CP6" s="35" t="s">
        <v>60</v>
      </c>
      <c r="CQ6" s="35"/>
      <c r="CR6" s="35"/>
      <c r="CS6" s="35" t="s">
        <v>39</v>
      </c>
      <c r="CT6" s="35"/>
      <c r="CU6" s="35"/>
      <c r="CV6" s="35"/>
      <c r="CW6" s="36">
        <v>0.0</v>
      </c>
      <c r="CX6" s="35" t="s">
        <v>61</v>
      </c>
      <c r="CY6" s="35" t="s">
        <v>39</v>
      </c>
      <c r="CZ6" s="35" t="s">
        <v>39</v>
      </c>
      <c r="DA6" s="35" t="s">
        <v>39</v>
      </c>
      <c r="DB6" s="35" t="s">
        <v>39</v>
      </c>
      <c r="DC6" s="35" t="s">
        <v>39</v>
      </c>
      <c r="DD6" s="35" t="s">
        <v>39</v>
      </c>
      <c r="DE6" s="35" t="s">
        <v>39</v>
      </c>
      <c r="DF6" s="35" t="s">
        <v>39</v>
      </c>
      <c r="DG6" s="35" t="s">
        <v>39</v>
      </c>
      <c r="DH6" s="35" t="s">
        <v>39</v>
      </c>
      <c r="DI6" s="35" t="s">
        <v>39</v>
      </c>
      <c r="DJ6" s="35" t="s">
        <v>39</v>
      </c>
      <c r="DK6" s="35" t="s">
        <v>39</v>
      </c>
      <c r="DL6" s="35" t="s">
        <v>39</v>
      </c>
      <c r="DM6" s="35" t="s">
        <v>39</v>
      </c>
      <c r="DN6" s="35" t="s">
        <v>39</v>
      </c>
      <c r="DO6" s="35" t="s">
        <v>39</v>
      </c>
      <c r="DP6" s="35" t="s">
        <v>39</v>
      </c>
      <c r="DQ6" s="35" t="s">
        <v>39</v>
      </c>
      <c r="DR6" s="35" t="s">
        <v>39</v>
      </c>
      <c r="DS6" s="35" t="s">
        <v>39</v>
      </c>
      <c r="DT6" s="35" t="s">
        <v>39</v>
      </c>
      <c r="DU6" s="35" t="s">
        <v>39</v>
      </c>
      <c r="DV6" s="35" t="s">
        <v>39</v>
      </c>
      <c r="DW6" s="35" t="s">
        <v>39</v>
      </c>
      <c r="DX6" s="35" t="s">
        <v>39</v>
      </c>
      <c r="DY6" s="35" t="s">
        <v>39</v>
      </c>
      <c r="DZ6" s="35" t="s">
        <v>39</v>
      </c>
      <c r="EA6" s="35" t="s">
        <v>39</v>
      </c>
      <c r="EB6" s="35" t="s">
        <v>39</v>
      </c>
      <c r="EC6" s="35" t="s">
        <v>39</v>
      </c>
      <c r="ED6" s="35" t="s">
        <v>39</v>
      </c>
      <c r="EE6" s="35" t="s">
        <v>39</v>
      </c>
      <c r="EF6" s="35" t="s">
        <v>39</v>
      </c>
      <c r="EG6" s="35" t="s">
        <v>39</v>
      </c>
      <c r="EH6" s="35" t="s">
        <v>39</v>
      </c>
      <c r="EI6" s="35" t="s">
        <v>39</v>
      </c>
      <c r="EJ6" s="35" t="s">
        <v>39</v>
      </c>
      <c r="EK6" s="35" t="s">
        <v>39</v>
      </c>
      <c r="EL6" s="35" t="s">
        <v>39</v>
      </c>
      <c r="EM6" s="35" t="s">
        <v>39</v>
      </c>
      <c r="EN6" s="35" t="s">
        <v>39</v>
      </c>
      <c r="EO6" s="35" t="s">
        <v>39</v>
      </c>
      <c r="EP6" s="35" t="s">
        <v>39</v>
      </c>
      <c r="EQ6" s="35" t="s">
        <v>39</v>
      </c>
      <c r="ER6" s="35" t="s">
        <v>39</v>
      </c>
      <c r="ES6" s="35" t="s">
        <v>39</v>
      </c>
      <c r="ET6" s="35" t="s">
        <v>39</v>
      </c>
      <c r="EU6" s="35" t="s">
        <v>39</v>
      </c>
      <c r="EV6" s="35" t="s">
        <v>39</v>
      </c>
      <c r="EW6" s="35" t="s">
        <v>39</v>
      </c>
      <c r="EX6" s="35" t="s">
        <v>39</v>
      </c>
      <c r="EY6" s="35" t="s">
        <v>39</v>
      </c>
      <c r="EZ6" s="35" t="s">
        <v>39</v>
      </c>
      <c r="FA6" s="35" t="s">
        <v>39</v>
      </c>
      <c r="FB6" s="35" t="s">
        <v>39</v>
      </c>
      <c r="FC6" s="35" t="s">
        <v>39</v>
      </c>
      <c r="FD6" s="35" t="s">
        <v>39</v>
      </c>
      <c r="FE6" s="35" t="s">
        <v>39</v>
      </c>
      <c r="FF6" s="35" t="s">
        <v>39</v>
      </c>
      <c r="FG6" s="35" t="s">
        <v>39</v>
      </c>
      <c r="FH6" s="35" t="s">
        <v>39</v>
      </c>
      <c r="FI6" s="35" t="s">
        <v>39</v>
      </c>
      <c r="FJ6" s="35" t="s">
        <v>39</v>
      </c>
      <c r="FK6" s="35" t="s">
        <v>39</v>
      </c>
      <c r="FL6" s="35" t="s">
        <v>39</v>
      </c>
      <c r="FM6" s="35" t="s">
        <v>39</v>
      </c>
      <c r="FN6" s="35" t="s">
        <v>39</v>
      </c>
      <c r="FO6" s="35" t="s">
        <v>39</v>
      </c>
      <c r="FP6" s="35" t="s">
        <v>39</v>
      </c>
      <c r="FQ6" s="35" t="s">
        <v>39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5" t="s">
        <v>39</v>
      </c>
      <c r="B6" s="45">
        <v>8478.47</v>
      </c>
      <c r="C6" s="8">
        <v>8478.47</v>
      </c>
      <c r="D6" s="45">
        <v>8400.0</v>
      </c>
      <c r="E6" s="8">
        <v>8400.0</v>
      </c>
      <c r="F6" s="8" t="s">
        <v>52</v>
      </c>
      <c r="G6" s="8"/>
      <c r="H6" s="8" t="s">
        <v>49</v>
      </c>
      <c r="I6" s="8"/>
      <c r="J6" s="8"/>
      <c r="K6" s="8"/>
      <c r="L6" s="8"/>
      <c r="M6" s="8"/>
      <c r="N6" s="8"/>
      <c r="O6" s="8" t="s">
        <v>40</v>
      </c>
      <c r="P6" t="s">
        <v>56</v>
      </c>
      <c r="Q6">
        <v>100.0</v>
      </c>
      <c r="R6">
        <v>700.0</v>
      </c>
      <c r="S6">
        <v>0.0</v>
      </c>
      <c r="T6">
        <v>0.0</v>
      </c>
      <c r="U6">
        <v>0.0</v>
      </c>
      <c r="V6">
        <v>0.0</v>
      </c>
      <c r="W6">
        <v>1.47</v>
      </c>
      <c r="X6">
        <v>0.0</v>
      </c>
      <c r="Y6">
        <v>76.0</v>
      </c>
      <c r="Z6">
        <v>1.0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47</v>
      </c>
      <c r="AI6">
        <v>12.0</v>
      </c>
      <c r="AJ6">
        <v>0.0</v>
      </c>
      <c r="AK6">
        <v>1.0</v>
      </c>
      <c r="AL6">
        <v>3.0</v>
      </c>
      <c r="AM6" t="s">
        <v>39</v>
      </c>
      <c r="AN6" t="s">
        <v>39</v>
      </c>
      <c r="AO6" t="s">
        <v>39</v>
      </c>
      <c r="AP6" t="s">
        <v>39</v>
      </c>
      <c r="AQ6" t="s">
        <v>39</v>
      </c>
      <c r="AR6" t="s">
        <v>39</v>
      </c>
      <c r="AS6" t="s">
        <v>39</v>
      </c>
      <c r="AT6" t="s">
        <v>39</v>
      </c>
      <c r="AU6" t="s">
        <v>39</v>
      </c>
      <c r="AV6" t="s">
        <v>39</v>
      </c>
      <c r="AW6" t="s">
        <v>39</v>
      </c>
      <c r="AX6" t="s">
        <v>39</v>
      </c>
      <c r="AY6" t="s">
        <v>39</v>
      </c>
      <c r="AZ6" t="s">
        <v>39</v>
      </c>
      <c r="BA6" t="s">
        <v>39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39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39</v>
      </c>
      <c r="BQ6" t="s">
        <v>39</v>
      </c>
      <c r="BR6" t="s">
        <v>39</v>
      </c>
      <c r="BS6" t="s">
        <v>39</v>
      </c>
      <c r="BT6" t="s">
        <v>39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500.0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IFERROR(__xludf.DUMMYFUNCTION("""COMPUTED_VALUE"""),"CustomTabName")</f>
        <v>CustomTabName</v>
      </c>
      <c r="BA5" s="29" t="str">
        <f>IFERROR(__xludf.DUMMYFUNCTION("""COMPUTED_VALUE"""),"CancelAllSubsOnHeader")</f>
        <v>CancelAllSubsOnHeader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30" t="s">
        <v>21</v>
      </c>
      <c r="AJ6" s="35" t="s">
        <v>18</v>
      </c>
      <c r="AK6" s="35"/>
      <c r="AL6" s="36">
        <v>1000.0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33</v>
      </c>
      <c r="AY6" s="35"/>
      <c r="AZ6" s="35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5" t="s">
        <v>39</v>
      </c>
      <c r="B6" s="45" t="s">
        <v>40</v>
      </c>
      <c r="C6" s="8" t="s">
        <v>41</v>
      </c>
      <c r="D6" s="45">
        <v>0.0</v>
      </c>
      <c r="E6" s="8">
        <v>500.0</v>
      </c>
      <c r="F6" s="8" t="s">
        <v>42</v>
      </c>
      <c r="G6" s="8" t="s">
        <v>43</v>
      </c>
      <c r="H6" s="8">
        <v>54.0</v>
      </c>
      <c r="I6" s="8">
        <v>0.0</v>
      </c>
      <c r="J6" s="8">
        <v>15.0</v>
      </c>
      <c r="K6" s="8">
        <v>12.0</v>
      </c>
      <c r="L6" s="8">
        <v>12.0</v>
      </c>
      <c r="M6" s="8" t="s">
        <v>64</v>
      </c>
      <c r="N6" s="8" t="s">
        <v>45</v>
      </c>
      <c r="O6" s="8" t="s">
        <v>46</v>
      </c>
      <c r="Q6">
        <v>3.0</v>
      </c>
      <c r="R6">
        <v>0.0</v>
      </c>
      <c r="S6" t="s">
        <v>47</v>
      </c>
      <c r="T6">
        <v>0.0</v>
      </c>
      <c r="U6">
        <v>0.0</v>
      </c>
      <c r="W6">
        <v>1.0</v>
      </c>
      <c r="X6">
        <v>0.0</v>
      </c>
      <c r="Y6" t="s">
        <v>39</v>
      </c>
      <c r="Z6" t="s">
        <v>49</v>
      </c>
      <c r="AA6" t="s">
        <v>21</v>
      </c>
      <c r="AB6">
        <v>1.0</v>
      </c>
      <c r="AE6">
        <v>500.0</v>
      </c>
      <c r="AF6" t="s">
        <v>39</v>
      </c>
      <c r="AH6" t="s">
        <v>52</v>
      </c>
      <c r="AI6">
        <v>1.0</v>
      </c>
      <c r="AJ6" t="s">
        <v>53</v>
      </c>
      <c r="AM6" t="s">
        <v>54</v>
      </c>
      <c r="AN6" t="b">
        <v>0</v>
      </c>
      <c r="AP6" t="b">
        <v>0</v>
      </c>
      <c r="AQ6" t="b">
        <v>0</v>
      </c>
      <c r="AS6">
        <v>0.0</v>
      </c>
      <c r="AT6">
        <v>6056.05</v>
      </c>
      <c r="AU6">
        <v>6056.05</v>
      </c>
      <c r="AW6">
        <v>0.0</v>
      </c>
      <c r="AX6">
        <v>0.0</v>
      </c>
      <c r="AY6" t="s">
        <v>20</v>
      </c>
      <c r="AZ6">
        <v>0.0</v>
      </c>
      <c r="BC6">
        <v>0.0</v>
      </c>
      <c r="BD6" t="s">
        <v>55</v>
      </c>
      <c r="BE6">
        <v>6000.0</v>
      </c>
      <c r="BF6">
        <v>6000.0</v>
      </c>
      <c r="BJ6">
        <v>1000.0</v>
      </c>
      <c r="BK6">
        <v>0.0</v>
      </c>
      <c r="BL6" t="s">
        <v>39</v>
      </c>
      <c r="BM6" t="s">
        <v>49</v>
      </c>
      <c r="BO6" t="s">
        <v>18</v>
      </c>
      <c r="BP6">
        <v>0.0</v>
      </c>
      <c r="BQ6">
        <v>0.0</v>
      </c>
      <c r="BR6">
        <v>1.05</v>
      </c>
      <c r="BS6" t="s">
        <v>56</v>
      </c>
      <c r="BT6" t="s">
        <v>21</v>
      </c>
      <c r="BU6">
        <v>1.0</v>
      </c>
      <c r="BV6">
        <v>0.0</v>
      </c>
      <c r="BW6">
        <v>56.05</v>
      </c>
      <c r="BX6">
        <v>0.0</v>
      </c>
      <c r="CF6" t="s">
        <v>57</v>
      </c>
      <c r="CG6">
        <v>0.0</v>
      </c>
      <c r="CH6" t="s">
        <v>12</v>
      </c>
      <c r="CI6" t="s">
        <v>18</v>
      </c>
      <c r="CJ6">
        <v>0.0</v>
      </c>
      <c r="CK6" t="s">
        <v>58</v>
      </c>
      <c r="CL6">
        <v>1.0</v>
      </c>
      <c r="CM6" t="s">
        <v>21</v>
      </c>
      <c r="CN6" t="s">
        <v>33</v>
      </c>
      <c r="CO6" t="s">
        <v>59</v>
      </c>
      <c r="CP6" t="s">
        <v>60</v>
      </c>
      <c r="CS6" t="s">
        <v>39</v>
      </c>
      <c r="CW6">
        <v>0.0</v>
      </c>
      <c r="CX6" t="s">
        <v>61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39</v>
      </c>
      <c r="B6" s="47">
        <v>6056.05</v>
      </c>
      <c r="C6" s="35">
        <v>6056.05</v>
      </c>
      <c r="D6" s="47">
        <v>6000.0</v>
      </c>
      <c r="E6" s="35">
        <v>6000.0</v>
      </c>
      <c r="F6" s="35" t="s">
        <v>52</v>
      </c>
      <c r="G6" s="36"/>
      <c r="H6" s="35" t="s">
        <v>49</v>
      </c>
      <c r="I6" s="36"/>
      <c r="J6" s="36"/>
      <c r="K6" s="36"/>
      <c r="L6" s="36"/>
      <c r="M6" s="36"/>
      <c r="N6" s="36"/>
      <c r="O6" s="35" t="s">
        <v>40</v>
      </c>
      <c r="P6" s="35" t="s">
        <v>56</v>
      </c>
      <c r="Q6" s="36">
        <v>100.0</v>
      </c>
      <c r="R6" s="35">
        <v>500.0</v>
      </c>
      <c r="S6" s="35">
        <v>0.0</v>
      </c>
      <c r="T6" s="35">
        <v>0.0</v>
      </c>
      <c r="U6" s="35">
        <v>0.0</v>
      </c>
      <c r="V6" s="35">
        <v>0.0</v>
      </c>
      <c r="W6" s="35">
        <v>1.05</v>
      </c>
      <c r="X6" s="36">
        <v>0.0</v>
      </c>
      <c r="Y6" s="36">
        <v>54.0</v>
      </c>
      <c r="Z6" s="35">
        <v>1.0</v>
      </c>
      <c r="AA6" s="35">
        <v>0.0</v>
      </c>
      <c r="AB6" s="36">
        <v>0.0</v>
      </c>
      <c r="AC6" s="36">
        <v>0.0</v>
      </c>
      <c r="AD6" s="36">
        <v>0.0</v>
      </c>
      <c r="AE6" s="36">
        <v>0.0</v>
      </c>
      <c r="AF6" s="36" t="s">
        <v>47</v>
      </c>
      <c r="AG6" s="36"/>
      <c r="AH6" s="36"/>
      <c r="AI6" s="36">
        <v>12.0</v>
      </c>
      <c r="AJ6" s="36">
        <v>0.0</v>
      </c>
      <c r="AK6" s="36">
        <v>1.0</v>
      </c>
      <c r="AL6" s="36">
        <v>3.0</v>
      </c>
      <c r="AM6" s="36" t="s">
        <v>39</v>
      </c>
      <c r="AN6" s="35" t="s">
        <v>39</v>
      </c>
      <c r="AO6" s="35" t="s">
        <v>39</v>
      </c>
      <c r="AP6" s="35" t="s">
        <v>39</v>
      </c>
      <c r="AQ6" s="35" t="s">
        <v>39</v>
      </c>
      <c r="AR6" s="36" t="s">
        <v>39</v>
      </c>
      <c r="AS6" s="36" t="s">
        <v>39</v>
      </c>
      <c r="AT6" s="35" t="s">
        <v>39</v>
      </c>
      <c r="AU6" s="35" t="s">
        <v>39</v>
      </c>
      <c r="AV6" s="36" t="s">
        <v>39</v>
      </c>
      <c r="AW6" s="36" t="s">
        <v>39</v>
      </c>
      <c r="AX6" s="36" t="s">
        <v>39</v>
      </c>
      <c r="AY6" s="36" t="s">
        <v>39</v>
      </c>
      <c r="AZ6" s="36" t="s">
        <v>39</v>
      </c>
      <c r="BA6" s="36" t="s">
        <v>39</v>
      </c>
      <c r="BB6" s="36" t="s">
        <v>39</v>
      </c>
      <c r="BC6" s="36" t="s">
        <v>39</v>
      </c>
      <c r="BD6" s="36" t="s">
        <v>39</v>
      </c>
      <c r="BE6" s="35" t="s">
        <v>39</v>
      </c>
      <c r="BF6" s="35" t="s">
        <v>39</v>
      </c>
      <c r="BG6" s="35" t="s">
        <v>39</v>
      </c>
      <c r="BH6" s="35" t="s">
        <v>39</v>
      </c>
      <c r="BI6" s="36" t="s">
        <v>39</v>
      </c>
      <c r="BJ6" s="36" t="s">
        <v>39</v>
      </c>
      <c r="BK6" s="36" t="s">
        <v>39</v>
      </c>
      <c r="BL6" s="36" t="s">
        <v>39</v>
      </c>
      <c r="BM6" s="36" t="s">
        <v>39</v>
      </c>
      <c r="BN6" s="36" t="s">
        <v>39</v>
      </c>
      <c r="BO6" s="36" t="s">
        <v>39</v>
      </c>
      <c r="BP6" s="36" t="s">
        <v>39</v>
      </c>
      <c r="BQ6" s="35" t="s">
        <v>39</v>
      </c>
      <c r="BR6" s="35" t="s">
        <v>39</v>
      </c>
      <c r="BS6" s="36" t="s">
        <v>39</v>
      </c>
      <c r="BT6" s="36" t="s">
        <v>39</v>
      </c>
      <c r="BU6" s="35" t="s">
        <v>39</v>
      </c>
      <c r="BV6" s="35" t="s">
        <v>39</v>
      </c>
      <c r="BW6" s="36" t="s">
        <v>39</v>
      </c>
      <c r="BX6" s="36" t="s">
        <v>39</v>
      </c>
      <c r="BY6" s="36" t="s">
        <v>39</v>
      </c>
      <c r="BZ6" s="36" t="s">
        <v>39</v>
      </c>
      <c r="CA6" s="36" t="s">
        <v>39</v>
      </c>
      <c r="CB6" s="36" t="s">
        <v>39</v>
      </c>
      <c r="CC6" s="36" t="s">
        <v>39</v>
      </c>
      <c r="CD6" s="36" t="s">
        <v>39</v>
      </c>
      <c r="CE6" s="36" t="s">
        <v>39</v>
      </c>
      <c r="CF6" s="36" t="s">
        <v>39</v>
      </c>
      <c r="CG6" s="36" t="s">
        <v>39</v>
      </c>
      <c r="CH6" s="36" t="s">
        <v>39</v>
      </c>
      <c r="CI6" s="36" t="s">
        <v>39</v>
      </c>
      <c r="CJ6" s="36" t="s">
        <v>39</v>
      </c>
      <c r="CK6" s="43" t="s">
        <v>39</v>
      </c>
      <c r="CL6" s="35" t="s">
        <v>39</v>
      </c>
      <c r="CM6" s="35" t="s">
        <v>39</v>
      </c>
      <c r="CN6" s="35" t="s">
        <v>39</v>
      </c>
      <c r="CO6" s="35" t="s">
        <v>39</v>
      </c>
      <c r="CP6" s="35" t="s">
        <v>39</v>
      </c>
      <c r="CQ6" s="35" t="s">
        <v>39</v>
      </c>
      <c r="CR6" s="36" t="s">
        <v>39</v>
      </c>
      <c r="CS6" s="36" t="s">
        <v>39</v>
      </c>
      <c r="CT6" s="35" t="s">
        <v>39</v>
      </c>
      <c r="CU6" s="35" t="s">
        <v>39</v>
      </c>
      <c r="CV6" s="35" t="s">
        <v>39</v>
      </c>
      <c r="CW6" s="35" t="s">
        <v>39</v>
      </c>
      <c r="CX6" s="35" t="s">
        <v>39</v>
      </c>
      <c r="CY6" s="35" t="s">
        <v>39</v>
      </c>
      <c r="CZ6" s="35" t="s">
        <v>39</v>
      </c>
      <c r="DA6" s="36" t="s">
        <v>39</v>
      </c>
      <c r="DB6" s="36" t="s">
        <v>39</v>
      </c>
      <c r="DC6" s="36" t="s">
        <v>39</v>
      </c>
      <c r="DD6" s="36" t="s">
        <v>39</v>
      </c>
      <c r="DE6" s="36" t="s">
        <v>39</v>
      </c>
      <c r="DF6" s="36" t="s">
        <v>39</v>
      </c>
      <c r="DG6" s="36" t="s">
        <v>39</v>
      </c>
      <c r="DH6" s="35" t="s">
        <v>39</v>
      </c>
      <c r="DI6" s="36" t="s">
        <v>39</v>
      </c>
      <c r="DJ6" s="35" t="s">
        <v>39</v>
      </c>
      <c r="DK6" s="36" t="s">
        <v>39</v>
      </c>
      <c r="DL6" s="36" t="s">
        <v>39</v>
      </c>
      <c r="DM6" s="36" t="s">
        <v>39</v>
      </c>
      <c r="DN6" s="36" t="s">
        <v>39</v>
      </c>
      <c r="DO6" s="35" t="s">
        <v>39</v>
      </c>
      <c r="DP6" s="35" t="s">
        <v>39</v>
      </c>
      <c r="DQ6" s="35" t="s">
        <v>39</v>
      </c>
      <c r="DR6" s="35" t="s">
        <v>39</v>
      </c>
      <c r="DS6" s="35" t="s">
        <v>39</v>
      </c>
      <c r="DT6" s="35" t="s">
        <v>39</v>
      </c>
      <c r="DU6" s="35" t="s">
        <v>39</v>
      </c>
      <c r="DV6" s="35" t="s">
        <v>39</v>
      </c>
      <c r="DW6" s="35" t="s">
        <v>39</v>
      </c>
      <c r="DX6" s="35" t="s">
        <v>39</v>
      </c>
      <c r="DY6" s="35" t="s">
        <v>39</v>
      </c>
      <c r="DZ6" s="35" t="s">
        <v>39</v>
      </c>
      <c r="EA6" s="35" t="s">
        <v>39</v>
      </c>
      <c r="EB6" s="35" t="s">
        <v>39</v>
      </c>
      <c r="EC6" s="35" t="s">
        <v>39</v>
      </c>
      <c r="ED6" s="35" t="s">
        <v>39</v>
      </c>
      <c r="EE6" s="35" t="s">
        <v>39</v>
      </c>
      <c r="EF6" s="36" t="s">
        <v>39</v>
      </c>
      <c r="EG6" s="36" t="s">
        <v>39</v>
      </c>
      <c r="EH6" s="36" t="s">
        <v>39</v>
      </c>
      <c r="EI6" s="36" t="s">
        <v>39</v>
      </c>
      <c r="EJ6" s="35" t="s">
        <v>39</v>
      </c>
      <c r="EK6" s="35" t="s">
        <v>39</v>
      </c>
      <c r="EL6" s="35" t="s">
        <v>39</v>
      </c>
      <c r="EM6" s="35" t="s">
        <v>39</v>
      </c>
      <c r="EN6" s="35" t="s">
        <v>39</v>
      </c>
      <c r="EO6" s="35" t="s">
        <v>39</v>
      </c>
      <c r="EP6" s="35" t="s">
        <v>39</v>
      </c>
      <c r="EQ6" s="35" t="s">
        <v>39</v>
      </c>
      <c r="ER6" s="35" t="s">
        <v>39</v>
      </c>
      <c r="ES6" s="35" t="s">
        <v>39</v>
      </c>
      <c r="ET6" s="35" t="s">
        <v>39</v>
      </c>
      <c r="EU6" s="35" t="s">
        <v>39</v>
      </c>
      <c r="EV6" s="35" t="s">
        <v>39</v>
      </c>
      <c r="EW6" s="35" t="s">
        <v>39</v>
      </c>
      <c r="EX6" s="35" t="s">
        <v>39</v>
      </c>
      <c r="EY6" s="35" t="s">
        <v>39</v>
      </c>
      <c r="EZ6" s="35" t="s">
        <v>39</v>
      </c>
      <c r="FA6" s="35" t="s">
        <v>39</v>
      </c>
      <c r="FB6" s="35" t="s">
        <v>39</v>
      </c>
      <c r="FC6" s="35" t="s">
        <v>39</v>
      </c>
      <c r="FD6" s="36" t="s">
        <v>39</v>
      </c>
      <c r="FE6" s="35" t="s">
        <v>39</v>
      </c>
      <c r="FF6" s="36" t="s">
        <v>39</v>
      </c>
      <c r="FG6" s="36" t="s">
        <v>39</v>
      </c>
      <c r="FH6" s="36" t="s">
        <v>39</v>
      </c>
      <c r="FI6" s="35" t="s">
        <v>39</v>
      </c>
      <c r="FJ6" s="35" t="s">
        <v>39</v>
      </c>
      <c r="FK6" s="35" t="s">
        <v>39</v>
      </c>
      <c r="FL6" s="35" t="s">
        <v>39</v>
      </c>
      <c r="FM6" s="36" t="s">
        <v>39</v>
      </c>
      <c r="FN6" s="36" t="s">
        <v>39</v>
      </c>
      <c r="FO6" s="36" t="s">
        <v>39</v>
      </c>
      <c r="FP6" s="36" t="s">
        <v>39</v>
      </c>
      <c r="FQ6" s="36" t="s">
        <v>39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500.0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8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IFERROR(__xludf.DUMMYFUNCTION("""COMPUTED_VALUE"""),"CustomTabName")</f>
        <v>CustomTabName</v>
      </c>
      <c r="BA5" s="29" t="str">
        <f>IFERROR(__xludf.DUMMYFUNCTION("""COMPUTED_VALUE"""),"CancelAllSubsOnHeader")</f>
        <v>CancelAllSubsOnHeader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CancelAllSubs1!$4:$4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30" t="s">
        <v>23</v>
      </c>
      <c r="AJ6" s="35" t="s">
        <v>18</v>
      </c>
      <c r="AK6" s="35"/>
      <c r="AL6" s="36">
        <v>1000.0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33</v>
      </c>
      <c r="AY6" s="35"/>
      <c r="AZ6" s="35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39</v>
      </c>
      <c r="B6" s="8" t="s">
        <v>40</v>
      </c>
      <c r="C6" s="8" t="s">
        <v>41</v>
      </c>
      <c r="D6" s="8">
        <v>0.0</v>
      </c>
      <c r="E6" s="8">
        <v>500.0</v>
      </c>
      <c r="F6" s="8" t="s">
        <v>42</v>
      </c>
      <c r="G6" s="8" t="s">
        <v>43</v>
      </c>
      <c r="H6" s="8">
        <v>54.0</v>
      </c>
      <c r="I6" s="8">
        <v>0.0</v>
      </c>
      <c r="J6" s="8">
        <v>15.0</v>
      </c>
      <c r="K6" s="8">
        <v>12.0</v>
      </c>
      <c r="L6" s="8">
        <v>12.0</v>
      </c>
      <c r="M6" s="8" t="s">
        <v>65</v>
      </c>
      <c r="N6" s="8" t="s">
        <v>45</v>
      </c>
      <c r="O6" s="8" t="s">
        <v>46</v>
      </c>
      <c r="Q6">
        <v>3.0</v>
      </c>
      <c r="R6">
        <v>0.0</v>
      </c>
      <c r="S6" t="s">
        <v>47</v>
      </c>
      <c r="T6">
        <v>0.0</v>
      </c>
      <c r="U6">
        <v>0.0</v>
      </c>
      <c r="V6" t="s">
        <v>66</v>
      </c>
      <c r="W6">
        <v>1.0</v>
      </c>
      <c r="X6">
        <v>0.0</v>
      </c>
      <c r="Y6" t="s">
        <v>39</v>
      </c>
      <c r="Z6" t="s">
        <v>49</v>
      </c>
      <c r="AB6">
        <v>1.0</v>
      </c>
      <c r="AE6">
        <v>500.0</v>
      </c>
      <c r="AF6" t="s">
        <v>39</v>
      </c>
      <c r="AH6" t="s">
        <v>52</v>
      </c>
      <c r="AI6">
        <v>1.0</v>
      </c>
      <c r="AJ6" t="s">
        <v>53</v>
      </c>
      <c r="AM6" t="s">
        <v>54</v>
      </c>
      <c r="AN6" t="b">
        <v>0</v>
      </c>
      <c r="AP6" t="b">
        <v>0</v>
      </c>
      <c r="AQ6" t="b">
        <v>0</v>
      </c>
      <c r="AS6">
        <v>0.0</v>
      </c>
      <c r="AT6">
        <v>6056.05</v>
      </c>
      <c r="AU6">
        <v>6056.05</v>
      </c>
      <c r="AW6">
        <v>0.0</v>
      </c>
      <c r="AX6">
        <v>0.0</v>
      </c>
      <c r="AY6" t="s">
        <v>20</v>
      </c>
      <c r="AZ6">
        <v>0.0</v>
      </c>
      <c r="BC6">
        <v>0.0</v>
      </c>
      <c r="BD6" t="s">
        <v>55</v>
      </c>
      <c r="BE6">
        <v>6000.0</v>
      </c>
      <c r="BF6">
        <v>6000.0</v>
      </c>
      <c r="BJ6">
        <v>1000.0</v>
      </c>
      <c r="BK6">
        <v>0.0</v>
      </c>
      <c r="BL6" t="s">
        <v>39</v>
      </c>
      <c r="BM6" t="s">
        <v>49</v>
      </c>
      <c r="BO6" t="s">
        <v>18</v>
      </c>
      <c r="BP6">
        <v>0.0</v>
      </c>
      <c r="BQ6">
        <v>0.0</v>
      </c>
      <c r="BR6">
        <v>1.05</v>
      </c>
      <c r="BS6" t="s">
        <v>56</v>
      </c>
      <c r="BT6" t="s">
        <v>23</v>
      </c>
      <c r="BU6">
        <v>1.0</v>
      </c>
      <c r="BV6">
        <v>0.0</v>
      </c>
      <c r="BW6">
        <v>56.05</v>
      </c>
      <c r="BX6">
        <v>0.0</v>
      </c>
      <c r="CF6" t="s">
        <v>57</v>
      </c>
      <c r="CG6">
        <v>0.0</v>
      </c>
      <c r="CH6" t="s">
        <v>12</v>
      </c>
      <c r="CI6" t="s">
        <v>18</v>
      </c>
      <c r="CJ6">
        <v>0.0</v>
      </c>
      <c r="CK6" t="s">
        <v>58</v>
      </c>
      <c r="CL6">
        <v>1.0</v>
      </c>
      <c r="CM6" t="s">
        <v>23</v>
      </c>
      <c r="CN6" t="s">
        <v>33</v>
      </c>
      <c r="CO6" t="s">
        <v>59</v>
      </c>
      <c r="CP6" t="s">
        <v>60</v>
      </c>
      <c r="CS6" t="s">
        <v>39</v>
      </c>
      <c r="CW6">
        <v>0.0</v>
      </c>
      <c r="CX6" t="s">
        <v>61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v>6056.05</v>
      </c>
      <c r="C6" s="35">
        <v>6056.05</v>
      </c>
      <c r="D6" s="36">
        <v>6000.0</v>
      </c>
      <c r="E6" s="35">
        <v>6000.0</v>
      </c>
      <c r="F6" s="35" t="s">
        <v>52</v>
      </c>
      <c r="G6" s="36"/>
      <c r="H6" s="35" t="s">
        <v>49</v>
      </c>
      <c r="I6" s="36"/>
      <c r="J6" s="36"/>
      <c r="K6" s="36"/>
      <c r="L6" s="36"/>
      <c r="M6" s="36"/>
      <c r="N6" s="36"/>
      <c r="O6" s="35" t="s">
        <v>40</v>
      </c>
      <c r="P6" s="35" t="s">
        <v>56</v>
      </c>
      <c r="Q6" s="36">
        <v>100.0</v>
      </c>
      <c r="R6" s="35">
        <v>500.0</v>
      </c>
      <c r="S6" s="35">
        <v>0.0</v>
      </c>
      <c r="T6" s="35">
        <v>0.0</v>
      </c>
      <c r="U6" s="35">
        <v>0.0</v>
      </c>
      <c r="V6" s="35">
        <v>0.0</v>
      </c>
      <c r="W6" s="35">
        <v>1.05</v>
      </c>
      <c r="X6" s="36">
        <v>0.0</v>
      </c>
      <c r="Y6" s="36">
        <v>54.0</v>
      </c>
      <c r="Z6" s="35">
        <v>1.0</v>
      </c>
      <c r="AA6" s="35">
        <v>0.0</v>
      </c>
      <c r="AB6" s="36">
        <v>0.0</v>
      </c>
      <c r="AC6" s="36">
        <v>0.0</v>
      </c>
      <c r="AD6" s="36">
        <v>0.0</v>
      </c>
      <c r="AE6" s="36">
        <v>0.0</v>
      </c>
      <c r="AF6" s="36" t="s">
        <v>47</v>
      </c>
      <c r="AG6" s="36"/>
      <c r="AH6" s="36"/>
      <c r="AI6" s="36">
        <v>12.0</v>
      </c>
      <c r="AJ6" s="36">
        <v>0.0</v>
      </c>
      <c r="AK6" s="36">
        <v>1.0</v>
      </c>
      <c r="AL6" s="36">
        <v>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