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ImportSymbol" sheetId="5" r:id="rId7"/>
    <sheet state="visible" name="CreateDoneAwayOrder" sheetId="6" r:id="rId8"/>
    <sheet state="visible" name="SetTTGeneralPreferences1" sheetId="7" r:id="rId9"/>
    <sheet state="visible" name="ToggleBlombergOnRA" sheetId="8" r:id="rId10"/>
    <sheet state="visible" name="ImportSymbol1" sheetId="9" r:id="rId11"/>
    <sheet state="visible" name="TradeBloomberg" sheetId="10" r:id="rId12"/>
    <sheet state="visible" name="TradeBloomberg1" sheetId="11" r:id="rId13"/>
    <sheet state="visible" name="VerifyOrder" sheetId="12" r:id="rId14"/>
    <sheet state="visible" name="GetDataAllocation" sheetId="13" r:id="rId15"/>
    <sheet state="visible" name="CheckAllocatedGroup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<sst xmlns="http://schemas.openxmlformats.org/spreadsheetml/2006/main" count="224" uniqueCount="56">
  <si>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</si>
  <si>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</si>
  <si>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</si>
  <si>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</si>
  <si>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</si>
  <si>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</si>
  <si>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</si>
  <si>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</si>
  <si>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</si>
  <si>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</si>
  <si>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</si>
  <si>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</si>
  <si>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</si>
  <si>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</si>
  <si>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</si>
  <si>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</si>
  <si>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TradingTicket</t>
  </si>
  <si>
    <t>ImportSymbol</t>
  </si>
  <si>
    <t>\\192.168.2.108\DistributedAutomation_Master\Import Cases\TickerList.xls</t>
  </si>
  <si>
    <t>CreateDoneAwayOrder</t>
  </si>
  <si>
    <t>GBP/USD</t>
  </si>
  <si>
    <t>Buy</t>
  </si>
  <si>
    <t>Allocation1</t>
  </si>
  <si>
    <t xml:space="preserve">O:CAM 10E37.50 </t>
  </si>
  <si>
    <t>Sell to Open</t>
  </si>
  <si>
    <t>AAPL</t>
  </si>
  <si>
    <t>ToggleBlombergOnRA</t>
  </si>
  <si>
    <t>Bloomberg</t>
  </si>
  <si>
    <t>TradeBloomberg</t>
  </si>
  <si>
    <t>AAPL US EQUITY</t>
  </si>
  <si>
    <t>GOOG US EQUITY</t>
  </si>
  <si>
    <t>Blotter</t>
  </si>
  <si>
    <t>VerifyOrder</t>
  </si>
  <si>
    <t>Multiple</t>
  </si>
  <si>
    <t>GBP</t>
  </si>
  <si>
    <t>FX</t>
  </si>
  <si>
    <t>Filled</t>
  </si>
  <si>
    <t>MS</t>
  </si>
  <si>
    <t>Market</t>
  </si>
  <si>
    <t>CAM</t>
  </si>
  <si>
    <t>US</t>
  </si>
  <si>
    <t>USD</t>
  </si>
  <si>
    <t>EquityOption</t>
  </si>
  <si>
    <t>GOOG</t>
  </si>
  <si>
    <t>Equity</t>
  </si>
  <si>
    <t>Allocation</t>
  </si>
  <si>
    <t>GetDataAllocation</t>
  </si>
  <si>
    <t>Current</t>
  </si>
  <si>
    <t>CheckAllocatedGroups</t>
  </si>
  <si>
    <t>Strategy Unallocated</t>
  </si>
  <si>
    <t>2,25,000.00</t>
  </si>
  <si>
    <t>O:CAM 10E37.50</t>
  </si>
  <si>
    <t>PortfolioManagement</t>
  </si>
  <si>
    <t>CheckPortfolioManagement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</si>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</sst>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F1F1F"/>
      <name val="&quot;Google Sans&quot;"/>
    </font>
    <font>
      <color rgb="FF000000"/>
      <name val="Calibri"/>
    </font>
    <font>
      <color rgb="FF000000"/>
      <name val="Arial"/>
    </font>
    <font>
      <sz val="11.0"/>
      <color rgb="FF000000"/>
      <name val="Calibri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444746"/>
        <bgColor rgb="FF44474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6" fontId="14" numFmtId="0" xfId="0" applyAlignment="1" applyFill="1" applyFont="1">
      <alignment readingOrder="0"/>
    </xf>
    <xf borderId="0" fillId="0" fontId="5" numFmtId="0" xfId="0" applyAlignment="1" applyFont="1">
      <alignment vertical="bottom"/>
    </xf>
    <xf borderId="0" fillId="0" fontId="2" numFmtId="3" xfId="0" applyAlignment="1" applyFont="1" applyNumberFormat="1">
      <alignment readingOrder="0"/>
    </xf>
    <xf borderId="0" fillId="0" fontId="15" numFmtId="0" xfId="0" applyAlignment="1" applyFont="1">
      <alignment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6" numFmtId="0" xfId="0" applyAlignment="1" applyFont="1">
      <alignment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0" fontId="16" numFmtId="3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7" numFmtId="0" xfId="0" applyAlignment="1" applyFont="1">
      <alignment readingOrder="0" shrinkToFit="0" vertical="bottom" wrapText="0"/>
    </xf>
    <xf borderId="0" fillId="0" fontId="17" numFmtId="164" xfId="0" applyAlignment="1" applyFont="1" applyNumberFormat="1">
      <alignment horizontal="right"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8" numFmtId="0" xfId="0" applyAlignment="1" applyFont="1">
      <alignment vertical="bottom"/>
    </xf>
    <xf borderId="0" fillId="0" fontId="17" numFmtId="4" xfId="0" applyAlignment="1" applyFont="1" applyNumberFormat="1">
      <alignment horizontal="right" readingOrder="0" shrinkToFit="0" vertical="bottom" wrapText="0"/>
    </xf>
    <xf borderId="0" fillId="0" fontId="17" numFmtId="0" xfId="0" applyAlignment="1" applyFont="1">
      <alignment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IFERROR(__xludf.DUMMYFUNCTION("""COMPUTED_VALUE"""),"RestrictedSecuritiesList")</f>
        <v>RestrictedSecuritiesList</v>
      </c>
      <c r="C5" s="28" t="str">
        <f>IFERROR(__xludf.DUMMYFUNCTION("""COMPUTED_VALUE"""),"AllowedSecuritiesList")</f>
        <v>AllowedSecuritiesList</v>
      </c>
      <c r="D5" s="28" t="str">
        <f>IFERROR(__xludf.DUMMYFUNCTION("""COMPUTED_VALUE"""),"AllowAllUserToCancelReplaceRemove")</f>
        <v>AllowAllUserToCancelReplaceRemove</v>
      </c>
      <c r="E5" s="28" t="str">
        <f>IFERROR(__xludf.DUMMYFUNCTION("""COMPUTED_VALUE"""),"MasterUserPermission")</f>
        <v>MasterUserPermission</v>
      </c>
      <c r="F5" s="29" t="str">
        <f>IFERROR(__xludf.DUMMYFUNCTION("""COMPUTED_VALUE"""),"AllowAllUserToTransferTrade")</f>
        <v>AllowAllUserToTransferTrade</v>
      </c>
      <c r="G5" s="28" t="str">
        <f>IFERROR(__xludf.DUMMYFUNCTION("""COMPUTED_VALUE"""),"DefaultOrderType")</f>
        <v>DefaultOrderType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/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File")</f>
        <v>Select File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ImportSymbol!$4:$4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21</v>
      </c>
      <c r="D6" s="13">
        <v>100.0</v>
      </c>
      <c r="E6" s="31"/>
      <c r="F6" s="13" t="s">
        <v>22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23</v>
      </c>
      <c r="C7" s="33" t="s">
        <v>24</v>
      </c>
      <c r="D7" s="13">
        <v>150.0</v>
      </c>
      <c r="E7" s="13">
        <v>150.0</v>
      </c>
      <c r="F7" s="13" t="s">
        <v>22</v>
      </c>
      <c r="G7" s="8"/>
      <c r="H7" s="8"/>
      <c r="I7" s="8"/>
      <c r="J7" s="13">
        <v>15.0</v>
      </c>
      <c r="K7" s="8"/>
      <c r="L7" s="8"/>
      <c r="M7" s="8"/>
      <c r="N7" s="8"/>
      <c r="O7" s="8"/>
    </row>
    <row r="8" ht="15.75" customHeight="1">
      <c r="A8" s="8"/>
      <c r="B8" s="13" t="s">
        <v>25</v>
      </c>
      <c r="C8" s="13" t="s">
        <v>21</v>
      </c>
      <c r="D8" s="13">
        <v>200.0</v>
      </c>
      <c r="E8" s="13">
        <v>200.0</v>
      </c>
      <c r="F8" s="13" t="s">
        <v>22</v>
      </c>
      <c r="G8" s="8"/>
      <c r="H8" s="8"/>
      <c r="I8" s="8"/>
      <c r="J8" s="13">
        <v>20.0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8.63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IFERROR(__xludf.DUMMYFUNCTION("""COMPUTED_VALUE"""),"RestrictedSecuritiesList")</f>
        <v>RestrictedSecuritiesList</v>
      </c>
      <c r="C5" s="28" t="str">
        <f>IFERROR(__xludf.DUMMYFUNCTION("""COMPUTED_VALUE"""),"AllowedSecuritiesList")</f>
        <v>AllowedSecuritiesList</v>
      </c>
      <c r="D5" s="28" t="str">
        <f>IFERROR(__xludf.DUMMYFUNCTION("""COMPUTED_VALUE"""),"AllowAllUserToCancelReplaceRemove")</f>
        <v>AllowAllUserToCancelReplaceRemove</v>
      </c>
      <c r="E5" s="28" t="str">
        <f>IFERROR(__xludf.DUMMYFUNCTION("""COMPUTED_VALUE"""),"MasterUserPermission")</f>
        <v>MasterUserPermission</v>
      </c>
      <c r="F5" s="29" t="str">
        <f>IFERROR(__xludf.DUMMYFUNCTION("""COMPUTED_VALUE"""),"AllowAllUserToTransferTrade")</f>
        <v>AllowAllUserToTransferTrade</v>
      </c>
      <c r="G5" s="28" t="str">
        <f>IFERROR(__xludf.DUMMYFUNCTION("""COMPUTED_VALUE"""),"DefaultOrderType")</f>
        <v>DefaultOrderType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SetTTGeneralPreferences1!$4:$4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IFERROR(__xludf.DUMMYFUNCTION("""COMPUTED_VALUE"""),"SwitchTo")</f>
        <v>SwitchTo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ToggleBlombergOnRA!$4:$4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File")</f>
        <v>Select File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ImportSymbol1!$4:$4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IFERROR(__xludf.DUMMYFUNCTION("""COMPUTED_VALUE"""),"ResAllowedListPopUp")</f>
        <v>ResAllowedListPopUp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21</v>
      </c>
      <c r="D6" s="13">
        <v>100.0</v>
      </c>
      <c r="E6" s="13">
        <v>100.0</v>
      </c>
      <c r="F6" s="13" t="s">
        <v>22</v>
      </c>
      <c r="G6" s="8"/>
      <c r="H6" s="8"/>
      <c r="I6" s="8"/>
      <c r="J6" s="13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TradeBloomberg!$4:$4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IFERROR(__xludf.DUMMYFUNCTION("""COMPUTED_VALUE"""),"ResAllowedListPopUp")</f>
        <v>ResAllowedListPopUp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 t="s">
        <v>21</v>
      </c>
      <c r="D6" s="13">
        <v>200.0</v>
      </c>
      <c r="E6" s="13">
        <v>200.0</v>
      </c>
      <c r="F6" s="13" t="s">
        <v>22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TradeBloomberg1!$4:$4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8"/>
      <c r="H6" s="8"/>
      <c r="I6" s="8"/>
      <c r="J6" s="13" t="s">
        <v>20</v>
      </c>
      <c r="K6" s="13" t="s">
        <v>33</v>
      </c>
      <c r="L6" s="8"/>
      <c r="M6" s="8"/>
      <c r="N6" s="8"/>
      <c r="O6" s="8"/>
      <c r="S6" s="9">
        <v>0.0</v>
      </c>
      <c r="T6" s="9">
        <v>0.0</v>
      </c>
      <c r="U6" s="9" t="s">
        <v>34</v>
      </c>
      <c r="AD6" s="9">
        <v>10.0</v>
      </c>
      <c r="AG6" s="9">
        <v>10.0</v>
      </c>
      <c r="AH6" s="9" t="s">
        <v>35</v>
      </c>
      <c r="AI6" s="9" t="s">
        <v>20</v>
      </c>
      <c r="AJ6" s="9" t="s">
        <v>21</v>
      </c>
      <c r="AK6" s="9" t="s">
        <v>36</v>
      </c>
      <c r="AL6" s="9">
        <v>100.0</v>
      </c>
      <c r="AM6" s="9">
        <v>100.0</v>
      </c>
      <c r="AN6" s="9">
        <v>100.0</v>
      </c>
      <c r="AO6" s="9">
        <v>100.0</v>
      </c>
      <c r="AQ6" s="9">
        <v>10.0</v>
      </c>
      <c r="AR6" s="9">
        <v>10.0</v>
      </c>
      <c r="AS6" s="9" t="s">
        <v>37</v>
      </c>
      <c r="AT6" s="9" t="s">
        <v>22</v>
      </c>
      <c r="AU6" s="9" t="s">
        <v>38</v>
      </c>
      <c r="AV6" s="34">
        <v>1000.0</v>
      </c>
      <c r="AW6" s="34">
        <v>10000.0</v>
      </c>
      <c r="AZ6" s="9">
        <v>0.0</v>
      </c>
    </row>
    <row r="7" ht="15.75" customHeight="1">
      <c r="A7" s="8"/>
      <c r="B7" s="8"/>
      <c r="C7" s="8"/>
      <c r="D7" s="13">
        <v>15.0</v>
      </c>
      <c r="E7" s="8"/>
      <c r="F7" s="8"/>
      <c r="G7" s="8"/>
      <c r="H7" s="8"/>
      <c r="I7" s="8"/>
      <c r="J7" s="13" t="s">
        <v>39</v>
      </c>
      <c r="K7" s="13" t="s">
        <v>40</v>
      </c>
      <c r="L7" s="8"/>
      <c r="M7" s="8"/>
      <c r="N7" s="8"/>
      <c r="O7" s="8"/>
      <c r="S7" s="9">
        <v>37.5</v>
      </c>
      <c r="T7" s="9">
        <v>0.0</v>
      </c>
      <c r="U7" s="9" t="s">
        <v>41</v>
      </c>
      <c r="AD7" s="9">
        <v>1.0</v>
      </c>
      <c r="AG7" s="9">
        <v>15.0</v>
      </c>
      <c r="AH7" s="9" t="s">
        <v>42</v>
      </c>
      <c r="AI7" s="13" t="s">
        <v>23</v>
      </c>
      <c r="AJ7" s="33" t="s">
        <v>24</v>
      </c>
      <c r="AK7" s="9" t="s">
        <v>36</v>
      </c>
      <c r="AL7" s="9">
        <v>150.0</v>
      </c>
      <c r="AM7" s="9">
        <v>150.0</v>
      </c>
      <c r="AN7" s="9">
        <v>100.0</v>
      </c>
      <c r="AO7" s="9">
        <v>150.0</v>
      </c>
      <c r="AQ7" s="9">
        <v>15.0</v>
      </c>
      <c r="AR7" s="9">
        <v>15.0</v>
      </c>
      <c r="AS7" s="9" t="s">
        <v>37</v>
      </c>
      <c r="AT7" s="9" t="s">
        <v>22</v>
      </c>
      <c r="AU7" s="9" t="s">
        <v>38</v>
      </c>
      <c r="AV7" s="34">
        <v>-225000.0</v>
      </c>
      <c r="AW7" s="34">
        <v>-225000.0</v>
      </c>
      <c r="AZ7" s="9">
        <v>0.0</v>
      </c>
    </row>
    <row r="8" ht="15.75" customHeight="1">
      <c r="A8" s="35"/>
      <c r="B8" s="35"/>
      <c r="C8" s="35"/>
      <c r="D8" s="36">
        <v>10.0</v>
      </c>
      <c r="E8" s="35"/>
      <c r="F8" s="35"/>
      <c r="G8" s="35"/>
      <c r="H8" s="35"/>
      <c r="I8" s="35"/>
      <c r="J8" s="37" t="s">
        <v>43</v>
      </c>
      <c r="K8" s="37" t="s">
        <v>40</v>
      </c>
      <c r="L8" s="35"/>
      <c r="M8" s="35"/>
      <c r="N8" s="35"/>
      <c r="O8" s="35"/>
      <c r="P8" s="38"/>
      <c r="Q8" s="38"/>
      <c r="R8" s="38"/>
      <c r="S8" s="39">
        <v>0.0</v>
      </c>
      <c r="T8" s="39">
        <v>0.0</v>
      </c>
      <c r="U8" s="40" t="s">
        <v>41</v>
      </c>
      <c r="V8" s="38"/>
      <c r="W8" s="38"/>
      <c r="X8" s="38"/>
      <c r="Y8" s="38"/>
      <c r="Z8" s="38"/>
      <c r="AA8" s="38"/>
      <c r="AB8" s="38"/>
      <c r="AC8" s="38"/>
      <c r="AD8" s="39">
        <v>1.0</v>
      </c>
      <c r="AE8" s="38"/>
      <c r="AF8" s="38"/>
      <c r="AG8" s="39">
        <v>10.0</v>
      </c>
      <c r="AH8" s="40" t="s">
        <v>44</v>
      </c>
      <c r="AI8" s="40" t="s">
        <v>43</v>
      </c>
      <c r="AJ8" s="40" t="s">
        <v>21</v>
      </c>
      <c r="AK8" s="40" t="s">
        <v>36</v>
      </c>
      <c r="AL8" s="39">
        <v>200.0</v>
      </c>
      <c r="AM8" s="39">
        <v>200.0</v>
      </c>
      <c r="AN8" s="39">
        <v>100.0</v>
      </c>
      <c r="AO8" s="39">
        <v>200.0</v>
      </c>
      <c r="AP8" s="38"/>
      <c r="AQ8" s="39">
        <v>10.0</v>
      </c>
      <c r="AR8" s="39">
        <v>10.0</v>
      </c>
      <c r="AS8" s="40" t="s">
        <v>37</v>
      </c>
      <c r="AT8" s="40" t="s">
        <v>22</v>
      </c>
      <c r="AU8" s="40" t="s">
        <v>38</v>
      </c>
      <c r="AV8" s="41">
        <v>2000.0</v>
      </c>
      <c r="AW8" s="41">
        <v>2000.0</v>
      </c>
      <c r="AX8" s="38"/>
      <c r="AY8" s="39">
        <v>200.0</v>
      </c>
      <c r="AZ8" s="39">
        <v>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43" t="s">
        <v>22</v>
      </c>
      <c r="C6" s="35"/>
      <c r="D6" s="44"/>
      <c r="E6" s="44">
        <v>100.0</v>
      </c>
      <c r="F6" s="35"/>
      <c r="G6" s="43"/>
      <c r="H6" s="44"/>
      <c r="I6" s="44"/>
      <c r="J6" s="45">
        <v>32.0</v>
      </c>
      <c r="K6" s="44">
        <v>10.0</v>
      </c>
      <c r="L6" s="44">
        <v>10.0</v>
      </c>
      <c r="M6" s="43"/>
      <c r="N6" s="35"/>
      <c r="O6" s="43" t="s">
        <v>37</v>
      </c>
      <c r="P6" s="38"/>
      <c r="Q6" s="44"/>
      <c r="R6" s="44"/>
      <c r="S6" s="43"/>
      <c r="T6" s="44"/>
      <c r="U6" s="44"/>
      <c r="V6" s="38"/>
      <c r="W6" s="38"/>
      <c r="X6" s="38"/>
      <c r="Y6" s="38"/>
      <c r="Z6" s="43" t="s">
        <v>34</v>
      </c>
      <c r="AA6" s="38"/>
      <c r="AB6" s="38"/>
      <c r="AC6" s="38"/>
      <c r="AD6" s="38"/>
      <c r="AE6" s="44">
        <v>100.0</v>
      </c>
      <c r="AF6" s="38"/>
      <c r="AG6" s="38"/>
      <c r="AH6" s="38"/>
      <c r="AI6" s="44">
        <v>10.0</v>
      </c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44">
        <v>1000.0</v>
      </c>
      <c r="AU6" s="44">
        <v>100.0</v>
      </c>
      <c r="AV6" s="38"/>
      <c r="AW6" s="44"/>
      <c r="AX6" s="44"/>
      <c r="AY6" s="43"/>
      <c r="AZ6" s="44"/>
      <c r="BA6" s="38"/>
      <c r="BB6" s="38"/>
      <c r="BC6" s="44"/>
      <c r="BD6" s="38"/>
      <c r="BE6" s="44"/>
      <c r="BF6" s="44"/>
      <c r="BG6" s="38"/>
      <c r="BH6" s="38"/>
      <c r="BI6" s="38"/>
      <c r="BJ6" s="44">
        <v>100.0</v>
      </c>
      <c r="BK6" s="44"/>
      <c r="BL6" s="38"/>
      <c r="BM6" s="43" t="s">
        <v>34</v>
      </c>
      <c r="BN6" s="38"/>
      <c r="BO6" s="43" t="s">
        <v>21</v>
      </c>
      <c r="BP6" s="44"/>
      <c r="BQ6" s="44"/>
      <c r="BR6" s="38"/>
      <c r="BS6" s="43" t="s">
        <v>49</v>
      </c>
      <c r="BT6" s="43" t="s">
        <v>20</v>
      </c>
      <c r="BU6" s="44"/>
      <c r="BV6" s="44"/>
      <c r="BW6" s="44"/>
      <c r="BX6" s="44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43"/>
      <c r="CJ6" s="44"/>
    </row>
    <row r="7" ht="15.75" customHeight="1">
      <c r="A7" s="35"/>
      <c r="B7" s="43" t="s">
        <v>22</v>
      </c>
      <c r="C7" s="35"/>
      <c r="D7" s="44"/>
      <c r="E7" s="44">
        <v>150.0</v>
      </c>
      <c r="F7" s="35"/>
      <c r="G7" s="43"/>
      <c r="H7" s="44"/>
      <c r="I7" s="44"/>
      <c r="J7" s="45">
        <v>12.0</v>
      </c>
      <c r="K7" s="44">
        <v>15.0</v>
      </c>
      <c r="L7" s="44">
        <v>15.0</v>
      </c>
      <c r="M7" s="43"/>
      <c r="N7" s="35"/>
      <c r="O7" s="43" t="s">
        <v>37</v>
      </c>
      <c r="P7" s="38"/>
      <c r="Q7" s="44"/>
      <c r="R7" s="44"/>
      <c r="S7" s="43"/>
      <c r="T7" s="44"/>
      <c r="U7" s="44"/>
      <c r="V7" s="38"/>
      <c r="W7" s="38"/>
      <c r="X7" s="38"/>
      <c r="Y7" s="38"/>
      <c r="Z7" s="43" t="s">
        <v>41</v>
      </c>
      <c r="AA7" s="38"/>
      <c r="AB7" s="38"/>
      <c r="AC7" s="38"/>
      <c r="AD7" s="38"/>
      <c r="AE7" s="44">
        <v>150.0</v>
      </c>
      <c r="AF7" s="38"/>
      <c r="AG7" s="38"/>
      <c r="AH7" s="38"/>
      <c r="AI7" s="44">
        <v>1.0</v>
      </c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44" t="s">
        <v>50</v>
      </c>
      <c r="AU7" s="44" t="s">
        <v>50</v>
      </c>
      <c r="AV7" s="38"/>
      <c r="AW7" s="44"/>
      <c r="AX7" s="44"/>
      <c r="AY7" s="43"/>
      <c r="AZ7" s="44"/>
      <c r="BA7" s="38"/>
      <c r="BB7" s="38"/>
      <c r="BC7" s="44"/>
      <c r="BD7" s="38"/>
      <c r="BE7" s="44"/>
      <c r="BF7" s="44"/>
      <c r="BG7" s="38"/>
      <c r="BH7" s="38"/>
      <c r="BI7" s="38"/>
      <c r="BJ7" s="44">
        <v>150.0</v>
      </c>
      <c r="BK7" s="44"/>
      <c r="BL7" s="38"/>
      <c r="BM7" s="43" t="s">
        <v>41</v>
      </c>
      <c r="BN7" s="38"/>
      <c r="BO7" s="43" t="s">
        <v>24</v>
      </c>
      <c r="BP7" s="44"/>
      <c r="BQ7" s="44"/>
      <c r="BR7" s="38"/>
      <c r="BS7" s="43" t="s">
        <v>49</v>
      </c>
      <c r="BT7" s="43" t="s">
        <v>51</v>
      </c>
      <c r="BU7" s="44"/>
      <c r="BV7" s="44"/>
      <c r="BW7" s="44"/>
      <c r="BX7" s="44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3"/>
      <c r="CJ7" s="44"/>
    </row>
    <row r="8" ht="15.75" customHeight="1">
      <c r="A8" s="35"/>
      <c r="B8" s="43" t="s">
        <v>22</v>
      </c>
      <c r="C8" s="35"/>
      <c r="D8" s="44"/>
      <c r="E8" s="44">
        <v>200.0</v>
      </c>
      <c r="F8" s="35"/>
      <c r="G8" s="43"/>
      <c r="H8" s="44"/>
      <c r="I8" s="44"/>
      <c r="J8" s="45">
        <v>1.0</v>
      </c>
      <c r="K8" s="44">
        <v>20.0</v>
      </c>
      <c r="L8" s="44">
        <v>20.0</v>
      </c>
      <c r="M8" s="43"/>
      <c r="N8" s="35"/>
      <c r="O8" s="43" t="s">
        <v>37</v>
      </c>
      <c r="P8" s="38"/>
      <c r="Q8" s="44"/>
      <c r="R8" s="44"/>
      <c r="S8" s="43"/>
      <c r="T8" s="44"/>
      <c r="U8" s="44"/>
      <c r="V8" s="38"/>
      <c r="W8" s="38"/>
      <c r="X8" s="38"/>
      <c r="Y8" s="38"/>
      <c r="Z8" s="43" t="s">
        <v>41</v>
      </c>
      <c r="AA8" s="38"/>
      <c r="AB8" s="38"/>
      <c r="AC8" s="38"/>
      <c r="AD8" s="38"/>
      <c r="AE8" s="44">
        <v>200.0</v>
      </c>
      <c r="AF8" s="38"/>
      <c r="AG8" s="38"/>
      <c r="AH8" s="38"/>
      <c r="AI8" s="44">
        <v>1.0</v>
      </c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44">
        <v>4014.0022</v>
      </c>
      <c r="AU8" s="44">
        <v>4014.0022</v>
      </c>
      <c r="AV8" s="38"/>
      <c r="AW8" s="44"/>
      <c r="AX8" s="44"/>
      <c r="AY8" s="43"/>
      <c r="AZ8" s="44"/>
      <c r="BA8" s="38"/>
      <c r="BB8" s="38"/>
      <c r="BC8" s="44"/>
      <c r="BD8" s="38"/>
      <c r="BE8" s="44"/>
      <c r="BF8" s="44"/>
      <c r="BG8" s="38"/>
      <c r="BH8" s="38"/>
      <c r="BI8" s="38"/>
      <c r="BJ8" s="44">
        <v>200.0</v>
      </c>
      <c r="BK8" s="44"/>
      <c r="BL8" s="38"/>
      <c r="BM8" s="43" t="s">
        <v>41</v>
      </c>
      <c r="BN8" s="38"/>
      <c r="BO8" s="43" t="s">
        <v>21</v>
      </c>
      <c r="BP8" s="44"/>
      <c r="BQ8" s="44"/>
      <c r="BR8" s="38"/>
      <c r="BS8" s="43" t="s">
        <v>49</v>
      </c>
      <c r="BT8" s="43" t="s">
        <v>25</v>
      </c>
      <c r="BU8" s="44"/>
      <c r="BV8" s="44"/>
      <c r="BW8" s="44"/>
      <c r="BX8" s="44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43"/>
      <c r="CJ8" s="44"/>
    </row>
    <row r="9" ht="15.75" customHeight="1">
      <c r="A9" s="8"/>
      <c r="B9" s="43" t="s">
        <v>22</v>
      </c>
      <c r="C9" s="8"/>
      <c r="D9" s="8"/>
      <c r="E9" s="45">
        <v>100.0</v>
      </c>
      <c r="F9" s="8"/>
      <c r="G9" s="8"/>
      <c r="H9" s="46"/>
      <c r="I9" s="8"/>
      <c r="J9" s="45">
        <v>1.0</v>
      </c>
      <c r="K9" s="45">
        <v>20.0</v>
      </c>
      <c r="L9" s="45">
        <v>20.0</v>
      </c>
      <c r="M9" s="8"/>
      <c r="N9" s="8"/>
      <c r="O9" s="43" t="s">
        <v>37</v>
      </c>
      <c r="Q9" s="46"/>
      <c r="S9" s="46"/>
      <c r="Z9" s="43" t="s">
        <v>41</v>
      </c>
      <c r="AE9" s="45">
        <v>100.0</v>
      </c>
      <c r="AI9" s="45">
        <v>1.0</v>
      </c>
      <c r="AT9" s="47">
        <v>2014.0011</v>
      </c>
      <c r="AU9" s="47">
        <v>2014.0011</v>
      </c>
      <c r="AW9" s="46"/>
      <c r="AX9" s="46"/>
      <c r="AY9" s="46"/>
      <c r="AZ9" s="46"/>
      <c r="BC9" s="46"/>
      <c r="BF9" s="46"/>
      <c r="BJ9" s="45">
        <v>100.0</v>
      </c>
      <c r="BK9" s="46"/>
      <c r="BM9" s="43" t="s">
        <v>41</v>
      </c>
      <c r="BO9" s="43" t="s">
        <v>21</v>
      </c>
      <c r="BP9" s="46"/>
      <c r="BQ9" s="46"/>
      <c r="BS9" s="43" t="s">
        <v>49</v>
      </c>
      <c r="BT9" s="43" t="s">
        <v>25</v>
      </c>
      <c r="BV9" s="46"/>
      <c r="BX9" s="46"/>
      <c r="CI9" s="46"/>
      <c r="CJ9" s="46"/>
    </row>
    <row r="10" ht="15.75" customHeight="1">
      <c r="A10" s="8"/>
      <c r="B10" s="43" t="s">
        <v>22</v>
      </c>
      <c r="C10" s="8"/>
      <c r="D10" s="8"/>
      <c r="E10" s="45">
        <v>200.0</v>
      </c>
      <c r="F10" s="8"/>
      <c r="G10" s="8"/>
      <c r="H10" s="46"/>
      <c r="I10" s="8"/>
      <c r="J10" s="45">
        <v>1.0</v>
      </c>
      <c r="K10" s="45">
        <v>10.0</v>
      </c>
      <c r="L10" s="45">
        <v>10.0</v>
      </c>
      <c r="M10" s="8"/>
      <c r="N10" s="8"/>
      <c r="O10" s="43" t="s">
        <v>37</v>
      </c>
      <c r="S10" s="46"/>
      <c r="Z10" s="43" t="s">
        <v>41</v>
      </c>
      <c r="AE10" s="45">
        <v>200.0</v>
      </c>
      <c r="AI10" s="45">
        <v>1.0</v>
      </c>
      <c r="AT10" s="47">
        <v>2014.0011</v>
      </c>
      <c r="AU10" s="47">
        <v>2014.0011</v>
      </c>
      <c r="BJ10" s="45">
        <v>200.0</v>
      </c>
      <c r="BM10" s="43" t="s">
        <v>41</v>
      </c>
      <c r="BO10" s="43" t="s">
        <v>21</v>
      </c>
      <c r="BS10" s="43" t="s">
        <v>49</v>
      </c>
      <c r="BT10" s="43" t="s">
        <v>43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48"/>
      <c r="BM11" s="4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18.75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8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</row>
    <row r="6" ht="15.75" customHeight="1">
      <c r="A6" s="42"/>
      <c r="B6" s="42"/>
      <c r="C6" s="43" t="s">
        <v>51</v>
      </c>
      <c r="D6" s="45"/>
      <c r="E6" s="43" t="s">
        <v>22</v>
      </c>
      <c r="F6" s="43" t="s">
        <v>54</v>
      </c>
      <c r="G6" s="45">
        <v>15.0</v>
      </c>
      <c r="H6" s="37"/>
      <c r="I6" s="36"/>
      <c r="J6" s="35"/>
      <c r="K6" s="36"/>
      <c r="L6" s="36"/>
      <c r="M6" s="36"/>
      <c r="N6" s="49"/>
      <c r="O6" s="35"/>
      <c r="P6" s="38"/>
      <c r="Q6" s="49"/>
      <c r="R6" s="43" t="s">
        <v>55</v>
      </c>
      <c r="S6" s="43" t="s">
        <v>49</v>
      </c>
      <c r="T6" s="43" t="s">
        <v>42</v>
      </c>
      <c r="U6" s="43" t="s">
        <v>40</v>
      </c>
      <c r="V6" s="43"/>
      <c r="W6" s="43" t="s">
        <v>41</v>
      </c>
      <c r="X6" s="45"/>
      <c r="Y6" s="45">
        <v>1.0</v>
      </c>
      <c r="Z6" s="38"/>
      <c r="AA6" s="38"/>
      <c r="AB6" s="39"/>
      <c r="AC6" s="39"/>
      <c r="AD6" s="39"/>
      <c r="AE6" s="39"/>
      <c r="AF6" s="39"/>
      <c r="AG6" s="39"/>
      <c r="AH6" s="39"/>
      <c r="AI6" s="39"/>
      <c r="AJ6" s="39"/>
      <c r="AK6" s="49"/>
      <c r="AL6" s="39"/>
      <c r="AM6" s="39"/>
      <c r="AN6" s="43" t="s">
        <v>24</v>
      </c>
      <c r="AO6" s="38"/>
      <c r="AP6" s="40"/>
      <c r="AQ6" s="40"/>
      <c r="AR6" s="39"/>
      <c r="AS6" s="39"/>
      <c r="AT6" s="38"/>
      <c r="AU6" s="38"/>
      <c r="AV6" s="39"/>
      <c r="AW6" s="49"/>
      <c r="AX6" s="39"/>
      <c r="AY6" s="39"/>
      <c r="AZ6" s="39"/>
      <c r="BA6" s="39"/>
      <c r="BB6" s="38"/>
      <c r="BC6" s="39"/>
      <c r="BD6" s="49"/>
      <c r="BE6" s="38"/>
      <c r="BF6" s="38"/>
      <c r="BG6" s="38"/>
      <c r="BH6" s="38"/>
      <c r="BI6" s="38"/>
      <c r="BJ6" s="39"/>
      <c r="BK6" s="39"/>
      <c r="BL6" s="39"/>
      <c r="BM6" s="39"/>
      <c r="BN6" s="38"/>
      <c r="BO6" s="49"/>
      <c r="BP6" s="39"/>
      <c r="BQ6" s="38"/>
      <c r="BR6" s="43" t="s">
        <v>37</v>
      </c>
      <c r="BS6" s="39"/>
      <c r="BT6" s="39"/>
      <c r="BU6" s="38"/>
      <c r="BV6" s="38"/>
      <c r="BW6" s="39"/>
      <c r="BX6" s="39"/>
      <c r="BY6" s="39"/>
      <c r="BZ6" s="39"/>
      <c r="CA6" s="39"/>
      <c r="CB6" s="38"/>
      <c r="CC6" s="39"/>
      <c r="CD6" s="49"/>
      <c r="CE6" s="39"/>
      <c r="CF6" s="39"/>
      <c r="CG6" s="49"/>
      <c r="CH6" s="39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9"/>
      <c r="DB6" s="39"/>
      <c r="DC6" s="38"/>
      <c r="DD6" s="39"/>
      <c r="DE6" s="39"/>
      <c r="DF6" s="39"/>
      <c r="DG6" s="39"/>
      <c r="DH6" s="38"/>
      <c r="DI6" s="39"/>
      <c r="DJ6" s="43" t="s">
        <v>24</v>
      </c>
      <c r="DK6" s="39"/>
      <c r="DL6" s="39"/>
      <c r="DM6" s="39"/>
      <c r="DN6" s="39"/>
      <c r="DO6" s="38"/>
      <c r="DP6" s="40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9"/>
      <c r="EG6" s="39"/>
      <c r="EH6" s="39"/>
      <c r="EI6" s="39"/>
      <c r="EJ6" s="39"/>
      <c r="EK6" s="39"/>
      <c r="EL6" s="40"/>
      <c r="EM6" s="39"/>
      <c r="EN6" s="39"/>
      <c r="EO6" s="39"/>
      <c r="EP6" s="38"/>
      <c r="EQ6" s="39"/>
      <c r="ER6" s="39"/>
    </row>
    <row r="7" ht="15.75" customHeight="1">
      <c r="A7" s="35"/>
      <c r="B7" s="35"/>
      <c r="C7" s="43" t="s">
        <v>25</v>
      </c>
      <c r="D7" s="45"/>
      <c r="E7" s="43" t="s">
        <v>22</v>
      </c>
      <c r="F7" s="43" t="s">
        <v>54</v>
      </c>
      <c r="G7" s="45">
        <v>20.0</v>
      </c>
      <c r="H7" s="37"/>
      <c r="I7" s="36"/>
      <c r="J7" s="35"/>
      <c r="K7" s="36"/>
      <c r="L7" s="36"/>
      <c r="M7" s="36"/>
      <c r="N7" s="49"/>
      <c r="O7" s="35"/>
      <c r="P7" s="38"/>
      <c r="Q7" s="49"/>
      <c r="R7" s="43" t="s">
        <v>55</v>
      </c>
      <c r="S7" s="43" t="s">
        <v>49</v>
      </c>
      <c r="T7" s="43" t="s">
        <v>44</v>
      </c>
      <c r="U7" s="43" t="s">
        <v>40</v>
      </c>
      <c r="V7" s="43"/>
      <c r="W7" s="43" t="s">
        <v>41</v>
      </c>
      <c r="X7" s="45"/>
      <c r="Y7" s="45">
        <v>1.0</v>
      </c>
      <c r="Z7" s="38"/>
      <c r="AA7" s="38"/>
      <c r="AB7" s="39"/>
      <c r="AC7" s="39"/>
      <c r="AD7" s="39"/>
      <c r="AE7" s="39"/>
      <c r="AF7" s="39"/>
      <c r="AG7" s="39"/>
      <c r="AH7" s="39"/>
      <c r="AI7" s="39"/>
      <c r="AJ7" s="39"/>
      <c r="AK7" s="49"/>
      <c r="AL7" s="39"/>
      <c r="AM7" s="39"/>
      <c r="AN7" s="43" t="s">
        <v>21</v>
      </c>
      <c r="AO7" s="38"/>
      <c r="AP7" s="40"/>
      <c r="AQ7" s="40"/>
      <c r="AR7" s="39"/>
      <c r="AS7" s="39"/>
      <c r="AT7" s="38"/>
      <c r="AU7" s="38"/>
      <c r="AV7" s="39"/>
      <c r="AW7" s="49"/>
      <c r="AX7" s="39"/>
      <c r="AY7" s="39"/>
      <c r="AZ7" s="39"/>
      <c r="BA7" s="39"/>
      <c r="BB7" s="38"/>
      <c r="BC7" s="39"/>
      <c r="BD7" s="49"/>
      <c r="BE7" s="38"/>
      <c r="BF7" s="38"/>
      <c r="BG7" s="38"/>
      <c r="BH7" s="38"/>
      <c r="BI7" s="38"/>
      <c r="BJ7" s="39"/>
      <c r="BK7" s="39"/>
      <c r="BL7" s="39"/>
      <c r="BM7" s="39"/>
      <c r="BN7" s="38"/>
      <c r="BO7" s="49"/>
      <c r="BP7" s="39"/>
      <c r="BQ7" s="38"/>
      <c r="BR7" s="43" t="s">
        <v>37</v>
      </c>
      <c r="BS7" s="39"/>
      <c r="BT7" s="39"/>
      <c r="BU7" s="38"/>
      <c r="BV7" s="38"/>
      <c r="BW7" s="39"/>
      <c r="BX7" s="39"/>
      <c r="BY7" s="39"/>
      <c r="BZ7" s="39"/>
      <c r="CA7" s="39"/>
      <c r="CB7" s="38"/>
      <c r="CC7" s="39"/>
      <c r="CD7" s="49"/>
      <c r="CE7" s="39"/>
      <c r="CF7" s="39"/>
      <c r="CG7" s="49"/>
      <c r="CH7" s="39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9"/>
      <c r="DB7" s="39"/>
      <c r="DC7" s="38"/>
      <c r="DD7" s="39"/>
      <c r="DE7" s="39"/>
      <c r="DF7" s="39"/>
      <c r="DG7" s="39"/>
      <c r="DH7" s="38"/>
      <c r="DI7" s="39"/>
      <c r="DJ7" s="43" t="s">
        <v>21</v>
      </c>
      <c r="DK7" s="39"/>
      <c r="DL7" s="39"/>
      <c r="DM7" s="39"/>
      <c r="DN7" s="39"/>
      <c r="DO7" s="38"/>
      <c r="DP7" s="40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9"/>
      <c r="EG7" s="39"/>
      <c r="EH7" s="39"/>
      <c r="EI7" s="39"/>
      <c r="EJ7" s="39"/>
      <c r="EK7" s="39"/>
      <c r="EL7" s="40"/>
      <c r="EM7" s="39"/>
      <c r="EN7" s="39"/>
      <c r="EO7" s="39"/>
      <c r="EP7" s="38"/>
      <c r="EQ7" s="39"/>
      <c r="ER7" s="39"/>
    </row>
    <row r="8" ht="15.75" customHeight="1">
      <c r="A8" s="8"/>
      <c r="B8" s="8"/>
      <c r="C8" s="43" t="s">
        <v>25</v>
      </c>
      <c r="D8" s="45"/>
      <c r="E8" s="43" t="s">
        <v>22</v>
      </c>
      <c r="F8" s="43" t="s">
        <v>54</v>
      </c>
      <c r="G8" s="45">
        <v>20.0</v>
      </c>
      <c r="H8" s="8"/>
      <c r="I8" s="8"/>
      <c r="J8" s="8"/>
      <c r="K8" s="8"/>
      <c r="L8" s="8"/>
      <c r="M8" s="8"/>
      <c r="N8" s="8"/>
      <c r="O8" s="8"/>
      <c r="R8" s="43" t="s">
        <v>55</v>
      </c>
      <c r="S8" s="43" t="s">
        <v>49</v>
      </c>
      <c r="T8" s="43" t="s">
        <v>44</v>
      </c>
      <c r="U8" s="43" t="s">
        <v>40</v>
      </c>
      <c r="V8" s="43"/>
      <c r="W8" s="43" t="s">
        <v>41</v>
      </c>
      <c r="X8" s="45"/>
      <c r="Y8" s="45">
        <v>1.0</v>
      </c>
      <c r="AN8" s="43" t="s">
        <v>21</v>
      </c>
      <c r="BR8" s="43" t="s">
        <v>37</v>
      </c>
      <c r="DJ8" s="43" t="s">
        <v>21</v>
      </c>
    </row>
    <row r="9" ht="15.75" customHeight="1">
      <c r="A9" s="8"/>
      <c r="B9" s="8"/>
      <c r="C9" s="43" t="s">
        <v>43</v>
      </c>
      <c r="D9" s="45"/>
      <c r="E9" s="43" t="s">
        <v>22</v>
      </c>
      <c r="F9" s="43" t="s">
        <v>54</v>
      </c>
      <c r="G9" s="45">
        <v>10.0</v>
      </c>
      <c r="H9" s="8"/>
      <c r="I9" s="8"/>
      <c r="J9" s="8"/>
      <c r="K9" s="8"/>
      <c r="L9" s="8"/>
      <c r="M9" s="8"/>
      <c r="N9" s="8"/>
      <c r="O9" s="8"/>
      <c r="R9" s="43" t="s">
        <v>55</v>
      </c>
      <c r="S9" s="43" t="s">
        <v>49</v>
      </c>
      <c r="T9" s="43" t="s">
        <v>44</v>
      </c>
      <c r="U9" s="43" t="s">
        <v>40</v>
      </c>
      <c r="V9" s="43"/>
      <c r="W9" s="43" t="s">
        <v>41</v>
      </c>
      <c r="X9" s="45"/>
      <c r="Y9" s="45">
        <v>1.0</v>
      </c>
      <c r="AN9" s="43" t="s">
        <v>21</v>
      </c>
      <c r="BR9" s="43" t="s">
        <v>37</v>
      </c>
      <c r="DJ9" s="43" t="s">
        <v>21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R10" s="48"/>
      <c r="S10" s="48"/>
      <c r="T10" s="48"/>
      <c r="U10" s="48"/>
      <c r="V10" s="48"/>
      <c r="W10" s="48"/>
      <c r="X10" s="48"/>
      <c r="Y10" s="4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