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SetComplianceAlert" sheetId="5" r:id="rId7"/>
    <sheet state="visible" name="GetDailyCash" sheetId="6" r:id="rId8"/>
    <sheet state="visible" name="UpdateDailyCash" sheetId="7" r:id="rId9"/>
    <sheet state="visible" name="CreateDoneAwayOrder1" sheetId="8" r:id="rId10"/>
    <sheet state="visible" name="PricingInput" sheetId="9" r:id="rId11"/>
    <sheet state="visible" name="CalculatePTT" sheetId="10" r:id="rId12"/>
    <sheet state="visible" name="TradePTT" sheetId="11" r:id="rId13"/>
    <sheet state="visible" name="VerifyPTT" sheetId="12" r:id="rId14"/>
    <sheet state="visible" name="CreateDoneAwayOrder" sheetId="13" r:id="rId15"/>
    <sheet state="visible" name="SelectTradeOnOrderGrid" sheetId="14" r:id="rId16"/>
    <sheet state="visible" name="ReplaceSubOrder" sheetId="15" r:id="rId17"/>
    <sheet state="visible" name="CreateReplaceOrder" sheetId="16" r:id="rId18"/>
    <sheet state="visible" name="SelectTradeOnOrderGrid1" sheetId="17" r:id="rId19"/>
    <sheet state="visible" name="AddFillsSubOrder" sheetId="18" r:id="rId20"/>
    <sheet state="visible" name="EditAddFillsDetails" sheetId="19" r:id="rId21"/>
    <sheet state="visible" name="SelectTradeOnOrderGrid2" sheetId="20" r:id="rId22"/>
    <sheet state="visible" name="VerifySubOrder" sheetId="21" r:id="rId23"/>
    <sheet state="visible" name="VerifyRowCalculationBaseWindow" sheetId="22" r:id="rId24"/>
    <sheet state="visible" name="GetDataAllocation" sheetId="23" r:id="rId25"/>
    <sheet state="visible" name="CheckAllocatedGroups" sheetId="24" r:id="rId26"/>
    <sheet state="visible" name="CheckPortfolioManagement" sheetId="25" r:id="rId27"/>
    <sheet state="visible" name="SelectTradeOnOrderGrid3" sheetId="26" r:id="rId28"/>
    <sheet state="visible" name="ReplaceSubOrder1" sheetId="27" r:id="rId29"/>
    <sheet state="visible" name="CreateReplaceOrder1" sheetId="28" r:id="rId30"/>
    <sheet state="visible" name="VerifyRowCalculationBaseWindow1" sheetId="29" r:id="rId31"/>
    <sheet state="visible" name="SelectTradeOnOrderGrid4" sheetId="30" r:id="rId32"/>
    <sheet state="visible" name="AddFillsSubOrder1" sheetId="31" r:id="rId33"/>
    <sheet state="visible" name="EditAddFillsDetails1" sheetId="32" r:id="rId34"/>
    <sheet state="visible" name="SelectTradeOnOrderGrid5" sheetId="33" r:id="rId35"/>
    <sheet state="visible" name="VerifySubOrder1" sheetId="34" r:id="rId36"/>
    <sheet state="visible" name="CheckAllocatedGroups1" sheetId="35" r:id="rId37"/>
    <sheet state="visible" name="VerifyRowCalculationBaseWindow2" sheetId="36" r:id="rId38"/>
    <sheet state="visible" name="CheckPortfolioManagement1" sheetId="37" r:id="rId39"/>
  </sheets>
  <definedNames/>
  <calcPr/>
</workbook>
</file>

<file path=xl/sharedStrings.xml><?xml version="1.0" encoding="utf-8"?>
<sst xmlns="http://schemas.openxmlformats.org/spreadsheetml/2006/main" count="613" uniqueCount="88">
  <si>
    <t>Modules Info</t>
  </si>
  <si>
    <t>Modules</t>
  </si>
  <si>
    <t>Settings</t>
  </si>
  <si>
    <t>Module Step Setting File</t>
  </si>
  <si>
    <t>1vLk5rW8SFxSH5bygx9Tg_SjNszt9TcX1P-YckV_qAls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</si>
  <si>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</si>
  <si>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</si>
  <si>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</si>
  <si>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</si>
  <si>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</si>
  <si>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</si>
  <si>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</si>
  <si>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</si>
  <si>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</si>
  <si>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</si>
  <si>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</si>
  <si>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</si>
  <si>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</si>
  <si>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</si>
  <si>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SetComplianceAlert</t>
  </si>
  <si>
    <t>DailyValuation</t>
  </si>
  <si>
    <t>GetDailyCash</t>
  </si>
  <si>
    <t>UpdateDailyCash</t>
  </si>
  <si>
    <t>Allocation1</t>
  </si>
  <si>
    <t>USD</t>
  </si>
  <si>
    <t>TradingTicket</t>
  </si>
  <si>
    <t>CreateDoneAwayOrder</t>
  </si>
  <si>
    <t>AAPL</t>
  </si>
  <si>
    <t>Unallocated</t>
  </si>
  <si>
    <t>Yes</t>
  </si>
  <si>
    <t>PricingInput</t>
  </si>
  <si>
    <t>PTT</t>
  </si>
  <si>
    <t>CalculatePTT</t>
  </si>
  <si>
    <t>Buy</t>
  </si>
  <si>
    <t>Percentage</t>
  </si>
  <si>
    <t>No</t>
  </si>
  <si>
    <t>Account</t>
  </si>
  <si>
    <t>TradePTT</t>
  </si>
  <si>
    <t>VerifyPTT</t>
  </si>
  <si>
    <t>Blotter</t>
  </si>
  <si>
    <t>SelectTradeOnOrderGrid</t>
  </si>
  <si>
    <t>ReplaceSubOrder</t>
  </si>
  <si>
    <t>Equity</t>
  </si>
  <si>
    <t>CreateReplaceOrder</t>
  </si>
  <si>
    <t>AddFillsSubOrder</t>
  </si>
  <si>
    <t>Replaced</t>
  </si>
  <si>
    <t>EditAddFillsDetails</t>
  </si>
  <si>
    <t>VerifySubOrder</t>
  </si>
  <si>
    <t>AAPL US EQUITY</t>
  </si>
  <si>
    <t>NASDAQ</t>
  </si>
  <si>
    <t>jpearce</t>
  </si>
  <si>
    <t>US</t>
  </si>
  <si>
    <t>GCCAP1</t>
  </si>
  <si>
    <t>NONE</t>
  </si>
  <si>
    <t>M</t>
  </si>
  <si>
    <t>Compliance</t>
  </si>
  <si>
    <t>VerifyRowCalculationBaseWindow</t>
  </si>
  <si>
    <t>Post</t>
  </si>
  <si>
    <t>NewMF</t>
  </si>
  <si>
    <t>InTradeMarket</t>
  </si>
  <si>
    <t>Allocation</t>
  </si>
  <si>
    <t>GetDataAllocation</t>
  </si>
  <si>
    <t>Current</t>
  </si>
  <si>
    <t>CheckAllocatedGroups</t>
  </si>
  <si>
    <t>Manual</t>
  </si>
  <si>
    <t>MS</t>
  </si>
  <si>
    <t>Open</t>
  </si>
  <si>
    <t>None</t>
  </si>
  <si>
    <t>Market</t>
  </si>
  <si>
    <t>InternalOrder</t>
  </si>
  <si>
    <t>Strategy Unallocated</t>
  </si>
  <si>
    <t>PortfolioManagement</t>
  </si>
  <si>
    <t>CheckPortfolioManagement</t>
  </si>
  <si>
    <t>Long</t>
  </si>
  <si>
    <t>Undefined</t>
  </si>
  <si>
    <t>FIMAT</t>
  </si>
  <si>
    <t>New Hedge</t>
  </si>
  <si>
    <t>Small Cap</t>
  </si>
  <si>
    <t>Default</t>
  </si>
  <si>
    <t>test1</t>
  </si>
  <si>
    <t>india</t>
  </si>
  <si>
    <t>test 1</t>
  </si>
  <si>
    <t>APPLE</t>
  </si>
  <si>
    <t xml:space="preserve">Unallocated </t>
  </si>
  <si>
    <t xml:space="preserve">Equity </t>
  </si>
  <si>
    <t xml:space="preserve">Undefined </t>
  </si>
  <si>
    <t>test2</t>
  </si>
  <si>
    <t>test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</si>
</sst>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 h:mm:ss am/pm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sz val="9.0"/>
      <color rgb="FFFF8000"/>
      <name val="Arial"/>
    </font>
    <font>
      <sz val="9.0"/>
      <color rgb="FFFF8000"/>
      <name val="Verdana"/>
    </font>
    <font>
      <sz val="9.0"/>
      <color rgb="FF000000"/>
      <name val="Verdana"/>
    </font>
    <font>
      <sz val="11.0"/>
      <color rgb="FF000000"/>
      <name val="Calibri"/>
    </font>
    <font>
      <b/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5" fillId="6" fontId="13" numFmtId="0" xfId="0" applyAlignment="1" applyBorder="1" applyFill="1" applyFont="1">
      <alignment horizontal="right" vertical="top"/>
    </xf>
    <xf borderId="0" fillId="6" fontId="14" numFmtId="0" xfId="0" applyAlignment="1" applyFont="1">
      <alignment horizontal="right" readingOrder="0" shrinkToFit="0" vertical="top" wrapText="0"/>
    </xf>
    <xf borderId="0" fillId="6" fontId="13" numFmtId="0" xfId="0" applyAlignment="1" applyFont="1">
      <alignment horizontal="right" vertical="top"/>
    </xf>
    <xf borderId="0" fillId="6" fontId="15" numFmtId="0" xfId="0" applyAlignment="1" applyFont="1">
      <alignment horizontal="right" vertical="top"/>
    </xf>
    <xf borderId="0" fillId="6" fontId="16" numFmtId="0" xfId="0" applyAlignment="1" applyFont="1">
      <alignment horizontal="right" vertical="top"/>
    </xf>
    <xf borderId="0" fillId="6" fontId="13" numFmtId="0" xfId="0" applyAlignment="1" applyFont="1">
      <alignment horizontal="right" readingOrder="0" shrinkToFit="0" vertical="top" wrapText="0"/>
    </xf>
    <xf borderId="0" fillId="6" fontId="3" numFmtId="164" xfId="0" applyAlignment="1" applyFont="1" applyNumberFormat="1">
      <alignment vertical="top"/>
    </xf>
    <xf borderId="0" fillId="6" fontId="3" numFmtId="0" xfId="0" applyAlignment="1" applyFont="1">
      <alignment readingOrder="0" vertical="top"/>
    </xf>
    <xf borderId="0" fillId="6" fontId="14" numFmtId="0" xfId="0" applyAlignment="1" applyFont="1">
      <alignment horizontal="right" vertical="top"/>
    </xf>
    <xf borderId="0" fillId="0" fontId="3" numFmtId="0" xfId="0" applyAlignment="1" applyFont="1">
      <alignment readingOrder="0" vertical="bottom"/>
    </xf>
    <xf borderId="5" fillId="6" fontId="13" numFmtId="0" xfId="0" applyAlignment="1" applyBorder="1" applyFont="1">
      <alignment horizontal="right" vertical="top"/>
    </xf>
    <xf borderId="0" fillId="6" fontId="13" numFmtId="0" xfId="0" applyAlignment="1" applyFont="1">
      <alignment horizontal="right" vertical="top"/>
    </xf>
    <xf borderId="0" fillId="6" fontId="15" numFmtId="0" xfId="0" applyAlignment="1" applyFont="1">
      <alignment horizontal="right" vertical="top"/>
    </xf>
    <xf borderId="0" fillId="6" fontId="16" numFmtId="0" xfId="0" applyAlignment="1" applyFont="1">
      <alignment horizontal="right" vertical="top"/>
    </xf>
    <xf borderId="0" fillId="6" fontId="14" numFmtId="0" xfId="0" applyAlignment="1" applyFont="1">
      <alignment horizontal="right" vertical="top"/>
    </xf>
    <xf borderId="0" fillId="0" fontId="3" numFmtId="0" xfId="0" applyAlignment="1" applyFont="1">
      <alignment horizontal="right" vertical="bottom"/>
    </xf>
    <xf borderId="0" fillId="6" fontId="15" numFmtId="0" xfId="0" applyAlignment="1" applyFont="1">
      <alignment horizontal="right" readingOrder="0" shrinkToFit="0" vertical="top" wrapText="0"/>
    </xf>
    <xf borderId="0" fillId="6" fontId="16" numFmtId="0" xfId="0" applyAlignment="1" applyFont="1">
      <alignment horizontal="right" readingOrder="0" shrinkToFit="0" vertical="top" wrapText="0"/>
    </xf>
    <xf borderId="0" fillId="6" fontId="13" numFmtId="0" xfId="0" applyAlignment="1" applyFont="1">
      <alignment horizontal="right" shrinkToFit="0" vertical="top" wrapText="0"/>
    </xf>
    <xf borderId="0" fillId="6" fontId="13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readingOrder="0" vertical="bottom"/>
    </xf>
    <xf borderId="5" fillId="0" fontId="17" numFmtId="0" xfId="0" applyAlignment="1" applyBorder="1" applyFont="1">
      <alignment vertical="bottom"/>
    </xf>
    <xf borderId="5" fillId="0" fontId="17" numFmtId="0" xfId="0" applyAlignment="1" applyBorder="1" applyFont="1">
      <alignment vertical="bottom"/>
    </xf>
    <xf borderId="5" fillId="0" fontId="17" numFmtId="4" xfId="0" applyAlignment="1" applyBorder="1" applyFont="1" applyNumberFormat="1">
      <alignment horizontal="right" vertical="bottom"/>
    </xf>
    <xf borderId="0" fillId="0" fontId="17" numFmtId="0" xfId="0" applyAlignment="1" applyFont="1">
      <alignment vertical="bottom"/>
    </xf>
    <xf borderId="0" fillId="0" fontId="17" numFmtId="4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17" numFmtId="0" xfId="0" applyAlignment="1" applyFont="1">
      <alignment horizontal="center" vertical="bottom"/>
    </xf>
    <xf borderId="0" fillId="0" fontId="17" numFmtId="4" xfId="0" applyAlignment="1" applyFont="1" applyNumberFormat="1">
      <alignment horizontal="right" readingOrder="0" vertical="bottom"/>
    </xf>
    <xf borderId="0" fillId="0" fontId="3" numFmtId="164" xfId="0" applyAlignment="1" applyFont="1" applyNumberFormat="1">
      <alignment vertical="bottom"/>
    </xf>
    <xf borderId="0" fillId="0" fontId="17" numFmtId="4" xfId="0" applyAlignment="1" applyFont="1" applyNumberFormat="1">
      <alignment horizontal="right"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0" xfId="0" applyAlignment="1" applyFont="1">
      <alignment readingOrder="0" vertical="bottom"/>
    </xf>
    <xf borderId="0" fillId="0" fontId="18" numFmtId="0" xfId="0" applyAlignment="1" applyFont="1">
      <alignment readingOrder="0" shrinkToFit="0" vertical="bottom" wrapText="0"/>
    </xf>
    <xf borderId="0" fillId="0" fontId="18" numFmtId="4" xfId="0" applyAlignment="1" applyFont="1" applyNumberFormat="1">
      <alignment readingOrder="0"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165" xfId="0" applyAlignment="1" applyFont="1" applyNumberFormat="1">
      <alignment readingOrder="0" shrinkToFit="0" vertical="bottom" wrapText="0"/>
    </xf>
    <xf borderId="0" fillId="0" fontId="17" numFmtId="164" xfId="0" applyAlignment="1" applyFont="1" applyNumberFormat="1">
      <alignment horizontal="right" readingOrder="0" shrinkToFit="0" vertical="bottom" wrapText="0"/>
    </xf>
    <xf borderId="0" fillId="0" fontId="17" numFmtId="3" xfId="0" applyAlignment="1" applyFont="1" applyNumberFormat="1">
      <alignment horizontal="right" readingOrder="0" shrinkToFit="0" vertical="bottom" wrapText="0"/>
    </xf>
    <xf borderId="5" fillId="0" fontId="3" numFmtId="164" xfId="0" applyAlignment="1" applyBorder="1" applyFont="1" applyNumberFormat="1">
      <alignment vertical="bottom"/>
    </xf>
    <xf borderId="5" fillId="0" fontId="17" numFmtId="3" xfId="0" applyAlignment="1" applyBorder="1" applyFont="1" applyNumberFormat="1">
      <alignment horizontal="right" vertical="bottom"/>
    </xf>
    <xf borderId="5" fillId="0" fontId="17" numFmtId="0" xfId="0" applyAlignment="1" applyBorder="1" applyFont="1">
      <alignment horizontal="right" vertical="bottom"/>
    </xf>
    <xf borderId="0" fillId="0" fontId="17" numFmtId="0" xfId="0" applyAlignment="1" applyFont="1">
      <alignment horizontal="right" vertical="bottom"/>
    </xf>
    <xf borderId="0" fillId="0" fontId="17" numFmtId="3" xfId="0" applyAlignment="1" applyFont="1" applyNumberFormat="1">
      <alignment horizontal="right" vertical="bottom"/>
    </xf>
    <xf borderId="0" fillId="6" fontId="3" numFmtId="0" xfId="0" applyAlignment="1" applyFont="1">
      <alignment vertical="top"/>
    </xf>
    <xf borderId="0" fillId="6" fontId="3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7" t="b">
        <v>1</v>
      </c>
      <c r="C7" s="33" t="s">
        <v>17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7" t="b">
        <v>1</v>
      </c>
      <c r="C8" s="33" t="s">
        <v>18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34"/>
      <c r="C6" s="35"/>
      <c r="D6" s="34"/>
      <c r="E6" s="37" t="b">
        <v>1</v>
      </c>
      <c r="F6" s="37" t="b">
        <v>1</v>
      </c>
      <c r="G6" s="37" t="b">
        <v>1</v>
      </c>
      <c r="H6" s="37" t="b">
        <v>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8">
        <f t="shared" ref="B6:C6" si="1">TODAY()-1</f>
        <v>45921</v>
      </c>
      <c r="C6" s="38">
        <f t="shared" si="1"/>
        <v>45921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9" t="s">
        <v>23</v>
      </c>
      <c r="C6" s="40" t="s">
        <v>24</v>
      </c>
      <c r="D6" s="41">
        <v>10000.0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8"/>
      <c r="D6" s="13">
        <v>100.0</v>
      </c>
      <c r="E6" s="13">
        <v>100.0</v>
      </c>
      <c r="F6" s="9" t="s">
        <v>28</v>
      </c>
      <c r="G6" s="8"/>
      <c r="H6" s="8"/>
      <c r="I6" s="8"/>
      <c r="J6" s="13">
        <v>1.0</v>
      </c>
      <c r="K6" s="8"/>
      <c r="L6" s="8"/>
      <c r="M6" s="8"/>
      <c r="N6" s="8"/>
      <c r="O6" s="8"/>
      <c r="AQ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>
        <v>1.0</v>
      </c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27</v>
      </c>
      <c r="C6" s="43" t="s">
        <v>33</v>
      </c>
      <c r="D6" s="34" t="s">
        <v>34</v>
      </c>
      <c r="E6" s="44">
        <v>1000.0</v>
      </c>
      <c r="F6" s="44">
        <v>1.0</v>
      </c>
      <c r="G6" s="35" t="s">
        <v>35</v>
      </c>
      <c r="H6" s="35" t="s">
        <v>36</v>
      </c>
      <c r="I6" s="35" t="s">
        <v>23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27</v>
      </c>
      <c r="C6" s="43" t="s">
        <v>33</v>
      </c>
      <c r="D6" s="34" t="s">
        <v>34</v>
      </c>
      <c r="E6" s="44">
        <v>1000.0</v>
      </c>
      <c r="F6" s="44">
        <v>1.0</v>
      </c>
      <c r="G6" s="35" t="s">
        <v>35</v>
      </c>
      <c r="H6" s="35" t="s">
        <v>36</v>
      </c>
      <c r="I6" s="35" t="s">
        <v>23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23</v>
      </c>
      <c r="C6" s="45">
        <v>10000.0</v>
      </c>
      <c r="D6" s="46">
        <v>0.0</v>
      </c>
      <c r="E6" s="45">
        <v>0.0</v>
      </c>
      <c r="F6" s="45">
        <v>0.0</v>
      </c>
      <c r="G6" s="47">
        <v>1000.0</v>
      </c>
      <c r="H6" s="47">
        <v>1000.0</v>
      </c>
      <c r="I6" s="47">
        <v>100000.0</v>
      </c>
      <c r="J6" s="47">
        <v>100000.0</v>
      </c>
      <c r="K6" s="47">
        <v>100000.0</v>
      </c>
      <c r="L6" s="45">
        <v>100.0</v>
      </c>
      <c r="M6" s="45">
        <v>1.0</v>
      </c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33</v>
      </c>
      <c r="D6" s="13">
        <v>1000.0</v>
      </c>
      <c r="E6" s="42"/>
      <c r="F6" s="13" t="s">
        <v>23</v>
      </c>
      <c r="G6" s="8"/>
      <c r="H6" s="8"/>
      <c r="I6" s="8"/>
      <c r="J6" s="13">
        <v>1.0</v>
      </c>
      <c r="K6" s="8"/>
      <c r="L6" s="8"/>
      <c r="M6" s="8"/>
      <c r="N6" s="8"/>
      <c r="O6" s="8"/>
      <c r="AQ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8"/>
      <c r="D6" s="13" t="s">
        <v>27</v>
      </c>
      <c r="E6" s="42"/>
      <c r="F6" s="13" t="s">
        <v>33</v>
      </c>
      <c r="G6" s="8"/>
      <c r="H6" s="13">
        <v>1000.0</v>
      </c>
      <c r="I6" s="13">
        <v>1000.0</v>
      </c>
      <c r="J6" s="13">
        <v>100.0</v>
      </c>
      <c r="K6" s="13">
        <v>1000.0</v>
      </c>
      <c r="L6" s="8"/>
      <c r="M6" s="8"/>
      <c r="N6" s="8"/>
      <c r="O6" s="8"/>
      <c r="R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42</v>
      </c>
      <c r="AJ6" s="9" t="s">
        <v>27</v>
      </c>
      <c r="AK6" s="9" t="s">
        <v>33</v>
      </c>
      <c r="AM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2000.0</v>
      </c>
      <c r="E6" s="42"/>
      <c r="F6" s="8"/>
      <c r="G6" s="8"/>
      <c r="H6" s="8"/>
      <c r="I6" s="8"/>
      <c r="J6" s="13">
        <v>1.0</v>
      </c>
      <c r="K6" s="8"/>
      <c r="L6" s="8"/>
      <c r="M6" s="8"/>
      <c r="N6" s="8"/>
      <c r="O6" s="8"/>
      <c r="AO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8"/>
      <c r="D6" s="13" t="s">
        <v>27</v>
      </c>
      <c r="E6" s="42"/>
      <c r="F6" s="13" t="s">
        <v>33</v>
      </c>
      <c r="G6" s="13"/>
      <c r="H6" s="13">
        <v>2000.0</v>
      </c>
      <c r="I6" s="13">
        <v>1000.0</v>
      </c>
      <c r="J6" s="13">
        <v>50.0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8"/>
      <c r="D6" s="13" t="s">
        <v>27</v>
      </c>
      <c r="E6" s="42"/>
      <c r="F6" s="13" t="s">
        <v>33</v>
      </c>
      <c r="G6" s="13" t="s">
        <v>45</v>
      </c>
      <c r="H6" s="13">
        <v>2000.0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>
        <v>1200.0</v>
      </c>
      <c r="C6" s="48">
        <v>1.0</v>
      </c>
      <c r="D6" s="32" t="b">
        <v>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9">
        <v>200.0</v>
      </c>
      <c r="C7" s="49">
        <v>1.0</v>
      </c>
      <c r="D7" s="50" t="b">
        <v>1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8"/>
      <c r="D6" s="13" t="s">
        <v>27</v>
      </c>
      <c r="E6" s="42"/>
      <c r="F6" s="13" t="s">
        <v>33</v>
      </c>
      <c r="G6" s="13"/>
      <c r="H6" s="13">
        <v>2000.0</v>
      </c>
      <c r="I6" s="13">
        <v>1400.0</v>
      </c>
      <c r="J6" s="13">
        <v>70.0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41">
        <v>1.0</v>
      </c>
      <c r="E6" s="51" t="s">
        <v>48</v>
      </c>
      <c r="F6" s="35"/>
      <c r="G6" s="52">
        <v>600.0</v>
      </c>
      <c r="H6" s="51" t="s">
        <v>49</v>
      </c>
      <c r="I6" s="51" t="s">
        <v>50</v>
      </c>
      <c r="J6" s="51" t="s">
        <v>27</v>
      </c>
      <c r="K6" s="51" t="s">
        <v>51</v>
      </c>
      <c r="L6" s="51" t="s">
        <v>52</v>
      </c>
      <c r="M6" s="35"/>
      <c r="N6" s="35"/>
      <c r="O6" s="35"/>
      <c r="P6" s="35"/>
      <c r="Q6" s="35"/>
      <c r="R6" s="35"/>
      <c r="S6" s="45">
        <v>0.0</v>
      </c>
      <c r="T6" s="53">
        <v>0.0</v>
      </c>
      <c r="U6" s="54" t="s">
        <v>24</v>
      </c>
      <c r="V6" s="55" t="s">
        <v>53</v>
      </c>
      <c r="W6" s="53"/>
      <c r="X6" s="53">
        <v>0.0</v>
      </c>
      <c r="Y6" s="53"/>
      <c r="Z6" s="53"/>
      <c r="AA6" s="53"/>
      <c r="AB6" s="56"/>
      <c r="AC6" s="53"/>
      <c r="AD6" s="53">
        <v>1.0</v>
      </c>
      <c r="AE6" s="57"/>
      <c r="AF6" s="53" t="s">
        <v>54</v>
      </c>
      <c r="AG6" s="53"/>
      <c r="AH6" s="53" t="s">
        <v>42</v>
      </c>
      <c r="AI6" s="53" t="s">
        <v>27</v>
      </c>
      <c r="AJ6" s="53" t="s">
        <v>33</v>
      </c>
      <c r="AK6" s="58"/>
      <c r="AL6" s="52">
        <v>2000.0</v>
      </c>
      <c r="AM6" s="59">
        <v>1400.0</v>
      </c>
      <c r="AN6" s="60"/>
      <c r="AO6" s="60"/>
      <c r="AP6" s="60"/>
      <c r="AQ6" s="60"/>
      <c r="AR6" s="36" t="s">
        <v>23</v>
      </c>
      <c r="AS6" s="56"/>
      <c r="AT6" s="59">
        <v>1400.0</v>
      </c>
      <c r="AU6" s="59">
        <v>1400.0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6"/>
      <c r="B8" s="35"/>
      <c r="C8" s="35"/>
      <c r="D8" s="41"/>
      <c r="E8" s="61"/>
      <c r="F8" s="34"/>
      <c r="G8" s="34"/>
      <c r="H8" s="61"/>
      <c r="I8" s="61"/>
      <c r="J8" s="61"/>
      <c r="K8" s="61"/>
      <c r="L8" s="61"/>
      <c r="M8" s="34"/>
      <c r="N8" s="34"/>
      <c r="O8" s="34"/>
      <c r="P8" s="34"/>
      <c r="Q8" s="34"/>
      <c r="R8" s="34"/>
      <c r="S8" s="46"/>
      <c r="T8" s="62"/>
      <c r="U8" s="63"/>
      <c r="V8" s="64"/>
      <c r="W8" s="62"/>
      <c r="X8" s="62"/>
      <c r="Y8" s="62"/>
      <c r="Z8" s="62"/>
      <c r="AA8" s="62"/>
      <c r="AB8" s="62"/>
      <c r="AC8" s="62"/>
      <c r="AD8" s="62"/>
      <c r="AE8" s="57"/>
      <c r="AF8" s="62"/>
      <c r="AG8" s="62"/>
      <c r="AH8" s="62"/>
      <c r="AI8" s="62"/>
      <c r="AJ8" s="62"/>
      <c r="AK8" s="62"/>
      <c r="AL8" s="65"/>
      <c r="AM8" s="62"/>
      <c r="AN8" s="31"/>
      <c r="AO8" s="31"/>
      <c r="AP8" s="31"/>
      <c r="AQ8" s="31"/>
      <c r="AR8" s="31"/>
      <c r="AS8" s="31"/>
      <c r="AT8" s="62"/>
      <c r="AU8" s="62"/>
      <c r="AV8" s="31"/>
      <c r="AW8" s="31"/>
      <c r="AX8" s="66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67"/>
      <c r="P9" s="68"/>
      <c r="Q9" s="56"/>
      <c r="R9" s="56"/>
      <c r="S9" s="56"/>
      <c r="T9" s="56"/>
      <c r="U9" s="56"/>
      <c r="V9" s="56"/>
      <c r="W9" s="69"/>
      <c r="X9" s="56"/>
      <c r="Y9" s="70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70"/>
      <c r="AT9" s="69"/>
      <c r="AU9" s="69"/>
      <c r="AV9" s="69"/>
      <c r="AW9" s="69"/>
      <c r="AX9" s="69"/>
      <c r="AY9" s="69"/>
      <c r="AZ9" s="56"/>
      <c r="BA9" s="69"/>
      <c r="BB9" s="56"/>
      <c r="BC9" s="56"/>
      <c r="BD9" s="69"/>
      <c r="BE9" s="69"/>
      <c r="BF9" s="69"/>
      <c r="BG9" s="69"/>
      <c r="BH9" s="69"/>
      <c r="BI9" s="69"/>
      <c r="BJ9" s="5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IFERROR(__xludf.DUMMYFUNCTION("IF(C3="""","""",Transpose(IMPORTRANGE('_Settings'!$B$3,C3&amp;""!A4:A1000"")))"),"RestartReleasesAndServices")</f>
        <v>RestartReleasesAndServices</v>
      </c>
      <c r="C4" s="25" t="str">
        <f>IFERROR(__xludf.DUMMYFUNCTION("""COMPUTED_VALUE"""),"ReplaceInterceptorFile")</f>
        <v>ReplaceInterceptorFile</v>
      </c>
      <c r="D4" s="25" t="str">
        <f>IFERROR(__xludf.DUMMYFUNCTION("""COMPUTED_VALUE"""),"EditInterceptorFile")</f>
        <v>EditInterceptorFile</v>
      </c>
      <c r="E4" s="25" t="str">
        <f>IFERROR(__xludf.DUMMYFUNCTION("""COMPUTED_VALUE"""),"VerifyAlertHistory")</f>
        <v>VerifyAlertHistory</v>
      </c>
      <c r="F4" s="25" t="str">
        <f>IFERROR(__xludf.DUMMYFUNCTION("""COMPUTED_VALUE"""),"ApproveorRejectpendingapproval")</f>
        <v>ApproveorRejectpendingapproval</v>
      </c>
      <c r="G4" s="25" t="str">
        <f>IFERROR(__xludf.DUMMYFUNCTION("""COMPUTED_VALUE"""),"VerifyAggAccountSymbolWithNav")</f>
        <v>VerifyAggAccountSymbolWithNav</v>
      </c>
      <c r="H4" s="25" t="str">
        <f>IFERROR(__xludf.DUMMYFUNCTION("""COMPUTED_VALUE"""),"RestartRuleMediator")</f>
        <v>RestartRuleMediator</v>
      </c>
      <c r="I4" s="25" t="str">
        <f>IFERROR(__xludf.DUMMYFUNCTION("""COMPUTED_VALUE"""),"VerifyMasterFundSymbolDivisorWindow")</f>
        <v>VerifyMasterFundSymbolDivisorWindow</v>
      </c>
      <c r="J4" s="25" t="str">
        <f>IFERROR(__xludf.DUMMYFUNCTION("""COMPUTED_VALUE"""),"VerifyMasterFundDivisorWindow")</f>
        <v>VerifyMasterFundDivisorWindow</v>
      </c>
      <c r="K4" s="25" t="str">
        <f>IFERROR(__xludf.DUMMYFUNCTION("""COMPUTED_VALUE"""),"VerifyGlobalDivisorWindow")</f>
        <v>VerifyGlobalDivisorWindow</v>
      </c>
      <c r="L4" s="25" t="str">
        <f>IFERROR(__xludf.DUMMYFUNCTION("""COMPUTED_VALUE"""),"VerifyAccrualForAccountWindow")</f>
        <v>VerifyAccrualForAccountWindow</v>
      </c>
      <c r="M4" s="25" t="str">
        <f>IFERROR(__xludf.DUMMYFUNCTION("""COMPUTED_VALUE"""),"VerifyGlobalDivisorWindow")</f>
        <v>VerifyGlobalDivisorWindow</v>
      </c>
      <c r="N4" s="25" t="str">
        <f>IFERROR(__xludf.DUMMYFUNCTION("""COMPUTED_VALUE"""),"VerifyAggregationGlobalWithNav")</f>
        <v>VerifyAggregationGlobalWithNav</v>
      </c>
      <c r="O4" s="25" t="str">
        <f>IFERROR(__xludf.DUMMYFUNCTION("""COMPUTED_VALUE"""),"VerifyAggregationGlobalWithNav")</f>
        <v>VerifyAggregationGlobalWithNav</v>
      </c>
      <c r="P4" s="26" t="str">
        <f>IFERROR(__xludf.DUMMYFUNCTION("""COMPUTED_VALUE"""),"VerifyAggregationSubSectorWithNav")</f>
        <v>VerifyAggregationSubSectorWithNav</v>
      </c>
      <c r="Q4" s="26" t="str">
        <f>IFERROR(__xludf.DUMMYFUNCTION("""COMPUTED_VALUE"""),"VerifyAggregationSymbolWithNav")</f>
        <v>VerifyAggregationSymbolWithNav</v>
      </c>
      <c r="R4" s="26" t="str">
        <f>IFERROR(__xludf.DUMMYFUNCTION("""COMPUTED_VALUE"""),"VerifyAggregationAssetWithNav")</f>
        <v>VerifyAggregationAssetWithNav</v>
      </c>
      <c r="S4" s="26" t="str">
        <f>IFERROR(__xludf.DUMMYFUNCTION("""COMPUTED_VALUE"""),"VerifyAggregationAccountUnderlyingSymbolWithNav")</f>
        <v>VerifyAggregationAccountUnderlyingSymbolWithNav</v>
      </c>
      <c r="T4" s="26" t="str">
        <f>IFERROR(__xludf.DUMMYFUNCTION("""COMPUTED_VALUE"""),"VerifyAccountNavPreferenceWindow")</f>
        <v>VerifyAccountNavPreferenceWindow</v>
      </c>
      <c r="U4" s="26" t="str">
        <f>IFERROR(__xludf.DUMMYFUNCTION("""COMPUTED_VALUE"""),"RestartEsper")</f>
        <v>RestartEsper</v>
      </c>
      <c r="V4" s="26" t="str">
        <f>IFERROR(__xludf.DUMMYFUNCTION("""COMPUTED_VALUE"""),"VerifyTaxlotWindow")</f>
        <v>VerifyTaxlotWindow</v>
      </c>
      <c r="W4" s="26" t="str">
        <f>IFERROR(__xludf.DUMMYFUNCTION("""COMPUTED_VALUE"""),"VerifySymbolDivisorWindow")</f>
        <v>VerifySymbolDivisorWindow</v>
      </c>
      <c r="X4" s="26" t="str">
        <f>IFERROR(__xludf.DUMMYFUNCTION("""COMPUTED_VALUE"""),"VerifySymbolDataWindow")</f>
        <v>VerifySymbolDataWindow</v>
      </c>
      <c r="Y4" s="26" t="str">
        <f>IFERROR(__xludf.DUMMYFUNCTION("""COMPUTED_VALUE"""),"VerifySecurityWindow")</f>
        <v>VerifySecurityWindow</v>
      </c>
      <c r="Z4" s="26" t="str">
        <f>IFERROR(__xludf.DUMMYFUNCTION("""COMPUTED_VALUE"""),"VerifyRowCalculationBaseWindow")</f>
        <v>VerifyRowCalculationBaseWindow</v>
      </c>
      <c r="AA4" s="26" t="str">
        <f>IFERROR(__xludf.DUMMYFUNCTION("""COMPUTED_VALUE"""),"VerifyPmCalculationPreferenceWindow")</f>
        <v>VerifyPmCalculationPreferenceWindow</v>
      </c>
      <c r="AB4" s="26" t="str">
        <f>IFERROR(__xludf.DUMMYFUNCTION("""COMPUTED_VALUE"""),"VerifyGlobalDivisorWindow")</f>
        <v>VerifyGlobalDivisorWindow</v>
      </c>
      <c r="AC4" s="26" t="str">
        <f>IFERROR(__xludf.DUMMYFUNCTION("""COMPUTED_VALUE"""),"VerifyDbNavWindow")</f>
        <v>VerifyDbNavWindow</v>
      </c>
      <c r="AD4" s="26" t="str">
        <f>IFERROR(__xludf.DUMMYFUNCTION("""COMPUTED_VALUE"""),"VerifyDayEndCashAccountWindow")</f>
        <v>VerifyDayEndCashAccountWindow</v>
      </c>
      <c r="AE4" s="26" t="str">
        <f>IFERROR(__xludf.DUMMYFUNCTION("""COMPUTED_VALUE"""),"VerifyCustomSymbolDataWindow")</f>
        <v>VerifyCustomSymbolDataWindow</v>
      </c>
      <c r="AF4" s="26" t="str">
        <f>IFERROR(__xludf.DUMMYFUNCTION("""COMPUTED_VALUE"""),"VerifyBetaWindow")</f>
        <v>VerifyBetaWindow</v>
      </c>
      <c r="AG4" s="26" t="str">
        <f>IFERROR(__xludf.DUMMYFUNCTION("""COMPUTED_VALUE"""),"VerifyAuecWindow")</f>
        <v>VerifyAuecWindow</v>
      </c>
      <c r="AH4" s="26" t="str">
        <f>IFERROR(__xludf.DUMMYFUNCTION("""COMPUTED_VALUE"""),"VerifyAggregationUnderlyingSymbolWithNav")</f>
        <v>VerifyAggregationUnderlyingSymbolWithNav</v>
      </c>
      <c r="AI4" s="26" t="str">
        <f>IFERROR(__xludf.DUMMYFUNCTION("""COMPUTED_VALUE"""),"VerifyAggregationSectorWithNav")</f>
        <v>VerifyAggregationSectorWithNav</v>
      </c>
      <c r="AJ4" s="26" t="str">
        <f>IFERROR(__xludf.DUMMYFUNCTION("""COMPUTED_VALUE"""),"VerifyAggregationMasterFundWithNav")</f>
        <v>VerifyAggregationMasterFundWithNav</v>
      </c>
      <c r="AK4" s="26" t="str">
        <f>IFERROR(__xludf.DUMMYFUNCTION("""COMPUTED_VALUE"""),"VerifyAggregationMasterFundUnderlyingSymbolWithNav")</f>
        <v>VerifyAggregationMasterFundUnderlyingSymbolWithNav</v>
      </c>
      <c r="AL4" s="26" t="str">
        <f>IFERROR(__xludf.DUMMYFUNCTION("""COMPUTED_VALUE"""),"VerifyAggregationMasterFundSymbolWithNav")</f>
        <v>VerifyAggregationMasterFundSymbolWithNav</v>
      </c>
      <c r="AM4" s="26" t="str">
        <f>IFERROR(__xludf.DUMMYFUNCTION("""COMPUTED_VALUE"""),"VerifyAggregationAccountWithNav")</f>
        <v>VerifyAggregationAccountWithNav</v>
      </c>
      <c r="AN4" s="26" t="str">
        <f>IFERROR(__xludf.DUMMYFUNCTION("""COMPUTED_VALUE"""),"VerifyAggregationAccountSymbolWithNav")</f>
        <v>VerifyAggregationAccountSymbolWithNav</v>
      </c>
      <c r="AO4" s="26" t="str">
        <f>IFERROR(__xludf.DUMMYFUNCTION("""COMPUTED_VALUE"""),"VerifyAccountSymbolDivisorWindow")</f>
        <v>VerifyAccountSymbolDivisorWindow</v>
      </c>
      <c r="AP4" s="26" t="str">
        <f>IFERROR(__xludf.DUMMYFUNCTION("""COMPUTED_VALUE"""),"VerifyAccountDivisorWindow")</f>
        <v>VerifyAccountDivisorWindow</v>
      </c>
      <c r="AQ4" s="26" t="str">
        <f>IFERROR(__xludf.DUMMYFUNCTION("""COMPUTED_VALUE"""),"CheckCompliance")</f>
        <v>CheckCompliance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35" t="s">
        <v>27</v>
      </c>
      <c r="I6" s="48">
        <v>0.0</v>
      </c>
      <c r="J6" s="48">
        <v>1400.0</v>
      </c>
      <c r="K6" s="48">
        <v>1400.0</v>
      </c>
      <c r="L6" s="48">
        <v>1400.0</v>
      </c>
      <c r="M6" s="35" t="s">
        <v>57</v>
      </c>
      <c r="N6" s="35"/>
      <c r="O6" s="35" t="s">
        <v>33</v>
      </c>
      <c r="P6" s="35"/>
      <c r="Q6" s="35"/>
      <c r="R6" s="35" t="s">
        <v>58</v>
      </c>
      <c r="S6" s="35"/>
      <c r="T6" s="36" t="s">
        <v>23</v>
      </c>
      <c r="U6" s="36" t="s">
        <v>23</v>
      </c>
      <c r="V6" s="36"/>
      <c r="W6" s="36"/>
      <c r="X6" s="36"/>
      <c r="Y6" s="36"/>
      <c r="Z6" s="36"/>
      <c r="AA6" s="35"/>
      <c r="AB6" s="48">
        <v>1400.0</v>
      </c>
      <c r="AC6" s="35"/>
      <c r="AD6" s="48">
        <v>1400.0</v>
      </c>
      <c r="AE6" s="71">
        <v>0.0</v>
      </c>
      <c r="AF6" s="35"/>
      <c r="AG6" s="48">
        <v>1400.0</v>
      </c>
      <c r="AH6" s="48">
        <v>1400.0</v>
      </c>
      <c r="AI6" s="36"/>
      <c r="AJ6" s="36" t="s">
        <v>42</v>
      </c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71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71"/>
      <c r="BR6" s="71"/>
      <c r="BS6" s="36"/>
      <c r="BT6" s="71"/>
      <c r="BU6" s="36"/>
      <c r="BV6" s="71">
        <v>1.0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35"/>
      <c r="D7" s="35"/>
      <c r="E7" s="35"/>
      <c r="F7" s="35"/>
      <c r="G7" s="35"/>
      <c r="H7" s="35" t="s">
        <v>27</v>
      </c>
      <c r="I7" s="48">
        <v>0.0</v>
      </c>
      <c r="J7" s="44">
        <v>100.0</v>
      </c>
      <c r="K7" s="44">
        <v>100.0</v>
      </c>
      <c r="L7" s="44">
        <v>100.0</v>
      </c>
      <c r="M7" s="72" t="s">
        <v>57</v>
      </c>
      <c r="N7" s="35"/>
      <c r="O7" s="35" t="s">
        <v>33</v>
      </c>
      <c r="P7" s="35"/>
      <c r="Q7" s="35"/>
      <c r="R7" s="43" t="s">
        <v>28</v>
      </c>
      <c r="S7" s="35"/>
      <c r="T7" s="60" t="s">
        <v>28</v>
      </c>
      <c r="U7" s="60" t="s">
        <v>28</v>
      </c>
      <c r="V7" s="36"/>
      <c r="W7" s="36"/>
      <c r="X7" s="36"/>
      <c r="Y7" s="36"/>
      <c r="Z7" s="36"/>
      <c r="AA7" s="35"/>
      <c r="AB7" s="44">
        <v>100.0</v>
      </c>
      <c r="AC7" s="35"/>
      <c r="AD7" s="44">
        <v>100.0</v>
      </c>
      <c r="AE7" s="71">
        <v>0.0</v>
      </c>
      <c r="AF7" s="35"/>
      <c r="AG7" s="44">
        <v>100.0</v>
      </c>
      <c r="AH7" s="44">
        <v>100.0</v>
      </c>
      <c r="AI7" s="36"/>
      <c r="AJ7" s="36" t="s">
        <v>42</v>
      </c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71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71"/>
      <c r="BR7" s="71"/>
      <c r="BS7" s="36"/>
      <c r="BT7" s="71"/>
      <c r="BU7" s="36"/>
      <c r="BV7" s="71">
        <v>1.0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13" t="s">
        <v>27</v>
      </c>
      <c r="I8" s="48">
        <v>0.0</v>
      </c>
      <c r="J8" s="13">
        <v>600.0</v>
      </c>
      <c r="K8" s="13">
        <v>600.0</v>
      </c>
      <c r="L8" s="13">
        <v>600.0</v>
      </c>
      <c r="M8" s="13" t="s">
        <v>59</v>
      </c>
      <c r="N8" s="8"/>
      <c r="O8" s="35" t="s">
        <v>33</v>
      </c>
      <c r="R8" s="35" t="s">
        <v>58</v>
      </c>
      <c r="T8" s="36" t="s">
        <v>23</v>
      </c>
      <c r="U8" s="36" t="s">
        <v>23</v>
      </c>
      <c r="AB8" s="9">
        <v>600.0</v>
      </c>
      <c r="AD8" s="9">
        <v>600.0</v>
      </c>
      <c r="AE8" s="9">
        <v>0.0</v>
      </c>
      <c r="AG8" s="9">
        <v>600.0</v>
      </c>
      <c r="AH8" s="9">
        <v>600.0</v>
      </c>
      <c r="AJ8" s="36" t="s">
        <v>42</v>
      </c>
      <c r="BV8" s="9">
        <v>1.0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62</v>
      </c>
      <c r="C6" s="8"/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73" t="s">
        <v>23</v>
      </c>
      <c r="C6" s="74"/>
      <c r="D6" s="34"/>
      <c r="E6" s="75">
        <v>1400.0</v>
      </c>
      <c r="F6" s="74" t="s">
        <v>64</v>
      </c>
      <c r="G6" s="74" t="s">
        <v>42</v>
      </c>
      <c r="H6" s="35">
        <v>4.0</v>
      </c>
      <c r="I6" s="35">
        <v>5.0</v>
      </c>
      <c r="J6" s="35">
        <v>1.0</v>
      </c>
      <c r="K6" s="35">
        <v>1.0</v>
      </c>
      <c r="L6" s="35">
        <v>1.0</v>
      </c>
      <c r="M6" s="74" t="s">
        <v>48</v>
      </c>
      <c r="N6" s="74"/>
      <c r="O6" s="74" t="s">
        <v>65</v>
      </c>
      <c r="P6" s="35"/>
      <c r="Q6" s="35">
        <v>3.0</v>
      </c>
      <c r="R6" s="35">
        <v>0.0</v>
      </c>
      <c r="S6" s="74" t="s">
        <v>66</v>
      </c>
      <c r="T6" s="36">
        <v>0.0</v>
      </c>
      <c r="U6" s="36">
        <v>0.0</v>
      </c>
      <c r="V6" s="76"/>
      <c r="W6" s="36"/>
      <c r="X6" s="36"/>
      <c r="Y6" s="36"/>
      <c r="Z6" s="76" t="s">
        <v>24</v>
      </c>
      <c r="AA6" s="76"/>
      <c r="AB6" s="36">
        <v>1.0</v>
      </c>
      <c r="AC6" s="36"/>
      <c r="AD6" s="76" t="s">
        <v>49</v>
      </c>
      <c r="AE6" s="77">
        <v>1400.0</v>
      </c>
      <c r="AF6" s="78"/>
      <c r="AG6" s="78"/>
      <c r="AH6" s="76" t="s">
        <v>54</v>
      </c>
      <c r="AI6" s="36">
        <v>1.0</v>
      </c>
      <c r="AJ6" s="76" t="s">
        <v>67</v>
      </c>
      <c r="AK6" s="36"/>
      <c r="AL6" s="36"/>
      <c r="AM6" s="76"/>
      <c r="AN6" s="79" t="b">
        <v>0</v>
      </c>
      <c r="AO6" s="36"/>
      <c r="AP6" s="79" t="b">
        <v>1</v>
      </c>
      <c r="AQ6" s="79" t="b">
        <v>0</v>
      </c>
      <c r="AR6" s="79" t="b">
        <v>1</v>
      </c>
      <c r="AS6" s="36"/>
      <c r="AT6" s="80">
        <v>1414.0008</v>
      </c>
      <c r="AU6" s="80">
        <v>1414.0008</v>
      </c>
      <c r="AV6" s="81"/>
      <c r="AW6" s="36"/>
      <c r="AX6" s="36"/>
      <c r="AY6" s="76" t="s">
        <v>68</v>
      </c>
      <c r="AZ6" s="36">
        <v>0.0</v>
      </c>
      <c r="BA6" s="81"/>
      <c r="BB6" s="36"/>
      <c r="BC6" s="36">
        <v>0.0</v>
      </c>
      <c r="BD6" s="76" t="s">
        <v>69</v>
      </c>
      <c r="BE6" s="77">
        <v>1400.0</v>
      </c>
      <c r="BF6" s="77">
        <v>1400.0</v>
      </c>
      <c r="BG6" s="81"/>
      <c r="BH6" s="36"/>
      <c r="BI6" s="36"/>
      <c r="BJ6" s="82">
        <v>2000.0</v>
      </c>
      <c r="BK6" s="36">
        <v>0.0</v>
      </c>
      <c r="BL6" s="76"/>
      <c r="BM6" s="76" t="s">
        <v>24</v>
      </c>
      <c r="BN6" s="81"/>
      <c r="BO6" s="76" t="s">
        <v>33</v>
      </c>
      <c r="BP6" s="36">
        <v>0.0</v>
      </c>
      <c r="BQ6" s="36"/>
      <c r="BR6" s="83">
        <v>8.0E-4</v>
      </c>
      <c r="BS6" s="76" t="s">
        <v>70</v>
      </c>
      <c r="BT6" s="76" t="s">
        <v>27</v>
      </c>
      <c r="BU6" s="36">
        <v>3.0</v>
      </c>
      <c r="BV6" s="36">
        <v>0.0</v>
      </c>
      <c r="BW6" s="83">
        <v>14.0008</v>
      </c>
      <c r="BX6" s="36">
        <v>0.0</v>
      </c>
      <c r="BY6" s="36"/>
      <c r="BZ6" s="36"/>
      <c r="CA6" s="36"/>
      <c r="CB6" s="36"/>
      <c r="CC6" s="36"/>
      <c r="CD6" s="36"/>
      <c r="CE6" s="36"/>
      <c r="CF6" s="76" t="s">
        <v>52</v>
      </c>
      <c r="CG6" s="36">
        <v>2.0</v>
      </c>
      <c r="CH6" s="84" t="s">
        <v>31</v>
      </c>
      <c r="CI6" s="76" t="s">
        <v>33</v>
      </c>
      <c r="CJ6" s="36">
        <v>0.0</v>
      </c>
      <c r="CK6" s="76" t="s">
        <v>51</v>
      </c>
      <c r="CL6" s="36">
        <v>1.0</v>
      </c>
      <c r="CM6" s="76" t="s">
        <v>27</v>
      </c>
      <c r="CN6" s="76" t="s">
        <v>50</v>
      </c>
      <c r="CO6" s="76" t="s">
        <v>49</v>
      </c>
      <c r="CP6" s="76" t="s">
        <v>53</v>
      </c>
      <c r="CQ6" s="36"/>
      <c r="CR6" s="36"/>
      <c r="CS6" s="36"/>
      <c r="CT6" s="36"/>
      <c r="CU6" s="36"/>
      <c r="CV6" s="81"/>
      <c r="CW6" s="78"/>
      <c r="CX6" s="36"/>
      <c r="CY6" s="36"/>
      <c r="CZ6" s="36"/>
      <c r="DA6" s="36"/>
      <c r="DB6" s="36"/>
      <c r="DC6" s="36"/>
      <c r="DD6" s="7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6"/>
      <c r="B8" s="85"/>
      <c r="C8" s="85"/>
      <c r="D8" s="85"/>
      <c r="E8" s="86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6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6"/>
      <c r="AU8" s="86"/>
      <c r="AV8" s="85"/>
      <c r="AW8" s="85"/>
      <c r="AX8" s="85"/>
      <c r="AY8" s="85"/>
      <c r="AZ8" s="85"/>
      <c r="BA8" s="85"/>
      <c r="BB8" s="85"/>
      <c r="BC8" s="85"/>
      <c r="BD8" s="85"/>
      <c r="BE8" s="86"/>
      <c r="BF8" s="86"/>
      <c r="BG8" s="85"/>
      <c r="BH8" s="85"/>
      <c r="BI8" s="85"/>
      <c r="BJ8" s="86"/>
      <c r="BK8" s="86"/>
      <c r="BL8" s="85"/>
      <c r="BM8" s="85"/>
      <c r="BN8" s="85"/>
      <c r="BO8" s="85"/>
      <c r="BP8" s="85"/>
      <c r="BQ8" s="85"/>
      <c r="BR8" s="85"/>
      <c r="BS8" s="85"/>
      <c r="BT8" s="85"/>
      <c r="BU8" s="85"/>
      <c r="BV8" s="85"/>
      <c r="BW8" s="85"/>
      <c r="BX8" s="85"/>
      <c r="BY8" s="85"/>
      <c r="BZ8" s="85"/>
      <c r="CA8" s="85"/>
      <c r="CB8" s="85"/>
      <c r="CC8" s="85"/>
      <c r="CD8" s="85"/>
      <c r="CE8" s="85"/>
      <c r="CF8" s="85"/>
      <c r="CG8" s="85"/>
      <c r="CH8" s="85"/>
      <c r="CI8" s="85"/>
      <c r="CJ8" s="85"/>
      <c r="CK8" s="85"/>
      <c r="CL8" s="85"/>
      <c r="CM8" s="85"/>
      <c r="CN8" s="85"/>
      <c r="CO8" s="85"/>
      <c r="CP8" s="85"/>
      <c r="CQ8" s="85"/>
      <c r="CR8" s="85"/>
      <c r="CS8" s="85"/>
      <c r="CT8" s="85"/>
      <c r="CU8" s="85"/>
      <c r="CV8" s="85"/>
      <c r="CW8" s="85"/>
      <c r="CX8" s="85"/>
      <c r="CY8" s="85"/>
      <c r="CZ8" s="85"/>
      <c r="DA8" s="85"/>
      <c r="DB8" s="85"/>
      <c r="DC8" s="85"/>
      <c r="DD8" s="85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7"/>
      <c r="C9" s="87"/>
      <c r="D9" s="83"/>
      <c r="E9" s="82"/>
      <c r="F9" s="87"/>
      <c r="G9" s="87"/>
      <c r="H9" s="83"/>
      <c r="I9" s="83"/>
      <c r="J9" s="83"/>
      <c r="K9" s="83"/>
      <c r="L9" s="83"/>
      <c r="M9" s="87"/>
      <c r="N9" s="87"/>
      <c r="O9" s="87"/>
      <c r="P9" s="88"/>
      <c r="Q9" s="83"/>
      <c r="R9" s="83"/>
      <c r="S9" s="87"/>
      <c r="T9" s="83"/>
      <c r="U9" s="83"/>
      <c r="V9" s="87"/>
      <c r="W9" s="83"/>
      <c r="X9" s="83"/>
      <c r="Y9" s="88"/>
      <c r="Z9" s="87"/>
      <c r="AA9" s="87"/>
      <c r="AB9" s="83"/>
      <c r="AC9" s="88"/>
      <c r="AD9" s="87"/>
      <c r="AE9" s="82"/>
      <c r="AF9" s="89"/>
      <c r="AG9" s="89"/>
      <c r="AH9" s="87"/>
      <c r="AI9" s="87"/>
      <c r="AJ9" s="83"/>
      <c r="AK9" s="87"/>
      <c r="AL9" s="88"/>
      <c r="AM9" s="88"/>
      <c r="AN9" s="88"/>
      <c r="AO9" s="87"/>
      <c r="AP9" s="88"/>
      <c r="AQ9" s="87"/>
      <c r="AR9" s="87"/>
      <c r="AS9" s="87"/>
      <c r="AT9" s="83"/>
      <c r="AU9" s="82"/>
      <c r="AV9" s="82"/>
      <c r="AW9" s="90"/>
      <c r="AX9" s="83"/>
      <c r="AY9" s="83"/>
      <c r="AZ9" s="87"/>
      <c r="BA9" s="83"/>
      <c r="BB9" s="90"/>
      <c r="BC9" s="88"/>
      <c r="BD9" s="83"/>
      <c r="BE9" s="87"/>
      <c r="BF9" s="82"/>
      <c r="BG9" s="82"/>
      <c r="BH9" s="90"/>
      <c r="BI9" s="88"/>
      <c r="BJ9" s="88"/>
      <c r="BK9" s="82"/>
      <c r="BL9" s="83"/>
      <c r="BM9" s="87"/>
      <c r="BN9" s="87"/>
      <c r="BO9" s="90"/>
      <c r="BP9" s="87"/>
      <c r="BQ9" s="83"/>
      <c r="BR9" s="83"/>
      <c r="BS9" s="83"/>
      <c r="BT9" s="87"/>
      <c r="BU9" s="87"/>
      <c r="BV9" s="83"/>
      <c r="BW9" s="83"/>
      <c r="BX9" s="83"/>
      <c r="BY9" s="83"/>
      <c r="BZ9" s="87"/>
      <c r="CA9" s="83"/>
      <c r="CB9" s="87"/>
      <c r="CC9" s="87"/>
      <c r="CD9" s="83"/>
      <c r="CE9" s="87"/>
      <c r="CF9" s="83"/>
      <c r="CG9" s="87"/>
      <c r="CH9" s="87"/>
      <c r="CI9" s="87"/>
      <c r="CJ9" s="87"/>
      <c r="CK9" s="88"/>
      <c r="CL9" s="88"/>
      <c r="CM9" s="88"/>
      <c r="CN9" s="88"/>
      <c r="CO9" s="88"/>
      <c r="CP9" s="88"/>
      <c r="CQ9" s="88"/>
      <c r="CR9" s="88"/>
      <c r="CS9" s="83"/>
      <c r="CT9" s="88"/>
      <c r="CU9" s="88"/>
      <c r="CV9" s="90"/>
      <c r="CW9" s="89"/>
      <c r="CX9" s="88"/>
      <c r="CY9" s="88"/>
      <c r="CZ9" s="83"/>
      <c r="DA9" s="88"/>
      <c r="DB9" s="83"/>
      <c r="DC9" s="88"/>
      <c r="DD9" s="8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3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71</v>
      </c>
      <c r="D3" s="5" t="s">
        <v>9</v>
      </c>
      <c r="E3" s="23" t="s">
        <v>72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</row>
    <row r="6" ht="15.75" customHeight="1">
      <c r="A6" s="31"/>
      <c r="B6" s="90"/>
      <c r="C6" s="87" t="s">
        <v>27</v>
      </c>
      <c r="D6" s="91">
        <v>1400.0</v>
      </c>
      <c r="E6" s="87" t="s">
        <v>23</v>
      </c>
      <c r="F6" s="87" t="s">
        <v>58</v>
      </c>
      <c r="G6" s="83">
        <v>1.0</v>
      </c>
      <c r="H6" s="87" t="s">
        <v>73</v>
      </c>
      <c r="I6" s="83">
        <v>1400.0</v>
      </c>
      <c r="J6" s="83">
        <v>0.0</v>
      </c>
      <c r="K6" s="83">
        <v>1400.0</v>
      </c>
      <c r="L6" s="83">
        <v>1400.0</v>
      </c>
      <c r="M6" s="83">
        <v>1500.0</v>
      </c>
      <c r="N6" s="91">
        <v>0.0</v>
      </c>
      <c r="O6" s="87"/>
      <c r="P6" s="87" t="s">
        <v>74</v>
      </c>
      <c r="Q6" s="91">
        <v>0.0</v>
      </c>
      <c r="R6" s="87" t="s">
        <v>75</v>
      </c>
      <c r="S6" s="87" t="s">
        <v>70</v>
      </c>
      <c r="T6" s="87" t="s">
        <v>42</v>
      </c>
      <c r="U6" s="87" t="s">
        <v>51</v>
      </c>
      <c r="V6" s="87" t="s">
        <v>49</v>
      </c>
      <c r="W6" s="87" t="s">
        <v>24</v>
      </c>
      <c r="X6" s="83">
        <v>1.0</v>
      </c>
      <c r="Y6" s="83">
        <v>1.0</v>
      </c>
      <c r="Z6" s="88"/>
      <c r="AA6" s="88"/>
      <c r="AB6" s="83">
        <v>0.0</v>
      </c>
      <c r="AC6" s="83">
        <v>0.0</v>
      </c>
      <c r="AD6" s="83">
        <v>1400.0</v>
      </c>
      <c r="AE6" s="83">
        <v>1400.0</v>
      </c>
      <c r="AF6" s="91">
        <v>1400.0</v>
      </c>
      <c r="AG6" s="83">
        <v>1400.0</v>
      </c>
      <c r="AH6" s="83">
        <v>1400.0</v>
      </c>
      <c r="AI6" s="83">
        <v>1400.0</v>
      </c>
      <c r="AJ6" s="83">
        <v>1400.0</v>
      </c>
      <c r="AK6" s="91">
        <v>0.0</v>
      </c>
      <c r="AL6" s="83">
        <v>1.0</v>
      </c>
      <c r="AM6" s="83">
        <v>1.0</v>
      </c>
      <c r="AN6" s="87" t="s">
        <v>33</v>
      </c>
      <c r="AO6" s="88"/>
      <c r="AP6" s="87" t="s">
        <v>73</v>
      </c>
      <c r="AQ6" s="87" t="s">
        <v>27</v>
      </c>
      <c r="AR6" s="83">
        <v>1.0</v>
      </c>
      <c r="AS6" s="83">
        <v>1.0</v>
      </c>
      <c r="AT6" s="88"/>
      <c r="AU6" s="88"/>
      <c r="AV6" s="83">
        <v>1.0</v>
      </c>
      <c r="AW6" s="91">
        <v>0.0</v>
      </c>
      <c r="AX6" s="83">
        <v>0.0</v>
      </c>
      <c r="AY6" s="83">
        <v>0.0</v>
      </c>
      <c r="AZ6" s="83">
        <v>1400.0</v>
      </c>
      <c r="BA6" s="83">
        <v>0.0</v>
      </c>
      <c r="BB6" s="89"/>
      <c r="BC6" s="83">
        <v>1.0</v>
      </c>
      <c r="BD6" s="91">
        <v>-1400.0</v>
      </c>
      <c r="BE6" s="87" t="s">
        <v>42</v>
      </c>
      <c r="BF6" s="87" t="s">
        <v>76</v>
      </c>
      <c r="BG6" s="87" t="s">
        <v>77</v>
      </c>
      <c r="BH6" s="87" t="s">
        <v>74</v>
      </c>
      <c r="BI6" s="83">
        <v>5.0</v>
      </c>
      <c r="BJ6" s="83">
        <v>0.0</v>
      </c>
      <c r="BK6" s="83">
        <v>0.0</v>
      </c>
      <c r="BL6" s="83">
        <v>0.0</v>
      </c>
      <c r="BM6" s="83">
        <v>0.0</v>
      </c>
      <c r="BN6" s="89"/>
      <c r="BO6" s="91">
        <v>-1400.0</v>
      </c>
      <c r="BP6" s="83">
        <v>0.0</v>
      </c>
      <c r="BQ6" s="87" t="s">
        <v>50</v>
      </c>
      <c r="BR6" s="87" t="s">
        <v>65</v>
      </c>
      <c r="BS6" s="83">
        <v>0.0</v>
      </c>
      <c r="BT6" s="83">
        <v>0.0</v>
      </c>
      <c r="BU6" s="87" t="s">
        <v>42</v>
      </c>
      <c r="BV6" s="83"/>
      <c r="BW6" s="83">
        <v>0.0</v>
      </c>
      <c r="BX6" s="83">
        <v>1400.0</v>
      </c>
      <c r="BY6" s="83">
        <v>1400.0</v>
      </c>
      <c r="BZ6" s="83">
        <v>1.0</v>
      </c>
      <c r="CA6" s="83">
        <v>1.0</v>
      </c>
      <c r="CB6" s="90"/>
      <c r="CC6" s="83">
        <v>0.0</v>
      </c>
      <c r="CD6" s="91">
        <v>0.0</v>
      </c>
      <c r="CE6" s="83">
        <v>0.0</v>
      </c>
      <c r="CF6" s="83">
        <v>0.0</v>
      </c>
      <c r="CG6" s="91">
        <v>0.0</v>
      </c>
      <c r="CH6" s="83">
        <v>0.0</v>
      </c>
      <c r="CI6" s="83">
        <v>0.0</v>
      </c>
      <c r="CJ6" s="83">
        <v>0.0</v>
      </c>
      <c r="CK6" s="87" t="b">
        <v>0</v>
      </c>
      <c r="CL6" s="88"/>
      <c r="CM6" s="88"/>
      <c r="CN6" s="87" t="s">
        <v>27</v>
      </c>
      <c r="CO6" s="87" t="s">
        <v>27</v>
      </c>
      <c r="CP6" s="87" t="s">
        <v>48</v>
      </c>
      <c r="CQ6" s="88"/>
      <c r="CR6" s="90"/>
      <c r="CS6" s="83">
        <v>1.0</v>
      </c>
      <c r="CT6" s="88"/>
      <c r="CU6" s="88"/>
      <c r="CV6" s="88"/>
      <c r="CW6" s="88"/>
      <c r="CX6" s="88"/>
      <c r="CY6" s="87"/>
      <c r="CZ6" s="87" t="s">
        <v>78</v>
      </c>
      <c r="DA6" s="83">
        <v>1400.0</v>
      </c>
      <c r="DB6" s="83">
        <v>0.0</v>
      </c>
      <c r="DC6" s="89"/>
      <c r="DD6" s="91">
        <v>1400.0</v>
      </c>
      <c r="DE6" s="83">
        <v>0.0</v>
      </c>
      <c r="DF6" s="83">
        <v>0.0</v>
      </c>
      <c r="DG6" s="83">
        <v>0.0</v>
      </c>
      <c r="DH6" s="87" t="s">
        <v>74</v>
      </c>
      <c r="DI6" s="83">
        <v>0.0</v>
      </c>
      <c r="DJ6" s="87" t="s">
        <v>33</v>
      </c>
      <c r="DK6" s="83">
        <v>0.0</v>
      </c>
      <c r="DL6" s="83">
        <v>0.0</v>
      </c>
      <c r="DM6" s="83">
        <v>1.0</v>
      </c>
      <c r="DN6" s="83">
        <v>1.0</v>
      </c>
      <c r="DO6" s="88"/>
      <c r="DP6" s="87" t="s">
        <v>73</v>
      </c>
      <c r="DQ6" s="87" t="s">
        <v>79</v>
      </c>
      <c r="DR6" s="87" t="s">
        <v>80</v>
      </c>
      <c r="DS6" s="87" t="s">
        <v>79</v>
      </c>
      <c r="DT6" s="87" t="s">
        <v>79</v>
      </c>
      <c r="DU6" s="87" t="s">
        <v>81</v>
      </c>
      <c r="DV6" s="87" t="s">
        <v>79</v>
      </c>
      <c r="DW6" s="87" t="s">
        <v>79</v>
      </c>
      <c r="DX6" s="87" t="s">
        <v>79</v>
      </c>
      <c r="DY6" s="87" t="s">
        <v>79</v>
      </c>
      <c r="DZ6" s="87" t="s">
        <v>82</v>
      </c>
      <c r="EA6" s="87" t="s">
        <v>81</v>
      </c>
      <c r="EB6" s="87" t="s">
        <v>79</v>
      </c>
      <c r="EC6" s="87" t="s">
        <v>79</v>
      </c>
      <c r="ED6" s="87" t="s">
        <v>24</v>
      </c>
      <c r="EE6" s="87" t="s">
        <v>29</v>
      </c>
      <c r="EF6" s="83">
        <v>0.0</v>
      </c>
      <c r="EG6" s="83">
        <v>14.0</v>
      </c>
      <c r="EH6" s="83">
        <v>14.0</v>
      </c>
      <c r="EI6" s="83">
        <v>14.0</v>
      </c>
      <c r="EJ6" s="83">
        <v>15.0</v>
      </c>
      <c r="EK6" s="83">
        <v>15.0</v>
      </c>
      <c r="EL6" s="87" t="s">
        <v>73</v>
      </c>
      <c r="EM6" s="83">
        <v>1500.0</v>
      </c>
      <c r="EN6" s="83">
        <v>1500.0</v>
      </c>
      <c r="EO6" s="83"/>
      <c r="EP6" s="91">
        <v>10000.0</v>
      </c>
      <c r="EQ6" s="83">
        <v>14.0</v>
      </c>
      <c r="ER6" s="83">
        <v>1500.0</v>
      </c>
      <c r="ES6" s="91">
        <v>10000.0</v>
      </c>
      <c r="ET6" s="83"/>
      <c r="EU6" s="83">
        <v>14.0</v>
      </c>
      <c r="EV6" s="87" t="s">
        <v>73</v>
      </c>
      <c r="EW6" s="91">
        <v>10000.0</v>
      </c>
      <c r="EX6" s="87"/>
      <c r="EY6" s="87"/>
      <c r="EZ6" s="83"/>
      <c r="FA6" s="83"/>
      <c r="FB6" s="83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</row>
    <row r="7" ht="15.75" customHeight="1">
      <c r="A7" s="8"/>
      <c r="B7" s="8"/>
      <c r="C7" s="13" t="s">
        <v>27</v>
      </c>
      <c r="D7" s="13">
        <v>100.0</v>
      </c>
      <c r="E7" s="8"/>
      <c r="F7" s="8"/>
      <c r="G7" s="13">
        <v>1.0</v>
      </c>
      <c r="H7" s="13" t="s">
        <v>73</v>
      </c>
      <c r="I7" s="13">
        <v>100.0</v>
      </c>
      <c r="J7" s="13">
        <v>0.0</v>
      </c>
      <c r="K7" s="13">
        <v>100.0</v>
      </c>
      <c r="L7" s="13">
        <v>100.0</v>
      </c>
      <c r="M7" s="13">
        <v>1500.0</v>
      </c>
      <c r="N7" s="13">
        <v>0.0</v>
      </c>
      <c r="O7" s="8"/>
      <c r="P7" s="9" t="s">
        <v>74</v>
      </c>
      <c r="Q7" s="9">
        <v>0.0</v>
      </c>
      <c r="S7" s="87" t="s">
        <v>70</v>
      </c>
      <c r="T7" s="87" t="s">
        <v>42</v>
      </c>
      <c r="U7" s="87" t="s">
        <v>51</v>
      </c>
      <c r="V7" s="87" t="s">
        <v>49</v>
      </c>
      <c r="W7" s="87" t="s">
        <v>24</v>
      </c>
      <c r="X7" s="9">
        <v>1.0</v>
      </c>
      <c r="Y7" s="9">
        <v>1.0</v>
      </c>
      <c r="AB7" s="9">
        <v>0.0</v>
      </c>
      <c r="AC7" s="9">
        <v>0.0</v>
      </c>
      <c r="AD7" s="9">
        <v>100.0</v>
      </c>
      <c r="AE7" s="9">
        <v>100.0</v>
      </c>
      <c r="AF7" s="9">
        <v>100.0</v>
      </c>
      <c r="AG7" s="9">
        <v>100.0</v>
      </c>
      <c r="AH7" s="9">
        <v>100.0</v>
      </c>
      <c r="AI7" s="9">
        <v>100.0</v>
      </c>
      <c r="AJ7" s="9">
        <v>100.0</v>
      </c>
      <c r="AK7" s="9">
        <v>0.0</v>
      </c>
      <c r="AL7" s="9">
        <v>1.0</v>
      </c>
      <c r="AM7" s="9">
        <v>1.0</v>
      </c>
      <c r="AN7" s="9" t="s">
        <v>33</v>
      </c>
      <c r="AP7" s="9" t="s">
        <v>73</v>
      </c>
      <c r="AQ7" s="9" t="s">
        <v>27</v>
      </c>
      <c r="AR7" s="9">
        <v>1.0</v>
      </c>
      <c r="AS7" s="9">
        <v>1.0</v>
      </c>
      <c r="AV7" s="9">
        <v>1.0</v>
      </c>
      <c r="AW7" s="9">
        <v>0.0</v>
      </c>
      <c r="AX7" s="9">
        <v>0.0</v>
      </c>
      <c r="AY7" s="9">
        <v>0.0</v>
      </c>
      <c r="AZ7" s="9">
        <v>100.0</v>
      </c>
      <c r="BA7" s="9">
        <v>0.0</v>
      </c>
      <c r="BC7" s="9">
        <v>1.0</v>
      </c>
      <c r="BD7" s="9">
        <v>-100.0</v>
      </c>
      <c r="BE7" s="9" t="s">
        <v>42</v>
      </c>
      <c r="BF7" s="9" t="s">
        <v>76</v>
      </c>
      <c r="BG7" s="9" t="s">
        <v>77</v>
      </c>
      <c r="BH7" s="9" t="s">
        <v>74</v>
      </c>
      <c r="BI7" s="9">
        <v>5.0</v>
      </c>
      <c r="BJ7" s="9">
        <v>0.0</v>
      </c>
      <c r="BK7" s="9">
        <v>0.0</v>
      </c>
      <c r="BL7" s="9">
        <v>0.0</v>
      </c>
      <c r="BM7" s="9">
        <v>0.0</v>
      </c>
      <c r="BO7" s="9">
        <v>-100.0</v>
      </c>
      <c r="BP7" s="9">
        <v>0.0</v>
      </c>
      <c r="BQ7" s="9" t="s">
        <v>50</v>
      </c>
      <c r="BR7" s="9" t="s">
        <v>65</v>
      </c>
      <c r="BS7" s="9">
        <v>0.0</v>
      </c>
      <c r="BT7" s="9">
        <v>0.0</v>
      </c>
      <c r="BU7" s="9" t="s">
        <v>42</v>
      </c>
      <c r="BW7" s="9">
        <v>0.0</v>
      </c>
      <c r="BX7" s="9">
        <v>100.0</v>
      </c>
      <c r="BY7" s="9">
        <v>100.0</v>
      </c>
      <c r="BZ7" s="9">
        <v>1.0</v>
      </c>
      <c r="CA7" s="9">
        <v>1.0</v>
      </c>
      <c r="CC7" s="9">
        <v>0.0</v>
      </c>
      <c r="CD7" s="9">
        <v>0.0</v>
      </c>
      <c r="CE7" s="9">
        <v>0.0</v>
      </c>
      <c r="CF7" s="9">
        <v>0.0</v>
      </c>
      <c r="CG7" s="9">
        <v>0.0</v>
      </c>
      <c r="CH7" s="9">
        <v>0.0</v>
      </c>
      <c r="CI7" s="9">
        <v>0.0</v>
      </c>
      <c r="CJ7" s="9">
        <v>0.0</v>
      </c>
      <c r="CK7" s="9" t="b">
        <v>0</v>
      </c>
      <c r="CN7" s="9" t="s">
        <v>27</v>
      </c>
      <c r="CO7" s="9" t="s">
        <v>27</v>
      </c>
      <c r="CP7" s="9" t="s">
        <v>48</v>
      </c>
      <c r="CS7" s="9">
        <v>1.0</v>
      </c>
      <c r="CZ7" s="9" t="s">
        <v>78</v>
      </c>
      <c r="DA7" s="9">
        <v>100.0</v>
      </c>
      <c r="DB7" s="9">
        <v>0.0</v>
      </c>
      <c r="DD7" s="9">
        <v>100.0</v>
      </c>
      <c r="DE7" s="9">
        <v>0.0</v>
      </c>
      <c r="DF7" s="9">
        <v>0.0</v>
      </c>
      <c r="DG7" s="9">
        <v>0.0</v>
      </c>
      <c r="DH7" s="9" t="s">
        <v>74</v>
      </c>
      <c r="DI7" s="9">
        <v>0.0</v>
      </c>
      <c r="DJ7" s="9" t="s">
        <v>33</v>
      </c>
      <c r="DK7" s="9">
        <v>0.0</v>
      </c>
      <c r="DL7" s="9">
        <v>0.0</v>
      </c>
      <c r="DM7" s="9">
        <v>1.0</v>
      </c>
      <c r="DN7" s="9">
        <v>1.0</v>
      </c>
      <c r="DP7" s="9" t="s">
        <v>73</v>
      </c>
      <c r="DQ7" s="9" t="s">
        <v>79</v>
      </c>
      <c r="DR7" s="9" t="s">
        <v>80</v>
      </c>
      <c r="DS7" s="9" t="s">
        <v>79</v>
      </c>
      <c r="DT7" s="9" t="s">
        <v>79</v>
      </c>
      <c r="DU7" s="9" t="s">
        <v>81</v>
      </c>
      <c r="DV7" s="9" t="s">
        <v>79</v>
      </c>
      <c r="DW7" s="9" t="s">
        <v>79</v>
      </c>
      <c r="DX7" s="9" t="s">
        <v>79</v>
      </c>
      <c r="DY7" s="9" t="s">
        <v>79</v>
      </c>
      <c r="DZ7" s="9" t="s">
        <v>82</v>
      </c>
      <c r="EA7" s="9" t="s">
        <v>81</v>
      </c>
      <c r="EB7" s="9" t="s">
        <v>79</v>
      </c>
      <c r="EC7" s="9" t="s">
        <v>79</v>
      </c>
      <c r="ED7" s="9" t="s">
        <v>24</v>
      </c>
      <c r="EE7" s="9" t="s">
        <v>29</v>
      </c>
      <c r="EF7" s="9">
        <v>0.0</v>
      </c>
      <c r="EG7" s="9">
        <v>1.0</v>
      </c>
      <c r="EH7" s="9">
        <v>1.0</v>
      </c>
      <c r="EI7" s="9">
        <v>1.0</v>
      </c>
      <c r="EJ7" s="9">
        <v>15.0</v>
      </c>
      <c r="EK7" s="9">
        <v>15.0</v>
      </c>
      <c r="EL7" s="9" t="s">
        <v>73</v>
      </c>
      <c r="EM7" s="9">
        <v>1500.0</v>
      </c>
      <c r="EN7" s="9">
        <v>1500.0</v>
      </c>
      <c r="EP7" s="9">
        <v>10000.0</v>
      </c>
      <c r="EQ7" s="9">
        <v>1.0</v>
      </c>
      <c r="ER7" s="9">
        <v>1500.0</v>
      </c>
      <c r="ES7" s="9">
        <v>10000.0</v>
      </c>
      <c r="EU7" s="9">
        <v>1.0</v>
      </c>
      <c r="EV7" s="9" t="s">
        <v>73</v>
      </c>
      <c r="EW7" s="9">
        <v>0.0</v>
      </c>
    </row>
    <row r="8" ht="15.75" customHeight="1">
      <c r="A8" s="36"/>
      <c r="B8" s="92"/>
      <c r="C8" s="74"/>
      <c r="D8" s="93"/>
      <c r="E8" s="74"/>
      <c r="F8" s="74"/>
      <c r="G8" s="94"/>
      <c r="H8" s="74"/>
      <c r="I8" s="94"/>
      <c r="J8" s="94"/>
      <c r="K8" s="94"/>
      <c r="L8" s="94"/>
      <c r="M8" s="94"/>
      <c r="N8" s="93"/>
      <c r="O8" s="74"/>
      <c r="P8" s="74"/>
      <c r="Q8" s="93"/>
      <c r="R8" s="74"/>
      <c r="S8" s="74"/>
      <c r="T8" s="76"/>
      <c r="U8" s="76"/>
      <c r="V8" s="76"/>
      <c r="W8" s="76"/>
      <c r="X8" s="95"/>
      <c r="Y8" s="95"/>
      <c r="Z8" s="36"/>
      <c r="AA8" s="36"/>
      <c r="AB8" s="95"/>
      <c r="AC8" s="95"/>
      <c r="AD8" s="95"/>
      <c r="AE8" s="95"/>
      <c r="AF8" s="96"/>
      <c r="AG8" s="95"/>
      <c r="AH8" s="95"/>
      <c r="AI8" s="95"/>
      <c r="AJ8" s="95"/>
      <c r="AK8" s="96"/>
      <c r="AL8" s="95"/>
      <c r="AM8" s="95"/>
      <c r="AN8" s="76"/>
      <c r="AO8" s="36"/>
      <c r="AP8" s="76"/>
      <c r="AQ8" s="76"/>
      <c r="AR8" s="95"/>
      <c r="AS8" s="95"/>
      <c r="AT8" s="36"/>
      <c r="AU8" s="76"/>
      <c r="AV8" s="95"/>
      <c r="AW8" s="96"/>
      <c r="AX8" s="95"/>
      <c r="AY8" s="95"/>
      <c r="AZ8" s="95"/>
      <c r="BA8" s="95"/>
      <c r="BB8" s="78"/>
      <c r="BC8" s="95"/>
      <c r="BD8" s="96"/>
      <c r="BE8" s="76"/>
      <c r="BF8" s="76"/>
      <c r="BG8" s="76"/>
      <c r="BH8" s="76"/>
      <c r="BI8" s="95"/>
      <c r="BJ8" s="95"/>
      <c r="BK8" s="95"/>
      <c r="BL8" s="95"/>
      <c r="BM8" s="95"/>
      <c r="BN8" s="78"/>
      <c r="BO8" s="96"/>
      <c r="BP8" s="95"/>
      <c r="BQ8" s="76"/>
      <c r="BR8" s="76"/>
      <c r="BS8" s="95"/>
      <c r="BT8" s="95"/>
      <c r="BU8" s="76"/>
      <c r="BV8" s="95"/>
      <c r="BW8" s="95"/>
      <c r="BX8" s="95"/>
      <c r="BY8" s="95"/>
      <c r="BZ8" s="95"/>
      <c r="CA8" s="95"/>
      <c r="CB8" s="81"/>
      <c r="CC8" s="95"/>
      <c r="CD8" s="96"/>
      <c r="CE8" s="95"/>
      <c r="CF8" s="95"/>
      <c r="CG8" s="96"/>
      <c r="CH8" s="95"/>
      <c r="CI8" s="95"/>
      <c r="CJ8" s="95"/>
      <c r="CK8" s="79"/>
      <c r="CL8" s="36"/>
      <c r="CM8" s="36"/>
      <c r="CN8" s="76"/>
      <c r="CO8" s="76"/>
      <c r="CP8" s="76"/>
      <c r="CQ8" s="36"/>
      <c r="CR8" s="81"/>
      <c r="CS8" s="95"/>
      <c r="CT8" s="36"/>
      <c r="CU8" s="36"/>
      <c r="CV8" s="36"/>
      <c r="CW8" s="36"/>
      <c r="CX8" s="36"/>
      <c r="CY8" s="76"/>
      <c r="CZ8" s="76"/>
      <c r="DA8" s="95"/>
      <c r="DB8" s="95"/>
      <c r="DC8" s="78"/>
      <c r="DD8" s="96"/>
      <c r="DE8" s="95"/>
      <c r="DF8" s="95"/>
      <c r="DG8" s="95"/>
      <c r="DH8" s="76"/>
      <c r="DI8" s="95"/>
      <c r="DJ8" s="76"/>
      <c r="DK8" s="95"/>
      <c r="DL8" s="95"/>
      <c r="DM8" s="95"/>
      <c r="DN8" s="95"/>
      <c r="DO8" s="36"/>
      <c r="DP8" s="76"/>
      <c r="DQ8" s="76"/>
      <c r="DR8" s="76"/>
      <c r="DS8" s="76"/>
      <c r="DT8" s="76"/>
      <c r="DU8" s="76"/>
      <c r="DV8" s="76"/>
      <c r="DW8" s="76"/>
      <c r="DX8" s="76"/>
      <c r="DY8" s="76"/>
      <c r="DZ8" s="76"/>
      <c r="EA8" s="76"/>
      <c r="EB8" s="76"/>
      <c r="EC8" s="76"/>
      <c r="ED8" s="76"/>
      <c r="EE8" s="76"/>
      <c r="EF8" s="95"/>
      <c r="EG8" s="95"/>
      <c r="EH8" s="95"/>
      <c r="EI8" s="95"/>
      <c r="EJ8" s="95"/>
      <c r="EK8" s="95"/>
      <c r="EL8" s="76"/>
      <c r="EM8" s="95"/>
      <c r="EN8" s="95"/>
      <c r="EO8" s="95"/>
      <c r="EP8" s="95"/>
      <c r="EQ8" s="95"/>
      <c r="ER8" s="95"/>
      <c r="ES8" s="96"/>
      <c r="ET8" s="95"/>
      <c r="EU8" s="95"/>
      <c r="EV8" s="76"/>
      <c r="EW8" s="96"/>
      <c r="EX8" s="79"/>
      <c r="EY8" s="76"/>
      <c r="EZ8" s="95"/>
      <c r="FA8" s="95"/>
      <c r="FB8" s="95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8"/>
      <c r="D6" s="13" t="s">
        <v>27</v>
      </c>
      <c r="E6" s="42"/>
      <c r="F6" s="13" t="s">
        <v>33</v>
      </c>
      <c r="G6" s="13"/>
      <c r="H6" s="13">
        <v>2000.0</v>
      </c>
      <c r="I6" s="13">
        <v>1400.0</v>
      </c>
      <c r="J6" s="13">
        <v>70.0</v>
      </c>
      <c r="K6" s="13">
        <v>1400.0</v>
      </c>
      <c r="L6" s="8"/>
      <c r="M6" s="8"/>
      <c r="N6" s="8"/>
      <c r="O6" s="8"/>
      <c r="AP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42</v>
      </c>
      <c r="AJ6" s="9" t="s">
        <v>27</v>
      </c>
      <c r="AK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4000.0</v>
      </c>
      <c r="E6" s="42"/>
      <c r="F6" s="8"/>
      <c r="G6" s="8"/>
      <c r="H6" s="8"/>
      <c r="I6" s="8"/>
      <c r="J6" s="13">
        <v>1.0</v>
      </c>
      <c r="K6" s="8"/>
      <c r="L6" s="8"/>
      <c r="M6" s="8"/>
      <c r="N6" s="8"/>
      <c r="O6" s="8"/>
      <c r="AO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IFERROR(__xludf.DUMMYFUNCTION("IF(C3="""","""",Transpose(IMPORTRANGE('_Settings'!$B$3,C3&amp;""!A4:A1000"")))"),"RestartReleasesAndServices")</f>
        <v>RestartReleasesAndServices</v>
      </c>
      <c r="C4" s="25" t="str">
        <f>IFERROR(__xludf.DUMMYFUNCTION("""COMPUTED_VALUE"""),"ReplaceInterceptorFile")</f>
        <v>ReplaceInterceptorFile</v>
      </c>
      <c r="D4" s="25" t="str">
        <f>IFERROR(__xludf.DUMMYFUNCTION("""COMPUTED_VALUE"""),"EditInterceptorFile")</f>
        <v>EditInterceptorFile</v>
      </c>
      <c r="E4" s="25" t="str">
        <f>IFERROR(__xludf.DUMMYFUNCTION("""COMPUTED_VALUE"""),"VerifyAlertHistory")</f>
        <v>VerifyAlertHistory</v>
      </c>
      <c r="F4" s="25" t="str">
        <f>IFERROR(__xludf.DUMMYFUNCTION("""COMPUTED_VALUE"""),"ApproveorRejectpendingapproval")</f>
        <v>ApproveorRejectpendingapproval</v>
      </c>
      <c r="G4" s="25" t="str">
        <f>IFERROR(__xludf.DUMMYFUNCTION("""COMPUTED_VALUE"""),"VerifyAggAccountSymbolWithNav")</f>
        <v>VerifyAggAccountSymbolWithNav</v>
      </c>
      <c r="H4" s="25" t="str">
        <f>IFERROR(__xludf.DUMMYFUNCTION("""COMPUTED_VALUE"""),"RestartRuleMediator")</f>
        <v>RestartRuleMediator</v>
      </c>
      <c r="I4" s="25" t="str">
        <f>IFERROR(__xludf.DUMMYFUNCTION("""COMPUTED_VALUE"""),"VerifyMasterFundSymbolDivisorWindow")</f>
        <v>VerifyMasterFundSymbolDivisorWindow</v>
      </c>
      <c r="J4" s="25" t="str">
        <f>IFERROR(__xludf.DUMMYFUNCTION("""COMPUTED_VALUE"""),"VerifyMasterFundDivisorWindow")</f>
        <v>VerifyMasterFundDivisorWindow</v>
      </c>
      <c r="K4" s="25" t="str">
        <f>IFERROR(__xludf.DUMMYFUNCTION("""COMPUTED_VALUE"""),"VerifyGlobalDivisorWindow")</f>
        <v>VerifyGlobalDivisorWindow</v>
      </c>
      <c r="L4" s="25" t="str">
        <f>IFERROR(__xludf.DUMMYFUNCTION("""COMPUTED_VALUE"""),"VerifyAccrualForAccountWindow")</f>
        <v>VerifyAccrualForAccountWindow</v>
      </c>
      <c r="M4" s="25" t="str">
        <f>IFERROR(__xludf.DUMMYFUNCTION("""COMPUTED_VALUE"""),"VerifyGlobalDivisorWindow")</f>
        <v>VerifyGlobalDivisorWindow</v>
      </c>
      <c r="N4" s="25" t="str">
        <f>IFERROR(__xludf.DUMMYFUNCTION("""COMPUTED_VALUE"""),"VerifyAggregationGlobalWithNav")</f>
        <v>VerifyAggregationGlobalWithNav</v>
      </c>
      <c r="O4" s="25" t="str">
        <f>IFERROR(__xludf.DUMMYFUNCTION("""COMPUTED_VALUE"""),"VerifyAggregationGlobalWithNav")</f>
        <v>VerifyAggregationGlobalWithNav</v>
      </c>
      <c r="P4" s="26" t="str">
        <f>IFERROR(__xludf.DUMMYFUNCTION("""COMPUTED_VALUE"""),"VerifyAggregationSubSectorWithNav")</f>
        <v>VerifyAggregationSubSectorWithNav</v>
      </c>
      <c r="Q4" s="26" t="str">
        <f>IFERROR(__xludf.DUMMYFUNCTION("""COMPUTED_VALUE"""),"VerifyAggregationSymbolWithNav")</f>
        <v>VerifyAggregationSymbolWithNav</v>
      </c>
      <c r="R4" s="26" t="str">
        <f>IFERROR(__xludf.DUMMYFUNCTION("""COMPUTED_VALUE"""),"VerifyAggregationAssetWithNav")</f>
        <v>VerifyAggregationAssetWithNav</v>
      </c>
      <c r="S4" s="26" t="str">
        <f>IFERROR(__xludf.DUMMYFUNCTION("""COMPUTED_VALUE"""),"VerifyAggregationAccountUnderlyingSymbolWithNav")</f>
        <v>VerifyAggregationAccountUnderlyingSymbolWithNav</v>
      </c>
      <c r="T4" s="26" t="str">
        <f>IFERROR(__xludf.DUMMYFUNCTION("""COMPUTED_VALUE"""),"VerifyAccountNavPreferenceWindow")</f>
        <v>VerifyAccountNavPreferenceWindow</v>
      </c>
      <c r="U4" s="26" t="str">
        <f>IFERROR(__xludf.DUMMYFUNCTION("""COMPUTED_VALUE"""),"RestartEsper")</f>
        <v>RestartEsper</v>
      </c>
      <c r="V4" s="26" t="str">
        <f>IFERROR(__xludf.DUMMYFUNCTION("""COMPUTED_VALUE"""),"VerifyTaxlotWindow")</f>
        <v>VerifyTaxlotWindow</v>
      </c>
      <c r="W4" s="26" t="str">
        <f>IFERROR(__xludf.DUMMYFUNCTION("""COMPUTED_VALUE"""),"VerifySymbolDivisorWindow")</f>
        <v>VerifySymbolDivisorWindow</v>
      </c>
      <c r="X4" s="26" t="str">
        <f>IFERROR(__xludf.DUMMYFUNCTION("""COMPUTED_VALUE"""),"VerifySymbolDataWindow")</f>
        <v>VerifySymbolDataWindow</v>
      </c>
      <c r="Y4" s="26" t="str">
        <f>IFERROR(__xludf.DUMMYFUNCTION("""COMPUTED_VALUE"""),"VerifySecurityWindow")</f>
        <v>VerifySecurityWindow</v>
      </c>
      <c r="Z4" s="26" t="str">
        <f>IFERROR(__xludf.DUMMYFUNCTION("""COMPUTED_VALUE"""),"VerifyRowCalculationBaseWindow")</f>
        <v>VerifyRowCalculationBaseWindow</v>
      </c>
      <c r="AA4" s="26" t="str">
        <f>IFERROR(__xludf.DUMMYFUNCTION("""COMPUTED_VALUE"""),"VerifyPmCalculationPreferenceWindow")</f>
        <v>VerifyPmCalculationPreferenceWindow</v>
      </c>
      <c r="AB4" s="26" t="str">
        <f>IFERROR(__xludf.DUMMYFUNCTION("""COMPUTED_VALUE"""),"VerifyGlobalDivisorWindow")</f>
        <v>VerifyGlobalDivisorWindow</v>
      </c>
      <c r="AC4" s="26" t="str">
        <f>IFERROR(__xludf.DUMMYFUNCTION("""COMPUTED_VALUE"""),"VerifyDbNavWindow")</f>
        <v>VerifyDbNavWindow</v>
      </c>
      <c r="AD4" s="26" t="str">
        <f>IFERROR(__xludf.DUMMYFUNCTION("""COMPUTED_VALUE"""),"VerifyDayEndCashAccountWindow")</f>
        <v>VerifyDayEndCashAccountWindow</v>
      </c>
      <c r="AE4" s="26" t="str">
        <f>IFERROR(__xludf.DUMMYFUNCTION("""COMPUTED_VALUE"""),"VerifyCustomSymbolDataWindow")</f>
        <v>VerifyCustomSymbolDataWindow</v>
      </c>
      <c r="AF4" s="26" t="str">
        <f>IFERROR(__xludf.DUMMYFUNCTION("""COMPUTED_VALUE"""),"VerifyBetaWindow")</f>
        <v>VerifyBetaWindow</v>
      </c>
      <c r="AG4" s="26" t="str">
        <f>IFERROR(__xludf.DUMMYFUNCTION("""COMPUTED_VALUE"""),"VerifyAuecWindow")</f>
        <v>VerifyAuecWindow</v>
      </c>
      <c r="AH4" s="26" t="str">
        <f>IFERROR(__xludf.DUMMYFUNCTION("""COMPUTED_VALUE"""),"VerifyAggregationUnderlyingSymbolWithNav")</f>
        <v>VerifyAggregationUnderlyingSymbolWithNav</v>
      </c>
      <c r="AI4" s="26" t="str">
        <f>IFERROR(__xludf.DUMMYFUNCTION("""COMPUTED_VALUE"""),"VerifyAggregationSectorWithNav")</f>
        <v>VerifyAggregationSectorWithNav</v>
      </c>
      <c r="AJ4" s="26" t="str">
        <f>IFERROR(__xludf.DUMMYFUNCTION("""COMPUTED_VALUE"""),"VerifyAggregationMasterFundWithNav")</f>
        <v>VerifyAggregationMasterFundWithNav</v>
      </c>
      <c r="AK4" s="26" t="str">
        <f>IFERROR(__xludf.DUMMYFUNCTION("""COMPUTED_VALUE"""),"VerifyAggregationMasterFundUnderlyingSymbolWithNav")</f>
        <v>VerifyAggregationMasterFundUnderlyingSymbolWithNav</v>
      </c>
      <c r="AL4" s="26" t="str">
        <f>IFERROR(__xludf.DUMMYFUNCTION("""COMPUTED_VALUE"""),"VerifyAggregationMasterFundSymbolWithNav")</f>
        <v>VerifyAggregationMasterFundSymbolWithNav</v>
      </c>
      <c r="AM4" s="26" t="str">
        <f>IFERROR(__xludf.DUMMYFUNCTION("""COMPUTED_VALUE"""),"VerifyAggregationAccountWithNav")</f>
        <v>VerifyAggregationAccountWithNav</v>
      </c>
      <c r="AN4" s="26" t="str">
        <f>IFERROR(__xludf.DUMMYFUNCTION("""COMPUTED_VALUE"""),"VerifyAggregationAccountSymbolWithNav")</f>
        <v>VerifyAggregationAccountSymbolWithNav</v>
      </c>
      <c r="AO4" s="26" t="str">
        <f>IFERROR(__xludf.DUMMYFUNCTION("""COMPUTED_VALUE"""),"VerifyAccountSymbolDivisorWindow")</f>
        <v>VerifyAccountSymbolDivisorWindow</v>
      </c>
      <c r="AP4" s="26" t="str">
        <f>IFERROR(__xludf.DUMMYFUNCTION("""COMPUTED_VALUE"""),"VerifyAccountDivisorWindow")</f>
        <v>VerifyAccountDivisorWindow</v>
      </c>
      <c r="AQ4" s="26" t="str">
        <f>IFERROR(__xludf.DUMMYFUNCTION("""COMPUTED_VALUE"""),"CheckCompliance")</f>
        <v>CheckCompliance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35" t="s">
        <v>27</v>
      </c>
      <c r="I6" s="48">
        <v>0.0</v>
      </c>
      <c r="J6" s="48">
        <v>1400.0</v>
      </c>
      <c r="K6" s="48">
        <v>1400.0</v>
      </c>
      <c r="L6" s="48">
        <v>1400.0</v>
      </c>
      <c r="M6" s="35" t="s">
        <v>57</v>
      </c>
      <c r="N6" s="35"/>
      <c r="O6" s="35" t="s">
        <v>33</v>
      </c>
      <c r="P6" s="35"/>
      <c r="Q6" s="35"/>
      <c r="R6" s="35" t="s">
        <v>58</v>
      </c>
      <c r="S6" s="35"/>
      <c r="T6" s="36" t="s">
        <v>23</v>
      </c>
      <c r="U6" s="36" t="s">
        <v>23</v>
      </c>
      <c r="V6" s="36"/>
      <c r="W6" s="36"/>
      <c r="X6" s="36"/>
      <c r="Y6" s="36"/>
      <c r="Z6" s="36"/>
      <c r="AA6" s="35"/>
      <c r="AB6" s="48">
        <v>1400.0</v>
      </c>
      <c r="AC6" s="35"/>
      <c r="AD6" s="48">
        <v>1400.0</v>
      </c>
      <c r="AE6" s="71">
        <v>0.0</v>
      </c>
      <c r="AF6" s="35"/>
      <c r="AG6" s="48">
        <v>1400.0</v>
      </c>
      <c r="AH6" s="48">
        <v>1400.0</v>
      </c>
      <c r="AI6" s="36"/>
      <c r="AJ6" s="36" t="s">
        <v>42</v>
      </c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71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71"/>
      <c r="BR6" s="71"/>
      <c r="BS6" s="36"/>
      <c r="BT6" s="71"/>
      <c r="BU6" s="36"/>
      <c r="BV6" s="71">
        <v>1.0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35"/>
      <c r="D7" s="35"/>
      <c r="E7" s="35"/>
      <c r="F7" s="35"/>
      <c r="G7" s="35"/>
      <c r="H7" s="35" t="s">
        <v>27</v>
      </c>
      <c r="I7" s="48">
        <v>0.0</v>
      </c>
      <c r="J7" s="48">
        <v>2600.0</v>
      </c>
      <c r="K7" s="48">
        <v>2600.0</v>
      </c>
      <c r="L7" s="48">
        <v>2600.0</v>
      </c>
      <c r="M7" s="40" t="s">
        <v>59</v>
      </c>
      <c r="N7" s="35"/>
      <c r="O7" s="35" t="s">
        <v>33</v>
      </c>
      <c r="P7" s="35"/>
      <c r="Q7" s="35"/>
      <c r="R7" s="35" t="s">
        <v>58</v>
      </c>
      <c r="S7" s="35"/>
      <c r="T7" s="36" t="s">
        <v>23</v>
      </c>
      <c r="U7" s="36" t="s">
        <v>23</v>
      </c>
      <c r="V7" s="36"/>
      <c r="W7" s="36"/>
      <c r="X7" s="36"/>
      <c r="Y7" s="36"/>
      <c r="Z7" s="36"/>
      <c r="AA7" s="35"/>
      <c r="AB7" s="48">
        <v>2600.0</v>
      </c>
      <c r="AC7" s="35"/>
      <c r="AD7" s="48">
        <v>2600.0</v>
      </c>
      <c r="AE7" s="71">
        <v>0.0</v>
      </c>
      <c r="AF7" s="35"/>
      <c r="AG7" s="48">
        <v>2600.0</v>
      </c>
      <c r="AH7" s="48">
        <v>2600.0</v>
      </c>
      <c r="AI7" s="36"/>
      <c r="AJ7" s="36" t="s">
        <v>42</v>
      </c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71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71"/>
      <c r="BR7" s="71"/>
      <c r="BS7" s="36"/>
      <c r="BT7" s="71"/>
      <c r="BU7" s="36"/>
      <c r="BV7" s="71">
        <v>1.0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13" t="s">
        <v>27</v>
      </c>
      <c r="I8" s="13">
        <v>0.0</v>
      </c>
      <c r="J8" s="13">
        <v>100.0</v>
      </c>
      <c r="K8" s="13">
        <v>100.0</v>
      </c>
      <c r="L8" s="13">
        <v>100.0</v>
      </c>
      <c r="M8" s="13" t="s">
        <v>57</v>
      </c>
      <c r="N8" s="8"/>
      <c r="O8" s="13" t="s">
        <v>33</v>
      </c>
      <c r="R8" s="9" t="s">
        <v>83</v>
      </c>
      <c r="T8" s="9" t="s">
        <v>83</v>
      </c>
      <c r="U8" s="9" t="s">
        <v>83</v>
      </c>
      <c r="AB8" s="9">
        <v>100.0</v>
      </c>
      <c r="AD8" s="9">
        <v>100.0</v>
      </c>
      <c r="AE8" s="9">
        <v>0.0</v>
      </c>
      <c r="AG8" s="9">
        <v>100.0</v>
      </c>
      <c r="AH8" s="9">
        <v>100.0</v>
      </c>
      <c r="AJ8" s="9" t="s">
        <v>84</v>
      </c>
      <c r="BV8" s="9">
        <v>1.0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8"/>
      <c r="D6" s="13" t="s">
        <v>27</v>
      </c>
      <c r="E6" s="42"/>
      <c r="F6" s="13" t="s">
        <v>33</v>
      </c>
      <c r="G6" s="13"/>
      <c r="H6" s="13">
        <v>4000.0</v>
      </c>
      <c r="I6" s="13">
        <v>1400.0</v>
      </c>
      <c r="J6" s="13">
        <v>35.0</v>
      </c>
      <c r="K6" s="13">
        <v>1400.0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8"/>
      <c r="D6" s="13" t="s">
        <v>27</v>
      </c>
      <c r="E6" s="42"/>
      <c r="F6" s="13" t="s">
        <v>33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AddFillsSubOrder1!$4:$4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>
        <v>2000.0</v>
      </c>
      <c r="C6" s="48">
        <v>1.0</v>
      </c>
      <c r="D6" s="32" t="b">
        <v>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EditAddFillsDetails1!$4:$4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8"/>
      <c r="D6" s="13" t="s">
        <v>27</v>
      </c>
      <c r="E6" s="13"/>
      <c r="F6" s="8"/>
      <c r="G6" s="13"/>
      <c r="H6" s="13">
        <v>4000.0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41">
        <v>1.0</v>
      </c>
      <c r="E6" s="51" t="s">
        <v>48</v>
      </c>
      <c r="F6" s="35"/>
      <c r="G6" s="45">
        <v>1800.0</v>
      </c>
      <c r="H6" s="51" t="s">
        <v>49</v>
      </c>
      <c r="I6" s="51" t="s">
        <v>50</v>
      </c>
      <c r="J6" s="51" t="s">
        <v>27</v>
      </c>
      <c r="K6" s="51" t="s">
        <v>51</v>
      </c>
      <c r="L6" s="51" t="s">
        <v>52</v>
      </c>
      <c r="M6" s="35"/>
      <c r="N6" s="35"/>
      <c r="O6" s="35"/>
      <c r="P6" s="35"/>
      <c r="Q6" s="35"/>
      <c r="R6" s="35"/>
      <c r="S6" s="45">
        <v>0.0</v>
      </c>
      <c r="T6" s="53">
        <v>0.0</v>
      </c>
      <c r="U6" s="54" t="s">
        <v>24</v>
      </c>
      <c r="V6" s="55" t="s">
        <v>53</v>
      </c>
      <c r="W6" s="53"/>
      <c r="X6" s="53">
        <v>0.0</v>
      </c>
      <c r="Y6" s="53"/>
      <c r="Z6" s="53"/>
      <c r="AA6" s="53"/>
      <c r="AB6" s="56"/>
      <c r="AC6" s="53"/>
      <c r="AD6" s="53">
        <v>1.0</v>
      </c>
      <c r="AE6" s="57"/>
      <c r="AF6" s="53" t="s">
        <v>54</v>
      </c>
      <c r="AG6" s="53"/>
      <c r="AH6" s="53" t="s">
        <v>42</v>
      </c>
      <c r="AI6" s="53" t="s">
        <v>27</v>
      </c>
      <c r="AJ6" s="53" t="s">
        <v>33</v>
      </c>
      <c r="AK6" s="97"/>
      <c r="AL6" s="52">
        <v>4000.0</v>
      </c>
      <c r="AM6" s="56">
        <v>2200.0</v>
      </c>
      <c r="AN6" s="36"/>
      <c r="AO6" s="60"/>
      <c r="AP6" s="60"/>
      <c r="AQ6" s="36" t="s">
        <v>65</v>
      </c>
      <c r="AR6" s="36" t="s">
        <v>23</v>
      </c>
      <c r="AS6" s="36"/>
      <c r="AT6" s="56">
        <v>2200.0</v>
      </c>
      <c r="AU6" s="56">
        <v>2200.0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5"/>
      <c r="B8" s="35"/>
      <c r="C8" s="35"/>
      <c r="D8" s="41"/>
      <c r="E8" s="61"/>
      <c r="F8" s="34"/>
      <c r="G8" s="46"/>
      <c r="H8" s="61"/>
      <c r="I8" s="61"/>
      <c r="J8" s="61"/>
      <c r="K8" s="61"/>
      <c r="L8" s="61"/>
      <c r="M8" s="34"/>
      <c r="N8" s="34"/>
      <c r="O8" s="34"/>
      <c r="P8" s="34"/>
      <c r="Q8" s="34"/>
      <c r="R8" s="34"/>
      <c r="S8" s="46"/>
      <c r="T8" s="62"/>
      <c r="U8" s="63"/>
      <c r="V8" s="64"/>
      <c r="W8" s="62"/>
      <c r="X8" s="62"/>
      <c r="Y8" s="62"/>
      <c r="Z8" s="62"/>
      <c r="AA8" s="62"/>
      <c r="AB8" s="62"/>
      <c r="AC8" s="62"/>
      <c r="AD8" s="62"/>
      <c r="AE8" s="57"/>
      <c r="AF8" s="62"/>
      <c r="AG8" s="62"/>
      <c r="AH8" s="62"/>
      <c r="AI8" s="62"/>
      <c r="AJ8" s="62"/>
      <c r="AK8" s="98"/>
      <c r="AL8" s="65"/>
      <c r="AM8" s="65"/>
      <c r="AN8" s="31"/>
      <c r="AO8" s="31"/>
      <c r="AP8" s="31"/>
      <c r="AQ8" s="31"/>
      <c r="AR8" s="31"/>
      <c r="AS8" s="31"/>
      <c r="AT8" s="62"/>
      <c r="AU8" s="62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67"/>
      <c r="P9" s="68"/>
      <c r="Q9" s="56"/>
      <c r="R9" s="56"/>
      <c r="S9" s="56"/>
      <c r="T9" s="56"/>
      <c r="U9" s="56"/>
      <c r="V9" s="56"/>
      <c r="W9" s="69"/>
      <c r="X9" s="56"/>
      <c r="Y9" s="70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70"/>
      <c r="AT9" s="69"/>
      <c r="AU9" s="69"/>
      <c r="AV9" s="69"/>
      <c r="AW9" s="69"/>
      <c r="AX9" s="69"/>
      <c r="AY9" s="69"/>
      <c r="AZ9" s="56"/>
      <c r="BA9" s="69"/>
      <c r="BB9" s="56"/>
      <c r="BC9" s="56"/>
      <c r="BD9" s="69"/>
      <c r="BE9" s="69"/>
      <c r="BF9" s="69"/>
      <c r="BG9" s="69"/>
      <c r="BH9" s="69"/>
      <c r="BI9" s="69"/>
      <c r="BJ9" s="5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73" t="s">
        <v>23</v>
      </c>
      <c r="C6" s="74"/>
      <c r="D6" s="34"/>
      <c r="E6" s="75">
        <v>2200.0</v>
      </c>
      <c r="F6" s="74" t="s">
        <v>64</v>
      </c>
      <c r="G6" s="74" t="s">
        <v>42</v>
      </c>
      <c r="H6" s="35">
        <v>4.0</v>
      </c>
      <c r="I6" s="35">
        <v>5.0</v>
      </c>
      <c r="J6" s="35">
        <v>1.0</v>
      </c>
      <c r="K6" s="35">
        <v>1.0</v>
      </c>
      <c r="L6" s="35">
        <v>1.0</v>
      </c>
      <c r="M6" s="74" t="s">
        <v>48</v>
      </c>
      <c r="N6" s="74"/>
      <c r="O6" s="74" t="s">
        <v>65</v>
      </c>
      <c r="P6" s="35"/>
      <c r="Q6" s="35">
        <v>3.0</v>
      </c>
      <c r="R6" s="35">
        <v>0.0</v>
      </c>
      <c r="S6" s="74" t="s">
        <v>66</v>
      </c>
      <c r="T6" s="36">
        <v>0.0</v>
      </c>
      <c r="U6" s="36">
        <v>0.0</v>
      </c>
      <c r="V6" s="76"/>
      <c r="W6" s="36"/>
      <c r="X6" s="36"/>
      <c r="Y6" s="36"/>
      <c r="Z6" s="76" t="s">
        <v>24</v>
      </c>
      <c r="AA6" s="76"/>
      <c r="AB6" s="36">
        <v>1.0</v>
      </c>
      <c r="AC6" s="36"/>
      <c r="AD6" s="76" t="s">
        <v>49</v>
      </c>
      <c r="AE6" s="77">
        <v>2200.0</v>
      </c>
      <c r="AF6" s="78"/>
      <c r="AG6" s="78"/>
      <c r="AH6" s="76" t="s">
        <v>54</v>
      </c>
      <c r="AI6" s="36">
        <v>1.0</v>
      </c>
      <c r="AJ6" s="76" t="s">
        <v>67</v>
      </c>
      <c r="AK6" s="36"/>
      <c r="AL6" s="36"/>
      <c r="AM6" s="76"/>
      <c r="AN6" s="79" t="b">
        <v>0</v>
      </c>
      <c r="AO6" s="36"/>
      <c r="AP6" s="79" t="b">
        <v>1</v>
      </c>
      <c r="AQ6" s="79" t="b">
        <v>0</v>
      </c>
      <c r="AR6" s="79" t="b">
        <v>1</v>
      </c>
      <c r="AS6" s="36"/>
      <c r="AT6" s="77">
        <v>2214.0012</v>
      </c>
      <c r="AU6" s="77">
        <v>2214.0012</v>
      </c>
      <c r="AV6" s="81"/>
      <c r="AW6" s="36"/>
      <c r="AX6" s="36"/>
      <c r="AY6" s="76" t="s">
        <v>68</v>
      </c>
      <c r="AZ6" s="36">
        <v>0.0</v>
      </c>
      <c r="BA6" s="81"/>
      <c r="BB6" s="36"/>
      <c r="BC6" s="36">
        <v>0.0</v>
      </c>
      <c r="BD6" s="76" t="s">
        <v>69</v>
      </c>
      <c r="BE6" s="77">
        <v>2200.0</v>
      </c>
      <c r="BF6" s="77">
        <v>2200.0</v>
      </c>
      <c r="BG6" s="81"/>
      <c r="BH6" s="36"/>
      <c r="BI6" s="36"/>
      <c r="BJ6" s="82">
        <v>4000.0</v>
      </c>
      <c r="BK6" s="36">
        <v>0.0</v>
      </c>
      <c r="BL6" s="76"/>
      <c r="BM6" s="76" t="s">
        <v>24</v>
      </c>
      <c r="BN6" s="81"/>
      <c r="BO6" s="76" t="s">
        <v>33</v>
      </c>
      <c r="BP6" s="36">
        <v>0.0</v>
      </c>
      <c r="BQ6" s="36">
        <v>0.0</v>
      </c>
      <c r="BR6" s="36">
        <v>0.0012</v>
      </c>
      <c r="BS6" s="76" t="s">
        <v>70</v>
      </c>
      <c r="BT6" s="76" t="s">
        <v>27</v>
      </c>
      <c r="BU6" s="36">
        <v>3.0</v>
      </c>
      <c r="BV6" s="36">
        <v>0.0</v>
      </c>
      <c r="BW6" s="36">
        <v>14.0012</v>
      </c>
      <c r="BX6" s="36">
        <v>0.0</v>
      </c>
      <c r="BY6" s="36"/>
      <c r="BZ6" s="36"/>
      <c r="CA6" s="36"/>
      <c r="CB6" s="36"/>
      <c r="CC6" s="36"/>
      <c r="CD6" s="36"/>
      <c r="CE6" s="36"/>
      <c r="CF6" s="76" t="s">
        <v>52</v>
      </c>
      <c r="CG6" s="36">
        <v>2.0</v>
      </c>
      <c r="CH6" s="84" t="s">
        <v>31</v>
      </c>
      <c r="CI6" s="76" t="s">
        <v>33</v>
      </c>
      <c r="CJ6" s="36">
        <v>0.0</v>
      </c>
      <c r="CK6" s="76" t="s">
        <v>51</v>
      </c>
      <c r="CL6" s="36">
        <v>1.0</v>
      </c>
      <c r="CM6" s="76" t="s">
        <v>27</v>
      </c>
      <c r="CN6" s="76" t="s">
        <v>50</v>
      </c>
      <c r="CO6" s="76" t="s">
        <v>49</v>
      </c>
      <c r="CP6" s="76" t="s">
        <v>53</v>
      </c>
      <c r="CQ6" s="36"/>
      <c r="CR6" s="36"/>
      <c r="CS6" s="36"/>
      <c r="CT6" s="36"/>
      <c r="CU6" s="36"/>
      <c r="CV6" s="81"/>
      <c r="CW6" s="78"/>
      <c r="CX6" s="36"/>
      <c r="CY6" s="36"/>
      <c r="CZ6" s="36"/>
      <c r="DA6" s="36"/>
      <c r="DB6" s="36"/>
      <c r="DC6" s="36"/>
      <c r="DD6" s="7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1"/>
      <c r="B8" s="73"/>
      <c r="C8" s="74"/>
      <c r="D8" s="34"/>
      <c r="E8" s="75"/>
      <c r="F8" s="74"/>
      <c r="G8" s="74"/>
      <c r="H8" s="35"/>
      <c r="I8" s="35"/>
      <c r="J8" s="35"/>
      <c r="K8" s="35"/>
      <c r="L8" s="35"/>
      <c r="M8" s="74"/>
      <c r="N8" s="74"/>
      <c r="O8" s="74"/>
      <c r="P8" s="35"/>
      <c r="Q8" s="35"/>
      <c r="R8" s="35"/>
      <c r="S8" s="74"/>
      <c r="T8" s="36"/>
      <c r="U8" s="36"/>
      <c r="V8" s="76"/>
      <c r="W8" s="36"/>
      <c r="X8" s="36"/>
      <c r="Y8" s="36"/>
      <c r="Z8" s="76"/>
      <c r="AA8" s="76"/>
      <c r="AB8" s="36"/>
      <c r="AC8" s="36"/>
      <c r="AD8" s="76"/>
      <c r="AE8" s="77"/>
      <c r="AF8" s="78"/>
      <c r="AG8" s="78"/>
      <c r="AH8" s="76"/>
      <c r="AI8" s="36"/>
      <c r="AJ8" s="76"/>
      <c r="AK8" s="36"/>
      <c r="AL8" s="36"/>
      <c r="AM8" s="76"/>
      <c r="AN8" s="79"/>
      <c r="AO8" s="36"/>
      <c r="AP8" s="79"/>
      <c r="AQ8" s="79"/>
      <c r="AR8" s="79"/>
      <c r="AS8" s="36"/>
      <c r="AT8" s="77"/>
      <c r="AU8" s="77"/>
      <c r="AV8" s="81"/>
      <c r="AW8" s="36"/>
      <c r="AX8" s="36"/>
      <c r="AY8" s="76"/>
      <c r="AZ8" s="36"/>
      <c r="BA8" s="81"/>
      <c r="BB8" s="36"/>
      <c r="BC8" s="36"/>
      <c r="BD8" s="76"/>
      <c r="BE8" s="77"/>
      <c r="BF8" s="77"/>
      <c r="BG8" s="81"/>
      <c r="BH8" s="36"/>
      <c r="BI8" s="36"/>
      <c r="BJ8" s="82"/>
      <c r="BK8" s="36"/>
      <c r="BL8" s="76"/>
      <c r="BM8" s="76"/>
      <c r="BN8" s="81"/>
      <c r="BO8" s="76"/>
      <c r="BP8" s="36"/>
      <c r="BQ8" s="36"/>
      <c r="BR8" s="83"/>
      <c r="BS8" s="76"/>
      <c r="BT8" s="76"/>
      <c r="BU8" s="36"/>
      <c r="BV8" s="36"/>
      <c r="BW8" s="83"/>
      <c r="BX8" s="36"/>
      <c r="BY8" s="36"/>
      <c r="BZ8" s="36"/>
      <c r="CA8" s="36"/>
      <c r="CB8" s="36"/>
      <c r="CC8" s="36"/>
      <c r="CD8" s="36"/>
      <c r="CE8" s="36"/>
      <c r="CF8" s="76"/>
      <c r="CG8" s="36"/>
      <c r="CH8" s="84"/>
      <c r="CI8" s="76"/>
      <c r="CJ8" s="36"/>
      <c r="CK8" s="76"/>
      <c r="CL8" s="36"/>
      <c r="CM8" s="76"/>
      <c r="CN8" s="76"/>
      <c r="CO8" s="76"/>
      <c r="CP8" s="76"/>
      <c r="CQ8" s="36"/>
      <c r="CR8" s="36"/>
      <c r="CS8" s="36"/>
      <c r="CT8" s="36"/>
      <c r="CU8" s="36"/>
      <c r="CV8" s="81"/>
      <c r="CW8" s="78"/>
      <c r="CX8" s="36"/>
      <c r="CY8" s="36"/>
      <c r="CZ8" s="36"/>
      <c r="DA8" s="36"/>
      <c r="DB8" s="36"/>
      <c r="DC8" s="36"/>
      <c r="DD8" s="7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IFERROR(__xludf.DUMMYFUNCTION("IF(C3="""","""",Transpose(IMPORTRANGE('_Settings'!$B$3,C3&amp;""!A4:A1000"")))"),"RestartReleasesAndServices")</f>
        <v>RestartReleasesAndServices</v>
      </c>
      <c r="C4" s="25" t="str">
        <f>IFERROR(__xludf.DUMMYFUNCTION("""COMPUTED_VALUE"""),"ReplaceInterceptorFile")</f>
        <v>ReplaceInterceptorFile</v>
      </c>
      <c r="D4" s="25" t="str">
        <f>IFERROR(__xludf.DUMMYFUNCTION("""COMPUTED_VALUE"""),"EditInterceptorFile")</f>
        <v>EditInterceptorFile</v>
      </c>
      <c r="E4" s="25" t="str">
        <f>IFERROR(__xludf.DUMMYFUNCTION("""COMPUTED_VALUE"""),"VerifyAlertHistory")</f>
        <v>VerifyAlertHistory</v>
      </c>
      <c r="F4" s="25" t="str">
        <f>IFERROR(__xludf.DUMMYFUNCTION("""COMPUTED_VALUE"""),"ApproveorRejectpendingapproval")</f>
        <v>ApproveorRejectpendingapproval</v>
      </c>
      <c r="G4" s="25" t="str">
        <f>IFERROR(__xludf.DUMMYFUNCTION("""COMPUTED_VALUE"""),"VerifyAggAccountSymbolWithNav")</f>
        <v>VerifyAggAccountSymbolWithNav</v>
      </c>
      <c r="H4" s="25" t="str">
        <f>IFERROR(__xludf.DUMMYFUNCTION("""COMPUTED_VALUE"""),"RestartRuleMediator")</f>
        <v>RestartRuleMediator</v>
      </c>
      <c r="I4" s="25" t="str">
        <f>IFERROR(__xludf.DUMMYFUNCTION("""COMPUTED_VALUE"""),"VerifyMasterFundSymbolDivisorWindow")</f>
        <v>VerifyMasterFundSymbolDivisorWindow</v>
      </c>
      <c r="J4" s="25" t="str">
        <f>IFERROR(__xludf.DUMMYFUNCTION("""COMPUTED_VALUE"""),"VerifyMasterFundDivisorWindow")</f>
        <v>VerifyMasterFundDivisorWindow</v>
      </c>
      <c r="K4" s="25" t="str">
        <f>IFERROR(__xludf.DUMMYFUNCTION("""COMPUTED_VALUE"""),"VerifyGlobalDivisorWindow")</f>
        <v>VerifyGlobalDivisorWindow</v>
      </c>
      <c r="L4" s="25" t="str">
        <f>IFERROR(__xludf.DUMMYFUNCTION("""COMPUTED_VALUE"""),"VerifyAccrualForAccountWindow")</f>
        <v>VerifyAccrualForAccountWindow</v>
      </c>
      <c r="M4" s="25" t="str">
        <f>IFERROR(__xludf.DUMMYFUNCTION("""COMPUTED_VALUE"""),"VerifyGlobalDivisorWindow")</f>
        <v>VerifyGlobalDivisorWindow</v>
      </c>
      <c r="N4" s="25" t="str">
        <f>IFERROR(__xludf.DUMMYFUNCTION("""COMPUTED_VALUE"""),"VerifyAggregationGlobalWithNav")</f>
        <v>VerifyAggregationGlobalWithNav</v>
      </c>
      <c r="O4" s="25" t="str">
        <f>IFERROR(__xludf.DUMMYFUNCTION("""COMPUTED_VALUE"""),"VerifyAggregationGlobalWithNav")</f>
        <v>VerifyAggregationGlobalWithNav</v>
      </c>
      <c r="P4" s="26" t="str">
        <f>IFERROR(__xludf.DUMMYFUNCTION("""COMPUTED_VALUE"""),"VerifyAggregationSubSectorWithNav")</f>
        <v>VerifyAggregationSubSectorWithNav</v>
      </c>
      <c r="Q4" s="26" t="str">
        <f>IFERROR(__xludf.DUMMYFUNCTION("""COMPUTED_VALUE"""),"VerifyAggregationSymbolWithNav")</f>
        <v>VerifyAggregationSymbolWithNav</v>
      </c>
      <c r="R4" s="26" t="str">
        <f>IFERROR(__xludf.DUMMYFUNCTION("""COMPUTED_VALUE"""),"VerifyAggregationAssetWithNav")</f>
        <v>VerifyAggregationAssetWithNav</v>
      </c>
      <c r="S4" s="26" t="str">
        <f>IFERROR(__xludf.DUMMYFUNCTION("""COMPUTED_VALUE"""),"VerifyAggregationAccountUnderlyingSymbolWithNav")</f>
        <v>VerifyAggregationAccountUnderlyingSymbolWithNav</v>
      </c>
      <c r="T4" s="26" t="str">
        <f>IFERROR(__xludf.DUMMYFUNCTION("""COMPUTED_VALUE"""),"VerifyAccountNavPreferenceWindow")</f>
        <v>VerifyAccountNavPreferenceWindow</v>
      </c>
      <c r="U4" s="26" t="str">
        <f>IFERROR(__xludf.DUMMYFUNCTION("""COMPUTED_VALUE"""),"RestartEsper")</f>
        <v>RestartEsper</v>
      </c>
      <c r="V4" s="26" t="str">
        <f>IFERROR(__xludf.DUMMYFUNCTION("""COMPUTED_VALUE"""),"VerifyTaxlotWindow")</f>
        <v>VerifyTaxlotWindow</v>
      </c>
      <c r="W4" s="26" t="str">
        <f>IFERROR(__xludf.DUMMYFUNCTION("""COMPUTED_VALUE"""),"VerifySymbolDivisorWindow")</f>
        <v>VerifySymbolDivisorWindow</v>
      </c>
      <c r="X4" s="26" t="str">
        <f>IFERROR(__xludf.DUMMYFUNCTION("""COMPUTED_VALUE"""),"VerifySymbolDataWindow")</f>
        <v>VerifySymbolDataWindow</v>
      </c>
      <c r="Y4" s="26" t="str">
        <f>IFERROR(__xludf.DUMMYFUNCTION("""COMPUTED_VALUE"""),"VerifySecurityWindow")</f>
        <v>VerifySecurityWindow</v>
      </c>
      <c r="Z4" s="26" t="str">
        <f>IFERROR(__xludf.DUMMYFUNCTION("""COMPUTED_VALUE"""),"VerifyRowCalculationBaseWindow")</f>
        <v>VerifyRowCalculationBaseWindow</v>
      </c>
      <c r="AA4" s="26" t="str">
        <f>IFERROR(__xludf.DUMMYFUNCTION("""COMPUTED_VALUE"""),"VerifyPmCalculationPreferenceWindow")</f>
        <v>VerifyPmCalculationPreferenceWindow</v>
      </c>
      <c r="AB4" s="26" t="str">
        <f>IFERROR(__xludf.DUMMYFUNCTION("""COMPUTED_VALUE"""),"VerifyGlobalDivisorWindow")</f>
        <v>VerifyGlobalDivisorWindow</v>
      </c>
      <c r="AC4" s="26" t="str">
        <f>IFERROR(__xludf.DUMMYFUNCTION("""COMPUTED_VALUE"""),"VerifyDbNavWindow")</f>
        <v>VerifyDbNavWindow</v>
      </c>
      <c r="AD4" s="26" t="str">
        <f>IFERROR(__xludf.DUMMYFUNCTION("""COMPUTED_VALUE"""),"VerifyDayEndCashAccountWindow")</f>
        <v>VerifyDayEndCashAccountWindow</v>
      </c>
      <c r="AE4" s="26" t="str">
        <f>IFERROR(__xludf.DUMMYFUNCTION("""COMPUTED_VALUE"""),"VerifyCustomSymbolDataWindow")</f>
        <v>VerifyCustomSymbolDataWindow</v>
      </c>
      <c r="AF4" s="26" t="str">
        <f>IFERROR(__xludf.DUMMYFUNCTION("""COMPUTED_VALUE"""),"VerifyBetaWindow")</f>
        <v>VerifyBetaWindow</v>
      </c>
      <c r="AG4" s="26" t="str">
        <f>IFERROR(__xludf.DUMMYFUNCTION("""COMPUTED_VALUE"""),"VerifyAuecWindow")</f>
        <v>VerifyAuecWindow</v>
      </c>
      <c r="AH4" s="26" t="str">
        <f>IFERROR(__xludf.DUMMYFUNCTION("""COMPUTED_VALUE"""),"VerifyAggregationUnderlyingSymbolWithNav")</f>
        <v>VerifyAggregationUnderlyingSymbolWithNav</v>
      </c>
      <c r="AI4" s="26" t="str">
        <f>IFERROR(__xludf.DUMMYFUNCTION("""COMPUTED_VALUE"""),"VerifyAggregationSectorWithNav")</f>
        <v>VerifyAggregationSectorWithNav</v>
      </c>
      <c r="AJ4" s="26" t="str">
        <f>IFERROR(__xludf.DUMMYFUNCTION("""COMPUTED_VALUE"""),"VerifyAggregationMasterFundWithNav")</f>
        <v>VerifyAggregationMasterFundWithNav</v>
      </c>
      <c r="AK4" s="26" t="str">
        <f>IFERROR(__xludf.DUMMYFUNCTION("""COMPUTED_VALUE"""),"VerifyAggregationMasterFundUnderlyingSymbolWithNav")</f>
        <v>VerifyAggregationMasterFundUnderlyingSymbolWithNav</v>
      </c>
      <c r="AL4" s="26" t="str">
        <f>IFERROR(__xludf.DUMMYFUNCTION("""COMPUTED_VALUE"""),"VerifyAggregationMasterFundSymbolWithNav")</f>
        <v>VerifyAggregationMasterFundSymbolWithNav</v>
      </c>
      <c r="AM4" s="26" t="str">
        <f>IFERROR(__xludf.DUMMYFUNCTION("""COMPUTED_VALUE"""),"VerifyAggregationAccountWithNav")</f>
        <v>VerifyAggregationAccountWithNav</v>
      </c>
      <c r="AN4" s="26" t="str">
        <f>IFERROR(__xludf.DUMMYFUNCTION("""COMPUTED_VALUE"""),"VerifyAggregationAccountSymbolWithNav")</f>
        <v>VerifyAggregationAccountSymbolWithNav</v>
      </c>
      <c r="AO4" s="26" t="str">
        <f>IFERROR(__xludf.DUMMYFUNCTION("""COMPUTED_VALUE"""),"VerifyAccountSymbolDivisorWindow")</f>
        <v>VerifyAccountSymbolDivisorWindow</v>
      </c>
      <c r="AP4" s="26" t="str">
        <f>IFERROR(__xludf.DUMMYFUNCTION("""COMPUTED_VALUE"""),"VerifyAccountDivisorWindow")</f>
        <v>VerifyAccountDivisorWindow</v>
      </c>
      <c r="AQ4" s="26" t="str">
        <f>IFERROR(__xludf.DUMMYFUNCTION("""COMPUTED_VALUE"""),"CheckCompliance")</f>
        <v>CheckCompliance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35" t="s">
        <v>27</v>
      </c>
      <c r="I6" s="48">
        <v>0.0</v>
      </c>
      <c r="J6" s="48">
        <v>2200.0</v>
      </c>
      <c r="K6" s="48">
        <v>2200.0</v>
      </c>
      <c r="L6" s="48">
        <v>2200.0</v>
      </c>
      <c r="M6" s="35" t="s">
        <v>57</v>
      </c>
      <c r="N6" s="35"/>
      <c r="O6" s="35" t="s">
        <v>33</v>
      </c>
      <c r="P6" s="35"/>
      <c r="Q6" s="35"/>
      <c r="R6" s="35" t="s">
        <v>58</v>
      </c>
      <c r="S6" s="35"/>
      <c r="T6" s="36" t="s">
        <v>23</v>
      </c>
      <c r="U6" s="36" t="s">
        <v>23</v>
      </c>
      <c r="V6" s="36"/>
      <c r="W6" s="36"/>
      <c r="X6" s="36"/>
      <c r="Y6" s="36"/>
      <c r="Z6" s="36"/>
      <c r="AA6" s="35"/>
      <c r="AB6" s="48">
        <v>2200.0</v>
      </c>
      <c r="AC6" s="35"/>
      <c r="AD6" s="48">
        <v>2200.0</v>
      </c>
      <c r="AE6" s="71">
        <v>0.0</v>
      </c>
      <c r="AF6" s="35"/>
      <c r="AG6" s="48">
        <v>2200.0</v>
      </c>
      <c r="AH6" s="48">
        <v>2200.0</v>
      </c>
      <c r="AI6" s="36"/>
      <c r="AJ6" s="36" t="s">
        <v>42</v>
      </c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71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71"/>
      <c r="BR6" s="71"/>
      <c r="BS6" s="36"/>
      <c r="BT6" s="71"/>
      <c r="BU6" s="36"/>
      <c r="BV6" s="71">
        <v>1.0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35"/>
      <c r="D7" s="35"/>
      <c r="E7" s="35"/>
      <c r="F7" s="35"/>
      <c r="G7" s="35"/>
      <c r="H7" s="35" t="s">
        <v>27</v>
      </c>
      <c r="I7" s="48">
        <v>0.0</v>
      </c>
      <c r="J7" s="48">
        <v>1800.0</v>
      </c>
      <c r="K7" s="48">
        <v>1800.0</v>
      </c>
      <c r="L7" s="48">
        <v>1800.0</v>
      </c>
      <c r="M7" s="40" t="s">
        <v>59</v>
      </c>
      <c r="N7" s="35"/>
      <c r="O7" s="35" t="s">
        <v>33</v>
      </c>
      <c r="P7" s="35"/>
      <c r="Q7" s="35"/>
      <c r="R7" s="35" t="s">
        <v>58</v>
      </c>
      <c r="S7" s="35"/>
      <c r="T7" s="36" t="s">
        <v>23</v>
      </c>
      <c r="U7" s="36" t="s">
        <v>23</v>
      </c>
      <c r="V7" s="36"/>
      <c r="W7" s="36"/>
      <c r="X7" s="36"/>
      <c r="Y7" s="36"/>
      <c r="Z7" s="36"/>
      <c r="AA7" s="35"/>
      <c r="AB7" s="48">
        <v>1800.0</v>
      </c>
      <c r="AC7" s="35"/>
      <c r="AD7" s="48">
        <v>1800.0</v>
      </c>
      <c r="AE7" s="71">
        <v>0.0</v>
      </c>
      <c r="AF7" s="35"/>
      <c r="AG7" s="48">
        <v>1800.0</v>
      </c>
      <c r="AH7" s="48">
        <v>1800.0</v>
      </c>
      <c r="AI7" s="36"/>
      <c r="AJ7" s="36" t="s">
        <v>42</v>
      </c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71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71"/>
      <c r="BR7" s="71"/>
      <c r="BS7" s="36"/>
      <c r="BT7" s="71"/>
      <c r="BU7" s="36"/>
      <c r="BV7" s="71">
        <v>1.0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13" t="s">
        <v>27</v>
      </c>
      <c r="I8" s="13">
        <v>0.0</v>
      </c>
      <c r="J8" s="13">
        <v>100.0</v>
      </c>
      <c r="K8" s="13">
        <v>100.0</v>
      </c>
      <c r="L8" s="13">
        <v>100.0</v>
      </c>
      <c r="M8" s="13" t="s">
        <v>57</v>
      </c>
      <c r="N8" s="8"/>
      <c r="O8" s="13" t="s">
        <v>33</v>
      </c>
      <c r="R8" s="9" t="s">
        <v>83</v>
      </c>
      <c r="T8" s="9" t="s">
        <v>83</v>
      </c>
      <c r="U8" s="9" t="s">
        <v>28</v>
      </c>
      <c r="AB8" s="9">
        <v>100.0</v>
      </c>
      <c r="AD8" s="9">
        <v>100.0</v>
      </c>
      <c r="AE8" s="9">
        <v>0.0</v>
      </c>
      <c r="AG8" s="9">
        <v>100.0</v>
      </c>
      <c r="AH8" s="9">
        <v>100.0</v>
      </c>
      <c r="AJ8" s="9" t="s">
        <v>84</v>
      </c>
      <c r="BV8" s="9">
        <v>1.0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3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71</v>
      </c>
      <c r="D3" s="5" t="s">
        <v>9</v>
      </c>
      <c r="E3" s="23" t="s">
        <v>72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</row>
    <row r="6" ht="15.75" customHeight="1">
      <c r="A6" s="13"/>
      <c r="B6" s="90"/>
      <c r="C6" s="87" t="s">
        <v>27</v>
      </c>
      <c r="D6" s="91">
        <v>2200.0</v>
      </c>
      <c r="E6" s="87" t="s">
        <v>23</v>
      </c>
      <c r="F6" s="87" t="s">
        <v>58</v>
      </c>
      <c r="G6" s="83">
        <v>1.0</v>
      </c>
      <c r="H6" s="87" t="s">
        <v>73</v>
      </c>
      <c r="I6" s="83">
        <v>2200.0</v>
      </c>
      <c r="J6" s="83">
        <v>0.0</v>
      </c>
      <c r="K6" s="83">
        <v>2200.0</v>
      </c>
      <c r="L6" s="83">
        <v>2200.0</v>
      </c>
      <c r="M6" s="83">
        <v>2300.0</v>
      </c>
      <c r="N6" s="91">
        <v>0.0</v>
      </c>
      <c r="O6" s="87"/>
      <c r="P6" s="87" t="s">
        <v>74</v>
      </c>
      <c r="Q6" s="91">
        <v>0.0</v>
      </c>
      <c r="R6" s="87" t="s">
        <v>75</v>
      </c>
      <c r="S6" s="87" t="s">
        <v>70</v>
      </c>
      <c r="T6" s="87" t="s">
        <v>42</v>
      </c>
      <c r="U6" s="87" t="s">
        <v>51</v>
      </c>
      <c r="V6" s="87" t="s">
        <v>49</v>
      </c>
      <c r="W6" s="87" t="s">
        <v>24</v>
      </c>
      <c r="X6" s="83">
        <v>1.0</v>
      </c>
      <c r="Y6" s="83">
        <v>1.0</v>
      </c>
      <c r="Z6" s="88"/>
      <c r="AA6" s="88"/>
      <c r="AB6" s="83">
        <v>0.0</v>
      </c>
      <c r="AC6" s="83">
        <v>0.0</v>
      </c>
      <c r="AD6" s="83">
        <v>2200.0</v>
      </c>
      <c r="AE6" s="83">
        <v>2200.0</v>
      </c>
      <c r="AF6" s="91">
        <v>2200.0</v>
      </c>
      <c r="AG6" s="83">
        <v>2200.0</v>
      </c>
      <c r="AH6" s="83">
        <v>2200.0</v>
      </c>
      <c r="AI6" s="83">
        <v>2200.0</v>
      </c>
      <c r="AJ6" s="83">
        <v>2200.0</v>
      </c>
      <c r="AK6" s="91">
        <v>0.0</v>
      </c>
      <c r="AL6" s="83">
        <v>1.0</v>
      </c>
      <c r="AM6" s="83">
        <v>1.0</v>
      </c>
      <c r="AN6" s="87" t="s">
        <v>33</v>
      </c>
      <c r="AO6" s="88"/>
      <c r="AP6" s="87" t="s">
        <v>73</v>
      </c>
      <c r="AQ6" s="87" t="s">
        <v>27</v>
      </c>
      <c r="AR6" s="83">
        <v>1.0</v>
      </c>
      <c r="AS6" s="83">
        <v>1.0</v>
      </c>
      <c r="AT6" s="88"/>
      <c r="AU6" s="88"/>
      <c r="AV6" s="83">
        <v>1.0</v>
      </c>
      <c r="AW6" s="91">
        <v>0.0</v>
      </c>
      <c r="AX6" s="83">
        <v>0.0</v>
      </c>
      <c r="AY6" s="83">
        <v>0.0</v>
      </c>
      <c r="AZ6" s="83">
        <v>2200.0</v>
      </c>
      <c r="BA6" s="83">
        <v>0.0</v>
      </c>
      <c r="BB6" s="89"/>
      <c r="BC6" s="83">
        <v>1.0</v>
      </c>
      <c r="BD6" s="91">
        <v>-2200.0</v>
      </c>
      <c r="BE6" s="87" t="s">
        <v>42</v>
      </c>
      <c r="BF6" s="87" t="s">
        <v>76</v>
      </c>
      <c r="BG6" s="87" t="s">
        <v>77</v>
      </c>
      <c r="BH6" s="87" t="s">
        <v>74</v>
      </c>
      <c r="BI6" s="83">
        <v>5.0</v>
      </c>
      <c r="BJ6" s="83">
        <v>0.0</v>
      </c>
      <c r="BK6" s="83">
        <v>0.0</v>
      </c>
      <c r="BL6" s="83">
        <v>0.0</v>
      </c>
      <c r="BM6" s="83">
        <v>0.0</v>
      </c>
      <c r="BN6" s="89"/>
      <c r="BO6" s="91">
        <v>-2200.0</v>
      </c>
      <c r="BP6" s="83">
        <v>0.0</v>
      </c>
      <c r="BQ6" s="87" t="s">
        <v>50</v>
      </c>
      <c r="BR6" s="87" t="s">
        <v>65</v>
      </c>
      <c r="BS6" s="83">
        <v>0.0</v>
      </c>
      <c r="BT6" s="83">
        <v>0.0</v>
      </c>
      <c r="BU6" s="87" t="s">
        <v>42</v>
      </c>
      <c r="BV6" s="83"/>
      <c r="BW6" s="83">
        <v>0.0</v>
      </c>
      <c r="BX6" s="83">
        <v>2200.0</v>
      </c>
      <c r="BY6" s="83">
        <v>2200.0</v>
      </c>
      <c r="BZ6" s="83">
        <v>1.0</v>
      </c>
      <c r="CA6" s="83">
        <v>1.0</v>
      </c>
      <c r="CB6" s="90"/>
      <c r="CC6" s="83">
        <v>0.0</v>
      </c>
      <c r="CD6" s="91">
        <v>0.0</v>
      </c>
      <c r="CE6" s="83">
        <v>0.0</v>
      </c>
      <c r="CF6" s="83">
        <v>0.0</v>
      </c>
      <c r="CG6" s="91">
        <v>0.0</v>
      </c>
      <c r="CH6" s="83">
        <v>0.0</v>
      </c>
      <c r="CI6" s="83">
        <v>0.0</v>
      </c>
      <c r="CJ6" s="83">
        <v>0.0</v>
      </c>
      <c r="CK6" s="87" t="b">
        <v>0</v>
      </c>
      <c r="CL6" s="88"/>
      <c r="CM6" s="88"/>
      <c r="CN6" s="87" t="s">
        <v>27</v>
      </c>
      <c r="CO6" s="87" t="s">
        <v>27</v>
      </c>
      <c r="CP6" s="87" t="s">
        <v>48</v>
      </c>
      <c r="CQ6" s="88"/>
      <c r="CR6" s="90"/>
      <c r="CS6" s="83">
        <v>1.0</v>
      </c>
      <c r="CT6" s="88"/>
      <c r="CU6" s="88"/>
      <c r="CV6" s="88"/>
      <c r="CW6" s="88"/>
      <c r="CX6" s="88"/>
      <c r="CY6" s="87"/>
      <c r="CZ6" s="87" t="s">
        <v>78</v>
      </c>
      <c r="DA6" s="83">
        <v>2200.0</v>
      </c>
      <c r="DB6" s="83">
        <v>0.0</v>
      </c>
      <c r="DC6" s="89"/>
      <c r="DD6" s="91">
        <v>2200.0</v>
      </c>
      <c r="DE6" s="83">
        <v>0.0</v>
      </c>
      <c r="DF6" s="83">
        <v>0.0</v>
      </c>
      <c r="DG6" s="83">
        <v>0.0</v>
      </c>
      <c r="DH6" s="87" t="s">
        <v>74</v>
      </c>
      <c r="DI6" s="83">
        <v>0.0</v>
      </c>
      <c r="DJ6" s="87" t="s">
        <v>33</v>
      </c>
      <c r="DK6" s="83">
        <v>0.0</v>
      </c>
      <c r="DL6" s="83">
        <v>0.0</v>
      </c>
      <c r="DM6" s="83">
        <v>1.0</v>
      </c>
      <c r="DN6" s="83">
        <v>1.0</v>
      </c>
      <c r="DO6" s="88"/>
      <c r="DP6" s="87" t="s">
        <v>73</v>
      </c>
      <c r="DQ6" s="87" t="s">
        <v>79</v>
      </c>
      <c r="DR6" s="87" t="s">
        <v>80</v>
      </c>
      <c r="DS6" s="87" t="s">
        <v>79</v>
      </c>
      <c r="DT6" s="87" t="s">
        <v>79</v>
      </c>
      <c r="DU6" s="87" t="s">
        <v>81</v>
      </c>
      <c r="DV6" s="87" t="s">
        <v>79</v>
      </c>
      <c r="DW6" s="87" t="s">
        <v>79</v>
      </c>
      <c r="DX6" s="87" t="s">
        <v>79</v>
      </c>
      <c r="DY6" s="87" t="s">
        <v>79</v>
      </c>
      <c r="DZ6" s="87" t="s">
        <v>82</v>
      </c>
      <c r="EA6" s="87" t="s">
        <v>81</v>
      </c>
      <c r="EB6" s="87" t="s">
        <v>79</v>
      </c>
      <c r="EC6" s="87" t="s">
        <v>79</v>
      </c>
      <c r="ED6" s="87" t="s">
        <v>24</v>
      </c>
      <c r="EE6" s="87" t="s">
        <v>29</v>
      </c>
      <c r="EF6" s="83">
        <v>0.0</v>
      </c>
      <c r="EG6" s="83">
        <v>22.0</v>
      </c>
      <c r="EH6" s="83">
        <v>22.0</v>
      </c>
      <c r="EI6" s="83">
        <v>22.0</v>
      </c>
      <c r="EJ6" s="83">
        <v>23.0</v>
      </c>
      <c r="EK6" s="83">
        <v>23.0</v>
      </c>
      <c r="EL6" s="87" t="s">
        <v>73</v>
      </c>
      <c r="EM6" s="83">
        <v>2300.0</v>
      </c>
      <c r="EN6" s="83">
        <v>2300.0</v>
      </c>
      <c r="EO6" s="83"/>
      <c r="EP6" s="91">
        <v>10000.0</v>
      </c>
      <c r="EQ6" s="83">
        <v>22.0</v>
      </c>
      <c r="ER6" s="83">
        <v>2300.0</v>
      </c>
      <c r="ES6" s="91">
        <v>10000.0</v>
      </c>
      <c r="ET6" s="83"/>
      <c r="EU6" s="83">
        <v>22.0</v>
      </c>
      <c r="EV6" s="87" t="s">
        <v>73</v>
      </c>
      <c r="EW6" s="91">
        <v>10000.0</v>
      </c>
      <c r="EX6" s="87" t="b">
        <v>0</v>
      </c>
      <c r="EY6" s="87"/>
      <c r="EZ6" s="83"/>
      <c r="FA6" s="83"/>
      <c r="FB6" s="83"/>
    </row>
    <row r="7" ht="15.75" customHeight="1">
      <c r="A7" s="8"/>
      <c r="B7" s="8"/>
      <c r="C7" s="13" t="s">
        <v>27</v>
      </c>
      <c r="D7" s="13">
        <v>100.0</v>
      </c>
      <c r="E7" s="8"/>
      <c r="F7" s="8"/>
      <c r="G7" s="13">
        <v>1.0</v>
      </c>
      <c r="H7" s="13" t="s">
        <v>73</v>
      </c>
      <c r="I7" s="13">
        <v>100.0</v>
      </c>
      <c r="J7" s="13">
        <v>0.0</v>
      </c>
      <c r="K7" s="13">
        <v>100.0</v>
      </c>
      <c r="L7" s="13">
        <v>100.0</v>
      </c>
      <c r="M7" s="13">
        <v>2300.0</v>
      </c>
      <c r="N7" s="13">
        <v>0.0</v>
      </c>
      <c r="O7" s="8"/>
      <c r="P7" s="9" t="s">
        <v>85</v>
      </c>
      <c r="Q7" s="9">
        <v>0.0</v>
      </c>
      <c r="S7" s="87" t="s">
        <v>70</v>
      </c>
      <c r="T7" s="9" t="s">
        <v>84</v>
      </c>
      <c r="U7" s="9" t="s">
        <v>51</v>
      </c>
      <c r="V7" s="9" t="s">
        <v>49</v>
      </c>
      <c r="W7" s="9" t="s">
        <v>24</v>
      </c>
      <c r="X7" s="9">
        <v>1.0</v>
      </c>
      <c r="Y7" s="9">
        <v>1.0</v>
      </c>
      <c r="AB7" s="9">
        <v>0.0</v>
      </c>
      <c r="AC7" s="9">
        <v>0.0</v>
      </c>
      <c r="AD7" s="9">
        <v>100.0</v>
      </c>
      <c r="AE7" s="9">
        <v>100.0</v>
      </c>
      <c r="AF7" s="9">
        <v>100.0</v>
      </c>
      <c r="AG7" s="9">
        <v>100.0</v>
      </c>
      <c r="AH7" s="9">
        <v>100.0</v>
      </c>
      <c r="AI7" s="9">
        <v>100.0</v>
      </c>
      <c r="AJ7" s="9">
        <v>100.0</v>
      </c>
      <c r="AK7" s="9">
        <v>0.0</v>
      </c>
      <c r="AL7" s="9">
        <v>1.0</v>
      </c>
      <c r="AM7" s="9">
        <v>1.0</v>
      </c>
      <c r="AN7" s="9" t="s">
        <v>33</v>
      </c>
      <c r="AP7" s="9" t="s">
        <v>73</v>
      </c>
      <c r="AQ7" s="9" t="s">
        <v>27</v>
      </c>
      <c r="AR7" s="9">
        <v>1.0</v>
      </c>
      <c r="AS7" s="9">
        <v>1.0</v>
      </c>
      <c r="AV7" s="9">
        <v>1.0</v>
      </c>
      <c r="AW7" s="9">
        <v>0.0</v>
      </c>
      <c r="AX7" s="9">
        <v>0.0</v>
      </c>
      <c r="AY7" s="9">
        <v>0.0</v>
      </c>
      <c r="AZ7" s="9">
        <v>100.0</v>
      </c>
      <c r="BA7" s="9">
        <v>0.0</v>
      </c>
      <c r="BC7" s="9">
        <v>1.0</v>
      </c>
      <c r="BD7" s="9">
        <v>-100.0</v>
      </c>
      <c r="BE7" s="9" t="s">
        <v>84</v>
      </c>
      <c r="BF7" s="87" t="s">
        <v>76</v>
      </c>
      <c r="BG7" s="87" t="s">
        <v>77</v>
      </c>
      <c r="BH7" s="87" t="s">
        <v>74</v>
      </c>
      <c r="BI7" s="83">
        <v>5.0</v>
      </c>
      <c r="BJ7" s="9">
        <v>0.0</v>
      </c>
      <c r="BK7" s="9">
        <v>0.0</v>
      </c>
      <c r="BL7" s="9">
        <v>0.0</v>
      </c>
      <c r="BM7" s="9">
        <v>0.0</v>
      </c>
      <c r="BO7" s="9">
        <v>-100.0</v>
      </c>
      <c r="BP7" s="9">
        <v>0.0</v>
      </c>
      <c r="BQ7" s="87" t="s">
        <v>50</v>
      </c>
      <c r="BR7" s="87" t="s">
        <v>65</v>
      </c>
      <c r="BS7" s="83">
        <v>0.0</v>
      </c>
      <c r="BT7" s="83">
        <v>0.0</v>
      </c>
      <c r="BU7" s="87" t="s">
        <v>42</v>
      </c>
      <c r="BW7" s="83">
        <v>0.0</v>
      </c>
      <c r="BX7" s="9">
        <v>100.0</v>
      </c>
      <c r="BY7" s="9">
        <v>100.0</v>
      </c>
      <c r="BZ7" s="9">
        <v>1.0</v>
      </c>
      <c r="CA7" s="9">
        <v>1.0</v>
      </c>
      <c r="CC7" s="9">
        <v>0.0</v>
      </c>
      <c r="CD7" s="9">
        <v>0.0</v>
      </c>
      <c r="CE7" s="9">
        <v>0.0</v>
      </c>
      <c r="CF7" s="9">
        <v>0.0</v>
      </c>
      <c r="CG7" s="9">
        <v>0.0</v>
      </c>
      <c r="CH7" s="9">
        <v>0.0</v>
      </c>
      <c r="CI7" s="9">
        <v>0.0</v>
      </c>
      <c r="CJ7" s="9">
        <v>0.0</v>
      </c>
      <c r="CK7" s="9" t="b">
        <v>0</v>
      </c>
      <c r="CN7" s="87" t="s">
        <v>27</v>
      </c>
      <c r="CO7" s="87" t="s">
        <v>27</v>
      </c>
      <c r="CP7" s="87" t="s">
        <v>48</v>
      </c>
      <c r="CS7" s="83">
        <v>1.0</v>
      </c>
      <c r="CY7" s="87"/>
      <c r="CZ7" s="87" t="s">
        <v>78</v>
      </c>
      <c r="DA7" s="9">
        <v>100.0</v>
      </c>
      <c r="DB7" s="9">
        <v>0.0</v>
      </c>
      <c r="DD7" s="9">
        <v>100.0</v>
      </c>
      <c r="DE7" s="9">
        <v>0.0</v>
      </c>
      <c r="DF7" s="9">
        <v>0.0</v>
      </c>
      <c r="DG7" s="9">
        <v>0.0</v>
      </c>
      <c r="DH7" s="87" t="s">
        <v>74</v>
      </c>
      <c r="DI7" s="9">
        <v>0.0</v>
      </c>
      <c r="DJ7" s="9" t="s">
        <v>33</v>
      </c>
      <c r="DK7" s="9">
        <v>0.0</v>
      </c>
      <c r="DL7" s="9">
        <v>0.0</v>
      </c>
      <c r="DM7" s="9">
        <v>1.0</v>
      </c>
      <c r="DN7" s="9">
        <v>1.0</v>
      </c>
      <c r="DP7" s="9" t="s">
        <v>73</v>
      </c>
      <c r="DQ7" s="87" t="s">
        <v>86</v>
      </c>
      <c r="DR7" s="87" t="s">
        <v>80</v>
      </c>
      <c r="DS7" s="87" t="s">
        <v>86</v>
      </c>
      <c r="DT7" s="87" t="s">
        <v>86</v>
      </c>
      <c r="DU7" s="87" t="s">
        <v>87</v>
      </c>
      <c r="DV7" s="87" t="s">
        <v>86</v>
      </c>
      <c r="DW7" s="87" t="s">
        <v>86</v>
      </c>
      <c r="DX7" s="87" t="s">
        <v>86</v>
      </c>
      <c r="DY7" s="87" t="s">
        <v>86</v>
      </c>
      <c r="DZ7" s="87" t="s">
        <v>82</v>
      </c>
      <c r="EA7" s="87" t="s">
        <v>87</v>
      </c>
      <c r="EB7" s="87" t="s">
        <v>86</v>
      </c>
      <c r="EC7" s="87" t="s">
        <v>86</v>
      </c>
      <c r="ED7" s="87" t="s">
        <v>24</v>
      </c>
      <c r="EE7" s="87" t="s">
        <v>29</v>
      </c>
      <c r="EF7" s="83">
        <v>0.0</v>
      </c>
      <c r="EG7" s="9">
        <v>1.0</v>
      </c>
      <c r="EH7" s="9">
        <v>1.0</v>
      </c>
      <c r="EI7" s="9">
        <v>1.0</v>
      </c>
      <c r="EJ7" s="9">
        <v>23.0</v>
      </c>
      <c r="EK7" s="9">
        <v>23.0</v>
      </c>
      <c r="EL7" s="87" t="s">
        <v>73</v>
      </c>
      <c r="EM7" s="9">
        <v>2300.0</v>
      </c>
      <c r="EN7" s="9">
        <v>2300.0</v>
      </c>
      <c r="EP7" s="9">
        <v>10000.0</v>
      </c>
      <c r="EQ7" s="9">
        <v>1.0</v>
      </c>
      <c r="ER7" s="9">
        <v>2300.0</v>
      </c>
      <c r="ES7" s="9">
        <v>10000.0</v>
      </c>
      <c r="EU7" s="9">
        <v>1.0</v>
      </c>
      <c r="EV7" s="87" t="s">
        <v>73</v>
      </c>
      <c r="EW7" s="9">
        <v>0.0</v>
      </c>
      <c r="EX7" s="87" t="b">
        <v>0</v>
      </c>
    </row>
    <row r="8" ht="15.75" customHeight="1">
      <c r="A8" s="36"/>
      <c r="B8" s="92"/>
      <c r="C8" s="74"/>
      <c r="D8" s="93"/>
      <c r="E8" s="74"/>
      <c r="F8" s="74"/>
      <c r="G8" s="94"/>
      <c r="H8" s="74"/>
      <c r="I8" s="94"/>
      <c r="J8" s="94"/>
      <c r="K8" s="94"/>
      <c r="L8" s="94"/>
      <c r="M8" s="94"/>
      <c r="N8" s="93"/>
      <c r="O8" s="74"/>
      <c r="P8" s="74"/>
      <c r="Q8" s="93"/>
      <c r="R8" s="74"/>
      <c r="S8" s="74"/>
      <c r="T8" s="76"/>
      <c r="U8" s="76"/>
      <c r="V8" s="76"/>
      <c r="W8" s="76"/>
      <c r="X8" s="95"/>
      <c r="Y8" s="95"/>
      <c r="Z8" s="36"/>
      <c r="AA8" s="36"/>
      <c r="AB8" s="95"/>
      <c r="AC8" s="95"/>
      <c r="AD8" s="95"/>
      <c r="AE8" s="95"/>
      <c r="AF8" s="96"/>
      <c r="AG8" s="95"/>
      <c r="AH8" s="95"/>
      <c r="AI8" s="95"/>
      <c r="AJ8" s="95"/>
      <c r="AK8" s="96"/>
      <c r="AL8" s="95"/>
      <c r="AM8" s="95"/>
      <c r="AN8" s="76"/>
      <c r="AO8" s="36"/>
      <c r="AP8" s="76"/>
      <c r="AQ8" s="76"/>
      <c r="AR8" s="95"/>
      <c r="AS8" s="95"/>
      <c r="AT8" s="36"/>
      <c r="AU8" s="76"/>
      <c r="AV8" s="95"/>
      <c r="AW8" s="96"/>
      <c r="AX8" s="95"/>
      <c r="AY8" s="95"/>
      <c r="AZ8" s="95"/>
      <c r="BA8" s="95"/>
      <c r="BB8" s="78"/>
      <c r="BC8" s="95"/>
      <c r="BD8" s="96"/>
      <c r="BE8" s="76"/>
      <c r="BF8" s="76"/>
      <c r="BG8" s="76"/>
      <c r="BH8" s="76"/>
      <c r="BI8" s="95"/>
      <c r="BJ8" s="95"/>
      <c r="BK8" s="95"/>
      <c r="BL8" s="95"/>
      <c r="BM8" s="95"/>
      <c r="BN8" s="78"/>
      <c r="BO8" s="96"/>
      <c r="BP8" s="95"/>
      <c r="BQ8" s="76"/>
      <c r="BR8" s="76"/>
      <c r="BS8" s="95"/>
      <c r="BT8" s="95"/>
      <c r="BU8" s="76"/>
      <c r="BV8" s="95"/>
      <c r="BW8" s="95"/>
      <c r="BX8" s="95"/>
      <c r="BY8" s="95"/>
      <c r="BZ8" s="95"/>
      <c r="CA8" s="95"/>
      <c r="CB8" s="81"/>
      <c r="CC8" s="95"/>
      <c r="CD8" s="96"/>
      <c r="CE8" s="95"/>
      <c r="CF8" s="95"/>
      <c r="CG8" s="96"/>
      <c r="CH8" s="95"/>
      <c r="CI8" s="95"/>
      <c r="CJ8" s="95"/>
      <c r="CK8" s="79"/>
      <c r="CL8" s="36"/>
      <c r="CM8" s="36"/>
      <c r="CN8" s="76"/>
      <c r="CO8" s="76"/>
      <c r="CP8" s="76"/>
      <c r="CQ8" s="36"/>
      <c r="CR8" s="81"/>
      <c r="CS8" s="95"/>
      <c r="CT8" s="36"/>
      <c r="CU8" s="36"/>
      <c r="CV8" s="36"/>
      <c r="CW8" s="36"/>
      <c r="CX8" s="36"/>
      <c r="CY8" s="76"/>
      <c r="CZ8" s="76"/>
      <c r="DA8" s="95"/>
      <c r="DB8" s="95"/>
      <c r="DC8" s="78"/>
      <c r="DD8" s="96"/>
      <c r="DE8" s="95"/>
      <c r="DF8" s="95"/>
      <c r="DG8" s="95"/>
      <c r="DH8" s="76"/>
      <c r="DI8" s="95"/>
      <c r="DJ8" s="76"/>
      <c r="DK8" s="95"/>
      <c r="DL8" s="95"/>
      <c r="DM8" s="95"/>
      <c r="DN8" s="95"/>
      <c r="DO8" s="36"/>
      <c r="DP8" s="76"/>
      <c r="DQ8" s="76"/>
      <c r="DR8" s="76"/>
      <c r="DS8" s="76"/>
      <c r="DT8" s="76"/>
      <c r="DU8" s="76"/>
      <c r="DV8" s="76"/>
      <c r="DW8" s="76"/>
      <c r="DX8" s="76"/>
      <c r="DY8" s="76"/>
      <c r="DZ8" s="76"/>
      <c r="EA8" s="76"/>
      <c r="EB8" s="76"/>
      <c r="EC8" s="76"/>
      <c r="ED8" s="76"/>
      <c r="EE8" s="76"/>
      <c r="EF8" s="95"/>
      <c r="EG8" s="95"/>
      <c r="EH8" s="95"/>
      <c r="EI8" s="95"/>
      <c r="EJ8" s="95"/>
      <c r="EK8" s="95"/>
      <c r="EL8" s="76"/>
      <c r="EM8" s="95"/>
      <c r="EN8" s="95"/>
      <c r="EO8" s="95"/>
      <c r="EP8" s="95"/>
      <c r="EQ8" s="95"/>
      <c r="ER8" s="95"/>
      <c r="ES8" s="96"/>
      <c r="ET8" s="95"/>
      <c r="EU8" s="95"/>
      <c r="EV8" s="76"/>
      <c r="EW8" s="96"/>
      <c r="EX8" s="79"/>
      <c r="EY8" s="76"/>
      <c r="EZ8" s="95"/>
      <c r="FA8" s="95"/>
      <c r="FB8" s="95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