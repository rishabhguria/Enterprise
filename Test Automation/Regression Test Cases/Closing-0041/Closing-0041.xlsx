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VerifyLongPositionsGrid" sheetId="6" r:id="rId8"/>
    <sheet state="visible" name="SelectTradeUnexpiredUnsettled" sheetId="7" r:id="rId9"/>
    <sheet state="visible" name="Expire" sheetId="8" r:id="rId10"/>
    <sheet state="visible" name="VerifyExpiredSettledGrid" sheetId="9" r:id="rId11"/>
    <sheet state="visible" name="CheckAllocatedGroups" sheetId="10" r:id="rId12"/>
    <sheet state="visible" name="UnWindTradeSettlement" sheetId="11" r:id="rId13"/>
    <sheet state="visible" name="GetDataAllocation" sheetId="12" r:id="rId14"/>
  </sheets>
  <definedNames/>
  <calcPr/>
</workbook>
</file>

<file path=xl/sharedStrings.xml><?xml version="1.0" encoding="utf-8"?>
<sst xmlns="http://schemas.openxmlformats.org/spreadsheetml/2006/main" count="105" uniqueCount="35">
  <si>
    <t>Settings</t>
  </si>
  <si>
    <t>Module Step Setting File</t>
  </si>
  <si>
    <t>15TZcyNzdODZnAEMI7Zyq6CaL1BTvFkhtTgtMBwN7UQA</t>
  </si>
  <si>
    <t>Master Data Settings File</t>
  </si>
  <si>
    <t>1Nt_rf5DtgjbN9Ag4AMMlUkZYROxKZLH5m54YOl7tRT0</t>
  </si>
  <si>
    <t>Data</t>
  </si>
  <si>
    <t>Module</t>
  </si>
  <si>
    <t>TradingTicket</t>
  </si>
  <si>
    <t>Step</t>
  </si>
  <si>
    <t>CreateDoneAwayOrder</t>
  </si>
  <si>
    <t>Data Format</t>
  </si>
  <si>
    <t>Input Format</t>
  </si>
  <si>
    <t>Master Data Info</t>
  </si>
  <si>
    <t>Modules Info</t>
  </si>
  <si>
    <t>Modules</t>
  </si>
  <si>
    <t>Master Data Sheet</t>
  </si>
  <si>
    <t>O:ABM 10D20.00</t>
  </si>
  <si>
    <t>Buy to Open</t>
  </si>
  <si>
    <t>Allocation1</t>
  </si>
  <si>
    <t>Closing</t>
  </si>
  <si>
    <t>GetDataClosing</t>
  </si>
  <si>
    <t>Current</t>
  </si>
  <si>
    <t>VerifyLongPositionsGrid</t>
  </si>
  <si>
    <t>SelectTradeUnexpiredUnsettled</t>
  </si>
  <si>
    <t>EquityOption</t>
  </si>
  <si>
    <t>Expire</t>
  </si>
  <si>
    <t>VerifyExpiredSettledGrid</t>
  </si>
  <si>
    <t>NONE</t>
  </si>
  <si>
    <t>Long</t>
  </si>
  <si>
    <t>Allocation</t>
  </si>
  <si>
    <t>CheckAllocatedGroups</t>
  </si>
  <si>
    <t>Closed</t>
  </si>
  <si>
    <t>Sell to Close</t>
  </si>
  <si>
    <t>UnWindTradeSettlement</t>
  </si>
  <si>
    <t>GetDataAllocation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</si>
</sst>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sz val="14.0"/>
      <color rgb="FFFFFFFF"/>
      <name val="Calibri"/>
    </font>
    <font/>
    <font>
      <name val="Calibri"/>
    </font>
    <font>
      <b/>
      <color rgb="FFFFFFFF"/>
      <name val="Calibri"/>
    </font>
    <font>
      <color rgb="FFFFFFFF"/>
      <name val="Calibri"/>
    </font>
    <font>
      <b/>
      <sz val="14.0"/>
      <color rgb="FFFFFFFF"/>
      <name val="Calibri"/>
    </font>
    <font>
      <color rgb="FFFFFFFF"/>
    </font>
    <font>
      <color rgb="FFD9D9D9"/>
      <name val="Calibri"/>
    </font>
    <font>
      <color rgb="FFD9D9D9"/>
    </font>
    <font>
      <name val="Arial"/>
    </font>
    <font>
      <b/>
      <color rgb="FFFFFFFF"/>
      <name val="Arial"/>
    </font>
    <font>
      <b/>
      <color rgb="FFFFFFFF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  <top/>
    </border>
    <border>
      <right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0" fillId="0" fontId="3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0" fillId="2" fontId="6" numFmtId="0" xfId="0" applyAlignment="1" applyFont="1">
      <alignment horizontal="center" shrinkToFit="0" wrapText="0"/>
    </xf>
    <xf borderId="1" fillId="2" fontId="6" numFmtId="0" xfId="0" applyAlignment="1" applyBorder="1" applyFont="1">
      <alignment horizontal="center" shrinkToFit="0" wrapText="0"/>
    </xf>
    <xf borderId="0" fillId="2" fontId="2" numFmtId="0" xfId="0" applyFont="1"/>
    <xf borderId="0" fillId="0" fontId="5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0" fillId="3" fontId="7" numFmtId="0" xfId="0" applyFont="1"/>
    <xf borderId="0" fillId="4" fontId="8" numFmtId="0" xfId="0" applyAlignment="1" applyFill="1" applyFont="1">
      <alignment shrinkToFit="0" wrapText="0"/>
    </xf>
    <xf borderId="0" fillId="4" fontId="9" numFmtId="0" xfId="0" applyFont="1"/>
    <xf borderId="1" fillId="2" fontId="6" numFmtId="0" xfId="0" applyAlignment="1" applyBorder="1" applyFont="1">
      <alignment horizontal="center" readingOrder="0" shrinkToFit="0" wrapText="0"/>
    </xf>
    <xf borderId="0" fillId="0" fontId="10" numFmtId="0" xfId="0" applyAlignment="1" applyFont="1">
      <alignment shrinkToFit="0" wrapText="0"/>
    </xf>
    <xf borderId="4" fillId="3" fontId="11" numFmtId="0" xfId="0" applyAlignment="1" applyBorder="1" applyFont="1">
      <alignment readingOrder="0" shrinkToFit="0" wrapText="0"/>
    </xf>
    <xf borderId="4" fillId="3" fontId="10" numFmtId="0" xfId="0" applyAlignment="1" applyBorder="1" applyFont="1">
      <alignment readingOrder="0" shrinkToFit="0" wrapText="0"/>
    </xf>
    <xf borderId="4" fillId="3" fontId="10" numFmtId="0" xfId="0" applyAlignment="1" applyBorder="1" applyFont="1">
      <alignment shrinkToFit="0" wrapText="0"/>
    </xf>
    <xf borderId="4" fillId="3" fontId="11" numFmtId="0" xfId="0" applyAlignment="1" applyBorder="1" applyFont="1">
      <alignment shrinkToFit="0" wrapText="0"/>
    </xf>
    <xf borderId="0" fillId="0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7" numFmtId="0" xfId="0" applyFont="1"/>
    <xf borderId="0" fillId="0" fontId="10" numFmtId="0" xfId="0" applyAlignment="1" applyFont="1">
      <alignment vertical="bottom"/>
    </xf>
    <xf borderId="5" fillId="6" fontId="13" numFmtId="0" xfId="0" applyAlignment="1" applyBorder="1" applyFill="1" applyFont="1">
      <alignment vertical="bottom"/>
    </xf>
    <xf borderId="5" fillId="0" fontId="10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10" numFmtId="0" xfId="0" applyAlignment="1" applyBorder="1" applyFont="1">
      <alignment vertical="bottom"/>
    </xf>
    <xf borderId="5" fillId="0" fontId="3" numFmtId="14" xfId="0" applyAlignment="1" applyBorder="1" applyFont="1" applyNumberFormat="1">
      <alignment horizontal="right" vertical="bottom"/>
    </xf>
    <xf borderId="0" fillId="0" fontId="10" numFmtId="0" xfId="0" applyAlignment="1" applyFont="1">
      <alignment vertical="bottom"/>
    </xf>
    <xf borderId="0" fillId="0" fontId="2" numFmtId="0" xfId="0" applyAlignment="1" applyFont="1">
      <alignment readingOrder="0"/>
    </xf>
    <xf borderId="6" fillId="6" fontId="13" numFmtId="0" xfId="0" applyAlignment="1" applyBorder="1" applyFont="1">
      <alignment shrinkToFit="0" vertical="bottom" wrapText="0"/>
    </xf>
    <xf borderId="0" fillId="0" fontId="10" numFmtId="0" xfId="0" applyAlignment="1" applyFont="1">
      <alignment horizontal="right" vertical="bottom"/>
    </xf>
    <xf borderId="7" fillId="6" fontId="13" numFmtId="0" xfId="0" applyAlignment="1" applyBorder="1" applyFont="1">
      <alignment shrinkToFit="0" vertical="bottom" wrapText="0"/>
    </xf>
    <xf borderId="5" fillId="0" fontId="3" numFmtId="164" xfId="0" applyAlignment="1" applyBorder="1" applyFont="1" applyNumberFormat="1">
      <alignment horizontal="right" vertical="bottom"/>
    </xf>
    <xf borderId="0" fillId="0" fontId="10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0" t="s">
        <v>13</v>
      </c>
      <c r="B1" s="2"/>
      <c r="C1" s="2"/>
      <c r="D1" s="2"/>
      <c r="E1" s="2"/>
      <c r="F1" s="3"/>
    </row>
    <row r="2" ht="15.75" customHeight="1">
      <c r="A2" s="19"/>
      <c r="B2" s="19"/>
      <c r="C2" s="19"/>
      <c r="D2" s="19"/>
      <c r="E2" s="19"/>
      <c r="F2" s="19"/>
    </row>
    <row r="3" ht="15.75" customHeight="1">
      <c r="A3" s="5" t="s">
        <v>14</v>
      </c>
      <c r="B3" s="21"/>
      <c r="C3" s="22"/>
      <c r="D3" s="22"/>
      <c r="E3" s="22"/>
      <c r="F3" s="22"/>
    </row>
    <row r="4" ht="15.75" customHeight="1">
      <c r="A4" s="4" t="str">
        <f>IFERROR(__xludf.DUMMYFUNCTION("IMPORTRANGE('_Settings'!B3,""Modules!A4:L1000"")"),"Allocation")</f>
        <v>Allocation</v>
      </c>
      <c r="B4" s="19" t="str">
        <f>IFERROR(__xludf.DUMMYFUNCTION("""COMPUTED_VALUE"""),"Allocate")</f>
        <v>Allocate</v>
      </c>
      <c r="C4" s="19" t="str">
        <f>IFERROR(__xludf.DUMMYFUNCTION("""COMPUTED_VALUE"""),"1g8wLprruaWRC_5pQcovqkv8ZCiMt5fspCOACibdkz7g")</f>
        <v>1g8wLprruaWRC_5pQcovqkv8ZCiMt5fspCOACibdkz7g</v>
      </c>
      <c r="D4" s="19" t="str">
        <f>IFERROR(__xludf.DUMMYFUNCTION("""COMPUTED_VALUE"""),"")</f>
        <v/>
      </c>
      <c r="E4" s="19" t="str">
        <f>IFERROR(__xludf.DUMMYFUNCTION("""COMPUTED_VALUE"""),"")</f>
        <v/>
      </c>
      <c r="F4" s="19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4" t="str">
        <f>IFERROR(__xludf.DUMMYFUNCTION("""COMPUTED_VALUE"""),"Allocation")</f>
        <v>Allocation</v>
      </c>
      <c r="B5" s="19" t="str">
        <f>IFERROR(__xludf.DUMMYFUNCTION("""COMPUTED_VALUE"""),"CheckAllocatedGroups")</f>
        <v>CheckAllocatedGroups</v>
      </c>
      <c r="C5" s="19" t="str">
        <f>IFERROR(__xludf.DUMMYFUNCTION("""COMPUTED_VALUE"""),"1aecq-HMDoDkIInONjPC11z5TBFHyJhv4ro66e2ZOphg")</f>
        <v>1aecq-HMDoDkIInONjPC11z5TBFHyJhv4ro66e2ZOphg</v>
      </c>
      <c r="D5" s="19" t="str">
        <f>IFERROR(__xludf.DUMMYFUNCTION("""COMPUTED_VALUE"""),"")</f>
        <v/>
      </c>
      <c r="E5" s="19" t="str">
        <f>IFERROR(__xludf.DUMMYFUNCTION("""COMPUTED_VALUE"""),"")</f>
        <v/>
      </c>
      <c r="F5" s="19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19" t="str">
        <f>IFERROR(__xludf.DUMMYFUNCTION("""COMPUTED_VALUE"""),"Allocation")</f>
        <v>Allocation</v>
      </c>
      <c r="B6" s="19" t="str">
        <f>IFERROR(__xludf.DUMMYFUNCTION("""COMPUTED_VALUE"""),"Unallocate")</f>
        <v>Unallocate</v>
      </c>
      <c r="C6" s="19" t="str">
        <f>IFERROR(__xludf.DUMMYFUNCTION("""COMPUTED_VALUE"""),"1eDZq-_vllq4jwvwpk9qGnwQUhlb-sFvyFKPBriT2dA0")</f>
        <v>1eDZq-_vllq4jwvwpk9qGnwQUhlb-sFvyFKPBriT2dA0</v>
      </c>
      <c r="D6" s="19" t="str">
        <f>IFERROR(__xludf.DUMMYFUNCTION("""COMPUTED_VALUE"""),"")</f>
        <v/>
      </c>
      <c r="E6" s="19" t="str">
        <f>IFERROR(__xludf.DUMMYFUNCTION("""COMPUTED_VALUE"""),"")</f>
        <v/>
      </c>
      <c r="F6" s="19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19" t="str">
        <f>IFERROR(__xludf.DUMMYFUNCTION("""COMPUTED_VALUE"""),"Allocation")</f>
        <v>Allocation</v>
      </c>
      <c r="B7" s="19" t="str">
        <f>IFERROR(__xludf.DUMMYFUNCTION("""COMPUTED_VALUE"""),"GetDataAllocation")</f>
        <v>GetDataAllocation</v>
      </c>
      <c r="C7" s="19" t="str">
        <f>IFERROR(__xludf.DUMMYFUNCTION("""COMPUTED_VALUE"""),"1FBTO3wCB7odq-jpQMbYHgSrAL5-rFO2_kp9Kr2iXqXE")</f>
        <v>1FBTO3wCB7odq-jpQMbYHgSrAL5-rFO2_kp9Kr2iXqXE</v>
      </c>
      <c r="D7" s="19" t="str">
        <f>IFERROR(__xludf.DUMMYFUNCTION("""COMPUTED_VALUE"""),"")</f>
        <v/>
      </c>
      <c r="E7" s="19" t="str">
        <f>IFERROR(__xludf.DUMMYFUNCTION("""COMPUTED_VALUE"""),"")</f>
        <v/>
      </c>
      <c r="F7" s="19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19" t="str">
        <f>IFERROR(__xludf.DUMMYFUNCTION("""COMPUTED_VALUE"""),"Allocation")</f>
        <v>Allocation</v>
      </c>
      <c r="B8" s="19" t="str">
        <f>IFERROR(__xludf.DUMMYFUNCTION("""COMPUTED_VALUE"""),"SelectAllocatedGroup")</f>
        <v>SelectAllocatedGroup</v>
      </c>
      <c r="C8" s="19" t="str">
        <f>IFERROR(__xludf.DUMMYFUNCTION("""COMPUTED_VALUE"""),"1G0ZkXDrIDX_loGmAyLs_Shy8hExtTELtFXERbX-HdPo")</f>
        <v>1G0ZkXDrIDX_loGmAyLs_Shy8hExtTELtFXERbX-HdPo</v>
      </c>
      <c r="D8" s="19" t="str">
        <f>IFERROR(__xludf.DUMMYFUNCTION("""COMPUTED_VALUE"""),"")</f>
        <v/>
      </c>
      <c r="E8" s="19" t="str">
        <f>IFERROR(__xludf.DUMMYFUNCTION("""COMPUTED_VALUE"""),"")</f>
        <v/>
      </c>
      <c r="F8" s="19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19" t="str">
        <f>IFERROR(__xludf.DUMMYFUNCTION("""COMPUTED_VALUE"""),"Allocation")</f>
        <v>Allocation</v>
      </c>
      <c r="B9" s="19" t="str">
        <f>IFERROR(__xludf.DUMMYFUNCTION("""COMPUTED_VALUE"""),"EditTradesAllocated")</f>
        <v>EditTradesAllocated</v>
      </c>
      <c r="C9" s="19" t="str">
        <f>IFERROR(__xludf.DUMMYFUNCTION("""COMPUTED_VALUE"""),"1YgVZ1jEVgjUF1Dp8FAj_W_zLEZCyqvNMlWJIg0Tmkq4")</f>
        <v>1YgVZ1jEVgjUF1Dp8FAj_W_zLEZCyqvNMlWJIg0Tmkq4</v>
      </c>
      <c r="D9" s="19" t="str">
        <f>IFERROR(__xludf.DUMMYFUNCTION("""COMPUTED_VALUE"""),"")</f>
        <v/>
      </c>
      <c r="E9" s="19" t="str">
        <f>IFERROR(__xludf.DUMMYFUNCTION("""COMPUTED_VALUE"""),"")</f>
        <v/>
      </c>
      <c r="F9" s="1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19" t="str">
        <f>IFERROR(__xludf.DUMMYFUNCTION("""COMPUTED_VALUE"""),"Allocation")</f>
        <v>Allocation</v>
      </c>
      <c r="B10" s="19" t="str">
        <f>IFERROR(__xludf.DUMMYFUNCTION("""COMPUTED_VALUE"""),"EditTradesUnallocated")</f>
        <v>EditTradesUnallocated</v>
      </c>
      <c r="C10" s="19" t="str">
        <f>IFERROR(__xludf.DUMMYFUNCTION("""COMPUTED_VALUE"""),"1MyB61T39MDAUyQqCUJLATzUT2f5UlE8nFq4ltWy_DJ4")</f>
        <v>1MyB61T39MDAUyQqCUJLATzUT2f5UlE8nFq4ltWy_DJ4</v>
      </c>
      <c r="D10" s="19" t="str">
        <f>IFERROR(__xludf.DUMMYFUNCTION("""COMPUTED_VALUE"""),"")</f>
        <v/>
      </c>
      <c r="E10" s="19" t="str">
        <f>IFERROR(__xludf.DUMMYFUNCTION("""COMPUTED_VALUE"""),"")</f>
        <v/>
      </c>
      <c r="F10" s="19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19" t="str">
        <f>IFERROR(__xludf.DUMMYFUNCTION("""COMPUTED_VALUE"""),"Allocation")</f>
        <v>Allocation</v>
      </c>
      <c r="B11" s="19" t="str">
        <f>IFERROR(__xludf.DUMMYFUNCTION("""COMPUTED_VALUE"""),"Reallocate")</f>
        <v>Reallocate</v>
      </c>
      <c r="C11" s="19" t="str">
        <f>IFERROR(__xludf.DUMMYFUNCTION("""COMPUTED_VALUE"""),"undefined")</f>
        <v>undefined</v>
      </c>
      <c r="D11" s="19" t="str">
        <f>IFERROR(__xludf.DUMMYFUNCTION("""COMPUTED_VALUE"""),"")</f>
        <v/>
      </c>
      <c r="E11" s="19" t="str">
        <f>IFERROR(__xludf.DUMMYFUNCTION("""COMPUTED_VALUE"""),"")</f>
        <v/>
      </c>
      <c r="F11" s="19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19" t="str">
        <f>IFERROR(__xludf.DUMMYFUNCTION("""COMPUTED_VALUE"""),"Blotter")</f>
        <v>Blotter</v>
      </c>
      <c r="B12" s="19" t="str">
        <f>IFERROR(__xludf.DUMMYFUNCTION("""COMPUTED_VALUE"""),"ReplaceFillsOnBlotter")</f>
        <v>ReplaceFillsOnBlotter</v>
      </c>
      <c r="C12" s="19" t="str">
        <f>IFERROR(__xludf.DUMMYFUNCTION("""COMPUTED_VALUE"""),"undefined")</f>
        <v>undefined</v>
      </c>
      <c r="D12" s="19" t="str">
        <f>IFERROR(__xludf.DUMMYFUNCTION("""COMPUTED_VALUE"""),"")</f>
        <v/>
      </c>
      <c r="E12" s="19" t="str">
        <f>IFERROR(__xludf.DUMMYFUNCTION("""COMPUTED_VALUE"""),"")</f>
        <v/>
      </c>
      <c r="F12" s="19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19" t="str">
        <f>IFERROR(__xludf.DUMMYFUNCTION("""COMPUTED_VALUE"""),"Blotter")</f>
        <v>Blotter</v>
      </c>
      <c r="B13" s="19" t="str">
        <f>IFERROR(__xludf.DUMMYFUNCTION("""COMPUTED_VALUE"""),"CheckBlotter")</f>
        <v>CheckBlotter</v>
      </c>
      <c r="C13" s="19" t="str">
        <f>IFERROR(__xludf.DUMMYFUNCTION("""COMPUTED_VALUE"""),"16qheLbvgC92hKxalWDlpWfHBMyDDVqHERUCc7bQiO2A")</f>
        <v>16qheLbvgC92hKxalWDlpWfHBMyDDVqHERUCc7bQiO2A</v>
      </c>
      <c r="D13" s="19" t="str">
        <f>IFERROR(__xludf.DUMMYFUNCTION("""COMPUTED_VALUE"""),"")</f>
        <v/>
      </c>
      <c r="E13" s="19" t="str">
        <f>IFERROR(__xludf.DUMMYFUNCTION("""COMPUTED_VALUE"""),"")</f>
        <v/>
      </c>
      <c r="F13" s="19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19" t="str">
        <f>IFERROR(__xludf.DUMMYFUNCTION("""COMPUTED_VALUE"""),"GeneralLedger")</f>
        <v>GeneralLedger</v>
      </c>
      <c r="B14" s="19" t="str">
        <f>IFERROR(__xludf.DUMMYFUNCTION("""COMPUTED_VALUE"""),"GetDataCash")</f>
        <v>GetDataCash</v>
      </c>
      <c r="C14" s="19" t="str">
        <f>IFERROR(__xludf.DUMMYFUNCTION("""COMPUTED_VALUE"""),"1zLd3ju-mV8f6PZiQUYLU-cAgAUwLwyoIAKuu0WgG2zI")</f>
        <v>1zLd3ju-mV8f6PZiQUYLU-cAgAUwLwyoIAKuu0WgG2zI</v>
      </c>
      <c r="D14" s="19" t="str">
        <f>IFERROR(__xludf.DUMMYFUNCTION("""COMPUTED_VALUE"""),"")</f>
        <v/>
      </c>
      <c r="E14" s="19" t="str">
        <f>IFERROR(__xludf.DUMMYFUNCTION("""COMPUTED_VALUE"""),"")</f>
        <v/>
      </c>
      <c r="F14" s="19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19" t="str">
        <f>IFERROR(__xludf.DUMMYFUNCTION("""COMPUTED_VALUE"""),"GeneralLedger")</f>
        <v>GeneralLedger</v>
      </c>
      <c r="B15" s="19" t="str">
        <f>IFERROR(__xludf.DUMMYFUNCTION("""COMPUTED_VALUE"""),"EnterCashDividends")</f>
        <v>EnterCashDividends</v>
      </c>
      <c r="C15" s="19" t="str">
        <f>IFERROR(__xludf.DUMMYFUNCTION("""COMPUTED_VALUE"""),"1sjDsI5FIL_l_G6osMJQ7e8auBgYd3R3JDaKWKV_8Og0")</f>
        <v>1sjDsI5FIL_l_G6osMJQ7e8auBgYd3R3JDaKWKV_8Og0</v>
      </c>
      <c r="D15" s="19" t="str">
        <f>IFERROR(__xludf.DUMMYFUNCTION("""COMPUTED_VALUE"""),"")</f>
        <v/>
      </c>
      <c r="E15" s="19" t="str">
        <f>IFERROR(__xludf.DUMMYFUNCTION("""COMPUTED_VALUE"""),"")</f>
        <v/>
      </c>
      <c r="F15" s="19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19" t="str">
        <f>IFERROR(__xludf.DUMMYFUNCTION("""COMPUTED_VALUE"""),"GeneralLedger")</f>
        <v>GeneralLedger</v>
      </c>
      <c r="B16" s="19" t="str">
        <f>IFERROR(__xludf.DUMMYFUNCTION("""COMPUTED_VALUE"""),"EnterNonTradingTransaction")</f>
        <v>EnterNonTradingTransaction</v>
      </c>
      <c r="C16" s="19" t="str">
        <f>IFERROR(__xludf.DUMMYFUNCTION("""COMPUTED_VALUE"""),"1xn1P_Z-3N4d2BC1SUPly2HiVZazly5ZQcS18BfaTyho")</f>
        <v>1xn1P_Z-3N4d2BC1SUPly2HiVZazly5ZQcS18BfaTyho</v>
      </c>
      <c r="D16" s="19" t="str">
        <f>IFERROR(__xludf.DUMMYFUNCTION("""COMPUTED_VALUE"""),"")</f>
        <v/>
      </c>
      <c r="E16" s="19" t="str">
        <f>IFERROR(__xludf.DUMMYFUNCTION("""COMPUTED_VALUE"""),"")</f>
        <v/>
      </c>
      <c r="F16" s="19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19" t="str">
        <f>IFERROR(__xludf.DUMMYFUNCTION("""COMPUTED_VALUE"""),"GeneralLedger")</f>
        <v>GeneralLedger</v>
      </c>
      <c r="B17" s="19" t="str">
        <f>IFERROR(__xludf.DUMMYFUNCTION("""COMPUTED_VALUE"""),"VerifyCash")</f>
        <v>VerifyCash</v>
      </c>
      <c r="C17" s="19" t="str">
        <f>IFERROR(__xludf.DUMMYFUNCTION("""COMPUTED_VALUE"""),"1vlvYPsiFAWjsnFrbkGn_fAvkwF00V3e7htalalU6QN4")</f>
        <v>1vlvYPsiFAWjsnFrbkGn_fAvkwF00V3e7htalalU6QN4</v>
      </c>
      <c r="D17" s="19" t="str">
        <f>IFERROR(__xludf.DUMMYFUNCTION("""COMPUTED_VALUE"""),"")</f>
        <v/>
      </c>
      <c r="E17" s="19" t="str">
        <f>IFERROR(__xludf.DUMMYFUNCTION("""COMPUTED_VALUE"""),"")</f>
        <v/>
      </c>
      <c r="F17" s="19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19" t="str">
        <f>IFERROR(__xludf.DUMMYFUNCTION("""COMPUTED_VALUE"""),"GeneralLedger")</f>
        <v>GeneralLedger</v>
      </c>
      <c r="B18" s="19" t="str">
        <f>IFERROR(__xludf.DUMMYFUNCTION("""COMPUTED_VALUE"""),"VerifyActivity")</f>
        <v>VerifyActivity</v>
      </c>
      <c r="C18" s="19" t="str">
        <f>IFERROR(__xludf.DUMMYFUNCTION("""COMPUTED_VALUE"""),"1o2rCg2FuoAOT5Pl8i4iFP_TwpPm0UB1dd49GbpkytfM")</f>
        <v>1o2rCg2FuoAOT5Pl8i4iFP_TwpPm0UB1dd49GbpkytfM</v>
      </c>
      <c r="D18" s="19" t="str">
        <f>IFERROR(__xludf.DUMMYFUNCTION("""COMPUTED_VALUE"""),"")</f>
        <v/>
      </c>
      <c r="E18" s="19" t="str">
        <f>IFERROR(__xludf.DUMMYFUNCTION("""COMPUTED_VALUE"""),"")</f>
        <v/>
      </c>
      <c r="F18" s="19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19" t="str">
        <f>IFERROR(__xludf.DUMMYFUNCTION("""COMPUTED_VALUE"""),"GeneralLedger")</f>
        <v>GeneralLedger</v>
      </c>
      <c r="B19" s="19" t="str">
        <f>IFERROR(__xludf.DUMMYFUNCTION("""COMPUTED_VALUE"""),"VerifyTradingTransaction")</f>
        <v>VerifyTradingTransaction</v>
      </c>
      <c r="C19" s="19" t="str">
        <f>IFERROR(__xludf.DUMMYFUNCTION("""COMPUTED_VALUE"""),"1_v2niCJ9VGNvgEBpvz030BFqEISSUhYRHyWcAJAn_Eg")</f>
        <v>1_v2niCJ9VGNvgEBpvz030BFqEISSUhYRHyWcAJAn_Eg</v>
      </c>
      <c r="D19" s="19" t="str">
        <f>IFERROR(__xludf.DUMMYFUNCTION("""COMPUTED_VALUE"""),"")</f>
        <v/>
      </c>
      <c r="E19" s="19" t="str">
        <f>IFERROR(__xludf.DUMMYFUNCTION("""COMPUTED_VALUE"""),"")</f>
        <v/>
      </c>
      <c r="F19" s="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19" t="str">
        <f>IFERROR(__xludf.DUMMYFUNCTION("""COMPUTED_VALUE"""),"GeneralLedger")</f>
        <v>GeneralLedger</v>
      </c>
      <c r="B20" s="19" t="str">
        <f>IFERROR(__xludf.DUMMYFUNCTION("""COMPUTED_VALUE"""),"VerifyRevaluationData")</f>
        <v>VerifyRevaluationData</v>
      </c>
      <c r="C20" s="19" t="str">
        <f>IFERROR(__xludf.DUMMYFUNCTION("""COMPUTED_VALUE"""),"1hsRs1-LY0akTrMe91ArnbLtk6GUy_bKxVwMYCaiMs-8")</f>
        <v>1hsRs1-LY0akTrMe91ArnbLtk6GUy_bKxVwMYCaiMs-8</v>
      </c>
      <c r="D20" s="19" t="str">
        <f>IFERROR(__xludf.DUMMYFUNCTION("""COMPUTED_VALUE"""),"")</f>
        <v/>
      </c>
      <c r="E20" s="19" t="str">
        <f>IFERROR(__xludf.DUMMYFUNCTION("""COMPUTED_VALUE"""),"")</f>
        <v/>
      </c>
      <c r="F20" s="19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19" t="str">
        <f>IFERROR(__xludf.DUMMYFUNCTION("""COMPUTED_VALUE"""),"CorporateAction")</f>
        <v>CorporateAction</v>
      </c>
      <c r="B21" s="19" t="str">
        <f>IFERROR(__xludf.DUMMYFUNCTION("""COMPUTED_VALUE"""),"CorporateAction")</f>
        <v>CorporateAction</v>
      </c>
      <c r="C21" s="19" t="str">
        <f>IFERROR(__xludf.DUMMYFUNCTION("""COMPUTED_VALUE"""),"14rwUHTx4auE_hf60WN-tNOx3atNg7QGvErWNwVQIRqE")</f>
        <v>14rwUHTx4auE_hf60WN-tNOx3atNg7QGvErWNwVQIRqE</v>
      </c>
      <c r="D21" s="19" t="str">
        <f>IFERROR(__xludf.DUMMYFUNCTION("""COMPUTED_VALUE"""),"")</f>
        <v/>
      </c>
      <c r="E21" s="19" t="str">
        <f>IFERROR(__xludf.DUMMYFUNCTION("""COMPUTED_VALUE"""),"")</f>
        <v/>
      </c>
      <c r="F21" s="19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19" t="str">
        <f>IFERROR(__xludf.DUMMYFUNCTION("""COMPUTED_VALUE"""),"CreateTransaction")</f>
        <v>CreateTransaction</v>
      </c>
      <c r="B22" s="19" t="str">
        <f>IFERROR(__xludf.DUMMYFUNCTION("""COMPUTED_VALUE"""),"CreateTransaction")</f>
        <v>CreateTransaction</v>
      </c>
      <c r="C22" s="19" t="str">
        <f>IFERROR(__xludf.DUMMYFUNCTION("""COMPUTED_VALUE"""),"1amshi8Ns36lsDpccBK0y_9bL_pQ2rHdGNYypcgzceUg")</f>
        <v>1amshi8Ns36lsDpccBK0y_9bL_pQ2rHdGNYypcgzceUg</v>
      </c>
      <c r="D22" s="19" t="str">
        <f>IFERROR(__xludf.DUMMYFUNCTION("""COMPUTED_VALUE"""),"")</f>
        <v/>
      </c>
      <c r="E22" s="19" t="str">
        <f>IFERROR(__xludf.DUMMYFUNCTION("""COMPUTED_VALUE"""),"")</f>
        <v/>
      </c>
      <c r="F22" s="19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19" t="str">
        <f>IFERROR(__xludf.DUMMYFUNCTION("""COMPUTED_VALUE"""),"DailyValuation")</f>
        <v>DailyValuation</v>
      </c>
      <c r="B23" s="19" t="str">
        <f>IFERROR(__xludf.DUMMYFUNCTION("""COMPUTED_VALUE"""),"UpdateBeta")</f>
        <v>UpdateBeta</v>
      </c>
      <c r="C23" s="19" t="str">
        <f>IFERROR(__xludf.DUMMYFUNCTION("""COMPUTED_VALUE"""),"1YKttwHsdIskNDoo0Sl7HF2DWikROW-KA05qfT3GLIyI")</f>
        <v>1YKttwHsdIskNDoo0Sl7HF2DWikROW-KA05qfT3GLIyI</v>
      </c>
      <c r="D23" s="19" t="str">
        <f>IFERROR(__xludf.DUMMYFUNCTION("""COMPUTED_VALUE"""),"")</f>
        <v/>
      </c>
      <c r="E23" s="19" t="str">
        <f>IFERROR(__xludf.DUMMYFUNCTION("""COMPUTED_VALUE"""),"")</f>
        <v/>
      </c>
      <c r="F23" s="19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19" t="str">
        <f>IFERROR(__xludf.DUMMYFUNCTION("""COMPUTED_VALUE"""),"DailyValuation")</f>
        <v>DailyValuation</v>
      </c>
      <c r="B24" s="19" t="str">
        <f>IFERROR(__xludf.DUMMYFUNCTION("""COMPUTED_VALUE"""),"UpdateDailyCash")</f>
        <v>UpdateDailyCash</v>
      </c>
      <c r="C24" s="19" t="str">
        <f>IFERROR(__xludf.DUMMYFUNCTION("""COMPUTED_VALUE"""),"1YJ2rTp-OqQTGjubvs_cBC6fl0l94pyHI2eaLJzbddS4")</f>
        <v>1YJ2rTp-OqQTGjubvs_cBC6fl0l94pyHI2eaLJzbddS4</v>
      </c>
      <c r="D24" s="19" t="str">
        <f>IFERROR(__xludf.DUMMYFUNCTION("""COMPUTED_VALUE"""),"")</f>
        <v/>
      </c>
      <c r="E24" s="19" t="str">
        <f>IFERROR(__xludf.DUMMYFUNCTION("""COMPUTED_VALUE"""),"")</f>
        <v/>
      </c>
      <c r="F24" s="19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19" t="str">
        <f>IFERROR(__xludf.DUMMYFUNCTION("""COMPUTED_VALUE"""),"DailyValuation")</f>
        <v>DailyValuation</v>
      </c>
      <c r="B25" s="19" t="str">
        <f>IFERROR(__xludf.DUMMYFUNCTION("""COMPUTED_VALUE"""),"UpdateForexConversion")</f>
        <v>UpdateForexConversion</v>
      </c>
      <c r="C25" s="19" t="str">
        <f>IFERROR(__xludf.DUMMYFUNCTION("""COMPUTED_VALUE"""),"1mLyEfNTVFd65cnE6GfgCRD6TdpKg1BgqNIDjHCFzyO4")</f>
        <v>1mLyEfNTVFd65cnE6GfgCRD6TdpKg1BgqNIDjHCFzyO4</v>
      </c>
      <c r="D25" s="19" t="str">
        <f>IFERROR(__xludf.DUMMYFUNCTION("""COMPUTED_VALUE"""),"")</f>
        <v/>
      </c>
      <c r="E25" s="19" t="str">
        <f>IFERROR(__xludf.DUMMYFUNCTION("""COMPUTED_VALUE"""),"")</f>
        <v/>
      </c>
      <c r="F25" s="19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19" t="str">
        <f>IFERROR(__xludf.DUMMYFUNCTION("""COMPUTED_VALUE"""),"DailyValuation")</f>
        <v>DailyValuation</v>
      </c>
      <c r="B26" s="19" t="str">
        <f>IFERROR(__xludf.DUMMYFUNCTION("""COMPUTED_VALUE"""),"UpdateMarkPrice")</f>
        <v>UpdateMarkPrice</v>
      </c>
      <c r="C26" s="19" t="str">
        <f>IFERROR(__xludf.DUMMYFUNCTION("""COMPUTED_VALUE"""),"1M8d9TyOhMnA65NSIYvS6dR68SH5RL6oKahd6uz7yp6c")</f>
        <v>1M8d9TyOhMnA65NSIYvS6dR68SH5RL6oKahd6uz7yp6c</v>
      </c>
      <c r="D26" s="19" t="str">
        <f>IFERROR(__xludf.DUMMYFUNCTION("""COMPUTED_VALUE"""),"")</f>
        <v/>
      </c>
      <c r="E26" s="19" t="str">
        <f>IFERROR(__xludf.DUMMYFUNCTION("""COMPUTED_VALUE"""),"")</f>
        <v/>
      </c>
      <c r="F26" s="19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19" t="str">
        <f>IFERROR(__xludf.DUMMYFUNCTION("""COMPUTED_VALUE"""),"Import")</f>
        <v>Import</v>
      </c>
      <c r="B27" s="19" t="str">
        <f>IFERROR(__xludf.DUMMYFUNCTION("""COMPUTED_VALUE"""),"Import")</f>
        <v>Import</v>
      </c>
      <c r="C27" s="19" t="str">
        <f>IFERROR(__xludf.DUMMYFUNCTION("""COMPUTED_VALUE"""),"1Q5uOVYo1NMRks6hQRJuV8XWMPb6VFEAbSzpgP1dot1I")</f>
        <v>1Q5uOVYo1NMRks6hQRJuV8XWMPb6VFEAbSzpgP1dot1I</v>
      </c>
      <c r="D27" s="19" t="str">
        <f>IFERROR(__xludf.DUMMYFUNCTION("""COMPUTED_VALUE"""),"")</f>
        <v/>
      </c>
      <c r="E27" s="19" t="str">
        <f>IFERROR(__xludf.DUMMYFUNCTION("""COMPUTED_VALUE"""),"")</f>
        <v/>
      </c>
      <c r="F27" s="19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19" t="str">
        <f>IFERROR(__xludf.DUMMYFUNCTION("""COMPUTED_VALUE"""),"PortfolioManagement")</f>
        <v>PortfolioManagement</v>
      </c>
      <c r="B28" s="19" t="str">
        <f>IFERROR(__xludf.DUMMYFUNCTION("""COMPUTED_VALUE"""),"CheckDashboardPM")</f>
        <v>CheckDashboardPM</v>
      </c>
      <c r="C28" s="19" t="str">
        <f>IFERROR(__xludf.DUMMYFUNCTION("""COMPUTED_VALUE"""),"1iqfUyYqyebXIeNBGljH7-T8whBcywTlkBBU3dBZV06s")</f>
        <v>1iqfUyYqyebXIeNBGljH7-T8whBcywTlkBBU3dBZV06s</v>
      </c>
      <c r="D28" s="19" t="str">
        <f>IFERROR(__xludf.DUMMYFUNCTION("""COMPUTED_VALUE"""),"")</f>
        <v/>
      </c>
      <c r="E28" s="19" t="str">
        <f>IFERROR(__xludf.DUMMYFUNCTION("""COMPUTED_VALUE"""),"")</f>
        <v/>
      </c>
      <c r="F28" s="19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19" t="str">
        <f>IFERROR(__xludf.DUMMYFUNCTION("""COMPUTED_VALUE"""),"PortfolioManagement")</f>
        <v>PortfolioManagement</v>
      </c>
      <c r="B29" s="19" t="str">
        <f>IFERROR(__xludf.DUMMYFUNCTION("""COMPUTED_VALUE"""),"CheckPortfolioManagement")</f>
        <v>CheckPortfolioManagement</v>
      </c>
      <c r="C29" s="19" t="str">
        <f>IFERROR(__xludf.DUMMYFUNCTION("""COMPUTED_VALUE"""),"1u0XMlZJy_Slp7uXMwirinW7StOOdTcWD-D8V07sO0VA")</f>
        <v>1u0XMlZJy_Slp7uXMwirinW7StOOdTcWD-D8V07sO0VA</v>
      </c>
      <c r="D29" s="19" t="str">
        <f>IFERROR(__xludf.DUMMYFUNCTION("""COMPUTED_VALUE"""),"")</f>
        <v/>
      </c>
      <c r="E29" s="19" t="str">
        <f>IFERROR(__xludf.DUMMYFUNCTION("""COMPUTED_VALUE"""),"")</f>
        <v/>
      </c>
      <c r="F29" s="1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19" t="str">
        <f>IFERROR(__xludf.DUMMYFUNCTION("""COMPUTED_VALUE"""),"PricingInput")</f>
        <v>PricingInput</v>
      </c>
      <c r="B30" s="19" t="str">
        <f>IFERROR(__xludf.DUMMYFUNCTION("""COMPUTED_VALUE"""),"PricingInput")</f>
        <v>PricingInput</v>
      </c>
      <c r="C30" s="19" t="str">
        <f>IFERROR(__xludf.DUMMYFUNCTION("""COMPUTED_VALUE"""),"1mh3Z5PifhJ3yzX8TPeoc3H3nteNiA0V2tWFse0rVChE")</f>
        <v>1mh3Z5PifhJ3yzX8TPeoc3H3nteNiA0V2tWFse0rVChE</v>
      </c>
      <c r="D30" s="19" t="str">
        <f>IFERROR(__xludf.DUMMYFUNCTION("""COMPUTED_VALUE"""),"")</f>
        <v/>
      </c>
      <c r="E30" s="19" t="str">
        <f>IFERROR(__xludf.DUMMYFUNCTION("""COMPUTED_VALUE"""),"")</f>
        <v/>
      </c>
      <c r="F30" s="19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19" t="str">
        <f>IFERROR(__xludf.DUMMYFUNCTION("""COMPUTED_VALUE"""),"PricingInput")</f>
        <v>PricingInput</v>
      </c>
      <c r="B31" s="19" t="str">
        <f>IFERROR(__xludf.DUMMYFUNCTION("""COMPUTED_VALUE"""),"UpdateSharesOutstanding")</f>
        <v>UpdateSharesOutstanding</v>
      </c>
      <c r="C31" s="19" t="str">
        <f>IFERROR(__xludf.DUMMYFUNCTION("""COMPUTED_VALUE"""),"1vmZ6v1OyZ8SSi8bqqjK3ap3KtM_yPA_SEcIQgYiRInY")</f>
        <v>1vmZ6v1OyZ8SSi8bqqjK3ap3KtM_yPA_SEcIQgYiRInY</v>
      </c>
      <c r="D31" s="19" t="str">
        <f>IFERROR(__xludf.DUMMYFUNCTION("""COMPUTED_VALUE"""),"")</f>
        <v/>
      </c>
      <c r="E31" s="19" t="str">
        <f>IFERROR(__xludf.DUMMYFUNCTION("""COMPUTED_VALUE"""),"")</f>
        <v/>
      </c>
      <c r="F31" s="19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19" t="str">
        <f>IFERROR(__xludf.DUMMYFUNCTION("""COMPUTED_VALUE"""),"SymbolLookup")</f>
        <v>SymbolLookup</v>
      </c>
      <c r="B32" s="19" t="str">
        <f>IFERROR(__xludf.DUMMYFUNCTION("""COMPUTED_VALUE"""),"VerifySymbolLookUp")</f>
        <v>VerifySymbolLookUp</v>
      </c>
      <c r="C32" s="19" t="str">
        <f>IFERROR(__xludf.DUMMYFUNCTION("""COMPUTED_VALUE"""),"1OiI1Pi_JAFOFi8ByMaD3_qqEXSv6yQMo_u6aGTozbl8")</f>
        <v>1OiI1Pi_JAFOFi8ByMaD3_qqEXSv6yQMo_u6aGTozbl8</v>
      </c>
      <c r="D32" s="19" t="str">
        <f>IFERROR(__xludf.DUMMYFUNCTION("""COMPUTED_VALUE"""),"")</f>
        <v/>
      </c>
      <c r="E32" s="19" t="str">
        <f>IFERROR(__xludf.DUMMYFUNCTION("""COMPUTED_VALUE"""),"")</f>
        <v/>
      </c>
      <c r="F32" s="19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19" t="str">
        <f>IFERROR(__xludf.DUMMYFUNCTION("""COMPUTED_VALUE"""),"SymbolLookup")</f>
        <v>SymbolLookup</v>
      </c>
      <c r="B33" s="19" t="str">
        <f>IFERROR(__xludf.DUMMYFUNCTION("""COMPUTED_VALUE"""),"SymbolLookupFromTT")</f>
        <v>SymbolLookupFromTT</v>
      </c>
      <c r="C33" s="19" t="str">
        <f>IFERROR(__xludf.DUMMYFUNCTION("""COMPUTED_VALUE"""),"1ubfvE9sHq5KpJ9NazeH96CrVMJqAuol5Ya9GPjxWrgI")</f>
        <v>1ubfvE9sHq5KpJ9NazeH96CrVMJqAuol5Ya9GPjxWrgI</v>
      </c>
      <c r="D33" s="19" t="str">
        <f>IFERROR(__xludf.DUMMYFUNCTION("""COMPUTED_VALUE"""),"")</f>
        <v/>
      </c>
      <c r="E33" s="19" t="str">
        <f>IFERROR(__xludf.DUMMYFUNCTION("""COMPUTED_VALUE"""),"")</f>
        <v/>
      </c>
      <c r="F33" s="19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7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IFERROR(__xludf.DUMMYFUNCTION("""COMPUTED_VALUE"""),"ThirdPartyWork")</f>
        <v>ThirdPartyWork</v>
      </c>
      <c r="C351" t="str">
        <f>IFERROR(__xludf.DUMMYFUNCTION("""COMPUTED_VALUE"""),"undefined")</f>
        <v>undefined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IFERROR(__xludf.DUMMYFUNCTION("""COMPUTED_VALUE"""),"Automation")</f>
        <v>Automation</v>
      </c>
      <c r="C352" t="str">
        <f>IFERROR(__xludf.DUMMYFUNCTION("""COMPUTED_VALUE"""),"undefined")</f>
        <v>undefined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IFERROR(__xludf.DUMMYFUNCTION("""COMPUTED_VALUE"""),"ThirdPartyManagerFunction")</f>
        <v>ThirdPartyManagerFunction</v>
      </c>
      <c r="C353" t="str">
        <f>IFERROR(__xludf.DUMMYFUNCTION("""COMPUTED_VALUE"""),"undefined")</f>
        <v>undefined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IFERROR(__xludf.DUMMYFUNCTION("""COMPUTED_VALUE"""),"OpeningManager")</f>
        <v>OpeningManager</v>
      </c>
      <c r="C354" t="str">
        <f>IFERROR(__xludf.DUMMYFUNCTION("""COMPUTED_VALUE"""),"1F3VrDP9gZVgnN47cnexOSvCPCOWrB5TnPdoVFblX-Hs")</f>
        <v>1F3VrDP9gZVgnN47cnexOSvCPCOWrB5TnPdoVFblX-Hs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IFERROR(__xludf.DUMMYFUNCTION("""COMPUTED_VALUE"""),"SelectFromThirdPartyGrid")</f>
        <v>SelectFromThirdPartyGrid</v>
      </c>
      <c r="C355" t="str">
        <f>IFERROR(__xludf.DUMMYFUNCTION("""COMPUTED_VALUE"""),"1_LSKrymEkIuBeyHqfZI1upyAoiYQgw0S0J0RO7IgiBw")</f>
        <v>1_LSKrymEkIuBeyHqfZI1upyAoiYQgw0S0J0RO7IgiBw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IFERROR(__xludf.DUMMYFUNCTION("""COMPUTED_VALUE"""),"SelectThirdPartyJob")</f>
        <v>SelectThirdPartyJob</v>
      </c>
      <c r="C356" t="str">
        <f>IFERROR(__xludf.DUMMYFUNCTION("""COMPUTED_VALUE"""),"1Q9anI2VDWuslEj_JKPuWlj_ER5paw0uxtF2p1N3mqOA")</f>
        <v>1Q9anI2VDWuslEj_JKPuWlj_ER5paw0uxtF2p1N3mqOA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IFERROR(__xludf.DUMMYFUNCTION("""COMPUTED_VALUE"""),"GenerateAllThirdPartyData")</f>
        <v>GenerateAllThirdPartyData</v>
      </c>
      <c r="C357" t="str">
        <f>IFERROR(__xludf.DUMMYFUNCTION("""COMPUTED_VALUE"""),"1N_tr8KIMlLRSTf8xjI6E_DCsfagISlV95aJSkQKRavk")</f>
        <v>1N_tr8KIMlLRSTf8xjI6E_DCsfagISlV95aJSkQKRavk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IFERROR(__xludf.DUMMYFUNCTION("""COMPUTED_VALUE"""),"SendAllThirdPartyData")</f>
        <v>SendAllThirdPartyData</v>
      </c>
      <c r="C358" t="str">
        <f>IFERROR(__xludf.DUMMYFUNCTION("""COMPUTED_VALUE"""),"1JLfoMbfAcKX8sKuY5GBrk9VURM7QOEybGoh99ESKb-4")</f>
        <v>1JLfoMbfAcKX8sKuY5GBrk9VURM7QOEybGoh99ESKb-4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IFERROR(__xludf.DUMMYFUNCTION("""COMPUTED_VALUE"""),"ThirdParty")</f>
        <v>ThirdParty</v>
      </c>
      <c r="B359" t="str">
        <f>IFERROR(__xludf.DUMMYFUNCTION("""COMPUTED_VALUE"""),"VerifyThirdPartyView")</f>
        <v>VerifyThirdPartyView</v>
      </c>
      <c r="C359" t="str">
        <f>IFERROR(__xludf.DUMMYFUNCTION("""COMPUTED_VALUE"""),"1OPgUZqNYhV3KEPmPCahj5p6WvTvcu6yt-IilVEoYdck")</f>
        <v>1OPgUZqNYhV3KEPmPCahj5p6WvTvcu6yt-IilVEoYdck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IFERROR(__xludf.DUMMYFUNCTION("""COMPUTED_VALUE"""),"CheckCompliance")</f>
        <v>CheckCompliance</v>
      </c>
      <c r="C360" t="str">
        <f>IFERROR(__xludf.DUMMYFUNCTION("""COMPUTED_VALUE"""),"1rHjLXpZjBLQM6QWnpXPgAllc-YEEgN3ft01yzOc3Z_k")</f>
        <v>1rHjLXpZjBLQM6QWnpXPgAllc-YEEgN3ft01yzOc3Z_k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IFERROR(__xludf.DUMMYFUNCTION("""COMPUTED_VALUE"""),"1o2I6wY7Q2ZhQmtkXdRpqlxQVJ8IApk0IcIxM0anIe4E")</f>
        <v>1o2I6wY7Q2ZhQmtkXdRpqlxQVJ8IApk0IcIxM0anIe4E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IFERROR(__xludf.DUMMYFUNCTION("""COMPUTED_VALUE"""),"VerifyAccountSymbolDivisorWindow")</f>
        <v>VerifyAccountSymbolDivisorWindow</v>
      </c>
      <c r="C362" t="str">
        <f>IFERROR(__xludf.DUMMYFUNCTION("""COMPUTED_VALUE"""),"1ADKVvtlUcDE2a_GFsrcnF3qLRtLLDQ1rEJbzQws78i8")</f>
        <v>1ADKVvtlUcDE2a_GFsrcnF3qLRtLLDQ1rEJbzQws78i8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IFERROR(__xludf.DUMMYFUNCTION("""COMPUTED_VALUE"""),"VerifyAggregationAccountSymbolWithNav")</f>
        <v>VerifyAggregationAccountSymbolWithNav</v>
      </c>
      <c r="C363" t="str">
        <f>IFERROR(__xludf.DUMMYFUNCTION("""COMPUTED_VALUE"""),"1lnfZcSlUOa9o7gHKbVZNk25z7jkFzrWO3HCg1iRDEhg")</f>
        <v>1lnfZcSlUOa9o7gHKbVZNk25z7jkFzrWO3HCg1iRDEhg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IFERROR(__xludf.DUMMYFUNCTION("""COMPUTED_VALUE"""),"VerifyAggregationAccountWithNav")</f>
        <v>VerifyAggregationAccountWithNav</v>
      </c>
      <c r="C364" t="str">
        <f>IFERROR(__xludf.DUMMYFUNCTION("""COMPUTED_VALUE"""),"1bVQ8hXYcI8QA4dwbvx9VW307agnDiO6msA8_55Z9Ho4")</f>
        <v>1bVQ8hXYcI8QA4dwbvx9VW307agnDiO6msA8_55Z9Ho4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IFERROR(__xludf.DUMMYFUNCTION("""COMPUTED_VALUE"""),"VerifyAggregationMasterFundSymbolWithNav")</f>
        <v>VerifyAggregationMasterFundSymbolWithNav</v>
      </c>
      <c r="C365" t="str">
        <f>IFERROR(__xludf.DUMMYFUNCTION("""COMPUTED_VALUE"""),"149nnw4Cwl1HHouYCXdqP9R7Mx98I_xiisiVCYk7UJkk")</f>
        <v>149nnw4Cwl1HHouYCXdqP9R7Mx98I_xiisiVCYk7UJkk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IFERROR(__xludf.DUMMYFUNCTION("""COMPUTED_VALUE"""),"VerifyAggregationMasterFundUnderlyingSymbolWithNav")</f>
        <v>VerifyAggregationMasterFundUnderlyingSymbolWithNav</v>
      </c>
      <c r="C366" t="str">
        <f>IFERROR(__xludf.DUMMYFUNCTION("""COMPUTED_VALUE"""),"14DzH-ZDYwWbCfXuBzG8v04Qb1mQp1of2O6GLQXcWMsQ")</f>
        <v>14DzH-ZDYwWbCfXuBzG8v04Qb1mQp1of2O6GLQXcWMsQ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IFERROR(__xludf.DUMMYFUNCTION("""COMPUTED_VALUE"""),"VerifyAggregationMasterFundWithNav")</f>
        <v>VerifyAggregationMasterFundWithNav</v>
      </c>
      <c r="C367" t="str">
        <f>IFERROR(__xludf.DUMMYFUNCTION("""COMPUTED_VALUE"""),"1zsjoqOkIN3nYkIIxRHJMhmyX6J_C62DE3Oo2y7BGdVs")</f>
        <v>1zsjoqOkIN3nYkIIxRHJMhmyX6J_C62DE3Oo2y7BGdVs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IFERROR(__xludf.DUMMYFUNCTION("""COMPUTED_VALUE"""),"VerifyAggregationSectorWithNav")</f>
        <v>VerifyAggregationSectorWithNav</v>
      </c>
      <c r="C368" t="str">
        <f>IFERROR(__xludf.DUMMYFUNCTION("""COMPUTED_VALUE"""),"1PwtsUw7M1uKb7OUFflhtzsANVeSCTOQuOmvDpORnIho")</f>
        <v>1PwtsUw7M1uKb7OUFflhtzsANVeSCTOQuOmvDpORnIho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IFERROR(__xludf.DUMMYFUNCTION("""COMPUTED_VALUE"""),"VerifyAggregationUnderlyingSymbolWithNav")</f>
        <v>VerifyAggregationUnderlyingSymbolWithNav</v>
      </c>
      <c r="C369" t="str">
        <f>IFERROR(__xludf.DUMMYFUNCTION("""COMPUTED_VALUE"""),"176-KXks3ZB5ZHuKBMwUMw29_Cv2044sZyo8Km9DSXhY")</f>
        <v>176-KXks3ZB5ZHuKBMwUMw29_Cv2044sZyo8Km9DSXhY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IFERROR(__xludf.DUMMYFUNCTION("""COMPUTED_VALUE"""),"VerifyAuecWindow")</f>
        <v>VerifyAuecWindow</v>
      </c>
      <c r="C370" t="str">
        <f>IFERROR(__xludf.DUMMYFUNCTION("""COMPUTED_VALUE"""),"16b_2-FgoStwuBkNr_JjCAyklRXIuqbbe3yokDxprokc")</f>
        <v>16b_2-FgoStwuBkNr_JjCAyklRXIuqbbe3yokDxprokc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IFERROR(__xludf.DUMMYFUNCTION("""COMPUTED_VALUE"""),"VerifyBetaWindow")</f>
        <v>VerifyBetaWindow</v>
      </c>
      <c r="C371" t="str">
        <f>IFERROR(__xludf.DUMMYFUNCTION("""COMPUTED_VALUE"""),"1fbKcjC8gLwYcrNAXPL4_1obtoTCCX0MmPEKkR5s582U")</f>
        <v>1fbKcjC8gLwYcrNAXPL4_1obtoTCCX0MmPEKkR5s582U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IFERROR(__xludf.DUMMYFUNCTION("""COMPUTED_VALUE"""),"VerifyCustomSymbolDataWindow")</f>
        <v>VerifyCustomSymbolDataWindow</v>
      </c>
      <c r="C372" t="str">
        <f>IFERROR(__xludf.DUMMYFUNCTION("""COMPUTED_VALUE"""),"1-ro_FbZAIVOSxzuukFA-JqauiFzAp2zzPW1nR5HDbNQ")</f>
        <v>1-ro_FbZAIVOSxzuukFA-JqauiFzAp2zzPW1nR5HDbNQ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IFERROR(__xludf.DUMMYFUNCTION("""COMPUTED_VALUE"""),"VerifyDayEndCashAccountWindow")</f>
        <v>VerifyDayEndCashAccountWindow</v>
      </c>
      <c r="C373" t="str">
        <f>IFERROR(__xludf.DUMMYFUNCTION("""COMPUTED_VALUE"""),"14hibcKhSsVy9-wON6kpUuT3WpnX2wo9pBQzmPi8qLL0")</f>
        <v>14hibcKhSsVy9-wON6kpUuT3WpnX2wo9pBQzmPi8qLL0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IFERROR(__xludf.DUMMYFUNCTION("""COMPUTED_VALUE"""),"VerifyDbNavWindow")</f>
        <v>VerifyDbNavWindow</v>
      </c>
      <c r="C374" t="str">
        <f>IFERROR(__xludf.DUMMYFUNCTION("""COMPUTED_VALUE"""),"18-WlIts2DAJ-WJbsdY1Rpj5dOSmW5uYCwetKlx26fnQ")</f>
        <v>18-WlIts2DAJ-WJbsdY1Rpj5dOSmW5uYCwetKlx26fnQ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IFERROR(__xludf.DUMMYFUNCTION("""COMPUTED_VALUE"""),"VerifyGlobalDivisorWindow")</f>
        <v>VerifyGlobalDivisorWindow</v>
      </c>
      <c r="C375" t="str">
        <f>IFERROR(__xludf.DUMMYFUNCTION("""COMPUTED_VALUE"""),"1z5ONnrNdd3WVB7RZIGa-yHhn0U7mw19K0moh5ObmK-I")</f>
        <v>1z5ONnrNdd3WVB7RZIGa-yHhn0U7mw19K0moh5ObmK-I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IFERROR(__xludf.DUMMYFUNCTION("""COMPUTED_VALUE"""),"VerifyPmCalculationPreferenceWindow")</f>
        <v>VerifyPmCalculationPreferenceWindow</v>
      </c>
      <c r="C376" t="str">
        <f>IFERROR(__xludf.DUMMYFUNCTION("""COMPUTED_VALUE"""),"1yse7cNfakHdRjfRrq1SQW0Yxxopg67W_juGAkOyqHPk")</f>
        <v>1yse7cNfakHdRjfRrq1SQW0Yxxopg67W_juGAkOyqHPk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IFERROR(__xludf.DUMMYFUNCTION("""COMPUTED_VALUE"""),"VerifyRowCalculationBaseWindow")</f>
        <v>VerifyRowCalculationBaseWindow</v>
      </c>
      <c r="C377" t="str">
        <f>IFERROR(__xludf.DUMMYFUNCTION("""COMPUTED_VALUE"""),"16bZAwMHOfN8bD2TadtVor3HvDM0dtF51XYU1iRUEXpQ")</f>
        <v>16bZAwMHOfN8bD2TadtVor3HvDM0dtF51XYU1iRUEXpQ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IFERROR(__xludf.DUMMYFUNCTION("""COMPUTED_VALUE"""),"VerifySecurityWindow")</f>
        <v>VerifySecurityWindow</v>
      </c>
      <c r="C378" t="str">
        <f>IFERROR(__xludf.DUMMYFUNCTION("""COMPUTED_VALUE"""),"1xeK-JWq8oHwAbmnGt_N4qn9Nt8F9XHo5-Mtr0t_7pRw")</f>
        <v>1xeK-JWq8oHwAbmnGt_N4qn9Nt8F9XHo5-Mtr0t_7pRw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IFERROR(__xludf.DUMMYFUNCTION("""COMPUTED_VALUE"""),"VerifySymbolDataWindow")</f>
        <v>VerifySymbolDataWindow</v>
      </c>
      <c r="C379" t="str">
        <f>IFERROR(__xludf.DUMMYFUNCTION("""COMPUTED_VALUE"""),"13iKSNjdwzv3DKe_1fcHZJ8GUk5s-HKAGG5PE6MY-smA")</f>
        <v>13iKSNjdwzv3DKe_1fcHZJ8GUk5s-HKAGG5PE6MY-smA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IFERROR(__xludf.DUMMYFUNCTION("""COMPUTED_VALUE"""),"VerifySymbolDivisorWindow")</f>
        <v>VerifySymbolDivisorWindow</v>
      </c>
      <c r="C380" t="str">
        <f>IFERROR(__xludf.DUMMYFUNCTION("""COMPUTED_VALUE"""),"1uyHz1cQUHCK-GcBufMehtS9i6BspKa5HVCLnf4pfGuk")</f>
        <v>1uyHz1cQUHCK-GcBufMehtS9i6BspKa5HVCLnf4pfGuk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IFERROR(__xludf.DUMMYFUNCTION("""COMPUTED_VALUE"""),"VerifyTaxlotWindow")</f>
        <v>VerifyTaxlotWindow</v>
      </c>
      <c r="C381" t="str">
        <f>IFERROR(__xludf.DUMMYFUNCTION("""COMPUTED_VALUE"""),"1LmfcHeXwbnPa-An0b_OD4pDLm7pUlzSX41G5QZ2Uons")</f>
        <v>1LmfcHeXwbnPa-An0b_OD4pDLm7pUlzSX41G5QZ2Uons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IFERROR(__xludf.DUMMYFUNCTION("""COMPUTED_VALUE"""),"RestartEsper")</f>
        <v>RestartEsper</v>
      </c>
      <c r="C382" t="str">
        <f>IFERROR(__xludf.DUMMYFUNCTION("""COMPUTED_VALUE"""),"undefined")</f>
        <v>undefined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IFERROR(__xludf.DUMMYFUNCTION("""COMPUTED_VALUE"""),"VerifyAccountNavPreferenceWindow")</f>
        <v>VerifyAccountNavPreferenceWindow</v>
      </c>
      <c r="C383" t="str">
        <f>IFERROR(__xludf.DUMMYFUNCTION("""COMPUTED_VALUE"""),"1PbpS5QGNvwJE_YSvMrjHxbUPPQhcUDrQHC4N9KHYjWY")</f>
        <v>1PbpS5QGNvwJE_YSvMrjHxbUPPQhcUDrQHC4N9KHYjWY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VerifyAggregationAccountUnderlyingSymbolWithNav")</f>
        <v> VerifyAggregationAccountUnderlyingSymbolWithNav</v>
      </c>
      <c r="C384" t="str">
        <f>IFERROR(__xludf.DUMMYFUNCTION("""COMPUTED_VALUE"""),"1e43aiziZ9lVzR6j8eABeYJVnCkgU34OcPRcWujsT2Sk")</f>
        <v>1e43aiziZ9lVzR6j8eABeYJVnCkgU34OcPRcWujsT2Sk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IFERROR(__xludf.DUMMYFUNCTION("""COMPUTED_VALUE"""),"VerifyAggregationAssetWithNav")</f>
        <v>VerifyAggregationAssetWithNav</v>
      </c>
      <c r="C385" t="str">
        <f>IFERROR(__xludf.DUMMYFUNCTION("""COMPUTED_VALUE"""),"1etvN2Ze8TA6NI_8xSaOdqLwhWnk9NXKUUDhi-_NctcY")</f>
        <v>1etvN2Ze8TA6NI_8xSaOdqLwhWnk9NXKUUDhi-_NctcY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IFERROR(__xludf.DUMMYFUNCTION("""COMPUTED_VALUE"""),"VerifyAggregationSymbolWithNav")</f>
        <v>VerifyAggregationSymbolWithNav</v>
      </c>
      <c r="C386" t="str">
        <f>IFERROR(__xludf.DUMMYFUNCTION("""COMPUTED_VALUE"""),"13XyCHzB6LhftZ5UNht5K7e3dan_fGbii_TnOOGLwDg0")</f>
        <v>13XyCHzB6LhftZ5UNht5K7e3dan_fGbii_TnOOGLwDg0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IFERROR(__xludf.DUMMYFUNCTION("""COMPUTED_VALUE"""),"VerifyAggregationSubSectorWithNav")</f>
        <v>VerifyAggregationSubSectorWithNav</v>
      </c>
      <c r="C387" t="str">
        <f>IFERROR(__xludf.DUMMYFUNCTION("""COMPUTED_VALUE"""),"1DBHQwTuKH0lzdeBCel_4raYQn6PkkFTYydpCHbsB4Qk")</f>
        <v>1DBHQwTuKH0lzdeBCel_4raYQn6PkkFTYydpCHbsB4Qk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IFERROR(__xludf.DUMMYFUNCTION("""COMPUTED_VALUE"""),"VerifyAggregationGlobalWithNav")</f>
        <v>VerifyAggregationGlobalWithNav</v>
      </c>
      <c r="C388" t="str">
        <f>IFERROR(__xludf.DUMMYFUNCTION("""COMPUTED_VALUE"""),"1XVSAkmIoWI-AC0BHXwWO3TqCkz2uOlJFE5eM6W0_Cew")</f>
        <v>1XVSAkmIoWI-AC0BHXwWO3TqCkz2uOlJFE5eM6W0_Cew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IFERROR(__xludf.DUMMYFUNCTION("""COMPUTED_VALUE"""),"Compliance")</f>
        <v>Compliance</v>
      </c>
      <c r="B389" t="str">
        <f>IFERROR(__xludf.DUMMYFUNCTION("""COMPUTED_VALUE""")," VerifyAggregationGlobalWithNav")</f>
        <v> VerifyAggregationGlobalWithNav</v>
      </c>
      <c r="C389" t="str">
        <f>IFERROR(__xludf.DUMMYFUNCTION("""COMPUTED_VALUE"""),"1XVSAkmIoWI-AC0BHXwWO3TqCkz2uOlJFE5eM6W0_Cew")</f>
        <v>1XVSAkmIoWI-AC0BHXwWO3TqCkz2uOlJFE5eM6W0_Cew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IFERROR(__xludf.DUMMYFUNCTION("""COMPUTED_VALUE"""),"Compliance")</f>
        <v>Compliance</v>
      </c>
      <c r="B390" t="str">
        <f>IFERROR(__xludf.DUMMYFUNCTION("""COMPUTED_VALUE"""),"VerifyGlobalDivisorWindow")</f>
        <v>VerifyGlobalDivisorWindow</v>
      </c>
      <c r="C390" t="str">
        <f>IFERROR(__xludf.DUMMYFUNCTION("""COMPUTED_VALUE"""),"1z5ONnrNdd3WVB7RZIGa-yHhn0U7mw19K0moh5ObmK-I")</f>
        <v>1z5ONnrNdd3WVB7RZIGa-yHhn0U7mw19K0moh5ObmK-I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IFERROR(__xludf.DUMMYFUNCTION("""COMPUTED_VALUE"""),"Compliance")</f>
        <v>Compliance</v>
      </c>
      <c r="B391" t="str">
        <f>IFERROR(__xludf.DUMMYFUNCTION("""COMPUTED_VALUE""")," VerifyAccrualForAccountWindow")</f>
        <v> VerifyAccrualForAccountWindow</v>
      </c>
      <c r="C391" t="str">
        <f>IFERROR(__xludf.DUMMYFUNCTION("""COMPUTED_VALUE"""),"1zKkT3mW6MMJ2tPzzT2fHVQT6vyc0mePzllndBlUl5IM")</f>
        <v>1zKkT3mW6MMJ2tPzzT2fHVQT6vyc0mePzllndBlUl5IM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IFERROR(__xludf.DUMMYFUNCTION("""COMPUTED_VALUE"""),"Compliance")</f>
        <v>Compliance</v>
      </c>
      <c r="B392" t="str">
        <f>IFERROR(__xludf.DUMMYFUNCTION("""COMPUTED_VALUE"""),"VerifyGlobalDivisorWindow")</f>
        <v>VerifyGlobalDivisorWindow</v>
      </c>
      <c r="C392" t="str">
        <f>IFERROR(__xludf.DUMMYFUNCTION("""COMPUTED_VALUE"""),"1z5ONnrNdd3WVB7RZIGa-yHhn0U7mw19K0moh5ObmK-I")</f>
        <v>1z5ONnrNdd3WVB7RZIGa-yHhn0U7mw19K0moh5ObmK-I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IFERROR(__xludf.DUMMYFUNCTION("""COMPUTED_VALUE"""),"Compliance")</f>
        <v>Compliance</v>
      </c>
      <c r="B393" t="str">
        <f>IFERROR(__xludf.DUMMYFUNCTION("""COMPUTED_VALUE"""),"VerifyMasterFundDivisorWindow")</f>
        <v>VerifyMasterFundDivisorWindow</v>
      </c>
      <c r="C393" t="str">
        <f>IFERROR(__xludf.DUMMYFUNCTION("""COMPUTED_VALUE"""),"13rWeedH_MlhhxYACJeLeckVtBWejh246MGPN4QQpmMM")</f>
        <v>13rWeedH_MlhhxYACJeLeckVtBWejh246MGPN4QQpmMM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IFERROR(__xludf.DUMMYFUNCTION("""COMPUTED_VALUE"""),"Compliance")</f>
        <v>Compliance</v>
      </c>
      <c r="B394" t="str">
        <f>IFERROR(__xludf.DUMMYFUNCTION("""COMPUTED_VALUE"""),"VerifyMasterFundSymbolDivisorWindow")</f>
        <v>VerifyMasterFundSymbolDivisorWindow</v>
      </c>
      <c r="C394" t="str">
        <f>IFERROR(__xludf.DUMMYFUNCTION("""COMPUTED_VALUE"""),"1YPctyrs3yMgf0X1_jVz3LRORCo4B4cNqbyc_K0FujO0")</f>
        <v>1YPctyrs3yMgf0X1_jVz3LRORCo4B4cNqbyc_K0FujO0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IFERROR(__xludf.DUMMYFUNCTION("""COMPUTED_VALUE"""),"FetchAccountPositions")</f>
        <v>FetchAccountPositions</v>
      </c>
      <c r="C395" t="str">
        <f>IFERROR(__xludf.DUMMYFUNCTION("""COMPUTED_VALUE"""),"1BeNn_44h4ClIE46em_ho4qgzGnXy_GxtYTH3cBmtKPk")</f>
        <v>1BeNn_44h4ClIE46em_ho4qgzGnXy_GxtYTH3cBmtKPk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IFERROR(__xludf.DUMMYFUNCTION("""COMPUTED_VALUE"""),"Rebalancer")</f>
        <v>Rebalancer</v>
      </c>
      <c r="B396" t="str">
        <f>IFERROR(__xludf.DUMMYFUNCTION("""COMPUTED_VALUE"""),"AddCash")</f>
        <v>AddCash</v>
      </c>
      <c r="C396" t="str">
        <f>IFERROR(__xludf.DUMMYFUNCTION("""COMPUTED_VALUE"""),"1jkLpZFgLuRokIigwbjW9_Z47rlvj-YDlRcP_c4XkP_k")</f>
        <v>1jkLpZFgLuRokIigwbjW9_Z47rlvj-YDlRcP_c4XkP_k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IFERROR(__xludf.DUMMYFUNCTION("""COMPUTED_VALUE"""),"VerifyGridData")</f>
        <v>VerifyGridData</v>
      </c>
      <c r="C397" t="str">
        <f>IFERROR(__xludf.DUMMYFUNCTION("""COMPUTED_VALUE"""),"1mspGsgTjI-yT8NsZKZn8moOE-Vp0hoNdUziI1pFBq0I")</f>
        <v>1mspGsgTjI-yT8NsZKZn8moOE-Vp0hoNdUziI1pFBq0I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IFERROR(__xludf.DUMMYFUNCTION("""COMPUTED_VALUE"""),"RunRebalance")</f>
        <v>RunRebalance</v>
      </c>
      <c r="C398" t="str">
        <f>IFERROR(__xludf.DUMMYFUNCTION("""COMPUTED_VALUE"""),"1B2L3J6YUrDWz8rRtdvv0lYDQvnH8nYkmqQm12ZwK7jc")</f>
        <v>1B2L3J6YUrDWz8rRtdvv0lYDQvnH8nYkmqQm12ZwK7jc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IFERROR(__xludf.DUMMYFUNCTION("""COMPUTED_VALUE"""),"SelectTrade")</f>
        <v>SelectTrade</v>
      </c>
      <c r="C399" t="str">
        <f>IFERROR(__xludf.DUMMYFUNCTION("""COMPUTED_VALUE"""),"1FTTZIzpIKJz6P-IPbrA5EPTxiMe2ARbyGfgsnMXlct4")</f>
        <v>1FTTZIzpIKJz6P-IPbrA5EPTxiMe2ARbyGfgsnMXlct4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IFERROR(__xludf.DUMMYFUNCTION("""COMPUTED_VALUE"""),"AcknowledgeTrade")</f>
        <v>AcknowledgeTrade</v>
      </c>
      <c r="C400" t="str">
        <f>IFERROR(__xludf.DUMMYFUNCTION("""COMPUTED_VALUE"""),"1sQAsvIkAT3oSRlv0P4ERgM6O-p9EGHnCNRCfZZ6EKPM")</f>
        <v>1sQAsvIkAT3oSRlv0P4ERgM6O-p9EGHnCNRCfZZ6EKPM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IFERROR(__xludf.DUMMYFUNCTION("""COMPUTED_VALUE"""),"RejectTrade")</f>
        <v>RejectTrade</v>
      </c>
      <c r="C401" t="str">
        <f>IFERROR(__xludf.DUMMYFUNCTION("""COMPUTED_VALUE"""),"18DR7gQzurIoB_fivnSt8QoqUWcLVRpZQSDr37UqoXKU")</f>
        <v>18DR7gQzurIoB_fivnSt8QoqUWcLVRpZQSDr37UqoXKU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IFERROR(__xludf.DUMMYFUNCTION("""COMPUTED_VALUE"""),"ExecuteTrade")</f>
        <v>ExecuteTrade</v>
      </c>
      <c r="C402" t="str">
        <f>IFERROR(__xludf.DUMMYFUNCTION("""COMPUTED_VALUE"""),"1pp_DAI1bHvMNnrEvw8O7TeJWebgUjt3FSsdgjVWeJkE")</f>
        <v>1pp_DAI1bHvMNnrEvw8O7TeJWebgUjt3FSsdgjVWeJkE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IFERROR(__xludf.DUMMYFUNCTION("""COMPUTED_VALUE"""),"CancelTrade")</f>
        <v>CancelTrade</v>
      </c>
      <c r="C403" t="str">
        <f>IFERROR(__xludf.DUMMYFUNCTION("""COMPUTED_VALUE"""),"1hX7-3j5InwEYhwGhZXePVHcW-9vxINkOET671xdWGsc")</f>
        <v>1hX7-3j5InwEYhwGhZXePVHcW-9vxINkOET671xdWGsc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IFERROR(__xludf.DUMMYFUNCTION("""COMPUTED_VALUE"""),"OpenLiveTT")</f>
        <v>OpenLiveTT</v>
      </c>
      <c r="C404" t="str">
        <f>IFERROR(__xludf.DUMMYFUNCTION("""COMPUTED_VALUE"""),"1q3BIdA-Gau2cX2cBnlgy7eas26rbuZEdQMfROhYvOgI")</f>
        <v>1q3BIdA-Gau2cX2cBnlgy7eas26rbuZEdQMfROhYvOgI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IFERROR(__xludf.DUMMYFUNCTION("""COMPUTED_VALUE"""),"TradingTicket")</f>
        <v>TradingTicket</v>
      </c>
      <c r="B405" t="str">
        <f>IFERROR(__xludf.DUMMYFUNCTION("""COMPUTED_VALUE"""),"CreateLiveOrder")</f>
        <v>CreateLiveOrder</v>
      </c>
      <c r="C405" t="str">
        <f>IFERROR(__xludf.DUMMYFUNCTION("""COMPUTED_VALUE"""),"115Bw2-ohdF1ilHcVpmgJ2DX9SJjX1zI-6SvF3CpCjm8")</f>
        <v>115Bw2-ohdF1ilHcVpmgJ2DX9SJjX1zI-6SvF3CpCjm8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IFERROR(__xludf.DUMMYFUNCTION("""COMPUTED_VALUE"""),"Simulator")</f>
        <v>Simulator</v>
      </c>
      <c r="B406" t="str">
        <f>IFERROR(__xludf.DUMMYFUNCTION("""COMPUTED_VALUE"""),"SetManualResponse ")</f>
        <v>SetManualResponse </v>
      </c>
      <c r="C406" t="str">
        <f>IFERROR(__xludf.DUMMYFUNCTION("""COMPUTED_VALUE"""),"10qeNhV85AQPMToOqHZlhzdXyNnDNjiueFxVwGUI_MO4")</f>
        <v>10qeNhV85AQPMToOqHZlhzdXyNnDNjiueFxVwGUI_MO4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IFERROR(__xludf.DUMMYFUNCTION("""COMPUTED_VALUE"""),"Simulator")</f>
        <v>Simulator</v>
      </c>
      <c r="B407" t="str">
        <f>IFERROR(__xludf.DUMMYFUNCTION("""COMPUTED_VALUE"""),"ClearUI")</f>
        <v>ClearUI</v>
      </c>
      <c r="C407" t="str">
        <f>IFERROR(__xludf.DUMMYFUNCTION("""COMPUTED_VALUE"""),"1LO0lVmw42vb8rN4FBdD2nZspNUXqgQCerd4ip5U8His")</f>
        <v>1LO0lVmw42vb8rN4FBdD2nZspNUXqgQCerd4ip5U8His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IFERROR(__xludf.DUMMYFUNCTION("""COMPUTED_VALUE"""),"RebalanceAcrossSecurities")</f>
        <v>RebalanceAcrossSecurities</v>
      </c>
      <c r="C408" t="str">
        <f>IFERROR(__xludf.DUMMYFUNCTION("""COMPUTED_VALUE"""),"1C-pSRr2mYlstlgFOXGSaoMyr-7ZKnUyCiCZMgNR75C0")</f>
        <v>1C-pSRr2mYlstlgFOXGSaoMyr-7ZKnUyCiCZMgNR75C0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IFERROR(__xludf.DUMMYFUNCTION("""COMPUTED_VALUE"""),"Rebalancer")</f>
        <v>Rebalancer</v>
      </c>
      <c r="B409" t="str">
        <f>IFERROR(__xludf.DUMMYFUNCTION("""COMPUTED_VALUE"""),"ClearCalculations")</f>
        <v>ClearCalculations</v>
      </c>
      <c r="C409" t="str">
        <f>IFERROR(__xludf.DUMMYFUNCTION("""COMPUTED_VALUE"""),"1pQy7yDMWL8pTAYmkyQd-37O6NjL8-HJsxUSDe_0vr3Y")</f>
        <v>1pQy7yDMWL8pTAYmkyQd-37O6NjL8-HJsxUSDe_0vr3Y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IFERROR(__xludf.DUMMYFUNCTION("""COMPUTED_VALUE"""),"Rebalancer")</f>
        <v>Rebalancer</v>
      </c>
      <c r="B410" t="str">
        <f>IFERROR(__xludf.DUMMYFUNCTION("""COMPUTED_VALUE"""),"ModifyRebalance")</f>
        <v>ModifyRebalance</v>
      </c>
      <c r="C410" t="str">
        <f>IFERROR(__xludf.DUMMYFUNCTION("""COMPUTED_VALUE"""),"1PL-GKbx6oOTs--yRdzkUeclt9Wvb6f5jt4XN1oEGIZk")</f>
        <v>1PL-GKbx6oOTs--yRdzkUeclt9Wvb6f5jt4XN1oEGIZk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2"/>
      <c r="C1" s="3"/>
    </row>
    <row r="2" ht="15.75" customHeight="1">
      <c r="A2" s="4"/>
      <c r="B2" s="4"/>
      <c r="C2" s="4"/>
    </row>
    <row r="3" ht="15.75" customHeight="1">
      <c r="A3" s="5" t="s">
        <v>1</v>
      </c>
      <c r="B3" s="6" t="s">
        <v>2</v>
      </c>
      <c r="C3" s="4"/>
    </row>
    <row r="4" ht="15.75" customHeight="1">
      <c r="A4" s="7" t="s">
        <v>3</v>
      </c>
      <c r="B4" s="6" t="s">
        <v>4</v>
      </c>
      <c r="C4" s="4"/>
    </row>
    <row r="5" ht="15.75" customHeight="1">
      <c r="A5" s="8"/>
      <c r="B5" s="4"/>
      <c r="C5" s="4"/>
    </row>
    <row r="6" ht="15.75" customHeight="1">
      <c r="A6" s="8"/>
      <c r="B6" s="4"/>
      <c r="C6" s="4"/>
    </row>
    <row r="7" ht="15.75" customHeight="1">
      <c r="A7" s="8"/>
      <c r="B7" s="4"/>
      <c r="C7" s="4"/>
    </row>
    <row r="8" ht="15.75" customHeight="1">
      <c r="A8" s="8"/>
      <c r="B8" s="4"/>
      <c r="C8" s="4"/>
    </row>
    <row r="9" ht="15.75" customHeight="1">
      <c r="A9" s="8"/>
      <c r="B9" s="4"/>
      <c r="C9" s="4"/>
    </row>
    <row r="10" ht="15.75" customHeight="1">
      <c r="A10" s="8"/>
      <c r="B10" s="4"/>
      <c r="C10" s="4"/>
    </row>
    <row r="11" ht="15.75" customHeight="1">
      <c r="A11" s="8"/>
      <c r="B11" s="4"/>
      <c r="C11" s="4"/>
    </row>
    <row r="12" ht="15.75" customHeight="1">
      <c r="A12" s="8"/>
      <c r="B12" s="4"/>
      <c r="C12" s="4"/>
    </row>
    <row r="13" ht="15.75" customHeight="1">
      <c r="A13" s="8"/>
      <c r="B13" s="4"/>
      <c r="C13" s="4"/>
    </row>
    <row r="14" ht="15.75" customHeight="1">
      <c r="A14" s="8"/>
      <c r="B14" s="4"/>
      <c r="C14" s="4"/>
    </row>
    <row r="15" ht="15.75" customHeight="1">
      <c r="A15" s="8"/>
      <c r="B15" s="4"/>
      <c r="C15" s="4"/>
    </row>
    <row r="16" ht="15.75" customHeight="1">
      <c r="A16" s="8"/>
      <c r="B16" s="4"/>
      <c r="C16" s="4"/>
    </row>
    <row r="17" ht="15.75" customHeight="1">
      <c r="A17" s="8"/>
      <c r="B17" s="4"/>
      <c r="C17" s="4"/>
    </row>
    <row r="18" ht="15.75" customHeight="1">
      <c r="A18" s="8"/>
      <c r="B18" s="4"/>
      <c r="C18" s="4"/>
    </row>
    <row r="19" ht="15.75" customHeight="1">
      <c r="A19" s="8"/>
      <c r="B19" s="4"/>
      <c r="C19" s="4"/>
    </row>
    <row r="20" ht="15.75" customHeight="1">
      <c r="A20" s="8"/>
      <c r="B20" s="4"/>
      <c r="C20" s="4"/>
    </row>
    <row r="21" ht="15.75" customHeight="1">
      <c r="A21" s="8"/>
      <c r="B21" s="4"/>
      <c r="C21" s="4"/>
    </row>
    <row r="22" ht="15.75" customHeight="1">
      <c r="A22" s="8"/>
      <c r="B22" s="4"/>
      <c r="C22" s="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8" t="s">
        <v>12</v>
      </c>
      <c r="B1" s="2"/>
      <c r="C1" s="2"/>
      <c r="D1" s="2"/>
      <c r="E1" s="2"/>
      <c r="F1" s="3"/>
    </row>
    <row r="2">
      <c r="A2" s="19"/>
      <c r="B2" s="19"/>
      <c r="C2" s="19"/>
      <c r="D2" s="19"/>
      <c r="E2" s="19"/>
      <c r="F2" s="19"/>
    </row>
    <row r="3">
      <c r="A3" s="7" t="s">
        <v>6</v>
      </c>
      <c r="B3" s="20" t="s">
        <v>8</v>
      </c>
      <c r="C3" s="20" t="s">
        <v>15</v>
      </c>
      <c r="D3" s="23"/>
      <c r="E3" s="23"/>
      <c r="F3" s="23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9"/>
      <c r="B1" s="10" t="s">
        <v>5</v>
      </c>
      <c r="C1" s="2"/>
      <c r="D1" s="2"/>
      <c r="E1" s="2"/>
      <c r="F1" s="2"/>
      <c r="G1" s="2"/>
      <c r="H1" s="3"/>
      <c r="I1" s="9"/>
      <c r="J1" s="9"/>
      <c r="K1" s="9"/>
      <c r="L1" s="9"/>
      <c r="M1" s="9"/>
      <c r="N1" s="9"/>
      <c r="O1" s="9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2" t="str">
        <f> VLOOKUP($E$3,'_MasterData'!B4:D1000,3,FALSE)</f>
        <v>1b5S4Xpp4fgZ1ez6cK92QFnVBylqz8jhwxdAyEvwDqUI</v>
      </c>
      <c r="K2" s="12"/>
      <c r="L2" s="4"/>
      <c r="M2" s="4"/>
      <c r="N2" s="4"/>
      <c r="O2" s="4"/>
    </row>
    <row r="3" ht="15.75" customHeight="1">
      <c r="A3" s="13"/>
      <c r="B3" s="5" t="s">
        <v>6</v>
      </c>
      <c r="C3" s="14" t="s">
        <v>7</v>
      </c>
      <c r="D3" s="5" t="s">
        <v>8</v>
      </c>
      <c r="E3" s="14" t="s">
        <v>9</v>
      </c>
      <c r="F3" s="5" t="s">
        <v>10</v>
      </c>
      <c r="G3" s="8" t="s">
        <v>11</v>
      </c>
      <c r="H3" s="5"/>
      <c r="I3" s="13"/>
      <c r="J3" s="13"/>
      <c r="K3" s="13"/>
      <c r="L3" s="13"/>
      <c r="M3" s="13"/>
      <c r="N3" s="13"/>
      <c r="O3" s="13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</row>
    <row r="4" ht="15.75" customHeight="1">
      <c r="A4" s="16"/>
      <c r="B4" s="16" t="str">
        <f>IFERROR(__xludf.DUMMYFUNCTION("IF(C3="""","""",Transpose(IMPORTRANGE('_Settings'!$B$3,C3&amp;""!A4:A1000"")))"),"OpenTTFromPST")</f>
        <v>OpenTTFromPST</v>
      </c>
      <c r="C4" s="16" t="str">
        <f>IFERROR(__xludf.DUMMYFUNCTION("""COMPUTED_VALUE"""),"EnterDetailsOnTT")</f>
        <v>EnterDetailsOnTT</v>
      </c>
      <c r="D4" s="16" t="str">
        <f>IFERROR(__xludf.DUMMYFUNCTION("""COMPUTED_VALUE"""),"ValidateSymbolTT")</f>
        <v>ValidateSymbolTT</v>
      </c>
      <c r="E4" s="16" t="str">
        <f>IFERROR(__xludf.DUMMYFUNCTION("""COMPUTED_VALUE"""),"VerifyDataTT")</f>
        <v>VerifyDataTT</v>
      </c>
      <c r="F4" s="16" t="str">
        <f>IFERROR(__xludf.DUMMYFUNCTION("""COMPUTED_VALUE"""),"SetUIPreferencesTT")</f>
        <v>SetUIPreferencesTT</v>
      </c>
      <c r="G4" s="16" t="str">
        <f>IFERROR(__xludf.DUMMYFUNCTION("""COMPUTED_VALUE"""),"SetBrokerWisePreferencesTT")</f>
        <v>SetBrokerWisePreferencesTT</v>
      </c>
      <c r="H4" s="16" t="str">
        <f>IFERROR(__xludf.DUMMYFUNCTION("""COMPUTED_VALUE"""),"TradeNewSub")</f>
        <v>TradeNewSub</v>
      </c>
      <c r="I4" s="16" t="str">
        <f>IFERROR(__xludf.DUMMYFUNCTION("""COMPUTED_VALUE"""),"CreateStageOrder")</f>
        <v>CreateStageOrder</v>
      </c>
      <c r="J4" s="16" t="str">
        <f>IFERROR(__xludf.DUMMYFUNCTION("""COMPUTED_VALUE"""),"CreateReplaceOrder")</f>
        <v>CreateReplaceOrder</v>
      </c>
      <c r="K4" s="16" t="str">
        <f>IFERROR(__xludf.DUMMYFUNCTION("""COMPUTED_VALUE"""),"SetGeneralPreference")</f>
        <v>SetGeneralPreference</v>
      </c>
      <c r="L4" s="16" t="str">
        <f>IFERROR(__xludf.DUMMYFUNCTION("""COMPUTED_VALUE"""),"CreateDoneAwayOrder")</f>
        <v>CreateDoneAwayOrder</v>
      </c>
      <c r="M4" s="16" t="str">
        <f>IFERROR(__xludf.DUMMYFUNCTION("""COMPUTED_VALUE"""),"CreateNewSubOrder")</f>
        <v>CreateNewSubOrder</v>
      </c>
      <c r="N4" s="16" t="str">
        <f>IFERROR(__xludf.DUMMYFUNCTION("""COMPUTED_VALUE"""),"TradeBloomberg")</f>
        <v>TradeBloomberg</v>
      </c>
      <c r="O4" s="16" t="str">
        <f>IFERROR(__xludf.DUMMYFUNCTION("""COMPUTED_VALUE"""),"ClickSymbolLookup")</f>
        <v>ClickSymbolLookup</v>
      </c>
      <c r="P4" s="17" t="str">
        <f>IFERROR(__xludf.DUMMYFUNCTION("""COMPUTED_VALUE"""),"VerifyTT")</f>
        <v>VerifyTT</v>
      </c>
      <c r="Q4" s="17" t="str">
        <f>IFERROR(__xludf.DUMMYFUNCTION("""COMPUTED_VALUE"""),"CreateLiveOrder")</f>
        <v>CreateLiveOrder</v>
      </c>
      <c r="R4" s="17" t="str">
        <f>IFERROR(__xludf.DUMMYFUNCTION("""COMPUTED_VALUE"""),"")</f>
        <v/>
      </c>
      <c r="S4" s="17" t="str">
        <f>IFERROR(__xludf.DUMMYFUNCTION("""COMPUTED_VALUE"""),"")</f>
        <v/>
      </c>
      <c r="T4" s="17" t="str">
        <f>IFERROR(__xludf.DUMMYFUNCTION("""COMPUTED_VALUE"""),"")</f>
        <v/>
      </c>
      <c r="U4" s="17" t="str">
        <f>IFERROR(__xludf.DUMMYFUNCTION("""COMPUTED_VALUE"""),"")</f>
        <v/>
      </c>
      <c r="V4" s="17" t="str">
        <f>IFERROR(__xludf.DUMMYFUNCTION("""COMPUTED_VALUE"""),"")</f>
        <v/>
      </c>
      <c r="W4" s="17" t="str">
        <f>IFERROR(__xludf.DUMMYFUNCTION("""COMPUTED_VALUE"""),"")</f>
        <v/>
      </c>
      <c r="X4" s="17" t="str">
        <f>IFERROR(__xludf.DUMMYFUNCTION("""COMPUTED_VALUE"""),"")</f>
        <v/>
      </c>
      <c r="Y4" s="17" t="str">
        <f>IFERROR(__xludf.DUMMYFUNCTION("""COMPUTED_VALUE"""),"")</f>
        <v/>
      </c>
      <c r="Z4" s="17" t="str">
        <f>IFERROR(__xludf.DUMMYFUNCTION("""COMPUTED_VALUE"""),"")</f>
        <v/>
      </c>
      <c r="AA4" s="17" t="str">
        <f>IFERROR(__xludf.DUMMYFUNCTION("""COMPUTED_VALUE"""),"")</f>
        <v/>
      </c>
      <c r="AB4" s="17" t="str">
        <f>IFERROR(__xludf.DUMMYFUNCTION("""COMPUTED_VALUE"""),"")</f>
        <v/>
      </c>
      <c r="AC4" s="17" t="str">
        <f>IFERROR(__xludf.DUMMYFUNCTION("""COMPUTED_VALUE"""),"")</f>
        <v/>
      </c>
      <c r="AD4" s="17" t="str">
        <f>IFERROR(__xludf.DUMMYFUNCTION("""COMPUTED_VALUE"""),"")</f>
        <v/>
      </c>
      <c r="AE4" s="17" t="str">
        <f>IFERROR(__xludf.DUMMYFUNCTION("""COMPUTED_VALUE"""),"")</f>
        <v/>
      </c>
      <c r="AF4" s="17" t="str">
        <f>IFERROR(__xludf.DUMMYFUNCTION("""COMPUTED_VALUE"""),"")</f>
        <v/>
      </c>
      <c r="AG4" s="17" t="str">
        <f>IFERROR(__xludf.DUMMYFUNCTION("""COMPUTED_VALUE"""),"")</f>
        <v/>
      </c>
      <c r="AH4" s="17" t="str">
        <f>IFERROR(__xludf.DUMMYFUNCTION("""COMPUTED_VALUE"""),"")</f>
        <v/>
      </c>
      <c r="AI4" s="17" t="str">
        <f>IFERROR(__xludf.DUMMYFUNCTION("""COMPUTED_VALUE"""),"")</f>
        <v/>
      </c>
      <c r="AJ4" s="17" t="str">
        <f>IFERROR(__xludf.DUMMYFUNCTION("""COMPUTED_VALUE"""),"")</f>
        <v/>
      </c>
      <c r="AK4" s="17" t="str">
        <f>IFERROR(__xludf.DUMMYFUNCTION("""COMPUTED_VALUE"""),"")</f>
        <v/>
      </c>
      <c r="AL4" s="17" t="str">
        <f>IFERROR(__xludf.DUMMYFUNCTION("""COMPUTED_VALUE"""),"")</f>
        <v/>
      </c>
      <c r="AM4" s="17" t="str">
        <f>IFERROR(__xludf.DUMMYFUNCTION("""COMPUTED_VALUE"""),"")</f>
        <v/>
      </c>
      <c r="AN4" s="17" t="str">
        <f>IFERROR(__xludf.DUMMYFUNCTION("""COMPUTED_VALUE"""),"")</f>
        <v/>
      </c>
      <c r="AO4" s="17" t="str">
        <f>IFERROR(__xludf.DUMMYFUNCTION("""COMPUTED_VALUE"""),"")</f>
        <v/>
      </c>
      <c r="AP4" s="17" t="str">
        <f>IFERROR(__xludf.DUMMYFUNCTION("""COMPUTED_VALUE"""),"")</f>
        <v/>
      </c>
      <c r="AQ4" s="17" t="str">
        <f>IFERROR(__xludf.DUMMYFUNCTION("""COMPUTED_VALUE"""),"")</f>
        <v/>
      </c>
      <c r="AR4" s="17" t="str">
        <f>IFERROR(__xludf.DUMMYFUNCTION("""COMPUTED_VALUE"""),"")</f>
        <v/>
      </c>
      <c r="AS4" s="17" t="str">
        <f>IFERROR(__xludf.DUMMYFUNCTION("""COMPUTED_VALUE"""),"")</f>
        <v/>
      </c>
      <c r="AT4" s="17" t="str">
        <f>IFERROR(__xludf.DUMMYFUNCTION("""COMPUTED_VALUE"""),"")</f>
        <v/>
      </c>
      <c r="AU4" s="17" t="str">
        <f>IFERROR(__xludf.DUMMYFUNCTION("""COMPUTED_VALUE"""),"")</f>
        <v/>
      </c>
      <c r="AV4" s="17" t="str">
        <f>IFERROR(__xludf.DUMMYFUNCTION("""COMPUTED_VALUE"""),"")</f>
        <v/>
      </c>
      <c r="AW4" s="17" t="str">
        <f>IFERROR(__xludf.DUMMYFUNCTION("""COMPUTED_VALUE"""),"")</f>
        <v/>
      </c>
      <c r="AX4" s="17" t="str">
        <f>IFERROR(__xludf.DUMMYFUNCTION("""COMPUTED_VALUE"""),"")</f>
        <v/>
      </c>
      <c r="AY4" s="17" t="str">
        <f>IFERROR(__xludf.DUMMYFUNCTION("""COMPUTED_VALUE"""),"")</f>
        <v/>
      </c>
      <c r="AZ4" s="17" t="str">
        <f>IFERROR(__xludf.DUMMYFUNCTION("""COMPUTED_VALUE"""),"")</f>
        <v/>
      </c>
      <c r="BA4" s="17" t="str">
        <f>IFERROR(__xludf.DUMMYFUNCTION("""COMPUTED_VALUE"""),"")</f>
        <v/>
      </c>
      <c r="BB4" s="17" t="str">
        <f>IFERROR(__xludf.DUMMYFUNCTION("""COMPUTED_VALUE"""),"")</f>
        <v/>
      </c>
      <c r="BC4" s="17" t="str">
        <f>IFERROR(__xludf.DUMMYFUNCTION("""COMPUTED_VALUE"""),"")</f>
        <v/>
      </c>
      <c r="BD4" s="17" t="str">
        <f>IFERROR(__xludf.DUMMYFUNCTION("""COMPUTED_VALUE"""),"")</f>
        <v/>
      </c>
      <c r="BE4" s="17" t="str">
        <f>IFERROR(__xludf.DUMMYFUNCTION("""COMPUTED_VALUE"""),"")</f>
        <v/>
      </c>
      <c r="BF4" s="17" t="str">
        <f>IFERROR(__xludf.DUMMYFUNCTION("""COMPUTED_VALUE"""),"")</f>
        <v/>
      </c>
      <c r="BG4" s="17" t="str">
        <f>IFERROR(__xludf.DUMMYFUNCTION("""COMPUTED_VALUE"""),"")</f>
        <v/>
      </c>
      <c r="BH4" s="17" t="str">
        <f>IFERROR(__xludf.DUMMYFUNCTION("""COMPUTED_VALUE"""),"")</f>
        <v/>
      </c>
      <c r="BI4" s="17" t="str">
        <f>IFERROR(__xludf.DUMMYFUNCTION("""COMPUTED_VALUE"""),"")</f>
        <v/>
      </c>
      <c r="BJ4" s="17" t="str">
        <f>IFERROR(__xludf.DUMMYFUNCTION("""COMPUTED_VALUE"""),"")</f>
        <v/>
      </c>
      <c r="BK4" s="17" t="str">
        <f>IFERROR(__xludf.DUMMYFUNCTION("""COMPUTED_VALUE"""),"")</f>
        <v/>
      </c>
      <c r="BL4" s="17" t="str">
        <f>IFERROR(__xludf.DUMMYFUNCTION("""COMPUTED_VALUE"""),"")</f>
        <v/>
      </c>
      <c r="BM4" s="17" t="str">
        <f>IFERROR(__xludf.DUMMYFUNCTION("""COMPUTED_VALUE"""),"")</f>
        <v/>
      </c>
      <c r="BN4" s="17" t="str">
        <f>IFERROR(__xludf.DUMMYFUNCTION("""COMPUTED_VALUE"""),"")</f>
        <v/>
      </c>
      <c r="BO4" s="17" t="str">
        <f>IFERROR(__xludf.DUMMYFUNCTION("""COMPUTED_VALUE"""),"")</f>
        <v/>
      </c>
      <c r="BP4" s="17" t="str">
        <f>IFERROR(__xludf.DUMMYFUNCTION("""COMPUTED_VALUE"""),"")</f>
        <v/>
      </c>
      <c r="BQ4" s="17" t="str">
        <f>IFERROR(__xludf.DUMMYFUNCTION("""COMPUTED_VALUE"""),"")</f>
        <v/>
      </c>
      <c r="BR4" s="17" t="str">
        <f>IFERROR(__xludf.DUMMYFUNCTION("""COMPUTED_VALUE"""),"")</f>
        <v/>
      </c>
      <c r="BS4" s="17" t="str">
        <f>IFERROR(__xludf.DUMMYFUNCTION("""COMPUTED_VALUE"""),"")</f>
        <v/>
      </c>
      <c r="BT4" s="17" t="str">
        <f>IFERROR(__xludf.DUMMYFUNCTION("""COMPUTED_VALUE"""),"")</f>
        <v/>
      </c>
      <c r="BU4" s="17" t="str">
        <f>IFERROR(__xludf.DUMMYFUNCTION("""COMPUTED_VALUE"""),"")</f>
        <v/>
      </c>
      <c r="BV4" s="17" t="str">
        <f>IFERROR(__xludf.DUMMYFUNCTION("""COMPUTED_VALUE"""),"")</f>
        <v/>
      </c>
      <c r="BW4" s="17" t="str">
        <f>IFERROR(__xludf.DUMMYFUNCTION("""COMPUTED_VALUE"""),"")</f>
        <v/>
      </c>
      <c r="BX4" s="17" t="str">
        <f>IFERROR(__xludf.DUMMYFUNCTION("""COMPUTED_VALUE"""),"")</f>
        <v/>
      </c>
      <c r="BY4" s="17" t="str">
        <f>IFERROR(__xludf.DUMMYFUNCTION("""COMPUTED_VALUE"""),"")</f>
        <v/>
      </c>
      <c r="BZ4" s="17" t="str">
        <f>IFERROR(__xludf.DUMMYFUNCTION("""COMPUTED_VALUE"""),"")</f>
        <v/>
      </c>
      <c r="CA4" s="17" t="str">
        <f>IFERROR(__xludf.DUMMYFUNCTION("""COMPUTED_VALUE"""),"")</f>
        <v/>
      </c>
      <c r="CB4" s="17" t="str">
        <f>IFERROR(__xludf.DUMMYFUNCTION("""COMPUTED_VALUE"""),"")</f>
        <v/>
      </c>
      <c r="CC4" s="17" t="str">
        <f>IFERROR(__xludf.DUMMYFUNCTION("""COMPUTED_VALUE"""),"")</f>
        <v/>
      </c>
      <c r="CD4" s="17" t="str">
        <f>IFERROR(__xludf.DUMMYFUNCTION("""COMPUTED_VALUE"""),"")</f>
        <v/>
      </c>
      <c r="CE4" s="17" t="str">
        <f>IFERROR(__xludf.DUMMYFUNCTION("""COMPUTED_VALUE"""),"")</f>
        <v/>
      </c>
      <c r="CF4" s="17" t="str">
        <f>IFERROR(__xludf.DUMMYFUNCTION("""COMPUTED_VALUE"""),"")</f>
        <v/>
      </c>
      <c r="CG4" s="17" t="str">
        <f>IFERROR(__xludf.DUMMYFUNCTION("""COMPUTED_VALUE"""),"")</f>
        <v/>
      </c>
      <c r="CH4" s="17" t="str">
        <f>IFERROR(__xludf.DUMMYFUNCTION("""COMPUTED_VALUE"""),"")</f>
        <v/>
      </c>
      <c r="CI4" s="17" t="str">
        <f>IFERROR(__xludf.DUMMYFUNCTION("""COMPUTED_VALUE"""),"")</f>
        <v/>
      </c>
      <c r="CJ4" s="17" t="str">
        <f>IFERROR(__xludf.DUMMYFUNCTION("""COMPUTED_VALUE"""),"")</f>
        <v/>
      </c>
      <c r="CK4" s="17" t="str">
        <f>IFERROR(__xludf.DUMMYFUNCTION("""COMPUTED_VALUE"""),"")</f>
        <v/>
      </c>
      <c r="CL4" s="17" t="str">
        <f>IFERROR(__xludf.DUMMYFUNCTION("""COMPUTED_VALUE"""),"")</f>
        <v/>
      </c>
      <c r="CM4" s="17" t="str">
        <f>IFERROR(__xludf.DUMMYFUNCTION("""COMPUTED_VALUE"""),"")</f>
        <v/>
      </c>
      <c r="CN4" s="17" t="str">
        <f>IFERROR(__xludf.DUMMYFUNCTION("""COMPUTED_VALUE"""),"")</f>
        <v/>
      </c>
      <c r="CO4" s="17" t="str">
        <f>IFERROR(__xludf.DUMMYFUNCTION("""COMPUTED_VALUE"""),"")</f>
        <v/>
      </c>
      <c r="CP4" s="17" t="str">
        <f>IFERROR(__xludf.DUMMYFUNCTION("""COMPUTED_VALUE"""),"")</f>
        <v/>
      </c>
      <c r="CQ4" s="17" t="str">
        <f>IFERROR(__xludf.DUMMYFUNCTION("""COMPUTED_VALUE"""),"")</f>
        <v/>
      </c>
      <c r="CR4" s="17" t="str">
        <f>IFERROR(__xludf.DUMMYFUNCTION("""COMPUTED_VALUE"""),"")</f>
        <v/>
      </c>
      <c r="CS4" s="17" t="str">
        <f>IFERROR(__xludf.DUMMYFUNCTION("""COMPUTED_VALUE"""),"")</f>
        <v/>
      </c>
      <c r="CT4" s="17" t="str">
        <f>IFERROR(__xludf.DUMMYFUNCTION("""COMPUTED_VALUE"""),"")</f>
        <v/>
      </c>
      <c r="CU4" s="17" t="str">
        <f>IFERROR(__xludf.DUMMYFUNCTION("""COMPUTED_VALUE"""),"")</f>
        <v/>
      </c>
      <c r="CV4" s="17" t="str">
        <f>IFERROR(__xludf.DUMMYFUNCTION("""COMPUTED_VALUE"""),"")</f>
        <v/>
      </c>
      <c r="CW4" s="17" t="str">
        <f>IFERROR(__xludf.DUMMYFUNCTION("""COMPUTED_VALUE"""),"")</f>
        <v/>
      </c>
      <c r="CX4" s="17" t="str">
        <f>IFERROR(__xludf.DUMMYFUNCTION("""COMPUTED_VALUE"""),"")</f>
        <v/>
      </c>
      <c r="CY4" s="17" t="str">
        <f>IFERROR(__xludf.DUMMYFUNCTION("""COMPUTED_VALUE"""),"")</f>
        <v/>
      </c>
      <c r="CZ4" s="17" t="str">
        <f>IFERROR(__xludf.DUMMYFUNCTION("""COMPUTED_VALUE"""),"")</f>
        <v/>
      </c>
      <c r="DA4" s="17" t="str">
        <f>IFERROR(__xludf.DUMMYFUNCTION("""COMPUTED_VALUE"""),"")</f>
        <v/>
      </c>
      <c r="DB4" s="17" t="str">
        <f>IFERROR(__xludf.DUMMYFUNCTION("""COMPUTED_VALUE"""),"")</f>
        <v/>
      </c>
      <c r="DC4" s="17" t="str">
        <f>IFERROR(__xludf.DUMMYFUNCTION("""COMPUTED_VALUE"""),"")</f>
        <v/>
      </c>
      <c r="DD4" s="17" t="str">
        <f>IFERROR(__xludf.DUMMYFUNCTION("""COMPUTED_VALUE"""),"")</f>
        <v/>
      </c>
      <c r="DE4" s="17" t="str">
        <f>IFERROR(__xludf.DUMMYFUNCTION("""COMPUTED_VALUE"""),"")</f>
        <v/>
      </c>
      <c r="DF4" s="17" t="str">
        <f>IFERROR(__xludf.DUMMYFUNCTION("""COMPUTED_VALUE"""),"")</f>
        <v/>
      </c>
      <c r="DG4" s="17" t="str">
        <f>IFERROR(__xludf.DUMMYFUNCTION("""COMPUTED_VALUE"""),"")</f>
        <v/>
      </c>
      <c r="DH4" s="17" t="str">
        <f>IFERROR(__xludf.DUMMYFUNCTION("""COMPUTED_VALUE"""),"")</f>
        <v/>
      </c>
      <c r="DI4" s="17" t="str">
        <f>IFERROR(__xludf.DUMMYFUNCTION("""COMPUTED_VALUE"""),"")</f>
        <v/>
      </c>
      <c r="DJ4" s="17" t="str">
        <f>IFERROR(__xludf.DUMMYFUNCTION("""COMPUTED_VALUE"""),"")</f>
        <v/>
      </c>
      <c r="DK4" s="17" t="str">
        <f>IFERROR(__xludf.DUMMYFUNCTION("""COMPUTED_VALUE"""),"")</f>
        <v/>
      </c>
      <c r="DL4" s="17" t="str">
        <f>IFERROR(__xludf.DUMMYFUNCTION("""COMPUTED_VALUE"""),"")</f>
        <v/>
      </c>
      <c r="DM4" s="17" t="str">
        <f>IFERROR(__xludf.DUMMYFUNCTION("""COMPUTED_VALUE"""),"")</f>
        <v/>
      </c>
      <c r="DN4" s="17" t="str">
        <f>IFERROR(__xludf.DUMMYFUNCTION("""COMPUTED_VALUE"""),"")</f>
        <v/>
      </c>
      <c r="DO4" s="17" t="str">
        <f>IFERROR(__xludf.DUMMYFUNCTION("""COMPUTED_VALUE"""),"")</f>
        <v/>
      </c>
      <c r="DP4" s="17" t="str">
        <f>IFERROR(__xludf.DUMMYFUNCTION("""COMPUTED_VALUE"""),"")</f>
        <v/>
      </c>
      <c r="DQ4" s="17" t="str">
        <f>IFERROR(__xludf.DUMMYFUNCTION("""COMPUTED_VALUE"""),"")</f>
        <v/>
      </c>
      <c r="DR4" s="17" t="str">
        <f>IFERROR(__xludf.DUMMYFUNCTION("""COMPUTED_VALUE"""),"")</f>
        <v/>
      </c>
      <c r="DS4" s="17" t="str">
        <f>IFERROR(__xludf.DUMMYFUNCTION("""COMPUTED_VALUE"""),"")</f>
        <v/>
      </c>
      <c r="DT4" s="17" t="str">
        <f>IFERROR(__xludf.DUMMYFUNCTION("""COMPUTED_VALUE"""),"")</f>
        <v/>
      </c>
      <c r="DU4" s="17" t="str">
        <f>IFERROR(__xludf.DUMMYFUNCTION("""COMPUTED_VALUE"""),"")</f>
        <v/>
      </c>
      <c r="DV4" s="17" t="str">
        <f>IFERROR(__xludf.DUMMYFUNCTION("""COMPUTED_VALUE"""),"")</f>
        <v/>
      </c>
      <c r="DW4" s="17" t="str">
        <f>IFERROR(__xludf.DUMMYFUNCTION("""COMPUTED_VALUE"""),"")</f>
        <v/>
      </c>
      <c r="DX4" s="17" t="str">
        <f>IFERROR(__xludf.DUMMYFUNCTION("""COMPUTED_VALUE"""),"")</f>
        <v/>
      </c>
      <c r="DY4" s="17" t="str">
        <f>IFERROR(__xludf.DUMMYFUNCTION("""COMPUTED_VALUE"""),"")</f>
        <v/>
      </c>
      <c r="DZ4" s="17" t="str">
        <f>IFERROR(__xludf.DUMMYFUNCTION("""COMPUTED_VALUE"""),"")</f>
        <v/>
      </c>
      <c r="EA4" s="17" t="str">
        <f>IFERROR(__xludf.DUMMYFUNCTION("""COMPUTED_VALUE"""),"")</f>
        <v/>
      </c>
      <c r="EB4" s="17" t="str">
        <f>IFERROR(__xludf.DUMMYFUNCTION("""COMPUTED_VALUE"""),"")</f>
        <v/>
      </c>
      <c r="EC4" s="17" t="str">
        <f>IFERROR(__xludf.DUMMYFUNCTION("""COMPUTED_VALUE"""),"")</f>
        <v/>
      </c>
      <c r="ED4" s="17" t="str">
        <f>IFERROR(__xludf.DUMMYFUNCTION("""COMPUTED_VALUE"""),"")</f>
        <v/>
      </c>
      <c r="EE4" s="17" t="str">
        <f>IFERROR(__xludf.DUMMYFUNCTION("""COMPUTED_VALUE"""),"")</f>
        <v/>
      </c>
      <c r="EF4" s="17" t="str">
        <f>IFERROR(__xludf.DUMMYFUNCTION("""COMPUTED_VALUE"""),"")</f>
        <v/>
      </c>
      <c r="EG4" s="17" t="str">
        <f>IFERROR(__xludf.DUMMYFUNCTION("""COMPUTED_VALUE"""),"")</f>
        <v/>
      </c>
      <c r="EH4" s="17" t="str">
        <f>IFERROR(__xludf.DUMMYFUNCTION("""COMPUTED_VALUE"""),"")</f>
        <v/>
      </c>
      <c r="EI4" s="17" t="str">
        <f>IFERROR(__xludf.DUMMYFUNCTION("""COMPUTED_VALUE"""),"")</f>
        <v/>
      </c>
      <c r="EJ4" s="17" t="str">
        <f>IFERROR(__xludf.DUMMYFUNCTION("""COMPUTED_VALUE"""),"")</f>
        <v/>
      </c>
      <c r="EK4" s="17" t="str">
        <f>IFERROR(__xludf.DUMMYFUNCTION("""COMPUTED_VALUE"""),"")</f>
        <v/>
      </c>
      <c r="EL4" s="17" t="str">
        <f>IFERROR(__xludf.DUMMYFUNCTION("""COMPUTED_VALUE"""),"")</f>
        <v/>
      </c>
      <c r="EM4" s="17" t="str">
        <f>IFERROR(__xludf.DUMMYFUNCTION("""COMPUTED_VALUE"""),"")</f>
        <v/>
      </c>
      <c r="EN4" s="17" t="str">
        <f>IFERROR(__xludf.DUMMYFUNCTION("""COMPUTED_VALUE"""),"")</f>
        <v/>
      </c>
      <c r="EO4" s="17" t="str">
        <f>IFERROR(__xludf.DUMMYFUNCTION("""COMPUTED_VALUE"""),"")</f>
        <v/>
      </c>
      <c r="EP4" s="17" t="str">
        <f>IFERROR(__xludf.DUMMYFUNCTION("""COMPUTED_VALUE"""),"")</f>
        <v/>
      </c>
      <c r="EQ4" s="17" t="str">
        <f>IFERROR(__xludf.DUMMYFUNCTION("""COMPUTED_VALUE"""),"")</f>
        <v/>
      </c>
      <c r="ER4" s="17" t="str">
        <f>IFERROR(__xludf.DUMMYFUNCTION("""COMPUTED_VALUE"""),"")</f>
        <v/>
      </c>
      <c r="ES4" s="17" t="str">
        <f>IFERROR(__xludf.DUMMYFUNCTION("""COMPUTED_VALUE"""),"")</f>
        <v/>
      </c>
      <c r="ET4" s="17" t="str">
        <f>IFERROR(__xludf.DUMMYFUNCTION("""COMPUTED_VALUE"""),"")</f>
        <v/>
      </c>
      <c r="EU4" s="17" t="str">
        <f>IFERROR(__xludf.DUMMYFUNCTION("""COMPUTED_VALUE"""),"")</f>
        <v/>
      </c>
      <c r="EV4" s="17" t="str">
        <f>IFERROR(__xludf.DUMMYFUNCTION("""COMPUTED_VALUE"""),"")</f>
        <v/>
      </c>
      <c r="EW4" s="17" t="str">
        <f>IFERROR(__xludf.DUMMYFUNCTION("""COMPUTED_VALUE"""),"")</f>
        <v/>
      </c>
      <c r="EX4" s="17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16</v>
      </c>
      <c r="C6" s="31" t="s">
        <v>17</v>
      </c>
      <c r="D6" s="32">
        <v>100.0</v>
      </c>
      <c r="E6" s="33">
        <v>100.0</v>
      </c>
      <c r="F6" s="31" t="s">
        <v>18</v>
      </c>
      <c r="G6" s="34"/>
      <c r="H6" s="34"/>
      <c r="I6" s="34"/>
      <c r="J6" s="32">
        <v>10.0</v>
      </c>
      <c r="K6" s="34"/>
      <c r="L6" s="34"/>
      <c r="M6" s="34"/>
      <c r="N6" s="35">
        <f>TODAY()</f>
        <v>43668</v>
      </c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9"/>
      <c r="B1" s="10" t="s">
        <v>5</v>
      </c>
      <c r="C1" s="2"/>
      <c r="D1" s="2"/>
      <c r="E1" s="2"/>
      <c r="F1" s="2"/>
      <c r="G1" s="2"/>
      <c r="H1" s="3"/>
      <c r="I1" s="9"/>
      <c r="J1" s="9"/>
      <c r="K1" s="9"/>
      <c r="L1" s="9"/>
      <c r="M1" s="9"/>
      <c r="N1" s="9"/>
      <c r="O1" s="9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2" t="str">
        <f> VLOOKUP($E$3,'_MasterData'!B4:D1000,3,FALSE)</f>
        <v>#N/A</v>
      </c>
      <c r="K2" s="12"/>
      <c r="L2" s="4"/>
      <c r="M2" s="4"/>
      <c r="N2" s="4"/>
      <c r="O2" s="4"/>
    </row>
    <row r="3" ht="15.75" customHeight="1">
      <c r="A3" s="13"/>
      <c r="B3" s="5" t="s">
        <v>6</v>
      </c>
      <c r="C3" s="14" t="s">
        <v>19</v>
      </c>
      <c r="D3" s="5" t="s">
        <v>8</v>
      </c>
      <c r="E3" s="14" t="s">
        <v>20</v>
      </c>
      <c r="F3" s="5" t="s">
        <v>10</v>
      </c>
      <c r="G3" s="8" t="s">
        <v>11</v>
      </c>
      <c r="H3" s="5"/>
      <c r="I3" s="13"/>
      <c r="J3" s="13"/>
      <c r="K3" s="13"/>
      <c r="L3" s="13"/>
      <c r="M3" s="13"/>
      <c r="N3" s="13"/>
      <c r="O3" s="13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</row>
    <row r="4" ht="15.75" customHeight="1">
      <c r="A4" s="16"/>
      <c r="B4" s="16" t="str">
        <f>IFERROR(__xludf.DUMMYFUNCTION("IF(C3="""","""",Transpose(IMPORTRANGE('_Settings'!$B$3,C3&amp;""!A4:A1000"")))"),"SwapExpire")</f>
        <v>SwapExpire</v>
      </c>
      <c r="C4" s="16" t="str">
        <f>IFERROR(__xludf.DUMMYFUNCTION("""COMPUTED_VALUE"""),"GetDataClosing")</f>
        <v>GetDataClosing</v>
      </c>
      <c r="D4" s="16" t="str">
        <f>IFERROR(__xludf.DUMMYFUNCTION("""COMPUTED_VALUE"""),"ManualClosing")</f>
        <v>ManualClosing</v>
      </c>
      <c r="E4" s="16" t="str">
        <f>IFERROR(__xludf.DUMMYFUNCTION("""COMPUTED_VALUE"""),"AutomaticClosing")</f>
        <v>AutomaticClosing</v>
      </c>
      <c r="F4" s="16" t="str">
        <f>IFERROR(__xludf.DUMMYFUNCTION("""COMPUTED_VALUE"""),"UnwindClosing")</f>
        <v>UnwindClosing</v>
      </c>
      <c r="G4" s="16" t="str">
        <f>IFERROR(__xludf.DUMMYFUNCTION("""COMPUTED_VALUE"""),"VerifyClosedTrades")</f>
        <v>VerifyClosedTrades</v>
      </c>
      <c r="H4" s="16" t="str">
        <f>IFERROR(__xludf.DUMMYFUNCTION("""COMPUTED_VALUE"""),"VerifyLongPositionsGrid")</f>
        <v>VerifyLongPositionsGrid</v>
      </c>
      <c r="I4" s="16" t="str">
        <f>IFERROR(__xludf.DUMMYFUNCTION("""COMPUTED_VALUE"""),"VerifyShortPositionsGrid")</f>
        <v>VerifyShortPositionsGrid</v>
      </c>
      <c r="J4" s="16" t="str">
        <f>IFERROR(__xludf.DUMMYFUNCTION("""COMPUTED_VALUE"""),"SelectTradeUnexpiredUnsettled")</f>
        <v>SelectTradeUnexpiredUnsettled</v>
      </c>
      <c r="K4" s="16" t="str">
        <f>IFERROR(__xludf.DUMMYFUNCTION("""COMPUTED_VALUE"""),"CashSettlementAtCost")</f>
        <v>CashSettlementAtCost</v>
      </c>
      <c r="L4" s="16" t="str">
        <f>IFERROR(__xludf.DUMMYFUNCTION("""COMPUTED_VALUE"""),"CashSettlementAtZeroPrice")</f>
        <v>CashSettlementAtZeroPrice</v>
      </c>
      <c r="M4" s="16" t="str">
        <f>IFERROR(__xludf.DUMMYFUNCTION("""COMPUTED_VALUE"""),"CashSettlementAtClosingDtSpotPx")</f>
        <v>CashSettlementAtClosingDtSpotPx</v>
      </c>
      <c r="N4" s="16" t="str">
        <f>IFERROR(__xludf.DUMMYFUNCTION("""COMPUTED_VALUE"""),"PhysicalSettlement")</f>
        <v>PhysicalSettlement</v>
      </c>
      <c r="O4" s="16" t="str">
        <f>IFERROR(__xludf.DUMMYFUNCTION("""COMPUTED_VALUE"""),"Expire")</f>
        <v>Expire</v>
      </c>
      <c r="P4" s="17" t="str">
        <f>IFERROR(__xludf.DUMMYFUNCTION("""COMPUTED_VALUE"""),"ExerciseAssignment")</f>
        <v>ExerciseAssignment</v>
      </c>
      <c r="Q4" s="17" t="str">
        <f>IFERROR(__xludf.DUMMYFUNCTION("""COMPUTED_VALUE"""),"ExerciseAssignmentAtZero")</f>
        <v>ExerciseAssignmentAtZero</v>
      </c>
      <c r="R4" s="17" t="str">
        <f>IFERROR(__xludf.DUMMYFUNCTION("""COMPUTED_VALUE"""),"SwapExpireAndRollover")</f>
        <v>SwapExpireAndRollover</v>
      </c>
      <c r="S4" s="17" t="str">
        <f>IFERROR(__xludf.DUMMYFUNCTION("""COMPUTED_VALUE"""),"SwapExpire")</f>
        <v>SwapExpire</v>
      </c>
      <c r="T4" s="17" t="str">
        <f>IFERROR(__xludf.DUMMYFUNCTION("""COMPUTED_VALUE"""),"VerifyExpiredSettledGrid")</f>
        <v>VerifyExpiredSettledGrid</v>
      </c>
      <c r="U4" s="17" t="str">
        <f>IFERROR(__xludf.DUMMYFUNCTION("""COMPUTED_VALUE"""),"VerifyUnExpiredUnSettledGrid")</f>
        <v>VerifyUnExpiredUnSettledGrid</v>
      </c>
      <c r="V4" s="17" t="str">
        <f>IFERROR(__xludf.DUMMYFUNCTION("""COMPUTED_VALUE"""),"UnWindTradeSettlement")</f>
        <v>UnWindTradeSettlement</v>
      </c>
      <c r="W4" s="17" t="str">
        <f>IFERROR(__xludf.DUMMYFUNCTION("""COMPUTED_VALUE"""),"CloseOrder")</f>
        <v>CloseOrder</v>
      </c>
      <c r="X4" s="17" t="str">
        <f>IFERROR(__xludf.DUMMYFUNCTION("""COMPUTED_VALUE"""),"VerifyCloseOrder")</f>
        <v>VerifyCloseOrder</v>
      </c>
      <c r="Y4" s="17" t="str">
        <f>IFERROR(__xludf.DUMMYFUNCTION("""COMPUTED_VALUE"""),"UnWindCloseOrder")</f>
        <v>UnWindCloseOrder</v>
      </c>
      <c r="Z4" s="17" t="str">
        <f>IFERROR(__xludf.DUMMYFUNCTION("""COMPUTED_VALUE"""),"ClosingCleanUp")</f>
        <v>ClosingCleanUp</v>
      </c>
      <c r="AA4" s="17" t="str">
        <f>IFERROR(__xludf.DUMMYFUNCTION("""COMPUTED_VALUE"""),"CloseClosingUI")</f>
        <v>CloseClosingUI</v>
      </c>
      <c r="AB4" s="17" t="str">
        <f>IFERROR(__xludf.DUMMYFUNCTION("""COMPUTED_VALUE"""),"SetClosingPreference")</f>
        <v>SetClosingPreference</v>
      </c>
      <c r="AC4" s="17" t="str">
        <f>IFERROR(__xludf.DUMMYFUNCTION("""COMPUTED_VALUE"""),"EditTradeUnexpiredUnsettled")</f>
        <v>EditTradeUnexpiredUnsettled</v>
      </c>
      <c r="AD4" s="17" t="str">
        <f>IFERROR(__xludf.DUMMYFUNCTION("""COMPUTED_VALUE"""),"")</f>
        <v/>
      </c>
      <c r="AE4" s="17" t="str">
        <f>IFERROR(__xludf.DUMMYFUNCTION("""COMPUTED_VALUE"""),"")</f>
        <v/>
      </c>
      <c r="AF4" s="17" t="str">
        <f>IFERROR(__xludf.DUMMYFUNCTION("""COMPUTED_VALUE"""),"")</f>
        <v/>
      </c>
      <c r="AG4" s="17" t="str">
        <f>IFERROR(__xludf.DUMMYFUNCTION("""COMPUTED_VALUE"""),"")</f>
        <v/>
      </c>
      <c r="AH4" s="17" t="str">
        <f>IFERROR(__xludf.DUMMYFUNCTION("""COMPUTED_VALUE"""),"")</f>
        <v/>
      </c>
      <c r="AI4" s="17" t="str">
        <f>IFERROR(__xludf.DUMMYFUNCTION("""COMPUTED_VALUE"""),"")</f>
        <v/>
      </c>
      <c r="AJ4" s="17" t="str">
        <f>IFERROR(__xludf.DUMMYFUNCTION("""COMPUTED_VALUE"""),"")</f>
        <v/>
      </c>
      <c r="AK4" s="17" t="str">
        <f>IFERROR(__xludf.DUMMYFUNCTION("""COMPUTED_VALUE"""),"")</f>
        <v/>
      </c>
      <c r="AL4" s="17" t="str">
        <f>IFERROR(__xludf.DUMMYFUNCTION("""COMPUTED_VALUE"""),"")</f>
        <v/>
      </c>
      <c r="AM4" s="17" t="str">
        <f>IFERROR(__xludf.DUMMYFUNCTION("""COMPUTED_VALUE"""),"")</f>
        <v/>
      </c>
      <c r="AN4" s="17" t="str">
        <f>IFERROR(__xludf.DUMMYFUNCTION("""COMPUTED_VALUE"""),"")</f>
        <v/>
      </c>
      <c r="AO4" s="17" t="str">
        <f>IFERROR(__xludf.DUMMYFUNCTION("""COMPUTED_VALUE"""),"")</f>
        <v/>
      </c>
      <c r="AP4" s="17" t="str">
        <f>IFERROR(__xludf.DUMMYFUNCTION("""COMPUTED_VALUE"""),"")</f>
        <v/>
      </c>
      <c r="AQ4" s="17" t="str">
        <f>IFERROR(__xludf.DUMMYFUNCTION("""COMPUTED_VALUE"""),"")</f>
        <v/>
      </c>
      <c r="AR4" s="17" t="str">
        <f>IFERROR(__xludf.DUMMYFUNCTION("""COMPUTED_VALUE"""),"")</f>
        <v/>
      </c>
      <c r="AS4" s="17" t="str">
        <f>IFERROR(__xludf.DUMMYFUNCTION("""COMPUTED_VALUE"""),"")</f>
        <v/>
      </c>
      <c r="AT4" s="17" t="str">
        <f>IFERROR(__xludf.DUMMYFUNCTION("""COMPUTED_VALUE"""),"")</f>
        <v/>
      </c>
      <c r="AU4" s="17" t="str">
        <f>IFERROR(__xludf.DUMMYFUNCTION("""COMPUTED_VALUE"""),"")</f>
        <v/>
      </c>
      <c r="AV4" s="17" t="str">
        <f>IFERROR(__xludf.DUMMYFUNCTION("""COMPUTED_VALUE"""),"")</f>
        <v/>
      </c>
      <c r="AW4" s="17" t="str">
        <f>IFERROR(__xludf.DUMMYFUNCTION("""COMPUTED_VALUE"""),"")</f>
        <v/>
      </c>
      <c r="AX4" s="17" t="str">
        <f>IFERROR(__xludf.DUMMYFUNCTION("""COMPUTED_VALUE"""),"")</f>
        <v/>
      </c>
      <c r="AY4" s="17" t="str">
        <f>IFERROR(__xludf.DUMMYFUNCTION("""COMPUTED_VALUE"""),"")</f>
        <v/>
      </c>
      <c r="AZ4" s="17" t="str">
        <f>IFERROR(__xludf.DUMMYFUNCTION("""COMPUTED_VALUE"""),"")</f>
        <v/>
      </c>
      <c r="BA4" s="17" t="str">
        <f>IFERROR(__xludf.DUMMYFUNCTION("""COMPUTED_VALUE"""),"")</f>
        <v/>
      </c>
      <c r="BB4" s="17" t="str">
        <f>IFERROR(__xludf.DUMMYFUNCTION("""COMPUTED_VALUE"""),"")</f>
        <v/>
      </c>
      <c r="BC4" s="17" t="str">
        <f>IFERROR(__xludf.DUMMYFUNCTION("""COMPUTED_VALUE"""),"")</f>
        <v/>
      </c>
      <c r="BD4" s="17" t="str">
        <f>IFERROR(__xludf.DUMMYFUNCTION("""COMPUTED_VALUE"""),"")</f>
        <v/>
      </c>
      <c r="BE4" s="17" t="str">
        <f>IFERROR(__xludf.DUMMYFUNCTION("""COMPUTED_VALUE"""),"")</f>
        <v/>
      </c>
      <c r="BF4" s="17" t="str">
        <f>IFERROR(__xludf.DUMMYFUNCTION("""COMPUTED_VALUE"""),"")</f>
        <v/>
      </c>
      <c r="BG4" s="17" t="str">
        <f>IFERROR(__xludf.DUMMYFUNCTION("""COMPUTED_VALUE"""),"")</f>
        <v/>
      </c>
      <c r="BH4" s="17" t="str">
        <f>IFERROR(__xludf.DUMMYFUNCTION("""COMPUTED_VALUE"""),"")</f>
        <v/>
      </c>
      <c r="BI4" s="17" t="str">
        <f>IFERROR(__xludf.DUMMYFUNCTION("""COMPUTED_VALUE"""),"")</f>
        <v/>
      </c>
      <c r="BJ4" s="17" t="str">
        <f>IFERROR(__xludf.DUMMYFUNCTION("""COMPUTED_VALUE"""),"")</f>
        <v/>
      </c>
      <c r="BK4" s="17" t="str">
        <f>IFERROR(__xludf.DUMMYFUNCTION("""COMPUTED_VALUE"""),"")</f>
        <v/>
      </c>
      <c r="BL4" s="17" t="str">
        <f>IFERROR(__xludf.DUMMYFUNCTION("""COMPUTED_VALUE"""),"")</f>
        <v/>
      </c>
      <c r="BM4" s="17" t="str">
        <f>IFERROR(__xludf.DUMMYFUNCTION("""COMPUTED_VALUE"""),"")</f>
        <v/>
      </c>
      <c r="BN4" s="17" t="str">
        <f>IFERROR(__xludf.DUMMYFUNCTION("""COMPUTED_VALUE"""),"")</f>
        <v/>
      </c>
      <c r="BO4" s="17" t="str">
        <f>IFERROR(__xludf.DUMMYFUNCTION("""COMPUTED_VALUE"""),"")</f>
        <v/>
      </c>
      <c r="BP4" s="17" t="str">
        <f>IFERROR(__xludf.DUMMYFUNCTION("""COMPUTED_VALUE"""),"")</f>
        <v/>
      </c>
      <c r="BQ4" s="17" t="str">
        <f>IFERROR(__xludf.DUMMYFUNCTION("""COMPUTED_VALUE"""),"")</f>
        <v/>
      </c>
      <c r="BR4" s="17" t="str">
        <f>IFERROR(__xludf.DUMMYFUNCTION("""COMPUTED_VALUE"""),"")</f>
        <v/>
      </c>
      <c r="BS4" s="17" t="str">
        <f>IFERROR(__xludf.DUMMYFUNCTION("""COMPUTED_VALUE"""),"")</f>
        <v/>
      </c>
      <c r="BT4" s="17" t="str">
        <f>IFERROR(__xludf.DUMMYFUNCTION("""COMPUTED_VALUE"""),"")</f>
        <v/>
      </c>
      <c r="BU4" s="17" t="str">
        <f>IFERROR(__xludf.DUMMYFUNCTION("""COMPUTED_VALUE"""),"")</f>
        <v/>
      </c>
      <c r="BV4" s="17" t="str">
        <f>IFERROR(__xludf.DUMMYFUNCTION("""COMPUTED_VALUE"""),"")</f>
        <v/>
      </c>
      <c r="BW4" s="17" t="str">
        <f>IFERROR(__xludf.DUMMYFUNCTION("""COMPUTED_VALUE"""),"")</f>
        <v/>
      </c>
      <c r="BX4" s="17" t="str">
        <f>IFERROR(__xludf.DUMMYFUNCTION("""COMPUTED_VALUE"""),"")</f>
        <v/>
      </c>
      <c r="BY4" s="17" t="str">
        <f>IFERROR(__xludf.DUMMYFUNCTION("""COMPUTED_VALUE"""),"")</f>
        <v/>
      </c>
      <c r="BZ4" s="17" t="str">
        <f>IFERROR(__xludf.DUMMYFUNCTION("""COMPUTED_VALUE"""),"")</f>
        <v/>
      </c>
      <c r="CA4" s="17" t="str">
        <f>IFERROR(__xludf.DUMMYFUNCTION("""COMPUTED_VALUE"""),"")</f>
        <v/>
      </c>
      <c r="CB4" s="17" t="str">
        <f>IFERROR(__xludf.DUMMYFUNCTION("""COMPUTED_VALUE"""),"")</f>
        <v/>
      </c>
      <c r="CC4" s="17" t="str">
        <f>IFERROR(__xludf.DUMMYFUNCTION("""COMPUTED_VALUE"""),"")</f>
        <v/>
      </c>
      <c r="CD4" s="17" t="str">
        <f>IFERROR(__xludf.DUMMYFUNCTION("""COMPUTED_VALUE"""),"")</f>
        <v/>
      </c>
      <c r="CE4" s="17" t="str">
        <f>IFERROR(__xludf.DUMMYFUNCTION("""COMPUTED_VALUE"""),"")</f>
        <v/>
      </c>
      <c r="CF4" s="17" t="str">
        <f>IFERROR(__xludf.DUMMYFUNCTION("""COMPUTED_VALUE"""),"")</f>
        <v/>
      </c>
      <c r="CG4" s="17" t="str">
        <f>IFERROR(__xludf.DUMMYFUNCTION("""COMPUTED_VALUE"""),"")</f>
        <v/>
      </c>
      <c r="CH4" s="17" t="str">
        <f>IFERROR(__xludf.DUMMYFUNCTION("""COMPUTED_VALUE"""),"")</f>
        <v/>
      </c>
      <c r="CI4" s="17" t="str">
        <f>IFERROR(__xludf.DUMMYFUNCTION("""COMPUTED_VALUE"""),"")</f>
        <v/>
      </c>
      <c r="CJ4" s="17" t="str">
        <f>IFERROR(__xludf.DUMMYFUNCTION("""COMPUTED_VALUE"""),"")</f>
        <v/>
      </c>
      <c r="CK4" s="17" t="str">
        <f>IFERROR(__xludf.DUMMYFUNCTION("""COMPUTED_VALUE"""),"")</f>
        <v/>
      </c>
      <c r="CL4" s="17" t="str">
        <f>IFERROR(__xludf.DUMMYFUNCTION("""COMPUTED_VALUE"""),"")</f>
        <v/>
      </c>
      <c r="CM4" s="17" t="str">
        <f>IFERROR(__xludf.DUMMYFUNCTION("""COMPUTED_VALUE"""),"")</f>
        <v/>
      </c>
      <c r="CN4" s="17" t="str">
        <f>IFERROR(__xludf.DUMMYFUNCTION("""COMPUTED_VALUE"""),"")</f>
        <v/>
      </c>
      <c r="CO4" s="17" t="str">
        <f>IFERROR(__xludf.DUMMYFUNCTION("""COMPUTED_VALUE"""),"")</f>
        <v/>
      </c>
      <c r="CP4" s="17" t="str">
        <f>IFERROR(__xludf.DUMMYFUNCTION("""COMPUTED_VALUE"""),"")</f>
        <v/>
      </c>
      <c r="CQ4" s="17" t="str">
        <f>IFERROR(__xludf.DUMMYFUNCTION("""COMPUTED_VALUE"""),"")</f>
        <v/>
      </c>
      <c r="CR4" s="17" t="str">
        <f>IFERROR(__xludf.DUMMYFUNCTION("""COMPUTED_VALUE"""),"")</f>
        <v/>
      </c>
      <c r="CS4" s="17" t="str">
        <f>IFERROR(__xludf.DUMMYFUNCTION("""COMPUTED_VALUE"""),"")</f>
        <v/>
      </c>
      <c r="CT4" s="17" t="str">
        <f>IFERROR(__xludf.DUMMYFUNCTION("""COMPUTED_VALUE"""),"")</f>
        <v/>
      </c>
      <c r="CU4" s="17" t="str">
        <f>IFERROR(__xludf.DUMMYFUNCTION("""COMPUTED_VALUE"""),"")</f>
        <v/>
      </c>
      <c r="CV4" s="17" t="str">
        <f>IFERROR(__xludf.DUMMYFUNCTION("""COMPUTED_VALUE"""),"")</f>
        <v/>
      </c>
      <c r="CW4" s="17" t="str">
        <f>IFERROR(__xludf.DUMMYFUNCTION("""COMPUTED_VALUE"""),"")</f>
        <v/>
      </c>
      <c r="CX4" s="17" t="str">
        <f>IFERROR(__xludf.DUMMYFUNCTION("""COMPUTED_VALUE"""),"")</f>
        <v/>
      </c>
      <c r="CY4" s="17" t="str">
        <f>IFERROR(__xludf.DUMMYFUNCTION("""COMPUTED_VALUE"""),"")</f>
        <v/>
      </c>
      <c r="CZ4" s="17" t="str">
        <f>IFERROR(__xludf.DUMMYFUNCTION("""COMPUTED_VALUE"""),"")</f>
        <v/>
      </c>
      <c r="DA4" s="17" t="str">
        <f>IFERROR(__xludf.DUMMYFUNCTION("""COMPUTED_VALUE"""),"")</f>
        <v/>
      </c>
      <c r="DB4" s="17" t="str">
        <f>IFERROR(__xludf.DUMMYFUNCTION("""COMPUTED_VALUE"""),"")</f>
        <v/>
      </c>
      <c r="DC4" s="17" t="str">
        <f>IFERROR(__xludf.DUMMYFUNCTION("""COMPUTED_VALUE"""),"")</f>
        <v/>
      </c>
      <c r="DD4" s="17" t="str">
        <f>IFERROR(__xludf.DUMMYFUNCTION("""COMPUTED_VALUE"""),"")</f>
        <v/>
      </c>
      <c r="DE4" s="17" t="str">
        <f>IFERROR(__xludf.DUMMYFUNCTION("""COMPUTED_VALUE"""),"")</f>
        <v/>
      </c>
      <c r="DF4" s="17" t="str">
        <f>IFERROR(__xludf.DUMMYFUNCTION("""COMPUTED_VALUE"""),"")</f>
        <v/>
      </c>
      <c r="DG4" s="17" t="str">
        <f>IFERROR(__xludf.DUMMYFUNCTION("""COMPUTED_VALUE"""),"")</f>
        <v/>
      </c>
      <c r="DH4" s="17" t="str">
        <f>IFERROR(__xludf.DUMMYFUNCTION("""COMPUTED_VALUE"""),"")</f>
        <v/>
      </c>
      <c r="DI4" s="17" t="str">
        <f>IFERROR(__xludf.DUMMYFUNCTION("""COMPUTED_VALUE"""),"")</f>
        <v/>
      </c>
      <c r="DJ4" s="17" t="str">
        <f>IFERROR(__xludf.DUMMYFUNCTION("""COMPUTED_VALUE"""),"")</f>
        <v/>
      </c>
      <c r="DK4" s="17" t="str">
        <f>IFERROR(__xludf.DUMMYFUNCTION("""COMPUTED_VALUE"""),"")</f>
        <v/>
      </c>
      <c r="DL4" s="17" t="str">
        <f>IFERROR(__xludf.DUMMYFUNCTION("""COMPUTED_VALUE"""),"")</f>
        <v/>
      </c>
      <c r="DM4" s="17" t="str">
        <f>IFERROR(__xludf.DUMMYFUNCTION("""COMPUTED_VALUE"""),"")</f>
        <v/>
      </c>
      <c r="DN4" s="17" t="str">
        <f>IFERROR(__xludf.DUMMYFUNCTION("""COMPUTED_VALUE"""),"")</f>
        <v/>
      </c>
      <c r="DO4" s="17" t="str">
        <f>IFERROR(__xludf.DUMMYFUNCTION("""COMPUTED_VALUE"""),"")</f>
        <v/>
      </c>
      <c r="DP4" s="17" t="str">
        <f>IFERROR(__xludf.DUMMYFUNCTION("""COMPUTED_VALUE"""),"")</f>
        <v/>
      </c>
      <c r="DQ4" s="17" t="str">
        <f>IFERROR(__xludf.DUMMYFUNCTION("""COMPUTED_VALUE"""),"")</f>
        <v/>
      </c>
      <c r="DR4" s="17" t="str">
        <f>IFERROR(__xludf.DUMMYFUNCTION("""COMPUTED_VALUE"""),"")</f>
        <v/>
      </c>
      <c r="DS4" s="17" t="str">
        <f>IFERROR(__xludf.DUMMYFUNCTION("""COMPUTED_VALUE"""),"")</f>
        <v/>
      </c>
      <c r="DT4" s="17" t="str">
        <f>IFERROR(__xludf.DUMMYFUNCTION("""COMPUTED_VALUE"""),"")</f>
        <v/>
      </c>
      <c r="DU4" s="17" t="str">
        <f>IFERROR(__xludf.DUMMYFUNCTION("""COMPUTED_VALUE"""),"")</f>
        <v/>
      </c>
      <c r="DV4" s="17" t="str">
        <f>IFERROR(__xludf.DUMMYFUNCTION("""COMPUTED_VALUE"""),"")</f>
        <v/>
      </c>
      <c r="DW4" s="17" t="str">
        <f>IFERROR(__xludf.DUMMYFUNCTION("""COMPUTED_VALUE"""),"")</f>
        <v/>
      </c>
      <c r="DX4" s="17" t="str">
        <f>IFERROR(__xludf.DUMMYFUNCTION("""COMPUTED_VALUE"""),"")</f>
        <v/>
      </c>
      <c r="DY4" s="17" t="str">
        <f>IFERROR(__xludf.DUMMYFUNCTION("""COMPUTED_VALUE"""),"")</f>
        <v/>
      </c>
      <c r="DZ4" s="17" t="str">
        <f>IFERROR(__xludf.DUMMYFUNCTION("""COMPUTED_VALUE"""),"")</f>
        <v/>
      </c>
      <c r="EA4" s="17" t="str">
        <f>IFERROR(__xludf.DUMMYFUNCTION("""COMPUTED_VALUE"""),"")</f>
        <v/>
      </c>
      <c r="EB4" s="17" t="str">
        <f>IFERROR(__xludf.DUMMYFUNCTION("""COMPUTED_VALUE"""),"")</f>
        <v/>
      </c>
      <c r="EC4" s="17" t="str">
        <f>IFERROR(__xludf.DUMMYFUNCTION("""COMPUTED_VALUE"""),"")</f>
        <v/>
      </c>
      <c r="ED4" s="17" t="str">
        <f>IFERROR(__xludf.DUMMYFUNCTION("""COMPUTED_VALUE"""),"")</f>
        <v/>
      </c>
      <c r="EE4" s="17" t="str">
        <f>IFERROR(__xludf.DUMMYFUNCTION("""COMPUTED_VALUE"""),"")</f>
        <v/>
      </c>
      <c r="EF4" s="17" t="str">
        <f>IFERROR(__xludf.DUMMYFUNCTION("""COMPUTED_VALUE"""),"")</f>
        <v/>
      </c>
      <c r="EG4" s="17" t="str">
        <f>IFERROR(__xludf.DUMMYFUNCTION("""COMPUTED_VALUE"""),"")</f>
        <v/>
      </c>
      <c r="EH4" s="17" t="str">
        <f>IFERROR(__xludf.DUMMYFUNCTION("""COMPUTED_VALUE"""),"")</f>
        <v/>
      </c>
      <c r="EI4" s="17" t="str">
        <f>IFERROR(__xludf.DUMMYFUNCTION("""COMPUTED_VALUE"""),"")</f>
        <v/>
      </c>
      <c r="EJ4" s="17" t="str">
        <f>IFERROR(__xludf.DUMMYFUNCTION("""COMPUTED_VALUE"""),"")</f>
        <v/>
      </c>
      <c r="EK4" s="17" t="str">
        <f>IFERROR(__xludf.DUMMYFUNCTION("""COMPUTED_VALUE"""),"")</f>
        <v/>
      </c>
      <c r="EL4" s="17" t="str">
        <f>IFERROR(__xludf.DUMMYFUNCTION("""COMPUTED_VALUE"""),"")</f>
        <v/>
      </c>
      <c r="EM4" s="17" t="str">
        <f>IFERROR(__xludf.DUMMYFUNCTION("""COMPUTED_VALUE"""),"")</f>
        <v/>
      </c>
      <c r="EN4" s="17" t="str">
        <f>IFERROR(__xludf.DUMMYFUNCTION("""COMPUTED_VALUE"""),"")</f>
        <v/>
      </c>
      <c r="EO4" s="17" t="str">
        <f>IFERROR(__xludf.DUMMYFUNCTION("""COMPUTED_VALUE"""),"")</f>
        <v/>
      </c>
      <c r="EP4" s="17" t="str">
        <f>IFERROR(__xludf.DUMMYFUNCTION("""COMPUTED_VALUE"""),"")</f>
        <v/>
      </c>
      <c r="EQ4" s="17" t="str">
        <f>IFERROR(__xludf.DUMMYFUNCTION("""COMPUTED_VALUE"""),"")</f>
        <v/>
      </c>
      <c r="ER4" s="17" t="str">
        <f>IFERROR(__xludf.DUMMYFUNCTION("""COMPUTED_VALUE"""),"")</f>
        <v/>
      </c>
      <c r="ES4" s="17" t="str">
        <f>IFERROR(__xludf.DUMMYFUNCTION("""COMPUTED_VALUE"""),"")</f>
        <v/>
      </c>
      <c r="ET4" s="17" t="str">
        <f>IFERROR(__xludf.DUMMYFUNCTION("""COMPUTED_VALUE"""),"")</f>
        <v/>
      </c>
      <c r="EU4" s="17" t="str">
        <f>IFERROR(__xludf.DUMMYFUNCTION("""COMPUTED_VALUE"""),"")</f>
        <v/>
      </c>
      <c r="EV4" s="17" t="str">
        <f>IFERROR(__xludf.DUMMYFUNCTION("""COMPUTED_VALUE"""),"")</f>
        <v/>
      </c>
      <c r="EW4" s="17" t="str">
        <f>IFERROR(__xludf.DUMMYFUNCTION("""COMPUTED_VALUE"""),"")</f>
        <v/>
      </c>
      <c r="EX4" s="17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1" t="s">
        <v>21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9"/>
      <c r="B1" s="10" t="s">
        <v>5</v>
      </c>
      <c r="C1" s="2"/>
      <c r="D1" s="2"/>
      <c r="E1" s="2"/>
      <c r="F1" s="2"/>
      <c r="G1" s="2"/>
      <c r="H1" s="3"/>
      <c r="I1" s="9"/>
      <c r="J1" s="9"/>
      <c r="K1" s="9"/>
      <c r="L1" s="9"/>
      <c r="M1" s="9"/>
      <c r="N1" s="9"/>
      <c r="O1" s="9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2" t="str">
        <f> VLOOKUP($E$3,'_MasterData'!B4:D1000,3,FALSE)</f>
        <v>#N/A</v>
      </c>
      <c r="K2" s="12"/>
      <c r="L2" s="4"/>
      <c r="M2" s="4"/>
      <c r="N2" s="4"/>
      <c r="O2" s="4"/>
    </row>
    <row r="3" ht="15.75" customHeight="1">
      <c r="A3" s="13"/>
      <c r="B3" s="5" t="s">
        <v>6</v>
      </c>
      <c r="C3" s="14" t="s">
        <v>19</v>
      </c>
      <c r="D3" s="5" t="s">
        <v>8</v>
      </c>
      <c r="E3" s="14" t="s">
        <v>22</v>
      </c>
      <c r="F3" s="5" t="s">
        <v>10</v>
      </c>
      <c r="G3" s="8" t="s">
        <v>11</v>
      </c>
      <c r="H3" s="5"/>
      <c r="I3" s="13"/>
      <c r="J3" s="13"/>
      <c r="K3" s="13"/>
      <c r="L3" s="13"/>
      <c r="M3" s="13"/>
      <c r="N3" s="13"/>
      <c r="O3" s="13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</row>
    <row r="4" ht="15.75" customHeight="1">
      <c r="A4" s="16"/>
      <c r="B4" s="16" t="str">
        <f>IFERROR(__xludf.DUMMYFUNCTION("IF(C3="""","""",Transpose(IMPORTRANGE('_Settings'!$B$3,C3&amp;""!A4:A1000"")))"),"SwapExpire")</f>
        <v>SwapExpire</v>
      </c>
      <c r="C4" s="16" t="str">
        <f>IFERROR(__xludf.DUMMYFUNCTION("""COMPUTED_VALUE"""),"GetDataClosing")</f>
        <v>GetDataClosing</v>
      </c>
      <c r="D4" s="16" t="str">
        <f>IFERROR(__xludf.DUMMYFUNCTION("""COMPUTED_VALUE"""),"ManualClosing")</f>
        <v>ManualClosing</v>
      </c>
      <c r="E4" s="16" t="str">
        <f>IFERROR(__xludf.DUMMYFUNCTION("""COMPUTED_VALUE"""),"AutomaticClosing")</f>
        <v>AutomaticClosing</v>
      </c>
      <c r="F4" s="16" t="str">
        <f>IFERROR(__xludf.DUMMYFUNCTION("""COMPUTED_VALUE"""),"UnwindClosing")</f>
        <v>UnwindClosing</v>
      </c>
      <c r="G4" s="16" t="str">
        <f>IFERROR(__xludf.DUMMYFUNCTION("""COMPUTED_VALUE"""),"VerifyClosedTrades")</f>
        <v>VerifyClosedTrades</v>
      </c>
      <c r="H4" s="16" t="str">
        <f>IFERROR(__xludf.DUMMYFUNCTION("""COMPUTED_VALUE"""),"VerifyLongPositionsGrid")</f>
        <v>VerifyLongPositionsGrid</v>
      </c>
      <c r="I4" s="16" t="str">
        <f>IFERROR(__xludf.DUMMYFUNCTION("""COMPUTED_VALUE"""),"VerifyShortPositionsGrid")</f>
        <v>VerifyShortPositionsGrid</v>
      </c>
      <c r="J4" s="16" t="str">
        <f>IFERROR(__xludf.DUMMYFUNCTION("""COMPUTED_VALUE"""),"SelectTradeUnexpiredUnsettled")</f>
        <v>SelectTradeUnexpiredUnsettled</v>
      </c>
      <c r="K4" s="16" t="str">
        <f>IFERROR(__xludf.DUMMYFUNCTION("""COMPUTED_VALUE"""),"CashSettlementAtCost")</f>
        <v>CashSettlementAtCost</v>
      </c>
      <c r="L4" s="16" t="str">
        <f>IFERROR(__xludf.DUMMYFUNCTION("""COMPUTED_VALUE"""),"CashSettlementAtZeroPrice")</f>
        <v>CashSettlementAtZeroPrice</v>
      </c>
      <c r="M4" s="16" t="str">
        <f>IFERROR(__xludf.DUMMYFUNCTION("""COMPUTED_VALUE"""),"CashSettlementAtClosingDtSpotPx")</f>
        <v>CashSettlementAtClosingDtSpotPx</v>
      </c>
      <c r="N4" s="16" t="str">
        <f>IFERROR(__xludf.DUMMYFUNCTION("""COMPUTED_VALUE"""),"PhysicalSettlement")</f>
        <v>PhysicalSettlement</v>
      </c>
      <c r="O4" s="16" t="str">
        <f>IFERROR(__xludf.DUMMYFUNCTION("""COMPUTED_VALUE"""),"Expire")</f>
        <v>Expire</v>
      </c>
      <c r="P4" s="17" t="str">
        <f>IFERROR(__xludf.DUMMYFUNCTION("""COMPUTED_VALUE"""),"ExerciseAssignment")</f>
        <v>ExerciseAssignment</v>
      </c>
      <c r="Q4" s="17" t="str">
        <f>IFERROR(__xludf.DUMMYFUNCTION("""COMPUTED_VALUE"""),"ExerciseAssignmentAtZero")</f>
        <v>ExerciseAssignmentAtZero</v>
      </c>
      <c r="R4" s="17" t="str">
        <f>IFERROR(__xludf.DUMMYFUNCTION("""COMPUTED_VALUE"""),"SwapExpireAndRollover")</f>
        <v>SwapExpireAndRollover</v>
      </c>
      <c r="S4" s="17" t="str">
        <f>IFERROR(__xludf.DUMMYFUNCTION("""COMPUTED_VALUE"""),"SwapExpire")</f>
        <v>SwapExpire</v>
      </c>
      <c r="T4" s="17" t="str">
        <f>IFERROR(__xludf.DUMMYFUNCTION("""COMPUTED_VALUE"""),"VerifyExpiredSettledGrid")</f>
        <v>VerifyExpiredSettledGrid</v>
      </c>
      <c r="U4" s="17" t="str">
        <f>IFERROR(__xludf.DUMMYFUNCTION("""COMPUTED_VALUE"""),"VerifyUnExpiredUnSettledGrid")</f>
        <v>VerifyUnExpiredUnSettledGrid</v>
      </c>
      <c r="V4" s="17" t="str">
        <f>IFERROR(__xludf.DUMMYFUNCTION("""COMPUTED_VALUE"""),"UnWindTradeSettlement")</f>
        <v>UnWindTradeSettlement</v>
      </c>
      <c r="W4" s="17" t="str">
        <f>IFERROR(__xludf.DUMMYFUNCTION("""COMPUTED_VALUE"""),"CloseOrder")</f>
        <v>CloseOrder</v>
      </c>
      <c r="X4" s="17" t="str">
        <f>IFERROR(__xludf.DUMMYFUNCTION("""COMPUTED_VALUE"""),"VerifyCloseOrder")</f>
        <v>VerifyCloseOrder</v>
      </c>
      <c r="Y4" s="17" t="str">
        <f>IFERROR(__xludf.DUMMYFUNCTION("""COMPUTED_VALUE"""),"UnWindCloseOrder")</f>
        <v>UnWindCloseOrder</v>
      </c>
      <c r="Z4" s="17" t="str">
        <f>IFERROR(__xludf.DUMMYFUNCTION("""COMPUTED_VALUE"""),"ClosingCleanUp")</f>
        <v>ClosingCleanUp</v>
      </c>
      <c r="AA4" s="17" t="str">
        <f>IFERROR(__xludf.DUMMYFUNCTION("""COMPUTED_VALUE"""),"CloseClosingUI")</f>
        <v>CloseClosingUI</v>
      </c>
      <c r="AB4" s="17" t="str">
        <f>IFERROR(__xludf.DUMMYFUNCTION("""COMPUTED_VALUE"""),"SetClosingPreference")</f>
        <v>SetClosingPreference</v>
      </c>
      <c r="AC4" s="17" t="str">
        <f>IFERROR(__xludf.DUMMYFUNCTION("""COMPUTED_VALUE"""),"EditTradeUnexpiredUnsettled")</f>
        <v>EditTradeUnexpiredUnsettled</v>
      </c>
      <c r="AD4" s="17" t="str">
        <f>IFERROR(__xludf.DUMMYFUNCTION("""COMPUTED_VALUE"""),"")</f>
        <v/>
      </c>
      <c r="AE4" s="17" t="str">
        <f>IFERROR(__xludf.DUMMYFUNCTION("""COMPUTED_VALUE"""),"")</f>
        <v/>
      </c>
      <c r="AF4" s="17" t="str">
        <f>IFERROR(__xludf.DUMMYFUNCTION("""COMPUTED_VALUE"""),"")</f>
        <v/>
      </c>
      <c r="AG4" s="17" t="str">
        <f>IFERROR(__xludf.DUMMYFUNCTION("""COMPUTED_VALUE"""),"")</f>
        <v/>
      </c>
      <c r="AH4" s="17" t="str">
        <f>IFERROR(__xludf.DUMMYFUNCTION("""COMPUTED_VALUE"""),"")</f>
        <v/>
      </c>
      <c r="AI4" s="17" t="str">
        <f>IFERROR(__xludf.DUMMYFUNCTION("""COMPUTED_VALUE"""),"")</f>
        <v/>
      </c>
      <c r="AJ4" s="17" t="str">
        <f>IFERROR(__xludf.DUMMYFUNCTION("""COMPUTED_VALUE"""),"")</f>
        <v/>
      </c>
      <c r="AK4" s="17" t="str">
        <f>IFERROR(__xludf.DUMMYFUNCTION("""COMPUTED_VALUE"""),"")</f>
        <v/>
      </c>
      <c r="AL4" s="17" t="str">
        <f>IFERROR(__xludf.DUMMYFUNCTION("""COMPUTED_VALUE"""),"")</f>
        <v/>
      </c>
      <c r="AM4" s="17" t="str">
        <f>IFERROR(__xludf.DUMMYFUNCTION("""COMPUTED_VALUE"""),"")</f>
        <v/>
      </c>
      <c r="AN4" s="17" t="str">
        <f>IFERROR(__xludf.DUMMYFUNCTION("""COMPUTED_VALUE"""),"")</f>
        <v/>
      </c>
      <c r="AO4" s="17" t="str">
        <f>IFERROR(__xludf.DUMMYFUNCTION("""COMPUTED_VALUE"""),"")</f>
        <v/>
      </c>
      <c r="AP4" s="17" t="str">
        <f>IFERROR(__xludf.DUMMYFUNCTION("""COMPUTED_VALUE"""),"")</f>
        <v/>
      </c>
      <c r="AQ4" s="17" t="str">
        <f>IFERROR(__xludf.DUMMYFUNCTION("""COMPUTED_VALUE"""),"")</f>
        <v/>
      </c>
      <c r="AR4" s="17" t="str">
        <f>IFERROR(__xludf.DUMMYFUNCTION("""COMPUTED_VALUE"""),"")</f>
        <v/>
      </c>
      <c r="AS4" s="17" t="str">
        <f>IFERROR(__xludf.DUMMYFUNCTION("""COMPUTED_VALUE"""),"")</f>
        <v/>
      </c>
      <c r="AT4" s="17" t="str">
        <f>IFERROR(__xludf.DUMMYFUNCTION("""COMPUTED_VALUE"""),"")</f>
        <v/>
      </c>
      <c r="AU4" s="17" t="str">
        <f>IFERROR(__xludf.DUMMYFUNCTION("""COMPUTED_VALUE"""),"")</f>
        <v/>
      </c>
      <c r="AV4" s="17" t="str">
        <f>IFERROR(__xludf.DUMMYFUNCTION("""COMPUTED_VALUE"""),"")</f>
        <v/>
      </c>
      <c r="AW4" s="17" t="str">
        <f>IFERROR(__xludf.DUMMYFUNCTION("""COMPUTED_VALUE"""),"")</f>
        <v/>
      </c>
      <c r="AX4" s="17" t="str">
        <f>IFERROR(__xludf.DUMMYFUNCTION("""COMPUTED_VALUE"""),"")</f>
        <v/>
      </c>
      <c r="AY4" s="17" t="str">
        <f>IFERROR(__xludf.DUMMYFUNCTION("""COMPUTED_VALUE"""),"")</f>
        <v/>
      </c>
      <c r="AZ4" s="17" t="str">
        <f>IFERROR(__xludf.DUMMYFUNCTION("""COMPUTED_VALUE"""),"")</f>
        <v/>
      </c>
      <c r="BA4" s="17" t="str">
        <f>IFERROR(__xludf.DUMMYFUNCTION("""COMPUTED_VALUE"""),"")</f>
        <v/>
      </c>
      <c r="BB4" s="17" t="str">
        <f>IFERROR(__xludf.DUMMYFUNCTION("""COMPUTED_VALUE"""),"")</f>
        <v/>
      </c>
      <c r="BC4" s="17" t="str">
        <f>IFERROR(__xludf.DUMMYFUNCTION("""COMPUTED_VALUE"""),"")</f>
        <v/>
      </c>
      <c r="BD4" s="17" t="str">
        <f>IFERROR(__xludf.DUMMYFUNCTION("""COMPUTED_VALUE"""),"")</f>
        <v/>
      </c>
      <c r="BE4" s="17" t="str">
        <f>IFERROR(__xludf.DUMMYFUNCTION("""COMPUTED_VALUE"""),"")</f>
        <v/>
      </c>
      <c r="BF4" s="17" t="str">
        <f>IFERROR(__xludf.DUMMYFUNCTION("""COMPUTED_VALUE"""),"")</f>
        <v/>
      </c>
      <c r="BG4" s="17" t="str">
        <f>IFERROR(__xludf.DUMMYFUNCTION("""COMPUTED_VALUE"""),"")</f>
        <v/>
      </c>
      <c r="BH4" s="17" t="str">
        <f>IFERROR(__xludf.DUMMYFUNCTION("""COMPUTED_VALUE"""),"")</f>
        <v/>
      </c>
      <c r="BI4" s="17" t="str">
        <f>IFERROR(__xludf.DUMMYFUNCTION("""COMPUTED_VALUE"""),"")</f>
        <v/>
      </c>
      <c r="BJ4" s="17" t="str">
        <f>IFERROR(__xludf.DUMMYFUNCTION("""COMPUTED_VALUE"""),"")</f>
        <v/>
      </c>
      <c r="BK4" s="17" t="str">
        <f>IFERROR(__xludf.DUMMYFUNCTION("""COMPUTED_VALUE"""),"")</f>
        <v/>
      </c>
      <c r="BL4" s="17" t="str">
        <f>IFERROR(__xludf.DUMMYFUNCTION("""COMPUTED_VALUE"""),"")</f>
        <v/>
      </c>
      <c r="BM4" s="17" t="str">
        <f>IFERROR(__xludf.DUMMYFUNCTION("""COMPUTED_VALUE"""),"")</f>
        <v/>
      </c>
      <c r="BN4" s="17" t="str">
        <f>IFERROR(__xludf.DUMMYFUNCTION("""COMPUTED_VALUE"""),"")</f>
        <v/>
      </c>
      <c r="BO4" s="17" t="str">
        <f>IFERROR(__xludf.DUMMYFUNCTION("""COMPUTED_VALUE"""),"")</f>
        <v/>
      </c>
      <c r="BP4" s="17" t="str">
        <f>IFERROR(__xludf.DUMMYFUNCTION("""COMPUTED_VALUE"""),"")</f>
        <v/>
      </c>
      <c r="BQ4" s="17" t="str">
        <f>IFERROR(__xludf.DUMMYFUNCTION("""COMPUTED_VALUE"""),"")</f>
        <v/>
      </c>
      <c r="BR4" s="17" t="str">
        <f>IFERROR(__xludf.DUMMYFUNCTION("""COMPUTED_VALUE"""),"")</f>
        <v/>
      </c>
      <c r="BS4" s="17" t="str">
        <f>IFERROR(__xludf.DUMMYFUNCTION("""COMPUTED_VALUE"""),"")</f>
        <v/>
      </c>
      <c r="BT4" s="17" t="str">
        <f>IFERROR(__xludf.DUMMYFUNCTION("""COMPUTED_VALUE"""),"")</f>
        <v/>
      </c>
      <c r="BU4" s="17" t="str">
        <f>IFERROR(__xludf.DUMMYFUNCTION("""COMPUTED_VALUE"""),"")</f>
        <v/>
      </c>
      <c r="BV4" s="17" t="str">
        <f>IFERROR(__xludf.DUMMYFUNCTION("""COMPUTED_VALUE"""),"")</f>
        <v/>
      </c>
      <c r="BW4" s="17" t="str">
        <f>IFERROR(__xludf.DUMMYFUNCTION("""COMPUTED_VALUE"""),"")</f>
        <v/>
      </c>
      <c r="BX4" s="17" t="str">
        <f>IFERROR(__xludf.DUMMYFUNCTION("""COMPUTED_VALUE"""),"")</f>
        <v/>
      </c>
      <c r="BY4" s="17" t="str">
        <f>IFERROR(__xludf.DUMMYFUNCTION("""COMPUTED_VALUE"""),"")</f>
        <v/>
      </c>
      <c r="BZ4" s="17" t="str">
        <f>IFERROR(__xludf.DUMMYFUNCTION("""COMPUTED_VALUE"""),"")</f>
        <v/>
      </c>
      <c r="CA4" s="17" t="str">
        <f>IFERROR(__xludf.DUMMYFUNCTION("""COMPUTED_VALUE"""),"")</f>
        <v/>
      </c>
      <c r="CB4" s="17" t="str">
        <f>IFERROR(__xludf.DUMMYFUNCTION("""COMPUTED_VALUE"""),"")</f>
        <v/>
      </c>
      <c r="CC4" s="17" t="str">
        <f>IFERROR(__xludf.DUMMYFUNCTION("""COMPUTED_VALUE"""),"")</f>
        <v/>
      </c>
      <c r="CD4" s="17" t="str">
        <f>IFERROR(__xludf.DUMMYFUNCTION("""COMPUTED_VALUE"""),"")</f>
        <v/>
      </c>
      <c r="CE4" s="17" t="str">
        <f>IFERROR(__xludf.DUMMYFUNCTION("""COMPUTED_VALUE"""),"")</f>
        <v/>
      </c>
      <c r="CF4" s="17" t="str">
        <f>IFERROR(__xludf.DUMMYFUNCTION("""COMPUTED_VALUE"""),"")</f>
        <v/>
      </c>
      <c r="CG4" s="17" t="str">
        <f>IFERROR(__xludf.DUMMYFUNCTION("""COMPUTED_VALUE"""),"")</f>
        <v/>
      </c>
      <c r="CH4" s="17" t="str">
        <f>IFERROR(__xludf.DUMMYFUNCTION("""COMPUTED_VALUE"""),"")</f>
        <v/>
      </c>
      <c r="CI4" s="17" t="str">
        <f>IFERROR(__xludf.DUMMYFUNCTION("""COMPUTED_VALUE"""),"")</f>
        <v/>
      </c>
      <c r="CJ4" s="17" t="str">
        <f>IFERROR(__xludf.DUMMYFUNCTION("""COMPUTED_VALUE"""),"")</f>
        <v/>
      </c>
      <c r="CK4" s="17" t="str">
        <f>IFERROR(__xludf.DUMMYFUNCTION("""COMPUTED_VALUE"""),"")</f>
        <v/>
      </c>
      <c r="CL4" s="17" t="str">
        <f>IFERROR(__xludf.DUMMYFUNCTION("""COMPUTED_VALUE"""),"")</f>
        <v/>
      </c>
      <c r="CM4" s="17" t="str">
        <f>IFERROR(__xludf.DUMMYFUNCTION("""COMPUTED_VALUE"""),"")</f>
        <v/>
      </c>
      <c r="CN4" s="17" t="str">
        <f>IFERROR(__xludf.DUMMYFUNCTION("""COMPUTED_VALUE"""),"")</f>
        <v/>
      </c>
      <c r="CO4" s="17" t="str">
        <f>IFERROR(__xludf.DUMMYFUNCTION("""COMPUTED_VALUE"""),"")</f>
        <v/>
      </c>
      <c r="CP4" s="17" t="str">
        <f>IFERROR(__xludf.DUMMYFUNCTION("""COMPUTED_VALUE"""),"")</f>
        <v/>
      </c>
      <c r="CQ4" s="17" t="str">
        <f>IFERROR(__xludf.DUMMYFUNCTION("""COMPUTED_VALUE"""),"")</f>
        <v/>
      </c>
      <c r="CR4" s="17" t="str">
        <f>IFERROR(__xludf.DUMMYFUNCTION("""COMPUTED_VALUE"""),"")</f>
        <v/>
      </c>
      <c r="CS4" s="17" t="str">
        <f>IFERROR(__xludf.DUMMYFUNCTION("""COMPUTED_VALUE"""),"")</f>
        <v/>
      </c>
      <c r="CT4" s="17" t="str">
        <f>IFERROR(__xludf.DUMMYFUNCTION("""COMPUTED_VALUE"""),"")</f>
        <v/>
      </c>
      <c r="CU4" s="17" t="str">
        <f>IFERROR(__xludf.DUMMYFUNCTION("""COMPUTED_VALUE"""),"")</f>
        <v/>
      </c>
      <c r="CV4" s="17" t="str">
        <f>IFERROR(__xludf.DUMMYFUNCTION("""COMPUTED_VALUE"""),"")</f>
        <v/>
      </c>
      <c r="CW4" s="17" t="str">
        <f>IFERROR(__xludf.DUMMYFUNCTION("""COMPUTED_VALUE"""),"")</f>
        <v/>
      </c>
      <c r="CX4" s="17" t="str">
        <f>IFERROR(__xludf.DUMMYFUNCTION("""COMPUTED_VALUE"""),"")</f>
        <v/>
      </c>
      <c r="CY4" s="17" t="str">
        <f>IFERROR(__xludf.DUMMYFUNCTION("""COMPUTED_VALUE"""),"")</f>
        <v/>
      </c>
      <c r="CZ4" s="17" t="str">
        <f>IFERROR(__xludf.DUMMYFUNCTION("""COMPUTED_VALUE"""),"")</f>
        <v/>
      </c>
      <c r="DA4" s="17" t="str">
        <f>IFERROR(__xludf.DUMMYFUNCTION("""COMPUTED_VALUE"""),"")</f>
        <v/>
      </c>
      <c r="DB4" s="17" t="str">
        <f>IFERROR(__xludf.DUMMYFUNCTION("""COMPUTED_VALUE"""),"")</f>
        <v/>
      </c>
      <c r="DC4" s="17" t="str">
        <f>IFERROR(__xludf.DUMMYFUNCTION("""COMPUTED_VALUE"""),"")</f>
        <v/>
      </c>
      <c r="DD4" s="17" t="str">
        <f>IFERROR(__xludf.DUMMYFUNCTION("""COMPUTED_VALUE"""),"")</f>
        <v/>
      </c>
      <c r="DE4" s="17" t="str">
        <f>IFERROR(__xludf.DUMMYFUNCTION("""COMPUTED_VALUE"""),"")</f>
        <v/>
      </c>
      <c r="DF4" s="17" t="str">
        <f>IFERROR(__xludf.DUMMYFUNCTION("""COMPUTED_VALUE"""),"")</f>
        <v/>
      </c>
      <c r="DG4" s="17" t="str">
        <f>IFERROR(__xludf.DUMMYFUNCTION("""COMPUTED_VALUE"""),"")</f>
        <v/>
      </c>
      <c r="DH4" s="17" t="str">
        <f>IFERROR(__xludf.DUMMYFUNCTION("""COMPUTED_VALUE"""),"")</f>
        <v/>
      </c>
      <c r="DI4" s="17" t="str">
        <f>IFERROR(__xludf.DUMMYFUNCTION("""COMPUTED_VALUE"""),"")</f>
        <v/>
      </c>
      <c r="DJ4" s="17" t="str">
        <f>IFERROR(__xludf.DUMMYFUNCTION("""COMPUTED_VALUE"""),"")</f>
        <v/>
      </c>
      <c r="DK4" s="17" t="str">
        <f>IFERROR(__xludf.DUMMYFUNCTION("""COMPUTED_VALUE"""),"")</f>
        <v/>
      </c>
      <c r="DL4" s="17" t="str">
        <f>IFERROR(__xludf.DUMMYFUNCTION("""COMPUTED_VALUE"""),"")</f>
        <v/>
      </c>
      <c r="DM4" s="17" t="str">
        <f>IFERROR(__xludf.DUMMYFUNCTION("""COMPUTED_VALUE"""),"")</f>
        <v/>
      </c>
      <c r="DN4" s="17" t="str">
        <f>IFERROR(__xludf.DUMMYFUNCTION("""COMPUTED_VALUE"""),"")</f>
        <v/>
      </c>
      <c r="DO4" s="17" t="str">
        <f>IFERROR(__xludf.DUMMYFUNCTION("""COMPUTED_VALUE"""),"")</f>
        <v/>
      </c>
      <c r="DP4" s="17" t="str">
        <f>IFERROR(__xludf.DUMMYFUNCTION("""COMPUTED_VALUE"""),"")</f>
        <v/>
      </c>
      <c r="DQ4" s="17" t="str">
        <f>IFERROR(__xludf.DUMMYFUNCTION("""COMPUTED_VALUE"""),"")</f>
        <v/>
      </c>
      <c r="DR4" s="17" t="str">
        <f>IFERROR(__xludf.DUMMYFUNCTION("""COMPUTED_VALUE"""),"")</f>
        <v/>
      </c>
      <c r="DS4" s="17" t="str">
        <f>IFERROR(__xludf.DUMMYFUNCTION("""COMPUTED_VALUE"""),"")</f>
        <v/>
      </c>
      <c r="DT4" s="17" t="str">
        <f>IFERROR(__xludf.DUMMYFUNCTION("""COMPUTED_VALUE"""),"")</f>
        <v/>
      </c>
      <c r="DU4" s="17" t="str">
        <f>IFERROR(__xludf.DUMMYFUNCTION("""COMPUTED_VALUE"""),"")</f>
        <v/>
      </c>
      <c r="DV4" s="17" t="str">
        <f>IFERROR(__xludf.DUMMYFUNCTION("""COMPUTED_VALUE"""),"")</f>
        <v/>
      </c>
      <c r="DW4" s="17" t="str">
        <f>IFERROR(__xludf.DUMMYFUNCTION("""COMPUTED_VALUE"""),"")</f>
        <v/>
      </c>
      <c r="DX4" s="17" t="str">
        <f>IFERROR(__xludf.DUMMYFUNCTION("""COMPUTED_VALUE"""),"")</f>
        <v/>
      </c>
      <c r="DY4" s="17" t="str">
        <f>IFERROR(__xludf.DUMMYFUNCTION("""COMPUTED_VALUE"""),"")</f>
        <v/>
      </c>
      <c r="DZ4" s="17" t="str">
        <f>IFERROR(__xludf.DUMMYFUNCTION("""COMPUTED_VALUE"""),"")</f>
        <v/>
      </c>
      <c r="EA4" s="17" t="str">
        <f>IFERROR(__xludf.DUMMYFUNCTION("""COMPUTED_VALUE"""),"")</f>
        <v/>
      </c>
      <c r="EB4" s="17" t="str">
        <f>IFERROR(__xludf.DUMMYFUNCTION("""COMPUTED_VALUE"""),"")</f>
        <v/>
      </c>
      <c r="EC4" s="17" t="str">
        <f>IFERROR(__xludf.DUMMYFUNCTION("""COMPUTED_VALUE"""),"")</f>
        <v/>
      </c>
      <c r="ED4" s="17" t="str">
        <f>IFERROR(__xludf.DUMMYFUNCTION("""COMPUTED_VALUE"""),"")</f>
        <v/>
      </c>
      <c r="EE4" s="17" t="str">
        <f>IFERROR(__xludf.DUMMYFUNCTION("""COMPUTED_VALUE"""),"")</f>
        <v/>
      </c>
      <c r="EF4" s="17" t="str">
        <f>IFERROR(__xludf.DUMMYFUNCTION("""COMPUTED_VALUE"""),"")</f>
        <v/>
      </c>
      <c r="EG4" s="17" t="str">
        <f>IFERROR(__xludf.DUMMYFUNCTION("""COMPUTED_VALUE"""),"")</f>
        <v/>
      </c>
      <c r="EH4" s="17" t="str">
        <f>IFERROR(__xludf.DUMMYFUNCTION("""COMPUTED_VALUE"""),"")</f>
        <v/>
      </c>
      <c r="EI4" s="17" t="str">
        <f>IFERROR(__xludf.DUMMYFUNCTION("""COMPUTED_VALUE"""),"")</f>
        <v/>
      </c>
      <c r="EJ4" s="17" t="str">
        <f>IFERROR(__xludf.DUMMYFUNCTION("""COMPUTED_VALUE"""),"")</f>
        <v/>
      </c>
      <c r="EK4" s="17" t="str">
        <f>IFERROR(__xludf.DUMMYFUNCTION("""COMPUTED_VALUE"""),"")</f>
        <v/>
      </c>
      <c r="EL4" s="17" t="str">
        <f>IFERROR(__xludf.DUMMYFUNCTION("""COMPUTED_VALUE"""),"")</f>
        <v/>
      </c>
      <c r="EM4" s="17" t="str">
        <f>IFERROR(__xludf.DUMMYFUNCTION("""COMPUTED_VALUE"""),"")</f>
        <v/>
      </c>
      <c r="EN4" s="17" t="str">
        <f>IFERROR(__xludf.DUMMYFUNCTION("""COMPUTED_VALUE"""),"")</f>
        <v/>
      </c>
      <c r="EO4" s="17" t="str">
        <f>IFERROR(__xludf.DUMMYFUNCTION("""COMPUTED_VALUE"""),"")</f>
        <v/>
      </c>
      <c r="EP4" s="17" t="str">
        <f>IFERROR(__xludf.DUMMYFUNCTION("""COMPUTED_VALUE"""),"")</f>
        <v/>
      </c>
      <c r="EQ4" s="17" t="str">
        <f>IFERROR(__xludf.DUMMYFUNCTION("""COMPUTED_VALUE"""),"")</f>
        <v/>
      </c>
      <c r="ER4" s="17" t="str">
        <f>IFERROR(__xludf.DUMMYFUNCTION("""COMPUTED_VALUE"""),"")</f>
        <v/>
      </c>
      <c r="ES4" s="17" t="str">
        <f>IFERROR(__xludf.DUMMYFUNCTION("""COMPUTED_VALUE"""),"")</f>
        <v/>
      </c>
      <c r="ET4" s="17" t="str">
        <f>IFERROR(__xludf.DUMMYFUNCTION("""COMPUTED_VALUE"""),"")</f>
        <v/>
      </c>
      <c r="EU4" s="17" t="str">
        <f>IFERROR(__xludf.DUMMYFUNCTION("""COMPUTED_VALUE"""),"")</f>
        <v/>
      </c>
      <c r="EV4" s="17" t="str">
        <f>IFERROR(__xludf.DUMMYFUNCTION("""COMPUTED_VALUE"""),"")</f>
        <v/>
      </c>
      <c r="EW4" s="17" t="str">
        <f>IFERROR(__xludf.DUMMYFUNCTION("""COMPUTED_VALUE"""),"")</f>
        <v/>
      </c>
      <c r="EX4" s="17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1" t="s">
        <v>18</v>
      </c>
      <c r="C6" s="34"/>
      <c r="D6" s="31"/>
      <c r="E6" s="34"/>
      <c r="F6" s="34"/>
      <c r="G6" s="34"/>
      <c r="H6" s="34"/>
      <c r="I6" s="33">
        <v>10.0</v>
      </c>
      <c r="J6" s="34"/>
      <c r="K6" s="34"/>
      <c r="L6" s="34"/>
      <c r="M6" s="33">
        <v>100.0</v>
      </c>
      <c r="N6" s="34"/>
      <c r="O6" s="34"/>
      <c r="P6" s="34" t="s">
        <v>17</v>
      </c>
      <c r="Q6" s="34"/>
      <c r="R6" s="38" t="s">
        <v>16</v>
      </c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9"/>
      <c r="B1" s="10" t="s">
        <v>5</v>
      </c>
      <c r="C1" s="2"/>
      <c r="D1" s="2"/>
      <c r="E1" s="2"/>
      <c r="F1" s="2"/>
      <c r="G1" s="2"/>
      <c r="H1" s="3"/>
      <c r="I1" s="9"/>
      <c r="J1" s="9"/>
      <c r="K1" s="9"/>
      <c r="L1" s="9"/>
      <c r="M1" s="9"/>
      <c r="N1" s="9"/>
      <c r="O1" s="9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2" t="str">
        <f> VLOOKUP($E$3,'_MasterData'!B4:D1000,3,FALSE)</f>
        <v>#N/A</v>
      </c>
      <c r="K2" s="12"/>
      <c r="L2" s="4"/>
      <c r="M2" s="4"/>
      <c r="N2" s="4"/>
      <c r="O2" s="4"/>
    </row>
    <row r="3" ht="15.75" customHeight="1">
      <c r="A3" s="13"/>
      <c r="B3" s="5" t="s">
        <v>6</v>
      </c>
      <c r="C3" s="14" t="s">
        <v>19</v>
      </c>
      <c r="D3" s="5" t="s">
        <v>8</v>
      </c>
      <c r="E3" s="14" t="s">
        <v>23</v>
      </c>
      <c r="F3" s="5" t="s">
        <v>10</v>
      </c>
      <c r="G3" s="8" t="s">
        <v>11</v>
      </c>
      <c r="H3" s="5"/>
      <c r="I3" s="13"/>
      <c r="J3" s="13"/>
      <c r="K3" s="13"/>
      <c r="L3" s="13"/>
      <c r="M3" s="13"/>
      <c r="N3" s="13"/>
      <c r="O3" s="13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</row>
    <row r="4" ht="15.75" customHeight="1">
      <c r="A4" s="16"/>
      <c r="B4" s="16" t="str">
        <f>IFERROR(__xludf.DUMMYFUNCTION("IF(C3="""","""",Transpose(IMPORTRANGE('_Settings'!$B$3,C3&amp;""!A4:A1000"")))"),"SwapExpire")</f>
        <v>SwapExpire</v>
      </c>
      <c r="C4" s="16" t="str">
        <f>IFERROR(__xludf.DUMMYFUNCTION("""COMPUTED_VALUE"""),"GetDataClosing")</f>
        <v>GetDataClosing</v>
      </c>
      <c r="D4" s="16" t="str">
        <f>IFERROR(__xludf.DUMMYFUNCTION("""COMPUTED_VALUE"""),"ManualClosing")</f>
        <v>ManualClosing</v>
      </c>
      <c r="E4" s="16" t="str">
        <f>IFERROR(__xludf.DUMMYFUNCTION("""COMPUTED_VALUE"""),"AutomaticClosing")</f>
        <v>AutomaticClosing</v>
      </c>
      <c r="F4" s="16" t="str">
        <f>IFERROR(__xludf.DUMMYFUNCTION("""COMPUTED_VALUE"""),"UnwindClosing")</f>
        <v>UnwindClosing</v>
      </c>
      <c r="G4" s="16" t="str">
        <f>IFERROR(__xludf.DUMMYFUNCTION("""COMPUTED_VALUE"""),"VerifyClosedTrades")</f>
        <v>VerifyClosedTrades</v>
      </c>
      <c r="H4" s="16" t="str">
        <f>IFERROR(__xludf.DUMMYFUNCTION("""COMPUTED_VALUE"""),"VerifyLongPositionsGrid")</f>
        <v>VerifyLongPositionsGrid</v>
      </c>
      <c r="I4" s="16" t="str">
        <f>IFERROR(__xludf.DUMMYFUNCTION("""COMPUTED_VALUE"""),"VerifyShortPositionsGrid")</f>
        <v>VerifyShortPositionsGrid</v>
      </c>
      <c r="J4" s="16" t="str">
        <f>IFERROR(__xludf.DUMMYFUNCTION("""COMPUTED_VALUE"""),"SelectTradeUnexpiredUnsettled")</f>
        <v>SelectTradeUnexpiredUnsettled</v>
      </c>
      <c r="K4" s="16" t="str">
        <f>IFERROR(__xludf.DUMMYFUNCTION("""COMPUTED_VALUE"""),"CashSettlementAtCost")</f>
        <v>CashSettlementAtCost</v>
      </c>
      <c r="L4" s="16" t="str">
        <f>IFERROR(__xludf.DUMMYFUNCTION("""COMPUTED_VALUE"""),"CashSettlementAtZeroPrice")</f>
        <v>CashSettlementAtZeroPrice</v>
      </c>
      <c r="M4" s="16" t="str">
        <f>IFERROR(__xludf.DUMMYFUNCTION("""COMPUTED_VALUE"""),"CashSettlementAtClosingDtSpotPx")</f>
        <v>CashSettlementAtClosingDtSpotPx</v>
      </c>
      <c r="N4" s="16" t="str">
        <f>IFERROR(__xludf.DUMMYFUNCTION("""COMPUTED_VALUE"""),"PhysicalSettlement")</f>
        <v>PhysicalSettlement</v>
      </c>
      <c r="O4" s="16" t="str">
        <f>IFERROR(__xludf.DUMMYFUNCTION("""COMPUTED_VALUE"""),"Expire")</f>
        <v>Expire</v>
      </c>
      <c r="P4" s="17" t="str">
        <f>IFERROR(__xludf.DUMMYFUNCTION("""COMPUTED_VALUE"""),"ExerciseAssignment")</f>
        <v>ExerciseAssignment</v>
      </c>
      <c r="Q4" s="17" t="str">
        <f>IFERROR(__xludf.DUMMYFUNCTION("""COMPUTED_VALUE"""),"ExerciseAssignmentAtZero")</f>
        <v>ExerciseAssignmentAtZero</v>
      </c>
      <c r="R4" s="17" t="str">
        <f>IFERROR(__xludf.DUMMYFUNCTION("""COMPUTED_VALUE"""),"SwapExpireAndRollover")</f>
        <v>SwapExpireAndRollover</v>
      </c>
      <c r="S4" s="17" t="str">
        <f>IFERROR(__xludf.DUMMYFUNCTION("""COMPUTED_VALUE"""),"SwapExpire")</f>
        <v>SwapExpire</v>
      </c>
      <c r="T4" s="17" t="str">
        <f>IFERROR(__xludf.DUMMYFUNCTION("""COMPUTED_VALUE"""),"VerifyExpiredSettledGrid")</f>
        <v>VerifyExpiredSettledGrid</v>
      </c>
      <c r="U4" s="17" t="str">
        <f>IFERROR(__xludf.DUMMYFUNCTION("""COMPUTED_VALUE"""),"VerifyUnExpiredUnSettledGrid")</f>
        <v>VerifyUnExpiredUnSettledGrid</v>
      </c>
      <c r="V4" s="17" t="str">
        <f>IFERROR(__xludf.DUMMYFUNCTION("""COMPUTED_VALUE"""),"UnWindTradeSettlement")</f>
        <v>UnWindTradeSettlement</v>
      </c>
      <c r="W4" s="17" t="str">
        <f>IFERROR(__xludf.DUMMYFUNCTION("""COMPUTED_VALUE"""),"CloseOrder")</f>
        <v>CloseOrder</v>
      </c>
      <c r="X4" s="17" t="str">
        <f>IFERROR(__xludf.DUMMYFUNCTION("""COMPUTED_VALUE"""),"VerifyCloseOrder")</f>
        <v>VerifyCloseOrder</v>
      </c>
      <c r="Y4" s="17" t="str">
        <f>IFERROR(__xludf.DUMMYFUNCTION("""COMPUTED_VALUE"""),"UnWindCloseOrder")</f>
        <v>UnWindCloseOrder</v>
      </c>
      <c r="Z4" s="17" t="str">
        <f>IFERROR(__xludf.DUMMYFUNCTION("""COMPUTED_VALUE"""),"ClosingCleanUp")</f>
        <v>ClosingCleanUp</v>
      </c>
      <c r="AA4" s="17" t="str">
        <f>IFERROR(__xludf.DUMMYFUNCTION("""COMPUTED_VALUE"""),"CloseClosingUI")</f>
        <v>CloseClosingUI</v>
      </c>
      <c r="AB4" s="17" t="str">
        <f>IFERROR(__xludf.DUMMYFUNCTION("""COMPUTED_VALUE"""),"SetClosingPreference")</f>
        <v>SetClosingPreference</v>
      </c>
      <c r="AC4" s="17" t="str">
        <f>IFERROR(__xludf.DUMMYFUNCTION("""COMPUTED_VALUE"""),"EditTradeUnexpiredUnsettled")</f>
        <v>EditTradeUnexpiredUnsettled</v>
      </c>
      <c r="AD4" s="17" t="str">
        <f>IFERROR(__xludf.DUMMYFUNCTION("""COMPUTED_VALUE"""),"")</f>
        <v/>
      </c>
      <c r="AE4" s="17" t="str">
        <f>IFERROR(__xludf.DUMMYFUNCTION("""COMPUTED_VALUE"""),"")</f>
        <v/>
      </c>
      <c r="AF4" s="17" t="str">
        <f>IFERROR(__xludf.DUMMYFUNCTION("""COMPUTED_VALUE"""),"")</f>
        <v/>
      </c>
      <c r="AG4" s="17" t="str">
        <f>IFERROR(__xludf.DUMMYFUNCTION("""COMPUTED_VALUE"""),"")</f>
        <v/>
      </c>
      <c r="AH4" s="17" t="str">
        <f>IFERROR(__xludf.DUMMYFUNCTION("""COMPUTED_VALUE"""),"")</f>
        <v/>
      </c>
      <c r="AI4" s="17" t="str">
        <f>IFERROR(__xludf.DUMMYFUNCTION("""COMPUTED_VALUE"""),"")</f>
        <v/>
      </c>
      <c r="AJ4" s="17" t="str">
        <f>IFERROR(__xludf.DUMMYFUNCTION("""COMPUTED_VALUE"""),"")</f>
        <v/>
      </c>
      <c r="AK4" s="17" t="str">
        <f>IFERROR(__xludf.DUMMYFUNCTION("""COMPUTED_VALUE"""),"")</f>
        <v/>
      </c>
      <c r="AL4" s="17" t="str">
        <f>IFERROR(__xludf.DUMMYFUNCTION("""COMPUTED_VALUE"""),"")</f>
        <v/>
      </c>
      <c r="AM4" s="17" t="str">
        <f>IFERROR(__xludf.DUMMYFUNCTION("""COMPUTED_VALUE"""),"")</f>
        <v/>
      </c>
      <c r="AN4" s="17" t="str">
        <f>IFERROR(__xludf.DUMMYFUNCTION("""COMPUTED_VALUE"""),"")</f>
        <v/>
      </c>
      <c r="AO4" s="17" t="str">
        <f>IFERROR(__xludf.DUMMYFUNCTION("""COMPUTED_VALUE"""),"")</f>
        <v/>
      </c>
      <c r="AP4" s="17" t="str">
        <f>IFERROR(__xludf.DUMMYFUNCTION("""COMPUTED_VALUE"""),"")</f>
        <v/>
      </c>
      <c r="AQ4" s="17" t="str">
        <f>IFERROR(__xludf.DUMMYFUNCTION("""COMPUTED_VALUE"""),"")</f>
        <v/>
      </c>
      <c r="AR4" s="17" t="str">
        <f>IFERROR(__xludf.DUMMYFUNCTION("""COMPUTED_VALUE"""),"")</f>
        <v/>
      </c>
      <c r="AS4" s="17" t="str">
        <f>IFERROR(__xludf.DUMMYFUNCTION("""COMPUTED_VALUE"""),"")</f>
        <v/>
      </c>
      <c r="AT4" s="17" t="str">
        <f>IFERROR(__xludf.DUMMYFUNCTION("""COMPUTED_VALUE"""),"")</f>
        <v/>
      </c>
      <c r="AU4" s="17" t="str">
        <f>IFERROR(__xludf.DUMMYFUNCTION("""COMPUTED_VALUE"""),"")</f>
        <v/>
      </c>
      <c r="AV4" s="17" t="str">
        <f>IFERROR(__xludf.DUMMYFUNCTION("""COMPUTED_VALUE"""),"")</f>
        <v/>
      </c>
      <c r="AW4" s="17" t="str">
        <f>IFERROR(__xludf.DUMMYFUNCTION("""COMPUTED_VALUE"""),"")</f>
        <v/>
      </c>
      <c r="AX4" s="17" t="str">
        <f>IFERROR(__xludf.DUMMYFUNCTION("""COMPUTED_VALUE"""),"")</f>
        <v/>
      </c>
      <c r="AY4" s="17" t="str">
        <f>IFERROR(__xludf.DUMMYFUNCTION("""COMPUTED_VALUE"""),"")</f>
        <v/>
      </c>
      <c r="AZ4" s="17" t="str">
        <f>IFERROR(__xludf.DUMMYFUNCTION("""COMPUTED_VALUE"""),"")</f>
        <v/>
      </c>
      <c r="BA4" s="17" t="str">
        <f>IFERROR(__xludf.DUMMYFUNCTION("""COMPUTED_VALUE"""),"")</f>
        <v/>
      </c>
      <c r="BB4" s="17" t="str">
        <f>IFERROR(__xludf.DUMMYFUNCTION("""COMPUTED_VALUE"""),"")</f>
        <v/>
      </c>
      <c r="BC4" s="17" t="str">
        <f>IFERROR(__xludf.DUMMYFUNCTION("""COMPUTED_VALUE"""),"")</f>
        <v/>
      </c>
      <c r="BD4" s="17" t="str">
        <f>IFERROR(__xludf.DUMMYFUNCTION("""COMPUTED_VALUE"""),"")</f>
        <v/>
      </c>
      <c r="BE4" s="17" t="str">
        <f>IFERROR(__xludf.DUMMYFUNCTION("""COMPUTED_VALUE"""),"")</f>
        <v/>
      </c>
      <c r="BF4" s="17" t="str">
        <f>IFERROR(__xludf.DUMMYFUNCTION("""COMPUTED_VALUE"""),"")</f>
        <v/>
      </c>
      <c r="BG4" s="17" t="str">
        <f>IFERROR(__xludf.DUMMYFUNCTION("""COMPUTED_VALUE"""),"")</f>
        <v/>
      </c>
      <c r="BH4" s="17" t="str">
        <f>IFERROR(__xludf.DUMMYFUNCTION("""COMPUTED_VALUE"""),"")</f>
        <v/>
      </c>
      <c r="BI4" s="17" t="str">
        <f>IFERROR(__xludf.DUMMYFUNCTION("""COMPUTED_VALUE"""),"")</f>
        <v/>
      </c>
      <c r="BJ4" s="17" t="str">
        <f>IFERROR(__xludf.DUMMYFUNCTION("""COMPUTED_VALUE"""),"")</f>
        <v/>
      </c>
      <c r="BK4" s="17" t="str">
        <f>IFERROR(__xludf.DUMMYFUNCTION("""COMPUTED_VALUE"""),"")</f>
        <v/>
      </c>
      <c r="BL4" s="17" t="str">
        <f>IFERROR(__xludf.DUMMYFUNCTION("""COMPUTED_VALUE"""),"")</f>
        <v/>
      </c>
      <c r="BM4" s="17" t="str">
        <f>IFERROR(__xludf.DUMMYFUNCTION("""COMPUTED_VALUE"""),"")</f>
        <v/>
      </c>
      <c r="BN4" s="17" t="str">
        <f>IFERROR(__xludf.DUMMYFUNCTION("""COMPUTED_VALUE"""),"")</f>
        <v/>
      </c>
      <c r="BO4" s="17" t="str">
        <f>IFERROR(__xludf.DUMMYFUNCTION("""COMPUTED_VALUE"""),"")</f>
        <v/>
      </c>
      <c r="BP4" s="17" t="str">
        <f>IFERROR(__xludf.DUMMYFUNCTION("""COMPUTED_VALUE"""),"")</f>
        <v/>
      </c>
      <c r="BQ4" s="17" t="str">
        <f>IFERROR(__xludf.DUMMYFUNCTION("""COMPUTED_VALUE"""),"")</f>
        <v/>
      </c>
      <c r="BR4" s="17" t="str">
        <f>IFERROR(__xludf.DUMMYFUNCTION("""COMPUTED_VALUE"""),"")</f>
        <v/>
      </c>
      <c r="BS4" s="17" t="str">
        <f>IFERROR(__xludf.DUMMYFUNCTION("""COMPUTED_VALUE"""),"")</f>
        <v/>
      </c>
      <c r="BT4" s="17" t="str">
        <f>IFERROR(__xludf.DUMMYFUNCTION("""COMPUTED_VALUE"""),"")</f>
        <v/>
      </c>
      <c r="BU4" s="17" t="str">
        <f>IFERROR(__xludf.DUMMYFUNCTION("""COMPUTED_VALUE"""),"")</f>
        <v/>
      </c>
      <c r="BV4" s="17" t="str">
        <f>IFERROR(__xludf.DUMMYFUNCTION("""COMPUTED_VALUE"""),"")</f>
        <v/>
      </c>
      <c r="BW4" s="17" t="str">
        <f>IFERROR(__xludf.DUMMYFUNCTION("""COMPUTED_VALUE"""),"")</f>
        <v/>
      </c>
      <c r="BX4" s="17" t="str">
        <f>IFERROR(__xludf.DUMMYFUNCTION("""COMPUTED_VALUE"""),"")</f>
        <v/>
      </c>
      <c r="BY4" s="17" t="str">
        <f>IFERROR(__xludf.DUMMYFUNCTION("""COMPUTED_VALUE"""),"")</f>
        <v/>
      </c>
      <c r="BZ4" s="17" t="str">
        <f>IFERROR(__xludf.DUMMYFUNCTION("""COMPUTED_VALUE"""),"")</f>
        <v/>
      </c>
      <c r="CA4" s="17" t="str">
        <f>IFERROR(__xludf.DUMMYFUNCTION("""COMPUTED_VALUE"""),"")</f>
        <v/>
      </c>
      <c r="CB4" s="17" t="str">
        <f>IFERROR(__xludf.DUMMYFUNCTION("""COMPUTED_VALUE"""),"")</f>
        <v/>
      </c>
      <c r="CC4" s="17" t="str">
        <f>IFERROR(__xludf.DUMMYFUNCTION("""COMPUTED_VALUE"""),"")</f>
        <v/>
      </c>
      <c r="CD4" s="17" t="str">
        <f>IFERROR(__xludf.DUMMYFUNCTION("""COMPUTED_VALUE"""),"")</f>
        <v/>
      </c>
      <c r="CE4" s="17" t="str">
        <f>IFERROR(__xludf.DUMMYFUNCTION("""COMPUTED_VALUE"""),"")</f>
        <v/>
      </c>
      <c r="CF4" s="17" t="str">
        <f>IFERROR(__xludf.DUMMYFUNCTION("""COMPUTED_VALUE"""),"")</f>
        <v/>
      </c>
      <c r="CG4" s="17" t="str">
        <f>IFERROR(__xludf.DUMMYFUNCTION("""COMPUTED_VALUE"""),"")</f>
        <v/>
      </c>
      <c r="CH4" s="17" t="str">
        <f>IFERROR(__xludf.DUMMYFUNCTION("""COMPUTED_VALUE"""),"")</f>
        <v/>
      </c>
      <c r="CI4" s="17" t="str">
        <f>IFERROR(__xludf.DUMMYFUNCTION("""COMPUTED_VALUE"""),"")</f>
        <v/>
      </c>
      <c r="CJ4" s="17" t="str">
        <f>IFERROR(__xludf.DUMMYFUNCTION("""COMPUTED_VALUE"""),"")</f>
        <v/>
      </c>
      <c r="CK4" s="17" t="str">
        <f>IFERROR(__xludf.DUMMYFUNCTION("""COMPUTED_VALUE"""),"")</f>
        <v/>
      </c>
      <c r="CL4" s="17" t="str">
        <f>IFERROR(__xludf.DUMMYFUNCTION("""COMPUTED_VALUE"""),"")</f>
        <v/>
      </c>
      <c r="CM4" s="17" t="str">
        <f>IFERROR(__xludf.DUMMYFUNCTION("""COMPUTED_VALUE"""),"")</f>
        <v/>
      </c>
      <c r="CN4" s="17" t="str">
        <f>IFERROR(__xludf.DUMMYFUNCTION("""COMPUTED_VALUE"""),"")</f>
        <v/>
      </c>
      <c r="CO4" s="17" t="str">
        <f>IFERROR(__xludf.DUMMYFUNCTION("""COMPUTED_VALUE"""),"")</f>
        <v/>
      </c>
      <c r="CP4" s="17" t="str">
        <f>IFERROR(__xludf.DUMMYFUNCTION("""COMPUTED_VALUE"""),"")</f>
        <v/>
      </c>
      <c r="CQ4" s="17" t="str">
        <f>IFERROR(__xludf.DUMMYFUNCTION("""COMPUTED_VALUE"""),"")</f>
        <v/>
      </c>
      <c r="CR4" s="17" t="str">
        <f>IFERROR(__xludf.DUMMYFUNCTION("""COMPUTED_VALUE"""),"")</f>
        <v/>
      </c>
      <c r="CS4" s="17" t="str">
        <f>IFERROR(__xludf.DUMMYFUNCTION("""COMPUTED_VALUE"""),"")</f>
        <v/>
      </c>
      <c r="CT4" s="17" t="str">
        <f>IFERROR(__xludf.DUMMYFUNCTION("""COMPUTED_VALUE"""),"")</f>
        <v/>
      </c>
      <c r="CU4" s="17" t="str">
        <f>IFERROR(__xludf.DUMMYFUNCTION("""COMPUTED_VALUE"""),"")</f>
        <v/>
      </c>
      <c r="CV4" s="17" t="str">
        <f>IFERROR(__xludf.DUMMYFUNCTION("""COMPUTED_VALUE"""),"")</f>
        <v/>
      </c>
      <c r="CW4" s="17" t="str">
        <f>IFERROR(__xludf.DUMMYFUNCTION("""COMPUTED_VALUE"""),"")</f>
        <v/>
      </c>
      <c r="CX4" s="17" t="str">
        <f>IFERROR(__xludf.DUMMYFUNCTION("""COMPUTED_VALUE"""),"")</f>
        <v/>
      </c>
      <c r="CY4" s="17" t="str">
        <f>IFERROR(__xludf.DUMMYFUNCTION("""COMPUTED_VALUE"""),"")</f>
        <v/>
      </c>
      <c r="CZ4" s="17" t="str">
        <f>IFERROR(__xludf.DUMMYFUNCTION("""COMPUTED_VALUE"""),"")</f>
        <v/>
      </c>
      <c r="DA4" s="17" t="str">
        <f>IFERROR(__xludf.DUMMYFUNCTION("""COMPUTED_VALUE"""),"")</f>
        <v/>
      </c>
      <c r="DB4" s="17" t="str">
        <f>IFERROR(__xludf.DUMMYFUNCTION("""COMPUTED_VALUE"""),"")</f>
        <v/>
      </c>
      <c r="DC4" s="17" t="str">
        <f>IFERROR(__xludf.DUMMYFUNCTION("""COMPUTED_VALUE"""),"")</f>
        <v/>
      </c>
      <c r="DD4" s="17" t="str">
        <f>IFERROR(__xludf.DUMMYFUNCTION("""COMPUTED_VALUE"""),"")</f>
        <v/>
      </c>
      <c r="DE4" s="17" t="str">
        <f>IFERROR(__xludf.DUMMYFUNCTION("""COMPUTED_VALUE"""),"")</f>
        <v/>
      </c>
      <c r="DF4" s="17" t="str">
        <f>IFERROR(__xludf.DUMMYFUNCTION("""COMPUTED_VALUE"""),"")</f>
        <v/>
      </c>
      <c r="DG4" s="17" t="str">
        <f>IFERROR(__xludf.DUMMYFUNCTION("""COMPUTED_VALUE"""),"")</f>
        <v/>
      </c>
      <c r="DH4" s="17" t="str">
        <f>IFERROR(__xludf.DUMMYFUNCTION("""COMPUTED_VALUE"""),"")</f>
        <v/>
      </c>
      <c r="DI4" s="17" t="str">
        <f>IFERROR(__xludf.DUMMYFUNCTION("""COMPUTED_VALUE"""),"")</f>
        <v/>
      </c>
      <c r="DJ4" s="17" t="str">
        <f>IFERROR(__xludf.DUMMYFUNCTION("""COMPUTED_VALUE"""),"")</f>
        <v/>
      </c>
      <c r="DK4" s="17" t="str">
        <f>IFERROR(__xludf.DUMMYFUNCTION("""COMPUTED_VALUE"""),"")</f>
        <v/>
      </c>
      <c r="DL4" s="17" t="str">
        <f>IFERROR(__xludf.DUMMYFUNCTION("""COMPUTED_VALUE"""),"")</f>
        <v/>
      </c>
      <c r="DM4" s="17" t="str">
        <f>IFERROR(__xludf.DUMMYFUNCTION("""COMPUTED_VALUE"""),"")</f>
        <v/>
      </c>
      <c r="DN4" s="17" t="str">
        <f>IFERROR(__xludf.DUMMYFUNCTION("""COMPUTED_VALUE"""),"")</f>
        <v/>
      </c>
      <c r="DO4" s="17" t="str">
        <f>IFERROR(__xludf.DUMMYFUNCTION("""COMPUTED_VALUE"""),"")</f>
        <v/>
      </c>
      <c r="DP4" s="17" t="str">
        <f>IFERROR(__xludf.DUMMYFUNCTION("""COMPUTED_VALUE"""),"")</f>
        <v/>
      </c>
      <c r="DQ4" s="17" t="str">
        <f>IFERROR(__xludf.DUMMYFUNCTION("""COMPUTED_VALUE"""),"")</f>
        <v/>
      </c>
      <c r="DR4" s="17" t="str">
        <f>IFERROR(__xludf.DUMMYFUNCTION("""COMPUTED_VALUE"""),"")</f>
        <v/>
      </c>
      <c r="DS4" s="17" t="str">
        <f>IFERROR(__xludf.DUMMYFUNCTION("""COMPUTED_VALUE"""),"")</f>
        <v/>
      </c>
      <c r="DT4" s="17" t="str">
        <f>IFERROR(__xludf.DUMMYFUNCTION("""COMPUTED_VALUE"""),"")</f>
        <v/>
      </c>
      <c r="DU4" s="17" t="str">
        <f>IFERROR(__xludf.DUMMYFUNCTION("""COMPUTED_VALUE"""),"")</f>
        <v/>
      </c>
      <c r="DV4" s="17" t="str">
        <f>IFERROR(__xludf.DUMMYFUNCTION("""COMPUTED_VALUE"""),"")</f>
        <v/>
      </c>
      <c r="DW4" s="17" t="str">
        <f>IFERROR(__xludf.DUMMYFUNCTION("""COMPUTED_VALUE"""),"")</f>
        <v/>
      </c>
      <c r="DX4" s="17" t="str">
        <f>IFERROR(__xludf.DUMMYFUNCTION("""COMPUTED_VALUE"""),"")</f>
        <v/>
      </c>
      <c r="DY4" s="17" t="str">
        <f>IFERROR(__xludf.DUMMYFUNCTION("""COMPUTED_VALUE"""),"")</f>
        <v/>
      </c>
      <c r="DZ4" s="17" t="str">
        <f>IFERROR(__xludf.DUMMYFUNCTION("""COMPUTED_VALUE"""),"")</f>
        <v/>
      </c>
      <c r="EA4" s="17" t="str">
        <f>IFERROR(__xludf.DUMMYFUNCTION("""COMPUTED_VALUE"""),"")</f>
        <v/>
      </c>
      <c r="EB4" s="17" t="str">
        <f>IFERROR(__xludf.DUMMYFUNCTION("""COMPUTED_VALUE"""),"")</f>
        <v/>
      </c>
      <c r="EC4" s="17" t="str">
        <f>IFERROR(__xludf.DUMMYFUNCTION("""COMPUTED_VALUE"""),"")</f>
        <v/>
      </c>
      <c r="ED4" s="17" t="str">
        <f>IFERROR(__xludf.DUMMYFUNCTION("""COMPUTED_VALUE"""),"")</f>
        <v/>
      </c>
      <c r="EE4" s="17" t="str">
        <f>IFERROR(__xludf.DUMMYFUNCTION("""COMPUTED_VALUE"""),"")</f>
        <v/>
      </c>
      <c r="EF4" s="17" t="str">
        <f>IFERROR(__xludf.DUMMYFUNCTION("""COMPUTED_VALUE"""),"")</f>
        <v/>
      </c>
      <c r="EG4" s="17" t="str">
        <f>IFERROR(__xludf.DUMMYFUNCTION("""COMPUTED_VALUE"""),"")</f>
        <v/>
      </c>
      <c r="EH4" s="17" t="str">
        <f>IFERROR(__xludf.DUMMYFUNCTION("""COMPUTED_VALUE"""),"")</f>
        <v/>
      </c>
      <c r="EI4" s="17" t="str">
        <f>IFERROR(__xludf.DUMMYFUNCTION("""COMPUTED_VALUE"""),"")</f>
        <v/>
      </c>
      <c r="EJ4" s="17" t="str">
        <f>IFERROR(__xludf.DUMMYFUNCTION("""COMPUTED_VALUE"""),"")</f>
        <v/>
      </c>
      <c r="EK4" s="17" t="str">
        <f>IFERROR(__xludf.DUMMYFUNCTION("""COMPUTED_VALUE"""),"")</f>
        <v/>
      </c>
      <c r="EL4" s="17" t="str">
        <f>IFERROR(__xludf.DUMMYFUNCTION("""COMPUTED_VALUE"""),"")</f>
        <v/>
      </c>
      <c r="EM4" s="17" t="str">
        <f>IFERROR(__xludf.DUMMYFUNCTION("""COMPUTED_VALUE"""),"")</f>
        <v/>
      </c>
      <c r="EN4" s="17" t="str">
        <f>IFERROR(__xludf.DUMMYFUNCTION("""COMPUTED_VALUE"""),"")</f>
        <v/>
      </c>
      <c r="EO4" s="17" t="str">
        <f>IFERROR(__xludf.DUMMYFUNCTION("""COMPUTED_VALUE"""),"")</f>
        <v/>
      </c>
      <c r="EP4" s="17" t="str">
        <f>IFERROR(__xludf.DUMMYFUNCTION("""COMPUTED_VALUE"""),"")</f>
        <v/>
      </c>
      <c r="EQ4" s="17" t="str">
        <f>IFERROR(__xludf.DUMMYFUNCTION("""COMPUTED_VALUE"""),"")</f>
        <v/>
      </c>
      <c r="ER4" s="17" t="str">
        <f>IFERROR(__xludf.DUMMYFUNCTION("""COMPUTED_VALUE"""),"")</f>
        <v/>
      </c>
      <c r="ES4" s="17" t="str">
        <f>IFERROR(__xludf.DUMMYFUNCTION("""COMPUTED_VALUE"""),"")</f>
        <v/>
      </c>
      <c r="ET4" s="17" t="str">
        <f>IFERROR(__xludf.DUMMYFUNCTION("""COMPUTED_VALUE"""),"")</f>
        <v/>
      </c>
      <c r="EU4" s="17" t="str">
        <f>IFERROR(__xludf.DUMMYFUNCTION("""COMPUTED_VALUE"""),"")</f>
        <v/>
      </c>
      <c r="EV4" s="17" t="str">
        <f>IFERROR(__xludf.DUMMYFUNCTION("""COMPUTED_VALUE"""),"")</f>
        <v/>
      </c>
      <c r="EW4" s="17" t="str">
        <f>IFERROR(__xludf.DUMMYFUNCTION("""COMPUTED_VALUE"""),"")</f>
        <v/>
      </c>
      <c r="EX4" s="17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IFERROR(__xludf.DUMMYFUNCTION("""COMPUTED_VALUE"""),"AccruedInterest")</f>
        <v>AccruedInterest</v>
      </c>
      <c r="D5" s="26" t="str">
        <f>IFERROR(__xludf.DUMMYFUNCTION("""COMPUTED_VALUE"""),"Analyst")</f>
        <v>Analyst</v>
      </c>
      <c r="E5" s="26" t="str">
        <f>IFERROR(__xludf.DUMMYFUNCTION("""COMPUTED_VALUE"""),"Asset Class")</f>
        <v>Asset Class</v>
      </c>
      <c r="F5" s="27" t="str">
        <f>IFERROR(__xludf.DUMMYFUNCTION("""COMPUTED_VALUE"""),"Asset Derivative")</f>
        <v>Asset Derivative</v>
      </c>
      <c r="G5" s="26" t="str">
        <f>IFERROR(__xludf.DUMMYFUNCTION("""COMPUTED_VALUE"""),"AUECID")</f>
        <v>AUECID</v>
      </c>
      <c r="H5" s="26" t="str">
        <f>IFERROR(__xludf.DUMMYFUNCTION("""COMPUTED_VALUE"""),"AUECModifiedDate")</f>
        <v>AUECModifiedDate</v>
      </c>
      <c r="I5" s="26" t="str">
        <f>IFERROR(__xludf.DUMMYFUNCTION("""COMPUTED_VALUE"""),"Average Price")</f>
        <v>Average Price</v>
      </c>
      <c r="J5" s="26" t="str">
        <f>IFERROR(__xludf.DUMMYFUNCTION("""COMPUTED_VALUE"""),"BloombergSymbol")</f>
        <v>BloombergSymbol</v>
      </c>
      <c r="K5" s="26" t="str">
        <f>IFERROR(__xludf.DUMMYFUNCTION("""COMPUTED_VALUE"""),"Broker")</f>
        <v>Broker</v>
      </c>
      <c r="L5" s="26" t="str">
        <f>IFERROR(__xludf.DUMMYFUNCTION("""COMPUTED_VALUE"""),"CalcBasis")</f>
        <v>CalcBasis</v>
      </c>
      <c r="M5" s="26" t="str">
        <f>IFERROR(__xludf.DUMMYFUNCTION("""COMPUTED_VALUE"""),"CashSettledPrice")</f>
        <v>CashSettledPrice</v>
      </c>
      <c r="N5" s="26" t="str">
        <f>IFERROR(__xludf.DUMMYFUNCTION("""COMPUTED_VALUE"""),"ChangeComment")</f>
        <v>ChangeComment</v>
      </c>
      <c r="O5" s="26" t="str">
        <f>IFERROR(__xludf.DUMMYFUNCTION("""COMPUTED_VALUE"""),"ChangeType")</f>
        <v>ChangeType</v>
      </c>
      <c r="P5" s="26" t="str">
        <f>IFERROR(__xludf.DUMMYFUNCTION("""COMPUTED_VALUE"""),"ClearingBrokerFee")</f>
        <v>ClearingBrokerFee</v>
      </c>
      <c r="Q5" s="26" t="str">
        <f>IFERROR(__xludf.DUMMYFUNCTION("""COMPUTED_VALUE"""),"ClearingFee")</f>
        <v>ClearingFee</v>
      </c>
      <c r="R5" s="26" t="str">
        <f>IFERROR(__xludf.DUMMYFUNCTION("""COMPUTED_VALUE"""),"ClosedTotalCommissionandFees")</f>
        <v>ClosedTotalCommissionandFees</v>
      </c>
      <c r="S5" s="26" t="str">
        <f>IFERROR(__xludf.DUMMYFUNCTION("""COMPUTED_VALUE"""),"ClosingAlgo")</f>
        <v>ClosingAlgo</v>
      </c>
      <c r="T5" s="28" t="str">
        <f>IFERROR(__xludf.DUMMYFUNCTION("""COMPUTED_VALUE"""),"ClosingDate")</f>
        <v>ClosingDate</v>
      </c>
      <c r="U5" s="28" t="str">
        <f>IFERROR(__xludf.DUMMYFUNCTION("""COMPUTED_VALUE"""),"ClosingStatus")</f>
        <v>ClosingStatus</v>
      </c>
      <c r="V5" s="28" t="str">
        <f>IFERROR(__xludf.DUMMYFUNCTION("""COMPUTED_VALUE"""),"Commission")</f>
        <v>Commission</v>
      </c>
      <c r="W5" s="28" t="str">
        <f>IFERROR(__xludf.DUMMYFUNCTION("""COMPUTED_VALUE"""),"CommissionAmt")</f>
        <v>CommissionAmt</v>
      </c>
      <c r="X5" s="28" t="str">
        <f>IFERROR(__xludf.DUMMYFUNCTION("""COMPUTED_VALUE"""),"CommissionRate")</f>
        <v>CommissionRate</v>
      </c>
      <c r="Y5" s="28" t="str">
        <f>IFERROR(__xludf.DUMMYFUNCTION("""COMPUTED_VALUE"""),"CompanyUserName")</f>
        <v>CompanyUserName</v>
      </c>
      <c r="Z5" s="28" t="str">
        <f>IFERROR(__xludf.DUMMYFUNCTION("""COMPUTED_VALUE"""),"ContractMultiplier")</f>
        <v>ContractMultiplier</v>
      </c>
      <c r="AA5" s="28" t="str">
        <f>IFERROR(__xludf.DUMMYFUNCTION("""COMPUTED_VALUE"""),"CountryName")</f>
        <v>CountryName</v>
      </c>
      <c r="AB5" s="28" t="str">
        <f>IFERROR(__xludf.DUMMYFUNCTION("""COMPUTED_VALUE"""),"CountryOfRisk")</f>
        <v>CountryOfRisk</v>
      </c>
      <c r="AC5" s="28" t="str">
        <f>IFERROR(__xludf.DUMMYFUNCTION("""COMPUTED_VALUE"""),"CumQty")</f>
        <v>CumQty</v>
      </c>
      <c r="AD5" s="28" t="str">
        <f>IFERROR(__xludf.DUMMYFUNCTION("""COMPUTED_VALUE"""),"CurrencyID")</f>
        <v>CurrencyID</v>
      </c>
      <c r="AE5" s="28" t="str">
        <f>IFERROR(__xludf.DUMMYFUNCTION("""COMPUTED_VALUE"""),"CurrencyName")</f>
        <v>CurrencyName</v>
      </c>
      <c r="AF5" s="28" t="str">
        <f>IFERROR(__xludf.DUMMYFUNCTION("""COMPUTED_VALUE"""),"CusipSymbol")</f>
        <v>CusipSymbol</v>
      </c>
      <c r="AG5" s="28" t="str">
        <f>IFERROR(__xludf.DUMMYFUNCTION("""COMPUTED_VALUE"""),"CustomUDA1")</f>
        <v>CustomUDA1</v>
      </c>
      <c r="AH5" s="28" t="str">
        <f>IFERROR(__xludf.DUMMYFUNCTION("""COMPUTED_VALUE"""),"CustomUDA2")</f>
        <v>CustomUDA2</v>
      </c>
      <c r="AI5" s="28" t="str">
        <f>IFERROR(__xludf.DUMMYFUNCTION("""COMPUTED_VALUE"""),"CustomUDA3")</f>
        <v>CustomUDA3</v>
      </c>
      <c r="AJ5" s="28" t="str">
        <f>IFERROR(__xludf.DUMMYFUNCTION("""COMPUTED_VALUE"""),"CustomUDA4")</f>
        <v>CustomUDA4</v>
      </c>
      <c r="AK5" s="28" t="str">
        <f>IFERROR(__xludf.DUMMYFUNCTION("""COMPUTED_VALUE"""),"CustomUDA5")</f>
        <v>CustomUDA5</v>
      </c>
      <c r="AL5" s="28" t="str">
        <f>IFERROR(__xludf.DUMMYFUNCTION("""COMPUTED_VALUE"""),"CustomUDA6")</f>
        <v>CustomUDA6</v>
      </c>
      <c r="AM5" s="28" t="str">
        <f>IFERROR(__xludf.DUMMYFUNCTION("""COMPUTED_VALUE"""),"CustomUDA7")</f>
        <v>CustomUDA7</v>
      </c>
      <c r="AN5" s="28" t="str">
        <f>IFERROR(__xludf.DUMMYFUNCTION("""COMPUTED_VALUE"""),"Delta")</f>
        <v>Delta</v>
      </c>
      <c r="AO5" s="28" t="str">
        <f>IFERROR(__xludf.DUMMYFUNCTION("""COMPUTED_VALUE"""),"Description")</f>
        <v>Description</v>
      </c>
      <c r="AP5" s="28" t="str">
        <f>IFERROR(__xludf.DUMMYFUNCTION("""COMPUTED_VALUE"""),"ExchangeName")</f>
        <v>ExchangeName</v>
      </c>
      <c r="AQ5" s="28" t="str">
        <f>IFERROR(__xludf.DUMMYFUNCTION("""COMPUTED_VALUE"""),"ExecutedQty")</f>
        <v>ExecutedQty</v>
      </c>
      <c r="AR5" s="28" t="str">
        <f>IFERROR(__xludf.DUMMYFUNCTION("""COMPUTED_VALUE"""),"ExpirationDate")</f>
        <v>ExpirationDate</v>
      </c>
      <c r="AS5" s="28" t="str">
        <f>IFERROR(__xludf.DUMMYFUNCTION("""COMPUTED_VALUE"""),"ExternalTransID")</f>
        <v>ExternalTransID</v>
      </c>
      <c r="AT5" s="28" t="str">
        <f>IFERROR(__xludf.DUMMYFUNCTION("""COMPUTED_VALUE"""),"FXConversionMethodOperator")</f>
        <v>FXConversionMethodOperator</v>
      </c>
      <c r="AU5" s="28" t="str">
        <f>IFERROR(__xludf.DUMMYFUNCTION("""COMPUTED_VALUE"""),"FXRate")</f>
        <v>FXRate</v>
      </c>
      <c r="AV5" s="28" t="str">
        <f>IFERROR(__xludf.DUMMYFUNCTION("""COMPUTED_VALUE"""),"GroupID")</f>
        <v>GroupID</v>
      </c>
      <c r="AW5" s="28" t="str">
        <f>IFERROR(__xludf.DUMMYFUNCTION("""COMPUTED_VALUE"""),"IDCOSymbol")</f>
        <v>IDCOSymbol</v>
      </c>
      <c r="AX5" s="28" t="str">
        <f>IFERROR(__xludf.DUMMYFUNCTION("""COMPUTED_VALUE"""),"InternalComments")</f>
        <v>InternalComments</v>
      </c>
      <c r="AY5" s="28" t="str">
        <f>IFERROR(__xludf.DUMMYFUNCTION("""COMPUTED_VALUE"""),"IsExerciseAtZero")</f>
        <v>IsExerciseAtZero</v>
      </c>
      <c r="AZ5" s="28" t="str">
        <f>IFERROR(__xludf.DUMMYFUNCTION("""COMPUTED_VALUE"""),"ISINSymbol")</f>
        <v>ISINSymbol</v>
      </c>
      <c r="BA5" s="28" t="str">
        <f>IFERROR(__xludf.DUMMYFUNCTION("""COMPUTED_VALUE"""),"IsNDF")</f>
        <v>IsNDF</v>
      </c>
      <c r="BB5" s="28" t="str">
        <f>IFERROR(__xludf.DUMMYFUNCTION("""COMPUTED_VALUE"""),"IsPosition")</f>
        <v>IsPosition</v>
      </c>
      <c r="BC5" s="28" t="str">
        <f>IFERROR(__xludf.DUMMYFUNCTION("""COMPUTED_VALUE"""),"IsPreAllocated")</f>
        <v>IsPreAllocated</v>
      </c>
      <c r="BD5" s="28" t="str">
        <f>IFERROR(__xludf.DUMMYFUNCTION("""COMPUTED_VALUE"""),"Issuer")</f>
        <v>Issuer</v>
      </c>
      <c r="BE5" s="28" t="str">
        <f>IFERROR(__xludf.DUMMYFUNCTION("""COMPUTED_VALUE"""),"IsSwapped")</f>
        <v>IsSwapped</v>
      </c>
      <c r="BF5" s="28" t="str">
        <f>IFERROR(__xludf.DUMMYFUNCTION("""COMPUTED_VALUE"""),"LeadCurrencyID")</f>
        <v>LeadCurrencyID</v>
      </c>
      <c r="BG5" s="28" t="str">
        <f>IFERROR(__xludf.DUMMYFUNCTION("""COMPUTED_VALUE"""),"LiquidTag")</f>
        <v>LiquidTag</v>
      </c>
      <c r="BH5" s="28" t="str">
        <f>IFERROR(__xludf.DUMMYFUNCTION("""COMPUTED_VALUE"""),"LongOrShort")</f>
        <v>LongOrShort</v>
      </c>
      <c r="BI5" s="28" t="str">
        <f>IFERROR(__xludf.DUMMYFUNCTION("""COMPUTED_VALUE"""),"LotId")</f>
        <v>LotId</v>
      </c>
      <c r="BJ5" s="28" t="str">
        <f>IFERROR(__xludf.DUMMYFUNCTION("""COMPUTED_VALUE"""),"M2MProfitLoss")</f>
        <v>M2MProfitLoss</v>
      </c>
      <c r="BK5" s="28" t="str">
        <f>IFERROR(__xludf.DUMMYFUNCTION("""COMPUTED_VALUE"""),"MarkPrice")</f>
        <v>MarkPrice</v>
      </c>
      <c r="BL5" s="28" t="str">
        <f>IFERROR(__xludf.DUMMYFUNCTION("""COMPUTED_VALUE"""),"MasterFund")</f>
        <v>MasterFund</v>
      </c>
      <c r="BM5" s="28" t="str">
        <f>IFERROR(__xludf.DUMMYFUNCTION("""COMPUTED_VALUE"""),"MiscFees")</f>
        <v>MiscFees</v>
      </c>
      <c r="BN5" s="28" t="str">
        <f>IFERROR(__xludf.DUMMYFUNCTION("""COMPUTED_VALUE"""),"NavLockStatus")</f>
        <v>NavLockStatus</v>
      </c>
      <c r="BO5" s="28" t="str">
        <f>IFERROR(__xludf.DUMMYFUNCTION("""COMPUTED_VALUE"""),"Net Notional")</f>
        <v>Net Notional</v>
      </c>
      <c r="BP5" s="28" t="str">
        <f>IFERROR(__xludf.DUMMYFUNCTION("""COMPUTED_VALUE"""),"NirvanaProcessDate")</f>
        <v>NirvanaProcessDate</v>
      </c>
      <c r="BQ5" s="28" t="str">
        <f>IFERROR(__xludf.DUMMYFUNCTION("""COMPUTED_VALUE"""),"OccFee")</f>
        <v>OccFee</v>
      </c>
      <c r="BR5" s="28" t="str">
        <f>IFERROR(__xludf.DUMMYFUNCTION("""COMPUTED_VALUE"""),"OptionPremiumAdjustment")</f>
        <v>OptionPremiumAdjustment</v>
      </c>
      <c r="BS5" s="28" t="str">
        <f>IFERROR(__xludf.DUMMYFUNCTION("""COMPUTED_VALUE"""),"OrderSideTagValue")</f>
        <v>OrderSideTagValue</v>
      </c>
      <c r="BT5" s="28" t="str">
        <f>IFERROR(__xludf.DUMMYFUNCTION("""COMPUTED_VALUE"""),"OrderType")</f>
        <v>OrderType</v>
      </c>
      <c r="BU5" s="28" t="str">
        <f>IFERROR(__xludf.DUMMYFUNCTION("""COMPUTED_VALUE"""),"OrfFee")</f>
        <v>OrfFee</v>
      </c>
      <c r="BV5" s="28" t="str">
        <f>IFERROR(__xludf.DUMMYFUNCTION("""COMPUTED_VALUE"""),"Original Side")</f>
        <v>Original Side</v>
      </c>
      <c r="BW5" s="28" t="str">
        <f>IFERROR(__xludf.DUMMYFUNCTION("""COMPUTED_VALUE"""),"OriginalPurchase Date")</f>
        <v>OriginalPurchase Date</v>
      </c>
      <c r="BX5" s="28" t="str">
        <f>IFERROR(__xludf.DUMMYFUNCTION("""COMPUTED_VALUE"""),"OSISymbol")</f>
        <v>OSISymbol</v>
      </c>
      <c r="BY5" s="28" t="str">
        <f>IFERROR(__xludf.DUMMYFUNCTION("""COMPUTED_VALUE"""),"OtherBrokerFees")</f>
        <v>OtherBrokerFees</v>
      </c>
      <c r="BZ5" s="28" t="str">
        <f>IFERROR(__xludf.DUMMYFUNCTION("""COMPUTED_VALUE"""),"ParentRowPK")</f>
        <v>ParentRowPK</v>
      </c>
      <c r="CA5" s="28" t="str">
        <f>IFERROR(__xludf.DUMMYFUNCTION("""COMPUTED_VALUE"""),"Percentage")</f>
        <v>Percentage</v>
      </c>
      <c r="CB5" s="28" t="str">
        <f>IFERROR(__xludf.DUMMYFUNCTION("""COMPUTED_VALUE"""),"PositionTag")</f>
        <v>PositionTag</v>
      </c>
      <c r="CC5" s="28" t="str">
        <f>IFERROR(__xludf.DUMMYFUNCTION("""COMPUTED_VALUE"""),"PositionType")</f>
        <v>PositionType</v>
      </c>
      <c r="CD5" s="28" t="str">
        <f>IFERROR(__xludf.DUMMYFUNCTION("""COMPUTED_VALUE"""),"Process Date")</f>
        <v>Process Date</v>
      </c>
      <c r="CE5" s="28" t="str">
        <f>IFERROR(__xludf.DUMMYFUNCTION("""COMPUTED_VALUE"""),"ProxySymbol")</f>
        <v>ProxySymbol</v>
      </c>
      <c r="CF5" s="28" t="str">
        <f>IFERROR(__xludf.DUMMYFUNCTION("""COMPUTED_VALUE"""),"PutOrCall")</f>
        <v>PutOrCall</v>
      </c>
      <c r="CG5" s="28" t="str">
        <f>IFERROR(__xludf.DUMMYFUNCTION("""COMPUTED_VALUE"""),"Quantity")</f>
        <v>Quantity</v>
      </c>
      <c r="CH5" s="28" t="str">
        <f>IFERROR(__xludf.DUMMYFUNCTION("""COMPUTED_VALUE"""),"Region")</f>
        <v>Region</v>
      </c>
      <c r="CI5" s="28" t="str">
        <f>IFERROR(__xludf.DUMMYFUNCTION("""COMPUTED_VALUE"""),"ReutersSymbol")</f>
        <v>ReutersSymbol</v>
      </c>
      <c r="CJ5" s="28" t="str">
        <f>IFERROR(__xludf.DUMMYFUNCTION("""COMPUTED_VALUE"""),"RiskCurrency")</f>
        <v>RiskCurrency</v>
      </c>
      <c r="CK5" s="28" t="str">
        <f>IFERROR(__xludf.DUMMYFUNCTION("""COMPUTED_VALUE"""),"SecFee")</f>
        <v>SecFee</v>
      </c>
      <c r="CL5" s="28" t="str">
        <f>IFERROR(__xludf.DUMMYFUNCTION("""COMPUTED_VALUE"""),"SectorName")</f>
        <v>SectorName</v>
      </c>
      <c r="CM5" s="28" t="str">
        <f>IFERROR(__xludf.DUMMYFUNCTION("""COMPUTED_VALUE"""),"Security Name")</f>
        <v>Security Name</v>
      </c>
      <c r="CN5" s="28" t="str">
        <f>IFERROR(__xludf.DUMMYFUNCTION("""COMPUTED_VALUE"""),"SecurityTypeName")</f>
        <v>SecurityTypeName</v>
      </c>
      <c r="CO5" s="28" t="str">
        <f>IFERROR(__xludf.DUMMYFUNCTION("""COMPUTED_VALUE"""),"SedolSymbol")</f>
        <v>SedolSymbol</v>
      </c>
      <c r="CP5" s="28" t="str">
        <f>IFERROR(__xludf.DUMMYFUNCTION("""COMPUTED_VALUE"""),"SettlCurrAmt")</f>
        <v>SettlCurrAmt</v>
      </c>
      <c r="CQ5" s="28" t="str">
        <f>IFERROR(__xludf.DUMMYFUNCTION("""COMPUTED_VALUE"""),"SettlCurrFxRate")</f>
        <v>SettlCurrFxRate</v>
      </c>
      <c r="CR5" s="28" t="str">
        <f>IFERROR(__xludf.DUMMYFUNCTION("""COMPUTED_VALUE"""),"SettlCurrFxRateCalc")</f>
        <v>SettlCurrFxRateCalc</v>
      </c>
      <c r="CS5" s="28" t="str">
        <f>IFERROR(__xludf.DUMMYFUNCTION("""COMPUTED_VALUE"""),"SettlCurrUnitCost")</f>
        <v>SettlCurrUnitCost</v>
      </c>
      <c r="CT5" s="28" t="str">
        <f>IFERROR(__xludf.DUMMYFUNCTION("""COMPUTED_VALUE"""),"Settlement Mode")</f>
        <v>Settlement Mode</v>
      </c>
      <c r="CU5" s="28" t="str">
        <f>IFERROR(__xludf.DUMMYFUNCTION("""COMPUTED_VALUE"""),"Settlement Qty")</f>
        <v>Settlement Qty</v>
      </c>
      <c r="CV5" s="28" t="str">
        <f>IFERROR(__xludf.DUMMYFUNCTION("""COMPUTED_VALUE"""),"SettlementCurrencyID")</f>
        <v>SettlementCurrencyID</v>
      </c>
      <c r="CW5" s="28" t="str">
        <f>IFERROR(__xludf.DUMMYFUNCTION("""COMPUTED_VALUE"""),"SettlementDate")</f>
        <v>SettlementDate</v>
      </c>
      <c r="CX5" s="28" t="str">
        <f>IFERROR(__xludf.DUMMYFUNCTION("""COMPUTED_VALUE"""),"SideMultiplier")</f>
        <v>SideMultiplier</v>
      </c>
      <c r="CY5" s="28" t="str">
        <f>IFERROR(__xludf.DUMMYFUNCTION("""COMPUTED_VALUE"""),"SoftCommission")</f>
        <v>SoftCommission</v>
      </c>
      <c r="CZ5" s="28" t="str">
        <f>IFERROR(__xludf.DUMMYFUNCTION("""COMPUTED_VALUE"""),"SoftCommissionAmt")</f>
        <v>SoftCommissionAmt</v>
      </c>
      <c r="DA5" s="28" t="str">
        <f>IFERROR(__xludf.DUMMYFUNCTION("""COMPUTED_VALUE"""),"SoftCommissionCalcBasis")</f>
        <v>SoftCommissionCalcBasis</v>
      </c>
      <c r="DB5" s="28" t="str">
        <f>IFERROR(__xludf.DUMMYFUNCTION("""COMPUTED_VALUE"""),"SoftCommissionRate")</f>
        <v>SoftCommissionRate</v>
      </c>
      <c r="DC5" s="28" t="str">
        <f>IFERROR(__xludf.DUMMYFUNCTION("""COMPUTED_VALUE"""),"StampDuty")</f>
        <v>StampDuty</v>
      </c>
      <c r="DD5" s="28" t="str">
        <f>IFERROR(__xludf.DUMMYFUNCTION("""COMPUTED_VALUE"""),"Strategy")</f>
        <v>Strategy</v>
      </c>
      <c r="DE5" s="28" t="str">
        <f>IFERROR(__xludf.DUMMYFUNCTION("""COMPUTED_VALUE"""),"StrikePrice")</f>
        <v>StrikePrice</v>
      </c>
      <c r="DF5" s="28" t="str">
        <f>IFERROR(__xludf.DUMMYFUNCTION("""COMPUTED_VALUE"""),"SubSectorName")</f>
        <v>SubSectorName</v>
      </c>
      <c r="DG5" s="28" t="str">
        <f>IFERROR(__xludf.DUMMYFUNCTION("""COMPUTED_VALUE"""),"SwapParameters")</f>
        <v>SwapParameters</v>
      </c>
      <c r="DH5" s="28" t="str">
        <f>IFERROR(__xludf.DUMMYFUNCTION("""COMPUTED_VALUE"""),"Symbol")</f>
        <v>Symbol</v>
      </c>
      <c r="DI5" s="28" t="str">
        <f>IFERROR(__xludf.DUMMYFUNCTION("""COMPUTED_VALUE"""),"TaxlotClosingId")</f>
        <v>TaxlotClosingId</v>
      </c>
      <c r="DJ5" s="28" t="str">
        <f>IFERROR(__xludf.DUMMYFUNCTION("""COMPUTED_VALUE"""),"TaxLotID")</f>
        <v>TaxLotID</v>
      </c>
      <c r="DK5" s="28" t="str">
        <f>IFERROR(__xludf.DUMMYFUNCTION("""COMPUTED_VALUE"""),"TaxlotPk")</f>
        <v>TaxlotPk</v>
      </c>
      <c r="DL5" s="28" t="str">
        <f>IFERROR(__xludf.DUMMYFUNCTION("""COMPUTED_VALUE"""),"TaxLotQtyToClose")</f>
        <v>TaxLotQtyToClose</v>
      </c>
      <c r="DM5" s="28" t="str">
        <f>IFERROR(__xludf.DUMMYFUNCTION("""COMPUTED_VALUE"""),"TaxonCommissions")</f>
        <v>TaxonCommissions</v>
      </c>
      <c r="DN5" s="28" t="str">
        <f>IFERROR(__xludf.DUMMYFUNCTION("""COMPUTED_VALUE"""),"TimeOfSaveUTC")</f>
        <v>TimeOfSaveUTC</v>
      </c>
      <c r="DO5" s="28" t="str">
        <f>IFERROR(__xludf.DUMMYFUNCTION("""COMPUTED_VALUE"""),"TotalCommission&amp;Fees")</f>
        <v>TotalCommission&amp;Fees</v>
      </c>
      <c r="DP5" s="28" t="str">
        <f>IFERROR(__xludf.DUMMYFUNCTION("""COMPUTED_VALUE"""),"TotalCommissionandFees")</f>
        <v>TotalCommissionandFees</v>
      </c>
      <c r="DQ5" s="28" t="str">
        <f>IFERROR(__xludf.DUMMYFUNCTION("""COMPUTED_VALUE"""),"Tradedate")</f>
        <v>Tradedate</v>
      </c>
      <c r="DR5" s="28" t="str">
        <f>IFERROR(__xludf.DUMMYFUNCTION("""COMPUTED_VALUE"""),"TradeAttribute1")</f>
        <v>TradeAttribute1</v>
      </c>
      <c r="DS5" s="28" t="str">
        <f>IFERROR(__xludf.DUMMYFUNCTION("""COMPUTED_VALUE"""),"TradeAttribute2")</f>
        <v>TradeAttribute2</v>
      </c>
      <c r="DT5" s="28" t="str">
        <f>IFERROR(__xludf.DUMMYFUNCTION("""COMPUTED_VALUE"""),"TradeAttribute3")</f>
        <v>TradeAttribute3</v>
      </c>
      <c r="DU5" s="28" t="str">
        <f>IFERROR(__xludf.DUMMYFUNCTION("""COMPUTED_VALUE"""),"TradeAttribute4")</f>
        <v>TradeAttribute4</v>
      </c>
      <c r="DV5" s="28" t="str">
        <f>IFERROR(__xludf.DUMMYFUNCTION("""COMPUTED_VALUE"""),"TradeAttribute5")</f>
        <v>TradeAttribute5</v>
      </c>
      <c r="DW5" s="28" t="str">
        <f>IFERROR(__xludf.DUMMYFUNCTION("""COMPUTED_VALUE"""),"TradeAttribute6")</f>
        <v>TradeAttribute6</v>
      </c>
      <c r="DX5" s="28" t="str">
        <f>IFERROR(__xludf.DUMMYFUNCTION("""COMPUTED_VALUE"""),"TradingAccountName")</f>
        <v>TradingAccountName</v>
      </c>
      <c r="DY5" s="28" t="str">
        <f>IFERROR(__xludf.DUMMYFUNCTION("""COMPUTED_VALUE"""),"TransactionLevy")</f>
        <v>TransactionLevy</v>
      </c>
      <c r="DZ5" s="28" t="str">
        <f>IFERROR(__xludf.DUMMYFUNCTION("""COMPUTED_VALUE"""),"TransactionType")</f>
        <v>TransactionType</v>
      </c>
      <c r="EA5" s="28" t="str">
        <f>IFERROR(__xludf.DUMMYFUNCTION("""COMPUTED_VALUE"""),"UcitsEligibleTag")</f>
        <v>UcitsEligibleTag</v>
      </c>
      <c r="EB5" s="28" t="str">
        <f>IFERROR(__xludf.DUMMYFUNCTION("""COMPUTED_VALUE"""),"UDAAsset")</f>
        <v>UDAAsset</v>
      </c>
      <c r="EC5" s="28" t="str">
        <f>IFERROR(__xludf.DUMMYFUNCTION("""COMPUTED_VALUE"""),"UnderlyingDelta")</f>
        <v>UnderlyingDelta</v>
      </c>
      <c r="ED5" s="28" t="str">
        <f>IFERROR(__xludf.DUMMYFUNCTION("""COMPUTED_VALUE"""),"UnderlyingName")</f>
        <v>UnderlyingName</v>
      </c>
      <c r="EE5" s="28" t="str">
        <f>IFERROR(__xludf.DUMMYFUNCTION("""COMPUTED_VALUE"""),"UnderlyingSymbol")</f>
        <v>UnderlyingSymbol</v>
      </c>
      <c r="EF5" s="28" t="str">
        <f>IFERROR(__xludf.DUMMYFUNCTION("""COMPUTED_VALUE"""),"UnitCost")</f>
        <v>UnitCost</v>
      </c>
      <c r="EG5" s="28" t="str">
        <f>IFERROR(__xludf.DUMMYFUNCTION("""COMPUTED_VALUE"""),"UnRealizedPNL")</f>
        <v>UnRealizedPNL</v>
      </c>
      <c r="EH5" s="28" t="str">
        <f>IFERROR(__xludf.DUMMYFUNCTION("""COMPUTED_VALUE"""),"Venue")</f>
        <v>Venue</v>
      </c>
      <c r="EI5" s="28" t="str">
        <f>IFERROR(__xludf.DUMMYFUNCTION("""COMPUTED_VALUE"""),"VsCurrencyID")</f>
        <v>VsCurrencyID</v>
      </c>
      <c r="EJ5" s="28" t="str">
        <f>IFERROR(__xludf.DUMMYFUNCTION("""COMPUTED_VALUE"""),"WorkflowState")</f>
        <v>WorkflowState</v>
      </c>
      <c r="EK5" s="28" t="str">
        <f>IFERROR(__xludf.DUMMYFUNCTION("""COMPUTED_VALUE"""),"AvgPriceBase")</f>
        <v>AvgPriceBase</v>
      </c>
      <c r="EL5" s="28" t="str">
        <f>IFERROR(__xludf.DUMMYFUNCTION("""COMPUTED_VALUE"""),"MarketCap")</f>
        <v>MarketCap</v>
      </c>
      <c r="EM5" s="28" t="str">
        <f>IFERROR(__xludf.DUMMYFUNCTION("""COMPUTED_VALUE"""),"UnitCostBase")</f>
        <v>UnitCostBase</v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1" t="s">
        <v>18</v>
      </c>
      <c r="C6" s="34"/>
      <c r="D6" s="31"/>
      <c r="E6" s="34" t="s">
        <v>24</v>
      </c>
      <c r="F6" s="34"/>
      <c r="G6" s="34"/>
      <c r="H6" s="34"/>
      <c r="I6" s="33">
        <v>10.0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9">
        <v>100.0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9">
        <v>100.0</v>
      </c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40" t="s">
        <v>16</v>
      </c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9"/>
      <c r="B1" s="10" t="s">
        <v>5</v>
      </c>
      <c r="C1" s="2"/>
      <c r="D1" s="2"/>
      <c r="E1" s="2"/>
      <c r="F1" s="2"/>
      <c r="G1" s="2"/>
      <c r="H1" s="3"/>
      <c r="I1" s="9"/>
      <c r="J1" s="9"/>
      <c r="K1" s="9"/>
      <c r="L1" s="9"/>
      <c r="M1" s="9"/>
      <c r="N1" s="9"/>
      <c r="O1" s="9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2" t="str">
        <f> VLOOKUP($E$3,'_MasterData'!B4:D1000,3,FALSE)</f>
        <v>#N/A</v>
      </c>
      <c r="K2" s="12"/>
      <c r="L2" s="4"/>
      <c r="M2" s="4"/>
      <c r="N2" s="4"/>
      <c r="O2" s="4"/>
    </row>
    <row r="3" ht="15.75" customHeight="1">
      <c r="A3" s="13"/>
      <c r="B3" s="5" t="s">
        <v>6</v>
      </c>
      <c r="C3" s="14" t="s">
        <v>19</v>
      </c>
      <c r="D3" s="5" t="s">
        <v>8</v>
      </c>
      <c r="E3" s="14" t="s">
        <v>25</v>
      </c>
      <c r="F3" s="5" t="s">
        <v>10</v>
      </c>
      <c r="G3" s="8" t="s">
        <v>11</v>
      </c>
      <c r="H3" s="5"/>
      <c r="I3" s="13"/>
      <c r="J3" s="13"/>
      <c r="K3" s="13"/>
      <c r="L3" s="13"/>
      <c r="M3" s="13"/>
      <c r="N3" s="13"/>
      <c r="O3" s="13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</row>
    <row r="4" ht="15.75" customHeight="1">
      <c r="A4" s="16"/>
      <c r="B4" s="16" t="str">
        <f>IFERROR(__xludf.DUMMYFUNCTION("IF(C3="""","""",Transpose(IMPORTRANGE('_Settings'!$B$3,C3&amp;""!A4:A1000"")))"),"SwapExpire")</f>
        <v>SwapExpire</v>
      </c>
      <c r="C4" s="16" t="str">
        <f>IFERROR(__xludf.DUMMYFUNCTION("""COMPUTED_VALUE"""),"GetDataClosing")</f>
        <v>GetDataClosing</v>
      </c>
      <c r="D4" s="16" t="str">
        <f>IFERROR(__xludf.DUMMYFUNCTION("""COMPUTED_VALUE"""),"ManualClosing")</f>
        <v>ManualClosing</v>
      </c>
      <c r="E4" s="16" t="str">
        <f>IFERROR(__xludf.DUMMYFUNCTION("""COMPUTED_VALUE"""),"AutomaticClosing")</f>
        <v>AutomaticClosing</v>
      </c>
      <c r="F4" s="16" t="str">
        <f>IFERROR(__xludf.DUMMYFUNCTION("""COMPUTED_VALUE"""),"UnwindClosing")</f>
        <v>UnwindClosing</v>
      </c>
      <c r="G4" s="16" t="str">
        <f>IFERROR(__xludf.DUMMYFUNCTION("""COMPUTED_VALUE"""),"VerifyClosedTrades")</f>
        <v>VerifyClosedTrades</v>
      </c>
      <c r="H4" s="16" t="str">
        <f>IFERROR(__xludf.DUMMYFUNCTION("""COMPUTED_VALUE"""),"VerifyLongPositionsGrid")</f>
        <v>VerifyLongPositionsGrid</v>
      </c>
      <c r="I4" s="16" t="str">
        <f>IFERROR(__xludf.DUMMYFUNCTION("""COMPUTED_VALUE"""),"VerifyShortPositionsGrid")</f>
        <v>VerifyShortPositionsGrid</v>
      </c>
      <c r="J4" s="16" t="str">
        <f>IFERROR(__xludf.DUMMYFUNCTION("""COMPUTED_VALUE"""),"SelectTradeUnexpiredUnsettled")</f>
        <v>SelectTradeUnexpiredUnsettled</v>
      </c>
      <c r="K4" s="16" t="str">
        <f>IFERROR(__xludf.DUMMYFUNCTION("""COMPUTED_VALUE"""),"CashSettlementAtCost")</f>
        <v>CashSettlementAtCost</v>
      </c>
      <c r="L4" s="16" t="str">
        <f>IFERROR(__xludf.DUMMYFUNCTION("""COMPUTED_VALUE"""),"CashSettlementAtZeroPrice")</f>
        <v>CashSettlementAtZeroPrice</v>
      </c>
      <c r="M4" s="16" t="str">
        <f>IFERROR(__xludf.DUMMYFUNCTION("""COMPUTED_VALUE"""),"CashSettlementAtClosingDtSpotPx")</f>
        <v>CashSettlementAtClosingDtSpotPx</v>
      </c>
      <c r="N4" s="16" t="str">
        <f>IFERROR(__xludf.DUMMYFUNCTION("""COMPUTED_VALUE"""),"PhysicalSettlement")</f>
        <v>PhysicalSettlement</v>
      </c>
      <c r="O4" s="16" t="str">
        <f>IFERROR(__xludf.DUMMYFUNCTION("""COMPUTED_VALUE"""),"Expire")</f>
        <v>Expire</v>
      </c>
      <c r="P4" s="17" t="str">
        <f>IFERROR(__xludf.DUMMYFUNCTION("""COMPUTED_VALUE"""),"ExerciseAssignment")</f>
        <v>ExerciseAssignment</v>
      </c>
      <c r="Q4" s="17" t="str">
        <f>IFERROR(__xludf.DUMMYFUNCTION("""COMPUTED_VALUE"""),"ExerciseAssignmentAtZero")</f>
        <v>ExerciseAssignmentAtZero</v>
      </c>
      <c r="R4" s="17" t="str">
        <f>IFERROR(__xludf.DUMMYFUNCTION("""COMPUTED_VALUE"""),"SwapExpireAndRollover")</f>
        <v>SwapExpireAndRollover</v>
      </c>
      <c r="S4" s="17" t="str">
        <f>IFERROR(__xludf.DUMMYFUNCTION("""COMPUTED_VALUE"""),"SwapExpire")</f>
        <v>SwapExpire</v>
      </c>
      <c r="T4" s="17" t="str">
        <f>IFERROR(__xludf.DUMMYFUNCTION("""COMPUTED_VALUE"""),"VerifyExpiredSettledGrid")</f>
        <v>VerifyExpiredSettledGrid</v>
      </c>
      <c r="U4" s="17" t="str">
        <f>IFERROR(__xludf.DUMMYFUNCTION("""COMPUTED_VALUE"""),"VerifyUnExpiredUnSettledGrid")</f>
        <v>VerifyUnExpiredUnSettledGrid</v>
      </c>
      <c r="V4" s="17" t="str">
        <f>IFERROR(__xludf.DUMMYFUNCTION("""COMPUTED_VALUE"""),"UnWindTradeSettlement")</f>
        <v>UnWindTradeSettlement</v>
      </c>
      <c r="W4" s="17" t="str">
        <f>IFERROR(__xludf.DUMMYFUNCTION("""COMPUTED_VALUE"""),"CloseOrder")</f>
        <v>CloseOrder</v>
      </c>
      <c r="X4" s="17" t="str">
        <f>IFERROR(__xludf.DUMMYFUNCTION("""COMPUTED_VALUE"""),"VerifyCloseOrder")</f>
        <v>VerifyCloseOrder</v>
      </c>
      <c r="Y4" s="17" t="str">
        <f>IFERROR(__xludf.DUMMYFUNCTION("""COMPUTED_VALUE"""),"UnWindCloseOrder")</f>
        <v>UnWindCloseOrder</v>
      </c>
      <c r="Z4" s="17" t="str">
        <f>IFERROR(__xludf.DUMMYFUNCTION("""COMPUTED_VALUE"""),"ClosingCleanUp")</f>
        <v>ClosingCleanUp</v>
      </c>
      <c r="AA4" s="17" t="str">
        <f>IFERROR(__xludf.DUMMYFUNCTION("""COMPUTED_VALUE"""),"CloseClosingUI")</f>
        <v>CloseClosingUI</v>
      </c>
      <c r="AB4" s="17" t="str">
        <f>IFERROR(__xludf.DUMMYFUNCTION("""COMPUTED_VALUE"""),"SetClosingPreference")</f>
        <v>SetClosingPreference</v>
      </c>
      <c r="AC4" s="17" t="str">
        <f>IFERROR(__xludf.DUMMYFUNCTION("""COMPUTED_VALUE"""),"EditTradeUnexpiredUnsettled")</f>
        <v>EditTradeUnexpiredUnsettled</v>
      </c>
      <c r="AD4" s="17" t="str">
        <f>IFERROR(__xludf.DUMMYFUNCTION("""COMPUTED_VALUE"""),"")</f>
        <v/>
      </c>
      <c r="AE4" s="17" t="str">
        <f>IFERROR(__xludf.DUMMYFUNCTION("""COMPUTED_VALUE"""),"")</f>
        <v/>
      </c>
      <c r="AF4" s="17" t="str">
        <f>IFERROR(__xludf.DUMMYFUNCTION("""COMPUTED_VALUE"""),"")</f>
        <v/>
      </c>
      <c r="AG4" s="17" t="str">
        <f>IFERROR(__xludf.DUMMYFUNCTION("""COMPUTED_VALUE"""),"")</f>
        <v/>
      </c>
      <c r="AH4" s="17" t="str">
        <f>IFERROR(__xludf.DUMMYFUNCTION("""COMPUTED_VALUE"""),"")</f>
        <v/>
      </c>
      <c r="AI4" s="17" t="str">
        <f>IFERROR(__xludf.DUMMYFUNCTION("""COMPUTED_VALUE"""),"")</f>
        <v/>
      </c>
      <c r="AJ4" s="17" t="str">
        <f>IFERROR(__xludf.DUMMYFUNCTION("""COMPUTED_VALUE"""),"")</f>
        <v/>
      </c>
      <c r="AK4" s="17" t="str">
        <f>IFERROR(__xludf.DUMMYFUNCTION("""COMPUTED_VALUE"""),"")</f>
        <v/>
      </c>
      <c r="AL4" s="17" t="str">
        <f>IFERROR(__xludf.DUMMYFUNCTION("""COMPUTED_VALUE"""),"")</f>
        <v/>
      </c>
      <c r="AM4" s="17" t="str">
        <f>IFERROR(__xludf.DUMMYFUNCTION("""COMPUTED_VALUE"""),"")</f>
        <v/>
      </c>
      <c r="AN4" s="17" t="str">
        <f>IFERROR(__xludf.DUMMYFUNCTION("""COMPUTED_VALUE"""),"")</f>
        <v/>
      </c>
      <c r="AO4" s="17" t="str">
        <f>IFERROR(__xludf.DUMMYFUNCTION("""COMPUTED_VALUE"""),"")</f>
        <v/>
      </c>
      <c r="AP4" s="17" t="str">
        <f>IFERROR(__xludf.DUMMYFUNCTION("""COMPUTED_VALUE"""),"")</f>
        <v/>
      </c>
      <c r="AQ4" s="17" t="str">
        <f>IFERROR(__xludf.DUMMYFUNCTION("""COMPUTED_VALUE"""),"")</f>
        <v/>
      </c>
      <c r="AR4" s="17" t="str">
        <f>IFERROR(__xludf.DUMMYFUNCTION("""COMPUTED_VALUE"""),"")</f>
        <v/>
      </c>
      <c r="AS4" s="17" t="str">
        <f>IFERROR(__xludf.DUMMYFUNCTION("""COMPUTED_VALUE"""),"")</f>
        <v/>
      </c>
      <c r="AT4" s="17" t="str">
        <f>IFERROR(__xludf.DUMMYFUNCTION("""COMPUTED_VALUE"""),"")</f>
        <v/>
      </c>
      <c r="AU4" s="17" t="str">
        <f>IFERROR(__xludf.DUMMYFUNCTION("""COMPUTED_VALUE"""),"")</f>
        <v/>
      </c>
      <c r="AV4" s="17" t="str">
        <f>IFERROR(__xludf.DUMMYFUNCTION("""COMPUTED_VALUE"""),"")</f>
        <v/>
      </c>
      <c r="AW4" s="17" t="str">
        <f>IFERROR(__xludf.DUMMYFUNCTION("""COMPUTED_VALUE"""),"")</f>
        <v/>
      </c>
      <c r="AX4" s="17" t="str">
        <f>IFERROR(__xludf.DUMMYFUNCTION("""COMPUTED_VALUE"""),"")</f>
        <v/>
      </c>
      <c r="AY4" s="17" t="str">
        <f>IFERROR(__xludf.DUMMYFUNCTION("""COMPUTED_VALUE"""),"")</f>
        <v/>
      </c>
      <c r="AZ4" s="17" t="str">
        <f>IFERROR(__xludf.DUMMYFUNCTION("""COMPUTED_VALUE"""),"")</f>
        <v/>
      </c>
      <c r="BA4" s="17" t="str">
        <f>IFERROR(__xludf.DUMMYFUNCTION("""COMPUTED_VALUE"""),"")</f>
        <v/>
      </c>
      <c r="BB4" s="17" t="str">
        <f>IFERROR(__xludf.DUMMYFUNCTION("""COMPUTED_VALUE"""),"")</f>
        <v/>
      </c>
      <c r="BC4" s="17" t="str">
        <f>IFERROR(__xludf.DUMMYFUNCTION("""COMPUTED_VALUE"""),"")</f>
        <v/>
      </c>
      <c r="BD4" s="17" t="str">
        <f>IFERROR(__xludf.DUMMYFUNCTION("""COMPUTED_VALUE"""),"")</f>
        <v/>
      </c>
      <c r="BE4" s="17" t="str">
        <f>IFERROR(__xludf.DUMMYFUNCTION("""COMPUTED_VALUE"""),"")</f>
        <v/>
      </c>
      <c r="BF4" s="17" t="str">
        <f>IFERROR(__xludf.DUMMYFUNCTION("""COMPUTED_VALUE"""),"")</f>
        <v/>
      </c>
      <c r="BG4" s="17" t="str">
        <f>IFERROR(__xludf.DUMMYFUNCTION("""COMPUTED_VALUE"""),"")</f>
        <v/>
      </c>
      <c r="BH4" s="17" t="str">
        <f>IFERROR(__xludf.DUMMYFUNCTION("""COMPUTED_VALUE"""),"")</f>
        <v/>
      </c>
      <c r="BI4" s="17" t="str">
        <f>IFERROR(__xludf.DUMMYFUNCTION("""COMPUTED_VALUE"""),"")</f>
        <v/>
      </c>
      <c r="BJ4" s="17" t="str">
        <f>IFERROR(__xludf.DUMMYFUNCTION("""COMPUTED_VALUE"""),"")</f>
        <v/>
      </c>
      <c r="BK4" s="17" t="str">
        <f>IFERROR(__xludf.DUMMYFUNCTION("""COMPUTED_VALUE"""),"")</f>
        <v/>
      </c>
      <c r="BL4" s="17" t="str">
        <f>IFERROR(__xludf.DUMMYFUNCTION("""COMPUTED_VALUE"""),"")</f>
        <v/>
      </c>
      <c r="BM4" s="17" t="str">
        <f>IFERROR(__xludf.DUMMYFUNCTION("""COMPUTED_VALUE"""),"")</f>
        <v/>
      </c>
      <c r="BN4" s="17" t="str">
        <f>IFERROR(__xludf.DUMMYFUNCTION("""COMPUTED_VALUE"""),"")</f>
        <v/>
      </c>
      <c r="BO4" s="17" t="str">
        <f>IFERROR(__xludf.DUMMYFUNCTION("""COMPUTED_VALUE"""),"")</f>
        <v/>
      </c>
      <c r="BP4" s="17" t="str">
        <f>IFERROR(__xludf.DUMMYFUNCTION("""COMPUTED_VALUE"""),"")</f>
        <v/>
      </c>
      <c r="BQ4" s="17" t="str">
        <f>IFERROR(__xludf.DUMMYFUNCTION("""COMPUTED_VALUE"""),"")</f>
        <v/>
      </c>
      <c r="BR4" s="17" t="str">
        <f>IFERROR(__xludf.DUMMYFUNCTION("""COMPUTED_VALUE"""),"")</f>
        <v/>
      </c>
      <c r="BS4" s="17" t="str">
        <f>IFERROR(__xludf.DUMMYFUNCTION("""COMPUTED_VALUE"""),"")</f>
        <v/>
      </c>
      <c r="BT4" s="17" t="str">
        <f>IFERROR(__xludf.DUMMYFUNCTION("""COMPUTED_VALUE"""),"")</f>
        <v/>
      </c>
      <c r="BU4" s="17" t="str">
        <f>IFERROR(__xludf.DUMMYFUNCTION("""COMPUTED_VALUE"""),"")</f>
        <v/>
      </c>
      <c r="BV4" s="17" t="str">
        <f>IFERROR(__xludf.DUMMYFUNCTION("""COMPUTED_VALUE"""),"")</f>
        <v/>
      </c>
      <c r="BW4" s="17" t="str">
        <f>IFERROR(__xludf.DUMMYFUNCTION("""COMPUTED_VALUE"""),"")</f>
        <v/>
      </c>
      <c r="BX4" s="17" t="str">
        <f>IFERROR(__xludf.DUMMYFUNCTION("""COMPUTED_VALUE"""),"")</f>
        <v/>
      </c>
      <c r="BY4" s="17" t="str">
        <f>IFERROR(__xludf.DUMMYFUNCTION("""COMPUTED_VALUE"""),"")</f>
        <v/>
      </c>
      <c r="BZ4" s="17" t="str">
        <f>IFERROR(__xludf.DUMMYFUNCTION("""COMPUTED_VALUE"""),"")</f>
        <v/>
      </c>
      <c r="CA4" s="17" t="str">
        <f>IFERROR(__xludf.DUMMYFUNCTION("""COMPUTED_VALUE"""),"")</f>
        <v/>
      </c>
      <c r="CB4" s="17" t="str">
        <f>IFERROR(__xludf.DUMMYFUNCTION("""COMPUTED_VALUE"""),"")</f>
        <v/>
      </c>
      <c r="CC4" s="17" t="str">
        <f>IFERROR(__xludf.DUMMYFUNCTION("""COMPUTED_VALUE"""),"")</f>
        <v/>
      </c>
      <c r="CD4" s="17" t="str">
        <f>IFERROR(__xludf.DUMMYFUNCTION("""COMPUTED_VALUE"""),"")</f>
        <v/>
      </c>
      <c r="CE4" s="17" t="str">
        <f>IFERROR(__xludf.DUMMYFUNCTION("""COMPUTED_VALUE"""),"")</f>
        <v/>
      </c>
      <c r="CF4" s="17" t="str">
        <f>IFERROR(__xludf.DUMMYFUNCTION("""COMPUTED_VALUE"""),"")</f>
        <v/>
      </c>
      <c r="CG4" s="17" t="str">
        <f>IFERROR(__xludf.DUMMYFUNCTION("""COMPUTED_VALUE"""),"")</f>
        <v/>
      </c>
      <c r="CH4" s="17" t="str">
        <f>IFERROR(__xludf.DUMMYFUNCTION("""COMPUTED_VALUE"""),"")</f>
        <v/>
      </c>
      <c r="CI4" s="17" t="str">
        <f>IFERROR(__xludf.DUMMYFUNCTION("""COMPUTED_VALUE"""),"")</f>
        <v/>
      </c>
      <c r="CJ4" s="17" t="str">
        <f>IFERROR(__xludf.DUMMYFUNCTION("""COMPUTED_VALUE"""),"")</f>
        <v/>
      </c>
      <c r="CK4" s="17" t="str">
        <f>IFERROR(__xludf.DUMMYFUNCTION("""COMPUTED_VALUE"""),"")</f>
        <v/>
      </c>
      <c r="CL4" s="17" t="str">
        <f>IFERROR(__xludf.DUMMYFUNCTION("""COMPUTED_VALUE"""),"")</f>
        <v/>
      </c>
      <c r="CM4" s="17" t="str">
        <f>IFERROR(__xludf.DUMMYFUNCTION("""COMPUTED_VALUE"""),"")</f>
        <v/>
      </c>
      <c r="CN4" s="17" t="str">
        <f>IFERROR(__xludf.DUMMYFUNCTION("""COMPUTED_VALUE"""),"")</f>
        <v/>
      </c>
      <c r="CO4" s="17" t="str">
        <f>IFERROR(__xludf.DUMMYFUNCTION("""COMPUTED_VALUE"""),"")</f>
        <v/>
      </c>
      <c r="CP4" s="17" t="str">
        <f>IFERROR(__xludf.DUMMYFUNCTION("""COMPUTED_VALUE"""),"")</f>
        <v/>
      </c>
      <c r="CQ4" s="17" t="str">
        <f>IFERROR(__xludf.DUMMYFUNCTION("""COMPUTED_VALUE"""),"")</f>
        <v/>
      </c>
      <c r="CR4" s="17" t="str">
        <f>IFERROR(__xludf.DUMMYFUNCTION("""COMPUTED_VALUE"""),"")</f>
        <v/>
      </c>
      <c r="CS4" s="17" t="str">
        <f>IFERROR(__xludf.DUMMYFUNCTION("""COMPUTED_VALUE"""),"")</f>
        <v/>
      </c>
      <c r="CT4" s="17" t="str">
        <f>IFERROR(__xludf.DUMMYFUNCTION("""COMPUTED_VALUE"""),"")</f>
        <v/>
      </c>
      <c r="CU4" s="17" t="str">
        <f>IFERROR(__xludf.DUMMYFUNCTION("""COMPUTED_VALUE"""),"")</f>
        <v/>
      </c>
      <c r="CV4" s="17" t="str">
        <f>IFERROR(__xludf.DUMMYFUNCTION("""COMPUTED_VALUE"""),"")</f>
        <v/>
      </c>
      <c r="CW4" s="17" t="str">
        <f>IFERROR(__xludf.DUMMYFUNCTION("""COMPUTED_VALUE"""),"")</f>
        <v/>
      </c>
      <c r="CX4" s="17" t="str">
        <f>IFERROR(__xludf.DUMMYFUNCTION("""COMPUTED_VALUE"""),"")</f>
        <v/>
      </c>
      <c r="CY4" s="17" t="str">
        <f>IFERROR(__xludf.DUMMYFUNCTION("""COMPUTED_VALUE"""),"")</f>
        <v/>
      </c>
      <c r="CZ4" s="17" t="str">
        <f>IFERROR(__xludf.DUMMYFUNCTION("""COMPUTED_VALUE"""),"")</f>
        <v/>
      </c>
      <c r="DA4" s="17" t="str">
        <f>IFERROR(__xludf.DUMMYFUNCTION("""COMPUTED_VALUE"""),"")</f>
        <v/>
      </c>
      <c r="DB4" s="17" t="str">
        <f>IFERROR(__xludf.DUMMYFUNCTION("""COMPUTED_VALUE"""),"")</f>
        <v/>
      </c>
      <c r="DC4" s="17" t="str">
        <f>IFERROR(__xludf.DUMMYFUNCTION("""COMPUTED_VALUE"""),"")</f>
        <v/>
      </c>
      <c r="DD4" s="17" t="str">
        <f>IFERROR(__xludf.DUMMYFUNCTION("""COMPUTED_VALUE"""),"")</f>
        <v/>
      </c>
      <c r="DE4" s="17" t="str">
        <f>IFERROR(__xludf.DUMMYFUNCTION("""COMPUTED_VALUE"""),"")</f>
        <v/>
      </c>
      <c r="DF4" s="17" t="str">
        <f>IFERROR(__xludf.DUMMYFUNCTION("""COMPUTED_VALUE"""),"")</f>
        <v/>
      </c>
      <c r="DG4" s="17" t="str">
        <f>IFERROR(__xludf.DUMMYFUNCTION("""COMPUTED_VALUE"""),"")</f>
        <v/>
      </c>
      <c r="DH4" s="17" t="str">
        <f>IFERROR(__xludf.DUMMYFUNCTION("""COMPUTED_VALUE"""),"")</f>
        <v/>
      </c>
      <c r="DI4" s="17" t="str">
        <f>IFERROR(__xludf.DUMMYFUNCTION("""COMPUTED_VALUE"""),"")</f>
        <v/>
      </c>
      <c r="DJ4" s="17" t="str">
        <f>IFERROR(__xludf.DUMMYFUNCTION("""COMPUTED_VALUE"""),"")</f>
        <v/>
      </c>
      <c r="DK4" s="17" t="str">
        <f>IFERROR(__xludf.DUMMYFUNCTION("""COMPUTED_VALUE"""),"")</f>
        <v/>
      </c>
      <c r="DL4" s="17" t="str">
        <f>IFERROR(__xludf.DUMMYFUNCTION("""COMPUTED_VALUE"""),"")</f>
        <v/>
      </c>
      <c r="DM4" s="17" t="str">
        <f>IFERROR(__xludf.DUMMYFUNCTION("""COMPUTED_VALUE"""),"")</f>
        <v/>
      </c>
      <c r="DN4" s="17" t="str">
        <f>IFERROR(__xludf.DUMMYFUNCTION("""COMPUTED_VALUE"""),"")</f>
        <v/>
      </c>
      <c r="DO4" s="17" t="str">
        <f>IFERROR(__xludf.DUMMYFUNCTION("""COMPUTED_VALUE"""),"")</f>
        <v/>
      </c>
      <c r="DP4" s="17" t="str">
        <f>IFERROR(__xludf.DUMMYFUNCTION("""COMPUTED_VALUE"""),"")</f>
        <v/>
      </c>
      <c r="DQ4" s="17" t="str">
        <f>IFERROR(__xludf.DUMMYFUNCTION("""COMPUTED_VALUE"""),"")</f>
        <v/>
      </c>
      <c r="DR4" s="17" t="str">
        <f>IFERROR(__xludf.DUMMYFUNCTION("""COMPUTED_VALUE"""),"")</f>
        <v/>
      </c>
      <c r="DS4" s="17" t="str">
        <f>IFERROR(__xludf.DUMMYFUNCTION("""COMPUTED_VALUE"""),"")</f>
        <v/>
      </c>
      <c r="DT4" s="17" t="str">
        <f>IFERROR(__xludf.DUMMYFUNCTION("""COMPUTED_VALUE"""),"")</f>
        <v/>
      </c>
      <c r="DU4" s="17" t="str">
        <f>IFERROR(__xludf.DUMMYFUNCTION("""COMPUTED_VALUE"""),"")</f>
        <v/>
      </c>
      <c r="DV4" s="17" t="str">
        <f>IFERROR(__xludf.DUMMYFUNCTION("""COMPUTED_VALUE"""),"")</f>
        <v/>
      </c>
      <c r="DW4" s="17" t="str">
        <f>IFERROR(__xludf.DUMMYFUNCTION("""COMPUTED_VALUE"""),"")</f>
        <v/>
      </c>
      <c r="DX4" s="17" t="str">
        <f>IFERROR(__xludf.DUMMYFUNCTION("""COMPUTED_VALUE"""),"")</f>
        <v/>
      </c>
      <c r="DY4" s="17" t="str">
        <f>IFERROR(__xludf.DUMMYFUNCTION("""COMPUTED_VALUE"""),"")</f>
        <v/>
      </c>
      <c r="DZ4" s="17" t="str">
        <f>IFERROR(__xludf.DUMMYFUNCTION("""COMPUTED_VALUE"""),"")</f>
        <v/>
      </c>
      <c r="EA4" s="17" t="str">
        <f>IFERROR(__xludf.DUMMYFUNCTION("""COMPUTED_VALUE"""),"")</f>
        <v/>
      </c>
      <c r="EB4" s="17" t="str">
        <f>IFERROR(__xludf.DUMMYFUNCTION("""COMPUTED_VALUE"""),"")</f>
        <v/>
      </c>
      <c r="EC4" s="17" t="str">
        <f>IFERROR(__xludf.DUMMYFUNCTION("""COMPUTED_VALUE"""),"")</f>
        <v/>
      </c>
      <c r="ED4" s="17" t="str">
        <f>IFERROR(__xludf.DUMMYFUNCTION("""COMPUTED_VALUE"""),"")</f>
        <v/>
      </c>
      <c r="EE4" s="17" t="str">
        <f>IFERROR(__xludf.DUMMYFUNCTION("""COMPUTED_VALUE"""),"")</f>
        <v/>
      </c>
      <c r="EF4" s="17" t="str">
        <f>IFERROR(__xludf.DUMMYFUNCTION("""COMPUTED_VALUE"""),"")</f>
        <v/>
      </c>
      <c r="EG4" s="17" t="str">
        <f>IFERROR(__xludf.DUMMYFUNCTION("""COMPUTED_VALUE"""),"")</f>
        <v/>
      </c>
      <c r="EH4" s="17" t="str">
        <f>IFERROR(__xludf.DUMMYFUNCTION("""COMPUTED_VALUE"""),"")</f>
        <v/>
      </c>
      <c r="EI4" s="17" t="str">
        <f>IFERROR(__xludf.DUMMYFUNCTION("""COMPUTED_VALUE"""),"")</f>
        <v/>
      </c>
      <c r="EJ4" s="17" t="str">
        <f>IFERROR(__xludf.DUMMYFUNCTION("""COMPUTED_VALUE"""),"")</f>
        <v/>
      </c>
      <c r="EK4" s="17" t="str">
        <f>IFERROR(__xludf.DUMMYFUNCTION("""COMPUTED_VALUE"""),"")</f>
        <v/>
      </c>
      <c r="EL4" s="17" t="str">
        <f>IFERROR(__xludf.DUMMYFUNCTION("""COMPUTED_VALUE"""),"")</f>
        <v/>
      </c>
      <c r="EM4" s="17" t="str">
        <f>IFERROR(__xludf.DUMMYFUNCTION("""COMPUTED_VALUE"""),"")</f>
        <v/>
      </c>
      <c r="EN4" s="17" t="str">
        <f>IFERROR(__xludf.DUMMYFUNCTION("""COMPUTED_VALUE"""),"")</f>
        <v/>
      </c>
      <c r="EO4" s="17" t="str">
        <f>IFERROR(__xludf.DUMMYFUNCTION("""COMPUTED_VALUE"""),"")</f>
        <v/>
      </c>
      <c r="EP4" s="17" t="str">
        <f>IFERROR(__xludf.DUMMYFUNCTION("""COMPUTED_VALUE"""),"")</f>
        <v/>
      </c>
      <c r="EQ4" s="17" t="str">
        <f>IFERROR(__xludf.DUMMYFUNCTION("""COMPUTED_VALUE"""),"")</f>
        <v/>
      </c>
      <c r="ER4" s="17" t="str">
        <f>IFERROR(__xludf.DUMMYFUNCTION("""COMPUTED_VALUE"""),"")</f>
        <v/>
      </c>
      <c r="ES4" s="17" t="str">
        <f>IFERROR(__xludf.DUMMYFUNCTION("""COMPUTED_VALUE"""),"")</f>
        <v/>
      </c>
      <c r="ET4" s="17" t="str">
        <f>IFERROR(__xludf.DUMMYFUNCTION("""COMPUTED_VALUE"""),"")</f>
        <v/>
      </c>
      <c r="EU4" s="17" t="str">
        <f>IFERROR(__xludf.DUMMYFUNCTION("""COMPUTED_VALUE"""),"")</f>
        <v/>
      </c>
      <c r="EV4" s="17" t="str">
        <f>IFERROR(__xludf.DUMMYFUNCTION("""COMPUTED_VALUE"""),"")</f>
        <v/>
      </c>
      <c r="EW4" s="17" t="str">
        <f>IFERROR(__xludf.DUMMYFUNCTION("""COMPUTED_VALUE"""),"")</f>
        <v/>
      </c>
      <c r="EX4" s="17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IFERROR(__xludf.DUMMYFUNCTION("""COMPUTED_VALUE"""),"AccrudInterest")</f>
        <v>AccrudInterest</v>
      </c>
      <c r="C5" s="26" t="str">
        <f>IFERROR(__xludf.DUMMYFUNCTION("""COMPUTED_VALUE"""),"Analyst")</f>
        <v>Analyst</v>
      </c>
      <c r="D5" s="26" t="str">
        <f>IFERROR(__xludf.DUMMYFUNCTION("""COMPUTED_VALUE"""),"Asset Class")</f>
        <v>Asset Class</v>
      </c>
      <c r="E5" s="26" t="str">
        <f>IFERROR(__xludf.DUMMYFUNCTION("""COMPUTED_VALUE"""),"AUECID")</f>
        <v>AUECID</v>
      </c>
      <c r="F5" s="27" t="str">
        <f>IFERROR(__xludf.DUMMYFUNCTION("""COMPUTED_VALUE"""),"AUECModifiedDate")</f>
        <v>AUECModifiedDate</v>
      </c>
      <c r="G5" s="26" t="str">
        <f>IFERROR(__xludf.DUMMYFUNCTION("""COMPUTED_VALUE"""),"Average Price")</f>
        <v>Average Price</v>
      </c>
      <c r="H5" s="26" t="str">
        <f>IFERROR(__xludf.DUMMYFUNCTION("""COMPUTED_VALUE"""),"BloombergSymbol")</f>
        <v>BloombergSymbol</v>
      </c>
      <c r="I5" s="26" t="str">
        <f>IFERROR(__xludf.DUMMYFUNCTION("""COMPUTED_VALUE"""),"CalcBasis")</f>
        <v>CalcBasis</v>
      </c>
      <c r="J5" s="26" t="str">
        <f>IFERROR(__xludf.DUMMYFUNCTION("""COMPUTED_VALUE"""),"CashSettledPrice")</f>
        <v>CashSettledPrice</v>
      </c>
      <c r="K5" s="26" t="str">
        <f>IFERROR(__xludf.DUMMYFUNCTION("""COMPUTED_VALUE"""),"ChangeComment")</f>
        <v>ChangeComment</v>
      </c>
      <c r="L5" s="26" t="str">
        <f>IFERROR(__xludf.DUMMYFUNCTION("""COMPUTED_VALUE"""),"ChangeType")</f>
        <v>ChangeType</v>
      </c>
      <c r="M5" s="26" t="str">
        <f>IFERROR(__xludf.DUMMYFUNCTION("""COMPUTED_VALUE"""),"ChangeBrokerFee")</f>
        <v>ChangeBrokerFee</v>
      </c>
      <c r="N5" s="26" t="str">
        <f>IFERROR(__xludf.DUMMYFUNCTION("""COMPUTED_VALUE"""),"ClearingFee")</f>
        <v>ClearingFee</v>
      </c>
      <c r="O5" s="26" t="str">
        <f>IFERROR(__xludf.DUMMYFUNCTION("""COMPUTED_VALUE"""),"Close Date")</f>
        <v>Close Date</v>
      </c>
      <c r="P5" s="26" t="str">
        <f>IFERROR(__xludf.DUMMYFUNCTION("""COMPUTED_VALUE"""),"ClosedTotalCommissionandFees")</f>
        <v>ClosedTotalCommissionandFees</v>
      </c>
      <c r="Q5" s="26" t="str">
        <f>IFERROR(__xludf.DUMMYFUNCTION("""COMPUTED_VALUE"""),"ClosingAlgo")</f>
        <v>ClosingAlgo</v>
      </c>
      <c r="R5" s="26" t="str">
        <f>IFERROR(__xludf.DUMMYFUNCTION("""COMPUTED_VALUE"""),"ClosingDate")</f>
        <v>ClosingDate</v>
      </c>
      <c r="S5" s="26" t="str">
        <f>IFERROR(__xludf.DUMMYFUNCTION("""COMPUTED_VALUE"""),"ClosingMode")</f>
        <v>ClosingMode</v>
      </c>
      <c r="T5" s="28" t="str">
        <f>IFERROR(__xludf.DUMMYFUNCTION("""COMPUTED_VALUE"""),"ClosingStatus")</f>
        <v>ClosingStatus</v>
      </c>
      <c r="U5" s="28" t="str">
        <f>IFERROR(__xludf.DUMMYFUNCTION("""COMPUTED_VALUE"""),"CommissionAmt")</f>
        <v>CommissionAmt</v>
      </c>
      <c r="V5" s="28" t="str">
        <f>IFERROR(__xludf.DUMMYFUNCTION("""COMPUTED_VALUE"""),"CommissionRate")</f>
        <v>CommissionRate</v>
      </c>
      <c r="W5" s="28" t="str">
        <f>IFERROR(__xludf.DUMMYFUNCTION("""COMPUTED_VALUE"""),"CompanyName")</f>
        <v>CompanyName</v>
      </c>
      <c r="X5" s="28" t="str">
        <f>IFERROR(__xludf.DUMMYFUNCTION("""COMPUTED_VALUE"""),"CompanyuserName")</f>
        <v>CompanyuserName</v>
      </c>
      <c r="Y5" s="28" t="str">
        <f>IFERROR(__xludf.DUMMYFUNCTION("""COMPUTED_VALUE"""),"ContractMultiplier")</f>
        <v>ContractMultiplier</v>
      </c>
      <c r="Z5" s="28" t="str">
        <f>IFERROR(__xludf.DUMMYFUNCTION("""COMPUTED_VALUE"""),"CounterPartyName")</f>
        <v>CounterPartyName</v>
      </c>
      <c r="AA5" s="28" t="str">
        <f>IFERROR(__xludf.DUMMYFUNCTION("""COMPUTED_VALUE"""),"CountryName")</f>
        <v>CountryName</v>
      </c>
      <c r="AB5" s="28" t="str">
        <f>IFERROR(__xludf.DUMMYFUNCTION("""COMPUTED_VALUE"""),"CountryOfRisk")</f>
        <v>CountryOfRisk</v>
      </c>
      <c r="AC5" s="28" t="str">
        <f>IFERROR(__xludf.DUMMYFUNCTION("""COMPUTED_VALUE"""),"CumQty")</f>
        <v>CumQty</v>
      </c>
      <c r="AD5" s="28" t="str">
        <f>IFERROR(__xludf.DUMMYFUNCTION("""COMPUTED_VALUE"""),"CurrencyID")</f>
        <v>CurrencyID</v>
      </c>
      <c r="AE5" s="28" t="str">
        <f>IFERROR(__xludf.DUMMYFUNCTION("""COMPUTED_VALUE"""),"CurrencyName")</f>
        <v>CurrencyName</v>
      </c>
      <c r="AF5" s="28" t="str">
        <f>IFERROR(__xludf.DUMMYFUNCTION("""COMPUTED_VALUE"""),"CusipSymbol")</f>
        <v>CusipSymbol</v>
      </c>
      <c r="AG5" s="28" t="str">
        <f>IFERROR(__xludf.DUMMYFUNCTION("""COMPUTED_VALUE"""),"CustomUDA1")</f>
        <v>CustomUDA1</v>
      </c>
      <c r="AH5" s="28" t="str">
        <f>IFERROR(__xludf.DUMMYFUNCTION("""COMPUTED_VALUE"""),"CustomUDA2")</f>
        <v>CustomUDA2</v>
      </c>
      <c r="AI5" s="28" t="str">
        <f>IFERROR(__xludf.DUMMYFUNCTION("""COMPUTED_VALUE"""),"CustomUDA3")</f>
        <v>CustomUDA3</v>
      </c>
      <c r="AJ5" s="28" t="str">
        <f>IFERROR(__xludf.DUMMYFUNCTION("""COMPUTED_VALUE"""),"CustomUDA4")</f>
        <v>CustomUDA4</v>
      </c>
      <c r="AK5" s="28" t="str">
        <f>IFERROR(__xludf.DUMMYFUNCTION("""COMPUTED_VALUE"""),"CustomUDA5")</f>
        <v>CustomUDA5</v>
      </c>
      <c r="AL5" s="28" t="str">
        <f>IFERROR(__xludf.DUMMYFUNCTION("""COMPUTED_VALUE"""),"CustomUDA6")</f>
        <v>CustomUDA6</v>
      </c>
      <c r="AM5" s="28" t="str">
        <f>IFERROR(__xludf.DUMMYFUNCTION("""COMPUTED_VALUE"""),"CustomUDA7")</f>
        <v>CustomUDA7</v>
      </c>
      <c r="AN5" s="28" t="str">
        <f>IFERROR(__xludf.DUMMYFUNCTION("""COMPUTED_VALUE"""),"Delta")</f>
        <v>Delta</v>
      </c>
      <c r="AO5" s="28" t="str">
        <f>IFERROR(__xludf.DUMMYFUNCTION("""COMPUTED_VALUE"""),"Description")</f>
        <v>Description</v>
      </c>
      <c r="AP5" s="28" t="str">
        <f>IFERROR(__xludf.DUMMYFUNCTION("""COMPUTED_VALUE"""),"ExchangeName")</f>
        <v>ExchangeName</v>
      </c>
      <c r="AQ5" s="28" t="str">
        <f>IFERROR(__xludf.DUMMYFUNCTION("""COMPUTED_VALUE"""),"ExecutedQty")</f>
        <v>ExecutedQty</v>
      </c>
      <c r="AR5" s="28" t="str">
        <f>IFERROR(__xludf.DUMMYFUNCTION("""COMPUTED_VALUE"""),"ExternalTransId")</f>
        <v>ExternalTransId</v>
      </c>
      <c r="AS5" s="28" t="str">
        <f>IFERROR(__xludf.DUMMYFUNCTION("""COMPUTED_VALUE"""),"ForexReq")</f>
        <v>ForexReq</v>
      </c>
      <c r="AT5" s="28" t="str">
        <f>IFERROR(__xludf.DUMMYFUNCTION("""COMPUTED_VALUE"""),"FXConversionMethodOperator")</f>
        <v>FXConversionMethodOperator</v>
      </c>
      <c r="AU5" s="28" t="str">
        <f>IFERROR(__xludf.DUMMYFUNCTION("""COMPUTED_VALUE"""),"FXRate")</f>
        <v>FXRate</v>
      </c>
      <c r="AV5" s="28" t="str">
        <f>IFERROR(__xludf.DUMMYFUNCTION("""COMPUTED_VALUE"""),"GroupID")</f>
        <v>GroupID</v>
      </c>
      <c r="AW5" s="28" t="str">
        <f>IFERROR(__xludf.DUMMYFUNCTION("""COMPUTED_VALUE"""),"IDCOSymbol")</f>
        <v>IDCOSymbol</v>
      </c>
      <c r="AX5" s="28" t="str">
        <f>IFERROR(__xludf.DUMMYFUNCTION("""COMPUTED_VALUE"""),"InternalComments")</f>
        <v>InternalComments</v>
      </c>
      <c r="AY5" s="28" t="str">
        <f>IFERROR(__xludf.DUMMYFUNCTION("""COMPUTED_VALUE"""),"IsExcerciseAtZero")</f>
        <v>IsExcerciseAtZero</v>
      </c>
      <c r="AZ5" s="28" t="str">
        <f>IFERROR(__xludf.DUMMYFUNCTION("""COMPUTED_VALUE"""),"ISINSymbol")</f>
        <v>ISINSymbol</v>
      </c>
      <c r="BA5" s="28" t="str">
        <f>IFERROR(__xludf.DUMMYFUNCTION("""COMPUTED_VALUE"""),"IsNDF")</f>
        <v>IsNDF</v>
      </c>
      <c r="BB5" s="28" t="str">
        <f>IFERROR(__xludf.DUMMYFUNCTION("""COMPUTED_VALUE"""),"IsPosition")</f>
        <v>IsPosition</v>
      </c>
      <c r="BC5" s="28" t="str">
        <f>IFERROR(__xludf.DUMMYFUNCTION("""COMPUTED_VALUE"""),"IsPreAllocated")</f>
        <v>IsPreAllocated</v>
      </c>
      <c r="BD5" s="28" t="str">
        <f>IFERROR(__xludf.DUMMYFUNCTION("""COMPUTED_VALUE"""),"Issuer")</f>
        <v>Issuer</v>
      </c>
      <c r="BE5" s="28" t="str">
        <f>IFERROR(__xludf.DUMMYFUNCTION("""COMPUTED_VALUE"""),"ISSwap")</f>
        <v>ISSwap</v>
      </c>
      <c r="BF5" s="28" t="str">
        <f>IFERROR(__xludf.DUMMYFUNCTION("""COMPUTED_VALUE"""),"LeadCurrencyID")</f>
        <v>LeadCurrencyID</v>
      </c>
      <c r="BG5" s="28" t="str">
        <f>IFERROR(__xludf.DUMMYFUNCTION("""COMPUTED_VALUE"""),"Level1Name")</f>
        <v>Level1Name</v>
      </c>
      <c r="BH5" s="28" t="str">
        <f>IFERROR(__xludf.DUMMYFUNCTION("""COMPUTED_VALUE"""),"LevelName2")</f>
        <v>LevelName2</v>
      </c>
      <c r="BI5" s="28" t="str">
        <f>IFERROR(__xludf.DUMMYFUNCTION("""COMPUTED_VALUE"""),"LiquidTag")</f>
        <v>LiquidTag</v>
      </c>
      <c r="BJ5" s="28" t="str">
        <f>IFERROR(__xludf.DUMMYFUNCTION("""COMPUTED_VALUE"""),"LongOrShort")</f>
        <v>LongOrShort</v>
      </c>
      <c r="BK5" s="28" t="str">
        <f>IFERROR(__xludf.DUMMYFUNCTION("""COMPUTED_VALUE"""),"LotId")</f>
        <v>LotId</v>
      </c>
      <c r="BL5" s="28" t="str">
        <f>IFERROR(__xludf.DUMMYFUNCTION("""COMPUTED_VALUE"""),"M2MProfitLoss")</f>
        <v>M2MProfitLoss</v>
      </c>
      <c r="BM5" s="28" t="str">
        <f>IFERROR(__xludf.DUMMYFUNCTION("""COMPUTED_VALUE"""),"MarketCap")</f>
        <v>MarketCap</v>
      </c>
      <c r="BN5" s="28" t="str">
        <f>IFERROR(__xludf.DUMMYFUNCTION("""COMPUTED_VALUE"""),"MarkPrice")</f>
        <v>MarkPrice</v>
      </c>
      <c r="BO5" s="28" t="str">
        <f>IFERROR(__xludf.DUMMYFUNCTION("""COMPUTED_VALUE"""),"MasterFund")</f>
        <v>MasterFund</v>
      </c>
      <c r="BP5" s="28" t="str">
        <f>IFERROR(__xludf.DUMMYFUNCTION("""COMPUTED_VALUE"""),"MiscFees")</f>
        <v>MiscFees</v>
      </c>
      <c r="BQ5" s="28" t="str">
        <f>IFERROR(__xludf.DUMMYFUNCTION("""COMPUTED_VALUE"""),"NavLockStatus")</f>
        <v>NavLockStatus</v>
      </c>
      <c r="BR5" s="28" t="str">
        <f>IFERROR(__xludf.DUMMYFUNCTION("""COMPUTED_VALUE"""),"NetNotionalValue")</f>
        <v>NetNotionalValue</v>
      </c>
      <c r="BS5" s="28" t="str">
        <f>IFERROR(__xludf.DUMMYFUNCTION("""COMPUTED_VALUE"""),"NirvanaProcessDate")</f>
        <v>NirvanaProcessDate</v>
      </c>
      <c r="BT5" s="28" t="str">
        <f>IFERROR(__xludf.DUMMYFUNCTION("""COMPUTED_VALUE"""),"OCC Fee")</f>
        <v>OCC Fee</v>
      </c>
      <c r="BU5" s="28" t="str">
        <f>IFERROR(__xludf.DUMMYFUNCTION("""COMPUTED_VALUE"""),"OpenQty")</f>
        <v>OpenQty</v>
      </c>
      <c r="BV5" s="28" t="str">
        <f>IFERROR(__xludf.DUMMYFUNCTION("""COMPUTED_VALUE"""),"OpenTotalCommissionFees")</f>
        <v>OpenTotalCommissionFees</v>
      </c>
      <c r="BW5" s="28" t="str">
        <f>IFERROR(__xludf.DUMMYFUNCTION("""COMPUTED_VALUE"""),"OptionPremiumAdjustment")</f>
        <v>OptionPremiumAdjustment</v>
      </c>
      <c r="BX5" s="28" t="str">
        <f>IFERROR(__xludf.DUMMYFUNCTION("""COMPUTED_VALUE"""),"OrderSideTagValue")</f>
        <v>OrderSideTagValue</v>
      </c>
      <c r="BY5" s="28" t="str">
        <f>IFERROR(__xludf.DUMMYFUNCTION("""COMPUTED_VALUE"""),"orderType")</f>
        <v>orderType</v>
      </c>
      <c r="BZ5" s="28" t="str">
        <f>IFERROR(__xludf.DUMMYFUNCTION("""COMPUTED_VALUE"""),"OrfFee")</f>
        <v>OrfFee</v>
      </c>
      <c r="CA5" s="28" t="str">
        <f>IFERROR(__xludf.DUMMYFUNCTION("""COMPUTED_VALUE"""),"Original Side")</f>
        <v>Original Side</v>
      </c>
      <c r="CB5" s="28" t="str">
        <f>IFERROR(__xludf.DUMMYFUNCTION("""COMPUTED_VALUE"""),"OriginalPurchaseDate")</f>
        <v>OriginalPurchaseDate</v>
      </c>
      <c r="CC5" s="28" t="str">
        <f>IFERROR(__xludf.DUMMYFUNCTION("""COMPUTED_VALUE"""),"OSISymbol")</f>
        <v>OSISymbol</v>
      </c>
      <c r="CD5" s="28" t="str">
        <f>IFERROR(__xludf.DUMMYFUNCTION("""COMPUTED_VALUE"""),"OtherBrokerFees")</f>
        <v>OtherBrokerFees</v>
      </c>
      <c r="CE5" s="28" t="str">
        <f>IFERROR(__xludf.DUMMYFUNCTION("""COMPUTED_VALUE"""),"ParentRowPk")</f>
        <v>ParentRowPk</v>
      </c>
      <c r="CF5" s="28" t="str">
        <f>IFERROR(__xludf.DUMMYFUNCTION("""COMPUTED_VALUE"""),"Percentage")</f>
        <v>Percentage</v>
      </c>
      <c r="CG5" s="28" t="str">
        <f>IFERROR(__xludf.DUMMYFUNCTION("""COMPUTED_VALUE"""),"PositionTag")</f>
        <v>PositionTag</v>
      </c>
      <c r="CH5" s="28" t="str">
        <f>IFERROR(__xludf.DUMMYFUNCTION("""COMPUTED_VALUE"""),"PositionType")</f>
        <v>PositionType</v>
      </c>
      <c r="CI5" s="28" t="str">
        <f>IFERROR(__xludf.DUMMYFUNCTION("""COMPUTED_VALUE"""),"ProcessDate")</f>
        <v>ProcessDate</v>
      </c>
      <c r="CJ5" s="28" t="str">
        <f>IFERROR(__xludf.DUMMYFUNCTION("""COMPUTED_VALUE"""),"ProxySymbol")</f>
        <v>ProxySymbol</v>
      </c>
      <c r="CK5" s="28" t="str">
        <f>IFERROR(__xludf.DUMMYFUNCTION("""COMPUTED_VALUE"""),"Symbol")</f>
        <v>Symbol</v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1"/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41">
        <f>TODAY()</f>
        <v>43668</v>
      </c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Expire!$4:$4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9"/>
      <c r="B1" s="10" t="s">
        <v>5</v>
      </c>
      <c r="C1" s="2"/>
      <c r="D1" s="2"/>
      <c r="E1" s="2"/>
      <c r="F1" s="2"/>
      <c r="G1" s="2"/>
      <c r="H1" s="3"/>
      <c r="I1" s="9"/>
      <c r="J1" s="9"/>
      <c r="K1" s="9"/>
      <c r="L1" s="9"/>
      <c r="M1" s="9"/>
      <c r="N1" s="9"/>
      <c r="O1" s="9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2" t="str">
        <f> VLOOKUP($E$3,'_MasterData'!B4:D1000,3,FALSE)</f>
        <v>#N/A</v>
      </c>
      <c r="K2" s="12"/>
      <c r="L2" s="4"/>
      <c r="M2" s="4"/>
      <c r="N2" s="4"/>
      <c r="O2" s="4"/>
    </row>
    <row r="3" ht="15.75" customHeight="1">
      <c r="A3" s="13"/>
      <c r="B3" s="5" t="s">
        <v>6</v>
      </c>
      <c r="C3" s="14" t="s">
        <v>19</v>
      </c>
      <c r="D3" s="5" t="s">
        <v>8</v>
      </c>
      <c r="E3" s="14" t="s">
        <v>26</v>
      </c>
      <c r="F3" s="5" t="s">
        <v>10</v>
      </c>
      <c r="G3" s="8" t="s">
        <v>11</v>
      </c>
      <c r="H3" s="5"/>
      <c r="I3" s="13"/>
      <c r="J3" s="13"/>
      <c r="K3" s="13"/>
      <c r="L3" s="13"/>
      <c r="M3" s="13"/>
      <c r="N3" s="13"/>
      <c r="O3" s="13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</row>
    <row r="4" ht="15.75" customHeight="1">
      <c r="A4" s="16"/>
      <c r="B4" s="16" t="str">
        <f>IFERROR(__xludf.DUMMYFUNCTION("IF(C3="""","""",Transpose(IMPORTRANGE('_Settings'!$B$3,C3&amp;""!A4:A1000"")))"),"SwapExpire")</f>
        <v>SwapExpire</v>
      </c>
      <c r="C4" s="16" t="str">
        <f>IFERROR(__xludf.DUMMYFUNCTION("""COMPUTED_VALUE"""),"GetDataClosing")</f>
        <v>GetDataClosing</v>
      </c>
      <c r="D4" s="16" t="str">
        <f>IFERROR(__xludf.DUMMYFUNCTION("""COMPUTED_VALUE"""),"ManualClosing")</f>
        <v>ManualClosing</v>
      </c>
      <c r="E4" s="16" t="str">
        <f>IFERROR(__xludf.DUMMYFUNCTION("""COMPUTED_VALUE"""),"AutomaticClosing")</f>
        <v>AutomaticClosing</v>
      </c>
      <c r="F4" s="16" t="str">
        <f>IFERROR(__xludf.DUMMYFUNCTION("""COMPUTED_VALUE"""),"UnwindClosing")</f>
        <v>UnwindClosing</v>
      </c>
      <c r="G4" s="16" t="str">
        <f>IFERROR(__xludf.DUMMYFUNCTION("""COMPUTED_VALUE"""),"VerifyClosedTrades")</f>
        <v>VerifyClosedTrades</v>
      </c>
      <c r="H4" s="16" t="str">
        <f>IFERROR(__xludf.DUMMYFUNCTION("""COMPUTED_VALUE"""),"VerifyLongPositionsGrid")</f>
        <v>VerifyLongPositionsGrid</v>
      </c>
      <c r="I4" s="16" t="str">
        <f>IFERROR(__xludf.DUMMYFUNCTION("""COMPUTED_VALUE"""),"VerifyShortPositionsGrid")</f>
        <v>VerifyShortPositionsGrid</v>
      </c>
      <c r="J4" s="16" t="str">
        <f>IFERROR(__xludf.DUMMYFUNCTION("""COMPUTED_VALUE"""),"SelectTradeUnexpiredUnsettled")</f>
        <v>SelectTradeUnexpiredUnsettled</v>
      </c>
      <c r="K4" s="16" t="str">
        <f>IFERROR(__xludf.DUMMYFUNCTION("""COMPUTED_VALUE"""),"CashSettlementAtCost")</f>
        <v>CashSettlementAtCost</v>
      </c>
      <c r="L4" s="16" t="str">
        <f>IFERROR(__xludf.DUMMYFUNCTION("""COMPUTED_VALUE"""),"CashSettlementAtZeroPrice")</f>
        <v>CashSettlementAtZeroPrice</v>
      </c>
      <c r="M4" s="16" t="str">
        <f>IFERROR(__xludf.DUMMYFUNCTION("""COMPUTED_VALUE"""),"CashSettlementAtClosingDtSpotPx")</f>
        <v>CashSettlementAtClosingDtSpotPx</v>
      </c>
      <c r="N4" s="16" t="str">
        <f>IFERROR(__xludf.DUMMYFUNCTION("""COMPUTED_VALUE"""),"PhysicalSettlement")</f>
        <v>PhysicalSettlement</v>
      </c>
      <c r="O4" s="16" t="str">
        <f>IFERROR(__xludf.DUMMYFUNCTION("""COMPUTED_VALUE"""),"Expire")</f>
        <v>Expire</v>
      </c>
      <c r="P4" s="17" t="str">
        <f>IFERROR(__xludf.DUMMYFUNCTION("""COMPUTED_VALUE"""),"ExerciseAssignment")</f>
        <v>ExerciseAssignment</v>
      </c>
      <c r="Q4" s="17" t="str">
        <f>IFERROR(__xludf.DUMMYFUNCTION("""COMPUTED_VALUE"""),"ExerciseAssignmentAtZero")</f>
        <v>ExerciseAssignmentAtZero</v>
      </c>
      <c r="R4" s="17" t="str">
        <f>IFERROR(__xludf.DUMMYFUNCTION("""COMPUTED_VALUE"""),"SwapExpireAndRollover")</f>
        <v>SwapExpireAndRollover</v>
      </c>
      <c r="S4" s="17" t="str">
        <f>IFERROR(__xludf.DUMMYFUNCTION("""COMPUTED_VALUE"""),"SwapExpire")</f>
        <v>SwapExpire</v>
      </c>
      <c r="T4" s="17" t="str">
        <f>IFERROR(__xludf.DUMMYFUNCTION("""COMPUTED_VALUE"""),"VerifyExpiredSettledGrid")</f>
        <v>VerifyExpiredSettledGrid</v>
      </c>
      <c r="U4" s="17" t="str">
        <f>IFERROR(__xludf.DUMMYFUNCTION("""COMPUTED_VALUE"""),"VerifyUnExpiredUnSettledGrid")</f>
        <v>VerifyUnExpiredUnSettledGrid</v>
      </c>
      <c r="V4" s="17" t="str">
        <f>IFERROR(__xludf.DUMMYFUNCTION("""COMPUTED_VALUE"""),"UnWindTradeSettlement")</f>
        <v>UnWindTradeSettlement</v>
      </c>
      <c r="W4" s="17" t="str">
        <f>IFERROR(__xludf.DUMMYFUNCTION("""COMPUTED_VALUE"""),"CloseOrder")</f>
        <v>CloseOrder</v>
      </c>
      <c r="X4" s="17" t="str">
        <f>IFERROR(__xludf.DUMMYFUNCTION("""COMPUTED_VALUE"""),"VerifyCloseOrder")</f>
        <v>VerifyCloseOrder</v>
      </c>
      <c r="Y4" s="17" t="str">
        <f>IFERROR(__xludf.DUMMYFUNCTION("""COMPUTED_VALUE"""),"UnWindCloseOrder")</f>
        <v>UnWindCloseOrder</v>
      </c>
      <c r="Z4" s="17" t="str">
        <f>IFERROR(__xludf.DUMMYFUNCTION("""COMPUTED_VALUE"""),"ClosingCleanUp")</f>
        <v>ClosingCleanUp</v>
      </c>
      <c r="AA4" s="17" t="str">
        <f>IFERROR(__xludf.DUMMYFUNCTION("""COMPUTED_VALUE"""),"CloseClosingUI")</f>
        <v>CloseClosingUI</v>
      </c>
      <c r="AB4" s="17" t="str">
        <f>IFERROR(__xludf.DUMMYFUNCTION("""COMPUTED_VALUE"""),"SetClosingPreference")</f>
        <v>SetClosingPreference</v>
      </c>
      <c r="AC4" s="17" t="str">
        <f>IFERROR(__xludf.DUMMYFUNCTION("""COMPUTED_VALUE"""),"EditTradeUnexpiredUnsettled")</f>
        <v>EditTradeUnexpiredUnsettled</v>
      </c>
      <c r="AD4" s="17" t="str">
        <f>IFERROR(__xludf.DUMMYFUNCTION("""COMPUTED_VALUE"""),"")</f>
        <v/>
      </c>
      <c r="AE4" s="17" t="str">
        <f>IFERROR(__xludf.DUMMYFUNCTION("""COMPUTED_VALUE"""),"")</f>
        <v/>
      </c>
      <c r="AF4" s="17" t="str">
        <f>IFERROR(__xludf.DUMMYFUNCTION("""COMPUTED_VALUE"""),"")</f>
        <v/>
      </c>
      <c r="AG4" s="17" t="str">
        <f>IFERROR(__xludf.DUMMYFUNCTION("""COMPUTED_VALUE"""),"")</f>
        <v/>
      </c>
      <c r="AH4" s="17" t="str">
        <f>IFERROR(__xludf.DUMMYFUNCTION("""COMPUTED_VALUE"""),"")</f>
        <v/>
      </c>
      <c r="AI4" s="17" t="str">
        <f>IFERROR(__xludf.DUMMYFUNCTION("""COMPUTED_VALUE"""),"")</f>
        <v/>
      </c>
      <c r="AJ4" s="17" t="str">
        <f>IFERROR(__xludf.DUMMYFUNCTION("""COMPUTED_VALUE"""),"")</f>
        <v/>
      </c>
      <c r="AK4" s="17" t="str">
        <f>IFERROR(__xludf.DUMMYFUNCTION("""COMPUTED_VALUE"""),"")</f>
        <v/>
      </c>
      <c r="AL4" s="17" t="str">
        <f>IFERROR(__xludf.DUMMYFUNCTION("""COMPUTED_VALUE"""),"")</f>
        <v/>
      </c>
      <c r="AM4" s="17" t="str">
        <f>IFERROR(__xludf.DUMMYFUNCTION("""COMPUTED_VALUE"""),"")</f>
        <v/>
      </c>
      <c r="AN4" s="17" t="str">
        <f>IFERROR(__xludf.DUMMYFUNCTION("""COMPUTED_VALUE"""),"")</f>
        <v/>
      </c>
      <c r="AO4" s="17" t="str">
        <f>IFERROR(__xludf.DUMMYFUNCTION("""COMPUTED_VALUE"""),"")</f>
        <v/>
      </c>
      <c r="AP4" s="17" t="str">
        <f>IFERROR(__xludf.DUMMYFUNCTION("""COMPUTED_VALUE"""),"")</f>
        <v/>
      </c>
      <c r="AQ4" s="17" t="str">
        <f>IFERROR(__xludf.DUMMYFUNCTION("""COMPUTED_VALUE"""),"")</f>
        <v/>
      </c>
      <c r="AR4" s="17" t="str">
        <f>IFERROR(__xludf.DUMMYFUNCTION("""COMPUTED_VALUE"""),"")</f>
        <v/>
      </c>
      <c r="AS4" s="17" t="str">
        <f>IFERROR(__xludf.DUMMYFUNCTION("""COMPUTED_VALUE"""),"")</f>
        <v/>
      </c>
      <c r="AT4" s="17" t="str">
        <f>IFERROR(__xludf.DUMMYFUNCTION("""COMPUTED_VALUE"""),"")</f>
        <v/>
      </c>
      <c r="AU4" s="17" t="str">
        <f>IFERROR(__xludf.DUMMYFUNCTION("""COMPUTED_VALUE"""),"")</f>
        <v/>
      </c>
      <c r="AV4" s="17" t="str">
        <f>IFERROR(__xludf.DUMMYFUNCTION("""COMPUTED_VALUE"""),"")</f>
        <v/>
      </c>
      <c r="AW4" s="17" t="str">
        <f>IFERROR(__xludf.DUMMYFUNCTION("""COMPUTED_VALUE"""),"")</f>
        <v/>
      </c>
      <c r="AX4" s="17" t="str">
        <f>IFERROR(__xludf.DUMMYFUNCTION("""COMPUTED_VALUE"""),"")</f>
        <v/>
      </c>
      <c r="AY4" s="17" t="str">
        <f>IFERROR(__xludf.DUMMYFUNCTION("""COMPUTED_VALUE"""),"")</f>
        <v/>
      </c>
      <c r="AZ4" s="17" t="str">
        <f>IFERROR(__xludf.DUMMYFUNCTION("""COMPUTED_VALUE"""),"")</f>
        <v/>
      </c>
      <c r="BA4" s="17" t="str">
        <f>IFERROR(__xludf.DUMMYFUNCTION("""COMPUTED_VALUE"""),"")</f>
        <v/>
      </c>
      <c r="BB4" s="17" t="str">
        <f>IFERROR(__xludf.DUMMYFUNCTION("""COMPUTED_VALUE"""),"")</f>
        <v/>
      </c>
      <c r="BC4" s="17" t="str">
        <f>IFERROR(__xludf.DUMMYFUNCTION("""COMPUTED_VALUE"""),"")</f>
        <v/>
      </c>
      <c r="BD4" s="17" t="str">
        <f>IFERROR(__xludf.DUMMYFUNCTION("""COMPUTED_VALUE"""),"")</f>
        <v/>
      </c>
      <c r="BE4" s="17" t="str">
        <f>IFERROR(__xludf.DUMMYFUNCTION("""COMPUTED_VALUE"""),"")</f>
        <v/>
      </c>
      <c r="BF4" s="17" t="str">
        <f>IFERROR(__xludf.DUMMYFUNCTION("""COMPUTED_VALUE"""),"")</f>
        <v/>
      </c>
      <c r="BG4" s="17" t="str">
        <f>IFERROR(__xludf.DUMMYFUNCTION("""COMPUTED_VALUE"""),"")</f>
        <v/>
      </c>
      <c r="BH4" s="17" t="str">
        <f>IFERROR(__xludf.DUMMYFUNCTION("""COMPUTED_VALUE"""),"")</f>
        <v/>
      </c>
      <c r="BI4" s="17" t="str">
        <f>IFERROR(__xludf.DUMMYFUNCTION("""COMPUTED_VALUE"""),"")</f>
        <v/>
      </c>
      <c r="BJ4" s="17" t="str">
        <f>IFERROR(__xludf.DUMMYFUNCTION("""COMPUTED_VALUE"""),"")</f>
        <v/>
      </c>
      <c r="BK4" s="17" t="str">
        <f>IFERROR(__xludf.DUMMYFUNCTION("""COMPUTED_VALUE"""),"")</f>
        <v/>
      </c>
      <c r="BL4" s="17" t="str">
        <f>IFERROR(__xludf.DUMMYFUNCTION("""COMPUTED_VALUE"""),"")</f>
        <v/>
      </c>
      <c r="BM4" s="17" t="str">
        <f>IFERROR(__xludf.DUMMYFUNCTION("""COMPUTED_VALUE"""),"")</f>
        <v/>
      </c>
      <c r="BN4" s="17" t="str">
        <f>IFERROR(__xludf.DUMMYFUNCTION("""COMPUTED_VALUE"""),"")</f>
        <v/>
      </c>
      <c r="BO4" s="17" t="str">
        <f>IFERROR(__xludf.DUMMYFUNCTION("""COMPUTED_VALUE"""),"")</f>
        <v/>
      </c>
      <c r="BP4" s="17" t="str">
        <f>IFERROR(__xludf.DUMMYFUNCTION("""COMPUTED_VALUE"""),"")</f>
        <v/>
      </c>
      <c r="BQ4" s="17" t="str">
        <f>IFERROR(__xludf.DUMMYFUNCTION("""COMPUTED_VALUE"""),"")</f>
        <v/>
      </c>
      <c r="BR4" s="17" t="str">
        <f>IFERROR(__xludf.DUMMYFUNCTION("""COMPUTED_VALUE"""),"")</f>
        <v/>
      </c>
      <c r="BS4" s="17" t="str">
        <f>IFERROR(__xludf.DUMMYFUNCTION("""COMPUTED_VALUE"""),"")</f>
        <v/>
      </c>
      <c r="BT4" s="17" t="str">
        <f>IFERROR(__xludf.DUMMYFUNCTION("""COMPUTED_VALUE"""),"")</f>
        <v/>
      </c>
      <c r="BU4" s="17" t="str">
        <f>IFERROR(__xludf.DUMMYFUNCTION("""COMPUTED_VALUE"""),"")</f>
        <v/>
      </c>
      <c r="BV4" s="17" t="str">
        <f>IFERROR(__xludf.DUMMYFUNCTION("""COMPUTED_VALUE"""),"")</f>
        <v/>
      </c>
      <c r="BW4" s="17" t="str">
        <f>IFERROR(__xludf.DUMMYFUNCTION("""COMPUTED_VALUE"""),"")</f>
        <v/>
      </c>
      <c r="BX4" s="17" t="str">
        <f>IFERROR(__xludf.DUMMYFUNCTION("""COMPUTED_VALUE"""),"")</f>
        <v/>
      </c>
      <c r="BY4" s="17" t="str">
        <f>IFERROR(__xludf.DUMMYFUNCTION("""COMPUTED_VALUE"""),"")</f>
        <v/>
      </c>
      <c r="BZ4" s="17" t="str">
        <f>IFERROR(__xludf.DUMMYFUNCTION("""COMPUTED_VALUE"""),"")</f>
        <v/>
      </c>
      <c r="CA4" s="17" t="str">
        <f>IFERROR(__xludf.DUMMYFUNCTION("""COMPUTED_VALUE"""),"")</f>
        <v/>
      </c>
      <c r="CB4" s="17" t="str">
        <f>IFERROR(__xludf.DUMMYFUNCTION("""COMPUTED_VALUE"""),"")</f>
        <v/>
      </c>
      <c r="CC4" s="17" t="str">
        <f>IFERROR(__xludf.DUMMYFUNCTION("""COMPUTED_VALUE"""),"")</f>
        <v/>
      </c>
      <c r="CD4" s="17" t="str">
        <f>IFERROR(__xludf.DUMMYFUNCTION("""COMPUTED_VALUE"""),"")</f>
        <v/>
      </c>
      <c r="CE4" s="17" t="str">
        <f>IFERROR(__xludf.DUMMYFUNCTION("""COMPUTED_VALUE"""),"")</f>
        <v/>
      </c>
      <c r="CF4" s="17" t="str">
        <f>IFERROR(__xludf.DUMMYFUNCTION("""COMPUTED_VALUE"""),"")</f>
        <v/>
      </c>
      <c r="CG4" s="17" t="str">
        <f>IFERROR(__xludf.DUMMYFUNCTION("""COMPUTED_VALUE"""),"")</f>
        <v/>
      </c>
      <c r="CH4" s="17" t="str">
        <f>IFERROR(__xludf.DUMMYFUNCTION("""COMPUTED_VALUE"""),"")</f>
        <v/>
      </c>
      <c r="CI4" s="17" t="str">
        <f>IFERROR(__xludf.DUMMYFUNCTION("""COMPUTED_VALUE"""),"")</f>
        <v/>
      </c>
      <c r="CJ4" s="17" t="str">
        <f>IFERROR(__xludf.DUMMYFUNCTION("""COMPUTED_VALUE"""),"")</f>
        <v/>
      </c>
      <c r="CK4" s="17" t="str">
        <f>IFERROR(__xludf.DUMMYFUNCTION("""COMPUTED_VALUE"""),"")</f>
        <v/>
      </c>
      <c r="CL4" s="17" t="str">
        <f>IFERROR(__xludf.DUMMYFUNCTION("""COMPUTED_VALUE"""),"")</f>
        <v/>
      </c>
      <c r="CM4" s="17" t="str">
        <f>IFERROR(__xludf.DUMMYFUNCTION("""COMPUTED_VALUE"""),"")</f>
        <v/>
      </c>
      <c r="CN4" s="17" t="str">
        <f>IFERROR(__xludf.DUMMYFUNCTION("""COMPUTED_VALUE"""),"")</f>
        <v/>
      </c>
      <c r="CO4" s="17" t="str">
        <f>IFERROR(__xludf.DUMMYFUNCTION("""COMPUTED_VALUE"""),"")</f>
        <v/>
      </c>
      <c r="CP4" s="17" t="str">
        <f>IFERROR(__xludf.DUMMYFUNCTION("""COMPUTED_VALUE"""),"")</f>
        <v/>
      </c>
      <c r="CQ4" s="17" t="str">
        <f>IFERROR(__xludf.DUMMYFUNCTION("""COMPUTED_VALUE"""),"")</f>
        <v/>
      </c>
      <c r="CR4" s="17" t="str">
        <f>IFERROR(__xludf.DUMMYFUNCTION("""COMPUTED_VALUE"""),"")</f>
        <v/>
      </c>
      <c r="CS4" s="17" t="str">
        <f>IFERROR(__xludf.DUMMYFUNCTION("""COMPUTED_VALUE"""),"")</f>
        <v/>
      </c>
      <c r="CT4" s="17" t="str">
        <f>IFERROR(__xludf.DUMMYFUNCTION("""COMPUTED_VALUE"""),"")</f>
        <v/>
      </c>
      <c r="CU4" s="17" t="str">
        <f>IFERROR(__xludf.DUMMYFUNCTION("""COMPUTED_VALUE"""),"")</f>
        <v/>
      </c>
      <c r="CV4" s="17" t="str">
        <f>IFERROR(__xludf.DUMMYFUNCTION("""COMPUTED_VALUE"""),"")</f>
        <v/>
      </c>
      <c r="CW4" s="17" t="str">
        <f>IFERROR(__xludf.DUMMYFUNCTION("""COMPUTED_VALUE"""),"")</f>
        <v/>
      </c>
      <c r="CX4" s="17" t="str">
        <f>IFERROR(__xludf.DUMMYFUNCTION("""COMPUTED_VALUE"""),"")</f>
        <v/>
      </c>
      <c r="CY4" s="17" t="str">
        <f>IFERROR(__xludf.DUMMYFUNCTION("""COMPUTED_VALUE"""),"")</f>
        <v/>
      </c>
      <c r="CZ4" s="17" t="str">
        <f>IFERROR(__xludf.DUMMYFUNCTION("""COMPUTED_VALUE"""),"")</f>
        <v/>
      </c>
      <c r="DA4" s="17" t="str">
        <f>IFERROR(__xludf.DUMMYFUNCTION("""COMPUTED_VALUE"""),"")</f>
        <v/>
      </c>
      <c r="DB4" s="17" t="str">
        <f>IFERROR(__xludf.DUMMYFUNCTION("""COMPUTED_VALUE"""),"")</f>
        <v/>
      </c>
      <c r="DC4" s="17" t="str">
        <f>IFERROR(__xludf.DUMMYFUNCTION("""COMPUTED_VALUE"""),"")</f>
        <v/>
      </c>
      <c r="DD4" s="17" t="str">
        <f>IFERROR(__xludf.DUMMYFUNCTION("""COMPUTED_VALUE"""),"")</f>
        <v/>
      </c>
      <c r="DE4" s="17" t="str">
        <f>IFERROR(__xludf.DUMMYFUNCTION("""COMPUTED_VALUE"""),"")</f>
        <v/>
      </c>
      <c r="DF4" s="17" t="str">
        <f>IFERROR(__xludf.DUMMYFUNCTION("""COMPUTED_VALUE"""),"")</f>
        <v/>
      </c>
      <c r="DG4" s="17" t="str">
        <f>IFERROR(__xludf.DUMMYFUNCTION("""COMPUTED_VALUE"""),"")</f>
        <v/>
      </c>
      <c r="DH4" s="17" t="str">
        <f>IFERROR(__xludf.DUMMYFUNCTION("""COMPUTED_VALUE"""),"")</f>
        <v/>
      </c>
      <c r="DI4" s="17" t="str">
        <f>IFERROR(__xludf.DUMMYFUNCTION("""COMPUTED_VALUE"""),"")</f>
        <v/>
      </c>
      <c r="DJ4" s="17" t="str">
        <f>IFERROR(__xludf.DUMMYFUNCTION("""COMPUTED_VALUE"""),"")</f>
        <v/>
      </c>
      <c r="DK4" s="17" t="str">
        <f>IFERROR(__xludf.DUMMYFUNCTION("""COMPUTED_VALUE"""),"")</f>
        <v/>
      </c>
      <c r="DL4" s="17" t="str">
        <f>IFERROR(__xludf.DUMMYFUNCTION("""COMPUTED_VALUE"""),"")</f>
        <v/>
      </c>
      <c r="DM4" s="17" t="str">
        <f>IFERROR(__xludf.DUMMYFUNCTION("""COMPUTED_VALUE"""),"")</f>
        <v/>
      </c>
      <c r="DN4" s="17" t="str">
        <f>IFERROR(__xludf.DUMMYFUNCTION("""COMPUTED_VALUE"""),"")</f>
        <v/>
      </c>
      <c r="DO4" s="17" t="str">
        <f>IFERROR(__xludf.DUMMYFUNCTION("""COMPUTED_VALUE"""),"")</f>
        <v/>
      </c>
      <c r="DP4" s="17" t="str">
        <f>IFERROR(__xludf.DUMMYFUNCTION("""COMPUTED_VALUE"""),"")</f>
        <v/>
      </c>
      <c r="DQ4" s="17" t="str">
        <f>IFERROR(__xludf.DUMMYFUNCTION("""COMPUTED_VALUE"""),"")</f>
        <v/>
      </c>
      <c r="DR4" s="17" t="str">
        <f>IFERROR(__xludf.DUMMYFUNCTION("""COMPUTED_VALUE"""),"")</f>
        <v/>
      </c>
      <c r="DS4" s="17" t="str">
        <f>IFERROR(__xludf.DUMMYFUNCTION("""COMPUTED_VALUE"""),"")</f>
        <v/>
      </c>
      <c r="DT4" s="17" t="str">
        <f>IFERROR(__xludf.DUMMYFUNCTION("""COMPUTED_VALUE"""),"")</f>
        <v/>
      </c>
      <c r="DU4" s="17" t="str">
        <f>IFERROR(__xludf.DUMMYFUNCTION("""COMPUTED_VALUE"""),"")</f>
        <v/>
      </c>
      <c r="DV4" s="17" t="str">
        <f>IFERROR(__xludf.DUMMYFUNCTION("""COMPUTED_VALUE"""),"")</f>
        <v/>
      </c>
      <c r="DW4" s="17" t="str">
        <f>IFERROR(__xludf.DUMMYFUNCTION("""COMPUTED_VALUE"""),"")</f>
        <v/>
      </c>
      <c r="DX4" s="17" t="str">
        <f>IFERROR(__xludf.DUMMYFUNCTION("""COMPUTED_VALUE"""),"")</f>
        <v/>
      </c>
      <c r="DY4" s="17" t="str">
        <f>IFERROR(__xludf.DUMMYFUNCTION("""COMPUTED_VALUE"""),"")</f>
        <v/>
      </c>
      <c r="DZ4" s="17" t="str">
        <f>IFERROR(__xludf.DUMMYFUNCTION("""COMPUTED_VALUE"""),"")</f>
        <v/>
      </c>
      <c r="EA4" s="17" t="str">
        <f>IFERROR(__xludf.DUMMYFUNCTION("""COMPUTED_VALUE"""),"")</f>
        <v/>
      </c>
      <c r="EB4" s="17" t="str">
        <f>IFERROR(__xludf.DUMMYFUNCTION("""COMPUTED_VALUE"""),"")</f>
        <v/>
      </c>
      <c r="EC4" s="17" t="str">
        <f>IFERROR(__xludf.DUMMYFUNCTION("""COMPUTED_VALUE"""),"")</f>
        <v/>
      </c>
      <c r="ED4" s="17" t="str">
        <f>IFERROR(__xludf.DUMMYFUNCTION("""COMPUTED_VALUE"""),"")</f>
        <v/>
      </c>
      <c r="EE4" s="17" t="str">
        <f>IFERROR(__xludf.DUMMYFUNCTION("""COMPUTED_VALUE"""),"")</f>
        <v/>
      </c>
      <c r="EF4" s="17" t="str">
        <f>IFERROR(__xludf.DUMMYFUNCTION("""COMPUTED_VALUE"""),"")</f>
        <v/>
      </c>
      <c r="EG4" s="17" t="str">
        <f>IFERROR(__xludf.DUMMYFUNCTION("""COMPUTED_VALUE"""),"")</f>
        <v/>
      </c>
      <c r="EH4" s="17" t="str">
        <f>IFERROR(__xludf.DUMMYFUNCTION("""COMPUTED_VALUE"""),"")</f>
        <v/>
      </c>
      <c r="EI4" s="17" t="str">
        <f>IFERROR(__xludf.DUMMYFUNCTION("""COMPUTED_VALUE"""),"")</f>
        <v/>
      </c>
      <c r="EJ4" s="17" t="str">
        <f>IFERROR(__xludf.DUMMYFUNCTION("""COMPUTED_VALUE"""),"")</f>
        <v/>
      </c>
      <c r="EK4" s="17" t="str">
        <f>IFERROR(__xludf.DUMMYFUNCTION("""COMPUTED_VALUE"""),"")</f>
        <v/>
      </c>
      <c r="EL4" s="17" t="str">
        <f>IFERROR(__xludf.DUMMYFUNCTION("""COMPUTED_VALUE"""),"")</f>
        <v/>
      </c>
      <c r="EM4" s="17" t="str">
        <f>IFERROR(__xludf.DUMMYFUNCTION("""COMPUTED_VALUE"""),"")</f>
        <v/>
      </c>
      <c r="EN4" s="17" t="str">
        <f>IFERROR(__xludf.DUMMYFUNCTION("""COMPUTED_VALUE"""),"")</f>
        <v/>
      </c>
      <c r="EO4" s="17" t="str">
        <f>IFERROR(__xludf.DUMMYFUNCTION("""COMPUTED_VALUE"""),"")</f>
        <v/>
      </c>
      <c r="EP4" s="17" t="str">
        <f>IFERROR(__xludf.DUMMYFUNCTION("""COMPUTED_VALUE"""),"")</f>
        <v/>
      </c>
      <c r="EQ4" s="17" t="str">
        <f>IFERROR(__xludf.DUMMYFUNCTION("""COMPUTED_VALUE"""),"")</f>
        <v/>
      </c>
      <c r="ER4" s="17" t="str">
        <f>IFERROR(__xludf.DUMMYFUNCTION("""COMPUTED_VALUE"""),"")</f>
        <v/>
      </c>
      <c r="ES4" s="17" t="str">
        <f>IFERROR(__xludf.DUMMYFUNCTION("""COMPUTED_VALUE"""),"")</f>
        <v/>
      </c>
      <c r="ET4" s="17" t="str">
        <f>IFERROR(__xludf.DUMMYFUNCTION("""COMPUTED_VALUE"""),"")</f>
        <v/>
      </c>
      <c r="EU4" s="17" t="str">
        <f>IFERROR(__xludf.DUMMYFUNCTION("""COMPUTED_VALUE"""),"")</f>
        <v/>
      </c>
      <c r="EV4" s="17" t="str">
        <f>IFERROR(__xludf.DUMMYFUNCTION("""COMPUTED_VALUE"""),"")</f>
        <v/>
      </c>
      <c r="EW4" s="17" t="str">
        <f>IFERROR(__xludf.DUMMYFUNCTION("""COMPUTED_VALUE"""),"")</f>
        <v/>
      </c>
      <c r="EX4" s="17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IFERROR(__xludf.DUMMYFUNCTION("""COMPUTED_VALUE"""),"checkBox")</f>
        <v>checkBox</v>
      </c>
      <c r="E5" s="26" t="str">
        <f>IFERROR(__xludf.DUMMYFUNCTION("""COMPUTED_VALUE"""),"Close Date")</f>
        <v>Close Date</v>
      </c>
      <c r="F5" s="27" t="str">
        <f>IFERROR(__xludf.DUMMYFUNCTION("""COMPUTED_VALUE"""),"ClosedAveragePrice")</f>
        <v>ClosedAveragePrice</v>
      </c>
      <c r="G5" s="26" t="str">
        <f>IFERROR(__xludf.DUMMYFUNCTION("""COMPUTED_VALUE"""),"ClosedQty")</f>
        <v>ClosedQty</v>
      </c>
      <c r="H5" s="26" t="str">
        <f>IFERROR(__xludf.DUMMYFUNCTION("""COMPUTED_VALUE"""),"Closing Method")</f>
        <v>Closing Method</v>
      </c>
      <c r="I5" s="26" t="str">
        <f>IFERROR(__xludf.DUMMYFUNCTION("""COMPUTED_VALUE"""),"ClosingID")</f>
        <v>ClosingID</v>
      </c>
      <c r="J5" s="26" t="str">
        <f>IFERROR(__xludf.DUMMYFUNCTION("""COMPUTED_VALUE"""),"ClosingMode")</f>
        <v>ClosingMode</v>
      </c>
      <c r="K5" s="26" t="str">
        <f>IFERROR(__xludf.DUMMYFUNCTION("""COMPUTED_VALUE"""),"ClosingPositionTag")</f>
        <v>ClosingPositionTag</v>
      </c>
      <c r="L5" s="26" t="str">
        <f>IFERROR(__xludf.DUMMYFUNCTION("""COMPUTED_VALUE"""),"ClosingSide")</f>
        <v>ClosingSide</v>
      </c>
      <c r="M5" s="26" t="str">
        <f>IFERROR(__xludf.DUMMYFUNCTION("""COMPUTED_VALUE"""),"ClosingTotalCommissionandFees")</f>
        <v>ClosingTotalCommissionandFees</v>
      </c>
      <c r="N5" s="26" t="str">
        <f>IFERROR(__xludf.DUMMYFUNCTION("""COMPUTED_VALUE"""),"Column1")</f>
        <v>Column1</v>
      </c>
      <c r="O5" s="26" t="str">
        <f>IFERROR(__xludf.DUMMYFUNCTION("""COMPUTED_VALUE"""),"CostBasisGrossPNL")</f>
        <v>CostBasisGrossPNL</v>
      </c>
      <c r="P5" s="26" t="str">
        <f>IFERROR(__xludf.DUMMYFUNCTION("""COMPUTED_VALUE"""),"Currency")</f>
        <v>Currency</v>
      </c>
      <c r="Q5" s="26" t="str">
        <f>IFERROR(__xludf.DUMMYFUNCTION("""COMPUTED_VALUE"""),"CurrencyID")</f>
        <v>CurrencyID</v>
      </c>
      <c r="R5" s="26" t="str">
        <f>IFERROR(__xludf.DUMMYFUNCTION("""COMPUTED_VALUE"""),"Exchange")</f>
        <v>Exchange</v>
      </c>
      <c r="S5" s="26" t="str">
        <f>IFERROR(__xludf.DUMMYFUNCTION("""COMPUTED_VALUE"""),"NotionalChange")</f>
        <v>NotionalChange</v>
      </c>
      <c r="T5" s="28" t="str">
        <f>IFERROR(__xludf.DUMMYFUNCTION("""COMPUTED_VALUE"""),"OpenAveragePrice")</f>
        <v>OpenAveragePrice</v>
      </c>
      <c r="U5" s="28" t="str">
        <f>IFERROR(__xludf.DUMMYFUNCTION("""COMPUTED_VALUE"""),"Original Purchase Date")</f>
        <v>Original Purchase Date</v>
      </c>
      <c r="V5" s="28" t="str">
        <f>IFERROR(__xludf.DUMMYFUNCTION("""COMPUTED_VALUE"""),"Position Type")</f>
        <v>Position Type</v>
      </c>
      <c r="W5" s="28" t="str">
        <f>IFERROR(__xludf.DUMMYFUNCTION("""COMPUTED_VALUE"""),"PositionSide")</f>
        <v>PositionSide</v>
      </c>
      <c r="X5" s="28" t="str">
        <f>IFERROR(__xludf.DUMMYFUNCTION("""COMPUTED_VALUE"""),"PositionTotalCommissionandFees")</f>
        <v>PositionTotalCommissionandFees</v>
      </c>
      <c r="Y5" s="28" t="str">
        <f>IFERROR(__xludf.DUMMYFUNCTION("""COMPUTED_VALUE"""),"Realized PNL(C.B.)")</f>
        <v>Realized PNL(C.B.)</v>
      </c>
      <c r="Z5" s="28" t="str">
        <f>IFERROR(__xludf.DUMMYFUNCTION("""COMPUTED_VALUE"""),"Side")</f>
        <v>Side</v>
      </c>
      <c r="AA5" s="28" t="str">
        <f>IFERROR(__xludf.DUMMYFUNCTION("""COMPUTED_VALUE"""),"Strategy")</f>
        <v>Strategy</v>
      </c>
      <c r="AB5" s="28" t="str">
        <f>IFERROR(__xludf.DUMMYFUNCTION("""COMPUTED_VALUE"""),"Symbol")</f>
        <v>Symbol</v>
      </c>
      <c r="AC5" s="28" t="str">
        <f>IFERROR(__xludf.DUMMYFUNCTION("""COMPUTED_VALUE"""),"Taxlot ID")</f>
        <v>Taxlot ID</v>
      </c>
      <c r="AD5" s="28" t="str">
        <f>IFERROR(__xludf.DUMMYFUNCTION("""COMPUTED_VALUE"""),"UnderlyingName")</f>
        <v>UnderlyingName</v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1" t="s">
        <v>18</v>
      </c>
      <c r="C6" s="34" t="s">
        <v>24</v>
      </c>
      <c r="D6" s="31"/>
      <c r="E6" s="35">
        <f>Today()</f>
        <v>43668</v>
      </c>
      <c r="F6" s="33">
        <v>0.0</v>
      </c>
      <c r="G6" s="33">
        <v>100.0</v>
      </c>
      <c r="H6" s="34" t="s">
        <v>27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42">
        <f>Today()</f>
        <v>43668</v>
      </c>
      <c r="V6" s="36"/>
      <c r="W6" s="36" t="s">
        <v>28</v>
      </c>
      <c r="X6" s="36"/>
      <c r="Y6" s="36"/>
      <c r="Z6" s="36" t="s">
        <v>17</v>
      </c>
      <c r="AA6" s="36"/>
      <c r="AB6" s="40" t="s">
        <v>16</v>
      </c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9"/>
      <c r="B1" s="10" t="s">
        <v>5</v>
      </c>
      <c r="C1" s="2"/>
      <c r="D1" s="2"/>
      <c r="E1" s="2"/>
      <c r="F1" s="2"/>
      <c r="G1" s="2"/>
      <c r="H1" s="3"/>
      <c r="I1" s="9"/>
      <c r="J1" s="9"/>
      <c r="K1" s="9"/>
      <c r="L1" s="9"/>
      <c r="M1" s="9"/>
      <c r="N1" s="9"/>
      <c r="O1" s="9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2" t="str">
        <f> VLOOKUP($E$3,'_MasterData'!B4:D1000,3,FALSE)</f>
        <v>#N/A</v>
      </c>
      <c r="K2" s="12"/>
      <c r="L2" s="4"/>
      <c r="M2" s="4"/>
      <c r="N2" s="4"/>
      <c r="O2" s="4"/>
    </row>
    <row r="3" ht="15.75" customHeight="1">
      <c r="A3" s="13"/>
      <c r="B3" s="5" t="s">
        <v>6</v>
      </c>
      <c r="C3" s="14" t="s">
        <v>29</v>
      </c>
      <c r="D3" s="5" t="s">
        <v>8</v>
      </c>
      <c r="E3" s="14" t="s">
        <v>30</v>
      </c>
      <c r="F3" s="5" t="s">
        <v>10</v>
      </c>
      <c r="G3" s="8" t="s">
        <v>11</v>
      </c>
      <c r="H3" s="5"/>
      <c r="I3" s="13"/>
      <c r="J3" s="13"/>
      <c r="K3" s="13"/>
      <c r="L3" s="13"/>
      <c r="M3" s="13"/>
      <c r="N3" s="13"/>
      <c r="O3" s="13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</row>
    <row r="4" ht="15.75" customHeight="1">
      <c r="A4" s="16"/>
      <c r="B4" s="16" t="str">
        <f>IFERROR(__xludf.DUMMYFUNCTION("IF(C3="""","""",Transpose(IMPORTRANGE('_Settings'!$B$3,C3&amp;""!A4:A1000"")))"),"Allocate")</f>
        <v>Allocate</v>
      </c>
      <c r="C4" s="16" t="str">
        <f>IFERROR(__xludf.DUMMYFUNCTION("""COMPUTED_VALUE"""),"CheckAllocatedGroups")</f>
        <v>CheckAllocatedGroups</v>
      </c>
      <c r="D4" s="16" t="str">
        <f>IFERROR(__xludf.DUMMYFUNCTION("""COMPUTED_VALUE"""),"Unallocate")</f>
        <v>Unallocate</v>
      </c>
      <c r="E4" s="16" t="str">
        <f>IFERROR(__xludf.DUMMYFUNCTION("""COMPUTED_VALUE"""),"GetDataAllocation")</f>
        <v>GetDataAllocation</v>
      </c>
      <c r="F4" s="16" t="str">
        <f>IFERROR(__xludf.DUMMYFUNCTION("""COMPUTED_VALUE"""),"SelectAllocatedGroup")</f>
        <v>SelectAllocatedGroup</v>
      </c>
      <c r="G4" s="16" t="str">
        <f>IFERROR(__xludf.DUMMYFUNCTION("""COMPUTED_VALUE"""),"EditTradesAllocated")</f>
        <v>EditTradesAllocated</v>
      </c>
      <c r="H4" s="16" t="str">
        <f>IFERROR(__xludf.DUMMYFUNCTION("""COMPUTED_VALUE"""),"EditTradesUnallocated")</f>
        <v>EditTradesUnallocated</v>
      </c>
      <c r="I4" s="16" t="str">
        <f>IFERROR(__xludf.DUMMYFUNCTION("""COMPUTED_VALUE"""),"Reallocate")</f>
        <v>Reallocate</v>
      </c>
      <c r="J4" s="16" t="str">
        <f>IFERROR(__xludf.DUMMYFUNCTION("""COMPUTED_VALUE"""),"EditUnallocatedGroupSidePanel")</f>
        <v>EditUnallocatedGroupSidePanel</v>
      </c>
      <c r="K4" s="16" t="str">
        <f>IFERROR(__xludf.DUMMYFUNCTION("""COMPUTED_VALUE"""),"TradeAttributeBulkChange")</f>
        <v>TradeAttributeBulkChange</v>
      </c>
      <c r="L4" s="16" t="str">
        <f>IFERROR(__xludf.DUMMYFUNCTION("""COMPUTED_VALUE"""),"ApplyBulkUpdateOnGroups")</f>
        <v>ApplyBulkUpdateOnGroups</v>
      </c>
      <c r="M4" s="16" t="str">
        <f>IFERROR(__xludf.DUMMYFUNCTION("""COMPUTED_VALUE"""),"ApplyPrefetchFilters")</f>
        <v>ApplyPrefetchFilters</v>
      </c>
      <c r="N4" s="16" t="str">
        <f>IFERROR(__xludf.DUMMYFUNCTION("""COMPUTED_VALUE"""),"GeneralPreferencesDefaultRule")</f>
        <v>GeneralPreferencesDefaultRule</v>
      </c>
      <c r="O4" s="16" t="str">
        <f>IFERROR(__xludf.DUMMYFUNCTION("""COMPUTED_VALUE"""),"GeneralPrefCompanyUserWise")</f>
        <v>GeneralPrefCompanyUserWise</v>
      </c>
      <c r="P4" s="17" t="str">
        <f>IFERROR(__xludf.DUMMYFUNCTION("""COMPUTED_VALUE"""),"RenameTradeAttributes")</f>
        <v>RenameTradeAttributes</v>
      </c>
      <c r="Q4" s="17" t="str">
        <f>IFERROR(__xludf.DUMMYFUNCTION("""COMPUTED_VALUE"""),"SetGroupingRules")</f>
        <v>SetGroupingRules</v>
      </c>
      <c r="R4" s="17" t="str">
        <f>IFERROR(__xludf.DUMMYFUNCTION("""COMPUTED_VALUE"""),"SetMasterFundRatio")</f>
        <v>SetMasterFundRatio</v>
      </c>
      <c r="S4" s="17" t="str">
        <f>IFERROR(__xludf.DUMMYFUNCTION("""COMPUTED_VALUE"""),"CheckFixedPreference")</f>
        <v>CheckFixedPreference</v>
      </c>
      <c r="T4" s="17" t="str">
        <f>IFERROR(__xludf.DUMMYFUNCTION("""COMPUTED_VALUE"""),"GetFixedPreference")</f>
        <v>GetFixedPreference</v>
      </c>
      <c r="U4" s="17" t="str">
        <f>IFERROR(__xludf.DUMMYFUNCTION("""COMPUTED_VALUE"""),"AddCalculatedPreferences")</f>
        <v>AddCalculatedPreferences</v>
      </c>
      <c r="V4" s="17" t="str">
        <f>IFERROR(__xludf.DUMMYFUNCTION("""COMPUTED_VALUE"""),"BulkChangeCalculatedPreferences")</f>
        <v>BulkChangeCalculatedPreferences</v>
      </c>
      <c r="W4" s="17" t="str">
        <f>IFERROR(__xludf.DUMMYFUNCTION("""COMPUTED_VALUE"""),"DeleteCalculatedPreferences")</f>
        <v>DeleteCalculatedPreferences</v>
      </c>
      <c r="X4" s="17" t="str">
        <f>IFERROR(__xludf.DUMMYFUNCTION("""COMPUTED_VALUE"""),"RenameCalculatedPreferences")</f>
        <v>RenameCalculatedPreferences</v>
      </c>
      <c r="Y4" s="17" t="str">
        <f>IFERROR(__xludf.DUMMYFUNCTION("""COMPUTED_VALUE"""),"CopyCalculatedPreferences")</f>
        <v>CopyCalculatedPreferences</v>
      </c>
      <c r="Z4" s="17" t="str">
        <f>IFERROR(__xludf.DUMMYFUNCTION("""COMPUTED_VALUE"""),"RunAutoGroup")</f>
        <v>RunAutoGroup</v>
      </c>
      <c r="AA4" s="17" t="str">
        <f>IFERROR(__xludf.DUMMYFUNCTION("""COMPUTED_VALUE"""),"BookOrUpdateSwap")</f>
        <v>BookOrUpdateSwap</v>
      </c>
      <c r="AB4" s="17" t="str">
        <f>IFERROR(__xludf.DUMMYFUNCTION("""COMPUTED_VALUE"""),"RunProrata")</f>
        <v>RunProrata</v>
      </c>
      <c r="AC4" s="17" t="str">
        <f>IFERROR(__xludf.DUMMYFUNCTION("""COMPUTED_VALUE"""),"SetDefaultRuleCalculatedPref")</f>
        <v>SetDefaultRuleCalculatedPref</v>
      </c>
      <c r="AD4" s="17" t="str">
        <f>IFERROR(__xludf.DUMMYFUNCTION("""COMPUTED_VALUE"""),"SetAccountValueCalculatedPref")</f>
        <v>SetAccountValueCalculatedPref</v>
      </c>
      <c r="AE4" s="17" t="str">
        <f>IFERROR(__xludf.DUMMYFUNCTION("""COMPUTED_VALUE"""),"TradeAttributeBulkChangeGroups")</f>
        <v>TradeAttributeBulkChangeGroups</v>
      </c>
      <c r="AF4" s="17" t="str">
        <f>IFERROR(__xludf.DUMMYFUNCTION("""COMPUTED_VALUE"""),"TradeAttributeBulkChangeTaxlots")</f>
        <v>TradeAttributeBulkChangeTaxlots</v>
      </c>
      <c r="AG4" s="17" t="str">
        <f>IFERROR(__xludf.DUMMYFUNCTION("""COMPUTED_VALUE"""),"AddCalculatedPreferenceToolbar")</f>
        <v>AddCalculatedPreferenceToolbar</v>
      </c>
      <c r="AH4" s="17" t="str">
        <f>IFERROR(__xludf.DUMMYFUNCTION("""COMPUTED_VALUE"""),"SetStrategyValueCalculatedPref")</f>
        <v>SetStrategyValueCalculatedPref</v>
      </c>
      <c r="AI4" s="17" t="str">
        <f>IFERROR(__xludf.DUMMYFUNCTION("""COMPUTED_VALUE"""),"ApplyBulkUpdateOnTaxlots")</f>
        <v>ApplyBulkUpdateOnTaxlots</v>
      </c>
      <c r="AJ4" s="17" t="str">
        <f>IFERROR(__xludf.DUMMYFUNCTION("""COMPUTED_VALUE"""),"CommissionBulkChangeOnGroups")</f>
        <v>CommissionBulkChangeOnGroups</v>
      </c>
      <c r="AK4" s="17" t="str">
        <f>IFERROR(__xludf.DUMMYFUNCTION("""COMPUTED_VALUE"""),"CommissionBulkChangeOnTaxlots")</f>
        <v>CommissionBulkChangeOnTaxlots</v>
      </c>
      <c r="AL4" s="17" t="str">
        <f>IFERROR(__xludf.DUMMYFUNCTION("""COMPUTED_VALUE"""),"SelectUnallocatedGroup")</f>
        <v>SelectUnallocatedGroup</v>
      </c>
      <c r="AM4" s="17" t="str">
        <f>IFERROR(__xludf.DUMMYFUNCTION("""COMPUTED_VALUE"""),"EnterAccountValuesToAllocate")</f>
        <v>EnterAccountValuesToAllocate</v>
      </c>
      <c r="AN4" s="17" t="str">
        <f>IFERROR(__xludf.DUMMYFUNCTION("""COMPUTED_VALUE"""),"EnterAllocatePreference")</f>
        <v>EnterAllocatePreference</v>
      </c>
      <c r="AO4" s="17" t="str">
        <f>IFERROR(__xludf.DUMMYFUNCTION("""COMPUTED_VALUE"""),"EnterStrategyValuesToAllocate")</f>
        <v>EnterStrategyValuesToAllocate</v>
      </c>
      <c r="AP4" s="17" t="str">
        <f>IFERROR(__xludf.DUMMYFUNCTION("""COMPUTED_VALUE"""),"CopyCalculatedPreferenceToolbar")</f>
        <v>CopyCalculatedPreferenceToolbar</v>
      </c>
      <c r="AQ4" s="17" t="str">
        <f>IFERROR(__xludf.DUMMYFUNCTION("""COMPUTED_VALUE"""),"SetGeneralRuleCalculatedPref")</f>
        <v>SetGeneralRuleCalculatedPref</v>
      </c>
      <c r="AR4" s="17" t="str">
        <f>IFERROR(__xludf.DUMMYFUNCTION("""COMPUTED_VALUE"""),"ExportAllCalculatedPreferences")</f>
        <v>ExportAllCalculatedPreferences</v>
      </c>
      <c r="AS4" s="17" t="str">
        <f>IFERROR(__xludf.DUMMYFUNCTION("""COMPUTED_VALUE"""),"SaveCalculatedPreferences")</f>
        <v>SaveCalculatedPreferences</v>
      </c>
      <c r="AT4" s="17" t="str">
        <f>IFERROR(__xludf.DUMMYFUNCTION("""COMPUTED_VALUE"""),"CloseCalculatedPreferences")</f>
        <v>CloseCalculatedPreferences</v>
      </c>
      <c r="AU4" s="17" t="str">
        <f>IFERROR(__xludf.DUMMYFUNCTION("""COMPUTED_VALUE"""),"ExportCalculatedPreference")</f>
        <v>ExportCalculatedPreference</v>
      </c>
      <c r="AV4" s="17" t="str">
        <f>IFERROR(__xludf.DUMMYFUNCTION("""COMPUTED_VALUE"""),"ImportCalculatedPreferences")</f>
        <v>ImportCalculatedPreferences</v>
      </c>
      <c r="AW4" s="17" t="str">
        <f>IFERROR(__xludf.DUMMYFUNCTION("""COMPUTED_VALUE"""),"OpenAuditTrailUnallocatedGroup")</f>
        <v>OpenAuditTrailUnallocatedGroup</v>
      </c>
      <c r="AX4" s="17" t="str">
        <f>IFERROR(__xludf.DUMMYFUNCTION("""COMPUTED_VALUE"""),"DeleteCalculatedPreferencesTool")</f>
        <v>DeleteCalculatedPreferencesTool</v>
      </c>
      <c r="AY4" s="17" t="str">
        <f>IFERROR(__xludf.DUMMYFUNCTION("""COMPUTED_VALUE"""),"ImportCalculatedPreferencesTool")</f>
        <v>ImportCalculatedPreferencesTool</v>
      </c>
      <c r="AZ4" s="17" t="str">
        <f>IFERROR(__xludf.DUMMYFUNCTION("""COMPUTED_VALUE"""),"ExportAllCalculatedPreferTool")</f>
        <v>ExportAllCalculatedPreferTool</v>
      </c>
      <c r="BA4" s="17" t="str">
        <f>IFERROR(__xludf.DUMMYFUNCTION("""COMPUTED_VALUE"""),"OpenAuditTrailAllocatedGroup")</f>
        <v>OpenAuditTrailAllocatedGroup</v>
      </c>
      <c r="BB4" s="17" t="str">
        <f>IFERROR(__xludf.DUMMYFUNCTION("""COMPUTED_VALUE"""),"OpenSymbolLookupUnallocateGroup")</f>
        <v>OpenSymbolLookupUnallocateGroup</v>
      </c>
      <c r="BC4" s="17" t="str">
        <f>IFERROR(__xludf.DUMMYFUNCTION("""COMPUTED_VALUE"""),"OpenSymbolLookupAllocatedGroup")</f>
        <v>OpenSymbolLookupAllocatedGroup</v>
      </c>
      <c r="BD4" s="17" t="str">
        <f>IFERROR(__xludf.DUMMYFUNCTION("""COMPUTED_VALUE"""),"DeleteFixedPreference")</f>
        <v>DeleteFixedPreference</v>
      </c>
      <c r="BE4" s="17" t="str">
        <f>IFERROR(__xludf.DUMMYFUNCTION("""COMPUTED_VALUE"""),"EditAllocatedGroupSidePanel")</f>
        <v>EditAllocatedGroupSidePanel</v>
      </c>
      <c r="BF4" s="17" t="str">
        <f>IFERROR(__xludf.DUMMYFUNCTION("""COMPUTED_VALUE"""),"CheckUnallocatedGroups")</f>
        <v>CheckUnallocatedGroups</v>
      </c>
      <c r="BG4" s="17" t="str">
        <f>IFERROR(__xludf.DUMMYFUNCTION("""COMPUTED_VALUE"""),"SetGeneralPreferences")</f>
        <v>SetGeneralPreferences</v>
      </c>
      <c r="BH4" s="17" t="str">
        <f>IFERROR(__xludf.DUMMYFUNCTION("""COMPUTED_VALUE"""),"GroupTrades")</f>
        <v>GroupTrades</v>
      </c>
      <c r="BI4" s="17" t="str">
        <f>IFERROR(__xludf.DUMMYFUNCTION("""COMPUTED_VALUE"""),"UngroupTrades")</f>
        <v>UngroupTrades</v>
      </c>
      <c r="BJ4" s="17" t="str">
        <f>IFERROR(__xludf.DUMMYFUNCTION("""COMPUTED_VALUE"""),"DeleteGroup")</f>
        <v>DeleteGroup</v>
      </c>
      <c r="BK4" s="17" t="str">
        <f>IFERROR(__xludf.DUMMYFUNCTION("""COMPUTED_VALUE"""),"CloseOrder")</f>
        <v>CloseOrder</v>
      </c>
      <c r="BL4" s="17" t="str">
        <f>IFERROR(__xludf.DUMMYFUNCTION("""COMPUTED_VALUE"""),"Unallocate")</f>
        <v>Unallocate</v>
      </c>
      <c r="BM4" s="17" t="str">
        <f>IFERROR(__xludf.DUMMYFUNCTION("""COMPUTED_VALUE"""),"CloseAllocation")</f>
        <v>CloseAllocation</v>
      </c>
      <c r="BN4" s="17" t="str">
        <f>IFERROR(__xludf.DUMMYFUNCTION("""COMPUTED_VALUE"""),"UpdateGRAccountValue")</f>
        <v>UpdateGRAccountValue</v>
      </c>
      <c r="BO4" s="17" t="str">
        <f>IFERROR(__xludf.DUMMYFUNCTION("""COMPUTED_VALUE"""),"UpdateGRStrategyValue")</f>
        <v>UpdateGRStrategyValue</v>
      </c>
      <c r="BP4" s="17" t="str">
        <f>IFERROR(__xludf.DUMMYFUNCTION("""COMPUTED_VALUE"""),"UpdateGRDefaultRule")</f>
        <v>UpdateGRDefaultRule</v>
      </c>
      <c r="BQ4" s="17" t="str">
        <f>IFERROR(__xludf.DUMMYFUNCTION("""COMPUTED_VALUE"""),"UpdateGeneralRulePref")</f>
        <v>UpdateGeneralRulePref</v>
      </c>
      <c r="BR4" s="17" t="str">
        <f>IFERROR(__xludf.DUMMYFUNCTION("""COMPUTED_VALUE"""),"ModifyGRPreferenceValues")</f>
        <v>ModifyGRPreferenceValues</v>
      </c>
      <c r="BS4" s="17" t="str">
        <f>IFERROR(__xludf.DUMMYFUNCTION("""COMPUTED_VALUE"""),"AddMFPreferences")</f>
        <v>AddMFPreferences</v>
      </c>
      <c r="BT4" s="17" t="str">
        <f>IFERROR(__xludf.DUMMYFUNCTION("""COMPUTED_VALUE"""),"AddMFPreferenceToolbar")</f>
        <v>AddMFPreferenceToolbar</v>
      </c>
      <c r="BU4" s="17" t="str">
        <f>IFERROR(__xludf.DUMMYFUNCTION("""COMPUTED_VALUE"""),"DeleteMFPreferences")</f>
        <v>DeleteMFPreferences</v>
      </c>
      <c r="BV4" s="17" t="str">
        <f>IFERROR(__xludf.DUMMYFUNCTION("""COMPUTED_VALUE"""),"DeleteMFPreferenceToolbar")</f>
        <v>DeleteMFPreferenceToolbar</v>
      </c>
      <c r="BW4" s="17" t="str">
        <f>IFERROR(__xludf.DUMMYFUNCTION("""COMPUTED_VALUE"""),"RenameMFPreferences")</f>
        <v>RenameMFPreferences</v>
      </c>
      <c r="BX4" s="17" t="str">
        <f>IFERROR(__xludf.DUMMYFUNCTION("""COMPUTED_VALUE"""),"SaveCloseMFPreference")</f>
        <v>SaveCloseMFPreference</v>
      </c>
      <c r="BY4" s="17" t="str">
        <f>IFERROR(__xludf.DUMMYFUNCTION("""COMPUTED_VALUE"""),"SetMFPrefAccountValues")</f>
        <v>SetMFPrefAccountValues</v>
      </c>
      <c r="BZ4" s="17" t="str">
        <f>IFERROR(__xludf.DUMMYFUNCTION("""COMPUTED_VALUE"""),"ModifyMFPrefGeneralRuleValues")</f>
        <v>ModifyMFPrefGeneralRuleValues</v>
      </c>
      <c r="CA4" s="17" t="str">
        <f>IFERROR(__xludf.DUMMYFUNCTION("""COMPUTED_VALUE"""),"SetMFPrefStrategyValues")</f>
        <v>SetMFPrefStrategyValues</v>
      </c>
      <c r="CB4" s="17" t="str">
        <f>IFERROR(__xludf.DUMMYFUNCTION("""COMPUTED_VALUE"""),"SetMFPrefGeneralRule")</f>
        <v>SetMFPrefGeneralRule</v>
      </c>
      <c r="CC4" s="17" t="str">
        <f>IFERROR(__xludf.DUMMYFUNCTION("""COMPUTED_VALUE"""),"SetMFPrefFundDistribution")</f>
        <v>SetMFPrefFundDistribution</v>
      </c>
      <c r="CD4" s="17" t="str">
        <f>IFERROR(__xludf.DUMMYFUNCTION("""COMPUTED_VALUE"""),"SetMFPreferencesDefaultRule")</f>
        <v>SetMFPreferencesDefaultRule</v>
      </c>
      <c r="CE4" s="17" t="str">
        <f>IFERROR(__xludf.DUMMYFUNCTION("""COMPUTED_VALUE"""),"SetMFPrefFundDefaultRule")</f>
        <v>SetMFPrefFundDefaultRule</v>
      </c>
      <c r="CF4" s="17" t="str">
        <f>IFERROR(__xludf.DUMMYFUNCTION("""COMPUTED_VALUE"""),"ClearPrefetchFilters")</f>
        <v>ClearPrefetchFilters</v>
      </c>
      <c r="CG4" s="17" t="str">
        <f>IFERROR(__xludf.DUMMYFUNCTION("""COMPUTED_VALUE"""),"ExpandCollapseAllUnallocated")</f>
        <v>ExpandCollapseAllUnallocated</v>
      </c>
      <c r="CH4" s="17" t="str">
        <f>IFERROR(__xludf.DUMMYFUNCTION("""COMPUTED_VALUE"""),"ExpandCollapseAllAllocated")</f>
        <v>ExpandCollapseAllAllocated</v>
      </c>
      <c r="CI4" s="17" t="str">
        <f>IFERROR(__xludf.DUMMYFUNCTION("""COMPUTED_VALUE"""),"GenerateCashTransaction")</f>
        <v>GenerateCashTransaction</v>
      </c>
      <c r="CJ4" s="17" t="str">
        <f>IFERROR(__xludf.DUMMYFUNCTION("""COMPUTED_VALUE"""),"SaveAllocation")</f>
        <v>SaveAllocation</v>
      </c>
      <c r="CK4" s="17" t="str">
        <f>IFERROR(__xludf.DUMMYFUNCTION("""COMPUTED_VALUE"""),"UnallocateWithOutSave")</f>
        <v>UnallocateWithOutSave</v>
      </c>
      <c r="CL4" s="17" t="str">
        <f>IFERROR(__xludf.DUMMYFUNCTION("""COMPUTED_VALUE"""),"EditUnallocatedGrid")</f>
        <v>EditUnallocatedGrid</v>
      </c>
      <c r="CM4" s="17" t="str">
        <f>IFERROR(__xludf.DUMMYFUNCTION("""COMPUTED_VALUE"""),"EditAllocatedGrid")</f>
        <v>EditAllocatedGrid</v>
      </c>
      <c r="CN4" s="17" t="str">
        <f>IFERROR(__xludf.DUMMYFUNCTION("""COMPUTED_VALUE"""),"SaveLayoutAllocatedGrid")</f>
        <v>SaveLayoutAllocatedGrid</v>
      </c>
      <c r="CO4" s="17" t="str">
        <f>IFERROR(__xludf.DUMMYFUNCTION("""COMPUTED_VALUE"""),"SaveLayoutUnallocatedGrid")</f>
        <v>SaveLayoutUnallocatedGrid</v>
      </c>
      <c r="CP4" s="17" t="str">
        <f>IFERROR(__xludf.DUMMYFUNCTION("""COMPUTED_VALUE"""),"SaveLayoutAllocationUI")</f>
        <v>SaveLayoutAllocationUI</v>
      </c>
      <c r="CQ4" s="17" t="str">
        <f>IFERROR(__xludf.DUMMYFUNCTION("""COMPUTED_VALUE"""),"ClearFiltersAllocatedGrid")</f>
        <v>ClearFiltersAllocatedGrid</v>
      </c>
      <c r="CR4" s="17" t="str">
        <f>IFERROR(__xludf.DUMMYFUNCTION("""COMPUTED_VALUE"""),"ClearFiltersUnallocatedGrid")</f>
        <v>ClearFiltersUnallocatedGrid</v>
      </c>
      <c r="CS4" s="17" t="str">
        <f>IFERROR(__xludf.DUMMYFUNCTION("""COMPUTED_VALUE"""),"VerifyLayoutAllocatedGrid")</f>
        <v>VerifyLayoutAllocatedGrid</v>
      </c>
      <c r="CT4" s="17" t="str">
        <f>IFERROR(__xludf.DUMMYFUNCTION("""COMPUTED_VALUE"""),"VerifyLayoutUnallocatedGrid")</f>
        <v>VerifyLayoutUnallocatedGrid</v>
      </c>
      <c r="CU4" s="17" t="str">
        <f>IFERROR(__xludf.DUMMYFUNCTION("""COMPUTED_VALUE"""),"CleanUp")</f>
        <v>CleanUp</v>
      </c>
      <c r="CV4" s="17" t="str">
        <f>IFERROR(__xludf.DUMMYFUNCTION("""COMPUTED_VALUE"""),"CheckAllocatedTaxlots")</f>
        <v>CheckAllocatedTaxlots</v>
      </c>
      <c r="CW4" s="17" t="str">
        <f>IFERROR(__xludf.DUMMYFUNCTION("""COMPUTED_VALUE"""),"")</f>
        <v/>
      </c>
      <c r="CX4" s="17" t="str">
        <f>IFERROR(__xludf.DUMMYFUNCTION("""COMPUTED_VALUE"""),"")</f>
        <v/>
      </c>
      <c r="CY4" s="17" t="str">
        <f>IFERROR(__xludf.DUMMYFUNCTION("""COMPUTED_VALUE"""),"")</f>
        <v/>
      </c>
      <c r="CZ4" s="17" t="str">
        <f>IFERROR(__xludf.DUMMYFUNCTION("""COMPUTED_VALUE"""),"")</f>
        <v/>
      </c>
      <c r="DA4" s="17" t="str">
        <f>IFERROR(__xludf.DUMMYFUNCTION("""COMPUTED_VALUE"""),"")</f>
        <v/>
      </c>
      <c r="DB4" s="17" t="str">
        <f>IFERROR(__xludf.DUMMYFUNCTION("""COMPUTED_VALUE"""),"")</f>
        <v/>
      </c>
      <c r="DC4" s="17" t="str">
        <f>IFERROR(__xludf.DUMMYFUNCTION("""COMPUTED_VALUE"""),"")</f>
        <v/>
      </c>
      <c r="DD4" s="17" t="str">
        <f>IFERROR(__xludf.DUMMYFUNCTION("""COMPUTED_VALUE"""),"")</f>
        <v/>
      </c>
      <c r="DE4" s="17" t="str">
        <f>IFERROR(__xludf.DUMMYFUNCTION("""COMPUTED_VALUE"""),"")</f>
        <v/>
      </c>
      <c r="DF4" s="17" t="str">
        <f>IFERROR(__xludf.DUMMYFUNCTION("""COMPUTED_VALUE"""),"")</f>
        <v/>
      </c>
      <c r="DG4" s="17" t="str">
        <f>IFERROR(__xludf.DUMMYFUNCTION("""COMPUTED_VALUE"""),"")</f>
        <v/>
      </c>
      <c r="DH4" s="17" t="str">
        <f>IFERROR(__xludf.DUMMYFUNCTION("""COMPUTED_VALUE"""),"")</f>
        <v/>
      </c>
      <c r="DI4" s="17" t="str">
        <f>IFERROR(__xludf.DUMMYFUNCTION("""COMPUTED_VALUE"""),"")</f>
        <v/>
      </c>
      <c r="DJ4" s="17" t="str">
        <f>IFERROR(__xludf.DUMMYFUNCTION("""COMPUTED_VALUE"""),"")</f>
        <v/>
      </c>
      <c r="DK4" s="17" t="str">
        <f>IFERROR(__xludf.DUMMYFUNCTION("""COMPUTED_VALUE"""),"")</f>
        <v/>
      </c>
      <c r="DL4" s="17" t="str">
        <f>IFERROR(__xludf.DUMMYFUNCTION("""COMPUTED_VALUE"""),"")</f>
        <v/>
      </c>
      <c r="DM4" s="17" t="str">
        <f>IFERROR(__xludf.DUMMYFUNCTION("""COMPUTED_VALUE"""),"")</f>
        <v/>
      </c>
      <c r="DN4" s="17" t="str">
        <f>IFERROR(__xludf.DUMMYFUNCTION("""COMPUTED_VALUE"""),"")</f>
        <v/>
      </c>
      <c r="DO4" s="17" t="str">
        <f>IFERROR(__xludf.DUMMYFUNCTION("""COMPUTED_VALUE"""),"")</f>
        <v/>
      </c>
      <c r="DP4" s="17" t="str">
        <f>IFERROR(__xludf.DUMMYFUNCTION("""COMPUTED_VALUE"""),"")</f>
        <v/>
      </c>
      <c r="DQ4" s="17" t="str">
        <f>IFERROR(__xludf.DUMMYFUNCTION("""COMPUTED_VALUE"""),"")</f>
        <v/>
      </c>
      <c r="DR4" s="17" t="str">
        <f>IFERROR(__xludf.DUMMYFUNCTION("""COMPUTED_VALUE"""),"")</f>
        <v/>
      </c>
      <c r="DS4" s="17" t="str">
        <f>IFERROR(__xludf.DUMMYFUNCTION("""COMPUTED_VALUE"""),"")</f>
        <v/>
      </c>
      <c r="DT4" s="17" t="str">
        <f>IFERROR(__xludf.DUMMYFUNCTION("""COMPUTED_VALUE"""),"")</f>
        <v/>
      </c>
      <c r="DU4" s="17" t="str">
        <f>IFERROR(__xludf.DUMMYFUNCTION("""COMPUTED_VALUE"""),"")</f>
        <v/>
      </c>
      <c r="DV4" s="17" t="str">
        <f>IFERROR(__xludf.DUMMYFUNCTION("""COMPUTED_VALUE"""),"")</f>
        <v/>
      </c>
      <c r="DW4" s="17" t="str">
        <f>IFERROR(__xludf.DUMMYFUNCTION("""COMPUTED_VALUE"""),"")</f>
        <v/>
      </c>
      <c r="DX4" s="17" t="str">
        <f>IFERROR(__xludf.DUMMYFUNCTION("""COMPUTED_VALUE"""),"")</f>
        <v/>
      </c>
      <c r="DY4" s="17" t="str">
        <f>IFERROR(__xludf.DUMMYFUNCTION("""COMPUTED_VALUE"""),"")</f>
        <v/>
      </c>
      <c r="DZ4" s="17" t="str">
        <f>IFERROR(__xludf.DUMMYFUNCTION("""COMPUTED_VALUE"""),"")</f>
        <v/>
      </c>
      <c r="EA4" s="17" t="str">
        <f>IFERROR(__xludf.DUMMYFUNCTION("""COMPUTED_VALUE"""),"")</f>
        <v/>
      </c>
      <c r="EB4" s="17" t="str">
        <f>IFERROR(__xludf.DUMMYFUNCTION("""COMPUTED_VALUE"""),"")</f>
        <v/>
      </c>
      <c r="EC4" s="17" t="str">
        <f>IFERROR(__xludf.DUMMYFUNCTION("""COMPUTED_VALUE"""),"")</f>
        <v/>
      </c>
      <c r="ED4" s="17" t="str">
        <f>IFERROR(__xludf.DUMMYFUNCTION("""COMPUTED_VALUE"""),"")</f>
        <v/>
      </c>
      <c r="EE4" s="17" t="str">
        <f>IFERROR(__xludf.DUMMYFUNCTION("""COMPUTED_VALUE"""),"")</f>
        <v/>
      </c>
      <c r="EF4" s="17" t="str">
        <f>IFERROR(__xludf.DUMMYFUNCTION("""COMPUTED_VALUE"""),"")</f>
        <v/>
      </c>
      <c r="EG4" s="17" t="str">
        <f>IFERROR(__xludf.DUMMYFUNCTION("""COMPUTED_VALUE"""),"")</f>
        <v/>
      </c>
      <c r="EH4" s="17" t="str">
        <f>IFERROR(__xludf.DUMMYFUNCTION("""COMPUTED_VALUE"""),"")</f>
        <v/>
      </c>
      <c r="EI4" s="17" t="str">
        <f>IFERROR(__xludf.DUMMYFUNCTION("""COMPUTED_VALUE"""),"")</f>
        <v/>
      </c>
      <c r="EJ4" s="17" t="str">
        <f>IFERROR(__xludf.DUMMYFUNCTION("""COMPUTED_VALUE"""),"")</f>
        <v/>
      </c>
      <c r="EK4" s="17" t="str">
        <f>IFERROR(__xludf.DUMMYFUNCTION("""COMPUTED_VALUE"""),"")</f>
        <v/>
      </c>
      <c r="EL4" s="17" t="str">
        <f>IFERROR(__xludf.DUMMYFUNCTION("""COMPUTED_VALUE"""),"")</f>
        <v/>
      </c>
      <c r="EM4" s="17" t="str">
        <f>IFERROR(__xludf.DUMMYFUNCTION("""COMPUTED_VALUE"""),"")</f>
        <v/>
      </c>
      <c r="EN4" s="17" t="str">
        <f>IFERROR(__xludf.DUMMYFUNCTION("""COMPUTED_VALUE"""),"")</f>
        <v/>
      </c>
      <c r="EO4" s="17" t="str">
        <f>IFERROR(__xludf.DUMMYFUNCTION("""COMPUTED_VALUE"""),"")</f>
        <v/>
      </c>
      <c r="EP4" s="17" t="str">
        <f>IFERROR(__xludf.DUMMYFUNCTION("""COMPUTED_VALUE"""),"")</f>
        <v/>
      </c>
      <c r="EQ4" s="17" t="str">
        <f>IFERROR(__xludf.DUMMYFUNCTION("""COMPUTED_VALUE"""),"")</f>
        <v/>
      </c>
      <c r="ER4" s="17" t="str">
        <f>IFERROR(__xludf.DUMMYFUNCTION("""COMPUTED_VALUE"""),"")</f>
        <v/>
      </c>
      <c r="ES4" s="17" t="str">
        <f>IFERROR(__xludf.DUMMYFUNCTION("""COMPUTED_VALUE"""),"")</f>
        <v/>
      </c>
      <c r="ET4" s="17" t="str">
        <f>IFERROR(__xludf.DUMMYFUNCTION("""COMPUTED_VALUE"""),"")</f>
        <v/>
      </c>
      <c r="EU4" s="17" t="str">
        <f>IFERROR(__xludf.DUMMYFUNCTION("""COMPUTED_VALUE"""),"")</f>
        <v/>
      </c>
      <c r="EV4" s="17" t="str">
        <f>IFERROR(__xludf.DUMMYFUNCTION("""COMPUTED_VALUE"""),"")</f>
        <v/>
      </c>
      <c r="EW4" s="17" t="str">
        <f>IFERROR(__xludf.DUMMYFUNCTION("""COMPUTED_VALUE"""),"")</f>
        <v/>
      </c>
      <c r="EX4" s="17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1" t="s">
        <v>18</v>
      </c>
      <c r="C6" s="34"/>
      <c r="D6" s="31"/>
      <c r="E6" s="33">
        <v>100.0</v>
      </c>
      <c r="F6" s="34"/>
      <c r="G6" s="34"/>
      <c r="H6" s="34"/>
      <c r="I6" s="34"/>
      <c r="J6" s="34"/>
      <c r="K6" s="33">
        <v>10.0</v>
      </c>
      <c r="L6" s="33">
        <v>10.0</v>
      </c>
      <c r="M6" s="34"/>
      <c r="N6" s="34"/>
      <c r="O6" s="34"/>
      <c r="P6" s="34"/>
      <c r="Q6" s="34"/>
      <c r="R6" s="34"/>
      <c r="S6" s="34" t="s">
        <v>31</v>
      </c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9">
        <v>100.0</v>
      </c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9">
        <v>100.0</v>
      </c>
      <c r="BK6" s="36"/>
      <c r="BL6" s="36"/>
      <c r="BM6" s="36"/>
      <c r="BN6" s="36"/>
      <c r="BO6" s="36" t="s">
        <v>17</v>
      </c>
      <c r="BP6" s="36"/>
      <c r="BQ6" s="36"/>
      <c r="BR6" s="36"/>
      <c r="BS6" s="36"/>
      <c r="BT6" s="40" t="s">
        <v>16</v>
      </c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18</v>
      </c>
      <c r="C7" s="36"/>
      <c r="D7" s="36"/>
      <c r="E7" s="43">
        <v>100.0</v>
      </c>
      <c r="F7" s="36"/>
      <c r="G7" s="36"/>
      <c r="H7" s="36"/>
      <c r="I7" s="36"/>
      <c r="J7" s="36"/>
      <c r="K7" s="43">
        <v>0.0</v>
      </c>
      <c r="L7" s="43">
        <v>0.0</v>
      </c>
      <c r="M7" s="36"/>
      <c r="N7" s="36"/>
      <c r="O7" s="36"/>
      <c r="P7" s="36"/>
      <c r="Q7" s="36"/>
      <c r="R7" s="36"/>
      <c r="S7" s="36" t="s">
        <v>31</v>
      </c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9">
        <v>100.0</v>
      </c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9">
        <v>100.0</v>
      </c>
      <c r="BK7" s="36"/>
      <c r="BL7" s="36"/>
      <c r="BM7" s="36"/>
      <c r="BN7" s="36"/>
      <c r="BO7" s="36" t="s">
        <v>32</v>
      </c>
      <c r="BP7" s="36"/>
      <c r="BQ7" s="36"/>
      <c r="BR7" s="36"/>
      <c r="BS7" s="36"/>
      <c r="BT7" s="40" t="s">
        <v>16</v>
      </c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9"/>
      <c r="B1" s="10" t="s">
        <v>5</v>
      </c>
      <c r="C1" s="2"/>
      <c r="D1" s="2"/>
      <c r="E1" s="2"/>
      <c r="F1" s="2"/>
      <c r="G1" s="2"/>
      <c r="H1" s="3"/>
      <c r="I1" s="9"/>
      <c r="J1" s="9"/>
      <c r="K1" s="9"/>
      <c r="L1" s="9"/>
      <c r="M1" s="9"/>
      <c r="N1" s="9"/>
      <c r="O1" s="9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2" t="str">
        <f> VLOOKUP($E$3,'_MasterData'!B4:D1000,3,FALSE)</f>
        <v>#N/A</v>
      </c>
      <c r="K2" s="12"/>
      <c r="L2" s="4"/>
      <c r="M2" s="4"/>
      <c r="N2" s="4"/>
      <c r="O2" s="4"/>
    </row>
    <row r="3" ht="15.75" customHeight="1">
      <c r="A3" s="13"/>
      <c r="B3" s="5" t="s">
        <v>6</v>
      </c>
      <c r="C3" s="14" t="s">
        <v>19</v>
      </c>
      <c r="D3" s="5" t="s">
        <v>8</v>
      </c>
      <c r="E3" s="14" t="s">
        <v>33</v>
      </c>
      <c r="F3" s="5" t="s">
        <v>10</v>
      </c>
      <c r="G3" s="8" t="s">
        <v>11</v>
      </c>
      <c r="H3" s="5"/>
      <c r="I3" s="13"/>
      <c r="J3" s="13"/>
      <c r="K3" s="13"/>
      <c r="L3" s="13"/>
      <c r="M3" s="13"/>
      <c r="N3" s="13"/>
      <c r="O3" s="13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</row>
    <row r="4" ht="15.75" customHeight="1">
      <c r="A4" s="16"/>
      <c r="B4" s="16" t="str">
        <f>IFERROR(__xludf.DUMMYFUNCTION("IF(C3="""","""",Transpose(IMPORTRANGE('_Settings'!$B$3,C3&amp;""!A4:A1000"")))"),"SwapExpire")</f>
        <v>SwapExpire</v>
      </c>
      <c r="C4" s="16" t="str">
        <f>IFERROR(__xludf.DUMMYFUNCTION("""COMPUTED_VALUE"""),"GetDataClosing")</f>
        <v>GetDataClosing</v>
      </c>
      <c r="D4" s="16" t="str">
        <f>IFERROR(__xludf.DUMMYFUNCTION("""COMPUTED_VALUE"""),"ManualClosing")</f>
        <v>ManualClosing</v>
      </c>
      <c r="E4" s="16" t="str">
        <f>IFERROR(__xludf.DUMMYFUNCTION("""COMPUTED_VALUE"""),"AutomaticClosing")</f>
        <v>AutomaticClosing</v>
      </c>
      <c r="F4" s="16" t="str">
        <f>IFERROR(__xludf.DUMMYFUNCTION("""COMPUTED_VALUE"""),"UnwindClosing")</f>
        <v>UnwindClosing</v>
      </c>
      <c r="G4" s="16" t="str">
        <f>IFERROR(__xludf.DUMMYFUNCTION("""COMPUTED_VALUE"""),"VerifyClosedTrades")</f>
        <v>VerifyClosedTrades</v>
      </c>
      <c r="H4" s="16" t="str">
        <f>IFERROR(__xludf.DUMMYFUNCTION("""COMPUTED_VALUE"""),"VerifyLongPositionsGrid")</f>
        <v>VerifyLongPositionsGrid</v>
      </c>
      <c r="I4" s="16" t="str">
        <f>IFERROR(__xludf.DUMMYFUNCTION("""COMPUTED_VALUE"""),"VerifyShortPositionsGrid")</f>
        <v>VerifyShortPositionsGrid</v>
      </c>
      <c r="J4" s="16" t="str">
        <f>IFERROR(__xludf.DUMMYFUNCTION("""COMPUTED_VALUE"""),"SelectTradeUnexpiredUnsettled")</f>
        <v>SelectTradeUnexpiredUnsettled</v>
      </c>
      <c r="K4" s="16" t="str">
        <f>IFERROR(__xludf.DUMMYFUNCTION("""COMPUTED_VALUE"""),"CashSettlementAtCost")</f>
        <v>CashSettlementAtCost</v>
      </c>
      <c r="L4" s="16" t="str">
        <f>IFERROR(__xludf.DUMMYFUNCTION("""COMPUTED_VALUE"""),"CashSettlementAtZeroPrice")</f>
        <v>CashSettlementAtZeroPrice</v>
      </c>
      <c r="M4" s="16" t="str">
        <f>IFERROR(__xludf.DUMMYFUNCTION("""COMPUTED_VALUE"""),"CashSettlementAtClosingDtSpotPx")</f>
        <v>CashSettlementAtClosingDtSpotPx</v>
      </c>
      <c r="N4" s="16" t="str">
        <f>IFERROR(__xludf.DUMMYFUNCTION("""COMPUTED_VALUE"""),"PhysicalSettlement")</f>
        <v>PhysicalSettlement</v>
      </c>
      <c r="O4" s="16" t="str">
        <f>IFERROR(__xludf.DUMMYFUNCTION("""COMPUTED_VALUE"""),"Expire")</f>
        <v>Expire</v>
      </c>
      <c r="P4" s="17" t="str">
        <f>IFERROR(__xludf.DUMMYFUNCTION("""COMPUTED_VALUE"""),"ExerciseAssignment")</f>
        <v>ExerciseAssignment</v>
      </c>
      <c r="Q4" s="17" t="str">
        <f>IFERROR(__xludf.DUMMYFUNCTION("""COMPUTED_VALUE"""),"ExerciseAssignmentAtZero")</f>
        <v>ExerciseAssignmentAtZero</v>
      </c>
      <c r="R4" s="17" t="str">
        <f>IFERROR(__xludf.DUMMYFUNCTION("""COMPUTED_VALUE"""),"SwapExpireAndRollover")</f>
        <v>SwapExpireAndRollover</v>
      </c>
      <c r="S4" s="17" t="str">
        <f>IFERROR(__xludf.DUMMYFUNCTION("""COMPUTED_VALUE"""),"SwapExpire")</f>
        <v>SwapExpire</v>
      </c>
      <c r="T4" s="17" t="str">
        <f>IFERROR(__xludf.DUMMYFUNCTION("""COMPUTED_VALUE"""),"VerifyExpiredSettledGrid")</f>
        <v>VerifyExpiredSettledGrid</v>
      </c>
      <c r="U4" s="17" t="str">
        <f>IFERROR(__xludf.DUMMYFUNCTION("""COMPUTED_VALUE"""),"VerifyUnExpiredUnSettledGrid")</f>
        <v>VerifyUnExpiredUnSettledGrid</v>
      </c>
      <c r="V4" s="17" t="str">
        <f>IFERROR(__xludf.DUMMYFUNCTION("""COMPUTED_VALUE"""),"UnWindTradeSettlement")</f>
        <v>UnWindTradeSettlement</v>
      </c>
      <c r="W4" s="17" t="str">
        <f>IFERROR(__xludf.DUMMYFUNCTION("""COMPUTED_VALUE"""),"CloseOrder")</f>
        <v>CloseOrder</v>
      </c>
      <c r="X4" s="17" t="str">
        <f>IFERROR(__xludf.DUMMYFUNCTION("""COMPUTED_VALUE"""),"VerifyCloseOrder")</f>
        <v>VerifyCloseOrder</v>
      </c>
      <c r="Y4" s="17" t="str">
        <f>IFERROR(__xludf.DUMMYFUNCTION("""COMPUTED_VALUE"""),"UnWindCloseOrder")</f>
        <v>UnWindCloseOrder</v>
      </c>
      <c r="Z4" s="17" t="str">
        <f>IFERROR(__xludf.DUMMYFUNCTION("""COMPUTED_VALUE"""),"ClosingCleanUp")</f>
        <v>ClosingCleanUp</v>
      </c>
      <c r="AA4" s="17" t="str">
        <f>IFERROR(__xludf.DUMMYFUNCTION("""COMPUTED_VALUE"""),"CloseClosingUI")</f>
        <v>CloseClosingUI</v>
      </c>
      <c r="AB4" s="17" t="str">
        <f>IFERROR(__xludf.DUMMYFUNCTION("""COMPUTED_VALUE"""),"SetClosingPreference")</f>
        <v>SetClosingPreference</v>
      </c>
      <c r="AC4" s="17" t="str">
        <f>IFERROR(__xludf.DUMMYFUNCTION("""COMPUTED_VALUE"""),"EditTradeUnexpiredUnsettled")</f>
        <v>EditTradeUnexpiredUnsettled</v>
      </c>
      <c r="AD4" s="17" t="str">
        <f>IFERROR(__xludf.DUMMYFUNCTION("""COMPUTED_VALUE"""),"")</f>
        <v/>
      </c>
      <c r="AE4" s="17" t="str">
        <f>IFERROR(__xludf.DUMMYFUNCTION("""COMPUTED_VALUE"""),"")</f>
        <v/>
      </c>
      <c r="AF4" s="17" t="str">
        <f>IFERROR(__xludf.DUMMYFUNCTION("""COMPUTED_VALUE"""),"")</f>
        <v/>
      </c>
      <c r="AG4" s="17" t="str">
        <f>IFERROR(__xludf.DUMMYFUNCTION("""COMPUTED_VALUE"""),"")</f>
        <v/>
      </c>
      <c r="AH4" s="17" t="str">
        <f>IFERROR(__xludf.DUMMYFUNCTION("""COMPUTED_VALUE"""),"")</f>
        <v/>
      </c>
      <c r="AI4" s="17" t="str">
        <f>IFERROR(__xludf.DUMMYFUNCTION("""COMPUTED_VALUE"""),"")</f>
        <v/>
      </c>
      <c r="AJ4" s="17" t="str">
        <f>IFERROR(__xludf.DUMMYFUNCTION("""COMPUTED_VALUE"""),"")</f>
        <v/>
      </c>
      <c r="AK4" s="17" t="str">
        <f>IFERROR(__xludf.DUMMYFUNCTION("""COMPUTED_VALUE"""),"")</f>
        <v/>
      </c>
      <c r="AL4" s="17" t="str">
        <f>IFERROR(__xludf.DUMMYFUNCTION("""COMPUTED_VALUE"""),"")</f>
        <v/>
      </c>
      <c r="AM4" s="17" t="str">
        <f>IFERROR(__xludf.DUMMYFUNCTION("""COMPUTED_VALUE"""),"")</f>
        <v/>
      </c>
      <c r="AN4" s="17" t="str">
        <f>IFERROR(__xludf.DUMMYFUNCTION("""COMPUTED_VALUE"""),"")</f>
        <v/>
      </c>
      <c r="AO4" s="17" t="str">
        <f>IFERROR(__xludf.DUMMYFUNCTION("""COMPUTED_VALUE"""),"")</f>
        <v/>
      </c>
      <c r="AP4" s="17" t="str">
        <f>IFERROR(__xludf.DUMMYFUNCTION("""COMPUTED_VALUE"""),"")</f>
        <v/>
      </c>
      <c r="AQ4" s="17" t="str">
        <f>IFERROR(__xludf.DUMMYFUNCTION("""COMPUTED_VALUE"""),"")</f>
        <v/>
      </c>
      <c r="AR4" s="17" t="str">
        <f>IFERROR(__xludf.DUMMYFUNCTION("""COMPUTED_VALUE"""),"")</f>
        <v/>
      </c>
      <c r="AS4" s="17" t="str">
        <f>IFERROR(__xludf.DUMMYFUNCTION("""COMPUTED_VALUE"""),"")</f>
        <v/>
      </c>
      <c r="AT4" s="17" t="str">
        <f>IFERROR(__xludf.DUMMYFUNCTION("""COMPUTED_VALUE"""),"")</f>
        <v/>
      </c>
      <c r="AU4" s="17" t="str">
        <f>IFERROR(__xludf.DUMMYFUNCTION("""COMPUTED_VALUE"""),"")</f>
        <v/>
      </c>
      <c r="AV4" s="17" t="str">
        <f>IFERROR(__xludf.DUMMYFUNCTION("""COMPUTED_VALUE"""),"")</f>
        <v/>
      </c>
      <c r="AW4" s="17" t="str">
        <f>IFERROR(__xludf.DUMMYFUNCTION("""COMPUTED_VALUE"""),"")</f>
        <v/>
      </c>
      <c r="AX4" s="17" t="str">
        <f>IFERROR(__xludf.DUMMYFUNCTION("""COMPUTED_VALUE"""),"")</f>
        <v/>
      </c>
      <c r="AY4" s="17" t="str">
        <f>IFERROR(__xludf.DUMMYFUNCTION("""COMPUTED_VALUE"""),"")</f>
        <v/>
      </c>
      <c r="AZ4" s="17" t="str">
        <f>IFERROR(__xludf.DUMMYFUNCTION("""COMPUTED_VALUE"""),"")</f>
        <v/>
      </c>
      <c r="BA4" s="17" t="str">
        <f>IFERROR(__xludf.DUMMYFUNCTION("""COMPUTED_VALUE"""),"")</f>
        <v/>
      </c>
      <c r="BB4" s="17" t="str">
        <f>IFERROR(__xludf.DUMMYFUNCTION("""COMPUTED_VALUE"""),"")</f>
        <v/>
      </c>
      <c r="BC4" s="17" t="str">
        <f>IFERROR(__xludf.DUMMYFUNCTION("""COMPUTED_VALUE"""),"")</f>
        <v/>
      </c>
      <c r="BD4" s="17" t="str">
        <f>IFERROR(__xludf.DUMMYFUNCTION("""COMPUTED_VALUE"""),"")</f>
        <v/>
      </c>
      <c r="BE4" s="17" t="str">
        <f>IFERROR(__xludf.DUMMYFUNCTION("""COMPUTED_VALUE"""),"")</f>
        <v/>
      </c>
      <c r="BF4" s="17" t="str">
        <f>IFERROR(__xludf.DUMMYFUNCTION("""COMPUTED_VALUE"""),"")</f>
        <v/>
      </c>
      <c r="BG4" s="17" t="str">
        <f>IFERROR(__xludf.DUMMYFUNCTION("""COMPUTED_VALUE"""),"")</f>
        <v/>
      </c>
      <c r="BH4" s="17" t="str">
        <f>IFERROR(__xludf.DUMMYFUNCTION("""COMPUTED_VALUE"""),"")</f>
        <v/>
      </c>
      <c r="BI4" s="17" t="str">
        <f>IFERROR(__xludf.DUMMYFUNCTION("""COMPUTED_VALUE"""),"")</f>
        <v/>
      </c>
      <c r="BJ4" s="17" t="str">
        <f>IFERROR(__xludf.DUMMYFUNCTION("""COMPUTED_VALUE"""),"")</f>
        <v/>
      </c>
      <c r="BK4" s="17" t="str">
        <f>IFERROR(__xludf.DUMMYFUNCTION("""COMPUTED_VALUE"""),"")</f>
        <v/>
      </c>
      <c r="BL4" s="17" t="str">
        <f>IFERROR(__xludf.DUMMYFUNCTION("""COMPUTED_VALUE"""),"")</f>
        <v/>
      </c>
      <c r="BM4" s="17" t="str">
        <f>IFERROR(__xludf.DUMMYFUNCTION("""COMPUTED_VALUE"""),"")</f>
        <v/>
      </c>
      <c r="BN4" s="17" t="str">
        <f>IFERROR(__xludf.DUMMYFUNCTION("""COMPUTED_VALUE"""),"")</f>
        <v/>
      </c>
      <c r="BO4" s="17" t="str">
        <f>IFERROR(__xludf.DUMMYFUNCTION("""COMPUTED_VALUE"""),"")</f>
        <v/>
      </c>
      <c r="BP4" s="17" t="str">
        <f>IFERROR(__xludf.DUMMYFUNCTION("""COMPUTED_VALUE"""),"")</f>
        <v/>
      </c>
      <c r="BQ4" s="17" t="str">
        <f>IFERROR(__xludf.DUMMYFUNCTION("""COMPUTED_VALUE"""),"")</f>
        <v/>
      </c>
      <c r="BR4" s="17" t="str">
        <f>IFERROR(__xludf.DUMMYFUNCTION("""COMPUTED_VALUE"""),"")</f>
        <v/>
      </c>
      <c r="BS4" s="17" t="str">
        <f>IFERROR(__xludf.DUMMYFUNCTION("""COMPUTED_VALUE"""),"")</f>
        <v/>
      </c>
      <c r="BT4" s="17" t="str">
        <f>IFERROR(__xludf.DUMMYFUNCTION("""COMPUTED_VALUE"""),"")</f>
        <v/>
      </c>
      <c r="BU4" s="17" t="str">
        <f>IFERROR(__xludf.DUMMYFUNCTION("""COMPUTED_VALUE"""),"")</f>
        <v/>
      </c>
      <c r="BV4" s="17" t="str">
        <f>IFERROR(__xludf.DUMMYFUNCTION("""COMPUTED_VALUE"""),"")</f>
        <v/>
      </c>
      <c r="BW4" s="17" t="str">
        <f>IFERROR(__xludf.DUMMYFUNCTION("""COMPUTED_VALUE"""),"")</f>
        <v/>
      </c>
      <c r="BX4" s="17" t="str">
        <f>IFERROR(__xludf.DUMMYFUNCTION("""COMPUTED_VALUE"""),"")</f>
        <v/>
      </c>
      <c r="BY4" s="17" t="str">
        <f>IFERROR(__xludf.DUMMYFUNCTION("""COMPUTED_VALUE"""),"")</f>
        <v/>
      </c>
      <c r="BZ4" s="17" t="str">
        <f>IFERROR(__xludf.DUMMYFUNCTION("""COMPUTED_VALUE"""),"")</f>
        <v/>
      </c>
      <c r="CA4" s="17" t="str">
        <f>IFERROR(__xludf.DUMMYFUNCTION("""COMPUTED_VALUE"""),"")</f>
        <v/>
      </c>
      <c r="CB4" s="17" t="str">
        <f>IFERROR(__xludf.DUMMYFUNCTION("""COMPUTED_VALUE"""),"")</f>
        <v/>
      </c>
      <c r="CC4" s="17" t="str">
        <f>IFERROR(__xludf.DUMMYFUNCTION("""COMPUTED_VALUE"""),"")</f>
        <v/>
      </c>
      <c r="CD4" s="17" t="str">
        <f>IFERROR(__xludf.DUMMYFUNCTION("""COMPUTED_VALUE"""),"")</f>
        <v/>
      </c>
      <c r="CE4" s="17" t="str">
        <f>IFERROR(__xludf.DUMMYFUNCTION("""COMPUTED_VALUE"""),"")</f>
        <v/>
      </c>
      <c r="CF4" s="17" t="str">
        <f>IFERROR(__xludf.DUMMYFUNCTION("""COMPUTED_VALUE"""),"")</f>
        <v/>
      </c>
      <c r="CG4" s="17" t="str">
        <f>IFERROR(__xludf.DUMMYFUNCTION("""COMPUTED_VALUE"""),"")</f>
        <v/>
      </c>
      <c r="CH4" s="17" t="str">
        <f>IFERROR(__xludf.DUMMYFUNCTION("""COMPUTED_VALUE"""),"")</f>
        <v/>
      </c>
      <c r="CI4" s="17" t="str">
        <f>IFERROR(__xludf.DUMMYFUNCTION("""COMPUTED_VALUE"""),"")</f>
        <v/>
      </c>
      <c r="CJ4" s="17" t="str">
        <f>IFERROR(__xludf.DUMMYFUNCTION("""COMPUTED_VALUE"""),"")</f>
        <v/>
      </c>
      <c r="CK4" s="17" t="str">
        <f>IFERROR(__xludf.DUMMYFUNCTION("""COMPUTED_VALUE"""),"")</f>
        <v/>
      </c>
      <c r="CL4" s="17" t="str">
        <f>IFERROR(__xludf.DUMMYFUNCTION("""COMPUTED_VALUE"""),"")</f>
        <v/>
      </c>
      <c r="CM4" s="17" t="str">
        <f>IFERROR(__xludf.DUMMYFUNCTION("""COMPUTED_VALUE"""),"")</f>
        <v/>
      </c>
      <c r="CN4" s="17" t="str">
        <f>IFERROR(__xludf.DUMMYFUNCTION("""COMPUTED_VALUE"""),"")</f>
        <v/>
      </c>
      <c r="CO4" s="17" t="str">
        <f>IFERROR(__xludf.DUMMYFUNCTION("""COMPUTED_VALUE"""),"")</f>
        <v/>
      </c>
      <c r="CP4" s="17" t="str">
        <f>IFERROR(__xludf.DUMMYFUNCTION("""COMPUTED_VALUE"""),"")</f>
        <v/>
      </c>
      <c r="CQ4" s="17" t="str">
        <f>IFERROR(__xludf.DUMMYFUNCTION("""COMPUTED_VALUE"""),"")</f>
        <v/>
      </c>
      <c r="CR4" s="17" t="str">
        <f>IFERROR(__xludf.DUMMYFUNCTION("""COMPUTED_VALUE"""),"")</f>
        <v/>
      </c>
      <c r="CS4" s="17" t="str">
        <f>IFERROR(__xludf.DUMMYFUNCTION("""COMPUTED_VALUE"""),"")</f>
        <v/>
      </c>
      <c r="CT4" s="17" t="str">
        <f>IFERROR(__xludf.DUMMYFUNCTION("""COMPUTED_VALUE"""),"")</f>
        <v/>
      </c>
      <c r="CU4" s="17" t="str">
        <f>IFERROR(__xludf.DUMMYFUNCTION("""COMPUTED_VALUE"""),"")</f>
        <v/>
      </c>
      <c r="CV4" s="17" t="str">
        <f>IFERROR(__xludf.DUMMYFUNCTION("""COMPUTED_VALUE"""),"")</f>
        <v/>
      </c>
      <c r="CW4" s="17" t="str">
        <f>IFERROR(__xludf.DUMMYFUNCTION("""COMPUTED_VALUE"""),"")</f>
        <v/>
      </c>
      <c r="CX4" s="17" t="str">
        <f>IFERROR(__xludf.DUMMYFUNCTION("""COMPUTED_VALUE"""),"")</f>
        <v/>
      </c>
      <c r="CY4" s="17" t="str">
        <f>IFERROR(__xludf.DUMMYFUNCTION("""COMPUTED_VALUE"""),"")</f>
        <v/>
      </c>
      <c r="CZ4" s="17" t="str">
        <f>IFERROR(__xludf.DUMMYFUNCTION("""COMPUTED_VALUE"""),"")</f>
        <v/>
      </c>
      <c r="DA4" s="17" t="str">
        <f>IFERROR(__xludf.DUMMYFUNCTION("""COMPUTED_VALUE"""),"")</f>
        <v/>
      </c>
      <c r="DB4" s="17" t="str">
        <f>IFERROR(__xludf.DUMMYFUNCTION("""COMPUTED_VALUE"""),"")</f>
        <v/>
      </c>
      <c r="DC4" s="17" t="str">
        <f>IFERROR(__xludf.DUMMYFUNCTION("""COMPUTED_VALUE"""),"")</f>
        <v/>
      </c>
      <c r="DD4" s="17" t="str">
        <f>IFERROR(__xludf.DUMMYFUNCTION("""COMPUTED_VALUE"""),"")</f>
        <v/>
      </c>
      <c r="DE4" s="17" t="str">
        <f>IFERROR(__xludf.DUMMYFUNCTION("""COMPUTED_VALUE"""),"")</f>
        <v/>
      </c>
      <c r="DF4" s="17" t="str">
        <f>IFERROR(__xludf.DUMMYFUNCTION("""COMPUTED_VALUE"""),"")</f>
        <v/>
      </c>
      <c r="DG4" s="17" t="str">
        <f>IFERROR(__xludf.DUMMYFUNCTION("""COMPUTED_VALUE"""),"")</f>
        <v/>
      </c>
      <c r="DH4" s="17" t="str">
        <f>IFERROR(__xludf.DUMMYFUNCTION("""COMPUTED_VALUE"""),"")</f>
        <v/>
      </c>
      <c r="DI4" s="17" t="str">
        <f>IFERROR(__xludf.DUMMYFUNCTION("""COMPUTED_VALUE"""),"")</f>
        <v/>
      </c>
      <c r="DJ4" s="17" t="str">
        <f>IFERROR(__xludf.DUMMYFUNCTION("""COMPUTED_VALUE"""),"")</f>
        <v/>
      </c>
      <c r="DK4" s="17" t="str">
        <f>IFERROR(__xludf.DUMMYFUNCTION("""COMPUTED_VALUE"""),"")</f>
        <v/>
      </c>
      <c r="DL4" s="17" t="str">
        <f>IFERROR(__xludf.DUMMYFUNCTION("""COMPUTED_VALUE"""),"")</f>
        <v/>
      </c>
      <c r="DM4" s="17" t="str">
        <f>IFERROR(__xludf.DUMMYFUNCTION("""COMPUTED_VALUE"""),"")</f>
        <v/>
      </c>
      <c r="DN4" s="17" t="str">
        <f>IFERROR(__xludf.DUMMYFUNCTION("""COMPUTED_VALUE"""),"")</f>
        <v/>
      </c>
      <c r="DO4" s="17" t="str">
        <f>IFERROR(__xludf.DUMMYFUNCTION("""COMPUTED_VALUE"""),"")</f>
        <v/>
      </c>
      <c r="DP4" s="17" t="str">
        <f>IFERROR(__xludf.DUMMYFUNCTION("""COMPUTED_VALUE"""),"")</f>
        <v/>
      </c>
      <c r="DQ4" s="17" t="str">
        <f>IFERROR(__xludf.DUMMYFUNCTION("""COMPUTED_VALUE"""),"")</f>
        <v/>
      </c>
      <c r="DR4" s="17" t="str">
        <f>IFERROR(__xludf.DUMMYFUNCTION("""COMPUTED_VALUE"""),"")</f>
        <v/>
      </c>
      <c r="DS4" s="17" t="str">
        <f>IFERROR(__xludf.DUMMYFUNCTION("""COMPUTED_VALUE"""),"")</f>
        <v/>
      </c>
      <c r="DT4" s="17" t="str">
        <f>IFERROR(__xludf.DUMMYFUNCTION("""COMPUTED_VALUE"""),"")</f>
        <v/>
      </c>
      <c r="DU4" s="17" t="str">
        <f>IFERROR(__xludf.DUMMYFUNCTION("""COMPUTED_VALUE"""),"")</f>
        <v/>
      </c>
      <c r="DV4" s="17" t="str">
        <f>IFERROR(__xludf.DUMMYFUNCTION("""COMPUTED_VALUE"""),"")</f>
        <v/>
      </c>
      <c r="DW4" s="17" t="str">
        <f>IFERROR(__xludf.DUMMYFUNCTION("""COMPUTED_VALUE"""),"")</f>
        <v/>
      </c>
      <c r="DX4" s="17" t="str">
        <f>IFERROR(__xludf.DUMMYFUNCTION("""COMPUTED_VALUE"""),"")</f>
        <v/>
      </c>
      <c r="DY4" s="17" t="str">
        <f>IFERROR(__xludf.DUMMYFUNCTION("""COMPUTED_VALUE"""),"")</f>
        <v/>
      </c>
      <c r="DZ4" s="17" t="str">
        <f>IFERROR(__xludf.DUMMYFUNCTION("""COMPUTED_VALUE"""),"")</f>
        <v/>
      </c>
      <c r="EA4" s="17" t="str">
        <f>IFERROR(__xludf.DUMMYFUNCTION("""COMPUTED_VALUE"""),"")</f>
        <v/>
      </c>
      <c r="EB4" s="17" t="str">
        <f>IFERROR(__xludf.DUMMYFUNCTION("""COMPUTED_VALUE"""),"")</f>
        <v/>
      </c>
      <c r="EC4" s="17" t="str">
        <f>IFERROR(__xludf.DUMMYFUNCTION("""COMPUTED_VALUE"""),"")</f>
        <v/>
      </c>
      <c r="ED4" s="17" t="str">
        <f>IFERROR(__xludf.DUMMYFUNCTION("""COMPUTED_VALUE"""),"")</f>
        <v/>
      </c>
      <c r="EE4" s="17" t="str">
        <f>IFERROR(__xludf.DUMMYFUNCTION("""COMPUTED_VALUE"""),"")</f>
        <v/>
      </c>
      <c r="EF4" s="17" t="str">
        <f>IFERROR(__xludf.DUMMYFUNCTION("""COMPUTED_VALUE"""),"")</f>
        <v/>
      </c>
      <c r="EG4" s="17" t="str">
        <f>IFERROR(__xludf.DUMMYFUNCTION("""COMPUTED_VALUE"""),"")</f>
        <v/>
      </c>
      <c r="EH4" s="17" t="str">
        <f>IFERROR(__xludf.DUMMYFUNCTION("""COMPUTED_VALUE"""),"")</f>
        <v/>
      </c>
      <c r="EI4" s="17" t="str">
        <f>IFERROR(__xludf.DUMMYFUNCTION("""COMPUTED_VALUE"""),"")</f>
        <v/>
      </c>
      <c r="EJ4" s="17" t="str">
        <f>IFERROR(__xludf.DUMMYFUNCTION("""COMPUTED_VALUE"""),"")</f>
        <v/>
      </c>
      <c r="EK4" s="17" t="str">
        <f>IFERROR(__xludf.DUMMYFUNCTION("""COMPUTED_VALUE"""),"")</f>
        <v/>
      </c>
      <c r="EL4" s="17" t="str">
        <f>IFERROR(__xludf.DUMMYFUNCTION("""COMPUTED_VALUE"""),"")</f>
        <v/>
      </c>
      <c r="EM4" s="17" t="str">
        <f>IFERROR(__xludf.DUMMYFUNCTION("""COMPUTED_VALUE"""),"")</f>
        <v/>
      </c>
      <c r="EN4" s="17" t="str">
        <f>IFERROR(__xludf.DUMMYFUNCTION("""COMPUTED_VALUE"""),"")</f>
        <v/>
      </c>
      <c r="EO4" s="17" t="str">
        <f>IFERROR(__xludf.DUMMYFUNCTION("""COMPUTED_VALUE"""),"")</f>
        <v/>
      </c>
      <c r="EP4" s="17" t="str">
        <f>IFERROR(__xludf.DUMMYFUNCTION("""COMPUTED_VALUE"""),"")</f>
        <v/>
      </c>
      <c r="EQ4" s="17" t="str">
        <f>IFERROR(__xludf.DUMMYFUNCTION("""COMPUTED_VALUE"""),"")</f>
        <v/>
      </c>
      <c r="ER4" s="17" t="str">
        <f>IFERROR(__xludf.DUMMYFUNCTION("""COMPUTED_VALUE"""),"")</f>
        <v/>
      </c>
      <c r="ES4" s="17" t="str">
        <f>IFERROR(__xludf.DUMMYFUNCTION("""COMPUTED_VALUE"""),"")</f>
        <v/>
      </c>
      <c r="ET4" s="17" t="str">
        <f>IFERROR(__xludf.DUMMYFUNCTION("""COMPUTED_VALUE"""),"")</f>
        <v/>
      </c>
      <c r="EU4" s="17" t="str">
        <f>IFERROR(__xludf.DUMMYFUNCTION("""COMPUTED_VALUE"""),"")</f>
        <v/>
      </c>
      <c r="EV4" s="17" t="str">
        <f>IFERROR(__xludf.DUMMYFUNCTION("""COMPUTED_VALUE"""),"")</f>
        <v/>
      </c>
      <c r="EW4" s="17" t="str">
        <f>IFERROR(__xludf.DUMMYFUNCTION("""COMPUTED_VALUE"""),"")</f>
        <v/>
      </c>
      <c r="EX4" s="17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IFERROR(__xludf.DUMMYFUNCTION("""COMPUTED_VALUE"""),"checkBox")</f>
        <v>checkBox</v>
      </c>
      <c r="E5" s="26" t="str">
        <f>IFERROR(__xludf.DUMMYFUNCTION("""COMPUTED_VALUE"""),"Close Date")</f>
        <v>Close Date</v>
      </c>
      <c r="F5" s="27" t="str">
        <f>IFERROR(__xludf.DUMMYFUNCTION("""COMPUTED_VALUE"""),"ClosedAveragePrice")</f>
        <v>ClosedAveragePrice</v>
      </c>
      <c r="G5" s="26" t="str">
        <f>IFERROR(__xludf.DUMMYFUNCTION("""COMPUTED_VALUE"""),"ClosedQty")</f>
        <v>ClosedQty</v>
      </c>
      <c r="H5" s="26" t="str">
        <f>IFERROR(__xludf.DUMMYFUNCTION("""COMPUTED_VALUE"""),"Closing Method")</f>
        <v>Closing Method</v>
      </c>
      <c r="I5" s="26" t="str">
        <f>IFERROR(__xludf.DUMMYFUNCTION("""COMPUTED_VALUE"""),"ClosingID")</f>
        <v>ClosingID</v>
      </c>
      <c r="J5" s="26" t="str">
        <f>IFERROR(__xludf.DUMMYFUNCTION("""COMPUTED_VALUE"""),"ClosingMode")</f>
        <v>ClosingMode</v>
      </c>
      <c r="K5" s="26" t="str">
        <f>IFERROR(__xludf.DUMMYFUNCTION("""COMPUTED_VALUE"""),"ClosingPositionTag")</f>
        <v>ClosingPositionTag</v>
      </c>
      <c r="L5" s="26" t="str">
        <f>IFERROR(__xludf.DUMMYFUNCTION("""COMPUTED_VALUE"""),"ClosingSide")</f>
        <v>ClosingSide</v>
      </c>
      <c r="M5" s="26" t="str">
        <f>IFERROR(__xludf.DUMMYFUNCTION("""COMPUTED_VALUE"""),"ClosingTotalCommissionandFees")</f>
        <v>ClosingTotalCommissionandFees</v>
      </c>
      <c r="N5" s="26" t="str">
        <f>IFERROR(__xludf.DUMMYFUNCTION("""COMPUTED_VALUE"""),"CostBasisGrossPNL")</f>
        <v>CostBasisGrossPNL</v>
      </c>
      <c r="O5" s="26" t="str">
        <f>IFERROR(__xludf.DUMMYFUNCTION("""COMPUTED_VALUE"""),"Currency")</f>
        <v>Currency</v>
      </c>
      <c r="P5" s="26" t="str">
        <f>IFERROR(__xludf.DUMMYFUNCTION("""COMPUTED_VALUE"""),"CurrencyID")</f>
        <v>CurrencyID</v>
      </c>
      <c r="Q5" s="26" t="str">
        <f>IFERROR(__xludf.DUMMYFUNCTION("""COMPUTED_VALUE"""),"Exchange")</f>
        <v>Exchange</v>
      </c>
      <c r="R5" s="26" t="str">
        <f>IFERROR(__xludf.DUMMYFUNCTION("""COMPUTED_VALUE"""),"NotionalChange")</f>
        <v>NotionalChange</v>
      </c>
      <c r="S5" s="26" t="str">
        <f>IFERROR(__xludf.DUMMYFUNCTION("""COMPUTED_VALUE"""),"OpenAveragePrice")</f>
        <v>OpenAveragePrice</v>
      </c>
      <c r="T5" s="28" t="str">
        <f>IFERROR(__xludf.DUMMYFUNCTION("""COMPUTED_VALUE"""),"Original Purchase Date")</f>
        <v>Original Purchase Date</v>
      </c>
      <c r="U5" s="28" t="str">
        <f>IFERROR(__xludf.DUMMYFUNCTION("""COMPUTED_VALUE"""),"Position Type")</f>
        <v>Position Type</v>
      </c>
      <c r="V5" s="28" t="str">
        <f>IFERROR(__xludf.DUMMYFUNCTION("""COMPUTED_VALUE"""),"PositionSide")</f>
        <v>PositionSide</v>
      </c>
      <c r="W5" s="28" t="str">
        <f>IFERROR(__xludf.DUMMYFUNCTION("""COMPUTED_VALUE"""),"PositionTotalCommissionandFees")</f>
        <v>PositionTotalCommissionandFees</v>
      </c>
      <c r="X5" s="28" t="str">
        <f>IFERROR(__xludf.DUMMYFUNCTION("""COMPUTED_VALUE"""),"Realized PNL(C.B.)")</f>
        <v>Realized PNL(C.B.)</v>
      </c>
      <c r="Y5" s="28" t="str">
        <f>IFERROR(__xludf.DUMMYFUNCTION("""COMPUTED_VALUE"""),"Side")</f>
        <v>Side</v>
      </c>
      <c r="Z5" s="28" t="str">
        <f>IFERROR(__xludf.DUMMYFUNCTION("""COMPUTED_VALUE"""),"Strategy")</f>
        <v>Strategy</v>
      </c>
      <c r="AA5" s="28" t="str">
        <f>IFERROR(__xludf.DUMMYFUNCTION("""COMPUTED_VALUE"""),"Symbol")</f>
        <v>Symbol</v>
      </c>
      <c r="AB5" s="28" t="str">
        <f>IFERROR(__xludf.DUMMYFUNCTION("""COMPUTED_VALUE"""),"Taxlot ID")</f>
        <v>Taxlot ID</v>
      </c>
      <c r="AC5" s="28" t="str">
        <f>IFERROR(__xludf.DUMMYFUNCTION("""COMPUTED_VALUE"""),"UnderlyingName")</f>
        <v>UnderlyingName</v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1" t="s">
        <v>18</v>
      </c>
      <c r="C6" s="34" t="s">
        <v>24</v>
      </c>
      <c r="D6" s="31"/>
      <c r="E6" s="34"/>
      <c r="F6" s="34"/>
      <c r="G6" s="33">
        <v>100.0</v>
      </c>
      <c r="H6" s="34" t="s">
        <v>27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 t="s">
        <v>28</v>
      </c>
      <c r="W6" s="36"/>
      <c r="X6" s="36"/>
      <c r="Y6" s="36" t="s">
        <v>17</v>
      </c>
      <c r="Z6" s="36"/>
      <c r="AA6" s="40" t="s">
        <v>16</v>
      </c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UnWindTradeSettlement!$4:$4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9"/>
      <c r="B1" s="10" t="s">
        <v>5</v>
      </c>
      <c r="C1" s="2"/>
      <c r="D1" s="2"/>
      <c r="E1" s="2"/>
      <c r="F1" s="2"/>
      <c r="G1" s="2"/>
      <c r="H1" s="3"/>
      <c r="I1" s="9"/>
      <c r="J1" s="9"/>
      <c r="K1" s="9"/>
      <c r="L1" s="9"/>
      <c r="M1" s="9"/>
      <c r="N1" s="9"/>
      <c r="O1" s="9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2" t="str">
        <f> VLOOKUP($E$3,'_MasterData'!B4:D1000,3,FALSE)</f>
        <v>#N/A</v>
      </c>
      <c r="K2" s="12"/>
      <c r="L2" s="4"/>
      <c r="M2" s="4"/>
      <c r="N2" s="4"/>
      <c r="O2" s="4"/>
    </row>
    <row r="3" ht="15.75" customHeight="1">
      <c r="A3" s="13"/>
      <c r="B3" s="5" t="s">
        <v>6</v>
      </c>
      <c r="C3" s="14" t="s">
        <v>29</v>
      </c>
      <c r="D3" s="5" t="s">
        <v>8</v>
      </c>
      <c r="E3" s="14" t="s">
        <v>34</v>
      </c>
      <c r="F3" s="5" t="s">
        <v>10</v>
      </c>
      <c r="G3" s="8" t="s">
        <v>11</v>
      </c>
      <c r="H3" s="5"/>
      <c r="I3" s="13"/>
      <c r="J3" s="13"/>
      <c r="K3" s="13"/>
      <c r="L3" s="13"/>
      <c r="M3" s="13"/>
      <c r="N3" s="13"/>
      <c r="O3" s="13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</row>
    <row r="4" ht="15.75" customHeight="1">
      <c r="A4" s="16"/>
      <c r="B4" s="16" t="str">
        <f>IFERROR(__xludf.DUMMYFUNCTION("IF(C3="""","""",Transpose(IMPORTRANGE('_Settings'!$B$3,C3&amp;""!A4:A1000"")))"),"Allocate")</f>
        <v>Allocate</v>
      </c>
      <c r="C4" s="16" t="str">
        <f>IFERROR(__xludf.DUMMYFUNCTION("""COMPUTED_VALUE"""),"CheckAllocatedGroups")</f>
        <v>CheckAllocatedGroups</v>
      </c>
      <c r="D4" s="16" t="str">
        <f>IFERROR(__xludf.DUMMYFUNCTION("""COMPUTED_VALUE"""),"Unallocate")</f>
        <v>Unallocate</v>
      </c>
      <c r="E4" s="16" t="str">
        <f>IFERROR(__xludf.DUMMYFUNCTION("""COMPUTED_VALUE"""),"GetDataAllocation")</f>
        <v>GetDataAllocation</v>
      </c>
      <c r="F4" s="16" t="str">
        <f>IFERROR(__xludf.DUMMYFUNCTION("""COMPUTED_VALUE"""),"SelectAllocatedGroup")</f>
        <v>SelectAllocatedGroup</v>
      </c>
      <c r="G4" s="16" t="str">
        <f>IFERROR(__xludf.DUMMYFUNCTION("""COMPUTED_VALUE"""),"EditTradesAllocated")</f>
        <v>EditTradesAllocated</v>
      </c>
      <c r="H4" s="16" t="str">
        <f>IFERROR(__xludf.DUMMYFUNCTION("""COMPUTED_VALUE"""),"EditTradesUnallocated")</f>
        <v>EditTradesUnallocated</v>
      </c>
      <c r="I4" s="16" t="str">
        <f>IFERROR(__xludf.DUMMYFUNCTION("""COMPUTED_VALUE"""),"Reallocate")</f>
        <v>Reallocate</v>
      </c>
      <c r="J4" s="16" t="str">
        <f>IFERROR(__xludf.DUMMYFUNCTION("""COMPUTED_VALUE"""),"EditUnallocatedGroupSidePanel")</f>
        <v>EditUnallocatedGroupSidePanel</v>
      </c>
      <c r="K4" s="16" t="str">
        <f>IFERROR(__xludf.DUMMYFUNCTION("""COMPUTED_VALUE"""),"TradeAttributeBulkChange")</f>
        <v>TradeAttributeBulkChange</v>
      </c>
      <c r="L4" s="16" t="str">
        <f>IFERROR(__xludf.DUMMYFUNCTION("""COMPUTED_VALUE"""),"ApplyBulkUpdateOnGroups")</f>
        <v>ApplyBulkUpdateOnGroups</v>
      </c>
      <c r="M4" s="16" t="str">
        <f>IFERROR(__xludf.DUMMYFUNCTION("""COMPUTED_VALUE"""),"ApplyPrefetchFilters")</f>
        <v>ApplyPrefetchFilters</v>
      </c>
      <c r="N4" s="16" t="str">
        <f>IFERROR(__xludf.DUMMYFUNCTION("""COMPUTED_VALUE"""),"GeneralPreferencesDefaultRule")</f>
        <v>GeneralPreferencesDefaultRule</v>
      </c>
      <c r="O4" s="16" t="str">
        <f>IFERROR(__xludf.DUMMYFUNCTION("""COMPUTED_VALUE"""),"GeneralPrefCompanyUserWise")</f>
        <v>GeneralPrefCompanyUserWise</v>
      </c>
      <c r="P4" s="17" t="str">
        <f>IFERROR(__xludf.DUMMYFUNCTION("""COMPUTED_VALUE"""),"RenameTradeAttributes")</f>
        <v>RenameTradeAttributes</v>
      </c>
      <c r="Q4" s="17" t="str">
        <f>IFERROR(__xludf.DUMMYFUNCTION("""COMPUTED_VALUE"""),"SetGroupingRules")</f>
        <v>SetGroupingRules</v>
      </c>
      <c r="R4" s="17" t="str">
        <f>IFERROR(__xludf.DUMMYFUNCTION("""COMPUTED_VALUE"""),"SetMasterFundRatio")</f>
        <v>SetMasterFundRatio</v>
      </c>
      <c r="S4" s="17" t="str">
        <f>IFERROR(__xludf.DUMMYFUNCTION("""COMPUTED_VALUE"""),"CheckFixedPreference")</f>
        <v>CheckFixedPreference</v>
      </c>
      <c r="T4" s="17" t="str">
        <f>IFERROR(__xludf.DUMMYFUNCTION("""COMPUTED_VALUE"""),"GetFixedPreference")</f>
        <v>GetFixedPreference</v>
      </c>
      <c r="U4" s="17" t="str">
        <f>IFERROR(__xludf.DUMMYFUNCTION("""COMPUTED_VALUE"""),"AddCalculatedPreferences")</f>
        <v>AddCalculatedPreferences</v>
      </c>
      <c r="V4" s="17" t="str">
        <f>IFERROR(__xludf.DUMMYFUNCTION("""COMPUTED_VALUE"""),"BulkChangeCalculatedPreferences")</f>
        <v>BulkChangeCalculatedPreferences</v>
      </c>
      <c r="W4" s="17" t="str">
        <f>IFERROR(__xludf.DUMMYFUNCTION("""COMPUTED_VALUE"""),"DeleteCalculatedPreferences")</f>
        <v>DeleteCalculatedPreferences</v>
      </c>
      <c r="X4" s="17" t="str">
        <f>IFERROR(__xludf.DUMMYFUNCTION("""COMPUTED_VALUE"""),"RenameCalculatedPreferences")</f>
        <v>RenameCalculatedPreferences</v>
      </c>
      <c r="Y4" s="17" t="str">
        <f>IFERROR(__xludf.DUMMYFUNCTION("""COMPUTED_VALUE"""),"CopyCalculatedPreferences")</f>
        <v>CopyCalculatedPreferences</v>
      </c>
      <c r="Z4" s="17" t="str">
        <f>IFERROR(__xludf.DUMMYFUNCTION("""COMPUTED_VALUE"""),"RunAutoGroup")</f>
        <v>RunAutoGroup</v>
      </c>
      <c r="AA4" s="17" t="str">
        <f>IFERROR(__xludf.DUMMYFUNCTION("""COMPUTED_VALUE"""),"BookOrUpdateSwap")</f>
        <v>BookOrUpdateSwap</v>
      </c>
      <c r="AB4" s="17" t="str">
        <f>IFERROR(__xludf.DUMMYFUNCTION("""COMPUTED_VALUE"""),"RunProrata")</f>
        <v>RunProrata</v>
      </c>
      <c r="AC4" s="17" t="str">
        <f>IFERROR(__xludf.DUMMYFUNCTION("""COMPUTED_VALUE"""),"SetDefaultRuleCalculatedPref")</f>
        <v>SetDefaultRuleCalculatedPref</v>
      </c>
      <c r="AD4" s="17" t="str">
        <f>IFERROR(__xludf.DUMMYFUNCTION("""COMPUTED_VALUE"""),"SetAccountValueCalculatedPref")</f>
        <v>SetAccountValueCalculatedPref</v>
      </c>
      <c r="AE4" s="17" t="str">
        <f>IFERROR(__xludf.DUMMYFUNCTION("""COMPUTED_VALUE"""),"TradeAttributeBulkChangeGroups")</f>
        <v>TradeAttributeBulkChangeGroups</v>
      </c>
      <c r="AF4" s="17" t="str">
        <f>IFERROR(__xludf.DUMMYFUNCTION("""COMPUTED_VALUE"""),"TradeAttributeBulkChangeTaxlots")</f>
        <v>TradeAttributeBulkChangeTaxlots</v>
      </c>
      <c r="AG4" s="17" t="str">
        <f>IFERROR(__xludf.DUMMYFUNCTION("""COMPUTED_VALUE"""),"AddCalculatedPreferenceToolbar")</f>
        <v>AddCalculatedPreferenceToolbar</v>
      </c>
      <c r="AH4" s="17" t="str">
        <f>IFERROR(__xludf.DUMMYFUNCTION("""COMPUTED_VALUE"""),"SetStrategyValueCalculatedPref")</f>
        <v>SetStrategyValueCalculatedPref</v>
      </c>
      <c r="AI4" s="17" t="str">
        <f>IFERROR(__xludf.DUMMYFUNCTION("""COMPUTED_VALUE"""),"ApplyBulkUpdateOnTaxlots")</f>
        <v>ApplyBulkUpdateOnTaxlots</v>
      </c>
      <c r="AJ4" s="17" t="str">
        <f>IFERROR(__xludf.DUMMYFUNCTION("""COMPUTED_VALUE"""),"CommissionBulkChangeOnGroups")</f>
        <v>CommissionBulkChangeOnGroups</v>
      </c>
      <c r="AK4" s="17" t="str">
        <f>IFERROR(__xludf.DUMMYFUNCTION("""COMPUTED_VALUE"""),"CommissionBulkChangeOnTaxlots")</f>
        <v>CommissionBulkChangeOnTaxlots</v>
      </c>
      <c r="AL4" s="17" t="str">
        <f>IFERROR(__xludf.DUMMYFUNCTION("""COMPUTED_VALUE"""),"SelectUnallocatedGroup")</f>
        <v>SelectUnallocatedGroup</v>
      </c>
      <c r="AM4" s="17" t="str">
        <f>IFERROR(__xludf.DUMMYFUNCTION("""COMPUTED_VALUE"""),"EnterAccountValuesToAllocate")</f>
        <v>EnterAccountValuesToAllocate</v>
      </c>
      <c r="AN4" s="17" t="str">
        <f>IFERROR(__xludf.DUMMYFUNCTION("""COMPUTED_VALUE"""),"EnterAllocatePreference")</f>
        <v>EnterAllocatePreference</v>
      </c>
      <c r="AO4" s="17" t="str">
        <f>IFERROR(__xludf.DUMMYFUNCTION("""COMPUTED_VALUE"""),"EnterStrategyValuesToAllocate")</f>
        <v>EnterStrategyValuesToAllocate</v>
      </c>
      <c r="AP4" s="17" t="str">
        <f>IFERROR(__xludf.DUMMYFUNCTION("""COMPUTED_VALUE"""),"CopyCalculatedPreferenceToolbar")</f>
        <v>CopyCalculatedPreferenceToolbar</v>
      </c>
      <c r="AQ4" s="17" t="str">
        <f>IFERROR(__xludf.DUMMYFUNCTION("""COMPUTED_VALUE"""),"SetGeneralRuleCalculatedPref")</f>
        <v>SetGeneralRuleCalculatedPref</v>
      </c>
      <c r="AR4" s="17" t="str">
        <f>IFERROR(__xludf.DUMMYFUNCTION("""COMPUTED_VALUE"""),"ExportAllCalculatedPreferences")</f>
        <v>ExportAllCalculatedPreferences</v>
      </c>
      <c r="AS4" s="17" t="str">
        <f>IFERROR(__xludf.DUMMYFUNCTION("""COMPUTED_VALUE"""),"SaveCalculatedPreferences")</f>
        <v>SaveCalculatedPreferences</v>
      </c>
      <c r="AT4" s="17" t="str">
        <f>IFERROR(__xludf.DUMMYFUNCTION("""COMPUTED_VALUE"""),"CloseCalculatedPreferences")</f>
        <v>CloseCalculatedPreferences</v>
      </c>
      <c r="AU4" s="17" t="str">
        <f>IFERROR(__xludf.DUMMYFUNCTION("""COMPUTED_VALUE"""),"ExportCalculatedPreference")</f>
        <v>ExportCalculatedPreference</v>
      </c>
      <c r="AV4" s="17" t="str">
        <f>IFERROR(__xludf.DUMMYFUNCTION("""COMPUTED_VALUE"""),"ImportCalculatedPreferences")</f>
        <v>ImportCalculatedPreferences</v>
      </c>
      <c r="AW4" s="17" t="str">
        <f>IFERROR(__xludf.DUMMYFUNCTION("""COMPUTED_VALUE"""),"OpenAuditTrailUnallocatedGroup")</f>
        <v>OpenAuditTrailUnallocatedGroup</v>
      </c>
      <c r="AX4" s="17" t="str">
        <f>IFERROR(__xludf.DUMMYFUNCTION("""COMPUTED_VALUE"""),"DeleteCalculatedPreferencesTool")</f>
        <v>DeleteCalculatedPreferencesTool</v>
      </c>
      <c r="AY4" s="17" t="str">
        <f>IFERROR(__xludf.DUMMYFUNCTION("""COMPUTED_VALUE"""),"ImportCalculatedPreferencesTool")</f>
        <v>ImportCalculatedPreferencesTool</v>
      </c>
      <c r="AZ4" s="17" t="str">
        <f>IFERROR(__xludf.DUMMYFUNCTION("""COMPUTED_VALUE"""),"ExportAllCalculatedPreferTool")</f>
        <v>ExportAllCalculatedPreferTool</v>
      </c>
      <c r="BA4" s="17" t="str">
        <f>IFERROR(__xludf.DUMMYFUNCTION("""COMPUTED_VALUE"""),"OpenAuditTrailAllocatedGroup")</f>
        <v>OpenAuditTrailAllocatedGroup</v>
      </c>
      <c r="BB4" s="17" t="str">
        <f>IFERROR(__xludf.DUMMYFUNCTION("""COMPUTED_VALUE"""),"OpenSymbolLookupUnallocateGroup")</f>
        <v>OpenSymbolLookupUnallocateGroup</v>
      </c>
      <c r="BC4" s="17" t="str">
        <f>IFERROR(__xludf.DUMMYFUNCTION("""COMPUTED_VALUE"""),"OpenSymbolLookupAllocatedGroup")</f>
        <v>OpenSymbolLookupAllocatedGroup</v>
      </c>
      <c r="BD4" s="17" t="str">
        <f>IFERROR(__xludf.DUMMYFUNCTION("""COMPUTED_VALUE"""),"DeleteFixedPreference")</f>
        <v>DeleteFixedPreference</v>
      </c>
      <c r="BE4" s="17" t="str">
        <f>IFERROR(__xludf.DUMMYFUNCTION("""COMPUTED_VALUE"""),"EditAllocatedGroupSidePanel")</f>
        <v>EditAllocatedGroupSidePanel</v>
      </c>
      <c r="BF4" s="17" t="str">
        <f>IFERROR(__xludf.DUMMYFUNCTION("""COMPUTED_VALUE"""),"CheckUnallocatedGroups")</f>
        <v>CheckUnallocatedGroups</v>
      </c>
      <c r="BG4" s="17" t="str">
        <f>IFERROR(__xludf.DUMMYFUNCTION("""COMPUTED_VALUE"""),"SetGeneralPreferences")</f>
        <v>SetGeneralPreferences</v>
      </c>
      <c r="BH4" s="17" t="str">
        <f>IFERROR(__xludf.DUMMYFUNCTION("""COMPUTED_VALUE"""),"GroupTrades")</f>
        <v>GroupTrades</v>
      </c>
      <c r="BI4" s="17" t="str">
        <f>IFERROR(__xludf.DUMMYFUNCTION("""COMPUTED_VALUE"""),"UngroupTrades")</f>
        <v>UngroupTrades</v>
      </c>
      <c r="BJ4" s="17" t="str">
        <f>IFERROR(__xludf.DUMMYFUNCTION("""COMPUTED_VALUE"""),"DeleteGroup")</f>
        <v>DeleteGroup</v>
      </c>
      <c r="BK4" s="17" t="str">
        <f>IFERROR(__xludf.DUMMYFUNCTION("""COMPUTED_VALUE"""),"CloseOrder")</f>
        <v>CloseOrder</v>
      </c>
      <c r="BL4" s="17" t="str">
        <f>IFERROR(__xludf.DUMMYFUNCTION("""COMPUTED_VALUE"""),"Unallocate")</f>
        <v>Unallocate</v>
      </c>
      <c r="BM4" s="17" t="str">
        <f>IFERROR(__xludf.DUMMYFUNCTION("""COMPUTED_VALUE"""),"CloseAllocation")</f>
        <v>CloseAllocation</v>
      </c>
      <c r="BN4" s="17" t="str">
        <f>IFERROR(__xludf.DUMMYFUNCTION("""COMPUTED_VALUE"""),"UpdateGRAccountValue")</f>
        <v>UpdateGRAccountValue</v>
      </c>
      <c r="BO4" s="17" t="str">
        <f>IFERROR(__xludf.DUMMYFUNCTION("""COMPUTED_VALUE"""),"UpdateGRStrategyValue")</f>
        <v>UpdateGRStrategyValue</v>
      </c>
      <c r="BP4" s="17" t="str">
        <f>IFERROR(__xludf.DUMMYFUNCTION("""COMPUTED_VALUE"""),"UpdateGRDefaultRule")</f>
        <v>UpdateGRDefaultRule</v>
      </c>
      <c r="BQ4" s="17" t="str">
        <f>IFERROR(__xludf.DUMMYFUNCTION("""COMPUTED_VALUE"""),"UpdateGeneralRulePref")</f>
        <v>UpdateGeneralRulePref</v>
      </c>
      <c r="BR4" s="17" t="str">
        <f>IFERROR(__xludf.DUMMYFUNCTION("""COMPUTED_VALUE"""),"ModifyGRPreferenceValues")</f>
        <v>ModifyGRPreferenceValues</v>
      </c>
      <c r="BS4" s="17" t="str">
        <f>IFERROR(__xludf.DUMMYFUNCTION("""COMPUTED_VALUE"""),"AddMFPreferences")</f>
        <v>AddMFPreferences</v>
      </c>
      <c r="BT4" s="17" t="str">
        <f>IFERROR(__xludf.DUMMYFUNCTION("""COMPUTED_VALUE"""),"AddMFPreferenceToolbar")</f>
        <v>AddMFPreferenceToolbar</v>
      </c>
      <c r="BU4" s="17" t="str">
        <f>IFERROR(__xludf.DUMMYFUNCTION("""COMPUTED_VALUE"""),"DeleteMFPreferences")</f>
        <v>DeleteMFPreferences</v>
      </c>
      <c r="BV4" s="17" t="str">
        <f>IFERROR(__xludf.DUMMYFUNCTION("""COMPUTED_VALUE"""),"DeleteMFPreferenceToolbar")</f>
        <v>DeleteMFPreferenceToolbar</v>
      </c>
      <c r="BW4" s="17" t="str">
        <f>IFERROR(__xludf.DUMMYFUNCTION("""COMPUTED_VALUE"""),"RenameMFPreferences")</f>
        <v>RenameMFPreferences</v>
      </c>
      <c r="BX4" s="17" t="str">
        <f>IFERROR(__xludf.DUMMYFUNCTION("""COMPUTED_VALUE"""),"SaveCloseMFPreference")</f>
        <v>SaveCloseMFPreference</v>
      </c>
      <c r="BY4" s="17" t="str">
        <f>IFERROR(__xludf.DUMMYFUNCTION("""COMPUTED_VALUE"""),"SetMFPrefAccountValues")</f>
        <v>SetMFPrefAccountValues</v>
      </c>
      <c r="BZ4" s="17" t="str">
        <f>IFERROR(__xludf.DUMMYFUNCTION("""COMPUTED_VALUE"""),"ModifyMFPrefGeneralRuleValues")</f>
        <v>ModifyMFPrefGeneralRuleValues</v>
      </c>
      <c r="CA4" s="17" t="str">
        <f>IFERROR(__xludf.DUMMYFUNCTION("""COMPUTED_VALUE"""),"SetMFPrefStrategyValues")</f>
        <v>SetMFPrefStrategyValues</v>
      </c>
      <c r="CB4" s="17" t="str">
        <f>IFERROR(__xludf.DUMMYFUNCTION("""COMPUTED_VALUE"""),"SetMFPrefGeneralRule")</f>
        <v>SetMFPrefGeneralRule</v>
      </c>
      <c r="CC4" s="17" t="str">
        <f>IFERROR(__xludf.DUMMYFUNCTION("""COMPUTED_VALUE"""),"SetMFPrefFundDistribution")</f>
        <v>SetMFPrefFundDistribution</v>
      </c>
      <c r="CD4" s="17" t="str">
        <f>IFERROR(__xludf.DUMMYFUNCTION("""COMPUTED_VALUE"""),"SetMFPreferencesDefaultRule")</f>
        <v>SetMFPreferencesDefaultRule</v>
      </c>
      <c r="CE4" s="17" t="str">
        <f>IFERROR(__xludf.DUMMYFUNCTION("""COMPUTED_VALUE"""),"SetMFPrefFundDefaultRule")</f>
        <v>SetMFPrefFundDefaultRule</v>
      </c>
      <c r="CF4" s="17" t="str">
        <f>IFERROR(__xludf.DUMMYFUNCTION("""COMPUTED_VALUE"""),"ClearPrefetchFilters")</f>
        <v>ClearPrefetchFilters</v>
      </c>
      <c r="CG4" s="17" t="str">
        <f>IFERROR(__xludf.DUMMYFUNCTION("""COMPUTED_VALUE"""),"ExpandCollapseAllUnallocated")</f>
        <v>ExpandCollapseAllUnallocated</v>
      </c>
      <c r="CH4" s="17" t="str">
        <f>IFERROR(__xludf.DUMMYFUNCTION("""COMPUTED_VALUE"""),"ExpandCollapseAllAllocated")</f>
        <v>ExpandCollapseAllAllocated</v>
      </c>
      <c r="CI4" s="17" t="str">
        <f>IFERROR(__xludf.DUMMYFUNCTION("""COMPUTED_VALUE"""),"GenerateCashTransaction")</f>
        <v>GenerateCashTransaction</v>
      </c>
      <c r="CJ4" s="17" t="str">
        <f>IFERROR(__xludf.DUMMYFUNCTION("""COMPUTED_VALUE"""),"SaveAllocation")</f>
        <v>SaveAllocation</v>
      </c>
      <c r="CK4" s="17" t="str">
        <f>IFERROR(__xludf.DUMMYFUNCTION("""COMPUTED_VALUE"""),"UnallocateWithOutSave")</f>
        <v>UnallocateWithOutSave</v>
      </c>
      <c r="CL4" s="17" t="str">
        <f>IFERROR(__xludf.DUMMYFUNCTION("""COMPUTED_VALUE"""),"EditUnallocatedGrid")</f>
        <v>EditUnallocatedGrid</v>
      </c>
      <c r="CM4" s="17" t="str">
        <f>IFERROR(__xludf.DUMMYFUNCTION("""COMPUTED_VALUE"""),"EditAllocatedGrid")</f>
        <v>EditAllocatedGrid</v>
      </c>
      <c r="CN4" s="17" t="str">
        <f>IFERROR(__xludf.DUMMYFUNCTION("""COMPUTED_VALUE"""),"SaveLayoutAllocatedGrid")</f>
        <v>SaveLayoutAllocatedGrid</v>
      </c>
      <c r="CO4" s="17" t="str">
        <f>IFERROR(__xludf.DUMMYFUNCTION("""COMPUTED_VALUE"""),"SaveLayoutUnallocatedGrid")</f>
        <v>SaveLayoutUnallocatedGrid</v>
      </c>
      <c r="CP4" s="17" t="str">
        <f>IFERROR(__xludf.DUMMYFUNCTION("""COMPUTED_VALUE"""),"SaveLayoutAllocationUI")</f>
        <v>SaveLayoutAllocationUI</v>
      </c>
      <c r="CQ4" s="17" t="str">
        <f>IFERROR(__xludf.DUMMYFUNCTION("""COMPUTED_VALUE"""),"ClearFiltersAllocatedGrid")</f>
        <v>ClearFiltersAllocatedGrid</v>
      </c>
      <c r="CR4" s="17" t="str">
        <f>IFERROR(__xludf.DUMMYFUNCTION("""COMPUTED_VALUE"""),"ClearFiltersUnallocatedGrid")</f>
        <v>ClearFiltersUnallocatedGrid</v>
      </c>
      <c r="CS4" s="17" t="str">
        <f>IFERROR(__xludf.DUMMYFUNCTION("""COMPUTED_VALUE"""),"VerifyLayoutAllocatedGrid")</f>
        <v>VerifyLayoutAllocatedGrid</v>
      </c>
      <c r="CT4" s="17" t="str">
        <f>IFERROR(__xludf.DUMMYFUNCTION("""COMPUTED_VALUE"""),"VerifyLayoutUnallocatedGrid")</f>
        <v>VerifyLayoutUnallocatedGrid</v>
      </c>
      <c r="CU4" s="17" t="str">
        <f>IFERROR(__xludf.DUMMYFUNCTION("""COMPUTED_VALUE"""),"CleanUp")</f>
        <v>CleanUp</v>
      </c>
      <c r="CV4" s="17" t="str">
        <f>IFERROR(__xludf.DUMMYFUNCTION("""COMPUTED_VALUE"""),"CheckAllocatedTaxlots")</f>
        <v>CheckAllocatedTaxlots</v>
      </c>
      <c r="CW4" s="17" t="str">
        <f>IFERROR(__xludf.DUMMYFUNCTION("""COMPUTED_VALUE"""),"")</f>
        <v/>
      </c>
      <c r="CX4" s="17" t="str">
        <f>IFERROR(__xludf.DUMMYFUNCTION("""COMPUTED_VALUE"""),"")</f>
        <v/>
      </c>
      <c r="CY4" s="17" t="str">
        <f>IFERROR(__xludf.DUMMYFUNCTION("""COMPUTED_VALUE"""),"")</f>
        <v/>
      </c>
      <c r="CZ4" s="17" t="str">
        <f>IFERROR(__xludf.DUMMYFUNCTION("""COMPUTED_VALUE"""),"")</f>
        <v/>
      </c>
      <c r="DA4" s="17" t="str">
        <f>IFERROR(__xludf.DUMMYFUNCTION("""COMPUTED_VALUE"""),"")</f>
        <v/>
      </c>
      <c r="DB4" s="17" t="str">
        <f>IFERROR(__xludf.DUMMYFUNCTION("""COMPUTED_VALUE"""),"")</f>
        <v/>
      </c>
      <c r="DC4" s="17" t="str">
        <f>IFERROR(__xludf.DUMMYFUNCTION("""COMPUTED_VALUE"""),"")</f>
        <v/>
      </c>
      <c r="DD4" s="17" t="str">
        <f>IFERROR(__xludf.DUMMYFUNCTION("""COMPUTED_VALUE"""),"")</f>
        <v/>
      </c>
      <c r="DE4" s="17" t="str">
        <f>IFERROR(__xludf.DUMMYFUNCTION("""COMPUTED_VALUE"""),"")</f>
        <v/>
      </c>
      <c r="DF4" s="17" t="str">
        <f>IFERROR(__xludf.DUMMYFUNCTION("""COMPUTED_VALUE"""),"")</f>
        <v/>
      </c>
      <c r="DG4" s="17" t="str">
        <f>IFERROR(__xludf.DUMMYFUNCTION("""COMPUTED_VALUE"""),"")</f>
        <v/>
      </c>
      <c r="DH4" s="17" t="str">
        <f>IFERROR(__xludf.DUMMYFUNCTION("""COMPUTED_VALUE"""),"")</f>
        <v/>
      </c>
      <c r="DI4" s="17" t="str">
        <f>IFERROR(__xludf.DUMMYFUNCTION("""COMPUTED_VALUE"""),"")</f>
        <v/>
      </c>
      <c r="DJ4" s="17" t="str">
        <f>IFERROR(__xludf.DUMMYFUNCTION("""COMPUTED_VALUE"""),"")</f>
        <v/>
      </c>
      <c r="DK4" s="17" t="str">
        <f>IFERROR(__xludf.DUMMYFUNCTION("""COMPUTED_VALUE"""),"")</f>
        <v/>
      </c>
      <c r="DL4" s="17" t="str">
        <f>IFERROR(__xludf.DUMMYFUNCTION("""COMPUTED_VALUE"""),"")</f>
        <v/>
      </c>
      <c r="DM4" s="17" t="str">
        <f>IFERROR(__xludf.DUMMYFUNCTION("""COMPUTED_VALUE"""),"")</f>
        <v/>
      </c>
      <c r="DN4" s="17" t="str">
        <f>IFERROR(__xludf.DUMMYFUNCTION("""COMPUTED_VALUE"""),"")</f>
        <v/>
      </c>
      <c r="DO4" s="17" t="str">
        <f>IFERROR(__xludf.DUMMYFUNCTION("""COMPUTED_VALUE"""),"")</f>
        <v/>
      </c>
      <c r="DP4" s="17" t="str">
        <f>IFERROR(__xludf.DUMMYFUNCTION("""COMPUTED_VALUE"""),"")</f>
        <v/>
      </c>
      <c r="DQ4" s="17" t="str">
        <f>IFERROR(__xludf.DUMMYFUNCTION("""COMPUTED_VALUE"""),"")</f>
        <v/>
      </c>
      <c r="DR4" s="17" t="str">
        <f>IFERROR(__xludf.DUMMYFUNCTION("""COMPUTED_VALUE"""),"")</f>
        <v/>
      </c>
      <c r="DS4" s="17" t="str">
        <f>IFERROR(__xludf.DUMMYFUNCTION("""COMPUTED_VALUE"""),"")</f>
        <v/>
      </c>
      <c r="DT4" s="17" t="str">
        <f>IFERROR(__xludf.DUMMYFUNCTION("""COMPUTED_VALUE"""),"")</f>
        <v/>
      </c>
      <c r="DU4" s="17" t="str">
        <f>IFERROR(__xludf.DUMMYFUNCTION("""COMPUTED_VALUE"""),"")</f>
        <v/>
      </c>
      <c r="DV4" s="17" t="str">
        <f>IFERROR(__xludf.DUMMYFUNCTION("""COMPUTED_VALUE"""),"")</f>
        <v/>
      </c>
      <c r="DW4" s="17" t="str">
        <f>IFERROR(__xludf.DUMMYFUNCTION("""COMPUTED_VALUE"""),"")</f>
        <v/>
      </c>
      <c r="DX4" s="17" t="str">
        <f>IFERROR(__xludf.DUMMYFUNCTION("""COMPUTED_VALUE"""),"")</f>
        <v/>
      </c>
      <c r="DY4" s="17" t="str">
        <f>IFERROR(__xludf.DUMMYFUNCTION("""COMPUTED_VALUE"""),"")</f>
        <v/>
      </c>
      <c r="DZ4" s="17" t="str">
        <f>IFERROR(__xludf.DUMMYFUNCTION("""COMPUTED_VALUE"""),"")</f>
        <v/>
      </c>
      <c r="EA4" s="17" t="str">
        <f>IFERROR(__xludf.DUMMYFUNCTION("""COMPUTED_VALUE"""),"")</f>
        <v/>
      </c>
      <c r="EB4" s="17" t="str">
        <f>IFERROR(__xludf.DUMMYFUNCTION("""COMPUTED_VALUE"""),"")</f>
        <v/>
      </c>
      <c r="EC4" s="17" t="str">
        <f>IFERROR(__xludf.DUMMYFUNCTION("""COMPUTED_VALUE"""),"")</f>
        <v/>
      </c>
      <c r="ED4" s="17" t="str">
        <f>IFERROR(__xludf.DUMMYFUNCTION("""COMPUTED_VALUE"""),"")</f>
        <v/>
      </c>
      <c r="EE4" s="17" t="str">
        <f>IFERROR(__xludf.DUMMYFUNCTION("""COMPUTED_VALUE"""),"")</f>
        <v/>
      </c>
      <c r="EF4" s="17" t="str">
        <f>IFERROR(__xludf.DUMMYFUNCTION("""COMPUTED_VALUE"""),"")</f>
        <v/>
      </c>
      <c r="EG4" s="17" t="str">
        <f>IFERROR(__xludf.DUMMYFUNCTION("""COMPUTED_VALUE"""),"")</f>
        <v/>
      </c>
      <c r="EH4" s="17" t="str">
        <f>IFERROR(__xludf.DUMMYFUNCTION("""COMPUTED_VALUE"""),"")</f>
        <v/>
      </c>
      <c r="EI4" s="17" t="str">
        <f>IFERROR(__xludf.DUMMYFUNCTION("""COMPUTED_VALUE"""),"")</f>
        <v/>
      </c>
      <c r="EJ4" s="17" t="str">
        <f>IFERROR(__xludf.DUMMYFUNCTION("""COMPUTED_VALUE"""),"")</f>
        <v/>
      </c>
      <c r="EK4" s="17" t="str">
        <f>IFERROR(__xludf.DUMMYFUNCTION("""COMPUTED_VALUE"""),"")</f>
        <v/>
      </c>
      <c r="EL4" s="17" t="str">
        <f>IFERROR(__xludf.DUMMYFUNCTION("""COMPUTED_VALUE"""),"")</f>
        <v/>
      </c>
      <c r="EM4" s="17" t="str">
        <f>IFERROR(__xludf.DUMMYFUNCTION("""COMPUTED_VALUE"""),"")</f>
        <v/>
      </c>
      <c r="EN4" s="17" t="str">
        <f>IFERROR(__xludf.DUMMYFUNCTION("""COMPUTED_VALUE"""),"")</f>
        <v/>
      </c>
      <c r="EO4" s="17" t="str">
        <f>IFERROR(__xludf.DUMMYFUNCTION("""COMPUTED_VALUE"""),"")</f>
        <v/>
      </c>
      <c r="EP4" s="17" t="str">
        <f>IFERROR(__xludf.DUMMYFUNCTION("""COMPUTED_VALUE"""),"")</f>
        <v/>
      </c>
      <c r="EQ4" s="17" t="str">
        <f>IFERROR(__xludf.DUMMYFUNCTION("""COMPUTED_VALUE"""),"")</f>
        <v/>
      </c>
      <c r="ER4" s="17" t="str">
        <f>IFERROR(__xludf.DUMMYFUNCTION("""COMPUTED_VALUE"""),"")</f>
        <v/>
      </c>
      <c r="ES4" s="17" t="str">
        <f>IFERROR(__xludf.DUMMYFUNCTION("""COMPUTED_VALUE"""),"")</f>
        <v/>
      </c>
      <c r="ET4" s="17" t="str">
        <f>IFERROR(__xludf.DUMMYFUNCTION("""COMPUTED_VALUE"""),"")</f>
        <v/>
      </c>
      <c r="EU4" s="17" t="str">
        <f>IFERROR(__xludf.DUMMYFUNCTION("""COMPUTED_VALUE"""),"")</f>
        <v/>
      </c>
      <c r="EV4" s="17" t="str">
        <f>IFERROR(__xludf.DUMMYFUNCTION("""COMPUTED_VALUE"""),"")</f>
        <v/>
      </c>
      <c r="EW4" s="17" t="str">
        <f>IFERROR(__xludf.DUMMYFUNCTION("""COMPUTED_VALUE"""),"")</f>
        <v/>
      </c>
      <c r="EX4" s="17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1" t="s">
        <v>21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