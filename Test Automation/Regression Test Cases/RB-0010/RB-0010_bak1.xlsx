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  <sheet state="visible" name="ModifyRebalance" sheetId="12" r:id="rId14"/>
  </sheets>
  <definedNames/>
  <calcPr/>
</workbook>
</file>

<file path=xl/sharedStrings.xml><?xml version="1.0" encoding="utf-8"?>
<sst xmlns="http://schemas.openxmlformats.org/spreadsheetml/2006/main" count="108" uniqueCount="44">
  <si>
    <t>Settings</t>
  </si>
  <si>
    <t>Module Step Setting File</t>
  </si>
  <si>
    <t>Master Data Info</t>
  </si>
  <si>
    <t>Modules Info</t>
  </si>
  <si>
    <t>1BICZ_GcMhh_S937ZinFvSYqvvKYtOYB2Bc4woEPpgPg</t>
  </si>
  <si>
    <t>Master Data Settings File</t>
  </si>
  <si>
    <t>1hEhI9rg16D4Xvfk19pDaFUFF78jjfIG29BBaNg8kT0A</t>
  </si>
  <si>
    <t>Modules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</si>
  <si>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</si>
  <si>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</si>
  <si>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</si>
  <si>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</si>
  <si>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</si>
  <si>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</si>
  <si>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</si>
  <si>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</si>
  <si>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</si>
  <si>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</si>
  <si>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</si>
  <si>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</si>
  <si>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</si>
  <si>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</si>
  <si>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</si>
  <si>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</si>
  <si>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</si>
  <si>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Sell short</t>
  </si>
  <si>
    <t>PricingInput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</si>
  <si>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</si>
  <si>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</si>
  <si>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</si>
  <si>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</si>
  <si>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</si>
  <si>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</si>
  <si>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</si>
  <si>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</si>
  <si>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</si>
  <si>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</si>
  <si>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Round Down</t>
  </si>
  <si>
    <t>VerifyGridData</t>
  </si>
  <si>
    <t>Accruals</t>
  </si>
  <si>
    <t>Cash</t>
  </si>
  <si>
    <t>Multiple</t>
  </si>
  <si>
    <t>ModifyRebalance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</si>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</sst>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sz val="14.0"/>
      <color rgb="FFFFFFFF"/>
      <name val="Calibri"/>
    </font>
    <font/>
    <font>
      <name val="Calibri"/>
    </font>
    <font>
      <b/>
      <color rgb="FFFFFFFF"/>
      <name val="Calibri"/>
    </font>
    <font>
      <b/>
      <sz val="14.0"/>
      <color rgb="FFFFFFFF"/>
      <name val="Calibri"/>
    </font>
    <font>
      <name val="Arial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0" fillId="0" fontId="3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1" fillId="2" fontId="5" numFmtId="0" xfId="0" applyAlignment="1" applyBorder="1" applyFont="1">
      <alignment horizontal="center" shrinkToFit="0" wrapText="0"/>
    </xf>
    <xf borderId="0" fillId="0" fontId="6" numFmtId="0" xfId="0" applyAlignment="1" applyFont="1">
      <alignment shrinkToFit="0" wrapText="0"/>
    </xf>
    <xf borderId="1" fillId="2" fontId="5" numFmtId="0" xfId="0" applyAlignment="1" applyBorder="1" applyFont="1">
      <alignment horizontal="center"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5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14" xfId="0" applyFill="1" applyFont="1" applyNumberFormat="1"/>
    <xf borderId="0" fillId="0" fontId="3" numFmtId="0" xfId="0" applyAlignment="1" applyFont="1">
      <alignment readingOrder="0" shrinkToFit="0" wrapText="0"/>
    </xf>
    <xf borderId="0" fillId="6" fontId="14" numFmtId="0" xfId="0" applyAlignment="1" applyFont="1">
      <alignment horizontal="left" readingOrder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readingOrder="0" vertical="bottom"/>
    </xf>
    <xf borderId="0" fillId="0" fontId="3" numFmtId="10" xfId="0" applyAlignment="1" applyFont="1" applyNumberFormat="1">
      <alignment readingOrder="0" shrinkToFit="0" wrapText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8" t="s">
        <v>3</v>
      </c>
      <c r="B1" s="2"/>
      <c r="C1" s="2"/>
      <c r="D1" s="2"/>
      <c r="E1" s="2"/>
      <c r="F1" s="3"/>
    </row>
    <row r="2" ht="15.75" customHeight="1">
      <c r="A2" s="9"/>
      <c r="B2" s="9"/>
      <c r="C2" s="9"/>
      <c r="D2" s="9"/>
      <c r="E2" s="9"/>
      <c r="F2" s="9"/>
    </row>
    <row r="3" ht="15.75" customHeight="1">
      <c r="A3" s="5" t="s">
        <v>7</v>
      </c>
      <c r="B3" s="11"/>
      <c r="C3" s="12"/>
      <c r="D3" s="12"/>
      <c r="E3" s="12"/>
      <c r="F3" s="12"/>
    </row>
    <row r="4" ht="15.75" customHeight="1">
      <c r="A4" s="4" t="str">
        <f>IFERROR(__xludf.DUMMYFUNCTION("IMPORTRANGE('_Settings'!B3,""Modules!A4:L1000"")"),"Allocation")</f>
        <v>Allocation</v>
      </c>
      <c r="B4" s="9" t="str">
        <f>IFERROR(__xludf.DUMMYFUNCTION("""COMPUTED_VALUE"""),"Allocate")</f>
        <v>Allocate</v>
      </c>
      <c r="C4" s="9" t="str">
        <f>IFERROR(__xludf.DUMMYFUNCTION("""COMPUTED_VALUE"""),"1g8wLprruaWRC_5pQcovqkv8ZCiMt5fspCOACibdkz7g")</f>
        <v>1g8wLprruaWRC_5pQcovqkv8ZCiMt5fspCOACibdkz7g</v>
      </c>
      <c r="D4" s="9" t="str">
        <f>IFERROR(__xludf.DUMMYFUNCTION("""COMPUTED_VALUE"""),"")</f>
        <v/>
      </c>
      <c r="E4" s="9" t="str">
        <f>IFERROR(__xludf.DUMMYFUNCTION("""COMPUTED_VALUE"""),"")</f>
        <v/>
      </c>
      <c r="F4" s="9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4" t="str">
        <f>IFERROR(__xludf.DUMMYFUNCTION("""COMPUTED_VALUE"""),"Allocation")</f>
        <v>Allocation</v>
      </c>
      <c r="B5" s="9" t="str">
        <f>IFERROR(__xludf.DUMMYFUNCTION("""COMPUTED_VALUE"""),"CheckAllocatedGroups")</f>
        <v>CheckAllocatedGroups</v>
      </c>
      <c r="C5" s="9" t="str">
        <f>IFERROR(__xludf.DUMMYFUNCTION("""COMPUTED_VALUE"""),"1aecq-HMDoDkIInONjPC11z5TBFHyJhv4ro66e2ZOphg")</f>
        <v>1aecq-HMDoDkIInONjPC11z5TBFHyJhv4ro66e2ZOphg</v>
      </c>
      <c r="D5" s="9" t="str">
        <f>IFERROR(__xludf.DUMMYFUNCTION("""COMPUTED_VALUE"""),"")</f>
        <v/>
      </c>
      <c r="E5" s="9" t="str">
        <f>IFERROR(__xludf.DUMMYFUNCTION("""COMPUTED_VALUE"""),"")</f>
        <v/>
      </c>
      <c r="F5" s="9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9" t="str">
        <f>IFERROR(__xludf.DUMMYFUNCTION("""COMPUTED_VALUE"""),"Allocation")</f>
        <v>Allocation</v>
      </c>
      <c r="B6" s="9" t="str">
        <f>IFERROR(__xludf.DUMMYFUNCTION("""COMPUTED_VALUE"""),"Unallocate")</f>
        <v>Unallocate</v>
      </c>
      <c r="C6" s="9" t="str">
        <f>IFERROR(__xludf.DUMMYFUNCTION("""COMPUTED_VALUE"""),"1eDZq-_vllq4jwvwpk9qGnwQUhlb-sFvyFKPBriT2dA0")</f>
        <v>1eDZq-_vllq4jwvwpk9qGnwQUhlb-sFvyFKPBriT2dA0</v>
      </c>
      <c r="D6" s="9" t="str">
        <f>IFERROR(__xludf.DUMMYFUNCTION("""COMPUTED_VALUE"""),"")</f>
        <v/>
      </c>
      <c r="E6" s="9" t="str">
        <f>IFERROR(__xludf.DUMMYFUNCTION("""COMPUTED_VALUE"""),"")</f>
        <v/>
      </c>
      <c r="F6" s="9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9" t="str">
        <f>IFERROR(__xludf.DUMMYFUNCTION("""COMPUTED_VALUE"""),"Allocation")</f>
        <v>Allocation</v>
      </c>
      <c r="B7" s="9" t="str">
        <f>IFERROR(__xludf.DUMMYFUNCTION("""COMPUTED_VALUE"""),"GetDataAllocation")</f>
        <v>GetDataAllocation</v>
      </c>
      <c r="C7" s="9" t="str">
        <f>IFERROR(__xludf.DUMMYFUNCTION("""COMPUTED_VALUE"""),"1FBTO3wCB7odq-jpQMbYHgSrAL5-rFO2_kp9Kr2iXqXE")</f>
        <v>1FBTO3wCB7odq-jpQMbYHgSrAL5-rFO2_kp9Kr2iXqXE</v>
      </c>
      <c r="D7" s="9" t="str">
        <f>IFERROR(__xludf.DUMMYFUNCTION("""COMPUTED_VALUE"""),"")</f>
        <v/>
      </c>
      <c r="E7" s="9" t="str">
        <f>IFERROR(__xludf.DUMMYFUNCTION("""COMPUTED_VALUE"""),"")</f>
        <v/>
      </c>
      <c r="F7" s="9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9" t="str">
        <f>IFERROR(__xludf.DUMMYFUNCTION("""COMPUTED_VALUE"""),"Allocation")</f>
        <v>Allocation</v>
      </c>
      <c r="B8" s="9" t="str">
        <f>IFERROR(__xludf.DUMMYFUNCTION("""COMPUTED_VALUE"""),"SelectAllocatedGroup")</f>
        <v>SelectAllocatedGroup</v>
      </c>
      <c r="C8" s="9" t="str">
        <f>IFERROR(__xludf.DUMMYFUNCTION("""COMPUTED_VALUE"""),"1G0ZkXDrIDX_loGmAyLs_Shy8hExtTELtFXERbX-HdPo")</f>
        <v>1G0ZkXDrIDX_loGmAyLs_Shy8hExtTELtFXERbX-HdPo</v>
      </c>
      <c r="D8" s="9" t="str">
        <f>IFERROR(__xludf.DUMMYFUNCTION("""COMPUTED_VALUE"""),"")</f>
        <v/>
      </c>
      <c r="E8" s="9" t="str">
        <f>IFERROR(__xludf.DUMMYFUNCTION("""COMPUTED_VALUE"""),"")</f>
        <v/>
      </c>
      <c r="F8" s="9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9" t="str">
        <f>IFERROR(__xludf.DUMMYFUNCTION("""COMPUTED_VALUE"""),"Allocation")</f>
        <v>Allocation</v>
      </c>
      <c r="B9" s="9" t="str">
        <f>IFERROR(__xludf.DUMMYFUNCTION("""COMPUTED_VALUE"""),"EditTradesAllocated")</f>
        <v>EditTradesAllocated</v>
      </c>
      <c r="C9" s="9" t="str">
        <f>IFERROR(__xludf.DUMMYFUNCTION("""COMPUTED_VALUE"""),"1YgVZ1jEVgjUF1Dp8FAj_W_zLEZCyqvNMlWJIg0Tmkq4")</f>
        <v>1YgVZ1jEVgjUF1Dp8FAj_W_zLEZCyqvNMlWJIg0Tmkq4</v>
      </c>
      <c r="D9" s="9" t="str">
        <f>IFERROR(__xludf.DUMMYFUNCTION("""COMPUTED_VALUE"""),"")</f>
        <v/>
      </c>
      <c r="E9" s="9" t="str">
        <f>IFERROR(__xludf.DUMMYFUNCTION("""COMPUTED_VALUE"""),"")</f>
        <v/>
      </c>
      <c r="F9" s="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9" t="str">
        <f>IFERROR(__xludf.DUMMYFUNCTION("""COMPUTED_VALUE"""),"Allocation")</f>
        <v>Allocation</v>
      </c>
      <c r="B10" s="9" t="str">
        <f>IFERROR(__xludf.DUMMYFUNCTION("""COMPUTED_VALUE"""),"EditTradesUnallocated")</f>
        <v>EditTradesUnallocated</v>
      </c>
      <c r="C10" s="9" t="str">
        <f>IFERROR(__xludf.DUMMYFUNCTION("""COMPUTED_VALUE"""),"1MyB61T39MDAUyQqCUJLATzUT2f5UlE8nFq4ltWy_DJ4")</f>
        <v>1MyB61T39MDAUyQqCUJLATzUT2f5UlE8nFq4ltWy_DJ4</v>
      </c>
      <c r="D10" s="9" t="str">
        <f>IFERROR(__xludf.DUMMYFUNCTION("""COMPUTED_VALUE"""),"")</f>
        <v/>
      </c>
      <c r="E10" s="9" t="str">
        <f>IFERROR(__xludf.DUMMYFUNCTION("""COMPUTED_VALUE"""),"")</f>
        <v/>
      </c>
      <c r="F10" s="9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9" t="str">
        <f>IFERROR(__xludf.DUMMYFUNCTION("""COMPUTED_VALUE"""),"Allocation")</f>
        <v>Allocation</v>
      </c>
      <c r="B11" s="9" t="str">
        <f>IFERROR(__xludf.DUMMYFUNCTION("""COMPUTED_VALUE"""),"Reallocate")</f>
        <v>Reallocate</v>
      </c>
      <c r="C11" s="9" t="str">
        <f>IFERROR(__xludf.DUMMYFUNCTION("""COMPUTED_VALUE"""),"undefined")</f>
        <v>undefined</v>
      </c>
      <c r="D11" s="9" t="str">
        <f>IFERROR(__xludf.DUMMYFUNCTION("""COMPUTED_VALUE"""),"")</f>
        <v/>
      </c>
      <c r="E11" s="9" t="str">
        <f>IFERROR(__xludf.DUMMYFUNCTION("""COMPUTED_VALUE"""),"")</f>
        <v/>
      </c>
      <c r="F11" s="9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9" t="str">
        <f>IFERROR(__xludf.DUMMYFUNCTION("""COMPUTED_VALUE"""),"Blotter")</f>
        <v>Blotter</v>
      </c>
      <c r="B12" s="9" t="str">
        <f>IFERROR(__xludf.DUMMYFUNCTION("""COMPUTED_VALUE"""),"ReplaceFillsOnBlotter")</f>
        <v>ReplaceFillsOnBlotter</v>
      </c>
      <c r="C12" s="9" t="str">
        <f>IFERROR(__xludf.DUMMYFUNCTION("""COMPUTED_VALUE"""),"undefined")</f>
        <v>undefined</v>
      </c>
      <c r="D12" s="9" t="str">
        <f>IFERROR(__xludf.DUMMYFUNCTION("""COMPUTED_VALUE"""),"")</f>
        <v/>
      </c>
      <c r="E12" s="9" t="str">
        <f>IFERROR(__xludf.DUMMYFUNCTION("""COMPUTED_VALUE"""),"")</f>
        <v/>
      </c>
      <c r="F12" s="9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9" t="str">
        <f>IFERROR(__xludf.DUMMYFUNCTION("""COMPUTED_VALUE"""),"Blotter")</f>
        <v>Blotter</v>
      </c>
      <c r="B13" s="9" t="str">
        <f>IFERROR(__xludf.DUMMYFUNCTION("""COMPUTED_VALUE"""),"CheckBlotter")</f>
        <v>CheckBlotter</v>
      </c>
      <c r="C13" s="9" t="str">
        <f>IFERROR(__xludf.DUMMYFUNCTION("""COMPUTED_VALUE"""),"16qheLbvgC92hKxalWDlpWfHBMyDDVqHERUCc7bQiO2A")</f>
        <v>16qheLbvgC92hKxalWDlpWfHBMyDDVqHERUCc7bQiO2A</v>
      </c>
      <c r="D13" s="9" t="str">
        <f>IFERROR(__xludf.DUMMYFUNCTION("""COMPUTED_VALUE"""),"")</f>
        <v/>
      </c>
      <c r="E13" s="9" t="str">
        <f>IFERROR(__xludf.DUMMYFUNCTION("""COMPUTED_VALUE"""),"")</f>
        <v/>
      </c>
      <c r="F13" s="9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9" t="str">
        <f>IFERROR(__xludf.DUMMYFUNCTION("""COMPUTED_VALUE"""),"GeneralLedger")</f>
        <v>GeneralLedger</v>
      </c>
      <c r="B14" s="9" t="str">
        <f>IFERROR(__xludf.DUMMYFUNCTION("""COMPUTED_VALUE"""),"GetDataCash")</f>
        <v>GetDataCash</v>
      </c>
      <c r="C14" s="9" t="str">
        <f>IFERROR(__xludf.DUMMYFUNCTION("""COMPUTED_VALUE"""),"1zLd3ju-mV8f6PZiQUYLU-cAgAUwLwyoIAKuu0WgG2zI")</f>
        <v>1zLd3ju-mV8f6PZiQUYLU-cAgAUwLwyoIAKuu0WgG2zI</v>
      </c>
      <c r="D14" s="9" t="str">
        <f>IFERROR(__xludf.DUMMYFUNCTION("""COMPUTED_VALUE"""),"")</f>
        <v/>
      </c>
      <c r="E14" s="9" t="str">
        <f>IFERROR(__xludf.DUMMYFUNCTION("""COMPUTED_VALUE"""),"")</f>
        <v/>
      </c>
      <c r="F14" s="9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9" t="str">
        <f>IFERROR(__xludf.DUMMYFUNCTION("""COMPUTED_VALUE"""),"GeneralLedger")</f>
        <v>GeneralLedger</v>
      </c>
      <c r="B15" s="9" t="str">
        <f>IFERROR(__xludf.DUMMYFUNCTION("""COMPUTED_VALUE"""),"EnterCashDividends")</f>
        <v>EnterCashDividends</v>
      </c>
      <c r="C15" s="9" t="str">
        <f>IFERROR(__xludf.DUMMYFUNCTION("""COMPUTED_VALUE"""),"1sjDsI5FIL_l_G6osMJQ7e8auBgYd3R3JDaKWKV_8Og0")</f>
        <v>1sjDsI5FIL_l_G6osMJQ7e8auBgYd3R3JDaKWKV_8Og0</v>
      </c>
      <c r="D15" s="9" t="str">
        <f>IFERROR(__xludf.DUMMYFUNCTION("""COMPUTED_VALUE"""),"")</f>
        <v/>
      </c>
      <c r="E15" s="9" t="str">
        <f>IFERROR(__xludf.DUMMYFUNCTION("""COMPUTED_VALUE"""),"")</f>
        <v/>
      </c>
      <c r="F15" s="9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9" t="str">
        <f>IFERROR(__xludf.DUMMYFUNCTION("""COMPUTED_VALUE"""),"GeneralLedger")</f>
        <v>GeneralLedger</v>
      </c>
      <c r="B16" s="9" t="str">
        <f>IFERROR(__xludf.DUMMYFUNCTION("""COMPUTED_VALUE"""),"EnterNonTradingTransaction")</f>
        <v>EnterNonTradingTransaction</v>
      </c>
      <c r="C16" s="9" t="str">
        <f>IFERROR(__xludf.DUMMYFUNCTION("""COMPUTED_VALUE"""),"1xn1P_Z-3N4d2BC1SUPly2HiVZazly5ZQcS18BfaTyho")</f>
        <v>1xn1P_Z-3N4d2BC1SUPly2HiVZazly5ZQcS18BfaTyho</v>
      </c>
      <c r="D16" s="9" t="str">
        <f>IFERROR(__xludf.DUMMYFUNCTION("""COMPUTED_VALUE"""),"")</f>
        <v/>
      </c>
      <c r="E16" s="9" t="str">
        <f>IFERROR(__xludf.DUMMYFUNCTION("""COMPUTED_VALUE"""),"")</f>
        <v/>
      </c>
      <c r="F16" s="9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9" t="str">
        <f>IFERROR(__xludf.DUMMYFUNCTION("""COMPUTED_VALUE"""),"GeneralLedger")</f>
        <v>GeneralLedger</v>
      </c>
      <c r="B17" s="9" t="str">
        <f>IFERROR(__xludf.DUMMYFUNCTION("""COMPUTED_VALUE"""),"VerifyCash")</f>
        <v>VerifyCash</v>
      </c>
      <c r="C17" s="9" t="str">
        <f>IFERROR(__xludf.DUMMYFUNCTION("""COMPUTED_VALUE"""),"1vlvYPsiFAWjsnFrbkGn_fAvkwF00V3e7htalalU6QN4")</f>
        <v>1vlvYPsiFAWjsnFrbkGn_fAvkwF00V3e7htalalU6QN4</v>
      </c>
      <c r="D17" s="9" t="str">
        <f>IFERROR(__xludf.DUMMYFUNCTION("""COMPUTED_VALUE"""),"")</f>
        <v/>
      </c>
      <c r="E17" s="9" t="str">
        <f>IFERROR(__xludf.DUMMYFUNCTION("""COMPUTED_VALUE"""),"")</f>
        <v/>
      </c>
      <c r="F17" s="9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9" t="str">
        <f>IFERROR(__xludf.DUMMYFUNCTION("""COMPUTED_VALUE"""),"GeneralLedger")</f>
        <v>GeneralLedger</v>
      </c>
      <c r="B18" s="9" t="str">
        <f>IFERROR(__xludf.DUMMYFUNCTION("""COMPUTED_VALUE"""),"VerifyActivity")</f>
        <v>VerifyActivity</v>
      </c>
      <c r="C18" s="9" t="str">
        <f>IFERROR(__xludf.DUMMYFUNCTION("""COMPUTED_VALUE"""),"1o2rCg2FuoAOT5Pl8i4iFP_TwpPm0UB1dd49GbpkytfM")</f>
        <v>1o2rCg2FuoAOT5Pl8i4iFP_TwpPm0UB1dd49GbpkytfM</v>
      </c>
      <c r="D18" s="9" t="str">
        <f>IFERROR(__xludf.DUMMYFUNCTION("""COMPUTED_VALUE"""),"")</f>
        <v/>
      </c>
      <c r="E18" s="9" t="str">
        <f>IFERROR(__xludf.DUMMYFUNCTION("""COMPUTED_VALUE"""),"")</f>
        <v/>
      </c>
      <c r="F18" s="9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9" t="str">
        <f>IFERROR(__xludf.DUMMYFUNCTION("""COMPUTED_VALUE"""),"GeneralLedger")</f>
        <v>GeneralLedger</v>
      </c>
      <c r="B19" s="9" t="str">
        <f>IFERROR(__xludf.DUMMYFUNCTION("""COMPUTED_VALUE"""),"VerifyTradingTransaction")</f>
        <v>VerifyTradingTransaction</v>
      </c>
      <c r="C19" s="9" t="str">
        <f>IFERROR(__xludf.DUMMYFUNCTION("""COMPUTED_VALUE"""),"1_v2niCJ9VGNvgEBpvz030BFqEISSUhYRHyWcAJAn_Eg")</f>
        <v>1_v2niCJ9VGNvgEBpvz030BFqEISSUhYRHyWcAJAn_Eg</v>
      </c>
      <c r="D19" s="9" t="str">
        <f>IFERROR(__xludf.DUMMYFUNCTION("""COMPUTED_VALUE"""),"")</f>
        <v/>
      </c>
      <c r="E19" s="9" t="str">
        <f>IFERROR(__xludf.DUMMYFUNCTION("""COMPUTED_VALUE"""),"")</f>
        <v/>
      </c>
      <c r="F19" s="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9" t="str">
        <f>IFERROR(__xludf.DUMMYFUNCTION("""COMPUTED_VALUE"""),"GeneralLedger")</f>
        <v>GeneralLedger</v>
      </c>
      <c r="B20" s="9" t="str">
        <f>IFERROR(__xludf.DUMMYFUNCTION("""COMPUTED_VALUE"""),"VerifyRevaluationData")</f>
        <v>VerifyRevaluationData</v>
      </c>
      <c r="C20" s="9" t="str">
        <f>IFERROR(__xludf.DUMMYFUNCTION("""COMPUTED_VALUE"""),"1hsRs1-LY0akTrMe91ArnbLtk6GUy_bKxVwMYCaiMs-8")</f>
        <v>1hsRs1-LY0akTrMe91ArnbLtk6GUy_bKxVwMYCaiMs-8</v>
      </c>
      <c r="D20" s="9" t="str">
        <f>IFERROR(__xludf.DUMMYFUNCTION("""COMPUTED_VALUE"""),"")</f>
        <v/>
      </c>
      <c r="E20" s="9" t="str">
        <f>IFERROR(__xludf.DUMMYFUNCTION("""COMPUTED_VALUE"""),"")</f>
        <v/>
      </c>
      <c r="F20" s="9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9" t="str">
        <f>IFERROR(__xludf.DUMMYFUNCTION("""COMPUTED_VALUE"""),"CorporateAction")</f>
        <v>CorporateAction</v>
      </c>
      <c r="B21" s="9" t="str">
        <f>IFERROR(__xludf.DUMMYFUNCTION("""COMPUTED_VALUE"""),"CorporateAction")</f>
        <v>CorporateAction</v>
      </c>
      <c r="C21" s="9" t="str">
        <f>IFERROR(__xludf.DUMMYFUNCTION("""COMPUTED_VALUE"""),"14rwUHTx4auE_hf60WN-tNOx3atNg7QGvErWNwVQIRqE")</f>
        <v>14rwUHTx4auE_hf60WN-tNOx3atNg7QGvErWNwVQIRqE</v>
      </c>
      <c r="D21" s="9" t="str">
        <f>IFERROR(__xludf.DUMMYFUNCTION("""COMPUTED_VALUE"""),"")</f>
        <v/>
      </c>
      <c r="E21" s="9" t="str">
        <f>IFERROR(__xludf.DUMMYFUNCTION("""COMPUTED_VALUE"""),"")</f>
        <v/>
      </c>
      <c r="F21" s="9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9" t="str">
        <f>IFERROR(__xludf.DUMMYFUNCTION("""COMPUTED_VALUE"""),"CreateTransaction")</f>
        <v>CreateTransaction</v>
      </c>
      <c r="B22" s="9" t="str">
        <f>IFERROR(__xludf.DUMMYFUNCTION("""COMPUTED_VALUE"""),"CreateTransaction")</f>
        <v>CreateTransaction</v>
      </c>
      <c r="C22" s="9" t="str">
        <f>IFERROR(__xludf.DUMMYFUNCTION("""COMPUTED_VALUE"""),"1amshi8Ns36lsDpccBK0y_9bL_pQ2rHdGNYypcgzceUg")</f>
        <v>1amshi8Ns36lsDpccBK0y_9bL_pQ2rHdGNYypcgzceUg</v>
      </c>
      <c r="D22" s="9" t="str">
        <f>IFERROR(__xludf.DUMMYFUNCTION("""COMPUTED_VALUE"""),"")</f>
        <v/>
      </c>
      <c r="E22" s="9" t="str">
        <f>IFERROR(__xludf.DUMMYFUNCTION("""COMPUTED_VALUE"""),"")</f>
        <v/>
      </c>
      <c r="F22" s="9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9" t="str">
        <f>IFERROR(__xludf.DUMMYFUNCTION("""COMPUTED_VALUE"""),"DailyValuation")</f>
        <v>DailyValuation</v>
      </c>
      <c r="B23" s="9" t="str">
        <f>IFERROR(__xludf.DUMMYFUNCTION("""COMPUTED_VALUE"""),"UpdateBeta")</f>
        <v>UpdateBeta</v>
      </c>
      <c r="C23" s="9" t="str">
        <f>IFERROR(__xludf.DUMMYFUNCTION("""COMPUTED_VALUE"""),"1YKttwHsdIskNDoo0Sl7HF2DWikROW-KA05qfT3GLIyI")</f>
        <v>1YKttwHsdIskNDoo0Sl7HF2DWikROW-KA05qfT3GLIyI</v>
      </c>
      <c r="D23" s="9" t="str">
        <f>IFERROR(__xludf.DUMMYFUNCTION("""COMPUTED_VALUE"""),"")</f>
        <v/>
      </c>
      <c r="E23" s="9" t="str">
        <f>IFERROR(__xludf.DUMMYFUNCTION("""COMPUTED_VALUE"""),"")</f>
        <v/>
      </c>
      <c r="F23" s="9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9" t="str">
        <f>IFERROR(__xludf.DUMMYFUNCTION("""COMPUTED_VALUE"""),"DailyValuation")</f>
        <v>DailyValuation</v>
      </c>
      <c r="B24" s="9" t="str">
        <f>IFERROR(__xludf.DUMMYFUNCTION("""COMPUTED_VALUE"""),"UpdateDailyCash")</f>
        <v>UpdateDailyCash</v>
      </c>
      <c r="C24" s="9" t="str">
        <f>IFERROR(__xludf.DUMMYFUNCTION("""COMPUTED_VALUE"""),"1YJ2rTp-OqQTGjubvs_cBC6fl0l94pyHI2eaLJzbddS4")</f>
        <v>1YJ2rTp-OqQTGjubvs_cBC6fl0l94pyHI2eaLJzbddS4</v>
      </c>
      <c r="D24" s="9" t="str">
        <f>IFERROR(__xludf.DUMMYFUNCTION("""COMPUTED_VALUE"""),"")</f>
        <v/>
      </c>
      <c r="E24" s="9" t="str">
        <f>IFERROR(__xludf.DUMMYFUNCTION("""COMPUTED_VALUE"""),"")</f>
        <v/>
      </c>
      <c r="F24" s="9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9" t="str">
        <f>IFERROR(__xludf.DUMMYFUNCTION("""COMPUTED_VALUE"""),"DailyValuation")</f>
        <v>DailyValuation</v>
      </c>
      <c r="B25" s="9" t="str">
        <f>IFERROR(__xludf.DUMMYFUNCTION("""COMPUTED_VALUE"""),"UpdateForexConversion")</f>
        <v>UpdateForexConversion</v>
      </c>
      <c r="C25" s="9" t="str">
        <f>IFERROR(__xludf.DUMMYFUNCTION("""COMPUTED_VALUE"""),"1mLyEfNTVFd65cnE6GfgCRD6TdpKg1BgqNIDjHCFzyO4")</f>
        <v>1mLyEfNTVFd65cnE6GfgCRD6TdpKg1BgqNIDjHCFzyO4</v>
      </c>
      <c r="D25" s="9" t="str">
        <f>IFERROR(__xludf.DUMMYFUNCTION("""COMPUTED_VALUE"""),"")</f>
        <v/>
      </c>
      <c r="E25" s="9" t="str">
        <f>IFERROR(__xludf.DUMMYFUNCTION("""COMPUTED_VALUE"""),"")</f>
        <v/>
      </c>
      <c r="F25" s="9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9" t="str">
        <f>IFERROR(__xludf.DUMMYFUNCTION("""COMPUTED_VALUE"""),"DailyValuation")</f>
        <v>DailyValuation</v>
      </c>
      <c r="B26" s="9" t="str">
        <f>IFERROR(__xludf.DUMMYFUNCTION("""COMPUTED_VALUE"""),"UpdateMarkPrice")</f>
        <v>UpdateMarkPrice</v>
      </c>
      <c r="C26" s="9" t="str">
        <f>IFERROR(__xludf.DUMMYFUNCTION("""COMPUTED_VALUE"""),"1M8d9TyOhMnA65NSIYvS6dR68SH5RL6oKahd6uz7yp6c")</f>
        <v>1M8d9TyOhMnA65NSIYvS6dR68SH5RL6oKahd6uz7yp6c</v>
      </c>
      <c r="D26" s="9" t="str">
        <f>IFERROR(__xludf.DUMMYFUNCTION("""COMPUTED_VALUE"""),"")</f>
        <v/>
      </c>
      <c r="E26" s="9" t="str">
        <f>IFERROR(__xludf.DUMMYFUNCTION("""COMPUTED_VALUE"""),"")</f>
        <v/>
      </c>
      <c r="F26" s="9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9" t="str">
        <f>IFERROR(__xludf.DUMMYFUNCTION("""COMPUTED_VALUE"""),"Import")</f>
        <v>Import</v>
      </c>
      <c r="B27" s="9" t="str">
        <f>IFERROR(__xludf.DUMMYFUNCTION("""COMPUTED_VALUE"""),"Import")</f>
        <v>Import</v>
      </c>
      <c r="C27" s="9" t="str">
        <f>IFERROR(__xludf.DUMMYFUNCTION("""COMPUTED_VALUE"""),"1Q5uOVYo1NMRks6hQRJuV8XWMPb6VFEAbSzpgP1dot1I")</f>
        <v>1Q5uOVYo1NMRks6hQRJuV8XWMPb6VFEAbSzpgP1dot1I</v>
      </c>
      <c r="D27" s="9" t="str">
        <f>IFERROR(__xludf.DUMMYFUNCTION("""COMPUTED_VALUE"""),"")</f>
        <v/>
      </c>
      <c r="E27" s="9" t="str">
        <f>IFERROR(__xludf.DUMMYFUNCTION("""COMPUTED_VALUE"""),"")</f>
        <v/>
      </c>
      <c r="F27" s="9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9" t="str">
        <f>IFERROR(__xludf.DUMMYFUNCTION("""COMPUTED_VALUE"""),"PortfolioManagement")</f>
        <v>PortfolioManagement</v>
      </c>
      <c r="B28" s="9" t="str">
        <f>IFERROR(__xludf.DUMMYFUNCTION("""COMPUTED_VALUE"""),"CheckDashboardPM")</f>
        <v>CheckDashboardPM</v>
      </c>
      <c r="C28" s="9" t="str">
        <f>IFERROR(__xludf.DUMMYFUNCTION("""COMPUTED_VALUE"""),"1iqfUyYqyebXIeNBGljH7-T8whBcywTlkBBU3dBZV06s")</f>
        <v>1iqfUyYqyebXIeNBGljH7-T8whBcywTlkBBU3dBZV06s</v>
      </c>
      <c r="D28" s="9" t="str">
        <f>IFERROR(__xludf.DUMMYFUNCTION("""COMPUTED_VALUE"""),"")</f>
        <v/>
      </c>
      <c r="E28" s="9" t="str">
        <f>IFERROR(__xludf.DUMMYFUNCTION("""COMPUTED_VALUE"""),"")</f>
        <v/>
      </c>
      <c r="F28" s="9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9" t="str">
        <f>IFERROR(__xludf.DUMMYFUNCTION("""COMPUTED_VALUE"""),"PortfolioManagement")</f>
        <v>PortfolioManagement</v>
      </c>
      <c r="B29" s="9" t="str">
        <f>IFERROR(__xludf.DUMMYFUNCTION("""COMPUTED_VALUE"""),"CheckPortfolioManagement")</f>
        <v>CheckPortfolioManagement</v>
      </c>
      <c r="C29" s="9" t="str">
        <f>IFERROR(__xludf.DUMMYFUNCTION("""COMPUTED_VALUE"""),"1u0XMlZJy_Slp7uXMwirinW7StOOdTcWD-D8V07sO0VA")</f>
        <v>1u0XMlZJy_Slp7uXMwirinW7StOOdTcWD-D8V07sO0VA</v>
      </c>
      <c r="D29" s="9" t="str">
        <f>IFERROR(__xludf.DUMMYFUNCTION("""COMPUTED_VALUE"""),"")</f>
        <v/>
      </c>
      <c r="E29" s="9" t="str">
        <f>IFERROR(__xludf.DUMMYFUNCTION("""COMPUTED_VALUE"""),"")</f>
        <v/>
      </c>
      <c r="F29" s="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9" t="str">
        <f>IFERROR(__xludf.DUMMYFUNCTION("""COMPUTED_VALUE"""),"PricingInput")</f>
        <v>PricingInput</v>
      </c>
      <c r="B30" s="9" t="str">
        <f>IFERROR(__xludf.DUMMYFUNCTION("""COMPUTED_VALUE"""),"PricingInput")</f>
        <v>PricingInput</v>
      </c>
      <c r="C30" s="9" t="str">
        <f>IFERROR(__xludf.DUMMYFUNCTION("""COMPUTED_VALUE"""),"1mh3Z5PifhJ3yzX8TPeoc3H3nteNiA0V2tWFse0rVChE")</f>
        <v>1mh3Z5PifhJ3yzX8TPeoc3H3nteNiA0V2tWFse0rVChE</v>
      </c>
      <c r="D30" s="9" t="str">
        <f>IFERROR(__xludf.DUMMYFUNCTION("""COMPUTED_VALUE"""),"")</f>
        <v/>
      </c>
      <c r="E30" s="9" t="str">
        <f>IFERROR(__xludf.DUMMYFUNCTION("""COMPUTED_VALUE"""),"")</f>
        <v/>
      </c>
      <c r="F30" s="9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9" t="str">
        <f>IFERROR(__xludf.DUMMYFUNCTION("""COMPUTED_VALUE"""),"PricingInput")</f>
        <v>PricingInput</v>
      </c>
      <c r="B31" s="9" t="str">
        <f>IFERROR(__xludf.DUMMYFUNCTION("""COMPUTED_VALUE"""),"UpdateSharesOutstanding")</f>
        <v>UpdateSharesOutstanding</v>
      </c>
      <c r="C31" s="9" t="str">
        <f>IFERROR(__xludf.DUMMYFUNCTION("""COMPUTED_VALUE"""),"1vmZ6v1OyZ8SSi8bqqjK3ap3KtM_yPA_SEcIQgYiRInY")</f>
        <v>1vmZ6v1OyZ8SSi8bqqjK3ap3KtM_yPA_SEcIQgYiRInY</v>
      </c>
      <c r="D31" s="9" t="str">
        <f>IFERROR(__xludf.DUMMYFUNCTION("""COMPUTED_VALUE"""),"")</f>
        <v/>
      </c>
      <c r="E31" s="9" t="str">
        <f>IFERROR(__xludf.DUMMYFUNCTION("""COMPUTED_VALUE"""),"")</f>
        <v/>
      </c>
      <c r="F31" s="9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9" t="str">
        <f>IFERROR(__xludf.DUMMYFUNCTION("""COMPUTED_VALUE"""),"SymbolLookup")</f>
        <v>SymbolLookup</v>
      </c>
      <c r="B32" s="9" t="str">
        <f>IFERROR(__xludf.DUMMYFUNCTION("""COMPUTED_VALUE"""),"VerifySymbolLookUp")</f>
        <v>VerifySymbolLookUp</v>
      </c>
      <c r="C32" s="9" t="str">
        <f>IFERROR(__xludf.DUMMYFUNCTION("""COMPUTED_VALUE"""),"1OiI1Pi_JAFOFi8ByMaD3_qqEXSv6yQMo_u6aGTozbl8")</f>
        <v>1OiI1Pi_JAFOFi8ByMaD3_qqEXSv6yQMo_u6aGTozbl8</v>
      </c>
      <c r="D32" s="9" t="str">
        <f>IFERROR(__xludf.DUMMYFUNCTION("""COMPUTED_VALUE"""),"")</f>
        <v/>
      </c>
      <c r="E32" s="9" t="str">
        <f>IFERROR(__xludf.DUMMYFUNCTION("""COMPUTED_VALUE"""),"")</f>
        <v/>
      </c>
      <c r="F32" s="9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9" t="str">
        <f>IFERROR(__xludf.DUMMYFUNCTION("""COMPUTED_VALUE"""),"SymbolLookup")</f>
        <v>SymbolLookup</v>
      </c>
      <c r="B33" s="9" t="str">
        <f>IFERROR(__xludf.DUMMYFUNCTION("""COMPUTED_VALUE"""),"SymbolLookupFromTT")</f>
        <v>SymbolLookupFromTT</v>
      </c>
      <c r="C33" s="9" t="str">
        <f>IFERROR(__xludf.DUMMYFUNCTION("""COMPUTED_VALUE"""),"1ubfvE9sHq5KpJ9NazeH96CrVMJqAuol5Ya9GPjxWrgI")</f>
        <v>1ubfvE9sHq5KpJ9NazeH96CrVMJqAuol5Ya9GPjxWrgI</v>
      </c>
      <c r="D33" s="9" t="str">
        <f>IFERROR(__xludf.DUMMYFUNCTION("""COMPUTED_VALUE"""),"")</f>
        <v/>
      </c>
      <c r="E33" s="9" t="str">
        <f>IFERROR(__xludf.DUMMYFUNCTION("""COMPUTED_VALUE"""),"")</f>
        <v/>
      </c>
      <c r="F33" s="9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6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IFERROR(__xludf.DUMMYFUNCTION("""COMPUTED_VALUE"""),"SelectTrade")</f>
        <v>SelectTrade</v>
      </c>
      <c r="C399" t="str">
        <f>IFERROR(__xludf.DUMMYFUNCTION("""COMPUTED_VALUE"""),"1FTTZIzpIKJz6P-IPbrA5EPTxiMe2ARbyGfgsnMXlct4")</f>
        <v>1FTTZIzpIKJz6P-IPbrA5EPTxiMe2ARbyGfgsnMXlct4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IFERROR(__xludf.DUMMYFUNCTION("""COMPUTED_VALUE"""),"AcknowledgeTrade")</f>
        <v>AcknowledgeTrade</v>
      </c>
      <c r="C400" t="str">
        <f>IFERROR(__xludf.DUMMYFUNCTION("""COMPUTED_VALUE"""),"1sQAsvIkAT3oSRlv0P4ERgM6O-p9EGHnCNRCfZZ6EKPM")</f>
        <v>1sQAsvIkAT3oSRlv0P4ERgM6O-p9EGHnCNRCfZZ6EKPM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IFERROR(__xludf.DUMMYFUNCTION("""COMPUTED_VALUE"""),"RejectTrade")</f>
        <v>RejectTrade</v>
      </c>
      <c r="C401" t="str">
        <f>IFERROR(__xludf.DUMMYFUNCTION("""COMPUTED_VALUE"""),"18DR7gQzurIoB_fivnSt8QoqUWcLVRpZQSDr37UqoXKU")</f>
        <v>18DR7gQzurIoB_fivnSt8QoqUWcLVRpZQSDr37UqoXKU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IFERROR(__xludf.DUMMYFUNCTION("""COMPUTED_VALUE"""),"ExecuteTrade")</f>
        <v>ExecuteTrade</v>
      </c>
      <c r="C402" t="str">
        <f>IFERROR(__xludf.DUMMYFUNCTION("""COMPUTED_VALUE"""),"1pp_DAI1bHvMNnrEvw8O7TeJWebgUjt3FSsdgjVWeJkE")</f>
        <v>1pp_DAI1bHvMNnrEvw8O7TeJWebgUjt3FSsdgjVWeJkE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IFERROR(__xludf.DUMMYFUNCTION("""COMPUTED_VALUE"""),"CancelTrade")</f>
        <v>CancelTrade</v>
      </c>
      <c r="C403" t="str">
        <f>IFERROR(__xludf.DUMMYFUNCTION("""COMPUTED_VALUE"""),"1hX7-3j5InwEYhwGhZXePVHcW-9vxINkOET671xdWGsc")</f>
        <v>1hX7-3j5InwEYhwGhZXePVHcW-9vxINkOET671xdWGsc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IFERROR(__xludf.DUMMYFUNCTION("""COMPUTED_VALUE"""),"OpenLiveTT")</f>
        <v>OpenLiveTT</v>
      </c>
      <c r="C404" t="str">
        <f>IFERROR(__xludf.DUMMYFUNCTION("""COMPUTED_VALUE"""),"1q3BIdA-Gau2cX2cBnlgy7eas26rbuZEdQMfROhYvOgI")</f>
        <v>1q3BIdA-Gau2cX2cBnlgy7eas26rbuZEdQMfROhYvOgI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IFERROR(__xludf.DUMMYFUNCTION("""COMPUTED_VALUE"""),"TradingTicket")</f>
        <v>TradingTicket</v>
      </c>
      <c r="B405" t="str">
        <f>IFERROR(__xludf.DUMMYFUNCTION("""COMPUTED_VALUE"""),"CreateLiveOrder")</f>
        <v>CreateLiveOrder</v>
      </c>
      <c r="C405" t="str">
        <f>IFERROR(__xludf.DUMMYFUNCTION("""COMPUTED_VALUE"""),"115Bw2-ohdF1ilHcVpmgJ2DX9SJjX1zI-6SvF3CpCjm8")</f>
        <v>115Bw2-ohdF1ilHcVpmgJ2DX9SJjX1zI-6SvF3CpCjm8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IFERROR(__xludf.DUMMYFUNCTION("""COMPUTED_VALUE"""),"Simulator")</f>
        <v>Simulator</v>
      </c>
      <c r="B406" t="str">
        <f>IFERROR(__xludf.DUMMYFUNCTION("""COMPUTED_VALUE"""),"SetManualResponse ")</f>
        <v>SetManualResponse </v>
      </c>
      <c r="C406" t="str">
        <f>IFERROR(__xludf.DUMMYFUNCTION("""COMPUTED_VALUE"""),"10qeNhV85AQPMToOqHZlhzdXyNnDNjiueFxVwGUI_MO4")</f>
        <v>10qeNhV85AQPMToOqHZlhzdXyNnDNjiueFxVwGUI_MO4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IFERROR(__xludf.DUMMYFUNCTION("""COMPUTED_VALUE"""),"Simulator")</f>
        <v>Simulator</v>
      </c>
      <c r="B407" t="str">
        <f>IFERROR(__xludf.DUMMYFUNCTION("""COMPUTED_VALUE"""),"ClearUI")</f>
        <v>ClearUI</v>
      </c>
      <c r="C407" t="str">
        <f>IFERROR(__xludf.DUMMYFUNCTION("""COMPUTED_VALUE"""),"1LO0lVmw42vb8rN4FBdD2nZspNUXqgQCerd4ip5U8His")</f>
        <v>1LO0lVmw42vb8rN4FBdD2nZspNUXqgQCerd4ip5U8His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IFERROR(__xludf.DUMMYFUNCTION("""COMPUTED_VALUE"""),"RebalanceAcrossSecurities")</f>
        <v>RebalanceAcrossSecurities</v>
      </c>
      <c r="C408" t="str">
        <f>IFERROR(__xludf.DUMMYFUNCTION("""COMPUTED_VALUE"""),"1C-pSRr2mYlstlgFOXGSaoMyr-7ZKnUyCiCZMgNR75C0")</f>
        <v>1C-pSRr2mYlstlgFOXGSaoMyr-7ZKnUyCiCZMgNR75C0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IFERROR(__xludf.DUMMYFUNCTION("""COMPUTED_VALUE"""),"Rebalancer")</f>
        <v>Rebalancer</v>
      </c>
      <c r="B409" t="str">
        <f>IFERROR(__xludf.DUMMYFUNCTION("""COMPUTED_VALUE"""),"ClearCalculations")</f>
        <v>ClearCalculations</v>
      </c>
      <c r="C409" t="str">
        <f>IFERROR(__xludf.DUMMYFUNCTION("""COMPUTED_VALUE"""),"1pQy7yDMWL8pTAYmkyQd-37O6NjL8-HJsxUSDe_0vr3Y")</f>
        <v>1pQy7yDMWL8pTAYmkyQd-37O6NjL8-HJsxUSDe_0vr3Y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IFERROR(__xludf.DUMMYFUNCTION("""COMPUTED_VALUE"""),"Rebalancer")</f>
        <v>Rebalancer</v>
      </c>
      <c r="B410" t="str">
        <f>IFERROR(__xludf.DUMMYFUNCTION("""COMPUTED_VALUE"""),"ModifyRebalance")</f>
        <v>ModifyRebalance</v>
      </c>
      <c r="C410" t="str">
        <f>IFERROR(__xludf.DUMMYFUNCTION("""COMPUTED_VALUE"""),"1PL-GKbx6oOTs--yRdzkUeclt9Wvb6f5jt4XN1oEGIZk")</f>
        <v>1PL-GKbx6oOTs--yRdzkUeclt9Wvb6f5jt4XN1oEGIZk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2"/>
      <c r="C1" s="3"/>
    </row>
    <row r="2" ht="15.75" customHeight="1">
      <c r="A2" s="4"/>
      <c r="B2" s="4"/>
      <c r="C2" s="4"/>
    </row>
    <row r="3" ht="15.75" customHeight="1">
      <c r="A3" s="5" t="s">
        <v>1</v>
      </c>
      <c r="B3" s="6" t="s">
        <v>4</v>
      </c>
      <c r="C3" s="4"/>
    </row>
    <row r="4" ht="15.75" customHeight="1">
      <c r="A4" s="7" t="s">
        <v>5</v>
      </c>
      <c r="B4" s="6" t="s">
        <v>6</v>
      </c>
      <c r="C4" s="4"/>
    </row>
    <row r="5" ht="15.75" customHeight="1">
      <c r="A5" s="13"/>
      <c r="B5" s="4"/>
      <c r="C5" s="4"/>
    </row>
    <row r="6" ht="15.75" customHeight="1">
      <c r="A6" s="13"/>
      <c r="B6" s="4"/>
      <c r="C6" s="4"/>
    </row>
    <row r="7" ht="15.75" customHeight="1">
      <c r="A7" s="13"/>
      <c r="B7" s="4"/>
      <c r="C7" s="4"/>
    </row>
    <row r="8" ht="15.75" customHeight="1">
      <c r="A8" s="13"/>
      <c r="B8" s="4"/>
      <c r="C8" s="4"/>
    </row>
    <row r="9" ht="15.75" customHeight="1">
      <c r="A9" s="13"/>
      <c r="B9" s="4"/>
      <c r="C9" s="4"/>
    </row>
    <row r="10" ht="15.75" customHeight="1">
      <c r="A10" s="13"/>
      <c r="B10" s="4"/>
      <c r="C10" s="4"/>
    </row>
    <row r="11" ht="15.75" customHeight="1">
      <c r="A11" s="13"/>
      <c r="B11" s="4"/>
      <c r="C11" s="4"/>
    </row>
    <row r="12" ht="15.75" customHeight="1">
      <c r="A12" s="13"/>
      <c r="B12" s="4"/>
      <c r="C12" s="4"/>
    </row>
    <row r="13" ht="15.75" customHeight="1">
      <c r="A13" s="13"/>
      <c r="B13" s="4"/>
      <c r="C13" s="4"/>
    </row>
    <row r="14" ht="15.75" customHeight="1">
      <c r="A14" s="13"/>
      <c r="B14" s="4"/>
      <c r="C14" s="4"/>
    </row>
    <row r="15" ht="15.75" customHeight="1">
      <c r="A15" s="13"/>
      <c r="B15" s="4"/>
      <c r="C15" s="4"/>
    </row>
    <row r="16" ht="15.75" customHeight="1">
      <c r="A16" s="13"/>
      <c r="B16" s="4"/>
      <c r="C16" s="4"/>
    </row>
    <row r="17" ht="15.75" customHeight="1">
      <c r="A17" s="13"/>
      <c r="B17" s="4"/>
      <c r="C17" s="4"/>
    </row>
    <row r="18" ht="15.75" customHeight="1">
      <c r="A18" s="13"/>
      <c r="B18" s="4"/>
      <c r="C18" s="4"/>
    </row>
    <row r="19" ht="15.75" customHeight="1">
      <c r="A19" s="13"/>
      <c r="B19" s="4"/>
      <c r="C19" s="4"/>
    </row>
    <row r="20" ht="15.75" customHeight="1">
      <c r="A20" s="13"/>
      <c r="B20" s="4"/>
      <c r="C20" s="4"/>
    </row>
    <row r="21" ht="15.75" customHeight="1">
      <c r="A21" s="13"/>
      <c r="B21" s="4"/>
      <c r="C21" s="4"/>
    </row>
    <row r="22" ht="15.75" customHeight="1">
      <c r="A22" s="13"/>
      <c r="B22" s="4"/>
      <c r="C22" s="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0" t="s">
        <v>2</v>
      </c>
      <c r="B1" s="2"/>
      <c r="C1" s="2"/>
      <c r="D1" s="2"/>
      <c r="E1" s="2"/>
      <c r="F1" s="3"/>
    </row>
    <row r="2">
      <c r="A2" s="9"/>
      <c r="B2" s="9"/>
      <c r="C2" s="9"/>
      <c r="D2" s="9"/>
      <c r="E2" s="9"/>
      <c r="F2" s="9"/>
    </row>
    <row r="3">
      <c r="A3" s="7" t="s">
        <v>8</v>
      </c>
      <c r="B3" s="14" t="s">
        <v>9</v>
      </c>
      <c r="C3" s="14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8</v>
      </c>
      <c r="C3" s="21" t="s">
        <v>12</v>
      </c>
      <c r="D3" s="5" t="s">
        <v>9</v>
      </c>
      <c r="E3" s="21" t="s">
        <v>13</v>
      </c>
      <c r="F3" s="5" t="s">
        <v>14</v>
      </c>
      <c r="G3" s="13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From")</f>
        <v>Copy From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29">
        <f t="shared" ref="B6:C6" si="1">TODAY()-1</f>
        <v>43647</v>
      </c>
      <c r="C6" s="29">
        <f t="shared" si="1"/>
        <v>43647</v>
      </c>
      <c r="D6" s="6"/>
      <c r="E6" s="30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8</v>
      </c>
      <c r="C3" s="21" t="s">
        <v>12</v>
      </c>
      <c r="D3" s="5" t="s">
        <v>9</v>
      </c>
      <c r="E3" s="21" t="s">
        <v>16</v>
      </c>
      <c r="F3" s="5" t="s">
        <v>14</v>
      </c>
      <c r="G3" s="13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IFERROR(__xludf.DUMMYFUNCTION("""COMPUTED_VALUE"""),"Local Currency")</f>
        <v>Local Currency</v>
      </c>
      <c r="D5" s="26" t="str">
        <f>IFERROR(__xludf.DUMMYFUNCTION("""COMPUTED_VALUE"""),"Cash Value Local")</f>
        <v>Cash Value Local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31" t="s">
        <v>17</v>
      </c>
      <c r="C6" s="32" t="s">
        <v>18</v>
      </c>
      <c r="D6" s="33">
        <v>10000.0</v>
      </c>
      <c r="E6" s="30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34" t="s">
        <v>19</v>
      </c>
      <c r="C7" s="34" t="s">
        <v>18</v>
      </c>
      <c r="D7" s="35">
        <v>20000.0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1b5S4Xpp4fgZ1ez6cK92QFnVBylqz8jhwxdAyEvwDqUI</v>
      </c>
      <c r="K2" s="19"/>
      <c r="L2" s="4"/>
      <c r="M2" s="4"/>
      <c r="N2" s="4"/>
      <c r="O2" s="4"/>
    </row>
    <row r="3" ht="15.75" customHeight="1">
      <c r="A3" s="20"/>
      <c r="B3" s="5" t="s">
        <v>8</v>
      </c>
      <c r="C3" s="21" t="s">
        <v>20</v>
      </c>
      <c r="D3" s="5" t="s">
        <v>9</v>
      </c>
      <c r="E3" s="21" t="s">
        <v>21</v>
      </c>
      <c r="F3" s="5" t="s">
        <v>14</v>
      </c>
      <c r="G3" s="13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37" t="s">
        <v>22</v>
      </c>
      <c r="C6" s="32" t="s">
        <v>23</v>
      </c>
      <c r="D6" s="33">
        <v>100.0</v>
      </c>
      <c r="E6" s="38">
        <v>100.0</v>
      </c>
      <c r="F6" s="32" t="s">
        <v>17</v>
      </c>
      <c r="H6" s="4"/>
      <c r="I6" s="4"/>
      <c r="J6" s="39">
        <v>10.0</v>
      </c>
      <c r="K6" s="4"/>
      <c r="L6" s="4"/>
      <c r="M6" s="4"/>
      <c r="N6" s="4"/>
      <c r="O6" s="4"/>
    </row>
    <row r="7" ht="15.75" customHeight="1">
      <c r="A7" s="4"/>
      <c r="B7" s="6" t="s">
        <v>24</v>
      </c>
      <c r="C7" s="6" t="s">
        <v>25</v>
      </c>
      <c r="D7" s="6">
        <v>10.0</v>
      </c>
      <c r="E7" s="6">
        <v>10.0</v>
      </c>
      <c r="F7" s="6" t="s">
        <v>19</v>
      </c>
      <c r="G7" s="4"/>
      <c r="H7" s="4"/>
      <c r="I7" s="4"/>
      <c r="J7" s="6">
        <v>20.0</v>
      </c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8</v>
      </c>
      <c r="C3" s="21" t="s">
        <v>26</v>
      </c>
      <c r="D3" s="5" t="s">
        <v>9</v>
      </c>
      <c r="E3" s="21" t="s">
        <v>26</v>
      </c>
      <c r="F3" s="5" t="s">
        <v>14</v>
      </c>
      <c r="G3" s="13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IFERROR(__xludf.DUMMYFUNCTION("IF(C3="""","""",Transpose(IMPORTRANGE('_Settings'!$B$3,C3&amp;""!A4:A1000"")))"),"PricingInput")</f>
        <v>PricingInput</v>
      </c>
      <c r="C4" s="23" t="str">
        <f>IFERROR(__xludf.DUMMYFUNCTION("""COMPUTED_VALUE"""),"UpdateSharesOutstanding")</f>
        <v>UpdateSharesOutstanding</v>
      </c>
      <c r="D4" s="23" t="str">
        <f>IFERROR(__xludf.DUMMYFUNCTION("""COMPUTED_VALUE"""),"EODTPreferences")</f>
        <v>EODTPreferences</v>
      </c>
      <c r="E4" s="23" t="str">
        <f>IFERROR(__xludf.DUMMYFUNCTION("""COMPUTED_VALUE"""),"LiveData")</f>
        <v>LiveData</v>
      </c>
      <c r="F4" s="23" t="str">
        <f>IFERROR(__xludf.DUMMYFUNCTION("""COMPUTED_VALUE"""),"")</f>
        <v/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IFERROR(__xludf.DUMMYFUNCTION("""COMPUTED_VALUE"""),"User Px")</f>
        <v>User Px</v>
      </c>
      <c r="D5" s="26" t="str">
        <f>IFERROR(__xludf.DUMMYFUNCTION("""COMPUTED_VALUE"""),"Asset Class")</f>
        <v>Asset Class</v>
      </c>
      <c r="E5" s="26" t="str">
        <f>IFERROR(__xludf.DUMMYFUNCTION("""COMPUTED_VALUE"""),"Volatility(%)")</f>
        <v>Volatility(%)</v>
      </c>
      <c r="F5" s="27" t="str">
        <f>IFERROR(__xludf.DUMMYFUNCTION("""COMPUTED_VALUE"""),"Historical Volatility")</f>
        <v>Historical Volatility</v>
      </c>
      <c r="G5" s="26" t="str">
        <f>IFERROR(__xludf.DUMMYFUNCTION("""COMPUTED_VALUE"""),"User Volatility")</f>
        <v>User Volatility</v>
      </c>
      <c r="H5" s="26" t="str">
        <f>IFERROR(__xludf.DUMMYFUNCTION("""COMPUTED_VALUE"""),"Interest Rate")</f>
        <v>Interest Rate</v>
      </c>
      <c r="I5" s="26" t="str">
        <f>IFERROR(__xludf.DUMMYFUNCTION("""COMPUTED_VALUE"""),"User Interest Rate")</f>
        <v>User Interest Rate</v>
      </c>
      <c r="J5" s="26" t="str">
        <f>IFERROR(__xludf.DUMMYFUNCTION("""COMPUTED_VALUE"""),"Dividend Yield")</f>
        <v>Dividend Yield</v>
      </c>
      <c r="K5" s="26" t="str">
        <f>IFERROR(__xludf.DUMMYFUNCTION("""COMPUTED_VALUE"""),"User Dividend Yield")</f>
        <v>User Dividend Yield</v>
      </c>
      <c r="L5" s="26" t="str">
        <f>IFERROR(__xludf.DUMMYFUNCTION("""COMPUTED_VALUE"""),"Actual Delta")</f>
        <v>Actual Delta</v>
      </c>
      <c r="M5" s="26" t="str">
        <f>IFERROR(__xludf.DUMMYFUNCTION("""COMPUTED_VALUE"""),"User Delta")</f>
        <v>User Delta</v>
      </c>
      <c r="N5" s="26" t="str">
        <f>IFERROR(__xludf.DUMMYFUNCTION("""COMPUTED_VALUE"""),"Selected Px")</f>
        <v>Selected Px</v>
      </c>
      <c r="O5" s="26" t="str">
        <f>IFERROR(__xludf.DUMMYFUNCTION("""COMPUTED_VALUE"""),"Forward Points")</f>
        <v>Forward Points</v>
      </c>
      <c r="P5" s="26" t="str">
        <f>IFERROR(__xludf.DUMMYFUNCTION("""COMPUTED_VALUE"""),"Shares Outstanding")</f>
        <v>Shares Outstanding</v>
      </c>
      <c r="Q5" s="26" t="str">
        <f>IFERROR(__xludf.DUMMYFUNCTION("""COMPUTED_VALUE"""),"User Shares Outstanding")</f>
        <v>User Shares Outstanding</v>
      </c>
      <c r="R5" s="26" t="str">
        <f>IFERROR(__xludf.DUMMYFUNCTION("""COMPUTED_VALUE"""),"LastPriceUsed")</f>
        <v>LastPriceUsed</v>
      </c>
      <c r="S5" s="26" t="str">
        <f>IFERROR(__xludf.DUMMYFUNCTION("""COMPUTED_VALUE"""),"VolatilityUsed")</f>
        <v>VolatilityUsed</v>
      </c>
      <c r="T5" s="28" t="str">
        <f>IFERROR(__xludf.DUMMYFUNCTION("""COMPUTED_VALUE"""),"IntRateUsed")</f>
        <v>IntRateUsed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37" t="s">
        <v>22</v>
      </c>
      <c r="C6" s="39">
        <v>10.0</v>
      </c>
      <c r="D6" s="6"/>
      <c r="E6" s="30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6" t="s">
        <v>24</v>
      </c>
      <c r="C7" s="6">
        <v>20.0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8</v>
      </c>
      <c r="C3" s="21" t="s">
        <v>27</v>
      </c>
      <c r="D3" s="5" t="s">
        <v>9</v>
      </c>
      <c r="E3" s="21" t="s">
        <v>28</v>
      </c>
      <c r="F3" s="5" t="s">
        <v>14</v>
      </c>
      <c r="G3" s="13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IFERROR(__xludf.DUMMYFUNCTION("""COMPUTED_VALUE"""),"ModifyRebalance")</f>
        <v>ModifyRebalance</v>
      </c>
      <c r="H4" s="23" t="str">
        <f>IFERROR(__xludf.DUMMYFUNCTION("""COMPUTED_VALUE"""),"ClearCalculations")</f>
        <v>ClearCalculations</v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IFERROR(__xludf.DUMMYFUNCTION("""COMPUTED_VALUE"""),"Account/Groups")</f>
        <v>Account/Groups</v>
      </c>
      <c r="C5" s="26" t="str">
        <f>IFERROR(__xludf.DUMMYFUNCTION("""COMPUTED_VALUE"""),"Account Positions")</f>
        <v>Account Positions</v>
      </c>
      <c r="D5" s="26" t="str">
        <f>IFERROR(__xludf.DUMMYFUNCTION("""COMPUTED_VALUE"""),"Calculation Level")</f>
        <v>Calculation Level</v>
      </c>
      <c r="E5" s="26" t="str">
        <f>IFERROR(__xludf.DUMMYFUNCTION("""COMPUTED_VALUE"""),"Refresh")</f>
        <v>Refresh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37" t="s">
        <v>29</v>
      </c>
      <c r="C6" s="32" t="s">
        <v>30</v>
      </c>
      <c r="D6" s="37" t="s">
        <v>31</v>
      </c>
      <c r="E6" s="32" t="s">
        <v>32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8</v>
      </c>
      <c r="C3" s="21" t="s">
        <v>27</v>
      </c>
      <c r="D3" s="5" t="s">
        <v>9</v>
      </c>
      <c r="E3" s="21" t="s">
        <v>33</v>
      </c>
      <c r="F3" s="5" t="s">
        <v>14</v>
      </c>
      <c r="G3" s="13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IFERROR(__xludf.DUMMYFUNCTION("""COMPUTED_VALUE"""),"ModifyRebalance")</f>
        <v>ModifyRebalance</v>
      </c>
      <c r="H4" s="23" t="str">
        <f>IFERROR(__xludf.DUMMYFUNCTION("""COMPUTED_VALUE"""),"ClearCalculations")</f>
        <v>ClearCalculations</v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IFERROR(__xludf.DUMMYFUNCTION("""COMPUTED_VALUE"""),"Cash Flow(USD)")</f>
        <v>Cash Flow(USD)</v>
      </c>
      <c r="C5" s="26" t="str">
        <f>IFERROR(__xludf.DUMMYFUNCTION("""COMPUTED_VALUE"""),"Cash Flow Impact on NAV")</f>
        <v>Cash Flow Impact on NAV</v>
      </c>
      <c r="D5" s="26" t="str">
        <f>IFERROR(__xludf.DUMMYFUNCTION("""COMPUTED_VALUE"""),"Select Model")</f>
        <v>Select Model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>
        <v>10000.0</v>
      </c>
      <c r="C6" s="6" t="s">
        <v>34</v>
      </c>
      <c r="D6" s="6" t="s">
        <v>35</v>
      </c>
      <c r="E6" s="30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8</v>
      </c>
      <c r="C3" s="21" t="s">
        <v>27</v>
      </c>
      <c r="D3" s="5" t="s">
        <v>9</v>
      </c>
      <c r="E3" s="21" t="s">
        <v>36</v>
      </c>
      <c r="F3" s="5" t="s">
        <v>14</v>
      </c>
      <c r="G3" s="13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IFERROR(__xludf.DUMMYFUNCTION("""COMPUTED_VALUE"""),"ModifyRebalance")</f>
        <v>ModifyRebalance</v>
      </c>
      <c r="H4" s="23" t="str">
        <f>IFERROR(__xludf.DUMMYFUNCTION("""COMPUTED_VALUE"""),"ClearCalculations")</f>
        <v>ClearCalculations</v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IFERROR(__xludf.DUMMYFUNCTION("""COMPUTED_VALUE"""),"Rounding Type")</f>
        <v>Rounding Type</v>
      </c>
      <c r="C5" s="26" t="str">
        <f>IFERROR(__xludf.DUMMYFUNCTION("""COMPUTED_VALUE"""),"Rebalance")</f>
        <v>Rebalance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 t="s">
        <v>37</v>
      </c>
      <c r="C6" s="4"/>
      <c r="D6" s="6"/>
      <c r="E6" s="30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8</v>
      </c>
      <c r="C3" s="21" t="s">
        <v>27</v>
      </c>
      <c r="D3" s="5" t="s">
        <v>9</v>
      </c>
      <c r="E3" s="21" t="s">
        <v>38</v>
      </c>
      <c r="F3" s="5" t="s">
        <v>14</v>
      </c>
      <c r="G3" s="13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IFERROR(__xludf.DUMMYFUNCTION("""COMPUTED_VALUE"""),"ModifyRebalance")</f>
        <v>ModifyRebalance</v>
      </c>
      <c r="H4" s="23" t="str">
        <f>IFERROR(__xludf.DUMMYFUNCTION("""COMPUTED_VALUE"""),"ClearCalculations")</f>
        <v>ClearCalculations</v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IFERROR(__xludf.DUMMYFUNCTION("""COMPUTED_VALUE"""),"Lock/Unlock")</f>
        <v>Lock/Unlock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IFERROR(__xludf.DUMMYFUNCTION("""COMPUTED_VALUE"""),"Asset")</f>
        <v>Asset</v>
      </c>
      <c r="F5" s="27" t="str">
        <f>IFERROR(__xludf.DUMMYFUNCTION("""COMPUTED_VALUE"""),"Side")</f>
        <v>Side</v>
      </c>
      <c r="G5" s="26" t="str">
        <f>IFERROR(__xludf.DUMMYFUNCTION("""COMPUTED_VALUE"""),"Price (Local)")</f>
        <v>Price (Local)</v>
      </c>
      <c r="H5" s="26" t="str">
        <f>IFERROR(__xludf.DUMMYFUNCTION("""COMPUTED_VALUE"""),"Price")</f>
        <v>Price</v>
      </c>
      <c r="I5" s="26" t="str">
        <f>IFERROR(__xludf.DUMMYFUNCTION("""COMPUTED_VALUE"""),"FX Rate")</f>
        <v>FX Rate</v>
      </c>
      <c r="J5" s="26" t="str">
        <f>IFERROR(__xludf.DUMMYFUNCTION("""COMPUTED_VALUE"""),"Current %")</f>
        <v>Current %</v>
      </c>
      <c r="K5" s="26" t="str">
        <f>IFERROR(__xludf.DUMMYFUNCTION("""COMPUTED_VALUE"""),"Current Position")</f>
        <v>Current Position</v>
      </c>
      <c r="L5" s="26" t="str">
        <f>IFERROR(__xludf.DUMMYFUNCTION("""COMPUTED_VALUE"""),"Current Market Value (Local)")</f>
        <v>Current Market Value (Local)</v>
      </c>
      <c r="M5" s="26" t="str">
        <f>IFERROR(__xludf.DUMMYFUNCTION("""COMPUTED_VALUE"""),"Current Market Value")</f>
        <v>Current Market Value</v>
      </c>
      <c r="N5" s="26" t="str">
        <f>IFERROR(__xludf.DUMMYFUNCTION("""COMPUTED_VALUE"""),"Target %")</f>
        <v>Target %</v>
      </c>
      <c r="O5" s="26" t="str">
        <f>IFERROR(__xludf.DUMMYFUNCTION("""COMPUTED_VALUE"""),"Target Position")</f>
        <v>Target Position</v>
      </c>
      <c r="P5" s="26" t="str">
        <f>IFERROR(__xludf.DUMMYFUNCTION("""COMPUTED_VALUE"""),"Target Market Value (Local)")</f>
        <v>Target Market Value (Local)</v>
      </c>
      <c r="Q5" s="26" t="str">
        <f>IFERROR(__xludf.DUMMYFUNCTION("""COMPUTED_VALUE"""),"Target Market Value")</f>
        <v>Target Market Value</v>
      </c>
      <c r="R5" s="26" t="str">
        <f>IFERROR(__xludf.DUMMYFUNCTION("""COMPUTED_VALUE"""),"Buy/Sell Qty")</f>
        <v>Buy/Sell Qty</v>
      </c>
      <c r="S5" s="26" t="str">
        <f>IFERROR(__xludf.DUMMYFUNCTION("""COMPUTED_VALUE"""),"Buy/Sell Value")</f>
        <v>Buy/Sell Value</v>
      </c>
      <c r="T5" s="28" t="str">
        <f>IFERROR(__xludf.DUMMYFUNCTION("""COMPUTED_VALUE"""),"Sector")</f>
        <v>Sector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/>
      <c r="C6" s="6" t="s">
        <v>17</v>
      </c>
      <c r="D6" s="6" t="s">
        <v>22</v>
      </c>
      <c r="E6" s="30"/>
      <c r="F6" s="4"/>
      <c r="G6" s="6">
        <v>10.0</v>
      </c>
      <c r="H6" s="4"/>
      <c r="I6" s="4"/>
      <c r="J6" s="40"/>
      <c r="K6" s="6">
        <v>100.0</v>
      </c>
      <c r="L6" s="4"/>
      <c r="M6" s="4"/>
      <c r="N6" s="6">
        <v>9.98</v>
      </c>
      <c r="O6" s="6">
        <v>133.0</v>
      </c>
      <c r="R6" s="36">
        <v>33.0</v>
      </c>
      <c r="S6" s="36">
        <v>330.0</v>
      </c>
    </row>
    <row r="7" ht="15.75" customHeight="1">
      <c r="A7" s="4"/>
      <c r="B7" s="4"/>
      <c r="C7" s="6" t="s">
        <v>19</v>
      </c>
      <c r="D7" s="6" t="s">
        <v>24</v>
      </c>
      <c r="E7" s="4"/>
      <c r="F7" s="4"/>
      <c r="G7" s="6">
        <v>20.0</v>
      </c>
      <c r="H7" s="4"/>
      <c r="I7" s="4"/>
      <c r="J7" s="40"/>
      <c r="K7" s="6">
        <v>10.0</v>
      </c>
      <c r="L7" s="4"/>
      <c r="M7" s="4"/>
      <c r="N7" s="6">
        <v>-1.05</v>
      </c>
      <c r="O7" s="6">
        <v>14.0</v>
      </c>
      <c r="R7" s="36">
        <v>4.0</v>
      </c>
      <c r="S7" s="36">
        <v>-80.0</v>
      </c>
    </row>
    <row r="8" ht="15.75" customHeight="1">
      <c r="A8" s="4"/>
      <c r="B8" s="4"/>
      <c r="C8" s="6" t="s">
        <v>17</v>
      </c>
      <c r="D8" s="6" t="s">
        <v>39</v>
      </c>
      <c r="E8" s="4"/>
      <c r="F8" s="4"/>
      <c r="G8" s="6">
        <v>1.0</v>
      </c>
      <c r="H8" s="4"/>
      <c r="I8" s="4"/>
      <c r="J8" s="4"/>
      <c r="K8" s="4"/>
      <c r="L8" s="4"/>
      <c r="M8" s="4"/>
      <c r="N8" s="4"/>
      <c r="O8" s="6">
        <v>0.0</v>
      </c>
      <c r="R8" s="36">
        <v>0.0</v>
      </c>
      <c r="S8" s="36">
        <v>0.0</v>
      </c>
    </row>
    <row r="9" ht="15.75" customHeight="1">
      <c r="A9" s="4"/>
      <c r="B9" s="4"/>
      <c r="C9" s="6" t="s">
        <v>19</v>
      </c>
      <c r="D9" s="6" t="s">
        <v>39</v>
      </c>
      <c r="E9" s="4"/>
      <c r="F9" s="4"/>
      <c r="G9" s="6">
        <v>1.0</v>
      </c>
      <c r="H9" s="4"/>
      <c r="I9" s="4"/>
      <c r="J9" s="4"/>
      <c r="K9" s="4"/>
      <c r="L9" s="4"/>
      <c r="M9" s="4"/>
      <c r="N9" s="4"/>
      <c r="O9" s="6">
        <v>0.0</v>
      </c>
      <c r="R9" s="36">
        <v>0.0</v>
      </c>
      <c r="S9" s="36">
        <v>0.0</v>
      </c>
    </row>
    <row r="10" ht="15.75" customHeight="1">
      <c r="A10" s="4"/>
      <c r="B10" s="4"/>
      <c r="C10" s="6" t="s">
        <v>17</v>
      </c>
      <c r="D10" s="6" t="s">
        <v>40</v>
      </c>
      <c r="E10" s="4"/>
      <c r="F10" s="4"/>
      <c r="G10" s="6">
        <v>1.0</v>
      </c>
      <c r="H10" s="4"/>
      <c r="I10" s="4"/>
      <c r="J10" s="40"/>
      <c r="K10" s="6">
        <v>9000.0</v>
      </c>
      <c r="L10" s="4"/>
      <c r="M10" s="4"/>
      <c r="N10" s="6">
        <v>90.03</v>
      </c>
      <c r="O10" s="6">
        <v>12003.0</v>
      </c>
      <c r="R10" s="36">
        <v>3003.0</v>
      </c>
      <c r="S10" s="41">
        <v>3003.0</v>
      </c>
    </row>
    <row r="11" ht="15.75" customHeight="1">
      <c r="A11" s="4"/>
      <c r="B11" s="4"/>
      <c r="C11" s="6" t="s">
        <v>19</v>
      </c>
      <c r="D11" s="6" t="s">
        <v>40</v>
      </c>
      <c r="E11" s="4"/>
      <c r="F11" s="4"/>
      <c r="G11" s="6">
        <v>1.0</v>
      </c>
      <c r="H11" s="4"/>
      <c r="I11" s="4"/>
      <c r="J11" s="40"/>
      <c r="K11" s="6">
        <v>20200.0</v>
      </c>
      <c r="L11" s="4"/>
      <c r="M11" s="4"/>
      <c r="N11" s="6">
        <v>101.05</v>
      </c>
      <c r="O11" s="6">
        <v>26946.0</v>
      </c>
      <c r="R11" s="36">
        <v>6746.0</v>
      </c>
      <c r="S11" s="41">
        <v>6746.0</v>
      </c>
    </row>
    <row r="12" ht="15.75" customHeight="1">
      <c r="A12" s="4"/>
      <c r="B12" s="4"/>
      <c r="C12" s="6" t="s">
        <v>41</v>
      </c>
      <c r="D12" s="6" t="s">
        <v>41</v>
      </c>
      <c r="E12" s="4"/>
      <c r="F12" s="4"/>
      <c r="G12" s="6"/>
      <c r="H12" s="4"/>
      <c r="I12" s="4"/>
      <c r="J12" s="40"/>
      <c r="K12" s="6"/>
      <c r="L12" s="4"/>
      <c r="M12" s="4"/>
      <c r="N12" s="40"/>
      <c r="O12" s="4"/>
      <c r="S12" s="36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8</v>
      </c>
      <c r="C3" s="21" t="s">
        <v>27</v>
      </c>
      <c r="D3" s="5" t="s">
        <v>9</v>
      </c>
      <c r="E3" s="21" t="s">
        <v>42</v>
      </c>
      <c r="F3" s="5" t="s">
        <v>14</v>
      </c>
      <c r="G3" s="13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IFERROR(__xludf.DUMMYFUNCTION("""COMPUTED_VALUE"""),"ModifyRebalance")</f>
        <v>ModifyRebalance</v>
      </c>
      <c r="H4" s="23" t="str">
        <f>IFERROR(__xludf.DUMMYFUNCTION("""COMPUTED_VALUE"""),"ClearCalculations")</f>
        <v>ClearCalculations</v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IFERROR(__xludf.DUMMYFUNCTION("""COMPUTED_VALUE"""),"Modify Rebalance")</f>
        <v>Modify Rebalance</v>
      </c>
      <c r="C5" s="26" t="str">
        <f>IFERROR(__xludf.DUMMYFUNCTION("""COMPUTED_VALUE"""),"")</f>
        <v/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 t="s">
        <v>43</v>
      </c>
      <c r="C6" s="4"/>
      <c r="D6" s="6"/>
      <c r="E6" s="30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