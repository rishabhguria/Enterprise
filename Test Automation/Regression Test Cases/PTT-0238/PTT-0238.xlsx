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CreateDoneAwayOrder" sheetId="6" r:id="rId8"/>
    <sheet state="visible" name="PricingInput" sheetId="7" r:id="rId9"/>
    <sheet state="visible" name="ValidateSymbolTT" sheetId="8" r:id="rId10"/>
    <sheet state="visible" name="TradePTT" sheetId="9" r:id="rId11"/>
    <sheet state="visible" name="CreateLiveOrder" sheetId="10" r:id="rId12"/>
    <sheet state="visible" name="SelectTrade" sheetId="11" r:id="rId13"/>
    <sheet state="visible" name="AcknowledgeTrade" sheetId="12" r:id="rId14"/>
    <sheet state="visible" name="ExecuteTrade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<sst xmlns="http://schemas.openxmlformats.org/spreadsheetml/2006/main" count="422" uniqueCount="72">
  <si>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</si>
  <si>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</si>
  <si>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</si>
  <si>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</si>
  <si>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</si>
  <si>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</si>
  <si>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</si>
  <si>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</si>
  <si>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</si>
  <si>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</si>
  <si>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</si>
  <si>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</si>
  <si>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</si>
  <si>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</si>
  <si>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</si>
  <si>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</si>
  <si>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</si>
  <si>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</si>
  <si>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</si>
  <si>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</si>
  <si>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</si>
  <si>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</si>
  <si>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</si>
  <si>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</si>
  <si>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PricingInput</t>
  </si>
  <si>
    <t>ValidateSymbolTT</t>
  </si>
  <si>
    <t>PTT</t>
  </si>
  <si>
    <t>TradePTT</t>
  </si>
  <si>
    <t>Allocation1,Allocation3</t>
  </si>
  <si>
    <t>CreateLiveOrder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</si>
  <si>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</si>
  <si>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</si>
  <si>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</si>
  <si>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</si>
  <si>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</si>
  <si>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</si>
  <si>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</si>
  <si>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Multiple</t>
  </si>
  <si>
    <t>Actual_365</t>
  </si>
  <si>
    <t>Equity</t>
  </si>
  <si>
    <t>AAPL US EQUITY</t>
  </si>
  <si>
    <t>Treasury</t>
  </si>
  <si>
    <t>MS</t>
  </si>
  <si>
    <t>Open</t>
  </si>
  <si>
    <t>APPLE</t>
  </si>
  <si>
    <t>NASDAQ</t>
  </si>
  <si>
    <t>M</t>
  </si>
  <si>
    <t>None</t>
  </si>
  <si>
    <t>Market</t>
  </si>
  <si>
    <t>InternalOrder</t>
  </si>
  <si>
    <t>Strategy Unallocated</t>
  </si>
  <si>
    <t>GCCAP1</t>
  </si>
  <si>
    <t>US</t>
  </si>
  <si>
    <t>jpearce</t>
  </si>
  <si>
    <t>NONE</t>
  </si>
  <si>
    <t>NewMF</t>
  </si>
  <si>
    <t>PortfolioManagement</t>
  </si>
  <si>
    <t>CheckPortfolioManagement</t>
  </si>
  <si>
    <t>Long</t>
  </si>
  <si>
    <t>Undefined</t>
  </si>
  <si>
    <t>FIMAT</t>
  </si>
  <si>
    <t>BrokerNotes</t>
  </si>
  <si>
    <t>DefaultNotes</t>
  </si>
  <si>
    <t>New Hedge</t>
  </si>
  <si>
    <t>Small Cap</t>
  </si>
  <si>
    <t>User Defined</t>
  </si>
  <si>
    <t>Default</t>
  </si>
  <si>
    <t>test1</t>
  </si>
  <si>
    <t>india</t>
  </si>
  <si>
    <t>test 1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</si>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</sst>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5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2" xfId="0" applyAlignment="1" applyFont="1" applyNumberFormat="1">
      <alignment readingOrder="0"/>
    </xf>
    <xf borderId="0" fillId="0" fontId="2" numFmtId="165" xfId="0" applyFont="1" applyNumberFormat="1"/>
    <xf borderId="0" fillId="6" fontId="16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 t="shared" ref="B6:C6" si="1">TODAY()-1</f>
        <v>45295</v>
      </c>
      <c r="C6" s="32">
        <f t="shared" si="1"/>
        <v>45295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17</v>
      </c>
      <c r="C6" s="35" t="s">
        <v>18</v>
      </c>
      <c r="D6" s="36">
        <v>10000.0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7" t="s">
        <v>19</v>
      </c>
      <c r="C7" s="35" t="s">
        <v>18</v>
      </c>
      <c r="D7" s="38">
        <v>10000.0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5" t="s">
        <v>23</v>
      </c>
      <c r="D6" s="36">
        <v>10.0</v>
      </c>
      <c r="E6" s="33"/>
      <c r="F6" s="33"/>
      <c r="G6" s="33"/>
      <c r="H6" s="33"/>
      <c r="I6" s="33"/>
      <c r="J6" s="38">
        <v>1.0</v>
      </c>
      <c r="K6" s="33"/>
      <c r="L6" s="33"/>
      <c r="M6" s="33"/>
      <c r="N6" s="32">
        <f>TODAY()-1</f>
        <v>45295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8">
        <v>10.0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ValidateSymbolTT!$4:$4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 t="str">
        <f>IFERROR(__xludf.DUMMYFUNCTION("""COMPUTED_VALUE"""),"Use Custodian Broker")</f>
        <v>Use Custodian Broker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/>
      <c r="D6" s="31"/>
      <c r="E6" s="36">
        <v>10.0</v>
      </c>
      <c r="F6" s="33"/>
      <c r="G6" s="33"/>
      <c r="H6" s="33"/>
      <c r="I6" s="40" t="s">
        <v>28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22</v>
      </c>
      <c r="C6" s="33"/>
      <c r="D6" s="31"/>
      <c r="E6" s="33"/>
      <c r="F6" s="33"/>
      <c r="G6" s="33"/>
      <c r="H6" s="33"/>
      <c r="I6" s="33"/>
      <c r="J6" s="38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1" t="s">
        <v>36</v>
      </c>
      <c r="B6" s="34" t="s">
        <v>37</v>
      </c>
      <c r="C6" s="35" t="s">
        <v>38</v>
      </c>
      <c r="D6" s="36">
        <v>0.0</v>
      </c>
      <c r="E6" s="36">
        <v>100.0</v>
      </c>
      <c r="F6" s="41"/>
      <c r="G6" s="35" t="s">
        <v>39</v>
      </c>
      <c r="H6" s="38">
        <v>4.0</v>
      </c>
      <c r="I6" s="38">
        <v>5.0</v>
      </c>
      <c r="J6" s="38">
        <v>1.0</v>
      </c>
      <c r="K6" s="38">
        <v>10.0</v>
      </c>
      <c r="L6" s="38">
        <v>10.0</v>
      </c>
      <c r="M6" s="35" t="s">
        <v>40</v>
      </c>
      <c r="N6" s="35" t="s">
        <v>41</v>
      </c>
      <c r="O6" s="35" t="s">
        <v>42</v>
      </c>
      <c r="P6" s="33"/>
      <c r="Q6" s="42">
        <v>3.0</v>
      </c>
      <c r="R6" s="42">
        <v>0.0</v>
      </c>
      <c r="S6" s="33" t="s">
        <v>43</v>
      </c>
      <c r="T6" s="42">
        <v>0.0</v>
      </c>
      <c r="U6" s="42">
        <v>0.0</v>
      </c>
      <c r="V6" s="33" t="s">
        <v>44</v>
      </c>
      <c r="W6" s="42">
        <v>1.0</v>
      </c>
      <c r="X6" s="42">
        <v>0.0</v>
      </c>
      <c r="Y6" s="33" t="s">
        <v>36</v>
      </c>
      <c r="Z6" s="33" t="s">
        <v>18</v>
      </c>
      <c r="AA6" s="33" t="s">
        <v>22</v>
      </c>
      <c r="AB6" s="42">
        <v>1.0</v>
      </c>
      <c r="AC6" s="33"/>
      <c r="AD6" s="33" t="s">
        <v>45</v>
      </c>
      <c r="AE6" s="43">
        <v>100.0</v>
      </c>
      <c r="AF6" s="33" t="s">
        <v>36</v>
      </c>
      <c r="AG6" s="33"/>
      <c r="AH6" s="33" t="s">
        <v>46</v>
      </c>
      <c r="AI6" s="42">
        <v>1.0</v>
      </c>
      <c r="AJ6" s="33" t="s">
        <v>47</v>
      </c>
      <c r="AK6" s="33"/>
      <c r="AL6" s="33"/>
      <c r="AM6" s="33"/>
      <c r="AN6" s="44" t="b">
        <v>0</v>
      </c>
      <c r="AO6" s="33"/>
      <c r="AP6" s="44" t="b">
        <v>0</v>
      </c>
      <c r="AQ6" s="44" t="b">
        <v>0</v>
      </c>
      <c r="AR6" s="44" t="b">
        <v>1</v>
      </c>
      <c r="AS6" s="42">
        <v>0.0</v>
      </c>
      <c r="AT6" s="45">
        <v>1014.0006</v>
      </c>
      <c r="AU6" s="45">
        <v>1014.0006</v>
      </c>
      <c r="AV6" s="33"/>
      <c r="AW6" s="42">
        <v>0.0</v>
      </c>
      <c r="AX6" s="42">
        <v>0.0</v>
      </c>
      <c r="AY6" s="33" t="s">
        <v>48</v>
      </c>
      <c r="AZ6" s="42">
        <v>0.0</v>
      </c>
      <c r="BA6" s="33"/>
      <c r="BB6" s="33"/>
      <c r="BC6" s="42">
        <v>0.0</v>
      </c>
      <c r="BD6" s="33" t="s">
        <v>49</v>
      </c>
      <c r="BE6" s="43">
        <v>1000.0</v>
      </c>
      <c r="BF6" s="43">
        <v>1000.0</v>
      </c>
      <c r="BG6" s="33"/>
      <c r="BH6" s="33"/>
      <c r="BI6" s="33"/>
      <c r="BJ6" s="43">
        <v>201.0</v>
      </c>
      <c r="BK6" s="42">
        <v>0.0</v>
      </c>
      <c r="BL6" s="33" t="s">
        <v>36</v>
      </c>
      <c r="BM6" s="33" t="s">
        <v>18</v>
      </c>
      <c r="BN6" s="33"/>
      <c r="BO6" s="33" t="s">
        <v>23</v>
      </c>
      <c r="BP6" s="42">
        <v>0.0</v>
      </c>
      <c r="BQ6" s="46">
        <v>0.0</v>
      </c>
      <c r="BR6" s="45">
        <v>6.0E-4</v>
      </c>
      <c r="BS6" s="33" t="s">
        <v>50</v>
      </c>
      <c r="BT6" s="33" t="s">
        <v>22</v>
      </c>
      <c r="BU6" s="42">
        <v>3.0</v>
      </c>
      <c r="BV6" s="42">
        <v>0.0</v>
      </c>
      <c r="BW6" s="45">
        <v>14.0006</v>
      </c>
      <c r="BX6" s="46">
        <v>0.0</v>
      </c>
      <c r="BY6" s="33"/>
      <c r="BZ6" s="33"/>
      <c r="CA6" s="33"/>
      <c r="CB6" s="33"/>
      <c r="CC6" s="33"/>
      <c r="CD6" s="33"/>
      <c r="CE6" s="33"/>
      <c r="CF6" s="33" t="s">
        <v>51</v>
      </c>
      <c r="CG6" s="42">
        <v>2.0</v>
      </c>
      <c r="CH6" s="9" t="s">
        <v>20</v>
      </c>
      <c r="CI6" s="33" t="s">
        <v>23</v>
      </c>
      <c r="CJ6" s="42">
        <v>0.0</v>
      </c>
      <c r="CK6" s="33" t="s">
        <v>52</v>
      </c>
      <c r="CL6" s="42">
        <v>1.0</v>
      </c>
      <c r="CM6" s="33" t="s">
        <v>22</v>
      </c>
      <c r="CN6" s="33" t="s">
        <v>53</v>
      </c>
      <c r="CO6" s="33" t="s">
        <v>45</v>
      </c>
      <c r="CP6" s="33" t="s">
        <v>54</v>
      </c>
      <c r="CQ6" s="33"/>
      <c r="CR6" s="33"/>
      <c r="CS6" s="33" t="s">
        <v>36</v>
      </c>
      <c r="CT6" s="33"/>
      <c r="CU6" s="33"/>
      <c r="CV6" s="33"/>
      <c r="CW6" s="42"/>
      <c r="CX6" s="33" t="s">
        <v>55</v>
      </c>
      <c r="CY6" s="47"/>
      <c r="CZ6" s="33" t="s">
        <v>36</v>
      </c>
      <c r="DA6" s="33" t="s">
        <v>36</v>
      </c>
      <c r="DB6" s="33" t="s">
        <v>36</v>
      </c>
      <c r="DC6" s="33" t="s">
        <v>36</v>
      </c>
      <c r="DD6" s="33" t="s">
        <v>36</v>
      </c>
      <c r="DE6" s="33" t="s">
        <v>36</v>
      </c>
      <c r="DF6" s="33" t="s">
        <v>36</v>
      </c>
      <c r="DG6" s="33" t="s">
        <v>36</v>
      </c>
      <c r="DH6" s="33" t="s">
        <v>36</v>
      </c>
      <c r="DI6" s="33" t="s">
        <v>36</v>
      </c>
      <c r="DJ6" s="33" t="s">
        <v>36</v>
      </c>
      <c r="DK6" s="33" t="s">
        <v>36</v>
      </c>
      <c r="DL6" s="33" t="s">
        <v>36</v>
      </c>
      <c r="DM6" s="33" t="s">
        <v>36</v>
      </c>
      <c r="DN6" s="33" t="s">
        <v>36</v>
      </c>
      <c r="DO6" s="33" t="s">
        <v>36</v>
      </c>
      <c r="DP6" s="33" t="s">
        <v>36</v>
      </c>
      <c r="DQ6" s="33" t="s">
        <v>36</v>
      </c>
      <c r="DR6" s="33" t="s">
        <v>36</v>
      </c>
      <c r="DS6" s="33" t="s">
        <v>36</v>
      </c>
      <c r="DT6" s="33" t="s">
        <v>36</v>
      </c>
      <c r="DU6" s="33" t="s">
        <v>36</v>
      </c>
      <c r="DV6" s="33" t="s">
        <v>36</v>
      </c>
      <c r="DW6" s="33" t="s">
        <v>36</v>
      </c>
      <c r="DX6" s="33" t="s">
        <v>36</v>
      </c>
      <c r="DY6" s="33" t="s">
        <v>36</v>
      </c>
      <c r="DZ6" s="33" t="s">
        <v>36</v>
      </c>
      <c r="EA6" s="33" t="s">
        <v>36</v>
      </c>
      <c r="EB6" s="33" t="s">
        <v>36</v>
      </c>
      <c r="EC6" s="33" t="s">
        <v>36</v>
      </c>
      <c r="ED6" s="33" t="s">
        <v>36</v>
      </c>
      <c r="EE6" s="33" t="s">
        <v>36</v>
      </c>
      <c r="EF6" s="33" t="s">
        <v>36</v>
      </c>
      <c r="EG6" s="33" t="s">
        <v>36</v>
      </c>
      <c r="EH6" s="33" t="s">
        <v>36</v>
      </c>
      <c r="EI6" s="33" t="s">
        <v>36</v>
      </c>
      <c r="EJ6" s="33" t="s">
        <v>36</v>
      </c>
      <c r="EK6" s="33" t="s">
        <v>36</v>
      </c>
      <c r="EL6" s="33" t="s">
        <v>36</v>
      </c>
      <c r="EM6" s="33" t="s">
        <v>36</v>
      </c>
      <c r="EN6" s="33" t="s">
        <v>36</v>
      </c>
      <c r="EO6" s="33" t="s">
        <v>36</v>
      </c>
      <c r="EP6" s="33" t="s">
        <v>36</v>
      </c>
      <c r="EQ6" s="33" t="s">
        <v>36</v>
      </c>
      <c r="ER6" s="33" t="s">
        <v>36</v>
      </c>
      <c r="ES6" s="33" t="s">
        <v>36</v>
      </c>
      <c r="ET6" s="33" t="s">
        <v>36</v>
      </c>
      <c r="EU6" s="33" t="s">
        <v>36</v>
      </c>
      <c r="EV6" s="33" t="s">
        <v>36</v>
      </c>
      <c r="EW6" s="33" t="s">
        <v>36</v>
      </c>
      <c r="EX6" s="33" t="s">
        <v>36</v>
      </c>
      <c r="EY6" s="33" t="s">
        <v>36</v>
      </c>
      <c r="EZ6" s="33" t="s">
        <v>36</v>
      </c>
      <c r="FA6" s="33" t="s">
        <v>36</v>
      </c>
      <c r="FB6" s="33" t="s">
        <v>36</v>
      </c>
      <c r="FC6" s="33" t="s">
        <v>36</v>
      </c>
      <c r="FD6" s="33" t="s">
        <v>36</v>
      </c>
      <c r="FE6" s="33" t="s">
        <v>36</v>
      </c>
      <c r="FF6" s="33" t="s">
        <v>36</v>
      </c>
      <c r="FG6" s="33" t="s">
        <v>36</v>
      </c>
      <c r="FH6" s="33" t="s">
        <v>36</v>
      </c>
      <c r="FI6" s="33" t="s">
        <v>36</v>
      </c>
      <c r="FJ6" s="33" t="s">
        <v>36</v>
      </c>
      <c r="FK6" s="33" t="s">
        <v>36</v>
      </c>
      <c r="FL6" s="33" t="s">
        <v>36</v>
      </c>
      <c r="FM6" s="33" t="s">
        <v>36</v>
      </c>
      <c r="FN6" s="33" t="s">
        <v>36</v>
      </c>
      <c r="FO6" s="33" t="s">
        <v>36</v>
      </c>
      <c r="FP6" s="33" t="s">
        <v>36</v>
      </c>
      <c r="FQ6" s="33" t="s">
        <v>36</v>
      </c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  <c r="II6" s="48"/>
      <c r="IJ6" s="48"/>
      <c r="IK6" s="48"/>
      <c r="IL6" s="48"/>
      <c r="IM6" s="48"/>
      <c r="IN6" s="48"/>
      <c r="IO6" s="48"/>
      <c r="IP6" s="48"/>
      <c r="IQ6" s="48"/>
      <c r="IR6" s="48"/>
      <c r="IS6" s="48"/>
      <c r="IT6" s="48"/>
      <c r="IU6" s="48"/>
      <c r="IV6" s="48"/>
      <c r="IW6" s="48"/>
      <c r="IX6" s="48"/>
      <c r="IY6" s="48"/>
      <c r="IZ6" s="48"/>
      <c r="JA6" s="48"/>
      <c r="JB6" s="48"/>
      <c r="JC6" s="48"/>
      <c r="JD6" s="48"/>
      <c r="JE6" s="48"/>
      <c r="JF6" s="48"/>
      <c r="JG6" s="48"/>
      <c r="JH6" s="48"/>
      <c r="JI6" s="48"/>
      <c r="JJ6" s="48"/>
      <c r="JK6" s="48"/>
      <c r="JL6" s="48"/>
      <c r="JM6" s="48"/>
      <c r="JN6" s="48"/>
      <c r="JO6" s="48"/>
      <c r="JP6" s="48"/>
      <c r="JQ6" s="48"/>
      <c r="JR6" s="48"/>
      <c r="JS6" s="48"/>
      <c r="JT6" s="48"/>
      <c r="JU6" s="48"/>
      <c r="JV6" s="48"/>
      <c r="JW6" s="48"/>
      <c r="JX6" s="48"/>
      <c r="JY6" s="48"/>
      <c r="JZ6" s="48"/>
      <c r="KA6" s="48"/>
      <c r="KB6" s="48"/>
      <c r="KC6" s="48"/>
      <c r="KD6" s="48"/>
      <c r="KE6" s="48"/>
      <c r="KF6" s="48"/>
      <c r="KG6" s="48"/>
      <c r="KH6" s="48"/>
      <c r="KI6" s="48"/>
      <c r="KJ6" s="48"/>
      <c r="KK6" s="48"/>
      <c r="KL6" s="48"/>
      <c r="KM6" s="48"/>
      <c r="KN6" s="48"/>
      <c r="KO6" s="48"/>
      <c r="KP6" s="48"/>
      <c r="KQ6" s="48"/>
      <c r="KR6" s="48"/>
      <c r="KS6" s="48"/>
      <c r="KT6" s="48"/>
      <c r="KU6" s="48"/>
      <c r="KV6" s="48"/>
      <c r="KW6" s="48"/>
      <c r="KX6" s="48"/>
      <c r="KY6" s="48"/>
      <c r="KZ6" s="48"/>
      <c r="LA6" s="48"/>
      <c r="LB6" s="48"/>
      <c r="LC6" s="48"/>
      <c r="LD6" s="48"/>
      <c r="LE6" s="48"/>
      <c r="LF6" s="48"/>
      <c r="LG6" s="48"/>
      <c r="LH6" s="48"/>
      <c r="LI6" s="48"/>
      <c r="LJ6" s="48"/>
      <c r="LK6" s="48"/>
      <c r="LL6" s="48"/>
      <c r="LM6" s="48"/>
      <c r="LN6" s="48"/>
      <c r="LO6" s="48"/>
      <c r="LP6" s="48"/>
      <c r="LQ6" s="48"/>
      <c r="LR6" s="48"/>
      <c r="LS6" s="48"/>
      <c r="LT6" s="48"/>
      <c r="LU6" s="48"/>
      <c r="LV6" s="48"/>
      <c r="LW6" s="48"/>
      <c r="LX6" s="48"/>
      <c r="LY6" s="48"/>
      <c r="LZ6" s="48"/>
      <c r="MA6" s="48"/>
      <c r="MB6" s="48"/>
      <c r="MC6" s="48"/>
      <c r="MD6" s="48"/>
      <c r="ME6" s="48"/>
      <c r="MF6" s="48"/>
      <c r="MG6" s="48"/>
      <c r="MH6" s="48"/>
      <c r="MI6" s="48"/>
      <c r="MJ6" s="48"/>
      <c r="MK6" s="48"/>
      <c r="ML6" s="48"/>
      <c r="MM6" s="48"/>
      <c r="MN6" s="48"/>
      <c r="MO6" s="48"/>
      <c r="MP6" s="48"/>
      <c r="MQ6" s="48"/>
      <c r="MR6" s="48"/>
      <c r="MS6" s="48"/>
      <c r="MT6" s="48"/>
      <c r="MU6" s="48"/>
      <c r="MV6" s="48"/>
      <c r="MW6" s="48"/>
      <c r="MX6" s="48"/>
      <c r="MY6" s="48"/>
      <c r="MZ6" s="48"/>
      <c r="NA6" s="48"/>
      <c r="NB6" s="48"/>
      <c r="NC6" s="48"/>
      <c r="ND6" s="48"/>
      <c r="NE6" s="48"/>
      <c r="NF6" s="48"/>
      <c r="NG6" s="48"/>
      <c r="NH6" s="48"/>
      <c r="NI6" s="48"/>
      <c r="NJ6" s="48"/>
      <c r="NK6" s="48"/>
      <c r="NL6" s="48"/>
      <c r="NM6" s="48"/>
      <c r="NN6" s="48"/>
      <c r="NO6" s="48"/>
      <c r="NP6" s="48"/>
      <c r="NQ6" s="48"/>
      <c r="NR6" s="48"/>
      <c r="NS6" s="48"/>
      <c r="NT6" s="48"/>
      <c r="NU6" s="48"/>
      <c r="NV6" s="48"/>
      <c r="NW6" s="48"/>
      <c r="NX6" s="48"/>
      <c r="NY6" s="48"/>
      <c r="NZ6" s="48"/>
      <c r="OA6" s="48"/>
      <c r="OB6" s="48"/>
      <c r="OC6" s="48"/>
      <c r="OD6" s="48"/>
      <c r="OE6" s="48"/>
      <c r="OF6" s="48"/>
      <c r="OG6" s="48"/>
      <c r="OH6" s="48"/>
      <c r="OI6" s="48"/>
      <c r="OJ6" s="48"/>
      <c r="OK6" s="48"/>
      <c r="OL6" s="48"/>
      <c r="OM6" s="48"/>
      <c r="ON6" s="48"/>
      <c r="OO6" s="48"/>
      <c r="OP6" s="48"/>
      <c r="OQ6" s="48"/>
      <c r="OR6" s="48"/>
      <c r="OS6" s="48"/>
      <c r="OT6" s="48"/>
      <c r="OU6" s="48"/>
      <c r="OV6" s="48"/>
      <c r="OW6" s="48"/>
      <c r="OX6" s="48"/>
      <c r="OY6" s="48"/>
      <c r="OZ6" s="48"/>
      <c r="PA6" s="48"/>
      <c r="PB6" s="48"/>
      <c r="PC6" s="48"/>
      <c r="PD6" s="48"/>
      <c r="PE6" s="48"/>
      <c r="PF6" s="48"/>
      <c r="PG6" s="48"/>
      <c r="PH6" s="48"/>
      <c r="PI6" s="48"/>
      <c r="PJ6" s="48"/>
      <c r="PK6" s="48"/>
      <c r="PL6" s="48"/>
      <c r="PM6" s="48"/>
      <c r="PN6" s="48"/>
      <c r="PO6" s="48"/>
      <c r="PP6" s="48"/>
      <c r="PQ6" s="48"/>
      <c r="PR6" s="48"/>
      <c r="PS6" s="48"/>
      <c r="PT6" s="48"/>
      <c r="PU6" s="48"/>
      <c r="PV6" s="48"/>
      <c r="PW6" s="48"/>
      <c r="PX6" s="48"/>
      <c r="PY6" s="48"/>
      <c r="PZ6" s="48"/>
      <c r="QA6" s="48"/>
      <c r="QB6" s="48"/>
      <c r="QC6" s="48"/>
      <c r="QD6" s="48"/>
      <c r="QE6" s="48"/>
      <c r="QF6" s="48"/>
      <c r="QG6" s="48"/>
      <c r="QH6" s="48"/>
      <c r="QI6" s="48"/>
      <c r="QJ6" s="48"/>
      <c r="QK6" s="48"/>
      <c r="QL6" s="48"/>
      <c r="QM6" s="48"/>
      <c r="QN6" s="48"/>
      <c r="QO6" s="48"/>
      <c r="QP6" s="48"/>
      <c r="QQ6" s="48"/>
      <c r="QR6" s="48"/>
      <c r="QS6" s="48"/>
      <c r="QT6" s="48"/>
      <c r="QU6" s="48"/>
      <c r="QV6" s="48"/>
      <c r="QW6" s="48"/>
      <c r="QX6" s="48"/>
      <c r="QY6" s="48"/>
      <c r="QZ6" s="48"/>
      <c r="RA6" s="48"/>
      <c r="RB6" s="48"/>
      <c r="RC6" s="48"/>
      <c r="RD6" s="48"/>
      <c r="RE6" s="48"/>
      <c r="RF6" s="48"/>
      <c r="RG6" s="48"/>
      <c r="RH6" s="48"/>
      <c r="RI6" s="48"/>
      <c r="RJ6" s="48"/>
      <c r="RK6" s="48"/>
      <c r="RL6" s="48"/>
      <c r="RM6" s="48"/>
      <c r="RN6" s="48"/>
      <c r="RO6" s="48"/>
      <c r="RP6" s="48"/>
      <c r="RQ6" s="48"/>
      <c r="RR6" s="48"/>
      <c r="RS6" s="48"/>
      <c r="RT6" s="48"/>
      <c r="RU6" s="48"/>
      <c r="RV6" s="48"/>
      <c r="RW6" s="48"/>
      <c r="RX6" s="48"/>
      <c r="RY6" s="48"/>
      <c r="RZ6" s="48"/>
      <c r="SA6" s="48"/>
      <c r="SB6" s="48"/>
      <c r="SC6" s="48"/>
      <c r="SD6" s="48"/>
      <c r="SE6" s="48"/>
      <c r="SF6" s="48"/>
      <c r="SG6" s="48"/>
      <c r="SH6" s="48"/>
      <c r="SI6" s="48"/>
      <c r="SJ6" s="48"/>
      <c r="SK6" s="48"/>
      <c r="SL6" s="48"/>
      <c r="SM6" s="48"/>
      <c r="SN6" s="48"/>
      <c r="SO6" s="48"/>
      <c r="SP6" s="48"/>
      <c r="SQ6" s="48"/>
      <c r="SR6" s="48"/>
      <c r="SS6" s="48"/>
      <c r="ST6" s="48"/>
      <c r="SU6" s="48"/>
      <c r="SV6" s="48"/>
      <c r="SW6" s="48"/>
      <c r="SX6" s="48"/>
      <c r="SY6" s="48"/>
      <c r="SZ6" s="48"/>
      <c r="TA6" s="48"/>
      <c r="TB6" s="48"/>
      <c r="TC6" s="48"/>
      <c r="TD6" s="48"/>
      <c r="TE6" s="48"/>
      <c r="TF6" s="48"/>
      <c r="TG6" s="48"/>
      <c r="TH6" s="48"/>
      <c r="TI6" s="48"/>
      <c r="TJ6" s="48"/>
      <c r="TK6" s="48"/>
      <c r="TL6" s="48"/>
      <c r="TM6" s="48"/>
      <c r="TN6" s="48"/>
      <c r="TO6" s="48"/>
      <c r="TP6" s="48"/>
      <c r="TQ6" s="48"/>
      <c r="TR6" s="48"/>
      <c r="TS6" s="48"/>
      <c r="TT6" s="48"/>
      <c r="TU6" s="48"/>
      <c r="TV6" s="48"/>
      <c r="TW6" s="48"/>
      <c r="TX6" s="48"/>
      <c r="TY6" s="48"/>
      <c r="TZ6" s="48"/>
      <c r="UA6" s="48"/>
      <c r="UB6" s="48"/>
      <c r="UC6" s="48"/>
      <c r="UD6" s="48"/>
      <c r="UE6" s="48"/>
      <c r="UF6" s="48"/>
      <c r="UG6" s="48"/>
      <c r="UH6" s="48"/>
      <c r="UI6" s="48"/>
      <c r="UJ6" s="48"/>
      <c r="UK6" s="48"/>
      <c r="UL6" s="48"/>
      <c r="UM6" s="48"/>
      <c r="UN6" s="48"/>
      <c r="UO6" s="48"/>
      <c r="UP6" s="48"/>
      <c r="UQ6" s="48"/>
      <c r="UR6" s="48"/>
      <c r="US6" s="48"/>
      <c r="UT6" s="48"/>
      <c r="UU6" s="48"/>
      <c r="UV6" s="48"/>
      <c r="UW6" s="48"/>
      <c r="UX6" s="48"/>
      <c r="UY6" s="48"/>
      <c r="UZ6" s="48"/>
      <c r="VA6" s="48"/>
      <c r="VB6" s="48"/>
      <c r="VC6" s="48"/>
      <c r="VD6" s="48"/>
      <c r="VE6" s="48"/>
      <c r="VF6" s="48"/>
      <c r="VG6" s="48"/>
      <c r="VH6" s="48"/>
      <c r="VI6" s="48"/>
      <c r="VJ6" s="48"/>
      <c r="VK6" s="48"/>
      <c r="VL6" s="48"/>
      <c r="VM6" s="48"/>
      <c r="VN6" s="48"/>
      <c r="VO6" s="48"/>
      <c r="VP6" s="48"/>
      <c r="VQ6" s="48"/>
      <c r="VR6" s="48"/>
      <c r="VS6" s="48"/>
      <c r="VT6" s="48"/>
      <c r="VU6" s="48"/>
      <c r="VV6" s="48"/>
      <c r="VW6" s="48"/>
      <c r="VX6" s="48"/>
      <c r="VY6" s="48"/>
      <c r="VZ6" s="48"/>
      <c r="WA6" s="48"/>
      <c r="WB6" s="48"/>
      <c r="WC6" s="48"/>
      <c r="WD6" s="48"/>
      <c r="WE6" s="48"/>
      <c r="WF6" s="48"/>
      <c r="WG6" s="48"/>
      <c r="WH6" s="48"/>
      <c r="WI6" s="48"/>
      <c r="WJ6" s="48"/>
      <c r="WK6" s="48"/>
      <c r="WL6" s="48"/>
      <c r="WM6" s="48"/>
      <c r="WN6" s="48"/>
      <c r="WO6" s="48"/>
      <c r="WP6" s="48"/>
      <c r="WQ6" s="48"/>
      <c r="WR6" s="48"/>
      <c r="WS6" s="48"/>
      <c r="WT6" s="48"/>
      <c r="WU6" s="48"/>
      <c r="WV6" s="48"/>
      <c r="WW6" s="48"/>
      <c r="WX6" s="48"/>
      <c r="WY6" s="48"/>
      <c r="WZ6" s="48"/>
      <c r="XA6" s="48"/>
      <c r="XB6" s="48"/>
      <c r="XC6" s="48"/>
      <c r="XD6" s="48"/>
      <c r="XE6" s="48"/>
      <c r="XF6" s="48"/>
      <c r="XG6" s="48"/>
      <c r="XH6" s="48"/>
      <c r="XI6" s="48"/>
      <c r="XJ6" s="48"/>
      <c r="XK6" s="48"/>
      <c r="XL6" s="48"/>
      <c r="XM6" s="48"/>
      <c r="XN6" s="48"/>
      <c r="XO6" s="48"/>
      <c r="XP6" s="48"/>
      <c r="XQ6" s="48"/>
      <c r="XR6" s="48"/>
      <c r="XS6" s="48"/>
      <c r="XT6" s="48"/>
      <c r="XU6" s="48"/>
      <c r="XV6" s="48"/>
      <c r="XW6" s="48"/>
      <c r="XX6" s="48"/>
      <c r="XY6" s="48"/>
      <c r="XZ6" s="48"/>
      <c r="YA6" s="48"/>
      <c r="YB6" s="48"/>
      <c r="YC6" s="48"/>
      <c r="YD6" s="48"/>
      <c r="YE6" s="48"/>
      <c r="YF6" s="48"/>
      <c r="YG6" s="48"/>
      <c r="YH6" s="48"/>
      <c r="YI6" s="48"/>
      <c r="YJ6" s="48"/>
      <c r="YK6" s="48"/>
      <c r="YL6" s="48"/>
      <c r="YM6" s="48"/>
      <c r="YN6" s="48"/>
      <c r="YO6" s="48"/>
      <c r="YP6" s="48"/>
      <c r="YQ6" s="48"/>
      <c r="YR6" s="48"/>
      <c r="YS6" s="48"/>
      <c r="YT6" s="48"/>
      <c r="YU6" s="48"/>
      <c r="YV6" s="48"/>
      <c r="YW6" s="48"/>
      <c r="YX6" s="48"/>
      <c r="YY6" s="48"/>
      <c r="YZ6" s="48"/>
      <c r="ZA6" s="48"/>
      <c r="ZB6" s="48"/>
      <c r="ZC6" s="48"/>
      <c r="ZD6" s="48"/>
      <c r="ZE6" s="48"/>
      <c r="ZF6" s="48"/>
      <c r="ZG6" s="48"/>
      <c r="ZH6" s="48"/>
      <c r="ZI6" s="48"/>
      <c r="ZJ6" s="48"/>
      <c r="ZK6" s="48"/>
      <c r="ZL6" s="48"/>
      <c r="ZM6" s="48"/>
      <c r="ZN6" s="48"/>
      <c r="ZO6" s="48"/>
      <c r="ZP6" s="48"/>
      <c r="ZQ6" s="48"/>
      <c r="ZR6" s="48"/>
      <c r="ZS6" s="48"/>
      <c r="ZT6" s="48"/>
      <c r="ZU6" s="48"/>
      <c r="ZV6" s="48"/>
      <c r="ZW6" s="48"/>
      <c r="ZX6" s="48"/>
      <c r="ZY6" s="48"/>
      <c r="ZZ6" s="48"/>
      <c r="AAA6" s="48"/>
      <c r="AAB6" s="48"/>
      <c r="AAC6" s="48"/>
      <c r="AAD6" s="48"/>
      <c r="AAE6" s="48"/>
      <c r="AAF6" s="48"/>
      <c r="AAG6" s="48"/>
      <c r="AAH6" s="48"/>
      <c r="AAI6" s="48"/>
      <c r="AAJ6" s="48"/>
      <c r="AAK6" s="48"/>
      <c r="AAL6" s="48"/>
      <c r="AAM6" s="48"/>
      <c r="AAN6" s="48"/>
      <c r="AAO6" s="48"/>
      <c r="AAP6" s="48"/>
      <c r="AAQ6" s="48"/>
      <c r="AAR6" s="48"/>
      <c r="AAS6" s="48"/>
      <c r="AAT6" s="48"/>
      <c r="AAU6" s="48"/>
      <c r="AAV6" s="48"/>
      <c r="AAW6" s="48"/>
      <c r="AAX6" s="48"/>
      <c r="AAY6" s="48"/>
      <c r="AAZ6" s="48"/>
      <c r="ABA6" s="48"/>
      <c r="ABB6" s="48"/>
      <c r="ABC6" s="48"/>
      <c r="ABD6" s="48"/>
      <c r="ABE6" s="48"/>
      <c r="ABF6" s="48"/>
      <c r="ABG6" s="48"/>
      <c r="ABH6" s="48"/>
      <c r="ABI6" s="48"/>
      <c r="ABJ6" s="48"/>
      <c r="ABK6" s="48"/>
      <c r="ABL6" s="48"/>
      <c r="ABM6" s="48"/>
      <c r="ABN6" s="48"/>
      <c r="ABO6" s="48"/>
      <c r="ABP6" s="48"/>
      <c r="ABQ6" s="48"/>
      <c r="ABR6" s="48"/>
      <c r="ABS6" s="48"/>
      <c r="ABT6" s="48"/>
      <c r="ABU6" s="48"/>
      <c r="ABV6" s="48"/>
      <c r="ABW6" s="48"/>
      <c r="ABX6" s="48"/>
      <c r="ABY6" s="48"/>
      <c r="ABZ6" s="48"/>
      <c r="ACA6" s="48"/>
      <c r="ACB6" s="48"/>
      <c r="ACC6" s="48"/>
      <c r="ACD6" s="48"/>
      <c r="ACE6" s="48"/>
      <c r="ACF6" s="48"/>
      <c r="ACG6" s="48"/>
      <c r="ACH6" s="48"/>
      <c r="ACI6" s="48"/>
      <c r="ACJ6" s="48"/>
      <c r="ACK6" s="48"/>
      <c r="ACL6" s="48"/>
      <c r="ACM6" s="48"/>
      <c r="ACN6" s="48"/>
      <c r="ACO6" s="48"/>
      <c r="ACP6" s="48"/>
      <c r="ACQ6" s="48"/>
      <c r="ACR6" s="48"/>
      <c r="ACS6" s="48"/>
      <c r="ACT6" s="48"/>
      <c r="ACU6" s="48"/>
      <c r="ACV6" s="48"/>
      <c r="ACW6" s="48"/>
      <c r="ACX6" s="48"/>
      <c r="ACY6" s="48"/>
      <c r="ACZ6" s="48"/>
      <c r="ADA6" s="48"/>
      <c r="ADB6" s="48"/>
      <c r="ADC6" s="48"/>
      <c r="ADD6" s="48"/>
      <c r="ADE6" s="48"/>
      <c r="ADF6" s="48"/>
      <c r="ADG6" s="48"/>
      <c r="ADH6" s="48"/>
      <c r="ADI6" s="48"/>
      <c r="ADJ6" s="48"/>
      <c r="ADK6" s="48"/>
      <c r="ADL6" s="48"/>
      <c r="ADM6" s="48"/>
      <c r="ADN6" s="48"/>
      <c r="ADO6" s="48"/>
      <c r="ADP6" s="48"/>
      <c r="ADQ6" s="48"/>
      <c r="ADR6" s="48"/>
      <c r="ADS6" s="48"/>
      <c r="ADT6" s="48"/>
      <c r="ADU6" s="48"/>
      <c r="ADV6" s="48"/>
      <c r="ADW6" s="48"/>
      <c r="ADX6" s="48"/>
      <c r="ADY6" s="48"/>
      <c r="ADZ6" s="48"/>
      <c r="AEA6" s="48"/>
      <c r="AEB6" s="48"/>
      <c r="AEC6" s="48"/>
      <c r="AED6" s="48"/>
      <c r="AEE6" s="48"/>
      <c r="AEF6" s="48"/>
      <c r="AEG6" s="48"/>
      <c r="AEH6" s="48"/>
      <c r="AEI6" s="48"/>
      <c r="AEJ6" s="48"/>
      <c r="AEK6" s="48"/>
      <c r="AEL6" s="48"/>
      <c r="AEM6" s="48"/>
      <c r="AEN6" s="48"/>
      <c r="AEO6" s="48"/>
      <c r="AEP6" s="48"/>
      <c r="AEQ6" s="48"/>
      <c r="AER6" s="48"/>
      <c r="AES6" s="48"/>
      <c r="AET6" s="48"/>
      <c r="AEU6" s="48"/>
      <c r="AEV6" s="48"/>
      <c r="AEW6" s="48"/>
      <c r="AEX6" s="48"/>
      <c r="AEY6" s="48"/>
      <c r="AEZ6" s="48"/>
      <c r="AFA6" s="48"/>
      <c r="AFB6" s="48"/>
      <c r="AFC6" s="48"/>
      <c r="AFD6" s="48"/>
      <c r="AFE6" s="48"/>
      <c r="AFF6" s="48"/>
      <c r="AFG6" s="48"/>
      <c r="AFH6" s="48"/>
      <c r="AFI6" s="48"/>
      <c r="AFJ6" s="48"/>
      <c r="AFK6" s="48"/>
      <c r="AFL6" s="48"/>
      <c r="AFM6" s="48"/>
      <c r="AFN6" s="48"/>
      <c r="AFO6" s="48"/>
      <c r="AFP6" s="48"/>
      <c r="AFQ6" s="48"/>
      <c r="AFR6" s="48"/>
      <c r="AFS6" s="48"/>
      <c r="AFT6" s="48"/>
      <c r="AFU6" s="48"/>
      <c r="AFV6" s="48"/>
      <c r="AFW6" s="48"/>
      <c r="AFX6" s="48"/>
      <c r="AFY6" s="48"/>
      <c r="AFZ6" s="48"/>
      <c r="AGA6" s="48"/>
      <c r="AGB6" s="48"/>
      <c r="AGC6" s="48"/>
      <c r="AGD6" s="48"/>
      <c r="AGE6" s="48"/>
      <c r="AGF6" s="48"/>
      <c r="AGG6" s="48"/>
      <c r="AGH6" s="48"/>
      <c r="AGI6" s="48"/>
      <c r="AGJ6" s="48"/>
      <c r="AGK6" s="48"/>
      <c r="AGL6" s="48"/>
      <c r="AGM6" s="48"/>
      <c r="AGN6" s="48"/>
      <c r="AGO6" s="48"/>
      <c r="AGP6" s="48"/>
      <c r="AGQ6" s="48"/>
      <c r="AGR6" s="48"/>
      <c r="AGS6" s="48"/>
      <c r="AGT6" s="48"/>
      <c r="AGU6" s="48"/>
      <c r="AGV6" s="48"/>
      <c r="AGW6" s="48"/>
      <c r="AGX6" s="48"/>
      <c r="AGY6" s="48"/>
      <c r="AGZ6" s="48"/>
      <c r="AHA6" s="48"/>
      <c r="AHB6" s="48"/>
      <c r="AHC6" s="48"/>
      <c r="AHD6" s="48"/>
      <c r="AHE6" s="48"/>
      <c r="AHF6" s="48"/>
      <c r="AHG6" s="48"/>
      <c r="AHH6" s="48"/>
      <c r="AHI6" s="48"/>
      <c r="AHJ6" s="48"/>
      <c r="AHK6" s="48"/>
      <c r="AHL6" s="48"/>
      <c r="AHM6" s="48"/>
      <c r="AHN6" s="48"/>
      <c r="AHO6" s="48"/>
      <c r="AHP6" s="48"/>
      <c r="AHQ6" s="48"/>
      <c r="AHR6" s="48"/>
      <c r="AHS6" s="48"/>
      <c r="AHT6" s="48"/>
      <c r="AHU6" s="48"/>
      <c r="AHV6" s="48"/>
      <c r="AHW6" s="48"/>
      <c r="AHX6" s="48"/>
      <c r="AHY6" s="48"/>
      <c r="AHZ6" s="48"/>
      <c r="AIA6" s="48"/>
      <c r="AIB6" s="48"/>
      <c r="AIC6" s="48"/>
      <c r="AID6" s="48"/>
      <c r="AIE6" s="48"/>
      <c r="AIF6" s="48"/>
      <c r="AIG6" s="48"/>
      <c r="AIH6" s="48"/>
      <c r="AII6" s="48"/>
      <c r="AIJ6" s="48"/>
      <c r="AIK6" s="48"/>
      <c r="AIL6" s="48"/>
      <c r="AIM6" s="48"/>
      <c r="AIN6" s="48"/>
      <c r="AIO6" s="48"/>
      <c r="AIP6" s="48"/>
      <c r="AIQ6" s="48"/>
      <c r="AIR6" s="48"/>
      <c r="AIS6" s="48"/>
      <c r="AIT6" s="48"/>
      <c r="AIU6" s="48"/>
      <c r="AIV6" s="48"/>
      <c r="AIW6" s="48"/>
      <c r="AIX6" s="48"/>
      <c r="AIY6" s="48"/>
      <c r="AIZ6" s="48"/>
      <c r="AJA6" s="48"/>
      <c r="AJB6" s="48"/>
      <c r="AJC6" s="48"/>
      <c r="AJD6" s="48"/>
      <c r="AJE6" s="48"/>
      <c r="AJF6" s="48"/>
      <c r="AJG6" s="48"/>
      <c r="AJH6" s="48"/>
      <c r="AJI6" s="48"/>
      <c r="AJJ6" s="48"/>
      <c r="AJK6" s="48"/>
      <c r="AJL6" s="48"/>
      <c r="AJM6" s="48"/>
      <c r="AJN6" s="48"/>
      <c r="AJO6" s="48"/>
      <c r="AJP6" s="48"/>
      <c r="AJQ6" s="48"/>
      <c r="AJR6" s="48"/>
      <c r="AJS6" s="48"/>
      <c r="AJT6" s="48"/>
      <c r="AJU6" s="48"/>
      <c r="AJV6" s="48"/>
      <c r="AJW6" s="48"/>
      <c r="AJX6" s="48"/>
      <c r="AJY6" s="48"/>
      <c r="AJZ6" s="48"/>
      <c r="AKA6" s="48"/>
      <c r="AKB6" s="48"/>
      <c r="AKC6" s="48"/>
      <c r="AKD6" s="48"/>
      <c r="AKE6" s="48"/>
      <c r="AKF6" s="48"/>
      <c r="AKG6" s="48"/>
      <c r="AKH6" s="48"/>
      <c r="AKI6" s="48"/>
      <c r="AKJ6" s="48"/>
      <c r="AKK6" s="48"/>
      <c r="AKL6" s="48"/>
      <c r="AKM6" s="48"/>
      <c r="AKN6" s="48"/>
      <c r="AKO6" s="48"/>
      <c r="AKP6" s="48"/>
      <c r="AKQ6" s="48"/>
      <c r="AKR6" s="48"/>
      <c r="AKS6" s="48"/>
      <c r="AKT6" s="48"/>
      <c r="AKU6" s="48"/>
      <c r="AKV6" s="48"/>
      <c r="AKW6" s="48"/>
      <c r="AKX6" s="48"/>
      <c r="AKY6" s="48"/>
      <c r="AKZ6" s="48"/>
      <c r="ALA6" s="48"/>
      <c r="ALB6" s="48"/>
      <c r="ALC6" s="48"/>
      <c r="ALD6" s="48"/>
      <c r="ALE6" s="48"/>
      <c r="ALF6" s="48"/>
      <c r="ALG6" s="48"/>
      <c r="ALH6" s="48"/>
      <c r="ALI6" s="48"/>
      <c r="ALJ6" s="48"/>
      <c r="ALK6" s="48"/>
      <c r="ALL6" s="48"/>
      <c r="ALM6" s="48"/>
      <c r="ALN6" s="48"/>
      <c r="ALO6" s="48"/>
      <c r="ALP6" s="48"/>
      <c r="ALQ6" s="48"/>
      <c r="ALR6" s="48"/>
      <c r="ALS6" s="48"/>
      <c r="ALT6" s="48"/>
      <c r="ALU6" s="48"/>
      <c r="ALV6" s="48"/>
      <c r="ALW6" s="48"/>
      <c r="ALX6" s="48"/>
      <c r="ALY6" s="48"/>
      <c r="ALZ6" s="48"/>
      <c r="AMA6" s="48"/>
      <c r="AMB6" s="48"/>
      <c r="AMC6" s="48"/>
      <c r="AMD6" s="48"/>
      <c r="AME6" s="48"/>
      <c r="AMF6" s="48"/>
      <c r="AMG6" s="48"/>
      <c r="AMH6" s="48"/>
      <c r="AMI6" s="48"/>
      <c r="AMJ6" s="48"/>
      <c r="AMK6" s="48"/>
      <c r="AML6" s="4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56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IFERROR(__xludf.DUMMYFUNCTION("""COMPUTED_VALUE"""),"OpenCustomView")</f>
        <v>OpenCustomView</v>
      </c>
      <c r="AH4" s="26" t="str">
        <f>IFERROR(__xludf.DUMMYFUNCTION("""COMPUTED_VALUE"""),"CheckCustomViewRowSummary")</f>
        <v>CheckCustomViewRowSummary</v>
      </c>
      <c r="AI4" s="26" t="str">
        <f>IFERROR(__xludf.DUMMYFUNCTION("""COMPUTED_VALUE"""),"OpenTaxlotDetails")</f>
        <v>OpenTaxlotDetails</v>
      </c>
      <c r="AJ4" s="26" t="str">
        <f>IFERROR(__xludf.DUMMYFUNCTION("""COMPUTED_VALUE"""),"CheckTaxlotDetails")</f>
        <v>CheckTaxlotDetails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49" t="s">
        <v>36</v>
      </c>
      <c r="B6" s="49"/>
      <c r="C6" s="8" t="s">
        <v>22</v>
      </c>
      <c r="D6" s="49">
        <v>10.0</v>
      </c>
      <c r="E6" s="8" t="s">
        <v>17</v>
      </c>
      <c r="F6" s="8" t="s">
        <v>55</v>
      </c>
      <c r="G6" s="8">
        <v>1.0</v>
      </c>
      <c r="H6" s="8" t="s">
        <v>58</v>
      </c>
      <c r="I6" s="8">
        <v>100.0</v>
      </c>
      <c r="J6" s="8">
        <v>100.0</v>
      </c>
      <c r="K6" s="8">
        <v>100.0</v>
      </c>
      <c r="L6" s="8">
        <v>100.0</v>
      </c>
      <c r="M6" s="8">
        <v>1100.0</v>
      </c>
      <c r="N6" s="8">
        <v>100.0</v>
      </c>
      <c r="O6" s="8" t="s">
        <v>44</v>
      </c>
      <c r="P6" t="s">
        <v>59</v>
      </c>
      <c r="Q6">
        <v>90.0</v>
      </c>
      <c r="R6" t="s">
        <v>60</v>
      </c>
      <c r="S6" t="s">
        <v>50</v>
      </c>
      <c r="T6" t="s">
        <v>39</v>
      </c>
      <c r="U6" t="s">
        <v>52</v>
      </c>
      <c r="V6" t="s">
        <v>45</v>
      </c>
      <c r="W6" t="s">
        <v>18</v>
      </c>
      <c r="X6">
        <v>1.0</v>
      </c>
      <c r="Y6">
        <v>1.0</v>
      </c>
      <c r="AB6">
        <v>0.0</v>
      </c>
      <c r="AC6">
        <v>0.0</v>
      </c>
      <c r="AD6">
        <v>100.0</v>
      </c>
      <c r="AE6">
        <v>100.0</v>
      </c>
      <c r="AF6">
        <v>10.0</v>
      </c>
      <c r="AG6">
        <v>100.0</v>
      </c>
      <c r="AH6">
        <v>100.0</v>
      </c>
      <c r="AI6">
        <v>100.0</v>
      </c>
      <c r="AJ6" s="9">
        <v>49.75</v>
      </c>
      <c r="AK6">
        <v>100.0</v>
      </c>
      <c r="AL6">
        <v>1.0</v>
      </c>
      <c r="AM6">
        <v>1.0</v>
      </c>
      <c r="AN6" t="s">
        <v>23</v>
      </c>
      <c r="AP6" t="s">
        <v>58</v>
      </c>
      <c r="AQ6" t="s">
        <v>22</v>
      </c>
      <c r="AR6">
        <v>10.0</v>
      </c>
      <c r="AS6">
        <v>1.0</v>
      </c>
      <c r="AT6" t="s">
        <v>61</v>
      </c>
      <c r="AU6" t="s">
        <v>62</v>
      </c>
      <c r="AV6">
        <v>1.0</v>
      </c>
      <c r="AW6">
        <v>90.0</v>
      </c>
      <c r="AX6">
        <v>0.0</v>
      </c>
      <c r="AY6">
        <v>0.0</v>
      </c>
      <c r="AZ6">
        <v>100.0</v>
      </c>
      <c r="BA6">
        <v>1000.0</v>
      </c>
      <c r="BC6">
        <v>1.0</v>
      </c>
      <c r="BD6">
        <v>0.0</v>
      </c>
      <c r="BE6" t="s">
        <v>39</v>
      </c>
      <c r="BF6" t="s">
        <v>63</v>
      </c>
      <c r="BG6" t="s">
        <v>64</v>
      </c>
      <c r="BH6" t="s">
        <v>59</v>
      </c>
      <c r="BI6">
        <v>5.0</v>
      </c>
      <c r="BJ6">
        <v>0.0</v>
      </c>
      <c r="BK6">
        <v>0.0</v>
      </c>
      <c r="BL6">
        <v>0.0</v>
      </c>
      <c r="BM6">
        <v>0.0</v>
      </c>
      <c r="BO6">
        <v>0.0</v>
      </c>
      <c r="BP6">
        <v>0.0</v>
      </c>
      <c r="BQ6" t="s">
        <v>53</v>
      </c>
      <c r="BR6" t="s">
        <v>42</v>
      </c>
      <c r="BS6">
        <v>0.0</v>
      </c>
      <c r="BT6">
        <v>0.0</v>
      </c>
      <c r="BU6" t="s">
        <v>39</v>
      </c>
      <c r="BW6">
        <v>0.0</v>
      </c>
      <c r="BX6">
        <v>100.0</v>
      </c>
      <c r="BY6">
        <v>100.0</v>
      </c>
      <c r="BZ6">
        <v>10.0</v>
      </c>
      <c r="CA6">
        <v>10.0</v>
      </c>
      <c r="CC6">
        <v>0.0</v>
      </c>
      <c r="CD6">
        <v>100.0</v>
      </c>
      <c r="CE6">
        <v>0.0</v>
      </c>
      <c r="CF6">
        <v>0.0</v>
      </c>
      <c r="CG6">
        <v>90.0</v>
      </c>
      <c r="CH6">
        <v>900.0</v>
      </c>
      <c r="CI6">
        <v>0.0</v>
      </c>
      <c r="CJ6">
        <v>0.0</v>
      </c>
      <c r="CK6" t="b">
        <v>0</v>
      </c>
      <c r="CN6" t="s">
        <v>22</v>
      </c>
      <c r="CO6" t="s">
        <v>22</v>
      </c>
      <c r="CP6" t="s">
        <v>40</v>
      </c>
      <c r="CS6">
        <v>1.0</v>
      </c>
      <c r="CY6" t="s">
        <v>65</v>
      </c>
      <c r="CZ6" t="s">
        <v>66</v>
      </c>
      <c r="DA6">
        <v>100.0</v>
      </c>
      <c r="DB6">
        <v>100.0</v>
      </c>
      <c r="DD6">
        <v>10.0</v>
      </c>
      <c r="DE6">
        <v>0.0</v>
      </c>
      <c r="DF6">
        <v>0.0</v>
      </c>
      <c r="DG6">
        <v>0.0</v>
      </c>
      <c r="DH6" t="s">
        <v>59</v>
      </c>
      <c r="DI6">
        <v>0.0</v>
      </c>
      <c r="DJ6" t="s">
        <v>23</v>
      </c>
      <c r="DK6">
        <v>0.0</v>
      </c>
      <c r="DL6">
        <v>0.0</v>
      </c>
      <c r="DM6">
        <v>1.0</v>
      </c>
      <c r="DN6">
        <v>10.0</v>
      </c>
      <c r="DP6" t="s">
        <v>58</v>
      </c>
      <c r="DQ6" t="s">
        <v>67</v>
      </c>
      <c r="DR6" t="s">
        <v>68</v>
      </c>
      <c r="DS6" t="s">
        <v>67</v>
      </c>
      <c r="DT6" t="s">
        <v>67</v>
      </c>
      <c r="DU6" t="s">
        <v>69</v>
      </c>
      <c r="DV6" t="s">
        <v>67</v>
      </c>
      <c r="DW6" t="s">
        <v>67</v>
      </c>
      <c r="DX6" t="s">
        <v>67</v>
      </c>
      <c r="DY6" t="s">
        <v>67</v>
      </c>
      <c r="DZ6" t="s">
        <v>44</v>
      </c>
      <c r="EA6" t="s">
        <v>69</v>
      </c>
      <c r="EB6" t="s">
        <v>67</v>
      </c>
      <c r="EC6" t="s">
        <v>67</v>
      </c>
      <c r="ED6" t="s">
        <v>18</v>
      </c>
      <c r="EE6" t="s">
        <v>70</v>
      </c>
      <c r="EF6">
        <v>0.0</v>
      </c>
      <c r="EG6" s="50">
        <v>0.5</v>
      </c>
      <c r="EH6" s="50">
        <v>0.5</v>
      </c>
      <c r="EI6" s="50">
        <v>0.5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71</v>
      </c>
      <c r="FD6">
        <v>0.0</v>
      </c>
      <c r="FE6" t="s">
        <v>36</v>
      </c>
      <c r="FF6">
        <v>0.0</v>
      </c>
      <c r="FG6">
        <v>0.0</v>
      </c>
      <c r="FH6">
        <v>50.0</v>
      </c>
      <c r="FI6" t="s">
        <v>36</v>
      </c>
      <c r="FK6" t="s">
        <v>36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8" t="s">
        <v>36</v>
      </c>
      <c r="B7" s="8"/>
      <c r="C7" s="8" t="s">
        <v>22</v>
      </c>
      <c r="D7" s="8">
        <v>50.0</v>
      </c>
      <c r="E7" s="8" t="s">
        <v>17</v>
      </c>
      <c r="F7" s="8" t="s">
        <v>55</v>
      </c>
      <c r="G7" s="8">
        <v>10.0</v>
      </c>
      <c r="H7" s="8" t="s">
        <v>58</v>
      </c>
      <c r="I7" s="8">
        <v>500.0</v>
      </c>
      <c r="J7" s="8">
        <v>0.0</v>
      </c>
      <c r="K7" s="8">
        <v>500.0</v>
      </c>
      <c r="L7" s="8">
        <v>500.0</v>
      </c>
      <c r="M7" s="8">
        <v>1100.0</v>
      </c>
      <c r="N7" s="8">
        <v>0.0</v>
      </c>
      <c r="O7" s="8" t="s">
        <v>44</v>
      </c>
      <c r="P7" t="s">
        <v>59</v>
      </c>
      <c r="Q7">
        <v>0.0</v>
      </c>
      <c r="R7" t="s">
        <v>60</v>
      </c>
      <c r="S7" t="s">
        <v>50</v>
      </c>
      <c r="T7" t="s">
        <v>39</v>
      </c>
      <c r="U7" t="s">
        <v>52</v>
      </c>
      <c r="V7" t="s">
        <v>45</v>
      </c>
      <c r="W7" t="s">
        <v>18</v>
      </c>
      <c r="X7">
        <v>1.0</v>
      </c>
      <c r="Y7">
        <v>1.0</v>
      </c>
      <c r="AB7">
        <v>0.0</v>
      </c>
      <c r="AC7">
        <v>0.0</v>
      </c>
      <c r="AD7">
        <v>500.0</v>
      </c>
      <c r="AE7">
        <v>500.0</v>
      </c>
      <c r="AF7">
        <v>50.0</v>
      </c>
      <c r="AG7">
        <v>500.0</v>
      </c>
      <c r="AH7">
        <v>500.0</v>
      </c>
      <c r="AI7">
        <v>500.0</v>
      </c>
      <c r="AJ7" s="9">
        <v>248.76</v>
      </c>
      <c r="AK7">
        <v>0.0</v>
      </c>
      <c r="AL7">
        <v>1.0</v>
      </c>
      <c r="AM7">
        <v>1.0</v>
      </c>
      <c r="AN7" t="s">
        <v>23</v>
      </c>
      <c r="AP7" t="s">
        <v>58</v>
      </c>
      <c r="AQ7" t="s">
        <v>22</v>
      </c>
      <c r="AR7">
        <v>10.0</v>
      </c>
      <c r="AS7">
        <v>1.0</v>
      </c>
      <c r="AV7">
        <v>1.0</v>
      </c>
      <c r="AW7">
        <v>0.0</v>
      </c>
      <c r="AX7">
        <v>0.0</v>
      </c>
      <c r="AY7">
        <v>0.0</v>
      </c>
      <c r="AZ7">
        <v>500.0</v>
      </c>
      <c r="BA7">
        <v>0.0</v>
      </c>
      <c r="BC7">
        <v>1.0</v>
      </c>
      <c r="BD7">
        <v>-500.0</v>
      </c>
      <c r="BE7" t="s">
        <v>39</v>
      </c>
      <c r="BF7" t="s">
        <v>63</v>
      </c>
      <c r="BG7" t="s">
        <v>64</v>
      </c>
      <c r="BH7" t="s">
        <v>59</v>
      </c>
      <c r="BI7">
        <v>5.0</v>
      </c>
      <c r="BJ7">
        <v>0.0</v>
      </c>
      <c r="BK7">
        <v>0.0</v>
      </c>
      <c r="BL7">
        <v>0.0</v>
      </c>
      <c r="BM7">
        <v>0.0</v>
      </c>
      <c r="BO7">
        <v>-500.0</v>
      </c>
      <c r="BP7">
        <v>0.0</v>
      </c>
      <c r="BQ7" t="s">
        <v>53</v>
      </c>
      <c r="BR7" t="s">
        <v>42</v>
      </c>
      <c r="BS7">
        <v>0.0</v>
      </c>
      <c r="BT7">
        <v>0.0</v>
      </c>
      <c r="BU7" t="s">
        <v>39</v>
      </c>
      <c r="BW7">
        <v>0.0</v>
      </c>
      <c r="BX7">
        <v>500.0</v>
      </c>
      <c r="BY7">
        <v>500.0</v>
      </c>
      <c r="BZ7">
        <v>10.0</v>
      </c>
      <c r="CA7">
        <v>10.0</v>
      </c>
      <c r="CC7">
        <v>0.0</v>
      </c>
      <c r="CD7">
        <v>0.0</v>
      </c>
      <c r="CE7">
        <v>0.0</v>
      </c>
      <c r="CF7">
        <v>0.0</v>
      </c>
      <c r="CG7">
        <v>0.0</v>
      </c>
      <c r="CH7">
        <v>0.0</v>
      </c>
      <c r="CI7">
        <v>0.0</v>
      </c>
      <c r="CJ7">
        <v>0.0</v>
      </c>
      <c r="CK7" t="b">
        <v>0</v>
      </c>
      <c r="CN7" t="s">
        <v>22</v>
      </c>
      <c r="CO7" t="s">
        <v>22</v>
      </c>
      <c r="CP7" t="s">
        <v>40</v>
      </c>
      <c r="CS7">
        <v>10.0</v>
      </c>
      <c r="CY7" t="s">
        <v>65</v>
      </c>
      <c r="CZ7" t="s">
        <v>66</v>
      </c>
      <c r="DA7">
        <v>500.0</v>
      </c>
      <c r="DB7">
        <v>0.0</v>
      </c>
      <c r="DD7">
        <v>50.0</v>
      </c>
      <c r="DE7">
        <v>0.0</v>
      </c>
      <c r="DF7">
        <v>0.0</v>
      </c>
      <c r="DG7">
        <v>0.0</v>
      </c>
      <c r="DH7" t="s">
        <v>59</v>
      </c>
      <c r="DI7">
        <v>0.0</v>
      </c>
      <c r="DJ7" t="s">
        <v>23</v>
      </c>
      <c r="DK7">
        <v>0.0</v>
      </c>
      <c r="DL7">
        <v>0.0</v>
      </c>
      <c r="DM7">
        <v>1.0</v>
      </c>
      <c r="DN7">
        <v>10.0</v>
      </c>
      <c r="DP7" t="s">
        <v>58</v>
      </c>
      <c r="DQ7" t="s">
        <v>67</v>
      </c>
      <c r="DR7" t="s">
        <v>68</v>
      </c>
      <c r="DS7" t="s">
        <v>67</v>
      </c>
      <c r="DT7" t="s">
        <v>67</v>
      </c>
      <c r="DU7" t="s">
        <v>69</v>
      </c>
      <c r="DV7" t="s">
        <v>67</v>
      </c>
      <c r="DW7" t="s">
        <v>67</v>
      </c>
      <c r="DX7" t="s">
        <v>67</v>
      </c>
      <c r="DY7" t="s">
        <v>67</v>
      </c>
      <c r="DZ7" t="s">
        <v>44</v>
      </c>
      <c r="EA7" t="s">
        <v>69</v>
      </c>
      <c r="EB7" t="s">
        <v>67</v>
      </c>
      <c r="EC7" t="s">
        <v>67</v>
      </c>
      <c r="ED7" t="s">
        <v>18</v>
      </c>
      <c r="EE7" t="s">
        <v>70</v>
      </c>
      <c r="EF7">
        <v>0.0</v>
      </c>
      <c r="EG7" s="50">
        <v>2.49</v>
      </c>
      <c r="EH7" s="50">
        <v>2.49</v>
      </c>
      <c r="EI7" s="50">
        <v>2.49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71</v>
      </c>
      <c r="FD7">
        <v>0.0</v>
      </c>
      <c r="FE7" t="s">
        <v>36</v>
      </c>
      <c r="FF7">
        <v>0.0</v>
      </c>
      <c r="FG7">
        <v>0.0</v>
      </c>
      <c r="FH7">
        <v>50.0</v>
      </c>
      <c r="FI7" t="s">
        <v>36</v>
      </c>
      <c r="FK7" t="s">
        <v>36</v>
      </c>
      <c r="FL7" t="s">
        <v>36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 t="s">
        <v>36</v>
      </c>
      <c r="B8" s="8"/>
      <c r="C8" s="8" t="s">
        <v>22</v>
      </c>
      <c r="D8" s="8">
        <v>50.0</v>
      </c>
      <c r="E8" s="8" t="s">
        <v>19</v>
      </c>
      <c r="F8" s="8" t="s">
        <v>55</v>
      </c>
      <c r="G8" s="8">
        <v>10.0</v>
      </c>
      <c r="H8" s="8" t="s">
        <v>58</v>
      </c>
      <c r="I8" s="8">
        <v>500.0</v>
      </c>
      <c r="J8" s="8">
        <v>0.0</v>
      </c>
      <c r="K8" s="8">
        <v>500.0</v>
      </c>
      <c r="L8" s="8">
        <v>500.0</v>
      </c>
      <c r="M8" s="8">
        <v>1100.0</v>
      </c>
      <c r="N8" s="8">
        <v>0.0</v>
      </c>
      <c r="O8" s="8" t="s">
        <v>44</v>
      </c>
      <c r="P8" t="s">
        <v>59</v>
      </c>
      <c r="Q8">
        <v>0.0</v>
      </c>
      <c r="R8" t="s">
        <v>42</v>
      </c>
      <c r="S8" t="s">
        <v>50</v>
      </c>
      <c r="T8" t="s">
        <v>39</v>
      </c>
      <c r="U8" t="s">
        <v>52</v>
      </c>
      <c r="V8" t="s">
        <v>45</v>
      </c>
      <c r="W8" t="s">
        <v>18</v>
      </c>
      <c r="X8">
        <v>1.0</v>
      </c>
      <c r="Y8">
        <v>1.0</v>
      </c>
      <c r="AB8">
        <v>0.0</v>
      </c>
      <c r="AC8">
        <v>0.0</v>
      </c>
      <c r="AD8">
        <v>500.0</v>
      </c>
      <c r="AE8">
        <v>500.0</v>
      </c>
      <c r="AF8">
        <v>50.0</v>
      </c>
      <c r="AG8">
        <v>500.0</v>
      </c>
      <c r="AH8">
        <v>500.0</v>
      </c>
      <c r="AI8">
        <v>500.0</v>
      </c>
      <c r="AJ8" s="52">
        <v>248.76</v>
      </c>
      <c r="AK8">
        <v>0.0</v>
      </c>
      <c r="AL8">
        <v>1.0</v>
      </c>
      <c r="AM8">
        <v>1.0</v>
      </c>
      <c r="AN8" t="s">
        <v>23</v>
      </c>
      <c r="AP8" t="s">
        <v>58</v>
      </c>
      <c r="AQ8" t="s">
        <v>22</v>
      </c>
      <c r="AR8">
        <v>10.0</v>
      </c>
      <c r="AS8">
        <v>1.0</v>
      </c>
      <c r="AV8">
        <v>1.0</v>
      </c>
      <c r="AW8">
        <v>0.0</v>
      </c>
      <c r="AX8">
        <v>0.0</v>
      </c>
      <c r="AY8">
        <v>0.0</v>
      </c>
      <c r="AZ8">
        <v>500.0</v>
      </c>
      <c r="BA8">
        <v>0.0</v>
      </c>
      <c r="BC8">
        <v>1.0</v>
      </c>
      <c r="BD8">
        <v>-500.0</v>
      </c>
      <c r="BE8" t="s">
        <v>39</v>
      </c>
      <c r="BF8" t="s">
        <v>63</v>
      </c>
      <c r="BG8" t="s">
        <v>64</v>
      </c>
      <c r="BH8" t="s">
        <v>59</v>
      </c>
      <c r="BI8">
        <v>5.0</v>
      </c>
      <c r="BJ8">
        <v>0.0</v>
      </c>
      <c r="BK8">
        <v>0.0</v>
      </c>
      <c r="BL8">
        <v>0.0</v>
      </c>
      <c r="BM8">
        <v>0.0</v>
      </c>
      <c r="BO8">
        <v>-500.0</v>
      </c>
      <c r="BP8">
        <v>0.0</v>
      </c>
      <c r="BQ8" t="s">
        <v>53</v>
      </c>
      <c r="BR8" t="s">
        <v>42</v>
      </c>
      <c r="BS8">
        <v>0.0</v>
      </c>
      <c r="BT8">
        <v>0.0</v>
      </c>
      <c r="BU8" t="s">
        <v>39</v>
      </c>
      <c r="BW8">
        <v>0.0</v>
      </c>
      <c r="BX8">
        <v>500.0</v>
      </c>
      <c r="BY8">
        <v>500.0</v>
      </c>
      <c r="BZ8">
        <v>10.0</v>
      </c>
      <c r="CA8">
        <v>10.0</v>
      </c>
      <c r="CC8">
        <v>0.0</v>
      </c>
      <c r="CD8">
        <v>0.0</v>
      </c>
      <c r="CE8">
        <v>0.0</v>
      </c>
      <c r="CF8">
        <v>0.0</v>
      </c>
      <c r="CG8">
        <v>0.0</v>
      </c>
      <c r="CH8">
        <v>0.0</v>
      </c>
      <c r="CI8">
        <v>0.0</v>
      </c>
      <c r="CJ8">
        <v>0.0</v>
      </c>
      <c r="CK8" t="b">
        <v>0</v>
      </c>
      <c r="CN8" t="s">
        <v>22</v>
      </c>
      <c r="CO8" t="s">
        <v>22</v>
      </c>
      <c r="CP8" t="s">
        <v>40</v>
      </c>
      <c r="CS8">
        <v>10.0</v>
      </c>
      <c r="CY8" t="s">
        <v>65</v>
      </c>
      <c r="CZ8" t="s">
        <v>66</v>
      </c>
      <c r="DA8">
        <v>500.0</v>
      </c>
      <c r="DB8">
        <v>0.0</v>
      </c>
      <c r="DD8">
        <v>50.0</v>
      </c>
      <c r="DE8">
        <v>0.0</v>
      </c>
      <c r="DF8">
        <v>0.0</v>
      </c>
      <c r="DG8">
        <v>0.0</v>
      </c>
      <c r="DH8" t="s">
        <v>59</v>
      </c>
      <c r="DI8">
        <v>0.0</v>
      </c>
      <c r="DJ8" t="s">
        <v>23</v>
      </c>
      <c r="DK8">
        <v>0.0</v>
      </c>
      <c r="DL8">
        <v>0.0</v>
      </c>
      <c r="DM8">
        <v>1.0</v>
      </c>
      <c r="DN8">
        <v>10.0</v>
      </c>
      <c r="DP8" t="s">
        <v>58</v>
      </c>
      <c r="DQ8" t="s">
        <v>67</v>
      </c>
      <c r="DR8" t="s">
        <v>68</v>
      </c>
      <c r="DS8" t="s">
        <v>67</v>
      </c>
      <c r="DT8" t="s">
        <v>67</v>
      </c>
      <c r="DU8" t="s">
        <v>69</v>
      </c>
      <c r="DV8" t="s">
        <v>67</v>
      </c>
      <c r="DW8" t="s">
        <v>67</v>
      </c>
      <c r="DX8" t="s">
        <v>67</v>
      </c>
      <c r="DY8" t="s">
        <v>67</v>
      </c>
      <c r="DZ8" t="s">
        <v>44</v>
      </c>
      <c r="EA8" t="s">
        <v>69</v>
      </c>
      <c r="EB8" t="s">
        <v>67</v>
      </c>
      <c r="EC8" t="s">
        <v>67</v>
      </c>
      <c r="ED8" t="s">
        <v>18</v>
      </c>
      <c r="EE8" t="s">
        <v>70</v>
      </c>
      <c r="EF8">
        <v>0.0</v>
      </c>
      <c r="EG8" s="50">
        <v>2.49</v>
      </c>
      <c r="EH8" s="50">
        <v>2.49</v>
      </c>
      <c r="EI8" s="50">
        <v>2.49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71</v>
      </c>
      <c r="FD8">
        <v>0.0</v>
      </c>
      <c r="FE8" t="s">
        <v>36</v>
      </c>
      <c r="FF8">
        <v>0.0</v>
      </c>
      <c r="FG8">
        <v>0.0</v>
      </c>
      <c r="FH8">
        <v>50.0</v>
      </c>
      <c r="FI8" t="s">
        <v>36</v>
      </c>
      <c r="FK8" t="s">
        <v>36</v>
      </c>
      <c r="FL8" t="s">
        <v>36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