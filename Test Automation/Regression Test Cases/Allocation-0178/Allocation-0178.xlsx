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GetDataAllocation" sheetId="6" r:id="rId8"/>
    <sheet state="visible" name="SelectUnallocatedGroup" sheetId="7" r:id="rId9"/>
    <sheet state="visible" name="EnterAccountValuesToAllocate" sheetId="8" r:id="rId10"/>
    <sheet state="visible" name="SelectAllocatedGroup" sheetId="9" r:id="rId11"/>
    <sheet state="visible" name="EditAllocatedGridTaxlot" sheetId="10" r:id="rId12"/>
    <sheet state="visible" name="CheckAllocatedGroups" sheetId="11" r:id="rId13"/>
    <sheet state="visible" name="SelectAllocatedGroup1" sheetId="12" r:id="rId14"/>
    <sheet state="visible" name="EditAllocatedGridWPF" sheetId="13" r:id="rId15"/>
    <sheet state="visible" name="CheckAllocatedGroups1" sheetId="14" r:id="rId16"/>
  </sheets>
  <definedNames/>
  <calcPr/>
</workbook>
</file>

<file path=xl/sharedStrings.xml><?xml version="1.0" encoding="utf-8"?>
<sst xmlns="http://schemas.openxmlformats.org/spreadsheetml/2006/main" count="132" uniqueCount="37">
  <si>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</si>
  <si>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</si>
  <si>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</si>
  <si>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</si>
  <si>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</si>
  <si>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</si>
  <si>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</si>
  <si>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</si>
  <si>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</si>
  <si>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</si>
  <si>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</si>
  <si>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</si>
  <si>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</si>
  <si>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</si>
  <si>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</si>
  <si>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</si>
  <si>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</si>
  <si>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</si>
  <si>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MSFT</t>
  </si>
  <si>
    <t>Buy</t>
  </si>
  <si>
    <t>Unallocated</t>
  </si>
  <si>
    <t>FRU-TC</t>
  </si>
  <si>
    <t>Allocation1</t>
  </si>
  <si>
    <t>USD</t>
  </si>
  <si>
    <t>GetDataAllocation</t>
  </si>
  <si>
    <t>Current</t>
  </si>
  <si>
    <t>SelectUnallocatedGroup</t>
  </si>
  <si>
    <t>EnterAccountValuesToAllocate</t>
  </si>
  <si>
    <t>Allocation2</t>
  </si>
  <si>
    <t>SelectAllocatedGroup</t>
  </si>
  <si>
    <t>EditAllocatedGridTaxlot</t>
  </si>
  <si>
    <t>CheckAllocatedGroups</t>
  </si>
  <si>
    <t>Multiple</t>
  </si>
  <si>
    <t>Equity</t>
  </si>
  <si>
    <t>MS</t>
  </si>
  <si>
    <t>Market</t>
  </si>
  <si>
    <t>EditAllocatedGridWPF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</si>
</sst>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/>
    </font>
    <font>
      <sz val="11.0"/>
      <name val="Calibri"/>
    </font>
    <font>
      <sz val="11.0"/>
      <color rgb="FF000000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164" xfId="0" applyFont="1" applyNumberFormat="1"/>
    <xf borderId="0" fillId="0" fontId="14" numFmtId="164" xfId="0" applyAlignment="1" applyFont="1" applyNumberFormat="1">
      <alignment horizontal="right" vertical="bottom"/>
    </xf>
    <xf borderId="0" fillId="0" fontId="2" numFmtId="4" xfId="0" applyAlignment="1" applyFont="1" applyNumberFormat="1">
      <alignment readingOrder="0"/>
    </xf>
    <xf borderId="0" fillId="0" fontId="15" numFmtId="164" xfId="0" applyAlignment="1" applyFont="1" applyNumberFormat="1">
      <alignment readingOrder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3.0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18</v>
      </c>
      <c r="C6" s="11" t="s">
        <v>19</v>
      </c>
      <c r="D6" s="11">
        <v>400.0</v>
      </c>
      <c r="E6" s="11">
        <v>400.0</v>
      </c>
      <c r="F6" s="11" t="s">
        <v>20</v>
      </c>
      <c r="G6" s="8"/>
      <c r="H6" s="8"/>
      <c r="I6" s="8"/>
      <c r="J6" s="11">
        <v>23.125</v>
      </c>
      <c r="K6" s="8"/>
      <c r="L6" s="8"/>
      <c r="M6" s="8"/>
      <c r="N6" s="8"/>
      <c r="O6" s="8"/>
    </row>
    <row r="7" ht="15.75" customHeight="1">
      <c r="A7" s="8"/>
      <c r="B7" s="11" t="s">
        <v>21</v>
      </c>
      <c r="C7" s="11" t="s">
        <v>19</v>
      </c>
      <c r="D7" s="11">
        <v>400.0</v>
      </c>
      <c r="E7" s="11">
        <v>400.0</v>
      </c>
      <c r="F7" s="11" t="s">
        <v>22</v>
      </c>
      <c r="G7" s="8"/>
      <c r="H7" s="8"/>
      <c r="I7" s="8"/>
      <c r="J7" s="11">
        <v>100.0</v>
      </c>
      <c r="K7" s="8"/>
      <c r="L7" s="8"/>
      <c r="M7" s="8"/>
      <c r="N7" s="8"/>
      <c r="O7" s="11">
        <v>2.3</v>
      </c>
      <c r="AF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25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18</v>
      </c>
      <c r="C6" s="11" t="s">
        <v>19</v>
      </c>
      <c r="D6" s="11">
        <v>400.0</v>
      </c>
      <c r="E6" s="11">
        <v>400.0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22</v>
      </c>
      <c r="C6" s="11">
        <v>60.0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28</v>
      </c>
      <c r="C7" s="11">
        <v>40.0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18</v>
      </c>
      <c r="C6" s="11">
        <v>400.0</v>
      </c>
      <c r="D6" s="11"/>
      <c r="E6" s="11"/>
      <c r="F6" s="11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 t="str">
        <f>IFERROR(__xludf.DUMMYFUNCTION("""COMPUTED_VALUE"""),"Account Name")</f>
        <v>Account Name</v>
      </c>
      <c r="AH5" s="29" t="str">
        <f>IFERROR(__xludf.DUMMYFUNCTION("""COMPUTED_VALUE"""),"Lot ID")</f>
        <v>Lot ID</v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11">
        <v>40.23</v>
      </c>
      <c r="L6" s="11">
        <v>23.12</v>
      </c>
      <c r="M6" s="8"/>
      <c r="N6" s="8"/>
      <c r="O6" s="8"/>
      <c r="AD6" s="9" t="s">
        <v>18</v>
      </c>
      <c r="AE6" s="9">
        <v>400.0</v>
      </c>
      <c r="AF6" s="9">
        <v>23.125</v>
      </c>
      <c r="AG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EditAllocatedGridTaxlot!$4:$4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32</v>
      </c>
      <c r="C6" s="8"/>
      <c r="D6" s="11"/>
      <c r="E6" s="31">
        <v>400.0</v>
      </c>
      <c r="F6" s="8"/>
      <c r="G6" s="11" t="s">
        <v>33</v>
      </c>
      <c r="H6" s="31">
        <v>4.0</v>
      </c>
      <c r="I6" s="31">
        <v>5.0</v>
      </c>
      <c r="J6" s="8"/>
      <c r="K6" s="31">
        <v>23.125</v>
      </c>
      <c r="L6" s="31">
        <v>23.125</v>
      </c>
      <c r="M6" s="8"/>
      <c r="N6" s="8"/>
      <c r="O6" s="11" t="s">
        <v>34</v>
      </c>
      <c r="T6" s="31">
        <v>40.23</v>
      </c>
      <c r="AI6" s="9">
        <v>1.0</v>
      </c>
      <c r="AT6" s="32">
        <v>9327.3552</v>
      </c>
      <c r="AU6" s="32">
        <v>9327.3552</v>
      </c>
      <c r="AY6" s="9" t="s">
        <v>35</v>
      </c>
      <c r="BE6" s="32">
        <v>9250.0</v>
      </c>
      <c r="BF6" s="32">
        <v>9250.0</v>
      </c>
      <c r="BJ6" s="9">
        <v>400.0</v>
      </c>
      <c r="BO6" s="9" t="s">
        <v>19</v>
      </c>
      <c r="BP6" s="31">
        <v>23.12</v>
      </c>
      <c r="BT6" s="9" t="s">
        <v>18</v>
      </c>
      <c r="BU6" s="31">
        <v>3.0</v>
      </c>
      <c r="CI6" s="9" t="s">
        <v>19</v>
      </c>
      <c r="CJ6" s="9">
        <v>0.0</v>
      </c>
    </row>
    <row r="7" ht="15.75" customHeight="1">
      <c r="A7" s="8"/>
      <c r="B7" s="11" t="s">
        <v>22</v>
      </c>
      <c r="C7" s="8"/>
      <c r="D7" s="8"/>
      <c r="E7" s="31">
        <v>400.0</v>
      </c>
      <c r="F7" s="8"/>
      <c r="G7" s="11" t="s">
        <v>33</v>
      </c>
      <c r="H7" s="31">
        <v>0.0</v>
      </c>
      <c r="I7" s="31">
        <v>0.0</v>
      </c>
      <c r="J7" s="8"/>
      <c r="K7" s="31">
        <v>43.4782608695652</v>
      </c>
      <c r="L7" s="31">
        <v>100.0</v>
      </c>
      <c r="M7" s="8"/>
      <c r="N7" s="8"/>
      <c r="O7" s="11" t="s">
        <v>34</v>
      </c>
      <c r="T7" s="31">
        <v>0.0</v>
      </c>
      <c r="AT7" s="32">
        <v>17391.3043478261</v>
      </c>
      <c r="AU7" s="32">
        <v>40000.0</v>
      </c>
      <c r="AY7" s="9" t="s">
        <v>35</v>
      </c>
      <c r="BE7" s="33">
        <v>17391.3043478261</v>
      </c>
      <c r="BF7" s="31">
        <v>40000.0</v>
      </c>
      <c r="BJ7" s="9">
        <v>400.0</v>
      </c>
      <c r="BO7" s="9" t="s">
        <v>19</v>
      </c>
      <c r="BT7" t="s">
        <v>21</v>
      </c>
      <c r="CI7" s="9" t="s">
        <v>19</v>
      </c>
      <c r="CJ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21</v>
      </c>
      <c r="C6" s="11">
        <v>400.0</v>
      </c>
      <c r="D6" s="11"/>
      <c r="E6" s="11" t="s">
        <v>22</v>
      </c>
      <c r="F6" s="11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1" width="14.43"/>
    <col customWidth="1" min="32" max="32" width="29.29"/>
    <col customWidth="1" min="3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 t="str">
        <f>IFERROR(__xludf.DUMMYFUNCTION("""COMPUTED_VALUE"""),"Transaction Levy")</f>
        <v>Transaction Levy</v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X6" s="9">
        <v>200.0</v>
      </c>
      <c r="AD6" s="9" t="s">
        <v>21</v>
      </c>
      <c r="AE6" s="9">
        <v>400.0</v>
      </c>
      <c r="AF6" s="34">
        <v>43.478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EditAllocatedGridWPF!$4:$4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5" t="s">
        <v>32</v>
      </c>
      <c r="C6" s="8"/>
      <c r="D6" s="11"/>
      <c r="E6" s="32">
        <v>400.0</v>
      </c>
      <c r="F6" s="8"/>
      <c r="G6" s="36" t="s">
        <v>33</v>
      </c>
      <c r="H6" s="32">
        <v>4.0</v>
      </c>
      <c r="I6" s="32">
        <v>5.0</v>
      </c>
      <c r="J6" s="8"/>
      <c r="K6" s="32">
        <v>23.125</v>
      </c>
      <c r="L6" s="32">
        <v>23.125</v>
      </c>
      <c r="M6" s="8"/>
      <c r="N6" s="8"/>
      <c r="O6" s="8"/>
      <c r="T6" s="32">
        <v>40.23</v>
      </c>
      <c r="AE6" s="32">
        <v>400.0</v>
      </c>
      <c r="AI6" s="32">
        <v>1.0</v>
      </c>
      <c r="AT6" s="32">
        <v>9327.3552</v>
      </c>
      <c r="AU6" s="32">
        <v>9327.3552</v>
      </c>
      <c r="AY6" s="9" t="s">
        <v>35</v>
      </c>
      <c r="BE6" s="32">
        <v>9250.0</v>
      </c>
      <c r="BF6" s="32">
        <v>9250.0</v>
      </c>
      <c r="BJ6" s="32">
        <v>400.0</v>
      </c>
      <c r="BO6" s="9" t="s">
        <v>19</v>
      </c>
      <c r="BP6" s="32">
        <v>23.12</v>
      </c>
      <c r="BT6" s="9" t="s">
        <v>18</v>
      </c>
      <c r="BU6" s="32">
        <v>3.0</v>
      </c>
      <c r="CJ6" s="32">
        <v>0.0</v>
      </c>
    </row>
    <row r="7" ht="15.75" customHeight="1">
      <c r="A7" s="8"/>
      <c r="B7" s="36" t="s">
        <v>22</v>
      </c>
      <c r="C7" s="8"/>
      <c r="D7" s="8"/>
      <c r="E7" s="32">
        <v>400.0</v>
      </c>
      <c r="F7" s="8"/>
      <c r="G7" s="36" t="s">
        <v>33</v>
      </c>
      <c r="H7" s="32">
        <v>0.0</v>
      </c>
      <c r="I7" s="32">
        <v>0.0</v>
      </c>
      <c r="J7" s="8"/>
      <c r="K7" s="32">
        <v>86.9565217391304</v>
      </c>
      <c r="L7" s="32">
        <v>200.0</v>
      </c>
      <c r="M7" s="8"/>
      <c r="N7" s="8"/>
      <c r="O7" s="8"/>
      <c r="T7" s="32">
        <v>0.0</v>
      </c>
      <c r="AE7" s="32">
        <v>400.0</v>
      </c>
      <c r="AI7" s="32">
        <v>2.3</v>
      </c>
      <c r="AT7" s="32">
        <v>34782.6086956522</v>
      </c>
      <c r="AU7" s="32">
        <v>80000.0</v>
      </c>
      <c r="AY7" s="9" t="s">
        <v>35</v>
      </c>
      <c r="BE7" s="32">
        <v>34782.6086956522</v>
      </c>
      <c r="BF7" s="32">
        <v>80000.0</v>
      </c>
      <c r="BJ7" s="32">
        <v>400.0</v>
      </c>
      <c r="BO7" s="9" t="s">
        <v>19</v>
      </c>
      <c r="BP7" s="32">
        <v>0.0</v>
      </c>
      <c r="BT7" s="9" t="s">
        <v>21</v>
      </c>
      <c r="BU7" s="32">
        <v>0.0</v>
      </c>
      <c r="CJ7" s="32">
        <v>0.0</v>
      </c>
    </row>
    <row r="8" ht="15.75" customHeight="1">
      <c r="A8" s="8"/>
      <c r="B8" s="8"/>
      <c r="C8" s="8"/>
      <c r="D8" s="8"/>
      <c r="E8" s="36"/>
      <c r="F8" s="8"/>
      <c r="G8" s="8"/>
      <c r="H8" s="8"/>
      <c r="I8" s="36"/>
      <c r="J8" s="8"/>
      <c r="K8" s="8"/>
      <c r="L8" s="36"/>
      <c r="M8" s="8"/>
      <c r="N8" s="8"/>
      <c r="O8" s="8"/>
      <c r="AE8" s="36"/>
      <c r="AI8" s="36"/>
      <c r="BP8" s="36"/>
      <c r="CJ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