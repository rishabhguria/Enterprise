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TradePTT" sheetId="9" r:id="rId11"/>
    <sheet state="visible" name="VerifyTradeSummary" sheetId="10" r:id="rId12"/>
    <sheet state="visible" name="VerifyComplianceOrder" sheetId="11" r:id="rId13"/>
    <sheet state="visible" name="SelectTradeOnOrderGrid" sheetId="12" r:id="rId14"/>
    <sheet state="visible" name="CustomOrderTT2" sheetId="13" r:id="rId15"/>
    <sheet state="visible" name="ReplaceSubOrder" sheetId="14" r:id="rId16"/>
    <sheet state="visible" name="CustomOrderTT1" sheetId="15" r:id="rId17"/>
    <sheet state="visible" name="VerifySubOrder" sheetId="16" r:id="rId18"/>
  </sheets>
  <definedNames/>
  <calcPr/>
</workbook>
</file>

<file path=xl/sharedStrings.xml><?xml version="1.0" encoding="utf-8"?>
<sst xmlns="http://schemas.openxmlformats.org/spreadsheetml/2006/main" count="149" uniqueCount="45">
  <si>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</si>
  <si>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</si>
  <si>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</si>
  <si>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</si>
  <si>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</si>
  <si>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</si>
  <si>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</si>
  <si>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</si>
  <si>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</si>
  <si>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</si>
  <si>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</si>
  <si>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</si>
  <si>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</si>
  <si>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</si>
  <si>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</si>
  <si>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</si>
  <si>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</si>
  <si>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DoneAway</t>
  </si>
  <si>
    <t>Allocation1</t>
  </si>
  <si>
    <t>Buy</t>
  </si>
  <si>
    <t>Allocation2</t>
  </si>
  <si>
    <t>PricingInput</t>
  </si>
  <si>
    <t>DailyValuation</t>
  </si>
  <si>
    <t>GetDailyCash</t>
  </si>
  <si>
    <t>UpdateMultipleDailyCash</t>
  </si>
  <si>
    <t>USD</t>
  </si>
  <si>
    <t>PTT</t>
  </si>
  <si>
    <t>CalculatePTT</t>
  </si>
  <si>
    <t>Increase</t>
  </si>
  <si>
    <t>Percentage</t>
  </si>
  <si>
    <t>No</t>
  </si>
  <si>
    <t>Account</t>
  </si>
  <si>
    <t>Allocation1,Allocation2</t>
  </si>
  <si>
    <t>MS</t>
  </si>
  <si>
    <t>Market</t>
  </si>
  <si>
    <t>TradePTT</t>
  </si>
  <si>
    <t>VerifyTradeSummary</t>
  </si>
  <si>
    <t>Yes</t>
  </si>
  <si>
    <t>VerifyComplianceOrder</t>
  </si>
  <si>
    <t>Blotter</t>
  </si>
  <si>
    <t>SelectTradeOnOrderGrid</t>
  </si>
  <si>
    <t>Filled</t>
  </si>
  <si>
    <t>ReplaceSubOrder</t>
  </si>
  <si>
    <t>Replace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</si>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</sst>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1.0</v>
      </c>
      <c r="E6" s="13" t="s">
        <v>17</v>
      </c>
      <c r="F6" s="8"/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>
        <v>100.0</v>
      </c>
      <c r="D7" s="13">
        <v>1.0</v>
      </c>
      <c r="E7" s="13" t="s">
        <v>17</v>
      </c>
      <c r="F7" s="8"/>
      <c r="G7" s="8"/>
      <c r="H7" s="8"/>
      <c r="I7" s="13" t="s">
        <v>20</v>
      </c>
      <c r="J7" s="13" t="s">
        <v>19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>
        <f>today()-1</f>
        <v>45859</v>
      </c>
      <c r="C6" s="33">
        <f>today()</f>
        <v>45860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IFERROR(__xludf.DUMMYFUNCTION("""COMPUTED_VALUE"""),"SelectDateAtMPFC")</f>
        <v>SelectDateAtMPFC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25</v>
      </c>
      <c r="D6" s="13">
        <v>1000.0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25</v>
      </c>
      <c r="D7" s="13">
        <v>1000.0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28</v>
      </c>
      <c r="D6" s="13" t="s">
        <v>29</v>
      </c>
      <c r="E6" s="13">
        <v>10.0</v>
      </c>
      <c r="F6" s="13">
        <v>20.0</v>
      </c>
      <c r="G6" s="13" t="s">
        <v>30</v>
      </c>
      <c r="H6" s="13" t="s">
        <v>31</v>
      </c>
      <c r="I6" s="13" t="s">
        <v>32</v>
      </c>
      <c r="J6" s="8"/>
      <c r="K6" s="8"/>
      <c r="L6" s="8"/>
      <c r="M6" s="13" t="s">
        <v>33</v>
      </c>
      <c r="N6" s="8"/>
      <c r="O6" s="8"/>
      <c r="P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 t="str">
        <f>IFERROR(__xludf.DUMMYFUNCTION("""COMPUTED_VALUE"""),"Round Lots")</f>
        <v>Round Lots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28</v>
      </c>
      <c r="D6" s="13" t="s">
        <v>29</v>
      </c>
      <c r="E6" s="13">
        <v>10.0</v>
      </c>
      <c r="F6" s="13">
        <v>20.0</v>
      </c>
      <c r="G6" s="13" t="s">
        <v>30</v>
      </c>
      <c r="H6" s="13" t="s">
        <v>31</v>
      </c>
      <c r="I6" s="13" t="s">
        <v>32</v>
      </c>
      <c r="J6" s="8"/>
      <c r="K6" s="8"/>
      <c r="L6" s="8"/>
      <c r="M6" s="13" t="s">
        <v>33</v>
      </c>
      <c r="N6" s="8"/>
      <c r="O6" s="8"/>
      <c r="P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IFERROR(__xludf.DUMMYFUNCTION("""COMPUTED_VALUE"""),"Quantity")</f>
        <v>Quantity</v>
      </c>
      <c r="D5" s="28" t="str">
        <f>IFERROR(__xludf.DUMMYFUNCTION("""COMPUTED_VALUE"""),"Order side")</f>
        <v>Order side</v>
      </c>
      <c r="E5" s="28" t="str">
        <f>IFERROR(__xludf.DUMMYFUNCTION("""COMPUTED_VALUE"""),"AllowTrade")</f>
        <v>AllowTrade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14.0</v>
      </c>
      <c r="D6" s="13" t="s">
        <v>19</v>
      </c>
      <c r="E6" s="13" t="s">
        <v>37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>
        <v>14.0</v>
      </c>
      <c r="D7" s="13" t="s">
        <v>19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VerifyTradeSummary!$4:$4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 t="str">
        <f>IFERROR(__xludf.DUMMYFUNCTION("""COMPUTED_VALUE"""),"PendingApprovalPopUp")</f>
        <v>PendingApprovalPopUp</v>
      </c>
      <c r="O5" s="28" t="str">
        <f>IFERROR(__xludf.DUMMYFUNCTION("""COMPUTED_VALUE"""),"VerifyExportState")</f>
        <v>VerifyExportState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IFERROR(__xludf.DUMMYFUNCTION("TRANSPOSE(IMPORTRANGE(VLOOKUP($E$3,IMPORTRANGE('_Settings'!$B$3,$C$3&amp;""!A4:B1000""),2,FALSE),$G$3&amp;""!A4:A1000""))"),"#REF!")</f>
        <v>#REF!</v>
      </c>
      <c r="B5" s="28"/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19</v>
      </c>
      <c r="G6" s="13" t="s">
        <v>41</v>
      </c>
      <c r="H6" s="13">
        <v>28.0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20.0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19</v>
      </c>
      <c r="AL6" s="9" t="s">
        <v>41</v>
      </c>
      <c r="AM6" s="9">
        <v>72.0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>
        <v>20.0</v>
      </c>
      <c r="D6" s="13"/>
      <c r="E6" s="13" t="s">
        <v>43</v>
      </c>
      <c r="F6" s="8"/>
      <c r="G6" s="8"/>
      <c r="H6" s="8"/>
      <c r="I6" s="8"/>
      <c r="J6" s="13" t="s">
        <v>19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  <c r="AK6" s="9" t="s">
        <v>41</v>
      </c>
      <c r="AL6" s="9">
        <v>72.0</v>
      </c>
      <c r="AQ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