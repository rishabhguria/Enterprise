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2" activeTab="16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GetDailyCash" sheetId="5" r:id="rId5"/>
    <sheet name="UpdateDailyCash" sheetId="6" r:id="rId6"/>
    <sheet name="CreateLiveOrder" sheetId="7" r:id="rId7"/>
    <sheet name="SelectTrade" sheetId="8" r:id="rId8"/>
    <sheet name="AcknowledgeTrade" sheetId="9" r:id="rId9"/>
    <sheet name="ExecuteTrade" sheetId="10" r:id="rId10"/>
    <sheet name="SelectTrade1" sheetId="11" r:id="rId11"/>
    <sheet name="AcknowledgeTrade1" sheetId="12" r:id="rId12"/>
    <sheet name="ExecuteTrade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C6" i="5" l="1"/>
  <c r="B6" i="5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C5" i="13"/>
  <c r="E4" i="13"/>
  <c r="D5" i="12"/>
  <c r="F4" i="12"/>
  <c r="E5" i="11"/>
  <c r="G4" i="11"/>
  <c r="B5" i="10"/>
  <c r="D4" i="10"/>
  <c r="C5" i="9"/>
  <c r="E4" i="9"/>
  <c r="D5" i="8"/>
  <c r="F4" i="8"/>
  <c r="AL5" i="7"/>
  <c r="AD5" i="7"/>
  <c r="V5" i="7"/>
  <c r="N5" i="7"/>
  <c r="F5" i="7"/>
  <c r="Z4" i="7"/>
  <c r="R4" i="7"/>
  <c r="J4" i="7"/>
  <c r="B4" i="7"/>
  <c r="AE4" i="6"/>
  <c r="W4" i="6"/>
  <c r="O4" i="6"/>
  <c r="G4" i="6"/>
  <c r="AC4" i="5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B5" i="13"/>
  <c r="D4" i="13"/>
  <c r="C5" i="12"/>
  <c r="E4" i="12"/>
  <c r="D5" i="11"/>
  <c r="F4" i="11"/>
  <c r="A5" i="10"/>
  <c r="C4" i="10"/>
  <c r="B5" i="9"/>
  <c r="D4" i="9"/>
  <c r="C5" i="8"/>
  <c r="E4" i="8"/>
  <c r="AK5" i="7"/>
  <c r="AC5" i="7"/>
  <c r="U5" i="7"/>
  <c r="M5" i="7"/>
  <c r="E5" i="7"/>
  <c r="Y4" i="7"/>
  <c r="Q4" i="7"/>
  <c r="I4" i="7"/>
  <c r="AD4" i="6"/>
  <c r="V4" i="6"/>
  <c r="N4" i="6"/>
  <c r="F4" i="6"/>
  <c r="C5" i="5"/>
  <c r="AB4" i="5"/>
  <c r="T4" i="5"/>
  <c r="L4" i="5"/>
  <c r="D4" i="5"/>
  <c r="G5" i="4"/>
  <c r="I4" i="4"/>
  <c r="A19" i="3"/>
  <c r="A17" i="3"/>
  <c r="A15" i="3"/>
  <c r="A13" i="3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5" i="13"/>
  <c r="C4" i="13"/>
  <c r="B5" i="12"/>
  <c r="D4" i="12"/>
  <c r="C5" i="11"/>
  <c r="E4" i="11"/>
  <c r="J4" i="10"/>
  <c r="B4" i="10"/>
  <c r="A5" i="9"/>
  <c r="C4" i="9"/>
  <c r="B5" i="8"/>
  <c r="D4" i="8"/>
  <c r="AJ5" i="7"/>
  <c r="AB5" i="7"/>
  <c r="T5" i="7"/>
  <c r="L5" i="7"/>
  <c r="D5" i="7"/>
  <c r="X4" i="7"/>
  <c r="P4" i="7"/>
  <c r="H4" i="7"/>
  <c r="D5" i="6"/>
  <c r="AC4" i="6"/>
  <c r="U4" i="6"/>
  <c r="M4" i="6"/>
  <c r="E4" i="6"/>
  <c r="B5" i="5"/>
  <c r="AA4" i="5"/>
  <c r="S4" i="5"/>
  <c r="K4" i="5"/>
  <c r="C4" i="5"/>
  <c r="F5" i="4"/>
  <c r="H4" i="4"/>
  <c r="D20" i="3"/>
  <c r="D18" i="3"/>
  <c r="D16" i="3"/>
  <c r="D14" i="3"/>
  <c r="D12" i="3"/>
  <c r="D10" i="3"/>
  <c r="D8" i="3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J4" i="13"/>
  <c r="B4" i="13"/>
  <c r="A5" i="12"/>
  <c r="C4" i="12"/>
  <c r="B5" i="11"/>
  <c r="D4" i="11"/>
  <c r="I4" i="10"/>
  <c r="J4" i="9"/>
  <c r="B4" i="9"/>
  <c r="A5" i="8"/>
  <c r="C4" i="8"/>
  <c r="AI5" i="7"/>
  <c r="AA5" i="7"/>
  <c r="S5" i="7"/>
  <c r="K5" i="7"/>
  <c r="C5" i="7"/>
  <c r="W4" i="7"/>
  <c r="O4" i="7"/>
  <c r="G4" i="7"/>
  <c r="C5" i="6"/>
  <c r="AB4" i="6"/>
  <c r="T4" i="6"/>
  <c r="L4" i="6"/>
  <c r="D4" i="6"/>
  <c r="A5" i="5"/>
  <c r="Z4" i="5"/>
  <c r="R4" i="5"/>
  <c r="J4" i="5"/>
  <c r="B4" i="5"/>
  <c r="E5" i="4"/>
  <c r="G4" i="4"/>
  <c r="C20" i="3"/>
  <c r="C18" i="3"/>
  <c r="C16" i="3"/>
  <c r="C14" i="3"/>
  <c r="C12" i="3"/>
  <c r="C10" i="3"/>
  <c r="C8" i="3"/>
  <c r="C6" i="3"/>
  <c r="C4" i="3"/>
  <c r="A489" i="1"/>
  <c r="B486" i="1"/>
  <c r="C483" i="1"/>
  <c r="A481" i="1"/>
  <c r="B478" i="1"/>
  <c r="C475" i="1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I4" i="13"/>
  <c r="J4" i="12"/>
  <c r="B4" i="12"/>
  <c r="A5" i="11"/>
  <c r="C4" i="11"/>
  <c r="H4" i="10"/>
  <c r="G5" i="9"/>
  <c r="I4" i="9"/>
  <c r="J4" i="8"/>
  <c r="B4" i="8"/>
  <c r="AH5" i="7"/>
  <c r="Z5" i="7"/>
  <c r="R5" i="7"/>
  <c r="J5" i="7"/>
  <c r="B5" i="7"/>
  <c r="V4" i="7"/>
  <c r="N4" i="7"/>
  <c r="F4" i="7"/>
  <c r="B5" i="6"/>
  <c r="AA4" i="6"/>
  <c r="S4" i="6"/>
  <c r="K4" i="6"/>
  <c r="C4" i="6"/>
  <c r="AG4" i="5"/>
  <c r="Y4" i="5"/>
  <c r="Q4" i="5"/>
  <c r="I4" i="5"/>
  <c r="D5" i="4"/>
  <c r="F4" i="4"/>
  <c r="B20" i="3"/>
  <c r="B18" i="3"/>
  <c r="B16" i="3"/>
  <c r="B14" i="3"/>
  <c r="B12" i="3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H4" i="13"/>
  <c r="G5" i="12"/>
  <c r="I4" i="12"/>
  <c r="J4" i="11"/>
  <c r="B4" i="11"/>
  <c r="G4" i="10"/>
  <c r="F5" i="9"/>
  <c r="H4" i="9"/>
  <c r="G5" i="8"/>
  <c r="I4" i="8"/>
  <c r="AG5" i="7"/>
  <c r="Y5" i="7"/>
  <c r="Q5" i="7"/>
  <c r="I5" i="7"/>
  <c r="A5" i="7"/>
  <c r="U4" i="7"/>
  <c r="M4" i="7"/>
  <c r="E4" i="7"/>
  <c r="A5" i="6"/>
  <c r="Z4" i="6"/>
  <c r="R4" i="6"/>
  <c r="J4" i="6"/>
  <c r="B4" i="6"/>
  <c r="AF4" i="5"/>
  <c r="X4" i="5"/>
  <c r="P4" i="5"/>
  <c r="H4" i="5"/>
  <c r="K5" i="4"/>
  <c r="C5" i="4"/>
  <c r="E4" i="4"/>
  <c r="A20" i="3"/>
  <c r="A18" i="3"/>
  <c r="A16" i="3"/>
  <c r="A14" i="3"/>
  <c r="A12" i="3"/>
  <c r="A10" i="3"/>
  <c r="A8" i="3"/>
  <c r="A6" i="3"/>
  <c r="A4" i="3"/>
  <c r="B488" i="1"/>
  <c r="C485" i="1"/>
  <c r="A483" i="1"/>
  <c r="B480" i="1"/>
  <c r="C477" i="1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G4" i="13"/>
  <c r="F5" i="12"/>
  <c r="H4" i="12"/>
  <c r="G5" i="11"/>
  <c r="I4" i="11"/>
  <c r="F4" i="10"/>
  <c r="E5" i="9"/>
  <c r="G4" i="9"/>
  <c r="F5" i="8"/>
  <c r="H4" i="8"/>
  <c r="AN5" i="7"/>
  <c r="AF5" i="7"/>
  <c r="X5" i="7"/>
  <c r="P5" i="7"/>
  <c r="H5" i="7"/>
  <c r="AB4" i="7"/>
  <c r="T4" i="7"/>
  <c r="L4" i="7"/>
  <c r="D4" i="7"/>
  <c r="AG4" i="6"/>
  <c r="Y4" i="6"/>
  <c r="Q4" i="6"/>
  <c r="I4" i="6"/>
  <c r="AE4" i="5"/>
  <c r="W4" i="5"/>
  <c r="O4" i="5"/>
  <c r="G4" i="5"/>
  <c r="J5" i="4"/>
  <c r="B5" i="4"/>
  <c r="D4" i="4"/>
  <c r="D19" i="3"/>
  <c r="D17" i="3"/>
  <c r="D15" i="3"/>
  <c r="D13" i="3"/>
  <c r="D11" i="3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F4" i="13"/>
  <c r="E5" i="12"/>
  <c r="G4" i="12"/>
  <c r="F5" i="11"/>
  <c r="H4" i="11"/>
  <c r="C5" i="10"/>
  <c r="E4" i="10"/>
  <c r="D5" i="9"/>
  <c r="F4" i="9"/>
  <c r="E5" i="8"/>
  <c r="G4" i="8"/>
  <c r="AM5" i="7"/>
  <c r="AE5" i="7"/>
  <c r="W5" i="7"/>
  <c r="O5" i="7"/>
  <c r="G5" i="7"/>
  <c r="AA4" i="7"/>
  <c r="S4" i="7"/>
  <c r="K4" i="7"/>
  <c r="C4" i="7"/>
  <c r="AF4" i="6"/>
  <c r="X4" i="6"/>
  <c r="P4" i="6"/>
  <c r="H4" i="6"/>
  <c r="E4" i="5"/>
  <c r="B19" i="3"/>
  <c r="B11" i="3"/>
  <c r="D7" i="3"/>
  <c r="B5" i="3"/>
  <c r="B489" i="1"/>
  <c r="B485" i="1"/>
  <c r="A482" i="1"/>
  <c r="C478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I5" i="4"/>
  <c r="C17" i="3"/>
  <c r="A11" i="3"/>
  <c r="C7" i="3"/>
  <c r="A5" i="3"/>
  <c r="C488" i="1"/>
  <c r="A485" i="1"/>
  <c r="C481" i="1"/>
  <c r="A478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AD4" i="5"/>
  <c r="H5" i="4"/>
  <c r="B17" i="3"/>
  <c r="B10" i="3"/>
  <c r="B7" i="3"/>
  <c r="D4" i="3"/>
  <c r="A488" i="1"/>
  <c r="C484" i="1"/>
  <c r="B481" i="1"/>
  <c r="B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V4" i="5"/>
  <c r="A5" i="4"/>
  <c r="C15" i="3"/>
  <c r="D9" i="3"/>
  <c r="A7" i="3"/>
  <c r="B4" i="3"/>
  <c r="C487" i="1"/>
  <c r="B484" i="1"/>
  <c r="C480" i="1"/>
  <c r="A477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U4" i="5"/>
  <c r="J4" i="4"/>
  <c r="B15" i="3"/>
  <c r="C9" i="3"/>
  <c r="D6" i="3"/>
  <c r="C490" i="1"/>
  <c r="B487" i="1"/>
  <c r="A484" i="1"/>
  <c r="A480" i="1"/>
  <c r="C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N4" i="5"/>
  <c r="C4" i="4"/>
  <c r="C13" i="3"/>
  <c r="B9" i="3"/>
  <c r="B6" i="3"/>
  <c r="B490" i="1"/>
  <c r="A487" i="1"/>
  <c r="B483" i="1"/>
  <c r="C479" i="1"/>
  <c r="B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M4" i="5"/>
  <c r="B4" i="4"/>
  <c r="B13" i="3"/>
  <c r="A9" i="3"/>
  <c r="D5" i="3"/>
  <c r="A490" i="1"/>
  <c r="C486" i="1"/>
  <c r="C482" i="1"/>
  <c r="B479" i="1"/>
  <c r="A476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F4" i="5"/>
  <c r="C19" i="3"/>
  <c r="C11" i="3"/>
  <c r="B8" i="3"/>
  <c r="C5" i="3"/>
  <c r="C489" i="1"/>
  <c r="A486" i="1"/>
  <c r="B482" i="1"/>
  <c r="A479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6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8" i="1"/>
  <c r="B15" i="1"/>
  <c r="B165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B23" i="1"/>
  <c r="B164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8" i="1"/>
  <c r="B8" i="1"/>
  <c r="C36" i="1"/>
  <c r="C20" i="1"/>
  <c r="A10" i="1"/>
  <c r="C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A6" i="1"/>
  <c r="B5" i="1"/>
  <c r="B31" i="1"/>
  <c r="B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C5" i="1"/>
  <c r="A34" i="1"/>
  <c r="B7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39" i="1"/>
  <c r="C4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44" i="1"/>
  <c r="A18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A42" i="1"/>
  <c r="A26" i="1"/>
  <c r="C12" i="1"/>
  <c r="J2" i="16" l="1"/>
  <c r="J2" i="7"/>
  <c r="J2" i="4"/>
  <c r="J2" i="10"/>
  <c r="J2" i="15"/>
  <c r="J2" i="13"/>
  <c r="J2" i="9"/>
  <c r="J2" i="5"/>
  <c r="J2" i="12"/>
  <c r="J2" i="8"/>
  <c r="J2" i="11"/>
  <c r="J2" i="6"/>
  <c r="J2" i="17"/>
  <c r="J2" i="14"/>
</calcChain>
</file>

<file path=xl/sharedStrings.xml><?xml version="1.0" encoding="utf-8"?>
<sst xmlns="http://schemas.openxmlformats.org/spreadsheetml/2006/main" count="200" uniqueCount="48">
  <si>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</si>
  <si>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</si>
  <si>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</si>
  <si>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</si>
  <si>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</si>
  <si>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</si>
  <si>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</si>
  <si>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</si>
  <si>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</si>
  <si>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</si>
  <si>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</si>
  <si>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</si>
  <si>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</si>
  <si>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</si>
  <si>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</si>
  <si>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</si>
  <si>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</si>
  <si>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</si>
  <si>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</si>
  <si>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</si>
  <si>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</si>
  <si>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</si>
  <si>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CreateLiveOrder</t>
  </si>
  <si>
    <t>AAPL</t>
  </si>
  <si>
    <t>Sell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</si>
  <si>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</si>
  <si>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</si>
  <si>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</si>
  <si>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</si>
  <si>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</si>
  <si>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</si>
  <si>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</si>
  <si>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NewMF</t>
  </si>
  <si>
    <t>Equity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</si>
  <si>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</si>
  <si>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</si>
  <si>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</si>
  <si>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</si>
  <si>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</si>
  <si>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</si>
  <si>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</si>
  <si>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NASDAQ</t>
  </si>
  <si>
    <t>US</t>
  </si>
  <si>
    <t>PortfolioManagement</t>
  </si>
  <si>
    <t>CheckPortfolioManagement</t>
  </si>
  <si>
    <t>Short</t>
  </si>
  <si>
    <t>APPLE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</si>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</sst>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3" fillId="0" borderId="5" xfId="0" applyFont="1" applyBorder="1" applyAlignment="1">
      <alignment horizontal="right"/>
    </xf>
    <xf numFmtId="0" fontId="13" fillId="0" borderId="0" xfId="0" applyFont="1" applyAlignment="1"/>
    <xf numFmtId="3" fontId="3" fillId="0" borderId="0" xfId="0" applyNumberFormat="1" applyFont="1" applyAlignment="1">
      <alignment horizontal="right"/>
    </xf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E30" sqref="E30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1" t="s">
        <v>0</v>
      </c>
      <c r="B1" s="52"/>
      <c r="C1" s="52"/>
      <c r="D1" s="52"/>
      <c r="E1" s="52"/>
      <c r="F1" s="53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>
      <c r="A486" t="str">
        <f ca="1">IFERROR(__xludf.DUMMYFUNCTION("""COMPUTED_VALUE"""),"TradingTicket")</f>
        <v>TradingTicket</v>
      </c>
      <c r="B486" t="str">
        <f ca="1">IFERROR(__xludf.DUMMYFUNCTION("""COMPUTED_VALUE"""),"ToggleBlombergOnRA")</f>
        <v>ToggleBlombergOnRA</v>
      </c>
      <c r="C486" t="str">
        <f ca="1">IFERROR(__xludf.DUMMYFUNCTION("""COMPUTED_VALUE"""),"1TKv9C1mMXj8HlEzeLMciT110iLyZ9OhIh0lSuptGP1c")</f>
        <v>1TKv9C1mMXj8HlEzeLMciT110iLyZ9OhIh0lSuptGP1c</v>
      </c>
    </row>
    <row r="487" spans="1:3" ht="15.75" customHeight="1">
      <c r="A487" t="str">
        <f ca="1">IFERROR(__xludf.DUMMYFUNCTION("""COMPUTED_VALUE"""),"TradingTicket")</f>
        <v>TradingTicket</v>
      </c>
      <c r="B487" t="str">
        <f ca="1">IFERROR(__xludf.DUMMYFUNCTION("""COMPUTED_VALUE"""),"RemoveSymbolFromRAList")</f>
        <v>RemoveSymbolFromRAList</v>
      </c>
      <c r="C487" t="str">
        <f ca="1">IFERROR(__xludf.DUMMYFUNCTION("""COMPUTED_VALUE"""),"1esriqspMNcbGjPDPy2u7bJyQKd05b0Y9Sin8DcUfSEE")</f>
        <v>1esriqspMNcbGjPDPy2u7bJyQKd05b0Y9Sin8DcUfSEE</v>
      </c>
    </row>
    <row r="488" spans="1:3" ht="15.75" customHeight="1">
      <c r="A488" t="str">
        <f ca="1">IFERROR(__xludf.DUMMYFUNCTION("""COMPUTED_VALUE"""),"Report")</f>
        <v>Report</v>
      </c>
      <c r="B488" t="str">
        <f ca="1">IFERROR(__xludf.DUMMYFUNCTION("""COMPUTED_VALUE"""),"ReportMatching")</f>
        <v>ReportMatching</v>
      </c>
      <c r="C488" t="str">
        <f ca="1">IFERROR(__xludf.DUMMYFUNCTION("""COMPUTED_VALUE"""),"1IURT1smTM6q7aOlSfUxXb-piLEDNEFM-Z_rxNUweXqU")</f>
        <v>1IURT1smTM6q7aOlSfUxXb-piLEDNEFM-Z_rxNUweXqU</v>
      </c>
    </row>
    <row r="489" spans="1:3" ht="15.75" customHeight="1">
      <c r="A489" t="str">
        <f ca="1">IFERROR(__xludf.DUMMYFUNCTION("""COMPUTED_VALUE"""),"Admin")</f>
        <v>Admin</v>
      </c>
      <c r="B489" t="str">
        <f ca="1">IFERROR(__xludf.DUMMYFUNCTION("""COMPUTED_VALUE"""),"EnableBreakdownRealizedPNL")</f>
        <v>EnableBreakdownRealizedPNL</v>
      </c>
      <c r="C489" t="str">
        <f ca="1">IFERROR(__xludf.DUMMYFUNCTION("""COMPUTED_VALUE"""),"1MsdAMudFZTDN6c4GJMzmiY0zvgautsPJWcDY1jxOGP0")</f>
        <v>1MsdAMudFZTDN6c4GJMzmiY0zvgautsPJWcDY1jxOGP0</v>
      </c>
    </row>
    <row r="490" spans="1:3" ht="15.75" customHeight="1">
      <c r="A490" t="str">
        <f ca="1">IFERROR(__xludf.DUMMYFUNCTION("""COMPUTED_VALUE"""),"Admin")</f>
        <v>Admin</v>
      </c>
      <c r="B490" t="str">
        <f ca="1">IFERROR(__xludf.DUMMYFUNCTION("""COMPUTED_VALUE"""),"SetTTGeneralPreferences")</f>
        <v>SetTTGeneralPreferences</v>
      </c>
      <c r="C490" t="str">
        <f ca="1">IFERROR(__xludf.DUMMYFUNCTION("""COMPUTED_VALUE"""),"1VU4CqD-ZRcRyvM1M2otqULbHS-fnUmcO_NcgQMsS9rE")</f>
        <v>1VU4CqD-ZRcRyvM1M2otqULbHS-fnUmcO_NcgQMsS9rE</v>
      </c>
    </row>
    <row r="491" spans="1:3" ht="15.75" customHeight="1"/>
    <row r="492" spans="1:3" ht="15.75" customHeight="1"/>
    <row r="493" spans="1:3" ht="15.75" customHeight="1"/>
    <row r="494" spans="1:3" ht="15.75" customHeight="1"/>
    <row r="495" spans="1:3" ht="15.75" customHeight="1"/>
    <row r="496" spans="1:3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4" t="s">
        <v>2</v>
      </c>
      <c r="B1" s="52"/>
      <c r="C1" s="53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1" t="s">
        <v>7</v>
      </c>
      <c r="B1" s="52"/>
      <c r="C1" s="52"/>
      <c r="D1" s="52"/>
      <c r="E1" s="52"/>
      <c r="F1" s="53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28" t="b">
        <v>1</v>
      </c>
      <c r="E6" s="27"/>
      <c r="F6" s="27"/>
      <c r="G6" s="27"/>
      <c r="H6" s="29">
        <v>10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31">
        <f ca="1">TODAY()-1</f>
        <v>44411</v>
      </c>
      <c r="C6" s="32">
        <f ca="1">TODAY()-1</f>
        <v>44411</v>
      </c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16</v>
      </c>
      <c r="D3" s="2" t="s">
        <v>9</v>
      </c>
      <c r="E3" s="17" t="s">
        <v>18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19</v>
      </c>
      <c r="C6" s="27" t="s">
        <v>20</v>
      </c>
      <c r="D6" s="34">
        <v>300000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IFERROR(__xludf.DUMMYFUNCTION("""COMPUTED_VALUE"""),"ToggleBlombergOnRA")</f>
        <v>ToggleBlombergOnRA</v>
      </c>
      <c r="AB4" s="20" t="str">
        <f ca="1">IFERROR(__xludf.DUMMYFUNCTION("""COMPUTED_VALUE"""),"RemoveSymbolFromRAList")</f>
        <v>RemoveSymbolFromRAList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IFERROR(__xludf.DUMMYFUNCTION("""COMPUTED_VALUE"""),"EditOrder")</f>
        <v>EditOrder</v>
      </c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23</v>
      </c>
      <c r="C6" s="35" t="s">
        <v>24</v>
      </c>
      <c r="D6" s="34">
        <v>100</v>
      </c>
      <c r="E6" s="29">
        <v>100</v>
      </c>
      <c r="F6" s="27" t="s">
        <v>19</v>
      </c>
      <c r="G6" s="27" t="s">
        <v>25</v>
      </c>
      <c r="H6" s="27"/>
      <c r="I6" s="27"/>
      <c r="J6" s="29">
        <v>210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23</v>
      </c>
      <c r="C7" s="36" t="s">
        <v>24</v>
      </c>
      <c r="D7" s="37">
        <v>100000</v>
      </c>
      <c r="E7" s="37">
        <v>100000</v>
      </c>
      <c r="F7" s="30" t="s">
        <v>19</v>
      </c>
      <c r="G7" s="30" t="s">
        <v>25</v>
      </c>
      <c r="H7" s="30"/>
      <c r="I7" s="30"/>
      <c r="J7" s="37">
        <v>210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5" t="s">
        <v>24</v>
      </c>
      <c r="C6" s="38" t="s">
        <v>23</v>
      </c>
      <c r="D6" s="26"/>
      <c r="E6" s="38"/>
      <c r="F6" s="27"/>
      <c r="G6" s="29">
        <v>100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5" t="s">
        <v>24</v>
      </c>
      <c r="C6" s="38" t="s">
        <v>23</v>
      </c>
      <c r="D6" s="26"/>
      <c r="E6" s="38"/>
      <c r="F6" s="27"/>
      <c r="G6" s="29">
        <v>100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4">
        <v>210</v>
      </c>
      <c r="C6" s="29">
        <v>100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5" t="s">
        <v>24</v>
      </c>
      <c r="C6" s="38" t="s">
        <v>23</v>
      </c>
      <c r="D6" s="26"/>
      <c r="E6" s="38"/>
      <c r="F6" s="27"/>
      <c r="G6" s="29">
        <v>100000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5" t="s">
        <v>24</v>
      </c>
      <c r="C6" s="38" t="s">
        <v>23</v>
      </c>
      <c r="D6" s="26"/>
      <c r="E6" s="38"/>
      <c r="F6" s="27"/>
      <c r="G6" s="29">
        <v>100000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26</v>
      </c>
      <c r="D3" s="2" t="s">
        <v>9</v>
      </c>
      <c r="E3" s="17" t="s">
        <v>29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4">
        <v>210</v>
      </c>
      <c r="C6" s="29">
        <v>100000</v>
      </c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34">
        <v>210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6" t="s">
        <v>32</v>
      </c>
      <c r="AB6" s="30"/>
      <c r="AC6" s="30"/>
      <c r="AD6" s="36">
        <v>1</v>
      </c>
      <c r="AE6" s="30"/>
      <c r="AF6" s="30"/>
      <c r="AG6" s="30"/>
      <c r="AH6" s="36" t="s">
        <v>33</v>
      </c>
      <c r="AI6" s="30" t="s">
        <v>23</v>
      </c>
      <c r="AJ6" s="36" t="s">
        <v>24</v>
      </c>
      <c r="AK6" s="30" t="s">
        <v>34</v>
      </c>
      <c r="AL6" s="39">
        <v>100</v>
      </c>
      <c r="AM6" s="39">
        <v>100</v>
      </c>
      <c r="AN6" s="39">
        <v>100</v>
      </c>
      <c r="AO6" s="39">
        <v>100</v>
      </c>
      <c r="AP6" s="30"/>
      <c r="AQ6" s="39">
        <v>210</v>
      </c>
      <c r="AR6" s="39">
        <v>210</v>
      </c>
      <c r="AS6" s="30" t="s">
        <v>25</v>
      </c>
      <c r="AT6" s="30" t="s">
        <v>19</v>
      </c>
      <c r="AU6" s="30" t="s">
        <v>35</v>
      </c>
      <c r="AV6" s="40">
        <v>-21000</v>
      </c>
      <c r="AW6" s="40">
        <v>-21000</v>
      </c>
      <c r="AX6" s="30"/>
      <c r="AY6" s="39">
        <v>100</v>
      </c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/>
      <c r="C7" s="30"/>
      <c r="D7" s="37">
        <v>210</v>
      </c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6" t="s">
        <v>32</v>
      </c>
      <c r="AB7" s="30"/>
      <c r="AC7" s="30"/>
      <c r="AD7" s="36">
        <v>1</v>
      </c>
      <c r="AE7" s="30"/>
      <c r="AF7" s="30"/>
      <c r="AG7" s="30"/>
      <c r="AH7" s="36" t="s">
        <v>33</v>
      </c>
      <c r="AI7" s="30" t="s">
        <v>23</v>
      </c>
      <c r="AJ7" s="36" t="s">
        <v>24</v>
      </c>
      <c r="AK7" s="30" t="s">
        <v>34</v>
      </c>
      <c r="AL7" s="39">
        <v>100000</v>
      </c>
      <c r="AM7" s="39">
        <v>100000</v>
      </c>
      <c r="AN7" s="39">
        <v>100</v>
      </c>
      <c r="AO7" s="39">
        <v>100000</v>
      </c>
      <c r="AP7" s="30"/>
      <c r="AQ7" s="39">
        <v>210</v>
      </c>
      <c r="AR7" s="39">
        <v>210</v>
      </c>
      <c r="AS7" s="30" t="s">
        <v>25</v>
      </c>
      <c r="AT7" s="30" t="s">
        <v>19</v>
      </c>
      <c r="AU7" s="30" t="s">
        <v>35</v>
      </c>
      <c r="AV7" s="41">
        <v>-21000000</v>
      </c>
      <c r="AW7" s="41">
        <v>-21000000</v>
      </c>
      <c r="AX7" s="30"/>
      <c r="AY7" s="39">
        <v>100000</v>
      </c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38</v>
      </c>
      <c r="C6" s="5"/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36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2" t="s">
        <v>19</v>
      </c>
      <c r="C6" s="27"/>
      <c r="D6" s="43">
        <v>0</v>
      </c>
      <c r="E6" s="29">
        <v>100</v>
      </c>
      <c r="F6" s="27"/>
      <c r="G6" s="27"/>
      <c r="H6" s="43">
        <v>4</v>
      </c>
      <c r="I6" s="43">
        <v>5</v>
      </c>
      <c r="J6" s="5"/>
      <c r="K6" s="43">
        <v>210</v>
      </c>
      <c r="L6" s="43">
        <v>210</v>
      </c>
      <c r="M6" s="27"/>
      <c r="N6" s="27"/>
      <c r="O6" s="38" t="s">
        <v>25</v>
      </c>
      <c r="Q6" s="43">
        <v>3</v>
      </c>
      <c r="R6" s="44">
        <v>0</v>
      </c>
      <c r="S6" s="27" t="s">
        <v>40</v>
      </c>
      <c r="T6" s="39">
        <v>0</v>
      </c>
      <c r="U6" s="39">
        <v>0</v>
      </c>
      <c r="Z6" s="45" t="s">
        <v>20</v>
      </c>
      <c r="AD6" s="45" t="s">
        <v>41</v>
      </c>
      <c r="AE6" s="43">
        <v>100</v>
      </c>
      <c r="AI6" s="6">
        <v>1</v>
      </c>
      <c r="AT6" s="43">
        <v>20985.9882</v>
      </c>
      <c r="AU6" s="43">
        <v>20985.9882</v>
      </c>
      <c r="AW6" s="43">
        <v>0</v>
      </c>
      <c r="AX6" s="43">
        <v>0</v>
      </c>
      <c r="AY6" s="36" t="s">
        <v>35</v>
      </c>
      <c r="AZ6" s="43">
        <v>0</v>
      </c>
      <c r="BA6" s="30"/>
      <c r="BB6" s="30"/>
      <c r="BC6" s="43">
        <v>0</v>
      </c>
      <c r="BE6" s="46">
        <v>21000</v>
      </c>
      <c r="BF6" s="39">
        <v>21000</v>
      </c>
      <c r="BG6" s="30"/>
      <c r="BH6" s="30"/>
      <c r="BI6" s="30"/>
      <c r="BJ6" s="39">
        <v>100</v>
      </c>
      <c r="BM6" s="45" t="s">
        <v>20</v>
      </c>
      <c r="BO6" s="6" t="s">
        <v>24</v>
      </c>
      <c r="BP6" s="43">
        <v>0</v>
      </c>
      <c r="BQ6" s="43">
        <v>0</v>
      </c>
      <c r="BT6" s="6" t="s">
        <v>23</v>
      </c>
      <c r="BU6" s="43">
        <v>3</v>
      </c>
      <c r="BV6" s="43">
        <v>0</v>
      </c>
      <c r="BW6" s="43">
        <v>14.011799999999999</v>
      </c>
      <c r="BX6" s="43">
        <v>0</v>
      </c>
      <c r="CI6" s="45" t="s">
        <v>24</v>
      </c>
      <c r="CJ6" s="43">
        <v>0</v>
      </c>
      <c r="CK6" s="45" t="s">
        <v>42</v>
      </c>
    </row>
    <row r="7" spans="1:154" ht="15.75" customHeight="1">
      <c r="A7" s="5"/>
      <c r="B7" s="47" t="s">
        <v>19</v>
      </c>
      <c r="C7" s="30"/>
      <c r="D7" s="43">
        <v>0</v>
      </c>
      <c r="E7" s="37">
        <v>100000</v>
      </c>
      <c r="F7" s="30"/>
      <c r="G7" s="30"/>
      <c r="H7" s="43">
        <v>4</v>
      </c>
      <c r="I7" s="43">
        <v>5</v>
      </c>
      <c r="J7" s="5"/>
      <c r="K7" s="43">
        <v>210</v>
      </c>
      <c r="L7" s="43">
        <v>210</v>
      </c>
      <c r="M7" s="30"/>
      <c r="N7" s="30"/>
      <c r="O7" s="47" t="s">
        <v>25</v>
      </c>
      <c r="Q7" s="43">
        <v>3</v>
      </c>
      <c r="R7" s="39">
        <v>0</v>
      </c>
      <c r="S7" s="30" t="s">
        <v>40</v>
      </c>
      <c r="T7" s="39">
        <v>0</v>
      </c>
      <c r="U7" s="39">
        <v>0</v>
      </c>
      <c r="Z7" s="45" t="s">
        <v>20</v>
      </c>
      <c r="AD7" s="45" t="s">
        <v>41</v>
      </c>
      <c r="AE7" s="43">
        <v>100000</v>
      </c>
      <c r="AI7" s="6">
        <v>1</v>
      </c>
      <c r="AT7" s="43">
        <v>20999974.239999998</v>
      </c>
      <c r="AU7" s="43">
        <v>20999974.239999998</v>
      </c>
      <c r="AW7" s="43">
        <v>0</v>
      </c>
      <c r="AX7" s="43">
        <v>0</v>
      </c>
      <c r="AY7" s="36" t="s">
        <v>35</v>
      </c>
      <c r="AZ7" s="43">
        <v>0</v>
      </c>
      <c r="BA7" s="30"/>
      <c r="BB7" s="30"/>
      <c r="BC7" s="43">
        <v>0</v>
      </c>
      <c r="BE7" s="46">
        <v>21000000</v>
      </c>
      <c r="BF7" s="46">
        <v>21000000</v>
      </c>
      <c r="BG7" s="30"/>
      <c r="BH7" s="30"/>
      <c r="BI7" s="30"/>
      <c r="BJ7" s="39">
        <v>100000</v>
      </c>
      <c r="BM7" s="45" t="s">
        <v>20</v>
      </c>
      <c r="BO7" s="6" t="s">
        <v>24</v>
      </c>
      <c r="BP7" s="43">
        <v>0</v>
      </c>
      <c r="BQ7" s="43">
        <v>0</v>
      </c>
      <c r="BT7" s="6" t="s">
        <v>23</v>
      </c>
      <c r="BU7" s="43">
        <v>3</v>
      </c>
      <c r="BV7" s="43">
        <v>0</v>
      </c>
      <c r="BW7" s="43">
        <v>25.76</v>
      </c>
      <c r="BX7" s="43">
        <v>0</v>
      </c>
      <c r="CI7" s="45" t="s">
        <v>24</v>
      </c>
      <c r="CJ7" s="43">
        <v>0</v>
      </c>
      <c r="CK7" s="45" t="s">
        <v>42</v>
      </c>
    </row>
    <row r="8" spans="1:154" ht="15.75" customHeight="1">
      <c r="A8" s="5"/>
      <c r="B8" s="5"/>
      <c r="C8" s="5"/>
      <c r="D8" s="5"/>
      <c r="E8" s="5"/>
      <c r="F8" s="5"/>
      <c r="G8" s="5"/>
      <c r="H8" s="45"/>
      <c r="I8" s="45"/>
      <c r="J8" s="5"/>
      <c r="K8" s="45"/>
      <c r="L8" s="45"/>
      <c r="M8" s="30"/>
      <c r="N8" s="30"/>
      <c r="O8" s="30"/>
      <c r="R8" s="30"/>
      <c r="S8" s="30"/>
      <c r="T8" s="30"/>
      <c r="U8" s="30"/>
      <c r="Z8" s="45"/>
      <c r="AW8" s="30"/>
      <c r="AX8" s="30"/>
      <c r="AY8" s="30"/>
      <c r="AZ8" s="30"/>
      <c r="BA8" s="30"/>
      <c r="BB8" s="30"/>
      <c r="BC8" s="30"/>
      <c r="BE8" s="30"/>
      <c r="BF8" s="30"/>
      <c r="BG8" s="30"/>
      <c r="BH8" s="30"/>
      <c r="BI8" s="30"/>
      <c r="BJ8" s="30"/>
      <c r="BU8" s="45"/>
      <c r="BV8" s="4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45"/>
      <c r="J9" s="5"/>
      <c r="K9" s="45"/>
      <c r="L9" s="45"/>
      <c r="M9" s="5"/>
      <c r="N9" s="5"/>
      <c r="O9" s="5"/>
      <c r="R9" s="30"/>
      <c r="S9" s="30"/>
      <c r="T9" s="30"/>
      <c r="U9" s="30"/>
      <c r="BE9" s="30"/>
      <c r="BF9" s="30"/>
      <c r="BG9" s="30"/>
      <c r="BH9" s="30"/>
      <c r="BI9" s="30"/>
      <c r="BJ9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G1" workbookViewId="0">
      <selection activeCell="BM14" sqref="BM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5" customWidth="1"/>
    <col min="64" max="168" width="14.42578125" customWidth="1"/>
  </cols>
  <sheetData>
    <row r="1" spans="1:168" ht="15.75" customHeight="1">
      <c r="A1" s="13"/>
      <c r="B1" s="51" t="s">
        <v>11</v>
      </c>
      <c r="C1" s="52"/>
      <c r="D1" s="52"/>
      <c r="E1" s="52"/>
      <c r="F1" s="52"/>
      <c r="G1" s="52"/>
      <c r="H1" s="5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6"/>
      <c r="C6" s="27" t="s">
        <v>23</v>
      </c>
      <c r="D6" s="48">
        <v>-100</v>
      </c>
      <c r="E6" s="27" t="s">
        <v>19</v>
      </c>
      <c r="F6" s="35" t="s">
        <v>32</v>
      </c>
      <c r="G6" s="29">
        <v>210</v>
      </c>
      <c r="H6" s="35" t="s">
        <v>45</v>
      </c>
      <c r="I6" s="29">
        <v>0</v>
      </c>
      <c r="J6" s="7">
        <v>0</v>
      </c>
      <c r="K6" s="7">
        <v>0</v>
      </c>
      <c r="L6" s="7">
        <v>0</v>
      </c>
      <c r="M6" s="7">
        <v>0</v>
      </c>
      <c r="N6" s="49">
        <v>21000</v>
      </c>
      <c r="O6" s="7" t="s">
        <v>46</v>
      </c>
      <c r="Q6" s="49">
        <v>21000</v>
      </c>
      <c r="T6" s="6" t="s">
        <v>33</v>
      </c>
      <c r="U6" s="6" t="s">
        <v>42</v>
      </c>
      <c r="V6" s="6" t="s">
        <v>41</v>
      </c>
      <c r="W6" s="6" t="s">
        <v>20</v>
      </c>
      <c r="Y6" s="6">
        <v>1</v>
      </c>
      <c r="AB6" s="39">
        <v>0</v>
      </c>
      <c r="AC6" s="39">
        <v>0</v>
      </c>
      <c r="AD6" s="39">
        <v>0</v>
      </c>
      <c r="AE6" s="39">
        <v>0</v>
      </c>
      <c r="AF6" s="40">
        <v>-100</v>
      </c>
      <c r="AG6" s="39">
        <v>0</v>
      </c>
      <c r="AH6" s="39">
        <v>0</v>
      </c>
      <c r="AI6" s="39">
        <v>0</v>
      </c>
      <c r="AJ6" s="39">
        <v>0</v>
      </c>
      <c r="AK6" s="49">
        <v>21000</v>
      </c>
      <c r="AL6" s="6">
        <v>1</v>
      </c>
      <c r="AM6" s="6">
        <v>1</v>
      </c>
      <c r="AN6" s="6" t="s">
        <v>24</v>
      </c>
      <c r="AP6" s="6" t="s">
        <v>47</v>
      </c>
      <c r="AQ6" s="6" t="s">
        <v>23</v>
      </c>
      <c r="AR6" s="6">
        <v>0</v>
      </c>
      <c r="AV6" s="6">
        <v>1</v>
      </c>
      <c r="AW6" s="49">
        <v>21000</v>
      </c>
      <c r="AX6" s="6">
        <v>0</v>
      </c>
      <c r="AY6" s="6">
        <v>0</v>
      </c>
      <c r="AZ6" s="6">
        <v>0</v>
      </c>
      <c r="BC6" s="6">
        <v>1</v>
      </c>
      <c r="BD6" s="49">
        <v>21000</v>
      </c>
      <c r="BE6" s="6" t="s">
        <v>33</v>
      </c>
      <c r="BJ6" s="6">
        <v>0</v>
      </c>
      <c r="BK6" s="6">
        <v>0</v>
      </c>
      <c r="BL6" s="6">
        <v>0</v>
      </c>
      <c r="BM6" s="6">
        <v>0</v>
      </c>
      <c r="BO6" s="49">
        <v>21000</v>
      </c>
      <c r="BP6" s="6">
        <v>0</v>
      </c>
      <c r="BR6" s="6" t="s">
        <v>25</v>
      </c>
      <c r="BS6" s="6">
        <v>0</v>
      </c>
      <c r="BT6" s="6">
        <v>0</v>
      </c>
      <c r="BU6" s="6" t="s">
        <v>33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49">
        <v>21000</v>
      </c>
      <c r="CE6" s="6">
        <v>0</v>
      </c>
      <c r="CF6" s="6">
        <v>0</v>
      </c>
      <c r="CG6" s="49">
        <v>21000</v>
      </c>
      <c r="CI6" s="6">
        <v>0</v>
      </c>
      <c r="CJ6" s="6">
        <v>0</v>
      </c>
      <c r="CS6" s="6">
        <v>210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24</v>
      </c>
      <c r="DK6" s="6">
        <v>0</v>
      </c>
      <c r="DL6" s="6">
        <v>0</v>
      </c>
      <c r="DM6" s="6">
        <v>1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 t="s">
        <v>47</v>
      </c>
      <c r="EM6" s="6">
        <v>0</v>
      </c>
      <c r="EN6" s="6">
        <v>0</v>
      </c>
      <c r="EQ6" s="6">
        <v>0</v>
      </c>
      <c r="ER6" s="6">
        <v>0</v>
      </c>
    </row>
    <row r="7" spans="1:168" ht="15.75" customHeight="1">
      <c r="A7" s="30"/>
      <c r="B7" s="30"/>
      <c r="C7" s="30" t="s">
        <v>23</v>
      </c>
      <c r="D7" s="50">
        <v>-100000</v>
      </c>
      <c r="E7" s="30" t="s">
        <v>19</v>
      </c>
      <c r="F7" s="36" t="s">
        <v>32</v>
      </c>
      <c r="G7" s="37">
        <v>210</v>
      </c>
      <c r="H7" s="36" t="s">
        <v>45</v>
      </c>
      <c r="I7" s="37">
        <v>0</v>
      </c>
      <c r="J7" s="7">
        <v>0</v>
      </c>
      <c r="K7" s="7">
        <v>0</v>
      </c>
      <c r="L7" s="7">
        <v>0</v>
      </c>
      <c r="M7" s="7">
        <v>0</v>
      </c>
      <c r="N7" s="50">
        <v>21000000</v>
      </c>
      <c r="O7" s="7" t="s">
        <v>46</v>
      </c>
      <c r="Q7" s="50">
        <v>21000000</v>
      </c>
      <c r="T7" s="6" t="s">
        <v>33</v>
      </c>
      <c r="U7" s="6" t="s">
        <v>42</v>
      </c>
      <c r="V7" s="6" t="s">
        <v>41</v>
      </c>
      <c r="W7" s="6" t="s">
        <v>20</v>
      </c>
      <c r="Y7" s="6">
        <v>1</v>
      </c>
      <c r="AB7" s="39">
        <v>0</v>
      </c>
      <c r="AC7" s="39">
        <v>0</v>
      </c>
      <c r="AD7" s="39">
        <v>0</v>
      </c>
      <c r="AE7" s="39">
        <v>0</v>
      </c>
      <c r="AF7" s="40">
        <v>-100000</v>
      </c>
      <c r="AG7" s="39">
        <v>0</v>
      </c>
      <c r="AH7" s="39">
        <v>0</v>
      </c>
      <c r="AI7" s="39">
        <v>0</v>
      </c>
      <c r="AJ7" s="39">
        <v>0</v>
      </c>
      <c r="AK7" s="50">
        <v>21000000</v>
      </c>
      <c r="AL7" s="6">
        <v>1</v>
      </c>
      <c r="AM7" s="6">
        <v>1</v>
      </c>
      <c r="AN7" s="6" t="s">
        <v>24</v>
      </c>
      <c r="AP7" s="6" t="s">
        <v>47</v>
      </c>
      <c r="AQ7" s="6" t="s">
        <v>23</v>
      </c>
      <c r="AR7" s="6">
        <v>0</v>
      </c>
      <c r="AV7" s="6">
        <v>1</v>
      </c>
      <c r="AW7" s="50">
        <v>21000000</v>
      </c>
      <c r="AX7" s="6">
        <v>0</v>
      </c>
      <c r="AY7" s="6">
        <v>0</v>
      </c>
      <c r="AZ7" s="6">
        <v>0</v>
      </c>
      <c r="BC7" s="6">
        <v>1</v>
      </c>
      <c r="BD7" s="50">
        <v>21000000</v>
      </c>
      <c r="BE7" s="6" t="s">
        <v>33</v>
      </c>
      <c r="BJ7" s="6">
        <v>0</v>
      </c>
      <c r="BK7" s="6">
        <v>0</v>
      </c>
      <c r="BL7" s="6">
        <v>0</v>
      </c>
      <c r="BM7" s="6">
        <v>0</v>
      </c>
      <c r="BO7" s="50">
        <v>21000000</v>
      </c>
      <c r="BP7" s="6">
        <v>0</v>
      </c>
      <c r="BR7" s="6" t="s">
        <v>25</v>
      </c>
      <c r="BS7" s="6">
        <v>0</v>
      </c>
      <c r="BT7" s="6">
        <v>0</v>
      </c>
      <c r="BU7" s="6" t="s">
        <v>33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50">
        <v>21000000</v>
      </c>
      <c r="CE7" s="6">
        <v>0</v>
      </c>
      <c r="CF7" s="6">
        <v>0</v>
      </c>
      <c r="CG7" s="50">
        <v>21000000</v>
      </c>
      <c r="CI7" s="6">
        <v>0</v>
      </c>
      <c r="CJ7" s="6">
        <v>0</v>
      </c>
      <c r="CS7" s="6">
        <v>210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24</v>
      </c>
      <c r="DK7" s="6">
        <v>0</v>
      </c>
      <c r="DL7" s="6">
        <v>0</v>
      </c>
      <c r="DM7" s="6">
        <v>1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 t="s">
        <v>47</v>
      </c>
      <c r="EM7" s="6">
        <v>0</v>
      </c>
      <c r="EN7" s="6">
        <v>0</v>
      </c>
      <c r="EQ7" s="6">
        <v>0</v>
      </c>
      <c r="ER7" s="6">
        <v>0</v>
      </c>
    </row>
    <row r="8" spans="1:168" ht="15.75" customHeight="1">
      <c r="A8" s="30"/>
      <c r="B8" s="30"/>
      <c r="C8" s="30"/>
      <c r="D8" s="30"/>
      <c r="E8" s="30"/>
      <c r="F8" s="30"/>
      <c r="G8" s="30"/>
      <c r="H8" s="30"/>
      <c r="I8" s="30"/>
      <c r="J8" s="5"/>
      <c r="K8" s="5"/>
      <c r="L8" s="5"/>
      <c r="M8" s="5"/>
      <c r="N8" s="5"/>
      <c r="O8" s="5"/>
      <c r="Q8" s="5"/>
      <c r="AB8" s="30"/>
      <c r="AC8" s="30"/>
      <c r="AD8" s="30"/>
      <c r="AE8" s="30"/>
      <c r="AF8" s="30"/>
      <c r="AK8" s="5"/>
      <c r="AW8" s="5"/>
      <c r="BD8" s="5"/>
      <c r="BO8" s="5"/>
      <c r="CD8" s="5"/>
      <c r="CG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SetTradingComplianceRules</vt:lpstr>
      <vt:lpstr>GetDailyCash</vt:lpstr>
      <vt:lpstr>UpdateDailyCash</vt:lpstr>
      <vt:lpstr>CreateLiveOrder</vt:lpstr>
      <vt:lpstr>SelectTrade</vt:lpstr>
      <vt:lpstr>AcknowledgeTrade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2021-08-04T13:30:07Z</dcterms:modified>
</cp:coreProperties>
</file>