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3" activeTab="16"/>
  </bookViews>
  <sheets>
    <sheet name="_Modules" sheetId="1" r:id="rId1"/>
    <sheet name="_Settings" sheetId="2" r:id="rId2"/>
    <sheet name="_MasterData" sheetId="3" r:id="rId3"/>
    <sheet name="SetTTGeneralPreferences" sheetId="4" r:id="rId4"/>
    <sheet name="ToggleBlombergOnRA" sheetId="5" r:id="rId5"/>
    <sheet name="AddSymbolOnRAList" sheetId="6" r:id="rId6"/>
    <sheet name="RemoveSymbolFromRAList" sheetId="7" r:id="rId7"/>
    <sheet name="ExportSymbolFromRAList" sheetId="8" r:id="rId8"/>
    <sheet name="TradeBloomberg" sheetId="9" r:id="rId9"/>
    <sheet name="TradeBloomberg1" sheetId="10" r:id="rId10"/>
    <sheet name="TradeBloomberg2" sheetId="11" r:id="rId11"/>
    <sheet name="TradeBloomberg3" sheetId="12" r:id="rId12"/>
    <sheet name="CreateDoneAwayOrder" sheetId="13" r:id="rId13"/>
    <sheet name="VerifyOrder" sheetId="14" r:id="rId14"/>
    <sheet name="GetDataAllocation" sheetId="15" r:id="rId15"/>
    <sheet name="CheckAllocatedGroups" sheetId="16" r:id="rId16"/>
    <sheet name="CheckPortfolioManagement" sheetId="17" r:id="rId17"/>
  </sheets>
  <calcPr calcId="145621"/>
</workbook>
</file>

<file path=xl/calcChain.xml><?xml version="1.0" encoding="utf-8"?>
<calcChain xmlns="http://schemas.openxmlformats.org/spreadsheetml/2006/main">
  <c r="BK5" i="17" l="1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AX5" i="14"/>
  <c r="AP5" i="14"/>
  <c r="AH5" i="14"/>
  <c r="Z5" i="14"/>
  <c r="R5" i="14"/>
  <c r="J5" i="14"/>
  <c r="B5" i="14"/>
  <c r="AR4" i="14"/>
  <c r="AJ4" i="14"/>
  <c r="AB4" i="14"/>
  <c r="T4" i="14"/>
  <c r="L4" i="14"/>
  <c r="D4" i="14"/>
  <c r="AL5" i="13"/>
  <c r="AD5" i="13"/>
  <c r="V5" i="13"/>
  <c r="N5" i="13"/>
  <c r="F5" i="13"/>
  <c r="Y4" i="13"/>
  <c r="Q4" i="13"/>
  <c r="I4" i="13"/>
  <c r="AF5" i="12"/>
  <c r="X5" i="12"/>
  <c r="P5" i="12"/>
  <c r="H5" i="12"/>
  <c r="AA4" i="12"/>
  <c r="S4" i="12"/>
  <c r="K4" i="12"/>
  <c r="C4" i="12"/>
  <c r="AH5" i="11"/>
  <c r="Z5" i="11"/>
  <c r="R5" i="11"/>
  <c r="J5" i="11"/>
  <c r="B5" i="11"/>
  <c r="U4" i="11"/>
  <c r="M4" i="11"/>
  <c r="E4" i="11"/>
  <c r="AJ5" i="10"/>
  <c r="AB5" i="10"/>
  <c r="T5" i="10"/>
  <c r="L5" i="10"/>
  <c r="D5" i="10"/>
  <c r="W4" i="10"/>
  <c r="O4" i="10"/>
  <c r="G4" i="10"/>
  <c r="AL5" i="9"/>
  <c r="AD5" i="9"/>
  <c r="V5" i="9"/>
  <c r="N5" i="9"/>
  <c r="F5" i="9"/>
  <c r="Y4" i="9"/>
  <c r="Q4" i="9"/>
  <c r="I4" i="9"/>
  <c r="W4" i="8"/>
  <c r="O4" i="8"/>
  <c r="G4" i="8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AW5" i="14"/>
  <c r="AO5" i="14"/>
  <c r="AG5" i="14"/>
  <c r="Y5" i="14"/>
  <c r="Q5" i="14"/>
  <c r="I5" i="14"/>
  <c r="A5" i="14"/>
  <c r="AQ4" i="14"/>
  <c r="AI4" i="14"/>
  <c r="AA4" i="14"/>
  <c r="S4" i="14"/>
  <c r="K4" i="14"/>
  <c r="C4" i="14"/>
  <c r="AK5" i="13"/>
  <c r="AC5" i="13"/>
  <c r="U5" i="13"/>
  <c r="M5" i="13"/>
  <c r="E5" i="13"/>
  <c r="X4" i="13"/>
  <c r="P4" i="13"/>
  <c r="H4" i="13"/>
  <c r="AM5" i="12"/>
  <c r="AE5" i="12"/>
  <c r="W5" i="12"/>
  <c r="O5" i="12"/>
  <c r="G5" i="12"/>
  <c r="Z4" i="12"/>
  <c r="R4" i="12"/>
  <c r="J4" i="12"/>
  <c r="B4" i="12"/>
  <c r="AG5" i="11"/>
  <c r="Y5" i="11"/>
  <c r="Q5" i="11"/>
  <c r="I5" i="11"/>
  <c r="A5" i="11"/>
  <c r="T4" i="11"/>
  <c r="L4" i="11"/>
  <c r="D4" i="11"/>
  <c r="AI5" i="10"/>
  <c r="AA5" i="10"/>
  <c r="S5" i="10"/>
  <c r="K5" i="10"/>
  <c r="C5" i="10"/>
  <c r="V4" i="10"/>
  <c r="N4" i="10"/>
  <c r="F4" i="10"/>
  <c r="AK5" i="9"/>
  <c r="AC5" i="9"/>
  <c r="U5" i="9"/>
  <c r="M5" i="9"/>
  <c r="E5" i="9"/>
  <c r="X4" i="9"/>
  <c r="P4" i="9"/>
  <c r="H4" i="9"/>
  <c r="C5" i="8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V4" i="17"/>
  <c r="N4" i="17"/>
  <c r="F4" i="17"/>
  <c r="CQ5" i="16"/>
  <c r="CI5" i="16"/>
  <c r="CA5" i="16"/>
  <c r="BS5" i="16"/>
  <c r="BK5" i="16"/>
  <c r="BC5" i="16"/>
  <c r="AU5" i="16"/>
  <c r="AM5" i="16"/>
  <c r="AE5" i="16"/>
  <c r="W5" i="16"/>
  <c r="O5" i="16"/>
  <c r="G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AV5" i="14"/>
  <c r="AN5" i="14"/>
  <c r="AF5" i="14"/>
  <c r="X5" i="14"/>
  <c r="P5" i="14"/>
  <c r="H5" i="14"/>
  <c r="AX4" i="14"/>
  <c r="AP4" i="14"/>
  <c r="AH4" i="14"/>
  <c r="Z4" i="14"/>
  <c r="R4" i="14"/>
  <c r="J4" i="14"/>
  <c r="B4" i="14"/>
  <c r="AJ5" i="13"/>
  <c r="AB5" i="13"/>
  <c r="T5" i="13"/>
  <c r="L5" i="13"/>
  <c r="D5" i="13"/>
  <c r="W4" i="13"/>
  <c r="O4" i="13"/>
  <c r="G4" i="13"/>
  <c r="AL5" i="12"/>
  <c r="AD5" i="12"/>
  <c r="V5" i="12"/>
  <c r="N5" i="12"/>
  <c r="F5" i="12"/>
  <c r="Y4" i="12"/>
  <c r="Q4" i="12"/>
  <c r="I4" i="12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AU5" i="14"/>
  <c r="AM5" i="14"/>
  <c r="AE5" i="14"/>
  <c r="W5" i="14"/>
  <c r="O5" i="14"/>
  <c r="G5" i="14"/>
  <c r="AW4" i="14"/>
  <c r="AO4" i="14"/>
  <c r="AG4" i="14"/>
  <c r="Y4" i="14"/>
  <c r="Q4" i="14"/>
  <c r="I4" i="14"/>
  <c r="AI5" i="13"/>
  <c r="AA5" i="13"/>
  <c r="S5" i="13"/>
  <c r="K5" i="13"/>
  <c r="C5" i="13"/>
  <c r="V4" i="13"/>
  <c r="N4" i="13"/>
  <c r="F4" i="13"/>
  <c r="AK5" i="12"/>
  <c r="AC5" i="12"/>
  <c r="U5" i="12"/>
  <c r="M5" i="12"/>
  <c r="E5" i="12"/>
  <c r="X4" i="12"/>
  <c r="P4" i="12"/>
  <c r="H4" i="12"/>
  <c r="AM5" i="11"/>
  <c r="AE5" i="11"/>
  <c r="W5" i="11"/>
  <c r="O5" i="11"/>
  <c r="G5" i="11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T4" i="17"/>
  <c r="L4" i="17"/>
  <c r="D4" i="17"/>
  <c r="CO5" i="16"/>
  <c r="CG5" i="16"/>
  <c r="BY5" i="16"/>
  <c r="BQ5" i="16"/>
  <c r="BI5" i="16"/>
  <c r="BA5" i="16"/>
  <c r="AS5" i="16"/>
  <c r="AK5" i="16"/>
  <c r="AC5" i="16"/>
  <c r="U5" i="16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AT5" i="14"/>
  <c r="AL5" i="14"/>
  <c r="AD5" i="14"/>
  <c r="V5" i="14"/>
  <c r="N5" i="14"/>
  <c r="F5" i="14"/>
  <c r="AV4" i="14"/>
  <c r="AN4" i="14"/>
  <c r="AF4" i="14"/>
  <c r="X4" i="14"/>
  <c r="P4" i="14"/>
  <c r="H4" i="14"/>
  <c r="AP5" i="13"/>
  <c r="AH5" i="13"/>
  <c r="Z5" i="13"/>
  <c r="R5" i="13"/>
  <c r="J5" i="13"/>
  <c r="B5" i="13"/>
  <c r="U4" i="13"/>
  <c r="M4" i="13"/>
  <c r="E4" i="13"/>
  <c r="AJ5" i="12"/>
  <c r="AB5" i="12"/>
  <c r="T5" i="12"/>
  <c r="L5" i="12"/>
  <c r="D5" i="12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S4" i="17"/>
  <c r="K4" i="17"/>
  <c r="C4" i="17"/>
  <c r="CN5" i="16"/>
  <c r="CF5" i="16"/>
  <c r="BX5" i="16"/>
  <c r="BP5" i="16"/>
  <c r="BH5" i="16"/>
  <c r="AZ5" i="16"/>
  <c r="AR5" i="16"/>
  <c r="AJ5" i="16"/>
  <c r="AB5" i="16"/>
  <c r="T5" i="16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BA5" i="14"/>
  <c r="AS5" i="14"/>
  <c r="AK5" i="14"/>
  <c r="AC5" i="14"/>
  <c r="U5" i="14"/>
  <c r="M5" i="14"/>
  <c r="E5" i="14"/>
  <c r="AU4" i="14"/>
  <c r="AM4" i="14"/>
  <c r="AE4" i="14"/>
  <c r="W4" i="14"/>
  <c r="O4" i="14"/>
  <c r="G4" i="14"/>
  <c r="AO5" i="13"/>
  <c r="AG5" i="13"/>
  <c r="Y5" i="13"/>
  <c r="Q5" i="13"/>
  <c r="I5" i="13"/>
  <c r="A5" i="13"/>
  <c r="T4" i="13"/>
  <c r="L4" i="13"/>
  <c r="D4" i="13"/>
  <c r="AI5" i="12"/>
  <c r="AA5" i="12"/>
  <c r="S5" i="12"/>
  <c r="K5" i="12"/>
  <c r="C5" i="12"/>
  <c r="V4" i="12"/>
  <c r="N4" i="12"/>
  <c r="F4" i="12"/>
  <c r="AK5" i="11"/>
  <c r="AC5" i="11"/>
  <c r="U5" i="11"/>
  <c r="M5" i="11"/>
  <c r="E5" i="11"/>
  <c r="X4" i="11"/>
  <c r="P4" i="11"/>
  <c r="H4" i="11"/>
  <c r="AM5" i="10"/>
  <c r="AE5" i="10"/>
  <c r="W5" i="10"/>
  <c r="O5" i="10"/>
  <c r="G5" i="10"/>
  <c r="Z4" i="10"/>
  <c r="R4" i="10"/>
  <c r="J4" i="10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Z4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AT4" i="14"/>
  <c r="AL4" i="14"/>
  <c r="AD4" i="14"/>
  <c r="V4" i="14"/>
  <c r="N4" i="14"/>
  <c r="F4" i="14"/>
  <c r="AN5" i="13"/>
  <c r="AF5" i="13"/>
  <c r="X5" i="13"/>
  <c r="P5" i="13"/>
  <c r="H5" i="13"/>
  <c r="AA4" i="13"/>
  <c r="S4" i="13"/>
  <c r="K4" i="13"/>
  <c r="C4" i="13"/>
  <c r="AH5" i="12"/>
  <c r="Z5" i="12"/>
  <c r="R5" i="12"/>
  <c r="J5" i="12"/>
  <c r="B5" i="12"/>
  <c r="U4" i="12"/>
  <c r="M4" i="12"/>
  <c r="E4" i="12"/>
  <c r="AJ5" i="11"/>
  <c r="AB5" i="11"/>
  <c r="T5" i="11"/>
  <c r="L5" i="11"/>
  <c r="D5" i="11"/>
  <c r="W4" i="11"/>
  <c r="O4" i="11"/>
  <c r="G4" i="11"/>
  <c r="AL5" i="10"/>
  <c r="AD5" i="10"/>
  <c r="V5" i="10"/>
  <c r="N5" i="10"/>
  <c r="F5" i="10"/>
  <c r="Y4" i="10"/>
  <c r="Q4" i="10"/>
  <c r="I4" i="10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Y4" i="17"/>
  <c r="Q4" i="17"/>
  <c r="I4" i="17"/>
  <c r="CL5" i="16"/>
  <c r="CD5" i="16"/>
  <c r="BV5" i="16"/>
  <c r="BN5" i="16"/>
  <c r="BF5" i="16"/>
  <c r="AX5" i="16"/>
  <c r="AP5" i="16"/>
  <c r="AH5" i="16"/>
  <c r="Z5" i="16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AY5" i="14"/>
  <c r="AQ5" i="14"/>
  <c r="AI5" i="14"/>
  <c r="AA5" i="14"/>
  <c r="S5" i="14"/>
  <c r="K5" i="14"/>
  <c r="C5" i="14"/>
  <c r="AS4" i="14"/>
  <c r="AK4" i="14"/>
  <c r="AC4" i="14"/>
  <c r="U4" i="14"/>
  <c r="M4" i="14"/>
  <c r="E4" i="14"/>
  <c r="AM5" i="13"/>
  <c r="AE5" i="13"/>
  <c r="W5" i="13"/>
  <c r="O5" i="13"/>
  <c r="G5" i="13"/>
  <c r="Z4" i="13"/>
  <c r="R4" i="13"/>
  <c r="J4" i="13"/>
  <c r="B4" i="13"/>
  <c r="AG5" i="12"/>
  <c r="Y5" i="12"/>
  <c r="Q5" i="12"/>
  <c r="I5" i="12"/>
  <c r="A5" i="12"/>
  <c r="T4" i="12"/>
  <c r="L4" i="12"/>
  <c r="D4" i="12"/>
  <c r="AI5" i="11"/>
  <c r="AA5" i="11"/>
  <c r="S5" i="11"/>
  <c r="K5" i="11"/>
  <c r="C5" i="11"/>
  <c r="V4" i="11"/>
  <c r="N4" i="11"/>
  <c r="F4" i="11"/>
  <c r="AK5" i="10"/>
  <c r="AC5" i="10"/>
  <c r="U5" i="10"/>
  <c r="W4" i="12"/>
  <c r="P5" i="11"/>
  <c r="R4" i="11"/>
  <c r="AH5" i="10"/>
  <c r="P5" i="10"/>
  <c r="AA4" i="10"/>
  <c r="K4" i="10"/>
  <c r="AI5" i="9"/>
  <c r="Y5" i="9"/>
  <c r="O5" i="9"/>
  <c r="C5" i="9"/>
  <c r="T4" i="9"/>
  <c r="J4" i="9"/>
  <c r="A5" i="8"/>
  <c r="S4" i="8"/>
  <c r="J4" i="8"/>
  <c r="V4" i="7"/>
  <c r="N4" i="7"/>
  <c r="F4" i="7"/>
  <c r="AA4" i="6"/>
  <c r="S4" i="6"/>
  <c r="K4" i="6"/>
  <c r="C4" i="6"/>
  <c r="X4" i="5"/>
  <c r="P4" i="5"/>
  <c r="H4" i="5"/>
  <c r="F5" i="4"/>
  <c r="H4" i="4"/>
  <c r="D20" i="3"/>
  <c r="D18" i="3"/>
  <c r="D16" i="3"/>
  <c r="D14" i="3"/>
  <c r="D12" i="3"/>
  <c r="D10" i="3"/>
  <c r="D8" i="3"/>
  <c r="D6" i="3"/>
  <c r="D4" i="3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O4" i="12"/>
  <c r="N5" i="11"/>
  <c r="Q4" i="11"/>
  <c r="AG5" i="10"/>
  <c r="M5" i="10"/>
  <c r="X4" i="10"/>
  <c r="H4" i="10"/>
  <c r="AH5" i="9"/>
  <c r="X5" i="9"/>
  <c r="L5" i="9"/>
  <c r="B5" i="9"/>
  <c r="S4" i="9"/>
  <c r="G4" i="9"/>
  <c r="AA4" i="8"/>
  <c r="R4" i="8"/>
  <c r="I4" i="8"/>
  <c r="B5" i="7"/>
  <c r="U4" i="7"/>
  <c r="M4" i="7"/>
  <c r="E4" i="7"/>
  <c r="Z4" i="6"/>
  <c r="R4" i="6"/>
  <c r="J4" i="6"/>
  <c r="B4" i="6"/>
  <c r="W4" i="5"/>
  <c r="O4" i="5"/>
  <c r="G4" i="5"/>
  <c r="E5" i="4"/>
  <c r="G4" i="4"/>
  <c r="C20" i="3"/>
  <c r="C18" i="3"/>
  <c r="C16" i="3"/>
  <c r="C14" i="3"/>
  <c r="C12" i="3"/>
  <c r="C10" i="3"/>
  <c r="C8" i="3"/>
  <c r="C6" i="3"/>
  <c r="C4" i="3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G4" i="12"/>
  <c r="H5" i="11"/>
  <c r="K4" i="11"/>
  <c r="AF5" i="10"/>
  <c r="J5" i="10"/>
  <c r="U4" i="10"/>
  <c r="E4" i="10"/>
  <c r="AG5" i="9"/>
  <c r="W5" i="9"/>
  <c r="K5" i="9"/>
  <c r="A5" i="9"/>
  <c r="R4" i="9"/>
  <c r="F4" i="9"/>
  <c r="Z4" i="8"/>
  <c r="Q4" i="8"/>
  <c r="H4" i="8"/>
  <c r="A5" i="7"/>
  <c r="T4" i="7"/>
  <c r="L4" i="7"/>
  <c r="D4" i="7"/>
  <c r="Y4" i="6"/>
  <c r="Q4" i="6"/>
  <c r="I4" i="6"/>
  <c r="V4" i="5"/>
  <c r="N4" i="5"/>
  <c r="F4" i="5"/>
  <c r="D5" i="4"/>
  <c r="F4" i="4"/>
  <c r="B20" i="3"/>
  <c r="B18" i="3"/>
  <c r="B16" i="3"/>
  <c r="B14" i="3"/>
  <c r="B12" i="3"/>
  <c r="B10" i="3"/>
  <c r="B8" i="3"/>
  <c r="B6" i="3"/>
  <c r="B4" i="3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AL5" i="11"/>
  <c r="F5" i="11"/>
  <c r="J4" i="11"/>
  <c r="Z5" i="10"/>
  <c r="I5" i="10"/>
  <c r="T4" i="10"/>
  <c r="D4" i="10"/>
  <c r="AF5" i="9"/>
  <c r="T5" i="9"/>
  <c r="J5" i="9"/>
  <c r="AA4" i="9"/>
  <c r="O4" i="9"/>
  <c r="E4" i="9"/>
  <c r="Y4" i="8"/>
  <c r="P4" i="8"/>
  <c r="F4" i="8"/>
  <c r="AA4" i="7"/>
  <c r="S4" i="7"/>
  <c r="K4" i="7"/>
  <c r="C4" i="7"/>
  <c r="X4" i="6"/>
  <c r="P4" i="6"/>
  <c r="H4" i="6"/>
  <c r="B5" i="5"/>
  <c r="U4" i="5"/>
  <c r="M4" i="5"/>
  <c r="E4" i="5"/>
  <c r="C5" i="4"/>
  <c r="E4" i="4"/>
  <c r="A20" i="3"/>
  <c r="A18" i="3"/>
  <c r="A16" i="3"/>
  <c r="A14" i="3"/>
  <c r="A12" i="3"/>
  <c r="A10" i="3"/>
  <c r="A8" i="3"/>
  <c r="A6" i="3"/>
  <c r="A4" i="3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AF5" i="11"/>
  <c r="AA4" i="11"/>
  <c r="I4" i="11"/>
  <c r="Y5" i="10"/>
  <c r="H5" i="10"/>
  <c r="S4" i="10"/>
  <c r="C4" i="10"/>
  <c r="AE5" i="9"/>
  <c r="S5" i="9"/>
  <c r="I5" i="9"/>
  <c r="Z4" i="9"/>
  <c r="N4" i="9"/>
  <c r="D4" i="9"/>
  <c r="X4" i="8"/>
  <c r="N4" i="8"/>
  <c r="E4" i="8"/>
  <c r="Z4" i="7"/>
  <c r="R4" i="7"/>
  <c r="J4" i="7"/>
  <c r="B4" i="7"/>
  <c r="W4" i="6"/>
  <c r="O4" i="6"/>
  <c r="G4" i="6"/>
  <c r="A5" i="5"/>
  <c r="T4" i="5"/>
  <c r="L4" i="5"/>
  <c r="D4" i="5"/>
  <c r="B5" i="4"/>
  <c r="D4" i="4"/>
  <c r="D19" i="3"/>
  <c r="D17" i="3"/>
  <c r="D15" i="3"/>
  <c r="D13" i="3"/>
  <c r="D11" i="3"/>
  <c r="D9" i="3"/>
  <c r="D7" i="3"/>
  <c r="D5" i="3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AD5" i="11"/>
  <c r="Z4" i="11"/>
  <c r="C4" i="11"/>
  <c r="X5" i="10"/>
  <c r="E5" i="10"/>
  <c r="P4" i="10"/>
  <c r="B4" i="10"/>
  <c r="AB5" i="9"/>
  <c r="R5" i="9"/>
  <c r="H5" i="9"/>
  <c r="W4" i="9"/>
  <c r="M4" i="9"/>
  <c r="C4" i="9"/>
  <c r="V4" i="8"/>
  <c r="M4" i="8"/>
  <c r="D4" i="8"/>
  <c r="Y4" i="7"/>
  <c r="Q4" i="7"/>
  <c r="I4" i="7"/>
  <c r="V4" i="6"/>
  <c r="N4" i="6"/>
  <c r="F4" i="6"/>
  <c r="AA4" i="5"/>
  <c r="S4" i="5"/>
  <c r="K4" i="5"/>
  <c r="C4" i="5"/>
  <c r="A5" i="4"/>
  <c r="C4" i="4"/>
  <c r="C19" i="3"/>
  <c r="C17" i="3"/>
  <c r="C15" i="3"/>
  <c r="C13" i="3"/>
  <c r="C11" i="3"/>
  <c r="C9" i="3"/>
  <c r="C7" i="3"/>
  <c r="C5" i="3"/>
  <c r="B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X5" i="11"/>
  <c r="Y4" i="11"/>
  <c r="B4" i="11"/>
  <c r="R5" i="10"/>
  <c r="B5" i="10"/>
  <c r="M4" i="10"/>
  <c r="AM5" i="9"/>
  <c r="AA5" i="9"/>
  <c r="Q5" i="9"/>
  <c r="G5" i="9"/>
  <c r="V4" i="9"/>
  <c r="L4" i="9"/>
  <c r="B4" i="9"/>
  <c r="U4" i="8"/>
  <c r="L4" i="8"/>
  <c r="C4" i="8"/>
  <c r="X4" i="7"/>
  <c r="P4" i="7"/>
  <c r="H4" i="7"/>
  <c r="B5" i="6"/>
  <c r="U4" i="6"/>
  <c r="M4" i="6"/>
  <c r="E4" i="6"/>
  <c r="Z4" i="5"/>
  <c r="R4" i="5"/>
  <c r="J4" i="5"/>
  <c r="B4" i="5"/>
  <c r="J4" i="4"/>
  <c r="B4" i="4"/>
  <c r="B19" i="3"/>
  <c r="B17" i="3"/>
  <c r="B15" i="3"/>
  <c r="B13" i="3"/>
  <c r="B11" i="3"/>
  <c r="B9" i="3"/>
  <c r="B7" i="3"/>
  <c r="B5" i="3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V5" i="11"/>
  <c r="S4" i="11"/>
  <c r="Q5" i="10"/>
  <c r="A5" i="10"/>
  <c r="L4" i="10"/>
  <c r="AJ5" i="9"/>
  <c r="Z5" i="9"/>
  <c r="P5" i="9"/>
  <c r="D5" i="9"/>
  <c r="U4" i="9"/>
  <c r="K4" i="9"/>
  <c r="B5" i="8"/>
  <c r="T4" i="8"/>
  <c r="K4" i="8"/>
  <c r="B4" i="8"/>
  <c r="W4" i="7"/>
  <c r="O4" i="7"/>
  <c r="G4" i="7"/>
  <c r="A5" i="6"/>
  <c r="T4" i="6"/>
  <c r="L4" i="6"/>
  <c r="D4" i="6"/>
  <c r="Y4" i="5"/>
  <c r="Q4" i="5"/>
  <c r="I4" i="5"/>
  <c r="I4" i="4"/>
  <c r="A19" i="3"/>
  <c r="A17" i="3"/>
  <c r="A15" i="3"/>
  <c r="A13" i="3"/>
  <c r="A11" i="3"/>
  <c r="A9" i="3"/>
  <c r="A7" i="3"/>
  <c r="A5" i="3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C257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J2" i="13" l="1"/>
  <c r="J2" i="9"/>
  <c r="J2" i="16"/>
  <c r="J2" i="12"/>
  <c r="J2" i="14"/>
  <c r="J2" i="15"/>
  <c r="J2" i="10"/>
  <c r="J2" i="17"/>
  <c r="J2" i="8"/>
  <c r="J2" i="6"/>
  <c r="J2" i="7"/>
  <c r="J2" i="11"/>
  <c r="J2" i="5"/>
  <c r="J2" i="4"/>
</calcChain>
</file>

<file path=xl/sharedStrings.xml><?xml version="1.0" encoding="utf-8"?>
<sst xmlns="http://schemas.openxmlformats.org/spreadsheetml/2006/main" count="223" uniqueCount="62">
  <si>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</si>
  <si>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</si>
  <si>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</si>
  <si>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</si>
  <si>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</si>
  <si>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</si>
  <si>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</si>
  <si>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</si>
  <si>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</si>
  <si>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</si>
  <si>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</si>
  <si>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</si>
  <si>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</si>
  <si>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</si>
  <si>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</si>
  <si>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</si>
  <si>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</si>
  <si>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ToggleBlombergOnRA</t>
  </si>
  <si>
    <t>Bloomberg</t>
  </si>
  <si>
    <t>AddSymbolOnRAList</t>
  </si>
  <si>
    <t>MSFT US EQUITY</t>
  </si>
  <si>
    <t>AAPL US EQUITY</t>
  </si>
  <si>
    <t>IBM US EQUITY</t>
  </si>
  <si>
    <t>CAM US 05/22/10 C37.5 Equity</t>
  </si>
  <si>
    <t>CHK US 10/16/10 P24 Equity</t>
  </si>
  <si>
    <t>NQZ2 INDEX</t>
  </si>
  <si>
    <t>NGV2 COMDTY</t>
  </si>
  <si>
    <t>USDNOK CURNCY</t>
  </si>
  <si>
    <t>GBPUSD CURNCY</t>
  </si>
  <si>
    <t>RemoveSymbolFromRAList</t>
  </si>
  <si>
    <t>ExportSymbolFromRAList</t>
  </si>
  <si>
    <t>TradeBloomberg</t>
  </si>
  <si>
    <t>Buy</t>
  </si>
  <si>
    <t>Allocation1</t>
  </si>
  <si>
    <t>Sell</t>
  </si>
  <si>
    <t>CreateDoneAwayOrder</t>
  </si>
  <si>
    <t>GBP/USD</t>
  </si>
  <si>
    <t>NG V2</t>
  </si>
  <si>
    <t>Blotter</t>
  </si>
  <si>
    <t>VerifyOrder</t>
  </si>
  <si>
    <t xml:space="preserve">CHK </t>
  </si>
  <si>
    <t>US</t>
  </si>
  <si>
    <t>USD</t>
  </si>
  <si>
    <t>EquityOption</t>
  </si>
  <si>
    <t>O:CHK 10V24.00</t>
  </si>
  <si>
    <t>Filled</t>
  </si>
  <si>
    <t>MS</t>
  </si>
  <si>
    <t>Market</t>
  </si>
  <si>
    <t>NQ Z2</t>
  </si>
  <si>
    <t>Future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</si>
  <si>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</si>
  <si>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</si>
  <si>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</si>
  <si>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</si>
  <si>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</si>
  <si>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</si>
  <si>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</si>
  <si>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</si>
  <si>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OPTS</t>
  </si>
  <si>
    <t>CHK</t>
  </si>
  <si>
    <t>Short</t>
  </si>
  <si>
    <t>CMEE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</si>
</sst>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6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Docs-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 applyAlignment="1"/>
    <xf numFmtId="0" fontId="14" fillId="4" borderId="5" xfId="0" applyFont="1" applyFill="1" applyBorder="1" applyAlignment="1"/>
    <xf numFmtId="0" fontId="5" fillId="0" borderId="5" xfId="0" applyFont="1" applyBorder="1" applyAlignment="1"/>
    <xf numFmtId="0" fontId="3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3" fontId="2" fillId="0" borderId="0" xfId="0" applyNumberFormat="1" applyFont="1" applyAlignment="1"/>
    <xf numFmtId="0" fontId="15" fillId="0" borderId="0" xfId="0" applyFont="1" applyAlignment="1"/>
    <xf numFmtId="164" fontId="15" fillId="0" borderId="0" xfId="0" applyNumberFormat="1" applyFont="1" applyAlignment="1">
      <alignment horizontal="right"/>
    </xf>
    <xf numFmtId="0" fontId="15" fillId="0" borderId="0" xfId="0" applyFont="1" applyAlignment="1"/>
    <xf numFmtId="0" fontId="15" fillId="0" borderId="5" xfId="0" applyFont="1" applyBorder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7" t="s">
        <v>0</v>
      </c>
      <c r="B1" s="48"/>
      <c r="C1" s="48"/>
      <c r="D1" s="48"/>
      <c r="E1" s="48"/>
      <c r="F1" s="49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IFERROR(__xludf.DUMMYFUNCTION("""COMPUTED_VALUE"""),"ExeExecutor")</f>
        <v>ExeExecutor</v>
      </c>
      <c r="B491" t="str">
        <f ca="1">IFERROR(__xludf.DUMMYFUNCTION("""COMPUTED_VALUE"""),"CallExeExecutor")</f>
        <v>CallExeExecutor</v>
      </c>
      <c r="C491" t="str">
        <f ca="1">IFERROR(__xludf.DUMMYFUNCTION("""COMPUTED_VALUE"""),"1hwFwcZT2KkLMWXu0X968AjDc83QETRSutmtdbAtWjRQ")</f>
        <v>1hwFwcZT2KkLMWXu0X968AjDc83QETRSutmtdbAtWjRQ</v>
      </c>
    </row>
    <row r="492" spans="1:3" ht="15.75" customHeight="1">
      <c r="A492" t="str">
        <f ca="1">IFERROR(__xludf.DUMMYFUNCTION("""COMPUTED_VALUE"""),"TradingTicket")</f>
        <v>TradingTicket</v>
      </c>
      <c r="B492" t="str">
        <f ca="1">IFERROR(__xludf.DUMMYFUNCTION("""COMPUTED_VALUE"""),"ToggleBlombergOnRA")</f>
        <v>ToggleBlombergOnRA</v>
      </c>
      <c r="C492" t="str">
        <f ca="1">IFERROR(__xludf.DUMMYFUNCTION("""COMPUTED_VALUE"""),"1TNk3Ts3tA51Oj9qjpTVY3IDwk0Ro78g-6ZmRMY4-lHk")</f>
        <v>1TNk3Ts3tA51Oj9qjpTVY3IDwk0Ro78g-6ZmRMY4-lHk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IFERROR(__xludf.DUMMYFUNCTION("""COMPUTED_VALUE"""),"RemoveManualExecution")</f>
        <v>RemoveManualExecution</v>
      </c>
      <c r="C493" t="str">
        <f ca="1">IFERROR(__xludf.DUMMYFUNCTION("""COMPUTED_VALUE"""),"1jbkbbKX6sldAF_Pk73xVZ1gvRS_q8eEl9NbS6SSiFi8")</f>
        <v>1jbkbbKX6sldAF_Pk73xVZ1gvRS_q8eEl9NbS6SSiFi8</v>
      </c>
    </row>
    <row r="494" spans="1:3" ht="15.75" customHeight="1">
      <c r="A494" t="str">
        <f ca="1">IFERROR(__xludf.DUMMYFUNCTION("""COMPUTED_VALUE"""),"Blotter")</f>
        <v>Blotter</v>
      </c>
      <c r="B494" t="str">
        <f ca="1">IFERROR(__xludf.DUMMYFUNCTION("""COMPUTED_VALUE"""),"RemoveExecutionWorkingSubs")</f>
        <v>RemoveExecutionWorkingSubs</v>
      </c>
      <c r="C494" t="str">
        <f ca="1">IFERROR(__xludf.DUMMYFUNCTION("""COMPUTED_VALUE"""),"1xhQkfgYxnBj3SaiVD_XZo7TN5gmMtEEUIk-KMtc-Cug")</f>
        <v>1xhQkfgYxnBj3SaiVD_XZo7TN5gmMtEEUIk-KMtc-Cug</v>
      </c>
    </row>
    <row r="495" spans="1:3" ht="15.75" customHeight="1"/>
    <row r="496" spans="1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0" t="s">
        <v>2</v>
      </c>
      <c r="B1" s="48"/>
      <c r="C1" s="49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7" t="s">
        <v>7</v>
      </c>
      <c r="B1" s="48"/>
      <c r="C1" s="48"/>
      <c r="D1" s="48"/>
      <c r="E1" s="48"/>
      <c r="F1" s="49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IFERROR(__xludf.DUMMYFUNCTION("""COMPUTED_VALUE"""),"RestrictedSecuritiesList")</f>
        <v>RestrictedSecuritiesList</v>
      </c>
      <c r="C5" s="23" t="str">
        <f ca="1">IFERROR(__xludf.DUMMYFUNCTION("""COMPUTED_VALUE"""),"AllowedSecuritiesList")</f>
        <v>AllowedSecuritiesList</v>
      </c>
      <c r="D5" s="23" t="str">
        <f ca="1">IFERROR(__xludf.DUMMYFUNCTION("""COMPUTED_VALUE"""),"AllowAllUserToCancelReplaceRemove")</f>
        <v>AllowAllUserToCancelReplaceRemove</v>
      </c>
      <c r="E5" s="23" t="str">
        <f ca="1">IFERROR(__xludf.DUMMYFUNCTION("""COMPUTED_VALUE"""),"MasterUserPermission")</f>
        <v>MasterUserPermission</v>
      </c>
      <c r="F5" s="24" t="str">
        <f ca="1">IFERROR(__xludf.DUMMYFUNCTION("""COMPUTED_VALUE"""),"AllowAllUserToTransferTrade")</f>
        <v>AllowAllUserToTransferTrade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b">
        <v>1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IFERROR(__xludf.DUMMYFUNCTION("""COMPUTED_VALUE"""),"SwitchTo")</f>
        <v>SwitchTo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18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2" width="27.42578125" customWidth="1"/>
    <col min="3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27" t="s">
        <v>20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28" t="s">
        <v>21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28" t="s">
        <v>22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28" t="s">
        <v>23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28" t="s">
        <v>24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28" t="s">
        <v>25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28" t="s">
        <v>26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28" t="s">
        <v>27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28" t="s">
        <v>28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29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 Securities List")</f>
        <v>Restricted Securities List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27" t="s">
        <v>21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29" t="s">
        <v>24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28" t="s">
        <v>25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30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 Securities List")</f>
        <v>Restricted Securities List</v>
      </c>
      <c r="C5" s="23" t="str">
        <f ca="1">IFERROR(__xludf.DUMMYFUNCTION("""COMPUTED_VALUE"""),"Allowed Securities List")</f>
        <v>Allowed Securities List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27" t="s">
        <v>20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30" t="s">
        <v>22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29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28" t="s">
        <v>26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28" t="s">
        <v>27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28" t="s">
        <v>28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31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31"/>
      <c r="B6" s="31" t="s">
        <v>22</v>
      </c>
      <c r="C6" s="30" t="s">
        <v>32</v>
      </c>
      <c r="D6" s="32">
        <v>50</v>
      </c>
      <c r="E6" s="33">
        <v>50</v>
      </c>
      <c r="F6" s="30" t="s">
        <v>33</v>
      </c>
      <c r="G6" s="34"/>
      <c r="H6" s="34"/>
      <c r="I6" s="34"/>
      <c r="J6" s="33">
        <v>10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31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36"/>
      <c r="B6" s="31" t="s">
        <v>27</v>
      </c>
      <c r="C6" s="30" t="s">
        <v>34</v>
      </c>
      <c r="D6" s="32">
        <v>100</v>
      </c>
      <c r="E6" s="33"/>
      <c r="F6" s="30" t="s">
        <v>33</v>
      </c>
      <c r="G6" s="34"/>
      <c r="H6" s="34"/>
      <c r="I6" s="34"/>
      <c r="J6" s="33">
        <v>20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31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36"/>
      <c r="B6" s="37" t="s">
        <v>24</v>
      </c>
      <c r="C6" s="30" t="s">
        <v>32</v>
      </c>
      <c r="D6" s="32">
        <v>150</v>
      </c>
      <c r="E6" s="33">
        <v>150</v>
      </c>
      <c r="F6" s="30" t="s">
        <v>33</v>
      </c>
      <c r="G6" s="34"/>
      <c r="H6" s="34"/>
      <c r="I6" s="34"/>
      <c r="J6" s="33">
        <v>30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31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36"/>
      <c r="B6" s="31" t="s">
        <v>25</v>
      </c>
      <c r="C6" s="30" t="s">
        <v>34</v>
      </c>
      <c r="D6" s="32">
        <v>200</v>
      </c>
      <c r="E6" s="33">
        <v>200</v>
      </c>
      <c r="F6" s="30" t="s">
        <v>33</v>
      </c>
      <c r="G6" s="34"/>
      <c r="H6" s="34"/>
      <c r="I6" s="34"/>
      <c r="J6" s="33">
        <v>40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35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31"/>
      <c r="B6" s="38" t="s">
        <v>36</v>
      </c>
      <c r="C6" s="30" t="s">
        <v>34</v>
      </c>
      <c r="D6" s="32">
        <v>200</v>
      </c>
      <c r="E6" s="34"/>
      <c r="F6" s="30" t="s">
        <v>33</v>
      </c>
      <c r="G6" s="34"/>
      <c r="H6" s="34"/>
      <c r="I6" s="34"/>
      <c r="J6" s="39">
        <v>40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35"/>
      <c r="B7" s="28" t="s">
        <v>37</v>
      </c>
      <c r="C7" s="28" t="s">
        <v>32</v>
      </c>
      <c r="D7" s="40">
        <v>100</v>
      </c>
      <c r="E7" s="40">
        <v>100</v>
      </c>
      <c r="F7" s="28" t="s">
        <v>33</v>
      </c>
      <c r="G7" s="35"/>
      <c r="H7" s="35"/>
      <c r="I7" s="35"/>
      <c r="J7" s="40">
        <v>20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38</v>
      </c>
      <c r="D3" s="2" t="s">
        <v>9</v>
      </c>
      <c r="E3" s="18" t="s">
        <v>39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>
        <v>30</v>
      </c>
      <c r="E6" s="37" t="s">
        <v>24</v>
      </c>
      <c r="F6" s="5"/>
      <c r="G6" s="5"/>
      <c r="H6" s="5"/>
      <c r="I6" s="5"/>
      <c r="J6" s="9" t="s">
        <v>40</v>
      </c>
      <c r="K6" s="9" t="s">
        <v>41</v>
      </c>
      <c r="L6" s="5"/>
      <c r="M6" s="5"/>
      <c r="N6" s="5"/>
      <c r="O6" s="5"/>
      <c r="S6" s="6">
        <v>24</v>
      </c>
      <c r="T6" s="6">
        <v>0</v>
      </c>
      <c r="U6" s="6" t="s">
        <v>42</v>
      </c>
      <c r="AD6" s="6">
        <v>1</v>
      </c>
      <c r="AG6" s="6">
        <v>30</v>
      </c>
      <c r="AH6" s="6" t="s">
        <v>43</v>
      </c>
      <c r="AI6" s="6" t="s">
        <v>44</v>
      </c>
      <c r="AJ6" s="6" t="s">
        <v>32</v>
      </c>
      <c r="AK6" s="6" t="s">
        <v>45</v>
      </c>
      <c r="AL6" s="6">
        <v>150</v>
      </c>
      <c r="AN6" s="6">
        <v>100</v>
      </c>
      <c r="AO6" s="6">
        <v>150</v>
      </c>
      <c r="AQ6" s="6">
        <v>30</v>
      </c>
      <c r="AR6" s="6">
        <v>30</v>
      </c>
      <c r="AS6" s="6" t="s">
        <v>46</v>
      </c>
      <c r="AT6" s="6" t="s">
        <v>33</v>
      </c>
      <c r="AU6" s="6" t="s">
        <v>47</v>
      </c>
      <c r="AV6" s="41">
        <v>450000</v>
      </c>
      <c r="AW6" s="41">
        <v>450000</v>
      </c>
      <c r="AY6" s="6">
        <v>150</v>
      </c>
      <c r="AZ6" s="6">
        <v>0</v>
      </c>
    </row>
    <row r="7" spans="1:154" ht="15.75" customHeight="1">
      <c r="A7" s="5"/>
      <c r="B7" s="5"/>
      <c r="C7" s="5"/>
      <c r="D7" s="9">
        <v>40</v>
      </c>
      <c r="E7" s="31" t="s">
        <v>25</v>
      </c>
      <c r="F7" s="5"/>
      <c r="G7" s="5"/>
      <c r="H7" s="5"/>
      <c r="I7" s="5"/>
      <c r="J7" s="9" t="s">
        <v>48</v>
      </c>
      <c r="K7" s="9" t="s">
        <v>41</v>
      </c>
      <c r="L7" s="5"/>
      <c r="M7" s="5"/>
      <c r="N7" s="5"/>
      <c r="O7" s="5"/>
      <c r="S7" s="6">
        <v>0</v>
      </c>
      <c r="T7" s="6">
        <v>0</v>
      </c>
      <c r="U7" s="6" t="s">
        <v>42</v>
      </c>
      <c r="AD7" s="6">
        <v>1</v>
      </c>
      <c r="AG7" s="6">
        <v>40</v>
      </c>
      <c r="AH7" s="6" t="s">
        <v>49</v>
      </c>
      <c r="AI7" s="6" t="s">
        <v>48</v>
      </c>
      <c r="AJ7" s="6" t="s">
        <v>34</v>
      </c>
      <c r="AK7" s="6" t="s">
        <v>45</v>
      </c>
      <c r="AL7" s="6">
        <v>200</v>
      </c>
      <c r="AN7" s="6">
        <v>100</v>
      </c>
      <c r="AO7" s="6">
        <v>200</v>
      </c>
      <c r="AQ7" s="6">
        <v>40</v>
      </c>
      <c r="AR7" s="6">
        <v>40</v>
      </c>
      <c r="AS7" s="6" t="s">
        <v>46</v>
      </c>
      <c r="AT7" s="6" t="s">
        <v>33</v>
      </c>
      <c r="AU7" s="6" t="s">
        <v>47</v>
      </c>
      <c r="AV7" s="41">
        <v>-160000</v>
      </c>
      <c r="AW7" s="41">
        <v>-160000</v>
      </c>
      <c r="AY7" s="6">
        <v>200</v>
      </c>
      <c r="AZ7" s="6">
        <v>0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50</v>
      </c>
      <c r="D3" s="2" t="s">
        <v>9</v>
      </c>
      <c r="E3" s="18" t="s">
        <v>51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52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50</v>
      </c>
      <c r="D3" s="2" t="s">
        <v>9</v>
      </c>
      <c r="E3" s="18" t="s">
        <v>53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IFERROR(__xludf.DUMMYFUNCTION("""COMPUTED_VALUE"""),"IsManualGroup")</f>
        <v>IsManualGroup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42" t="s">
        <v>33</v>
      </c>
      <c r="C6" s="5"/>
      <c r="D6" s="43">
        <v>0</v>
      </c>
      <c r="E6" s="43">
        <v>150</v>
      </c>
      <c r="F6" s="5"/>
      <c r="G6" s="44" t="s">
        <v>43</v>
      </c>
      <c r="H6" s="43">
        <v>0</v>
      </c>
      <c r="I6" s="43">
        <v>0</v>
      </c>
      <c r="J6" s="5"/>
      <c r="K6" s="43">
        <v>30</v>
      </c>
      <c r="L6" s="43">
        <v>30</v>
      </c>
      <c r="M6" s="45" t="s">
        <v>24</v>
      </c>
      <c r="N6" s="5"/>
      <c r="O6" s="9" t="s">
        <v>46</v>
      </c>
      <c r="Q6" s="43">
        <v>3</v>
      </c>
      <c r="R6" s="43">
        <v>0</v>
      </c>
      <c r="S6" s="44" t="s">
        <v>54</v>
      </c>
      <c r="T6" s="43">
        <v>0</v>
      </c>
      <c r="U6" s="43">
        <v>0</v>
      </c>
      <c r="Z6" s="44" t="s">
        <v>42</v>
      </c>
      <c r="AE6" s="43">
        <v>150</v>
      </c>
      <c r="AI6" s="43">
        <v>1</v>
      </c>
      <c r="AT6" s="43">
        <v>450000</v>
      </c>
      <c r="AU6" s="43">
        <v>450000</v>
      </c>
      <c r="AW6" s="43">
        <v>0</v>
      </c>
      <c r="AX6" s="43">
        <v>0</v>
      </c>
      <c r="AY6" s="6" t="s">
        <v>47</v>
      </c>
      <c r="AZ6" s="43">
        <v>0</v>
      </c>
      <c r="BE6" s="43">
        <v>450000</v>
      </c>
      <c r="BF6" s="43">
        <v>450000</v>
      </c>
      <c r="BJ6" s="43">
        <v>150</v>
      </c>
      <c r="BK6" s="43">
        <v>0</v>
      </c>
      <c r="BM6" s="44" t="s">
        <v>42</v>
      </c>
      <c r="BO6" s="44" t="s">
        <v>32</v>
      </c>
      <c r="BP6" s="43">
        <v>0</v>
      </c>
      <c r="BQ6" s="43">
        <v>0</v>
      </c>
      <c r="BT6" s="44" t="s">
        <v>44</v>
      </c>
      <c r="BU6" s="43">
        <v>0</v>
      </c>
      <c r="BV6" s="43">
        <v>0</v>
      </c>
      <c r="BW6" s="43">
        <v>0</v>
      </c>
      <c r="BX6" s="43">
        <v>0</v>
      </c>
      <c r="CI6" s="44" t="s">
        <v>32</v>
      </c>
      <c r="CJ6" s="43">
        <v>0</v>
      </c>
    </row>
    <row r="7" spans="1:154" ht="15.75" customHeight="1">
      <c r="A7" s="5"/>
      <c r="B7" s="44" t="s">
        <v>33</v>
      </c>
      <c r="C7" s="5"/>
      <c r="D7" s="43">
        <v>0</v>
      </c>
      <c r="E7" s="43">
        <v>200</v>
      </c>
      <c r="F7" s="5"/>
      <c r="G7" s="44" t="s">
        <v>49</v>
      </c>
      <c r="H7" s="43">
        <v>0</v>
      </c>
      <c r="I7" s="43">
        <v>0</v>
      </c>
      <c r="J7" s="5"/>
      <c r="K7" s="43">
        <v>40</v>
      </c>
      <c r="L7" s="43">
        <v>40</v>
      </c>
      <c r="M7" s="44" t="s">
        <v>25</v>
      </c>
      <c r="N7" s="5"/>
      <c r="O7" s="9" t="s">
        <v>46</v>
      </c>
      <c r="Q7" s="43">
        <v>3</v>
      </c>
      <c r="R7" s="43">
        <v>0</v>
      </c>
      <c r="S7" s="44" t="s">
        <v>54</v>
      </c>
      <c r="T7" s="43">
        <v>0</v>
      </c>
      <c r="U7" s="43">
        <v>0</v>
      </c>
      <c r="Z7" s="44" t="s">
        <v>42</v>
      </c>
      <c r="AE7" s="43">
        <v>200</v>
      </c>
      <c r="AI7" s="43">
        <v>1</v>
      </c>
      <c r="AT7" s="43">
        <v>160000</v>
      </c>
      <c r="AU7" s="43">
        <v>160000</v>
      </c>
      <c r="AW7" s="43">
        <v>0</v>
      </c>
      <c r="AX7" s="43">
        <v>0</v>
      </c>
      <c r="AY7" s="6" t="s">
        <v>47</v>
      </c>
      <c r="AZ7" s="43">
        <v>0</v>
      </c>
      <c r="BE7" s="43">
        <v>160000</v>
      </c>
      <c r="BF7" s="43">
        <v>160000</v>
      </c>
      <c r="BJ7" s="43">
        <v>200</v>
      </c>
      <c r="BK7" s="43">
        <v>0</v>
      </c>
      <c r="BM7" s="44" t="s">
        <v>42</v>
      </c>
      <c r="BO7" s="44" t="s">
        <v>34</v>
      </c>
      <c r="BP7" s="43">
        <v>0</v>
      </c>
      <c r="BQ7" s="43">
        <v>0</v>
      </c>
      <c r="BT7" s="44" t="s">
        <v>48</v>
      </c>
      <c r="BU7" s="43">
        <v>0</v>
      </c>
      <c r="BV7" s="43">
        <v>0</v>
      </c>
      <c r="BW7" s="43">
        <v>0</v>
      </c>
      <c r="BX7" s="43">
        <v>0</v>
      </c>
      <c r="CI7" s="44" t="s">
        <v>34</v>
      </c>
      <c r="CJ7" s="43">
        <v>0</v>
      </c>
    </row>
    <row r="8" spans="1:154" ht="15.75" customHeight="1">
      <c r="A8" s="5"/>
      <c r="B8" s="5"/>
      <c r="C8" s="5"/>
      <c r="D8" s="44"/>
      <c r="E8" s="44"/>
      <c r="F8" s="5"/>
      <c r="G8" s="5"/>
      <c r="H8" s="5"/>
      <c r="I8" s="5"/>
      <c r="J8" s="5"/>
      <c r="K8" s="5"/>
      <c r="L8" s="5"/>
      <c r="M8" s="5"/>
      <c r="N8" s="5"/>
      <c r="O8" s="5"/>
      <c r="Q8" s="44"/>
      <c r="BO8" s="44"/>
      <c r="BU8" s="44"/>
      <c r="CI8" s="44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K13" sqref="BK13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55</v>
      </c>
      <c r="D3" s="2" t="s">
        <v>9</v>
      </c>
      <c r="E3" s="18" t="s">
        <v>56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9"/>
      <c r="B6" s="9"/>
      <c r="C6" s="44" t="s">
        <v>44</v>
      </c>
      <c r="D6" s="9">
        <v>150</v>
      </c>
      <c r="E6" s="9" t="s">
        <v>33</v>
      </c>
      <c r="F6" s="5"/>
      <c r="G6" s="9">
        <v>30</v>
      </c>
      <c r="H6" s="9" t="s">
        <v>57</v>
      </c>
      <c r="I6" s="9">
        <v>0</v>
      </c>
      <c r="J6" s="5"/>
      <c r="K6" s="9">
        <v>0</v>
      </c>
      <c r="L6" s="9">
        <v>0</v>
      </c>
      <c r="M6" s="9">
        <v>0</v>
      </c>
      <c r="N6" s="46">
        <v>-450000</v>
      </c>
      <c r="O6" s="5"/>
      <c r="Q6" s="46">
        <v>-450000</v>
      </c>
      <c r="T6" s="6" t="s">
        <v>43</v>
      </c>
      <c r="U6" s="6" t="s">
        <v>41</v>
      </c>
      <c r="V6" s="6" t="s">
        <v>58</v>
      </c>
      <c r="W6" s="6" t="s">
        <v>42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46">
        <v>-450000</v>
      </c>
      <c r="AL6" s="6">
        <v>0</v>
      </c>
      <c r="AM6" s="6">
        <v>1</v>
      </c>
      <c r="AN6" s="6" t="s">
        <v>32</v>
      </c>
      <c r="AP6" s="6" t="s">
        <v>57</v>
      </c>
      <c r="AQ6" s="6" t="s">
        <v>59</v>
      </c>
      <c r="AR6" s="6">
        <v>0</v>
      </c>
      <c r="AV6" s="6">
        <v>1</v>
      </c>
      <c r="AW6" s="46">
        <v>-450000</v>
      </c>
      <c r="AX6" s="6">
        <v>0</v>
      </c>
      <c r="AY6" s="6">
        <v>0</v>
      </c>
      <c r="AZ6" s="6">
        <v>0</v>
      </c>
      <c r="BA6" s="6">
        <v>-100</v>
      </c>
      <c r="BC6" s="6">
        <v>1</v>
      </c>
      <c r="BD6" s="46">
        <v>-450000</v>
      </c>
      <c r="BJ6" s="6">
        <v>0</v>
      </c>
      <c r="BK6" s="6">
        <v>0</v>
      </c>
      <c r="BL6" s="6">
        <v>0</v>
      </c>
      <c r="BM6" s="6">
        <v>0</v>
      </c>
      <c r="BO6" s="46">
        <v>-450000</v>
      </c>
      <c r="BP6" s="6">
        <v>-100</v>
      </c>
      <c r="BR6" s="6" t="s">
        <v>46</v>
      </c>
      <c r="BS6" s="6">
        <v>0</v>
      </c>
      <c r="BT6" s="6">
        <v>0</v>
      </c>
      <c r="BW6" s="6">
        <v>24</v>
      </c>
      <c r="BX6" s="6">
        <v>0</v>
      </c>
      <c r="BY6" s="46">
        <v>0</v>
      </c>
      <c r="BZ6" s="6">
        <v>0</v>
      </c>
      <c r="CA6" s="6">
        <v>0</v>
      </c>
      <c r="CC6" s="6">
        <v>0</v>
      </c>
      <c r="CD6" s="46">
        <v>-450000</v>
      </c>
      <c r="CE6" s="6">
        <v>0</v>
      </c>
      <c r="CF6" s="6">
        <v>0</v>
      </c>
      <c r="CG6" s="46">
        <v>-450000</v>
      </c>
      <c r="CH6" s="6">
        <v>-100</v>
      </c>
      <c r="CI6" s="6">
        <v>0</v>
      </c>
      <c r="CJ6" s="6">
        <v>0</v>
      </c>
      <c r="CP6" s="45" t="s">
        <v>24</v>
      </c>
      <c r="CS6" s="6">
        <v>30</v>
      </c>
      <c r="DA6" s="6">
        <v>0</v>
      </c>
      <c r="DB6" s="6">
        <v>0</v>
      </c>
      <c r="DD6" s="6">
        <v>0</v>
      </c>
      <c r="DE6" s="6">
        <v>-24</v>
      </c>
      <c r="DF6" s="41">
        <v>-360000</v>
      </c>
      <c r="DG6" s="6">
        <v>0</v>
      </c>
      <c r="DI6" s="6">
        <v>0</v>
      </c>
      <c r="DJ6" s="6" t="s">
        <v>32</v>
      </c>
      <c r="DK6" s="6">
        <v>0</v>
      </c>
      <c r="DL6" s="6">
        <v>0</v>
      </c>
      <c r="DM6" s="6">
        <v>1</v>
      </c>
      <c r="DN6" s="6">
        <v>0</v>
      </c>
      <c r="DP6" s="6" t="s">
        <v>60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 t="s">
        <v>57</v>
      </c>
      <c r="EM6" s="6">
        <v>0</v>
      </c>
      <c r="EN6" s="6">
        <v>0</v>
      </c>
      <c r="EO6" s="6">
        <v>0</v>
      </c>
      <c r="EQ6" s="6">
        <v>0</v>
      </c>
      <c r="ER6" s="6">
        <v>0</v>
      </c>
      <c r="ET6" s="6">
        <v>0</v>
      </c>
      <c r="EU6" s="6">
        <v>0</v>
      </c>
      <c r="EV6" s="6" t="s">
        <v>57</v>
      </c>
    </row>
    <row r="7" spans="1:168" ht="15.75" customHeight="1">
      <c r="A7" s="5"/>
      <c r="B7" s="5"/>
      <c r="C7" s="44" t="s">
        <v>48</v>
      </c>
      <c r="D7" s="9">
        <v>-200</v>
      </c>
      <c r="E7" s="9" t="s">
        <v>33</v>
      </c>
      <c r="F7" s="5"/>
      <c r="G7" s="9">
        <v>40</v>
      </c>
      <c r="H7" s="9" t="s">
        <v>60</v>
      </c>
      <c r="I7" s="46">
        <v>160000</v>
      </c>
      <c r="J7" s="5"/>
      <c r="K7" s="9">
        <v>0</v>
      </c>
      <c r="L7" s="9">
        <v>0</v>
      </c>
      <c r="M7" s="9">
        <v>0</v>
      </c>
      <c r="N7" s="46">
        <v>160000</v>
      </c>
      <c r="O7" s="5"/>
      <c r="Q7" s="46">
        <v>160000</v>
      </c>
      <c r="T7" s="6" t="s">
        <v>49</v>
      </c>
      <c r="U7" s="6" t="s">
        <v>41</v>
      </c>
      <c r="V7" s="6" t="s">
        <v>61</v>
      </c>
      <c r="W7" s="6" t="s">
        <v>42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-200</v>
      </c>
      <c r="AG7" s="6">
        <v>0</v>
      </c>
      <c r="AH7" s="6">
        <v>0</v>
      </c>
      <c r="AI7" s="6">
        <v>0</v>
      </c>
      <c r="AJ7" s="6">
        <v>0</v>
      </c>
      <c r="AK7" s="46">
        <v>160000</v>
      </c>
      <c r="AL7" s="6">
        <v>1</v>
      </c>
      <c r="AM7" s="6">
        <v>1</v>
      </c>
      <c r="AN7" s="6" t="s">
        <v>34</v>
      </c>
      <c r="AP7" s="6" t="s">
        <v>57</v>
      </c>
      <c r="AQ7" s="6" t="s">
        <v>48</v>
      </c>
      <c r="AR7" s="6">
        <v>0</v>
      </c>
      <c r="AV7" s="6">
        <v>1</v>
      </c>
      <c r="AW7" s="46">
        <v>160000</v>
      </c>
      <c r="AX7" s="6">
        <v>0</v>
      </c>
      <c r="AY7" s="6">
        <v>0</v>
      </c>
      <c r="AZ7" s="41">
        <v>160000</v>
      </c>
      <c r="BA7" s="6">
        <v>100</v>
      </c>
      <c r="BC7" s="6">
        <v>1</v>
      </c>
      <c r="BD7" s="46">
        <v>0</v>
      </c>
      <c r="BJ7" s="6">
        <v>0</v>
      </c>
      <c r="BK7" s="6">
        <v>0</v>
      </c>
      <c r="BL7" s="6">
        <v>0</v>
      </c>
      <c r="BM7" s="6">
        <v>0</v>
      </c>
      <c r="BO7" s="46">
        <v>0</v>
      </c>
      <c r="BP7" s="6">
        <v>0</v>
      </c>
      <c r="BR7" s="6" t="s">
        <v>46</v>
      </c>
      <c r="BS7" s="6">
        <v>0</v>
      </c>
      <c r="BT7" s="6">
        <v>0</v>
      </c>
      <c r="BW7" s="6">
        <v>0</v>
      </c>
      <c r="BX7" s="6">
        <v>0</v>
      </c>
      <c r="BY7" s="46">
        <v>160000</v>
      </c>
      <c r="BZ7" s="6">
        <v>0</v>
      </c>
      <c r="CA7" s="6">
        <v>0</v>
      </c>
      <c r="CC7" s="6">
        <v>0</v>
      </c>
      <c r="CD7" s="46">
        <v>160000</v>
      </c>
      <c r="CE7" s="6">
        <v>0</v>
      </c>
      <c r="CF7" s="6">
        <v>0</v>
      </c>
      <c r="CG7" s="46">
        <v>160000</v>
      </c>
      <c r="CH7" s="6">
        <v>100</v>
      </c>
      <c r="CI7" s="6">
        <v>0</v>
      </c>
      <c r="CJ7" s="6">
        <v>0</v>
      </c>
      <c r="CP7" s="44" t="s">
        <v>25</v>
      </c>
      <c r="CS7" s="6">
        <v>40</v>
      </c>
      <c r="DA7" s="6">
        <v>0</v>
      </c>
      <c r="DB7" s="6">
        <v>100</v>
      </c>
      <c r="DD7" s="6">
        <v>-200</v>
      </c>
      <c r="DE7" s="6">
        <v>0</v>
      </c>
      <c r="DF7" s="6">
        <v>0</v>
      </c>
      <c r="DG7" s="6">
        <v>0</v>
      </c>
      <c r="DI7" s="6">
        <v>0</v>
      </c>
      <c r="DJ7" s="6" t="s">
        <v>34</v>
      </c>
      <c r="DK7" s="6">
        <v>0</v>
      </c>
      <c r="DL7" s="6">
        <v>0</v>
      </c>
      <c r="DM7" s="6">
        <v>1</v>
      </c>
      <c r="DN7" s="6">
        <v>0</v>
      </c>
      <c r="DP7" s="6" t="s">
        <v>57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 t="s">
        <v>57</v>
      </c>
      <c r="EM7" s="6">
        <v>0</v>
      </c>
      <c r="EN7" s="6">
        <v>0</v>
      </c>
      <c r="EO7" s="6">
        <v>0</v>
      </c>
      <c r="EQ7" s="6">
        <v>0</v>
      </c>
      <c r="ER7" s="6">
        <v>0</v>
      </c>
      <c r="ET7" s="6">
        <v>0</v>
      </c>
      <c r="EU7" s="6">
        <v>0</v>
      </c>
      <c r="EV7" s="6" t="s">
        <v>57</v>
      </c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9"/>
      <c r="N8" s="5"/>
      <c r="O8" s="5"/>
      <c r="Q8" s="5"/>
      <c r="AB8" s="6"/>
      <c r="AK8" s="5"/>
      <c r="AW8" s="5"/>
      <c r="BD8" s="5"/>
      <c r="BO8" s="5"/>
      <c r="BY8" s="5"/>
      <c r="CD8" s="5"/>
      <c r="CG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SetTTGeneralPreferences</vt:lpstr>
      <vt:lpstr>ToggleBlombergOnRA</vt:lpstr>
      <vt:lpstr>AddSymbolOnRAList</vt:lpstr>
      <vt:lpstr>RemoveSymbolFromRAList</vt:lpstr>
      <vt:lpstr>ExportSymbolFromRAList</vt:lpstr>
      <vt:lpstr>TradeBloomberg</vt:lpstr>
      <vt:lpstr>TradeBloomberg1</vt:lpstr>
      <vt:lpstr>TradeBloomberg2</vt:lpstr>
      <vt:lpstr>TradeBloomberg3</vt:lpstr>
      <vt:lpstr>CreateDoneAwayOrder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2021-08-04T11:08:54Z</dcterms:modified>
</cp:coreProperties>
</file>