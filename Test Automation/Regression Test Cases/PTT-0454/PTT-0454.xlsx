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SetDollarAmountPermission" sheetId="4" r:id="rId7"/>
    <sheet state="visible" name="CalculatePTT1" sheetId="5" r:id="rId8"/>
    <sheet state="visible" name="CalculatePTT" sheetId="6" r:id="rId9"/>
    <sheet state="visible" name="CustomOrderTT" sheetId="7" r:id="rId10"/>
    <sheet state="visible" name="CustomOrderTT1" sheetId="8" r:id="rId11"/>
    <sheet state="visible" name="VerifyBlotter" sheetId="9" r:id="rId12"/>
  </sheets>
  <definedNames/>
  <calcPr/>
  <extLst>
    <ext uri="GoogleSheetsCustomDataVersion2">
      <go:sheetsCustomData xmlns:go="http://customooxmlschemas.google.com/" r:id="rId13" roundtripDataChecksum="CVar2Wkig78rhHJ1BwLdaqbLsKPyMGBvPapPlFmmqGQ="/>
    </ext>
  </extLst>
</workbook>
</file>

<file path=xl/sharedStrings.xml><?xml version="1.0" encoding="utf-8"?>
<sst xmlns="http://schemas.openxmlformats.org/spreadsheetml/2006/main" count="153" uniqueCount="102">
  <si>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</si>
  <si>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</si>
  <si>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</si>
  <si>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</si>
  <si>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</si>
  <si>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</si>
  <si>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</si>
  <si>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</si>
  <si>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</si>
  <si>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</si>
  <si>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</si>
  <si>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</si>
  <si>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</si>
  <si>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</si>
  <si>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</si>
  <si>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</si>
  <si>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PTT</t>
  </si>
  <si>
    <t>CalculatePTT</t>
  </si>
  <si>
    <t>FB</t>
  </si>
  <si>
    <t>Decrease</t>
  </si>
  <si>
    <t>AMT</t>
  </si>
  <si>
    <t>No</t>
  </si>
  <si>
    <t>Account</t>
  </si>
  <si>
    <t>Allocation1</t>
  </si>
  <si>
    <t>TradingTicket</t>
  </si>
  <si>
    <t>CustomOrderTT</t>
  </si>
  <si>
    <t>Send</t>
  </si>
  <si>
    <t>Good Till Date</t>
  </si>
  <si>
    <t>GTC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</si>
  <si>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</si>
  <si>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</si>
  <si>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</si>
  <si>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</si>
  <si>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</si>
  <si>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</si>
  <si>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</si>
  <si>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</si>
  <si>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</si>
  <si>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</si>
  <si>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</si>
  <si>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</si>
  <si>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</si>
  <si>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</si>
  <si>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</si>
  <si>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</si>
  <si>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</si>
  <si>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</si>
  <si>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</si>
  <si>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</si>
  <si>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</si>
  <si>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</si>
  <si>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</si>
  <si>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</si>
  <si>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</si>
  <si>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</si>
  <si>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</si>
  <si>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</si>
  <si>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</si>
  <si>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</si>
  <si>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</si>
  <si>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</si>
  <si>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</si>
  <si>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</si>
  <si>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</si>
  <si>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</si>
  <si>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</si>
  <si>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</si>
  <si>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</si>
  <si>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</si>
  <si>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</si>
  <si>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</si>
  <si>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</si>
  <si>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</si>
  <si>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</si>
  <si>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</si>
  <si>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</si>
  <si>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</si>
  <si>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</si>
  <si>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</si>
  <si>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</si>
  <si>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</si>
  <si>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</si>
  <si>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</si>
  <si>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</si>
  <si>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</si>
  <si>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</si>
  <si>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</si>
  <si>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</si>
  <si>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</si>
  <si>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</si>
  <si>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</si>
  <si>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</si>
  <si>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</si>
  <si>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</si>
  <si>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</si>
  <si>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NASDAQ</t>
  </si>
  <si>
    <t>jpearce</t>
  </si>
  <si>
    <t>Equity</t>
  </si>
  <si>
    <t>Sell</t>
  </si>
  <si>
    <t>New</t>
  </si>
  <si>
    <t>MS</t>
  </si>
  <si>
    <t>PST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</si>
</sst>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Alignment="1" applyFont="1">
      <alignment readingOrder="0"/>
    </xf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3" fillId="3" fontId="9" numFmtId="0" xfId="0" applyAlignment="1" applyBorder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6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8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</row>
    <row r="4" ht="15.75" customHeight="1">
      <c r="A4" s="19"/>
      <c r="B4" s="19" t="str">
        <f>IFERROR(__xludf.DUMMYFUNCTION("IF(C3="""","""",Transpose(IMPORTRANGE('_Settings'!$B$3,C3&amp;""!A4:A1000"")))"),"SetTTUIPreferences")</f>
        <v>SetTTUIPreferences</v>
      </c>
      <c r="C4" s="19" t="str">
        <f>IFERROR(__xludf.DUMMYFUNCTION("""COMPUTED_VALUE"""),"TTPermissionLevel")</f>
        <v>TTPermissionLevel</v>
      </c>
      <c r="D4" s="19" t="str">
        <f>IFERROR(__xludf.DUMMYFUNCTION("""COMPUTED_VALUE"""),"SetCheckSide")</f>
        <v>SetCheckSide</v>
      </c>
      <c r="E4" s="19" t="str">
        <f>IFERROR(__xludf.DUMMYFUNCTION("""COMPUTED_VALUE"""),"SetRollover")</f>
        <v>SetRollover</v>
      </c>
      <c r="F4" s="19" t="str">
        <f>IFERROR(__xludf.DUMMYFUNCTION("""COMPUTED_VALUE"""),"SetActive")</f>
        <v>SetActive</v>
      </c>
      <c r="G4" s="19" t="str">
        <f>IFERROR(__xludf.DUMMYFUNCTION("""COMPUTED_VALUE"""),"SetThirdPartyFormat")</f>
        <v>SetThirdPartyFormat</v>
      </c>
      <c r="H4" s="19" t="str">
        <f>IFERROR(__xludf.DUMMYFUNCTION("""COMPUTED_VALUE"""),"UpdateRoundLot")</f>
        <v>UpdateRoundLot</v>
      </c>
      <c r="I4" s="19" t="str">
        <f>IFERROR(__xludf.DUMMYFUNCTION("""COMPUTED_VALUE"""),"SetTradingComplianceRules")</f>
        <v>SetTradingComplianceRules</v>
      </c>
      <c r="J4" s="19" t="str">
        <f>IFERROR(__xludf.DUMMYFUNCTION("""COMPUTED_VALUE"""),"EnableBreakdownRealizedPNL")</f>
        <v>EnableBreakdownRealizedPNL</v>
      </c>
      <c r="K4" s="19" t="str">
        <f>IFERROR(__xludf.DUMMYFUNCTION("""COMPUTED_VALUE"""),"SetTTGeneralPreferences")</f>
        <v>SetTTGeneralPreferences</v>
      </c>
      <c r="L4" s="19" t="str">
        <f>IFERROR(__xludf.DUMMYFUNCTION("""COMPUTED_VALUE"""),"SetDollarAmountPermission")</f>
        <v>SetDollarAmountPermission</v>
      </c>
      <c r="M4" s="19" t="str">
        <f>IFERROR(__xludf.DUMMYFUNCTION("""COMPUTED_VALUE"""),"EnableDisableModule")</f>
        <v>EnableDisableModule</v>
      </c>
      <c r="N4" s="19" t="str">
        <f>IFERROR(__xludf.DUMMYFUNCTION("""COMPUTED_VALUE"""),"IsImportOverrideOnShortLocate")</f>
        <v>IsImportOverrideOnShortLocate</v>
      </c>
      <c r="O4" s="19" t="str">
        <f>IFERROR(__xludf.DUMMYFUNCTION("""COMPUTED_VALUE"""),"SetShortLocateStructures")</f>
        <v>SetShortLocateStructures</v>
      </c>
      <c r="P4" s="20" t="str">
        <f>IFERROR(__xludf.DUMMYFUNCTION("""COMPUTED_VALUE"""),"SetComplianceAlert")</f>
        <v>SetComplianceAlert</v>
      </c>
      <c r="Q4" s="20" t="str">
        <f>IFERROR(__xludf.DUMMYFUNCTION("""COMPUTED_VALUE"""),"UpdateExpirationDate")</f>
        <v>UpdateExpirationDate</v>
      </c>
      <c r="R4" s="20" t="str">
        <f>IFERROR(__xludf.DUMMYFUNCTION("""COMPUTED_VALUE"""),"RenameMasterStrategy")</f>
        <v>RenameMasterStrategy</v>
      </c>
      <c r="S4" s="20" t="str">
        <f>IFERROR(__xludf.DUMMYFUNCTION("""COMPUTED_VALUE"""),"SetTTUIAdminPreferences")</f>
        <v>SetTTUIAdminPreferences</v>
      </c>
      <c r="T4" s="20" t="str">
        <f>IFERROR(__xludf.DUMMYFUNCTION("""COMPUTED_VALUE"""),"UpdateSecFee")</f>
        <v>UpdateSecFee</v>
      </c>
      <c r="U4" s="20" t="str">
        <f>IFERROR(__xludf.DUMMYFUNCTION("""COMPUTED_VALUE"""),"UpdateFee")</f>
        <v>UpdateFee</v>
      </c>
      <c r="V4" s="20" t="str">
        <f>IFERROR(__xludf.DUMMYFUNCTION("""COMPUTED_VALUE"""),"RevertingSMSharesOutValue")</f>
        <v>RevertingSMSharesOutValue</v>
      </c>
      <c r="W4" s="20" t="str">
        <f>IFERROR(__xludf.DUMMYFUNCTION("""COMPUTED_VALUE"""),"RestartSQL")</f>
        <v>RestartSQL</v>
      </c>
      <c r="X4" s="20" t="str">
        <f>IFERROR(__xludf.DUMMYFUNCTION("""COMPUTED_VALUE"""),"TradeAuditCleanUp")</f>
        <v>TradeAuditCleanUp</v>
      </c>
      <c r="Y4" s="20" t="str">
        <f>IFERROR(__xludf.DUMMYFUNCTION("""COMPUTED_VALUE"""),"DeleteSymbolFromSM")</f>
        <v>DeleteSymbolFromSM</v>
      </c>
      <c r="Z4" s="20" t="str">
        <f>IFERROR(__xludf.DUMMYFUNCTION("""COMPUTED_VALUE"""),"SetCompliancePermission")</f>
        <v>SetCompliancePermission</v>
      </c>
      <c r="AA4" s="20" t="str">
        <f>IFERROR(__xludf.DUMMYFUNCTION("""COMPUTED_VALUE"""),"SetMasterFundOnTT")</f>
        <v>SetMasterFundOnTT</v>
      </c>
      <c r="AB4" s="20" t="str">
        <f>IFERROR(__xludf.DUMMYFUNCTION("""COMPUTED_VALUE"""),"SetMarketDataProvider")</f>
        <v>SetMarketDataProvider</v>
      </c>
      <c r="AC4" s="20" t="str">
        <f>IFERROR(__xludf.DUMMYFUNCTION("""COMPUTED_VALUE"""),"SetAllocationPreferences")</f>
        <v>SetAllocationPreferences</v>
      </c>
      <c r="AD4" s="20" t="str">
        <f>IFERROR(__xludf.DUMMYFUNCTION("""COMPUTED_VALUE"""),"SetRegularCompliancePermission")</f>
        <v>SetRegularCompliancePermission</v>
      </c>
      <c r="AE4" s="20" t="str">
        <f>IFERROR(__xludf.DUMMYFUNCTION("""COMPUTED_VALUE"""),"SetCommissionRule")</f>
        <v>SetCommissionRule</v>
      </c>
      <c r="AF4" s="20" t="str">
        <f>IFERROR(__xludf.DUMMYFUNCTION("""COMPUTED_VALUE"""),"SetPreTradeCompliancePermission")</f>
        <v>SetPreTradeCompliancePermission</v>
      </c>
      <c r="AG4" s="20" t="str">
        <f>IFERROR(__xludf.DUMMYFUNCTION("""COMPUTED_VALUE"""),"SetAuecExecutingBroker")</f>
        <v>SetAuecExecutingBroker</v>
      </c>
      <c r="AH4" s="20" t="str">
        <f>IFERROR(__xludf.DUMMYFUNCTION("""COMPUTED_VALUE"""),"SetAlgoBroker")</f>
        <v>SetAlgoBroker</v>
      </c>
      <c r="AI4" s="20" t="str">
        <f>IFERROR(__xludf.DUMMYFUNCTION("""COMPUTED_VALUE"""),"EnableAutoGroupingAllocation")</f>
        <v>EnableAutoGroupingAllocation</v>
      </c>
      <c r="AJ4" s="20" t="str">
        <f>IFERROR(__xludf.DUMMYFUNCTION("""COMPUTED_VALUE"""),"ConfigUpdater")</f>
        <v>ConfigUpdater</v>
      </c>
      <c r="AK4" s="20" t="str">
        <f>IFERROR(__xludf.DUMMYFUNCTION("""COMPUTED_VALUE"""),"AccountPermission")</f>
        <v>AccountPermission</v>
      </c>
      <c r="AL4" s="20" t="str">
        <f>IFERROR(__xludf.DUMMYFUNCTION("""COMPUTED_VALUE"""),"BasketPermission")</f>
        <v>BasketPermission</v>
      </c>
      <c r="AM4" s="20" t="str">
        <f>IFERROR(__xludf.DUMMYFUNCTION("""COMPUTED_VALUE"""),"ChangeDate")</f>
        <v>ChangeDate</v>
      </c>
      <c r="AN4" s="20" t="str">
        <f>IFERROR(__xludf.DUMMYFUNCTION("""COMPUTED_VALUE"""),"AuecVenueExchange")</f>
        <v>AuecVenueExchange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IFERROR(__xludf.DUMMYFUNCTION("""COMPUTED_VALUE"""),"TT")</f>
        <v>TT</v>
      </c>
      <c r="C5" s="22" t="str">
        <f>IFERROR(__xludf.DUMMYFUNCTION("""COMPUTED_VALUE"""),"PTT")</f>
        <v>PTT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</row>
    <row r="6" ht="15.75" customHeight="1">
      <c r="A6" s="6"/>
      <c r="B6" s="6" t="b">
        <v>1</v>
      </c>
      <c r="C6" s="6" t="b">
        <v>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16</v>
      </c>
      <c r="D3" s="4" t="s">
        <v>9</v>
      </c>
      <c r="E3" s="24" t="s">
        <v>17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ht="15.75" customHeight="1">
      <c r="A4" s="19"/>
      <c r="B4" s="19" t="str">
        <f>IFERROR(__xludf.DUMMYFUNCTION("IF(C3="""","""",Transpose(IMPORTRANGE('_Settings'!$B$3,C3&amp;""!A4:A1000"")))"),"CalculatePTT")</f>
        <v>CalculatePTT</v>
      </c>
      <c r="C4" s="19" t="str">
        <f>IFERROR(__xludf.DUMMYFUNCTION("""COMPUTED_VALUE"""),"TradeUsingPTT")</f>
        <v>TradeUsingPTT</v>
      </c>
      <c r="D4" s="19" t="str">
        <f>IFERROR(__xludf.DUMMYFUNCTION("""COMPUTED_VALUE"""),"VerifyPTTCompliance")</f>
        <v>VerifyPTTCompliance</v>
      </c>
      <c r="E4" s="19" t="str">
        <f>IFERROR(__xludf.DUMMYFUNCTION("""COMPUTED_VALUE"""),"StageOrderUsingPTT")</f>
        <v>StageOrderUsingPTT</v>
      </c>
      <c r="F4" s="19" t="str">
        <f>IFERROR(__xludf.DUMMYFUNCTION("""COMPUTED_VALUE"""),"CreateOrderPTT")</f>
        <v>CreateOrderPTT</v>
      </c>
      <c r="G4" s="19" t="str">
        <f>IFERROR(__xludf.DUMMYFUNCTION("""COMPUTED_VALUE"""),"TradePTT")</f>
        <v>TradePTT</v>
      </c>
      <c r="H4" s="19" t="str">
        <f>IFERROR(__xludf.DUMMYFUNCTION("""COMPUTED_VALUE"""),"VerifyPTT")</f>
        <v>VerifyPTT</v>
      </c>
      <c r="I4" s="19" t="str">
        <f>IFERROR(__xludf.DUMMYFUNCTION("""COMPUTED_VALUE"""),"OpenMultiTTFromPTT")</f>
        <v>OpenMultiTTFromPTT</v>
      </c>
      <c r="J4" s="19" t="str">
        <f>IFERROR(__xludf.DUMMYFUNCTION("""COMPUTED_VALUE"""),"SelectMultiTT")</f>
        <v>SelectMultiTT</v>
      </c>
      <c r="K4" s="19" t="str">
        <f>IFERROR(__xludf.DUMMYFUNCTION("""COMPUTED_VALUE"""),"EditMultiTT")</f>
        <v>EditMultiTT</v>
      </c>
      <c r="L4" s="19" t="str">
        <f>IFERROR(__xludf.DUMMYFUNCTION("""COMPUTED_VALUE"""),"SetAccountFactor")</f>
        <v>SetAccountFactor</v>
      </c>
      <c r="M4" s="19" t="str">
        <f>IFERROR(__xludf.DUMMYFUNCTION("""COMPUTED_VALUE"""),"SetPTTPreference")</f>
        <v>SetPTTPreference</v>
      </c>
      <c r="N4" s="19" t="str">
        <f>IFERROR(__xludf.DUMMYFUNCTION("""COMPUTED_VALUE"""),"SetLongShortPTTPreference")</f>
        <v>SetLongShortPTTPreference</v>
      </c>
      <c r="O4" s="19" t="str">
        <f>IFERROR(__xludf.DUMMYFUNCTION("""COMPUTED_VALUE"""),"SelectPTTRecord")</f>
        <v>SelectPTTRecord</v>
      </c>
      <c r="P4" s="20" t="str">
        <f>IFERROR(__xludf.DUMMYFUNCTION("""COMPUTED_VALUE"""),"EditPTTRecordAndExecuteOrder")</f>
        <v>EditPTTRecordAndExecuteOrder</v>
      </c>
      <c r="Q4" s="20" t="str">
        <f>IFERROR(__xludf.DUMMYFUNCTION("""COMPUTED_VALUE"""),"CreateOrderAfterEditPTT")</f>
        <v>CreateOrderAfterEditPTT</v>
      </c>
      <c r="R4" s="20" t="str">
        <f>IFERROR(__xludf.DUMMYFUNCTION("""COMPUTED_VALUE"""),"EditPTTWPFGrid")</f>
        <v>EditPTTWPFGrid</v>
      </c>
      <c r="S4" s="20" t="str">
        <f>IFERROR(__xludf.DUMMYFUNCTION("""COMPUTED_VALUE"""),"SetDefaultSymbology")</f>
        <v>SetDefaultSymbology</v>
      </c>
      <c r="T4" s="20" t="str">
        <f>IFERROR(__xludf.DUMMYFUNCTION("""COMPUTED_VALUE"""),"EditPTTAccountLevelWPF")</f>
        <v>EditPTTAccountLevelWPF</v>
      </c>
      <c r="U4" s="20" t="str">
        <f>IFERROR(__xludf.DUMMYFUNCTION("""COMPUTED_VALUE"""),"AutoStageImportFromPTTExport")</f>
        <v>AutoStageImportFromPTTExport</v>
      </c>
      <c r="V4" s="20" t="str">
        <f>IFERROR(__xludf.DUMMYFUNCTION("""COMPUTED_VALUE"""),"OpenPreferencesFromPTT")</f>
        <v>OpenPreferencesFromPTT</v>
      </c>
      <c r="W4" s="20" t="str">
        <f>IFERROR(__xludf.DUMMYFUNCTION("""COMPUTED_VALUE"""),"VerifyTradeSummary")</f>
        <v>VerifyTradeSummary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IFERROR(__xludf.DUMMYFUNCTION("""COMPUTED_VALUE"""),"Ticker")</f>
        <v>Ticker</v>
      </c>
      <c r="C5" s="22" t="str">
        <f>IFERROR(__xludf.DUMMYFUNCTION("""COMPUTED_VALUE"""),"Add/Set")</f>
        <v>Add/Set</v>
      </c>
      <c r="D5" s="22" t="str">
        <f>IFERROR(__xludf.DUMMYFUNCTION("""COMPUTED_VALUE"""),"Type")</f>
        <v>Type</v>
      </c>
      <c r="E5" s="22" t="str">
        <f>IFERROR(__xludf.DUMMYFUNCTION("""COMPUTED_VALUE"""),"Target")</f>
        <v>Target</v>
      </c>
      <c r="F5" s="22" t="str">
        <f>IFERROR(__xludf.DUMMYFUNCTION("""COMPUTED_VALUE"""),"Price")</f>
        <v>Price</v>
      </c>
      <c r="G5" s="22" t="str">
        <f>IFERROR(__xludf.DUMMYFUNCTION("""COMPUTED_VALUE"""),"Combined Account Total")</f>
        <v>Combined Account Total</v>
      </c>
      <c r="H5" s="22" t="str">
        <f>IFERROR(__xludf.DUMMYFUNCTION("""COMPUTED_VALUE"""),"MasterFund/Account")</f>
        <v>MasterFund/Account</v>
      </c>
      <c r="I5" s="22" t="str">
        <f>IFERROR(__xludf.DUMMYFUNCTION("""COMPUTED_VALUE"""),"Accounts")</f>
        <v>Accounts</v>
      </c>
      <c r="J5" s="22" t="str">
        <f>IFERROR(__xludf.DUMMYFUNCTION("""COMPUTED_VALUE"""),"Master Funds")</f>
        <v>Master Funds</v>
      </c>
      <c r="K5" s="22" t="str">
        <f>IFERROR(__xludf.DUMMYFUNCTION("""COMPUTED_VALUE"""),"Round Lots")</f>
        <v>Round Lots</v>
      </c>
      <c r="L5" s="22" t="str">
        <f>IFERROR(__xludf.DUMMYFUNCTION("""COMPUTED_VALUE"""),"Use Custodian Broker")</f>
        <v>Use Custodian Broker</v>
      </c>
      <c r="M5" s="22" t="str">
        <f>IFERROR(__xludf.DUMMYFUNCTION("""COMPUTED_VALUE"""),"Broker")</f>
        <v>Broker</v>
      </c>
      <c r="N5" s="22" t="str">
        <f>IFERROR(__xludf.DUMMYFUNCTION("""COMPUTED_VALUE"""),"Venue")</f>
        <v>Venue</v>
      </c>
      <c r="O5" s="22" t="str">
        <f>IFERROR(__xludf.DUMMYFUNCTION("""COMPUTED_VALUE"""),"TIF")</f>
        <v>TIF</v>
      </c>
      <c r="P5" s="22" t="str">
        <f>IFERROR(__xludf.DUMMYFUNCTION("""COMPUTED_VALUE"""),"Order Type")</f>
        <v>Order Type</v>
      </c>
      <c r="Q5" s="22" t="str">
        <f>IFERROR(__xludf.DUMMYFUNCTION("""COMPUTED_VALUE"""),"Stop")</f>
        <v>Stop</v>
      </c>
      <c r="R5" s="22" t="str">
        <f>IFERROR(__xludf.DUMMYFUNCTION("""COMPUTED_VALUE"""),"Limit")</f>
        <v>Limit</v>
      </c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15.75" customHeight="1">
      <c r="A6" s="25"/>
      <c r="B6" s="26" t="s">
        <v>18</v>
      </c>
      <c r="C6" s="26" t="s">
        <v>19</v>
      </c>
      <c r="D6" s="26" t="s">
        <v>20</v>
      </c>
      <c r="E6" s="27">
        <v>10.0</v>
      </c>
      <c r="F6" s="27">
        <v>10.0</v>
      </c>
      <c r="G6" s="26" t="s">
        <v>21</v>
      </c>
      <c r="H6" s="26" t="s">
        <v>22</v>
      </c>
      <c r="I6" s="26" t="s">
        <v>23</v>
      </c>
      <c r="J6" s="25"/>
      <c r="K6" s="26" t="s">
        <v>21</v>
      </c>
      <c r="L6" s="25"/>
      <c r="M6" s="25"/>
      <c r="N6" s="25"/>
      <c r="O6" s="25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16</v>
      </c>
      <c r="D3" s="4" t="s">
        <v>9</v>
      </c>
      <c r="E3" s="11" t="s">
        <v>17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ht="15.75" customHeight="1">
      <c r="A4" s="19"/>
      <c r="B4" s="19" t="str">
        <f>IFERROR(__xludf.DUMMYFUNCTION("IF(C3="""","""",Transpose(IMPORTRANGE('_Settings'!$B$3,C3&amp;""!A4:A1000"")))"),"CalculatePTT")</f>
        <v>CalculatePTT</v>
      </c>
      <c r="C4" s="19" t="str">
        <f>IFERROR(__xludf.DUMMYFUNCTION("""COMPUTED_VALUE"""),"TradeUsingPTT")</f>
        <v>TradeUsingPTT</v>
      </c>
      <c r="D4" s="19" t="str">
        <f>IFERROR(__xludf.DUMMYFUNCTION("""COMPUTED_VALUE"""),"VerifyPTTCompliance")</f>
        <v>VerifyPTTCompliance</v>
      </c>
      <c r="E4" s="19" t="str">
        <f>IFERROR(__xludf.DUMMYFUNCTION("""COMPUTED_VALUE"""),"StageOrderUsingPTT")</f>
        <v>StageOrderUsingPTT</v>
      </c>
      <c r="F4" s="19" t="str">
        <f>IFERROR(__xludf.DUMMYFUNCTION("""COMPUTED_VALUE"""),"CreateOrderPTT")</f>
        <v>CreateOrderPTT</v>
      </c>
      <c r="G4" s="19" t="str">
        <f>IFERROR(__xludf.DUMMYFUNCTION("""COMPUTED_VALUE"""),"TradePTT")</f>
        <v>TradePTT</v>
      </c>
      <c r="H4" s="19" t="str">
        <f>IFERROR(__xludf.DUMMYFUNCTION("""COMPUTED_VALUE"""),"VerifyPTT")</f>
        <v>VerifyPTT</v>
      </c>
      <c r="I4" s="19" t="str">
        <f>IFERROR(__xludf.DUMMYFUNCTION("""COMPUTED_VALUE"""),"OpenMultiTTFromPTT")</f>
        <v>OpenMultiTTFromPTT</v>
      </c>
      <c r="J4" s="19" t="str">
        <f>IFERROR(__xludf.DUMMYFUNCTION("""COMPUTED_VALUE"""),"SelectMultiTT")</f>
        <v>SelectMultiTT</v>
      </c>
      <c r="K4" s="19" t="str">
        <f>IFERROR(__xludf.DUMMYFUNCTION("""COMPUTED_VALUE"""),"EditMultiTT")</f>
        <v>EditMultiTT</v>
      </c>
      <c r="L4" s="19" t="str">
        <f>IFERROR(__xludf.DUMMYFUNCTION("""COMPUTED_VALUE"""),"SetAccountFactor")</f>
        <v>SetAccountFactor</v>
      </c>
      <c r="M4" s="19" t="str">
        <f>IFERROR(__xludf.DUMMYFUNCTION("""COMPUTED_VALUE"""),"SetPTTPreference")</f>
        <v>SetPTTPreference</v>
      </c>
      <c r="N4" s="19" t="str">
        <f>IFERROR(__xludf.DUMMYFUNCTION("""COMPUTED_VALUE"""),"SetLongShortPTTPreference")</f>
        <v>SetLongShortPTTPreference</v>
      </c>
      <c r="O4" s="19" t="str">
        <f>IFERROR(__xludf.DUMMYFUNCTION("""COMPUTED_VALUE"""),"SelectPTTRecord")</f>
        <v>SelectPTTRecord</v>
      </c>
      <c r="P4" s="20" t="str">
        <f>IFERROR(__xludf.DUMMYFUNCTION("""COMPUTED_VALUE"""),"EditPTTRecordAndExecuteOrder")</f>
        <v>EditPTTRecordAndExecuteOrder</v>
      </c>
      <c r="Q4" s="20" t="str">
        <f>IFERROR(__xludf.DUMMYFUNCTION("""COMPUTED_VALUE"""),"CreateOrderAfterEditPTT")</f>
        <v>CreateOrderAfterEditPTT</v>
      </c>
      <c r="R4" s="20" t="str">
        <f>IFERROR(__xludf.DUMMYFUNCTION("""COMPUTED_VALUE"""),"EditPTTWPFGrid")</f>
        <v>EditPTTWPFGrid</v>
      </c>
      <c r="S4" s="20" t="str">
        <f>IFERROR(__xludf.DUMMYFUNCTION("""COMPUTED_VALUE"""),"SetDefaultSymbology")</f>
        <v>SetDefaultSymbology</v>
      </c>
      <c r="T4" s="20" t="str">
        <f>IFERROR(__xludf.DUMMYFUNCTION("""COMPUTED_VALUE"""),"EditPTTAccountLevelWPF")</f>
        <v>EditPTTAccountLevelWPF</v>
      </c>
      <c r="U4" s="20" t="str">
        <f>IFERROR(__xludf.DUMMYFUNCTION("""COMPUTED_VALUE"""),"AutoStageImportFromPTTExport")</f>
        <v>AutoStageImportFromPTTExport</v>
      </c>
      <c r="V4" s="20" t="str">
        <f>IFERROR(__xludf.DUMMYFUNCTION("""COMPUTED_VALUE"""),"OpenPreferencesFromPTT")</f>
        <v>OpenPreferencesFromPTT</v>
      </c>
      <c r="W4" s="20" t="str">
        <f>IFERROR(__xludf.DUMMYFUNCTION("""COMPUTED_VALUE"""),"VerifyTradeSummary")</f>
        <v>VerifyTradeSummary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IFERROR(__xludf.DUMMYFUNCTION("""COMPUTED_VALUE"""),"Ticker")</f>
        <v>Ticker</v>
      </c>
      <c r="C5" s="22" t="str">
        <f>IFERROR(__xludf.DUMMYFUNCTION("""COMPUTED_VALUE"""),"Add/Set")</f>
        <v>Add/Set</v>
      </c>
      <c r="D5" s="22" t="str">
        <f>IFERROR(__xludf.DUMMYFUNCTION("""COMPUTED_VALUE"""),"Type")</f>
        <v>Type</v>
      </c>
      <c r="E5" s="22" t="str">
        <f>IFERROR(__xludf.DUMMYFUNCTION("""COMPUTED_VALUE"""),"Target")</f>
        <v>Target</v>
      </c>
      <c r="F5" s="22" t="str">
        <f>IFERROR(__xludf.DUMMYFUNCTION("""COMPUTED_VALUE"""),"Price")</f>
        <v>Price</v>
      </c>
      <c r="G5" s="22" t="str">
        <f>IFERROR(__xludf.DUMMYFUNCTION("""COMPUTED_VALUE"""),"Combined Account Total")</f>
        <v>Combined Account Total</v>
      </c>
      <c r="H5" s="22" t="str">
        <f>IFERROR(__xludf.DUMMYFUNCTION("""COMPUTED_VALUE"""),"MasterFund/Account")</f>
        <v>MasterFund/Account</v>
      </c>
      <c r="I5" s="22" t="str">
        <f>IFERROR(__xludf.DUMMYFUNCTION("""COMPUTED_VALUE"""),"Accounts")</f>
        <v>Accounts</v>
      </c>
      <c r="J5" s="22" t="str">
        <f>IFERROR(__xludf.DUMMYFUNCTION("""COMPUTED_VALUE"""),"Master Funds")</f>
        <v>Master Funds</v>
      </c>
      <c r="K5" s="22" t="str">
        <f>IFERROR(__xludf.DUMMYFUNCTION("""COMPUTED_VALUE"""),"Round Lots")</f>
        <v>Round Lots</v>
      </c>
      <c r="L5" s="22" t="str">
        <f>IFERROR(__xludf.DUMMYFUNCTION("""COMPUTED_VALUE"""),"Use Custodian Broker")</f>
        <v>Use Custodian Broker</v>
      </c>
      <c r="M5" s="22" t="str">
        <f>IFERROR(__xludf.DUMMYFUNCTION("""COMPUTED_VALUE"""),"Broker")</f>
        <v>Broker</v>
      </c>
      <c r="N5" s="22" t="str">
        <f>IFERROR(__xludf.DUMMYFUNCTION("""COMPUTED_VALUE"""),"Venue")</f>
        <v>Venue</v>
      </c>
      <c r="O5" s="22" t="str">
        <f>IFERROR(__xludf.DUMMYFUNCTION("""COMPUTED_VALUE"""),"TIF")</f>
        <v>TIF</v>
      </c>
      <c r="P5" s="22" t="str">
        <f>IFERROR(__xludf.DUMMYFUNCTION("""COMPUTED_VALUE"""),"Order Type")</f>
        <v>Order Type</v>
      </c>
      <c r="Q5" s="22" t="str">
        <f>IFERROR(__xludf.DUMMYFUNCTION("""COMPUTED_VALUE"""),"Stop")</f>
        <v>Stop</v>
      </c>
      <c r="R5" s="22" t="str">
        <f>IFERROR(__xludf.DUMMYFUNCTION("""COMPUTED_VALUE"""),"Limit")</f>
        <v>Limit</v>
      </c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15.75" customHeight="1">
      <c r="A6" s="6"/>
      <c r="B6" s="6" t="s">
        <v>18</v>
      </c>
      <c r="C6" s="29" t="s">
        <v>19</v>
      </c>
      <c r="D6" s="6" t="s">
        <v>20</v>
      </c>
      <c r="E6" s="6">
        <v>10.0</v>
      </c>
      <c r="F6" s="6">
        <v>10.0</v>
      </c>
      <c r="G6" s="6" t="s">
        <v>21</v>
      </c>
      <c r="H6" s="6" t="s">
        <v>22</v>
      </c>
      <c r="I6" s="6" t="s">
        <v>23</v>
      </c>
      <c r="J6" s="6"/>
      <c r="K6" s="6" t="s">
        <v>21</v>
      </c>
      <c r="L6" s="6"/>
      <c r="M6" s="6"/>
      <c r="N6" s="6"/>
      <c r="O6" s="6"/>
      <c r="P6" s="8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24</v>
      </c>
      <c r="D3" s="4" t="s">
        <v>9</v>
      </c>
      <c r="E3" s="11" t="s">
        <v>25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</row>
    <row r="6" ht="15.75" customHeight="1">
      <c r="A6" s="6"/>
      <c r="B6" s="6"/>
      <c r="C6" s="6"/>
      <c r="D6" s="29">
        <v>10.0</v>
      </c>
      <c r="E6" s="29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U6" s="30" t="s">
        <v>27</v>
      </c>
      <c r="Y6" s="31">
        <f>TODAY()+2</f>
        <v>45966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24</v>
      </c>
      <c r="D3" s="4" t="s">
        <v>9</v>
      </c>
      <c r="E3" s="24" t="s">
        <v>25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</row>
    <row r="6" ht="15.75" customHeight="1">
      <c r="A6" s="6"/>
      <c r="B6" s="6"/>
      <c r="C6" s="6"/>
      <c r="D6" s="29">
        <v>10.0</v>
      </c>
      <c r="E6" s="29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U6" s="30" t="s">
        <v>28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30" t="s">
        <v>29</v>
      </c>
      <c r="C5" s="30" t="s">
        <v>30</v>
      </c>
      <c r="D5" s="30" t="s">
        <v>31</v>
      </c>
      <c r="E5" s="30" t="s">
        <v>32</v>
      </c>
      <c r="F5" s="30" t="s">
        <v>33</v>
      </c>
      <c r="G5" s="30" t="s">
        <v>34</v>
      </c>
      <c r="H5" s="30" t="s">
        <v>35</v>
      </c>
      <c r="I5" s="30" t="s">
        <v>36</v>
      </c>
      <c r="J5" s="30" t="s">
        <v>37</v>
      </c>
      <c r="K5" s="30" t="s">
        <v>38</v>
      </c>
      <c r="L5" s="30" t="s">
        <v>39</v>
      </c>
      <c r="M5" s="30" t="s">
        <v>40</v>
      </c>
      <c r="N5" s="30" t="s">
        <v>41</v>
      </c>
      <c r="O5" s="30" t="s">
        <v>42</v>
      </c>
      <c r="P5" s="30" t="s">
        <v>43</v>
      </c>
      <c r="Q5" s="30" t="s">
        <v>44</v>
      </c>
      <c r="R5" s="30" t="s">
        <v>45</v>
      </c>
      <c r="S5" s="30" t="s">
        <v>46</v>
      </c>
      <c r="T5" s="30" t="s">
        <v>47</v>
      </c>
      <c r="U5" s="30" t="s">
        <v>48</v>
      </c>
      <c r="V5" s="30" t="s">
        <v>49</v>
      </c>
      <c r="W5" s="30" t="s">
        <v>50</v>
      </c>
      <c r="X5" s="30" t="s">
        <v>51</v>
      </c>
      <c r="Y5" s="30" t="s">
        <v>52</v>
      </c>
      <c r="Z5" s="30" t="s">
        <v>53</v>
      </c>
      <c r="AA5" s="30" t="s">
        <v>54</v>
      </c>
      <c r="AB5" s="30" t="s">
        <v>55</v>
      </c>
      <c r="AC5" s="30" t="s">
        <v>56</v>
      </c>
      <c r="AD5" s="30" t="s">
        <v>57</v>
      </c>
      <c r="AE5" s="30" t="s">
        <v>58</v>
      </c>
      <c r="AF5" s="30" t="s">
        <v>59</v>
      </c>
      <c r="AG5" s="30" t="s">
        <v>60</v>
      </c>
      <c r="AH5" s="30" t="s">
        <v>61</v>
      </c>
      <c r="AI5" s="30" t="s">
        <v>62</v>
      </c>
      <c r="AJ5" s="30" t="s">
        <v>63</v>
      </c>
      <c r="AK5" s="30" t="s">
        <v>64</v>
      </c>
      <c r="AL5" s="30" t="s">
        <v>65</v>
      </c>
      <c r="AM5" s="30" t="s">
        <v>66</v>
      </c>
      <c r="AN5" s="30" t="s">
        <v>67</v>
      </c>
      <c r="AO5" s="30" t="s">
        <v>68</v>
      </c>
      <c r="AP5" s="30" t="s">
        <v>69</v>
      </c>
      <c r="AQ5" s="30" t="s">
        <v>70</v>
      </c>
      <c r="AR5" s="30" t="s">
        <v>71</v>
      </c>
      <c r="AS5" s="30" t="s">
        <v>72</v>
      </c>
      <c r="AT5" s="30" t="s">
        <v>22</v>
      </c>
      <c r="AU5" s="30" t="s">
        <v>73</v>
      </c>
      <c r="AV5" s="30" t="s">
        <v>74</v>
      </c>
      <c r="AW5" s="30" t="s">
        <v>75</v>
      </c>
      <c r="AX5" s="30" t="s">
        <v>76</v>
      </c>
      <c r="AY5" s="30" t="s">
        <v>77</v>
      </c>
      <c r="AZ5" s="30" t="s">
        <v>78</v>
      </c>
      <c r="BA5" s="30" t="s">
        <v>79</v>
      </c>
      <c r="BB5" s="30" t="s">
        <v>80</v>
      </c>
      <c r="BC5" s="30" t="s">
        <v>81</v>
      </c>
      <c r="BD5" s="30" t="s">
        <v>82</v>
      </c>
      <c r="BE5" s="30" t="s">
        <v>83</v>
      </c>
      <c r="BF5" s="30" t="s">
        <v>84</v>
      </c>
      <c r="BG5" s="30" t="s">
        <v>85</v>
      </c>
      <c r="BH5" s="30" t="s">
        <v>86</v>
      </c>
      <c r="BI5" s="30" t="s">
        <v>87</v>
      </c>
      <c r="BJ5" s="30" t="s">
        <v>88</v>
      </c>
      <c r="BK5" s="30" t="s">
        <v>89</v>
      </c>
      <c r="BL5" s="30" t="s">
        <v>90</v>
      </c>
      <c r="BM5" s="30" t="s">
        <v>91</v>
      </c>
      <c r="BN5" s="30" t="s">
        <v>92</v>
      </c>
      <c r="BO5" s="30" t="s">
        <v>93</v>
      </c>
      <c r="BP5" s="30" t="s">
        <v>94</v>
      </c>
    </row>
    <row r="6">
      <c r="H6" s="30" t="s">
        <v>95</v>
      </c>
      <c r="I6" s="30" t="s">
        <v>96</v>
      </c>
      <c r="AH6" s="30" t="s">
        <v>97</v>
      </c>
      <c r="AI6" s="30" t="s">
        <v>18</v>
      </c>
      <c r="AJ6" s="30" t="s">
        <v>98</v>
      </c>
      <c r="AK6" s="30" t="s">
        <v>99</v>
      </c>
      <c r="AL6" s="30">
        <v>1.0</v>
      </c>
      <c r="AS6" s="30" t="s">
        <v>100</v>
      </c>
      <c r="AT6" s="30" t="s">
        <v>23</v>
      </c>
      <c r="BA6" s="30" t="s">
        <v>96</v>
      </c>
      <c r="BG6" s="30" t="s">
        <v>101</v>
      </c>
      <c r="BH6" s="30" t="s">
        <v>27</v>
      </c>
    </row>
    <row r="7">
      <c r="H7" s="30" t="s">
        <v>95</v>
      </c>
      <c r="I7" s="30" t="s">
        <v>96</v>
      </c>
      <c r="AH7" s="30" t="s">
        <v>97</v>
      </c>
      <c r="AI7" s="30" t="s">
        <v>18</v>
      </c>
      <c r="AJ7" s="30" t="s">
        <v>98</v>
      </c>
      <c r="AK7" s="30" t="s">
        <v>99</v>
      </c>
      <c r="AL7" s="30">
        <v>1.0</v>
      </c>
      <c r="AS7" s="30" t="s">
        <v>100</v>
      </c>
      <c r="AT7" s="30" t="s">
        <v>23</v>
      </c>
      <c r="BA7" s="30" t="s">
        <v>96</v>
      </c>
      <c r="BG7" s="30" t="s">
        <v>101</v>
      </c>
      <c r="BH7" s="30" t="s">
        <v>28</v>
      </c>
    </row>
  </sheetData>
  <drawing r:id="rId1"/>
</worksheet>
</file>