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GetDataClosing" sheetId="5" r:id="rId7"/>
    <sheet state="visible" name="SelectTradeUnexpiredUnsettled" sheetId="6" r:id="rId8"/>
    <sheet state="visible" name="EditTradeUnexpiredUnsettled" sheetId="7" r:id="rId9"/>
    <sheet state="visible" name="ExerciseAssignment" sheetId="8" r:id="rId10"/>
    <sheet state="visible" name="VerifyExpiredSettledGrid" sheetId="9" r:id="rId11"/>
    <sheet state="visible" name="GetDataAllocation" sheetId="10" r:id="rId12"/>
    <sheet state="visible" name="CheckAllocatedGroups" sheetId="11" r:id="rId13"/>
    <sheet state="visible" name="CheckPortfolioManagement" sheetId="12" r:id="rId14"/>
  </sheets>
  <definedNames/>
  <calcPr/>
</workbook>
</file>

<file path=xl/sharedStrings.xml><?xml version="1.0" encoding="utf-8"?>
<sst xmlns="http://schemas.openxmlformats.org/spreadsheetml/2006/main" count="206" uniqueCount="62">
  <si>
    <t>Modules Info</t>
  </si>
  <si>
    <t>Modules</t>
  </si>
  <si>
    <t>Settings</t>
  </si>
  <si>
    <t>Module Step Setting File</t>
  </si>
  <si>
    <t>1-OnCJJHP2ByjdYbF53fJwv9z4thBiHnNugUdMvYm2nU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</si>
  <si>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</si>
  <si>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</si>
  <si>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</si>
  <si>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</si>
  <si>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</si>
  <si>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</si>
  <si>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</si>
  <si>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</si>
  <si>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</si>
  <si>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</si>
  <si>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</si>
  <si>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ES H9C700</t>
  </si>
  <si>
    <t>Buy to Open</t>
  </si>
  <si>
    <t>Allocation1</t>
  </si>
  <si>
    <t>Closing</t>
  </si>
  <si>
    <t>GetDataClosing</t>
  </si>
  <si>
    <t>Current</t>
  </si>
  <si>
    <t>SelectTradeUnexpiredUnsettled</t>
  </si>
  <si>
    <t>FutureOption</t>
  </si>
  <si>
    <t xml:space="preserve">Buy to Open </t>
  </si>
  <si>
    <t>EditTradeUnexpiredUnsettled</t>
  </si>
  <si>
    <t>US</t>
  </si>
  <si>
    <t>ExerciseAssignment</t>
  </si>
  <si>
    <t>VerifyExpiredSettledGrid</t>
  </si>
  <si>
    <t>NONE</t>
  </si>
  <si>
    <t>Exercise</t>
  </si>
  <si>
    <t>Short</t>
  </si>
  <si>
    <t>USD</t>
  </si>
  <si>
    <t>CMEE</t>
  </si>
  <si>
    <t>Long</t>
  </si>
  <si>
    <t>Allocation</t>
  </si>
  <si>
    <t>GetDataAllocation</t>
  </si>
  <si>
    <t>CheckAllocatedGroups</t>
  </si>
  <si>
    <t>Manual</t>
  </si>
  <si>
    <t>MS</t>
  </si>
  <si>
    <t>ES H9C7</t>
  </si>
  <si>
    <t>M</t>
  </si>
  <si>
    <t>ES</t>
  </si>
  <si>
    <t>Sell to Close</t>
  </si>
  <si>
    <t>Equity</t>
  </si>
  <si>
    <t>ENERGYSOLUTIONS</t>
  </si>
  <si>
    <t>NYSE</t>
  </si>
  <si>
    <t>Buy</t>
  </si>
  <si>
    <t>PortfolioManagement</t>
  </si>
  <si>
    <t>CheckPortfolioManagement</t>
  </si>
  <si>
    <t>NewMF</t>
  </si>
  <si>
    <t>Undefined</t>
  </si>
  <si>
    <t>FIMAT</t>
  </si>
  <si>
    <t>Strategy Unallocated</t>
  </si>
  <si>
    <t>BrokerNotes</t>
  </si>
  <si>
    <t>DefaultNotes</t>
  </si>
  <si>
    <t>Future Call</t>
  </si>
  <si>
    <t>Preferencial</t>
  </si>
  <si>
    <t>Engineering and Construction</t>
  </si>
  <si>
    <t>Aluminum</t>
  </si>
  <si>
    <t>jpearce</t>
  </si>
  <si>
    <t>NA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</si>
</sst>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14" xfId="0" applyAlignment="1" applyFont="1" applyNumberFormat="1">
      <alignment horizontal="right" vertical="bottom"/>
    </xf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horizontal="right" vertical="bottom"/>
    </xf>
    <xf borderId="0" fillId="0" fontId="5" numFmtId="0" xfId="0" applyAlignment="1" applyFont="1">
      <alignment horizontal="right" readingOrder="0" vertical="bottom"/>
    </xf>
    <xf borderId="0" fillId="0" fontId="14" numFmtId="0" xfId="0" applyAlignment="1" applyFont="1">
      <alignment readingOrder="0" shrinkToFit="0" vertical="bottom" wrapText="0"/>
    </xf>
    <xf borderId="0" fillId="0" fontId="14" numFmtId="0" xfId="0" applyAlignment="1" applyFont="1">
      <alignment horizontal="right" readingOrder="0" shrinkToFit="0" vertical="bottom" wrapText="0"/>
    </xf>
    <xf borderId="0" fillId="0" fontId="14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IFERROR(__xludf.DUMMYFUNCTION("""COMPUTED_VALUE"""),"1u6KqBelmQQ2oYAB3PeSwYS-Dl3oOd1Dhuag0CXdBdWI")</f>
        <v>1u6KqBelmQQ2oYAB3PeSwYS-Dl3oOd1Dhuag0CXdBdWI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 t="s">
        <v>17</v>
      </c>
      <c r="D6" s="33">
        <v>10.0</v>
      </c>
      <c r="E6" s="32"/>
      <c r="F6" s="32" t="s">
        <v>18</v>
      </c>
      <c r="G6" s="32"/>
      <c r="H6" s="32"/>
      <c r="I6" s="32"/>
      <c r="J6" s="34">
        <v>1.0</v>
      </c>
      <c r="K6" s="32"/>
      <c r="L6" s="32"/>
      <c r="M6" s="32"/>
      <c r="N6" s="35">
        <f>today()</f>
        <v>45036</v>
      </c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IFERROR(__xludf.DUMMYFUNCTION("""COMPUTED_VALUE"""),"Account Filter")</f>
        <v>Account Filter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21</v>
      </c>
      <c r="C6" s="8"/>
      <c r="D6" s="13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IFERROR(__xludf.DUMMYFUNCTION("""COMPUTED_VALUE"""),"AccruedInterest")</f>
        <v>AccruedInterest</v>
      </c>
      <c r="D5" s="28" t="str">
        <f>IFERROR(__xludf.DUMMYFUNCTION("""COMPUTED_VALUE"""),"Analyst")</f>
        <v>Analyst</v>
      </c>
      <c r="E5" s="28" t="str">
        <f>IFERROR(__xludf.DUMMYFUNCTION("""COMPUTED_VALUE"""),"Asset Class")</f>
        <v>Asset Class</v>
      </c>
      <c r="F5" s="29" t="str">
        <f>IFERROR(__xludf.DUMMYFUNCTION("""COMPUTED_VALUE"""),"Asset Derivative")</f>
        <v>Asset Derivative</v>
      </c>
      <c r="G5" s="28" t="str">
        <f>IFERROR(__xludf.DUMMYFUNCTION("""COMPUTED_VALUE"""),"AUECID")</f>
        <v>AUECID</v>
      </c>
      <c r="H5" s="28" t="str">
        <f>IFERROR(__xludf.DUMMYFUNCTION("""COMPUTED_VALUE"""),"AUECModifiedDate")</f>
        <v>AUECModifiedDate</v>
      </c>
      <c r="I5" s="28" t="str">
        <f>IFERROR(__xludf.DUMMYFUNCTION("""COMPUTED_VALUE"""),"Average Price")</f>
        <v>Average Price</v>
      </c>
      <c r="J5" s="28" t="str">
        <f>IFERROR(__xludf.DUMMYFUNCTION("""COMPUTED_VALUE"""),"BloombergSymbol")</f>
        <v>BloombergSymbol</v>
      </c>
      <c r="K5" s="28" t="str">
        <f>IFERROR(__xludf.DUMMYFUNCTION("""COMPUTED_VALUE"""),"Broker")</f>
        <v>Broker</v>
      </c>
      <c r="L5" s="28" t="str">
        <f>IFERROR(__xludf.DUMMYFUNCTION("""COMPUTED_VALUE"""),"CalcBasis")</f>
        <v>CalcBasis</v>
      </c>
      <c r="M5" s="28" t="str">
        <f>IFERROR(__xludf.DUMMYFUNCTION("""COMPUTED_VALUE"""),"CashSettledPrice")</f>
        <v>CashSettledPrice</v>
      </c>
      <c r="N5" s="28" t="str">
        <f>IFERROR(__xludf.DUMMYFUNCTION("""COMPUTED_VALUE"""),"ChangeComment")</f>
        <v>ChangeComment</v>
      </c>
      <c r="O5" s="28" t="str">
        <f>IFERROR(__xludf.DUMMYFUNCTION("""COMPUTED_VALUE"""),"ChangeType")</f>
        <v>ChangeType</v>
      </c>
      <c r="P5" s="28" t="str">
        <f>IFERROR(__xludf.DUMMYFUNCTION("""COMPUTED_VALUE"""),"ClearingBrokerFee")</f>
        <v>ClearingBrokerFee</v>
      </c>
      <c r="Q5" s="28" t="str">
        <f>IFERROR(__xludf.DUMMYFUNCTION("""COMPUTED_VALUE"""),"ClearingFee")</f>
        <v>ClearingFee</v>
      </c>
      <c r="R5" s="28" t="str">
        <f>IFERROR(__xludf.DUMMYFUNCTION("""COMPUTED_VALUE"""),"ClosedTotalCommissionandFees")</f>
        <v>ClosedTotalCommissionandFees</v>
      </c>
      <c r="S5" s="28" t="str">
        <f>IFERROR(__xludf.DUMMYFUNCTION("""COMPUTED_VALUE"""),"ClosingAlgo")</f>
        <v>ClosingAlgo</v>
      </c>
      <c r="T5" s="30" t="str">
        <f>IFERROR(__xludf.DUMMYFUNCTION("""COMPUTED_VALUE"""),"ClosingDate")</f>
        <v>ClosingDate</v>
      </c>
      <c r="U5" s="30" t="str">
        <f>IFERROR(__xludf.DUMMYFUNCTION("""COMPUTED_VALUE"""),"ClosingStatus")</f>
        <v>ClosingStatus</v>
      </c>
      <c r="V5" s="30" t="str">
        <f>IFERROR(__xludf.DUMMYFUNCTION("""COMPUTED_VALUE"""),"Commission")</f>
        <v>Commission</v>
      </c>
      <c r="W5" s="30" t="str">
        <f>IFERROR(__xludf.DUMMYFUNCTION("""COMPUTED_VALUE"""),"CommissionAmt")</f>
        <v>CommissionAmt</v>
      </c>
      <c r="X5" s="30" t="str">
        <f>IFERROR(__xludf.DUMMYFUNCTION("""COMPUTED_VALUE"""),"CommissionRate")</f>
        <v>CommissionRate</v>
      </c>
      <c r="Y5" s="30" t="str">
        <f>IFERROR(__xludf.DUMMYFUNCTION("""COMPUTED_VALUE"""),"CompanyUserName")</f>
        <v>CompanyUserName</v>
      </c>
      <c r="Z5" s="30" t="str">
        <f>IFERROR(__xludf.DUMMYFUNCTION("""COMPUTED_VALUE"""),"ContractMultiplier")</f>
        <v>ContractMultiplier</v>
      </c>
      <c r="AA5" s="30" t="str">
        <f>IFERROR(__xludf.DUMMYFUNCTION("""COMPUTED_VALUE"""),"CountryName")</f>
        <v>CountryName</v>
      </c>
      <c r="AB5" s="30" t="str">
        <f>IFERROR(__xludf.DUMMYFUNCTION("""COMPUTED_VALUE"""),"CountryOfRisk")</f>
        <v>CountryOfRisk</v>
      </c>
      <c r="AC5" s="30" t="str">
        <f>IFERROR(__xludf.DUMMYFUNCTION("""COMPUTED_VALUE"""),"CumQty")</f>
        <v>CumQty</v>
      </c>
      <c r="AD5" s="30" t="str">
        <f>IFERROR(__xludf.DUMMYFUNCTION("""COMPUTED_VALUE"""),"CurrencyID")</f>
        <v>CurrencyID</v>
      </c>
      <c r="AE5" s="30" t="str">
        <f>IFERROR(__xludf.DUMMYFUNCTION("""COMPUTED_VALUE"""),"CurrencyName")</f>
        <v>CurrencyName</v>
      </c>
      <c r="AF5" s="30" t="str">
        <f>IFERROR(__xludf.DUMMYFUNCTION("""COMPUTED_VALUE"""),"CusipSymbol")</f>
        <v>CusipSymbol</v>
      </c>
      <c r="AG5" s="30" t="str">
        <f>IFERROR(__xludf.DUMMYFUNCTION("""COMPUTED_VALUE"""),"CustomUDA1")</f>
        <v>CustomUDA1</v>
      </c>
      <c r="AH5" s="30" t="str">
        <f>IFERROR(__xludf.DUMMYFUNCTION("""COMPUTED_VALUE"""),"CustomUDA2")</f>
        <v>CustomUDA2</v>
      </c>
      <c r="AI5" s="30" t="str">
        <f>IFERROR(__xludf.DUMMYFUNCTION("""COMPUTED_VALUE"""),"CustomUDA3")</f>
        <v>CustomUDA3</v>
      </c>
      <c r="AJ5" s="30" t="str">
        <f>IFERROR(__xludf.DUMMYFUNCTION("""COMPUTED_VALUE"""),"CustomUDA4")</f>
        <v>CustomUDA4</v>
      </c>
      <c r="AK5" s="30" t="str">
        <f>IFERROR(__xludf.DUMMYFUNCTION("""COMPUTED_VALUE"""),"CustomUDA5")</f>
        <v>CustomUDA5</v>
      </c>
      <c r="AL5" s="30" t="str">
        <f>IFERROR(__xludf.DUMMYFUNCTION("""COMPUTED_VALUE"""),"CustomUDA6")</f>
        <v>CustomUDA6</v>
      </c>
      <c r="AM5" s="30" t="str">
        <f>IFERROR(__xludf.DUMMYFUNCTION("""COMPUTED_VALUE"""),"CustomUDA7")</f>
        <v>CustomUDA7</v>
      </c>
      <c r="AN5" s="30" t="str">
        <f>IFERROR(__xludf.DUMMYFUNCTION("""COMPUTED_VALUE"""),"Delta")</f>
        <v>Delta</v>
      </c>
      <c r="AO5" s="30" t="str">
        <f>IFERROR(__xludf.DUMMYFUNCTION("""COMPUTED_VALUE"""),"Description")</f>
        <v>Description</v>
      </c>
      <c r="AP5" s="30" t="str">
        <f>IFERROR(__xludf.DUMMYFUNCTION("""COMPUTED_VALUE"""),"ExchangeName")</f>
        <v>ExchangeName</v>
      </c>
      <c r="AQ5" s="30" t="str">
        <f>IFERROR(__xludf.DUMMYFUNCTION("""COMPUTED_VALUE"""),"ExecutedQty")</f>
        <v>ExecutedQty</v>
      </c>
      <c r="AR5" s="30" t="str">
        <f>IFERROR(__xludf.DUMMYFUNCTION("""COMPUTED_VALUE"""),"ExpirationDate")</f>
        <v>ExpirationDate</v>
      </c>
      <c r="AS5" s="30" t="str">
        <f>IFERROR(__xludf.DUMMYFUNCTION("""COMPUTED_VALUE"""),"ExternalTransID")</f>
        <v>ExternalTransID</v>
      </c>
      <c r="AT5" s="30" t="str">
        <f>IFERROR(__xludf.DUMMYFUNCTION("""COMPUTED_VALUE"""),"FXConversionMethodOperator")</f>
        <v>FXConversionMethodOperator</v>
      </c>
      <c r="AU5" s="30" t="str">
        <f>IFERROR(__xludf.DUMMYFUNCTION("""COMPUTED_VALUE"""),"FXRate")</f>
        <v>FXRate</v>
      </c>
      <c r="AV5" s="30" t="str">
        <f>IFERROR(__xludf.DUMMYFUNCTION("""COMPUTED_VALUE"""),"GroupID")</f>
        <v>GroupID</v>
      </c>
      <c r="AW5" s="30" t="str">
        <f>IFERROR(__xludf.DUMMYFUNCTION("""COMPUTED_VALUE"""),"IDCOSymbol")</f>
        <v>IDCOSymbol</v>
      </c>
      <c r="AX5" s="30" t="str">
        <f>IFERROR(__xludf.DUMMYFUNCTION("""COMPUTED_VALUE"""),"InternalComments")</f>
        <v>InternalComments</v>
      </c>
      <c r="AY5" s="30" t="str">
        <f>IFERROR(__xludf.DUMMYFUNCTION("""COMPUTED_VALUE"""),"IsExerciseAtZero")</f>
        <v>IsExerciseAtZero</v>
      </c>
      <c r="AZ5" s="30" t="str">
        <f>IFERROR(__xludf.DUMMYFUNCTION("""COMPUTED_VALUE"""),"ISINSymbol")</f>
        <v>ISINSymbol</v>
      </c>
      <c r="BA5" s="30" t="str">
        <f>IFERROR(__xludf.DUMMYFUNCTION("""COMPUTED_VALUE"""),"IsNDF")</f>
        <v>IsNDF</v>
      </c>
      <c r="BB5" s="30" t="str">
        <f>IFERROR(__xludf.DUMMYFUNCTION("""COMPUTED_VALUE"""),"IsPosition")</f>
        <v>IsPosition</v>
      </c>
      <c r="BC5" s="30" t="str">
        <f>IFERROR(__xludf.DUMMYFUNCTION("""COMPUTED_VALUE"""),"IsPreAllocated")</f>
        <v>IsPreAllocated</v>
      </c>
      <c r="BD5" s="30" t="str">
        <f>IFERROR(__xludf.DUMMYFUNCTION("""COMPUTED_VALUE"""),"Issuer")</f>
        <v>Issuer</v>
      </c>
      <c r="BE5" s="30" t="str">
        <f>IFERROR(__xludf.DUMMYFUNCTION("""COMPUTED_VALUE"""),"IsSwapped")</f>
        <v>IsSwapped</v>
      </c>
      <c r="BF5" s="30" t="str">
        <f>IFERROR(__xludf.DUMMYFUNCTION("""COMPUTED_VALUE"""),"LeadCurrencyID")</f>
        <v>LeadCurrencyID</v>
      </c>
      <c r="BG5" s="30" t="str">
        <f>IFERROR(__xludf.DUMMYFUNCTION("""COMPUTED_VALUE"""),"LiquidTag")</f>
        <v>LiquidTag</v>
      </c>
      <c r="BH5" s="30" t="str">
        <f>IFERROR(__xludf.DUMMYFUNCTION("""COMPUTED_VALUE"""),"LongOrShort")</f>
        <v>LongOrShort</v>
      </c>
      <c r="BI5" s="30" t="str">
        <f>IFERROR(__xludf.DUMMYFUNCTION("""COMPUTED_VALUE"""),"LotId")</f>
        <v>LotId</v>
      </c>
      <c r="BJ5" s="30" t="str">
        <f>IFERROR(__xludf.DUMMYFUNCTION("""COMPUTED_VALUE"""),"M2MProfitLoss")</f>
        <v>M2MProfitLoss</v>
      </c>
      <c r="BK5" s="30" t="str">
        <f>IFERROR(__xludf.DUMMYFUNCTION("""COMPUTED_VALUE"""),"MarkPrice")</f>
        <v>MarkPrice</v>
      </c>
      <c r="BL5" s="30" t="str">
        <f>IFERROR(__xludf.DUMMYFUNCTION("""COMPUTED_VALUE"""),"MasterFund")</f>
        <v>MasterFund</v>
      </c>
      <c r="BM5" s="30" t="str">
        <f>IFERROR(__xludf.DUMMYFUNCTION("""COMPUTED_VALUE"""),"MiscFees")</f>
        <v>MiscFees</v>
      </c>
      <c r="BN5" s="30" t="str">
        <f>IFERROR(__xludf.DUMMYFUNCTION("""COMPUTED_VALUE"""),"NavLockStatus")</f>
        <v>NavLockStatus</v>
      </c>
      <c r="BO5" s="30" t="str">
        <f>IFERROR(__xludf.DUMMYFUNCTION("""COMPUTED_VALUE"""),"Net Notional")</f>
        <v>Net Notional</v>
      </c>
      <c r="BP5" s="30" t="str">
        <f>IFERROR(__xludf.DUMMYFUNCTION("""COMPUTED_VALUE"""),"NirvanaProcessDate")</f>
        <v>NirvanaProcessDate</v>
      </c>
      <c r="BQ5" s="30" t="str">
        <f>IFERROR(__xludf.DUMMYFUNCTION("""COMPUTED_VALUE"""),"OccFee")</f>
        <v>OccFee</v>
      </c>
      <c r="BR5" s="30" t="str">
        <f>IFERROR(__xludf.DUMMYFUNCTION("""COMPUTED_VALUE"""),"OptionPremiumAdjustment")</f>
        <v>OptionPremiumAdjustment</v>
      </c>
      <c r="BS5" s="30" t="str">
        <f>IFERROR(__xludf.DUMMYFUNCTION("""COMPUTED_VALUE"""),"OrderSideTagValue")</f>
        <v>OrderSideTagValue</v>
      </c>
      <c r="BT5" s="30" t="str">
        <f>IFERROR(__xludf.DUMMYFUNCTION("""COMPUTED_VALUE"""),"OrderType")</f>
        <v>OrderType</v>
      </c>
      <c r="BU5" s="30" t="str">
        <f>IFERROR(__xludf.DUMMYFUNCTION("""COMPUTED_VALUE"""),"OrfFee")</f>
        <v>OrfFee</v>
      </c>
      <c r="BV5" s="30" t="str">
        <f>IFERROR(__xludf.DUMMYFUNCTION("""COMPUTED_VALUE"""),"Original Side")</f>
        <v>Original Side</v>
      </c>
      <c r="BW5" s="30" t="str">
        <f>IFERROR(__xludf.DUMMYFUNCTION("""COMPUTED_VALUE"""),"OriginalPurchase Date")</f>
        <v>OriginalPurchase Date</v>
      </c>
      <c r="BX5" s="30" t="str">
        <f>IFERROR(__xludf.DUMMYFUNCTION("""COMPUTED_VALUE"""),"OSISymbol")</f>
        <v>OSISymbol</v>
      </c>
      <c r="BY5" s="30" t="str">
        <f>IFERROR(__xludf.DUMMYFUNCTION("""COMPUTED_VALUE"""),"OtherBrokerFees")</f>
        <v>OtherBrokerFees</v>
      </c>
      <c r="BZ5" s="30" t="str">
        <f>IFERROR(__xludf.DUMMYFUNCTION("""COMPUTED_VALUE"""),"ParentRowPK")</f>
        <v>ParentRowPK</v>
      </c>
      <c r="CA5" s="30" t="str">
        <f>IFERROR(__xludf.DUMMYFUNCTION("""COMPUTED_VALUE"""),"Percentage")</f>
        <v>Percentage</v>
      </c>
      <c r="CB5" s="30" t="str">
        <f>IFERROR(__xludf.DUMMYFUNCTION("""COMPUTED_VALUE"""),"PositionTag")</f>
        <v>PositionTag</v>
      </c>
      <c r="CC5" s="30" t="str">
        <f>IFERROR(__xludf.DUMMYFUNCTION("""COMPUTED_VALUE"""),"PositionType")</f>
        <v>PositionType</v>
      </c>
      <c r="CD5" s="30" t="str">
        <f>IFERROR(__xludf.DUMMYFUNCTION("""COMPUTED_VALUE"""),"Process Date")</f>
        <v>Process Date</v>
      </c>
      <c r="CE5" s="30" t="str">
        <f>IFERROR(__xludf.DUMMYFUNCTION("""COMPUTED_VALUE"""),"ProxySymbol")</f>
        <v>ProxySymbol</v>
      </c>
      <c r="CF5" s="30" t="str">
        <f>IFERROR(__xludf.DUMMYFUNCTION("""COMPUTED_VALUE"""),"PutOrCall")</f>
        <v>PutOrCall</v>
      </c>
      <c r="CG5" s="30" t="str">
        <f>IFERROR(__xludf.DUMMYFUNCTION("""COMPUTED_VALUE"""),"Quantity")</f>
        <v>Quantity</v>
      </c>
      <c r="CH5" s="30" t="str">
        <f>IFERROR(__xludf.DUMMYFUNCTION("""COMPUTED_VALUE"""),"Region")</f>
        <v>Region</v>
      </c>
      <c r="CI5" s="30" t="str">
        <f>IFERROR(__xludf.DUMMYFUNCTION("""COMPUTED_VALUE"""),"ReutersSymbol")</f>
        <v>ReutersSymbol</v>
      </c>
      <c r="CJ5" s="30" t="str">
        <f>IFERROR(__xludf.DUMMYFUNCTION("""COMPUTED_VALUE"""),"RiskCurrency")</f>
        <v>RiskCurrency</v>
      </c>
      <c r="CK5" s="30" t="str">
        <f>IFERROR(__xludf.DUMMYFUNCTION("""COMPUTED_VALUE"""),"SecFee")</f>
        <v>SecFee</v>
      </c>
      <c r="CL5" s="30" t="str">
        <f>IFERROR(__xludf.DUMMYFUNCTION("""COMPUTED_VALUE"""),"SectorName")</f>
        <v>SectorName</v>
      </c>
      <c r="CM5" s="30" t="str">
        <f>IFERROR(__xludf.DUMMYFUNCTION("""COMPUTED_VALUE"""),"Security Name")</f>
        <v>Security Name</v>
      </c>
      <c r="CN5" s="30" t="str">
        <f>IFERROR(__xludf.DUMMYFUNCTION("""COMPUTED_VALUE"""),"SecurityTypeName")</f>
        <v>SecurityTypeName</v>
      </c>
      <c r="CO5" s="30" t="str">
        <f>IFERROR(__xludf.DUMMYFUNCTION("""COMPUTED_VALUE"""),"SedolSymbol")</f>
        <v>SedolSymbol</v>
      </c>
      <c r="CP5" s="30" t="str">
        <f>IFERROR(__xludf.DUMMYFUNCTION("""COMPUTED_VALUE"""),"SettlCurrAmt")</f>
        <v>SettlCurrAmt</v>
      </c>
      <c r="CQ5" s="30" t="str">
        <f>IFERROR(__xludf.DUMMYFUNCTION("""COMPUTED_VALUE"""),"SettlCurrFxRate")</f>
        <v>SettlCurrFxRate</v>
      </c>
      <c r="CR5" s="30" t="str">
        <f>IFERROR(__xludf.DUMMYFUNCTION("""COMPUTED_VALUE"""),"SettlCurrFxRateCalc")</f>
        <v>SettlCurrFxRateCalc</v>
      </c>
      <c r="CS5" s="30" t="str">
        <f>IFERROR(__xludf.DUMMYFUNCTION("""COMPUTED_VALUE"""),"SettlCurrUnitCost")</f>
        <v>SettlCurrUnitCost</v>
      </c>
      <c r="CT5" s="30" t="str">
        <f>IFERROR(__xludf.DUMMYFUNCTION("""COMPUTED_VALUE"""),"Settlement Mode")</f>
        <v>Settlement Mode</v>
      </c>
      <c r="CU5" s="30" t="str">
        <f>IFERROR(__xludf.DUMMYFUNCTION("""COMPUTED_VALUE"""),"Settlement Qty")</f>
        <v>Settlement Qty</v>
      </c>
      <c r="CV5" s="30" t="str">
        <f>IFERROR(__xludf.DUMMYFUNCTION("""COMPUTED_VALUE"""),"SettlementCurrencyID")</f>
        <v>SettlementCurrencyID</v>
      </c>
      <c r="CW5" s="30" t="str">
        <f>IFERROR(__xludf.DUMMYFUNCTION("""COMPUTED_VALUE"""),"SettlementDate")</f>
        <v>SettlementDate</v>
      </c>
      <c r="CX5" s="30" t="str">
        <f>IFERROR(__xludf.DUMMYFUNCTION("""COMPUTED_VALUE"""),"SideMultiplier")</f>
        <v>SideMultiplier</v>
      </c>
      <c r="CY5" s="30" t="str">
        <f>IFERROR(__xludf.DUMMYFUNCTION("""COMPUTED_VALUE"""),"SoftCommission")</f>
        <v>SoftCommission</v>
      </c>
      <c r="CZ5" s="30" t="str">
        <f>IFERROR(__xludf.DUMMYFUNCTION("""COMPUTED_VALUE"""),"SoftCommissionAmt")</f>
        <v>SoftCommissionAmt</v>
      </c>
      <c r="DA5" s="30" t="str">
        <f>IFERROR(__xludf.DUMMYFUNCTION("""COMPUTED_VALUE"""),"SoftCommissionCalcBasis")</f>
        <v>SoftCommissionCalcBasis</v>
      </c>
      <c r="DB5" s="30" t="str">
        <f>IFERROR(__xludf.DUMMYFUNCTION("""COMPUTED_VALUE"""),"SoftCommissionRate")</f>
        <v>SoftCommissionRate</v>
      </c>
      <c r="DC5" s="30" t="str">
        <f>IFERROR(__xludf.DUMMYFUNCTION("""COMPUTED_VALUE"""),"StampDuty")</f>
        <v>StampDuty</v>
      </c>
      <c r="DD5" s="30" t="str">
        <f>IFERROR(__xludf.DUMMYFUNCTION("""COMPUTED_VALUE"""),"Strategy")</f>
        <v>Strategy</v>
      </c>
      <c r="DE5" s="30" t="str">
        <f>IFERROR(__xludf.DUMMYFUNCTION("""COMPUTED_VALUE"""),"Strike Price")</f>
        <v>Strike Price</v>
      </c>
      <c r="DF5" s="30" t="str">
        <f>IFERROR(__xludf.DUMMYFUNCTION("""COMPUTED_VALUE"""),"SubSectorName")</f>
        <v>SubSectorName</v>
      </c>
      <c r="DG5" s="30" t="str">
        <f>IFERROR(__xludf.DUMMYFUNCTION("""COMPUTED_VALUE"""),"SwapParameters")</f>
        <v>SwapParameters</v>
      </c>
      <c r="DH5" s="30" t="str">
        <f>IFERROR(__xludf.DUMMYFUNCTION("""COMPUTED_VALUE"""),"Symbol")</f>
        <v>Symbol</v>
      </c>
      <c r="DI5" s="30" t="str">
        <f>IFERROR(__xludf.DUMMYFUNCTION("""COMPUTED_VALUE"""),"TaxlotClosingId")</f>
        <v>TaxlotClosingId</v>
      </c>
      <c r="DJ5" s="30" t="str">
        <f>IFERROR(__xludf.DUMMYFUNCTION("""COMPUTED_VALUE"""),"TaxLotID")</f>
        <v>TaxLotID</v>
      </c>
      <c r="DK5" s="30" t="str">
        <f>IFERROR(__xludf.DUMMYFUNCTION("""COMPUTED_VALUE"""),"TaxlotPk")</f>
        <v>TaxlotPk</v>
      </c>
      <c r="DL5" s="30" t="str">
        <f>IFERROR(__xludf.DUMMYFUNCTION("""COMPUTED_VALUE"""),"TaxLotQtyToClose")</f>
        <v>TaxLotQtyToClose</v>
      </c>
      <c r="DM5" s="30" t="str">
        <f>IFERROR(__xludf.DUMMYFUNCTION("""COMPUTED_VALUE"""),"TaxonCommissions")</f>
        <v>TaxonCommissions</v>
      </c>
      <c r="DN5" s="30" t="str">
        <f>IFERROR(__xludf.DUMMYFUNCTION("""COMPUTED_VALUE"""),"TimeOfSaveUTC")</f>
        <v>TimeOfSaveUTC</v>
      </c>
      <c r="DO5" s="30" t="str">
        <f>IFERROR(__xludf.DUMMYFUNCTION("""COMPUTED_VALUE"""),"TotalCommission&amp;Fees")</f>
        <v>TotalCommission&amp;Fees</v>
      </c>
      <c r="DP5" s="30" t="str">
        <f>IFERROR(__xludf.DUMMYFUNCTION("""COMPUTED_VALUE"""),"TotalCommissionandFees")</f>
        <v>TotalCommissionandFees</v>
      </c>
      <c r="DQ5" s="30" t="str">
        <f>IFERROR(__xludf.DUMMYFUNCTION("""COMPUTED_VALUE"""),"Tradedate")</f>
        <v>Tradedate</v>
      </c>
      <c r="DR5" s="30" t="str">
        <f>IFERROR(__xludf.DUMMYFUNCTION("""COMPUTED_VALUE"""),"TradeAttribute1")</f>
        <v>TradeAttribute1</v>
      </c>
      <c r="DS5" s="30" t="str">
        <f>IFERROR(__xludf.DUMMYFUNCTION("""COMPUTED_VALUE"""),"TradeAttribute2")</f>
        <v>TradeAttribute2</v>
      </c>
      <c r="DT5" s="30" t="str">
        <f>IFERROR(__xludf.DUMMYFUNCTION("""COMPUTED_VALUE"""),"TradeAttribute3")</f>
        <v>TradeAttribute3</v>
      </c>
      <c r="DU5" s="30" t="str">
        <f>IFERROR(__xludf.DUMMYFUNCTION("""COMPUTED_VALUE"""),"TradeAttribute4")</f>
        <v>TradeAttribute4</v>
      </c>
      <c r="DV5" s="30" t="str">
        <f>IFERROR(__xludf.DUMMYFUNCTION("""COMPUTED_VALUE"""),"TradeAttribute5")</f>
        <v>TradeAttribute5</v>
      </c>
      <c r="DW5" s="30" t="str">
        <f>IFERROR(__xludf.DUMMYFUNCTION("""COMPUTED_VALUE"""),"TradeAttribute6")</f>
        <v>TradeAttribute6</v>
      </c>
      <c r="DX5" s="30" t="str">
        <f>IFERROR(__xludf.DUMMYFUNCTION("""COMPUTED_VALUE"""),"TradingAccountName")</f>
        <v>TradingAccountName</v>
      </c>
      <c r="DY5" s="30" t="str">
        <f>IFERROR(__xludf.DUMMYFUNCTION("""COMPUTED_VALUE"""),"TransactionLevy")</f>
        <v>TransactionLevy</v>
      </c>
      <c r="DZ5" s="30" t="str">
        <f>IFERROR(__xludf.DUMMYFUNCTION("""COMPUTED_VALUE"""),"TransactionType")</f>
        <v>TransactionType</v>
      </c>
      <c r="EA5" s="30" t="str">
        <f>IFERROR(__xludf.DUMMYFUNCTION("""COMPUTED_VALUE"""),"UcitsEligibleTag")</f>
        <v>UcitsEligibleTag</v>
      </c>
      <c r="EB5" s="30" t="str">
        <f>IFERROR(__xludf.DUMMYFUNCTION("""COMPUTED_VALUE"""),"UDAAsset")</f>
        <v>UDAAsset</v>
      </c>
      <c r="EC5" s="30" t="str">
        <f>IFERROR(__xludf.DUMMYFUNCTION("""COMPUTED_VALUE"""),"UnderlyingDelta")</f>
        <v>UnderlyingDelta</v>
      </c>
      <c r="ED5" s="30" t="str">
        <f>IFERROR(__xludf.DUMMYFUNCTION("""COMPUTED_VALUE"""),"UnderlyingName")</f>
        <v>UnderlyingName</v>
      </c>
      <c r="EE5" s="30" t="str">
        <f>IFERROR(__xludf.DUMMYFUNCTION("""COMPUTED_VALUE"""),"UnderlyingSymbol")</f>
        <v>UnderlyingSymbol</v>
      </c>
      <c r="EF5" s="30" t="str">
        <f>IFERROR(__xludf.DUMMYFUNCTION("""COMPUTED_VALUE"""),"UnitCost")</f>
        <v>UnitCost</v>
      </c>
      <c r="EG5" s="30" t="str">
        <f>IFERROR(__xludf.DUMMYFUNCTION("""COMPUTED_VALUE"""),"UnRealizedPNL")</f>
        <v>UnRealizedPNL</v>
      </c>
      <c r="EH5" s="30" t="str">
        <f>IFERROR(__xludf.DUMMYFUNCTION("""COMPUTED_VALUE"""),"Venue")</f>
        <v>Venue</v>
      </c>
      <c r="EI5" s="30" t="str">
        <f>IFERROR(__xludf.DUMMYFUNCTION("""COMPUTED_VALUE"""),"VsCurrencyID")</f>
        <v>VsCurrencyID</v>
      </c>
      <c r="EJ5" s="30" t="str">
        <f>IFERROR(__xludf.DUMMYFUNCTION("""COMPUTED_VALUE"""),"WorkflowState")</f>
        <v>WorkflowState</v>
      </c>
      <c r="EK5" s="30" t="str">
        <f>IFERROR(__xludf.DUMMYFUNCTION("""COMPUTED_VALUE"""),"AvgPriceBase")</f>
        <v>AvgPriceBase</v>
      </c>
      <c r="EL5" s="30" t="str">
        <f>IFERROR(__xludf.DUMMYFUNCTION("""COMPUTED_VALUE"""),"MarketCap")</f>
        <v>MarketCap</v>
      </c>
      <c r="EM5" s="30" t="str">
        <f>IFERROR(__xludf.DUMMYFUNCTION("""COMPUTED_VALUE"""),"UnitCostBase")</f>
        <v>UnitCostBase</v>
      </c>
      <c r="EN5" s="30" t="str">
        <f>IFERROR(__xludf.DUMMYFUNCTION("""COMPUTED_VALUE"""),"ITM/OTM")</f>
        <v>ITM/OTM</v>
      </c>
      <c r="EO5" s="30" t="str">
        <f>IFERROR(__xludf.DUMMYFUNCTION("""COMPUTED_VALUE"""),"Days to Expiry")</f>
        <v>Days to Expiry</v>
      </c>
      <c r="EP5" s="30" t="str">
        <f>IFERROR(__xludf.DUMMYFUNCTION("""COMPUTED_VALUE"""),"% of Underlying Price")</f>
        <v>% of Underlying Price</v>
      </c>
      <c r="EQ5" s="30" t="str">
        <f>IFERROR(__xludf.DUMMYFUNCTION("""COMPUTED_VALUE"""),"Intrinsic value")</f>
        <v>Intrinsic value</v>
      </c>
      <c r="ER5" s="30" t="str">
        <f>IFERROR(__xludf.DUMMYFUNCTION("""COMPUTED_VALUE"""),"Gain/Loss if Ex./Assign")</f>
        <v>Gain/Loss if Ex./Assign</v>
      </c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18</v>
      </c>
      <c r="C6" s="32"/>
      <c r="D6" s="31"/>
      <c r="E6" s="32" t="s">
        <v>23</v>
      </c>
      <c r="F6" s="32"/>
      <c r="G6" s="32"/>
      <c r="H6" s="32"/>
      <c r="I6" s="34">
        <v>1.0</v>
      </c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7">
        <v>10.0</v>
      </c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 t="s">
        <v>24</v>
      </c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7">
        <v>10.0</v>
      </c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 t="s">
        <v>16</v>
      </c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SelectTradeUnexpiredUnsettled!$4:$4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IFERROR(__xludf.DUMMYFUNCTION("""COMPUTED_VALUE"""),"Original Side")</f>
        <v>Original Side</v>
      </c>
      <c r="D5" s="28" t="str">
        <f>IFERROR(__xludf.DUMMYFUNCTION("""COMPUTED_VALUE"""),"Symbol")</f>
        <v>Symbol</v>
      </c>
      <c r="E5" s="28" t="str">
        <f>IFERROR(__xludf.DUMMYFUNCTION("""COMPUTED_VALUE"""),"Settlement Qty")</f>
        <v>Settlement Qty</v>
      </c>
      <c r="F5" s="29" t="str">
        <f>IFERROR(__xludf.DUMMYFUNCTION("""COMPUTED_VALUE"""),"Quantity")</f>
        <v>Quantity</v>
      </c>
      <c r="G5" s="28" t="str">
        <f>IFERROR(__xludf.DUMMYFUNCTION("""COMPUTED_VALUE"""),"TotalCommission&amp;Fees")</f>
        <v>TotalCommission&amp;Fees</v>
      </c>
      <c r="H5" s="28" t="str">
        <f>IFERROR(__xludf.DUMMYFUNCTION("""COMPUTED_VALUE"""),"Net Notional")</f>
        <v>Net Notional</v>
      </c>
      <c r="I5" s="28" t="str">
        <f>IFERROR(__xludf.DUMMYFUNCTION("""COMPUTED_VALUE"""),"Average Price")</f>
        <v>Average Price</v>
      </c>
      <c r="J5" s="28" t="str">
        <f>IFERROR(__xludf.DUMMYFUNCTION("""COMPUTED_VALUE"""),"UnderlyingName")</f>
        <v>UnderlyingName</v>
      </c>
      <c r="K5" s="28" t="str">
        <f>IFERROR(__xludf.DUMMYFUNCTION("""COMPUTED_VALUE"""),"UnitCost")</f>
        <v>UnitCost</v>
      </c>
      <c r="L5" s="28" t="str">
        <f>IFERROR(__xludf.DUMMYFUNCTION("""COMPUTED_VALUE"""),"PositionTag")</f>
        <v>PositionTag</v>
      </c>
      <c r="M5" s="28" t="str">
        <f>IFERROR(__xludf.DUMMYFUNCTION("""COMPUTED_VALUE"""),"Strategy")</f>
        <v>Strategy</v>
      </c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 t="s">
        <v>17</v>
      </c>
      <c r="D6" s="13" t="s">
        <v>16</v>
      </c>
      <c r="E6" s="13">
        <v>8.0</v>
      </c>
      <c r="F6" s="13">
        <v>10.0</v>
      </c>
      <c r="G6" s="8"/>
      <c r="H6" s="13">
        <v>500.0</v>
      </c>
      <c r="I6" s="13">
        <v>1.0</v>
      </c>
      <c r="J6" s="13" t="s">
        <v>26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EditTradeUnexpiredUnsettled!$4:$4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IFERROR(__xludf.DUMMYFUNCTION("""COMPUTED_VALUE"""),"AccountValue")</f>
        <v>AccountValue</v>
      </c>
      <c r="D5" s="28" t="str">
        <f>IFERROR(__xludf.DUMMYFUNCTION("""COMPUTED_VALUE"""),"AccruedInterest")</f>
        <v>AccruedInterest</v>
      </c>
      <c r="E5" s="28" t="str">
        <f>IFERROR(__xludf.DUMMYFUNCTION("""COMPUTED_VALUE"""),"Asset")</f>
        <v>Asset</v>
      </c>
      <c r="F5" s="29" t="str">
        <f>IFERROR(__xludf.DUMMYFUNCTION("""COMPUTED_VALUE"""),"AUEC Fee1")</f>
        <v>AUEC Fee1</v>
      </c>
      <c r="G5" s="28" t="str">
        <f>IFERROR(__xludf.DUMMYFUNCTION("""COMPUTED_VALUE"""),"AUCE Fee2")</f>
        <v>AUCE Fee2</v>
      </c>
      <c r="H5" s="28" t="str">
        <f>IFERROR(__xludf.DUMMYFUNCTION("""COMPUTED_VALUE"""),"AUECID")</f>
        <v>AUECID</v>
      </c>
      <c r="I5" s="28" t="str">
        <f>IFERROR(__xludf.DUMMYFUNCTION("""COMPUTED_VALUE"""),"AUECLocalDateToday")</f>
        <v>AUECLocalDateToday</v>
      </c>
      <c r="J5" s="28" t="str">
        <f>IFERROR(__xludf.DUMMYFUNCTION("""COMPUTED_VALUE"""),"Average Price")</f>
        <v>Average Price</v>
      </c>
      <c r="K5" s="28" t="str">
        <f>IFERROR(__xludf.DUMMYFUNCTION("""COMPUTED_VALUE"""),"AvgPriceRealizedPL")</f>
        <v>AvgPriceRealizedPL</v>
      </c>
      <c r="L5" s="28" t="str">
        <f>IFERROR(__xludf.DUMMYFUNCTION("""COMPUTED_VALUE"""),"Broker")</f>
        <v>Broker</v>
      </c>
      <c r="M5" s="28" t="str">
        <f>IFERROR(__xludf.DUMMYFUNCTION("""COMPUTED_VALUE"""),"Clearing Broker Fee")</f>
        <v>Clearing Broker Fee</v>
      </c>
      <c r="N5" s="28" t="str">
        <f>IFERROR(__xludf.DUMMYFUNCTION("""COMPUTED_VALUE"""),"ClosedQty")</f>
        <v>ClosedQty</v>
      </c>
      <c r="O5" s="28" t="str">
        <f>IFERROR(__xludf.DUMMYFUNCTION("""COMPUTED_VALUE"""),"Commission")</f>
        <v>Commission</v>
      </c>
      <c r="P5" s="28" t="str">
        <f>IFERROR(__xludf.DUMMYFUNCTION("""COMPUTED_VALUE"""),"CostBasisRealizePNL")</f>
        <v>CostBasisRealizePNL</v>
      </c>
      <c r="Q5" s="28" t="str">
        <f>IFERROR(__xludf.DUMMYFUNCTION("""COMPUTED_VALUE"""),"Currency")</f>
        <v>Currency</v>
      </c>
      <c r="R5" s="28" t="str">
        <f>IFERROR(__xludf.DUMMYFUNCTION("""COMPUTED_VALUE"""),"Description")</f>
        <v>Description</v>
      </c>
      <c r="S5" s="28" t="str">
        <f>IFERROR(__xludf.DUMMYFUNCTION("""COMPUTED_VALUE"""),"EndDate")</f>
        <v>EndDate</v>
      </c>
      <c r="T5" s="30" t="str">
        <f>IFERROR(__xludf.DUMMYFUNCTION("""COMPUTED_VALUE"""),"ExchangeID")</f>
        <v>ExchangeID</v>
      </c>
      <c r="U5" s="30" t="str">
        <f>IFERROR(__xludf.DUMMYFUNCTION("""COMPUTED_VALUE"""),"Expiration Date")</f>
        <v>Expiration Date</v>
      </c>
      <c r="V5" s="30" t="str">
        <f>IFERROR(__xludf.DUMMYFUNCTION("""COMPUTED_VALUE"""),"ExpiredQty")</f>
        <v>ExpiredQty</v>
      </c>
      <c r="W5" s="30" t="str">
        <f>IFERROR(__xludf.DUMMYFUNCTION("""COMPUTED_VALUE"""),"ExpiredTaxlotID")</f>
        <v>ExpiredTaxlotID</v>
      </c>
      <c r="X5" s="30" t="str">
        <f>IFERROR(__xludf.DUMMYFUNCTION("""COMPUTED_VALUE"""),"FXRate")</f>
        <v>FXRate</v>
      </c>
      <c r="Y5" s="30" t="str">
        <f>IFERROR(__xludf.DUMMYFUNCTION("""COMPUTED_VALUE"""),"FXRateoperator")</f>
        <v>FXRateoperator</v>
      </c>
      <c r="Z5" s="30" t="str">
        <f>IFERROR(__xludf.DUMMYFUNCTION("""COMPUTED_VALUE"""),"ID")</f>
        <v>ID</v>
      </c>
      <c r="AA5" s="30" t="str">
        <f>IFERROR(__xludf.DUMMYFUNCTION("""COMPUTED_VALUE"""),"If Pay/Recevie Changes")</f>
        <v>If Pay/Recevie Changes</v>
      </c>
      <c r="AB5" s="30" t="str">
        <f>IFERROR(__xludf.DUMMYFUNCTION("""COMPUTED_VALUE"""),"IntPositionType")</f>
        <v>IntPositionType</v>
      </c>
      <c r="AC5" s="30" t="str">
        <f>IFERROR(__xludf.DUMMYFUNCTION("""COMPUTED_VALUE"""),"LeadCurrencyID")</f>
        <v>LeadCurrencyID</v>
      </c>
      <c r="AD5" s="30" t="str">
        <f>IFERROR(__xludf.DUMMYFUNCTION("""COMPUTED_VALUE"""),"Leveraged Factor")</f>
        <v>Leveraged Factor</v>
      </c>
      <c r="AE5" s="30" t="str">
        <f>IFERROR(__xludf.DUMMYFUNCTION("""COMPUTED_VALUE"""),"MarkPriceForMonth")</f>
        <v>MarkPriceForMonth</v>
      </c>
      <c r="AF5" s="30" t="str">
        <f>IFERROR(__xludf.DUMMYFUNCTION("""COMPUTED_VALUE"""),"MonthToDateRealizedProfit")</f>
        <v>MonthToDateRealizedProfit</v>
      </c>
      <c r="AG5" s="30" t="str">
        <f>IFERROR(__xludf.DUMMYFUNCTION("""COMPUTED_VALUE"""),"Multiplier")</f>
        <v>Multiplier</v>
      </c>
      <c r="AH5" s="30" t="str">
        <f>IFERROR(__xludf.DUMMYFUNCTION("""COMPUTED_VALUE"""),"NotionalValue")</f>
        <v>NotionalValue</v>
      </c>
      <c r="AI5" s="30" t="str">
        <f>IFERROR(__xludf.DUMMYFUNCTION("""COMPUTED_VALUE"""),"OCC Fee")</f>
        <v>OCC Fee</v>
      </c>
      <c r="AJ5" s="30" t="str">
        <f>IFERROR(__xludf.DUMMYFUNCTION("""COMPUTED_VALUE"""),"OpenQty")</f>
        <v>OpenQty</v>
      </c>
      <c r="AK5" s="30" t="str">
        <f>IFERROR(__xludf.DUMMYFUNCTION("""COMPUTED_VALUE"""),"Option Activated")</f>
        <v>Option Activated</v>
      </c>
      <c r="AL5" s="30" t="str">
        <f>IFERROR(__xludf.DUMMYFUNCTION("""COMPUTED_VALUE"""),"Option Type")</f>
        <v>Option Type</v>
      </c>
      <c r="AM5" s="30" t="str">
        <f>IFERROR(__xludf.DUMMYFUNCTION("""COMPUTED_VALUE"""),"OptionPremiumAdjustment")</f>
        <v>OptionPremiumAdjustment</v>
      </c>
      <c r="AN5" s="30" t="str">
        <f>IFERROR(__xludf.DUMMYFUNCTION("""COMPUTED_VALUE"""),"ORF Fee")</f>
        <v>ORF Fee</v>
      </c>
      <c r="AO5" s="30" t="str">
        <f>IFERROR(__xludf.DUMMYFUNCTION("""COMPUTED_VALUE"""),"Original Side")</f>
        <v>Original Side</v>
      </c>
      <c r="AP5" s="30" t="str">
        <f>IFERROR(__xludf.DUMMYFUNCTION("""COMPUTED_VALUE"""),"OriginalPurchaseDate")</f>
        <v>OriginalPurchaseDate</v>
      </c>
      <c r="AQ5" s="30" t="str">
        <f>IFERROR(__xludf.DUMMYFUNCTION("""COMPUTED_VALUE"""),"Other Broker Fees")</f>
        <v>Other Broker Fees</v>
      </c>
      <c r="AR5" s="30" t="str">
        <f>IFERROR(__xludf.DUMMYFUNCTION("""COMPUTED_VALUE"""),"ParentTradeDate")</f>
        <v>ParentTradeDate</v>
      </c>
      <c r="AS5" s="30" t="str">
        <f>IFERROR(__xludf.DUMMYFUNCTION("""COMPUTED_VALUE"""),"Pay/Recive")</f>
        <v>Pay/Recive</v>
      </c>
      <c r="AT5" s="30" t="str">
        <f>IFERROR(__xludf.DUMMYFUNCTION("""COMPUTED_VALUE"""),"PositionType")</f>
        <v>PositionType</v>
      </c>
      <c r="AU5" s="30" t="str">
        <f>IFERROR(__xludf.DUMMYFUNCTION("""COMPUTED_VALUE"""),"ProcessDate")</f>
        <v>ProcessDate</v>
      </c>
      <c r="AV5" s="30" t="str">
        <f>IFERROR(__xludf.DUMMYFUNCTION("""COMPUTED_VALUE"""),"QtyCurrency")</f>
        <v>QtyCurrency</v>
      </c>
      <c r="AW5" s="30" t="str">
        <f>IFERROR(__xludf.DUMMYFUNCTION("""COMPUTED_VALUE"""),"Quantity")</f>
        <v>Quantity</v>
      </c>
      <c r="AX5" s="30" t="str">
        <f>IFERROR(__xludf.DUMMYFUNCTION("""COMPUTED_VALUE"""),"RecordType")</f>
        <v>RecordType</v>
      </c>
      <c r="AY5" s="30" t="str">
        <f>IFERROR(__xludf.DUMMYFUNCTION("""COMPUTED_VALUE"""),"SEC Fee")</f>
        <v>SEC Fee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IFERROR(__xludf.DUMMYFUNCTION("""COMPUTED_VALUE"""),"Settlement Date")</f>
        <v>Settlement Date</v>
      </c>
      <c r="BB5" s="30" t="str">
        <f>IFERROR(__xludf.DUMMYFUNCTION("""COMPUTED_VALUE"""),"Settlement FxRate")</f>
        <v>Settlement FxRate</v>
      </c>
      <c r="BC5" s="30" t="str">
        <f>IFERROR(__xludf.DUMMYFUNCTION("""COMPUTED_VALUE"""),"Settlement FxRate Operator")</f>
        <v>Settlement FxRate Operator</v>
      </c>
      <c r="BD5" s="30" t="str">
        <f>IFERROR(__xludf.DUMMYFUNCTION("""COMPUTED_VALUE"""),"Settlement Price")</f>
        <v>Settlement Price</v>
      </c>
      <c r="BE5" s="30" t="str">
        <f>IFERROR(__xludf.DUMMYFUNCTION("""COMPUTED_VALUE"""),"Side")</f>
        <v>Side</v>
      </c>
      <c r="BF5" s="30" t="str">
        <f>IFERROR(__xludf.DUMMYFUNCTION("""COMPUTED_VALUE"""),"Soft Commission")</f>
        <v>Soft Commission</v>
      </c>
      <c r="BG5" s="30" t="str">
        <f>IFERROR(__xludf.DUMMYFUNCTION("""COMPUTED_VALUE"""),"Stamp Duty")</f>
        <v>Stamp Duty</v>
      </c>
      <c r="BH5" s="30" t="str">
        <f>IFERROR(__xludf.DUMMYFUNCTION("""COMPUTED_VALUE"""),"StartTaxlotID")</f>
        <v>StartTaxlotID</v>
      </c>
      <c r="BI5" s="30" t="str">
        <f>IFERROR(__xludf.DUMMYFUNCTION("""COMPUTED_VALUE"""),"Status")</f>
        <v>Status</v>
      </c>
      <c r="BJ5" s="30" t="str">
        <f>IFERROR(__xludf.DUMMYFUNCTION("""COMPUTED_VALUE"""),"Strategy")</f>
        <v>Strategy</v>
      </c>
      <c r="BK5" s="30" t="str">
        <f>IFERROR(__xludf.DUMMYFUNCTION("""COMPUTED_VALUE"""),"Strike Price")</f>
        <v>Strike Price</v>
      </c>
      <c r="BL5" s="30" t="str">
        <f>IFERROR(__xludf.DUMMYFUNCTION("""COMPUTED_VALUE"""),"Symbol")</f>
        <v>Symbol</v>
      </c>
      <c r="BM5" s="30" t="str">
        <f>IFERROR(__xludf.DUMMYFUNCTION("""COMPUTED_VALUE"""),"SymbolAveragePrice")</f>
        <v>SymbolAveragePrice</v>
      </c>
      <c r="BN5" s="30" t="str">
        <f>IFERROR(__xludf.DUMMYFUNCTION("""COMPUTED_VALUE"""),"Tax On Commissions")</f>
        <v>Tax On Commissions</v>
      </c>
      <c r="BO5" s="30" t="str">
        <f>IFERROR(__xludf.DUMMYFUNCTION("""COMPUTED_VALUE"""),"TaxLotClosingId")</f>
        <v>TaxLotClosingId</v>
      </c>
      <c r="BP5" s="30" t="str">
        <f>IFERROR(__xludf.DUMMYFUNCTION("""COMPUTED_VALUE"""),"Trade Date")</f>
        <v>Trade Date</v>
      </c>
      <c r="BQ5" s="30" t="str">
        <f>IFERROR(__xludf.DUMMYFUNCTION("""COMPUTED_VALUE"""),"Transaction Levy")</f>
        <v>Transaction Levy</v>
      </c>
      <c r="BR5" s="30" t="str">
        <f>IFERROR(__xludf.DUMMYFUNCTION("""COMPUTED_VALUE"""),"Transaction Type")</f>
        <v>Transaction Type</v>
      </c>
      <c r="BS5" s="30" t="str">
        <f>IFERROR(__xludf.DUMMYFUNCTION("""COMPUTED_VALUE"""),"TransactionSource")</f>
        <v>TransactionSource</v>
      </c>
      <c r="BT5" s="30" t="str">
        <f>IFERROR(__xludf.DUMMYFUNCTION("""COMPUTED_VALUE"""),"Underlying Symbol")</f>
        <v>Underlying Symbol</v>
      </c>
      <c r="BU5" s="30" t="str">
        <f>IFERROR(__xludf.DUMMYFUNCTION("""COMPUTED_VALUE"""),"UnderlyingID")</f>
        <v>UnderlyingID</v>
      </c>
      <c r="BV5" s="30" t="str">
        <f>IFERROR(__xludf.DUMMYFUNCTION("""COMPUTED_VALUE"""),"Venue")</f>
        <v>Venue</v>
      </c>
      <c r="BW5" s="30" t="str">
        <f>IFERROR(__xludf.DUMMYFUNCTION("""COMPUTED_VALUE"""),"Settlement Qty")</f>
        <v>Settlement Qty</v>
      </c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8"/>
      <c r="D6" s="13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ExerciseAssignment!$4:$4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IFERROR(__xludf.DUMMYFUNCTION("""COMPUTED_VALUE"""),"Asset Class")</f>
        <v>Asset Class</v>
      </c>
      <c r="D5" s="28" t="str">
        <f>IFERROR(__xludf.DUMMYFUNCTION("""COMPUTED_VALUE"""),"checkBox")</f>
        <v>checkBox</v>
      </c>
      <c r="E5" s="28" t="str">
        <f>IFERROR(__xludf.DUMMYFUNCTION("""COMPUTED_VALUE"""),"Close Date")</f>
        <v>Close Date</v>
      </c>
      <c r="F5" s="29" t="str">
        <f>IFERROR(__xludf.DUMMYFUNCTION("""COMPUTED_VALUE"""),"ClosedAveragePrice")</f>
        <v>ClosedAveragePrice</v>
      </c>
      <c r="G5" s="28" t="str">
        <f>IFERROR(__xludf.DUMMYFUNCTION("""COMPUTED_VALUE"""),"ClosedQty")</f>
        <v>ClosedQty</v>
      </c>
      <c r="H5" s="28" t="str">
        <f>IFERROR(__xludf.DUMMYFUNCTION("""COMPUTED_VALUE"""),"Closing Method")</f>
        <v>Closing Method</v>
      </c>
      <c r="I5" s="28" t="str">
        <f>IFERROR(__xludf.DUMMYFUNCTION("""COMPUTED_VALUE"""),"ClosingID")</f>
        <v>ClosingID</v>
      </c>
      <c r="J5" s="28" t="str">
        <f>IFERROR(__xludf.DUMMYFUNCTION("""COMPUTED_VALUE"""),"ClosingMode")</f>
        <v>ClosingMode</v>
      </c>
      <c r="K5" s="28" t="str">
        <f>IFERROR(__xludf.DUMMYFUNCTION("""COMPUTED_VALUE"""),"ClosingPositionTag")</f>
        <v>ClosingPositionTag</v>
      </c>
      <c r="L5" s="28" t="str">
        <f>IFERROR(__xludf.DUMMYFUNCTION("""COMPUTED_VALUE"""),"ClosingSide")</f>
        <v>ClosingSide</v>
      </c>
      <c r="M5" s="28" t="str">
        <f>IFERROR(__xludf.DUMMYFUNCTION("""COMPUTED_VALUE"""),"ClosingTotalCommissionandFees")</f>
        <v>ClosingTotalCommissionandFees</v>
      </c>
      <c r="N5" s="28" t="str">
        <f>IFERROR(__xludf.DUMMYFUNCTION("""COMPUTED_VALUE"""),"Column1")</f>
        <v>Column1</v>
      </c>
      <c r="O5" s="28" t="str">
        <f>IFERROR(__xludf.DUMMYFUNCTION("""COMPUTED_VALUE"""),"CostBasisGrossPNL")</f>
        <v>CostBasisGrossPNL</v>
      </c>
      <c r="P5" s="28" t="str">
        <f>IFERROR(__xludf.DUMMYFUNCTION("""COMPUTED_VALUE"""),"Currency")</f>
        <v>Currency</v>
      </c>
      <c r="Q5" s="28" t="str">
        <f>IFERROR(__xludf.DUMMYFUNCTION("""COMPUTED_VALUE"""),"CurrencyID")</f>
        <v>CurrencyID</v>
      </c>
      <c r="R5" s="28" t="str">
        <f>IFERROR(__xludf.DUMMYFUNCTION("""COMPUTED_VALUE"""),"Exchange")</f>
        <v>Exchange</v>
      </c>
      <c r="S5" s="28" t="str">
        <f>IFERROR(__xludf.DUMMYFUNCTION("""COMPUTED_VALUE"""),"NotionalChange")</f>
        <v>NotionalChange</v>
      </c>
      <c r="T5" s="30" t="str">
        <f>IFERROR(__xludf.DUMMYFUNCTION("""COMPUTED_VALUE"""),"OpenAveragePrice")</f>
        <v>OpenAveragePrice</v>
      </c>
      <c r="U5" s="30" t="str">
        <f>IFERROR(__xludf.DUMMYFUNCTION("""COMPUTED_VALUE"""),"Original Purchase Date")</f>
        <v>Original Purchase Date</v>
      </c>
      <c r="V5" s="30" t="str">
        <f>IFERROR(__xludf.DUMMYFUNCTION("""COMPUTED_VALUE"""),"Position Type")</f>
        <v>Position Type</v>
      </c>
      <c r="W5" s="30" t="str">
        <f>IFERROR(__xludf.DUMMYFUNCTION("""COMPUTED_VALUE"""),"PositionSide")</f>
        <v>PositionSide</v>
      </c>
      <c r="X5" s="30" t="str">
        <f>IFERROR(__xludf.DUMMYFUNCTION("""COMPUTED_VALUE"""),"PositionTotalCommissionandFees")</f>
        <v>PositionTotalCommissionandFees</v>
      </c>
      <c r="Y5" s="30" t="str">
        <f>IFERROR(__xludf.DUMMYFUNCTION("""COMPUTED_VALUE"""),"Realized PNL(C.B.)")</f>
        <v>Realized PNL(C.B.)</v>
      </c>
      <c r="Z5" s="30" t="str">
        <f>IFERROR(__xludf.DUMMYFUNCTION("""COMPUTED_VALUE"""),"Side")</f>
        <v>Side</v>
      </c>
      <c r="AA5" s="30" t="str">
        <f>IFERROR(__xludf.DUMMYFUNCTION("""COMPUTED_VALUE"""),"Strategy")</f>
        <v>Strategy</v>
      </c>
      <c r="AB5" s="30" t="str">
        <f>IFERROR(__xludf.DUMMYFUNCTION("""COMPUTED_VALUE"""),"Symbol")</f>
        <v>Symbol</v>
      </c>
      <c r="AC5" s="30" t="str">
        <f>IFERROR(__xludf.DUMMYFUNCTION("""COMPUTED_VALUE"""),"Taxlot ID")</f>
        <v>Taxlot ID</v>
      </c>
      <c r="AD5" s="30" t="str">
        <f>IFERROR(__xludf.DUMMYFUNCTION("""COMPUTED_VALUE"""),"UnderlyingName")</f>
        <v>UnderlyingName</v>
      </c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18</v>
      </c>
      <c r="C6" s="32" t="s">
        <v>23</v>
      </c>
      <c r="D6" s="31"/>
      <c r="E6" s="32"/>
      <c r="F6" s="32"/>
      <c r="G6" s="38">
        <v>8.0</v>
      </c>
      <c r="H6" s="32" t="s">
        <v>29</v>
      </c>
      <c r="I6" s="32"/>
      <c r="J6" s="32" t="s">
        <v>30</v>
      </c>
      <c r="K6" s="32" t="s">
        <v>31</v>
      </c>
      <c r="L6" s="32"/>
      <c r="M6" s="32"/>
      <c r="N6" s="32"/>
      <c r="O6" s="32"/>
      <c r="P6" s="32" t="s">
        <v>32</v>
      </c>
      <c r="Q6" s="32"/>
      <c r="R6" s="32" t="s">
        <v>33</v>
      </c>
      <c r="S6" s="37">
        <v>0.0</v>
      </c>
      <c r="T6" s="37">
        <v>1.0</v>
      </c>
      <c r="U6" s="32"/>
      <c r="V6" s="32" t="s">
        <v>34</v>
      </c>
      <c r="W6" s="32" t="s">
        <v>34</v>
      </c>
      <c r="X6" s="32"/>
      <c r="Y6" s="32"/>
      <c r="Z6" s="32" t="s">
        <v>17</v>
      </c>
      <c r="AA6" s="32"/>
      <c r="AB6" s="32" t="s">
        <v>16</v>
      </c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VerifyExpiredSettledGrid!$4:$4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35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21</v>
      </c>
      <c r="C6" s="8"/>
      <c r="D6" s="13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35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9" t="s">
        <v>18</v>
      </c>
      <c r="C6" s="8"/>
      <c r="D6" s="13"/>
      <c r="E6" s="40">
        <v>10.0</v>
      </c>
      <c r="F6" s="39" t="s">
        <v>38</v>
      </c>
      <c r="G6" s="39" t="s">
        <v>23</v>
      </c>
      <c r="H6" s="40">
        <v>0.0</v>
      </c>
      <c r="I6" s="40">
        <v>0.0</v>
      </c>
      <c r="J6" s="40">
        <v>19.0</v>
      </c>
      <c r="K6" s="40">
        <v>1.0</v>
      </c>
      <c r="L6" s="40">
        <v>1.0</v>
      </c>
      <c r="M6" s="8"/>
      <c r="N6" s="8"/>
      <c r="O6" s="39" t="s">
        <v>39</v>
      </c>
      <c r="Q6" s="40">
        <v>3.0</v>
      </c>
      <c r="V6" s="39" t="s">
        <v>40</v>
      </c>
      <c r="Z6" s="39" t="s">
        <v>32</v>
      </c>
      <c r="AD6" s="39" t="s">
        <v>33</v>
      </c>
      <c r="AE6" s="40">
        <v>10.0</v>
      </c>
      <c r="AH6" s="39" t="s">
        <v>41</v>
      </c>
      <c r="AN6" s="39" t="b">
        <v>0</v>
      </c>
      <c r="AP6" s="39" t="b">
        <v>1</v>
      </c>
      <c r="AQ6" s="39" t="b">
        <v>0</v>
      </c>
      <c r="AR6" s="39" t="b">
        <v>1</v>
      </c>
      <c r="AT6" s="40">
        <v>500.0</v>
      </c>
      <c r="AU6" s="40">
        <v>500.0</v>
      </c>
      <c r="BE6" s="40">
        <v>500.0</v>
      </c>
      <c r="BF6" s="40">
        <v>500.0</v>
      </c>
      <c r="BJ6" s="40">
        <v>10.0</v>
      </c>
      <c r="BM6" s="39" t="s">
        <v>32</v>
      </c>
      <c r="BO6" s="39" t="s">
        <v>17</v>
      </c>
      <c r="BT6" s="39" t="s">
        <v>16</v>
      </c>
      <c r="CH6" s="39" t="s">
        <v>12</v>
      </c>
      <c r="CL6" s="40">
        <v>1.0</v>
      </c>
      <c r="CM6" s="39" t="s">
        <v>42</v>
      </c>
    </row>
    <row r="7" ht="15.75" customHeight="1">
      <c r="A7" s="8"/>
      <c r="B7" s="39" t="s">
        <v>18</v>
      </c>
      <c r="C7" s="8"/>
      <c r="D7" s="8"/>
      <c r="E7" s="40">
        <v>8.0</v>
      </c>
      <c r="F7" s="39" t="s">
        <v>38</v>
      </c>
      <c r="G7" s="39" t="s">
        <v>23</v>
      </c>
      <c r="H7" s="40">
        <v>0.0</v>
      </c>
      <c r="I7" s="40">
        <v>0.0</v>
      </c>
      <c r="J7" s="40">
        <v>19.0</v>
      </c>
      <c r="K7" s="40">
        <v>0.0</v>
      </c>
      <c r="L7" s="40">
        <v>0.0</v>
      </c>
      <c r="M7" s="8"/>
      <c r="N7" s="8"/>
      <c r="O7" s="39" t="s">
        <v>39</v>
      </c>
      <c r="Q7" s="40">
        <v>3.0</v>
      </c>
      <c r="V7" s="39" t="s">
        <v>40</v>
      </c>
      <c r="Z7" s="39" t="s">
        <v>32</v>
      </c>
      <c r="AD7" s="39" t="s">
        <v>33</v>
      </c>
      <c r="AE7" s="40">
        <v>8.0</v>
      </c>
      <c r="AH7" s="39" t="s">
        <v>41</v>
      </c>
      <c r="AN7" s="39" t="b">
        <v>0</v>
      </c>
      <c r="AP7" s="39" t="b">
        <v>0</v>
      </c>
      <c r="AQ7" s="39" t="b">
        <v>0</v>
      </c>
      <c r="AR7" s="39" t="b">
        <v>1</v>
      </c>
      <c r="AT7" s="40">
        <v>400.0</v>
      </c>
      <c r="AU7" s="40">
        <v>400.0</v>
      </c>
      <c r="BE7" s="40">
        <v>0.0</v>
      </c>
      <c r="BF7" s="40">
        <v>0.0</v>
      </c>
      <c r="BJ7" s="40">
        <v>8.0</v>
      </c>
      <c r="BM7" s="39" t="s">
        <v>32</v>
      </c>
      <c r="BO7" s="39" t="s">
        <v>43</v>
      </c>
      <c r="BT7" s="39" t="s">
        <v>16</v>
      </c>
      <c r="CH7" s="39" t="s">
        <v>19</v>
      </c>
      <c r="CL7" s="40">
        <v>1.0</v>
      </c>
      <c r="CM7" s="39" t="s">
        <v>42</v>
      </c>
    </row>
    <row r="8" ht="15.75" customHeight="1">
      <c r="A8" s="8"/>
      <c r="B8" s="39" t="s">
        <v>18</v>
      </c>
      <c r="C8" s="8"/>
      <c r="D8" s="8"/>
      <c r="E8" s="40">
        <v>8.0</v>
      </c>
      <c r="F8" s="39" t="s">
        <v>38</v>
      </c>
      <c r="G8" s="39" t="s">
        <v>44</v>
      </c>
      <c r="H8" s="40">
        <v>0.0</v>
      </c>
      <c r="I8" s="40">
        <v>0.0</v>
      </c>
      <c r="J8" s="40">
        <v>15.0</v>
      </c>
      <c r="K8" s="40">
        <v>0.0</v>
      </c>
      <c r="L8" s="40">
        <v>0.0</v>
      </c>
      <c r="M8" s="8"/>
      <c r="N8" s="8"/>
      <c r="O8" s="39" t="s">
        <v>39</v>
      </c>
      <c r="Q8" s="40">
        <v>3.0</v>
      </c>
      <c r="V8" s="39" t="s">
        <v>45</v>
      </c>
      <c r="Z8" s="39" t="s">
        <v>32</v>
      </c>
      <c r="AD8" s="39" t="s">
        <v>46</v>
      </c>
      <c r="AE8" s="40">
        <v>8.0</v>
      </c>
      <c r="AH8" s="39" t="s">
        <v>41</v>
      </c>
      <c r="AN8" s="39" t="b">
        <v>0</v>
      </c>
      <c r="AP8" s="39" t="b">
        <v>1</v>
      </c>
      <c r="AQ8" s="39" t="b">
        <v>0</v>
      </c>
      <c r="AR8" s="39" t="b">
        <v>1</v>
      </c>
      <c r="AT8" s="40">
        <v>400.0</v>
      </c>
      <c r="AU8" s="40">
        <v>400.0</v>
      </c>
      <c r="BE8" s="40">
        <v>0.0</v>
      </c>
      <c r="BF8" s="40">
        <v>0.0</v>
      </c>
      <c r="BJ8" s="40">
        <v>8.0</v>
      </c>
      <c r="BM8" s="39" t="s">
        <v>32</v>
      </c>
      <c r="BO8" s="39" t="s">
        <v>47</v>
      </c>
      <c r="BT8" s="39" t="s">
        <v>42</v>
      </c>
      <c r="CH8" s="39" t="s">
        <v>19</v>
      </c>
      <c r="CL8" s="40">
        <v>1.0</v>
      </c>
      <c r="CM8" s="39" t="s">
        <v>42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AQ9" s="41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48</v>
      </c>
      <c r="D3" s="5" t="s">
        <v>9</v>
      </c>
      <c r="E3" s="23" t="s">
        <v>49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</row>
    <row r="6" ht="15.75" customHeight="1">
      <c r="A6" s="13"/>
      <c r="B6" s="13"/>
      <c r="C6" s="39" t="s">
        <v>16</v>
      </c>
      <c r="D6" s="40">
        <v>10.0</v>
      </c>
      <c r="E6" s="39" t="s">
        <v>18</v>
      </c>
      <c r="F6" s="39" t="s">
        <v>50</v>
      </c>
      <c r="G6" s="40">
        <v>1.0</v>
      </c>
      <c r="H6" s="39" t="s">
        <v>34</v>
      </c>
      <c r="I6" s="8"/>
      <c r="J6" s="8"/>
      <c r="K6" s="8"/>
      <c r="L6" s="8"/>
      <c r="M6" s="8"/>
      <c r="N6" s="40">
        <v>-500.0</v>
      </c>
      <c r="O6" s="39" t="s">
        <v>40</v>
      </c>
      <c r="P6" s="39" t="s">
        <v>51</v>
      </c>
      <c r="R6" s="39" t="s">
        <v>52</v>
      </c>
      <c r="S6" s="39" t="s">
        <v>53</v>
      </c>
      <c r="T6" s="39" t="s">
        <v>23</v>
      </c>
      <c r="U6" s="39" t="s">
        <v>26</v>
      </c>
      <c r="V6" s="39" t="s">
        <v>33</v>
      </c>
      <c r="W6" s="39" t="s">
        <v>32</v>
      </c>
      <c r="X6" s="40">
        <v>50.0</v>
      </c>
      <c r="Y6" s="40">
        <v>1.0</v>
      </c>
      <c r="AB6" s="40">
        <v>0.0</v>
      </c>
      <c r="AC6" s="40">
        <v>0.0</v>
      </c>
      <c r="AD6" s="40">
        <v>0.0</v>
      </c>
      <c r="AE6" s="40">
        <v>500.0</v>
      </c>
      <c r="AF6" s="40">
        <v>0.0</v>
      </c>
      <c r="AG6" s="40">
        <v>0.0</v>
      </c>
      <c r="AH6" s="40">
        <v>0.0</v>
      </c>
      <c r="AI6" s="40">
        <v>0.0</v>
      </c>
      <c r="AJ6" s="40">
        <v>0.0</v>
      </c>
      <c r="AK6" s="40">
        <v>-500.0</v>
      </c>
      <c r="AL6" s="40">
        <v>0.0</v>
      </c>
      <c r="AM6" s="40">
        <v>1.0</v>
      </c>
      <c r="AN6" s="39" t="s">
        <v>17</v>
      </c>
      <c r="AP6" s="39" t="s">
        <v>34</v>
      </c>
      <c r="AQ6" s="39" t="s">
        <v>42</v>
      </c>
      <c r="AR6" s="40">
        <v>0.0</v>
      </c>
      <c r="AS6" s="40">
        <v>1.0</v>
      </c>
      <c r="AT6" s="39" t="s">
        <v>54</v>
      </c>
      <c r="AU6" s="39" t="s">
        <v>55</v>
      </c>
      <c r="AV6" s="40">
        <v>1.0</v>
      </c>
      <c r="AW6" s="40">
        <v>-500.0</v>
      </c>
      <c r="AX6" s="40">
        <v>0.0</v>
      </c>
      <c r="AY6" s="40">
        <v>0.0</v>
      </c>
      <c r="AZ6" s="40">
        <v>0.0</v>
      </c>
      <c r="BA6" s="40">
        <v>-100.0</v>
      </c>
      <c r="BC6" s="40">
        <v>1.0</v>
      </c>
      <c r="BD6" s="40">
        <v>-500.0</v>
      </c>
      <c r="BE6" s="39" t="s">
        <v>56</v>
      </c>
      <c r="BF6" s="39" t="s">
        <v>57</v>
      </c>
      <c r="BG6" s="39" t="s">
        <v>58</v>
      </c>
      <c r="BH6" s="39" t="s">
        <v>59</v>
      </c>
      <c r="BI6" s="40">
        <v>5.0</v>
      </c>
      <c r="BJ6" s="40">
        <v>0.0</v>
      </c>
      <c r="BK6" s="40">
        <v>0.0</v>
      </c>
      <c r="BL6" s="40">
        <v>0.0</v>
      </c>
      <c r="BM6" s="40">
        <v>0.0</v>
      </c>
      <c r="BO6" s="40">
        <v>-500.0</v>
      </c>
      <c r="BP6" s="40">
        <v>-100.0</v>
      </c>
      <c r="BQ6" s="39" t="s">
        <v>60</v>
      </c>
      <c r="BR6" s="39" t="s">
        <v>39</v>
      </c>
      <c r="FC6" s="39" t="s">
        <v>61</v>
      </c>
      <c r="FF6" s="40">
        <v>0.0</v>
      </c>
    </row>
    <row r="7" ht="15.75" customHeight="1">
      <c r="A7" s="8"/>
      <c r="B7" s="8"/>
      <c r="C7" s="39" t="s">
        <v>16</v>
      </c>
      <c r="D7" s="40">
        <v>-8.0</v>
      </c>
      <c r="E7" s="39" t="s">
        <v>18</v>
      </c>
      <c r="F7" s="39" t="s">
        <v>50</v>
      </c>
      <c r="G7" s="40">
        <v>0.0</v>
      </c>
      <c r="H7" s="39" t="s">
        <v>34</v>
      </c>
      <c r="I7" s="8"/>
      <c r="J7" s="8"/>
      <c r="K7" s="8"/>
      <c r="L7" s="8"/>
      <c r="M7" s="8"/>
      <c r="N7" s="40">
        <v>0.0</v>
      </c>
      <c r="O7" s="39" t="s">
        <v>40</v>
      </c>
      <c r="P7" s="39" t="s">
        <v>51</v>
      </c>
      <c r="R7" s="39" t="s">
        <v>52</v>
      </c>
      <c r="S7" s="39" t="s">
        <v>53</v>
      </c>
      <c r="T7" s="39" t="s">
        <v>23</v>
      </c>
      <c r="U7" s="39" t="s">
        <v>26</v>
      </c>
      <c r="V7" s="39" t="s">
        <v>33</v>
      </c>
      <c r="W7" s="39" t="s">
        <v>32</v>
      </c>
      <c r="X7" s="40">
        <v>50.0</v>
      </c>
      <c r="Y7" s="40">
        <v>1.0</v>
      </c>
      <c r="AB7" s="40">
        <v>0.0</v>
      </c>
      <c r="AC7" s="40">
        <v>0.0</v>
      </c>
      <c r="AD7" s="40">
        <v>0.0</v>
      </c>
      <c r="AE7" s="40">
        <v>-400.0</v>
      </c>
      <c r="AF7" s="40">
        <v>0.0</v>
      </c>
      <c r="AG7" s="40">
        <v>0.0</v>
      </c>
      <c r="AH7" s="40">
        <v>0.0</v>
      </c>
      <c r="AI7" s="40">
        <v>0.0</v>
      </c>
      <c r="AJ7" s="40">
        <v>0.0</v>
      </c>
      <c r="AK7" s="40">
        <v>0.0</v>
      </c>
      <c r="AL7" s="40">
        <v>0.0</v>
      </c>
      <c r="AM7" s="40">
        <v>1.0</v>
      </c>
      <c r="AN7" s="39" t="s">
        <v>43</v>
      </c>
      <c r="AP7" s="39" t="s">
        <v>34</v>
      </c>
      <c r="AQ7" s="39" t="s">
        <v>42</v>
      </c>
      <c r="AR7" s="40">
        <v>0.0</v>
      </c>
      <c r="AS7" s="40">
        <v>-1.0</v>
      </c>
      <c r="AT7" s="41"/>
      <c r="AU7" s="41"/>
      <c r="AV7" s="40">
        <v>1.0</v>
      </c>
      <c r="AW7" s="40">
        <v>0.0</v>
      </c>
      <c r="AX7" s="40">
        <v>0.0</v>
      </c>
      <c r="AY7" s="40">
        <v>0.0</v>
      </c>
      <c r="AZ7" s="40">
        <v>0.0</v>
      </c>
      <c r="BA7" s="40">
        <v>0.0</v>
      </c>
      <c r="BC7" s="40">
        <v>1.0</v>
      </c>
      <c r="BD7" s="40">
        <v>0.0</v>
      </c>
      <c r="BE7" s="39" t="s">
        <v>56</v>
      </c>
      <c r="BF7" s="39" t="s">
        <v>57</v>
      </c>
      <c r="BG7" s="39" t="s">
        <v>58</v>
      </c>
      <c r="BH7" s="39" t="s">
        <v>59</v>
      </c>
      <c r="BI7" s="40">
        <v>5.0</v>
      </c>
      <c r="BJ7" s="40">
        <v>0.0</v>
      </c>
      <c r="BK7" s="40">
        <v>0.0</v>
      </c>
      <c r="BL7" s="40">
        <v>0.0</v>
      </c>
      <c r="BM7" s="40">
        <v>0.0</v>
      </c>
      <c r="BO7" s="40">
        <v>0.0</v>
      </c>
      <c r="BP7" s="40">
        <v>-100.0</v>
      </c>
      <c r="BQ7" s="39" t="s">
        <v>60</v>
      </c>
      <c r="BR7" s="39" t="s">
        <v>39</v>
      </c>
      <c r="FC7" s="39" t="s">
        <v>61</v>
      </c>
      <c r="FF7" s="40">
        <v>0.0</v>
      </c>
    </row>
    <row r="8" ht="15.75" customHeight="1">
      <c r="A8" s="8"/>
      <c r="B8" s="8"/>
      <c r="C8" s="39" t="s">
        <v>42</v>
      </c>
      <c r="D8" s="40">
        <v>8.0</v>
      </c>
      <c r="E8" s="39" t="s">
        <v>18</v>
      </c>
      <c r="F8" s="39" t="s">
        <v>50</v>
      </c>
      <c r="G8" s="40">
        <v>0.0</v>
      </c>
      <c r="H8" s="39" t="s">
        <v>34</v>
      </c>
      <c r="I8" s="8"/>
      <c r="J8" s="8"/>
      <c r="K8" s="8"/>
      <c r="L8" s="8"/>
      <c r="M8" s="8"/>
      <c r="N8" s="40">
        <v>0.0</v>
      </c>
      <c r="O8" s="39" t="s">
        <v>45</v>
      </c>
      <c r="P8" s="39" t="s">
        <v>51</v>
      </c>
      <c r="R8" s="39" t="s">
        <v>52</v>
      </c>
      <c r="S8" s="39" t="s">
        <v>53</v>
      </c>
      <c r="T8" s="39" t="s">
        <v>44</v>
      </c>
      <c r="U8" s="39" t="s">
        <v>26</v>
      </c>
      <c r="V8" s="39" t="s">
        <v>46</v>
      </c>
      <c r="W8" s="39" t="s">
        <v>32</v>
      </c>
      <c r="X8" s="40">
        <v>1.0</v>
      </c>
      <c r="Y8" s="40">
        <v>1.0</v>
      </c>
      <c r="AB8" s="40">
        <v>0.0</v>
      </c>
      <c r="AC8" s="40">
        <v>0.0</v>
      </c>
      <c r="AD8" s="40">
        <v>0.0</v>
      </c>
      <c r="AE8" s="40">
        <v>0.0</v>
      </c>
      <c r="AF8" s="40">
        <v>8.0</v>
      </c>
      <c r="AG8" s="40">
        <v>0.0</v>
      </c>
      <c r="AH8" s="40">
        <v>0.0</v>
      </c>
      <c r="AI8" s="40">
        <v>0.0</v>
      </c>
      <c r="AJ8" s="40">
        <v>0.0</v>
      </c>
      <c r="AK8" s="40">
        <v>0.0</v>
      </c>
      <c r="AL8" s="40">
        <v>1.0</v>
      </c>
      <c r="AM8" s="40">
        <v>1.0</v>
      </c>
      <c r="AN8" s="39" t="s">
        <v>47</v>
      </c>
      <c r="AP8" s="39" t="s">
        <v>34</v>
      </c>
      <c r="AQ8" s="39" t="s">
        <v>42</v>
      </c>
      <c r="AR8" s="40">
        <v>0.0</v>
      </c>
      <c r="AS8" s="40">
        <v>1.0</v>
      </c>
      <c r="AT8" s="41"/>
      <c r="AU8" s="41"/>
      <c r="AV8" s="40">
        <v>1.0</v>
      </c>
      <c r="AW8" s="40">
        <v>0.0</v>
      </c>
      <c r="AX8" s="40">
        <v>0.0</v>
      </c>
      <c r="AY8" s="40">
        <v>0.0</v>
      </c>
      <c r="AZ8" s="40">
        <v>0.0</v>
      </c>
      <c r="BA8" s="40">
        <v>0.0</v>
      </c>
      <c r="BC8" s="40">
        <v>1.0</v>
      </c>
      <c r="BD8" s="40">
        <v>0.0</v>
      </c>
      <c r="BE8" s="39" t="s">
        <v>44</v>
      </c>
      <c r="BF8" s="39" t="s">
        <v>51</v>
      </c>
      <c r="BG8" s="39" t="s">
        <v>58</v>
      </c>
      <c r="BH8" s="39" t="s">
        <v>51</v>
      </c>
      <c r="BI8" s="39" t="s">
        <v>51</v>
      </c>
      <c r="BJ8" s="40">
        <v>0.0</v>
      </c>
      <c r="BK8" s="40">
        <v>0.0</v>
      </c>
      <c r="BL8" s="40">
        <v>0.0</v>
      </c>
      <c r="BM8" s="40">
        <v>0.0</v>
      </c>
      <c r="BO8" s="40">
        <v>0.0</v>
      </c>
      <c r="BP8" s="40">
        <v>0.0</v>
      </c>
      <c r="BQ8" s="39" t="s">
        <v>60</v>
      </c>
      <c r="BR8" s="39" t="s">
        <v>39</v>
      </c>
      <c r="FC8" s="39" t="s">
        <v>61</v>
      </c>
      <c r="FF8" s="40">
        <v>0.0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