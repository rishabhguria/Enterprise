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pplyPrefetchFilters" sheetId="5" r:id="rId7"/>
    <sheet state="visible" name="ApplyPrefetchFilters1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<sst xmlns="http://schemas.openxmlformats.org/spreadsheetml/2006/main" count="56" uniqueCount="27">
  <si>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</si>
  <si>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</si>
  <si>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</si>
  <si>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</si>
  <si>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</si>
  <si>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</si>
  <si>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</si>
  <si>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</si>
  <si>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</si>
  <si>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</si>
  <si>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</si>
  <si>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</si>
  <si>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</si>
  <si>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</si>
  <si>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</si>
  <si>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</si>
  <si>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</si>
  <si>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</si>
  <si>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</si>
  <si>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O:ABM 10D20.00</t>
  </si>
  <si>
    <t>Allocation</t>
  </si>
  <si>
    <t>ApplyPrefetchFilters</t>
  </si>
  <si>
    <t>Allocated</t>
  </si>
  <si>
    <t>Equity</t>
  </si>
  <si>
    <t>CheckAllocatedGroups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</si>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</sst>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164" xfId="0" applyAlignment="1" applyFont="1" applyNumberForma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 t="s">
        <v>19</v>
      </c>
      <c r="C7" s="8" t="s">
        <v>17</v>
      </c>
      <c r="D7" s="8">
        <v>100.0</v>
      </c>
      <c r="E7" s="8">
        <v>100.0</v>
      </c>
      <c r="F7" s="8" t="s">
        <v>18</v>
      </c>
      <c r="G7" s="8"/>
      <c r="H7" s="8"/>
      <c r="I7" s="8"/>
      <c r="J7" s="8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IFERROR(__xludf.DUMMYFUNCTION("""COMPUTED_VALUE"""),"FilterTabName")</f>
        <v>FilterTabName</v>
      </c>
      <c r="C5" s="27" t="str">
        <f>IFERROR(__xludf.DUMMYFUNCTION("""COMPUTED_VALUE"""),"MasterFund")</f>
        <v>MasterFund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IFERROR(__xludf.DUMMYFUNCTION("""COMPUTED_VALUE"""),"Account")</f>
        <v>Account</v>
      </c>
      <c r="H5" s="27" t="str">
        <f>IFERROR(__xludf.DUMMYFUNCTION("""COMPUTED_VALUE"""),"Broker")</f>
        <v>Broker</v>
      </c>
      <c r="I5" s="27" t="str">
        <f>IFERROR(__xludf.DUMMYFUNCTION("""COMPUTED_VALUE"""),"Currency")</f>
        <v>Currency</v>
      </c>
      <c r="J5" s="27" t="str">
        <f>IFERROR(__xludf.DUMMYFUNCTION("""COMPUTED_VALUE"""),"Exchange")</f>
        <v>Exchange</v>
      </c>
      <c r="K5" s="27" t="str">
        <f>IFERROR(__xludf.DUMMYFUNCTION("""COMPUTED_VALUE"""),"StrategyName")</f>
        <v>StrategyName</v>
      </c>
      <c r="L5" s="27" t="str">
        <f>IFERROR(__xludf.DUMMYFUNCTION("""COMPUTED_VALUE"""),"Underlying")</f>
        <v>Underlying</v>
      </c>
      <c r="M5" s="27" t="str">
        <f>IFERROR(__xludf.DUMMYFUNCTION("""COMPUTED_VALUE"""),"Venue")</f>
        <v>Venue</v>
      </c>
      <c r="N5" s="27" t="str">
        <f>IFERROR(__xludf.DUMMYFUNCTION("""COMPUTED_VALUE"""),"TradingAccount")</f>
        <v>TradingAccount</v>
      </c>
      <c r="O5" s="27" t="str">
        <f>IFERROR(__xludf.DUMMYFUNCTION("""COMPUTED_VALUE"""),"PreAllocated")</f>
        <v>PreAllocated</v>
      </c>
      <c r="P5" s="27" t="str">
        <f>IFERROR(__xludf.DUMMYFUNCTION("""COMPUTED_VALUE"""),"ManualGroup")</f>
        <v>ManualGroup</v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22</v>
      </c>
      <c r="C6" s="8"/>
      <c r="D6" s="11"/>
      <c r="E6" s="11" t="s">
        <v>23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ApplyPrefetchFilters!$4:$4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IFERROR(__xludf.DUMMYFUNCTION("""COMPUTED_VALUE"""),"FilterTabName")</f>
        <v>FilterTabName</v>
      </c>
      <c r="C5" s="27" t="str">
        <f>IFERROR(__xludf.DUMMYFUNCTION("""COMPUTED_VALUE"""),"MasterFund")</f>
        <v>MasterFund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IFERROR(__xludf.DUMMYFUNCTION("""COMPUTED_VALUE"""),"Account")</f>
        <v>Account</v>
      </c>
      <c r="H5" s="27" t="str">
        <f>IFERROR(__xludf.DUMMYFUNCTION("""COMPUTED_VALUE"""),"Broker")</f>
        <v>Broker</v>
      </c>
      <c r="I5" s="27" t="str">
        <f>IFERROR(__xludf.DUMMYFUNCTION("""COMPUTED_VALUE"""),"Currency")</f>
        <v>Currency</v>
      </c>
      <c r="J5" s="27" t="str">
        <f>IFERROR(__xludf.DUMMYFUNCTION("""COMPUTED_VALUE"""),"Exchange")</f>
        <v>Exchange</v>
      </c>
      <c r="K5" s="27" t="str">
        <f>IFERROR(__xludf.DUMMYFUNCTION("""COMPUTED_VALUE"""),"StrategyName")</f>
        <v>StrategyName</v>
      </c>
      <c r="L5" s="27" t="str">
        <f>IFERROR(__xludf.DUMMYFUNCTION("""COMPUTED_VALUE"""),"Underlying")</f>
        <v>Underlying</v>
      </c>
      <c r="M5" s="27" t="str">
        <f>IFERROR(__xludf.DUMMYFUNCTION("""COMPUTED_VALUE"""),"Venue")</f>
        <v>Venue</v>
      </c>
      <c r="N5" s="27" t="str">
        <f>IFERROR(__xludf.DUMMYFUNCTION("""COMPUTED_VALUE"""),"TradingAccount")</f>
        <v>TradingAccount</v>
      </c>
      <c r="O5" s="27" t="str">
        <f>IFERROR(__xludf.DUMMYFUNCTION("""COMPUTED_VALUE"""),"PreAllocated")</f>
        <v>PreAllocated</v>
      </c>
      <c r="P5" s="27" t="str">
        <f>IFERROR(__xludf.DUMMYFUNCTION("""COMPUTED_VALUE"""),"ManualGroup")</f>
        <v>ManualGroup</v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22</v>
      </c>
      <c r="C6" s="8"/>
      <c r="D6" s="11"/>
      <c r="E6" s="11" t="s">
        <v>23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ApplyPrefetchFilters1!$4:$4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3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</row>
    <row r="6" ht="15.75" customHeight="1">
      <c r="A6" s="11"/>
      <c r="B6" s="11" t="s">
        <v>18</v>
      </c>
      <c r="C6" s="8"/>
      <c r="D6" s="11"/>
      <c r="E6" s="11">
        <v>100.0</v>
      </c>
      <c r="F6" s="8"/>
      <c r="G6" s="8"/>
      <c r="H6" s="11">
        <v>4.0</v>
      </c>
      <c r="I6" s="11">
        <v>5.0</v>
      </c>
      <c r="J6" s="8"/>
      <c r="K6" s="11">
        <v>10.0</v>
      </c>
      <c r="L6" s="11">
        <v>10.0</v>
      </c>
      <c r="M6" s="8"/>
      <c r="N6" s="8"/>
      <c r="O6" s="11" t="s">
        <v>25</v>
      </c>
      <c r="R6" s="9">
        <v>0.0</v>
      </c>
      <c r="T6" s="9">
        <v>0.0</v>
      </c>
      <c r="AE6" s="9">
        <v>100.0</v>
      </c>
      <c r="AI6" s="9">
        <v>1.0</v>
      </c>
      <c r="AT6" s="30">
        <v>1014.0006</v>
      </c>
      <c r="AU6" s="30">
        <v>1014.0006</v>
      </c>
      <c r="AW6" s="9">
        <v>0.0</v>
      </c>
      <c r="AX6" s="9">
        <v>0.0</v>
      </c>
      <c r="AY6" s="9" t="s">
        <v>26</v>
      </c>
      <c r="AZ6" s="9">
        <v>0.0</v>
      </c>
      <c r="BC6" s="9">
        <v>0.0</v>
      </c>
      <c r="BE6" s="31">
        <v>1000.0</v>
      </c>
      <c r="BF6" s="31">
        <v>1000.0</v>
      </c>
      <c r="BJ6" s="9">
        <v>100.0</v>
      </c>
      <c r="BK6" s="9">
        <v>0.0</v>
      </c>
      <c r="BO6" s="9" t="s">
        <v>17</v>
      </c>
      <c r="BP6" s="9">
        <v>0.0</v>
      </c>
      <c r="BT6" s="9" t="s">
        <v>16</v>
      </c>
      <c r="CG6" s="9">
        <v>2.0</v>
      </c>
      <c r="CI6" s="9" t="s">
        <v>17</v>
      </c>
      <c r="CJ6" s="9">
        <v>0.0</v>
      </c>
      <c r="CL6" s="9">
        <v>1.0</v>
      </c>
      <c r="CM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