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40" windowWidth="20775" windowHeight="10680" firstSheet="4" activeTab="8"/>
  </bookViews>
  <sheets>
    <sheet name="_Modules" sheetId="1" r:id="rId1"/>
    <sheet name="_Settings" sheetId="2" r:id="rId2"/>
    <sheet name="_MasterData" sheetId="3" r:id="rId3"/>
    <sheet name="SetTradingComplianceRules" sheetId="4" r:id="rId4"/>
    <sheet name="CreateDoneAwayOrder" sheetId="5" r:id="rId5"/>
    <sheet name="VerifyOrder" sheetId="6" r:id="rId6"/>
    <sheet name="GetDataAllocation" sheetId="7" r:id="rId7"/>
    <sheet name="CheckAllocatedGroups" sheetId="8" r:id="rId8"/>
    <sheet name="CheckPortfolioManagement" sheetId="9" r:id="rId9"/>
  </sheets>
  <calcPr calcId="145621"/>
</workbook>
</file>

<file path=xl/calcChain.xml><?xml version="1.0" encoding="utf-8"?>
<calcChain xmlns="http://schemas.openxmlformats.org/spreadsheetml/2006/main">
  <c r="BK5" i="9" l="1"/>
  <c r="FB5" i="9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Y4" i="9"/>
  <c r="Q4" i="9"/>
  <c r="I4" i="9"/>
  <c r="CL5" i="8"/>
  <c r="CD5" i="8"/>
  <c r="BV5" i="8"/>
  <c r="BN5" i="8"/>
  <c r="BF5" i="8"/>
  <c r="AX5" i="8"/>
  <c r="AP5" i="8"/>
  <c r="AH5" i="8"/>
  <c r="Z5" i="8"/>
  <c r="R5" i="8"/>
  <c r="J5" i="8"/>
  <c r="B5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M5" i="7"/>
  <c r="E5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AY5" i="6"/>
  <c r="AQ5" i="6"/>
  <c r="AI5" i="6"/>
  <c r="AA5" i="6"/>
  <c r="S5" i="6"/>
  <c r="K5" i="6"/>
  <c r="C5" i="6"/>
  <c r="AY4" i="6"/>
  <c r="AQ4" i="6"/>
  <c r="AI4" i="6"/>
  <c r="AA4" i="6"/>
  <c r="S4" i="6"/>
  <c r="K4" i="6"/>
  <c r="C4" i="6"/>
  <c r="AL5" i="5"/>
  <c r="AD5" i="5"/>
  <c r="V5" i="5"/>
  <c r="N5" i="5"/>
  <c r="F5" i="5"/>
  <c r="Z4" i="5"/>
  <c r="R4" i="5"/>
  <c r="J4" i="5"/>
  <c r="B4" i="5"/>
  <c r="F5" i="4"/>
  <c r="N4" i="4"/>
  <c r="F4" i="4"/>
  <c r="B20" i="3"/>
  <c r="B18" i="3"/>
  <c r="B16" i="3"/>
  <c r="B14" i="3"/>
  <c r="B12" i="3"/>
  <c r="B10" i="3"/>
  <c r="B8" i="3"/>
  <c r="B6" i="3"/>
  <c r="B4" i="3"/>
  <c r="C511" i="1"/>
  <c r="A509" i="1"/>
  <c r="FA5" i="9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X4" i="9"/>
  <c r="P4" i="9"/>
  <c r="H4" i="9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DJ4" i="8"/>
  <c r="DB4" i="8"/>
  <c r="CT4" i="8"/>
  <c r="CL4" i="8"/>
  <c r="CD4" i="8"/>
  <c r="BV4" i="8"/>
  <c r="BN4" i="8"/>
  <c r="BF4" i="8"/>
  <c r="AX4" i="8"/>
  <c r="AP4" i="8"/>
  <c r="AH4" i="8"/>
  <c r="Z4" i="8"/>
  <c r="R4" i="8"/>
  <c r="J4" i="8"/>
  <c r="B4" i="8"/>
  <c r="L5" i="7"/>
  <c r="D5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AX5" i="6"/>
  <c r="AP5" i="6"/>
  <c r="AH5" i="6"/>
  <c r="Z5" i="6"/>
  <c r="R5" i="6"/>
  <c r="J5" i="6"/>
  <c r="B5" i="6"/>
  <c r="AX4" i="6"/>
  <c r="AP4" i="6"/>
  <c r="AH4" i="6"/>
  <c r="Z4" i="6"/>
  <c r="R4" i="6"/>
  <c r="J4" i="6"/>
  <c r="B4" i="6"/>
  <c r="AK5" i="5"/>
  <c r="AC5" i="5"/>
  <c r="U5" i="5"/>
  <c r="M5" i="5"/>
  <c r="E5" i="5"/>
  <c r="Y4" i="5"/>
  <c r="Q4" i="5"/>
  <c r="I4" i="5"/>
  <c r="E5" i="4"/>
  <c r="M4" i="4"/>
  <c r="E4" i="4"/>
  <c r="A20" i="3"/>
  <c r="A18" i="3"/>
  <c r="A16" i="3"/>
  <c r="A14" i="3"/>
  <c r="A12" i="3"/>
  <c r="A10" i="3"/>
  <c r="A8" i="3"/>
  <c r="A6" i="3"/>
  <c r="A4" i="3"/>
  <c r="B511" i="1"/>
  <c r="C508" i="1"/>
  <c r="A506" i="1"/>
  <c r="B503" i="1"/>
  <c r="C500" i="1"/>
  <c r="A498" i="1"/>
  <c r="B495" i="1"/>
  <c r="C492" i="1"/>
  <c r="A490" i="1"/>
  <c r="EZ5" i="9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W4" i="9"/>
  <c r="O4" i="9"/>
  <c r="G4" i="9"/>
  <c r="CR5" i="8"/>
  <c r="CJ5" i="8"/>
  <c r="CB5" i="8"/>
  <c r="BT5" i="8"/>
  <c r="BL5" i="8"/>
  <c r="BD5" i="8"/>
  <c r="AV5" i="8"/>
  <c r="AN5" i="8"/>
  <c r="AF5" i="8"/>
  <c r="X5" i="8"/>
  <c r="P5" i="8"/>
  <c r="H5" i="8"/>
  <c r="DQ4" i="8"/>
  <c r="DI4" i="8"/>
  <c r="DA4" i="8"/>
  <c r="CS4" i="8"/>
  <c r="CK4" i="8"/>
  <c r="CC4" i="8"/>
  <c r="BU4" i="8"/>
  <c r="BM4" i="8"/>
  <c r="BE4" i="8"/>
  <c r="AW4" i="8"/>
  <c r="AO4" i="8"/>
  <c r="AG4" i="8"/>
  <c r="Y4" i="8"/>
  <c r="Q4" i="8"/>
  <c r="I4" i="8"/>
  <c r="K5" i="7"/>
  <c r="C5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AW5" i="6"/>
  <c r="AO5" i="6"/>
  <c r="AG5" i="6"/>
  <c r="Y5" i="6"/>
  <c r="Q5" i="6"/>
  <c r="I5" i="6"/>
  <c r="A5" i="6"/>
  <c r="AW4" i="6"/>
  <c r="AO4" i="6"/>
  <c r="AG4" i="6"/>
  <c r="Y4" i="6"/>
  <c r="Q4" i="6"/>
  <c r="I4" i="6"/>
  <c r="AJ5" i="5"/>
  <c r="AB5" i="5"/>
  <c r="T5" i="5"/>
  <c r="L5" i="5"/>
  <c r="D5" i="5"/>
  <c r="X4" i="5"/>
  <c r="P4" i="5"/>
  <c r="H4" i="5"/>
  <c r="L5" i="4"/>
  <c r="D5" i="4"/>
  <c r="L4" i="4"/>
  <c r="D4" i="4"/>
  <c r="D19" i="3"/>
  <c r="D17" i="3"/>
  <c r="D15" i="3"/>
  <c r="D13" i="3"/>
  <c r="D11" i="3"/>
  <c r="EY5" i="9"/>
  <c r="EQ5" i="9"/>
  <c r="EI5" i="9"/>
  <c r="EA5" i="9"/>
  <c r="DS5" i="9"/>
  <c r="DK5" i="9"/>
  <c r="DC5" i="9"/>
  <c r="CU5" i="9"/>
  <c r="CM5" i="9"/>
  <c r="CE5" i="9"/>
  <c r="BW5" i="9"/>
  <c r="BO5" i="9"/>
  <c r="BG5" i="9"/>
  <c r="AY5" i="9"/>
  <c r="AQ5" i="9"/>
  <c r="AI5" i="9"/>
  <c r="AA5" i="9"/>
  <c r="S5" i="9"/>
  <c r="K5" i="9"/>
  <c r="C5" i="9"/>
  <c r="V4" i="9"/>
  <c r="N4" i="9"/>
  <c r="F4" i="9"/>
  <c r="CQ5" i="8"/>
  <c r="CI5" i="8"/>
  <c r="CA5" i="8"/>
  <c r="BS5" i="8"/>
  <c r="BK5" i="8"/>
  <c r="BC5" i="8"/>
  <c r="AU5" i="8"/>
  <c r="AM5" i="8"/>
  <c r="AE5" i="8"/>
  <c r="W5" i="8"/>
  <c r="O5" i="8"/>
  <c r="G5" i="8"/>
  <c r="DP4" i="8"/>
  <c r="DH4" i="8"/>
  <c r="CZ4" i="8"/>
  <c r="CR4" i="8"/>
  <c r="CJ4" i="8"/>
  <c r="CB4" i="8"/>
  <c r="BT4" i="8"/>
  <c r="BL4" i="8"/>
  <c r="BD4" i="8"/>
  <c r="AV4" i="8"/>
  <c r="AN4" i="8"/>
  <c r="AF4" i="8"/>
  <c r="X4" i="8"/>
  <c r="P4" i="8"/>
  <c r="H4" i="8"/>
  <c r="R5" i="7"/>
  <c r="J5" i="7"/>
  <c r="B5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AV5" i="6"/>
  <c r="AN5" i="6"/>
  <c r="AF5" i="6"/>
  <c r="X5" i="6"/>
  <c r="P5" i="6"/>
  <c r="H5" i="6"/>
  <c r="BD4" i="6"/>
  <c r="AV4" i="6"/>
  <c r="AN4" i="6"/>
  <c r="AF4" i="6"/>
  <c r="X4" i="6"/>
  <c r="P4" i="6"/>
  <c r="H4" i="6"/>
  <c r="AQ5" i="5"/>
  <c r="AI5" i="5"/>
  <c r="AA5" i="5"/>
  <c r="S5" i="5"/>
  <c r="K5" i="5"/>
  <c r="C5" i="5"/>
  <c r="W4" i="5"/>
  <c r="O4" i="5"/>
  <c r="G4" i="5"/>
  <c r="K5" i="4"/>
  <c r="C5" i="4"/>
  <c r="K4" i="4"/>
  <c r="C4" i="4"/>
  <c r="C19" i="3"/>
  <c r="C17" i="3"/>
  <c r="C15" i="3"/>
  <c r="C13" i="3"/>
  <c r="C11" i="3"/>
  <c r="C9" i="3"/>
  <c r="C7" i="3"/>
  <c r="C5" i="3"/>
  <c r="B513" i="1"/>
  <c r="C510" i="1"/>
  <c r="A508" i="1"/>
  <c r="B505" i="1"/>
  <c r="C502" i="1"/>
  <c r="A500" i="1"/>
  <c r="B497" i="1"/>
  <c r="C494" i="1"/>
  <c r="A492" i="1"/>
  <c r="B489" i="1"/>
  <c r="C486" i="1"/>
  <c r="A484" i="1"/>
  <c r="B481" i="1"/>
  <c r="C478" i="1"/>
  <c r="A476" i="1"/>
  <c r="B473" i="1"/>
  <c r="C470" i="1"/>
  <c r="A468" i="1"/>
  <c r="B465" i="1"/>
  <c r="C462" i="1"/>
  <c r="A460" i="1"/>
  <c r="B457" i="1"/>
  <c r="C454" i="1"/>
  <c r="A452" i="1"/>
  <c r="B449" i="1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U4" i="9"/>
  <c r="M4" i="9"/>
  <c r="E4" i="9"/>
  <c r="CP5" i="8"/>
  <c r="CH5" i="8"/>
  <c r="BZ5" i="8"/>
  <c r="BR5" i="8"/>
  <c r="BJ5" i="8"/>
  <c r="BB5" i="8"/>
  <c r="AT5" i="8"/>
  <c r="AL5" i="8"/>
  <c r="AD5" i="8"/>
  <c r="V5" i="8"/>
  <c r="N5" i="8"/>
  <c r="F5" i="8"/>
  <c r="DO4" i="8"/>
  <c r="DG4" i="8"/>
  <c r="CY4" i="8"/>
  <c r="CQ4" i="8"/>
  <c r="CI4" i="8"/>
  <c r="CA4" i="8"/>
  <c r="BS4" i="8"/>
  <c r="BK4" i="8"/>
  <c r="BC4" i="8"/>
  <c r="AU4" i="8"/>
  <c r="AM4" i="8"/>
  <c r="AE4" i="8"/>
  <c r="W4" i="8"/>
  <c r="O4" i="8"/>
  <c r="G4" i="8"/>
  <c r="Q5" i="7"/>
  <c r="I5" i="7"/>
  <c r="A5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J4" i="7"/>
  <c r="B4" i="7"/>
  <c r="AU5" i="6"/>
  <c r="AM5" i="6"/>
  <c r="AE5" i="6"/>
  <c r="W5" i="6"/>
  <c r="O5" i="6"/>
  <c r="G5" i="6"/>
  <c r="BC4" i="6"/>
  <c r="AU4" i="6"/>
  <c r="AM4" i="6"/>
  <c r="AE4" i="6"/>
  <c r="W4" i="6"/>
  <c r="O4" i="6"/>
  <c r="G4" i="6"/>
  <c r="AP5" i="5"/>
  <c r="AH5" i="5"/>
  <c r="Z5" i="5"/>
  <c r="R5" i="5"/>
  <c r="J5" i="5"/>
  <c r="B5" i="5"/>
  <c r="V4" i="5"/>
  <c r="N4" i="5"/>
  <c r="F4" i="5"/>
  <c r="J5" i="4"/>
  <c r="B5" i="4"/>
  <c r="J4" i="4"/>
  <c r="B4" i="4"/>
  <c r="B19" i="3"/>
  <c r="B17" i="3"/>
  <c r="B15" i="3"/>
  <c r="B13" i="3"/>
  <c r="B11" i="3"/>
  <c r="B9" i="3"/>
  <c r="B7" i="3"/>
  <c r="B5" i="3"/>
  <c r="A513" i="1"/>
  <c r="B510" i="1"/>
  <c r="C507" i="1"/>
  <c r="A505" i="1"/>
  <c r="B502" i="1"/>
  <c r="C499" i="1"/>
  <c r="A497" i="1"/>
  <c r="B494" i="1"/>
  <c r="C491" i="1"/>
  <c r="A489" i="1"/>
  <c r="B486" i="1"/>
  <c r="C483" i="1"/>
  <c r="A481" i="1"/>
  <c r="B478" i="1"/>
  <c r="C475" i="1"/>
  <c r="A473" i="1"/>
  <c r="B470" i="1"/>
  <c r="C467" i="1"/>
  <c r="A465" i="1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T4" i="9"/>
  <c r="L4" i="9"/>
  <c r="D4" i="9"/>
  <c r="CO5" i="8"/>
  <c r="CG5" i="8"/>
  <c r="BY5" i="8"/>
  <c r="BQ5" i="8"/>
  <c r="BI5" i="8"/>
  <c r="BA5" i="8"/>
  <c r="AS5" i="8"/>
  <c r="AK5" i="8"/>
  <c r="AC5" i="8"/>
  <c r="U5" i="8"/>
  <c r="M5" i="8"/>
  <c r="E5" i="8"/>
  <c r="DN4" i="8"/>
  <c r="DF4" i="8"/>
  <c r="CX4" i="8"/>
  <c r="CP4" i="8"/>
  <c r="CH4" i="8"/>
  <c r="BZ4" i="8"/>
  <c r="BR4" i="8"/>
  <c r="BJ4" i="8"/>
  <c r="BB4" i="8"/>
  <c r="AT4" i="8"/>
  <c r="AL4" i="8"/>
  <c r="AD4" i="8"/>
  <c r="V4" i="8"/>
  <c r="N4" i="8"/>
  <c r="F4" i="8"/>
  <c r="P5" i="7"/>
  <c r="H5" i="7"/>
  <c r="DQ4" i="7"/>
  <c r="DI4" i="7"/>
  <c r="DA4" i="7"/>
  <c r="CS4" i="7"/>
  <c r="CK4" i="7"/>
  <c r="CC4" i="7"/>
  <c r="BU4" i="7"/>
  <c r="BM4" i="7"/>
  <c r="BE4" i="7"/>
  <c r="AW4" i="7"/>
  <c r="AO4" i="7"/>
  <c r="AG4" i="7"/>
  <c r="Y4" i="7"/>
  <c r="Q4" i="7"/>
  <c r="I4" i="7"/>
  <c r="AT5" i="6"/>
  <c r="AL5" i="6"/>
  <c r="AD5" i="6"/>
  <c r="V5" i="6"/>
  <c r="N5" i="6"/>
  <c r="F5" i="6"/>
  <c r="BB4" i="6"/>
  <c r="AT4" i="6"/>
  <c r="AL4" i="6"/>
  <c r="AD4" i="6"/>
  <c r="V4" i="6"/>
  <c r="N4" i="6"/>
  <c r="F4" i="6"/>
  <c r="AO5" i="5"/>
  <c r="AG5" i="5"/>
  <c r="Y5" i="5"/>
  <c r="Q5" i="5"/>
  <c r="I5" i="5"/>
  <c r="A5" i="5"/>
  <c r="U4" i="5"/>
  <c r="M4" i="5"/>
  <c r="E4" i="5"/>
  <c r="I5" i="4"/>
  <c r="A5" i="4"/>
  <c r="I4" i="4"/>
  <c r="A19" i="3"/>
  <c r="A17" i="3"/>
  <c r="A15" i="3"/>
  <c r="A13" i="3"/>
  <c r="A11" i="3"/>
  <c r="A9" i="3"/>
  <c r="A7" i="3"/>
  <c r="A5" i="3"/>
  <c r="C512" i="1"/>
  <c r="A510" i="1"/>
  <c r="B507" i="1"/>
  <c r="C504" i="1"/>
  <c r="A502" i="1"/>
  <c r="B499" i="1"/>
  <c r="C496" i="1"/>
  <c r="A494" i="1"/>
  <c r="B491" i="1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AA4" i="9"/>
  <c r="S4" i="9"/>
  <c r="K4" i="9"/>
  <c r="C4" i="9"/>
  <c r="CN5" i="8"/>
  <c r="CF5" i="8"/>
  <c r="BX5" i="8"/>
  <c r="BP5" i="8"/>
  <c r="BH5" i="8"/>
  <c r="AZ5" i="8"/>
  <c r="AR5" i="8"/>
  <c r="AJ5" i="8"/>
  <c r="AB5" i="8"/>
  <c r="T5" i="8"/>
  <c r="L5" i="8"/>
  <c r="D5" i="8"/>
  <c r="DM4" i="8"/>
  <c r="DE4" i="8"/>
  <c r="CW4" i="8"/>
  <c r="CO4" i="8"/>
  <c r="CG4" i="8"/>
  <c r="BY4" i="8"/>
  <c r="BQ4" i="8"/>
  <c r="BI4" i="8"/>
  <c r="BA4" i="8"/>
  <c r="AS4" i="8"/>
  <c r="AK4" i="8"/>
  <c r="AC4" i="8"/>
  <c r="U4" i="8"/>
  <c r="M4" i="8"/>
  <c r="E4" i="8"/>
  <c r="O5" i="7"/>
  <c r="G5" i="7"/>
  <c r="DP4" i="7"/>
  <c r="DH4" i="7"/>
  <c r="CZ4" i="7"/>
  <c r="CR4" i="7"/>
  <c r="CJ4" i="7"/>
  <c r="CB4" i="7"/>
  <c r="BT4" i="7"/>
  <c r="BL4" i="7"/>
  <c r="BD4" i="7"/>
  <c r="AV4" i="7"/>
  <c r="AN4" i="7"/>
  <c r="AF4" i="7"/>
  <c r="X4" i="7"/>
  <c r="P4" i="7"/>
  <c r="H4" i="7"/>
  <c r="BA5" i="6"/>
  <c r="AS5" i="6"/>
  <c r="AK5" i="6"/>
  <c r="AC5" i="6"/>
  <c r="U5" i="6"/>
  <c r="M5" i="6"/>
  <c r="E5" i="6"/>
  <c r="BA4" i="6"/>
  <c r="AS4" i="6"/>
  <c r="AK4" i="6"/>
  <c r="AC4" i="6"/>
  <c r="U4" i="6"/>
  <c r="M4" i="6"/>
  <c r="E4" i="6"/>
  <c r="AN5" i="5"/>
  <c r="AF5" i="5"/>
  <c r="X5" i="5"/>
  <c r="P5" i="5"/>
  <c r="H5" i="5"/>
  <c r="AB4" i="5"/>
  <c r="T4" i="5"/>
  <c r="L4" i="5"/>
  <c r="D4" i="5"/>
  <c r="H5" i="4"/>
  <c r="P4" i="4"/>
  <c r="H4" i="4"/>
  <c r="D20" i="3"/>
  <c r="D18" i="3"/>
  <c r="D16" i="3"/>
  <c r="D14" i="3"/>
  <c r="D12" i="3"/>
  <c r="D10" i="3"/>
  <c r="D8" i="3"/>
  <c r="D6" i="3"/>
  <c r="D4" i="3"/>
  <c r="B512" i="1"/>
  <c r="C509" i="1"/>
  <c r="A507" i="1"/>
  <c r="B504" i="1"/>
  <c r="C501" i="1"/>
  <c r="A499" i="1"/>
  <c r="B496" i="1"/>
  <c r="C493" i="1"/>
  <c r="A491" i="1"/>
  <c r="B488" i="1"/>
  <c r="C485" i="1"/>
  <c r="A483" i="1"/>
  <c r="B480" i="1"/>
  <c r="C477" i="1"/>
  <c r="A475" i="1"/>
  <c r="B472" i="1"/>
  <c r="C469" i="1"/>
  <c r="A467" i="1"/>
  <c r="EU5" i="9"/>
  <c r="EM5" i="9"/>
  <c r="EE5" i="9"/>
  <c r="DW5" i="9"/>
  <c r="DO5" i="9"/>
  <c r="DG5" i="9"/>
  <c r="CY5" i="9"/>
  <c r="CQ5" i="9"/>
  <c r="CI5" i="9"/>
  <c r="CA5" i="9"/>
  <c r="BS5" i="9"/>
  <c r="BC5" i="9"/>
  <c r="AU5" i="9"/>
  <c r="AM5" i="9"/>
  <c r="AE5" i="9"/>
  <c r="W5" i="9"/>
  <c r="O5" i="9"/>
  <c r="G5" i="9"/>
  <c r="Z4" i="9"/>
  <c r="R4" i="9"/>
  <c r="J4" i="9"/>
  <c r="B4" i="9"/>
  <c r="CM5" i="8"/>
  <c r="CE5" i="8"/>
  <c r="BW5" i="8"/>
  <c r="BO5" i="8"/>
  <c r="BG5" i="8"/>
  <c r="AY5" i="8"/>
  <c r="AQ5" i="8"/>
  <c r="AI5" i="8"/>
  <c r="AA5" i="8"/>
  <c r="S5" i="8"/>
  <c r="K5" i="8"/>
  <c r="C5" i="8"/>
  <c r="DL4" i="8"/>
  <c r="DD4" i="8"/>
  <c r="CV4" i="8"/>
  <c r="CN4" i="8"/>
  <c r="CF4" i="8"/>
  <c r="BX4" i="8"/>
  <c r="BP4" i="8"/>
  <c r="BH4" i="8"/>
  <c r="AZ4" i="8"/>
  <c r="AR4" i="8"/>
  <c r="AJ4" i="8"/>
  <c r="AB4" i="8"/>
  <c r="T4" i="8"/>
  <c r="L4" i="8"/>
  <c r="D4" i="8"/>
  <c r="N5" i="7"/>
  <c r="F5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AZ5" i="6"/>
  <c r="AR5" i="6"/>
  <c r="AJ5" i="6"/>
  <c r="AB5" i="6"/>
  <c r="T5" i="6"/>
  <c r="L5" i="6"/>
  <c r="D5" i="6"/>
  <c r="AZ4" i="6"/>
  <c r="AR4" i="6"/>
  <c r="AJ4" i="6"/>
  <c r="AB4" i="6"/>
  <c r="T4" i="6"/>
  <c r="L4" i="6"/>
  <c r="D4" i="6"/>
  <c r="AM5" i="5"/>
  <c r="AE5" i="5"/>
  <c r="W5" i="5"/>
  <c r="O5" i="5"/>
  <c r="G5" i="5"/>
  <c r="AA4" i="5"/>
  <c r="S4" i="5"/>
  <c r="K4" i="5"/>
  <c r="C4" i="5"/>
  <c r="G5" i="4"/>
  <c r="O4" i="4"/>
  <c r="G4" i="4"/>
  <c r="C20" i="3"/>
  <c r="C18" i="3"/>
  <c r="C16" i="3"/>
  <c r="C14" i="3"/>
  <c r="C12" i="3"/>
  <c r="C10" i="3"/>
  <c r="C8" i="3"/>
  <c r="C6" i="3"/>
  <c r="C4" i="3"/>
  <c r="A512" i="1"/>
  <c r="B509" i="1"/>
  <c r="C506" i="1"/>
  <c r="A504" i="1"/>
  <c r="B501" i="1"/>
  <c r="C498" i="1"/>
  <c r="A496" i="1"/>
  <c r="B493" i="1"/>
  <c r="C490" i="1"/>
  <c r="A488" i="1"/>
  <c r="B485" i="1"/>
  <c r="C482" i="1"/>
  <c r="A480" i="1"/>
  <c r="B477" i="1"/>
  <c r="C474" i="1"/>
  <c r="A472" i="1"/>
  <c r="B469" i="1"/>
  <c r="C466" i="1"/>
  <c r="A464" i="1"/>
  <c r="B461" i="1"/>
  <c r="C458" i="1"/>
  <c r="A456" i="1"/>
  <c r="B453" i="1"/>
  <c r="C450" i="1"/>
  <c r="D9" i="3"/>
  <c r="C503" i="1"/>
  <c r="A493" i="1"/>
  <c r="A486" i="1"/>
  <c r="C480" i="1"/>
  <c r="B475" i="1"/>
  <c r="A470" i="1"/>
  <c r="C464" i="1"/>
  <c r="A461" i="1"/>
  <c r="C457" i="1"/>
  <c r="A454" i="1"/>
  <c r="B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D7" i="3"/>
  <c r="A503" i="1"/>
  <c r="B492" i="1"/>
  <c r="A485" i="1"/>
  <c r="C479" i="1"/>
  <c r="B474" i="1"/>
  <c r="A469" i="1"/>
  <c r="B464" i="1"/>
  <c r="C460" i="1"/>
  <c r="A457" i="1"/>
  <c r="C453" i="1"/>
  <c r="A450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D5" i="3"/>
  <c r="A501" i="1"/>
  <c r="B490" i="1"/>
  <c r="C484" i="1"/>
  <c r="B479" i="1"/>
  <c r="A474" i="1"/>
  <c r="C468" i="1"/>
  <c r="C463" i="1"/>
  <c r="B460" i="1"/>
  <c r="C456" i="1"/>
  <c r="A453" i="1"/>
  <c r="C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C513" i="1"/>
  <c r="B500" i="1"/>
  <c r="C489" i="1"/>
  <c r="B484" i="1"/>
  <c r="A479" i="1"/>
  <c r="C473" i="1"/>
  <c r="B468" i="1"/>
  <c r="B463" i="1"/>
  <c r="C459" i="1"/>
  <c r="B456" i="1"/>
  <c r="C452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A511" i="1"/>
  <c r="B498" i="1"/>
  <c r="C488" i="1"/>
  <c r="B483" i="1"/>
  <c r="A478" i="1"/>
  <c r="C472" i="1"/>
  <c r="B467" i="1"/>
  <c r="A463" i="1"/>
  <c r="B459" i="1"/>
  <c r="C455" i="1"/>
  <c r="B452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B508" i="1"/>
  <c r="C497" i="1"/>
  <c r="C487" i="1"/>
  <c r="B482" i="1"/>
  <c r="A477" i="1"/>
  <c r="C471" i="1"/>
  <c r="B466" i="1"/>
  <c r="B462" i="1"/>
  <c r="A459" i="1"/>
  <c r="B455" i="1"/>
  <c r="C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B506" i="1"/>
  <c r="C495" i="1"/>
  <c r="B487" i="1"/>
  <c r="A482" i="1"/>
  <c r="C476" i="1"/>
  <c r="B471" i="1"/>
  <c r="A466" i="1"/>
  <c r="A462" i="1"/>
  <c r="B458" i="1"/>
  <c r="A455" i="1"/>
  <c r="B451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C505" i="1"/>
  <c r="A495" i="1"/>
  <c r="A487" i="1"/>
  <c r="C481" i="1"/>
  <c r="B476" i="1"/>
  <c r="A471" i="1"/>
  <c r="C465" i="1"/>
  <c r="C461" i="1"/>
  <c r="A458" i="1"/>
  <c r="B454" i="1"/>
  <c r="A451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B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  <c r="C21" i="1"/>
  <c r="B16" i="1"/>
  <c r="A11" i="1"/>
  <c r="C5" i="1"/>
  <c r="C10" i="1"/>
  <c r="A5" i="1"/>
  <c r="A142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A19" i="1"/>
  <c r="C13" i="1"/>
  <c r="B8" i="1"/>
  <c r="A8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B5" i="1"/>
  <c r="C4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J2" i="9" l="1"/>
  <c r="J2" i="5"/>
  <c r="J2" i="8"/>
  <c r="J2" i="6"/>
  <c r="J2" i="7"/>
  <c r="J2" i="4"/>
</calcChain>
</file>

<file path=xl/sharedStrings.xml><?xml version="1.0" encoding="utf-8"?>
<sst xmlns="http://schemas.openxmlformats.org/spreadsheetml/2006/main" count="584" uniqueCount="119">
  <si>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</si>
  <si>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</si>
  <si>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</si>
  <si>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</si>
  <si>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</si>
  <si>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</si>
  <si>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</si>
  <si>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</si>
  <si>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</si>
  <si>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</si>
  <si>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</si>
  <si>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</si>
  <si>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</si>
  <si>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</si>
  <si>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</si>
  <si>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</si>
  <si>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</si>
  <si>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AbsoluteAmount</t>
  </si>
  <si>
    <t>TradingTicket</t>
  </si>
  <si>
    <t>CreateDoneAwayOrder</t>
  </si>
  <si>
    <t>BP H9</t>
  </si>
  <si>
    <t>Buy</t>
  </si>
  <si>
    <t>Allocation1,Allocation2</t>
  </si>
  <si>
    <t>50,50</t>
  </si>
  <si>
    <t>O:ABM 10D20.00</t>
  </si>
  <si>
    <t>Buy to Open</t>
  </si>
  <si>
    <t>Allocation3,Allocation4</t>
  </si>
  <si>
    <t>60,40</t>
  </si>
  <si>
    <t>TRI-EEB</t>
  </si>
  <si>
    <t>Allocation2,rt</t>
  </si>
  <si>
    <t>30,70</t>
  </si>
  <si>
    <t>BALT</t>
  </si>
  <si>
    <t>Sell</t>
  </si>
  <si>
    <t>Allocation3,LP C/O</t>
  </si>
  <si>
    <t>80,20</t>
  </si>
  <si>
    <t>Blotter</t>
  </si>
  <si>
    <t>VerifyOrder</t>
  </si>
  <si>
    <t>NASDAQ</t>
  </si>
  <si>
    <t>jpearce</t>
  </si>
  <si>
    <t>EU</t>
  </si>
  <si>
    <t>EUR</t>
  </si>
  <si>
    <t>Multiple</t>
  </si>
  <si>
    <t>Equity</t>
  </si>
  <si>
    <t>Filled</t>
  </si>
  <si>
    <t>MS</t>
  </si>
  <si>
    <t>Market</t>
  </si>
  <si>
    <t>US</t>
  </si>
  <si>
    <t>USD</t>
  </si>
  <si>
    <t>Future</t>
  </si>
  <si>
    <t>ABM</t>
  </si>
  <si>
    <t>EquityOption</t>
  </si>
  <si>
    <t>Allocation</t>
  </si>
  <si>
    <t>GetDataAllocation</t>
  </si>
  <si>
    <t>Current</t>
  </si>
  <si>
    <t>CheckAllocatedGroups</t>
  </si>
  <si>
    <t>Open</t>
  </si>
  <si>
    <t>CMEE</t>
  </si>
  <si>
    <t>M</t>
  </si>
  <si>
    <t>False</t>
  </si>
  <si>
    <t>True</t>
  </si>
  <si>
    <t>OPTS</t>
  </si>
  <si>
    <t>BuytoOpen</t>
  </si>
  <si>
    <t>Euronext</t>
  </si>
  <si>
    <t>NYSE</t>
  </si>
  <si>
    <t>PortfolioManagement</t>
  </si>
  <si>
    <t>CheckPortfolioManagement</t>
  </si>
  <si>
    <t>Allocation2</t>
  </si>
  <si>
    <t>NewMF1</t>
  </si>
  <si>
    <t>Long</t>
  </si>
  <si>
    <t>BP MAR Future</t>
  </si>
  <si>
    <t>Undefined</t>
  </si>
  <si>
    <t>Strategy Unallocated</t>
  </si>
  <si>
    <t>BrokerNotes</t>
  </si>
  <si>
    <t>DefaultNotes</t>
  </si>
  <si>
    <t>1</t>
  </si>
  <si>
    <t>Major Oil Companies</t>
  </si>
  <si>
    <t>Europe</t>
  </si>
  <si>
    <t>None</t>
  </si>
  <si>
    <t>Default</t>
  </si>
  <si>
    <t>anal</t>
  </si>
  <si>
    <t>UK</t>
  </si>
  <si>
    <t>CU1</t>
  </si>
  <si>
    <t>CU2</t>
  </si>
  <si>
    <t>CU3</t>
  </si>
  <si>
    <t>CU4</t>
  </si>
  <si>
    <t>CU5</t>
  </si>
  <si>
    <t>CU6</t>
  </si>
  <si>
    <t>CU7</t>
  </si>
  <si>
    <t>Yes</t>
  </si>
  <si>
    <t>Marcap1</t>
  </si>
  <si>
    <t>Reg</t>
  </si>
  <si>
    <t>TRIGANO</t>
  </si>
  <si>
    <t>0*</t>
  </si>
  <si>
    <t>Allocation1</t>
  </si>
  <si>
    <t>NewMF</t>
  </si>
  <si>
    <t>FIMAT</t>
  </si>
  <si>
    <t>Allocation3</t>
  </si>
  <si>
    <t>ABM APR 2018 20 CALL</t>
  </si>
  <si>
    <t>Equity Call</t>
  </si>
  <si>
    <t>CALL</t>
  </si>
  <si>
    <t>anal1</t>
  </si>
  <si>
    <t>COR</t>
  </si>
  <si>
    <t>CU11</t>
  </si>
  <si>
    <t>CU22</t>
  </si>
  <si>
    <t>CU33</t>
  </si>
  <si>
    <t>CU44</t>
  </si>
  <si>
    <t>CU55</t>
  </si>
  <si>
    <t>CU66</t>
  </si>
  <si>
    <t>CU77</t>
  </si>
  <si>
    <t>MarCap</t>
  </si>
  <si>
    <t>Reg1</t>
  </si>
  <si>
    <t>Short</t>
  </si>
  <si>
    <t>BALTIC TRADING LIMITED COM</t>
  </si>
  <si>
    <t>Transportation</t>
  </si>
  <si>
    <t>Dry Bulk</t>
  </si>
  <si>
    <t>Allocation4</t>
  </si>
  <si>
    <t>rt</t>
  </si>
  <si>
    <t>NewMF2</t>
  </si>
  <si>
    <t>LP C/O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</si>
</sst>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#,###,###,###,##0.00#############"/>
    <numFmt numFmtId="165" formatCode="#,###,##0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3" fillId="0" borderId="5" xfId="0" applyFont="1" applyBorder="1" applyAlignment="1"/>
    <xf numFmtId="0" fontId="3" fillId="0" borderId="5" xfId="0" applyFont="1" applyBorder="1" applyAlignment="1"/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/>
    </xf>
    <xf numFmtId="0" fontId="3" fillId="0" borderId="0" xfId="0" applyFont="1" applyAlignment="1"/>
    <xf numFmtId="0" fontId="5" fillId="0" borderId="5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3" fillId="0" borderId="5" xfId="0" applyFont="1" applyBorder="1" applyAlignment="1">
      <alignment horizontal="right"/>
    </xf>
    <xf numFmtId="0" fontId="3" fillId="0" borderId="0" xfId="0" applyFont="1" applyAlignment="1">
      <alignment horizontal="right"/>
    </xf>
    <xf numFmtId="3" fontId="3" fillId="0" borderId="0" xfId="0" applyNumberFormat="1" applyFont="1" applyAlignment="1">
      <alignment horizontal="right"/>
    </xf>
    <xf numFmtId="0" fontId="5" fillId="0" borderId="0" xfId="0" applyFont="1" applyAlignment="1"/>
    <xf numFmtId="0" fontId="13" fillId="0" borderId="5" xfId="0" applyFont="1" applyBorder="1" applyAlignment="1"/>
    <xf numFmtId="164" fontId="13" fillId="0" borderId="5" xfId="0" applyNumberFormat="1" applyFont="1" applyBorder="1" applyAlignment="1">
      <alignment horizontal="right"/>
    </xf>
    <xf numFmtId="0" fontId="13" fillId="0" borderId="5" xfId="0" applyFont="1" applyBorder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165" fontId="13" fillId="0" borderId="5" xfId="0" applyNumberFormat="1" applyFont="1" applyBorder="1" applyAlignment="1">
      <alignment horizontal="right"/>
    </xf>
    <xf numFmtId="165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I24" sqref="I24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44" t="s">
        <v>0</v>
      </c>
      <c r="B1" s="45"/>
      <c r="C1" s="45"/>
      <c r="D1" s="45"/>
      <c r="E1" s="45"/>
      <c r="F1" s="46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IFERROR(__xludf.DUMMYFUNCTION("""COMPUTED_VALUE"""),"undefined")</f>
        <v>undefined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IFERROR(__xludf.DUMMYFUNCTION("""COMPUTED_VALUE"""),"undefined")</f>
        <v>undefined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IFERROR(__xludf.DUMMYFUNCTION("""COMPUTED_VALUE"""),"undefined")</f>
        <v>undefined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IFERROR(__xludf.DUMMYFUNCTION("""COMPUTED_VALUE"""),"undefined")</f>
        <v>undefined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IFERROR(__xludf.DUMMYFUNCTION("""COMPUTED_VALUE"""),"undefined")</f>
        <v>undefined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IFERROR(__xludf.DUMMYFUNCTION("""COMPUTED_VALUE"""),"undefined")</f>
        <v>undefined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IFERROR(__xludf.DUMMYFUNCTION("""COMPUTED_VALUE"""),"undefined")</f>
        <v>undefined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IFERROR(__xludf.DUMMYFUNCTION("""COMPUTED_VALUE"""),"undefined")</f>
        <v>undefined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IFERROR(__xludf.DUMMYFUNCTION("""COMPUTED_VALUE"""),"undefined")</f>
        <v>undefined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IFERROR(__xludf.DUMMYFUNCTION("""COMPUTED_VALUE"""),"Allocation")</f>
        <v>Allocation</v>
      </c>
      <c r="B149" t="str">
        <f ca="1">IFERROR(__xludf.DUMMYFUNCTION("""COMPUTED_VALUE"""),"ExportCalculatedPreference")</f>
        <v>ExportCalculatedPreference</v>
      </c>
      <c r="C149" t="str">
        <f ca="1">IFERROR(__xludf.DUMMYFUNCTION("""COMPUTED_VALUE"""),"1UwxdsAO5xYeShwsQjcIwFCmCJ4TG5e0pdbTda5C9Ni8")</f>
        <v>1UwxdsAO5xYeShwsQjcIwFCmCJ4TG5e0pdbTda5C9Ni8</v>
      </c>
    </row>
    <row r="150" spans="1:3" ht="15.75" customHeight="1">
      <c r="A150" t="str">
        <f ca="1">IFERROR(__xludf.DUMMYFUNCTION("""COMPUTED_VALUE"""),"GeneralLedger")</f>
        <v>GeneralLedger</v>
      </c>
      <c r="B150" t="str">
        <f ca="1">IFERROR(__xludf.DUMMYFUNCTION("""COMPUTED_VALUE"""),"SelectOpeningBalanceTranItem")</f>
        <v>SelectOpeningBalanceTranItem</v>
      </c>
      <c r="C150" t="str">
        <f ca="1">IFERROR(__xludf.DUMMYFUNCTION("""COMPUTED_VALUE"""),"14ShL91t2z_z4pjEMFRSGO-cKRHuWmHiSIRjzX_Qvys0")</f>
        <v>14ShL91t2z_z4pjEMFRSGO-cKRHuWmHiSIRjzX_Qvys0</v>
      </c>
    </row>
    <row r="151" spans="1:3" ht="15.75" customHeight="1">
      <c r="A151" t="str">
        <f ca="1">IFERROR(__xludf.DUMMYFUNCTION("""COMPUTED_VALUE"""),"PricingInput")</f>
        <v>PricingInput</v>
      </c>
      <c r="B151" t="str">
        <f ca="1">IFERROR(__xludf.DUMMYFUNCTION("""COMPUTED_VALUE"""),"EODTPreferences")</f>
        <v>EODTPreferences</v>
      </c>
      <c r="C151" t="str">
        <f ca="1">IFERROR(__xludf.DUMMYFUNCTION("""COMPUTED_VALUE"""),"1XjgKwmzutf0_o28Ts6VmVRIT8fBmEcIhwzHuDT77PY0")</f>
        <v>1XjgKwmzutf0_o28Ts6VmVRIT8fBmEcIhwzHuDT77PY0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IFERROR(__xludf.DUMMYFUNCTION("""COMPUTED_VALUE"""),"LiveData")</f>
        <v>LiveData</v>
      </c>
      <c r="C152" t="str">
        <f ca="1">IFERROR(__xludf.DUMMYFUNCTION("""COMPUTED_VALUE"""),"1N4Ho-MHhVufhNMfh1YnjgLuTA5wHdrgUytI0nIpGAgU")</f>
        <v>1N4Ho-MHhVufhNMfh1YnjgLuTA5wHdrgUytI0nIpGAgU</v>
      </c>
    </row>
    <row r="153" spans="1:3" ht="15.75" customHeight="1">
      <c r="A153" t="str">
        <f ca="1">IFERROR(__xludf.DUMMYFUNCTION("""COMPUTED_VALUE"""),"GeneralLedger")</f>
        <v>GeneralLedger</v>
      </c>
      <c r="B153" t="str">
        <f ca="1">IFERROR(__xludf.DUMMYFUNCTION("""COMPUTED_VALUE"""),"EditNonTradingTransaction")</f>
        <v>EditNonTradingTransaction</v>
      </c>
      <c r="C153" t="str">
        <f ca="1">IFERROR(__xludf.DUMMYFUNCTION("""COMPUTED_VALUE"""),"1KnL6IlGeWCSJiWyvDA35CAD801GLFmPg0IX6tl2xueg")</f>
        <v>1KnL6IlGeWCSJiWyvDA35CAD801GLFmPg0IX6tl2xueg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IFERROR(__xludf.DUMMYFUNCTION("""COMPUTED_VALUE"""),"EditNonTradingTranItem")</f>
        <v>EditNonTradingTranItem</v>
      </c>
      <c r="C154" t="str">
        <f ca="1">IFERROR(__xludf.DUMMYFUNCTION("""COMPUTED_VALUE"""),"1Vt_LrjnJrYNeyFbrPWR2mccROtAbfJ0IUqL_Wlnjozc")</f>
        <v>1Vt_LrjnJrYNeyFbrPWR2mccROtAbfJ0IUqL_Wlnjozc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IFERROR(__xludf.DUMMYFUNCTION("""COMPUTED_VALUE"""),"DeleteOpeningBalanceTransaction")</f>
        <v>DeleteOpeningBalanceTransaction</v>
      </c>
      <c r="C155" t="str">
        <f ca="1">IFERROR(__xludf.DUMMYFUNCTION("""COMPUTED_VALUE"""),"1_4ZRkd1BLcUVqdTKNYEbvwxBPa5d-wQ8fp3SWuaCy7A")</f>
        <v>1_4ZRkd1BLcUVqdTKNYEbvwxBPa5d-wQ8fp3SWuaCy7A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IFERROR(__xludf.DUMMYFUNCTION("""COMPUTED_VALUE"""),"DeleteOpeningBalanceTranItem")</f>
        <v>DeleteOpeningBalanceTranItem</v>
      </c>
      <c r="C156" t="str">
        <f ca="1">IFERROR(__xludf.DUMMYFUNCTION("""COMPUTED_VALUE"""),"1Z5WgLneKTh_sh9eMVI6h6MjxHaHvWBqKNUSU7JcMrEw")</f>
        <v>1Z5WgLneKTh_sh9eMVI6h6MjxHaHvWBqKNUSU7JcMrEw</v>
      </c>
    </row>
    <row r="157" spans="1:3" ht="15.75" customHeight="1">
      <c r="A157" t="str">
        <f ca="1">IFERROR(__xludf.DUMMYFUNCTION("""COMPUTED_VALUE"""),"Allocation")</f>
        <v>Allocation</v>
      </c>
      <c r="B157" t="str">
        <f ca="1">IFERROR(__xludf.DUMMYFUNCTION("""COMPUTED_VALUE"""),"ImportCalculatedPreferences")</f>
        <v>ImportCalculatedPreferences</v>
      </c>
      <c r="C157" t="str">
        <f ca="1">IFERROR(__xludf.DUMMYFUNCTION("""COMPUTED_VALUE"""),"1EGUnde-7rtVt7KhAWLx5-c7imdcnI7BTbH0BYUiRkk0")</f>
        <v>1EGUnde-7rtVt7KhAWLx5-c7imdcnI7BTbH0BYUiRkk0</v>
      </c>
    </row>
    <row r="158" spans="1:3" ht="15.75" customHeight="1">
      <c r="A158" t="str">
        <f ca="1">IFERROR(__xludf.DUMMYFUNCTION("""COMPUTED_VALUE"""),"GeneralLedger")</f>
        <v>GeneralLedger</v>
      </c>
      <c r="B158" t="str">
        <f ca="1">IFERROR(__xludf.DUMMYFUNCTION("""COMPUTED_VALUE"""),"GetDayEndCash")</f>
        <v>GetDayEndCash</v>
      </c>
      <c r="C158" t="str">
        <f ca="1">IFERROR(__xludf.DUMMYFUNCTION("""COMPUTED_VALUE"""),"1voBPiwdXfPZyYmNsKVmA2-kAwnDtFcbCA87sa76dum4")</f>
        <v>1voBPiwdXfPZyYmNsKVmA2-kAwnDtFcbCA87sa76dum4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IFERROR(__xludf.DUMMYFUNCTION("""COMPUTED_VALUE"""),"VerifyDayEndCash")</f>
        <v>VerifyDayEndCash</v>
      </c>
      <c r="C159" t="str">
        <f ca="1">IFERROR(__xludf.DUMMYFUNCTION("""COMPUTED_VALUE"""),"1ZbDcgCeQpkAKM8Smq6zd36nogNVo-xRaIYmfQtA9UL4")</f>
        <v>1ZbDcgCeQpkAKM8Smq6zd36nogNVo-xRaIYmfQtA9UL4</v>
      </c>
    </row>
    <row r="160" spans="1:3" ht="15.75" customHeight="1">
      <c r="A160" t="str">
        <f ca="1">IFERROR(__xludf.DUMMYFUNCTION("""COMPUTED_VALUE"""),"Allocation")</f>
        <v>Allocation</v>
      </c>
      <c r="B160" t="str">
        <f ca="1">IFERROR(__xludf.DUMMYFUNCTION("""COMPUTED_VALUE"""),"OpenAuditTrailUnallocatedGroup")</f>
        <v>OpenAuditTrailUnallocatedGroup</v>
      </c>
      <c r="C160" t="str">
        <f ca="1">IFERROR(__xludf.DUMMYFUNCTION("""COMPUTED_VALUE"""),"1sluoFo9SO5FkDshIY4XRUBU75XlWkBbYHraHd-7ST9g")</f>
        <v>1sluoFo9SO5FkDshIY4XRUBU75XlWkBbYHraHd-7ST9g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IFERROR(__xludf.DUMMYFUNCTION("""COMPUTED_VALUE"""),"DeleteCalculatedPreferencesTool")</f>
        <v>DeleteCalculatedPreferencesTool</v>
      </c>
      <c r="C161" t="str">
        <f ca="1">IFERROR(__xludf.DUMMYFUNCTION("""COMPUTED_VALUE"""),"1AXull1J67Ef-OGrKTmcUfNSyWZ44tBFwGHDEiuV4K6I")</f>
        <v>1AXull1J67Ef-OGrKTmcUfNSyWZ44tBFwGHDEiuV4K6I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IFERROR(__xludf.DUMMYFUNCTION("""COMPUTED_VALUE"""),"ImportCalculatedPreferencesTool")</f>
        <v>ImportCalculatedPreferencesTool</v>
      </c>
      <c r="C162" t="str">
        <f ca="1">IFERROR(__xludf.DUMMYFUNCTION("""COMPUTED_VALUE"""),"1tp0a67Fc8ilOxcv6kVJJ1NPGwgm9edRiLRaXX9e_OkI")</f>
        <v>1tp0a67Fc8ilOxcv6kVJJ1NPGwgm9edRiLRaXX9e_OkI</v>
      </c>
    </row>
    <row r="163" spans="1:3" ht="15.75" customHeight="1">
      <c r="A163" t="str">
        <f ca="1">IFERROR(__xludf.DUMMYFUNCTION("""COMPUTED_VALUE"""),"GeneralLedger")</f>
        <v>GeneralLedger</v>
      </c>
      <c r="B163" t="str">
        <f ca="1">IFERROR(__xludf.DUMMYFUNCTION("""COMPUTED_VALUE"""),"RunRevaluation")</f>
        <v>RunRevaluation</v>
      </c>
      <c r="C163" t="str">
        <f ca="1">IFERROR(__xludf.DUMMYFUNCTION("""COMPUTED_VALUE"""),"1HtGttMhZ73FzgJN2ySWB2759VbqKk8jUkzOYmM4w5og")</f>
        <v>1HtGttMhZ73FzgJN2ySWB2759VbqKk8jUkzOYmM4w5og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IFERROR(__xludf.DUMMYFUNCTION("""COMPUTED_VALUE"""),"CalculateDayEndCash")</f>
        <v>CalculateDayEndCash</v>
      </c>
      <c r="C164" t="str">
        <f ca="1">IFERROR(__xludf.DUMMYFUNCTION("""COMPUTED_VALUE"""),"undefined")</f>
        <v>undefined</v>
      </c>
    </row>
    <row r="165" spans="1:3" ht="15.75" customHeight="1">
      <c r="A165" t="str">
        <f ca="1">IFERROR(__xludf.DUMMYFUNCTION("""COMPUTED_VALUE"""),"Allocation")</f>
        <v>Allocation</v>
      </c>
      <c r="B165" t="str">
        <f ca="1">IFERROR(__xludf.DUMMYFUNCTION("""COMPUTED_VALUE"""),"ExportAllCalculatedPreferTool")</f>
        <v>ExportAllCalculatedPreferTool</v>
      </c>
      <c r="C165" t="str">
        <f ca="1">IFERROR(__xludf.DUMMYFUNCTION("""COMPUTED_VALUE"""),"15QIleRp2-b0IYUI-ehetd2mHyt-4z9syDcieDD2mLxk")</f>
        <v>15QIleRp2-b0IYUI-ehetd2mHyt-4z9syDcieDD2mLxk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IFERROR(__xludf.DUMMYFUNCTION("""COMPUTED_VALUE"""),"OpenAuditTrailAllocatedGroup")</f>
        <v>OpenAuditTrailAllocatedGroup</v>
      </c>
      <c r="C166" t="str">
        <f ca="1">IFERROR(__xludf.DUMMYFUNCTION("""COMPUTED_VALUE"""),"17oz5gRqUlS1UN4BHGRtOuPthFZ-IDInTSHds76IppLU")</f>
        <v>17oz5gRqUlS1UN4BHGRtOuPthFZ-IDInTSHds76IppLU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IFERROR(__xludf.DUMMYFUNCTION("""COMPUTED_VALUE"""),"OpenSymbolLookupUnallocateGroup")</f>
        <v>OpenSymbolLookupUnallocateGroup</v>
      </c>
      <c r="C167" t="str">
        <f ca="1">IFERROR(__xludf.DUMMYFUNCTION("""COMPUTED_VALUE"""),"1y2rmoKWRJ1cRiz5LhFrNvh7MxgCR7p_qT0aPh70qR8A")</f>
        <v>1y2rmoKWRJ1cRiz5LhFrNvh7MxgCR7p_qT0aPh70qR8A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IFERROR(__xludf.DUMMYFUNCTION("""COMPUTED_VALUE"""),"OpenSymbolLookupAllocatedGroup")</f>
        <v>OpenSymbolLookupAllocatedGroup</v>
      </c>
      <c r="C168" t="str">
        <f ca="1">IFERROR(__xludf.DUMMYFUNCTION("""COMPUTED_VALUE"""),"1t9Nth6tICUr2n4BxjLmx_IVSI_93_xKyvYiTFrlGCz8")</f>
        <v>1t9Nth6tICUr2n4BxjLmx_IVSI_93_xKyvYiTFrlGCz8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IFERROR(__xludf.DUMMYFUNCTION("""COMPUTED_VALUE"""),"DeleteFixedPreference")</f>
        <v>DeleteFixedPreference</v>
      </c>
      <c r="C169" t="str">
        <f ca="1">IFERROR(__xludf.DUMMYFUNCTION("""COMPUTED_VALUE"""),"1gGOAdMStsDesMjBSr8g-_5lpVc1kvIy1BnuZTTjh640")</f>
        <v>1gGOAdMStsDesMjBSr8g-_5lpVc1kvIy1BnuZTTjh640</v>
      </c>
    </row>
    <row r="170" spans="1:3" ht="15.75" customHeight="1">
      <c r="A170" t="str">
        <f ca="1">IFERROR(__xludf.DUMMYFUNCTION("""COMPUTED_VALUE"""),"Blotter")</f>
        <v>Blotter</v>
      </c>
      <c r="B170" t="str">
        <f ca="1">IFERROR(__xludf.DUMMYFUNCTION("""COMPUTED_VALUE"""),"TransferToUserSubOrder")</f>
        <v>TransferToUserSubOrder</v>
      </c>
      <c r="C170" t="str">
        <f ca="1">IFERROR(__xludf.DUMMYFUNCTION("""COMPUTED_VALUE"""),"1QiiEz0ySEy6vxI_FQW0Oyptltoie_Q00dftKZnSh6Xo")</f>
        <v>1QiiEz0ySEy6vxI_FQW0Oyptltoie_Q00dftKZnSh6Xo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IFERROR(__xludf.DUMMYFUNCTION("""COMPUTED_VALUE"""),"DetailsForAlgoTradeOrder")</f>
        <v>DetailsForAlgoTradeOrder</v>
      </c>
      <c r="C171" t="str">
        <f ca="1">IFERROR(__xludf.DUMMYFUNCTION("""COMPUTED_VALUE"""),"1oBBieGcGJlG7p695WhgxWMljR6UsqhojEOG3y87RCNA")</f>
        <v>1oBBieGcGJlG7p695WhgxWMljR6UsqhojEOG3y87RCNA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IFERROR(__xludf.DUMMYFUNCTION("""COMPUTED_VALUE"""),"AddFillsSubOrder")</f>
        <v>AddFillsSubOrder</v>
      </c>
      <c r="C172" t="str">
        <f ca="1">IFERROR(__xludf.DUMMYFUNCTION("""COMPUTED_VALUE"""),"1wduydFX2YVrARw9VzjjawbwipTCTBcRUuzJf4tubZuk")</f>
        <v>1wduydFX2YVrARw9VzjjawbwipTCTBcRUuzJf4tubZuk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IFERROR(__xludf.DUMMYFUNCTION("""COMPUTED_VALUE"""),"ViewAllocationDetailsSubOrder")</f>
        <v>ViewAllocationDetailsSubOrder</v>
      </c>
      <c r="C173" t="str">
        <f ca="1">IFERROR(__xludf.DUMMYFUNCTION("""COMPUTED_VALUE"""),"1KBzhab8nYOXyv5aSvJP_X5HcdtJfDSEwj6kHJNOyd7g")</f>
        <v>1KBzhab8nYOXyv5aSvJP_X5HcdtJfDSEwj6kHJNOyd7g</v>
      </c>
    </row>
    <row r="174" spans="1:3" ht="15.75" customHeight="1">
      <c r="A174" t="str">
        <f ca="1">IFERROR(__xludf.DUMMYFUNCTION("""COMPUTED_VALUE"""),"GeneralLedger")</f>
        <v>GeneralLedger</v>
      </c>
      <c r="B174" t="str">
        <f ca="1">IFERROR(__xludf.DUMMYFUNCTION("""COMPUTED_VALUE"""),"GetCashTransaction")</f>
        <v>GetCashTransaction</v>
      </c>
      <c r="C174" t="str">
        <f ca="1">IFERROR(__xludf.DUMMYFUNCTION("""COMPUTED_VALUE"""),"1XtDJ7ML3jp88_vzz8ZS2ZKkz67Q7-zPqUij0EbKbbVw")</f>
        <v>1XtDJ7ML3jp88_vzz8ZS2ZKkz67Q7-zPqUij0EbKbbVw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IFERROR(__xludf.DUMMYFUNCTION("""COMPUTED_VALUE"""),"SelectCashTransaction")</f>
        <v>SelectCashTransaction</v>
      </c>
      <c r="C175" t="str">
        <f ca="1">IFERROR(__xludf.DUMMYFUNCTION("""COMPUTED_VALUE"""),"1PBzQjDn-uLpe6lby9ZXs-MQD3z1OdC5dbHW5C5tjNys")</f>
        <v>1PBzQjDn-uLpe6lby9ZXs-MQD3z1OdC5dbHW5C5tjNys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IFERROR(__xludf.DUMMYFUNCTION("""COMPUTED_VALUE"""),"DeleteCashTransaction")</f>
        <v>DeleteCashTransaction</v>
      </c>
      <c r="C176" t="str">
        <f ca="1">IFERROR(__xludf.DUMMYFUNCTION("""COMPUTED_VALUE"""),"1yETEpR6igPFUxBM62AiBHlKOsmKCMX4j30T8LHnQez4")</f>
        <v>1yETEpR6igPFUxBM62AiBHlKOsmKCMX4j30T8LHnQez4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IFERROR(__xludf.DUMMYFUNCTION("""COMPUTED_VALUE"""),"EditCashTransaction")</f>
        <v>EditCashTransaction</v>
      </c>
      <c r="C177" t="str">
        <f ca="1">IFERROR(__xludf.DUMMYFUNCTION("""COMPUTED_VALUE"""),"1D1W6qoo9tkPdR39-aHuoUX0hEX3enZDhH-iIikhQ-d4")</f>
        <v>1D1W6qoo9tkPdR39-aHuoUX0hEX3enZDhH-iIikhQ-d4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IFERROR(__xludf.DUMMYFUNCTION("""COMPUTED_VALUE"""),"AddCashTransaction")</f>
        <v>AddCashTransaction</v>
      </c>
      <c r="C178" t="str">
        <f ca="1">IFERROR(__xludf.DUMMYFUNCTION("""COMPUTED_VALUE"""),"14MqHipTdSRMof0ARtfNiV8fv4gK4AF-d3MPVGJbqOOg")</f>
        <v>14MqHipTdSRMof0ARtfNiV8fv4gK4AF-d3MPVGJbqOOg</v>
      </c>
    </row>
    <row r="179" spans="1:3" ht="15.75" customHeight="1">
      <c r="A179" t="str">
        <f ca="1">IFERROR(__xludf.DUMMYFUNCTION("""COMPUTED_VALUE"""),"Allocation")</f>
        <v>Allocation</v>
      </c>
      <c r="B179" t="str">
        <f ca="1">IFERROR(__xludf.DUMMYFUNCTION("""COMPUTED_VALUE"""),"EditAllocatedGroupSidePanel")</f>
        <v>EditAllocatedGroupSidePanel</v>
      </c>
      <c r="C179" t="str">
        <f ca="1">IFERROR(__xludf.DUMMYFUNCTION("""COMPUTED_VALUE"""),"1kUWbSeRq9Kx5kPYaxJm_KewmivDpsFoMfKu4VV30Pk4")</f>
        <v>1kUWbSeRq9Kx5kPYaxJm_KewmivDpsFoMfKu4VV30Pk4</v>
      </c>
    </row>
    <row r="180" spans="1:3" ht="15.75" customHeight="1">
      <c r="A180" t="str">
        <f ca="1">IFERROR(__xludf.DUMMYFUNCTION("""COMPUTED_VALUE"""),"DailyValuation")</f>
        <v>DailyValuation</v>
      </c>
      <c r="B180" t="str">
        <f ca="1">IFERROR(__xludf.DUMMYFUNCTION("""COMPUTED_VALUE"""),"GetMarkPriceData")</f>
        <v>GetMarkPriceData</v>
      </c>
      <c r="C180" t="str">
        <f ca="1">IFERROR(__xludf.DUMMYFUNCTION("""COMPUTED_VALUE"""),"1RptNgMr45cdFNddv6ho18s5DwPSwPTj9mRVC_7reYCI")</f>
        <v>1RptNgMr45cdFNddv6ho18s5DwPSwPTj9mRVC_7reYCI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IFERROR(__xludf.DUMMYFUNCTION("""COMPUTED_VALUE"""),"GetForwardPoints")</f>
        <v>GetForwardPoints</v>
      </c>
      <c r="C181" t="str">
        <f ca="1">IFERROR(__xludf.DUMMYFUNCTION("""COMPUTED_VALUE"""),"1Cq-hHSaleyn2gy_6GB9xJjU_0ugTIVRARiAM0FHa4G4")</f>
        <v>1Cq-hHSaleyn2gy_6GB9xJjU_0ugTIVRARiAM0FHa4G4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IFERROR(__xludf.DUMMYFUNCTION("""COMPUTED_VALUE"""),"UpdateForwardPoints")</f>
        <v>UpdateForwardPoints</v>
      </c>
      <c r="C182" t="str">
        <f ca="1">IFERROR(__xludf.DUMMYFUNCTION("""COMPUTED_VALUE"""),"1Oq2bmcs_t2fkEsKLzwvjEZy9j_SFxZTCU_MxNUYYftw")</f>
        <v>1Oq2bmcs_t2fkEsKLzwvjEZy9j_SFxZTCU_MxNUYYftw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IFERROR(__xludf.DUMMYFUNCTION("""COMPUTED_VALUE"""),"GetForexConversion")</f>
        <v>GetForexConversion</v>
      </c>
      <c r="C183" t="str">
        <f ca="1">IFERROR(__xludf.DUMMYFUNCTION("""COMPUTED_VALUE"""),"1iHIPELmTNvhvWXMn6bOxUFX6JiD1ejHId3xi2Chht4k")</f>
        <v>1iHIPELmTNvhvWXMn6bOxUFX6JiD1ejHId3xi2Chht4k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IFERROR(__xludf.DUMMYFUNCTION("""COMPUTED_VALUE"""),"DeleteNAV")</f>
        <v>DeleteNAV</v>
      </c>
      <c r="C184" t="str">
        <f ca="1">IFERROR(__xludf.DUMMYFUNCTION("""COMPUTED_VALUE"""),"1lbgb_8jmoEdzuZuuHQvH10vIWlHiLnPqYC_Wr0DhESU")</f>
        <v>1lbgb_8jmoEdzuZuuHQvH10vIWlHiLnPqYC_Wr0DhESU</v>
      </c>
    </row>
    <row r="185" spans="1:3" ht="15.75" customHeight="1">
      <c r="A185" t="str">
        <f ca="1">IFERROR(__xludf.DUMMYFUNCTION("""COMPUTED_VALUE"""),"Allocation")</f>
        <v>Allocation</v>
      </c>
      <c r="B185" t="str">
        <f ca="1">IFERROR(__xludf.DUMMYFUNCTION("""COMPUTED_VALUE"""),"CheckUnallocatedGroups")</f>
        <v>CheckUnallocatedGroups</v>
      </c>
      <c r="C185" t="str">
        <f ca="1">IFERROR(__xludf.DUMMYFUNCTION("""COMPUTED_VALUE"""),"1jZnY_CVhLzzmvKxfBfsxnLwZf2RtWZ-MN3Y1uF1_amI")</f>
        <v>1jZnY_CVhLzzmvKxfBfsxnLwZf2RtWZ-MN3Y1uF1_amI</v>
      </c>
    </row>
    <row r="186" spans="1:3" ht="15.75" customHeight="1">
      <c r="A186" t="str">
        <f ca="1">IFERROR(__xludf.DUMMYFUNCTION("""COMPUTED_VALUE"""),"DailyValuation")</f>
        <v>DailyValuation</v>
      </c>
      <c r="B186" t="str">
        <f ca="1">IFERROR(__xludf.DUMMYFUNCTION("""COMPUTED_VALUE"""),"GetDailyCash")</f>
        <v>GetDailyCash</v>
      </c>
      <c r="C186" t="str">
        <f ca="1">IFERROR(__xludf.DUMMYFUNCTION("""COMPUTED_VALUE"""),"16r-C2L02qnRI38CHZDWyOaetsSHUu2Mw793g1tvpIpI")</f>
        <v>16r-C2L02qnRI38CHZDWyOaetsSHUu2Mw793g1tvpIpI</v>
      </c>
    </row>
    <row r="187" spans="1:3" ht="15.75" customHeight="1">
      <c r="A187" t="str">
        <f ca="1">IFERROR(__xludf.DUMMYFUNCTION("""COMPUTED_VALUE"""),"Allocation")</f>
        <v>Allocation</v>
      </c>
      <c r="B187" t="str">
        <f ca="1">IFERROR(__xludf.DUMMYFUNCTION("""COMPUTED_VALUE"""),"SetGeneralPreferences")</f>
        <v>SetGeneralPreferences</v>
      </c>
      <c r="C187" t="str">
        <f ca="1">IFERROR(__xludf.DUMMYFUNCTION("""COMPUTED_VALUE"""),"1ePZEjBZd78YQP-rq7AZFlzyArb7-YiwdeghwSAv1QlQ")</f>
        <v>1ePZEjBZd78YQP-rq7AZFlzyArb7-YiwdeghwSAv1QlQ</v>
      </c>
    </row>
    <row r="188" spans="1:3" ht="15.75" customHeight="1">
      <c r="A188" t="str">
        <f ca="1">IFERROR(__xludf.DUMMYFUNCTION("""COMPUTED_VALUE"""),"DailyValuation")</f>
        <v>DailyValuation</v>
      </c>
      <c r="B188" t="str">
        <f ca="1">IFERROR(__xludf.DUMMYFUNCTION("""COMPUTED_VALUE"""),"GetDailyBeta")</f>
        <v>GetDailyBeta</v>
      </c>
      <c r="C188" t="str">
        <f ca="1">IFERROR(__xludf.DUMMYFUNCTION("""COMPUTED_VALUE"""),"1B79uMruccnGWeGKALTAflbLgHoMXm1IgdX2B8Ucqa_E")</f>
        <v>1B79uMruccnGWeGKALTAflbLgHoMXm1IgdX2B8Ucqa_E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IFERROR(__xludf.DUMMYFUNCTION("""COMPUTED_VALUE"""),"GetDailyVolatility")</f>
        <v>GetDailyVolatility</v>
      </c>
      <c r="C189" t="str">
        <f ca="1">IFERROR(__xludf.DUMMYFUNCTION("""COMPUTED_VALUE"""),"1Hh6sSW8e_VVZ4DVVE4zBjNugoxSDhpdBZCruEQChFf8")</f>
        <v>1Hh6sSW8e_VVZ4DVVE4zBjNugoxSDhpdBZCruEQChFf8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IFERROR(__xludf.DUMMYFUNCTION("""COMPUTED_VALUE"""),"GetDailyDividendYield")</f>
        <v>GetDailyDividendYield</v>
      </c>
      <c r="C190" t="str">
        <f ca="1">IFERROR(__xludf.DUMMYFUNCTION("""COMPUTED_VALUE"""),"1gY9-2YPNtL77s9k_cntAIjcR9cq3Aahrrl2WXL_o5JU")</f>
        <v>1gY9-2YPNtL77s9k_cntAIjcR9cq3Aahrrl2WXL_o5JU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IFERROR(__xludf.DUMMYFUNCTION("""COMPUTED_VALUE"""),"GetDailyTradingVolume")</f>
        <v>GetDailyTradingVolume</v>
      </c>
      <c r="C191" t="str">
        <f ca="1">IFERROR(__xludf.DUMMYFUNCTION("""COMPUTED_VALUE"""),"1VrY4VyRfkYkLnvnSm5EtSK4R-X6B5stX3OSYLJ--sME")</f>
        <v>1VrY4VyRfkYkLnvnSm5EtSK4R-X6B5stX3OSYLJ--sME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IFERROR(__xludf.DUMMYFUNCTION("""COMPUTED_VALUE"""),"GetDailyOutstandings")</f>
        <v>GetDailyOutstandings</v>
      </c>
      <c r="C192" t="str">
        <f ca="1">IFERROR(__xludf.DUMMYFUNCTION("""COMPUTED_VALUE"""),"1h06jLu5zeUmctus0uW7-ZesDghsfE-eXkupiTBp1GTI")</f>
        <v>1h06jLu5zeUmctus0uW7-ZesDghsfE-eXkupiTBp1GTI</v>
      </c>
    </row>
    <row r="193" spans="1:3" ht="15.75" customHeight="1">
      <c r="A193" t="str">
        <f ca="1">IFERROR(__xludf.DUMMYFUNCTION("""COMPUTED_VALUE"""),"Allocation")</f>
        <v>Allocation</v>
      </c>
      <c r="B193" t="str">
        <f ca="1">IFERROR(__xludf.DUMMYFUNCTION("""COMPUTED_VALUE"""),"GroupTrades")</f>
        <v>GroupTrades</v>
      </c>
      <c r="C193" t="str">
        <f ca="1">IFERROR(__xludf.DUMMYFUNCTION("""COMPUTED_VALUE"""),"1Mbuj9mSB0c4i0yGl_1-F05ht2jy-nfPK1xSM2UTHLig")</f>
        <v>1Mbuj9mSB0c4i0yGl_1-F05ht2jy-nfPK1xSM2UTHLig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IFERROR(__xludf.DUMMYFUNCTION("""COMPUTED_VALUE"""),"UngroupTrades")</f>
        <v>UngroupTrades</v>
      </c>
      <c r="C194" t="str">
        <f ca="1">IFERROR(__xludf.DUMMYFUNCTION("""COMPUTED_VALUE"""),"1ZaBzwiFzlYN1UVat9gzwJJ5YfnSJsRsvUy8rLjFpzNU")</f>
        <v>1ZaBzwiFzlYN1UVat9gzwJJ5YfnSJsRsvUy8rLjFpzNU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IFERROR(__xludf.DUMMYFUNCTION("""COMPUTED_VALUE"""),"DeleteGroup")</f>
        <v>DeleteGroup</v>
      </c>
      <c r="C195" t="str">
        <f ca="1">IFERROR(__xludf.DUMMYFUNCTION("""COMPUTED_VALUE"""),"1k_SakBuHixRde3N78vqe0Xzz4YbR3PHZgilEIbGSL5g")</f>
        <v>1k_SakBuHixRde3N78vqe0Xzz4YbR3PHZgilEIbGSL5g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IFERROR(__xludf.DUMMYFUNCTION("""COMPUTED_VALUE"""),"CloseOrder")</f>
        <v>CloseOrder</v>
      </c>
      <c r="C196" t="str">
        <f ca="1">IFERROR(__xludf.DUMMYFUNCTION("""COMPUTED_VALUE"""),"1ca-MGgJsOiH6Z4vGqxZxR70qPMVXodr10ZbXlf6JGIc")</f>
        <v>1ca-MGgJsOiH6Z4vGqxZxR70qPMVXodr10ZbXlf6JGIc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IFERROR(__xludf.DUMMYFUNCTION("""COMPUTED_VALUE"""),"Unallocate")</f>
        <v>Unallocate</v>
      </c>
      <c r="C197" t="str">
        <f ca="1">IFERROR(__xludf.DUMMYFUNCTION("""COMPUTED_VALUE"""),"1eDZq-_vllq4jwvwpk9qGnwQUhlb-sFvyFKPBriT2dA0")</f>
        <v>1eDZq-_vllq4jwvwpk9qGnwQUhlb-sFvyFKPBriT2dA0</v>
      </c>
    </row>
    <row r="198" spans="1:3" ht="15.75" customHeight="1">
      <c r="A198" t="str">
        <f ca="1">IFERROR(__xludf.DUMMYFUNCTION("""COMPUTED_VALUE"""),"DailyValuation")</f>
        <v>DailyValuation</v>
      </c>
      <c r="B198" t="str">
        <f ca="1">IFERROR(__xludf.DUMMYFUNCTION("""COMPUTED_VALUE"""),"GetDailyDelta")</f>
        <v>GetDailyDelta</v>
      </c>
      <c r="C198" t="str">
        <f ca="1">IFERROR(__xludf.DUMMYFUNCTION("""COMPUTED_VALUE"""),"10ZMbFQ1IOpiikdz1JBip5lEgKm7K0o73GeMGQw_WWEg")</f>
        <v>10ZMbFQ1IOpiikdz1JBip5lEgKm7K0o73GeMGQw_WWEg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IFERROR(__xludf.DUMMYFUNCTION("""COMPUTED_VALUE"""),"UpdateDailyVolatility")</f>
        <v>UpdateDailyVolatility</v>
      </c>
      <c r="C199" t="str">
        <f ca="1">IFERROR(__xludf.DUMMYFUNCTION("""COMPUTED_VALUE"""),"1MnWSvi2db05ijYL3yxelYbggoKOEB4tqVsGoVuMpo0w")</f>
        <v>1MnWSvi2db05ijYL3yxelYbggoKOEB4tqVsGoVuMpo0w</v>
      </c>
    </row>
    <row r="200" spans="1:3" ht="15.75" customHeight="1">
      <c r="A200" t="str">
        <f ca="1">IFERROR(__xludf.DUMMYFUNCTION("""COMPUTED_VALUE"""),"GeneralLedger")</f>
        <v>GeneralLedger</v>
      </c>
      <c r="B200" t="str">
        <f ca="1">IFERROR(__xludf.DUMMYFUNCTION("""COMPUTED_VALUE"""),"AddOpeningBalanceTransaction")</f>
        <v>AddOpeningBalanceTransaction</v>
      </c>
      <c r="C200" t="str">
        <f ca="1">IFERROR(__xludf.DUMMYFUNCTION("""COMPUTED_VALUE"""),"1uIPzugk4A0Aig_3XINMJZPNbHUDS4zwLVwY3w8ATO1A")</f>
        <v>1uIPzugk4A0Aig_3XINMJZPNbHUDS4zwLVwY3w8ATO1A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IFERROR(__xludf.DUMMYFUNCTION("""COMPUTED_VALUE"""),"AddOpeningBalanceTranItem")</f>
        <v>AddOpeningBalanceTranItem</v>
      </c>
      <c r="C201" t="str">
        <f ca="1">IFERROR(__xludf.DUMMYFUNCTION("""COMPUTED_VALUE"""),"1Sab4sEMPQQmMNnQqMcUWYSJmliLjBODBD5yeMjdFhgU")</f>
        <v>1Sab4sEMPQQmMNnQqMcUWYSJmliLjBODBD5yeMjdFhgU</v>
      </c>
    </row>
    <row r="202" spans="1:3" ht="15.75" customHeight="1">
      <c r="A202" t="str">
        <f ca="1">IFERROR(__xludf.DUMMYFUNCTION("""COMPUTED_VALUE"""),"Blotter")</f>
        <v>Blotter</v>
      </c>
      <c r="B202" t="str">
        <f ca="1">IFERROR(__xludf.DUMMYFUNCTION("""COMPUTED_VALUE"""),"CancelAllSubs")</f>
        <v>CancelAllSubs</v>
      </c>
      <c r="C202" t="str">
        <f ca="1">IFERROR(__xludf.DUMMYFUNCTION("""COMPUTED_VALUE"""),"1k6fme1SUHKxMMvs_7pDlzlHfy6PnCjrD5nr0oUObP8U")</f>
        <v>1k6fme1SUHKxMMvs_7pDlzlHfy6PnCjrD5nr0oUObP8U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IFERROR(__xludf.DUMMYFUNCTION("""COMPUTED_VALUE"""),"CancelSubOrder")</f>
        <v>CancelSubOrder</v>
      </c>
      <c r="C203" t="str">
        <f ca="1">IFERROR(__xludf.DUMMYFUNCTION("""COMPUTED_VALUE"""),"14HgNVXvvWVeYTuof36H_IqNsjK1qZHsSrd3cyWgEV20")</f>
        <v>14HgNVXvvWVeYTuof36H_IqNsjK1qZHsSrd3cyWgEV20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IFERROR(__xludf.DUMMYFUNCTION("""COMPUTED_VALUE"""),"EditStageOrder")</f>
        <v>EditStageOrder</v>
      </c>
      <c r="C204" t="str">
        <f ca="1">IFERROR(__xludf.DUMMYFUNCTION("""COMPUTED_VALUE"""),"16Hd1uBr9TwUlu8l7juEdLBhZkMF9sIopzgucI8_M6iA")</f>
        <v>16Hd1uBr9TwUlu8l7juEdLBhZkMF9sIopzgucI8_M6iA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IFERROR(__xludf.DUMMYFUNCTION("""COMPUTED_VALUE"""),"ReplaceSubOrder")</f>
        <v>ReplaceSubOrder</v>
      </c>
      <c r="C205" t="str">
        <f ca="1">IFERROR(__xludf.DUMMYFUNCTION("""COMPUTED_VALUE"""),"1TmaMB8hutbeWj90tA8b3Zfly3sZMP_h6hEdH1Vbw8YQ")</f>
        <v>1TmaMB8hutbeWj90tA8b3Zfly3sZMP_h6hEdH1Vbw8YQ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IFERROR(__xludf.DUMMYFUNCTION("""COMPUTED_VALUE"""),"SelectTradeWorkingSubsBlotter")</f>
        <v>SelectTradeWorkingSubsBlotter</v>
      </c>
      <c r="C206" t="str">
        <f ca="1">IFERROR(__xludf.DUMMYFUNCTION("""COMPUTED_VALUE"""),"1KOFVOoYgmHTf_Vp-fA_08fGnmaDgawY2_lajm_7uAV0")</f>
        <v>1KOFVOoYgmHTf_Vp-fA_08fGnmaDgawY2_lajm_7uAV0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IFERROR(__xludf.DUMMYFUNCTION("""COMPUTED_VALUE"""),"VerifyAlgoDetails")</f>
        <v>VerifyAlgoDetails</v>
      </c>
      <c r="C207" t="str">
        <f ca="1">IFERROR(__xludf.DUMMYFUNCTION("""COMPUTED_VALUE"""),"1TNUck0SaxrVe5xR-hZVk4IQO60bu8WtnsxDlST8CuB4")</f>
        <v>1TNUck0SaxrVe5xR-hZVk4IQO60bu8WtnsxDlST8CuB4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IFERROR(__xludf.DUMMYFUNCTION("""COMPUTED_VALUE"""),"VerifyTransferToUserOrder")</f>
        <v>VerifyTransferToUserOrder</v>
      </c>
      <c r="C208" t="str">
        <f ca="1">IFERROR(__xludf.DUMMYFUNCTION("""COMPUTED_VALUE"""),"1RJfPl4iaZz8CawEGxaANj1D2x68T9cY77IBiMpcNxdE")</f>
        <v>1RJfPl4iaZz8CawEGxaANj1D2x68T9cY77IBiMpcNxdE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IFERROR(__xludf.DUMMYFUNCTION("""COMPUTED_VALUE"""),"VerifyTransferToUserSubOdr")</f>
        <v>VerifyTransferToUserSubOdr</v>
      </c>
      <c r="C209" t="str">
        <f ca="1">IFERROR(__xludf.DUMMYFUNCTION("""COMPUTED_VALUE"""),"1t1_Ynjuhj9UV5aZ5PabXpZjtlb8IPAP6w8TjgM2lMTw")</f>
        <v>1t1_Ynjuhj9UV5aZ5PabXpZjtlb8IPAP6w8TjgM2lMTw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IFERROR(__xludf.DUMMYFUNCTION("""COMPUTED_VALUE"""),"VerifyTransferToUserWorkSub")</f>
        <v>VerifyTransferToUserWorkSub</v>
      </c>
      <c r="C210" t="str">
        <f ca="1">IFERROR(__xludf.DUMMYFUNCTION("""COMPUTED_VALUE"""),"1vhUDc0WX3V1tKXZUIvTrNaYMrd24jvgTSjWKW12VIPI")</f>
        <v>1vhUDc0WX3V1tKXZUIvTrNaYMrd24jvgTSjWKW12VIPI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IFERROR(__xludf.DUMMYFUNCTION("""COMPUTED_VALUE"""),"SaveLayoutOrderGrid")</f>
        <v>SaveLayoutOrderGrid</v>
      </c>
      <c r="C211" t="str">
        <f ca="1">IFERROR(__xludf.DUMMYFUNCTION("""COMPUTED_VALUE"""),"1s8j1BwTci7OMcEPQGJYSC8jPp4VtA4n-Yv1EB3MBz_4")</f>
        <v>1s8j1BwTci7OMcEPQGJYSC8jPp4VtA4n-Yv1EB3MBz_4</v>
      </c>
    </row>
    <row r="212" spans="1:3" ht="15.75" customHeight="1">
      <c r="A212" t="str">
        <f ca="1">IFERROR(__xludf.DUMMYFUNCTION("""COMPUTED_VALUE"""),"DailyValuation")</f>
        <v>DailyValuation</v>
      </c>
      <c r="B212" t="str">
        <f ca="1">IFERROR(__xludf.DUMMYFUNCTION("""COMPUTED_VALUE"""),"UpdateDividendYield")</f>
        <v>UpdateDividendYield</v>
      </c>
      <c r="C212" t="str">
        <f ca="1">IFERROR(__xludf.DUMMYFUNCTION("""COMPUTED_VALUE"""),"15sjhB-BIRBwi2e-PZX2xfulOXckPcf6kzO8Qb8eIwoc")</f>
        <v>15sjhB-BIRBwi2e-PZX2xfulOXckPcf6kzO8Qb8eIwoc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IFERROR(__xludf.DUMMYFUNCTION("""COMPUTED_VALUE"""),"UpdateTradingVolume")</f>
        <v>UpdateTradingVolume</v>
      </c>
      <c r="C213" t="str">
        <f ca="1">IFERROR(__xludf.DUMMYFUNCTION("""COMPUTED_VALUE"""),"1RHeZAOoia-kMisKWcgjA812Af6pghU20uY-RjYQLua4")</f>
        <v>1RHeZAOoia-kMisKWcgjA812Af6pghU20uY-RjYQLua4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IFERROR(__xludf.DUMMYFUNCTION("""COMPUTED_VALUE"""),"UpdateDailyDelta")</f>
        <v>UpdateDailyDelta</v>
      </c>
      <c r="C214" t="str">
        <f ca="1">IFERROR(__xludf.DUMMYFUNCTION("""COMPUTED_VALUE"""),"1i0BJTtewAm-Tw9RIPRsNXIXxeIT0D0_5hJwPuVXJMZE")</f>
        <v>1i0BJTtewAm-Tw9RIPRsNXIXxeIT0D0_5hJwPuVXJMZE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IFERROR(__xludf.DUMMYFUNCTION("""COMPUTED_VALUE"""),"UpdateDailyOutstandings")</f>
        <v>UpdateDailyOutstandings</v>
      </c>
      <c r="C215" t="str">
        <f ca="1">IFERROR(__xludf.DUMMYFUNCTION("""COMPUTED_VALUE"""),"1-kYes9vmlh0vfUCYsNfMTdRXTFFNaRdAyClm7hnenbI")</f>
        <v>1-kYes9vmlh0vfUCYsNfMTdRXTFFNaRdAyClm7hnenbI</v>
      </c>
    </row>
    <row r="216" spans="1:3" ht="15.75" customHeight="1">
      <c r="A216" t="str">
        <f ca="1">IFERROR(__xludf.DUMMYFUNCTION("""COMPUTED_VALUE"""),"Closing")</f>
        <v>Closing</v>
      </c>
      <c r="B216" t="str">
        <f ca="1">IFERROR(__xludf.DUMMYFUNCTION("""COMPUTED_VALUE"""),"GetDataClosing")</f>
        <v>GetDataClosing</v>
      </c>
      <c r="C216" t="str">
        <f ca="1">IFERROR(__xludf.DUMMYFUNCTION("""COMPUTED_VALUE"""),"1UzMfpwAjUyk9WnDVMZK_kHHxNCMEARLolkuKGsMvvlQ")</f>
        <v>1UzMfpwAjUyk9WnDVMZK_kHHxNCMEARLolkuKGsMvvlQ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IFERROR(__xludf.DUMMYFUNCTION("""COMPUTED_VALUE"""),"ManualClosing")</f>
        <v>ManualClosing</v>
      </c>
      <c r="C217" t="str">
        <f ca="1">IFERROR(__xludf.DUMMYFUNCTION("""COMPUTED_VALUE"""),"1bPGQbk2_mQuUPclWX9ebo3C84Uzf_FF4lQI1RviO-ig")</f>
        <v>1bPGQbk2_mQuUPclWX9ebo3C84Uzf_FF4lQI1RviO-ig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IFERROR(__xludf.DUMMYFUNCTION("""COMPUTED_VALUE"""),"AutomaticClosing")</f>
        <v>AutomaticClosing</v>
      </c>
      <c r="C218" t="str">
        <f ca="1">IFERROR(__xludf.DUMMYFUNCTION("""COMPUTED_VALUE"""),"14r4G7flfRDfDL5-P3iMQM217k7ZhvyyC6VkaMii-MSA")</f>
        <v>14r4G7flfRDfDL5-P3iMQM217k7ZhvyyC6VkaMii-MSA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IFERROR(__xludf.DUMMYFUNCTION("""COMPUTED_VALUE"""),"UnwindClosing")</f>
        <v>UnwindClosing</v>
      </c>
      <c r="C219" t="str">
        <f ca="1">IFERROR(__xludf.DUMMYFUNCTION("""COMPUTED_VALUE"""),"1YhX2eyEmJGcNQA5YDh_ER6IXxAraufNxjQhusZZtfDE")</f>
        <v>1YhX2eyEmJGcNQA5YDh_ER6IXxAraufNxjQhusZZtfDE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IFERROR(__xludf.DUMMYFUNCTION("""COMPUTED_VALUE"""),"VerifyClosedTrades")</f>
        <v>VerifyClosedTrades</v>
      </c>
      <c r="C220" t="str">
        <f ca="1">IFERROR(__xludf.DUMMYFUNCTION("""COMPUTED_VALUE"""),"1OwJkklw75W9NELVVn8TTtgqWys12YDvopxklGMUg1gs")</f>
        <v>1OwJkklw75W9NELVVn8TTtgqWys12YDvopxklGMUg1gs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IFERROR(__xludf.DUMMYFUNCTION("""COMPUTED_VALUE"""),"VerifyLongPositionsGrid")</f>
        <v>VerifyLongPositionsGrid</v>
      </c>
      <c r="C221" t="str">
        <f ca="1">IFERROR(__xludf.DUMMYFUNCTION("""COMPUTED_VALUE"""),"1C_vJ0XpRLIoVnkP8Ssa7QKkkT8eiKc4uvZ3k0DjxIJ8")</f>
        <v>1C_vJ0XpRLIoVnkP8Ssa7QKkkT8eiKc4uvZ3k0DjxIJ8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IFERROR(__xludf.DUMMYFUNCTION("""COMPUTED_VALUE"""),"VerifyShortPositionsGrid")</f>
        <v>VerifyShortPositionsGrid</v>
      </c>
      <c r="C222" t="str">
        <f ca="1">IFERROR(__xludf.DUMMYFUNCTION("""COMPUTED_VALUE"""),"1FJr_xqg8bpvvuCU1y-06ZaNQ1_IdawHi8G8PEuS-o30")</f>
        <v>1FJr_xqg8bpvvuCU1y-06ZaNQ1_IdawHi8G8PEuS-o30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IFERROR(__xludf.DUMMYFUNCTION("""COMPUTED_VALUE"""),"SelectTradeUnexpiredUnsettled")</f>
        <v>SelectTradeUnexpiredUnsettled</v>
      </c>
      <c r="C223" t="str">
        <f ca="1">IFERROR(__xludf.DUMMYFUNCTION("""COMPUTED_VALUE"""),"1fvsrbIVeh6F7h2zh025ZZnnqDf6pcYZ3GPvBxuPsDrc")</f>
        <v>1fvsrbIVeh6F7h2zh025ZZnnqDf6pcYZ3GPvBxuPsDrc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IFERROR(__xludf.DUMMYFUNCTION("""COMPUTED_VALUE"""),"CashSettlementAtCost")</f>
        <v>CashSettlementAtCost</v>
      </c>
      <c r="C224" t="str">
        <f ca="1">IFERROR(__xludf.DUMMYFUNCTION("""COMPUTED_VALUE"""),"1OCYQ4wrJpJL5L_Ip18DPGT1DeOR1xxzBGIYEOk5LpSA")</f>
        <v>1OCYQ4wrJpJL5L_Ip18DPGT1DeOR1xxzBGIYEOk5LpSA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IFERROR(__xludf.DUMMYFUNCTION("""COMPUTED_VALUE"""),"CashSettlementAtZeroPrice")</f>
        <v>CashSettlementAtZeroPrice</v>
      </c>
      <c r="C225" t="str">
        <f ca="1">IFERROR(__xludf.DUMMYFUNCTION("""COMPUTED_VALUE"""),"1HRXWuGd8cyWSKBQ7FgVRSgYWk-8OLdmFUoD2OO_XcY4")</f>
        <v>1HRXWuGd8cyWSKBQ7FgVRSgYWk-8OLdmFUoD2OO_XcY4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IFERROR(__xludf.DUMMYFUNCTION("""COMPUTED_VALUE"""),"CashSettlementAtClosingDtSpotPx")</f>
        <v>CashSettlementAtClosingDtSpotPx</v>
      </c>
      <c r="C226" t="str">
        <f ca="1">IFERROR(__xludf.DUMMYFUNCTION("""COMPUTED_VALUE"""),"1EWxKvjgKPxS1p3L5mKTGqWEZQyH-odwKHKVLJL2Y-Co")</f>
        <v>1EWxKvjgKPxS1p3L5mKTGqWEZQyH-odwKHKVLJL2Y-Co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IFERROR(__xludf.DUMMYFUNCTION("""COMPUTED_VALUE"""),"PhysicalSettlement")</f>
        <v>PhysicalSettlement</v>
      </c>
      <c r="C227" t="str">
        <f ca="1">IFERROR(__xludf.DUMMYFUNCTION("""COMPUTED_VALUE"""),"1PLFOsuaXN90Q3ZzjCbJIGggH5AYI5Shk2Jf79_FITgs")</f>
        <v>1PLFOsuaXN90Q3ZzjCbJIGggH5AYI5Shk2Jf79_FITgs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IFERROR(__xludf.DUMMYFUNCTION("""COMPUTED_VALUE"""),"Expire")</f>
        <v>Expire</v>
      </c>
      <c r="C228" t="str">
        <f ca="1">IFERROR(__xludf.DUMMYFUNCTION("""COMPUTED_VALUE"""),"1WRRZAXso_l9Bm4-7j8y0UvXkHL9BCBtz9sj56-K9AtM")</f>
        <v>1WRRZAXso_l9Bm4-7j8y0UvXkHL9BCBtz9sj56-K9AtM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IFERROR(__xludf.DUMMYFUNCTION("""COMPUTED_VALUE"""),"ExerciseAssignment")</f>
        <v>ExerciseAssignment</v>
      </c>
      <c r="C229" t="str">
        <f ca="1">IFERROR(__xludf.DUMMYFUNCTION("""COMPUTED_VALUE"""),"1g1BVaEiCy91e0eOIZPywKlK9C20A_fuVTn74CuomgXo")</f>
        <v>1g1BVaEiCy91e0eOIZPywKlK9C20A_fuVTn74CuomgXo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IFERROR(__xludf.DUMMYFUNCTION("""COMPUTED_VALUE"""),"ExerciseAssignmentAtZero")</f>
        <v>ExerciseAssignmentAtZero</v>
      </c>
      <c r="C230" t="str">
        <f ca="1">IFERROR(__xludf.DUMMYFUNCTION("""COMPUTED_VALUE"""),"1MXus2Dl8kRugBPD1pvO3zfGi88sVQFeoS4psUcmZsTg")</f>
        <v>1MXus2Dl8kRugBPD1pvO3zfGi88sVQFeoS4psUcmZsTg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IFERROR(__xludf.DUMMYFUNCTION("""COMPUTED_VALUE"""),"SwapExpireAndRollover")</f>
        <v>SwapExpireAndRollover</v>
      </c>
      <c r="C231" t="str">
        <f ca="1">IFERROR(__xludf.DUMMYFUNCTION("""COMPUTED_VALUE"""),"1HIzfUQVJ_cOzGjnP3yqgLnIACwEybqTRWANI1RaCxv0")</f>
        <v>1HIzfUQVJ_cOzGjnP3yqgLnIACwEybqTRWANI1RaCxv0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IFERROR(__xludf.DUMMYFUNCTION("""COMPUTED_VALUE"""),"SwapExpire")</f>
        <v>SwapExpire</v>
      </c>
      <c r="C232" t="str">
        <f ca="1">IFERROR(__xludf.DUMMYFUNCTION("""COMPUTED_VALUE"""),"1lxTKzP48dL11mFrekIoraN52hwBinmP7CaF8hguPiWM")</f>
        <v>1lxTKzP48dL11mFrekIoraN52hwBinmP7CaF8hguPiWM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IFERROR(__xludf.DUMMYFUNCTION("""COMPUTED_VALUE"""),"VerifyExpiredSettledGrid")</f>
        <v>VerifyExpiredSettledGrid</v>
      </c>
      <c r="C233" t="str">
        <f ca="1">IFERROR(__xludf.DUMMYFUNCTION("""COMPUTED_VALUE"""),"1WUeBiSPGJILkMvh3E7poEJPu7NgFhfm_X-Bv_nbGhvY")</f>
        <v>1WUeBiSPGJILkMvh3E7poEJPu7NgFhfm_X-Bv_nbGhvY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IFERROR(__xludf.DUMMYFUNCTION("""COMPUTED_VALUE"""),"VerifyUnExpiredUnSettledGrid")</f>
        <v>VerifyUnExpiredUnSettledGrid</v>
      </c>
      <c r="C234" t="str">
        <f ca="1">IFERROR(__xludf.DUMMYFUNCTION("""COMPUTED_VALUE"""),"1AEUQEHsl7WMqlKjD3Kh_Ol_F5nXx--_NoGMDIdJpFCM")</f>
        <v>1AEUQEHsl7WMqlKjD3Kh_Ol_F5nXx--_NoGMDIdJpFCM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IFERROR(__xludf.DUMMYFUNCTION("""COMPUTED_VALUE"""),"UnWindTradeSettlement")</f>
        <v>UnWindTradeSettlement</v>
      </c>
      <c r="C235" t="str">
        <f ca="1">IFERROR(__xludf.DUMMYFUNCTION("""COMPUTED_VALUE"""),"1Ao_cqiHT0CnAxgKJOfyeANF8k3qUQj3bwMniopb4GSI")</f>
        <v>1Ao_cqiHT0CnAxgKJOfyeANF8k3qUQj3bwMniopb4GSI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IFERROR(__xludf.DUMMYFUNCTION("""COMPUTED_VALUE"""),"CloseOrder")</f>
        <v>CloseOrder</v>
      </c>
      <c r="C236" t="str">
        <f ca="1">IFERROR(__xludf.DUMMYFUNCTION("""COMPUTED_VALUE"""),"1c8KMmhwQfLdxujht3anfEgTTup9gIxKnfAUowkWtZhI")</f>
        <v>1c8KMmhwQfLdxujht3anfEgTTup9gIxKnfAUowkWtZhI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IFERROR(__xludf.DUMMYFUNCTION("""COMPUTED_VALUE"""),"VerifyCloseOrder")</f>
        <v>VerifyCloseOrder</v>
      </c>
      <c r="C237" t="str">
        <f ca="1">IFERROR(__xludf.DUMMYFUNCTION("""COMPUTED_VALUE"""),"1M91igsaDI-w6MNajtvmqeTIOo3T5DRFxUSWpIe8s3h0")</f>
        <v>1M91igsaDI-w6MNajtvmqeTIOo3T5DRFxUSWpIe8s3h0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IFERROR(__xludf.DUMMYFUNCTION("""COMPUTED_VALUE"""),"UnWindCloseOrder")</f>
        <v>UnWindCloseOrder</v>
      </c>
      <c r="C238" t="str">
        <f ca="1">IFERROR(__xludf.DUMMYFUNCTION("""COMPUTED_VALUE"""),"1pDj8oS-Dk1WLeC7qMiFw1U0NacKynRLHpIFPy9MaxGo")</f>
        <v>1pDj8oS-Dk1WLeC7qMiFw1U0NacKynRLHpIFPy9MaxGo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IFERROR(__xludf.DUMMYFUNCTION("""COMPUTED_VALUE"""),"ClosingCleanUp")</f>
        <v>ClosingCleanUp</v>
      </c>
      <c r="C239" t="str">
        <f ca="1">IFERROR(__xludf.DUMMYFUNCTION("""COMPUTED_VALUE"""),"1i1JslBhP31Zla4tutAQ4Tf0NMByxg36_0f7V_mUYwcA")</f>
        <v>1i1JslBhP31Zla4tutAQ4Tf0NMByxg36_0f7V_mUYwcA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IFERROR(__xludf.DUMMYFUNCTION("""COMPUTED_VALUE"""),"CloseClosingUI")</f>
        <v>CloseClosingUI</v>
      </c>
      <c r="C240" t="str">
        <f ca="1">IFERROR(__xludf.DUMMYFUNCTION("""COMPUTED_VALUE"""),"1GZQ2uebZQQWuKTfEz5-dlgHYZVKe6Ipj8nBOf4MtMck")</f>
        <v>1GZQ2uebZQQWuKTfEz5-dlgHYZVKe6Ipj8nBOf4MtMck</v>
      </c>
    </row>
    <row r="241" spans="1:3" ht="15.75" customHeight="1">
      <c r="A241" t="str">
        <f ca="1">IFERROR(__xludf.DUMMYFUNCTION("""COMPUTED_VALUE"""),"GeneralLedger")</f>
        <v>GeneralLedger</v>
      </c>
      <c r="B241" t="str">
        <f ca="1">IFERROR(__xludf.DUMMYFUNCTION("""COMPUTED_VALUE"""),"GetDailyCalculationsData")</f>
        <v>GetDailyCalculationsData</v>
      </c>
      <c r="C241" t="str">
        <f ca="1">IFERROR(__xludf.DUMMYFUNCTION("""COMPUTED_VALUE"""),"16erp9QXlFdytdNJufHM_bDs8J6TmQZ3Pg9GGu_qz9_s")</f>
        <v>16erp9QXlFdytdNJufHM_bDs8J6TmQZ3Pg9GGu_qz9_s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IFERROR(__xludf.DUMMYFUNCTION("""COMPUTED_VALUE"""),"CalculateDailyCalculations")</f>
        <v>CalculateDailyCalculations</v>
      </c>
      <c r="C242" t="str">
        <f ca="1">IFERROR(__xludf.DUMMYFUNCTION("""COMPUTED_VALUE"""),"undefined")</f>
        <v>undefined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IFERROR(__xludf.DUMMYFUNCTION("""COMPUTED_VALUE"""),"EditOpeningBalanceTransaction")</f>
        <v>EditOpeningBalanceTransaction</v>
      </c>
      <c r="C243" t="str">
        <f ca="1">IFERROR(__xludf.DUMMYFUNCTION("""COMPUTED_VALUE"""),"1CwjXkGBAo9VOfBvvNVGJ_h-yA7rNZpKLhof3iB4k0aI")</f>
        <v>1CwjXkGBAo9VOfBvvNVGJ_h-yA7rNZpKLhof3iB4k0aI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IFERROR(__xludf.DUMMYFUNCTION("""COMPUTED_VALUE"""),"EditOpeningBalanceTranItem")</f>
        <v>EditOpeningBalanceTranItem</v>
      </c>
      <c r="C244" t="str">
        <f ca="1">IFERROR(__xludf.DUMMYFUNCTION("""COMPUTED_VALUE"""),"1zfb3DVTi-cYKUc6htaLp-mIIApQcHgai8bGqWBLbwsA")</f>
        <v>1zfb3DVTi-cYKUc6htaLp-mIIApQcHgai8bGqWBLbwsA</v>
      </c>
    </row>
    <row r="245" spans="1:3" ht="15.75" customHeight="1">
      <c r="A245" t="str">
        <f ca="1">IFERROR(__xludf.DUMMYFUNCTION("""COMPUTED_VALUE"""),"DailyValuation")</f>
        <v>DailyValuation</v>
      </c>
      <c r="B245" t="str">
        <f ca="1">IFERROR(__xludf.DUMMYFUNCTION("""COMPUTED_VALUE"""),"UpdateBeta")</f>
        <v>UpdateBeta</v>
      </c>
      <c r="C245" t="str">
        <f ca="1">IFERROR(__xludf.DUMMYFUNCTION("""COMPUTED_VALUE"""),"1YKttwHsdIskNDoo0Sl7HF2DWikROW-KA05qfT3GLIyI")</f>
        <v>1YKttwHsdIskNDoo0Sl7HF2DWikROW-KA05qfT3GLIyI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IFERROR(__xludf.DUMMYFUNCTION("""COMPUTED_VALUE"""),"UpdateNAV")</f>
        <v>UpdateNAV</v>
      </c>
      <c r="C246" t="str">
        <f ca="1">IFERROR(__xludf.DUMMYFUNCTION("""COMPUTED_VALUE"""),"13VcwNlzkLQC7q1GBXVPVQCPQ-H0e_19HCRNWPctUziQ")</f>
        <v>13VcwNlzkLQC7q1GBXVPVQCPQ-H0e_19HCRNWPctUziQ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IFERROR(__xludf.DUMMYFUNCTION("""COMPUTED_VALUE"""),"UpdateDailyCash")</f>
        <v>UpdateDailyCash</v>
      </c>
      <c r="C247" t="str">
        <f ca="1">IFERROR(__xludf.DUMMYFUNCTION("""COMPUTED_VALUE"""),"1YJ2rTp-OqQTGjubvs_cBC6fl0l94pyHI2eaLJzbddS4")</f>
        <v>1YJ2rTp-OqQTGjubvs_cBC6fl0l94pyHI2eaLJzbddS4</v>
      </c>
    </row>
    <row r="248" spans="1:3" ht="15.75" customHeight="1">
      <c r="A248" t="str">
        <f ca="1">IFERROR(__xludf.DUMMYFUNCTION("""COMPUTED_VALUE"""),"GeneralLedger")</f>
        <v>GeneralLedger</v>
      </c>
      <c r="B248" t="str">
        <f ca="1">IFERROR(__xludf.DUMMYFUNCTION("""COMPUTED_VALUE"""),"VerifyDailyCalTransactions")</f>
        <v>VerifyDailyCalTransactions</v>
      </c>
      <c r="C248" t="str">
        <f ca="1">IFERROR(__xludf.DUMMYFUNCTION("""COMPUTED_VALUE"""),"16NpNjtU6cKaQOPSJHZURJsJgQc-UzasF8zesLepx6wk")</f>
        <v>16NpNjtU6cKaQOPSJHZURJsJgQc-UzasF8zesLepx6wk</v>
      </c>
    </row>
    <row r="249" spans="1:3" ht="15.75" customHeight="1">
      <c r="A249" t="str">
        <f ca="1">IFERROR(__xludf.DUMMYFUNCTION("""COMPUTED_VALUE"""),"DailyValuation")</f>
        <v>DailyValuation</v>
      </c>
      <c r="B249" t="str">
        <f ca="1">IFERROR(__xludf.DUMMYFUNCTION("""COMPUTED_VALUE"""),"UpdateDailyCreditLimt")</f>
        <v>UpdateDailyCreditLimt</v>
      </c>
      <c r="C249" t="str">
        <f ca="1">IFERROR(__xludf.DUMMYFUNCTION("""COMPUTED_VALUE"""),"17-JeVJd_vvgAEaabgIZWXp-R-RdEE7HgLgs7YMUnAQM")</f>
        <v>17-JeVJd_vvgAEaabgIZWXp-R-RdEE7HgLgs7YMUnAQM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IFERROR(__xludf.DUMMYFUNCTION("""COMPUTED_VALUE"""),"RemoveDailyCreditLimit")</f>
        <v>RemoveDailyCreditLimit</v>
      </c>
      <c r="C250" t="str">
        <f ca="1">IFERROR(__xludf.DUMMYFUNCTION("""COMPUTED_VALUE"""),"1UILg9fFAqy0FePXsL47QNXPXJq9mm5Wqgiv9cm7emlg")</f>
        <v>1UILg9fFAqy0FePXsL47QNXPXJq9mm5Wqgiv9cm7emlg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IFERROR(__xludf.DUMMYFUNCTION("""COMPUTED_VALUE"""),"RemoveDailyCash")</f>
        <v>RemoveDailyCash</v>
      </c>
      <c r="C251" t="str">
        <f ca="1">IFERROR(__xludf.DUMMYFUNCTION("""COMPUTED_VALUE"""),"1ZbIpSDMavzuEEGnj-wEia66DI4JDF8oyMNhgI--MWO4")</f>
        <v>1ZbIpSDMavzuEEGnj-wEia66DI4JDF8oyMNhgI--MWO4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IFERROR(__xludf.DUMMYFUNCTION("""COMPUTED_VALUE"""),"RemoveNAV")</f>
        <v>RemoveNAV</v>
      </c>
      <c r="C252" t="str">
        <f ca="1">IFERROR(__xludf.DUMMYFUNCTION("""COMPUTED_VALUE"""),"1TyPnk_nqBb3zJ0HQ7yBvaeOcKJERBImSdyGirN4woWM")</f>
        <v>1TyPnk_nqBb3zJ0HQ7yBvaeOcKJERBImSdyGirN4woWM</v>
      </c>
    </row>
    <row r="253" spans="1:3" ht="15.75" customHeight="1">
      <c r="A253" t="str">
        <f ca="1">IFERROR(__xludf.DUMMYFUNCTION("""COMPUTED_VALUE"""),"PortfolioManagement")</f>
        <v>PortfolioManagement</v>
      </c>
      <c r="B253" t="str">
        <f ca="1">IFERROR(__xludf.DUMMYFUNCTION("""COMPUTED_VALUE"""),"FilterPM")</f>
        <v>FilterPM</v>
      </c>
      <c r="C253" t="str">
        <f ca="1">IFERROR(__xludf.DUMMYFUNCTION("""COMPUTED_VALUE"""),"1MlmOyY8HQ3eRBPXhqiNJ8RVpy7nWPF20xBoJtX_QYwY")</f>
        <v>1MlmOyY8HQ3eRBPXhqiNJ8RVpy7nWPF20xBoJtX_QYwY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IFERROR(__xludf.DUMMYFUNCTION("""COMPUTED_VALUE"""),"GroupRowPM")</f>
        <v>GroupRowPM</v>
      </c>
      <c r="C254" t="str">
        <f ca="1">IFERROR(__xludf.DUMMYFUNCTION("""COMPUTED_VALUE"""),"1ClpAx4ud9EHmyYiC_EG7H8WiHylHjv_EGWFXAjvTdkA")</f>
        <v>1ClpAx4ud9EHmyYiC_EG7H8WiHylHjv_EGWFXAjvTdkA</v>
      </c>
    </row>
    <row r="255" spans="1:3" ht="15.75" customHeight="1">
      <c r="A255" t="str">
        <f ca="1">IFERROR(__xludf.DUMMYFUNCTION("""COMPUTED_VALUE"""),"Allocation")</f>
        <v>Allocation</v>
      </c>
      <c r="B255" t="str">
        <f ca="1">IFERROR(__xludf.DUMMYFUNCTION("""COMPUTED_VALUE"""),"CloseAllocation")</f>
        <v>CloseAllocation</v>
      </c>
      <c r="C255" t="str">
        <f ca="1">IFERROR(__xludf.DUMMYFUNCTION("""COMPUTED_VALUE"""),"undefined")</f>
        <v>undefined</v>
      </c>
    </row>
    <row r="256" spans="1:3" ht="15.75" customHeight="1">
      <c r="A256" t="str">
        <f ca="1">IFERROR(__xludf.DUMMYFUNCTION("""COMPUTED_VALUE"""),"PortfolioManagement")</f>
        <v>PortfolioManagement</v>
      </c>
      <c r="B256" t="str">
        <f ca="1">IFERROR(__xludf.DUMMYFUNCTION("""COMPUTED_VALUE"""),"CheckDashboardWithPM")</f>
        <v>CheckDashboardWithPM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IFERROR(__xludf.DUMMYFUNCTION("""COMPUTED_VALUE"""),"RemoveFilterPM")</f>
        <v>RemoveFilterPM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IFERROR(__xludf.DUMMYFUNCTION("""COMPUTED_VALUE"""),"CheckSummaryRowsPM")</f>
        <v>CheckSummaryRowsPM</v>
      </c>
      <c r="C258" t="str">
        <f ca="1">IFERROR(__xludf.DUMMYFUNCTION("""COMPUTED_VALUE"""),"1kq-ZMRgpBT_3Nxea55HQM_-j9azo4L4iB-CuzUAPPFE")</f>
        <v>1kq-ZMRgpBT_3Nxea55HQM_-j9azo4L4iB-CuzUAPPFE</v>
      </c>
    </row>
    <row r="259" spans="1:3" ht="15.75" customHeight="1">
      <c r="A259" t="str">
        <f ca="1">IFERROR(__xludf.DUMMYFUNCTION("""COMPUTED_VALUE"""),"GeneralLedger")</f>
        <v>GeneralLedger</v>
      </c>
      <c r="B259" t="str">
        <f ca="1">IFERROR(__xludf.DUMMYFUNCTION("""COMPUTED_VALUE"""),"CloseGeneralLedger")</f>
        <v>CloseGeneralLedger</v>
      </c>
      <c r="C259" t="str">
        <f ca="1">IFERROR(__xludf.DUMMYFUNCTION("""COMPUTED_VALUE"""),"undefined")</f>
        <v>undefined</v>
      </c>
    </row>
    <row r="260" spans="1:3" ht="15.75" customHeight="1">
      <c r="A260" t="str">
        <f ca="1">IFERROR(__xludf.DUMMYFUNCTION("""COMPUTED_VALUE"""),"Blotter")</f>
        <v>Blotter</v>
      </c>
      <c r="B260" t="str">
        <f ca="1">IFERROR(__xludf.DUMMYFUNCTION("""COMPUTED_VALUE"""),"ReplaceStageOrder")</f>
        <v>ReplaceStageOrder</v>
      </c>
      <c r="C260" t="str">
        <f ca="1">IFERROR(__xludf.DUMMYFUNCTION("""COMPUTED_VALUE"""),"1370sSwJ_VXgmhdmb3pCQcTlcU3ztmzTYc6vPoS-I2Rs")</f>
        <v>1370sSwJ_VXgmhdmb3pCQcTlcU3ztmzTYc6vPoS-I2Rs</v>
      </c>
    </row>
    <row r="261" spans="1:3" ht="15.75" customHeight="1">
      <c r="A261" t="str">
        <f ca="1">IFERROR(__xludf.DUMMYFUNCTION("""COMPUTED_VALUE"""),"GeneralLedger")</f>
        <v>GeneralLedger</v>
      </c>
      <c r="B261" t="str">
        <f ca="1">IFERROR(__xludf.DUMMYFUNCTION("""COMPUTED_VALUE"""),"VerifyAccountDetails")</f>
        <v>VerifyAccountDetails</v>
      </c>
      <c r="C261" t="str">
        <f ca="1">IFERROR(__xludf.DUMMYFUNCTION("""COMPUTED_VALUE"""),"1lsg_0uEXu3HH4_A9LuYRNenlpBwd4sjxTjFB8xlzdDw")</f>
        <v>1lsg_0uEXu3HH4_A9LuYRNenlpBwd4sjxTjFB8xlzdDw</v>
      </c>
    </row>
    <row r="262" spans="1:3" ht="15.75" customHeight="1">
      <c r="A262" t="str">
        <f ca="1">IFERROR(__xludf.DUMMYFUNCTION("""COMPUTED_VALUE"""),"TradingTicket")</f>
        <v>TradingTicket</v>
      </c>
      <c r="B262" t="str">
        <f ca="1">IFERROR(__xludf.DUMMYFUNCTION("""COMPUTED_VALUE"""),"CreateNewSubOrder")</f>
        <v>CreateNewSubOrder</v>
      </c>
      <c r="C262" t="str">
        <f ca="1">IFERROR(__xludf.DUMMYFUNCTION("""COMPUTED_VALUE"""),"1oyvNRFVoJU95KpNy7o_IiQMZgNHP-Bi2KEpSlqaCnyg")</f>
        <v>1oyvNRFVoJU95KpNy7o_IiQMZgNHP-Bi2KEpSlqaCnyg</v>
      </c>
    </row>
    <row r="263" spans="1:3" ht="15.75" customHeight="1">
      <c r="A263" t="str">
        <f ca="1">IFERROR(__xludf.DUMMYFUNCTION("""COMPUTED_VALUE"""),"CreateTransaction")</f>
        <v>CreateTransaction</v>
      </c>
      <c r="B263" t="str">
        <f ca="1">IFERROR(__xludf.DUMMYFUNCTION("""COMPUTED_VALUE"""),"AddNewTransaction")</f>
        <v>AddNewTransaction</v>
      </c>
      <c r="C263" t="str">
        <f ca="1">IFERROR(__xludf.DUMMYFUNCTION("""COMPUTED_VALUE"""),"16Eh72qrKHascPtbWrHTlOLhfJHGfR4IZFDSlCSLxmSI")</f>
        <v>16Eh72qrKHascPtbWrHTlOLhfJHGfR4IZFDSlCSLxmSI</v>
      </c>
    </row>
    <row r="264" spans="1:3" ht="15.75" customHeight="1">
      <c r="A264" t="str">
        <f ca="1">IFERROR(__xludf.DUMMYFUNCTION("""COMPUTED_VALUE"""),"TradingTicket")</f>
        <v>TradingTicket</v>
      </c>
      <c r="B264" t="str">
        <f ca="1">IFERROR(__xludf.DUMMYFUNCTION("""COMPUTED_VALUE"""),"TradeBloomberg")</f>
        <v>TradeBloomberg</v>
      </c>
      <c r="C264" t="str">
        <f ca="1">IFERROR(__xludf.DUMMYFUNCTION("""COMPUTED_VALUE"""),"1vXZOb9hT8U9HvANcidNDzQLV_Rg36UGBldNh3ILbBmc")</f>
        <v>1vXZOb9hT8U9HvANcidNDzQLV_Rg36UGBldNh3ILbBmc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IFERROR(__xludf.DUMMYFUNCTION("""COMPUTED_VALUE"""),"ClickSymbolLookup")</f>
        <v>ClickSymbolLookup</v>
      </c>
      <c r="C265" t="str">
        <f ca="1">IFERROR(__xludf.DUMMYFUNCTION("""COMPUTED_VALUE"""),"1g7stSFk607rGDVIaSnvY-ptgS4CJ0I2p3WOFDCBnziw")</f>
        <v>1g7stSFk607rGDVIaSnvY-ptgS4CJ0I2p3WOFDCBnziw</v>
      </c>
    </row>
    <row r="266" spans="1:3" ht="15.75" customHeight="1">
      <c r="A266" t="str">
        <f ca="1">IFERROR(__xludf.DUMMYFUNCTION("""COMPUTED_VALUE"""),"PricingServer")</f>
        <v>PricingServer</v>
      </c>
      <c r="B266" t="str">
        <f ca="1">IFERROR(__xludf.DUMMYFUNCTION("""COMPUTED_VALUE"""),"RestartPricingServer")</f>
        <v>RestartPricingServer</v>
      </c>
      <c r="C266" t="str">
        <f ca="1">IFERROR(__xludf.DUMMYFUNCTION("""COMPUTED_VALUE"""),"1gWKZIjUhrqy74A-4kOFSr-8X-j7OSRRxzFQf9sOTlOE")</f>
        <v>1gWKZIjUhrqy74A-4kOFSr-8X-j7OSRRxzFQf9sOTlOE</v>
      </c>
    </row>
    <row r="267" spans="1:3" ht="15.75" customHeight="1">
      <c r="A267" t="str">
        <f ca="1">IFERROR(__xludf.DUMMYFUNCTION("""COMPUTED_VALUE"""),"TradeServer")</f>
        <v>TradeServer</v>
      </c>
      <c r="B267" t="str">
        <f ca="1">IFERROR(__xludf.DUMMYFUNCTION("""COMPUTED_VALUE"""),"RestartServer")</f>
        <v>RestartServer</v>
      </c>
      <c r="C267" t="str">
        <f ca="1">IFERROR(__xludf.DUMMYFUNCTION("""COMPUTED_VALUE"""),"1iETb10qf0A-gB4iUOWwuQuOLD_VgfsHyEAJHBA4DoHQ")</f>
        <v>1iETb10qf0A-gB4iUOWwuQuOLD_VgfsHyEAJHBA4DoHQ</v>
      </c>
    </row>
    <row r="268" spans="1:3" ht="15.75" customHeight="1">
      <c r="A268" t="str">
        <f ca="1">IFERROR(__xludf.DUMMYFUNCTION("""COMPUTED_VALUE"""),"PranaClient")</f>
        <v>PranaClient</v>
      </c>
      <c r="B268" t="str">
        <f ca="1">IFERROR(__xludf.DUMMYFUNCTION("""COMPUTED_VALUE"""),"RestartClient")</f>
        <v>RestartClient</v>
      </c>
      <c r="C268" t="str">
        <f ca="1">IFERROR(__xludf.DUMMYFUNCTION("""COMPUTED_VALUE"""),"1S186VaVmLeTBBZvOvfZZkdYDpjAYEEcCLhDbU_-H4AQ")</f>
        <v>1S186VaVmLeTBBZvOvfZZkdYDpjAYEEcCLhDbU_-H4AQ</v>
      </c>
    </row>
    <row r="269" spans="1:3" ht="15.75" customHeight="1">
      <c r="A269" t="str">
        <f ca="1">IFERROR(__xludf.DUMMYFUNCTION("""COMPUTED_VALUE"""),"PTT")</f>
        <v>PTT</v>
      </c>
      <c r="B269" t="str">
        <f ca="1">IFERROR(__xludf.DUMMYFUNCTION("""COMPUTED_VALUE"""),"CalculatePTT")</f>
        <v>CalculatePTT</v>
      </c>
      <c r="C269" t="str">
        <f ca="1">IFERROR(__xludf.DUMMYFUNCTION("""COMPUTED_VALUE"""),"1n-0IidhwMIEAHTljc0dL6DfL_KtwHCHHMmQqIxrt5Pc")</f>
        <v>1n-0IidhwMIEAHTljc0dL6DfL_KtwHCHHMmQqIxrt5Pc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IFERROR(__xludf.DUMMYFUNCTION("""COMPUTED_VALUE"""),"TradeUsingPTT")</f>
        <v>TradeUsingPTT</v>
      </c>
      <c r="C270" t="str">
        <f ca="1">IFERROR(__xludf.DUMMYFUNCTION("""COMPUTED_VALUE"""),"1MwIHIUJiRevw9hWzaIrZ6hjsnxhVBBEDgIyRlYx_JfM")</f>
        <v>1MwIHIUJiRevw9hWzaIrZ6hjsnxhVBBEDgIyRlYx_JfM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IFERROR(__xludf.DUMMYFUNCTION("""COMPUTED_VALUE"""),"StageOrderUsingPTT")</f>
        <v>StageOrderUsingPTT</v>
      </c>
      <c r="C271" t="str">
        <f ca="1">IFERROR(__xludf.DUMMYFUNCTION("""COMPUTED_VALUE"""),"1mGKbjwq4tDR3_X1Fuj7H3rI_B2Ox4KtfLZtHRiQj9VM")</f>
        <v>1mGKbjwq4tDR3_X1Fuj7H3rI_B2Ox4KtfLZtHRiQj9VM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IFERROR(__xludf.DUMMYFUNCTION("""COMPUTED_VALUE"""),"CreateOrderPTT")</f>
        <v>CreateOrderPTT</v>
      </c>
      <c r="C272" t="str">
        <f ca="1">IFERROR(__xludf.DUMMYFUNCTION("""COMPUTED_VALUE"""),"1KTUZ6X5yWioaVe8Cg2I9oK8yVSehu3uyHv4QfqEoHMo")</f>
        <v>1KTUZ6X5yWioaVe8Cg2I9oK8yVSehu3uyHv4QfqEoHMo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IFERROR(__xludf.DUMMYFUNCTION("""COMPUTED_VALUE"""),"TradePTT")</f>
        <v>TradePTT</v>
      </c>
      <c r="C273" t="str">
        <f ca="1">IFERROR(__xludf.DUMMYFUNCTION("""COMPUTED_VALUE"""),"1k8JhAu6jbmkg_8qpzw2AxNXUgP2YlVgQMW_LLIjefgk")</f>
        <v>1k8JhAu6jbmkg_8qpzw2AxNXUgP2YlVgQMW_LLIjefgk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IFERROR(__xludf.DUMMYFUNCTION("""COMPUTED_VALUE"""),"VerifyPTT")</f>
        <v>VerifyPTT</v>
      </c>
      <c r="C274" t="str">
        <f ca="1">IFERROR(__xludf.DUMMYFUNCTION("""COMPUTED_VALUE"""),"1yBlNELKkvQRYYPt6ZAov5fn5DWLS8c3IAyiNqQLdszM")</f>
        <v>1yBlNELKkvQRYYPt6ZAov5fn5DWLS8c3IAyiNqQLdszM</v>
      </c>
    </row>
    <row r="275" spans="1:3" ht="15.75" customHeight="1">
      <c r="A275" t="str">
        <f ca="1">IFERROR(__xludf.DUMMYFUNCTION("""COMPUTED_VALUE"""),"PortfolioManagement")</f>
        <v>PortfolioManagement</v>
      </c>
      <c r="B275" t="str">
        <f ca="1">IFERROR(__xludf.DUMMYFUNCTION("""COMPUTED_VALUE"""),"OpenPTTFromPM")</f>
        <v>OpenPTTFromPM</v>
      </c>
      <c r="C275" t="str">
        <f ca="1">IFERROR(__xludf.DUMMYFUNCTION("""COMPUTED_VALUE"""),"1fbjwLiHWAkTu__5roOILF0s1qjsRTN8icKEJcvGeH8o")</f>
        <v>1fbjwLiHWAkTu__5roOILF0s1qjsRTN8icKEJcvGeH8o</v>
      </c>
    </row>
    <row r="276" spans="1:3" ht="15.75" customHeight="1">
      <c r="A276" t="str">
        <f ca="1">IFERROR(__xludf.DUMMYFUNCTION("""COMPUTED_VALUE"""),"PTT")</f>
        <v>PTT</v>
      </c>
      <c r="B276" t="str">
        <f ca="1">IFERROR(__xludf.DUMMYFUNCTION("""COMPUTED_VALUE"""),"OpenMultiTTFromPTT")</f>
        <v>OpenMultiTTFromPTT</v>
      </c>
      <c r="C276" t="str">
        <f ca="1">IFERROR(__xludf.DUMMYFUNCTION("""COMPUTED_VALUE"""),"1zrf_a-bbRXuVKhhrfdQixq9uC9b8OfysURDh1E9DT6c")</f>
        <v>1zrf_a-bbRXuVKhhrfdQixq9uC9b8OfysURDh1E9DT6c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IFERROR(__xludf.DUMMYFUNCTION("""COMPUTED_VALUE"""),"SelectMultiTT")</f>
        <v>SelectMultiTT</v>
      </c>
      <c r="C277" t="str">
        <f ca="1">IFERROR(__xludf.DUMMYFUNCTION("""COMPUTED_VALUE"""),"1oayAgLduY9MUtfSYRFGUG9RNS9a6iZ8nrakZBxpVSzw")</f>
        <v>1oayAgLduY9MUtfSYRFGUG9RNS9a6iZ8nrakZBxpVSzw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IFERROR(__xludf.DUMMYFUNCTION("""COMPUTED_VALUE"""),"EditMultiTT")</f>
        <v>EditMultiTT</v>
      </c>
      <c r="C278" t="str">
        <f ca="1">IFERROR(__xludf.DUMMYFUNCTION("""COMPUTED_VALUE"""),"1JqpSW4ajOSUcoS5mtjIaM7Hi6ArQs8MMsZLI6lP4uyQ")</f>
        <v>1JqpSW4ajOSUcoS5mtjIaM7Hi6ArQs8MMsZLI6lP4uyQ</v>
      </c>
    </row>
    <row r="279" spans="1:3" ht="15.75" customHeight="1">
      <c r="A279" t="str">
        <f ca="1">IFERROR(__xludf.DUMMYFUNCTION("""COMPUTED_VALUE"""),"MultiTradingTicket")</f>
        <v>MultiTradingTicket</v>
      </c>
      <c r="B279" t="str">
        <f ca="1">IFERROR(__xludf.DUMMYFUNCTION("""COMPUTED_VALUE"""),"EditTradeUsingMTT")</f>
        <v>EditTradeUsingMTT</v>
      </c>
      <c r="C279" t="str">
        <f ca="1">IFERROR(__xludf.DUMMYFUNCTION("""COMPUTED_VALUE"""),"14b_da7R2FSzuGfC2aS_GrFc31XFQ6Z0PhavdHZ7qjeQ")</f>
        <v>14b_da7R2FSzuGfC2aS_GrFc31XFQ6Z0PhavdHZ7qjeQ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IFERROR(__xludf.DUMMYFUNCTION("""COMPUTED_VALUE"""),"SelectTradeUsingMTT")</f>
        <v>SelectTradeUsingMTT</v>
      </c>
      <c r="C280" t="str">
        <f ca="1">IFERROR(__xludf.DUMMYFUNCTION("""COMPUTED_VALUE"""),"1chjNmgT6t6HAgsIjFHHA_HjHXYSib3ypiGcMnTZLj94")</f>
        <v>1chjNmgT6t6HAgsIjFHHA_HjHXYSib3ypiGcMnTZLj94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IFERROR(__xludf.DUMMYFUNCTION("""COMPUTED_VALUE"""),"GetPriceUsingMTT")</f>
        <v>GetPriceUsingMTT</v>
      </c>
      <c r="C281" t="str">
        <f ca="1">IFERROR(__xludf.DUMMYFUNCTION("""COMPUTED_VALUE"""),"1RTzsTQKuw6sSM9Kr5VZsw1wV7gvDAsRrG_wV60tAcas")</f>
        <v>1RTzsTQKuw6sSM9Kr5VZsw1wV7gvDAsRrG_wV60tAcas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IFERROR(__xludf.DUMMYFUNCTION("""COMPUTED_VALUE"""),"DoneAwayUsingMTT")</f>
        <v>DoneAwayUsingMTT</v>
      </c>
      <c r="C282" t="str">
        <f ca="1">IFERROR(__xludf.DUMMYFUNCTION("""COMPUTED_VALUE"""),"1cNSM32G_N5SGvXu6lx-zWkXRAjYljk13sa5ei-vC56o")</f>
        <v>1cNSM32G_N5SGvXu6lx-zWkXRAjYljk13sa5ei-vC56o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IFERROR(__xludf.DUMMYFUNCTION("""COMPUTED_VALUE"""),"SendOrderUsingMTT")</f>
        <v>SendOrderUsingMTT</v>
      </c>
      <c r="C283" t="str">
        <f ca="1">IFERROR(__xludf.DUMMYFUNCTION("""COMPUTED_VALUE"""),"1jLxMpUTr7pXn7Fb2jwwRpn334fPe9S5MRdiVUan3HPQ")</f>
        <v>1jLxMpUTr7pXn7Fb2jwwRpn334fPe9S5MRdiVUan3HPQ</v>
      </c>
    </row>
    <row r="284" spans="1:3" ht="15.75" customHeight="1">
      <c r="A284" t="str">
        <f ca="1">IFERROR(__xludf.DUMMYFUNCTION("""COMPUTED_VALUE"""),"Allocation")</f>
        <v>Allocation</v>
      </c>
      <c r="B284" t="str">
        <f ca="1">IFERROR(__xludf.DUMMYFUNCTION("""COMPUTED_VALUE"""),"UpdateGRAccountValue")</f>
        <v>UpdateGRAccountValue</v>
      </c>
      <c r="C284" t="str">
        <f ca="1">IFERROR(__xludf.DUMMYFUNCTION("""COMPUTED_VALUE"""),"117ijYpKq9WwmtJBvvUq33hYFaZv0aHYbrrtnNPkf9nI")</f>
        <v>117ijYpKq9WwmtJBvvUq33hYFaZv0aHYbrrtnNPkf9nI</v>
      </c>
    </row>
    <row r="285" spans="1:3" ht="15.75" customHeight="1">
      <c r="A285" t="str">
        <f ca="1">IFERROR(__xludf.DUMMYFUNCTION("""COMPUTED_VALUE"""),"MultiTradingTicket")</f>
        <v>MultiTradingTicket</v>
      </c>
      <c r="B285" t="str">
        <f ca="1">IFERROR(__xludf.DUMMYFUNCTION("""COMPUTED_VALUE"""),"BulkChangeTradeDoneAway")</f>
        <v>BulkChangeTradeDoneAway</v>
      </c>
      <c r="C285" t="str">
        <f ca="1">IFERROR(__xludf.DUMMYFUNCTION("""COMPUTED_VALUE"""),"1tdEQ0vUA4N2FN4RAxUzY8nTTCb6wdhcJbAfOmqjdKDQ")</f>
        <v>1tdEQ0vUA4N2FN4RAxUzY8nTTCb6wdhcJbAfOmqjdKDQ</v>
      </c>
    </row>
    <row r="286" spans="1:3" ht="15.75" customHeight="1">
      <c r="A286" t="str">
        <f ca="1">IFERROR(__xludf.DUMMYFUNCTION("""COMPUTED_VALUE"""),"Allocation")</f>
        <v>Allocation</v>
      </c>
      <c r="B286" t="str">
        <f ca="1">IFERROR(__xludf.DUMMYFUNCTION("""COMPUTED_VALUE"""),"UpdateGRStrategyValue")</f>
        <v>UpdateGRStrategyValue</v>
      </c>
      <c r="C286" t="str">
        <f ca="1">IFERROR(__xludf.DUMMYFUNCTION("""COMPUTED_VALUE"""),"132dwq5e7x9R9H3RUwShAPWvGm1jW2l04L5MFSiwJi78")</f>
        <v>132dwq5e7x9R9H3RUwShAPWvGm1jW2l04L5MFSiwJi78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IFERROR(__xludf.DUMMYFUNCTION("""COMPUTED_VALUE"""),"UpdateGRDefaultRule")</f>
        <v>UpdateGRDefaultRule</v>
      </c>
      <c r="C287" t="str">
        <f ca="1">IFERROR(__xludf.DUMMYFUNCTION("""COMPUTED_VALUE"""),"1N9a82N7mPInkiDNxvE007XkrnwKpfi3bTlMOfLUfVaw")</f>
        <v>1N9a82N7mPInkiDNxvE007XkrnwKpfi3bTlMOfLUfVaw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IFERROR(__xludf.DUMMYFUNCTION("""COMPUTED_VALUE"""),"UpdateGeneralRulePref")</f>
        <v>UpdateGeneralRulePref</v>
      </c>
      <c r="C288" t="str">
        <f ca="1">IFERROR(__xludf.DUMMYFUNCTION("""COMPUTED_VALUE"""),"undefined")</f>
        <v>undefined</v>
      </c>
    </row>
    <row r="289" spans="1:3" ht="15.75" customHeight="1">
      <c r="A289" t="str">
        <f ca="1">IFERROR(__xludf.DUMMYFUNCTION("""COMPUTED_VALUE"""),"Blotter")</f>
        <v>Blotter</v>
      </c>
      <c r="B289" t="str">
        <f ca="1">IFERROR(__xludf.DUMMYFUNCTION("""COMPUTED_VALUE"""),"MultiTradingTicketFromBlotter")</f>
        <v>MultiTradingTicketFromBlotter</v>
      </c>
      <c r="C289" t="str">
        <f ca="1">IFERROR(__xludf.DUMMYFUNCTION("""COMPUTED_VALUE"""),"1Jw4b7G1Z0ZXvJiWOGAg2-2iqjR560ENdPTlDh4fHUvc")</f>
        <v>1Jw4b7G1Z0ZXvJiWOGAg2-2iqjR560ENdPTlDh4fHUvc</v>
      </c>
    </row>
    <row r="290" spans="1:3" ht="15.75" customHeight="1">
      <c r="A290" t="str">
        <f ca="1">IFERROR(__xludf.DUMMYFUNCTION("""COMPUTED_VALUE"""),"CleanUp")</f>
        <v>CleanUp</v>
      </c>
      <c r="B290" t="str">
        <f ca="1">IFERROR(__xludf.DUMMYFUNCTION("""COMPUTED_VALUE"""),"DeleteClientData")</f>
        <v>DeleteClientData</v>
      </c>
      <c r="C290" t="str">
        <f ca="1">IFERROR(__xludf.DUMMYFUNCTION("""COMPUTED_VALUE"""),"1QAUh1kMj_54htmyrqxjdQlxiqFvmJ8J6P-K_-Fqss-w")</f>
        <v>1QAUh1kMj_54htmyrqxjdQlxiqFvmJ8J6P-K_-Fqss-w</v>
      </c>
    </row>
    <row r="291" spans="1:3" ht="15.75" customHeight="1">
      <c r="A291" t="str">
        <f ca="1">IFERROR(__xludf.DUMMYFUNCTION("""COMPUTED_VALUE"""),"Allocation")</f>
        <v>Allocation</v>
      </c>
      <c r="B291" t="str">
        <f ca="1">IFERROR(__xludf.DUMMYFUNCTION("""COMPUTED_VALUE"""),"ModifyGRPreferenceValues")</f>
        <v>ModifyGRPreferenceValues</v>
      </c>
      <c r="C291" t="str">
        <f ca="1">IFERROR(__xludf.DUMMYFUNCTION("""COMPUTED_VALUE"""),"undefined")</f>
        <v>undefined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IFERROR(__xludf.DUMMYFUNCTION("""COMPUTED_VALUE"""),"AddMFPreferences")</f>
        <v>AddMFPreferences</v>
      </c>
      <c r="C292" t="str">
        <f ca="1">IFERROR(__xludf.DUMMYFUNCTION("""COMPUTED_VALUE"""),"1M_FLEr6e22HBx7IQl8kV2NusNgjLGQvah8H14hifRkI")</f>
        <v>1M_FLEr6e22HBx7IQl8kV2NusNgjLGQvah8H14hifRkI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IFERROR(__xludf.DUMMYFUNCTION("""COMPUTED_VALUE"""),"AddMFPreferenceToolbar")</f>
        <v>AddMFPreferenceToolbar</v>
      </c>
      <c r="C293" t="str">
        <f ca="1">IFERROR(__xludf.DUMMYFUNCTION("""COMPUTED_VALUE"""),"1PYN_ipgl8XummI4ut80O5TxWYml1LI7YKYLZE4fAMjU")</f>
        <v>1PYN_ipgl8XummI4ut80O5TxWYml1LI7YKYLZE4fAMjU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IFERROR(__xludf.DUMMYFUNCTION("""COMPUTED_VALUE"""),"DeleteMFPreferences")</f>
        <v>DeleteMFPreferences</v>
      </c>
      <c r="C294" t="str">
        <f ca="1">IFERROR(__xludf.DUMMYFUNCTION("""COMPUTED_VALUE"""),"1W6g2r_d5Feoz-y2Su9u0dgDWFcbD9-4S1KRgk2UfxFA")</f>
        <v>1W6g2r_d5Feoz-y2Su9u0dgDWFcbD9-4S1KRgk2UfxFA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IFERROR(__xludf.DUMMYFUNCTION("""COMPUTED_VALUE"""),"DeleteMFPreferenceToolbar")</f>
        <v>DeleteMFPreferenceToolbar</v>
      </c>
      <c r="C295" t="str">
        <f ca="1">IFERROR(__xludf.DUMMYFUNCTION("""COMPUTED_VALUE"""),"1cZNS3kDcO7VYl26Huql-4phO2r-_ZrqLGre466WODbA")</f>
        <v>1cZNS3kDcO7VYl26Huql-4phO2r-_ZrqLGre466WODbA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IFERROR(__xludf.DUMMYFUNCTION("""COMPUTED_VALUE"""),"RenameMFPreferences")</f>
        <v>RenameMFPreferences</v>
      </c>
      <c r="C296" t="str">
        <f ca="1">IFERROR(__xludf.DUMMYFUNCTION("""COMPUTED_VALUE"""),"1ystb-FslRwNicLiDd8lAs6a6byTsbfFWFoiim2zgYPw")</f>
        <v>1ystb-FslRwNicLiDd8lAs6a6byTsbfFWFoiim2zgYPw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IFERROR(__xludf.DUMMYFUNCTION("""COMPUTED_VALUE"""),"SaveCloseMFPreference")</f>
        <v>SaveCloseMFPreference</v>
      </c>
      <c r="C297" t="str">
        <f ca="1">IFERROR(__xludf.DUMMYFUNCTION("""COMPUTED_VALUE"""),"undefined")</f>
        <v>undefined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IFERROR(__xludf.DUMMYFUNCTION("""COMPUTED_VALUE"""),"SetMFPrefAccountValues")</f>
        <v>SetMFPrefAccountValues</v>
      </c>
      <c r="C298" t="str">
        <f ca="1">IFERROR(__xludf.DUMMYFUNCTION("""COMPUTED_VALUE"""),"1MTbFLkBDQX_Lu2G0msIDum1Rmj-A7oU-ouidoZvyf_g")</f>
        <v>1MTbFLkBDQX_Lu2G0msIDum1Rmj-A7oU-ouidoZvyf_g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IFERROR(__xludf.DUMMYFUNCTION("""COMPUTED_VALUE"""),"ModifyMFPrefGeneralRuleValues")</f>
        <v>ModifyMFPrefGeneralRuleValues</v>
      </c>
      <c r="C299" t="str">
        <f ca="1">IFERROR(__xludf.DUMMYFUNCTION("""COMPUTED_VALUE"""),"undefined")</f>
        <v>undefined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IFERROR(__xludf.DUMMYFUNCTION("""COMPUTED_VALUE"""),"SetMFPrefStrategyValues")</f>
        <v>SetMFPrefStrategyValues</v>
      </c>
      <c r="C300" t="str">
        <f ca="1">IFERROR(__xludf.DUMMYFUNCTION("""COMPUTED_VALUE"""),"1B9ERzWjdzyr0fHLV5dZFtreFMs7hW-NSYYU_PKoLUWg")</f>
        <v>1B9ERzWjdzyr0fHLV5dZFtreFMs7hW-NSYYU_PKoLUWg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IFERROR(__xludf.DUMMYFUNCTION("""COMPUTED_VALUE"""),"SetMFPrefGeneralRule")</f>
        <v>SetMFPrefGeneralRule</v>
      </c>
      <c r="C301" t="str">
        <f ca="1">IFERROR(__xludf.DUMMYFUNCTION("""COMPUTED_VALUE"""),"1A2pjhbdU0RqqqcBao-_4gv5NnxM46MyMUOmxRm0DWi8")</f>
        <v>1A2pjhbdU0RqqqcBao-_4gv5NnxM46MyMUOmxRm0DWi8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IFERROR(__xludf.DUMMYFUNCTION("""COMPUTED_VALUE"""),"SetMFPrefFundDistribution")</f>
        <v>SetMFPrefFundDistribution</v>
      </c>
      <c r="C302" t="str">
        <f ca="1">IFERROR(__xludf.DUMMYFUNCTION("""COMPUTED_VALUE"""),"13AQ3tbVAMHVBd_fPky1oSiB84tnTC1szO-VUa9qBigg")</f>
        <v>13AQ3tbVAMHVBd_fPky1oSiB84tnTC1szO-VUa9qBigg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IFERROR(__xludf.DUMMYFUNCTION("""COMPUTED_VALUE"""),"SetMFPreferencesDefaultRule")</f>
        <v>SetMFPreferencesDefaultRule</v>
      </c>
      <c r="C303" t="str">
        <f ca="1">IFERROR(__xludf.DUMMYFUNCTION("""COMPUTED_VALUE"""),"1Hv0Z5ssoqeLvkhuR2HFZzFSNTaTFuJc6FikZf44KOIw")</f>
        <v>1Hv0Z5ssoqeLvkhuR2HFZzFSNTaTFuJc6FikZf44KOIw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IFERROR(__xludf.DUMMYFUNCTION("""COMPUTED_VALUE"""),"SetMFPrefFundDefaultRule")</f>
        <v>SetMFPrefFundDefaultRule</v>
      </c>
      <c r="C304" t="str">
        <f ca="1">IFERROR(__xludf.DUMMYFUNCTION("""COMPUTED_VALUE"""),"19B6YRFRQDZpZLmLuGmVVYdPYGXcNeJN-b7khzCptlTc")</f>
        <v>19B6YRFRQDZpZLmLuGmVVYdPYGXcNeJN-b7khzCptlTc</v>
      </c>
    </row>
    <row r="305" spans="1:3" ht="15.75" customHeight="1">
      <c r="A305" t="str">
        <f ca="1">IFERROR(__xludf.DUMMYFUNCTION("""COMPUTED_VALUE"""),"PTT")</f>
        <v>PTT</v>
      </c>
      <c r="B305" t="str">
        <f ca="1">IFERROR(__xludf.DUMMYFUNCTION("""COMPUTED_VALUE"""),"SetAccountFactor")</f>
        <v>SetAccountFactor</v>
      </c>
      <c r="C305" t="str">
        <f ca="1">IFERROR(__xludf.DUMMYFUNCTION("""COMPUTED_VALUE"""),"1vb9TVD-ohDLuvXO8ZK90_tG89vhQ6x6iCk8S-C2GeEk")</f>
        <v>1vb9TVD-ohDLuvXO8ZK90_tG89vhQ6x6iCk8S-C2GeEk</v>
      </c>
    </row>
    <row r="306" spans="1:3" ht="15.75" customHeight="1">
      <c r="A306" t="str">
        <f ca="1">IFERROR(__xludf.DUMMYFUNCTION("""COMPUTED_VALUE"""),"Allocation")</f>
        <v>Allocation</v>
      </c>
      <c r="B306" t="str">
        <f ca="1">IFERROR(__xludf.DUMMYFUNCTION("""COMPUTED_VALUE"""),"ClearPrefetchFilters")</f>
        <v>ClearPrefetchFilters</v>
      </c>
      <c r="C306" t="str">
        <f ca="1">IFERROR(__xludf.DUMMYFUNCTION("""COMPUTED_VALUE"""),"undefined")</f>
        <v>undefined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IFERROR(__xludf.DUMMYFUNCTION("""COMPUTED_VALUE"""),"ExpandCollapseAllUnallocated")</f>
        <v>ExpandCollapseAllUnallocated</v>
      </c>
      <c r="C307" t="str">
        <f ca="1">IFERROR(__xludf.DUMMYFUNCTION("""COMPUTED_VALUE"""),"1YL6c6rK2NersJZ19X_FPPdb2ndygftjmpIAGUKYOThw")</f>
        <v>1YL6c6rK2NersJZ19X_FPPdb2ndygftjmpIAGUKYOThw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IFERROR(__xludf.DUMMYFUNCTION("""COMPUTED_VALUE"""),"ExpandCollapseAllAllocated")</f>
        <v>ExpandCollapseAllAllocated</v>
      </c>
      <c r="C308" t="str">
        <f ca="1">IFERROR(__xludf.DUMMYFUNCTION("""COMPUTED_VALUE"""),"1-zysK6eTkra8tpeUSlbhLhfLGsQDtZ5wngV6xhW7Y4U")</f>
        <v>1-zysK6eTkra8tpeUSlbhLhfLGsQDtZ5wngV6xhW7Y4U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IFERROR(__xludf.DUMMYFUNCTION("""COMPUTED_VALUE"""),"GenerateCashTransaction")</f>
        <v>GenerateCashTransaction</v>
      </c>
      <c r="C309" t="str">
        <f ca="1">IFERROR(__xludf.DUMMYFUNCTION("""COMPUTED_VALUE"""),"1mNMeBNOJywSPpU7QYU1vURZ42PPw7H8-GNKnam4kgDQ")</f>
        <v>1mNMeBNOJywSPpU7QYU1vURZ42PPw7H8-GNKnam4kgDQ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IFERROR(__xludf.DUMMYFUNCTION("""COMPUTED_VALUE"""),"SaveAllocation")</f>
        <v>SaveAllocation</v>
      </c>
      <c r="C310" t="str">
        <f ca="1">IFERROR(__xludf.DUMMYFUNCTION("""COMPUTED_VALUE"""),"undefined")</f>
        <v>undefined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IFERROR(__xludf.DUMMYFUNCTION("""COMPUTED_VALUE"""),"UnallocateWithOutSave")</f>
        <v>UnallocateWithOutSave</v>
      </c>
      <c r="C311" t="str">
        <f ca="1">IFERROR(__xludf.DUMMYFUNCTION("""COMPUTED_VALUE"""),"1M98UTVz-kOortSquZ3k8yDFCGL0P9mLMaN2q3yEUNuA")</f>
        <v>1M98UTVz-kOortSquZ3k8yDFCGL0P9mLMaN2q3yEUNuA</v>
      </c>
    </row>
    <row r="312" spans="1:3" ht="15.75" customHeight="1">
      <c r="A312" t="str">
        <f ca="1">IFERROR(__xludf.DUMMYFUNCTION("""COMPUTED_VALUE"""),"TradeServer")</f>
        <v>TradeServer</v>
      </c>
      <c r="B312" t="str">
        <f ca="1">IFERROR(__xludf.DUMMYFUNCTION("""COMPUTED_VALUE"""),"UpdateServerConfig")</f>
        <v>UpdateServerConfig</v>
      </c>
      <c r="C312" t="str">
        <f ca="1">IFERROR(__xludf.DUMMYFUNCTION("""COMPUTED_VALUE"""),"1seMhg4iNNOorLVaDP1KLD3-AaBkP6Og_iLfMW-ItgzU")</f>
        <v>1seMhg4iNNOorLVaDP1KLD3-AaBkP6Og_iLfMW-ItgzU</v>
      </c>
    </row>
    <row r="313" spans="1:3" ht="15.75" customHeight="1">
      <c r="A313" t="str">
        <f ca="1">IFERROR(__xludf.DUMMYFUNCTION("""COMPUTED_VALUE"""),"PricingServer")</f>
        <v>PricingServer</v>
      </c>
      <c r="B313" t="str">
        <f ca="1">IFERROR(__xludf.DUMMYFUNCTION("""COMPUTED_VALUE"""),"UpdatePricingConfig")</f>
        <v>UpdatePricingConfig</v>
      </c>
      <c r="C313" t="str">
        <f ca="1">IFERROR(__xludf.DUMMYFUNCTION("""COMPUTED_VALUE"""),"1MvTEQqM11huwRsoXl6xEi3IAzNeJdt61cEuMd9jn3_s")</f>
        <v>1MvTEQqM11huwRsoXl6xEi3IAzNeJdt61cEuMd9jn3_s</v>
      </c>
    </row>
    <row r="314" spans="1:3" ht="15.75" customHeight="1">
      <c r="A314" t="str">
        <f ca="1">IFERROR(__xludf.DUMMYFUNCTION("""COMPUTED_VALUE"""),"Expnl")</f>
        <v>Expnl</v>
      </c>
      <c r="B314" t="str">
        <f ca="1">IFERROR(__xludf.DUMMYFUNCTION("""COMPUTED_VALUE"""),"UpdateExpnlConfig")</f>
        <v>UpdateExpnlConfig</v>
      </c>
      <c r="C314" t="str">
        <f ca="1">IFERROR(__xludf.DUMMYFUNCTION("""COMPUTED_VALUE"""),"18U4mB8u1ZzddTJWR8e10hKB9G2PtkVaCRQs9M6dGmDw")</f>
        <v>18U4mB8u1ZzddTJWR8e10hKB9G2PtkVaCRQs9M6dGmDw</v>
      </c>
    </row>
    <row r="315" spans="1:3" ht="15.75" customHeight="1">
      <c r="A315" t="str">
        <f ca="1">IFERROR(__xludf.DUMMYFUNCTION("""COMPUTED_VALUE"""),"PranaClient")</f>
        <v>PranaClient</v>
      </c>
      <c r="B315" t="str">
        <f ca="1">IFERROR(__xludf.DUMMYFUNCTION("""COMPUTED_VALUE"""),"UpdateClientConfig")</f>
        <v>UpdateClientConfig</v>
      </c>
      <c r="C315" t="str">
        <f ca="1">IFERROR(__xludf.DUMMYFUNCTION("""COMPUTED_VALUE"""),"1bvyqZwTrfgNJws3DmYVHW4MQFzGRa5k8KAaLOGczA1g")</f>
        <v>1bvyqZwTrfgNJws3DmYVHW4MQFzGRa5k8KAaLOGczA1g</v>
      </c>
    </row>
    <row r="316" spans="1:3" ht="15.75" customHeight="1">
      <c r="A316" t="str">
        <f ca="1">IFERROR(__xludf.DUMMYFUNCTION("""COMPUTED_VALUE"""),"PortfolioManagement")</f>
        <v>PortfolioManagement</v>
      </c>
      <c r="B316" t="str">
        <f ca="1">IFERROR(__xludf.DUMMYFUNCTION("""COMPUTED_VALUE"""),"OpenClosingFromPM")</f>
        <v>OpenClosingFromPM</v>
      </c>
      <c r="C316" t="str">
        <f ca="1">IFERROR(__xludf.DUMMYFUNCTION("""COMPUTED_VALUE"""),"undefined")</f>
        <v>undefined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IFERROR(__xludf.DUMMYFUNCTION("""COMPUTED_VALUE"""),"OpenCorporateActionFromPM")</f>
        <v>OpenCorporateActionFromPM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IFERROR(__xludf.DUMMYFUNCTION("""COMPUTED_VALUE"""),"OpenDailyValuationFromPM")</f>
        <v>OpenDailyValuationFromPM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IFERROR(__xludf.DUMMYFUNCTION("""COMPUTED_VALUE"""),"ClosePositionFromPM")</f>
        <v>ClosePositionFromPM</v>
      </c>
      <c r="C319" t="str">
        <f ca="1">IFERROR(__xludf.DUMMYFUNCTION("""COMPUTED_VALUE"""),"1-P8y2jWa8-TgjIAgysm8LiFOFNCawLK6ehtNf8n3g0o")</f>
        <v>1-P8y2jWa8-TgjIAgysm8LiFOFNCawLK6ehtNf8n3g0o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IFERROR(__xludf.DUMMYFUNCTION("""COMPUTED_VALUE"""),"ShowSummaryToolFromPM")</f>
        <v>ShowSummaryToolFromPM</v>
      </c>
      <c r="C320" t="str">
        <f ca="1">IFERROR(__xludf.DUMMYFUNCTION("""COMPUTED_VALUE"""),"undefined")</f>
        <v>undefined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IFERROR(__xludf.DUMMYFUNCTION("""COMPUTED_VALUE"""),"HideSummaryToolFromPM")</f>
        <v>HideSummaryToolFromPM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IFERROR(__xludf.DUMMYFUNCTION("""COMPUTED_VALUE"""),"CloseAccountPositionFromPM")</f>
        <v>CloseAccountPositionFromPM</v>
      </c>
      <c r="C322" t="str">
        <f ca="1">IFERROR(__xludf.DUMMYFUNCTION("""COMPUTED_VALUE"""),"1r4mdKH6xHBGXly0xX_3kfVZnbgFRt6h09CKzb6B2j30")</f>
        <v>1r4mdKH6xHBGXly0xX_3kfVZnbgFRt6h09CKzb6B2j30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IFERROR(__xludf.DUMMYFUNCTION("""COMPUTED_VALUE"""),"CloseSelectedTaxlotsFromPM")</f>
        <v>CloseSelectedTaxlotsFromPM</v>
      </c>
      <c r="C323" t="str">
        <f ca="1">IFERROR(__xludf.DUMMYFUNCTION("""COMPUTED_VALUE"""),"1bepmvkmXtLL4UpGLcjeYXrovfZi8iUwi1A3os0v1Uj0")</f>
        <v>1bepmvkmXtLL4UpGLcjeYXrovfZi8iUwi1A3os0v1Uj0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IFERROR(__xludf.DUMMYFUNCTION("""COMPUTED_VALUE"""),"ExpandCollapsePM")</f>
        <v>ExpandCollapsePM</v>
      </c>
      <c r="C324" t="str">
        <f ca="1">IFERROR(__xludf.DUMMYFUNCTION("""COMPUTED_VALUE"""),"1nPYQhQ-Gpxk7lgLy_GqUcKiz5fcJpQhrTV5bJyY03qc")</f>
        <v>1nPYQhQ-Gpxk7lgLy_GqUcKiz5fcJpQhrTV5bJyY03qc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IFERROR(__xludf.DUMMYFUNCTION("""COMPUTED_VALUE"""),"AddCustomViewPM")</f>
        <v>AddCustomViewPM</v>
      </c>
      <c r="C325" t="str">
        <f ca="1">IFERROR(__xludf.DUMMYFUNCTION("""COMPUTED_VALUE"""),"1NbdvoXzq9bLTUkCX2_gVxCtjCR2kBldnGGw-z1Eim8I")</f>
        <v>1NbdvoXzq9bLTUkCX2_gVxCtjCR2kBldnGGw-z1Eim8I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IFERROR(__xludf.DUMMYFUNCTION("""COMPUTED_VALUE"""),"AddCustomViewRightClickPM")</f>
        <v>AddCustomViewRightClickPM</v>
      </c>
      <c r="C326" t="str">
        <f ca="1">IFERROR(__xludf.DUMMYFUNCTION("""COMPUTED_VALUE"""),"1Q7iif6wWXqCIfSrgSBzoU30gZbMUkNAMhcF68qLMvps")</f>
        <v>1Q7iif6wWXqCIfSrgSBzoU30gZbMUkNAMhcF68qLMvps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IFERROR(__xludf.DUMMYFUNCTION("""COMPUTED_VALUE"""),"RenameCustomViewPM")</f>
        <v>RenameCustomViewPM</v>
      </c>
      <c r="C327" t="str">
        <f ca="1">IFERROR(__xludf.DUMMYFUNCTION("""COMPUTED_VALUE"""),"11-lGY3oTzf5kpgkJM4lHHX32AUcd6BpZ2CU2UsLPpAE")</f>
        <v>11-lGY3oTzf5kpgkJM4lHHX32AUcd6BpZ2CU2UsLPpAE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IFERROR(__xludf.DUMMYFUNCTION("""COMPUTED_VALUE"""),"DeleteCustomViewPM")</f>
        <v>DeleteCustomViewPM</v>
      </c>
      <c r="C328" t="str">
        <f ca="1">IFERROR(__xludf.DUMMYFUNCTION("""COMPUTED_VALUE"""),"1X-gnstY40ismguHxChNKmthJ1G80Q49D37OBmzHA5BM")</f>
        <v>1X-gnstY40ismguHxChNKmthJ1G80Q49D37OBmzHA5BM</v>
      </c>
    </row>
    <row r="329" spans="1:3" ht="15.75" customHeight="1">
      <c r="A329" t="str">
        <f ca="1">IFERROR(__xludf.DUMMYFUNCTION("""COMPUTED_VALUE"""),"Closing")</f>
        <v>Closing</v>
      </c>
      <c r="B329" t="str">
        <f ca="1">IFERROR(__xludf.DUMMYFUNCTION("""COMPUTED_VALUE"""),"SetClosingPreference")</f>
        <v>SetClosingPreference</v>
      </c>
      <c r="C329" t="str">
        <f ca="1">IFERROR(__xludf.DUMMYFUNCTION("""COMPUTED_VALUE"""),"1SBWCGC1qCDElP5xT215lxXFECJmufBKtZhmLiF-uDlE")</f>
        <v>1SBWCGC1qCDElP5xT215lxXFECJmufBKtZhmLiF-uDlE</v>
      </c>
    </row>
    <row r="330" spans="1:3" ht="15.75" customHeight="1">
      <c r="A330" t="str">
        <f ca="1">IFERROR(__xludf.DUMMYFUNCTION("""COMPUTED_VALUE"""),"CreateTransaction")</f>
        <v>CreateTransaction</v>
      </c>
      <c r="B330" t="str">
        <f ca="1">IFERROR(__xludf.DUMMYFUNCTION("""COMPUTED_VALUE"""),"SaveTransaction")</f>
        <v>SaveTransaction</v>
      </c>
      <c r="C330" t="str">
        <f ca="1">IFERROR(__xludf.DUMMYFUNCTION("""COMPUTED_VALUE"""),"undefined")</f>
        <v>undefined</v>
      </c>
    </row>
    <row r="331" spans="1:3" ht="15.75" customHeight="1">
      <c r="A331" t="str">
        <f ca="1">IFERROR(__xludf.DUMMYFUNCTION("""COMPUTED_VALUE"""),"Allocation")</f>
        <v>Allocation</v>
      </c>
      <c r="B331" t="str">
        <f ca="1">IFERROR(__xludf.DUMMYFUNCTION("""COMPUTED_VALUE"""),"EditUnallocatedGrid")</f>
        <v>EditUnallocatedGrid</v>
      </c>
      <c r="C331" t="str">
        <f ca="1">IFERROR(__xludf.DUMMYFUNCTION("""COMPUTED_VALUE"""),"13ZNMuqKcSpAW_MsR69_GoKBz_beluHfFVyViDpUnCkc")</f>
        <v>13ZNMuqKcSpAW_MsR69_GoKBz_beluHfFVyViDpUnCkc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IFERROR(__xludf.DUMMYFUNCTION("""COMPUTED_VALUE"""),"EditAllocatedGrid")</f>
        <v>EditAllocatedGrid</v>
      </c>
      <c r="C332" t="str">
        <f ca="1">IFERROR(__xludf.DUMMYFUNCTION("""COMPUTED_VALUE"""),"1Qe_MB72ABGFy_tC-AtAJSBoOqNECmDnuHW2p--em0xc")</f>
        <v>1Qe_MB72ABGFy_tC-AtAJSBoOqNECmDnuHW2p--em0xc</v>
      </c>
    </row>
    <row r="333" spans="1:3" ht="15.75" customHeight="1">
      <c r="A333" t="str">
        <f ca="1">IFERROR(__xludf.DUMMYFUNCTION("""COMPUTED_VALUE"""),"PTT")</f>
        <v>PTT</v>
      </c>
      <c r="B333" t="str">
        <f ca="1">IFERROR(__xludf.DUMMYFUNCTION("""COMPUTED_VALUE"""),"SetPTTPreference")</f>
        <v>SetPTTPreference</v>
      </c>
      <c r="C333" t="str">
        <f ca="1">IFERROR(__xludf.DUMMYFUNCTION("""COMPUTED_VALUE"""),"1ldeUCvJu8gA2hZDe6NneM5_zHpORs3VIMmFqtZK_zTo")</f>
        <v>1ldeUCvJu8gA2hZDe6NneM5_zHpORs3VIMmFqtZK_zTo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IFERROR(__xludf.DUMMYFUNCTION("""COMPUTED_VALUE"""),"SetLongShortPTTPreference")</f>
        <v>SetLongShortPTTPreference</v>
      </c>
      <c r="C334" t="str">
        <f ca="1">IFERROR(__xludf.DUMMYFUNCTION("""COMPUTED_VALUE"""),"1K6pZbNryz6dksItb7aYYpqHUV4sWPVRsnYGiEZCb6BY")</f>
        <v>1K6pZbNryz6dksItb7aYYpqHUV4sWPVRsnYGiEZCb6BY</v>
      </c>
    </row>
    <row r="335" spans="1:3" ht="15.75" customHeight="1">
      <c r="A335" t="str">
        <f ca="1">IFERROR(__xludf.DUMMYFUNCTION("""COMPUTED_VALUE"""),"TradingTicket")</f>
        <v>TradingTicket</v>
      </c>
      <c r="B335" t="str">
        <f ca="1">IFERROR(__xludf.DUMMYFUNCTION("""COMPUTED_VALUE"""),"VerifyTT")</f>
        <v>VerifyTT</v>
      </c>
      <c r="C335" t="str">
        <f ca="1">IFERROR(__xludf.DUMMYFUNCTION("""COMPUTED_VALUE"""),"1bKhXEya1wodNYLnY1-QcHI_XG3UWZaHQ81HV-TN-5Kc")</f>
        <v>1bKhXEya1wodNYLnY1-QcHI_XG3UWZaHQ81HV-TN-5Kc</v>
      </c>
    </row>
    <row r="336" spans="1:3" ht="15.75" customHeight="1">
      <c r="A336" t="str">
        <f ca="1">IFERROR(__xludf.DUMMYFUNCTION("""COMPUTED_VALUE"""),"Allocation")</f>
        <v>Allocation</v>
      </c>
      <c r="B336" t="str">
        <f ca="1">IFERROR(__xludf.DUMMYFUNCTION("""COMPUTED_VALUE"""),"SaveLayoutAllocatedGrid")</f>
        <v>SaveLayoutAllocatedGrid</v>
      </c>
      <c r="C336" t="str">
        <f ca="1">IFERROR(__xludf.DUMMYFUNCTION("""COMPUTED_VALUE"""),"1aTyf1QMUlY1sd90ATn_Ik7tSnqoJNJ2ORUTgE2CcKVc")</f>
        <v>1aTyf1QMUlY1sd90ATn_Ik7tSnqoJNJ2ORUTgE2CcKVc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IFERROR(__xludf.DUMMYFUNCTION("""COMPUTED_VALUE"""),"SaveLayoutUnallocatedGrid")</f>
        <v>SaveLayoutUnallocatedGrid</v>
      </c>
      <c r="C337" t="str">
        <f ca="1">IFERROR(__xludf.DUMMYFUNCTION("""COMPUTED_VALUE"""),"14EKTplxgrSnZ3LrmPGSsdvC3A1Cn7Gl3iYaLoliVy5c")</f>
        <v>14EKTplxgrSnZ3LrmPGSsdvC3A1Cn7Gl3iYaLoliVy5c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IFERROR(__xludf.DUMMYFUNCTION("""COMPUTED_VALUE"""),"SaveLayoutAllocationUI")</f>
        <v>SaveLayoutAllocationUI</v>
      </c>
      <c r="C338" t="str">
        <f ca="1">IFERROR(__xludf.DUMMYFUNCTION("""COMPUTED_VALUE"""),"1w55ijS0jNdggXMegSAddndubbfCazPcYQ4T-iQXE9-8")</f>
        <v>1w55ijS0jNdggXMegSAddndubbfCazPcYQ4T-iQXE9-8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IFERROR(__xludf.DUMMYFUNCTION("""COMPUTED_VALUE"""),"ClearFiltersAllocatedGrid")</f>
        <v>ClearFiltersAllocatedGrid</v>
      </c>
      <c r="C339" t="str">
        <f ca="1">IFERROR(__xludf.DUMMYFUNCTION("""COMPUTED_VALUE"""),"undefined")</f>
        <v>undefined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IFERROR(__xludf.DUMMYFUNCTION("""COMPUTED_VALUE"""),"ClearFiltersUnallocatedGrid")</f>
        <v>ClearFiltersUnallocatedGrid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IFERROR(__xludf.DUMMYFUNCTION("""COMPUTED_VALUE"""),"VerifyLayoutAllocatedGrid")</f>
        <v>VerifyLayoutAllocatedGrid</v>
      </c>
      <c r="C341" t="str">
        <f ca="1">IFERROR(__xludf.DUMMYFUNCTION("""COMPUTED_VALUE"""),"1Dm60vGCrArH03PZJNSUJF2XSLE8bTZId3GMfDSiNsgE")</f>
        <v>1Dm60vGCrArH03PZJNSUJF2XSLE8bTZId3GMfDSiNsgE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IFERROR(__xludf.DUMMYFUNCTION("""COMPUTED_VALUE"""),"VerifyLayoutUnallocatedGrid")</f>
        <v>VerifyLayoutUnallocatedGrid</v>
      </c>
      <c r="C342" t="str">
        <f ca="1">IFERROR(__xludf.DUMMYFUNCTION("""COMPUTED_VALUE"""),"13oH5Ytu1wVsxt5b13YVUvBPplFK0NO_TK4bRhOZWxN8")</f>
        <v>13oH5Ytu1wVsxt5b13YVUvBPplFK0NO_TK4bRhOZWxN8</v>
      </c>
    </row>
    <row r="343" spans="1:3" ht="15.75" customHeight="1">
      <c r="A343" t="str">
        <f ca="1">IFERROR(__xludf.DUMMYFUNCTION("""COMPUTED_VALUE"""),"DailyValuation")</f>
        <v>DailyValuation</v>
      </c>
      <c r="B343" t="str">
        <f ca="1">IFERROR(__xludf.DUMMYFUNCTION("""COMPUTED_VALUE"""),"UpdateForexConversionMonthly")</f>
        <v>UpdateForexConversionMonthly</v>
      </c>
      <c r="C343" t="str">
        <f ca="1">IFERROR(__xludf.DUMMYFUNCTION("""COMPUTED_VALUE"""),"1TZUZ5-nBzkzBtbjFUoa_EB6_eDzdYjS0ibH5XGYYwAw")</f>
        <v>1TZUZ5-nBzkzBtbjFUoa_EB6_eDzdYjS0ibH5XGYYwAw</v>
      </c>
    </row>
    <row r="344" spans="1:3" ht="15.75" customHeight="1">
      <c r="A344" t="str">
        <f ca="1">IFERROR(__xludf.DUMMYFUNCTION("""COMPUTED_VALUE"""),"GeneralLedger")</f>
        <v>GeneralLedger</v>
      </c>
      <c r="B344" t="str">
        <f ca="1">IFERROR(__xludf.DUMMYFUNCTION("""COMPUTED_VALUE"""),"SaveTransaction")</f>
        <v>SaveTransaction</v>
      </c>
      <c r="C344" t="str">
        <f ca="1">IFERROR(__xludf.DUMMYFUNCTION("""COMPUTED_VALUE"""),"undefined")</f>
        <v>undefined</v>
      </c>
    </row>
    <row r="345" spans="1:3" ht="15.75" customHeight="1">
      <c r="A345" t="str">
        <f ca="1">IFERROR(__xludf.DUMMYFUNCTION("""COMPUTED_VALUE"""),"DailyValuation")</f>
        <v>DailyValuation</v>
      </c>
      <c r="B345" t="str">
        <f ca="1">IFERROR(__xludf.DUMMYFUNCTION("""COMPUTED_VALUE"""),"UpdateMarkPriceMonthly")</f>
        <v>UpdateMarkPriceMonthly</v>
      </c>
      <c r="C345" t="str">
        <f ca="1">IFERROR(__xludf.DUMMYFUNCTION("""COMPUTED_VALUE"""),"1CAqtQbVxh4NllyrMXscZd9EiKnaMKSW-_a9zZtK2ULI")</f>
        <v>1CAqtQbVxh4NllyrMXscZd9EiKnaMKSW-_a9zZtK2ULI</v>
      </c>
    </row>
    <row r="346" spans="1:3" ht="15.75" customHeight="1">
      <c r="A346" t="str">
        <f ca="1">IFERROR(__xludf.DUMMYFUNCTION("""COMPUTED_VALUE"""),"Allocation")</f>
        <v>Allocation</v>
      </c>
      <c r="B346" t="str">
        <f ca="1">IFERROR(__xludf.DUMMYFUNCTION("""COMPUTED_VALUE"""),"CleanUp")</f>
        <v>CleanUp</v>
      </c>
      <c r="C346" t="str">
        <f ca="1">IFERROR(__xludf.DUMMYFUNCTION("""COMPUTED_VALUE"""),"141237jvZTCMRUMwfe0LXJI6_OVqTlCniHe4xfwketxs")</f>
        <v>141237jvZTCMRUMwfe0LXJI6_OVqTlCniHe4xfwketxs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IFERROR(__xludf.DUMMYFUNCTION("""COMPUTED_VALUE"""),"CheckAllocatedTaxlots")</f>
        <v>CheckAllocatedTaxlots</v>
      </c>
      <c r="C347" t="str">
        <f ca="1">IFERROR(__xludf.DUMMYFUNCTION("""COMPUTED_VALUE"""),"1ly27YrdiNWaAup2LCqtlbPCuNU2qHnDVGbGX6s6cAJM")</f>
        <v>1ly27YrdiNWaAup2LCqtlbPCuNU2qHnDVGbGX6s6cAJM</v>
      </c>
    </row>
    <row r="348" spans="1:3" ht="15.75" customHeight="1">
      <c r="A348" t="str">
        <f ca="1">IFERROR(__xludf.DUMMYFUNCTION("""COMPUTED_VALUE"""),"Closing")</f>
        <v>Closing</v>
      </c>
      <c r="B348" t="str">
        <f ca="1">IFERROR(__xludf.DUMMYFUNCTION("""COMPUTED_VALUE"""),"EditTradeUnexpiredUnsettled")</f>
        <v>EditTradeUnexpiredUnsettled</v>
      </c>
      <c r="C348" t="str">
        <f ca="1">IFERROR(__xludf.DUMMYFUNCTION("""COMPUTED_VALUE"""),"1gjlTvz7BOfWSUwRY25-5BkROLuD55WxDrFeD31t9BlQ")</f>
        <v>1gjlTvz7BOfWSUwRY25-5BkROLuD55WxDrFeD31t9BlQ</v>
      </c>
    </row>
    <row r="349" spans="1:3" ht="15.75" customHeight="1">
      <c r="A349" t="str">
        <f ca="1">IFERROR(__xludf.DUMMYFUNCTION("""COMPUTED_VALUE"""),"ThirdParty")</f>
        <v>ThirdParty</v>
      </c>
      <c r="B349" t="str">
        <f ca="1">IFERROR(__xludf.DUMMYFUNCTION("""COMPUTED_VALUE"""),"VerifyThirdPartyView")</f>
        <v>VerifyThirdPartyView</v>
      </c>
      <c r="C349" t="str">
        <f ca="1">IFERROR(__xludf.DUMMYFUNCTION("""COMPUTED_VALUE"""),"1OPgUZqNYhV3KEPmPCahj5p6WvTvcu6yt-IilVEoYdck")</f>
        <v>1OPgUZqNYhV3KEPmPCahj5p6WvTvcu6yt-IilVEoYdck</v>
      </c>
    </row>
    <row r="350" spans="1:3" ht="15.75" customHeight="1">
      <c r="A350" t="str">
        <f ca="1">IFERROR(__xludf.DUMMYFUNCTION("""COMPUTED_VALUE"""),"Compliance")</f>
        <v>Compliance</v>
      </c>
      <c r="B350" t="str">
        <f ca="1">IFERROR(__xludf.DUMMYFUNCTION("""COMPUTED_VALUE"""),"CheckCompliance")</f>
        <v>CheckCompliance</v>
      </c>
      <c r="C350" t="str">
        <f ca="1">IFERROR(__xludf.DUMMYFUNCTION("""COMPUTED_VALUE"""),"1rHjLXpZjBLQM6QWnpXPgAllc-YEEgN3ft01yzOc3Z_k")</f>
        <v>1rHjLXpZjBLQM6QWnpXPgAllc-YEEgN3ft01yzOc3Z_k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IFERROR(__xludf.DUMMYFUNCTION("""COMPUTED_VALUE"""),"VerifyAccountDivisorWindow")</f>
        <v>VerifyAccountDivisorWindow</v>
      </c>
      <c r="C351" t="str">
        <f ca="1">IFERROR(__xludf.DUMMYFUNCTION("""COMPUTED_VALUE"""),"1o2I6wY7Q2ZhQmtkXdRpqlxQVJ8IApk0IcIxM0anIe4E")</f>
        <v>1o2I6wY7Q2ZhQmtkXdRpqlxQVJ8IApk0IcIxM0anIe4E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IFERROR(__xludf.DUMMYFUNCTION("""COMPUTED_VALUE"""),"VerifyAccountSymbolDivisorWindow")</f>
        <v>VerifyAccountSymbolDivisorWindow</v>
      </c>
      <c r="C352" t="str">
        <f ca="1">IFERROR(__xludf.DUMMYFUNCTION("""COMPUTED_VALUE"""),"1ADKVvtlUcDE2a_GFsrcnF3qLRtLLDQ1rEJbzQws78i8")</f>
        <v>1ADKVvtlUcDE2a_GFsrcnF3qLRtLLDQ1rEJbzQws78i8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IFERROR(__xludf.DUMMYFUNCTION("""COMPUTED_VALUE"""),"VerifyAggregationAccountSymbolWithNav")</f>
        <v>VerifyAggregationAccountSymbolWithNav</v>
      </c>
      <c r="C353" t="str">
        <f ca="1">IFERROR(__xludf.DUMMYFUNCTION("""COMPUTED_VALUE"""),"1lnfZcSlUOa9o7gHKbVZNk25z7jkFzrWO3HCg1iRDEhg")</f>
        <v>1lnfZcSlUOa9o7gHKbVZNk25z7jkFzrWO3HCg1iRDEhg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IFERROR(__xludf.DUMMYFUNCTION("""COMPUTED_VALUE"""),"VerifyAggregationAccountWithNav")</f>
        <v>VerifyAggregationAccountWithNav</v>
      </c>
      <c r="C354" t="str">
        <f ca="1">IFERROR(__xludf.DUMMYFUNCTION("""COMPUTED_VALUE"""),"1bVQ8hXYcI8QA4dwbvx9VW307agnDiO6msA8_55Z9Ho4")</f>
        <v>1bVQ8hXYcI8QA4dwbvx9VW307agnDiO6msA8_55Z9Ho4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IFERROR(__xludf.DUMMYFUNCTION("""COMPUTED_VALUE"""),"VerifyAggregationMasterFundSymbolWithNav")</f>
        <v>VerifyAggregationMasterFundSymbolWithNav</v>
      </c>
      <c r="C355" t="str">
        <f ca="1">IFERROR(__xludf.DUMMYFUNCTION("""COMPUTED_VALUE"""),"149nnw4Cwl1HHouYCXdqP9R7Mx98I_xiisiVCYk7UJkk")</f>
        <v>149nnw4Cwl1HHouYCXdqP9R7Mx98I_xiisiVCYk7UJkk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IFERROR(__xludf.DUMMYFUNCTION("""COMPUTED_VALUE"""),"VerifyAggregationMasterFundUnderlyingSymbolWithNav")</f>
        <v>VerifyAggregationMasterFundUnderlyingSymbolWithNav</v>
      </c>
      <c r="C356" t="str">
        <f ca="1">IFERROR(__xludf.DUMMYFUNCTION("""COMPUTED_VALUE"""),"14DzH-ZDYwWbCfXuBzG8v04Qb1mQp1of2O6GLQXcWMsQ")</f>
        <v>14DzH-ZDYwWbCfXuBzG8v04Qb1mQp1of2O6GLQXcWMsQ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IFERROR(__xludf.DUMMYFUNCTION("""COMPUTED_VALUE"""),"VerifyAggregationMasterFundWithNav")</f>
        <v>VerifyAggregationMasterFundWithNav</v>
      </c>
      <c r="C357" t="str">
        <f ca="1">IFERROR(__xludf.DUMMYFUNCTION("""COMPUTED_VALUE"""),"1zsjoqOkIN3nYkIIxRHJMhmyX6J_C62DE3Oo2y7BGdVs")</f>
        <v>1zsjoqOkIN3nYkIIxRHJMhmyX6J_C62DE3Oo2y7BGdVs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IFERROR(__xludf.DUMMYFUNCTION("""COMPUTED_VALUE"""),"VerifyAggregationSectorWithNav")</f>
        <v>VerifyAggregationSectorWithNav</v>
      </c>
      <c r="C358" t="str">
        <f ca="1">IFERROR(__xludf.DUMMYFUNCTION("""COMPUTED_VALUE"""),"1PwtsUw7M1uKb7OUFflhtzsANVeSCTOQuOmvDpORnIho")</f>
        <v>1PwtsUw7M1uKb7OUFflhtzsANVeSCTOQuOmvDpORnIho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IFERROR(__xludf.DUMMYFUNCTION("""COMPUTED_VALUE"""),"VerifyAggregationUnderlyingSymbolWithNav")</f>
        <v>VerifyAggregationUnderlyingSymbolWithNav</v>
      </c>
      <c r="C359" t="str">
        <f ca="1">IFERROR(__xludf.DUMMYFUNCTION("""COMPUTED_VALUE"""),"176-KXks3ZB5ZHuKBMwUMw29_Cv2044sZyo8Km9DSXhY")</f>
        <v>176-KXks3ZB5ZHuKBMwUMw29_Cv2044sZyo8Km9DSXhY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IFERROR(__xludf.DUMMYFUNCTION("""COMPUTED_VALUE"""),"VerifyAuecWindow")</f>
        <v>VerifyAuecWindow</v>
      </c>
      <c r="C360" t="str">
        <f ca="1">IFERROR(__xludf.DUMMYFUNCTION("""COMPUTED_VALUE"""),"16b_2-FgoStwuBkNr_JjCAyklRXIuqbbe3yokDxprokc")</f>
        <v>16b_2-FgoStwuBkNr_JjCAyklRXIuqbbe3yokDxprokc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IFERROR(__xludf.DUMMYFUNCTION("""COMPUTED_VALUE"""),"VerifyBetaWindow")</f>
        <v>VerifyBetaWindow</v>
      </c>
      <c r="C361" t="str">
        <f ca="1">IFERROR(__xludf.DUMMYFUNCTION("""COMPUTED_VALUE"""),"1fbKcjC8gLwYcrNAXPL4_1obtoTCCX0MmPEKkR5s582U")</f>
        <v>1fbKcjC8gLwYcrNAXPL4_1obtoTCCX0MmPEKkR5s582U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IFERROR(__xludf.DUMMYFUNCTION("""COMPUTED_VALUE"""),"VerifyCustomSymbolDataWindow")</f>
        <v>VerifyCustomSymbolDataWindow</v>
      </c>
      <c r="C362" t="str">
        <f ca="1">IFERROR(__xludf.DUMMYFUNCTION("""COMPUTED_VALUE"""),"1-ro_FbZAIVOSxzuukFA-JqauiFzAp2zzPW1nR5HDbNQ")</f>
        <v>1-ro_FbZAIVOSxzuukFA-JqauiFzAp2zzPW1nR5HDbNQ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IFERROR(__xludf.DUMMYFUNCTION("""COMPUTED_VALUE"""),"VerifyDayEndCashAccountWindow")</f>
        <v>VerifyDayEndCashAccountWindow</v>
      </c>
      <c r="C363" t="str">
        <f ca="1">IFERROR(__xludf.DUMMYFUNCTION("""COMPUTED_VALUE"""),"14hibcKhSsVy9-wON6kpUuT3WpnX2wo9pBQzmPi8qLL0")</f>
        <v>14hibcKhSsVy9-wON6kpUuT3WpnX2wo9pBQzmPi8qLL0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IFERROR(__xludf.DUMMYFUNCTION("""COMPUTED_VALUE"""),"VerifyDbNavWindow")</f>
        <v>VerifyDbNavWindow</v>
      </c>
      <c r="C364" t="str">
        <f ca="1">IFERROR(__xludf.DUMMYFUNCTION("""COMPUTED_VALUE"""),"18-WlIts2DAJ-WJbsdY1Rpj5dOSmW5uYCwetKlx26fnQ")</f>
        <v>18-WlIts2DAJ-WJbsdY1Rpj5dOSmW5uYCwetKlx26fnQ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IFERROR(__xludf.DUMMYFUNCTION("""COMPUTED_VALUE"""),"VerifyGlobalDivisorWindow")</f>
        <v>VerifyGlobalDivisorWindow</v>
      </c>
      <c r="C365" t="str">
        <f ca="1">IFERROR(__xludf.DUMMYFUNCTION("""COMPUTED_VALUE"""),"1z5ONnrNdd3WVB7RZIGa-yHhn0U7mw19K0moh5ObmK-I")</f>
        <v>1z5ONnrNdd3WVB7RZIGa-yHhn0U7mw19K0moh5ObmK-I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IFERROR(__xludf.DUMMYFUNCTION("""COMPUTED_VALUE"""),"VerifyPmCalculationPreferenceWindow")</f>
        <v>VerifyPmCalculationPreferenceWindow</v>
      </c>
      <c r="C366" t="str">
        <f ca="1">IFERROR(__xludf.DUMMYFUNCTION("""COMPUTED_VALUE"""),"1yse7cNfakHdRjfRrq1SQW0Yxxopg67W_juGAkOyqHPk")</f>
        <v>1yse7cNfakHdRjfRrq1SQW0Yxxopg67W_juGAkOyqHPk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IFERROR(__xludf.DUMMYFUNCTION("""COMPUTED_VALUE"""),"VerifyRowCalculationBaseWindow")</f>
        <v>VerifyRowCalculationBaseWindow</v>
      </c>
      <c r="C367" t="str">
        <f ca="1">IFERROR(__xludf.DUMMYFUNCTION("""COMPUTED_VALUE"""),"16bZAwMHOfN8bD2TadtVor3HvDM0dtF51XYU1iRUEXpQ")</f>
        <v>16bZAwMHOfN8bD2TadtVor3HvDM0dtF51XYU1iRUEXpQ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IFERROR(__xludf.DUMMYFUNCTION("""COMPUTED_VALUE"""),"VerifySecurityWindow")</f>
        <v>VerifySecurityWindow</v>
      </c>
      <c r="C368" t="str">
        <f ca="1">IFERROR(__xludf.DUMMYFUNCTION("""COMPUTED_VALUE"""),"1xeK-JWq8oHwAbmnGt_N4qn9Nt8F9XHo5-Mtr0t_7pRw")</f>
        <v>1xeK-JWq8oHwAbmnGt_N4qn9Nt8F9XHo5-Mtr0t_7pRw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IFERROR(__xludf.DUMMYFUNCTION("""COMPUTED_VALUE"""),"VerifySymbolDataWindow")</f>
        <v>VerifySymbolDataWindow</v>
      </c>
      <c r="C369" t="str">
        <f ca="1">IFERROR(__xludf.DUMMYFUNCTION("""COMPUTED_VALUE"""),"13iKSNjdwzv3DKe_1fcHZJ8GUk5s-HKAGG5PE6MY-smA")</f>
        <v>13iKSNjdwzv3DKe_1fcHZJ8GUk5s-HKAGG5PE6MY-smA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IFERROR(__xludf.DUMMYFUNCTION("""COMPUTED_VALUE"""),"VerifySymbolDivisorWindow")</f>
        <v>VerifySymbolDivisorWindow</v>
      </c>
      <c r="C370" t="str">
        <f ca="1">IFERROR(__xludf.DUMMYFUNCTION("""COMPUTED_VALUE"""),"1uyHz1cQUHCK-GcBufMehtS9i6BspKa5HVCLnf4pfGuk")</f>
        <v>1uyHz1cQUHCK-GcBufMehtS9i6BspKa5HVCLnf4pfGuk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IFERROR(__xludf.DUMMYFUNCTION("""COMPUTED_VALUE"""),"VerifyTaxlotWindow")</f>
        <v>VerifyTaxlotWindow</v>
      </c>
      <c r="C371" t="str">
        <f ca="1">IFERROR(__xludf.DUMMYFUNCTION("""COMPUTED_VALUE"""),"1LmfcHeXwbnPa-An0b_OD4pDLm7pUlzSX41G5QZ2Uons")</f>
        <v>1LmfcHeXwbnPa-An0b_OD4pDLm7pUlzSX41G5QZ2Uons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IFERROR(__xludf.DUMMYFUNCTION("""COMPUTED_VALUE"""),"RestartEsper")</f>
        <v>RestartEsper</v>
      </c>
      <c r="C372" t="str">
        <f ca="1">IFERROR(__xludf.DUMMYFUNCTION("""COMPUTED_VALUE"""),"undefined")</f>
        <v>undefined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IFERROR(__xludf.DUMMYFUNCTION("""COMPUTED_VALUE"""),"VerifyAccountNavPreferenceWindow")</f>
        <v>VerifyAccountNavPreferenceWindow</v>
      </c>
      <c r="C373" t="str">
        <f ca="1">IFERROR(__xludf.DUMMYFUNCTION("""COMPUTED_VALUE"""),"1PbpS5QGNvwJE_YSvMrjHxbUPPQhcUDrQHC4N9KHYjWY")</f>
        <v>1PbpS5QGNvwJE_YSvMrjHxbUPPQhcUDrQHC4N9KHYjWY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 VerifyAggregationAccountUnderlyingSymbolWithNav")</f>
        <v xml:space="preserve"> VerifyAggregationAccountUnderlyingSymbolWithNav</v>
      </c>
      <c r="C374" t="str">
        <f ca="1">IFERROR(__xludf.DUMMYFUNCTION("""COMPUTED_VALUE"""),"1e43aiziZ9lVzR6j8eABeYJVnCkgU34OcPRcWujsT2Sk")</f>
        <v>1e43aiziZ9lVzR6j8eABeYJVnCkgU34OcPRcWujsT2Sk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IFERROR(__xludf.DUMMYFUNCTION("""COMPUTED_VALUE"""),"VerifyAggregationAssetWithNav")</f>
        <v>VerifyAggregationAssetWithNav</v>
      </c>
      <c r="C375" t="str">
        <f ca="1">IFERROR(__xludf.DUMMYFUNCTION("""COMPUTED_VALUE"""),"1etvN2Ze8TA6NI_8xSaOdqLwhWnk9NXKUUDhi-_NctcY")</f>
        <v>1etvN2Ze8TA6NI_8xSaOdqLwhWnk9NXKUUDhi-_NctcY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IFERROR(__xludf.DUMMYFUNCTION("""COMPUTED_VALUE"""),"VerifyAggregationSymbolWithNav")</f>
        <v>VerifyAggregationSymbolWithNav</v>
      </c>
      <c r="C376" t="str">
        <f ca="1">IFERROR(__xludf.DUMMYFUNCTION("""COMPUTED_VALUE"""),"13XyCHzB6LhftZ5UNht5K7e3dan_fGbii_TnOOGLwDg0")</f>
        <v>13XyCHzB6LhftZ5UNht5K7e3dan_fGbii_TnOOGLwDg0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IFERROR(__xludf.DUMMYFUNCTION("""COMPUTED_VALUE"""),"VerifyAggregationSubSectorWithNav")</f>
        <v>VerifyAggregationSubSectorWithNav</v>
      </c>
      <c r="C377" t="str">
        <f ca="1">IFERROR(__xludf.DUMMYFUNCTION("""COMPUTED_VALUE"""),"1DBHQwTuKH0lzdeBCel_4raYQn6PkkFTYydpCHbsB4Qk")</f>
        <v>1DBHQwTuKH0lzdeBCel_4raYQn6PkkFTYydpCHbsB4Qk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IFERROR(__xludf.DUMMYFUNCTION("""COMPUTED_VALUE"""),"VerifyAggregationGlobalWithNav")</f>
        <v>VerifyAggregationGlobalWithNav</v>
      </c>
      <c r="C378" t="str">
        <f ca="1">IFERROR(__xludf.DUMMYFUNCTION("""COMPUTED_VALUE"""),"1XVSAkmIoWI-AC0BHXwWO3TqCkz2uOlJFE5eM6W0_Cew")</f>
        <v>1XVSAkmIoWI-AC0BHXwWO3TqCkz2uOlJFE5eM6W0_Cew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 VerifyAggregationGlobalWithNav")</f>
        <v xml:space="preserve"> 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IFERROR(__xludf.DUMMYFUNCTION("""COMPUTED_VALUE"""),"VerifyGlobalDivisorWindow")</f>
        <v>VerifyGlobalDivisorWindow</v>
      </c>
      <c r="C380" t="str">
        <f ca="1">IFERROR(__xludf.DUMMYFUNCTION("""COMPUTED_VALUE"""),"1z5ONnrNdd3WVB7RZIGa-yHhn0U7mw19K0moh5ObmK-I")</f>
        <v>1z5ONnrNdd3WVB7RZIGa-yHhn0U7mw19K0moh5ObmK-I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 VerifyAccrualForAccountWindow")</f>
        <v xml:space="preserve"> VerifyAccrualForAccountWindow</v>
      </c>
      <c r="C381" t="str">
        <f ca="1">IFERROR(__xludf.DUMMYFUNCTION("""COMPUTED_VALUE"""),"1zKkT3mW6MMJ2tPzzT2fHVQT6vyc0mePzllndBlUl5IM")</f>
        <v>1zKkT3mW6MMJ2tPzzT2fHVQT6vyc0mePzllndBlUl5IM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IFERROR(__xludf.DUMMYFUNCTION("""COMPUTED_VALUE"""),"VerifyMasterFundDivisorWindow")</f>
        <v>VerifyMasterFundDivisorWindow</v>
      </c>
      <c r="C383" t="str">
        <f ca="1">IFERROR(__xludf.DUMMYFUNCTION("""COMPUTED_VALUE"""),"13rWeedH_MlhhxYACJeLeckVtBWejh246MGPN4QQpmMM")</f>
        <v>13rWeedH_MlhhxYACJeLeckVtBWejh246MGPN4QQpmMM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IFERROR(__xludf.DUMMYFUNCTION("""COMPUTED_VALUE"""),"VerifyMasterFundSymbolDivisorWindow")</f>
        <v>VerifyMasterFundSymbolDivisorWindow</v>
      </c>
      <c r="C384" t="str">
        <f ca="1">IFERROR(__xludf.DUMMYFUNCTION("""COMPUTED_VALUE"""),"1YPctyrs3yMgf0X1_jVz3LRORCo4B4cNqbyc_K0FujO0")</f>
        <v>1YPctyrs3yMgf0X1_jVz3LRORCo4B4cNqbyc_K0FujO0</v>
      </c>
    </row>
    <row r="385" spans="1:3" ht="15.75" customHeight="1">
      <c r="A385" t="str">
        <f ca="1">IFERROR(__xludf.DUMMYFUNCTION("""COMPUTED_VALUE"""),"Rebalancer")</f>
        <v>Rebalancer</v>
      </c>
      <c r="B385" t="str">
        <f ca="1">IFERROR(__xludf.DUMMYFUNCTION("""COMPUTED_VALUE"""),"FetchAccountPositions")</f>
        <v>FetchAccountPositions</v>
      </c>
      <c r="C385" t="str">
        <f ca="1">IFERROR(__xludf.DUMMYFUNCTION("""COMPUTED_VALUE"""),"1BeNn_44h4ClIE46em_ho4qgzGnXy_GxtYTH3cBmtKPk")</f>
        <v>1BeNn_44h4ClIE46em_ho4qgzGnXy_GxtYTH3cBmtKPk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IFERROR(__xludf.DUMMYFUNCTION("""COMPUTED_VALUE"""),"AddCash")</f>
        <v>AddCash</v>
      </c>
      <c r="C386" t="str">
        <f ca="1">IFERROR(__xludf.DUMMYFUNCTION("""COMPUTED_VALUE"""),"1jkLpZFgLuRokIigwbjW9_Z47rlvj-YDlRcP_c4XkP_k")</f>
        <v>1jkLpZFgLuRokIigwbjW9_Z47rlvj-YDlRcP_c4XkP_k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IFERROR(__xludf.DUMMYFUNCTION("""COMPUTED_VALUE"""),"VerifyGridData")</f>
        <v>VerifyGridData</v>
      </c>
      <c r="C387" t="str">
        <f ca="1">IFERROR(__xludf.DUMMYFUNCTION("""COMPUTED_VALUE"""),"1mspGsgTjI-yT8NsZKZn8moOE-Vp0hoNdUziI1pFBq0I")</f>
        <v>1mspGsgTjI-yT8NsZKZn8moOE-Vp0hoNdUziI1pFBq0I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IFERROR(__xludf.DUMMYFUNCTION("""COMPUTED_VALUE"""),"RunRebalance")</f>
        <v>RunRebalance</v>
      </c>
      <c r="C388" t="str">
        <f ca="1">IFERROR(__xludf.DUMMYFUNCTION("""COMPUTED_VALUE"""),"1B2L3J6YUrDWz8rRtdvv0lYDQvnH8nYkmqQm12ZwK7jc")</f>
        <v>1B2L3J6YUrDWz8rRtdvv0lYDQvnH8nYkmqQm12ZwK7jc</v>
      </c>
    </row>
    <row r="389" spans="1:3" ht="15.75" customHeight="1">
      <c r="A389" t="str">
        <f ca="1">IFERROR(__xludf.DUMMYFUNCTION("""COMPUTED_VALUE"""),"Simulator")</f>
        <v>Simulator</v>
      </c>
      <c r="B389" t="str">
        <f ca="1">IFERROR(__xludf.DUMMYFUNCTION("""COMPUTED_VALUE"""),"SelectTrade")</f>
        <v>SelectTrade</v>
      </c>
      <c r="C389" t="str">
        <f ca="1">IFERROR(__xludf.DUMMYFUNCTION("""COMPUTED_VALUE"""),"1FTTZIzpIKJz6P-IPbrA5EPTxiMe2ARbyGfgsnMXlct4")</f>
        <v>1FTTZIzpIKJz6P-IPbrA5EPTxiMe2ARbyGfgsnMXlct4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IFERROR(__xludf.DUMMYFUNCTION("""COMPUTED_VALUE"""),"AcknowledgeTrade")</f>
        <v>AcknowledgeTrade</v>
      </c>
      <c r="C390" t="str">
        <f ca="1">IFERROR(__xludf.DUMMYFUNCTION("""COMPUTED_VALUE"""),"1sQAsvIkAT3oSRlv0P4ERgM6O-p9EGHnCNRCfZZ6EKPM")</f>
        <v>1sQAsvIkAT3oSRlv0P4ERgM6O-p9EGHnCNRCfZZ6EKPM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IFERROR(__xludf.DUMMYFUNCTION("""COMPUTED_VALUE"""),"RejectTrade")</f>
        <v>RejectTrade</v>
      </c>
      <c r="C391" t="str">
        <f ca="1">IFERROR(__xludf.DUMMYFUNCTION("""COMPUTED_VALUE"""),"18DR7gQzurIoB_fivnSt8QoqUWcLVRpZQSDr37UqoXKU")</f>
        <v>18DR7gQzurIoB_fivnSt8QoqUWcLVRpZQSDr37UqoXKU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IFERROR(__xludf.DUMMYFUNCTION("""COMPUTED_VALUE"""),"ExecuteTrade")</f>
        <v>ExecuteTrade</v>
      </c>
      <c r="C392" t="str">
        <f ca="1">IFERROR(__xludf.DUMMYFUNCTION("""COMPUTED_VALUE"""),"1pp_DAI1bHvMNnrEvw8O7TeJWebgUjt3FSsdgjVWeJkE")</f>
        <v>1pp_DAI1bHvMNnrEvw8O7TeJWebgUjt3FSsdgjVWeJkE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IFERROR(__xludf.DUMMYFUNCTION("""COMPUTED_VALUE"""),"CancelTrade")</f>
        <v>CancelTrade</v>
      </c>
      <c r="C393" t="str">
        <f ca="1">IFERROR(__xludf.DUMMYFUNCTION("""COMPUTED_VALUE"""),"1hX7-3j5InwEYhwGhZXePVHcW-9vxINkOET671xdWGsc")</f>
        <v>1hX7-3j5InwEYhwGhZXePVHcW-9vxINkOET671xdWGsc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IFERROR(__xludf.DUMMYFUNCTION("""COMPUTED_VALUE"""),"OpenLiveTT")</f>
        <v>OpenLiveTT</v>
      </c>
      <c r="C394" t="str">
        <f ca="1">IFERROR(__xludf.DUMMYFUNCTION("""COMPUTED_VALUE"""),"1q3BIdA-Gau2cX2cBnlgy7eas26rbuZEdQMfROhYvOgI")</f>
        <v>1q3BIdA-Gau2cX2cBnlgy7eas26rbuZEdQMfROhYvOgI</v>
      </c>
    </row>
    <row r="395" spans="1:3" ht="15.75" customHeight="1">
      <c r="A395" t="str">
        <f ca="1">IFERROR(__xludf.DUMMYFUNCTION("""COMPUTED_VALUE"""),"TradingTicket")</f>
        <v>TradingTicket</v>
      </c>
      <c r="B395" t="str">
        <f ca="1">IFERROR(__xludf.DUMMYFUNCTION("""COMPUTED_VALUE"""),"CreateLiveOrder")</f>
        <v>CreateLiveOrder</v>
      </c>
      <c r="C395" t="str">
        <f ca="1">IFERROR(__xludf.DUMMYFUNCTION("""COMPUTED_VALUE"""),"115Bw2-ohdF1ilHcVpmgJ2DX9SJjX1zI-6SvF3CpCjm8")</f>
        <v>115Bw2-ohdF1ilHcVpmgJ2DX9SJjX1zI-6SvF3CpCjm8</v>
      </c>
    </row>
    <row r="396" spans="1:3" ht="15.75" customHeight="1">
      <c r="A396" t="str">
        <f ca="1">IFERROR(__xludf.DUMMYFUNCTION("""COMPUTED_VALUE"""),"Simulator")</f>
        <v>Simulator</v>
      </c>
      <c r="B396" t="str">
        <f ca="1">IFERROR(__xludf.DUMMYFUNCTION("""COMPUTED_VALUE"""),"SetManualResponse ")</f>
        <v xml:space="preserve">SetManualResponse </v>
      </c>
      <c r="C396" t="str">
        <f ca="1">IFERROR(__xludf.DUMMYFUNCTION("""COMPUTED_VALUE"""),"10qeNhV85AQPMToOqHZlhzdXyNnDNjiueFxVwGUI_MO4")</f>
        <v>10qeNhV85AQPMToOqHZlhzdXyNnDNjiueFxVwGUI_MO4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IFERROR(__xludf.DUMMYFUNCTION("""COMPUTED_VALUE"""),"ClearUI")</f>
        <v>ClearUI</v>
      </c>
      <c r="C397" t="str">
        <f ca="1">IFERROR(__xludf.DUMMYFUNCTION("""COMPUTED_VALUE"""),"1LO0lVmw42vb8rN4FBdD2nZspNUXqgQCerd4ip5U8His")</f>
        <v>1LO0lVmw42vb8rN4FBdD2nZspNUXqgQCerd4ip5U8His</v>
      </c>
    </row>
    <row r="398" spans="1:3" ht="15.75" customHeight="1">
      <c r="A398" t="str">
        <f ca="1">IFERROR(__xludf.DUMMYFUNCTION("""COMPUTED_VALUE"""),"Rebalancer")</f>
        <v>Rebalancer</v>
      </c>
      <c r="B398" t="str">
        <f ca="1">IFERROR(__xludf.DUMMYFUNCTION("""COMPUTED_VALUE"""),"RebalanceAcrossSecurities")</f>
        <v>RebalanceAcrossSecurities</v>
      </c>
      <c r="C398" t="str">
        <f ca="1">IFERROR(__xludf.DUMMYFUNCTION("""COMPUTED_VALUE"""),"1C-pSRr2mYlstlgFOXGSaoMyr-7ZKnUyCiCZMgNR75C0")</f>
        <v>1C-pSRr2mYlstlgFOXGSaoMyr-7ZKnUyCiCZMgNR75C0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IFERROR(__xludf.DUMMYFUNCTION("""COMPUTED_VALUE"""),"ClearCalculations")</f>
        <v>ClearCalculations</v>
      </c>
      <c r="C399" t="str">
        <f ca="1">IFERROR(__xludf.DUMMYFUNCTION("""COMPUTED_VALUE"""),"1pQy7yDMWL8pTAYmkyQd-37O6NjL8-HJsxUSDe_0vr3Y")</f>
        <v>1pQy7yDMWL8pTAYmkyQd-37O6NjL8-HJsxUSDe_0vr3Y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IFERROR(__xludf.DUMMYFUNCTION("""COMPUTED_VALUE"""),"ModifyRebalance")</f>
        <v>ModifyRebalance</v>
      </c>
      <c r="C400" t="str">
        <f ca="1">IFERROR(__xludf.DUMMYFUNCTION("""COMPUTED_VALUE"""),"1PL-GKbx6oOTs--yRdzkUeclt9Wvb6f5jt4XN1oEGIZk")</f>
        <v>1PL-GKbx6oOTs--yRdzkUeclt9Wvb6f5jt4XN1oEGIZk</v>
      </c>
    </row>
    <row r="401" spans="1:3" ht="15.75" customHeight="1">
      <c r="A401" t="str">
        <f ca="1">IFERROR(__xludf.DUMMYFUNCTION("""COMPUTED_VALUE"""),"ThirdParty")</f>
        <v>ThirdParty</v>
      </c>
      <c r="B401" t="str">
        <f ca="1">IFERROR(__xludf.DUMMYFUNCTION("""COMPUTED_VALUE"""),"SelectThirdParty")</f>
        <v>SelectThirdParty</v>
      </c>
      <c r="C401" t="str">
        <f ca="1">IFERROR(__xludf.DUMMYFUNCTION("""COMPUTED_VALUE"""),"1liR_hGZCDbVQXoq6lXJaHhVX-C6zpm2FZKNUaUnD7k8")</f>
        <v>1liR_hGZCDbVQXoq6lXJaHhVX-C6zpm2FZKNUaUnD7k8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IFERROR(__xludf.DUMMYFUNCTION("""COMPUTED_VALUE"""),"ViewThirdParty")</f>
        <v>ViewThirdParty</v>
      </c>
      <c r="C402" t="str">
        <f ca="1">IFERROR(__xludf.DUMMYFUNCTION("""COMPUTED_VALUE"""),"1L-T9YKEKNm_ncTLX6p563fxmzW1DvdfOn3fW5ZhQiKs")</f>
        <v>1L-T9YKEKNm_ncTLX6p563fxmzW1DvdfOn3fW5ZhQiKs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IFERROR(__xludf.DUMMYFUNCTION("""COMPUTED_VALUE"""),"ThirdPartyGenerate")</f>
        <v>ThirdPartyGenerate</v>
      </c>
      <c r="C403" t="str">
        <f ca="1">IFERROR(__xludf.DUMMYFUNCTION("""COMPUTED_VALUE"""),"1hWXI97uokXrkZMWLiuOrUPZMYEmIb2-QuYGHPvEooqk")</f>
        <v>1hWXI97uokXrkZMWLiuOrUPZMYEmIb2-QuYGHPvEooqk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IFERROR(__xludf.DUMMYFUNCTION("""COMPUTED_VALUE"""),"VerifyThirdPartyView")</f>
        <v>VerifyThirdPartyView</v>
      </c>
      <c r="C404" t="str">
        <f ca="1">IFERROR(__xludf.DUMMYFUNCTION("""COMPUTED_VALUE"""),"1OPgUZqNYhV3KEPmPCahj5p6WvTvcu6yt-IilVEoYdck")</f>
        <v>1OPgUZqNYhV3KEPmPCahj5p6WvTvcu6yt-IilVEoYdck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IFERROR(__xludf.DUMMYFUNCTION("""COMPUTED_VALUE"""),"VerifyThirdPartyGenerate")</f>
        <v>VerifyThirdPartyGenerate</v>
      </c>
      <c r="C405" t="str">
        <f ca="1">IFERROR(__xludf.DUMMYFUNCTION("""COMPUTED_VALUE"""),"1TX-aVCyjewgmTHgLEH493prpSt_ChoMDatfBG5cVehM")</f>
        <v>1TX-aVCyjewgmTHgLEH493prpSt_ChoMDatfBG5cVehM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IFERROR(__xludf.DUMMYFUNCTION("""COMPUTED_VALUE"""),"VerifyThirdPartySend")</f>
        <v>VerifyThirdPartySend</v>
      </c>
      <c r="C406" t="str">
        <f ca="1">IFERROR(__xludf.DUMMYFUNCTION("""COMPUTED_VALUE"""),"1TFrpzJZv_IpTrlD7aBcoe8mWXKXiq4OeBVw49pOpJY8")</f>
        <v>1TFrpzJZv_IpTrlD7aBcoe8mWXKXiq4OeBVw49pOpJY8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IFERROR(__xludf.DUMMYFUNCTION("""COMPUTED_VALUE"""),"ThirdPartySend")</f>
        <v>ThirdPartySend</v>
      </c>
      <c r="C407" t="str">
        <f ca="1">IFERROR(__xludf.DUMMYFUNCTION("""COMPUTED_VALUE"""),"1ELxt02tfMApvtpApk-Uz6JQVqK95xGCxH6tEwuv_yMQ")</f>
        <v>1ELxt02tfMApvtpApk-Uz6JQVqK95xGCxH6tEwuv_yMQ</v>
      </c>
    </row>
    <row r="408" spans="1:3" ht="15.75" customHeight="1">
      <c r="A408" t="str">
        <f ca="1">IFERROR(__xludf.DUMMYFUNCTION("""COMPUTED_VALUE"""),"Blotter")</f>
        <v>Blotter</v>
      </c>
      <c r="B408" t="str">
        <f ca="1">IFERROR(__xludf.DUMMYFUNCTION("""COMPUTED_VALUE"""),"VerifyViewAllocationDetails")</f>
        <v>VerifyViewAllocationDetails</v>
      </c>
      <c r="C408" t="str">
        <f ca="1">IFERROR(__xludf.DUMMYFUNCTION("""COMPUTED_VALUE"""),"1onX95lO5NTDqGvP-5pv_fQlL0p1SAPerH3jm5s9xIbE")</f>
        <v>1onX95lO5NTDqGvP-5pv_fQlL0p1SAPerH3jm5s9xIbE</v>
      </c>
    </row>
    <row r="409" spans="1:3" ht="15.75" customHeight="1">
      <c r="A409" t="str">
        <f ca="1">IFERROR(__xludf.DUMMYFUNCTION("""COMPUTED_VALUE"""),"PTT")</f>
        <v>PTT</v>
      </c>
      <c r="B409" t="str">
        <f ca="1">IFERROR(__xludf.DUMMYFUNCTION("""COMPUTED_VALUE"""),"SelectPTTRecord")</f>
        <v>SelectPTTRecord</v>
      </c>
      <c r="C409" t="str">
        <f ca="1">IFERROR(__xludf.DUMMYFUNCTION("""COMPUTED_VALUE"""),"1MzR4w0s74eMMAMcl-KSxjpoZfHiuOypwn42ACvmTkKM")</f>
        <v>1MzR4w0s74eMMAMcl-KSxjpoZfHiuOypwn42ACvmTkKM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IFERROR(__xludf.DUMMYFUNCTION("""COMPUTED_VALUE"""),"EditPTTRecord")</f>
        <v>EditPTTRecord</v>
      </c>
      <c r="C410" t="str">
        <f ca="1">IFERROR(__xludf.DUMMYFUNCTION("""COMPUTED_VALUE"""),"13Ecyy3eTKlOlM2mlZRP_nxQjfP02VfkmPAAS8AQWMQk")</f>
        <v>13Ecyy3eTKlOlM2mlZRP_nxQjfP02VfkmPAAS8AQWMQk</v>
      </c>
    </row>
    <row r="411" spans="1:3" ht="15.75" customHeight="1">
      <c r="A411" t="str">
        <f ca="1">IFERROR(__xludf.DUMMYFUNCTION("""COMPUTED_VALUE"""),"Blotter")</f>
        <v>Blotter</v>
      </c>
      <c r="B411" t="str">
        <f ca="1">IFERROR(__xludf.DUMMYFUNCTION("""COMPUTED_VALUE"""),"GoToAllocation")</f>
        <v>GoToAllocation</v>
      </c>
      <c r="C411" t="str">
        <f ca="1">IFERROR(__xludf.DUMMYFUNCTION("""COMPUTED_VALUE"""),"1O10TSVXx7-qL87FJas1gFd9p3JugF_Bn4u9W7TpD46U")</f>
        <v>1O10TSVXx7-qL87FJas1gFd9p3JugF_Bn4u9W7TpD46U</v>
      </c>
    </row>
    <row r="412" spans="1:3" ht="15.75" customHeight="1">
      <c r="A412" t="str">
        <f ca="1">IFERROR(__xludf.DUMMYFUNCTION("""COMPUTED_VALUE"""),"Simulator")</f>
        <v>Simulator</v>
      </c>
      <c r="B412" t="str">
        <f ca="1">IFERROR(__xludf.DUMMYFUNCTION("""COMPUTED_VALUE"""),"CloseSimulator")</f>
        <v>CloseSimulator</v>
      </c>
      <c r="C412" t="str">
        <f ca="1">IFERROR(__xludf.DUMMYFUNCTION("""COMPUTED_VALUE"""),"undefined")</f>
        <v>undefined</v>
      </c>
    </row>
    <row r="413" spans="1:3" ht="15.75" customHeight="1">
      <c r="A413" t="str">
        <f ca="1">IFERROR(__xludf.DUMMYFUNCTION("""COMPUTED_VALUE"""),"GeneralLedger")</f>
        <v>GeneralLedger</v>
      </c>
      <c r="B413" t="str">
        <f ca="1">IFERROR(__xludf.DUMMYFUNCTION("""COMPUTED_VALUE"""),"VerifyCashTransaction")</f>
        <v>VerifyCashTransaction</v>
      </c>
      <c r="C413" t="str">
        <f ca="1">IFERROR(__xludf.DUMMYFUNCTION("""COMPUTED_VALUE"""),"1txiXYRv6RuxBB6CkKPa64Foilc8XIy5M-1KPAOBp9Z0")</f>
        <v>1txiXYRv6RuxBB6CkKPa64Foilc8XIy5M-1KPAOBp9Z0</v>
      </c>
    </row>
    <row r="414" spans="1:3" ht="15.75" customHeight="1">
      <c r="A414" t="str">
        <f ca="1">IFERROR(__xludf.DUMMYFUNCTION("""COMPUTED_VALUE"""),"Rebalancer")</f>
        <v>Rebalancer</v>
      </c>
      <c r="B414" t="str">
        <f ca="1">IFERROR(__xludf.DUMMYFUNCTION("""COMPUTED_VALUE"""),"ModelPortfolio")</f>
        <v>ModelPortfolio</v>
      </c>
      <c r="C414" t="str">
        <f ca="1">IFERROR(__xludf.DUMMYFUNCTION("""COMPUTED_VALUE"""),"1w51NpunZkBS_x4rZvkQXu2o8AUhD_GQPCtuFN-r1AFw")</f>
        <v>1w51NpunZkBS_x4rZvkQXu2o8AUhD_GQPCtuFN-r1AFw</v>
      </c>
    </row>
    <row r="415" spans="1:3" ht="15.75" customHeight="1">
      <c r="A415" t="str">
        <f ca="1">IFERROR(__xludf.DUMMYFUNCTION("""COMPUTED_VALUE"""),"DailyValuation")</f>
        <v>DailyValuation</v>
      </c>
      <c r="B415" t="str">
        <f ca="1">IFERROR(__xludf.DUMMYFUNCTION("""COMPUTED_VALUE"""),"VerifyDailyCash")</f>
        <v>VerifyDailyCash</v>
      </c>
      <c r="C415" t="str">
        <f ca="1">IFERROR(__xludf.DUMMYFUNCTION("""COMPUTED_VALUE"""),"1wXn8vaJbEg8VcRqhsw0cR1-Odkjr1m2zE8tXCmLX54g")</f>
        <v>1wXn8vaJbEg8VcRqhsw0cR1-Odkjr1m2zE8tXCmLX54g</v>
      </c>
    </row>
    <row r="416" spans="1:3" ht="15.75" customHeight="1">
      <c r="A416" t="str">
        <f ca="1">IFERROR(__xludf.DUMMYFUNCTION("""COMPUTED_VALUE"""),"Admin")</f>
        <v>Admin</v>
      </c>
      <c r="B416" t="str">
        <f ca="1">IFERROR(__xludf.DUMMYFUNCTION("""COMPUTED_VALUE"""),"SetCheckSide")</f>
        <v>SetCheckSide</v>
      </c>
      <c r="C416" t="str">
        <f ca="1">IFERROR(__xludf.DUMMYFUNCTION("""COMPUTED_VALUE"""),"1yyQmTWt6_vzUYvOiD3DjjThIuA-7rtaxLv1CWXWSP1c")</f>
        <v>1yyQmTWt6_vzUYvOiD3DjjThIuA-7rtaxLv1CWXWSP1c</v>
      </c>
    </row>
    <row r="417" spans="1:3" ht="15.75" customHeight="1">
      <c r="A417" t="str">
        <f ca="1">IFERROR(__xludf.DUMMYFUNCTION("""COMPUTED_VALUE"""),"CorporateAction")</f>
        <v>CorporateAction</v>
      </c>
      <c r="B417" t="str">
        <f ca="1">IFERROR(__xludf.DUMMYFUNCTION("""COMPUTED_VALUE"""),"OpenSpinOff")</f>
        <v>OpenSpinOff</v>
      </c>
      <c r="C417" t="str">
        <f ca="1">IFERROR(__xludf.DUMMYFUNCTION("""COMPUTED_VALUE"""),"1s7UywmXsvA66vGSvDSU_CidM0OgQwEbFnisEBEFmoz0")</f>
        <v>1s7UywmXsvA66vGSvDSU_CidM0OgQwEbFnisEBEFmoz0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IFERROR(__xludf.DUMMYFUNCTION("""COMPUTED_VALUE"""),"VerifyAndApplyCorpAction")</f>
        <v>VerifyAndApplyCorpAction</v>
      </c>
      <c r="C418" t="str">
        <f ca="1">IFERROR(__xludf.DUMMYFUNCTION("""COMPUTED_VALUE"""),"1cHNKlWy_s_rmmZHG2nid4hP7PjQozO104yUNI3CyU1o")</f>
        <v>1cHNKlWy_s_rmmZHG2nid4hP7PjQozO104yUNI3CyU1o</v>
      </c>
    </row>
    <row r="419" spans="1:3" ht="15.75" customHeight="1">
      <c r="A419" t="str">
        <f ca="1">IFERROR(__xludf.DUMMYFUNCTION("""COMPUTED_VALUE"""),"CorporateAction ")</f>
        <v xml:space="preserve">CorporateAction </v>
      </c>
      <c r="B419" t="str">
        <f ca="1">IFERROR(__xludf.DUMMYFUNCTION("""COMPUTED_VALUE"""),"VerifyAndSaveCorpAction")</f>
        <v>VerifyAndSaveCorpAction</v>
      </c>
      <c r="C419" t="str">
        <f ca="1">IFERROR(__xludf.DUMMYFUNCTION("""COMPUTED_VALUE"""),"1bruEDkUzHa33GtKgwOjgeu-gUDGJFATMt-u7J51XEU4")</f>
        <v>1bruEDkUzHa33GtKgwOjgeu-gUDGJFATMt-u7J51XEU4</v>
      </c>
    </row>
    <row r="420" spans="1:3" ht="15.75" customHeight="1">
      <c r="A420" t="str">
        <f ca="1">IFERROR(__xludf.DUMMYFUNCTION("""COMPUTED_VALUE"""),"Allocation")</f>
        <v>Allocation</v>
      </c>
      <c r="B420" t="str">
        <f ca="1">IFERROR(__xludf.DUMMYFUNCTION("""COMPUTED_VALUE"""),"DisableChecksideForAsset")</f>
        <v>DisableChecksideForAsset</v>
      </c>
      <c r="C420" t="str">
        <f ca="1">IFERROR(__xludf.DUMMYFUNCTION("""COMPUTED_VALUE"""),"1w1BRJVZsjn1B0PDYrYEKzXGEw-NFKSMIyNqeBCt4yec")</f>
        <v>1w1BRJVZsjn1B0PDYrYEKzXGEw-NFKSMIyNqeBCt4yec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IFERROR(__xludf.DUMMYFUNCTION("""COMPUTED_VALUE"""),"DisableChecksideForAccount")</f>
        <v>DisableChecksideForAccount</v>
      </c>
      <c r="C421" t="str">
        <f ca="1">IFERROR(__xludf.DUMMYFUNCTION("""COMPUTED_VALUE"""),"1m8_kQ_0tVJoTiBpYOtlKW23NWSHVfniRS6qC-gXm10s")</f>
        <v>1m8_kQ_0tVJoTiBpYOtlKW23NWSHVfniRS6qC-gXm10s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IFERROR(__xludf.DUMMYFUNCTION("""COMPUTED_VALUE"""),"DisableChecksideForCounterParty")</f>
        <v>DisableChecksideForCounterParty</v>
      </c>
      <c r="C422" t="str">
        <f ca="1">IFERROR(__xludf.DUMMYFUNCTION("""COMPUTED_VALUE"""),"17N8VCOwI2fnS5Lh1_oE2TZ5tHs8EeP3ATBk93WwvRHk")</f>
        <v>17N8VCOwI2fnS5Lh1_oE2TZ5tHs8EeP3ATBk93WwvRHk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IFERROR(__xludf.DUMMYFUNCTION("""COMPUTED_VALUE"""),"DisableCheckside")</f>
        <v>DisableCheckside</v>
      </c>
      <c r="C423" t="str">
        <f ca="1">IFERROR(__xludf.DUMMYFUNCTION("""COMPUTED_VALUE"""),"1F88uJdltwqga7oeOfytDjDGsBP4kpEF_aSFBEzDCUqY")</f>
        <v>1F88uJdltwqga7oeOfytDjDGsBP4kpEF_aSFBEzDCUqY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IFERROR(__xludf.DUMMYFUNCTION("""COMPUTED_VALUE"""),"ApplyMasterFundFilter")</f>
        <v>ApplyMasterFundFilter</v>
      </c>
      <c r="C424" t="str">
        <f ca="1">IFERROR(__xludf.DUMMYFUNCTION("""COMPUTED_VALUE"""),"1yIy9yo2gUgRLah_KTWBr8Q8ouxWuW7qEoYCxd-IyZqU")</f>
        <v>1yIy9yo2gUgRLah_KTWBr8Q8ouxWuW7qEoYCxd-IyZqU</v>
      </c>
    </row>
    <row r="425" spans="1:3" ht="15.75" customHeight="1">
      <c r="A425" t="str">
        <f ca="1">IFERROR(__xludf.DUMMYFUNCTION("""COMPUTED_VALUE"""),"TradingTicket")</f>
        <v>TradingTicket</v>
      </c>
      <c r="B425" t="str">
        <f ca="1">IFERROR(__xludf.DUMMYFUNCTION("""COMPUTED_VALUE"""),"UpdateMasterFundOnTT")</f>
        <v>UpdateMasterFundOnTT</v>
      </c>
      <c r="C425" t="str">
        <f ca="1">IFERROR(__xludf.DUMMYFUNCTION("""COMPUTED_VALUE"""),"1vtwSXTZXLwVYR5bhmfKT7b9o6JVmS_9MOZn7CcypLvw")</f>
        <v>1vtwSXTZXLwVYR5bhmfKT7b9o6JVmS_9MOZn7CcypLvw</v>
      </c>
    </row>
    <row r="426" spans="1:3" ht="15.75" customHeight="1">
      <c r="A426" t="str">
        <f ca="1">IFERROR(__xludf.DUMMYFUNCTION("""COMPUTED_VALUE"""),"Allocation")</f>
        <v>Allocation</v>
      </c>
      <c r="B426" t="str">
        <f ca="1">IFERROR(__xludf.DUMMYFUNCTION("""COMPUTED_VALUE"""),"ShowMasterFundOnTT")</f>
        <v>ShowMasterFundOnTT</v>
      </c>
      <c r="C426" t="str">
        <f ca="1">IFERROR(__xludf.DUMMYFUNCTION("""COMPUTED_VALUE"""),"1tY8_vmgwAtlU3wdGRDk8WSaRLCv6640XZ0pVR7jx06k")</f>
        <v>1tY8_vmgwAtlU3wdGRDk8WSaRLCv6640XZ0pVR7jx06k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IFERROR(__xludf.DUMMYFUNCTION("""COMPUTED_VALUE"""),"ShowMasterFundAsClient")</f>
        <v>ShowMasterFundAsClient</v>
      </c>
      <c r="C427" t="str">
        <f ca="1">IFERROR(__xludf.DUMMYFUNCTION("""COMPUTED_VALUE"""),"1dXSCZtp_PbY2-xO4HyuQFjP9rqovyxBIHohhAalWHdk")</f>
        <v>1dXSCZtp_PbY2-xO4HyuQFjP9rqovyxBIHohhAalWHdk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IFERROR(__xludf.DUMMYFUNCTION("""COMPUTED_VALUE"""),"SetBrokerAccountMapping")</f>
        <v>SetBrokerAccountMapping</v>
      </c>
      <c r="C428" t="str">
        <f ca="1">IFERROR(__xludf.DUMMYFUNCTION("""COMPUTED_VALUE"""),"1MPDRlprMFMS8DkR-4ntdGvBOQ6Gp4Cbkz1mGJyRiPBU")</f>
        <v>1MPDRlprMFMS8DkR-4ntdGvBOQ6Gp4Cbkz1mGJyRiPBU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IFERROR(__xludf.DUMMYFUNCTION("""COMPUTED_VALUE"""),"EditUnallocatedGridWPF")</f>
        <v>EditUnallocatedGridWPF</v>
      </c>
      <c r="C429" t="str">
        <f ca="1">IFERROR(__xludf.DUMMYFUNCTION("""COMPUTED_VALUE"""),"1FoqMjsh7kSUAPZgAsBdK0Dgz6XaVskoGr37G773xRsI")</f>
        <v>1FoqMjsh7kSUAPZgAsBdK0Dgz6XaVskoGr37G773xRsI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IFERROR(__xludf.DUMMYFUNCTION("""COMPUTED_VALUE"""),"EditAllocatedGridWPF")</f>
        <v>EditAllocatedGridWPF</v>
      </c>
      <c r="C430" t="str">
        <f ca="1">IFERROR(__xludf.DUMMYFUNCTION("""COMPUTED_VALUE"""),"1JDZt3yDzGJYLwgfnrM-1JpkYjLh4xdqn3im1wNwUiWg")</f>
        <v>1JDZt3yDzGJYLwgfnrM-1JpkYjLh4xdqn3im1wNwUiWg</v>
      </c>
    </row>
    <row r="431" spans="1:3" ht="15.75" customHeight="1">
      <c r="A431" t="str">
        <f ca="1">IFERROR(__xludf.DUMMYFUNCTION("""COMPUTED_VALUE"""),"Admin")</f>
        <v>Admin</v>
      </c>
      <c r="B431" t="str">
        <f ca="1">IFERROR(__xludf.DUMMYFUNCTION("""COMPUTED_VALUE"""),"SetRollover")</f>
        <v>SetRollover</v>
      </c>
      <c r="C431" t="str">
        <f ca="1">IFERROR(__xludf.DUMMYFUNCTION("""COMPUTED_VALUE"""),"1mcj3boGZkRmnkbGNVOiMK0RBd1tDfxGwoUagq09FwTM")</f>
        <v>1mcj3boGZkRmnkbGNVOiMK0RBd1tDfxGwoUagq09FwTM</v>
      </c>
    </row>
    <row r="432" spans="1:3" ht="15.75" customHeight="1">
      <c r="A432" t="str">
        <f ca="1">IFERROR(__xludf.DUMMYFUNCTION("""COMPUTED_VALUE"""),"Blotter")</f>
        <v>Blotter</v>
      </c>
      <c r="B432" t="str">
        <f ca="1">IFERROR(__xludf.DUMMYFUNCTION("""COMPUTED_VALUE"""),"VerifyRollover")</f>
        <v>VerifyRollover</v>
      </c>
      <c r="C432" t="str">
        <f ca="1">IFERROR(__xludf.DUMMYFUNCTION("""COMPUTED_VALUE"""),"1ZZ2-R1OHOoSZ9jUfqlZ7UX-MNoTL_RipoEPOEeDhUiU")</f>
        <v>1ZZ2-R1OHOoSZ9jUfqlZ7UX-MNoTL_RipoEPOEeDhUiU</v>
      </c>
    </row>
    <row r="433" spans="1:3" ht="15.75" customHeight="1">
      <c r="A433" t="str">
        <f ca="1">IFERROR(__xludf.DUMMYFUNCTION("""COMPUTED_VALUE"""),"Allocation")</f>
        <v>Allocation</v>
      </c>
      <c r="B433" t="str">
        <f ca="1">IFERROR(__xludf.DUMMYFUNCTION("""COMPUTED_VALUE"""),"EditAllocatedGridTaxlot")</f>
        <v>EditAllocatedGridTaxlot</v>
      </c>
      <c r="C433" t="str">
        <f ca="1">IFERROR(__xludf.DUMMYFUNCTION("""COMPUTED_VALUE"""),"1tuNkOgVUAgmGZdePkvb6Kq4fOIVUbM2Oo-j35VwEMxU")</f>
        <v>1tuNkOgVUAgmGZdePkvb6Kq4fOIVUbM2Oo-j35VwEMxU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IFERROR(__xludf.DUMMYFUNCTION("""COMPUTED_VALUE"""),"ExpandCollapseAllocatedGrid")</f>
        <v>ExpandCollapseAllocatedGrid</v>
      </c>
      <c r="C434" t="str">
        <f ca="1">IFERROR(__xludf.DUMMYFUNCTION("""COMPUTED_VALUE"""),"1rFegPn3vtFd9CjW_Q7sLLAAJfMR24R2aIjZeDzV88kI")</f>
        <v>1rFegPn3vtFd9CjW_Q7sLLAAJfMR24R2aIjZeDzV88kI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IFERROR(__xludf.DUMMYFUNCTION("""COMPUTED_VALUE"""),"ExpandCollapseUnallocatedGrid")</f>
        <v>ExpandCollapseUnallocatedGrid</v>
      </c>
      <c r="C435" t="str">
        <f ca="1">IFERROR(__xludf.DUMMYFUNCTION("""COMPUTED_VALUE"""),"1AUbU9P9evi80SGX-0B0OEU4EIeSy8XoX0Jxc2neUG7Y")</f>
        <v>1AUbU9P9evi80SGX-0B0OEU4EIeSy8XoX0Jxc2neUG7Y</v>
      </c>
    </row>
    <row r="436" spans="1:3" ht="15.75" customHeight="1">
      <c r="A436" t="str">
        <f ca="1">IFERROR(__xludf.DUMMYFUNCTION("""COMPUTED_VALUE"""),"Blotter")</f>
        <v>Blotter</v>
      </c>
      <c r="B436" t="str">
        <f ca="1">IFERROR(__xludf.DUMMYFUNCTION("""COMPUTED_VALUE"""),"VerifySubOrderAfterRollover")</f>
        <v>VerifySubOrderAfterRollover</v>
      </c>
      <c r="C436" t="str">
        <f ca="1">IFERROR(__xludf.DUMMYFUNCTION("""COMPUTED_VALUE"""),"1BmRHukyQ4miHL0fDoU1ytWmIfZkbbUhts6aUXOoJt1M")</f>
        <v>1BmRHukyQ4miHL0fDoU1ytWmIfZkbbUhts6aUXOoJt1M</v>
      </c>
    </row>
    <row r="437" spans="1:3" ht="15.75" customHeight="1">
      <c r="A437" t="str">
        <f ca="1">IFERROR(__xludf.DUMMYFUNCTION("""COMPUTED_VALUE"""),"Import")</f>
        <v>Import</v>
      </c>
      <c r="B437" t="str">
        <f ca="1">IFERROR(__xludf.DUMMYFUNCTION("""COMPUTED_VALUE"""),"SelectTransactionImportType")</f>
        <v>SelectTransactionImportType</v>
      </c>
      <c r="C437" t="str">
        <f ca="1">IFERROR(__xludf.DUMMYFUNCTION("""COMPUTED_VALUE"""),"1ultylVChPDBFQEPMhDgNhsGAOiEjOy4yrylpQgIIDRs")</f>
        <v>1ultylVChPDBFQEPMhDgNhsGAOiEjOy4yrylpQgIIDRs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IFERROR(__xludf.DUMMYFUNCTION("""COMPUTED_VALUE"""),"SelectAllOnImport")</f>
        <v>SelectAllOnImport</v>
      </c>
      <c r="C438" t="str">
        <f ca="1">IFERROR(__xludf.DUMMYFUNCTION("""COMPUTED_VALUE"""),"1kfuraVHmWK4GQJ5l-V_xi5ZOvrVVE_6df75wO3Tczkw")</f>
        <v>1kfuraVHmWK4GQJ5l-V_xi5ZOvrVVE_6df75wO3Tczkw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IFERROR(__xludf.DUMMYFUNCTION("""COMPUTED_VALUE"""),"SelectMarkPriceImportType")</f>
        <v>SelectMarkPriceImportType</v>
      </c>
      <c r="C439" t="str">
        <f ca="1">IFERROR(__xludf.DUMMYFUNCTION("""COMPUTED_VALUE"""),"16WxFw58KivOf3P1utNNMuCYVONlWBgTIRn0wVd6Sq10")</f>
        <v>16WxFw58KivOf3P1utNNMuCYVONlWBgTIRn0wVd6Sq10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IFERROR(__xludf.DUMMYFUNCTION("""COMPUTED_VALUE"""),"SelectForexImportType")</f>
        <v>SelectForexImportType</v>
      </c>
      <c r="C440" t="str">
        <f ca="1">IFERROR(__xludf.DUMMYFUNCTION("""COMPUTED_VALUE"""),"1niCpVuSl0IoWtjAcvElNI0GeVHeA4cKvepxzq7Z4t0Y")</f>
        <v>1niCpVuSl0IoWtjAcvElNI0GeVHeA4cKvepxzq7Z4t0Y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IFERROR(__xludf.DUMMYFUNCTION("""COMPUTED_VALUE"""),"SelectDoubleEntryCashImportType")</f>
        <v>SelectDoubleEntryCashImportType</v>
      </c>
      <c r="C441" t="str">
        <f ca="1">IFERROR(__xludf.DUMMYFUNCTION("""COMPUTED_VALUE"""),"1c3AV5tCWYyTG5GupbNYTh4Y6mBGeI5Q18WF7jbA_FoE")</f>
        <v>1c3AV5tCWYyTG5GupbNYTh4Y6mBGeI5Q18WF7jbA_FoE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IFERROR(__xludf.DUMMYFUNCTION("""COMPUTED_VALUE"""),"SelectActivitiesImportType")</f>
        <v>SelectActivitiesImportType</v>
      </c>
      <c r="C442" t="str">
        <f ca="1">IFERROR(__xludf.DUMMYFUNCTION("""COMPUTED_VALUE"""),"1X6nskWL8-xWWF-gN9qfxhhV3aBuAeoxKsrdra5tJcpQ")</f>
        <v>1X6nskWL8-xWWF-gN9qfxhhV3aBuAeoxKsrdra5tJcpQ</v>
      </c>
    </row>
    <row r="443" spans="1:3" ht="15.75" customHeight="1">
      <c r="A443" t="str">
        <f ca="1">IFERROR(__xludf.DUMMYFUNCTION("""COMPUTED_VALUE"""),"TradingTicket")</f>
        <v>TradingTicket</v>
      </c>
      <c r="B443" t="str">
        <f ca="1">IFERROR(__xludf.DUMMYFUNCTION("""COMPUTED_VALUE"""),"SetTTCompliancePreference")</f>
        <v>SetTTCompliancePreference</v>
      </c>
      <c r="C443" t="str">
        <f ca="1">IFERROR(__xludf.DUMMYFUNCTION("""COMPUTED_VALUE"""),"1OPa8vYQi1QXXNENlCNdP6ay_L5vU7WyWP5dErE2KHEA")</f>
        <v>1OPa8vYQi1QXXNENlCNdP6ay_L5vU7WyWP5dErE2KHEA</v>
      </c>
    </row>
    <row r="444" spans="1:3" ht="15.75" customHeight="1">
      <c r="A444" t="str">
        <f ca="1">IFERROR(__xludf.DUMMYFUNCTION("""COMPUTED_VALUE"""),"Rebalancer")</f>
        <v>Rebalancer</v>
      </c>
      <c r="B444" t="str">
        <f ca="1">IFERROR(__xludf.DUMMYFUNCTION("""COMPUTED_VALUE"""),"LockandUnlockGridData")</f>
        <v>LockandUnlockGridData</v>
      </c>
      <c r="C444" t="str">
        <f ca="1">IFERROR(__xludf.DUMMYFUNCTION("""COMPUTED_VALUE"""),"1Km85kIYSTzG-NQHFDL8ZVRQQ0TKLUDOYsw-kdDX29xE")</f>
        <v>1Km85kIYSTzG-NQHFDL8ZVRQQ0TKLUDOYsw-kdDX29xE</v>
      </c>
    </row>
    <row r="445" spans="1:3" ht="15.75" customHeight="1">
      <c r="A445" t="str">
        <f ca="1">IFERROR(__xludf.DUMMYFUNCTION("""COMPUTED_VALUE"""),"Allocation")</f>
        <v>Allocation</v>
      </c>
      <c r="B445" t="str">
        <f ca="1">IFERROR(__xludf.DUMMYFUNCTION("""COMPUTED_VALUE"""),"SetTradeAttributePreferences")</f>
        <v>SetTradeAttributePreferences</v>
      </c>
      <c r="C445" t="str">
        <f ca="1">IFERROR(__xludf.DUMMYFUNCTION("""COMPUTED_VALUE"""),"1jyPRPc_0lTWCpP9oldB5fgtg2dy3jSnXLkS_qYf40-I")</f>
        <v>1jyPRPc_0lTWCpP9oldB5fgtg2dy3jSnXLkS_qYf40-I</v>
      </c>
    </row>
    <row r="446" spans="1:3" ht="15.75" customHeight="1">
      <c r="A446" t="str">
        <f ca="1">IFERROR(__xludf.DUMMYFUNCTION("""COMPUTED_VALUE"""),"GeneralLedger")</f>
        <v>GeneralLedger</v>
      </c>
      <c r="B446" t="str">
        <f ca="1">IFERROR(__xludf.DUMMYFUNCTION("""COMPUTED_VALUE"""),"VerifyAccountBalances")</f>
        <v>VerifyAccountBalances</v>
      </c>
      <c r="C446" t="str">
        <f ca="1">IFERROR(__xludf.DUMMYFUNCTION("""COMPUTED_VALUE"""),"1ym14EKcw7B3au8SvVteq2gmFR3cDcsMvQQEIm0TQjf4")</f>
        <v>1ym14EKcw7B3au8SvVteq2gmFR3cDcsMvQQEIm0TQjf4</v>
      </c>
    </row>
    <row r="447" spans="1:3" ht="15.75" customHeight="1">
      <c r="A447" t="str">
        <f ca="1">IFERROR(__xludf.DUMMYFUNCTION("""COMPUTED_VALUE"""),"Rebalancer")</f>
        <v>Rebalancer</v>
      </c>
      <c r="B447" t="str">
        <f ca="1">IFERROR(__xludf.DUMMYFUNCTION("""COMPUTED_VALUE"""),"RefreshGridData")</f>
        <v>RefreshGridData</v>
      </c>
      <c r="C447" t="str">
        <f ca="1">IFERROR(__xludf.DUMMYFUNCTION("""COMPUTED_VALUE"""),"1iFsjUbnYA0Jwd89eYQjg5OrnW3lr2WGVb5quimwHrRw")</f>
        <v>1iFsjUbnYA0Jwd89eYQjg5OrnW3lr2WGVb5quimwHrRw</v>
      </c>
    </row>
    <row r="448" spans="1:3" ht="15.75" customHeight="1">
      <c r="A448" t="str">
        <f ca="1">IFERROR(__xludf.DUMMYFUNCTION("""COMPUTED_VALUE"""),"GeneralLedger")</f>
        <v>GeneralLedger</v>
      </c>
      <c r="B448" t="str">
        <f ca="1">IFERROR(__xludf.DUMMYFUNCTION("""COMPUTED_VALUE"""),"AddMultipleOpeningBalTranItem")</f>
        <v>AddMultipleOpeningBalTranItem</v>
      </c>
      <c r="C448" t="str">
        <f ca="1">IFERROR(__xludf.DUMMYFUNCTION("""COMPUTED_VALUE"""),"14VkN8stineosylh8hvnYNK-GMxNG0uFZBKPjv00GOVc")</f>
        <v>14VkN8stineosylh8hvnYNK-GMxNG0uFZBKPjv00GOVc</v>
      </c>
    </row>
    <row r="449" spans="1:3" ht="15.75" customHeight="1">
      <c r="A449" t="str">
        <f ca="1">IFERROR(__xludf.DUMMYFUNCTION("""COMPUTED_VALUE"""),"Import")</f>
        <v>Import</v>
      </c>
      <c r="B449" t="str">
        <f ca="1">IFERROR(__xludf.DUMMYFUNCTION("""COMPUTED_VALUE"""),"ApplyFilterOnImport")</f>
        <v>ApplyFilterOnImport</v>
      </c>
      <c r="C449" t="str">
        <f ca="1">IFERROR(__xludf.DUMMYFUNCTION("""COMPUTED_VALUE"""),"1NbH6CrAG4P2-tfFJ5m9jUCbnHY9N7cAluffYy9kFrtg")</f>
        <v>1NbH6CrAG4P2-tfFJ5m9jUCbnHY9N7cAluffYy9kFrtg</v>
      </c>
    </row>
    <row r="450" spans="1:3" ht="15.75" customHeight="1">
      <c r="A450" t="str">
        <f ca="1">IFERROR(__xludf.DUMMYFUNCTION("""COMPUTED_VALUE"""),"Rebalancer")</f>
        <v>Rebalancer</v>
      </c>
      <c r="B450" t="str">
        <f ca="1">IFERROR(__xludf.DUMMYFUNCTION("""COMPUTED_VALUE"""),"SendtoStaging")</f>
        <v>SendtoStaging</v>
      </c>
      <c r="C450" t="str">
        <f ca="1">IFERROR(__xludf.DUMMYFUNCTION("""COMPUTED_VALUE"""),"1Zhte_TGc173a8WWc7feC_7HQ_A-M9Q7Np-aK2NPeTIo")</f>
        <v>1Zhte_TGc173a8WWc7feC_7HQ_A-M9Q7Np-aK2NPeTIo</v>
      </c>
    </row>
    <row r="451" spans="1:3" ht="15.75" customHeight="1">
      <c r="A451" t="str">
        <f ca="1">IFERROR(__xludf.DUMMYFUNCTION("""COMPUTED_VALUE"""),"PTT")</f>
        <v>PTT</v>
      </c>
      <c r="B451" t="str">
        <f ca="1">IFERROR(__xludf.DUMMYFUNCTION("""COMPUTED_VALUE"""),"SetDefaultSymbology")</f>
        <v>SetDefaultSymbology</v>
      </c>
      <c r="C451" t="str">
        <f ca="1">IFERROR(__xludf.DUMMYFUNCTION("""COMPUTED_VALUE"""),"1b7zlTIVQjL2vZc0hUNmY0Nj3YpQi8BtYcWMr8_hvABw")</f>
        <v>1b7zlTIVQjL2vZc0hUNmY0Nj3YpQi8BtYcWMr8_hvABw</v>
      </c>
    </row>
    <row r="452" spans="1:3" ht="15.75" customHeight="1">
      <c r="A452" t="str">
        <f ca="1">IFERROR(__xludf.DUMMYFUNCTION("""COMPUTED_VALUE"""),"Allocation")</f>
        <v>Allocation</v>
      </c>
      <c r="B452" t="str">
        <f ca="1">IFERROR(__xludf.DUMMYFUNCTION("""COMPUTED_VALUE"""),"EnterCustomAllocatePreference")</f>
        <v>EnterCustomAllocatePreference</v>
      </c>
      <c r="C452" t="str">
        <f ca="1">IFERROR(__xludf.DUMMYFUNCTION("""COMPUTED_VALUE"""),"1eNnQSyrPr_L4TcV7izBj89sySDQaYK6gNqNVbd2ChKE")</f>
        <v>1eNnQSyrPr_L4TcV7izBj89sySDQaYK6gNqNVbd2ChKE</v>
      </c>
    </row>
    <row r="453" spans="1:3" ht="15.75" customHeight="1">
      <c r="A453" t="str">
        <f ca="1">IFERROR(__xludf.DUMMYFUNCTION("""COMPUTED_VALUE"""),"PTT")</f>
        <v>PTT</v>
      </c>
      <c r="B453" t="str">
        <f ca="1">IFERROR(__xludf.DUMMYFUNCTION("""COMPUTED_VALUE"""),"EditPTTAccountLevelWPF")</f>
        <v>EditPTTAccountLevelWPF</v>
      </c>
      <c r="C453" t="str">
        <f ca="1">IFERROR(__xludf.DUMMYFUNCTION("""COMPUTED_VALUE"""),"1lkoB4yg9KAzhNswvpJ9xWcz4YPaysGRGQuXBp7wigzQ")</f>
        <v>1lkoB4yg9KAzhNswvpJ9xWcz4YPaysGRGQuXBp7wigzQ</v>
      </c>
    </row>
    <row r="454" spans="1:3" ht="15.75" customHeight="1">
      <c r="A454" t="str">
        <f ca="1">IFERROR(__xludf.DUMMYFUNCTION("""COMPUTED_VALUE"""),"PortfolioManagement")</f>
        <v>PortfolioManagement</v>
      </c>
      <c r="B454" t="str">
        <f ca="1">IFERROR(__xludf.DUMMYFUNCTION("""COMPUTED_VALUE"""),"OpenCreateTransactionFromPM")</f>
        <v>OpenCreateTransactionFromPM</v>
      </c>
      <c r="C454" t="str">
        <f ca="1">IFERROR(__xludf.DUMMYFUNCTION("""COMPUTED_VALUE"""),"1kYgb5moj5P-JWXvKHbuX1snB8mlE4Vdc4aiH1bDnoHI")</f>
        <v>1kYgb5moj5P-JWXvKHbuX1snB8mlE4Vdc4aiH1bDnoHI</v>
      </c>
    </row>
    <row r="455" spans="1:3" ht="15.75" customHeight="1">
      <c r="A455" t="str">
        <f ca="1">IFERROR(__xludf.DUMMYFUNCTION("""COMPUTED_VALUE"""),"Allocation")</f>
        <v>Allocation</v>
      </c>
      <c r="B455" t="str">
        <f ca="1">IFERROR(__xludf.DUMMYFUNCTION("""COMPUTED_VALUE"""),"SetAutoGroupingPreferences")</f>
        <v>SetAutoGroupingPreferences</v>
      </c>
      <c r="C455" t="str">
        <f ca="1">IFERROR(__xludf.DUMMYFUNCTION("""COMPUTED_VALUE"""),"1D35ujYz3sSem5ddRMKhpDtAxLAuwzV3i4A0w31WFRjE")</f>
        <v>1D35ujYz3sSem5ddRMKhpDtAxLAuwzV3i4A0w31WFRjE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IFERROR(__xludf.DUMMYFUNCTION("""COMPUTED_VALUE"""),"SetAutoGroupingAccount")</f>
        <v>SetAutoGroupingAccount</v>
      </c>
      <c r="C456" t="str">
        <f ca="1">IFERROR(__xludf.DUMMYFUNCTION("""COMPUTED_VALUE"""),"1CF-lbRv2R0CjOCWWaoSCrEih5WxPa65LdKDcH_H7AvM")</f>
        <v>1CF-lbRv2R0CjOCWWaoSCrEih5WxPa65LdKDcH_H7AvM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IFERROR(__xludf.DUMMYFUNCTION("""COMPUTED_VALUE"""),"SetAvgPriceRounding")</f>
        <v>SetAvgPriceRounding</v>
      </c>
      <c r="C457" t="str">
        <f ca="1">IFERROR(__xludf.DUMMYFUNCTION("""COMPUTED_VALUE"""),"1appeOpkVhy6OTICRFxIDc71ZbQKU-Ynw5sV7KihABMU")</f>
        <v>1appeOpkVhy6OTICRFxIDc71ZbQKU-Ynw5sV7KihABMU</v>
      </c>
    </row>
    <row r="458" spans="1:3" ht="15.75" customHeight="1">
      <c r="A458" t="str">
        <f ca="1">IFERROR(__xludf.DUMMYFUNCTION("""COMPUTED_VALUE"""),"Admin")</f>
        <v>Admin</v>
      </c>
      <c r="B458" t="str">
        <f ca="1">IFERROR(__xludf.DUMMYFUNCTION("""COMPUTED_VALUE"""),"SetActive")</f>
        <v>SetActive</v>
      </c>
      <c r="C458" t="str">
        <f ca="1">IFERROR(__xludf.DUMMYFUNCTION("""COMPUTED_VALUE"""),"1ymrfngxFmxi2NFQGgXVw211iNNJ37T-E5RaoFHqrBv0")</f>
        <v>1ymrfngxFmxi2NFQGgXVw211iNNJ37T-E5RaoFHqrBv0</v>
      </c>
    </row>
    <row r="459" spans="1:3" ht="15.75" customHeight="1">
      <c r="A459" t="str">
        <f ca="1">IFERROR(__xludf.DUMMYFUNCTION("""COMPUTED_VALUE"""),"Admin")</f>
        <v>Admin</v>
      </c>
      <c r="B459" t="str">
        <f ca="1">IFERROR(__xludf.DUMMYFUNCTION("""COMPUTED_VALUE"""),"SetThirdPartyFormat")</f>
        <v>SetThirdPartyFormat</v>
      </c>
      <c r="C459" t="str">
        <f ca="1">IFERROR(__xludf.DUMMYFUNCTION("""COMPUTED_VALUE"""),"1YBuAIaPPp_zD8dJLcJZofXxiKAE6eZJzGO4FqDo7GTE")</f>
        <v>1YBuAIaPPp_zD8dJLcJZofXxiKAE6eZJzGO4FqDo7GTE</v>
      </c>
    </row>
    <row r="460" spans="1:3" ht="15.75" customHeight="1">
      <c r="A460" t="str">
        <f ca="1">IFERROR(__xludf.DUMMYFUNCTION("""COMPUTED_VALUE"""),"Rebalancer")</f>
        <v>Rebalancer</v>
      </c>
      <c r="B460" t="str">
        <f ca="1">IFERROR(__xludf.DUMMYFUNCTION("""COMPUTED_VALUE"""),"RebalanceViaBloomberg")</f>
        <v>RebalanceViaBloomberg</v>
      </c>
      <c r="C460" t="str">
        <f ca="1">IFERROR(__xludf.DUMMYFUNCTION("""COMPUTED_VALUE"""),"1KhWzt5vyNW1kzhPLXipM9CAX2wUBQQLJePUogClbNy0")</f>
        <v>1KhWzt5vyNW1kzhPLXipM9CAX2wUBQQLJePUogClbNy0</v>
      </c>
    </row>
    <row r="461" spans="1:3" ht="15.75" customHeight="1">
      <c r="A461" t="str">
        <f ca="1">IFERROR(__xludf.DUMMYFUNCTION("""COMPUTED_VALUE"""),"ThirdParty")</f>
        <v>ThirdParty</v>
      </c>
      <c r="B461" t="str">
        <f ca="1">IFERROR(__xludf.DUMMYFUNCTION("""COMPUTED_VALUE"""),"RefreshThirdParty")</f>
        <v>RefreshThirdParty</v>
      </c>
      <c r="C461" t="str">
        <f ca="1">IFERROR(__xludf.DUMMYFUNCTION("""COMPUTED_VALUE"""),"1lOOWkQYcBWumeD4F4mCbIz0B_-RtHa-lbk2xvVUXKAQ")</f>
        <v>1lOOWkQYcBWumeD4F4mCbIz0B_-RtHa-lbk2xvVUXKAQ</v>
      </c>
    </row>
    <row r="462" spans="1:3" ht="15.75" customHeight="1">
      <c r="A462" t="str">
        <f ca="1">IFERROR(__xludf.DUMMYFUNCTION("""COMPUTED_VALUE"""),"Rebalancer")</f>
        <v>Rebalancer</v>
      </c>
      <c r="B462" t="str">
        <f ca="1">IFERROR(__xludf.DUMMYFUNCTION("""COMPUTED_VALUE"""),"AddUserAdjustedNAV")</f>
        <v>AddUserAdjustedNAV</v>
      </c>
      <c r="C462" t="str">
        <f ca="1">IFERROR(__xludf.DUMMYFUNCTION("""COMPUTED_VALUE"""),"1qQ0LJ_1IrYMh6SBmiw0AFS9zYw6kLYcDP2Wn07lO6Lk")</f>
        <v>1qQ0LJ_1IrYMh6SBmiw0AFS9zYw6kLYcDP2Wn07lO6Lk</v>
      </c>
    </row>
    <row r="463" spans="1:3" ht="15.75" customHeight="1">
      <c r="A463" t="str">
        <f ca="1">IFERROR(__xludf.DUMMYFUNCTION("""COMPUTED_VALUE"""),"Allocation")</f>
        <v>Allocation</v>
      </c>
      <c r="B463" t="str">
        <f ca="1">IFERROR(__xludf.DUMMYFUNCTION("""COMPUTED_VALUE"""),"IsAllocationOpen")</f>
        <v>IsAllocationOpen</v>
      </c>
      <c r="C463" t="str">
        <f ca="1">IFERROR(__xludf.DUMMYFUNCTION("""COMPUTED_VALUE"""),"1Yj9sEWGLvIGVCkeE8wc3xNY8Z4yZNGigW0Bdgp8edvA")</f>
        <v>1Yj9sEWGLvIGVCkeE8wc3xNY8Z4yZNGigW0Bdgp8edvA</v>
      </c>
    </row>
    <row r="464" spans="1:3" ht="15.75" customHeight="1">
      <c r="A464" t="str">
        <f ca="1">IFERROR(__xludf.DUMMYFUNCTION("""COMPUTED_VALUE"""),"ShortLocate")</f>
        <v>ShortLocate</v>
      </c>
      <c r="B464" t="str">
        <f ca="1">IFERROR(__xludf.DUMMYFUNCTION("""COMPUTED_VALUE"""),"ImportOnShortLocate")</f>
        <v>ImportOnShortLocate</v>
      </c>
      <c r="C464" t="str">
        <f ca="1">IFERROR(__xludf.DUMMYFUNCTION("""COMPUTED_VALUE"""),"1C1ug_xZK2cdCqIYVDKTOxKoGTSIdtZaPgm86m17Er_Y")</f>
        <v>1C1ug_xZK2cdCqIYVDKTOxKoGTSIdtZaPgm86m17Er_Y</v>
      </c>
    </row>
    <row r="465" spans="1:3" ht="15.75" customHeight="1">
      <c r="A465" t="str">
        <f ca="1">IFERROR(__xludf.DUMMYFUNCTION("""COMPUTED_VALUE"""),"ShortLocate")</f>
        <v>ShortLocate</v>
      </c>
      <c r="B465" t="str">
        <f ca="1">IFERROR(__xludf.DUMMYFUNCTION("""COMPUTED_VALUE"""),"ApplyFilterOnShortLocate")</f>
        <v>ApplyFilterOnShortLocate</v>
      </c>
      <c r="C465" t="str">
        <f ca="1">IFERROR(__xludf.DUMMYFUNCTION("""COMPUTED_VALUE"""),"1Cn-Bl95PXGhKloQYYlJej7rKVd4ux1kGG_MBit4fk4A")</f>
        <v>1Cn-Bl95PXGhKloQYYlJej7rKVd4ux1kGG_MBit4fk4A</v>
      </c>
    </row>
    <row r="466" spans="1:3" ht="15.75" customHeight="1">
      <c r="A466" t="str">
        <f ca="1">IFERROR(__xludf.DUMMYFUNCTION("""COMPUTED_VALUE"""),"ShortLocate")</f>
        <v>ShortLocate</v>
      </c>
      <c r="B466" t="str">
        <f ca="1">IFERROR(__xludf.DUMMYFUNCTION("""COMPUTED_VALUE"""),"OpenTTFromShortLocate")</f>
        <v>OpenTTFromShortLocate</v>
      </c>
      <c r="C466" t="str">
        <f ca="1">IFERROR(__xludf.DUMMYFUNCTION("""COMPUTED_VALUE"""),"1VN5CVtgHNYp2lmtsmJrMDYMXq_8Gh_rSpLpAb6ErM6M")</f>
        <v>1VN5CVtgHNYp2lmtsmJrMDYMXq_8Gh_rSpLpAb6ErM6M</v>
      </c>
    </row>
    <row r="467" spans="1:3" ht="15.75" customHeight="1">
      <c r="A467" t="str">
        <f ca="1">IFERROR(__xludf.DUMMYFUNCTION("""COMPUTED_VALUE"""),"PortfolioManagement")</f>
        <v>PortfolioManagement</v>
      </c>
      <c r="B467" t="str">
        <f ca="1">IFERROR(__xludf.DUMMYFUNCTION("""COMPUTED_VALUE"""),"RemoveGroupingFromPM")</f>
        <v>RemoveGroupingFromPM</v>
      </c>
      <c r="C467" t="str">
        <f ca="1">IFERROR(__xludf.DUMMYFUNCTION("""COMPUTED_VALUE"""),"1YKIncD0kWnaqpNFNOsgCVyA1F91XPeAgnyduLhg4NUg")</f>
        <v>1YKIncD0kWnaqpNFNOsgCVyA1F91XPeAgnyduLhg4NUg</v>
      </c>
    </row>
    <row r="468" spans="1:3" ht="15.75" customHeight="1">
      <c r="A468" t="str">
        <f ca="1">IFERROR(__xludf.DUMMYFUNCTION("""COMPUTED_VALUE"""),"Watchlist")</f>
        <v>Watchlist</v>
      </c>
      <c r="B468" t="str">
        <f ca="1">IFERROR(__xludf.DUMMYFUNCTION("""COMPUTED_VALUE"""),"AddTabOnWatchlist")</f>
        <v>AddTabOnWatchlist</v>
      </c>
      <c r="C468" t="str">
        <f ca="1">IFERROR(__xludf.DUMMYFUNCTION("""COMPUTED_VALUE"""),"1jjhORl_GGC1MaE-TaNLImepF81XAVLTJrRzVfbjFgww")</f>
        <v>1jjhORl_GGC1MaE-TaNLImepF81XAVLTJrRzVfbjFgww</v>
      </c>
    </row>
    <row r="469" spans="1:3" ht="15.75" customHeight="1">
      <c r="A469" t="str">
        <f ca="1">IFERROR(__xludf.DUMMYFUNCTION("""COMPUTED_VALUE"""),"Watchlist")</f>
        <v>Watchlist</v>
      </c>
      <c r="B469" t="str">
        <f ca="1">IFERROR(__xludf.DUMMYFUNCTION("""COMPUTED_VALUE"""),"DeleteTabOnWatchlist")</f>
        <v>DeleteTabOnWatchlist</v>
      </c>
      <c r="C469" t="str">
        <f ca="1">IFERROR(__xludf.DUMMYFUNCTION("""COMPUTED_VALUE"""),"1RgygcdRJLzJYHZ0zP3Z6BDlHpdOX2WYr8NDtGPZTM7E")</f>
        <v>1RgygcdRJLzJYHZ0zP3Z6BDlHpdOX2WYr8NDtGPZTM7E</v>
      </c>
    </row>
    <row r="470" spans="1:3" ht="15.75" customHeight="1">
      <c r="A470" t="str">
        <f ca="1">IFERROR(__xludf.DUMMYFUNCTION("""COMPUTED_VALUE"""),"ShortLocate")</f>
        <v>ShortLocate</v>
      </c>
      <c r="B470" t="str">
        <f ca="1">IFERROR(__xludf.DUMMYFUNCTION("""COMPUTED_VALUE"""),"Upload")</f>
        <v>Upload</v>
      </c>
      <c r="C470" t="str">
        <f ca="1">IFERROR(__xludf.DUMMYFUNCTION("""COMPUTED_VALUE"""),"1DBkPKMXuOkBiTKkni_QwMf9B-Vs7FbA9VGOGKS51ZT4")</f>
        <v>1DBkPKMXuOkBiTKkni_QwMf9B-Vs7FbA9VGOGKS51ZT4</v>
      </c>
    </row>
    <row r="471" spans="1:3" ht="15.75" customHeight="1">
      <c r="A471" t="str">
        <f ca="1">IFERROR(__xludf.DUMMYFUNCTION("""COMPUTED_VALUE"""),"Recon")</f>
        <v>Recon</v>
      </c>
      <c r="B471" t="str">
        <f ca="1">IFERROR(__xludf.DUMMYFUNCTION("""COMPUTED_VALUE"""),"ViewDataOnRecon")</f>
        <v>ViewDataOnRecon</v>
      </c>
      <c r="C471" t="str">
        <f ca="1">IFERROR(__xludf.DUMMYFUNCTION("""COMPUTED_VALUE"""),"1BbKkpqbBk38mGc3pkD1qocCD2l1ul-edULN0zIfJnX0")</f>
        <v>1BbKkpqbBk38mGc3pkD1qocCD2l1ul-edULN0zIfJnX0</v>
      </c>
    </row>
    <row r="472" spans="1:3" ht="15.75" customHeight="1">
      <c r="A472" t="str">
        <f ca="1">IFERROR(__xludf.DUMMYFUNCTION("""COMPUTED_VALUE"""),"Recon")</f>
        <v>Recon</v>
      </c>
      <c r="B472" t="str">
        <f ca="1">IFERROR(__xludf.DUMMYFUNCTION("""COMPUTED_VALUE"""),"RunRecon")</f>
        <v>RunRecon</v>
      </c>
      <c r="C472" t="str">
        <f ca="1">IFERROR(__xludf.DUMMYFUNCTION("""COMPUTED_VALUE"""),"1DW645A60flaLELO2P22MpKYws1JG4n6BHBPkmms9cLw")</f>
        <v>1DW645A60flaLELO2P22MpKYws1JG4n6BHBPkmms9cLw</v>
      </c>
    </row>
    <row r="473" spans="1:3" ht="15.75" customHeight="1">
      <c r="A473" t="str">
        <f ca="1">IFERROR(__xludf.DUMMYFUNCTION("""COMPUTED_VALUE"""),"Recon")</f>
        <v>Recon</v>
      </c>
      <c r="B473" t="str">
        <f ca="1">IFERROR(__xludf.DUMMYFUNCTION("""COMPUTED_VALUE"""),"GenerateExceptionReport")</f>
        <v>GenerateExceptionReport</v>
      </c>
      <c r="C473" t="str">
        <f ca="1">IFERROR(__xludf.DUMMYFUNCTION("""COMPUTED_VALUE"""),"10mHZ-4hGDgpDcAZFTNOSjWUY0tCOkmljN_PiDLwfInQ")</f>
        <v>10mHZ-4hGDgpDcAZFTNOSjWUY0tCOkmljN_PiDLwfInQ</v>
      </c>
    </row>
    <row r="474" spans="1:3" ht="15.75" customHeight="1">
      <c r="A474" t="str">
        <f ca="1">IFERROR(__xludf.DUMMYFUNCTION("""COMPUTED_VALUE"""),"Recon")</f>
        <v>Recon</v>
      </c>
      <c r="B474" t="str">
        <f ca="1">IFERROR(__xludf.DUMMYFUNCTION("""COMPUTED_VALUE"""),"ImportDataOnRecon")</f>
        <v>ImportDataOnRecon</v>
      </c>
      <c r="C474" t="str">
        <f ca="1">IFERROR(__xludf.DUMMYFUNCTION("""COMPUTED_VALUE"""),"1vSoBC5mnlpIAaj42v6OpnHQkGmK8gaC-xL91AFbqpzk")</f>
        <v>1vSoBC5mnlpIAaj42v6OpnHQkGmK8gaC-xL91AFbqpzk</v>
      </c>
    </row>
    <row r="475" spans="1:3" ht="15.75" customHeight="1">
      <c r="A475" t="str">
        <f ca="1">IFERROR(__xludf.DUMMYFUNCTION("""COMPUTED_VALUE"""),"ShortLocate")</f>
        <v>ShortLocate</v>
      </c>
      <c r="B475" t="str">
        <f ca="1">IFERROR(__xludf.DUMMYFUNCTION("""COMPUTED_VALUE"""),"VerifyShortLocateGrid")</f>
        <v>VerifyShortLocateGrid</v>
      </c>
      <c r="C475" t="str">
        <f ca="1">IFERROR(__xludf.DUMMYFUNCTION("""COMPUTED_VALUE"""),"1qAzz_4B1zB9C9Vo0fwcHW1n3y4NbkaQdOAUu2-lNpqo")</f>
        <v>1qAzz_4B1zB9C9Vo0fwcHW1n3y4NbkaQdOAUu2-lNpqo</v>
      </c>
    </row>
    <row r="476" spans="1:3" ht="15.75" customHeight="1">
      <c r="A476" t="str">
        <f ca="1">IFERROR(__xludf.DUMMYFUNCTION("""COMPUTED_VALUE"""),"Recon")</f>
        <v>Recon</v>
      </c>
      <c r="B476" t="str">
        <f ca="1">IFERROR(__xludf.DUMMYFUNCTION("""COMPUTED_VALUE"""),"VerifyApplicationData")</f>
        <v>VerifyApplicationData</v>
      </c>
      <c r="C476" t="str">
        <f ca="1">IFERROR(__xludf.DUMMYFUNCTION("""COMPUTED_VALUE"""),"1jLU1Bj4VFFNvZ0Wi033TIL8f5pwmJpXs_wwWfZSYsew")</f>
        <v>1jLU1Bj4VFFNvZ0Wi033TIL8f5pwmJpXs_wwWfZSYsew</v>
      </c>
    </row>
    <row r="477" spans="1:3" ht="15.75" customHeight="1">
      <c r="A477" t="str">
        <f ca="1">IFERROR(__xludf.DUMMYFUNCTION("""COMPUTED_VALUE"""),"Recon")</f>
        <v>Recon</v>
      </c>
      <c r="B477" t="str">
        <f ca="1">IFERROR(__xludf.DUMMYFUNCTION("""COMPUTED_VALUE"""),"VerifyExceptionReport")</f>
        <v>VerifyExceptionReport</v>
      </c>
      <c r="C477" t="str">
        <f ca="1">IFERROR(__xludf.DUMMYFUNCTION("""COMPUTED_VALUE"""),"14zGa8XglUbfEDxZkT3kMdelOdTfTP2DE6GmuNtG7Wwk")</f>
        <v>14zGa8XglUbfEDxZkT3kMdelOdTfTP2DE6GmuNtG7Wwk</v>
      </c>
    </row>
    <row r="478" spans="1:3" ht="15.75" customHeight="1">
      <c r="A478" t="str">
        <f ca="1">IFERROR(__xludf.DUMMYFUNCTION("""COMPUTED_VALUE"""),"Recon")</f>
        <v>Recon</v>
      </c>
      <c r="B478" t="str">
        <f ca="1">IFERROR(__xludf.DUMMYFUNCTION("""COMPUTED_VALUE"""),"VerifyPrimeBrokerData")</f>
        <v>VerifyPrimeBrokerData</v>
      </c>
      <c r="C478" t="str">
        <f ca="1">IFERROR(__xludf.DUMMYFUNCTION("""COMPUTED_VALUE"""),"1wcOx1NW-51uplf8YB8fYA6_SoD4MxIc609lcfAUapK8")</f>
        <v>1wcOx1NW-51uplf8YB8fYA6_SoD4MxIc609lcfAUapK8</v>
      </c>
    </row>
    <row r="479" spans="1:3" ht="15.75" customHeight="1">
      <c r="A479" t="str">
        <f ca="1">IFERROR(__xludf.DUMMYFUNCTION("""COMPUTED_VALUE"""),"Admin")</f>
        <v>Admin</v>
      </c>
      <c r="B479" t="str">
        <f ca="1">IFERROR(__xludf.DUMMYFUNCTION("""COMPUTED_VALUE"""),"SetTradingComplianceRules")</f>
        <v>SetTradingComplianceRules</v>
      </c>
      <c r="C479" t="str">
        <f ca="1">IFERROR(__xludf.DUMMYFUNCTION("""COMPUTED_VALUE"""),"17Wu2UvH-BU-Px5WPcyG0Xhz2IxPoaWJqrIt67mvCrAA")</f>
        <v>17Wu2UvH-BU-Px5WPcyG0Xhz2IxPoaWJqrIt67mvCrAA</v>
      </c>
    </row>
    <row r="480" spans="1:3" ht="15.75" customHeight="1">
      <c r="A480" t="str">
        <f ca="1">IFERROR(__xludf.DUMMYFUNCTION("""COMPUTED_VALUE"""),"TradingTicket")</f>
        <v>TradingTicket</v>
      </c>
      <c r="B480" t="str">
        <f ca="1">IFERROR(__xludf.DUMMYFUNCTION("""COMPUTED_VALUE"""),"ImportSymbol")</f>
        <v>ImportSymbol</v>
      </c>
      <c r="C480" t="str">
        <f ca="1">IFERROR(__xludf.DUMMYFUNCTION("""COMPUTED_VALUE"""),"1UEKelK1NMdYtsfsyMcdva6Yft_Yr9G8cWbrfel-9MJU")</f>
        <v>1UEKelK1NMdYtsfsyMcdva6Yft_Yr9G8cWbrfel-9MJU</v>
      </c>
    </row>
    <row r="481" spans="1:3" ht="15.75" customHeight="1">
      <c r="A481" t="str">
        <f ca="1">IFERROR(__xludf.DUMMYFUNCTION("""COMPUTED_VALUE"""),"TradingTicket")</f>
        <v>TradingTicket</v>
      </c>
      <c r="B481" t="str">
        <f ca="1">IFERROR(__xludf.DUMMYFUNCTION("""COMPUTED_VALUE"""),"ExportSymbolFromRAList")</f>
        <v>ExportSymbolFromRAList</v>
      </c>
      <c r="C481" t="str">
        <f ca="1">IFERROR(__xludf.DUMMYFUNCTION("""COMPUTED_VALUE"""),"1MHwX_PBm9hsA0q8FgudciwiJIAk4mZvCR42Xpxx4sKs")</f>
        <v>1MHwX_PBm9hsA0q8FgudciwiJIAk4mZvCR42Xpxx4sKs</v>
      </c>
    </row>
    <row r="482" spans="1:3" ht="15.75" customHeight="1">
      <c r="A482" t="str">
        <f ca="1">IFERROR(__xludf.DUMMYFUNCTION("""COMPUTED_VALUE"""),"TradingTicket")</f>
        <v>TradingTicket</v>
      </c>
      <c r="B482" t="str">
        <f ca="1">IFERROR(__xludf.DUMMYFUNCTION("""COMPUTED_VALUE""")," CheckPendingNewOrderAlert")</f>
        <v xml:space="preserve"> CheckPendingNewOrderAlert</v>
      </c>
      <c r="C482" t="str">
        <f ca="1">IFERROR(__xludf.DUMMYFUNCTION("""COMPUTED_VALUE"""),"1t2KWd4MXhp0cc5GddRUoU75jESYZ8rvlBGDofapbzuI")</f>
        <v>1t2KWd4MXhp0cc5GddRUoU75jESYZ8rvlBGDofapbzuI</v>
      </c>
    </row>
    <row r="483" spans="1:3" ht="15.75" customHeight="1">
      <c r="A483" t="str">
        <f ca="1">IFERROR(__xludf.DUMMYFUNCTION("""COMPUTED_VALUE"""),"TradingTicket")</f>
        <v>TradingTicket</v>
      </c>
      <c r="B483" t="str">
        <f ca="1">IFERROR(__xludf.DUMMYFUNCTION("""COMPUTED_VALUE"""),"AddSymbolOnRAList")</f>
        <v>AddSymbolOnRAList</v>
      </c>
      <c r="C483" t="str">
        <f ca="1">IFERROR(__xludf.DUMMYFUNCTION("""COMPUTED_VALUE"""),"1mAGV09viuVWEe4eHRdp4TWIABKngOqrICWdKcXQy3uo")</f>
        <v>1mAGV09viuVWEe4eHRdp4TWIABKngOqrICWdKcXQy3uo</v>
      </c>
    </row>
    <row r="484" spans="1:3" ht="15.75" customHeight="1">
      <c r="A484" t="str">
        <f ca="1">IFERROR(__xludf.DUMMYFUNCTION("""COMPUTED_VALUE"""),"TradingTicket")</f>
        <v>TradingTicket</v>
      </c>
      <c r="B484" t="str">
        <f ca="1">IFERROR(__xludf.DUMMYFUNCTION("""COMPUTED_VALUE"""),"DeleteSymbolListFromRA")</f>
        <v>DeleteSymbolListFromRA</v>
      </c>
      <c r="C484" t="str">
        <f ca="1">IFERROR(__xludf.DUMMYFUNCTION("""COMPUTED_VALUE"""),"14dSZOTqRtu1tjIclv4ory70p3_NVBD4oZ8-Z0-kfJHo")</f>
        <v>14dSZOTqRtu1tjIclv4ory70p3_NVBD4oZ8-Z0-kfJHo</v>
      </c>
    </row>
    <row r="485" spans="1:3" ht="15.75" customHeight="1">
      <c r="A485" t="str">
        <f ca="1">IFERROR(__xludf.DUMMYFUNCTION("""COMPUTED_VALUE"""),"TradingTicket")</f>
        <v>TradingTicket</v>
      </c>
      <c r="B485" t="str">
        <f ca="1">IFERROR(__xludf.DUMMYFUNCTION("""COMPUTED_VALUE"""),"RemoveSymbolFromRAList")</f>
        <v>RemoveSymbolFromRAList</v>
      </c>
      <c r="C485" t="str">
        <f ca="1">IFERROR(__xludf.DUMMYFUNCTION("""COMPUTED_VALUE"""),"1esriqspMNcbGjPDPy2u7bJyQKd05b0Y9Sin8DcUfSEE")</f>
        <v>1esriqspMNcbGjPDPy2u7bJyQKd05b0Y9Sin8DcUfSEE</v>
      </c>
    </row>
    <row r="486" spans="1:3" ht="15.75" customHeight="1">
      <c r="A486" t="str">
        <f ca="1">IFERROR(__xludf.DUMMYFUNCTION("""COMPUTED_VALUE"""),"Report")</f>
        <v>Report</v>
      </c>
      <c r="B486" t="str">
        <f ca="1">IFERROR(__xludf.DUMMYFUNCTION("""COMPUTED_VALUE"""),"ReportMatching")</f>
        <v>ReportMatching</v>
      </c>
      <c r="C486" t="str">
        <f ca="1">IFERROR(__xludf.DUMMYFUNCTION("""COMPUTED_VALUE"""),"1IURT1smTM6q7aOlSfUxXb-piLEDNEFM-Z_rxNUweXqU")</f>
        <v>1IURT1smTM6q7aOlSfUxXb-piLEDNEFM-Z_rxNUweXqU</v>
      </c>
    </row>
    <row r="487" spans="1:3" ht="15.75" customHeight="1">
      <c r="A487" t="str">
        <f ca="1">IFERROR(__xludf.DUMMYFUNCTION("""COMPUTED_VALUE"""),"Admin")</f>
        <v>Admin</v>
      </c>
      <c r="B487" t="str">
        <f ca="1">IFERROR(__xludf.DUMMYFUNCTION("""COMPUTED_VALUE"""),"EnableBreakdownRealizedPNL")</f>
        <v>EnableBreakdownRealizedPNL</v>
      </c>
      <c r="C487" t="str">
        <f ca="1">IFERROR(__xludf.DUMMYFUNCTION("""COMPUTED_VALUE"""),"1MsdAMudFZTDN6c4GJMzmiY0zvgautsPJWcDY1jxOGP0")</f>
        <v>1MsdAMudFZTDN6c4GJMzmiY0zvgautsPJWcDY1jxOGP0</v>
      </c>
    </row>
    <row r="488" spans="1:3" ht="15.75" customHeight="1">
      <c r="A488" t="str">
        <f ca="1">IFERROR(__xludf.DUMMYFUNCTION("""COMPUTED_VALUE"""),"Admin")</f>
        <v>Admin</v>
      </c>
      <c r="B488" t="str">
        <f ca="1">IFERROR(__xludf.DUMMYFUNCTION("""COMPUTED_VALUE"""),"SetTTGeneralPreferences")</f>
        <v>SetTTGeneralPreferences</v>
      </c>
      <c r="C488" t="str">
        <f ca="1">IFERROR(__xludf.DUMMYFUNCTION("""COMPUTED_VALUE"""),"1VU4CqD-ZRcRyvM1M2otqULbHS-fnUmcO_NcgQMsS9rE")</f>
        <v>1VU4CqD-ZRcRyvM1M2otqULbHS-fnUmcO_NcgQMsS9rE</v>
      </c>
    </row>
    <row r="489" spans="1:3" ht="15.75" customHeight="1">
      <c r="A489" t="str">
        <f ca="1">IFERROR(__xludf.DUMMYFUNCTION("""COMPUTED_VALUE"""),"Blotter")</f>
        <v>Blotter</v>
      </c>
      <c r="B489" t="str">
        <f ca="1">IFERROR(__xludf.DUMMYFUNCTION("""COMPUTED_VALUE"""),"OpenBlotter")</f>
        <v>OpenBlotter</v>
      </c>
      <c r="C489" t="str">
        <f ca="1">IFERROR(__xludf.DUMMYFUNCTION("""COMPUTED_VALUE"""),"12ceIzEYIShy-_njSlPPAl07iNZK9EY7UC-GDAyLFzV4")</f>
        <v>12ceIzEYIShy-_njSlPPAl07iNZK9EY7UC-GDAyLFzV4</v>
      </c>
    </row>
    <row r="490" spans="1:3" ht="15.75" customHeight="1">
      <c r="A490" t="str">
        <f ca="1">IFERROR(__xludf.DUMMYFUNCTION("""COMPUTED_VALUE"""),"ExeExecutor")</f>
        <v>ExeExecutor</v>
      </c>
      <c r="B490" t="str">
        <f ca="1">IFERROR(__xludf.DUMMYFUNCTION("""COMPUTED_VALUE"""),"CallExeExecutor")</f>
        <v>CallExeExecutor</v>
      </c>
      <c r="C490" t="str">
        <f ca="1">IFERROR(__xludf.DUMMYFUNCTION("""COMPUTED_VALUE"""),"1hwFwcZT2KkLMWXu0X968AjDc83QETRSutmtdbAtWjRQ")</f>
        <v>1hwFwcZT2KkLMWXu0X968AjDc83QETRSutmtdbAtWjRQ</v>
      </c>
    </row>
    <row r="491" spans="1:3" ht="15.75" customHeight="1">
      <c r="A491" t="str">
        <f ca="1">IFERROR(__xludf.DUMMYFUNCTION("""COMPUTED_VALUE"""),"TradingTicket")</f>
        <v>TradingTicket</v>
      </c>
      <c r="B491" t="str">
        <f ca="1">IFERROR(__xludf.DUMMYFUNCTION("""COMPUTED_VALUE"""),"ToggleBlombergOnRA")</f>
        <v>ToggleBlombergOnRA</v>
      </c>
      <c r="C491" t="str">
        <f ca="1">IFERROR(__xludf.DUMMYFUNCTION("""COMPUTED_VALUE"""),"1TNk3Ts3tA51Oj9qjpTVY3IDwk0Ro78g-6ZmRMY4-lHk")</f>
        <v>1TNk3Ts3tA51Oj9qjpTVY3IDwk0Ro78g-6ZmRMY4-lHk</v>
      </c>
    </row>
    <row r="492" spans="1:3" ht="15.75" customHeight="1">
      <c r="A492" t="str">
        <f ca="1">IFERROR(__xludf.DUMMYFUNCTION("""COMPUTED_VALUE"""),"Blotter")</f>
        <v>Blotter</v>
      </c>
      <c r="B492" t="str">
        <f ca="1">IFERROR(__xludf.DUMMYFUNCTION("""COMPUTED_VALUE"""),"RemoveManualExecution")</f>
        <v>RemoveManualExecution</v>
      </c>
      <c r="C492" t="str">
        <f ca="1">IFERROR(__xludf.DUMMYFUNCTION("""COMPUTED_VALUE"""),"1jbkbbKX6sldAF_Pk73xVZ1gvRS_q8eEl9NbS6SSiFi8")</f>
        <v>1jbkbbKX6sldAF_Pk73xVZ1gvRS_q8eEl9NbS6SSiFi8</v>
      </c>
    </row>
    <row r="493" spans="1:3" ht="15.75" customHeight="1">
      <c r="A493" t="str">
        <f ca="1">IFERROR(__xludf.DUMMYFUNCTION("""COMPUTED_VALUE"""),"Blotter")</f>
        <v>Blotter</v>
      </c>
      <c r="B493" t="str">
        <f ca="1">IFERROR(__xludf.DUMMYFUNCTION("""COMPUTED_VALUE"""),"RemoveExecutionWorkingSubs")</f>
        <v>RemoveExecutionWorkingSubs</v>
      </c>
      <c r="C493" t="str">
        <f ca="1">IFERROR(__xludf.DUMMYFUNCTION("""COMPUTED_VALUE"""),"1xhQkfgYxnBj3SaiVD_XZo7TN5gmMtEEUIk-KMtc-Cug")</f>
        <v>1xhQkfgYxnBj3SaiVD_XZo7TN5gmMtEEUIk-KMtc-Cug</v>
      </c>
    </row>
    <row r="494" spans="1:3" ht="15.75" customHeight="1">
      <c r="A494" t="str">
        <f ca="1">IFERROR(__xludf.DUMMYFUNCTION("""COMPUTED_VALUE"""),"Dropcopy")</f>
        <v>Dropcopy</v>
      </c>
      <c r="B494" t="str">
        <f ca="1">IFERROR(__xludf.DUMMYFUNCTION("""COMPUTED_VALUE"""),"UploadDropcopyFile")</f>
        <v>UploadDropcopyFile</v>
      </c>
      <c r="C494" t="str">
        <f ca="1">IFERROR(__xludf.DUMMYFUNCTION("""COMPUTED_VALUE"""),"1W-fqHVGr66uN9zMhvO6QE-0fTnvoMIo31A_MC2VEFUY")</f>
        <v>1W-fqHVGr66uN9zMhvO6QE-0fTnvoMIo31A_MC2VEFUY</v>
      </c>
    </row>
    <row r="495" spans="1:3" ht="15.75" customHeight="1">
      <c r="A495" t="str">
        <f ca="1">IFERROR(__xludf.DUMMYFUNCTION("""COMPUTED_VALUE"""),"TradeServer")</f>
        <v>TradeServer</v>
      </c>
      <c r="B495" t="str">
        <f ca="1">IFERROR(__xludf.DUMMYFUNCTION("""COMPUTED_VALUE"""),"StartTradeServer")</f>
        <v>StartTradeServer</v>
      </c>
      <c r="C495" t="str">
        <f ca="1">IFERROR(__xludf.DUMMYFUNCTION("""COMPUTED_VALUE"""),"1B9rnk-hL47W-7iUGju1P5wtQC8y0BGZIAhuxsistETQ")</f>
        <v>1B9rnk-hL47W-7iUGju1P5wtQC8y0BGZIAhuxsistETQ</v>
      </c>
    </row>
    <row r="496" spans="1:3" ht="15.75" customHeight="1">
      <c r="A496" t="str">
        <f ca="1">IFERROR(__xludf.DUMMYFUNCTION("""COMPUTED_VALUE"""),"TradeServer")</f>
        <v>TradeServer</v>
      </c>
      <c r="B496" t="str">
        <f ca="1">IFERROR(__xludf.DUMMYFUNCTION("""COMPUTED_VALUE"""),"CloseTradeServer ")</f>
        <v xml:space="preserve">CloseTradeServer </v>
      </c>
      <c r="C496" t="str">
        <f ca="1">IFERROR(__xludf.DUMMYFUNCTION("""COMPUTED_VALUE"""),"174Tprzh0aMAZa-Ckuaucg-4aWwJTc-gYly9QXAbePh0")</f>
        <v>174Tprzh0aMAZa-Ckuaucg-4aWwJTc-gYly9QXAbePh0</v>
      </c>
    </row>
    <row r="497" spans="1:3" ht="15.75" customHeight="1">
      <c r="A497" t="str">
        <f ca="1">IFERROR(__xludf.DUMMYFUNCTION("""COMPUTED_VALUE"""),"Blotter")</f>
        <v>Blotter</v>
      </c>
      <c r="B497" t="str">
        <f ca="1">IFERROR(__xludf.DUMMYFUNCTION("""COMPUTED_VALUE"""),"GetExecutionReportOrders")</f>
        <v>GetExecutionReportOrders</v>
      </c>
      <c r="C497" t="str">
        <f ca="1">IFERROR(__xludf.DUMMYFUNCTION("""COMPUTED_VALUE"""),"1hQPEUlOvv9Vi1KsbHsN6z0TIt4-v9Ckko9Z170M5bto")</f>
        <v>1hQPEUlOvv9Vi1KsbHsN6z0TIt4-v9Ckko9Z170M5bto</v>
      </c>
    </row>
    <row r="498" spans="1:3" ht="15.75" customHeight="1">
      <c r="A498" t="str">
        <f ca="1">IFERROR(__xludf.DUMMYFUNCTION("""COMPUTED_VALUE"""),"Blotter")</f>
        <v>Blotter</v>
      </c>
      <c r="B498" t="str">
        <f ca="1">IFERROR(__xludf.DUMMYFUNCTION("""COMPUTED_VALUE"""),"GetExecutionReportDetails")</f>
        <v>GetExecutionReportDetails</v>
      </c>
      <c r="C498" t="str">
        <f ca="1">IFERROR(__xludf.DUMMYFUNCTION("""COMPUTED_VALUE"""),"1aD9Si2VBbY68g9PUfKv624K3d2PbLqScMJakPjZ8hFs")</f>
        <v>1aD9Si2VBbY68g9PUfKv624K3d2PbLqScMJakPjZ8hFs</v>
      </c>
    </row>
    <row r="499" spans="1:3" ht="15.75" customHeight="1">
      <c r="A499" t="str">
        <f ca="1">IFERROR(__xludf.DUMMYFUNCTION("""COMPUTED_VALUE"""),"Blotter")</f>
        <v>Blotter</v>
      </c>
      <c r="B499" t="str">
        <f ca="1">IFERROR(__xludf.DUMMYFUNCTION("""COMPUTED_VALUE"""),"ExportExecutionReportData")</f>
        <v>ExportExecutionReportData</v>
      </c>
      <c r="C499" t="str">
        <f ca="1">IFERROR(__xludf.DUMMYFUNCTION("""COMPUTED_VALUE"""),"1a6yh6QYOXKH0UbWUlB2RKwf87hvs13OSFnVJBRYCYpM")</f>
        <v>1a6yh6QYOXKH0UbWUlB2RKwf87hvs13OSFnVJBRYCYpM</v>
      </c>
    </row>
    <row r="500" spans="1:3" ht="15.75" customHeight="1">
      <c r="A500" t="str">
        <f ca="1">IFERROR(__xludf.DUMMYFUNCTION("""COMPUTED_VALUE"""),"Blotter")</f>
        <v>Blotter</v>
      </c>
      <c r="B500" t="str">
        <f ca="1">IFERROR(__xludf.DUMMYFUNCTION("""COMPUTED_VALUE"""),"VerifyExecutionReport")</f>
        <v>VerifyExecutionReport</v>
      </c>
      <c r="C500" t="str">
        <f ca="1">IFERROR(__xludf.DUMMYFUNCTION("""COMPUTED_VALUE"""),"15sKQ6yRs5rA6j70FvZOyg9HBsLCsZF-psuPGXdEFJSg")</f>
        <v>15sKQ6yRs5rA6j70FvZOyg9HBsLCsZF-psuPGXdEFJSg</v>
      </c>
    </row>
    <row r="501" spans="1:3" ht="15.75" customHeight="1">
      <c r="A501" t="str">
        <f ca="1">IFERROR(__xludf.DUMMYFUNCTION("""COMPUTED_VALUE"""),"Blotter")</f>
        <v>Blotter</v>
      </c>
      <c r="B501" t="str">
        <f ca="1">IFERROR(__xludf.DUMMYFUNCTION("""COMPUTED_VALUE"""),"BlotterExecutionReportSnapshot")</f>
        <v>BlotterExecutionReportSnapshot</v>
      </c>
      <c r="C501" t="str">
        <f ca="1">IFERROR(__xludf.DUMMYFUNCTION("""COMPUTED_VALUE"""),"1O56bvbVFEtmCnv92OXcl9NqN7Zssjg6iXf_dOM4W0hs")</f>
        <v>1O56bvbVFEtmCnv92OXcl9NqN7Zssjg6iXf_dOM4W0hs</v>
      </c>
    </row>
    <row r="502" spans="1:3" ht="15.75" customHeight="1">
      <c r="A502" t="str">
        <f ca="1">IFERROR(__xludf.DUMMYFUNCTION("""COMPUTED_VALUE"""),"Admin")</f>
        <v>Admin</v>
      </c>
      <c r="B502" t="str">
        <f ca="1">IFERROR(__xludf.DUMMYFUNCTION("""COMPUTED_VALUE"""),"SetDollarAmountPermission")</f>
        <v>SetDollarAmountPermission</v>
      </c>
      <c r="C502" t="str">
        <f ca="1">IFERROR(__xludf.DUMMYFUNCTION("""COMPUTED_VALUE"""),"19sxepfVnPP3DvqI8vW23p2yn2sob_Nn7_0R4WSGOgyc")</f>
        <v>19sxepfVnPP3DvqI8vW23p2yn2sob_Nn7_0R4WSGOgyc</v>
      </c>
    </row>
    <row r="503" spans="1:3" ht="15.75" customHeight="1">
      <c r="A503" t="str">
        <f ca="1">IFERROR(__xludf.DUMMYFUNCTION("""COMPUTED_VALUE"""),"Admin")</f>
        <v>Admin</v>
      </c>
      <c r="B503" t="str">
        <f ca="1">IFERROR(__xludf.DUMMYFUNCTION("""COMPUTED_VALUE"""),"EnableDisableModule")</f>
        <v>EnableDisableModule</v>
      </c>
      <c r="C503" t="str">
        <f ca="1">IFERROR(__xludf.DUMMYFUNCTION("""COMPUTED_VALUE"""),"15tD_fIpFjzJbtr_OxvY-KeLg88908v4fXmpVzi9shPk")</f>
        <v>15tD_fIpFjzJbtr_OxvY-KeLg88908v4fXmpVzi9shPk</v>
      </c>
    </row>
    <row r="504" spans="1:3" ht="15.75" customHeight="1">
      <c r="A504" t="str">
        <f ca="1">IFERROR(__xludf.DUMMYFUNCTION("""COMPUTED_VALUE"""),"Blotter")</f>
        <v>Blotter</v>
      </c>
      <c r="B504" t="str">
        <f ca="1">IFERROR(__xludf.DUMMYFUNCTION("""COMPUTED_VALUE"""),"MultipleTradeTransferToUser")</f>
        <v>MultipleTradeTransferToUser</v>
      </c>
      <c r="C504" t="str">
        <f ca="1">IFERROR(__xludf.DUMMYFUNCTION("""COMPUTED_VALUE"""),"10OvCXj6HBNbSwn6Bq70fCCT8t11mhD8gJD7iiUiqmHY")</f>
        <v>10OvCXj6HBNbSwn6Bq70fCCT8t11mhD8gJD7iiUiqmHY</v>
      </c>
    </row>
    <row r="505" spans="1:3" ht="15.75" customHeight="1">
      <c r="A505" t="str">
        <f ca="1">IFERROR(__xludf.DUMMYFUNCTION("""COMPUTED_VALUE"""),"Admin")</f>
        <v>Admin</v>
      </c>
      <c r="B505" t="str">
        <f ca="1">IFERROR(__xludf.DUMMYFUNCTION("""COMPUTED_VALUE"""),"IsImportOverrideOnShortLocate")</f>
        <v>IsImportOverrideOnShortLocate</v>
      </c>
      <c r="C505" t="str">
        <f ca="1">IFERROR(__xludf.DUMMYFUNCTION("""COMPUTED_VALUE"""),"1HBroiXC_lXdWfzSFEUhcmVdGFqF-7ioRbfzMIhd-D84")</f>
        <v>1HBroiXC_lXdWfzSFEUhcmVdGFqF-7ioRbfzMIhd-D84</v>
      </c>
    </row>
    <row r="506" spans="1:3" ht="15.75" customHeight="1">
      <c r="A506" t="str">
        <f ca="1">IFERROR(__xludf.DUMMYFUNCTION("""COMPUTED_VALUE"""),"Admin")</f>
        <v>Admin</v>
      </c>
      <c r="B506" t="str">
        <f ca="1">IFERROR(__xludf.DUMMYFUNCTION("""COMPUTED_VALUE"""),"SetShortLocateStructures")</f>
        <v>SetShortLocateStructures</v>
      </c>
      <c r="C506" t="str">
        <f ca="1">IFERROR(__xludf.DUMMYFUNCTION("""COMPUTED_VALUE"""),"1GBfDhS1Qx5z0a-XwiuVZHmjNQQNldS_oLDTK5hBKigQ")</f>
        <v>1GBfDhS1Qx5z0a-XwiuVZHmjNQQNldS_oLDTK5hBKigQ</v>
      </c>
    </row>
    <row r="507" spans="1:3" ht="15.75" customHeight="1">
      <c r="A507" t="str">
        <f ca="1">IFERROR(__xludf.DUMMYFUNCTION("""COMPUTED_VALUE"""),"ShortLocate")</f>
        <v>ShortLocate</v>
      </c>
      <c r="B507" t="str">
        <f ca="1">IFERROR(__xludf.DUMMYFUNCTION("""COMPUTED_VALUE"""),"DownloadFile")</f>
        <v>DownloadFile</v>
      </c>
      <c r="C507" t="str">
        <f ca="1">IFERROR(__xludf.DUMMYFUNCTION("""COMPUTED_VALUE"""),"1C33h6u9nbxbc0Ij8SAALe10U-bitzt_AQkClLAmfans")</f>
        <v>1C33h6u9nbxbc0Ij8SAALe10U-bitzt_AQkClLAmfans</v>
      </c>
    </row>
    <row r="508" spans="1:3" ht="15.75" customHeight="1">
      <c r="A508" t="str">
        <f ca="1">IFERROR(__xludf.DUMMYFUNCTION("""COMPUTED_VALUE"""),"ShortLocate")</f>
        <v>ShortLocate</v>
      </c>
      <c r="B508" t="str">
        <f ca="1">IFERROR(__xludf.DUMMYFUNCTION("""COMPUTED_VALUE"""),"SearchShortLocateUI")</f>
        <v>SearchShortLocateUI</v>
      </c>
      <c r="C508" t="str">
        <f ca="1">IFERROR(__xludf.DUMMYFUNCTION("""COMPUTED_VALUE"""),"1LYgsVcCeDjfFd0czp2BHUCNhrmdgLKWUrkF_leE2jjo")</f>
        <v>1LYgsVcCeDjfFd0czp2BHUCNhrmdgLKWUrkF_leE2jjo</v>
      </c>
    </row>
    <row r="509" spans="1:3" ht="15.75" customHeight="1">
      <c r="A509" t="str">
        <f ca="1">IFERROR(__xludf.DUMMYFUNCTION("""COMPUTED_VALUE"""),"TradingTicket")</f>
        <v>TradingTicket</v>
      </c>
      <c r="B509" t="str">
        <f ca="1">IFERROR(__xludf.DUMMYFUNCTION("""COMPUTED_VALUE"""),"CreateDoneAwayOrder")</f>
        <v>CreateDoneAwayOrder</v>
      </c>
      <c r="C509" t="str">
        <f ca="1">IFERROR(__xludf.DUMMYFUNCTION("""COMPUTED_VALUE"""),"1k55gGo92H6nwC9RPuwvilJGepKKVG4ZH1q-orsG12-U")</f>
        <v>1k55gGo92H6nwC9RPuwvilJGepKKVG4ZH1q-orsG12-U</v>
      </c>
    </row>
    <row r="510" spans="1:3" ht="15.75" customHeight="1">
      <c r="A510" t="str">
        <f ca="1">IFERROR(__xludf.DUMMYFUNCTION("""COMPUTED_VALUE"""),"Compliance")</f>
        <v>Compliance</v>
      </c>
      <c r="B510" t="str">
        <f ca="1">IFERROR(__xludf.DUMMYFUNCTION("""COMPUTED_VALUE"""),"RestartRuleMediator")</f>
        <v>RestartRuleMediator</v>
      </c>
      <c r="C510" t="str">
        <f ca="1">IFERROR(__xludf.DUMMYFUNCTION("""COMPUTED_VALUE"""),"18SVZSt8o151Ibqp7S3Ge-27pHb5fW7wNT71WgA_kP_8")</f>
        <v>18SVZSt8o151Ibqp7S3Ge-27pHb5fW7wNT71WgA_kP_8</v>
      </c>
    </row>
    <row r="511" spans="1:3" ht="15.75" customHeight="1">
      <c r="A511" t="str">
        <f ca="1">IFERROR(__xludf.DUMMYFUNCTION("""COMPUTED_VALUE"""),"Compliance")</f>
        <v>Compliance</v>
      </c>
      <c r="B511" t="str">
        <f ca="1">IFERROR(__xludf.DUMMYFUNCTION("""COMPUTED_VALUE"""),"VerifyAggAccountSymbolWithNav")</f>
        <v>VerifyAggAccountSymbolWithNav</v>
      </c>
      <c r="C511" t="str">
        <f ca="1">IFERROR(__xludf.DUMMYFUNCTION("""COMPUTED_VALUE"""),"1yORtQDYWOiS9sGzwmSy3jeH1KeWbwIscJSVtvVljcqk")</f>
        <v>1yORtQDYWOiS9sGzwmSy3jeH1KeWbwIscJSVtvVljcqk</v>
      </c>
    </row>
    <row r="512" spans="1:3" ht="15.75" customHeight="1">
      <c r="A512" t="str">
        <f ca="1">IFERROR(__xludf.DUMMYFUNCTION("""COMPUTED_VALUE"""),"Admin")</f>
        <v>Admin</v>
      </c>
      <c r="B512" t="str">
        <f ca="1">IFERROR(__xludf.DUMMYFUNCTION("""COMPUTED_VALUE"""),"SetComplianceAlert")</f>
        <v>SetComplianceAlert</v>
      </c>
      <c r="C512" t="str">
        <f ca="1">IFERROR(__xludf.DUMMYFUNCTION("""COMPUTED_VALUE"""),"1tHcWqzzT9x7_tjIYlb_jsMu7VunfhVIyqGIWGIXOrQE")</f>
        <v>1tHcWqzzT9x7_tjIYlb_jsMu7VunfhVIyqGIWGIXOrQE</v>
      </c>
    </row>
    <row r="513" spans="1:3" ht="15.75" customHeight="1">
      <c r="A513" t="str">
        <f ca="1">IFERROR(__xludf.DUMMYFUNCTION("""COMPUTED_VALUE"""),"PortfolioManagement")</f>
        <v>PortfolioManagement</v>
      </c>
      <c r="B513" t="str">
        <f ca="1">IFERROR(__xludf.DUMMYFUNCTION("""COMPUTED_VALUE"""),"IncreasePositionFromPM")</f>
        <v>IncreasePositionFromPM</v>
      </c>
      <c r="C513" t="str">
        <f ca="1">IFERROR(__xludf.DUMMYFUNCTION("""COMPUTED_VALUE"""),"1eE569Brgsjqyathy0MKO50Wmj5QCDLuax0S-29Hix4A")</f>
        <v>1eE569Brgsjqyathy0MKO50Wmj5QCDLuax0S-29Hix4A</v>
      </c>
    </row>
    <row r="514" spans="1:3" ht="15.75" customHeight="1"/>
    <row r="515" spans="1:3" ht="15.75" customHeight="1"/>
    <row r="516" spans="1:3" ht="15.75" customHeight="1"/>
    <row r="517" spans="1:3" ht="15.75" customHeight="1"/>
    <row r="518" spans="1:3" ht="15.75" customHeight="1"/>
    <row r="519" spans="1:3" ht="15.75" customHeight="1"/>
    <row r="520" spans="1:3" ht="15.75" customHeight="1"/>
    <row r="521" spans="1:3" ht="15.75" customHeight="1"/>
    <row r="522" spans="1:3" ht="15.75" customHeight="1"/>
    <row r="523" spans="1:3" ht="15.75" customHeight="1"/>
    <row r="524" spans="1:3" ht="15.75" customHeight="1"/>
    <row r="525" spans="1:3" ht="15.75" customHeight="1"/>
    <row r="526" spans="1:3" ht="15.75" customHeight="1"/>
    <row r="527" spans="1:3" ht="15.75" customHeight="1"/>
    <row r="528" spans="1:3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47" t="s">
        <v>2</v>
      </c>
      <c r="B1" s="45"/>
      <c r="C1" s="46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44" t="s">
        <v>7</v>
      </c>
      <c r="B1" s="45"/>
      <c r="C1" s="45"/>
      <c r="D1" s="45"/>
      <c r="E1" s="45"/>
      <c r="F1" s="46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IFERROR(__xludf.DUMMYFUNCTION("IF(C3="""","""",Transpose(IMPORTRANGE('_Settings'!$B$3,C3&amp;""!A4:A1000"")))"),"SetTTUIPreferences")</f>
        <v>SetTTUIPreferences</v>
      </c>
      <c r="C4" s="19" t="str">
        <f ca="1">IFERROR(__xludf.DUMMYFUNCTION("""COMPUTED_VALUE"""),"TTPermissionLevel")</f>
        <v>TTPermissionLevel</v>
      </c>
      <c r="D4" s="19" t="str">
        <f ca="1">IFERROR(__xludf.DUMMYFUNCTION("""COMPUTED_VALUE"""),"SetCheckSide")</f>
        <v>SetCheckSide</v>
      </c>
      <c r="E4" s="19" t="str">
        <f ca="1">IFERROR(__xludf.DUMMYFUNCTION("""COMPUTED_VALUE"""),"SetRollover")</f>
        <v>SetRollover</v>
      </c>
      <c r="F4" s="19" t="str">
        <f ca="1">IFERROR(__xludf.DUMMYFUNCTION("""COMPUTED_VALUE"""),"SetActive")</f>
        <v>SetActive</v>
      </c>
      <c r="G4" s="19" t="str">
        <f ca="1">IFERROR(__xludf.DUMMYFUNCTION("""COMPUTED_VALUE"""),"SetThirdPartyFormat")</f>
        <v>SetThirdPartyFormat</v>
      </c>
      <c r="H4" s="19" t="str">
        <f ca="1">IFERROR(__xludf.DUMMYFUNCTION("""COMPUTED_VALUE"""),"SetTradingComplianceRules")</f>
        <v>SetTradingComplianceRules</v>
      </c>
      <c r="I4" s="19" t="str">
        <f ca="1">IFERROR(__xludf.DUMMYFUNCTION("""COMPUTED_VALUE"""),"EnableBreakdownRealizedPNL")</f>
        <v>EnableBreakdownRealizedPNL</v>
      </c>
      <c r="J4" s="19" t="str">
        <f ca="1">IFERROR(__xludf.DUMMYFUNCTION("""COMPUTED_VALUE"""),"SetTTGeneralPreferences")</f>
        <v>SetTTGeneralPreferences</v>
      </c>
      <c r="K4" s="19" t="str">
        <f ca="1">IFERROR(__xludf.DUMMYFUNCTION("""COMPUTED_VALUE"""),"SetDollarAmountPermission")</f>
        <v>SetDollarAmountPermission</v>
      </c>
      <c r="L4" s="19" t="str">
        <f ca="1">IFERROR(__xludf.DUMMYFUNCTION("""COMPUTED_VALUE"""),"EnableDiableModule")</f>
        <v>EnableDiableModule</v>
      </c>
      <c r="M4" s="19" t="str">
        <f ca="1">IFERROR(__xludf.DUMMYFUNCTION("""COMPUTED_VALUE"""),"EnableDisableModule")</f>
        <v>EnableDisableModule</v>
      </c>
      <c r="N4" s="19" t="str">
        <f ca="1">IFERROR(__xludf.DUMMYFUNCTION("""COMPUTED_VALUE"""),"IsImportOverrideOnShortLocate")</f>
        <v>IsImportOverrideOnShortLocate</v>
      </c>
      <c r="O4" s="19" t="str">
        <f ca="1">IFERROR(__xludf.DUMMYFUNCTION("""COMPUTED_VALUE"""),"SetShortLocateStructures")</f>
        <v>SetShortLocateStructures</v>
      </c>
      <c r="P4" s="20" t="str">
        <f ca="1">IFERROR(__xludf.DUMMYFUNCTION("""COMPUTED_VALUE"""),"SetComplianceAlert")</f>
        <v>SetComplianceAlert</v>
      </c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IFERROR(__xludf.DUMMYFUNCTION("""COMPUTED_VALUE"""),"OverSellTradingRule")</f>
        <v>OverSellTradingRule</v>
      </c>
      <c r="C5" s="22" t="str">
        <f ca="1">IFERROR(__xludf.DUMMYFUNCTION("""COMPUTED_VALUE"""),"OverBuyTradingRule")</f>
        <v>OverBuyTradingRule</v>
      </c>
      <c r="D5" s="22" t="str">
        <f ca="1">IFERROR(__xludf.DUMMYFUNCTION("""COMPUTED_VALUE"""),"FatFingerTradingRule")</f>
        <v>FatFingerTradingRule</v>
      </c>
      <c r="E5" s="22" t="str">
        <f ca="1">IFERROR(__xludf.DUMMYFUNCTION("""COMPUTED_VALUE"""),"UnallocatedTradeAlert")</f>
        <v>UnallocatedTradeAlert</v>
      </c>
      <c r="F5" s="23" t="str">
        <f ca="1">IFERROR(__xludf.DUMMYFUNCTION("""COMPUTED_VALUE"""),"DuplicateTradeAlert")</f>
        <v>DuplicateTradeAlert</v>
      </c>
      <c r="G5" s="22" t="str">
        <f ca="1">IFERROR(__xludf.DUMMYFUNCTION("""COMPUTED_VALUE"""),"PendingNewOrderAlert")</f>
        <v>PendingNewOrderAlert</v>
      </c>
      <c r="H5" s="22" t="str">
        <f ca="1">IFERROR(__xludf.DUMMYFUNCTION("""COMPUTED_VALUE"""),"FatFingerPercent")</f>
        <v>FatFingerPercent</v>
      </c>
      <c r="I5" s="22" t="str">
        <f ca="1">IFERROR(__xludf.DUMMYFUNCTION("""COMPUTED_VALUE"""),"DuplicateTradeAlertTime")</f>
        <v>DuplicateTradeAlertTime</v>
      </c>
      <c r="J5" s="22" t="str">
        <f ca="1">IFERROR(__xludf.DUMMYFUNCTION("""COMPUTED_VALUE"""),"PendingNewOrderAlertTime")</f>
        <v>PendingNewOrderAlertTime</v>
      </c>
      <c r="K5" s="22" t="str">
        <f ca="1">IFERROR(__xludf.DUMMYFUNCTION("""COMPUTED_VALUE"""),"FatFingerAccountOrMasterFund")</f>
        <v>FatFingerAccountOrMasterFund</v>
      </c>
      <c r="L5" s="22" t="str">
        <f ca="1">IFERROR(__xludf.DUMMYFUNCTION("""COMPUTED_VALUE"""),"IsAbsoluteAmountOrDefinePercent")</f>
        <v>IsAbsoluteAmountOrDefinePercent</v>
      </c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/>
      <c r="C6" s="26"/>
      <c r="D6" s="27" t="b">
        <v>1</v>
      </c>
      <c r="E6" s="26"/>
      <c r="F6" s="26"/>
      <c r="G6" s="26"/>
      <c r="H6" s="28">
        <v>100</v>
      </c>
      <c r="I6" s="26"/>
      <c r="J6" s="26"/>
      <c r="K6" s="26" t="s">
        <v>16</v>
      </c>
      <c r="L6" s="26" t="s">
        <v>17</v>
      </c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18</v>
      </c>
      <c r="D3" s="2" t="s">
        <v>9</v>
      </c>
      <c r="E3" s="17" t="s">
        <v>19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IFERROR(__xludf.DUMMYFUNCTION("""COMPUTED_VALUE"""),"CreateNewSubOrder")</f>
        <v>CreateNewSubOrder</v>
      </c>
      <c r="M4" s="19" t="str">
        <f ca="1">IFERROR(__xludf.DUMMYFUNCTION("""COMPUTED_VALUE"""),"TradeBloomberg")</f>
        <v>TradeBloomberg</v>
      </c>
      <c r="N4" s="19" t="str">
        <f ca="1">IFERROR(__xludf.DUMMYFUNCTION("""COMPUTED_VALUE"""),"ClickSymbolLookup")</f>
        <v>ClickSymbolLookup</v>
      </c>
      <c r="O4" s="19" t="str">
        <f ca="1">IFERROR(__xludf.DUMMYFUNCTION("""COMPUTED_VALUE"""),"VerifyTT")</f>
        <v>VerifyTT</v>
      </c>
      <c r="P4" s="20" t="str">
        <f ca="1">IFERROR(__xludf.DUMMYFUNCTION("""COMPUTED_VALUE"""),"CreateLiveOrder")</f>
        <v>CreateLiveOrder</v>
      </c>
      <c r="Q4" s="20" t="str">
        <f ca="1">IFERROR(__xludf.DUMMYFUNCTION("""COMPUTED_VALUE"""),"ShowMasterFundOnTT")</f>
        <v>ShowMasterFundOnTT</v>
      </c>
      <c r="R4" s="20" t="str">
        <f ca="1">IFERROR(__xludf.DUMMYFUNCTION("""COMPUTED_VALUE"""),"UpdateMasterFundOnTT")</f>
        <v>UpdateMasterFundOnTT</v>
      </c>
      <c r="S4" s="20" t="str">
        <f ca="1">IFERROR(__xludf.DUMMYFUNCTION("""COMPUTED_VALUE"""),"SetTTCompliancePreference")</f>
        <v>SetTTCompliancePreference</v>
      </c>
      <c r="T4" s="20" t="str">
        <f ca="1">IFERROR(__xludf.DUMMYFUNCTION("""COMPUTED_VALUE"""),"ImportSymbol")</f>
        <v>ImportSymbol</v>
      </c>
      <c r="U4" s="20" t="str">
        <f ca="1">IFERROR(__xludf.DUMMYFUNCTION("""COMPUTED_VALUE"""),"ExportSymbolFromRAList")</f>
        <v>ExportSymbolFromRAList</v>
      </c>
      <c r="V4" s="20" t="str">
        <f ca="1">IFERROR(__xludf.DUMMYFUNCTION("""COMPUTED_VALUE"""),"CheckPendingNewOrderAlert")</f>
        <v>CheckPendingNewOrderAlert</v>
      </c>
      <c r="W4" s="20" t="str">
        <f ca="1">IFERROR(__xludf.DUMMYFUNCTION("""COMPUTED_VALUE"""),"AddSymbolOnRAList")</f>
        <v>AddSymbolOnRAList</v>
      </c>
      <c r="X4" s="20" t="str">
        <f ca="1">IFERROR(__xludf.DUMMYFUNCTION("""COMPUTED_VALUE"""),"DeleteSymbolListFromRA")</f>
        <v>DeleteSymbolListFromRA</v>
      </c>
      <c r="Y4" s="20" t="str">
        <f ca="1">IFERROR(__xludf.DUMMYFUNCTION("""COMPUTED_VALUE"""),"RemoveSymbolFromRAList")</f>
        <v>RemoveSymbolFromRAList</v>
      </c>
      <c r="Z4" s="20" t="str">
        <f ca="1">IFERROR(__xludf.DUMMYFUNCTION("""COMPUTED_VALUE"""),"ToggleBlombergOnRA")</f>
        <v>ToggleBlombergOnRA</v>
      </c>
      <c r="AA4" s="20" t="str">
        <f ca="1">IFERROR(__xludf.DUMMYFUNCTION("""COMPUTED_VALUE"""),"CreateDoneAway")</f>
        <v>CreateDoneAway</v>
      </c>
      <c r="AB4" s="20" t="str">
        <f ca="1">IFERROR(__xludf.DUMMYFUNCTION("""COMPUTED_VALUE"""),"CreateDoneAwayOrder")</f>
        <v>CreateDoneAwayOrder</v>
      </c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IFERROR(__xludf.DUMMYFUNCTION("""COMPUTED_VALUE"""),"ShortLocate")</f>
        <v>ShortLocate</v>
      </c>
      <c r="AQ5" s="24" t="str">
        <f ca="1">IFERROR(__xludf.DUMMYFUNCTION("""COMPUTED_VALUE"""),"AllowTrade")</f>
        <v>AllowTrade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 t="s">
        <v>20</v>
      </c>
      <c r="C6" s="26" t="s">
        <v>21</v>
      </c>
      <c r="D6" s="30">
        <v>1000</v>
      </c>
      <c r="E6" s="28">
        <v>1000</v>
      </c>
      <c r="F6" s="26"/>
      <c r="G6" s="26"/>
      <c r="H6" s="26"/>
      <c r="I6" s="26"/>
      <c r="J6" s="28">
        <v>500</v>
      </c>
      <c r="K6" s="26"/>
      <c r="L6" s="26"/>
      <c r="M6" s="26"/>
      <c r="N6" s="26"/>
      <c r="O6" s="26"/>
      <c r="P6" s="26"/>
      <c r="Q6" s="26"/>
      <c r="R6" s="26"/>
      <c r="S6" s="26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 t="s">
        <v>22</v>
      </c>
      <c r="AL6" s="29" t="s">
        <v>23</v>
      </c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29"/>
      <c r="B7" s="29" t="s">
        <v>24</v>
      </c>
      <c r="C7" s="29" t="s">
        <v>25</v>
      </c>
      <c r="D7" s="31">
        <v>2000</v>
      </c>
      <c r="E7" s="31">
        <v>2000</v>
      </c>
      <c r="F7" s="29"/>
      <c r="G7" s="29"/>
      <c r="H7" s="29"/>
      <c r="I7" s="29"/>
      <c r="J7" s="31">
        <v>400</v>
      </c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 t="s">
        <v>26</v>
      </c>
      <c r="AL7" s="29" t="s">
        <v>27</v>
      </c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>
      <c r="A8" s="29"/>
      <c r="B8" s="29" t="s">
        <v>28</v>
      </c>
      <c r="C8" s="29" t="s">
        <v>21</v>
      </c>
      <c r="D8" s="31">
        <v>3000</v>
      </c>
      <c r="E8" s="31">
        <v>3000</v>
      </c>
      <c r="F8" s="29"/>
      <c r="G8" s="29"/>
      <c r="H8" s="29"/>
      <c r="I8" s="29"/>
      <c r="J8" s="31">
        <v>300</v>
      </c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 t="s">
        <v>29</v>
      </c>
      <c r="AL8" s="29" t="s">
        <v>30</v>
      </c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>
      <c r="A9" s="29"/>
      <c r="B9" s="29" t="s">
        <v>31</v>
      </c>
      <c r="C9" s="29" t="s">
        <v>32</v>
      </c>
      <c r="D9" s="31">
        <v>4000</v>
      </c>
      <c r="E9" s="31">
        <v>4000</v>
      </c>
      <c r="F9" s="29"/>
      <c r="G9" s="29"/>
      <c r="H9" s="29"/>
      <c r="I9" s="29"/>
      <c r="J9" s="31">
        <v>200</v>
      </c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 t="s">
        <v>33</v>
      </c>
      <c r="AL9" s="29" t="s">
        <v>34</v>
      </c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</row>
    <row r="10" spans="1:154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35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 t="str">
        <f ca="1">IFERROR(__xludf.DUMMYFUNCTION("""COMPUTED_VALUE"""),"OpenBlotter")</f>
        <v>OpenBlotter</v>
      </c>
      <c r="AV4" s="20" t="str">
        <f ca="1">IFERROR(__xludf.DUMMYFUNCTION("""COMPUTED_VALUE"""),"OpenBlotter")</f>
        <v>OpenBlotter</v>
      </c>
      <c r="AW4" s="20" t="str">
        <f ca="1">IFERROR(__xludf.DUMMYFUNCTION("""COMPUTED_VALUE"""),"RemoveManualExecution")</f>
        <v>RemoveManualExecution</v>
      </c>
      <c r="AX4" s="20" t="str">
        <f ca="1">IFERROR(__xludf.DUMMYFUNCTION("""COMPUTED_VALUE"""),"RemoveExecutionWorkingSubs")</f>
        <v>RemoveExecutionWorkingSubs</v>
      </c>
      <c r="AY4" s="20" t="str">
        <f ca="1">IFERROR(__xludf.DUMMYFUNCTION("""COMPUTED_VALUE"""),"GetExecutionReportOrders")</f>
        <v>GetExecutionReportOrders</v>
      </c>
      <c r="AZ4" s="20" t="str">
        <f ca="1">IFERROR(__xludf.DUMMYFUNCTION("""COMPUTED_VALUE"""),"GetExecutionReportDetails")</f>
        <v>GetExecutionReportDetails</v>
      </c>
      <c r="BA4" s="20" t="str">
        <f ca="1">IFERROR(__xludf.DUMMYFUNCTION("""COMPUTED_VALUE"""),"ExportExecutionReportData")</f>
        <v>ExportExecutionReportData</v>
      </c>
      <c r="BB4" s="20" t="str">
        <f ca="1">IFERROR(__xludf.DUMMYFUNCTION("""COMPUTED_VALUE"""),"VerifyExecutionReport")</f>
        <v>VerifyExecutionReport</v>
      </c>
      <c r="BC4" s="20" t="str">
        <f ca="1">IFERROR(__xludf.DUMMYFUNCTION("""COMPUTED_VALUE"""),"BlotterExecutionReportSnapshot")</f>
        <v>BlotterExecutionReportSnapshot</v>
      </c>
      <c r="BD4" s="20" t="str">
        <f ca="1">IFERROR(__xludf.DUMMYFUNCTION("""COMPUTED_VALUE"""),"MultipleTradeTransferToUser")</f>
        <v>MultipleTradeTransferToUser</v>
      </c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IFERROR(__xludf.DUMMYFUNCTION("""COMPUTED_VALUE"""),"Current User")</f>
        <v>Current 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 t="str">
        <f ca="1">IFERROR(__xludf.DUMMYFUNCTION("""COMPUTED_VALUE"""),"Actual User")</f>
        <v>Actual User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25"/>
      <c r="C6" s="26"/>
      <c r="D6" s="30">
        <v>0</v>
      </c>
      <c r="E6" s="26"/>
      <c r="F6" s="28">
        <v>0</v>
      </c>
      <c r="G6" s="26"/>
      <c r="H6" s="26" t="s">
        <v>37</v>
      </c>
      <c r="I6" s="26" t="s">
        <v>38</v>
      </c>
      <c r="J6" s="26" t="s">
        <v>28</v>
      </c>
      <c r="K6" s="26" t="s">
        <v>39</v>
      </c>
      <c r="L6" s="26"/>
      <c r="M6" s="26"/>
      <c r="N6" s="26"/>
      <c r="O6" s="26"/>
      <c r="P6" s="26"/>
      <c r="Q6" s="26"/>
      <c r="R6" s="26"/>
      <c r="S6" s="32">
        <v>0</v>
      </c>
      <c r="T6" s="33">
        <v>0</v>
      </c>
      <c r="U6" s="29" t="s">
        <v>40</v>
      </c>
      <c r="V6" s="29"/>
      <c r="W6" s="29"/>
      <c r="X6" s="29"/>
      <c r="Y6" s="29"/>
      <c r="Z6" s="29"/>
      <c r="AA6" s="29" t="s">
        <v>41</v>
      </c>
      <c r="AB6" s="33">
        <v>3000</v>
      </c>
      <c r="AC6" s="29"/>
      <c r="AD6" s="33">
        <v>0</v>
      </c>
      <c r="AE6" s="29"/>
      <c r="AF6" s="29"/>
      <c r="AG6" s="33">
        <v>300</v>
      </c>
      <c r="AH6" s="29" t="s">
        <v>42</v>
      </c>
      <c r="AI6" s="29" t="s">
        <v>28</v>
      </c>
      <c r="AJ6" s="29" t="s">
        <v>21</v>
      </c>
      <c r="AK6" s="29" t="s">
        <v>43</v>
      </c>
      <c r="AL6" s="33">
        <v>3000</v>
      </c>
      <c r="AM6" s="33">
        <v>3000</v>
      </c>
      <c r="AN6" s="33">
        <v>100</v>
      </c>
      <c r="AO6" s="33">
        <v>3000</v>
      </c>
      <c r="AP6" s="29"/>
      <c r="AQ6" s="33">
        <v>300</v>
      </c>
      <c r="AR6" s="33">
        <v>300</v>
      </c>
      <c r="AS6" s="29" t="s">
        <v>44</v>
      </c>
      <c r="AT6" s="29" t="s">
        <v>41</v>
      </c>
      <c r="AU6" s="29" t="s">
        <v>45</v>
      </c>
      <c r="AV6" s="34">
        <v>900000</v>
      </c>
      <c r="AW6" s="33">
        <v>0</v>
      </c>
      <c r="AX6" s="29"/>
      <c r="AY6" s="33">
        <v>3000</v>
      </c>
      <c r="AZ6" s="33">
        <v>0</v>
      </c>
      <c r="BA6" s="29" t="s">
        <v>38</v>
      </c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29"/>
      <c r="CJ6" s="29"/>
      <c r="CK6" s="29"/>
      <c r="CL6" s="29"/>
      <c r="CM6" s="29"/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29"/>
      <c r="B7" s="29"/>
      <c r="C7" s="29"/>
      <c r="D7" s="31">
        <v>500</v>
      </c>
      <c r="E7" s="29"/>
      <c r="F7" s="31">
        <v>0</v>
      </c>
      <c r="G7" s="29"/>
      <c r="H7" s="29" t="s">
        <v>37</v>
      </c>
      <c r="I7" s="29" t="s">
        <v>38</v>
      </c>
      <c r="J7" s="29" t="s">
        <v>20</v>
      </c>
      <c r="K7" s="29" t="s">
        <v>46</v>
      </c>
      <c r="L7" s="29"/>
      <c r="M7" s="29"/>
      <c r="N7" s="29"/>
      <c r="O7" s="29"/>
      <c r="P7" s="29"/>
      <c r="Q7" s="29"/>
      <c r="R7" s="29"/>
      <c r="S7" s="33">
        <v>0</v>
      </c>
      <c r="T7" s="33">
        <v>0</v>
      </c>
      <c r="U7" s="29" t="s">
        <v>47</v>
      </c>
      <c r="V7" s="29"/>
      <c r="W7" s="29"/>
      <c r="X7" s="29"/>
      <c r="Y7" s="29"/>
      <c r="Z7" s="29"/>
      <c r="AA7" s="29" t="s">
        <v>41</v>
      </c>
      <c r="AB7" s="33">
        <v>1000</v>
      </c>
      <c r="AC7" s="29"/>
      <c r="AD7" s="33">
        <v>1</v>
      </c>
      <c r="AE7" s="29"/>
      <c r="AF7" s="29"/>
      <c r="AG7" s="33">
        <v>500</v>
      </c>
      <c r="AH7" s="29" t="s">
        <v>48</v>
      </c>
      <c r="AI7" s="29" t="s">
        <v>20</v>
      </c>
      <c r="AJ7" s="29" t="s">
        <v>21</v>
      </c>
      <c r="AK7" s="29" t="s">
        <v>43</v>
      </c>
      <c r="AL7" s="33">
        <v>1000</v>
      </c>
      <c r="AM7" s="33">
        <v>1000</v>
      </c>
      <c r="AN7" s="33">
        <v>100</v>
      </c>
      <c r="AO7" s="33">
        <v>1000</v>
      </c>
      <c r="AP7" s="29"/>
      <c r="AQ7" s="33">
        <v>500</v>
      </c>
      <c r="AR7" s="33">
        <v>500</v>
      </c>
      <c r="AS7" s="29" t="s">
        <v>44</v>
      </c>
      <c r="AT7" s="29" t="s">
        <v>41</v>
      </c>
      <c r="AU7" s="29" t="s">
        <v>45</v>
      </c>
      <c r="AV7" s="34">
        <v>31250000000</v>
      </c>
      <c r="AW7" s="34">
        <v>31250000000</v>
      </c>
      <c r="AX7" s="29"/>
      <c r="AY7" s="33">
        <v>1000</v>
      </c>
      <c r="AZ7" s="33">
        <v>0</v>
      </c>
      <c r="BA7" s="29" t="s">
        <v>38</v>
      </c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29"/>
      <c r="CJ7" s="29"/>
      <c r="CK7" s="29"/>
      <c r="CL7" s="29"/>
      <c r="CM7" s="29"/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>
      <c r="A8" s="29"/>
      <c r="B8" s="29"/>
      <c r="C8" s="29"/>
      <c r="D8" s="31">
        <v>400</v>
      </c>
      <c r="E8" s="29"/>
      <c r="F8" s="31">
        <v>0</v>
      </c>
      <c r="G8" s="29"/>
      <c r="H8" s="29" t="s">
        <v>37</v>
      </c>
      <c r="I8" s="29" t="s">
        <v>38</v>
      </c>
      <c r="J8" s="29" t="s">
        <v>49</v>
      </c>
      <c r="K8" s="29" t="s">
        <v>46</v>
      </c>
      <c r="L8" s="29"/>
      <c r="M8" s="29"/>
      <c r="N8" s="29"/>
      <c r="O8" s="29"/>
      <c r="P8" s="29"/>
      <c r="Q8" s="29"/>
      <c r="R8" s="29"/>
      <c r="S8" s="33">
        <v>20</v>
      </c>
      <c r="T8" s="33">
        <v>0</v>
      </c>
      <c r="U8" s="29" t="s">
        <v>47</v>
      </c>
      <c r="V8" s="29"/>
      <c r="W8" s="29"/>
      <c r="X8" s="29"/>
      <c r="Y8" s="29"/>
      <c r="Z8" s="29"/>
      <c r="AA8" s="29" t="s">
        <v>41</v>
      </c>
      <c r="AB8" s="33">
        <v>2000</v>
      </c>
      <c r="AC8" s="29"/>
      <c r="AD8" s="33">
        <v>1</v>
      </c>
      <c r="AE8" s="29"/>
      <c r="AF8" s="29"/>
      <c r="AG8" s="33">
        <v>400</v>
      </c>
      <c r="AH8" s="29" t="s">
        <v>50</v>
      </c>
      <c r="AI8" s="29" t="s">
        <v>24</v>
      </c>
      <c r="AJ8" s="29" t="s">
        <v>25</v>
      </c>
      <c r="AK8" s="29" t="s">
        <v>43</v>
      </c>
      <c r="AL8" s="33">
        <v>2000</v>
      </c>
      <c r="AM8" s="33">
        <v>2000</v>
      </c>
      <c r="AN8" s="33">
        <v>100</v>
      </c>
      <c r="AO8" s="33">
        <v>2000</v>
      </c>
      <c r="AP8" s="29"/>
      <c r="AQ8" s="33">
        <v>400</v>
      </c>
      <c r="AR8" s="33">
        <v>400</v>
      </c>
      <c r="AS8" s="29" t="s">
        <v>44</v>
      </c>
      <c r="AT8" s="29" t="s">
        <v>41</v>
      </c>
      <c r="AU8" s="29" t="s">
        <v>45</v>
      </c>
      <c r="AV8" s="34">
        <v>80000000</v>
      </c>
      <c r="AW8" s="34">
        <v>80000000</v>
      </c>
      <c r="AX8" s="29"/>
      <c r="AY8" s="33">
        <v>2000</v>
      </c>
      <c r="AZ8" s="33">
        <v>0</v>
      </c>
      <c r="BA8" s="29" t="s">
        <v>38</v>
      </c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29"/>
      <c r="CK8" s="29"/>
      <c r="CL8" s="29"/>
      <c r="CM8" s="29"/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>
      <c r="A9" s="29"/>
      <c r="B9" s="29"/>
      <c r="C9" s="29"/>
      <c r="D9" s="31">
        <v>200</v>
      </c>
      <c r="E9" s="29"/>
      <c r="F9" s="31">
        <v>0</v>
      </c>
      <c r="G9" s="29"/>
      <c r="H9" s="29" t="s">
        <v>37</v>
      </c>
      <c r="I9" s="29" t="s">
        <v>38</v>
      </c>
      <c r="J9" s="29" t="s">
        <v>31</v>
      </c>
      <c r="K9" s="29" t="s">
        <v>46</v>
      </c>
      <c r="L9" s="29"/>
      <c r="M9" s="29"/>
      <c r="N9" s="29"/>
      <c r="O9" s="29"/>
      <c r="P9" s="29"/>
      <c r="Q9" s="29"/>
      <c r="R9" s="29"/>
      <c r="S9" s="33">
        <v>0</v>
      </c>
      <c r="T9" s="33">
        <v>0</v>
      </c>
      <c r="U9" s="29" t="s">
        <v>47</v>
      </c>
      <c r="V9" s="29"/>
      <c r="W9" s="29"/>
      <c r="X9" s="29"/>
      <c r="Y9" s="29"/>
      <c r="Z9" s="29"/>
      <c r="AA9" s="29" t="s">
        <v>41</v>
      </c>
      <c r="AB9" s="33">
        <v>4000</v>
      </c>
      <c r="AC9" s="29"/>
      <c r="AD9" s="33">
        <v>1</v>
      </c>
      <c r="AE9" s="29"/>
      <c r="AF9" s="29"/>
      <c r="AG9" s="33">
        <v>200</v>
      </c>
      <c r="AH9" s="29" t="s">
        <v>42</v>
      </c>
      <c r="AI9" s="29" t="s">
        <v>31</v>
      </c>
      <c r="AJ9" s="29" t="s">
        <v>32</v>
      </c>
      <c r="AK9" s="29" t="s">
        <v>43</v>
      </c>
      <c r="AL9" s="33">
        <v>4000</v>
      </c>
      <c r="AM9" s="33">
        <v>4000</v>
      </c>
      <c r="AN9" s="33">
        <v>100</v>
      </c>
      <c r="AO9" s="33">
        <v>4000</v>
      </c>
      <c r="AP9" s="29"/>
      <c r="AQ9" s="33">
        <v>200</v>
      </c>
      <c r="AR9" s="33">
        <v>200</v>
      </c>
      <c r="AS9" s="29" t="s">
        <v>44</v>
      </c>
      <c r="AT9" s="29" t="s">
        <v>41</v>
      </c>
      <c r="AU9" s="29" t="s">
        <v>45</v>
      </c>
      <c r="AV9" s="34">
        <v>-800000</v>
      </c>
      <c r="AW9" s="34">
        <v>-800000</v>
      </c>
      <c r="AX9" s="29"/>
      <c r="AY9" s="33">
        <v>4000</v>
      </c>
      <c r="AZ9" s="33">
        <v>0</v>
      </c>
      <c r="BA9" s="29" t="s">
        <v>38</v>
      </c>
      <c r="BB9" s="29"/>
      <c r="BC9" s="29"/>
      <c r="BD9" s="29"/>
      <c r="BE9" s="29"/>
      <c r="BF9" s="29"/>
      <c r="BG9" s="29"/>
      <c r="BH9" s="29"/>
      <c r="BI9" s="29"/>
      <c r="BJ9" s="29"/>
      <c r="BK9" s="29"/>
      <c r="BL9" s="29"/>
      <c r="BM9" s="29"/>
      <c r="BN9" s="29"/>
      <c r="BO9" s="29"/>
      <c r="BP9" s="29"/>
      <c r="BQ9" s="29"/>
      <c r="BR9" s="29"/>
      <c r="BS9" s="29"/>
      <c r="BT9" s="29"/>
      <c r="BU9" s="29"/>
      <c r="BV9" s="29"/>
      <c r="BW9" s="29"/>
      <c r="BX9" s="29"/>
      <c r="BY9" s="29"/>
      <c r="BZ9" s="29"/>
      <c r="CA9" s="29"/>
      <c r="CB9" s="29"/>
      <c r="CC9" s="29"/>
      <c r="CD9" s="29"/>
      <c r="CE9" s="29"/>
      <c r="CF9" s="29"/>
      <c r="CG9" s="29"/>
      <c r="CH9" s="29"/>
      <c r="CI9" s="29"/>
      <c r="CJ9" s="29"/>
      <c r="CK9" s="29"/>
      <c r="CL9" s="29"/>
      <c r="CM9" s="29"/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51</v>
      </c>
      <c r="D3" s="2" t="s">
        <v>9</v>
      </c>
      <c r="E3" s="17" t="s">
        <v>52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53</v>
      </c>
      <c r="C6" s="5"/>
      <c r="D6" s="7"/>
      <c r="E6" s="3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51</v>
      </c>
      <c r="D3" s="2" t="s">
        <v>9</v>
      </c>
      <c r="E3" s="17" t="s">
        <v>54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 Group")</f>
        <v>IsManual 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25"/>
      <c r="B6" s="36" t="s">
        <v>41</v>
      </c>
      <c r="C6" s="26"/>
      <c r="D6" s="37">
        <v>0</v>
      </c>
      <c r="E6" s="37">
        <v>1000</v>
      </c>
      <c r="F6" s="26"/>
      <c r="G6" s="38" t="s">
        <v>48</v>
      </c>
      <c r="H6" s="37">
        <v>0</v>
      </c>
      <c r="I6" s="37">
        <v>0</v>
      </c>
      <c r="J6" s="26"/>
      <c r="K6" s="37">
        <v>500</v>
      </c>
      <c r="L6" s="37">
        <v>500</v>
      </c>
      <c r="M6" s="26"/>
      <c r="N6" s="26"/>
      <c r="O6" s="26" t="s">
        <v>44</v>
      </c>
      <c r="P6" s="26"/>
      <c r="Q6" s="37">
        <v>3</v>
      </c>
      <c r="R6" s="37">
        <v>0</v>
      </c>
      <c r="S6" s="38" t="s">
        <v>55</v>
      </c>
      <c r="T6" s="39">
        <v>0</v>
      </c>
      <c r="U6" s="39">
        <v>0</v>
      </c>
      <c r="V6" s="29"/>
      <c r="W6" s="29"/>
      <c r="X6" s="29"/>
      <c r="Y6" s="29"/>
      <c r="Z6" s="40" t="s">
        <v>47</v>
      </c>
      <c r="AA6" s="29"/>
      <c r="AB6" s="39">
        <v>1</v>
      </c>
      <c r="AC6" s="29"/>
      <c r="AD6" s="40" t="s">
        <v>56</v>
      </c>
      <c r="AE6" s="39">
        <v>1000</v>
      </c>
      <c r="AF6" s="29"/>
      <c r="AG6" s="29"/>
      <c r="AH6" s="40" t="s">
        <v>57</v>
      </c>
      <c r="AI6" s="39">
        <v>1</v>
      </c>
      <c r="AJ6" s="29"/>
      <c r="AK6" s="29"/>
      <c r="AL6" s="29"/>
      <c r="AM6" s="29"/>
      <c r="AN6" s="40" t="s">
        <v>58</v>
      </c>
      <c r="AO6" s="29"/>
      <c r="AP6" s="40" t="s">
        <v>59</v>
      </c>
      <c r="AQ6" s="40" t="s">
        <v>58</v>
      </c>
      <c r="AR6" s="40" t="s">
        <v>59</v>
      </c>
      <c r="AS6" s="29"/>
      <c r="AT6" s="39">
        <v>31250000000</v>
      </c>
      <c r="AU6" s="39">
        <v>31250000000</v>
      </c>
      <c r="AV6" s="29"/>
      <c r="AW6" s="39">
        <v>0</v>
      </c>
      <c r="AX6" s="39">
        <v>0</v>
      </c>
      <c r="AY6" s="29" t="s">
        <v>45</v>
      </c>
      <c r="AZ6" s="39">
        <v>0</v>
      </c>
      <c r="BA6" s="29"/>
      <c r="BB6" s="29"/>
      <c r="BC6" s="39">
        <v>0</v>
      </c>
      <c r="BD6" s="29"/>
      <c r="BE6" s="39">
        <v>31250000000</v>
      </c>
      <c r="BF6" s="39">
        <v>31250000000</v>
      </c>
      <c r="BG6" s="29"/>
      <c r="BH6" s="29"/>
      <c r="BI6" s="29"/>
      <c r="BJ6" s="39">
        <v>1000</v>
      </c>
      <c r="BK6" s="39">
        <v>0</v>
      </c>
      <c r="BL6" s="29"/>
      <c r="BM6" s="40" t="s">
        <v>47</v>
      </c>
      <c r="BN6" s="29"/>
      <c r="BO6" s="40" t="s">
        <v>21</v>
      </c>
      <c r="BP6" s="39">
        <v>0</v>
      </c>
      <c r="BQ6" s="39">
        <v>0</v>
      </c>
      <c r="BR6" s="29"/>
      <c r="BS6" s="29"/>
      <c r="BT6" s="40" t="s">
        <v>20</v>
      </c>
      <c r="BU6" s="39">
        <v>0</v>
      </c>
      <c r="BV6" s="39">
        <v>0</v>
      </c>
      <c r="BW6" s="39">
        <v>0</v>
      </c>
      <c r="BX6" s="39">
        <v>0</v>
      </c>
      <c r="BY6" s="29"/>
      <c r="BZ6" s="29"/>
      <c r="CA6" s="29"/>
      <c r="CB6" s="29"/>
      <c r="CC6" s="29"/>
      <c r="CD6" s="29"/>
      <c r="CE6" s="29"/>
      <c r="CF6" s="29"/>
      <c r="CG6" s="39">
        <v>0</v>
      </c>
      <c r="CH6" s="40" t="s">
        <v>18</v>
      </c>
      <c r="CI6" s="40" t="s">
        <v>21</v>
      </c>
      <c r="CJ6" s="39">
        <v>0</v>
      </c>
      <c r="CK6" s="40" t="s">
        <v>46</v>
      </c>
      <c r="CL6" s="39">
        <v>1</v>
      </c>
      <c r="CM6" s="40" t="s">
        <v>20</v>
      </c>
      <c r="CN6" s="29"/>
      <c r="CO6" s="29"/>
      <c r="CP6" s="29"/>
      <c r="CQ6" s="29"/>
      <c r="CR6" s="29"/>
      <c r="CS6" s="29"/>
      <c r="CT6" s="29"/>
      <c r="CU6" s="29"/>
      <c r="CV6" s="29"/>
      <c r="CW6" s="29"/>
      <c r="CX6" s="29"/>
      <c r="CY6" s="29"/>
      <c r="CZ6" s="29"/>
      <c r="DA6" s="29"/>
      <c r="DB6" s="29"/>
      <c r="DC6" s="29"/>
      <c r="DD6" s="29"/>
      <c r="DE6" s="29"/>
      <c r="DF6" s="29"/>
      <c r="DG6" s="29"/>
      <c r="DH6" s="29"/>
      <c r="DI6" s="29"/>
      <c r="DJ6" s="29"/>
      <c r="DK6" s="29"/>
      <c r="DL6" s="29"/>
      <c r="DM6" s="29"/>
      <c r="DN6" s="29"/>
      <c r="DO6" s="29"/>
      <c r="DP6" s="29"/>
      <c r="DQ6" s="29"/>
      <c r="DR6" s="29"/>
      <c r="DS6" s="29"/>
      <c r="DT6" s="29"/>
      <c r="DU6" s="29"/>
      <c r="DV6" s="29"/>
      <c r="DW6" s="29"/>
      <c r="DX6" s="29"/>
      <c r="DY6" s="29"/>
      <c r="DZ6" s="29"/>
      <c r="EA6" s="29"/>
      <c r="EB6" s="29"/>
      <c r="EC6" s="29"/>
      <c r="ED6" s="29"/>
      <c r="EE6" s="29"/>
      <c r="EF6" s="29"/>
      <c r="EG6" s="29"/>
      <c r="EH6" s="29"/>
      <c r="EI6" s="29"/>
      <c r="EJ6" s="29"/>
      <c r="EK6" s="29"/>
      <c r="EL6" s="29"/>
      <c r="EM6" s="29"/>
      <c r="EN6" s="29"/>
      <c r="EO6" s="29"/>
      <c r="EP6" s="29"/>
      <c r="EQ6" s="29"/>
      <c r="ER6" s="29"/>
      <c r="ES6" s="29"/>
      <c r="ET6" s="29"/>
      <c r="EU6" s="29"/>
      <c r="EV6" s="29"/>
      <c r="EW6" s="29"/>
      <c r="EX6" s="29"/>
    </row>
    <row r="7" spans="1:154" ht="15.75" customHeight="1">
      <c r="A7" s="29"/>
      <c r="B7" s="40" t="s">
        <v>41</v>
      </c>
      <c r="C7" s="29"/>
      <c r="D7" s="39">
        <v>0</v>
      </c>
      <c r="E7" s="39">
        <v>2000</v>
      </c>
      <c r="F7" s="29"/>
      <c r="G7" s="40" t="s">
        <v>50</v>
      </c>
      <c r="H7" s="39">
        <v>0</v>
      </c>
      <c r="I7" s="39">
        <v>0</v>
      </c>
      <c r="J7" s="29"/>
      <c r="K7" s="39">
        <v>400</v>
      </c>
      <c r="L7" s="39">
        <v>400</v>
      </c>
      <c r="M7" s="29"/>
      <c r="N7" s="29"/>
      <c r="O7" s="29" t="s">
        <v>44</v>
      </c>
      <c r="P7" s="29"/>
      <c r="Q7" s="39">
        <v>3</v>
      </c>
      <c r="R7" s="39">
        <v>0</v>
      </c>
      <c r="S7" s="40" t="s">
        <v>55</v>
      </c>
      <c r="T7" s="39">
        <v>0</v>
      </c>
      <c r="U7" s="39">
        <v>0</v>
      </c>
      <c r="V7" s="29"/>
      <c r="W7" s="29"/>
      <c r="X7" s="29"/>
      <c r="Y7" s="29"/>
      <c r="Z7" s="40" t="s">
        <v>47</v>
      </c>
      <c r="AA7" s="29"/>
      <c r="AB7" s="39">
        <v>1</v>
      </c>
      <c r="AC7" s="29"/>
      <c r="AD7" s="40" t="s">
        <v>60</v>
      </c>
      <c r="AE7" s="39">
        <v>2000</v>
      </c>
      <c r="AF7" s="29"/>
      <c r="AG7" s="29"/>
      <c r="AH7" s="40" t="s">
        <v>57</v>
      </c>
      <c r="AI7" s="39">
        <v>1</v>
      </c>
      <c r="AJ7" s="29"/>
      <c r="AK7" s="29"/>
      <c r="AL7" s="29"/>
      <c r="AM7" s="29"/>
      <c r="AN7" s="40" t="s">
        <v>58</v>
      </c>
      <c r="AO7" s="29"/>
      <c r="AP7" s="40" t="s">
        <v>59</v>
      </c>
      <c r="AQ7" s="40" t="s">
        <v>58</v>
      </c>
      <c r="AR7" s="40" t="s">
        <v>59</v>
      </c>
      <c r="AS7" s="29"/>
      <c r="AT7" s="39">
        <v>80000000</v>
      </c>
      <c r="AU7" s="39">
        <v>80000000</v>
      </c>
      <c r="AV7" s="29"/>
      <c r="AW7" s="39">
        <v>0</v>
      </c>
      <c r="AX7" s="39">
        <v>0</v>
      </c>
      <c r="AY7" s="29" t="s">
        <v>45</v>
      </c>
      <c r="AZ7" s="39">
        <v>0</v>
      </c>
      <c r="BA7" s="29"/>
      <c r="BB7" s="29"/>
      <c r="BC7" s="39">
        <v>0</v>
      </c>
      <c r="BD7" s="29"/>
      <c r="BE7" s="39">
        <v>80000000</v>
      </c>
      <c r="BF7" s="39">
        <v>80000000</v>
      </c>
      <c r="BG7" s="29"/>
      <c r="BH7" s="29"/>
      <c r="BI7" s="29"/>
      <c r="BJ7" s="39">
        <v>2000</v>
      </c>
      <c r="BK7" s="39">
        <v>0</v>
      </c>
      <c r="BL7" s="29"/>
      <c r="BM7" s="40" t="s">
        <v>47</v>
      </c>
      <c r="BN7" s="29"/>
      <c r="BO7" s="40" t="s">
        <v>25</v>
      </c>
      <c r="BP7" s="39">
        <v>0</v>
      </c>
      <c r="BQ7" s="39">
        <v>0</v>
      </c>
      <c r="BR7" s="29"/>
      <c r="BS7" s="29"/>
      <c r="BT7" s="40" t="s">
        <v>24</v>
      </c>
      <c r="BU7" s="39">
        <v>0</v>
      </c>
      <c r="BV7" s="39">
        <v>0</v>
      </c>
      <c r="BW7" s="39">
        <v>0</v>
      </c>
      <c r="BX7" s="39">
        <v>0</v>
      </c>
      <c r="BY7" s="29"/>
      <c r="BZ7" s="29"/>
      <c r="CA7" s="29"/>
      <c r="CB7" s="29"/>
      <c r="CC7" s="29"/>
      <c r="CD7" s="29"/>
      <c r="CE7" s="29"/>
      <c r="CF7" s="29"/>
      <c r="CG7" s="39">
        <v>0</v>
      </c>
      <c r="CH7" s="40" t="s">
        <v>18</v>
      </c>
      <c r="CI7" s="40" t="s">
        <v>61</v>
      </c>
      <c r="CJ7" s="39">
        <v>0</v>
      </c>
      <c r="CK7" s="40" t="s">
        <v>46</v>
      </c>
      <c r="CL7" s="39">
        <v>1</v>
      </c>
      <c r="CM7" s="40" t="s">
        <v>49</v>
      </c>
      <c r="CN7" s="29"/>
      <c r="CO7" s="29"/>
      <c r="CP7" s="29"/>
      <c r="CQ7" s="29"/>
      <c r="CR7" s="29"/>
      <c r="CS7" s="29"/>
      <c r="CT7" s="29"/>
      <c r="CU7" s="29"/>
      <c r="CV7" s="29"/>
      <c r="CW7" s="29"/>
      <c r="CX7" s="29"/>
      <c r="CY7" s="29"/>
      <c r="CZ7" s="29"/>
      <c r="DA7" s="29"/>
      <c r="DB7" s="29"/>
      <c r="DC7" s="29"/>
      <c r="DD7" s="29"/>
      <c r="DE7" s="29"/>
      <c r="DF7" s="29"/>
      <c r="DG7" s="29"/>
      <c r="DH7" s="29"/>
      <c r="DI7" s="29"/>
      <c r="DJ7" s="29"/>
      <c r="DK7" s="29"/>
      <c r="DL7" s="29"/>
      <c r="DM7" s="29"/>
      <c r="DN7" s="29"/>
      <c r="DO7" s="29"/>
      <c r="DP7" s="29"/>
      <c r="DQ7" s="29"/>
      <c r="DR7" s="29"/>
      <c r="DS7" s="29"/>
      <c r="DT7" s="29"/>
      <c r="DU7" s="29"/>
      <c r="DV7" s="29"/>
      <c r="DW7" s="29"/>
      <c r="DX7" s="29"/>
      <c r="DY7" s="29"/>
      <c r="DZ7" s="29"/>
      <c r="EA7" s="29"/>
      <c r="EB7" s="29"/>
      <c r="EC7" s="29"/>
      <c r="ED7" s="29"/>
      <c r="EE7" s="29"/>
      <c r="EF7" s="29"/>
      <c r="EG7" s="29"/>
      <c r="EH7" s="29"/>
      <c r="EI7" s="29"/>
      <c r="EJ7" s="29"/>
      <c r="EK7" s="29"/>
      <c r="EL7" s="29"/>
      <c r="EM7" s="29"/>
      <c r="EN7" s="29"/>
      <c r="EO7" s="29"/>
      <c r="EP7" s="29"/>
      <c r="EQ7" s="29"/>
      <c r="ER7" s="29"/>
      <c r="ES7" s="29"/>
      <c r="ET7" s="29"/>
      <c r="EU7" s="29"/>
      <c r="EV7" s="29"/>
      <c r="EW7" s="29"/>
      <c r="EX7" s="29"/>
    </row>
    <row r="8" spans="1:154" ht="15.75" customHeight="1">
      <c r="A8" s="29"/>
      <c r="B8" s="40" t="s">
        <v>41</v>
      </c>
      <c r="C8" s="29"/>
      <c r="D8" s="39">
        <v>0</v>
      </c>
      <c r="E8" s="39">
        <v>3000</v>
      </c>
      <c r="F8" s="29"/>
      <c r="G8" s="40" t="s">
        <v>42</v>
      </c>
      <c r="H8" s="39">
        <v>0</v>
      </c>
      <c r="I8" s="39">
        <v>0</v>
      </c>
      <c r="J8" s="29"/>
      <c r="K8" s="39">
        <v>0</v>
      </c>
      <c r="L8" s="39">
        <v>300</v>
      </c>
      <c r="M8" s="29"/>
      <c r="N8" s="29"/>
      <c r="O8" s="29" t="s">
        <v>44</v>
      </c>
      <c r="P8" s="29"/>
      <c r="Q8" s="39">
        <v>3</v>
      </c>
      <c r="R8" s="39">
        <v>0</v>
      </c>
      <c r="S8" s="40" t="s">
        <v>55</v>
      </c>
      <c r="T8" s="39">
        <v>0</v>
      </c>
      <c r="U8" s="39">
        <v>0</v>
      </c>
      <c r="V8" s="29"/>
      <c r="W8" s="29"/>
      <c r="X8" s="29"/>
      <c r="Y8" s="29"/>
      <c r="Z8" s="40" t="s">
        <v>40</v>
      </c>
      <c r="AA8" s="29"/>
      <c r="AB8" s="39">
        <v>1</v>
      </c>
      <c r="AC8" s="29"/>
      <c r="AD8" s="40" t="s">
        <v>62</v>
      </c>
      <c r="AE8" s="39">
        <v>3000</v>
      </c>
      <c r="AF8" s="29"/>
      <c r="AG8" s="29"/>
      <c r="AH8" s="40" t="s">
        <v>57</v>
      </c>
      <c r="AI8" s="39">
        <v>0</v>
      </c>
      <c r="AJ8" s="29"/>
      <c r="AK8" s="29"/>
      <c r="AL8" s="29"/>
      <c r="AM8" s="29"/>
      <c r="AN8" s="40" t="s">
        <v>58</v>
      </c>
      <c r="AO8" s="29"/>
      <c r="AP8" s="40" t="s">
        <v>59</v>
      </c>
      <c r="AQ8" s="40" t="s">
        <v>58</v>
      </c>
      <c r="AR8" s="40" t="s">
        <v>59</v>
      </c>
      <c r="AS8" s="29"/>
      <c r="AT8" s="39">
        <v>0</v>
      </c>
      <c r="AU8" s="39">
        <v>900000</v>
      </c>
      <c r="AV8" s="29"/>
      <c r="AW8" s="39">
        <v>0</v>
      </c>
      <c r="AX8" s="39">
        <v>0</v>
      </c>
      <c r="AY8" s="29" t="s">
        <v>45</v>
      </c>
      <c r="AZ8" s="39">
        <v>0</v>
      </c>
      <c r="BA8" s="29"/>
      <c r="BB8" s="29"/>
      <c r="BC8" s="39">
        <v>0</v>
      </c>
      <c r="BD8" s="29"/>
      <c r="BE8" s="39">
        <v>0</v>
      </c>
      <c r="BF8" s="39">
        <v>900000</v>
      </c>
      <c r="BG8" s="29"/>
      <c r="BH8" s="29"/>
      <c r="BI8" s="29"/>
      <c r="BJ8" s="39">
        <v>3000</v>
      </c>
      <c r="BK8" s="39">
        <v>0</v>
      </c>
      <c r="BL8" s="29"/>
      <c r="BM8" s="40" t="s">
        <v>40</v>
      </c>
      <c r="BN8" s="29"/>
      <c r="BO8" s="40" t="s">
        <v>21</v>
      </c>
      <c r="BP8" s="39">
        <v>0</v>
      </c>
      <c r="BQ8" s="39">
        <v>0</v>
      </c>
      <c r="BR8" s="29"/>
      <c r="BS8" s="29"/>
      <c r="BT8" s="40" t="s">
        <v>28</v>
      </c>
      <c r="BU8" s="39">
        <v>0</v>
      </c>
      <c r="BV8" s="39">
        <v>0</v>
      </c>
      <c r="BW8" s="39">
        <v>0</v>
      </c>
      <c r="BX8" s="39">
        <v>0</v>
      </c>
      <c r="BY8" s="29"/>
      <c r="BZ8" s="29"/>
      <c r="CA8" s="29"/>
      <c r="CB8" s="29"/>
      <c r="CC8" s="29"/>
      <c r="CD8" s="29"/>
      <c r="CE8" s="29"/>
      <c r="CF8" s="29"/>
      <c r="CG8" s="39">
        <v>0</v>
      </c>
      <c r="CH8" s="40" t="s">
        <v>18</v>
      </c>
      <c r="CI8" s="40" t="s">
        <v>21</v>
      </c>
      <c r="CJ8" s="39">
        <v>0</v>
      </c>
      <c r="CK8" s="40" t="s">
        <v>39</v>
      </c>
      <c r="CL8" s="39">
        <v>1</v>
      </c>
      <c r="CM8" s="40" t="s">
        <v>28</v>
      </c>
      <c r="CN8" s="29"/>
      <c r="CO8" s="29"/>
      <c r="CP8" s="29"/>
      <c r="CQ8" s="29"/>
      <c r="CR8" s="29"/>
      <c r="CS8" s="29"/>
      <c r="CT8" s="29"/>
      <c r="CU8" s="29"/>
      <c r="CV8" s="29"/>
      <c r="CW8" s="29"/>
      <c r="CX8" s="29"/>
      <c r="CY8" s="29"/>
      <c r="CZ8" s="29"/>
      <c r="DA8" s="29"/>
      <c r="DB8" s="29"/>
      <c r="DC8" s="29"/>
      <c r="DD8" s="29"/>
      <c r="DE8" s="29"/>
      <c r="DF8" s="29"/>
      <c r="DG8" s="29"/>
      <c r="DH8" s="29"/>
      <c r="DI8" s="29"/>
      <c r="DJ8" s="29"/>
      <c r="DK8" s="29"/>
      <c r="DL8" s="29"/>
      <c r="DM8" s="29"/>
      <c r="DN8" s="29"/>
      <c r="DO8" s="29"/>
      <c r="DP8" s="29"/>
      <c r="DQ8" s="29"/>
      <c r="DR8" s="29"/>
      <c r="DS8" s="29"/>
      <c r="DT8" s="29"/>
      <c r="DU8" s="29"/>
      <c r="DV8" s="29"/>
      <c r="DW8" s="29"/>
      <c r="DX8" s="29"/>
      <c r="DY8" s="29"/>
      <c r="DZ8" s="29"/>
      <c r="EA8" s="29"/>
      <c r="EB8" s="29"/>
      <c r="EC8" s="29"/>
      <c r="ED8" s="29"/>
      <c r="EE8" s="29"/>
      <c r="EF8" s="29"/>
      <c r="EG8" s="29"/>
      <c r="EH8" s="29"/>
      <c r="EI8" s="29"/>
      <c r="EJ8" s="29"/>
      <c r="EK8" s="29"/>
      <c r="EL8" s="29"/>
      <c r="EM8" s="29"/>
      <c r="EN8" s="29"/>
      <c r="EO8" s="29"/>
      <c r="EP8" s="29"/>
      <c r="EQ8" s="29"/>
      <c r="ER8" s="29"/>
      <c r="ES8" s="29"/>
      <c r="ET8" s="29"/>
      <c r="EU8" s="29"/>
      <c r="EV8" s="29"/>
      <c r="EW8" s="29"/>
      <c r="EX8" s="29"/>
    </row>
    <row r="9" spans="1:154" ht="15.75" customHeight="1">
      <c r="A9" s="29"/>
      <c r="B9" s="40" t="s">
        <v>41</v>
      </c>
      <c r="C9" s="29"/>
      <c r="D9" s="39">
        <v>0</v>
      </c>
      <c r="E9" s="39">
        <v>4000</v>
      </c>
      <c r="F9" s="29"/>
      <c r="G9" s="40" t="s">
        <v>42</v>
      </c>
      <c r="H9" s="39">
        <v>7200</v>
      </c>
      <c r="I9" s="39">
        <v>0</v>
      </c>
      <c r="J9" s="29"/>
      <c r="K9" s="39">
        <v>200</v>
      </c>
      <c r="L9" s="39">
        <v>200</v>
      </c>
      <c r="M9" s="29"/>
      <c r="N9" s="29"/>
      <c r="O9" s="29" t="s">
        <v>44</v>
      </c>
      <c r="P9" s="29"/>
      <c r="Q9" s="39">
        <v>3</v>
      </c>
      <c r="R9" s="39">
        <v>0</v>
      </c>
      <c r="S9" s="40" t="s">
        <v>55</v>
      </c>
      <c r="T9" s="39">
        <v>0</v>
      </c>
      <c r="U9" s="39">
        <v>0</v>
      </c>
      <c r="V9" s="29"/>
      <c r="W9" s="29"/>
      <c r="X9" s="29"/>
      <c r="Y9" s="29"/>
      <c r="Z9" s="40" t="s">
        <v>47</v>
      </c>
      <c r="AA9" s="29"/>
      <c r="AB9" s="39">
        <v>1</v>
      </c>
      <c r="AC9" s="29"/>
      <c r="AD9" s="40" t="s">
        <v>63</v>
      </c>
      <c r="AE9" s="39">
        <v>4000</v>
      </c>
      <c r="AF9" s="29"/>
      <c r="AG9" s="29"/>
      <c r="AH9" s="40" t="s">
        <v>57</v>
      </c>
      <c r="AI9" s="39">
        <v>1</v>
      </c>
      <c r="AJ9" s="29"/>
      <c r="AK9" s="29"/>
      <c r="AL9" s="29"/>
      <c r="AM9" s="29"/>
      <c r="AN9" s="40" t="s">
        <v>58</v>
      </c>
      <c r="AO9" s="29"/>
      <c r="AP9" s="40" t="s">
        <v>59</v>
      </c>
      <c r="AQ9" s="40" t="s">
        <v>58</v>
      </c>
      <c r="AR9" s="40" t="s">
        <v>59</v>
      </c>
      <c r="AS9" s="29"/>
      <c r="AT9" s="39">
        <v>792658</v>
      </c>
      <c r="AU9" s="39">
        <v>792658</v>
      </c>
      <c r="AV9" s="29"/>
      <c r="AW9" s="39">
        <v>0</v>
      </c>
      <c r="AX9" s="39">
        <v>0</v>
      </c>
      <c r="AY9" s="29" t="s">
        <v>45</v>
      </c>
      <c r="AZ9" s="39">
        <v>0</v>
      </c>
      <c r="BA9" s="29"/>
      <c r="BB9" s="29"/>
      <c r="BC9" s="39">
        <v>0</v>
      </c>
      <c r="BD9" s="29"/>
      <c r="BE9" s="39">
        <v>800000</v>
      </c>
      <c r="BF9" s="39">
        <v>800000</v>
      </c>
      <c r="BG9" s="29"/>
      <c r="BH9" s="29"/>
      <c r="BI9" s="29"/>
      <c r="BJ9" s="39">
        <v>4000</v>
      </c>
      <c r="BK9" s="39">
        <v>0</v>
      </c>
      <c r="BL9" s="29"/>
      <c r="BM9" s="40" t="s">
        <v>47</v>
      </c>
      <c r="BN9" s="29"/>
      <c r="BO9" s="40" t="s">
        <v>32</v>
      </c>
      <c r="BP9" s="39">
        <v>0</v>
      </c>
      <c r="BQ9" s="39">
        <v>0</v>
      </c>
      <c r="BR9" s="29"/>
      <c r="BS9" s="29"/>
      <c r="BT9" s="40" t="s">
        <v>31</v>
      </c>
      <c r="BU9" s="39">
        <v>2</v>
      </c>
      <c r="BV9" s="39">
        <v>0</v>
      </c>
      <c r="BW9" s="39">
        <v>7342</v>
      </c>
      <c r="BX9" s="39">
        <v>0</v>
      </c>
      <c r="BY9" s="29"/>
      <c r="BZ9" s="29"/>
      <c r="CA9" s="29"/>
      <c r="CB9" s="29"/>
      <c r="CC9" s="29"/>
      <c r="CD9" s="29"/>
      <c r="CE9" s="29"/>
      <c r="CF9" s="29"/>
      <c r="CG9" s="39">
        <v>0</v>
      </c>
      <c r="CH9" s="40" t="s">
        <v>18</v>
      </c>
      <c r="CI9" s="40" t="s">
        <v>32</v>
      </c>
      <c r="CJ9" s="39">
        <v>0</v>
      </c>
      <c r="CK9" s="40" t="s">
        <v>46</v>
      </c>
      <c r="CL9" s="39">
        <v>1</v>
      </c>
      <c r="CM9" s="40" t="s">
        <v>31</v>
      </c>
      <c r="CN9" s="29"/>
      <c r="CO9" s="29"/>
      <c r="CP9" s="29"/>
      <c r="CQ9" s="29"/>
      <c r="CR9" s="29"/>
      <c r="CS9" s="29"/>
      <c r="CT9" s="29"/>
      <c r="CU9" s="29"/>
      <c r="CV9" s="29"/>
      <c r="CW9" s="29"/>
      <c r="CX9" s="29"/>
      <c r="CY9" s="29"/>
      <c r="CZ9" s="29"/>
      <c r="DA9" s="29"/>
      <c r="DB9" s="29"/>
      <c r="DC9" s="29"/>
      <c r="DD9" s="29"/>
      <c r="DE9" s="29"/>
      <c r="DF9" s="29"/>
      <c r="DG9" s="29"/>
      <c r="DH9" s="29"/>
      <c r="DI9" s="29"/>
      <c r="DJ9" s="29"/>
      <c r="DK9" s="29"/>
      <c r="DL9" s="29"/>
      <c r="DM9" s="29"/>
      <c r="DN9" s="29"/>
      <c r="DO9" s="29"/>
      <c r="DP9" s="29"/>
      <c r="DQ9" s="29"/>
      <c r="DR9" s="29"/>
      <c r="DS9" s="29"/>
      <c r="DT9" s="29"/>
      <c r="DU9" s="29"/>
      <c r="DV9" s="29"/>
      <c r="DW9" s="29"/>
      <c r="DX9" s="29"/>
      <c r="DY9" s="29"/>
      <c r="DZ9" s="29"/>
      <c r="EA9" s="29"/>
      <c r="EB9" s="29"/>
      <c r="EC9" s="29"/>
      <c r="ED9" s="29"/>
      <c r="EE9" s="29"/>
      <c r="EF9" s="29"/>
      <c r="EG9" s="29"/>
      <c r="EH9" s="29"/>
      <c r="EI9" s="29"/>
      <c r="EJ9" s="29"/>
      <c r="EK9" s="29"/>
      <c r="EL9" s="29"/>
      <c r="EM9" s="29"/>
      <c r="EN9" s="29"/>
      <c r="EO9" s="29"/>
      <c r="EP9" s="29"/>
      <c r="EQ9" s="29"/>
      <c r="ER9" s="29"/>
      <c r="ES9" s="29"/>
      <c r="ET9" s="29"/>
      <c r="EU9" s="29"/>
      <c r="EV9" s="29"/>
      <c r="EW9" s="29"/>
      <c r="EX9" s="29"/>
    </row>
    <row r="10" spans="1:154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  <c r="BL10" s="29"/>
      <c r="BM10" s="29"/>
      <c r="BN10" s="29"/>
      <c r="BO10" s="29"/>
      <c r="BP10" s="29"/>
      <c r="BQ10" s="29"/>
      <c r="BR10" s="29"/>
      <c r="BS10" s="29"/>
      <c r="BT10" s="29"/>
      <c r="BU10" s="29"/>
      <c r="BV10" s="29"/>
      <c r="BW10" s="29"/>
      <c r="BX10" s="29"/>
      <c r="BY10" s="29"/>
      <c r="BZ10" s="29"/>
      <c r="CA10" s="29"/>
      <c r="CB10" s="29"/>
      <c r="CC10" s="29"/>
      <c r="CD10" s="29"/>
      <c r="CE10" s="29"/>
      <c r="CF10" s="29"/>
      <c r="CG10" s="29"/>
      <c r="CH10" s="29"/>
      <c r="CI10" s="29"/>
      <c r="CJ10" s="29"/>
      <c r="CK10" s="29"/>
      <c r="CL10" s="29"/>
      <c r="CM10" s="29"/>
      <c r="CN10" s="29"/>
      <c r="CO10" s="29"/>
      <c r="CP10" s="29"/>
      <c r="CQ10" s="29"/>
      <c r="CR10" s="29"/>
      <c r="CS10" s="29"/>
      <c r="CT10" s="29"/>
      <c r="CU10" s="29"/>
      <c r="CV10" s="29"/>
      <c r="CW10" s="29"/>
      <c r="CX10" s="29"/>
      <c r="CY10" s="29"/>
      <c r="CZ10" s="29"/>
      <c r="DA10" s="29"/>
      <c r="DB10" s="29"/>
      <c r="DC10" s="29"/>
      <c r="DD10" s="29"/>
      <c r="DE10" s="29"/>
      <c r="DF10" s="29"/>
      <c r="DG10" s="29"/>
      <c r="DH10" s="29"/>
      <c r="DI10" s="29"/>
      <c r="DJ10" s="29"/>
      <c r="DK10" s="29"/>
      <c r="DL10" s="29"/>
      <c r="DM10" s="29"/>
      <c r="DN10" s="29"/>
      <c r="DO10" s="29"/>
      <c r="DP10" s="29"/>
      <c r="DQ10" s="29"/>
      <c r="DR10" s="29"/>
      <c r="DS10" s="29"/>
      <c r="DT10" s="29"/>
      <c r="DU10" s="29"/>
      <c r="DV10" s="29"/>
      <c r="DW10" s="29"/>
      <c r="DX10" s="29"/>
      <c r="DY10" s="29"/>
      <c r="DZ10" s="29"/>
      <c r="EA10" s="29"/>
      <c r="EB10" s="29"/>
      <c r="EC10" s="29"/>
      <c r="ED10" s="29"/>
      <c r="EE10" s="29"/>
      <c r="EF10" s="29"/>
      <c r="EG10" s="29"/>
      <c r="EH10" s="29"/>
      <c r="EI10" s="29"/>
      <c r="EJ10" s="29"/>
      <c r="EK10" s="29"/>
      <c r="EL10" s="29"/>
      <c r="EM10" s="29"/>
      <c r="EN10" s="29"/>
      <c r="EO10" s="29"/>
      <c r="EP10" s="29"/>
      <c r="EQ10" s="29"/>
      <c r="ER10" s="29"/>
      <c r="ES10" s="29"/>
      <c r="ET10" s="29"/>
      <c r="EU10" s="29"/>
      <c r="EV10" s="29"/>
      <c r="EW10" s="29"/>
      <c r="EX10" s="29"/>
    </row>
    <row r="11" spans="1:154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/>
      <c r="BG11" s="29"/>
      <c r="BH11" s="29"/>
      <c r="BI11" s="29"/>
      <c r="BJ11" s="29"/>
      <c r="BK11" s="29"/>
      <c r="BL11" s="29"/>
      <c r="BM11" s="29"/>
      <c r="BN11" s="29"/>
      <c r="BO11" s="29"/>
      <c r="BP11" s="29"/>
      <c r="BQ11" s="29"/>
      <c r="BR11" s="29"/>
      <c r="BS11" s="29"/>
      <c r="BT11" s="29"/>
      <c r="BU11" s="29"/>
      <c r="BV11" s="29"/>
      <c r="BW11" s="29"/>
      <c r="BX11" s="29"/>
      <c r="BY11" s="29"/>
      <c r="BZ11" s="29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29"/>
      <c r="DR11" s="29"/>
      <c r="DS11" s="29"/>
      <c r="DT11" s="29"/>
      <c r="DU11" s="29"/>
      <c r="DV11" s="29"/>
      <c r="DW11" s="29"/>
      <c r="DX11" s="29"/>
      <c r="DY11" s="29"/>
      <c r="DZ11" s="29"/>
      <c r="EA11" s="29"/>
      <c r="EB11" s="29"/>
      <c r="EC11" s="29"/>
      <c r="ED11" s="29"/>
      <c r="EE11" s="29"/>
      <c r="EF11" s="29"/>
      <c r="EG11" s="29"/>
      <c r="EH11" s="29"/>
      <c r="EI11" s="29"/>
      <c r="EJ11" s="29"/>
      <c r="EK11" s="29"/>
      <c r="EL11" s="29"/>
      <c r="EM11" s="29"/>
      <c r="EN11" s="29"/>
      <c r="EO11" s="29"/>
      <c r="EP11" s="29"/>
      <c r="EQ11" s="29"/>
      <c r="ER11" s="29"/>
      <c r="ES11" s="29"/>
      <c r="ET11" s="29"/>
      <c r="EU11" s="29"/>
      <c r="EV11" s="29"/>
      <c r="EW11" s="29"/>
      <c r="EX11" s="29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abSelected="1" topLeftCell="BH1" workbookViewId="0">
      <selection activeCell="BO21" sqref="BO21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9.42578125" customWidth="1"/>
    <col min="64" max="168" width="14.42578125" customWidth="1"/>
  </cols>
  <sheetData>
    <row r="1" spans="1:168" ht="15.75" customHeight="1">
      <c r="A1" s="13"/>
      <c r="B1" s="44" t="s">
        <v>11</v>
      </c>
      <c r="C1" s="45"/>
      <c r="D1" s="45"/>
      <c r="E1" s="45"/>
      <c r="F1" s="45"/>
      <c r="G1" s="45"/>
      <c r="H1" s="46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>
      <c r="A3" s="16"/>
      <c r="B3" s="2" t="s">
        <v>8</v>
      </c>
      <c r="C3" s="17" t="s">
        <v>64</v>
      </c>
      <c r="D3" s="2" t="s">
        <v>9</v>
      </c>
      <c r="E3" s="17" t="s">
        <v>65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 t="str">
        <f ca="1">IFERROR(__xludf.DUMMYFUNCTION("""COMPUTED_VALUE"""),"IncreasePositionFromPM")</f>
        <v>IncreasePositionFromPM</v>
      </c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>
      <c r="A6" s="25"/>
      <c r="B6" s="25"/>
      <c r="C6" s="38" t="s">
        <v>20</v>
      </c>
      <c r="D6" s="41">
        <v>500</v>
      </c>
      <c r="E6" s="38" t="s">
        <v>66</v>
      </c>
      <c r="F6" s="38" t="s">
        <v>67</v>
      </c>
      <c r="G6" s="41">
        <v>500</v>
      </c>
      <c r="H6" s="38" t="s">
        <v>68</v>
      </c>
      <c r="I6" s="41">
        <v>-15625000000</v>
      </c>
      <c r="J6" s="41">
        <v>-100</v>
      </c>
      <c r="K6" s="41">
        <v>0</v>
      </c>
      <c r="L6" s="41">
        <v>0</v>
      </c>
      <c r="M6" s="41">
        <v>0</v>
      </c>
      <c r="N6" s="41">
        <v>-15625000000</v>
      </c>
      <c r="O6" s="38" t="s">
        <v>69</v>
      </c>
      <c r="P6" s="38" t="s">
        <v>70</v>
      </c>
      <c r="Q6" s="41">
        <v>-15625000000</v>
      </c>
      <c r="R6" s="38" t="s">
        <v>44</v>
      </c>
      <c r="S6" s="38" t="s">
        <v>71</v>
      </c>
      <c r="T6" s="40" t="s">
        <v>48</v>
      </c>
      <c r="U6" s="40" t="s">
        <v>46</v>
      </c>
      <c r="V6" s="40" t="s">
        <v>56</v>
      </c>
      <c r="W6" s="40" t="s">
        <v>47</v>
      </c>
      <c r="X6" s="29"/>
      <c r="Y6" s="42">
        <v>1</v>
      </c>
      <c r="Z6" s="29"/>
      <c r="AA6" s="29"/>
      <c r="AB6" s="42">
        <v>0</v>
      </c>
      <c r="AC6" s="42">
        <v>0</v>
      </c>
      <c r="AD6" s="42">
        <v>0</v>
      </c>
      <c r="AE6" s="42">
        <v>0</v>
      </c>
      <c r="AF6" s="42">
        <v>500</v>
      </c>
      <c r="AG6" s="42">
        <v>0</v>
      </c>
      <c r="AH6" s="42">
        <v>0</v>
      </c>
      <c r="AI6" s="42">
        <v>0</v>
      </c>
      <c r="AJ6" s="42">
        <v>0</v>
      </c>
      <c r="AK6" s="42">
        <v>-15625000000</v>
      </c>
      <c r="AL6" s="42">
        <v>1</v>
      </c>
      <c r="AM6" s="42">
        <v>1</v>
      </c>
      <c r="AN6" s="40" t="s">
        <v>21</v>
      </c>
      <c r="AO6" s="29"/>
      <c r="AP6" s="40" t="s">
        <v>68</v>
      </c>
      <c r="AQ6" s="40" t="s">
        <v>20</v>
      </c>
      <c r="AR6" s="42">
        <v>0</v>
      </c>
      <c r="AS6" s="42">
        <v>1</v>
      </c>
      <c r="AT6" s="40" t="s">
        <v>72</v>
      </c>
      <c r="AU6" s="40" t="s">
        <v>73</v>
      </c>
      <c r="AV6" s="42" t="s">
        <v>74</v>
      </c>
      <c r="AW6" s="42">
        <v>-15625000000</v>
      </c>
      <c r="AX6" s="42">
        <v>0</v>
      </c>
      <c r="AY6" s="42">
        <v>0</v>
      </c>
      <c r="AZ6" s="42">
        <v>-15625000000</v>
      </c>
      <c r="BA6" s="42">
        <v>-100</v>
      </c>
      <c r="BB6" s="29"/>
      <c r="BC6" s="42">
        <v>1</v>
      </c>
      <c r="BD6" s="42">
        <v>0</v>
      </c>
      <c r="BE6" s="40" t="s">
        <v>70</v>
      </c>
      <c r="BF6" s="40" t="s">
        <v>70</v>
      </c>
      <c r="BG6" s="40" t="s">
        <v>75</v>
      </c>
      <c r="BH6" s="40" t="s">
        <v>76</v>
      </c>
      <c r="BI6" s="40" t="s">
        <v>70</v>
      </c>
      <c r="BJ6" s="42">
        <v>0</v>
      </c>
      <c r="BK6" s="42">
        <v>0</v>
      </c>
      <c r="BL6" s="42">
        <v>0</v>
      </c>
      <c r="BM6" s="42">
        <v>0</v>
      </c>
      <c r="BN6" s="29"/>
      <c r="BO6" s="42">
        <v>0</v>
      </c>
      <c r="BP6" s="42">
        <v>0</v>
      </c>
      <c r="BQ6" s="40" t="s">
        <v>38</v>
      </c>
      <c r="BR6" s="40" t="s">
        <v>44</v>
      </c>
      <c r="BS6" s="42">
        <v>0</v>
      </c>
      <c r="BT6" s="42">
        <v>0</v>
      </c>
      <c r="BU6" s="40" t="s">
        <v>48</v>
      </c>
      <c r="BV6" s="29"/>
      <c r="BW6" s="42">
        <v>0</v>
      </c>
      <c r="BX6" s="42">
        <v>0</v>
      </c>
      <c r="BY6" s="42">
        <v>15625000000</v>
      </c>
      <c r="BZ6" s="42">
        <v>0</v>
      </c>
      <c r="CA6" s="42">
        <v>0</v>
      </c>
      <c r="CB6" s="29"/>
      <c r="CC6" s="42">
        <v>0</v>
      </c>
      <c r="CD6" s="42">
        <v>-15625000000</v>
      </c>
      <c r="CE6" s="42">
        <v>0</v>
      </c>
      <c r="CF6" s="42">
        <v>0</v>
      </c>
      <c r="CG6" s="42">
        <v>-15625000000</v>
      </c>
      <c r="CH6" s="42">
        <v>-100</v>
      </c>
      <c r="CI6" s="42">
        <v>0</v>
      </c>
      <c r="CJ6" s="42">
        <v>0</v>
      </c>
      <c r="CK6" s="43" t="b">
        <v>0</v>
      </c>
      <c r="CL6" s="29"/>
      <c r="CM6" s="29"/>
      <c r="CN6" s="29"/>
      <c r="CO6" s="29"/>
      <c r="CP6" s="29"/>
      <c r="CQ6" s="29"/>
      <c r="CR6" s="29"/>
      <c r="CS6" s="42">
        <v>500</v>
      </c>
      <c r="CT6" s="29"/>
      <c r="CU6" s="29"/>
      <c r="CV6" s="29"/>
      <c r="CW6" s="29"/>
      <c r="CX6" s="29"/>
      <c r="CY6" s="40" t="s">
        <v>77</v>
      </c>
      <c r="CZ6" s="40" t="s">
        <v>78</v>
      </c>
      <c r="DA6" s="42">
        <v>0</v>
      </c>
      <c r="DB6" s="42">
        <v>100</v>
      </c>
      <c r="DC6" s="42"/>
      <c r="DD6" s="42">
        <v>500</v>
      </c>
      <c r="DE6" s="42">
        <v>0</v>
      </c>
      <c r="DF6" s="42">
        <v>0</v>
      </c>
      <c r="DG6" s="42">
        <v>0</v>
      </c>
      <c r="DH6" s="40" t="s">
        <v>70</v>
      </c>
      <c r="DI6" s="42">
        <v>0</v>
      </c>
      <c r="DJ6" s="40" t="s">
        <v>21</v>
      </c>
      <c r="DK6" s="42">
        <v>0</v>
      </c>
      <c r="DL6" s="42">
        <v>0</v>
      </c>
      <c r="DM6" s="42">
        <v>1</v>
      </c>
      <c r="DN6" s="42">
        <v>0</v>
      </c>
      <c r="DO6" s="29"/>
      <c r="DP6" s="40" t="s">
        <v>68</v>
      </c>
      <c r="DQ6" s="40" t="s">
        <v>79</v>
      </c>
      <c r="DR6" s="40" t="s">
        <v>80</v>
      </c>
      <c r="DS6" s="40" t="s">
        <v>81</v>
      </c>
      <c r="DT6" s="40" t="s">
        <v>82</v>
      </c>
      <c r="DU6" s="40" t="s">
        <v>83</v>
      </c>
      <c r="DV6" s="40" t="s">
        <v>84</v>
      </c>
      <c r="DW6" s="40" t="s">
        <v>85</v>
      </c>
      <c r="DX6" s="40" t="s">
        <v>86</v>
      </c>
      <c r="DY6" s="40" t="s">
        <v>87</v>
      </c>
      <c r="DZ6" s="40" t="s">
        <v>69</v>
      </c>
      <c r="EA6" s="40" t="s">
        <v>88</v>
      </c>
      <c r="EB6" s="40" t="s">
        <v>89</v>
      </c>
      <c r="EC6" s="40" t="s">
        <v>90</v>
      </c>
      <c r="ED6" s="40" t="s">
        <v>47</v>
      </c>
      <c r="EE6" s="40" t="s">
        <v>88</v>
      </c>
      <c r="EF6" s="42">
        <v>0</v>
      </c>
      <c r="EG6" s="42">
        <v>0</v>
      </c>
      <c r="EH6" s="42">
        <v>0</v>
      </c>
      <c r="EI6" s="42">
        <v>0</v>
      </c>
      <c r="EJ6" s="42">
        <v>0</v>
      </c>
      <c r="EK6" s="42">
        <v>0</v>
      </c>
      <c r="EL6" s="40" t="s">
        <v>68</v>
      </c>
      <c r="EM6" s="42">
        <v>0</v>
      </c>
      <c r="EN6" s="42">
        <v>0</v>
      </c>
      <c r="EO6" s="42">
        <v>0</v>
      </c>
      <c r="EP6" s="29"/>
      <c r="EQ6" s="42">
        <v>0</v>
      </c>
      <c r="ER6" s="42">
        <v>0</v>
      </c>
      <c r="ES6" s="29"/>
      <c r="ET6" s="42">
        <v>0</v>
      </c>
      <c r="EU6" s="42">
        <v>0</v>
      </c>
      <c r="EV6" s="40" t="s">
        <v>68</v>
      </c>
      <c r="EW6" s="29"/>
      <c r="EX6" s="29"/>
      <c r="EY6" s="29"/>
      <c r="EZ6" s="29"/>
      <c r="FA6" s="29"/>
      <c r="FB6" s="29"/>
      <c r="FC6" s="29"/>
      <c r="FD6" s="29"/>
      <c r="FE6" s="29"/>
      <c r="FF6" s="29"/>
      <c r="FG6" s="29"/>
      <c r="FH6" s="29"/>
      <c r="FI6" s="29"/>
      <c r="FJ6" s="29"/>
      <c r="FK6" s="29"/>
      <c r="FL6" s="29"/>
    </row>
    <row r="7" spans="1:168" ht="15.75" customHeight="1">
      <c r="A7" s="29"/>
      <c r="B7" s="29"/>
      <c r="C7" s="40" t="s">
        <v>28</v>
      </c>
      <c r="D7" s="42">
        <v>900</v>
      </c>
      <c r="E7" s="40" t="s">
        <v>66</v>
      </c>
      <c r="F7" s="40" t="s">
        <v>67</v>
      </c>
      <c r="G7" s="42">
        <v>300</v>
      </c>
      <c r="H7" s="40" t="s">
        <v>68</v>
      </c>
      <c r="I7" s="42">
        <v>0</v>
      </c>
      <c r="J7" s="42">
        <v>0</v>
      </c>
      <c r="K7" s="42">
        <v>0</v>
      </c>
      <c r="L7" s="42">
        <v>0</v>
      </c>
      <c r="M7" s="42">
        <v>0</v>
      </c>
      <c r="N7" s="42">
        <v>0</v>
      </c>
      <c r="O7" s="40" t="s">
        <v>91</v>
      </c>
      <c r="P7" s="40" t="s">
        <v>70</v>
      </c>
      <c r="Q7" s="42">
        <v>0</v>
      </c>
      <c r="R7" s="40" t="s">
        <v>44</v>
      </c>
      <c r="S7" s="40" t="s">
        <v>71</v>
      </c>
      <c r="T7" s="40" t="s">
        <v>42</v>
      </c>
      <c r="U7" s="40" t="s">
        <v>39</v>
      </c>
      <c r="V7" s="40" t="s">
        <v>62</v>
      </c>
      <c r="W7" s="40" t="s">
        <v>40</v>
      </c>
      <c r="X7" s="29"/>
      <c r="Y7" s="42">
        <v>0</v>
      </c>
      <c r="Z7" s="29"/>
      <c r="AA7" s="29"/>
      <c r="AB7" s="42">
        <v>0</v>
      </c>
      <c r="AC7" s="42">
        <v>0</v>
      </c>
      <c r="AD7" s="42">
        <v>0</v>
      </c>
      <c r="AE7" s="42">
        <v>0</v>
      </c>
      <c r="AF7" s="42">
        <v>900</v>
      </c>
      <c r="AG7" s="42">
        <v>0</v>
      </c>
      <c r="AH7" s="42">
        <v>0</v>
      </c>
      <c r="AI7" s="42">
        <v>0</v>
      </c>
      <c r="AJ7" s="42">
        <v>0</v>
      </c>
      <c r="AK7" s="42">
        <v>-270000</v>
      </c>
      <c r="AL7" s="42">
        <v>1</v>
      </c>
      <c r="AM7" s="42">
        <v>1</v>
      </c>
      <c r="AN7" s="40" t="s">
        <v>21</v>
      </c>
      <c r="AO7" s="29"/>
      <c r="AP7" s="40" t="s">
        <v>68</v>
      </c>
      <c r="AQ7" s="40" t="s">
        <v>28</v>
      </c>
      <c r="AR7" s="42">
        <v>0</v>
      </c>
      <c r="AS7" s="42">
        <v>1</v>
      </c>
      <c r="AT7" s="40" t="s">
        <v>72</v>
      </c>
      <c r="AU7" s="40" t="s">
        <v>73</v>
      </c>
      <c r="AV7" s="40" t="s">
        <v>92</v>
      </c>
      <c r="AW7" s="42">
        <v>-270000</v>
      </c>
      <c r="AX7" s="42">
        <v>0</v>
      </c>
      <c r="AY7" s="42">
        <v>0</v>
      </c>
      <c r="AZ7" s="42">
        <v>0</v>
      </c>
      <c r="BA7" s="42">
        <v>0</v>
      </c>
      <c r="BB7" s="29"/>
      <c r="BC7" s="42">
        <v>1</v>
      </c>
      <c r="BD7" s="42">
        <v>-270000</v>
      </c>
      <c r="BE7" s="40" t="s">
        <v>42</v>
      </c>
      <c r="BF7" s="40" t="s">
        <v>70</v>
      </c>
      <c r="BG7" s="40" t="s">
        <v>70</v>
      </c>
      <c r="BH7" s="40" t="s">
        <v>70</v>
      </c>
      <c r="BI7" s="40" t="s">
        <v>70</v>
      </c>
      <c r="BJ7" s="42">
        <v>0</v>
      </c>
      <c r="BK7" s="42">
        <v>0</v>
      </c>
      <c r="BL7" s="42">
        <v>0</v>
      </c>
      <c r="BM7" s="42">
        <v>0</v>
      </c>
      <c r="BN7" s="29"/>
      <c r="BO7" s="42">
        <v>0</v>
      </c>
      <c r="BP7" s="42">
        <v>0</v>
      </c>
      <c r="BQ7" s="40" t="s">
        <v>38</v>
      </c>
      <c r="BR7" s="40" t="s">
        <v>44</v>
      </c>
      <c r="BS7" s="42">
        <v>0</v>
      </c>
      <c r="BT7" s="42">
        <v>0</v>
      </c>
      <c r="BU7" s="40" t="s">
        <v>42</v>
      </c>
      <c r="BV7" s="29"/>
      <c r="BW7" s="42">
        <v>0</v>
      </c>
      <c r="BX7" s="42">
        <v>0</v>
      </c>
      <c r="BY7" s="42">
        <v>0</v>
      </c>
      <c r="BZ7" s="42">
        <v>0</v>
      </c>
      <c r="CA7" s="42">
        <v>0</v>
      </c>
      <c r="CB7" s="29"/>
      <c r="CC7" s="42">
        <v>0</v>
      </c>
      <c r="CD7" s="42">
        <v>0</v>
      </c>
      <c r="CE7" s="42">
        <v>0</v>
      </c>
      <c r="CF7" s="42">
        <v>0</v>
      </c>
      <c r="CG7" s="42">
        <v>0</v>
      </c>
      <c r="CH7" s="42">
        <v>0</v>
      </c>
      <c r="CI7" s="42">
        <v>0</v>
      </c>
      <c r="CJ7" s="42">
        <v>0</v>
      </c>
      <c r="CK7" s="43" t="b">
        <v>0</v>
      </c>
      <c r="CL7" s="29"/>
      <c r="CM7" s="29"/>
      <c r="CN7" s="29"/>
      <c r="CO7" s="29"/>
      <c r="CP7" s="29"/>
      <c r="CQ7" s="29"/>
      <c r="CR7" s="29"/>
      <c r="CS7" s="42">
        <v>300</v>
      </c>
      <c r="CT7" s="29"/>
      <c r="CU7" s="29"/>
      <c r="CV7" s="29"/>
      <c r="CW7" s="29"/>
      <c r="CX7" s="29"/>
      <c r="CY7" s="40" t="s">
        <v>77</v>
      </c>
      <c r="CZ7" s="40" t="s">
        <v>78</v>
      </c>
      <c r="DA7" s="42">
        <v>0</v>
      </c>
      <c r="DB7" s="42">
        <v>0</v>
      </c>
      <c r="DC7" s="42"/>
      <c r="DD7" s="42">
        <v>900</v>
      </c>
      <c r="DE7" s="42">
        <v>0</v>
      </c>
      <c r="DF7" s="42">
        <v>0</v>
      </c>
      <c r="DG7" s="42">
        <v>0</v>
      </c>
      <c r="DH7" s="40" t="s">
        <v>70</v>
      </c>
      <c r="DI7" s="42">
        <v>0</v>
      </c>
      <c r="DJ7" s="40" t="s">
        <v>21</v>
      </c>
      <c r="DK7" s="42">
        <v>0</v>
      </c>
      <c r="DL7" s="42">
        <v>0</v>
      </c>
      <c r="DM7" s="42">
        <v>0</v>
      </c>
      <c r="DN7" s="42">
        <v>0</v>
      </c>
      <c r="DO7" s="29"/>
      <c r="DP7" s="40" t="s">
        <v>68</v>
      </c>
      <c r="DQ7" s="40" t="s">
        <v>70</v>
      </c>
      <c r="DR7" s="40" t="s">
        <v>80</v>
      </c>
      <c r="DS7" s="40" t="s">
        <v>70</v>
      </c>
      <c r="DT7" s="40" t="s">
        <v>70</v>
      </c>
      <c r="DU7" s="40" t="s">
        <v>70</v>
      </c>
      <c r="DV7" s="40" t="s">
        <v>70</v>
      </c>
      <c r="DW7" s="40" t="s">
        <v>70</v>
      </c>
      <c r="DX7" s="40" t="s">
        <v>70</v>
      </c>
      <c r="DY7" s="40" t="s">
        <v>70</v>
      </c>
      <c r="DZ7" s="40" t="s">
        <v>91</v>
      </c>
      <c r="EA7" s="40" t="s">
        <v>88</v>
      </c>
      <c r="EB7" s="40" t="s">
        <v>70</v>
      </c>
      <c r="EC7" s="40" t="s">
        <v>70</v>
      </c>
      <c r="ED7" s="40" t="s">
        <v>40</v>
      </c>
      <c r="EE7" s="40" t="s">
        <v>88</v>
      </c>
      <c r="EF7" s="42">
        <v>0</v>
      </c>
      <c r="EG7" s="42">
        <v>0</v>
      </c>
      <c r="EH7" s="42">
        <v>0</v>
      </c>
      <c r="EI7" s="42">
        <v>0</v>
      </c>
      <c r="EJ7" s="42">
        <v>0</v>
      </c>
      <c r="EK7" s="42">
        <v>0</v>
      </c>
      <c r="EL7" s="40" t="s">
        <v>68</v>
      </c>
      <c r="EM7" s="42">
        <v>0</v>
      </c>
      <c r="EN7" s="42">
        <v>0</v>
      </c>
      <c r="EO7" s="42">
        <v>0</v>
      </c>
      <c r="EP7" s="29"/>
      <c r="EQ7" s="42">
        <v>0</v>
      </c>
      <c r="ER7" s="42">
        <v>0</v>
      </c>
      <c r="ES7" s="29"/>
      <c r="ET7" s="42">
        <v>0</v>
      </c>
      <c r="EU7" s="42">
        <v>0</v>
      </c>
      <c r="EV7" s="40" t="s">
        <v>68</v>
      </c>
      <c r="EW7" s="29"/>
      <c r="EX7" s="29"/>
      <c r="EY7" s="29"/>
      <c r="EZ7" s="29"/>
      <c r="FA7" s="29"/>
      <c r="FB7" s="29"/>
      <c r="FC7" s="29"/>
      <c r="FD7" s="29"/>
      <c r="FE7" s="29"/>
      <c r="FF7" s="29"/>
      <c r="FG7" s="29"/>
      <c r="FH7" s="29"/>
      <c r="FI7" s="29"/>
      <c r="FJ7" s="29"/>
      <c r="FK7" s="29"/>
      <c r="FL7" s="29"/>
    </row>
    <row r="8" spans="1:168" ht="15.75" customHeight="1">
      <c r="A8" s="29"/>
      <c r="B8" s="29"/>
      <c r="C8" s="40" t="s">
        <v>20</v>
      </c>
      <c r="D8" s="42">
        <v>500</v>
      </c>
      <c r="E8" s="40" t="s">
        <v>93</v>
      </c>
      <c r="F8" s="40" t="s">
        <v>94</v>
      </c>
      <c r="G8" s="42">
        <v>500</v>
      </c>
      <c r="H8" s="40" t="s">
        <v>68</v>
      </c>
      <c r="I8" s="42">
        <v>-15625000000</v>
      </c>
      <c r="J8" s="42">
        <v>-100</v>
      </c>
      <c r="K8" s="42">
        <v>0</v>
      </c>
      <c r="L8" s="42">
        <v>0</v>
      </c>
      <c r="M8" s="42">
        <v>0</v>
      </c>
      <c r="N8" s="42">
        <v>-15625000000</v>
      </c>
      <c r="O8" s="40" t="s">
        <v>69</v>
      </c>
      <c r="P8" s="40" t="s">
        <v>70</v>
      </c>
      <c r="Q8" s="42">
        <v>-15625000000</v>
      </c>
      <c r="R8" s="40" t="s">
        <v>95</v>
      </c>
      <c r="S8" s="40" t="s">
        <v>71</v>
      </c>
      <c r="T8" s="40" t="s">
        <v>48</v>
      </c>
      <c r="U8" s="40" t="s">
        <v>46</v>
      </c>
      <c r="V8" s="40" t="s">
        <v>56</v>
      </c>
      <c r="W8" s="40" t="s">
        <v>47</v>
      </c>
      <c r="X8" s="29"/>
      <c r="Y8" s="42">
        <v>1</v>
      </c>
      <c r="Z8" s="29"/>
      <c r="AA8" s="29"/>
      <c r="AB8" s="42">
        <v>0</v>
      </c>
      <c r="AC8" s="42">
        <v>0</v>
      </c>
      <c r="AD8" s="42">
        <v>0</v>
      </c>
      <c r="AE8" s="42">
        <v>0</v>
      </c>
      <c r="AF8" s="42">
        <v>500</v>
      </c>
      <c r="AG8" s="42">
        <v>0</v>
      </c>
      <c r="AH8" s="42">
        <v>0</v>
      </c>
      <c r="AI8" s="42">
        <v>0</v>
      </c>
      <c r="AJ8" s="42">
        <v>0</v>
      </c>
      <c r="AK8" s="42">
        <v>-15625000000</v>
      </c>
      <c r="AL8" s="42">
        <v>1</v>
      </c>
      <c r="AM8" s="42">
        <v>1</v>
      </c>
      <c r="AN8" s="40" t="s">
        <v>21</v>
      </c>
      <c r="AO8" s="29"/>
      <c r="AP8" s="40" t="s">
        <v>68</v>
      </c>
      <c r="AQ8" s="40" t="s">
        <v>20</v>
      </c>
      <c r="AR8" s="42">
        <v>0</v>
      </c>
      <c r="AS8" s="42">
        <v>1</v>
      </c>
      <c r="AT8" s="40" t="s">
        <v>72</v>
      </c>
      <c r="AU8" s="40" t="s">
        <v>73</v>
      </c>
      <c r="AV8" s="42" t="s">
        <v>74</v>
      </c>
      <c r="AW8" s="42">
        <v>-15625000000</v>
      </c>
      <c r="AX8" s="42">
        <v>0</v>
      </c>
      <c r="AY8" s="42">
        <v>0</v>
      </c>
      <c r="AZ8" s="42">
        <v>-15625000000</v>
      </c>
      <c r="BA8" s="42">
        <v>-100</v>
      </c>
      <c r="BB8" s="29"/>
      <c r="BC8" s="42">
        <v>1</v>
      </c>
      <c r="BD8" s="42">
        <v>0</v>
      </c>
      <c r="BE8" s="40" t="s">
        <v>70</v>
      </c>
      <c r="BF8" s="40" t="s">
        <v>70</v>
      </c>
      <c r="BG8" s="40" t="s">
        <v>75</v>
      </c>
      <c r="BH8" s="40" t="s">
        <v>76</v>
      </c>
      <c r="BI8" s="40" t="s">
        <v>70</v>
      </c>
      <c r="BJ8" s="42">
        <v>0</v>
      </c>
      <c r="BK8" s="42">
        <v>0</v>
      </c>
      <c r="BL8" s="42">
        <v>0</v>
      </c>
      <c r="BM8" s="42">
        <v>0</v>
      </c>
      <c r="BN8" s="29"/>
      <c r="BO8" s="42">
        <v>0</v>
      </c>
      <c r="BP8" s="42">
        <v>0</v>
      </c>
      <c r="BQ8" s="40" t="s">
        <v>38</v>
      </c>
      <c r="BR8" s="40" t="s">
        <v>44</v>
      </c>
      <c r="BS8" s="42">
        <v>0</v>
      </c>
      <c r="BT8" s="42">
        <v>0</v>
      </c>
      <c r="BU8" s="40" t="s">
        <v>48</v>
      </c>
      <c r="BV8" s="29"/>
      <c r="BW8" s="42">
        <v>0</v>
      </c>
      <c r="BX8" s="42">
        <v>0</v>
      </c>
      <c r="BY8" s="42">
        <v>15625000000</v>
      </c>
      <c r="BZ8" s="42">
        <v>0</v>
      </c>
      <c r="CA8" s="42">
        <v>0</v>
      </c>
      <c r="CB8" s="29"/>
      <c r="CC8" s="42">
        <v>0</v>
      </c>
      <c r="CD8" s="42">
        <v>-15625000000</v>
      </c>
      <c r="CE8" s="42">
        <v>0</v>
      </c>
      <c r="CF8" s="42">
        <v>0</v>
      </c>
      <c r="CG8" s="42">
        <v>-15625000000</v>
      </c>
      <c r="CH8" s="42">
        <v>-100</v>
      </c>
      <c r="CI8" s="42">
        <v>0</v>
      </c>
      <c r="CJ8" s="42">
        <v>0</v>
      </c>
      <c r="CK8" s="43" t="b">
        <v>0</v>
      </c>
      <c r="CL8" s="29"/>
      <c r="CM8" s="29"/>
      <c r="CN8" s="29"/>
      <c r="CO8" s="29"/>
      <c r="CP8" s="29"/>
      <c r="CQ8" s="29"/>
      <c r="CR8" s="29"/>
      <c r="CS8" s="42">
        <v>500</v>
      </c>
      <c r="CT8" s="29"/>
      <c r="CU8" s="29"/>
      <c r="CV8" s="29"/>
      <c r="CW8" s="29"/>
      <c r="CX8" s="29"/>
      <c r="CY8" s="40" t="s">
        <v>77</v>
      </c>
      <c r="CZ8" s="40" t="s">
        <v>78</v>
      </c>
      <c r="DA8" s="42">
        <v>0</v>
      </c>
      <c r="DB8" s="42">
        <v>100</v>
      </c>
      <c r="DC8" s="42"/>
      <c r="DD8" s="42">
        <v>500</v>
      </c>
      <c r="DE8" s="42">
        <v>0</v>
      </c>
      <c r="DF8" s="42">
        <v>0</v>
      </c>
      <c r="DG8" s="42">
        <v>0</v>
      </c>
      <c r="DH8" s="40" t="s">
        <v>70</v>
      </c>
      <c r="DI8" s="42">
        <v>0</v>
      </c>
      <c r="DJ8" s="40" t="s">
        <v>21</v>
      </c>
      <c r="DK8" s="42">
        <v>0</v>
      </c>
      <c r="DL8" s="42">
        <v>0</v>
      </c>
      <c r="DM8" s="42">
        <v>1</v>
      </c>
      <c r="DN8" s="42">
        <v>0</v>
      </c>
      <c r="DO8" s="29"/>
      <c r="DP8" s="40" t="s">
        <v>68</v>
      </c>
      <c r="DQ8" s="40" t="s">
        <v>79</v>
      </c>
      <c r="DR8" s="40" t="s">
        <v>80</v>
      </c>
      <c r="DS8" s="40" t="s">
        <v>81</v>
      </c>
      <c r="DT8" s="40" t="s">
        <v>82</v>
      </c>
      <c r="DU8" s="40" t="s">
        <v>83</v>
      </c>
      <c r="DV8" s="40" t="s">
        <v>84</v>
      </c>
      <c r="DW8" s="40" t="s">
        <v>85</v>
      </c>
      <c r="DX8" s="40" t="s">
        <v>86</v>
      </c>
      <c r="DY8" s="40" t="s">
        <v>87</v>
      </c>
      <c r="DZ8" s="40" t="s">
        <v>69</v>
      </c>
      <c r="EA8" s="40" t="s">
        <v>88</v>
      </c>
      <c r="EB8" s="40" t="s">
        <v>89</v>
      </c>
      <c r="EC8" s="40" t="s">
        <v>90</v>
      </c>
      <c r="ED8" s="40" t="s">
        <v>47</v>
      </c>
      <c r="EE8" s="40" t="s">
        <v>88</v>
      </c>
      <c r="EF8" s="42">
        <v>0</v>
      </c>
      <c r="EG8" s="42">
        <v>0</v>
      </c>
      <c r="EH8" s="42">
        <v>0</v>
      </c>
      <c r="EI8" s="42">
        <v>0</v>
      </c>
      <c r="EJ8" s="42">
        <v>0</v>
      </c>
      <c r="EK8" s="42">
        <v>0</v>
      </c>
      <c r="EL8" s="40" t="s">
        <v>68</v>
      </c>
      <c r="EM8" s="42">
        <v>0</v>
      </c>
      <c r="EN8" s="42">
        <v>0</v>
      </c>
      <c r="EO8" s="42">
        <v>0</v>
      </c>
      <c r="EP8" s="29"/>
      <c r="EQ8" s="42">
        <v>0</v>
      </c>
      <c r="ER8" s="42">
        <v>0</v>
      </c>
      <c r="ES8" s="29"/>
      <c r="ET8" s="42">
        <v>0</v>
      </c>
      <c r="EU8" s="42">
        <v>0</v>
      </c>
      <c r="EV8" s="40" t="s">
        <v>68</v>
      </c>
      <c r="EW8" s="29"/>
      <c r="EX8" s="29"/>
      <c r="EY8" s="29"/>
      <c r="EZ8" s="29"/>
      <c r="FA8" s="29"/>
      <c r="FB8" s="29"/>
      <c r="FC8" s="29"/>
      <c r="FD8" s="29"/>
      <c r="FE8" s="29"/>
      <c r="FF8" s="29"/>
      <c r="FG8" s="29"/>
      <c r="FH8" s="29"/>
      <c r="FI8" s="29"/>
      <c r="FJ8" s="29"/>
      <c r="FK8" s="29"/>
      <c r="FL8" s="29"/>
    </row>
    <row r="9" spans="1:168" ht="15.75" customHeight="1">
      <c r="A9" s="29"/>
      <c r="B9" s="29"/>
      <c r="C9" s="40" t="s">
        <v>24</v>
      </c>
      <c r="D9" s="42">
        <v>1200</v>
      </c>
      <c r="E9" s="40" t="s">
        <v>96</v>
      </c>
      <c r="F9" s="40" t="s">
        <v>94</v>
      </c>
      <c r="G9" s="42">
        <v>400</v>
      </c>
      <c r="H9" s="40" t="s">
        <v>68</v>
      </c>
      <c r="I9" s="42">
        <v>0</v>
      </c>
      <c r="J9" s="42">
        <v>0</v>
      </c>
      <c r="K9" s="42">
        <v>0</v>
      </c>
      <c r="L9" s="42">
        <v>0</v>
      </c>
      <c r="M9" s="42">
        <v>0</v>
      </c>
      <c r="N9" s="42">
        <v>-48000000</v>
      </c>
      <c r="O9" s="40" t="s">
        <v>97</v>
      </c>
      <c r="P9" s="40" t="s">
        <v>70</v>
      </c>
      <c r="Q9" s="42">
        <v>-48000000</v>
      </c>
      <c r="R9" s="40" t="s">
        <v>44</v>
      </c>
      <c r="S9" s="40" t="s">
        <v>71</v>
      </c>
      <c r="T9" s="40" t="s">
        <v>50</v>
      </c>
      <c r="U9" s="40" t="s">
        <v>46</v>
      </c>
      <c r="V9" s="40" t="s">
        <v>60</v>
      </c>
      <c r="W9" s="40" t="s">
        <v>47</v>
      </c>
      <c r="X9" s="29"/>
      <c r="Y9" s="42">
        <v>1</v>
      </c>
      <c r="Z9" s="29"/>
      <c r="AA9" s="29"/>
      <c r="AB9" s="42">
        <v>0</v>
      </c>
      <c r="AC9" s="42">
        <v>0</v>
      </c>
      <c r="AD9" s="42">
        <v>0</v>
      </c>
      <c r="AE9" s="42">
        <v>0</v>
      </c>
      <c r="AF9" s="42">
        <v>0</v>
      </c>
      <c r="AG9" s="42">
        <v>0</v>
      </c>
      <c r="AH9" s="42">
        <v>0</v>
      </c>
      <c r="AI9" s="42">
        <v>0</v>
      </c>
      <c r="AJ9" s="42">
        <v>0</v>
      </c>
      <c r="AK9" s="42">
        <v>-48000000</v>
      </c>
      <c r="AL9" s="42">
        <v>0</v>
      </c>
      <c r="AM9" s="42">
        <v>1</v>
      </c>
      <c r="AN9" s="40" t="s">
        <v>25</v>
      </c>
      <c r="AO9" s="29"/>
      <c r="AP9" s="40" t="s">
        <v>68</v>
      </c>
      <c r="AQ9" s="40" t="s">
        <v>49</v>
      </c>
      <c r="AR9" s="42">
        <v>0</v>
      </c>
      <c r="AS9" s="42">
        <v>1</v>
      </c>
      <c r="AT9" s="40" t="s">
        <v>72</v>
      </c>
      <c r="AU9" s="40" t="s">
        <v>73</v>
      </c>
      <c r="AV9" s="42" t="s">
        <v>74</v>
      </c>
      <c r="AW9" s="42">
        <v>-48000000</v>
      </c>
      <c r="AX9" s="42">
        <v>0</v>
      </c>
      <c r="AY9" s="42">
        <v>0</v>
      </c>
      <c r="AZ9" s="42">
        <v>0</v>
      </c>
      <c r="BA9" s="42">
        <v>-100</v>
      </c>
      <c r="BB9" s="29"/>
      <c r="BC9" s="42">
        <v>1</v>
      </c>
      <c r="BD9" s="42">
        <v>-48000000</v>
      </c>
      <c r="BE9" s="40" t="s">
        <v>98</v>
      </c>
      <c r="BF9" s="40" t="s">
        <v>70</v>
      </c>
      <c r="BG9" s="40" t="s">
        <v>70</v>
      </c>
      <c r="BH9" s="40" t="s">
        <v>70</v>
      </c>
      <c r="BI9" s="40" t="s">
        <v>70</v>
      </c>
      <c r="BJ9" s="42">
        <v>0</v>
      </c>
      <c r="BK9" s="42">
        <v>0</v>
      </c>
      <c r="BL9" s="42">
        <v>0</v>
      </c>
      <c r="BM9" s="42">
        <v>0</v>
      </c>
      <c r="BN9" s="29"/>
      <c r="BO9" s="42">
        <v>-48000000</v>
      </c>
      <c r="BP9" s="42">
        <v>-100</v>
      </c>
      <c r="BQ9" s="40" t="s">
        <v>38</v>
      </c>
      <c r="BR9" s="40" t="s">
        <v>44</v>
      </c>
      <c r="BS9" s="42">
        <v>0</v>
      </c>
      <c r="BT9" s="42">
        <v>0</v>
      </c>
      <c r="BU9" s="40" t="s">
        <v>99</v>
      </c>
      <c r="BV9" s="29"/>
      <c r="BW9" s="42">
        <v>20</v>
      </c>
      <c r="BX9" s="42">
        <v>0</v>
      </c>
      <c r="BY9" s="42">
        <v>0</v>
      </c>
      <c r="BZ9" s="42">
        <v>0</v>
      </c>
      <c r="CA9" s="42">
        <v>0</v>
      </c>
      <c r="CB9" s="29"/>
      <c r="CC9" s="42">
        <v>0</v>
      </c>
      <c r="CD9" s="42">
        <v>-48000000</v>
      </c>
      <c r="CE9" s="42">
        <v>0</v>
      </c>
      <c r="CF9" s="42">
        <v>0</v>
      </c>
      <c r="CG9" s="42">
        <v>-48000000</v>
      </c>
      <c r="CH9" s="42">
        <v>-100</v>
      </c>
      <c r="CI9" s="42">
        <v>0</v>
      </c>
      <c r="CJ9" s="42">
        <v>0</v>
      </c>
      <c r="CK9" s="43" t="b">
        <v>0</v>
      </c>
      <c r="CL9" s="29"/>
      <c r="CM9" s="29"/>
      <c r="CN9" s="29"/>
      <c r="CO9" s="29"/>
      <c r="CP9" s="29"/>
      <c r="CQ9" s="29"/>
      <c r="CR9" s="29"/>
      <c r="CS9" s="42">
        <v>400</v>
      </c>
      <c r="CT9" s="29"/>
      <c r="CU9" s="29"/>
      <c r="CV9" s="29"/>
      <c r="CW9" s="29"/>
      <c r="CX9" s="29"/>
      <c r="CY9" s="40" t="s">
        <v>77</v>
      </c>
      <c r="CZ9" s="40" t="s">
        <v>78</v>
      </c>
      <c r="DA9" s="42">
        <v>0</v>
      </c>
      <c r="DB9" s="42">
        <v>0</v>
      </c>
      <c r="DC9" s="42"/>
      <c r="DD9" s="42">
        <v>0</v>
      </c>
      <c r="DE9" s="42">
        <v>0</v>
      </c>
      <c r="DF9" s="42">
        <v>0</v>
      </c>
      <c r="DG9" s="42">
        <v>0</v>
      </c>
      <c r="DH9" s="40" t="s">
        <v>70</v>
      </c>
      <c r="DI9" s="42">
        <v>0</v>
      </c>
      <c r="DJ9" s="40" t="s">
        <v>25</v>
      </c>
      <c r="DK9" s="42">
        <v>0</v>
      </c>
      <c r="DL9" s="42">
        <v>0</v>
      </c>
      <c r="DM9" s="42">
        <v>1</v>
      </c>
      <c r="DN9" s="42">
        <v>0</v>
      </c>
      <c r="DO9" s="29"/>
      <c r="DP9" s="40" t="s">
        <v>68</v>
      </c>
      <c r="DQ9" s="40" t="s">
        <v>100</v>
      </c>
      <c r="DR9" s="40" t="s">
        <v>101</v>
      </c>
      <c r="DS9" s="40" t="s">
        <v>102</v>
      </c>
      <c r="DT9" s="40" t="s">
        <v>103</v>
      </c>
      <c r="DU9" s="40" t="s">
        <v>104</v>
      </c>
      <c r="DV9" s="40" t="s">
        <v>105</v>
      </c>
      <c r="DW9" s="40" t="s">
        <v>106</v>
      </c>
      <c r="DX9" s="40" t="s">
        <v>107</v>
      </c>
      <c r="DY9" s="40" t="s">
        <v>108</v>
      </c>
      <c r="DZ9" s="40" t="s">
        <v>70</v>
      </c>
      <c r="EA9" s="40"/>
      <c r="EB9" s="40" t="s">
        <v>109</v>
      </c>
      <c r="EC9" s="40" t="s">
        <v>110</v>
      </c>
      <c r="ED9" s="40" t="s">
        <v>47</v>
      </c>
      <c r="EE9" s="40"/>
      <c r="EF9" s="42">
        <v>0</v>
      </c>
      <c r="EG9" s="42">
        <v>0</v>
      </c>
      <c r="EH9" s="42">
        <v>0</v>
      </c>
      <c r="EI9" s="42">
        <v>0</v>
      </c>
      <c r="EJ9" s="42">
        <v>0</v>
      </c>
      <c r="EK9" s="42">
        <v>0</v>
      </c>
      <c r="EL9" s="40" t="s">
        <v>68</v>
      </c>
      <c r="EM9" s="42">
        <v>0</v>
      </c>
      <c r="EN9" s="42">
        <v>0</v>
      </c>
      <c r="EO9" s="42">
        <v>0</v>
      </c>
      <c r="EP9" s="29"/>
      <c r="EQ9" s="42">
        <v>0</v>
      </c>
      <c r="ER9" s="42">
        <v>0</v>
      </c>
      <c r="ES9" s="29"/>
      <c r="ET9" s="42">
        <v>0</v>
      </c>
      <c r="EU9" s="42">
        <v>0</v>
      </c>
      <c r="EV9" s="40" t="s">
        <v>68</v>
      </c>
      <c r="EW9" s="29"/>
      <c r="EX9" s="29"/>
      <c r="EY9" s="29"/>
      <c r="EZ9" s="29"/>
      <c r="FA9" s="29"/>
      <c r="FB9" s="29"/>
      <c r="FC9" s="29"/>
      <c r="FD9" s="29"/>
      <c r="FE9" s="29"/>
      <c r="FF9" s="29"/>
      <c r="FG9" s="29"/>
      <c r="FH9" s="29"/>
      <c r="FI9" s="29"/>
      <c r="FJ9" s="29"/>
      <c r="FK9" s="29"/>
      <c r="FL9" s="29"/>
    </row>
    <row r="10" spans="1:168" ht="15.75" customHeight="1">
      <c r="A10" s="29"/>
      <c r="B10" s="29"/>
      <c r="C10" s="40" t="s">
        <v>31</v>
      </c>
      <c r="D10" s="42">
        <v>-3200</v>
      </c>
      <c r="E10" s="40" t="s">
        <v>96</v>
      </c>
      <c r="F10" s="40" t="s">
        <v>94</v>
      </c>
      <c r="G10" s="42">
        <v>200</v>
      </c>
      <c r="H10" s="40" t="s">
        <v>111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640000</v>
      </c>
      <c r="O10" s="40" t="s">
        <v>112</v>
      </c>
      <c r="P10" s="40" t="s">
        <v>70</v>
      </c>
      <c r="Q10" s="42">
        <v>640000</v>
      </c>
      <c r="R10" s="40" t="s">
        <v>44</v>
      </c>
      <c r="S10" s="40" t="s">
        <v>71</v>
      </c>
      <c r="T10" s="40" t="s">
        <v>42</v>
      </c>
      <c r="U10" s="40" t="s">
        <v>46</v>
      </c>
      <c r="V10" s="40" t="s">
        <v>63</v>
      </c>
      <c r="W10" s="40" t="s">
        <v>47</v>
      </c>
      <c r="X10" s="29"/>
      <c r="Y10" s="42">
        <v>1</v>
      </c>
      <c r="Z10" s="29"/>
      <c r="AA10" s="29"/>
      <c r="AB10" s="42">
        <v>0</v>
      </c>
      <c r="AC10" s="42">
        <v>0</v>
      </c>
      <c r="AD10" s="42">
        <v>0</v>
      </c>
      <c r="AE10" s="42">
        <v>0</v>
      </c>
      <c r="AF10" s="42">
        <v>-3200</v>
      </c>
      <c r="AG10" s="42">
        <v>0</v>
      </c>
      <c r="AH10" s="42">
        <v>0</v>
      </c>
      <c r="AI10" s="42">
        <v>0</v>
      </c>
      <c r="AJ10" s="42">
        <v>0</v>
      </c>
      <c r="AK10" s="42">
        <v>640000</v>
      </c>
      <c r="AL10" s="42">
        <v>1</v>
      </c>
      <c r="AM10" s="42">
        <v>1</v>
      </c>
      <c r="AN10" s="40" t="s">
        <v>32</v>
      </c>
      <c r="AO10" s="29"/>
      <c r="AP10" s="40" t="s">
        <v>68</v>
      </c>
      <c r="AQ10" s="40" t="s">
        <v>31</v>
      </c>
      <c r="AR10" s="42">
        <v>0</v>
      </c>
      <c r="AS10" s="42">
        <v>-1</v>
      </c>
      <c r="AT10" s="40" t="s">
        <v>72</v>
      </c>
      <c r="AU10" s="40" t="s">
        <v>73</v>
      </c>
      <c r="AV10" s="42" t="s">
        <v>74</v>
      </c>
      <c r="AW10" s="42">
        <v>640000</v>
      </c>
      <c r="AX10" s="42">
        <v>0</v>
      </c>
      <c r="AY10" s="42">
        <v>0</v>
      </c>
      <c r="AZ10" s="42">
        <v>0</v>
      </c>
      <c r="BA10" s="42">
        <v>100</v>
      </c>
      <c r="BB10" s="29"/>
      <c r="BC10" s="42">
        <v>1</v>
      </c>
      <c r="BD10" s="42">
        <v>640000</v>
      </c>
      <c r="BE10" s="40" t="s">
        <v>42</v>
      </c>
      <c r="BF10" s="40" t="s">
        <v>70</v>
      </c>
      <c r="BG10" s="40" t="s">
        <v>113</v>
      </c>
      <c r="BH10" s="40" t="s">
        <v>114</v>
      </c>
      <c r="BI10" s="40" t="s">
        <v>70</v>
      </c>
      <c r="BJ10" s="42">
        <v>0</v>
      </c>
      <c r="BK10" s="42">
        <v>0</v>
      </c>
      <c r="BL10" s="42">
        <v>0</v>
      </c>
      <c r="BM10" s="42">
        <v>0</v>
      </c>
      <c r="BN10" s="29"/>
      <c r="BO10" s="42">
        <v>640000</v>
      </c>
      <c r="BP10" s="42">
        <v>0</v>
      </c>
      <c r="BQ10" s="40" t="s">
        <v>38</v>
      </c>
      <c r="BR10" s="40" t="s">
        <v>44</v>
      </c>
      <c r="BS10" s="42">
        <v>0</v>
      </c>
      <c r="BT10" s="42">
        <v>0</v>
      </c>
      <c r="BU10" s="40" t="s">
        <v>42</v>
      </c>
      <c r="BV10" s="29"/>
      <c r="BW10" s="42">
        <v>0</v>
      </c>
      <c r="BX10" s="42">
        <v>0</v>
      </c>
      <c r="BY10" s="42">
        <v>0</v>
      </c>
      <c r="BZ10" s="42">
        <v>0</v>
      </c>
      <c r="CA10" s="42">
        <v>0</v>
      </c>
      <c r="CB10" s="29"/>
      <c r="CC10" s="42">
        <v>0</v>
      </c>
      <c r="CD10" s="42">
        <v>640000</v>
      </c>
      <c r="CE10" s="42">
        <v>0</v>
      </c>
      <c r="CF10" s="42">
        <v>0</v>
      </c>
      <c r="CG10" s="42">
        <v>640000</v>
      </c>
      <c r="CH10" s="42">
        <v>100</v>
      </c>
      <c r="CI10" s="42">
        <v>0</v>
      </c>
      <c r="CJ10" s="42">
        <v>0</v>
      </c>
      <c r="CK10" s="43" t="b">
        <v>0</v>
      </c>
      <c r="CL10" s="29"/>
      <c r="CM10" s="29"/>
      <c r="CN10" s="29"/>
      <c r="CO10" s="29"/>
      <c r="CP10" s="29"/>
      <c r="CQ10" s="29"/>
      <c r="CR10" s="29"/>
      <c r="CS10" s="42">
        <v>200</v>
      </c>
      <c r="CT10" s="29"/>
      <c r="CU10" s="29"/>
      <c r="CV10" s="29"/>
      <c r="CW10" s="29"/>
      <c r="CX10" s="29"/>
      <c r="CY10" s="40" t="s">
        <v>77</v>
      </c>
      <c r="CZ10" s="40" t="s">
        <v>78</v>
      </c>
      <c r="DA10" s="42">
        <v>0</v>
      </c>
      <c r="DB10" s="42">
        <v>0</v>
      </c>
      <c r="DC10" s="42"/>
      <c r="DD10" s="42">
        <v>-3200</v>
      </c>
      <c r="DE10" s="42">
        <v>0</v>
      </c>
      <c r="DF10" s="42">
        <v>0</v>
      </c>
      <c r="DG10" s="42">
        <v>0</v>
      </c>
      <c r="DH10" s="40" t="s">
        <v>70</v>
      </c>
      <c r="DI10" s="42">
        <v>0</v>
      </c>
      <c r="DJ10" s="40" t="s">
        <v>32</v>
      </c>
      <c r="DK10" s="42">
        <v>0</v>
      </c>
      <c r="DL10" s="42">
        <v>0</v>
      </c>
      <c r="DM10" s="42">
        <v>1</v>
      </c>
      <c r="DN10" s="42">
        <v>0</v>
      </c>
      <c r="DO10" s="29"/>
      <c r="DP10" s="40" t="s">
        <v>68</v>
      </c>
      <c r="DQ10" s="40" t="s">
        <v>70</v>
      </c>
      <c r="DR10" s="40" t="s">
        <v>80</v>
      </c>
      <c r="DS10" s="40" t="s">
        <v>70</v>
      </c>
      <c r="DT10" s="40" t="s">
        <v>70</v>
      </c>
      <c r="DU10" s="40" t="s">
        <v>70</v>
      </c>
      <c r="DV10" s="40" t="s">
        <v>70</v>
      </c>
      <c r="DW10" s="40" t="s">
        <v>70</v>
      </c>
      <c r="DX10" s="40" t="s">
        <v>70</v>
      </c>
      <c r="DY10" s="40" t="s">
        <v>70</v>
      </c>
      <c r="DZ10" s="40" t="s">
        <v>112</v>
      </c>
      <c r="EA10" s="40" t="s">
        <v>88</v>
      </c>
      <c r="EB10" s="40" t="s">
        <v>70</v>
      </c>
      <c r="EC10" s="40" t="s">
        <v>70</v>
      </c>
      <c r="ED10" s="40" t="s">
        <v>47</v>
      </c>
      <c r="EE10" s="40" t="s">
        <v>88</v>
      </c>
      <c r="EF10" s="42">
        <v>0</v>
      </c>
      <c r="EG10" s="42">
        <v>0</v>
      </c>
      <c r="EH10" s="42">
        <v>0</v>
      </c>
      <c r="EI10" s="42">
        <v>0</v>
      </c>
      <c r="EJ10" s="42">
        <v>0</v>
      </c>
      <c r="EK10" s="42">
        <v>0</v>
      </c>
      <c r="EL10" s="40" t="s">
        <v>68</v>
      </c>
      <c r="EM10" s="42">
        <v>0</v>
      </c>
      <c r="EN10" s="42">
        <v>0</v>
      </c>
      <c r="EO10" s="42">
        <v>0</v>
      </c>
      <c r="EP10" s="29"/>
      <c r="EQ10" s="42">
        <v>0</v>
      </c>
      <c r="ER10" s="42">
        <v>0</v>
      </c>
      <c r="ES10" s="29"/>
      <c r="ET10" s="42">
        <v>0</v>
      </c>
      <c r="EU10" s="42">
        <v>0</v>
      </c>
      <c r="EV10" s="40" t="s">
        <v>68</v>
      </c>
      <c r="EW10" s="29"/>
      <c r="EX10" s="29"/>
      <c r="EY10" s="29"/>
      <c r="EZ10" s="29"/>
      <c r="FA10" s="29"/>
      <c r="FB10" s="29"/>
      <c r="FC10" s="29"/>
      <c r="FD10" s="29"/>
      <c r="FE10" s="29"/>
      <c r="FF10" s="29"/>
      <c r="FG10" s="29"/>
      <c r="FH10" s="29"/>
      <c r="FI10" s="29"/>
      <c r="FJ10" s="29"/>
      <c r="FK10" s="29"/>
      <c r="FL10" s="29"/>
    </row>
    <row r="11" spans="1:168" ht="15.75" customHeight="1">
      <c r="A11" s="29"/>
      <c r="B11" s="29"/>
      <c r="C11" s="40" t="s">
        <v>24</v>
      </c>
      <c r="D11" s="42">
        <v>800</v>
      </c>
      <c r="E11" s="40" t="s">
        <v>115</v>
      </c>
      <c r="F11" s="40" t="s">
        <v>67</v>
      </c>
      <c r="G11" s="42">
        <v>400</v>
      </c>
      <c r="H11" s="40" t="s">
        <v>68</v>
      </c>
      <c r="I11" s="42">
        <v>0</v>
      </c>
      <c r="J11" s="42">
        <v>0</v>
      </c>
      <c r="K11" s="42">
        <v>0</v>
      </c>
      <c r="L11" s="42">
        <v>0</v>
      </c>
      <c r="M11" s="42">
        <v>0</v>
      </c>
      <c r="N11" s="42">
        <v>-32000000</v>
      </c>
      <c r="O11" s="40" t="s">
        <v>97</v>
      </c>
      <c r="P11" s="40" t="s">
        <v>70</v>
      </c>
      <c r="Q11" s="42">
        <v>-32000000</v>
      </c>
      <c r="R11" s="40" t="s">
        <v>44</v>
      </c>
      <c r="S11" s="40" t="s">
        <v>71</v>
      </c>
      <c r="T11" s="40" t="s">
        <v>50</v>
      </c>
      <c r="U11" s="40" t="s">
        <v>46</v>
      </c>
      <c r="V11" s="40" t="s">
        <v>60</v>
      </c>
      <c r="W11" s="40" t="s">
        <v>47</v>
      </c>
      <c r="X11" s="29"/>
      <c r="Y11" s="42">
        <v>1</v>
      </c>
      <c r="Z11" s="29"/>
      <c r="AA11" s="29"/>
      <c r="AB11" s="42">
        <v>0</v>
      </c>
      <c r="AC11" s="42">
        <v>0</v>
      </c>
      <c r="AD11" s="42">
        <v>0</v>
      </c>
      <c r="AE11" s="42">
        <v>0</v>
      </c>
      <c r="AF11" s="42">
        <v>0</v>
      </c>
      <c r="AG11" s="42">
        <v>0</v>
      </c>
      <c r="AH11" s="42">
        <v>0</v>
      </c>
      <c r="AI11" s="42">
        <v>0</v>
      </c>
      <c r="AJ11" s="42">
        <v>0</v>
      </c>
      <c r="AK11" s="42">
        <v>-32000000</v>
      </c>
      <c r="AL11" s="42">
        <v>0</v>
      </c>
      <c r="AM11" s="42">
        <v>1</v>
      </c>
      <c r="AN11" s="40" t="s">
        <v>25</v>
      </c>
      <c r="AO11" s="29"/>
      <c r="AP11" s="40" t="s">
        <v>68</v>
      </c>
      <c r="AQ11" s="40" t="s">
        <v>49</v>
      </c>
      <c r="AR11" s="42">
        <v>0</v>
      </c>
      <c r="AS11" s="42">
        <v>1</v>
      </c>
      <c r="AT11" s="40" t="s">
        <v>72</v>
      </c>
      <c r="AU11" s="40" t="s">
        <v>73</v>
      </c>
      <c r="AV11" s="42" t="s">
        <v>74</v>
      </c>
      <c r="AW11" s="42">
        <v>-32000000</v>
      </c>
      <c r="AX11" s="42">
        <v>0</v>
      </c>
      <c r="AY11" s="42">
        <v>0</v>
      </c>
      <c r="AZ11" s="42">
        <v>0</v>
      </c>
      <c r="BA11" s="42">
        <v>-100</v>
      </c>
      <c r="BB11" s="29"/>
      <c r="BC11" s="42">
        <v>1</v>
      </c>
      <c r="BD11" s="42">
        <v>-32000000</v>
      </c>
      <c r="BE11" s="40" t="s">
        <v>98</v>
      </c>
      <c r="BF11" s="40" t="s">
        <v>70</v>
      </c>
      <c r="BG11" s="40" t="s">
        <v>70</v>
      </c>
      <c r="BH11" s="40" t="s">
        <v>70</v>
      </c>
      <c r="BI11" s="40" t="s">
        <v>70</v>
      </c>
      <c r="BJ11" s="42">
        <v>0</v>
      </c>
      <c r="BK11" s="42">
        <v>0</v>
      </c>
      <c r="BL11" s="42">
        <v>0</v>
      </c>
      <c r="BM11" s="42">
        <v>0</v>
      </c>
      <c r="BN11" s="29"/>
      <c r="BO11" s="42">
        <v>-32000000</v>
      </c>
      <c r="BP11" s="42">
        <v>-100</v>
      </c>
      <c r="BQ11" s="40" t="s">
        <v>38</v>
      </c>
      <c r="BR11" s="40" t="s">
        <v>44</v>
      </c>
      <c r="BS11" s="42">
        <v>0</v>
      </c>
      <c r="BT11" s="42">
        <v>0</v>
      </c>
      <c r="BU11" s="40" t="s">
        <v>99</v>
      </c>
      <c r="BV11" s="29"/>
      <c r="BW11" s="42">
        <v>20</v>
      </c>
      <c r="BX11" s="42">
        <v>0</v>
      </c>
      <c r="BY11" s="42">
        <v>0</v>
      </c>
      <c r="BZ11" s="42">
        <v>0</v>
      </c>
      <c r="CA11" s="42">
        <v>0</v>
      </c>
      <c r="CB11" s="29"/>
      <c r="CC11" s="42">
        <v>0</v>
      </c>
      <c r="CD11" s="42">
        <v>-32000000</v>
      </c>
      <c r="CE11" s="42">
        <v>0</v>
      </c>
      <c r="CF11" s="42">
        <v>0</v>
      </c>
      <c r="CG11" s="42">
        <v>-32000000</v>
      </c>
      <c r="CH11" s="42">
        <v>-100</v>
      </c>
      <c r="CI11" s="42">
        <v>0</v>
      </c>
      <c r="CJ11" s="42">
        <v>0</v>
      </c>
      <c r="CK11" s="43" t="b">
        <v>0</v>
      </c>
      <c r="CL11" s="29"/>
      <c r="CM11" s="29"/>
      <c r="CN11" s="29"/>
      <c r="CO11" s="29"/>
      <c r="CP11" s="29"/>
      <c r="CQ11" s="29"/>
      <c r="CR11" s="29"/>
      <c r="CS11" s="42">
        <v>400</v>
      </c>
      <c r="CT11" s="29"/>
      <c r="CU11" s="29"/>
      <c r="CV11" s="29"/>
      <c r="CW11" s="29"/>
      <c r="CX11" s="29"/>
      <c r="CY11" s="40" t="s">
        <v>77</v>
      </c>
      <c r="CZ11" s="40" t="s">
        <v>78</v>
      </c>
      <c r="DA11" s="42">
        <v>0</v>
      </c>
      <c r="DB11" s="42">
        <v>0</v>
      </c>
      <c r="DC11" s="42"/>
      <c r="DD11" s="42">
        <v>0</v>
      </c>
      <c r="DE11" s="42">
        <v>0</v>
      </c>
      <c r="DF11" s="42">
        <v>0</v>
      </c>
      <c r="DG11" s="42">
        <v>0</v>
      </c>
      <c r="DH11" s="40" t="s">
        <v>70</v>
      </c>
      <c r="DI11" s="42">
        <v>0</v>
      </c>
      <c r="DJ11" s="40" t="s">
        <v>25</v>
      </c>
      <c r="DK11" s="42">
        <v>0</v>
      </c>
      <c r="DL11" s="42">
        <v>0</v>
      </c>
      <c r="DM11" s="42">
        <v>1</v>
      </c>
      <c r="DN11" s="42">
        <v>0</v>
      </c>
      <c r="DO11" s="29"/>
      <c r="DP11" s="40" t="s">
        <v>68</v>
      </c>
      <c r="DQ11" s="40" t="s">
        <v>100</v>
      </c>
      <c r="DR11" s="40" t="s">
        <v>101</v>
      </c>
      <c r="DS11" s="40" t="s">
        <v>102</v>
      </c>
      <c r="DT11" s="40" t="s">
        <v>103</v>
      </c>
      <c r="DU11" s="40" t="s">
        <v>104</v>
      </c>
      <c r="DV11" s="40" t="s">
        <v>105</v>
      </c>
      <c r="DW11" s="40" t="s">
        <v>106</v>
      </c>
      <c r="DX11" s="40" t="s">
        <v>107</v>
      </c>
      <c r="DY11" s="40" t="s">
        <v>108</v>
      </c>
      <c r="DZ11" s="40" t="s">
        <v>70</v>
      </c>
      <c r="EA11" s="40"/>
      <c r="EB11" s="40" t="s">
        <v>109</v>
      </c>
      <c r="EC11" s="40" t="s">
        <v>110</v>
      </c>
      <c r="ED11" s="40" t="s">
        <v>47</v>
      </c>
      <c r="EE11" s="40"/>
      <c r="EF11" s="42">
        <v>0</v>
      </c>
      <c r="EG11" s="42">
        <v>0</v>
      </c>
      <c r="EH11" s="42">
        <v>0</v>
      </c>
      <c r="EI11" s="42">
        <v>0</v>
      </c>
      <c r="EJ11" s="42">
        <v>0</v>
      </c>
      <c r="EK11" s="42">
        <v>0</v>
      </c>
      <c r="EL11" s="40" t="s">
        <v>68</v>
      </c>
      <c r="EM11" s="42">
        <v>0</v>
      </c>
      <c r="EN11" s="42">
        <v>0</v>
      </c>
      <c r="EO11" s="42">
        <v>0</v>
      </c>
      <c r="EP11" s="29"/>
      <c r="EQ11" s="42">
        <v>0</v>
      </c>
      <c r="ER11" s="42">
        <v>0</v>
      </c>
      <c r="ES11" s="29"/>
      <c r="ET11" s="42">
        <v>0</v>
      </c>
      <c r="EU11" s="42">
        <v>0</v>
      </c>
      <c r="EV11" s="40" t="s">
        <v>68</v>
      </c>
      <c r="EW11" s="29"/>
      <c r="EX11" s="29"/>
      <c r="EY11" s="29"/>
      <c r="EZ11" s="29"/>
      <c r="FA11" s="29"/>
      <c r="FB11" s="29"/>
      <c r="FC11" s="29"/>
      <c r="FD11" s="29"/>
      <c r="FE11" s="29"/>
      <c r="FF11" s="29"/>
      <c r="FG11" s="29"/>
      <c r="FH11" s="29"/>
      <c r="FI11" s="29"/>
      <c r="FJ11" s="29"/>
      <c r="FK11" s="29"/>
      <c r="FL11" s="29"/>
    </row>
    <row r="12" spans="1:168" ht="15.75" customHeight="1">
      <c r="A12" s="29"/>
      <c r="B12" s="29"/>
      <c r="C12" s="40" t="s">
        <v>28</v>
      </c>
      <c r="D12" s="42">
        <v>2100</v>
      </c>
      <c r="E12" s="40" t="s">
        <v>116</v>
      </c>
      <c r="F12" s="40" t="s">
        <v>117</v>
      </c>
      <c r="G12" s="42">
        <v>300</v>
      </c>
      <c r="H12" s="40" t="s">
        <v>68</v>
      </c>
      <c r="I12" s="42">
        <v>0</v>
      </c>
      <c r="J12" s="42">
        <v>0</v>
      </c>
      <c r="K12" s="42">
        <v>0</v>
      </c>
      <c r="L12" s="42">
        <v>0</v>
      </c>
      <c r="M12" s="42">
        <v>0</v>
      </c>
      <c r="N12" s="42">
        <v>0</v>
      </c>
      <c r="O12" s="40" t="s">
        <v>91</v>
      </c>
      <c r="P12" s="40" t="s">
        <v>70</v>
      </c>
      <c r="Q12" s="42">
        <v>0</v>
      </c>
      <c r="R12" s="40" t="s">
        <v>44</v>
      </c>
      <c r="S12" s="40" t="s">
        <v>71</v>
      </c>
      <c r="T12" s="40" t="s">
        <v>42</v>
      </c>
      <c r="U12" s="40" t="s">
        <v>39</v>
      </c>
      <c r="V12" s="40" t="s">
        <v>62</v>
      </c>
      <c r="W12" s="40" t="s">
        <v>40</v>
      </c>
      <c r="X12" s="29"/>
      <c r="Y12" s="42">
        <v>0</v>
      </c>
      <c r="Z12" s="29"/>
      <c r="AA12" s="29"/>
      <c r="AB12" s="42">
        <v>0</v>
      </c>
      <c r="AC12" s="42">
        <v>0</v>
      </c>
      <c r="AD12" s="42">
        <v>0</v>
      </c>
      <c r="AE12" s="42">
        <v>0</v>
      </c>
      <c r="AF12" s="42">
        <v>2100</v>
      </c>
      <c r="AG12" s="42">
        <v>0</v>
      </c>
      <c r="AH12" s="42">
        <v>0</v>
      </c>
      <c r="AI12" s="42">
        <v>0</v>
      </c>
      <c r="AJ12" s="42">
        <v>0</v>
      </c>
      <c r="AK12" s="42">
        <v>-630000</v>
      </c>
      <c r="AL12" s="42">
        <v>1</v>
      </c>
      <c r="AM12" s="42">
        <v>1</v>
      </c>
      <c r="AN12" s="40" t="s">
        <v>21</v>
      </c>
      <c r="AO12" s="29"/>
      <c r="AP12" s="40" t="s">
        <v>68</v>
      </c>
      <c r="AQ12" s="40" t="s">
        <v>28</v>
      </c>
      <c r="AR12" s="42">
        <v>0</v>
      </c>
      <c r="AS12" s="42">
        <v>1</v>
      </c>
      <c r="AT12" s="40" t="s">
        <v>72</v>
      </c>
      <c r="AU12" s="40" t="s">
        <v>73</v>
      </c>
      <c r="AV12" s="40" t="s">
        <v>92</v>
      </c>
      <c r="AW12" s="42">
        <v>-630000</v>
      </c>
      <c r="AX12" s="42">
        <v>0</v>
      </c>
      <c r="AY12" s="42">
        <v>0</v>
      </c>
      <c r="AZ12" s="42">
        <v>0</v>
      </c>
      <c r="BA12" s="42">
        <v>0</v>
      </c>
      <c r="BB12" s="29"/>
      <c r="BC12" s="42">
        <v>1</v>
      </c>
      <c r="BD12" s="42">
        <v>-630000</v>
      </c>
      <c r="BE12" s="40" t="s">
        <v>42</v>
      </c>
      <c r="BF12" s="40" t="s">
        <v>70</v>
      </c>
      <c r="BG12" s="40" t="s">
        <v>70</v>
      </c>
      <c r="BH12" s="40" t="s">
        <v>70</v>
      </c>
      <c r="BI12" s="40" t="s">
        <v>70</v>
      </c>
      <c r="BJ12" s="42">
        <v>0</v>
      </c>
      <c r="BK12" s="42">
        <v>0</v>
      </c>
      <c r="BL12" s="42">
        <v>0</v>
      </c>
      <c r="BM12" s="42">
        <v>0</v>
      </c>
      <c r="BN12" s="29"/>
      <c r="BO12" s="42">
        <v>0</v>
      </c>
      <c r="BP12" s="42">
        <v>0</v>
      </c>
      <c r="BQ12" s="40" t="s">
        <v>38</v>
      </c>
      <c r="BR12" s="40" t="s">
        <v>44</v>
      </c>
      <c r="BS12" s="42">
        <v>0</v>
      </c>
      <c r="BT12" s="42">
        <v>0</v>
      </c>
      <c r="BU12" s="40" t="s">
        <v>42</v>
      </c>
      <c r="BV12" s="29"/>
      <c r="BW12" s="42">
        <v>0</v>
      </c>
      <c r="BX12" s="42">
        <v>0</v>
      </c>
      <c r="BY12" s="42">
        <v>0</v>
      </c>
      <c r="BZ12" s="42">
        <v>0</v>
      </c>
      <c r="CA12" s="42">
        <v>0</v>
      </c>
      <c r="CB12" s="29"/>
      <c r="CC12" s="42">
        <v>0</v>
      </c>
      <c r="CD12" s="42">
        <v>0</v>
      </c>
      <c r="CE12" s="42">
        <v>0</v>
      </c>
      <c r="CF12" s="42">
        <v>0</v>
      </c>
      <c r="CG12" s="42">
        <v>0</v>
      </c>
      <c r="CH12" s="42">
        <v>0</v>
      </c>
      <c r="CI12" s="42">
        <v>0</v>
      </c>
      <c r="CJ12" s="42">
        <v>0</v>
      </c>
      <c r="CK12" s="43" t="b">
        <v>0</v>
      </c>
      <c r="CL12" s="29"/>
      <c r="CM12" s="29"/>
      <c r="CN12" s="29"/>
      <c r="CO12" s="29"/>
      <c r="CP12" s="29"/>
      <c r="CQ12" s="29"/>
      <c r="CR12" s="29"/>
      <c r="CS12" s="42">
        <v>300</v>
      </c>
      <c r="CT12" s="29"/>
      <c r="CU12" s="29"/>
      <c r="CV12" s="29"/>
      <c r="CW12" s="29"/>
      <c r="CX12" s="29"/>
      <c r="CY12" s="40" t="s">
        <v>77</v>
      </c>
      <c r="CZ12" s="40" t="s">
        <v>78</v>
      </c>
      <c r="DA12" s="42">
        <v>0</v>
      </c>
      <c r="DB12" s="42">
        <v>0</v>
      </c>
      <c r="DC12" s="42"/>
      <c r="DD12" s="42">
        <v>2100</v>
      </c>
      <c r="DE12" s="42">
        <v>0</v>
      </c>
      <c r="DF12" s="42">
        <v>0</v>
      </c>
      <c r="DG12" s="42">
        <v>0</v>
      </c>
      <c r="DH12" s="40" t="s">
        <v>70</v>
      </c>
      <c r="DI12" s="42">
        <v>0</v>
      </c>
      <c r="DJ12" s="40" t="s">
        <v>21</v>
      </c>
      <c r="DK12" s="42">
        <v>0</v>
      </c>
      <c r="DL12" s="42">
        <v>0</v>
      </c>
      <c r="DM12" s="42">
        <v>0</v>
      </c>
      <c r="DN12" s="42">
        <v>0</v>
      </c>
      <c r="DO12" s="29"/>
      <c r="DP12" s="40" t="s">
        <v>68</v>
      </c>
      <c r="DQ12" s="40" t="s">
        <v>70</v>
      </c>
      <c r="DR12" s="40" t="s">
        <v>80</v>
      </c>
      <c r="DS12" s="40" t="s">
        <v>70</v>
      </c>
      <c r="DT12" s="40" t="s">
        <v>70</v>
      </c>
      <c r="DU12" s="40" t="s">
        <v>70</v>
      </c>
      <c r="DV12" s="40" t="s">
        <v>70</v>
      </c>
      <c r="DW12" s="40" t="s">
        <v>70</v>
      </c>
      <c r="DX12" s="40" t="s">
        <v>70</v>
      </c>
      <c r="DY12" s="40" t="s">
        <v>70</v>
      </c>
      <c r="DZ12" s="40" t="s">
        <v>91</v>
      </c>
      <c r="EA12" s="40" t="s">
        <v>88</v>
      </c>
      <c r="EB12" s="40" t="s">
        <v>70</v>
      </c>
      <c r="EC12" s="40" t="s">
        <v>70</v>
      </c>
      <c r="ED12" s="40" t="s">
        <v>40</v>
      </c>
      <c r="EE12" s="40" t="s">
        <v>88</v>
      </c>
      <c r="EF12" s="42">
        <v>0</v>
      </c>
      <c r="EG12" s="42">
        <v>0</v>
      </c>
      <c r="EH12" s="42">
        <v>0</v>
      </c>
      <c r="EI12" s="42">
        <v>0</v>
      </c>
      <c r="EJ12" s="42">
        <v>0</v>
      </c>
      <c r="EK12" s="42">
        <v>0</v>
      </c>
      <c r="EL12" s="40" t="s">
        <v>68</v>
      </c>
      <c r="EM12" s="42">
        <v>0</v>
      </c>
      <c r="EN12" s="42">
        <v>0</v>
      </c>
      <c r="EO12" s="42">
        <v>0</v>
      </c>
      <c r="EP12" s="29"/>
      <c r="EQ12" s="42">
        <v>0</v>
      </c>
      <c r="ER12" s="42">
        <v>0</v>
      </c>
      <c r="ES12" s="29"/>
      <c r="ET12" s="42">
        <v>0</v>
      </c>
      <c r="EU12" s="42">
        <v>0</v>
      </c>
      <c r="EV12" s="40" t="s">
        <v>68</v>
      </c>
      <c r="EW12" s="29"/>
      <c r="EX12" s="29"/>
      <c r="EY12" s="29"/>
      <c r="EZ12" s="29"/>
      <c r="FA12" s="29"/>
      <c r="FB12" s="29"/>
      <c r="FC12" s="29"/>
      <c r="FD12" s="29"/>
      <c r="FE12" s="29"/>
      <c r="FF12" s="29"/>
      <c r="FG12" s="29"/>
      <c r="FH12" s="29"/>
      <c r="FI12" s="29"/>
      <c r="FJ12" s="29"/>
      <c r="FK12" s="29"/>
      <c r="FL12" s="29"/>
    </row>
    <row r="13" spans="1:168" ht="15.75" customHeight="1">
      <c r="A13" s="29"/>
      <c r="B13" s="29"/>
      <c r="C13" s="40" t="s">
        <v>31</v>
      </c>
      <c r="D13" s="42">
        <v>-800</v>
      </c>
      <c r="E13" s="40" t="s">
        <v>118</v>
      </c>
      <c r="F13" s="40" t="s">
        <v>117</v>
      </c>
      <c r="G13" s="42">
        <v>200</v>
      </c>
      <c r="H13" s="40" t="s">
        <v>111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160000</v>
      </c>
      <c r="O13" s="40" t="s">
        <v>112</v>
      </c>
      <c r="P13" s="40" t="s">
        <v>70</v>
      </c>
      <c r="Q13" s="42">
        <v>160000</v>
      </c>
      <c r="R13" s="40" t="s">
        <v>44</v>
      </c>
      <c r="S13" s="40" t="s">
        <v>71</v>
      </c>
      <c r="T13" s="40" t="s">
        <v>42</v>
      </c>
      <c r="U13" s="40" t="s">
        <v>46</v>
      </c>
      <c r="V13" s="40" t="s">
        <v>63</v>
      </c>
      <c r="W13" s="40" t="s">
        <v>47</v>
      </c>
      <c r="X13" s="29"/>
      <c r="Y13" s="42">
        <v>1</v>
      </c>
      <c r="Z13" s="29"/>
      <c r="AA13" s="29"/>
      <c r="AB13" s="42">
        <v>0</v>
      </c>
      <c r="AC13" s="42">
        <v>0</v>
      </c>
      <c r="AD13" s="42">
        <v>0</v>
      </c>
      <c r="AE13" s="42">
        <v>0</v>
      </c>
      <c r="AF13" s="42">
        <v>-800</v>
      </c>
      <c r="AG13" s="42">
        <v>0</v>
      </c>
      <c r="AH13" s="42">
        <v>0</v>
      </c>
      <c r="AI13" s="42">
        <v>0</v>
      </c>
      <c r="AJ13" s="42">
        <v>0</v>
      </c>
      <c r="AK13" s="42">
        <v>160000</v>
      </c>
      <c r="AL13" s="42">
        <v>1</v>
      </c>
      <c r="AM13" s="42">
        <v>1</v>
      </c>
      <c r="AN13" s="40" t="s">
        <v>32</v>
      </c>
      <c r="AO13" s="29"/>
      <c r="AP13" s="40" t="s">
        <v>68</v>
      </c>
      <c r="AQ13" s="40" t="s">
        <v>31</v>
      </c>
      <c r="AR13" s="42">
        <v>0</v>
      </c>
      <c r="AS13" s="42">
        <v>-1</v>
      </c>
      <c r="AT13" s="40" t="s">
        <v>72</v>
      </c>
      <c r="AU13" s="40" t="s">
        <v>73</v>
      </c>
      <c r="AV13" s="42" t="s">
        <v>74</v>
      </c>
      <c r="AW13" s="42">
        <v>160000</v>
      </c>
      <c r="AX13" s="42">
        <v>0</v>
      </c>
      <c r="AY13" s="42">
        <v>0</v>
      </c>
      <c r="AZ13" s="42">
        <v>0</v>
      </c>
      <c r="BA13" s="42">
        <v>100</v>
      </c>
      <c r="BB13" s="29"/>
      <c r="BC13" s="42">
        <v>1</v>
      </c>
      <c r="BD13" s="42">
        <v>160000</v>
      </c>
      <c r="BE13" s="40" t="s">
        <v>42</v>
      </c>
      <c r="BF13" s="40" t="s">
        <v>70</v>
      </c>
      <c r="BG13" s="40" t="s">
        <v>113</v>
      </c>
      <c r="BH13" s="40" t="s">
        <v>114</v>
      </c>
      <c r="BI13" s="40" t="s">
        <v>70</v>
      </c>
      <c r="BJ13" s="42">
        <v>0</v>
      </c>
      <c r="BK13" s="42">
        <v>0</v>
      </c>
      <c r="BL13" s="42">
        <v>0</v>
      </c>
      <c r="BM13" s="42">
        <v>0</v>
      </c>
      <c r="BN13" s="29"/>
      <c r="BO13" s="42">
        <v>160000</v>
      </c>
      <c r="BP13" s="42">
        <v>0</v>
      </c>
      <c r="BQ13" s="40" t="s">
        <v>38</v>
      </c>
      <c r="BR13" s="40" t="s">
        <v>44</v>
      </c>
      <c r="BS13" s="42">
        <v>0</v>
      </c>
      <c r="BT13" s="42">
        <v>0</v>
      </c>
      <c r="BU13" s="40" t="s">
        <v>42</v>
      </c>
      <c r="BV13" s="29"/>
      <c r="BW13" s="42">
        <v>0</v>
      </c>
      <c r="BX13" s="42">
        <v>0</v>
      </c>
      <c r="BY13" s="42">
        <v>0</v>
      </c>
      <c r="BZ13" s="42">
        <v>0</v>
      </c>
      <c r="CA13" s="42">
        <v>0</v>
      </c>
      <c r="CB13" s="29"/>
      <c r="CC13" s="42">
        <v>0</v>
      </c>
      <c r="CD13" s="42">
        <v>160000</v>
      </c>
      <c r="CE13" s="42">
        <v>0</v>
      </c>
      <c r="CF13" s="42">
        <v>0</v>
      </c>
      <c r="CG13" s="42">
        <v>160000</v>
      </c>
      <c r="CH13" s="42">
        <v>100</v>
      </c>
      <c r="CI13" s="42">
        <v>0</v>
      </c>
      <c r="CJ13" s="42">
        <v>0</v>
      </c>
      <c r="CK13" s="43" t="b">
        <v>0</v>
      </c>
      <c r="CL13" s="29"/>
      <c r="CM13" s="29"/>
      <c r="CN13" s="29"/>
      <c r="CO13" s="29"/>
      <c r="CP13" s="29"/>
      <c r="CQ13" s="29"/>
      <c r="CR13" s="29"/>
      <c r="CS13" s="42">
        <v>200</v>
      </c>
      <c r="CT13" s="29"/>
      <c r="CU13" s="29"/>
      <c r="CV13" s="29"/>
      <c r="CW13" s="29"/>
      <c r="CX13" s="29"/>
      <c r="CY13" s="40" t="s">
        <v>77</v>
      </c>
      <c r="CZ13" s="40" t="s">
        <v>78</v>
      </c>
      <c r="DA13" s="42">
        <v>0</v>
      </c>
      <c r="DB13" s="42">
        <v>0</v>
      </c>
      <c r="DC13" s="42"/>
      <c r="DD13" s="42">
        <v>-800</v>
      </c>
      <c r="DE13" s="42">
        <v>0</v>
      </c>
      <c r="DF13" s="42">
        <v>0</v>
      </c>
      <c r="DG13" s="42">
        <v>0</v>
      </c>
      <c r="DH13" s="40" t="s">
        <v>70</v>
      </c>
      <c r="DI13" s="42">
        <v>0</v>
      </c>
      <c r="DJ13" s="40" t="s">
        <v>32</v>
      </c>
      <c r="DK13" s="42">
        <v>0</v>
      </c>
      <c r="DL13" s="42">
        <v>0</v>
      </c>
      <c r="DM13" s="42">
        <v>1</v>
      </c>
      <c r="DN13" s="42">
        <v>0</v>
      </c>
      <c r="DO13" s="29"/>
      <c r="DP13" s="40" t="s">
        <v>68</v>
      </c>
      <c r="DQ13" s="40" t="s">
        <v>70</v>
      </c>
      <c r="DR13" s="40" t="s">
        <v>80</v>
      </c>
      <c r="DS13" s="40" t="s">
        <v>70</v>
      </c>
      <c r="DT13" s="40" t="s">
        <v>70</v>
      </c>
      <c r="DU13" s="40" t="s">
        <v>70</v>
      </c>
      <c r="DV13" s="40" t="s">
        <v>70</v>
      </c>
      <c r="DW13" s="40" t="s">
        <v>70</v>
      </c>
      <c r="DX13" s="40" t="s">
        <v>70</v>
      </c>
      <c r="DY13" s="40" t="s">
        <v>70</v>
      </c>
      <c r="DZ13" s="40" t="s">
        <v>112</v>
      </c>
      <c r="EA13" s="40" t="s">
        <v>88</v>
      </c>
      <c r="EB13" s="40" t="s">
        <v>70</v>
      </c>
      <c r="EC13" s="40" t="s">
        <v>70</v>
      </c>
      <c r="ED13" s="40" t="s">
        <v>47</v>
      </c>
      <c r="EE13" s="40" t="s">
        <v>88</v>
      </c>
      <c r="EF13" s="42">
        <v>0</v>
      </c>
      <c r="EG13" s="42">
        <v>0</v>
      </c>
      <c r="EH13" s="42">
        <v>0</v>
      </c>
      <c r="EI13" s="42">
        <v>0</v>
      </c>
      <c r="EJ13" s="42">
        <v>0</v>
      </c>
      <c r="EK13" s="42">
        <v>0</v>
      </c>
      <c r="EL13" s="40" t="s">
        <v>68</v>
      </c>
      <c r="EM13" s="42">
        <v>0</v>
      </c>
      <c r="EN13" s="42">
        <v>0</v>
      </c>
      <c r="EO13" s="42">
        <v>0</v>
      </c>
      <c r="EP13" s="29"/>
      <c r="EQ13" s="42">
        <v>0</v>
      </c>
      <c r="ER13" s="42">
        <v>0</v>
      </c>
      <c r="ES13" s="29"/>
      <c r="ET13" s="42">
        <v>0</v>
      </c>
      <c r="EU13" s="42">
        <v>0</v>
      </c>
      <c r="EV13" s="40" t="s">
        <v>68</v>
      </c>
      <c r="EW13" s="29"/>
      <c r="EX13" s="29"/>
      <c r="EY13" s="29"/>
      <c r="EZ13" s="29"/>
      <c r="FA13" s="29"/>
      <c r="FB13" s="29"/>
      <c r="FC13" s="29"/>
      <c r="FD13" s="29"/>
      <c r="FE13" s="29"/>
      <c r="FF13" s="29"/>
      <c r="FG13" s="29"/>
      <c r="FH13" s="29"/>
      <c r="FI13" s="29"/>
      <c r="FJ13" s="29"/>
      <c r="FK13" s="29"/>
      <c r="FL13" s="29"/>
    </row>
    <row r="14" spans="1:168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_Modules</vt:lpstr>
      <vt:lpstr>_Settings</vt:lpstr>
      <vt:lpstr>_MasterData</vt:lpstr>
      <vt:lpstr>SetTradingComplianceRules</vt:lpstr>
      <vt:lpstr>CreateDoneAwayOrder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2021-08-04T14:14:12Z</dcterms:modified>
</cp:coreProperties>
</file>