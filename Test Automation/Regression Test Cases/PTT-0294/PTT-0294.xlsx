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TradePTT" sheetId="5" r:id="rId7"/>
    <sheet state="visible" name="VerifyTradeSummary" sheetId="6" r:id="rId8"/>
    <sheet state="visible" name="CustomOrderTT1" sheetId="7" r:id="rId9"/>
    <sheet state="visible" name="EditStageOrder" sheetId="8" r:id="rId10"/>
    <sheet state="visible" name="CustomOrderTT2" sheetId="9" r:id="rId11"/>
    <sheet state="visible" name="TradePTT1" sheetId="10" r:id="rId12"/>
    <sheet state="visible" name="VerifyTradeSummary1" sheetId="11" r:id="rId13"/>
    <sheet state="visible" name="TradeNewSubOrder" sheetId="12" r:id="rId14"/>
    <sheet state="visible" name="CustomOrderTT3" sheetId="13" r:id="rId15"/>
    <sheet state="visible" name="RightClickOperations" sheetId="14" r:id="rId16"/>
    <sheet state="visible" name="CustomOrderTT4" sheetId="15" r:id="rId17"/>
    <sheet state="visible" name="EditStageOrder1" sheetId="16" r:id="rId18"/>
    <sheet state="visible" name="CustomOrderTT5" sheetId="17" r:id="rId19"/>
    <sheet state="visible" name="VerifyOrder" sheetId="18" r:id="rId20"/>
    <sheet state="visible" name="CreateReplaceOrder" sheetId="19" r:id="rId21"/>
    <sheet state="visible" name="RightClickAndClickOperations" sheetId="20" r:id="rId22"/>
  </sheets>
  <definedNames/>
  <calcPr/>
</workbook>
</file>

<file path=xl/sharedStrings.xml><?xml version="1.0" encoding="utf-8"?>
<sst xmlns="http://schemas.openxmlformats.org/spreadsheetml/2006/main" count="475" uniqueCount="58">
  <si>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</si>
  <si>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</si>
  <si>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</si>
  <si>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</si>
  <si>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</si>
  <si>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</si>
  <si>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</si>
  <si>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</si>
  <si>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</si>
  <si>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</si>
  <si>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</si>
  <si>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</si>
  <si>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</si>
  <si>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</si>
  <si>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</si>
  <si>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</si>
  <si>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</si>
  <si>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</si>
  <si>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MSFT</t>
  </si>
  <si>
    <t>PTT</t>
  </si>
  <si>
    <t>TradePTT</t>
  </si>
  <si>
    <t>Increase</t>
  </si>
  <si>
    <t>Percentage</t>
  </si>
  <si>
    <t>Account</t>
  </si>
  <si>
    <t>Allocation1</t>
  </si>
  <si>
    <t>VerifyTradeSummary</t>
  </si>
  <si>
    <t>Sell short</t>
  </si>
  <si>
    <t>Yes</t>
  </si>
  <si>
    <t>CreateOrder</t>
  </si>
  <si>
    <t>Blotter</t>
  </si>
  <si>
    <t>EditStageOrder</t>
  </si>
  <si>
    <t>New</t>
  </si>
  <si>
    <t>Replace</t>
  </si>
  <si>
    <t>Buy</t>
  </si>
  <si>
    <t>TradeNewSubOrder</t>
  </si>
  <si>
    <t>DoneAway</t>
  </si>
  <si>
    <t>RightClickOperations</t>
  </si>
  <si>
    <t>Order</t>
  </si>
  <si>
    <t>Edit</t>
  </si>
  <si>
    <t>PartiallyFilled</t>
  </si>
  <si>
    <t>VerifyOrder</t>
  </si>
  <si>
    <t/>
  </si>
  <si>
    <t>MSFT US EQUITY</t>
  </si>
  <si>
    <t>NASDAQ</t>
  </si>
  <si>
    <t>jpearce</t>
  </si>
  <si>
    <t>NewMF</t>
  </si>
  <si>
    <t>DefaultNotes</t>
  </si>
  <si>
    <t>M</t>
  </si>
  <si>
    <t>Replaced</t>
  </si>
  <si>
    <t>MS</t>
  </si>
  <si>
    <t>Market</t>
  </si>
  <si>
    <t>Day</t>
  </si>
  <si>
    <t>AAPL US EQUITY</t>
  </si>
  <si>
    <t>CreateReplaceOrder</t>
  </si>
  <si>
    <t>Unknown</t>
  </si>
  <si>
    <t>RightClickAndClickOperations</t>
  </si>
  <si>
    <t>Orders</t>
  </si>
  <si>
    <t>Edit Order(s)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</si>
</sst>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>
        <v>100.0</v>
      </c>
      <c r="D7" s="12">
        <v>2.0</v>
      </c>
      <c r="E7" s="12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 t="s">
        <v>22</v>
      </c>
      <c r="E6" s="12">
        <v>10.0</v>
      </c>
      <c r="F6" s="12">
        <v>2.0</v>
      </c>
      <c r="G6" s="8"/>
      <c r="H6" s="12" t="s">
        <v>23</v>
      </c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IFERROR(__xludf.DUMMYFUNCTION("""COMPUTED_VALUE"""),"Quantity")</f>
        <v>Quantity</v>
      </c>
      <c r="D5" s="27" t="str">
        <f>IFERROR(__xludf.DUMMYFUNCTION("""COMPUTED_VALUE"""),"Order side")</f>
        <v>Order side</v>
      </c>
      <c r="E5" s="27" t="str">
        <f>IFERROR(__xludf.DUMMYFUNCTION("""COMPUTED_VALUE"""),"AllowTrade")</f>
        <v>AllowTrade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231607.0</v>
      </c>
      <c r="D6" s="12" t="s">
        <v>26</v>
      </c>
      <c r="E6" s="12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VerifyTradeSummary!$4:$4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/>
      <c r="C6" s="12"/>
      <c r="D6" s="12">
        <v>2.0</v>
      </c>
      <c r="E6" s="12" t="s">
        <v>28</v>
      </c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>
        <v>200.0</v>
      </c>
      <c r="D6" s="12">
        <v>2.0</v>
      </c>
      <c r="E6" s="12" t="s">
        <v>32</v>
      </c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21</v>
      </c>
      <c r="D6" s="12" t="s">
        <v>22</v>
      </c>
      <c r="E6" s="12">
        <v>10.0</v>
      </c>
      <c r="F6" s="12">
        <v>2.0</v>
      </c>
      <c r="G6" s="8"/>
      <c r="H6" s="12" t="s">
        <v>23</v>
      </c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IFERROR(__xludf.DUMMYFUNCTION("""COMPUTED_VALUE"""),"Quantity")</f>
        <v>Quantity</v>
      </c>
      <c r="D5" s="27" t="str">
        <f>IFERROR(__xludf.DUMMYFUNCTION("""COMPUTED_VALUE"""),"Order side")</f>
        <v>Order side</v>
      </c>
      <c r="E5" s="27" t="str">
        <f>IFERROR(__xludf.DUMMYFUNCTION("""COMPUTED_VALUE"""),"AllowTrade")</f>
        <v>AllowTrade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229197.0</v>
      </c>
      <c r="D6" s="12" t="s">
        <v>33</v>
      </c>
      <c r="E6" s="12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VerifyTradeSummary1!$4:$4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>
        <v>50.0</v>
      </c>
      <c r="D6" s="12">
        <v>2.0</v>
      </c>
      <c r="E6" s="12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IFERROR(__xludf.DUMMYFUNCTION("""COMPUTED_VALUE"""),"GridName")</f>
        <v>GridName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38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RightClickOperations!$4:$4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>
        <v>200.0</v>
      </c>
      <c r="D6" s="12">
        <v>2.0</v>
      </c>
      <c r="E6" s="12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>
        <v>300.0</v>
      </c>
      <c r="D6" s="12">
        <v>2.0</v>
      </c>
      <c r="E6" s="12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/>
      <c r="B6" s="31"/>
      <c r="C6" s="8"/>
      <c r="D6" s="31" t="s">
        <v>41</v>
      </c>
      <c r="E6" s="8" t="s">
        <v>42</v>
      </c>
      <c r="F6" s="8" t="s">
        <v>41</v>
      </c>
      <c r="G6" s="8"/>
      <c r="H6" s="8" t="s">
        <v>43</v>
      </c>
      <c r="I6" s="8" t="s">
        <v>44</v>
      </c>
      <c r="J6" s="8"/>
      <c r="K6" s="8" t="s">
        <v>41</v>
      </c>
      <c r="L6" s="8" t="s">
        <v>41</v>
      </c>
      <c r="M6" s="8"/>
      <c r="N6" s="8"/>
      <c r="O6" s="8"/>
      <c r="S6" t="s">
        <v>41</v>
      </c>
      <c r="T6" t="s">
        <v>41</v>
      </c>
      <c r="Y6" t="s">
        <v>41</v>
      </c>
      <c r="Z6" t="s">
        <v>41</v>
      </c>
      <c r="AA6" t="s">
        <v>45</v>
      </c>
      <c r="AB6" t="s">
        <v>41</v>
      </c>
      <c r="AC6" t="s">
        <v>46</v>
      </c>
      <c r="AD6">
        <v>1.0</v>
      </c>
      <c r="AE6" t="s">
        <v>41</v>
      </c>
      <c r="AF6" t="s">
        <v>47</v>
      </c>
      <c r="AG6" t="s">
        <v>41</v>
      </c>
      <c r="AH6" t="s">
        <v>41</v>
      </c>
      <c r="AI6" t="s">
        <v>18</v>
      </c>
      <c r="AJ6" t="s">
        <v>26</v>
      </c>
      <c r="AK6" t="s">
        <v>48</v>
      </c>
      <c r="AL6" t="s">
        <v>41</v>
      </c>
      <c r="AM6" t="s">
        <v>41</v>
      </c>
      <c r="AO6" t="s">
        <v>41</v>
      </c>
      <c r="AP6" t="s">
        <v>41</v>
      </c>
      <c r="AQ6" t="s">
        <v>41</v>
      </c>
      <c r="AR6" t="s">
        <v>41</v>
      </c>
      <c r="AS6" t="s">
        <v>49</v>
      </c>
      <c r="AT6" t="s">
        <v>24</v>
      </c>
      <c r="AU6" t="s">
        <v>50</v>
      </c>
      <c r="AV6" t="s">
        <v>41</v>
      </c>
      <c r="AW6" t="s">
        <v>41</v>
      </c>
      <c r="AY6" t="s">
        <v>41</v>
      </c>
      <c r="AZ6" t="s">
        <v>41</v>
      </c>
      <c r="BA6" t="s">
        <v>44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  <c r="BG6" t="s">
        <v>12</v>
      </c>
      <c r="BH6" t="s">
        <v>51</v>
      </c>
      <c r="BJ6" t="s">
        <v>41</v>
      </c>
      <c r="BK6" t="s">
        <v>41</v>
      </c>
      <c r="BL6" t="s">
        <v>41</v>
      </c>
      <c r="BM6" t="s">
        <v>41</v>
      </c>
      <c r="BN6" t="s">
        <v>41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41</v>
      </c>
      <c r="B7" s="8"/>
      <c r="C7" s="8"/>
      <c r="D7" s="8" t="s">
        <v>41</v>
      </c>
      <c r="E7" s="8" t="s">
        <v>52</v>
      </c>
      <c r="F7" s="8" t="s">
        <v>41</v>
      </c>
      <c r="G7" s="8"/>
      <c r="H7" s="8" t="s">
        <v>43</v>
      </c>
      <c r="I7" s="8" t="s">
        <v>44</v>
      </c>
      <c r="J7" s="8"/>
      <c r="K7" s="8" t="s">
        <v>41</v>
      </c>
      <c r="L7" s="8" t="s">
        <v>41</v>
      </c>
      <c r="M7" s="8"/>
      <c r="N7" s="8"/>
      <c r="O7" s="8"/>
      <c r="S7" t="s">
        <v>41</v>
      </c>
      <c r="T7" t="s">
        <v>41</v>
      </c>
      <c r="V7" t="s">
        <v>41</v>
      </c>
      <c r="X7" t="s">
        <v>41</v>
      </c>
      <c r="Y7" t="s">
        <v>41</v>
      </c>
      <c r="Z7" t="s">
        <v>41</v>
      </c>
      <c r="AB7" t="s">
        <v>41</v>
      </c>
      <c r="AE7" t="s">
        <v>41</v>
      </c>
      <c r="AG7" t="s">
        <v>41</v>
      </c>
      <c r="AH7" t="s">
        <v>41</v>
      </c>
      <c r="AI7" t="s">
        <v>16</v>
      </c>
      <c r="AJ7" t="s">
        <v>33</v>
      </c>
      <c r="AK7" t="s">
        <v>48</v>
      </c>
      <c r="AL7" t="s">
        <v>41</v>
      </c>
      <c r="AM7" t="s">
        <v>41</v>
      </c>
      <c r="AO7" t="s">
        <v>41</v>
      </c>
      <c r="AP7" t="s">
        <v>41</v>
      </c>
      <c r="AQ7" t="s">
        <v>41</v>
      </c>
      <c r="AR7" t="s">
        <v>41</v>
      </c>
      <c r="AS7" t="s">
        <v>49</v>
      </c>
      <c r="AT7" t="s">
        <v>24</v>
      </c>
      <c r="AV7" t="s">
        <v>41</v>
      </c>
      <c r="AW7" t="s">
        <v>41</v>
      </c>
      <c r="AY7" t="s">
        <v>41</v>
      </c>
      <c r="AZ7" t="s">
        <v>41</v>
      </c>
      <c r="BA7" t="s">
        <v>44</v>
      </c>
      <c r="BB7" t="s">
        <v>41</v>
      </c>
      <c r="BC7" t="s">
        <v>41</v>
      </c>
      <c r="BD7" t="s">
        <v>41</v>
      </c>
      <c r="BE7" t="s">
        <v>41</v>
      </c>
      <c r="BF7" t="s">
        <v>41</v>
      </c>
      <c r="BH7" t="s">
        <v>51</v>
      </c>
      <c r="BJ7" t="s">
        <v>41</v>
      </c>
      <c r="BK7" t="s">
        <v>41</v>
      </c>
      <c r="BL7" t="s">
        <v>41</v>
      </c>
      <c r="BM7" t="s">
        <v>41</v>
      </c>
      <c r="BN7" t="s">
        <v>41</v>
      </c>
      <c r="BP7" t="s">
        <v>41</v>
      </c>
      <c r="BQ7" t="s">
        <v>41</v>
      </c>
      <c r="BR7" t="s">
        <v>41</v>
      </c>
      <c r="BS7" t="s">
        <v>41</v>
      </c>
      <c r="BT7" t="s">
        <v>41</v>
      </c>
      <c r="BU7" t="s">
        <v>41</v>
      </c>
      <c r="BV7" t="s">
        <v>41</v>
      </c>
      <c r="BW7" t="s">
        <v>41</v>
      </c>
      <c r="BX7" t="s">
        <v>41</v>
      </c>
      <c r="BY7" t="s">
        <v>41</v>
      </c>
      <c r="BZ7" t="s">
        <v>41</v>
      </c>
      <c r="CA7" t="s">
        <v>41</v>
      </c>
      <c r="CB7" t="s">
        <v>41</v>
      </c>
      <c r="CC7" t="s">
        <v>41</v>
      </c>
      <c r="CD7" t="s">
        <v>41</v>
      </c>
      <c r="CE7" t="s">
        <v>41</v>
      </c>
      <c r="CF7" t="s">
        <v>41</v>
      </c>
      <c r="CG7" t="s">
        <v>41</v>
      </c>
      <c r="CH7" t="s">
        <v>41</v>
      </c>
      <c r="CI7" t="s">
        <v>41</v>
      </c>
      <c r="CJ7" t="s">
        <v>41</v>
      </c>
      <c r="CK7" t="s">
        <v>41</v>
      </c>
      <c r="CL7" t="s">
        <v>41</v>
      </c>
      <c r="CM7" t="s">
        <v>41</v>
      </c>
      <c r="CN7" t="s">
        <v>41</v>
      </c>
      <c r="CO7" t="s">
        <v>41</v>
      </c>
      <c r="CP7" t="s">
        <v>41</v>
      </c>
      <c r="CQ7" t="s">
        <v>41</v>
      </c>
      <c r="CR7" t="s">
        <v>41</v>
      </c>
      <c r="CS7" t="s">
        <v>41</v>
      </c>
      <c r="CT7" t="s">
        <v>41</v>
      </c>
      <c r="CU7" t="s">
        <v>41</v>
      </c>
      <c r="CV7" t="s">
        <v>41</v>
      </c>
      <c r="CW7" t="s">
        <v>41</v>
      </c>
      <c r="CX7" t="s">
        <v>41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IFERROR(__xludf.DUMMYFUNCTION("IF(C3="""","""",Transpose(IMPORTRANGE('_Settings'!$B$3,C3&amp;""!A4:A1000"")))"),"RightClickAndClickOperations")</f>
        <v>RightClickAndClickOperations</v>
      </c>
      <c r="C4" s="24" t="str">
        <f>IFERROR(__xludf.DUMMYFUNCTION("""COMPUTED_VALUE"""),"CheckModStatus")</f>
        <v>CheckModStatus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IFERROR(__xludf.DUMMYFUNCTION("""COMPUTED_VALUE"""),"GridName")</f>
        <v>GridName</v>
      </c>
      <c r="D5" s="27" t="str">
        <f>IFERROR(__xludf.DUMMYFUNCTION("""COMPUTED_VALUE"""),"PopUpsParentNames")</f>
        <v>PopUpsParentNames</v>
      </c>
      <c r="E5" s="27" t="str">
        <f>IFERROR(__xludf.DUMMYFUNCTION("""COMPUTED_VALUE"""),"SecondaryActions")</f>
        <v>SecondaryActions</v>
      </c>
      <c r="F5" s="28" t="str">
        <f>IFERROR(__xludf.DUMMYFUNCTION("""COMPUTED_VALUE"""),"Popups Text(empty AutomationID)")</f>
        <v>Popups Text(empty AutomationID)</v>
      </c>
      <c r="G5" s="27" t="str">
        <f>IFERROR(__xludf.DUMMYFUNCTION("""COMPUTED_VALUE"""),"Expected Popups(AutomationID)")</f>
        <v>Expected Popups(AutomationID)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56</v>
      </c>
      <c r="C6" s="34" t="s">
        <v>57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RightClickAndClickOperations!$4:$4</formula1>
    </dataValidation>
  </dataValidations>
  <drawing r:id="rId1"/>
</worksheet>
</file>