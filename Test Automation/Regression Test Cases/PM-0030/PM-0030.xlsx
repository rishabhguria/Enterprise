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6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ForexConversion" sheetId="7" r:id="rId7"/>
    <sheet name="UpdateForexConversion" sheetId="8" r:id="rId8"/>
    <sheet name="PricingInput" sheetId="9" r:id="rId9"/>
    <sheet name="GetDayEndCash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J2" i="11" l="1"/>
  <c r="E6" i="10"/>
  <c r="D6" i="10"/>
  <c r="J2" i="10"/>
  <c r="J2" i="9"/>
  <c r="J2" i="8"/>
  <c r="C6" i="7"/>
  <c r="B6" i="7"/>
  <c r="J2" i="7"/>
  <c r="J2" i="6"/>
  <c r="C6" i="5"/>
  <c r="B6" i="5"/>
  <c r="J2" i="5"/>
  <c r="N7" i="4"/>
  <c r="N6" i="4"/>
  <c r="J2" i="4"/>
  <c r="BK5" i="11"/>
  <c r="FJ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FH4" i="11"/>
  <c r="EZ4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FG4" i="11"/>
  <c r="EY4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H5" i="11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FF4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FE4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FF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FE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FC4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FD5" i="11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FJ4" i="11"/>
  <c r="FB4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FC5" i="11"/>
  <c r="EU5" i="11"/>
  <c r="CI5" i="11"/>
  <c r="W5" i="11"/>
  <c r="DU4" i="11"/>
  <c r="BI4" i="11"/>
  <c r="EK5" i="10"/>
  <c r="DU5" i="10"/>
  <c r="DE5" i="10"/>
  <c r="CO5" i="10"/>
  <c r="BY5" i="10"/>
  <c r="BI5" i="10"/>
  <c r="AS5" i="10"/>
  <c r="AC5" i="10"/>
  <c r="M5" i="10"/>
  <c r="EU4" i="10"/>
  <c r="EE4" i="10"/>
  <c r="DO4" i="10"/>
  <c r="CY4" i="10"/>
  <c r="CI4" i="10"/>
  <c r="BS4" i="10"/>
  <c r="BC4" i="10"/>
  <c r="AM4" i="10"/>
  <c r="W4" i="10"/>
  <c r="G4" i="10"/>
  <c r="ES5" i="9"/>
  <c r="EF5" i="9"/>
  <c r="DS5" i="9"/>
  <c r="DG5" i="9"/>
  <c r="CS5" i="9"/>
  <c r="CG5" i="9"/>
  <c r="BT5" i="9"/>
  <c r="BG5" i="9"/>
  <c r="AU5" i="9"/>
  <c r="AH5" i="9"/>
  <c r="Y5" i="9"/>
  <c r="P5" i="9"/>
  <c r="G5" i="9"/>
  <c r="EV4" i="9"/>
  <c r="EM4" i="9"/>
  <c r="EC4" i="9"/>
  <c r="DT4" i="9"/>
  <c r="DK4" i="9"/>
  <c r="DB4" i="9"/>
  <c r="CS4" i="9"/>
  <c r="CJ4" i="9"/>
  <c r="CA4" i="9"/>
  <c r="BQ4" i="9"/>
  <c r="BH4" i="9"/>
  <c r="AY4" i="9"/>
  <c r="AP4" i="9"/>
  <c r="AG4" i="9"/>
  <c r="X4" i="9"/>
  <c r="O4" i="9"/>
  <c r="E4" i="9"/>
  <c r="ET5" i="8"/>
  <c r="EK5" i="8"/>
  <c r="EB5" i="8"/>
  <c r="DS5" i="8"/>
  <c r="DJ5" i="8"/>
  <c r="DA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5" i="11"/>
  <c r="CA5" i="11"/>
  <c r="O5" i="11"/>
  <c r="DM4" i="11"/>
  <c r="BA4" i="11"/>
  <c r="EJ5" i="10"/>
  <c r="DT5" i="10"/>
  <c r="DD5" i="10"/>
  <c r="CN5" i="10"/>
  <c r="BX5" i="10"/>
  <c r="BH5" i="10"/>
  <c r="AR5" i="10"/>
  <c r="AB5" i="10"/>
  <c r="L5" i="10"/>
  <c r="ET4" i="10"/>
  <c r="ED4" i="10"/>
  <c r="DN4" i="10"/>
  <c r="CX4" i="10"/>
  <c r="CH4" i="10"/>
  <c r="BR4" i="10"/>
  <c r="BB4" i="10"/>
  <c r="AL4" i="10"/>
  <c r="V4" i="10"/>
  <c r="F4" i="10"/>
  <c r="EQ5" i="9"/>
  <c r="EE5" i="9"/>
  <c r="DQ5" i="9"/>
  <c r="DE5" i="9"/>
  <c r="CR5" i="9"/>
  <c r="CE5" i="9"/>
  <c r="BS5" i="9"/>
  <c r="BE5" i="9"/>
  <c r="AS5" i="9"/>
  <c r="AG5" i="9"/>
  <c r="X5" i="9"/>
  <c r="O5" i="9"/>
  <c r="F5" i="9"/>
  <c r="EU4" i="9"/>
  <c r="EK4" i="9"/>
  <c r="EB4" i="9"/>
  <c r="DS4" i="9"/>
  <c r="DJ4" i="9"/>
  <c r="DA4" i="9"/>
  <c r="CR4" i="9"/>
  <c r="CI4" i="9"/>
  <c r="BY4" i="9"/>
  <c r="BP4" i="9"/>
  <c r="BG4" i="9"/>
  <c r="AX4" i="9"/>
  <c r="AO4" i="9"/>
  <c r="AF4" i="9"/>
  <c r="W4" i="9"/>
  <c r="M4" i="9"/>
  <c r="D4" i="9"/>
  <c r="ES5" i="8"/>
  <c r="EJ5" i="8"/>
  <c r="EA5" i="8"/>
  <c r="DR5" i="8"/>
  <c r="DI5" i="8"/>
  <c r="CY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EE5" i="11"/>
  <c r="BS5" i="11"/>
  <c r="G5" i="11"/>
  <c r="DE4" i="11"/>
  <c r="AS4" i="11"/>
  <c r="EI5" i="10"/>
  <c r="DS5" i="10"/>
  <c r="DC5" i="10"/>
  <c r="CM5" i="10"/>
  <c r="BW5" i="10"/>
  <c r="BG5" i="10"/>
  <c r="AQ5" i="10"/>
  <c r="AA5" i="10"/>
  <c r="K5" i="10"/>
  <c r="ES4" i="10"/>
  <c r="EC4" i="10"/>
  <c r="DM4" i="10"/>
  <c r="CW4" i="10"/>
  <c r="CG4" i="10"/>
  <c r="BQ4" i="10"/>
  <c r="BA4" i="10"/>
  <c r="AK4" i="10"/>
  <c r="U4" i="10"/>
  <c r="E4" i="10"/>
  <c r="EO5" i="9"/>
  <c r="EC5" i="9"/>
  <c r="DP5" i="9"/>
  <c r="DC5" i="9"/>
  <c r="CQ5" i="9"/>
  <c r="CC5" i="9"/>
  <c r="BQ5" i="9"/>
  <c r="BD5" i="9"/>
  <c r="AQ5" i="9"/>
  <c r="AF5" i="9"/>
  <c r="W5" i="9"/>
  <c r="N5" i="9"/>
  <c r="E5" i="9"/>
  <c r="ES4" i="9"/>
  <c r="EJ4" i="9"/>
  <c r="EA4" i="9"/>
  <c r="DR4" i="9"/>
  <c r="DI4" i="9"/>
  <c r="CZ4" i="9"/>
  <c r="CQ4" i="9"/>
  <c r="CG4" i="9"/>
  <c r="BX4" i="9"/>
  <c r="BO4" i="9"/>
  <c r="BF4" i="9"/>
  <c r="AW4" i="9"/>
  <c r="AN4" i="9"/>
  <c r="AE4" i="9"/>
  <c r="U4" i="9"/>
  <c r="L4" i="9"/>
  <c r="C4" i="9"/>
  <c r="ER5" i="8"/>
  <c r="EI5" i="8"/>
  <c r="DZ5" i="8"/>
  <c r="DQ5" i="8"/>
  <c r="DG5" i="8"/>
  <c r="CX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DW5" i="11"/>
  <c r="FI4" i="11"/>
  <c r="CW4" i="11"/>
  <c r="AK4" i="11"/>
  <c r="EW5" i="10"/>
  <c r="EG5" i="10"/>
  <c r="DQ5" i="10"/>
  <c r="DA5" i="10"/>
  <c r="CK5" i="10"/>
  <c r="BU5" i="10"/>
  <c r="BE5" i="10"/>
  <c r="AO5" i="10"/>
  <c r="Y5" i="10"/>
  <c r="I5" i="10"/>
  <c r="EQ4" i="10"/>
  <c r="EA4" i="10"/>
  <c r="DK4" i="10"/>
  <c r="CU4" i="10"/>
  <c r="CE4" i="10"/>
  <c r="BO4" i="10"/>
  <c r="AY4" i="10"/>
  <c r="AI4" i="10"/>
  <c r="S4" i="10"/>
  <c r="C4" i="10"/>
  <c r="EN5" i="9"/>
  <c r="EA5" i="9"/>
  <c r="DO5" i="9"/>
  <c r="DA5" i="9"/>
  <c r="CO5" i="9"/>
  <c r="CB5" i="9"/>
  <c r="BO5" i="9"/>
  <c r="BC5" i="9"/>
  <c r="AO5" i="9"/>
  <c r="AE5" i="9"/>
  <c r="V5" i="9"/>
  <c r="M5" i="9"/>
  <c r="C5" i="9"/>
  <c r="ER4" i="9"/>
  <c r="EI4" i="9"/>
  <c r="DZ4" i="9"/>
  <c r="DQ4" i="9"/>
  <c r="DH4" i="9"/>
  <c r="CY4" i="9"/>
  <c r="CO4" i="9"/>
  <c r="CF4" i="9"/>
  <c r="BW4" i="9"/>
  <c r="BN4" i="9"/>
  <c r="BE4" i="9"/>
  <c r="AV4" i="9"/>
  <c r="AM4" i="9"/>
  <c r="AC4" i="9"/>
  <c r="T4" i="9"/>
  <c r="K4" i="9"/>
  <c r="B4" i="9"/>
  <c r="EQ5" i="8"/>
  <c r="EH5" i="8"/>
  <c r="DY5" i="8"/>
  <c r="DO5" i="8"/>
  <c r="DF5" i="8"/>
  <c r="CW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DO5" i="11"/>
  <c r="BC5" i="11"/>
  <c r="FA4" i="11"/>
  <c r="CO4" i="11"/>
  <c r="AC4" i="11"/>
  <c r="ES5" i="10"/>
  <c r="EC5" i="10"/>
  <c r="DM5" i="10"/>
  <c r="CW5" i="10"/>
  <c r="CG5" i="10"/>
  <c r="BQ5" i="10"/>
  <c r="BA5" i="10"/>
  <c r="AK5" i="10"/>
  <c r="U5" i="10"/>
  <c r="E5" i="10"/>
  <c r="EM4" i="10"/>
  <c r="DW4" i="10"/>
  <c r="DG4" i="10"/>
  <c r="CQ4" i="10"/>
  <c r="CA4" i="10"/>
  <c r="BK4" i="10"/>
  <c r="AU4" i="10"/>
  <c r="AE4" i="10"/>
  <c r="O4" i="10"/>
  <c r="EM5" i="9"/>
  <c r="DY5" i="9"/>
  <c r="DM5" i="9"/>
  <c r="CZ5" i="9"/>
  <c r="CM5" i="9"/>
  <c r="CA5" i="9"/>
  <c r="BM5" i="9"/>
  <c r="BA5" i="9"/>
  <c r="AN5" i="9"/>
  <c r="AD5" i="9"/>
  <c r="U5" i="9"/>
  <c r="K5" i="9"/>
  <c r="B5" i="9"/>
  <c r="EQ4" i="9"/>
  <c r="EH4" i="9"/>
  <c r="DY4" i="9"/>
  <c r="DP4" i="9"/>
  <c r="DG4" i="9"/>
  <c r="CW4" i="9"/>
  <c r="CN4" i="9"/>
  <c r="CE4" i="9"/>
  <c r="BV4" i="9"/>
  <c r="BM4" i="9"/>
  <c r="BD4" i="9"/>
  <c r="AU4" i="9"/>
  <c r="AK4" i="9"/>
  <c r="AB4" i="9"/>
  <c r="S4" i="9"/>
  <c r="J4" i="9"/>
  <c r="EP5" i="8"/>
  <c r="EG5" i="8"/>
  <c r="DW5" i="8"/>
  <c r="DN5" i="8"/>
  <c r="DE5" i="8"/>
  <c r="CV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W5" i="7"/>
  <c r="EO5" i="7"/>
  <c r="EG5" i="7"/>
  <c r="DY5" i="7"/>
  <c r="DQ5" i="7"/>
  <c r="DI5" i="7"/>
  <c r="DA5" i="7"/>
  <c r="DG5" i="11"/>
  <c r="AU5" i="11"/>
  <c r="ES4" i="11"/>
  <c r="CG4" i="11"/>
  <c r="U4" i="11"/>
  <c r="ER5" i="10"/>
  <c r="EB5" i="10"/>
  <c r="DL5" i="10"/>
  <c r="CV5" i="10"/>
  <c r="CF5" i="10"/>
  <c r="BP5" i="10"/>
  <c r="AZ5" i="10"/>
  <c r="AJ5" i="10"/>
  <c r="T5" i="10"/>
  <c r="D5" i="10"/>
  <c r="EL4" i="10"/>
  <c r="DV4" i="10"/>
  <c r="DF4" i="10"/>
  <c r="CP4" i="10"/>
  <c r="BZ4" i="10"/>
  <c r="BJ4" i="10"/>
  <c r="AT4" i="10"/>
  <c r="AD4" i="10"/>
  <c r="N4" i="10"/>
  <c r="EW5" i="9"/>
  <c r="EK5" i="9"/>
  <c r="DX5" i="9"/>
  <c r="DK5" i="9"/>
  <c r="CY5" i="9"/>
  <c r="CK5" i="9"/>
  <c r="BY5" i="9"/>
  <c r="BL5" i="9"/>
  <c r="AY5" i="9"/>
  <c r="AM5" i="9"/>
  <c r="AC5" i="9"/>
  <c r="S5" i="9"/>
  <c r="J5" i="9"/>
  <c r="A5" i="9"/>
  <c r="EP4" i="9"/>
  <c r="EG4" i="9"/>
  <c r="DX4" i="9"/>
  <c r="DO4" i="9"/>
  <c r="DE4" i="9"/>
  <c r="CV4" i="9"/>
  <c r="CM4" i="9"/>
  <c r="CD4" i="9"/>
  <c r="BU4" i="9"/>
  <c r="BL4" i="9"/>
  <c r="BC4" i="9"/>
  <c r="AS4" i="9"/>
  <c r="AJ4" i="9"/>
  <c r="AA4" i="9"/>
  <c r="R4" i="9"/>
  <c r="I4" i="9"/>
  <c r="EX5" i="8"/>
  <c r="EO5" i="8"/>
  <c r="EE5" i="8"/>
  <c r="DV5" i="8"/>
  <c r="DM5" i="8"/>
  <c r="DD5" i="8"/>
  <c r="CU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CY5" i="11"/>
  <c r="AM5" i="11"/>
  <c r="EK4" i="11"/>
  <c r="BY4" i="11"/>
  <c r="M4" i="11"/>
  <c r="EQ5" i="10"/>
  <c r="EA5" i="10"/>
  <c r="DK5" i="10"/>
  <c r="CU5" i="10"/>
  <c r="CE5" i="10"/>
  <c r="BO5" i="10"/>
  <c r="AY5" i="10"/>
  <c r="AI5" i="10"/>
  <c r="S5" i="10"/>
  <c r="C5" i="10"/>
  <c r="EK4" i="10"/>
  <c r="DU4" i="10"/>
  <c r="DE4" i="10"/>
  <c r="CO4" i="10"/>
  <c r="BY4" i="10"/>
  <c r="BI4" i="10"/>
  <c r="AS4" i="10"/>
  <c r="AC4" i="10"/>
  <c r="M4" i="10"/>
  <c r="EV5" i="9"/>
  <c r="EI5" i="9"/>
  <c r="DW5" i="9"/>
  <c r="DI5" i="9"/>
  <c r="CW5" i="9"/>
  <c r="CJ5" i="9"/>
  <c r="BW5" i="9"/>
  <c r="BK5" i="9"/>
  <c r="AW5" i="9"/>
  <c r="AK5" i="9"/>
  <c r="AA5" i="9"/>
  <c r="R5" i="9"/>
  <c r="I5" i="9"/>
  <c r="EX4" i="9"/>
  <c r="EO4" i="9"/>
  <c r="EF4" i="9"/>
  <c r="DW4" i="9"/>
  <c r="DM4" i="9"/>
  <c r="DD4" i="9"/>
  <c r="CU4" i="9"/>
  <c r="CL4" i="9"/>
  <c r="CC4" i="9"/>
  <c r="BT4" i="9"/>
  <c r="BK4" i="9"/>
  <c r="BA4" i="9"/>
  <c r="AR4" i="9"/>
  <c r="AI4" i="9"/>
  <c r="Z4" i="9"/>
  <c r="Q4" i="9"/>
  <c r="H4" i="9"/>
  <c r="EW5" i="8"/>
  <c r="EM5" i="8"/>
  <c r="ED5" i="8"/>
  <c r="DU5" i="8"/>
  <c r="DL5" i="8"/>
  <c r="DC5" i="8"/>
  <c r="CT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CQ5" i="11"/>
  <c r="EO5" i="10"/>
  <c r="Q5" i="10"/>
  <c r="AQ4" i="10"/>
  <c r="CU5" i="9"/>
  <c r="H5" i="9"/>
  <c r="CK4" i="9"/>
  <c r="P4" i="9"/>
  <c r="DB5" i="8"/>
  <c r="AN5" i="8"/>
  <c r="DZ4" i="8"/>
  <c r="BN4" i="8"/>
  <c r="B4" i="8"/>
  <c r="DN5" i="7"/>
  <c r="BZ5" i="7"/>
  <c r="AT5" i="7"/>
  <c r="N5" i="7"/>
  <c r="EI4" i="7"/>
  <c r="DO4" i="7"/>
  <c r="CR4" i="7"/>
  <c r="BW4" i="7"/>
  <c r="BC4" i="7"/>
  <c r="AQ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AE5" i="11"/>
  <c r="DY5" i="10"/>
  <c r="A5" i="10"/>
  <c r="AA4" i="10"/>
  <c r="CI5" i="9"/>
  <c r="EW4" i="9"/>
  <c r="CB4" i="9"/>
  <c r="G4" i="9"/>
  <c r="CS5" i="8"/>
  <c r="AF5" i="8"/>
  <c r="DR4" i="8"/>
  <c r="BF4" i="8"/>
  <c r="DF5" i="7"/>
  <c r="BU5" i="7"/>
  <c r="AO5" i="7"/>
  <c r="I5" i="7"/>
  <c r="EF4" i="7"/>
  <c r="DK4" i="7"/>
  <c r="CQ4" i="7"/>
  <c r="BT4" i="7"/>
  <c r="BB4" i="7"/>
  <c r="AN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EC4" i="11"/>
  <c r="DI5" i="10"/>
  <c r="EI4" i="10"/>
  <c r="K4" i="10"/>
  <c r="BU5" i="9"/>
  <c r="EN4" i="9"/>
  <c r="BS4" i="9"/>
  <c r="CJ5" i="8"/>
  <c r="X5" i="8"/>
  <c r="DJ4" i="8"/>
  <c r="AX4" i="8"/>
  <c r="CX5" i="7"/>
  <c r="BR5" i="7"/>
  <c r="AL5" i="7"/>
  <c r="F5" i="7"/>
  <c r="EE4" i="7"/>
  <c r="DH4" i="7"/>
  <c r="CM4" i="7"/>
  <c r="BS4" i="7"/>
  <c r="BA4" i="7"/>
  <c r="AM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BQ4" i="11"/>
  <c r="CS5" i="10"/>
  <c r="DS4" i="10"/>
  <c r="BI5" i="9"/>
  <c r="EE4" i="9"/>
  <c r="BI4" i="9"/>
  <c r="EU5" i="8"/>
  <c r="CB5" i="8"/>
  <c r="P5" i="8"/>
  <c r="DB4" i="8"/>
  <c r="AP4" i="8"/>
  <c r="CS5" i="7"/>
  <c r="BM5" i="7"/>
  <c r="AG5" i="7"/>
  <c r="A5" i="7"/>
  <c r="EA4" i="7"/>
  <c r="DG4" i="7"/>
  <c r="CJ4" i="7"/>
  <c r="BO4" i="7"/>
  <c r="AY4" i="7"/>
  <c r="AL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E4" i="11"/>
  <c r="CC5" i="10"/>
  <c r="DC4" i="10"/>
  <c r="EU5" i="9"/>
  <c r="AV5" i="9"/>
  <c r="DU4" i="9"/>
  <c r="AZ4" i="9"/>
  <c r="EL5" i="8"/>
  <c r="BT5" i="8"/>
  <c r="H5" i="8"/>
  <c r="CT4" i="8"/>
  <c r="AH4" i="8"/>
  <c r="ET5" i="7"/>
  <c r="CP5" i="7"/>
  <c r="BJ5" i="7"/>
  <c r="AD5" i="7"/>
  <c r="EV4" i="7"/>
  <c r="DX4" i="7"/>
  <c r="DC4" i="7"/>
  <c r="CI4" i="7"/>
  <c r="BL4" i="7"/>
  <c r="AV4" i="7"/>
  <c r="AK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BM5" i="10"/>
  <c r="CM4" i="10"/>
  <c r="EG5" i="9"/>
  <c r="AI5" i="9"/>
  <c r="DL4" i="9"/>
  <c r="AQ4" i="9"/>
  <c r="EC5" i="8"/>
  <c r="BL5" i="8"/>
  <c r="EX4" i="8"/>
  <c r="CL4" i="8"/>
  <c r="Z4" i="8"/>
  <c r="EL5" i="7"/>
  <c r="CK5" i="7"/>
  <c r="BE5" i="7"/>
  <c r="Y5" i="7"/>
  <c r="EQ4" i="7"/>
  <c r="DW4" i="7"/>
  <c r="CZ4" i="7"/>
  <c r="CE4" i="7"/>
  <c r="BK4" i="7"/>
  <c r="AU4" i="7"/>
  <c r="AJ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AW5" i="10"/>
  <c r="BW4" i="10"/>
  <c r="DU5" i="9"/>
  <c r="Z5" i="9"/>
  <c r="DC4" i="9"/>
  <c r="AH4" i="9"/>
  <c r="DT5" i="8"/>
  <c r="BD5" i="8"/>
  <c r="EP4" i="8"/>
  <c r="CD4" i="8"/>
  <c r="R4" i="8"/>
  <c r="ED5" i="7"/>
  <c r="CH5" i="7"/>
  <c r="BB5" i="7"/>
  <c r="V5" i="7"/>
  <c r="EN4" i="7"/>
  <c r="DS4" i="7"/>
  <c r="CY4" i="7"/>
  <c r="CB4" i="7"/>
  <c r="BG4" i="7"/>
  <c r="AT4" i="7"/>
  <c r="AI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AG5" i="10"/>
  <c r="BG4" i="10"/>
  <c r="DH5" i="9"/>
  <c r="Q5" i="9"/>
  <c r="CT4" i="9"/>
  <c r="Y4" i="9"/>
  <c r="DK5" i="8"/>
  <c r="AV5" i="8"/>
  <c r="EH4" i="8"/>
  <c r="BV4" i="8"/>
  <c r="J4" i="8"/>
  <c r="DV5" i="7"/>
  <c r="CC5" i="7"/>
  <c r="AW5" i="7"/>
  <c r="Q5" i="7"/>
  <c r="EM4" i="7"/>
  <c r="DP4" i="7"/>
  <c r="CU4" i="7"/>
  <c r="CA4" i="7"/>
  <c r="BD4" i="7"/>
  <c r="AS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EN5" i="5"/>
  <c r="DH5" i="5"/>
  <c r="CB5" i="5"/>
  <c r="AV5" i="5"/>
  <c r="P5" i="5"/>
  <c r="EH4" i="5"/>
  <c r="DB4" i="5"/>
  <c r="BV4" i="5"/>
  <c r="AP4" i="5"/>
  <c r="J4" i="5"/>
  <c r="EO5" i="4"/>
  <c r="DI5" i="4"/>
  <c r="CC5" i="4"/>
  <c r="AW5" i="4"/>
  <c r="S5" i="4"/>
  <c r="C5" i="4"/>
  <c r="EM4" i="4"/>
  <c r="DY4" i="4"/>
  <c r="DP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G4" i="6"/>
  <c r="EI5" i="5"/>
  <c r="DC5" i="5"/>
  <c r="BW5" i="5"/>
  <c r="AQ5" i="5"/>
  <c r="K5" i="5"/>
  <c r="EC4" i="5"/>
  <c r="CW4" i="5"/>
  <c r="BQ4" i="5"/>
  <c r="AK4" i="5"/>
  <c r="E4" i="5"/>
  <c r="EL5" i="4"/>
  <c r="DF5" i="4"/>
  <c r="BZ5" i="4"/>
  <c r="AT5" i="4"/>
  <c r="Q5" i="4"/>
  <c r="A5" i="4"/>
  <c r="EK4" i="4"/>
  <c r="DX4" i="4"/>
  <c r="DO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D4" i="6"/>
  <c r="EF5" i="5"/>
  <c r="CZ5" i="5"/>
  <c r="BT5" i="5"/>
  <c r="AN5" i="5"/>
  <c r="H5" i="5"/>
  <c r="DZ4" i="5"/>
  <c r="CT4" i="5"/>
  <c r="BN4" i="5"/>
  <c r="AH4" i="5"/>
  <c r="B4" i="5"/>
  <c r="EG5" i="4"/>
  <c r="DA5" i="4"/>
  <c r="BU5" i="4"/>
  <c r="AO5" i="4"/>
  <c r="O5" i="4"/>
  <c r="EW4" i="4"/>
  <c r="EI4" i="4"/>
  <c r="DW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EA5" i="5"/>
  <c r="CU5" i="5"/>
  <c r="BO5" i="5"/>
  <c r="AI5" i="5"/>
  <c r="C5" i="5"/>
  <c r="DU4" i="5"/>
  <c r="CO4" i="5"/>
  <c r="BI4" i="5"/>
  <c r="AC4" i="5"/>
  <c r="ED5" i="4"/>
  <c r="CX5" i="4"/>
  <c r="BR5" i="4"/>
  <c r="AL5" i="4"/>
  <c r="N5" i="4"/>
  <c r="EV4" i="4"/>
  <c r="EG4" i="4"/>
  <c r="DU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DX5" i="5"/>
  <c r="CR5" i="5"/>
  <c r="BL5" i="5"/>
  <c r="AF5" i="5"/>
  <c r="EX4" i="5"/>
  <c r="DR4" i="5"/>
  <c r="CL4" i="5"/>
  <c r="BF4" i="5"/>
  <c r="Z4" i="5"/>
  <c r="DY5" i="4"/>
  <c r="CS5" i="4"/>
  <c r="BM5" i="4"/>
  <c r="AG5" i="4"/>
  <c r="K5" i="4"/>
  <c r="ES4" i="4"/>
  <c r="EF4" i="4"/>
  <c r="DT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DS5" i="5"/>
  <c r="CM5" i="5"/>
  <c r="BG5" i="5"/>
  <c r="AA5" i="5"/>
  <c r="ES4" i="5"/>
  <c r="DM4" i="5"/>
  <c r="CG4" i="5"/>
  <c r="BA4" i="5"/>
  <c r="U4" i="5"/>
  <c r="DV5" i="4"/>
  <c r="CP5" i="4"/>
  <c r="BJ5" i="4"/>
  <c r="AD5" i="4"/>
  <c r="I5" i="4"/>
  <c r="EQ4" i="4"/>
  <c r="EE4" i="4"/>
  <c r="DS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EV5" i="5"/>
  <c r="DP5" i="5"/>
  <c r="CJ5" i="5"/>
  <c r="BD5" i="5"/>
  <c r="X5" i="5"/>
  <c r="EP4" i="5"/>
  <c r="DJ4" i="5"/>
  <c r="CD4" i="5"/>
  <c r="AX4" i="5"/>
  <c r="R4" i="5"/>
  <c r="EW5" i="4"/>
  <c r="DQ5" i="4"/>
  <c r="CK5" i="4"/>
  <c r="BE5" i="4"/>
  <c r="Y5" i="4"/>
  <c r="G5" i="4"/>
  <c r="EO4" i="4"/>
  <c r="EC4" i="4"/>
  <c r="DR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EQ5" i="5"/>
  <c r="AS4" i="5"/>
  <c r="BB5" i="4"/>
  <c r="CR4" i="4"/>
  <c r="AF4" i="4"/>
  <c r="A868" i="1"/>
  <c r="I862" i="1"/>
  <c r="E857" i="1"/>
  <c r="A852" i="1"/>
  <c r="I846" i="1"/>
  <c r="E841" i="1"/>
  <c r="A836" i="1"/>
  <c r="I830" i="1"/>
  <c r="E825" i="1"/>
  <c r="A820" i="1"/>
  <c r="I814" i="1"/>
  <c r="E809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DK5" i="5"/>
  <c r="M4" i="5"/>
  <c r="V5" i="4"/>
  <c r="CJ4" i="4"/>
  <c r="X4" i="4"/>
  <c r="E867" i="1"/>
  <c r="A862" i="1"/>
  <c r="I856" i="1"/>
  <c r="E851" i="1"/>
  <c r="A846" i="1"/>
  <c r="I840" i="1"/>
  <c r="E835" i="1"/>
  <c r="A830" i="1"/>
  <c r="I824" i="1"/>
  <c r="E819" i="1"/>
  <c r="A814" i="1"/>
  <c r="I808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CE5" i="5"/>
  <c r="F5" i="4"/>
  <c r="CB4" i="4"/>
  <c r="P4" i="4"/>
  <c r="I866" i="1"/>
  <c r="E861" i="1"/>
  <c r="A856" i="1"/>
  <c r="I850" i="1"/>
  <c r="E845" i="1"/>
  <c r="A840" i="1"/>
  <c r="I834" i="1"/>
  <c r="E829" i="1"/>
  <c r="A824" i="1"/>
  <c r="I818" i="1"/>
  <c r="E813" i="1"/>
  <c r="A808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AY5" i="5"/>
  <c r="EN4" i="4"/>
  <c r="BT4" i="4"/>
  <c r="H4" i="4"/>
  <c r="A866" i="1"/>
  <c r="I860" i="1"/>
  <c r="E855" i="1"/>
  <c r="A850" i="1"/>
  <c r="I844" i="1"/>
  <c r="E839" i="1"/>
  <c r="A834" i="1"/>
  <c r="I828" i="1"/>
  <c r="E823" i="1"/>
  <c r="A818" i="1"/>
  <c r="I812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S5" i="5"/>
  <c r="EA4" i="4"/>
  <c r="BL4" i="4"/>
  <c r="E865" i="1"/>
  <c r="A860" i="1"/>
  <c r="I854" i="1"/>
  <c r="E849" i="1"/>
  <c r="A844" i="1"/>
  <c r="I838" i="1"/>
  <c r="E833" i="1"/>
  <c r="A828" i="1"/>
  <c r="I822" i="1"/>
  <c r="E817" i="1"/>
  <c r="A812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K4" i="5"/>
  <c r="ET5" i="4"/>
  <c r="DQ4" i="4"/>
  <c r="BD4" i="4"/>
  <c r="A4" i="3"/>
  <c r="I864" i="1"/>
  <c r="E859" i="1"/>
  <c r="A854" i="1"/>
  <c r="I848" i="1"/>
  <c r="E843" i="1"/>
  <c r="A838" i="1"/>
  <c r="I832" i="1"/>
  <c r="E827" i="1"/>
  <c r="A822" i="1"/>
  <c r="I816" i="1"/>
  <c r="E811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E4" i="5"/>
  <c r="DN5" i="4"/>
  <c r="DH4" i="4"/>
  <c r="AV4" i="4"/>
  <c r="E869" i="1"/>
  <c r="A864" i="1"/>
  <c r="I858" i="1"/>
  <c r="E853" i="1"/>
  <c r="A848" i="1"/>
  <c r="I842" i="1"/>
  <c r="E837" i="1"/>
  <c r="A832" i="1"/>
  <c r="I826" i="1"/>
  <c r="E821" i="1"/>
  <c r="A816" i="1"/>
  <c r="I810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BY4" i="5"/>
  <c r="I868" i="1"/>
  <c r="A826" i="1"/>
  <c r="J804" i="1"/>
  <c r="F799" i="1"/>
  <c r="B794" i="1"/>
  <c r="J788" i="1"/>
  <c r="F783" i="1"/>
  <c r="B778" i="1"/>
  <c r="J772" i="1"/>
  <c r="F767" i="1"/>
  <c r="B762" i="1"/>
  <c r="J756" i="1"/>
  <c r="F751" i="1"/>
  <c r="B746" i="1"/>
  <c r="J740" i="1"/>
  <c r="K737" i="1"/>
  <c r="K736" i="1"/>
  <c r="J735" i="1"/>
  <c r="J734" i="1"/>
  <c r="H733" i="1"/>
  <c r="J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863" i="1"/>
  <c r="I820" i="1"/>
  <c r="B804" i="1"/>
  <c r="J798" i="1"/>
  <c r="F793" i="1"/>
  <c r="B788" i="1"/>
  <c r="J782" i="1"/>
  <c r="F777" i="1"/>
  <c r="B772" i="1"/>
  <c r="J766" i="1"/>
  <c r="F761" i="1"/>
  <c r="B756" i="1"/>
  <c r="J750" i="1"/>
  <c r="F745" i="1"/>
  <c r="B740" i="1"/>
  <c r="J737" i="1"/>
  <c r="J736" i="1"/>
  <c r="H735" i="1"/>
  <c r="G734" i="1"/>
  <c r="G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A858" i="1"/>
  <c r="E815" i="1"/>
  <c r="F803" i="1"/>
  <c r="B798" i="1"/>
  <c r="J792" i="1"/>
  <c r="F787" i="1"/>
  <c r="B782" i="1"/>
  <c r="J776" i="1"/>
  <c r="F771" i="1"/>
  <c r="B766" i="1"/>
  <c r="J760" i="1"/>
  <c r="F755" i="1"/>
  <c r="B750" i="1"/>
  <c r="J744" i="1"/>
  <c r="F739" i="1"/>
  <c r="H737" i="1"/>
  <c r="G736" i="1"/>
  <c r="G735" i="1"/>
  <c r="F734" i="1"/>
  <c r="F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I852" i="1"/>
  <c r="A810" i="1"/>
  <c r="J802" i="1"/>
  <c r="F797" i="1"/>
  <c r="B792" i="1"/>
  <c r="J786" i="1"/>
  <c r="F781" i="1"/>
  <c r="B776" i="1"/>
  <c r="J770" i="1"/>
  <c r="F765" i="1"/>
  <c r="B760" i="1"/>
  <c r="J754" i="1"/>
  <c r="F749" i="1"/>
  <c r="B744" i="1"/>
  <c r="J738" i="1"/>
  <c r="G737" i="1"/>
  <c r="F736" i="1"/>
  <c r="F735" i="1"/>
  <c r="D734" i="1"/>
  <c r="D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CH5" i="4"/>
  <c r="E847" i="1"/>
  <c r="F807" i="1"/>
  <c r="B802" i="1"/>
  <c r="J796" i="1"/>
  <c r="F791" i="1"/>
  <c r="B786" i="1"/>
  <c r="J780" i="1"/>
  <c r="F775" i="1"/>
  <c r="B770" i="1"/>
  <c r="J764" i="1"/>
  <c r="F759" i="1"/>
  <c r="B754" i="1"/>
  <c r="J748" i="1"/>
  <c r="F743" i="1"/>
  <c r="F738" i="1"/>
  <c r="F737" i="1"/>
  <c r="D736" i="1"/>
  <c r="C735" i="1"/>
  <c r="C734" i="1"/>
  <c r="C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CZ4" i="4"/>
  <c r="A842" i="1"/>
  <c r="J806" i="1"/>
  <c r="F801" i="1"/>
  <c r="B796" i="1"/>
  <c r="J790" i="1"/>
  <c r="F785" i="1"/>
  <c r="B780" i="1"/>
  <c r="J774" i="1"/>
  <c r="F769" i="1"/>
  <c r="B764" i="1"/>
  <c r="J758" i="1"/>
  <c r="F753" i="1"/>
  <c r="B748" i="1"/>
  <c r="J742" i="1"/>
  <c r="D738" i="1"/>
  <c r="C737" i="1"/>
  <c r="C736" i="1"/>
  <c r="B735" i="1"/>
  <c r="B734" i="1"/>
  <c r="B733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AN4" i="4"/>
  <c r="I836" i="1"/>
  <c r="B806" i="1"/>
  <c r="J800" i="1"/>
  <c r="F795" i="1"/>
  <c r="B790" i="1"/>
  <c r="J784" i="1"/>
  <c r="F779" i="1"/>
  <c r="B774" i="1"/>
  <c r="J768" i="1"/>
  <c r="F763" i="1"/>
  <c r="B758" i="1"/>
  <c r="J752" i="1"/>
  <c r="F747" i="1"/>
  <c r="B742" i="1"/>
  <c r="C738" i="1"/>
  <c r="B737" i="1"/>
  <c r="B736" i="1"/>
  <c r="L734" i="1"/>
  <c r="K733" i="1"/>
  <c r="L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F773" i="1"/>
  <c r="L736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F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E831" i="1"/>
  <c r="B768" i="1"/>
  <c r="K735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E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F805" i="1"/>
  <c r="J762" i="1"/>
  <c r="K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B800" i="1"/>
  <c r="F757" i="1"/>
  <c r="J73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J794" i="1"/>
  <c r="B752" i="1"/>
  <c r="K73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F789" i="1"/>
  <c r="J746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B784" i="1"/>
  <c r="F741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J778" i="1"/>
  <c r="J698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596" i="1"/>
  <c r="F591" i="1"/>
  <c r="J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B738" i="1"/>
  <c r="F693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B596" i="1"/>
  <c r="J590" i="1"/>
  <c r="G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J730" i="1"/>
  <c r="B688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F595" i="1"/>
  <c r="B590" i="1"/>
  <c r="F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F725" i="1"/>
  <c r="J682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J594" i="1"/>
  <c r="F589" i="1"/>
  <c r="E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B720" i="1"/>
  <c r="F677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B594" i="1"/>
  <c r="J588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J714" i="1"/>
  <c r="B67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F593" i="1"/>
  <c r="B588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709" i="1"/>
  <c r="J666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J592" i="1"/>
  <c r="F587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B704" i="1"/>
  <c r="G661" i="1"/>
  <c r="B656" i="1"/>
  <c r="J650" i="1"/>
  <c r="F645" i="1"/>
  <c r="B640" i="1"/>
  <c r="J634" i="1"/>
  <c r="F629" i="1"/>
  <c r="B624" i="1"/>
  <c r="J618" i="1"/>
  <c r="F613" i="1"/>
  <c r="B608" i="1"/>
  <c r="J602" i="1"/>
  <c r="F597" i="1"/>
  <c r="B592" i="1"/>
  <c r="B587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G519" i="1"/>
  <c r="H516" i="1"/>
  <c r="L513" i="1"/>
  <c r="D511" i="1"/>
  <c r="H508" i="1"/>
  <c r="L505" i="1"/>
  <c r="D503" i="1"/>
  <c r="H500" i="1"/>
  <c r="L497" i="1"/>
  <c r="D495" i="1"/>
  <c r="H492" i="1"/>
  <c r="L489" i="1"/>
  <c r="D487" i="1"/>
  <c r="H484" i="1"/>
  <c r="L481" i="1"/>
  <c r="D479" i="1"/>
  <c r="H476" i="1"/>
  <c r="L473" i="1"/>
  <c r="D471" i="1"/>
  <c r="H468" i="1"/>
  <c r="L465" i="1"/>
  <c r="D463" i="1"/>
  <c r="H460" i="1"/>
  <c r="L457" i="1"/>
  <c r="D455" i="1"/>
  <c r="H452" i="1"/>
  <c r="L449" i="1"/>
  <c r="D447" i="1"/>
  <c r="H444" i="1"/>
  <c r="L441" i="1"/>
  <c r="D439" i="1"/>
  <c r="H436" i="1"/>
  <c r="L433" i="1"/>
  <c r="D431" i="1"/>
  <c r="H428" i="1"/>
  <c r="I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K518" i="1"/>
  <c r="C516" i="1"/>
  <c r="G513" i="1"/>
  <c r="K510" i="1"/>
  <c r="C508" i="1"/>
  <c r="G505" i="1"/>
  <c r="K502" i="1"/>
  <c r="C500" i="1"/>
  <c r="G497" i="1"/>
  <c r="K494" i="1"/>
  <c r="C492" i="1"/>
  <c r="G489" i="1"/>
  <c r="K486" i="1"/>
  <c r="C484" i="1"/>
  <c r="G481" i="1"/>
  <c r="K478" i="1"/>
  <c r="C476" i="1"/>
  <c r="G473" i="1"/>
  <c r="K470" i="1"/>
  <c r="C468" i="1"/>
  <c r="G465" i="1"/>
  <c r="K462" i="1"/>
  <c r="C460" i="1"/>
  <c r="G457" i="1"/>
  <c r="K454" i="1"/>
  <c r="C452" i="1"/>
  <c r="G449" i="1"/>
  <c r="K446" i="1"/>
  <c r="C444" i="1"/>
  <c r="G441" i="1"/>
  <c r="K438" i="1"/>
  <c r="C436" i="1"/>
  <c r="G433" i="1"/>
  <c r="K430" i="1"/>
  <c r="G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H518" i="1"/>
  <c r="L515" i="1"/>
  <c r="D513" i="1"/>
  <c r="H510" i="1"/>
  <c r="L507" i="1"/>
  <c r="D505" i="1"/>
  <c r="H502" i="1"/>
  <c r="L499" i="1"/>
  <c r="D497" i="1"/>
  <c r="H494" i="1"/>
  <c r="L491" i="1"/>
  <c r="D489" i="1"/>
  <c r="H486" i="1"/>
  <c r="L483" i="1"/>
  <c r="D481" i="1"/>
  <c r="H478" i="1"/>
  <c r="L475" i="1"/>
  <c r="D473" i="1"/>
  <c r="H470" i="1"/>
  <c r="L467" i="1"/>
  <c r="D465" i="1"/>
  <c r="H462" i="1"/>
  <c r="L459" i="1"/>
  <c r="D457" i="1"/>
  <c r="H454" i="1"/>
  <c r="L451" i="1"/>
  <c r="D449" i="1"/>
  <c r="H446" i="1"/>
  <c r="L443" i="1"/>
  <c r="D441" i="1"/>
  <c r="H438" i="1"/>
  <c r="L435" i="1"/>
  <c r="D433" i="1"/>
  <c r="H430" i="1"/>
  <c r="F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C518" i="1"/>
  <c r="G515" i="1"/>
  <c r="K512" i="1"/>
  <c r="C510" i="1"/>
  <c r="G507" i="1"/>
  <c r="K504" i="1"/>
  <c r="C502" i="1"/>
  <c r="G499" i="1"/>
  <c r="K496" i="1"/>
  <c r="C494" i="1"/>
  <c r="G491" i="1"/>
  <c r="K488" i="1"/>
  <c r="C486" i="1"/>
  <c r="G483" i="1"/>
  <c r="K480" i="1"/>
  <c r="C478" i="1"/>
  <c r="G475" i="1"/>
  <c r="K472" i="1"/>
  <c r="C470" i="1"/>
  <c r="G467" i="1"/>
  <c r="K464" i="1"/>
  <c r="C462" i="1"/>
  <c r="G459" i="1"/>
  <c r="K456" i="1"/>
  <c r="C454" i="1"/>
  <c r="G451" i="1"/>
  <c r="K448" i="1"/>
  <c r="C446" i="1"/>
  <c r="G443" i="1"/>
  <c r="K440" i="1"/>
  <c r="C438" i="1"/>
  <c r="G435" i="1"/>
  <c r="K432" i="1"/>
  <c r="C430" i="1"/>
  <c r="E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L517" i="1"/>
  <c r="D515" i="1"/>
  <c r="H512" i="1"/>
  <c r="L509" i="1"/>
  <c r="D507" i="1"/>
  <c r="H504" i="1"/>
  <c r="L501" i="1"/>
  <c r="D499" i="1"/>
  <c r="H496" i="1"/>
  <c r="L493" i="1"/>
  <c r="D491" i="1"/>
  <c r="H488" i="1"/>
  <c r="L485" i="1"/>
  <c r="D483" i="1"/>
  <c r="H480" i="1"/>
  <c r="L477" i="1"/>
  <c r="D475" i="1"/>
  <c r="H472" i="1"/>
  <c r="L469" i="1"/>
  <c r="D467" i="1"/>
  <c r="H464" i="1"/>
  <c r="L461" i="1"/>
  <c r="D459" i="1"/>
  <c r="H456" i="1"/>
  <c r="L453" i="1"/>
  <c r="D451" i="1"/>
  <c r="H448" i="1"/>
  <c r="L445" i="1"/>
  <c r="D443" i="1"/>
  <c r="H440" i="1"/>
  <c r="L437" i="1"/>
  <c r="D435" i="1"/>
  <c r="H432" i="1"/>
  <c r="L429" i="1"/>
  <c r="C428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D517" i="1"/>
  <c r="H514" i="1"/>
  <c r="L511" i="1"/>
  <c r="D509" i="1"/>
  <c r="H506" i="1"/>
  <c r="L503" i="1"/>
  <c r="D501" i="1"/>
  <c r="H498" i="1"/>
  <c r="L495" i="1"/>
  <c r="D493" i="1"/>
  <c r="H490" i="1"/>
  <c r="L487" i="1"/>
  <c r="D485" i="1"/>
  <c r="H482" i="1"/>
  <c r="L479" i="1"/>
  <c r="D477" i="1"/>
  <c r="H474" i="1"/>
  <c r="L471" i="1"/>
  <c r="D469" i="1"/>
  <c r="H466" i="1"/>
  <c r="L463" i="1"/>
  <c r="D461" i="1"/>
  <c r="H458" i="1"/>
  <c r="L455" i="1"/>
  <c r="D453" i="1"/>
  <c r="H450" i="1"/>
  <c r="L447" i="1"/>
  <c r="D445" i="1"/>
  <c r="H442" i="1"/>
  <c r="L439" i="1"/>
  <c r="D437" i="1"/>
  <c r="H434" i="1"/>
  <c r="L431" i="1"/>
  <c r="D429" i="1"/>
  <c r="K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K516" i="1"/>
  <c r="C514" i="1"/>
  <c r="G511" i="1"/>
  <c r="K508" i="1"/>
  <c r="C506" i="1"/>
  <c r="G503" i="1"/>
  <c r="K500" i="1"/>
  <c r="C498" i="1"/>
  <c r="G495" i="1"/>
  <c r="K492" i="1"/>
  <c r="C490" i="1"/>
  <c r="G487" i="1"/>
  <c r="K484" i="1"/>
  <c r="C482" i="1"/>
  <c r="G479" i="1"/>
  <c r="K476" i="1"/>
  <c r="C474" i="1"/>
  <c r="G471" i="1"/>
  <c r="K468" i="1"/>
  <c r="C466" i="1"/>
  <c r="G463" i="1"/>
  <c r="K460" i="1"/>
  <c r="C458" i="1"/>
  <c r="G455" i="1"/>
  <c r="K452" i="1"/>
  <c r="C450" i="1"/>
  <c r="G447" i="1"/>
  <c r="K444" i="1"/>
  <c r="C442" i="1"/>
  <c r="G439" i="1"/>
  <c r="K436" i="1"/>
  <c r="C434" i="1"/>
  <c r="G431" i="1"/>
  <c r="K428" i="1"/>
  <c r="J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G517" i="1"/>
  <c r="C496" i="1"/>
  <c r="K474" i="1"/>
  <c r="G453" i="1"/>
  <c r="C432" i="1"/>
  <c r="K423" i="1"/>
  <c r="G418" i="1"/>
  <c r="C413" i="1"/>
  <c r="K407" i="1"/>
  <c r="G402" i="1"/>
  <c r="C397" i="1"/>
  <c r="G392" i="1"/>
  <c r="K389" i="1"/>
  <c r="C387" i="1"/>
  <c r="G384" i="1"/>
  <c r="K381" i="1"/>
  <c r="C379" i="1"/>
  <c r="G376" i="1"/>
  <c r="K373" i="1"/>
  <c r="C371" i="1"/>
  <c r="C369" i="1"/>
  <c r="I367" i="1"/>
  <c r="E366" i="1"/>
  <c r="A365" i="1"/>
  <c r="I363" i="1"/>
  <c r="E362" i="1"/>
  <c r="A361" i="1"/>
  <c r="I359" i="1"/>
  <c r="E358" i="1"/>
  <c r="A357" i="1"/>
  <c r="I355" i="1"/>
  <c r="E354" i="1"/>
  <c r="A353" i="1"/>
  <c r="I351" i="1"/>
  <c r="E350" i="1"/>
  <c r="A349" i="1"/>
  <c r="I347" i="1"/>
  <c r="E346" i="1"/>
  <c r="A345" i="1"/>
  <c r="I343" i="1"/>
  <c r="E342" i="1"/>
  <c r="A341" i="1"/>
  <c r="I339" i="1"/>
  <c r="E338" i="1"/>
  <c r="A337" i="1"/>
  <c r="J335" i="1"/>
  <c r="H334" i="1"/>
  <c r="I333" i="1"/>
  <c r="G332" i="1"/>
  <c r="G331" i="1"/>
  <c r="F330" i="1"/>
  <c r="D329" i="1"/>
  <c r="E328" i="1"/>
  <c r="C327" i="1"/>
  <c r="C326" i="1"/>
  <c r="B325" i="1"/>
  <c r="L323" i="1"/>
  <c r="A323" i="1"/>
  <c r="K321" i="1"/>
  <c r="K320" i="1"/>
  <c r="J319" i="1"/>
  <c r="H318" i="1"/>
  <c r="I317" i="1"/>
  <c r="G316" i="1"/>
  <c r="G315" i="1"/>
  <c r="F314" i="1"/>
  <c r="D313" i="1"/>
  <c r="E312" i="1"/>
  <c r="C311" i="1"/>
  <c r="C310" i="1"/>
  <c r="B309" i="1"/>
  <c r="L307" i="1"/>
  <c r="A307" i="1"/>
  <c r="K305" i="1"/>
  <c r="K304" i="1"/>
  <c r="J303" i="1"/>
  <c r="H302" i="1"/>
  <c r="I301" i="1"/>
  <c r="K300" i="1"/>
  <c r="B300" i="1"/>
  <c r="E299" i="1"/>
  <c r="H298" i="1"/>
  <c r="K297" i="1"/>
  <c r="B297" i="1"/>
  <c r="E296" i="1"/>
  <c r="G295" i="1"/>
  <c r="J294" i="1"/>
  <c r="A294" i="1"/>
  <c r="D293" i="1"/>
  <c r="G292" i="1"/>
  <c r="J291" i="1"/>
  <c r="A291" i="1"/>
  <c r="C290" i="1"/>
  <c r="F289" i="1"/>
  <c r="I288" i="1"/>
  <c r="L287" i="1"/>
  <c r="C287" i="1"/>
  <c r="F286" i="1"/>
  <c r="I285" i="1"/>
  <c r="K284" i="1"/>
  <c r="B284" i="1"/>
  <c r="E283" i="1"/>
  <c r="H282" i="1"/>
  <c r="K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K514" i="1"/>
  <c r="G493" i="1"/>
  <c r="C472" i="1"/>
  <c r="K450" i="1"/>
  <c r="G429" i="1"/>
  <c r="C423" i="1"/>
  <c r="K417" i="1"/>
  <c r="G412" i="1"/>
  <c r="C407" i="1"/>
  <c r="K401" i="1"/>
  <c r="G396" i="1"/>
  <c r="E392" i="1"/>
  <c r="I389" i="1"/>
  <c r="A387" i="1"/>
  <c r="E384" i="1"/>
  <c r="I381" i="1"/>
  <c r="A379" i="1"/>
  <c r="E376" i="1"/>
  <c r="I373" i="1"/>
  <c r="A371" i="1"/>
  <c r="B369" i="1"/>
  <c r="G367" i="1"/>
  <c r="C366" i="1"/>
  <c r="K364" i="1"/>
  <c r="G363" i="1"/>
  <c r="C362" i="1"/>
  <c r="K360" i="1"/>
  <c r="G359" i="1"/>
  <c r="C358" i="1"/>
  <c r="K356" i="1"/>
  <c r="G355" i="1"/>
  <c r="C354" i="1"/>
  <c r="K352" i="1"/>
  <c r="G351" i="1"/>
  <c r="C350" i="1"/>
  <c r="K348" i="1"/>
  <c r="G347" i="1"/>
  <c r="C346" i="1"/>
  <c r="K344" i="1"/>
  <c r="G343" i="1"/>
  <c r="C342" i="1"/>
  <c r="K340" i="1"/>
  <c r="G339" i="1"/>
  <c r="C338" i="1"/>
  <c r="K336" i="1"/>
  <c r="I335" i="1"/>
  <c r="G334" i="1"/>
  <c r="G333" i="1"/>
  <c r="F332" i="1"/>
  <c r="D331" i="1"/>
  <c r="E330" i="1"/>
  <c r="C329" i="1"/>
  <c r="C328" i="1"/>
  <c r="B327" i="1"/>
  <c r="L325" i="1"/>
  <c r="A325" i="1"/>
  <c r="K323" i="1"/>
  <c r="K322" i="1"/>
  <c r="J321" i="1"/>
  <c r="H320" i="1"/>
  <c r="I319" i="1"/>
  <c r="G318" i="1"/>
  <c r="G317" i="1"/>
  <c r="F316" i="1"/>
  <c r="D315" i="1"/>
  <c r="E314" i="1"/>
  <c r="C313" i="1"/>
  <c r="C312" i="1"/>
  <c r="B311" i="1"/>
  <c r="L309" i="1"/>
  <c r="A309" i="1"/>
  <c r="K307" i="1"/>
  <c r="K306" i="1"/>
  <c r="J305" i="1"/>
  <c r="H304" i="1"/>
  <c r="I303" i="1"/>
  <c r="G302" i="1"/>
  <c r="G301" i="1"/>
  <c r="J300" i="1"/>
  <c r="A300" i="1"/>
  <c r="D299" i="1"/>
  <c r="G298" i="1"/>
  <c r="J297" i="1"/>
  <c r="A297" i="1"/>
  <c r="C296" i="1"/>
  <c r="F295" i="1"/>
  <c r="I294" i="1"/>
  <c r="L293" i="1"/>
  <c r="C512" i="1"/>
  <c r="K490" i="1"/>
  <c r="G469" i="1"/>
  <c r="C448" i="1"/>
  <c r="L427" i="1"/>
  <c r="G422" i="1"/>
  <c r="C417" i="1"/>
  <c r="K411" i="1"/>
  <c r="G406" i="1"/>
  <c r="C401" i="1"/>
  <c r="K395" i="1"/>
  <c r="K391" i="1"/>
  <c r="C389" i="1"/>
  <c r="G386" i="1"/>
  <c r="K383" i="1"/>
  <c r="C381" i="1"/>
  <c r="G378" i="1"/>
  <c r="K375" i="1"/>
  <c r="C373" i="1"/>
  <c r="G370" i="1"/>
  <c r="A369" i="1"/>
  <c r="C367" i="1"/>
  <c r="K365" i="1"/>
  <c r="G364" i="1"/>
  <c r="C363" i="1"/>
  <c r="K361" i="1"/>
  <c r="G360" i="1"/>
  <c r="C359" i="1"/>
  <c r="K357" i="1"/>
  <c r="G356" i="1"/>
  <c r="C355" i="1"/>
  <c r="K353" i="1"/>
  <c r="G352" i="1"/>
  <c r="C351" i="1"/>
  <c r="K349" i="1"/>
  <c r="G348" i="1"/>
  <c r="C347" i="1"/>
  <c r="K345" i="1"/>
  <c r="G344" i="1"/>
  <c r="C343" i="1"/>
  <c r="K341" i="1"/>
  <c r="G340" i="1"/>
  <c r="C339" i="1"/>
  <c r="K337" i="1"/>
  <c r="G336" i="1"/>
  <c r="G335" i="1"/>
  <c r="F334" i="1"/>
  <c r="D333" i="1"/>
  <c r="E332" i="1"/>
  <c r="C331" i="1"/>
  <c r="C330" i="1"/>
  <c r="B329" i="1"/>
  <c r="L327" i="1"/>
  <c r="A327" i="1"/>
  <c r="K325" i="1"/>
  <c r="K324" i="1"/>
  <c r="J323" i="1"/>
  <c r="H322" i="1"/>
  <c r="I321" i="1"/>
  <c r="G320" i="1"/>
  <c r="G319" i="1"/>
  <c r="F318" i="1"/>
  <c r="D317" i="1"/>
  <c r="E316" i="1"/>
  <c r="C315" i="1"/>
  <c r="C314" i="1"/>
  <c r="B313" i="1"/>
  <c r="L311" i="1"/>
  <c r="A311" i="1"/>
  <c r="K309" i="1"/>
  <c r="K308" i="1"/>
  <c r="J307" i="1"/>
  <c r="H306" i="1"/>
  <c r="I305" i="1"/>
  <c r="G304" i="1"/>
  <c r="G303" i="1"/>
  <c r="F302" i="1"/>
  <c r="F301" i="1"/>
  <c r="I300" i="1"/>
  <c r="L299" i="1"/>
  <c r="C299" i="1"/>
  <c r="F298" i="1"/>
  <c r="I297" i="1"/>
  <c r="K296" i="1"/>
  <c r="B296" i="1"/>
  <c r="E295" i="1"/>
  <c r="H294" i="1"/>
  <c r="K293" i="1"/>
  <c r="B293" i="1"/>
  <c r="E292" i="1"/>
  <c r="G291" i="1"/>
  <c r="J290" i="1"/>
  <c r="A290" i="1"/>
  <c r="D289" i="1"/>
  <c r="G288" i="1"/>
  <c r="J287" i="1"/>
  <c r="A287" i="1"/>
  <c r="C286" i="1"/>
  <c r="F285" i="1"/>
  <c r="I284" i="1"/>
  <c r="L283" i="1"/>
  <c r="C283" i="1"/>
  <c r="F282" i="1"/>
  <c r="I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G509" i="1"/>
  <c r="C488" i="1"/>
  <c r="K466" i="1"/>
  <c r="G445" i="1"/>
  <c r="C427" i="1"/>
  <c r="K421" i="1"/>
  <c r="G416" i="1"/>
  <c r="C411" i="1"/>
  <c r="K405" i="1"/>
  <c r="G400" i="1"/>
  <c r="C395" i="1"/>
  <c r="I391" i="1"/>
  <c r="A389" i="1"/>
  <c r="E386" i="1"/>
  <c r="I383" i="1"/>
  <c r="A381" i="1"/>
  <c r="E378" i="1"/>
  <c r="I375" i="1"/>
  <c r="A373" i="1"/>
  <c r="F370" i="1"/>
  <c r="G368" i="1"/>
  <c r="B367" i="1"/>
  <c r="J365" i="1"/>
  <c r="F364" i="1"/>
  <c r="B363" i="1"/>
  <c r="J361" i="1"/>
  <c r="F360" i="1"/>
  <c r="B359" i="1"/>
  <c r="J357" i="1"/>
  <c r="F356" i="1"/>
  <c r="B355" i="1"/>
  <c r="J353" i="1"/>
  <c r="F352" i="1"/>
  <c r="B351" i="1"/>
  <c r="J349" i="1"/>
  <c r="F348" i="1"/>
  <c r="B347" i="1"/>
  <c r="J345" i="1"/>
  <c r="F344" i="1"/>
  <c r="B343" i="1"/>
  <c r="J341" i="1"/>
  <c r="F340" i="1"/>
  <c r="B339" i="1"/>
  <c r="J337" i="1"/>
  <c r="F336" i="1"/>
  <c r="D335" i="1"/>
  <c r="E334" i="1"/>
  <c r="C333" i="1"/>
  <c r="C332" i="1"/>
  <c r="B331" i="1"/>
  <c r="L329" i="1"/>
  <c r="A329" i="1"/>
  <c r="K327" i="1"/>
  <c r="K326" i="1"/>
  <c r="J325" i="1"/>
  <c r="H324" i="1"/>
  <c r="I323" i="1"/>
  <c r="G322" i="1"/>
  <c r="G321" i="1"/>
  <c r="F320" i="1"/>
  <c r="D319" i="1"/>
  <c r="E318" i="1"/>
  <c r="C317" i="1"/>
  <c r="C316" i="1"/>
  <c r="B315" i="1"/>
  <c r="L313" i="1"/>
  <c r="A313" i="1"/>
  <c r="K311" i="1"/>
  <c r="K310" i="1"/>
  <c r="J309" i="1"/>
  <c r="H308" i="1"/>
  <c r="I307" i="1"/>
  <c r="G306" i="1"/>
  <c r="G305" i="1"/>
  <c r="F304" i="1"/>
  <c r="D303" i="1"/>
  <c r="E302" i="1"/>
  <c r="E301" i="1"/>
  <c r="H300" i="1"/>
  <c r="K299" i="1"/>
  <c r="B299" i="1"/>
  <c r="E298" i="1"/>
  <c r="G297" i="1"/>
  <c r="J296" i="1"/>
  <c r="A296" i="1"/>
  <c r="D295" i="1"/>
  <c r="G294" i="1"/>
  <c r="J293" i="1"/>
  <c r="A293" i="1"/>
  <c r="C292" i="1"/>
  <c r="F291" i="1"/>
  <c r="I290" i="1"/>
  <c r="L289" i="1"/>
  <c r="C289" i="1"/>
  <c r="F288" i="1"/>
  <c r="I287" i="1"/>
  <c r="K286" i="1"/>
  <c r="B286" i="1"/>
  <c r="E285" i="1"/>
  <c r="H284" i="1"/>
  <c r="K283" i="1"/>
  <c r="B283" i="1"/>
  <c r="E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506" i="1"/>
  <c r="G485" i="1"/>
  <c r="C464" i="1"/>
  <c r="K442" i="1"/>
  <c r="G426" i="1"/>
  <c r="C421" i="1"/>
  <c r="K415" i="1"/>
  <c r="G410" i="1"/>
  <c r="C405" i="1"/>
  <c r="K399" i="1"/>
  <c r="G394" i="1"/>
  <c r="C391" i="1"/>
  <c r="G388" i="1"/>
  <c r="K385" i="1"/>
  <c r="C383" i="1"/>
  <c r="G380" i="1"/>
  <c r="K377" i="1"/>
  <c r="C375" i="1"/>
  <c r="G372" i="1"/>
  <c r="E370" i="1"/>
  <c r="F368" i="1"/>
  <c r="A367" i="1"/>
  <c r="I365" i="1"/>
  <c r="E364" i="1"/>
  <c r="A363" i="1"/>
  <c r="I361" i="1"/>
  <c r="E360" i="1"/>
  <c r="A359" i="1"/>
  <c r="I357" i="1"/>
  <c r="E356" i="1"/>
  <c r="A355" i="1"/>
  <c r="I353" i="1"/>
  <c r="E352" i="1"/>
  <c r="A351" i="1"/>
  <c r="I349" i="1"/>
  <c r="E348" i="1"/>
  <c r="A347" i="1"/>
  <c r="I345" i="1"/>
  <c r="E344" i="1"/>
  <c r="A343" i="1"/>
  <c r="I341" i="1"/>
  <c r="E340" i="1"/>
  <c r="A339" i="1"/>
  <c r="I337" i="1"/>
  <c r="E336" i="1"/>
  <c r="C335" i="1"/>
  <c r="C334" i="1"/>
  <c r="B333" i="1"/>
  <c r="L331" i="1"/>
  <c r="A331" i="1"/>
  <c r="K329" i="1"/>
  <c r="K328" i="1"/>
  <c r="J327" i="1"/>
  <c r="H326" i="1"/>
  <c r="I325" i="1"/>
  <c r="G324" i="1"/>
  <c r="G323" i="1"/>
  <c r="F322" i="1"/>
  <c r="D321" i="1"/>
  <c r="E320" i="1"/>
  <c r="C319" i="1"/>
  <c r="C318" i="1"/>
  <c r="B317" i="1"/>
  <c r="L315" i="1"/>
  <c r="A315" i="1"/>
  <c r="K313" i="1"/>
  <c r="K312" i="1"/>
  <c r="J311" i="1"/>
  <c r="H310" i="1"/>
  <c r="I309" i="1"/>
  <c r="G308" i="1"/>
  <c r="G307" i="1"/>
  <c r="F306" i="1"/>
  <c r="D305" i="1"/>
  <c r="E304" i="1"/>
  <c r="C303" i="1"/>
  <c r="C302" i="1"/>
  <c r="D301" i="1"/>
  <c r="G300" i="1"/>
  <c r="J299" i="1"/>
  <c r="A299" i="1"/>
  <c r="C298" i="1"/>
  <c r="F297" i="1"/>
  <c r="I296" i="1"/>
  <c r="L295" i="1"/>
  <c r="C295" i="1"/>
  <c r="F294" i="1"/>
  <c r="I293" i="1"/>
  <c r="K292" i="1"/>
  <c r="B292" i="1"/>
  <c r="E291" i="1"/>
  <c r="H290" i="1"/>
  <c r="K289" i="1"/>
  <c r="B289" i="1"/>
  <c r="E288" i="1"/>
  <c r="G287" i="1"/>
  <c r="J286" i="1"/>
  <c r="A286" i="1"/>
  <c r="D285" i="1"/>
  <c r="G284" i="1"/>
  <c r="J283" i="1"/>
  <c r="A283" i="1"/>
  <c r="C282" i="1"/>
  <c r="F281" i="1"/>
  <c r="J280" i="1"/>
  <c r="B280" i="1"/>
  <c r="C504" i="1"/>
  <c r="K482" i="1"/>
  <c r="G461" i="1"/>
  <c r="C440" i="1"/>
  <c r="K425" i="1"/>
  <c r="G420" i="1"/>
  <c r="C415" i="1"/>
  <c r="K409" i="1"/>
  <c r="G404" i="1"/>
  <c r="C399" i="1"/>
  <c r="K393" i="1"/>
  <c r="A391" i="1"/>
  <c r="E388" i="1"/>
  <c r="I385" i="1"/>
  <c r="A383" i="1"/>
  <c r="E380" i="1"/>
  <c r="I377" i="1"/>
  <c r="A375" i="1"/>
  <c r="E372" i="1"/>
  <c r="K369" i="1"/>
  <c r="E368" i="1"/>
  <c r="K366" i="1"/>
  <c r="G365" i="1"/>
  <c r="C364" i="1"/>
  <c r="K362" i="1"/>
  <c r="G361" i="1"/>
  <c r="K498" i="1"/>
  <c r="G477" i="1"/>
  <c r="C456" i="1"/>
  <c r="K434" i="1"/>
  <c r="G424" i="1"/>
  <c r="C419" i="1"/>
  <c r="K413" i="1"/>
  <c r="G408" i="1"/>
  <c r="C403" i="1"/>
  <c r="K397" i="1"/>
  <c r="A393" i="1"/>
  <c r="E390" i="1"/>
  <c r="I387" i="1"/>
  <c r="A385" i="1"/>
  <c r="E382" i="1"/>
  <c r="I379" i="1"/>
  <c r="A377" i="1"/>
  <c r="E374" i="1"/>
  <c r="I371" i="1"/>
  <c r="I369" i="1"/>
  <c r="J367" i="1"/>
  <c r="F366" i="1"/>
  <c r="B365" i="1"/>
  <c r="J363" i="1"/>
  <c r="F362" i="1"/>
  <c r="B361" i="1"/>
  <c r="J359" i="1"/>
  <c r="F358" i="1"/>
  <c r="B357" i="1"/>
  <c r="J355" i="1"/>
  <c r="F354" i="1"/>
  <c r="B353" i="1"/>
  <c r="J351" i="1"/>
  <c r="F350" i="1"/>
  <c r="B349" i="1"/>
  <c r="J347" i="1"/>
  <c r="F346" i="1"/>
  <c r="B345" i="1"/>
  <c r="J343" i="1"/>
  <c r="F342" i="1"/>
  <c r="B341" i="1"/>
  <c r="J339" i="1"/>
  <c r="F338" i="1"/>
  <c r="B337" i="1"/>
  <c r="K335" i="1"/>
  <c r="K334" i="1"/>
  <c r="J333" i="1"/>
  <c r="H332" i="1"/>
  <c r="I331" i="1"/>
  <c r="G330" i="1"/>
  <c r="G329" i="1"/>
  <c r="F328" i="1"/>
  <c r="D327" i="1"/>
  <c r="E326" i="1"/>
  <c r="C325" i="1"/>
  <c r="C324" i="1"/>
  <c r="B323" i="1"/>
  <c r="L321" i="1"/>
  <c r="A321" i="1"/>
  <c r="K319" i="1"/>
  <c r="K318" i="1"/>
  <c r="J317" i="1"/>
  <c r="H316" i="1"/>
  <c r="I315" i="1"/>
  <c r="G314" i="1"/>
  <c r="G313" i="1"/>
  <c r="F312" i="1"/>
  <c r="D311" i="1"/>
  <c r="E310" i="1"/>
  <c r="C309" i="1"/>
  <c r="C308" i="1"/>
  <c r="B307" i="1"/>
  <c r="L305" i="1"/>
  <c r="A305" i="1"/>
  <c r="K303" i="1"/>
  <c r="K302" i="1"/>
  <c r="J301" i="1"/>
  <c r="A301" i="1"/>
  <c r="C300" i="1"/>
  <c r="F299" i="1"/>
  <c r="I298" i="1"/>
  <c r="L297" i="1"/>
  <c r="C297" i="1"/>
  <c r="F296" i="1"/>
  <c r="I295" i="1"/>
  <c r="K294" i="1"/>
  <c r="B294" i="1"/>
  <c r="E293" i="1"/>
  <c r="H292" i="1"/>
  <c r="K291" i="1"/>
  <c r="B291" i="1"/>
  <c r="E290" i="1"/>
  <c r="G289" i="1"/>
  <c r="J288" i="1"/>
  <c r="A288" i="1"/>
  <c r="D287" i="1"/>
  <c r="G286" i="1"/>
  <c r="J285" i="1"/>
  <c r="A285" i="1"/>
  <c r="C284" i="1"/>
  <c r="F283" i="1"/>
  <c r="I282" i="1"/>
  <c r="L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G501" i="1"/>
  <c r="K403" i="1"/>
  <c r="C377" i="1"/>
  <c r="G362" i="1"/>
  <c r="C356" i="1"/>
  <c r="K350" i="1"/>
  <c r="G345" i="1"/>
  <c r="C340" i="1"/>
  <c r="B335" i="1"/>
  <c r="K330" i="1"/>
  <c r="G326" i="1"/>
  <c r="E322" i="1"/>
  <c r="L317" i="1"/>
  <c r="J313" i="1"/>
  <c r="G309" i="1"/>
  <c r="C305" i="1"/>
  <c r="C301" i="1"/>
  <c r="B298" i="1"/>
  <c r="B295" i="1"/>
  <c r="I292" i="1"/>
  <c r="G290" i="1"/>
  <c r="H288" i="1"/>
  <c r="H286" i="1"/>
  <c r="F284" i="1"/>
  <c r="G282" i="1"/>
  <c r="H280" i="1"/>
  <c r="A279" i="1"/>
  <c r="I277" i="1"/>
  <c r="E276" i="1"/>
  <c r="A275" i="1"/>
  <c r="I273" i="1"/>
  <c r="E272" i="1"/>
  <c r="A271" i="1"/>
  <c r="I269" i="1"/>
  <c r="E268" i="1"/>
  <c r="A267" i="1"/>
  <c r="I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C480" i="1"/>
  <c r="G398" i="1"/>
  <c r="G374" i="1"/>
  <c r="C361" i="1"/>
  <c r="K355" i="1"/>
  <c r="G350" i="1"/>
  <c r="C345" i="1"/>
  <c r="K339" i="1"/>
  <c r="A335" i="1"/>
  <c r="H330" i="1"/>
  <c r="F326" i="1"/>
  <c r="C322" i="1"/>
  <c r="K317" i="1"/>
  <c r="I313" i="1"/>
  <c r="D309" i="1"/>
  <c r="B305" i="1"/>
  <c r="B301" i="1"/>
  <c r="A298" i="1"/>
  <c r="A295" i="1"/>
  <c r="F292" i="1"/>
  <c r="F290" i="1"/>
  <c r="C288" i="1"/>
  <c r="E286" i="1"/>
  <c r="E284" i="1"/>
  <c r="B282" i="1"/>
  <c r="E280" i="1"/>
  <c r="J278" i="1"/>
  <c r="F277" i="1"/>
  <c r="B276" i="1"/>
  <c r="J274" i="1"/>
  <c r="F273" i="1"/>
  <c r="B272" i="1"/>
  <c r="J270" i="1"/>
  <c r="F269" i="1"/>
  <c r="B268" i="1"/>
  <c r="J266" i="1"/>
  <c r="F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K458" i="1"/>
  <c r="C393" i="1"/>
  <c r="K371" i="1"/>
  <c r="C360" i="1"/>
  <c r="K354" i="1"/>
  <c r="G349" i="1"/>
  <c r="C344" i="1"/>
  <c r="K338" i="1"/>
  <c r="L333" i="1"/>
  <c r="J329" i="1"/>
  <c r="G325" i="1"/>
  <c r="C321" i="1"/>
  <c r="A317" i="1"/>
  <c r="H312" i="1"/>
  <c r="F308" i="1"/>
  <c r="C304" i="1"/>
  <c r="F300" i="1"/>
  <c r="E297" i="1"/>
  <c r="E294" i="1"/>
  <c r="A292" i="1"/>
  <c r="B290" i="1"/>
  <c r="B288" i="1"/>
  <c r="L285" i="1"/>
  <c r="A284" i="1"/>
  <c r="A282" i="1"/>
  <c r="A280" i="1"/>
  <c r="I278" i="1"/>
  <c r="E277" i="1"/>
  <c r="A276" i="1"/>
  <c r="I274" i="1"/>
  <c r="E273" i="1"/>
  <c r="A272" i="1"/>
  <c r="I270" i="1"/>
  <c r="E269" i="1"/>
  <c r="A268" i="1"/>
  <c r="I266" i="1"/>
  <c r="E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G437" i="1"/>
  <c r="G390" i="1"/>
  <c r="J369" i="1"/>
  <c r="K359" i="1"/>
  <c r="G354" i="1"/>
  <c r="C349" i="1"/>
  <c r="K343" i="1"/>
  <c r="G338" i="1"/>
  <c r="K333" i="1"/>
  <c r="I329" i="1"/>
  <c r="D325" i="1"/>
  <c r="B321" i="1"/>
  <c r="K316" i="1"/>
  <c r="G312" i="1"/>
  <c r="E308" i="1"/>
  <c r="L303" i="1"/>
  <c r="E300" i="1"/>
  <c r="D297" i="1"/>
  <c r="C294" i="1"/>
  <c r="L291" i="1"/>
  <c r="J289" i="1"/>
  <c r="K287" i="1"/>
  <c r="K285" i="1"/>
  <c r="I283" i="1"/>
  <c r="J281" i="1"/>
  <c r="L279" i="1"/>
  <c r="H278" i="1"/>
  <c r="D277" i="1"/>
  <c r="L275" i="1"/>
  <c r="H274" i="1"/>
  <c r="D273" i="1"/>
  <c r="L271" i="1"/>
  <c r="H270" i="1"/>
  <c r="D269" i="1"/>
  <c r="L267" i="1"/>
  <c r="H266" i="1"/>
  <c r="D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C425" i="1"/>
  <c r="K387" i="1"/>
  <c r="K367" i="1"/>
  <c r="K358" i="1"/>
  <c r="G353" i="1"/>
  <c r="C348" i="1"/>
  <c r="K342" i="1"/>
  <c r="G337" i="1"/>
  <c r="A333" i="1"/>
  <c r="H328" i="1"/>
  <c r="F324" i="1"/>
  <c r="C320" i="1"/>
  <c r="K315" i="1"/>
  <c r="I311" i="1"/>
  <c r="D307" i="1"/>
  <c r="B303" i="1"/>
  <c r="I299" i="1"/>
  <c r="H296" i="1"/>
  <c r="G293" i="1"/>
  <c r="I291" i="1"/>
  <c r="I289" i="1"/>
  <c r="F287" i="1"/>
  <c r="G285" i="1"/>
  <c r="G283" i="1"/>
  <c r="E281" i="1"/>
  <c r="I279" i="1"/>
  <c r="E278" i="1"/>
  <c r="A277" i="1"/>
  <c r="I275" i="1"/>
  <c r="E274" i="1"/>
  <c r="A273" i="1"/>
  <c r="I271" i="1"/>
  <c r="E270" i="1"/>
  <c r="A269" i="1"/>
  <c r="I267" i="1"/>
  <c r="E266" i="1"/>
  <c r="C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K419" i="1"/>
  <c r="C385" i="1"/>
  <c r="G366" i="1"/>
  <c r="G358" i="1"/>
  <c r="C353" i="1"/>
  <c r="K347" i="1"/>
  <c r="G342" i="1"/>
  <c r="C337" i="1"/>
  <c r="K332" i="1"/>
  <c r="G328" i="1"/>
  <c r="E324" i="1"/>
  <c r="L319" i="1"/>
  <c r="J315" i="1"/>
  <c r="G311" i="1"/>
  <c r="C307" i="1"/>
  <c r="A303" i="1"/>
  <c r="G299" i="1"/>
  <c r="G296" i="1"/>
  <c r="F293" i="1"/>
  <c r="D291" i="1"/>
  <c r="E289" i="1"/>
  <c r="E287" i="1"/>
  <c r="C285" i="1"/>
  <c r="D283" i="1"/>
  <c r="D281" i="1"/>
  <c r="F279" i="1"/>
  <c r="B278" i="1"/>
  <c r="J276" i="1"/>
  <c r="F275" i="1"/>
  <c r="B274" i="1"/>
  <c r="J272" i="1"/>
  <c r="F271" i="1"/>
  <c r="B270" i="1"/>
  <c r="J268" i="1"/>
  <c r="F267" i="1"/>
  <c r="B266" i="1"/>
  <c r="A265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G414" i="1"/>
  <c r="G382" i="1"/>
  <c r="C365" i="1"/>
  <c r="G357" i="1"/>
  <c r="C352" i="1"/>
  <c r="K346" i="1"/>
  <c r="G341" i="1"/>
  <c r="C336" i="1"/>
  <c r="K331" i="1"/>
  <c r="I327" i="1"/>
  <c r="D323" i="1"/>
  <c r="B319" i="1"/>
  <c r="K314" i="1"/>
  <c r="G310" i="1"/>
  <c r="E306" i="1"/>
  <c r="L301" i="1"/>
  <c r="K298" i="1"/>
  <c r="K295" i="1"/>
  <c r="C293" i="1"/>
  <c r="C291" i="1"/>
  <c r="A289" i="1"/>
  <c r="B287" i="1"/>
  <c r="B285" i="1"/>
  <c r="K282" i="1"/>
  <c r="A281" i="1"/>
  <c r="E279" i="1"/>
  <c r="A278" i="1"/>
  <c r="I276" i="1"/>
  <c r="C409" i="1"/>
  <c r="J331" i="1"/>
  <c r="J298" i="1"/>
  <c r="I280" i="1"/>
  <c r="I272" i="1"/>
  <c r="E267" i="1"/>
  <c r="G263" i="1"/>
  <c r="K260" i="1"/>
  <c r="C258" i="1"/>
  <c r="G255" i="1"/>
  <c r="K252" i="1"/>
  <c r="C250" i="1"/>
  <c r="G247" i="1"/>
  <c r="K244" i="1"/>
  <c r="C242" i="1"/>
  <c r="G239" i="1"/>
  <c r="K236" i="1"/>
  <c r="C234" i="1"/>
  <c r="G231" i="1"/>
  <c r="K228" i="1"/>
  <c r="C226" i="1"/>
  <c r="G223" i="1"/>
  <c r="K220" i="1"/>
  <c r="C218" i="1"/>
  <c r="G215" i="1"/>
  <c r="K212" i="1"/>
  <c r="C210" i="1"/>
  <c r="G207" i="1"/>
  <c r="K204" i="1"/>
  <c r="C202" i="1"/>
  <c r="G199" i="1"/>
  <c r="K196" i="1"/>
  <c r="C194" i="1"/>
  <c r="G191" i="1"/>
  <c r="K188" i="1"/>
  <c r="C186" i="1"/>
  <c r="G183" i="1"/>
  <c r="K180" i="1"/>
  <c r="C178" i="1"/>
  <c r="G175" i="1"/>
  <c r="J173" i="1"/>
  <c r="B172" i="1"/>
  <c r="C170" i="1"/>
  <c r="F168" i="1"/>
  <c r="J166" i="1"/>
  <c r="K164" i="1"/>
  <c r="B163" i="1"/>
  <c r="F161" i="1"/>
  <c r="G159" i="1"/>
  <c r="J157" i="1"/>
  <c r="B156" i="1"/>
  <c r="C154" i="1"/>
  <c r="F152" i="1"/>
  <c r="J150" i="1"/>
  <c r="K148" i="1"/>
  <c r="B147" i="1"/>
  <c r="F145" i="1"/>
  <c r="G143" i="1"/>
  <c r="J141" i="1"/>
  <c r="B140" i="1"/>
  <c r="C138" i="1"/>
  <c r="F136" i="1"/>
  <c r="J134" i="1"/>
  <c r="K132" i="1"/>
  <c r="B131" i="1"/>
  <c r="F129" i="1"/>
  <c r="G127" i="1"/>
  <c r="J125" i="1"/>
  <c r="B124" i="1"/>
  <c r="C122" i="1"/>
  <c r="F120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8" i="1"/>
  <c r="C7" i="1"/>
  <c r="C5" i="1"/>
  <c r="I7" i="1"/>
  <c r="A5" i="1"/>
  <c r="K301" i="1"/>
  <c r="F221" i="1"/>
  <c r="K379" i="1"/>
  <c r="G327" i="1"/>
  <c r="J295" i="1"/>
  <c r="D279" i="1"/>
  <c r="H272" i="1"/>
  <c r="D267" i="1"/>
  <c r="F263" i="1"/>
  <c r="J260" i="1"/>
  <c r="B258" i="1"/>
  <c r="F255" i="1"/>
  <c r="J252" i="1"/>
  <c r="B250" i="1"/>
  <c r="F247" i="1"/>
  <c r="J244" i="1"/>
  <c r="B242" i="1"/>
  <c r="F239" i="1"/>
  <c r="J236" i="1"/>
  <c r="B234" i="1"/>
  <c r="F231" i="1"/>
  <c r="J228" i="1"/>
  <c r="B226" i="1"/>
  <c r="F223" i="1"/>
  <c r="J220" i="1"/>
  <c r="B218" i="1"/>
  <c r="F215" i="1"/>
  <c r="J212" i="1"/>
  <c r="B210" i="1"/>
  <c r="F207" i="1"/>
  <c r="J204" i="1"/>
  <c r="B202" i="1"/>
  <c r="F199" i="1"/>
  <c r="J196" i="1"/>
  <c r="B194" i="1"/>
  <c r="F191" i="1"/>
  <c r="J188" i="1"/>
  <c r="B186" i="1"/>
  <c r="F183" i="1"/>
  <c r="J180" i="1"/>
  <c r="B178" i="1"/>
  <c r="F175" i="1"/>
  <c r="G173" i="1"/>
  <c r="J171" i="1"/>
  <c r="B170" i="1"/>
  <c r="C168" i="1"/>
  <c r="F166" i="1"/>
  <c r="J164" i="1"/>
  <c r="K162" i="1"/>
  <c r="B161" i="1"/>
  <c r="F159" i="1"/>
  <c r="G157" i="1"/>
  <c r="J155" i="1"/>
  <c r="B154" i="1"/>
  <c r="C152" i="1"/>
  <c r="F150" i="1"/>
  <c r="J148" i="1"/>
  <c r="K146" i="1"/>
  <c r="B145" i="1"/>
  <c r="F143" i="1"/>
  <c r="G141" i="1"/>
  <c r="J139" i="1"/>
  <c r="B138" i="1"/>
  <c r="C136" i="1"/>
  <c r="F134" i="1"/>
  <c r="J132" i="1"/>
  <c r="K130" i="1"/>
  <c r="B129" i="1"/>
  <c r="F127" i="1"/>
  <c r="G125" i="1"/>
  <c r="J123" i="1"/>
  <c r="B122" i="1"/>
  <c r="C120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K7" i="1"/>
  <c r="G6" i="1"/>
  <c r="K5" i="1"/>
  <c r="G4" i="1"/>
  <c r="A7" i="1"/>
  <c r="K4" i="1"/>
  <c r="B264" i="1"/>
  <c r="K363" i="1"/>
  <c r="C323" i="1"/>
  <c r="J292" i="1"/>
  <c r="L277" i="1"/>
  <c r="E271" i="1"/>
  <c r="A266" i="1"/>
  <c r="K262" i="1"/>
  <c r="C260" i="1"/>
  <c r="G257" i="1"/>
  <c r="K254" i="1"/>
  <c r="C252" i="1"/>
  <c r="G249" i="1"/>
  <c r="K246" i="1"/>
  <c r="C244" i="1"/>
  <c r="G241" i="1"/>
  <c r="K238" i="1"/>
  <c r="C236" i="1"/>
  <c r="G233" i="1"/>
  <c r="K230" i="1"/>
  <c r="C228" i="1"/>
  <c r="G225" i="1"/>
  <c r="K222" i="1"/>
  <c r="C220" i="1"/>
  <c r="G217" i="1"/>
  <c r="K214" i="1"/>
  <c r="C212" i="1"/>
  <c r="G209" i="1"/>
  <c r="K206" i="1"/>
  <c r="C204" i="1"/>
  <c r="G201" i="1"/>
  <c r="K198" i="1"/>
  <c r="C196" i="1"/>
  <c r="G193" i="1"/>
  <c r="K190" i="1"/>
  <c r="C188" i="1"/>
  <c r="G185" i="1"/>
  <c r="K182" i="1"/>
  <c r="C180" i="1"/>
  <c r="G177" i="1"/>
  <c r="B175" i="1"/>
  <c r="F173" i="1"/>
  <c r="G171" i="1"/>
  <c r="J169" i="1"/>
  <c r="B168" i="1"/>
  <c r="C166" i="1"/>
  <c r="F164" i="1"/>
  <c r="J162" i="1"/>
  <c r="K160" i="1"/>
  <c r="B159" i="1"/>
  <c r="F157" i="1"/>
  <c r="G155" i="1"/>
  <c r="J153" i="1"/>
  <c r="B152" i="1"/>
  <c r="C150" i="1"/>
  <c r="F148" i="1"/>
  <c r="J146" i="1"/>
  <c r="K144" i="1"/>
  <c r="B143" i="1"/>
  <c r="F141" i="1"/>
  <c r="G139" i="1"/>
  <c r="J137" i="1"/>
  <c r="B136" i="1"/>
  <c r="C134" i="1"/>
  <c r="F132" i="1"/>
  <c r="J130" i="1"/>
  <c r="K128" i="1"/>
  <c r="B127" i="1"/>
  <c r="F125" i="1"/>
  <c r="G123" i="1"/>
  <c r="J121" i="1"/>
  <c r="B120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E6" i="1"/>
  <c r="E4" i="1"/>
  <c r="G5" i="1"/>
  <c r="H268" i="1"/>
  <c r="J258" i="1"/>
  <c r="F253" i="1"/>
  <c r="J250" i="1"/>
  <c r="F245" i="1"/>
  <c r="B240" i="1"/>
  <c r="B232" i="1"/>
  <c r="F213" i="1"/>
  <c r="C357" i="1"/>
  <c r="A319" i="1"/>
  <c r="K290" i="1"/>
  <c r="H276" i="1"/>
  <c r="D271" i="1"/>
  <c r="L265" i="1"/>
  <c r="J262" i="1"/>
  <c r="B260" i="1"/>
  <c r="F257" i="1"/>
  <c r="J254" i="1"/>
  <c r="B252" i="1"/>
  <c r="F249" i="1"/>
  <c r="J246" i="1"/>
  <c r="B244" i="1"/>
  <c r="F241" i="1"/>
  <c r="J238" i="1"/>
  <c r="B236" i="1"/>
  <c r="F233" i="1"/>
  <c r="J230" i="1"/>
  <c r="B228" i="1"/>
  <c r="F225" i="1"/>
  <c r="J222" i="1"/>
  <c r="B220" i="1"/>
  <c r="F217" i="1"/>
  <c r="J214" i="1"/>
  <c r="B212" i="1"/>
  <c r="F209" i="1"/>
  <c r="J206" i="1"/>
  <c r="B204" i="1"/>
  <c r="F201" i="1"/>
  <c r="J198" i="1"/>
  <c r="B196" i="1"/>
  <c r="F193" i="1"/>
  <c r="J190" i="1"/>
  <c r="B188" i="1"/>
  <c r="F185" i="1"/>
  <c r="J182" i="1"/>
  <c r="B180" i="1"/>
  <c r="F177" i="1"/>
  <c r="K174" i="1"/>
  <c r="B173" i="1"/>
  <c r="F171" i="1"/>
  <c r="G169" i="1"/>
  <c r="J167" i="1"/>
  <c r="B166" i="1"/>
  <c r="C164" i="1"/>
  <c r="F162" i="1"/>
  <c r="J160" i="1"/>
  <c r="K158" i="1"/>
  <c r="B157" i="1"/>
  <c r="F155" i="1"/>
  <c r="G153" i="1"/>
  <c r="J151" i="1"/>
  <c r="B150" i="1"/>
  <c r="C148" i="1"/>
  <c r="F146" i="1"/>
  <c r="J144" i="1"/>
  <c r="K142" i="1"/>
  <c r="B141" i="1"/>
  <c r="F139" i="1"/>
  <c r="G137" i="1"/>
  <c r="J135" i="1"/>
  <c r="B134" i="1"/>
  <c r="C132" i="1"/>
  <c r="F130" i="1"/>
  <c r="J128" i="1"/>
  <c r="K126" i="1"/>
  <c r="B125" i="1"/>
  <c r="F123" i="1"/>
  <c r="G121" i="1"/>
  <c r="K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5" i="1"/>
  <c r="C6" i="1"/>
  <c r="L273" i="1"/>
  <c r="J226" i="1"/>
  <c r="K351" i="1"/>
  <c r="H314" i="1"/>
  <c r="K288" i="1"/>
  <c r="E275" i="1"/>
  <c r="A270" i="1"/>
  <c r="K264" i="1"/>
  <c r="C262" i="1"/>
  <c r="G259" i="1"/>
  <c r="K256" i="1"/>
  <c r="C254" i="1"/>
  <c r="G251" i="1"/>
  <c r="K248" i="1"/>
  <c r="C246" i="1"/>
  <c r="G243" i="1"/>
  <c r="K240" i="1"/>
  <c r="C238" i="1"/>
  <c r="G235" i="1"/>
  <c r="K232" i="1"/>
  <c r="C230" i="1"/>
  <c r="G227" i="1"/>
  <c r="K224" i="1"/>
  <c r="C222" i="1"/>
  <c r="G219" i="1"/>
  <c r="K216" i="1"/>
  <c r="C214" i="1"/>
  <c r="G211" i="1"/>
  <c r="K208" i="1"/>
  <c r="C206" i="1"/>
  <c r="G203" i="1"/>
  <c r="K200" i="1"/>
  <c r="C198" i="1"/>
  <c r="G195" i="1"/>
  <c r="K192" i="1"/>
  <c r="C190" i="1"/>
  <c r="G187" i="1"/>
  <c r="K184" i="1"/>
  <c r="C182" i="1"/>
  <c r="G179" i="1"/>
  <c r="K176" i="1"/>
  <c r="J174" i="1"/>
  <c r="K172" i="1"/>
  <c r="B171" i="1"/>
  <c r="F169" i="1"/>
  <c r="G167" i="1"/>
  <c r="J165" i="1"/>
  <c r="B164" i="1"/>
  <c r="C162" i="1"/>
  <c r="F160" i="1"/>
  <c r="J158" i="1"/>
  <c r="K156" i="1"/>
  <c r="B155" i="1"/>
  <c r="F153" i="1"/>
  <c r="G151" i="1"/>
  <c r="J149" i="1"/>
  <c r="B148" i="1"/>
  <c r="C146" i="1"/>
  <c r="F144" i="1"/>
  <c r="J142" i="1"/>
  <c r="K140" i="1"/>
  <c r="B139" i="1"/>
  <c r="F137" i="1"/>
  <c r="G135" i="1"/>
  <c r="J133" i="1"/>
  <c r="B132" i="1"/>
  <c r="C130" i="1"/>
  <c r="F128" i="1"/>
  <c r="J126" i="1"/>
  <c r="K124" i="1"/>
  <c r="B123" i="1"/>
  <c r="F121" i="1"/>
  <c r="J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G15" i="1"/>
  <c r="G13" i="1"/>
  <c r="C12" i="1"/>
  <c r="C10" i="1"/>
  <c r="K8" i="1"/>
  <c r="G7" i="1"/>
  <c r="C4" i="1"/>
  <c r="F261" i="1"/>
  <c r="J234" i="1"/>
  <c r="B216" i="1"/>
  <c r="G346" i="1"/>
  <c r="F310" i="1"/>
  <c r="I286" i="1"/>
  <c r="D275" i="1"/>
  <c r="L269" i="1"/>
  <c r="J264" i="1"/>
  <c r="B262" i="1"/>
  <c r="F259" i="1"/>
  <c r="J256" i="1"/>
  <c r="B254" i="1"/>
  <c r="F251" i="1"/>
  <c r="J248" i="1"/>
  <c r="B246" i="1"/>
  <c r="F243" i="1"/>
  <c r="J240" i="1"/>
  <c r="B238" i="1"/>
  <c r="F235" i="1"/>
  <c r="J232" i="1"/>
  <c r="B230" i="1"/>
  <c r="F227" i="1"/>
  <c r="J224" i="1"/>
  <c r="B222" i="1"/>
  <c r="F219" i="1"/>
  <c r="J216" i="1"/>
  <c r="B214" i="1"/>
  <c r="F211" i="1"/>
  <c r="J208" i="1"/>
  <c r="B206" i="1"/>
  <c r="F203" i="1"/>
  <c r="J200" i="1"/>
  <c r="B198" i="1"/>
  <c r="F195" i="1"/>
  <c r="J192" i="1"/>
  <c r="B190" i="1"/>
  <c r="F187" i="1"/>
  <c r="J184" i="1"/>
  <c r="B182" i="1"/>
  <c r="F179" i="1"/>
  <c r="J176" i="1"/>
  <c r="F174" i="1"/>
  <c r="J172" i="1"/>
  <c r="K170" i="1"/>
  <c r="B169" i="1"/>
  <c r="F167" i="1"/>
  <c r="G165" i="1"/>
  <c r="J163" i="1"/>
  <c r="B162" i="1"/>
  <c r="C160" i="1"/>
  <c r="F158" i="1"/>
  <c r="J156" i="1"/>
  <c r="K154" i="1"/>
  <c r="B153" i="1"/>
  <c r="F151" i="1"/>
  <c r="G149" i="1"/>
  <c r="J147" i="1"/>
  <c r="B146" i="1"/>
  <c r="C144" i="1"/>
  <c r="F142" i="1"/>
  <c r="J140" i="1"/>
  <c r="K138" i="1"/>
  <c r="B137" i="1"/>
  <c r="F135" i="1"/>
  <c r="G133" i="1"/>
  <c r="J131" i="1"/>
  <c r="B130" i="1"/>
  <c r="C128" i="1"/>
  <c r="F126" i="1"/>
  <c r="J124" i="1"/>
  <c r="K122" i="1"/>
  <c r="B121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K14" i="1"/>
  <c r="C14" i="1"/>
  <c r="K12" i="1"/>
  <c r="G11" i="1"/>
  <c r="K10" i="1"/>
  <c r="G9" i="1"/>
  <c r="C8" i="1"/>
  <c r="K6" i="1"/>
  <c r="J282" i="1"/>
  <c r="B224" i="1"/>
  <c r="C341" i="1"/>
  <c r="C306" i="1"/>
  <c r="J284" i="1"/>
  <c r="A274" i="1"/>
  <c r="I268" i="1"/>
  <c r="C264" i="1"/>
  <c r="G261" i="1"/>
  <c r="K258" i="1"/>
  <c r="C256" i="1"/>
  <c r="G253" i="1"/>
  <c r="K250" i="1"/>
  <c r="C248" i="1"/>
  <c r="G245" i="1"/>
  <c r="K242" i="1"/>
  <c r="C240" i="1"/>
  <c r="G237" i="1"/>
  <c r="K234" i="1"/>
  <c r="C232" i="1"/>
  <c r="G229" i="1"/>
  <c r="K226" i="1"/>
  <c r="C224" i="1"/>
  <c r="G221" i="1"/>
  <c r="K218" i="1"/>
  <c r="C216" i="1"/>
  <c r="G213" i="1"/>
  <c r="K210" i="1"/>
  <c r="C208" i="1"/>
  <c r="G205" i="1"/>
  <c r="K202" i="1"/>
  <c r="C200" i="1"/>
  <c r="G197" i="1"/>
  <c r="K194" i="1"/>
  <c r="C192" i="1"/>
  <c r="G189" i="1"/>
  <c r="K186" i="1"/>
  <c r="C184" i="1"/>
  <c r="G181" i="1"/>
  <c r="K178" i="1"/>
  <c r="C176" i="1"/>
  <c r="C174" i="1"/>
  <c r="F172" i="1"/>
  <c r="J170" i="1"/>
  <c r="K168" i="1"/>
  <c r="B167" i="1"/>
  <c r="F165" i="1"/>
  <c r="G163" i="1"/>
  <c r="J161" i="1"/>
  <c r="B160" i="1"/>
  <c r="C158" i="1"/>
  <c r="F156" i="1"/>
  <c r="J154" i="1"/>
  <c r="K152" i="1"/>
  <c r="B151" i="1"/>
  <c r="F149" i="1"/>
  <c r="G147" i="1"/>
  <c r="J145" i="1"/>
  <c r="B144" i="1"/>
  <c r="C142" i="1"/>
  <c r="F140" i="1"/>
  <c r="J138" i="1"/>
  <c r="K136" i="1"/>
  <c r="B135" i="1"/>
  <c r="F133" i="1"/>
  <c r="G131" i="1"/>
  <c r="J129" i="1"/>
  <c r="B128" i="1"/>
  <c r="C126" i="1"/>
  <c r="F124" i="1"/>
  <c r="J122" i="1"/>
  <c r="K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L335" i="1"/>
  <c r="B256" i="1"/>
  <c r="B248" i="1"/>
  <c r="J242" i="1"/>
  <c r="F237" i="1"/>
  <c r="F229" i="1"/>
  <c r="J218" i="1"/>
  <c r="J210" i="1"/>
  <c r="B208" i="1"/>
  <c r="J186" i="1"/>
  <c r="J168" i="1"/>
  <c r="F154" i="1"/>
  <c r="C140" i="1"/>
  <c r="B126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A14" i="1"/>
  <c r="I8" i="1"/>
  <c r="I76" i="1"/>
  <c r="I28" i="1"/>
  <c r="E7" i="1"/>
  <c r="E21" i="1"/>
  <c r="F205" i="1"/>
  <c r="B184" i="1"/>
  <c r="K166" i="1"/>
  <c r="J152" i="1"/>
  <c r="F138" i="1"/>
  <c r="C124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E19" i="1"/>
  <c r="A8" i="1"/>
  <c r="I60" i="1"/>
  <c r="I44" i="1"/>
  <c r="E23" i="1"/>
  <c r="E37" i="1"/>
  <c r="J202" i="1"/>
  <c r="F181" i="1"/>
  <c r="B165" i="1"/>
  <c r="K150" i="1"/>
  <c r="J136" i="1"/>
  <c r="F122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71" i="1"/>
  <c r="E55" i="1"/>
  <c r="A50" i="1"/>
  <c r="A34" i="1"/>
  <c r="A18" i="1"/>
  <c r="A16" i="1"/>
  <c r="B200" i="1"/>
  <c r="J178" i="1"/>
  <c r="F163" i="1"/>
  <c r="B149" i="1"/>
  <c r="K134" i="1"/>
  <c r="J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66" i="1"/>
  <c r="E39" i="1"/>
  <c r="I12" i="1"/>
  <c r="I26" i="1"/>
  <c r="F197" i="1"/>
  <c r="B176" i="1"/>
  <c r="G161" i="1"/>
  <c r="F147" i="1"/>
  <c r="B133" i="1"/>
  <c r="E119" i="1"/>
  <c r="A114" i="1"/>
  <c r="I108" i="1"/>
  <c r="E103" i="1"/>
  <c r="A98" i="1"/>
  <c r="I92" i="1"/>
  <c r="E87" i="1"/>
  <c r="A82" i="1"/>
  <c r="J194" i="1"/>
  <c r="B174" i="1"/>
  <c r="J159" i="1"/>
  <c r="G145" i="1"/>
  <c r="F131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E11" i="1"/>
  <c r="A96" i="1"/>
  <c r="I58" i="1"/>
  <c r="I42" i="1"/>
  <c r="E5" i="1"/>
  <c r="B192" i="1"/>
  <c r="C172" i="1"/>
  <c r="B158" i="1"/>
  <c r="J143" i="1"/>
  <c r="G129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A6" i="1"/>
  <c r="E85" i="1"/>
  <c r="I74" i="1"/>
  <c r="A64" i="1"/>
  <c r="A48" i="1"/>
  <c r="I10" i="1"/>
  <c r="F189" i="1"/>
  <c r="F170" i="1"/>
  <c r="C156" i="1"/>
  <c r="B142" i="1"/>
  <c r="J127" i="1"/>
  <c r="E117" i="1"/>
  <c r="A112" i="1"/>
  <c r="I106" i="1"/>
  <c r="E101" i="1"/>
  <c r="I90" i="1"/>
  <c r="A80" i="1"/>
  <c r="E69" i="1"/>
  <c r="E53" i="1"/>
  <c r="A32" i="1"/>
</calcChain>
</file>

<file path=xl/sharedStrings.xml><?xml version="1.0" encoding="utf-8"?>
<sst xmlns="http://schemas.openxmlformats.org/spreadsheetml/2006/main" count="208" uniqueCount="55">
  <si>
    <t>Settings</t>
  </si>
  <si>
    <t>Master Data Info</t>
  </si>
  <si>
    <t>Modules Info</t>
  </si>
  <si>
    <t>Module Step Setting File</t>
  </si>
  <si>
    <t>1sG6uB28jAaiyaldDeMtbboQN41jJ2tAmE2rg6U9qH5o</t>
  </si>
  <si>
    <t>Master Data Settings File</t>
  </si>
  <si>
    <t>1hEhI9rg16D4Xvfk19pDaFUFF78jjfIG29BBaNg8kT0A</t>
  </si>
  <si>
    <t>Modules</t>
  </si>
  <si>
    <t>Module</t>
  </si>
  <si>
    <t>Step</t>
  </si>
  <si>
    <t>Master Data Sheet</t>
  </si>
  <si>
    <t>Data</t>
  </si>
  <si>
    <t>DailyValuation</t>
  </si>
  <si>
    <t>GetMarkPriceData</t>
  </si>
  <si>
    <t>Data Format</t>
  </si>
  <si>
    <t>Input Format</t>
  </si>
  <si>
    <t>TradingTicket</t>
  </si>
  <si>
    <t>CreateDoneAwayOrder</t>
  </si>
  <si>
    <t>KGDFUT</t>
  </si>
  <si>
    <t>Buy</t>
  </si>
  <si>
    <t>Allocation1</t>
  </si>
  <si>
    <t>Flat Amount</t>
  </si>
  <si>
    <t>NQ Z7</t>
  </si>
  <si>
    <t>UpdateMarkPrice</t>
  </si>
  <si>
    <t>GetForexConversion</t>
  </si>
  <si>
    <t>UpdateForexConversion</t>
  </si>
  <si>
    <t>PricingInput</t>
  </si>
  <si>
    <t>TRY</t>
  </si>
  <si>
    <t>USD</t>
  </si>
  <si>
    <t>USD AO-FX</t>
  </si>
  <si>
    <t>GeneralLedger</t>
  </si>
  <si>
    <t>GetDayEndCash</t>
  </si>
  <si>
    <t>PortfolioManagement</t>
  </si>
  <si>
    <t>CheckPortfolioManagement</t>
  </si>
  <si>
    <t>NewMF</t>
  </si>
  <si>
    <t>Long</t>
  </si>
  <si>
    <t>FIMAT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</si>
  <si>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</si>
  <si>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</si>
  <si>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</si>
  <si>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</si>
  <si>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</si>
  <si>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</si>
  <si>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</si>
  <si>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</si>
  <si>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</si>
  <si>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</si>
  <si>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MS</t>
  </si>
  <si>
    <t>User Defined</t>
  </si>
  <si>
    <t>Default</t>
  </si>
  <si>
    <t>UK</t>
  </si>
  <si>
    <t>Yes</t>
  </si>
  <si>
    <t>US</t>
  </si>
  <si>
    <t>CMEE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</si>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</sst>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7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0" fontId="5" fillId="0" borderId="0" xfId="0" applyFont="1" applyAlignment="1"/>
    <xf numFmtId="0" fontId="4" fillId="3" borderId="0" xfId="0" applyFont="1" applyFill="1" applyAlignment="1"/>
    <xf numFmtId="0" fontId="5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3" fillId="0" borderId="0" xfId="0" applyNumberFormat="1" applyFont="1" applyAlignment="1"/>
    <xf numFmtId="14" fontId="3" fillId="0" borderId="0" xfId="0" applyNumberFormat="1" applyFont="1" applyAlignment="1"/>
    <xf numFmtId="0" fontId="3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3" fillId="6" borderId="0" xfId="0" applyFont="1" applyFill="1" applyAlignment="1">
      <alignment horizontal="right"/>
    </xf>
    <xf numFmtId="0" fontId="2" fillId="0" borderId="0" xfId="0" applyFont="1" applyAlignment="1"/>
    <xf numFmtId="0" fontId="13" fillId="6" borderId="0" xfId="0" applyFont="1" applyFill="1" applyAlignment="1"/>
    <xf numFmtId="0" fontId="7" fillId="0" borderId="0" xfId="0" applyFont="1" applyAlignment="1">
      <alignment horizontal="right"/>
    </xf>
    <xf numFmtId="4" fontId="6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3" fillId="0" borderId="0" xfId="0" applyNumberFormat="1" applyFont="1" applyAlignment="1"/>
    <xf numFmtId="4" fontId="5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5" fillId="3" borderId="4" xfId="0" applyNumberFormat="1" applyFont="1" applyFill="1" applyBorder="1" applyAlignment="1"/>
    <xf numFmtId="4" fontId="5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4" fontId="6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56" t="s">
        <v>2</v>
      </c>
      <c r="B1" s="57"/>
      <c r="C1" s="57"/>
      <c r="D1" s="57"/>
      <c r="E1" s="57"/>
      <c r="F1" s="58"/>
    </row>
    <row r="2" spans="1:12" ht="15.75" customHeight="1">
      <c r="A2" s="6"/>
      <c r="B2" s="6"/>
      <c r="C2" s="6"/>
      <c r="D2" s="6"/>
      <c r="E2" s="6"/>
      <c r="F2" s="6"/>
    </row>
    <row r="3" spans="1:12" ht="15.75" customHeight="1">
      <c r="A3" s="2" t="s">
        <v>7</v>
      </c>
      <c r="B3" s="7"/>
      <c r="C3" s="9"/>
      <c r="D3" s="9"/>
      <c r="E3" s="9"/>
      <c r="F3" s="9"/>
    </row>
    <row r="4" spans="1:12" ht="15.75" customHeight="1">
      <c r="A4" s="1" t="str">
        <f ca="1">IFERROR(__xludf.DUMMYFUNCTION("IMPORTRANGE('_Settings'!B3,""Modules!A4:L1000"")"),"Allocation")</f>
        <v>Allocation</v>
      </c>
      <c r="B4" s="6" t="str">
        <f ca="1">IFERROR(__xludf.DUMMYFUNCTION("""COMPUTED_VALUE"""),"Allocate")</f>
        <v>Allocate</v>
      </c>
      <c r="C4" s="6" t="str">
        <f ca="1">IFERROR(__xludf.DUMMYFUNCTION("""COMPUTED_VALUE"""),"Undefined")</f>
        <v>Undefined</v>
      </c>
      <c r="D4" s="6" t="str">
        <f ca="1">IFERROR(__xludf.DUMMYFUNCTION("""COMPUTED_VALUE"""),"")</f>
        <v/>
      </c>
      <c r="E4" s="6" t="str">
        <f ca="1">IFERROR(__xludf.DUMMYFUNCTION("""COMPUTED_VALUE"""),"")</f>
        <v/>
      </c>
      <c r="F4" s="6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6" t="str">
        <f ca="1">IFERROR(__xludf.DUMMYFUNCTION("""COMPUTED_VALUE"""),"CheckAllocatedGroups")</f>
        <v>CheckAllocatedGroups</v>
      </c>
      <c r="C5" s="6" t="str">
        <f ca="1">IFERROR(__xludf.DUMMYFUNCTION("""COMPUTED_VALUE"""),"1ASulLlGAl--JRs7NVIiQ-6Q2Y2P3o7Y40cokKmMg-UA")</f>
        <v>1ASulLlGAl--JRs7NVIiQ-6Q2Y2P3o7Y40cokKmMg-UA</v>
      </c>
      <c r="D5" s="6" t="str">
        <f ca="1">IFERROR(__xludf.DUMMYFUNCTION("""COMPUTED_VALUE"""),"")</f>
        <v/>
      </c>
      <c r="E5" s="6" t="str">
        <f ca="1">IFERROR(__xludf.DUMMYFUNCTION("""COMPUTED_VALUE"""),"")</f>
        <v/>
      </c>
      <c r="F5" s="6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6" t="str">
        <f ca="1">IFERROR(__xludf.DUMMYFUNCTION("""COMPUTED_VALUE"""),"Allocation")</f>
        <v>Allocation</v>
      </c>
      <c r="B6" s="6" t="str">
        <f ca="1">IFERROR(__xludf.DUMMYFUNCTION("""COMPUTED_VALUE"""),"Unallocate")</f>
        <v>Unallocate</v>
      </c>
      <c r="C6" s="6" t="str">
        <f ca="1">IFERROR(__xludf.DUMMYFUNCTION("""COMPUTED_VALUE"""),"153rAtnJuNh4UK26GjSOxUSjAHcOxzWv7CRGvmhrIJRs")</f>
        <v>153rAtnJuNh4UK26GjSOxUSjAHcOxzWv7CRGvmhrIJRs</v>
      </c>
      <c r="D6" s="6" t="str">
        <f ca="1">IFERROR(__xludf.DUMMYFUNCTION("""COMPUTED_VALUE"""),"")</f>
        <v/>
      </c>
      <c r="E6" s="6" t="str">
        <f ca="1">IFERROR(__xludf.DUMMYFUNCTION("""COMPUTED_VALUE"""),"")</f>
        <v/>
      </c>
      <c r="F6" s="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6" t="str">
        <f ca="1">IFERROR(__xludf.DUMMYFUNCTION("""COMPUTED_VALUE"""),"Allocation")</f>
        <v>Allocation</v>
      </c>
      <c r="B7" s="6" t="str">
        <f ca="1">IFERROR(__xludf.DUMMYFUNCTION("""COMPUTED_VALUE"""),"GetDataAllocation")</f>
        <v>GetDataAllocation</v>
      </c>
      <c r="C7" s="6" t="str">
        <f ca="1">IFERROR(__xludf.DUMMYFUNCTION("""COMPUTED_VALUE"""),"14c4GsPTH5D3eyeeKaMiqJQXOT6OiyIKnC2Ey2f-mzXU")</f>
        <v>14c4GsPTH5D3eyeeKaMiqJQXOT6OiyIKnC2Ey2f-mzXU</v>
      </c>
      <c r="D7" s="6" t="str">
        <f ca="1">IFERROR(__xludf.DUMMYFUNCTION("""COMPUTED_VALUE"""),"")</f>
        <v/>
      </c>
      <c r="E7" s="6" t="str">
        <f ca="1">IFERROR(__xludf.DUMMYFUNCTION("""COMPUTED_VALUE"""),"")</f>
        <v/>
      </c>
      <c r="F7" s="6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6" t="str">
        <f ca="1">IFERROR(__xludf.DUMMYFUNCTION("""COMPUTED_VALUE"""),"Allocation")</f>
        <v>Allocation</v>
      </c>
      <c r="B8" s="6" t="str">
        <f ca="1">IFERROR(__xludf.DUMMYFUNCTION("""COMPUTED_VALUE"""),"SelectAllocatedGroup")</f>
        <v>SelectAllocatedGroup</v>
      </c>
      <c r="C8" s="6" t="str">
        <f ca="1">IFERROR(__xludf.DUMMYFUNCTION("""COMPUTED_VALUE"""),"1FoqTScZHaIaLmwoImnVY7WWuCKEwJNYw8_jsXiT_wz4")</f>
        <v>1FoqTScZHaIaLmwoImnVY7WWuCKEwJNYw8_jsXiT_wz4</v>
      </c>
      <c r="D8" s="6" t="str">
        <f ca="1">IFERROR(__xludf.DUMMYFUNCTION("""COMPUTED_VALUE"""),"")</f>
        <v/>
      </c>
      <c r="E8" s="6" t="str">
        <f ca="1">IFERROR(__xludf.DUMMYFUNCTION("""COMPUTED_VALUE"""),"")</f>
        <v/>
      </c>
      <c r="F8" s="6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6" t="str">
        <f ca="1">IFERROR(__xludf.DUMMYFUNCTION("""COMPUTED_VALUE"""),"Allocation")</f>
        <v>Allocation</v>
      </c>
      <c r="B9" s="6" t="str">
        <f ca="1">IFERROR(__xludf.DUMMYFUNCTION("""COMPUTED_VALUE"""),"EditTradesAllocated")</f>
        <v>EditTradesAllocated</v>
      </c>
      <c r="C9" s="6" t="str">
        <f ca="1">IFERROR(__xludf.DUMMYFUNCTION("""COMPUTED_VALUE"""),"1nx-Ntcckcf-w1Yr5yyOw4Vmcr4UsalakHe-CHaRihg0")</f>
        <v>1nx-Ntcckcf-w1Yr5yyOw4Vmcr4UsalakHe-CHaRihg0</v>
      </c>
      <c r="D9" s="6" t="str">
        <f ca="1">IFERROR(__xludf.DUMMYFUNCTION("""COMPUTED_VALUE"""),"")</f>
        <v/>
      </c>
      <c r="E9" s="6" t="str">
        <f ca="1">IFERROR(__xludf.DUMMYFUNCTION("""COMPUTED_VALUE"""),"")</f>
        <v/>
      </c>
      <c r="F9" s="6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6" t="str">
        <f ca="1">IFERROR(__xludf.DUMMYFUNCTION("""COMPUTED_VALUE"""),"Allocation")</f>
        <v>Allocation</v>
      </c>
      <c r="B10" s="6" t="str">
        <f ca="1">IFERROR(__xludf.DUMMYFUNCTION("""COMPUTED_VALUE"""),"EditTradesUnallocated")</f>
        <v>EditTradesUnallocated</v>
      </c>
      <c r="C10" s="6" t="str">
        <f ca="1">IFERROR(__xludf.DUMMYFUNCTION("""COMPUTED_VALUE"""),"1aOr-_cYT21IfJctqcBB50iQOXfB0qUo9bBesL3tt_2o")</f>
        <v>1aOr-_cYT21IfJctqcBB50iQOXfB0qUo9bBesL3tt_2o</v>
      </c>
      <c r="D10" s="6" t="str">
        <f ca="1">IFERROR(__xludf.DUMMYFUNCTION("""COMPUTED_VALUE"""),"")</f>
        <v/>
      </c>
      <c r="E10" s="6" t="str">
        <f ca="1">IFERROR(__xludf.DUMMYFUNCTION("""COMPUTED_VALUE"""),"")</f>
        <v/>
      </c>
      <c r="F10" s="6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6" t="str">
        <f ca="1">IFERROR(__xludf.DUMMYFUNCTION("""COMPUTED_VALUE"""),"Allocation")</f>
        <v>Allocation</v>
      </c>
      <c r="B11" s="6" t="str">
        <f ca="1">IFERROR(__xludf.DUMMYFUNCTION("""COMPUTED_VALUE"""),"Reallocate")</f>
        <v>Reallocate</v>
      </c>
      <c r="C11" s="6" t="str">
        <f ca="1">IFERROR(__xludf.DUMMYFUNCTION("""COMPUTED_VALUE"""),"Undefined")</f>
        <v>Undefined</v>
      </c>
      <c r="D11" s="6" t="str">
        <f ca="1">IFERROR(__xludf.DUMMYFUNCTION("""COMPUTED_VALUE"""),"")</f>
        <v/>
      </c>
      <c r="E11" s="6" t="str">
        <f ca="1">IFERROR(__xludf.DUMMYFUNCTION("""COMPUTED_VALUE"""),"")</f>
        <v/>
      </c>
      <c r="F11" s="6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6" t="str">
        <f ca="1">IFERROR(__xludf.DUMMYFUNCTION("""COMPUTED_VALUE"""),"Blotter")</f>
        <v>Blotter</v>
      </c>
      <c r="B12" s="6" t="str">
        <f ca="1">IFERROR(__xludf.DUMMYFUNCTION("""COMPUTED_VALUE"""),"ReplaceFillsOnBlotter")</f>
        <v>ReplaceFillsOnBlotter</v>
      </c>
      <c r="C12" s="6" t="str">
        <f ca="1">IFERROR(__xludf.DUMMYFUNCTION("""COMPUTED_VALUE"""),"Undefined")</f>
        <v>Undefined</v>
      </c>
      <c r="D12" s="6" t="str">
        <f ca="1">IFERROR(__xludf.DUMMYFUNCTION("""COMPUTED_VALUE"""),"")</f>
        <v/>
      </c>
      <c r="E12" s="6" t="str">
        <f ca="1">IFERROR(__xludf.DUMMYFUNCTION("""COMPUTED_VALUE"""),"")</f>
        <v/>
      </c>
      <c r="F12" s="6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6" t="str">
        <f ca="1">IFERROR(__xludf.DUMMYFUNCTION("""COMPUTED_VALUE"""),"Blotter")</f>
        <v>Blotter</v>
      </c>
      <c r="B13" s="6" t="str">
        <f ca="1">IFERROR(__xludf.DUMMYFUNCTION("""COMPUTED_VALUE"""),"CheckBlotter")</f>
        <v>CheckBlotter</v>
      </c>
      <c r="C13" s="6" t="str">
        <f ca="1">IFERROR(__xludf.DUMMYFUNCTION("""COMPUTED_VALUE"""),"1NSNUZ7aVjKq-fJWvjMKU9f1Hhbf0UmIY3RQLFu0_U94")</f>
        <v>1NSNUZ7aVjKq-fJWvjMKU9f1Hhbf0UmIY3RQLFu0_U94</v>
      </c>
      <c r="D13" s="6" t="str">
        <f ca="1">IFERROR(__xludf.DUMMYFUNCTION("""COMPUTED_VALUE"""),"")</f>
        <v/>
      </c>
      <c r="E13" s="6" t="str">
        <f ca="1">IFERROR(__xludf.DUMMYFUNCTION("""COMPUTED_VALUE"""),"")</f>
        <v/>
      </c>
      <c r="F13" s="6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6" t="str">
        <f ca="1">IFERROR(__xludf.DUMMYFUNCTION("""COMPUTED_VALUE"""),"GeneralLedger")</f>
        <v>GeneralLedger</v>
      </c>
      <c r="B14" s="6" t="str">
        <f ca="1">IFERROR(__xludf.DUMMYFUNCTION("""COMPUTED_VALUE"""),"GetDataCash")</f>
        <v>GetDataCash</v>
      </c>
      <c r="C14" s="6" t="str">
        <f ca="1">IFERROR(__xludf.DUMMYFUNCTION("""COMPUTED_VALUE"""),"1qcpgHRQFZbpv-NnW8K-CvX_auKXD5UD0KzrBvuBL6yQ")</f>
        <v>1qcpgHRQFZbpv-NnW8K-CvX_auKXD5UD0KzrBvuBL6yQ</v>
      </c>
      <c r="D14" s="6" t="str">
        <f ca="1">IFERROR(__xludf.DUMMYFUNCTION("""COMPUTED_VALUE"""),"")</f>
        <v/>
      </c>
      <c r="E14" s="6" t="str">
        <f ca="1">IFERROR(__xludf.DUMMYFUNCTION("""COMPUTED_VALUE"""),"")</f>
        <v/>
      </c>
      <c r="F14" s="6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6" t="str">
        <f ca="1">IFERROR(__xludf.DUMMYFUNCTION("""COMPUTED_VALUE"""),"GeneralLedger")</f>
        <v>GeneralLedger</v>
      </c>
      <c r="B15" s="6" t="str">
        <f ca="1">IFERROR(__xludf.DUMMYFUNCTION("""COMPUTED_VALUE"""),"EnterCashDividends")</f>
        <v>EnterCashDividends</v>
      </c>
      <c r="C15" s="6" t="str">
        <f ca="1">IFERROR(__xludf.DUMMYFUNCTION("""COMPUTED_VALUE"""),"1AcxAZQwu6HAEJMCMK3bk08quIeXstZWKnCNeDGuqkgc")</f>
        <v>1AcxAZQwu6HAEJMCMK3bk08quIeXstZWKnCNeDGuqkgc</v>
      </c>
      <c r="D15" s="6" t="str">
        <f ca="1">IFERROR(__xludf.DUMMYFUNCTION("""COMPUTED_VALUE"""),"")</f>
        <v/>
      </c>
      <c r="E15" s="6" t="str">
        <f ca="1">IFERROR(__xludf.DUMMYFUNCTION("""COMPUTED_VALUE"""),"")</f>
        <v/>
      </c>
      <c r="F15" s="6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6" t="str">
        <f ca="1">IFERROR(__xludf.DUMMYFUNCTION("""COMPUTED_VALUE"""),"GeneralLedger")</f>
        <v>GeneralLedger</v>
      </c>
      <c r="B16" s="6" t="str">
        <f ca="1">IFERROR(__xludf.DUMMYFUNCTION("""COMPUTED_VALUE"""),"EnterNonTradingTransaction")</f>
        <v>EnterNonTradingTransaction</v>
      </c>
      <c r="C16" s="6" t="str">
        <f ca="1">IFERROR(__xludf.DUMMYFUNCTION("""COMPUTED_VALUE"""),"1VLF0uNJJlumCyBscfuDhTN1tOv-0IRCkYlwfDU8GczQ")</f>
        <v>1VLF0uNJJlumCyBscfuDhTN1tOv-0IRCkYlwfDU8GczQ</v>
      </c>
      <c r="D16" s="6" t="str">
        <f ca="1">IFERROR(__xludf.DUMMYFUNCTION("""COMPUTED_VALUE"""),"")</f>
        <v/>
      </c>
      <c r="E16" s="6" t="str">
        <f ca="1">IFERROR(__xludf.DUMMYFUNCTION("""COMPUTED_VALUE"""),"")</f>
        <v/>
      </c>
      <c r="F16" s="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6" t="str">
        <f ca="1">IFERROR(__xludf.DUMMYFUNCTION("""COMPUTED_VALUE"""),"GeneralLedger")</f>
        <v>GeneralLedger</v>
      </c>
      <c r="B17" s="6" t="str">
        <f ca="1">IFERROR(__xludf.DUMMYFUNCTION("""COMPUTED_VALUE"""),"VerifyCash")</f>
        <v>VerifyCash</v>
      </c>
      <c r="C17" s="6" t="str">
        <f ca="1">IFERROR(__xludf.DUMMYFUNCTION("""COMPUTED_VALUE"""),"1_8MIcc2OK_ojl_V4NIwMLs9H7qkQkwyq9sDf1PpIqc8")</f>
        <v>1_8MIcc2OK_ojl_V4NIwMLs9H7qkQkwyq9sDf1PpIqc8</v>
      </c>
      <c r="D17" s="6" t="str">
        <f ca="1">IFERROR(__xludf.DUMMYFUNCTION("""COMPUTED_VALUE"""),"")</f>
        <v/>
      </c>
      <c r="E17" s="6" t="str">
        <f ca="1">IFERROR(__xludf.DUMMYFUNCTION("""COMPUTED_VALUE"""),"")</f>
        <v/>
      </c>
      <c r="F17" s="6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6" t="str">
        <f ca="1">IFERROR(__xludf.DUMMYFUNCTION("""COMPUTED_VALUE"""),"GeneralLedger")</f>
        <v>GeneralLedger</v>
      </c>
      <c r="B18" s="6" t="str">
        <f ca="1">IFERROR(__xludf.DUMMYFUNCTION("""COMPUTED_VALUE"""),"VerifyActivity")</f>
        <v>VerifyActivity</v>
      </c>
      <c r="C18" s="6" t="str">
        <f ca="1">IFERROR(__xludf.DUMMYFUNCTION("""COMPUTED_VALUE"""),"1tN1tbsnXiVRytGN-WCzTnGTmfRxY2nBklQk3AQSJo2c")</f>
        <v>1tN1tbsnXiVRytGN-WCzTnGTmfRxY2nBklQk3AQSJo2c</v>
      </c>
      <c r="D18" s="6" t="str">
        <f ca="1">IFERROR(__xludf.DUMMYFUNCTION("""COMPUTED_VALUE"""),"")</f>
        <v/>
      </c>
      <c r="E18" s="6" t="str">
        <f ca="1">IFERROR(__xludf.DUMMYFUNCTION("""COMPUTED_VALUE"""),"")</f>
        <v/>
      </c>
      <c r="F18" s="6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6" t="str">
        <f ca="1">IFERROR(__xludf.DUMMYFUNCTION("""COMPUTED_VALUE"""),"GeneralLedger")</f>
        <v>GeneralLedger</v>
      </c>
      <c r="B19" s="6" t="str">
        <f ca="1">IFERROR(__xludf.DUMMYFUNCTION("""COMPUTED_VALUE"""),"VerifyTradingTransaction")</f>
        <v>VerifyTradingTransaction</v>
      </c>
      <c r="C19" s="6" t="str">
        <f ca="1">IFERROR(__xludf.DUMMYFUNCTION("""COMPUTED_VALUE"""),"1VRRuQCPazoSKAv27NBzQzv_Yw_Kgakw-yyKn6w1zhKU")</f>
        <v>1VRRuQCPazoSKAv27NBzQzv_Yw_Kgakw-yyKn6w1zhKU</v>
      </c>
      <c r="D19" s="6" t="str">
        <f ca="1">IFERROR(__xludf.DUMMYFUNCTION("""COMPUTED_VALUE"""),"")</f>
        <v/>
      </c>
      <c r="E19" s="6" t="str">
        <f ca="1">IFERROR(__xludf.DUMMYFUNCTION("""COMPUTED_VALUE"""),"")</f>
        <v/>
      </c>
      <c r="F19" s="6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6" t="str">
        <f ca="1">IFERROR(__xludf.DUMMYFUNCTION("""COMPUTED_VALUE"""),"GeneralLedger")</f>
        <v>GeneralLedger</v>
      </c>
      <c r="B20" s="6" t="str">
        <f ca="1">IFERROR(__xludf.DUMMYFUNCTION("""COMPUTED_VALUE"""),"VerifyRevaluationData")</f>
        <v>VerifyRevaluationData</v>
      </c>
      <c r="C20" s="6" t="str">
        <f ca="1">IFERROR(__xludf.DUMMYFUNCTION("""COMPUTED_VALUE"""),"1fGo94nf55bWXddEMlTwX902cb1V6cWr9GHWYy_sZ8IU")</f>
        <v>1fGo94nf55bWXddEMlTwX902cb1V6cWr9GHWYy_sZ8IU</v>
      </c>
      <c r="D20" s="6" t="str">
        <f ca="1">IFERROR(__xludf.DUMMYFUNCTION("""COMPUTED_VALUE"""),"")</f>
        <v/>
      </c>
      <c r="E20" s="6" t="str">
        <f ca="1">IFERROR(__xludf.DUMMYFUNCTION("""COMPUTED_VALUE"""),"")</f>
        <v/>
      </c>
      <c r="F20" s="6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6" t="str">
        <f ca="1">IFERROR(__xludf.DUMMYFUNCTION("""COMPUTED_VALUE"""),"CorporateAction")</f>
        <v>CorporateAction</v>
      </c>
      <c r="B21" s="6" t="str">
        <f ca="1">IFERROR(__xludf.DUMMYFUNCTION("""COMPUTED_VALUE"""),"CorporateAction")</f>
        <v>CorporateAction</v>
      </c>
      <c r="C21" s="6" t="str">
        <f ca="1">IFERROR(__xludf.DUMMYFUNCTION("""COMPUTED_VALUE"""),"1rOMKu0Ez7NdxjtZC05lRrPUSa0tkOQSvbOhxjuijMsU")</f>
        <v>1rOMKu0Ez7NdxjtZC05lRrPUSa0tkOQSvbOhxjuijMsU</v>
      </c>
      <c r="D21" s="6" t="str">
        <f ca="1">IFERROR(__xludf.DUMMYFUNCTION("""COMPUTED_VALUE"""),"")</f>
        <v/>
      </c>
      <c r="E21" s="6" t="str">
        <f ca="1">IFERROR(__xludf.DUMMYFUNCTION("""COMPUTED_VALUE"""),"")</f>
        <v/>
      </c>
      <c r="F21" s="6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6" t="str">
        <f ca="1">IFERROR(__xludf.DUMMYFUNCTION("""COMPUTED_VALUE"""),"CreateTransaction")</f>
        <v>CreateTransaction</v>
      </c>
      <c r="B22" s="6" t="str">
        <f ca="1">IFERROR(__xludf.DUMMYFUNCTION("""COMPUTED_VALUE"""),"CreateTransaction")</f>
        <v>CreateTransaction</v>
      </c>
      <c r="C22" s="6" t="str">
        <f ca="1">IFERROR(__xludf.DUMMYFUNCTION("""COMPUTED_VALUE"""),"1yBi-hp0jcYIFB6ymnlQIlx-pUUkfcjJU7Ap0azBbNcE")</f>
        <v>1yBi-hp0jcYIFB6ymnlQIlx-pUUkfcjJU7Ap0azBbNcE</v>
      </c>
      <c r="D22" s="6" t="str">
        <f ca="1">IFERROR(__xludf.DUMMYFUNCTION("""COMPUTED_VALUE"""),"")</f>
        <v/>
      </c>
      <c r="E22" s="6" t="str">
        <f ca="1">IFERROR(__xludf.DUMMYFUNCTION("""COMPUTED_VALUE"""),"")</f>
        <v/>
      </c>
      <c r="F22" s="6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6" t="str">
        <f ca="1">IFERROR(__xludf.DUMMYFUNCTION("""COMPUTED_VALUE"""),"DailyValuation")</f>
        <v>DailyValuation</v>
      </c>
      <c r="B23" s="6" t="str">
        <f ca="1">IFERROR(__xludf.DUMMYFUNCTION("""COMPUTED_VALUE"""),"UpdateBeta")</f>
        <v>UpdateBeta</v>
      </c>
      <c r="C23" s="6" t="str">
        <f ca="1">IFERROR(__xludf.DUMMYFUNCTION("""COMPUTED_VALUE"""),"1x5iUjYB72ZJ35IOvQ_JQkWHV-d1FlgKY3bIxxTpk-f0")</f>
        <v>1x5iUjYB72ZJ35IOvQ_JQkWHV-d1FlgKY3bIxxTpk-f0</v>
      </c>
      <c r="D23" s="6" t="str">
        <f ca="1">IFERROR(__xludf.DUMMYFUNCTION("""COMPUTED_VALUE"""),"")</f>
        <v/>
      </c>
      <c r="E23" s="6" t="str">
        <f ca="1">IFERROR(__xludf.DUMMYFUNCTION("""COMPUTED_VALUE"""),"")</f>
        <v/>
      </c>
      <c r="F23" s="6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6" t="str">
        <f ca="1">IFERROR(__xludf.DUMMYFUNCTION("""COMPUTED_VALUE"""),"DailyValuation")</f>
        <v>DailyValuation</v>
      </c>
      <c r="B24" s="6" t="str">
        <f ca="1">IFERROR(__xludf.DUMMYFUNCTION("""COMPUTED_VALUE"""),"UpdateDailyCash")</f>
        <v>UpdateDailyCash</v>
      </c>
      <c r="C24" s="6" t="str">
        <f ca="1">IFERROR(__xludf.DUMMYFUNCTION("""COMPUTED_VALUE"""),"1Li5RKULV7Lc2MLczTkVbzq0oDYcFGfTlBUO9__NoODc")</f>
        <v>1Li5RKULV7Lc2MLczTkVbzq0oDYcFGfTlBUO9__NoODc</v>
      </c>
      <c r="D24" s="6" t="str">
        <f ca="1">IFERROR(__xludf.DUMMYFUNCTION("""COMPUTED_VALUE"""),"")</f>
        <v/>
      </c>
      <c r="E24" s="6" t="str">
        <f ca="1">IFERROR(__xludf.DUMMYFUNCTION("""COMPUTED_VALUE"""),"")</f>
        <v/>
      </c>
      <c r="F24" s="6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6" t="str">
        <f ca="1">IFERROR(__xludf.DUMMYFUNCTION("""COMPUTED_VALUE"""),"DailyValuation")</f>
        <v>DailyValuation</v>
      </c>
      <c r="B25" s="6" t="str">
        <f ca="1">IFERROR(__xludf.DUMMYFUNCTION("""COMPUTED_VALUE"""),"UpdateForexConversion")</f>
        <v>UpdateForexConversion</v>
      </c>
      <c r="C25" s="6" t="str">
        <f ca="1">IFERROR(__xludf.DUMMYFUNCTION("""COMPUTED_VALUE"""),"1vnIE6mL0eHSchRF1qTlJ2JL_Ylu6hiC6uOXpzq7M0BQ")</f>
        <v>1vnIE6mL0eHSchRF1qTlJ2JL_Ylu6hiC6uOXpzq7M0BQ</v>
      </c>
      <c r="D25" s="6" t="str">
        <f ca="1">IFERROR(__xludf.DUMMYFUNCTION("""COMPUTED_VALUE"""),"")</f>
        <v/>
      </c>
      <c r="E25" s="6" t="str">
        <f ca="1">IFERROR(__xludf.DUMMYFUNCTION("""COMPUTED_VALUE"""),"")</f>
        <v/>
      </c>
      <c r="F25" s="6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6" t="str">
        <f ca="1">IFERROR(__xludf.DUMMYFUNCTION("""COMPUTED_VALUE"""),"DailyValuation")</f>
        <v>DailyValuation</v>
      </c>
      <c r="B26" s="6" t="str">
        <f ca="1">IFERROR(__xludf.DUMMYFUNCTION("""COMPUTED_VALUE"""),"UpdateMarkPrice")</f>
        <v>UpdateMarkPrice</v>
      </c>
      <c r="C26" s="6" t="str">
        <f ca="1">IFERROR(__xludf.DUMMYFUNCTION("""COMPUTED_VALUE"""),"1KCMHfIqMprTfc21JY7-_BuJZCbNmjdI-pAMs1UtHRgM")</f>
        <v>1KCMHfIqMprTfc21JY7-_BuJZCbNmjdI-pAMs1UtHRgM</v>
      </c>
      <c r="D26" s="6" t="str">
        <f ca="1">IFERROR(__xludf.DUMMYFUNCTION("""COMPUTED_VALUE"""),"")</f>
        <v/>
      </c>
      <c r="E26" s="6" t="str">
        <f ca="1">IFERROR(__xludf.DUMMYFUNCTION("""COMPUTED_VALUE"""),"")</f>
        <v/>
      </c>
      <c r="F26" s="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6" t="str">
        <f ca="1">IFERROR(__xludf.DUMMYFUNCTION("""COMPUTED_VALUE"""),"Import")</f>
        <v>Import</v>
      </c>
      <c r="B27" s="6" t="str">
        <f ca="1">IFERROR(__xludf.DUMMYFUNCTION("""COMPUTED_VALUE"""),"Import")</f>
        <v>Import</v>
      </c>
      <c r="C27" s="6" t="str">
        <f ca="1">IFERROR(__xludf.DUMMYFUNCTION("""COMPUTED_VALUE"""),"1tRgcAtzRVDm6tX53uSpBOxZNBYm4sTcJiDaR4fxdfwY")</f>
        <v>1tRgcAtzRVDm6tX53uSpBOxZNBYm4sTcJiDaR4fxdfwY</v>
      </c>
      <c r="D27" s="6" t="str">
        <f ca="1">IFERROR(__xludf.DUMMYFUNCTION("""COMPUTED_VALUE"""),"")</f>
        <v/>
      </c>
      <c r="E27" s="6" t="str">
        <f ca="1">IFERROR(__xludf.DUMMYFUNCTION("""COMPUTED_VALUE"""),"")</f>
        <v/>
      </c>
      <c r="F27" s="6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6" t="str">
        <f ca="1">IFERROR(__xludf.DUMMYFUNCTION("""COMPUTED_VALUE"""),"PortfolioManagement")</f>
        <v>PortfolioManagement</v>
      </c>
      <c r="B28" s="6" t="str">
        <f ca="1">IFERROR(__xludf.DUMMYFUNCTION("""COMPUTED_VALUE"""),"CheckDashboardPM")</f>
        <v>CheckDashboardPM</v>
      </c>
      <c r="C28" s="6" t="str">
        <f ca="1">IFERROR(__xludf.DUMMYFUNCTION("""COMPUTED_VALUE"""),"12DQ8VFmnoIi6USj-pAupggGf1Uakm-iIEO9IboOJPds")</f>
        <v>12DQ8VFmnoIi6USj-pAupggGf1Uakm-iIEO9IboOJPds</v>
      </c>
      <c r="D28" s="6" t="str">
        <f ca="1">IFERROR(__xludf.DUMMYFUNCTION("""COMPUTED_VALUE"""),"")</f>
        <v/>
      </c>
      <c r="E28" s="6" t="str">
        <f ca="1">IFERROR(__xludf.DUMMYFUNCTION("""COMPUTED_VALUE"""),"")</f>
        <v/>
      </c>
      <c r="F28" s="6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6" t="str">
        <f ca="1">IFERROR(__xludf.DUMMYFUNCTION("""COMPUTED_VALUE"""),"PortfolioManagement")</f>
        <v>PortfolioManagement</v>
      </c>
      <c r="B29" s="6" t="str">
        <f ca="1">IFERROR(__xludf.DUMMYFUNCTION("""COMPUTED_VALUE"""),"CheckPortfolioManagement")</f>
        <v>CheckPortfolioManagement</v>
      </c>
      <c r="C29" s="6" t="str">
        <f ca="1">IFERROR(__xludf.DUMMYFUNCTION("""COMPUTED_VALUE"""),"1EinrxkfbLK2Tdj1nGXu4y1H2zmS6g6G85Hm0vYSOHlA")</f>
        <v>1EinrxkfbLK2Tdj1nGXu4y1H2zmS6g6G85Hm0vYSOHlA</v>
      </c>
      <c r="D29" s="6" t="str">
        <f ca="1">IFERROR(__xludf.DUMMYFUNCTION("""COMPUTED_VALUE"""),"")</f>
        <v/>
      </c>
      <c r="E29" s="6" t="str">
        <f ca="1">IFERROR(__xludf.DUMMYFUNCTION("""COMPUTED_VALUE"""),"")</f>
        <v/>
      </c>
      <c r="F29" s="6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6" t="str">
        <f ca="1">IFERROR(__xludf.DUMMYFUNCTION("""COMPUTED_VALUE"""),"PricingInput")</f>
        <v>PricingInput</v>
      </c>
      <c r="B30" s="6" t="str">
        <f ca="1">IFERROR(__xludf.DUMMYFUNCTION("""COMPUTED_VALUE"""),"PricingInput")</f>
        <v>PricingInput</v>
      </c>
      <c r="C30" s="6" t="str">
        <f ca="1">IFERROR(__xludf.DUMMYFUNCTION("""COMPUTED_VALUE"""),"1qeUVChEAj0eKA7tNZsUWM4FcqW347Jcsk_tvw1-FP3s")</f>
        <v>1qeUVChEAj0eKA7tNZsUWM4FcqW347Jcsk_tvw1-FP3s</v>
      </c>
      <c r="D30" s="6" t="str">
        <f ca="1">IFERROR(__xludf.DUMMYFUNCTION("""COMPUTED_VALUE"""),"")</f>
        <v/>
      </c>
      <c r="E30" s="6" t="str">
        <f ca="1">IFERROR(__xludf.DUMMYFUNCTION("""COMPUTED_VALUE"""),"")</f>
        <v/>
      </c>
      <c r="F30" s="6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6" t="str">
        <f ca="1">IFERROR(__xludf.DUMMYFUNCTION("""COMPUTED_VALUE"""),"PricingInput")</f>
        <v>PricingInput</v>
      </c>
      <c r="B31" s="6" t="str">
        <f ca="1">IFERROR(__xludf.DUMMYFUNCTION("""COMPUTED_VALUE"""),"UpdateSharesOutstanding")</f>
        <v>UpdateSharesOutstanding</v>
      </c>
      <c r="C31" s="6" t="str">
        <f ca="1">IFERROR(__xludf.DUMMYFUNCTION("""COMPUTED_VALUE"""),"1aVxYFzFjJM4FVvXjfioQc67hI5XgzzCTHLg8f7lbJhU")</f>
        <v>1aVxYFzFjJM4FVvXjfioQc67hI5XgzzCTHLg8f7lbJhU</v>
      </c>
      <c r="D31" s="6" t="str">
        <f ca="1">IFERROR(__xludf.DUMMYFUNCTION("""COMPUTED_VALUE"""),"")</f>
        <v/>
      </c>
      <c r="E31" s="6" t="str">
        <f ca="1">IFERROR(__xludf.DUMMYFUNCTION("""COMPUTED_VALUE"""),"")</f>
        <v/>
      </c>
      <c r="F31" s="6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6" t="str">
        <f ca="1">IFERROR(__xludf.DUMMYFUNCTION("""COMPUTED_VALUE"""),"SymbolLookup")</f>
        <v>SymbolLookup</v>
      </c>
      <c r="B32" s="6" t="str">
        <f ca="1">IFERROR(__xludf.DUMMYFUNCTION("""COMPUTED_VALUE"""),"VerifySymbolLookUp")</f>
        <v>VerifySymbolLookUp</v>
      </c>
      <c r="C32" s="6" t="str">
        <f ca="1">IFERROR(__xludf.DUMMYFUNCTION("""COMPUTED_VALUE"""),"1Fe8M8KnrsIcnAobjXa43I9IzXKCnB39xCSYterKkeEc")</f>
        <v>1Fe8M8KnrsIcnAobjXa43I9IzXKCnB39xCSYterKkeEc</v>
      </c>
      <c r="D32" s="6" t="str">
        <f ca="1">IFERROR(__xludf.DUMMYFUNCTION("""COMPUTED_VALUE"""),"")</f>
        <v/>
      </c>
      <c r="E32" s="6" t="str">
        <f ca="1">IFERROR(__xludf.DUMMYFUNCTION("""COMPUTED_VALUE"""),"")</f>
        <v/>
      </c>
      <c r="F32" s="6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6" t="str">
        <f ca="1">IFERROR(__xludf.DUMMYFUNCTION("""COMPUTED_VALUE"""),"SymbolLookup")</f>
        <v>SymbolLookup</v>
      </c>
      <c r="B33" s="6" t="str">
        <f ca="1">IFERROR(__xludf.DUMMYFUNCTION("""COMPUTED_VALUE"""),"SymbolLookupFromTT")</f>
        <v>SymbolLookupFromTT</v>
      </c>
      <c r="C33" s="6" t="str">
        <f ca="1">IFERROR(__xludf.DUMMYFUNCTION("""COMPUTED_VALUE"""),"1qJHd_QH5ht3ZzeFZbKiVeEOBmlpAshwV72N701B28uk")</f>
        <v>1qJHd_QH5ht3ZzeFZbKiVeEOBmlpAshwV72N701B28uk</v>
      </c>
      <c r="D33" s="6" t="str">
        <f ca="1">IFERROR(__xludf.DUMMYFUNCTION("""COMPUTED_VALUE"""),"")</f>
        <v/>
      </c>
      <c r="E33" s="6" t="str">
        <f ca="1">IFERROR(__xludf.DUMMYFUNCTION("""COMPUTED_VALUE"""),"")</f>
        <v/>
      </c>
      <c r="F33" s="6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2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9" t="s">
        <v>0</v>
      </c>
      <c r="B1" s="57"/>
      <c r="C1" s="58"/>
    </row>
    <row r="2" spans="1:3" ht="15.75" customHeight="1">
      <c r="A2" s="1"/>
      <c r="B2" s="1"/>
      <c r="C2" s="1"/>
    </row>
    <row r="3" spans="1:3" ht="15.75" customHeight="1">
      <c r="A3" s="2" t="s">
        <v>3</v>
      </c>
      <c r="B3" s="3" t="s">
        <v>4</v>
      </c>
      <c r="C3" s="1"/>
    </row>
    <row r="4" spans="1:3" ht="15.75" customHeight="1">
      <c r="A4" s="4" t="s">
        <v>5</v>
      </c>
      <c r="B4" s="3" t="s">
        <v>6</v>
      </c>
      <c r="C4" s="1"/>
    </row>
    <row r="5" spans="1:3" ht="15.75" customHeight="1">
      <c r="A5" s="5"/>
      <c r="B5" s="1"/>
      <c r="C5" s="1"/>
    </row>
    <row r="6" spans="1:3" ht="15.75" customHeight="1">
      <c r="A6" s="5"/>
      <c r="B6" s="1"/>
      <c r="C6" s="1"/>
    </row>
    <row r="7" spans="1:3" ht="15.75" customHeight="1">
      <c r="A7" s="5"/>
      <c r="B7" s="1"/>
      <c r="C7" s="1"/>
    </row>
    <row r="8" spans="1:3" ht="15.75" customHeight="1">
      <c r="A8" s="5"/>
      <c r="B8" s="1"/>
      <c r="C8" s="1"/>
    </row>
    <row r="9" spans="1:3" ht="15.75" customHeight="1">
      <c r="A9" s="5"/>
      <c r="B9" s="1"/>
      <c r="C9" s="1"/>
    </row>
    <row r="10" spans="1:3" ht="15.75" customHeight="1">
      <c r="A10" s="5"/>
      <c r="B10" s="1"/>
      <c r="C10" s="1"/>
    </row>
    <row r="11" spans="1:3" ht="15.75" customHeight="1">
      <c r="A11" s="5"/>
      <c r="B11" s="1"/>
      <c r="C11" s="1"/>
    </row>
    <row r="12" spans="1:3" ht="15.75" customHeight="1">
      <c r="A12" s="5"/>
      <c r="B12" s="1"/>
      <c r="C12" s="1"/>
    </row>
    <row r="13" spans="1:3" ht="15.75" customHeight="1">
      <c r="A13" s="5"/>
      <c r="B13" s="1"/>
      <c r="C13" s="1"/>
    </row>
    <row r="14" spans="1:3" ht="15.75" customHeight="1">
      <c r="A14" s="5"/>
      <c r="B14" s="1"/>
      <c r="C14" s="1"/>
    </row>
    <row r="15" spans="1:3" ht="15.75" customHeight="1">
      <c r="A15" s="5"/>
      <c r="B15" s="1"/>
      <c r="C15" s="1"/>
    </row>
    <row r="16" spans="1:3" ht="15.75" customHeight="1">
      <c r="A16" s="5"/>
      <c r="B16" s="1"/>
      <c r="C16" s="1"/>
    </row>
    <row r="17" spans="1:3" ht="15.75" customHeight="1">
      <c r="A17" s="5"/>
      <c r="B17" s="1"/>
      <c r="C17" s="1"/>
    </row>
    <row r="18" spans="1:3" ht="15.75" customHeight="1">
      <c r="A18" s="5"/>
      <c r="B18" s="1"/>
      <c r="C18" s="1"/>
    </row>
    <row r="19" spans="1:3" ht="15.75" customHeight="1">
      <c r="A19" s="5"/>
      <c r="B19" s="1"/>
      <c r="C19" s="1"/>
    </row>
    <row r="20" spans="1:3" ht="15.75" customHeight="1">
      <c r="A20" s="5"/>
      <c r="B20" s="1"/>
      <c r="C20" s="1"/>
    </row>
    <row r="21" spans="1:3" ht="15.75" customHeight="1">
      <c r="A21" s="5"/>
      <c r="B21" s="1"/>
      <c r="C21" s="1"/>
    </row>
    <row r="22" spans="1:3" ht="15.75" customHeight="1">
      <c r="A22" s="5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6" t="s">
        <v>1</v>
      </c>
      <c r="B1" s="57"/>
      <c r="C1" s="57"/>
      <c r="D1" s="57"/>
      <c r="E1" s="57"/>
      <c r="F1" s="58"/>
    </row>
    <row r="2" spans="1:26" ht="15" customHeight="1">
      <c r="A2" s="6"/>
      <c r="B2" s="6"/>
      <c r="C2" s="6"/>
      <c r="D2" s="6"/>
      <c r="E2" s="6"/>
      <c r="F2" s="6"/>
    </row>
    <row r="3" spans="1:26" ht="15" customHeight="1">
      <c r="A3" s="4" t="s">
        <v>8</v>
      </c>
      <c r="B3" s="8" t="s">
        <v>9</v>
      </c>
      <c r="C3" s="8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16</v>
      </c>
      <c r="D3" s="2" t="s">
        <v>9</v>
      </c>
      <c r="E3" s="16" t="s">
        <v>17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7" t="s">
        <v>18</v>
      </c>
      <c r="C6" s="28" t="s">
        <v>19</v>
      </c>
      <c r="D6" s="29">
        <v>100</v>
      </c>
      <c r="E6" s="26"/>
      <c r="F6" s="28" t="s">
        <v>20</v>
      </c>
      <c r="G6" s="1"/>
      <c r="H6" s="1"/>
      <c r="I6" s="1"/>
      <c r="J6" s="30">
        <v>5</v>
      </c>
      <c r="K6" s="1"/>
      <c r="L6" s="1"/>
      <c r="M6" s="1"/>
      <c r="N6" s="25">
        <f t="shared" ref="N6:N7" ca="1" si="0">TODAY()-1</f>
        <v>44411</v>
      </c>
      <c r="O6" s="31">
        <v>7.85</v>
      </c>
      <c r="R6" s="32" t="s">
        <v>21</v>
      </c>
      <c r="S6" s="30">
        <v>50</v>
      </c>
    </row>
    <row r="7" spans="1:154" ht="15.75" customHeight="1">
      <c r="A7" s="1"/>
      <c r="B7" s="28" t="s">
        <v>22</v>
      </c>
      <c r="C7" s="28" t="s">
        <v>19</v>
      </c>
      <c r="D7" s="30">
        <v>100</v>
      </c>
      <c r="E7" s="1"/>
      <c r="F7" s="28" t="s">
        <v>20</v>
      </c>
      <c r="G7" s="1"/>
      <c r="H7" s="1"/>
      <c r="I7" s="1"/>
      <c r="J7" s="30">
        <v>33</v>
      </c>
      <c r="K7" s="1"/>
      <c r="L7" s="1"/>
      <c r="M7" s="1"/>
      <c r="N7" s="25">
        <f t="shared" ca="1" si="0"/>
        <v>44411</v>
      </c>
      <c r="O7" s="1"/>
      <c r="R7" s="32" t="s">
        <v>21</v>
      </c>
      <c r="S7" s="30">
        <v>20</v>
      </c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13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>
        <f ca="1">TODAY()-1</f>
        <v>44411</v>
      </c>
      <c r="C6" s="25">
        <f ca="1">TODAY()</f>
        <v>44412</v>
      </c>
      <c r="D6" s="3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23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3" t="s">
        <v>18</v>
      </c>
      <c r="C6" s="30">
        <v>6</v>
      </c>
      <c r="D6" s="3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22</v>
      </c>
      <c r="C7" s="30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24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4">
        <f t="shared" ref="B6:C6" ca="1" si="0">TODAY()-1</f>
        <v>44411</v>
      </c>
      <c r="C6" s="25">
        <f t="shared" ca="1" si="0"/>
        <v>44411</v>
      </c>
      <c r="D6" s="3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12</v>
      </c>
      <c r="D3" s="2" t="s">
        <v>9</v>
      </c>
      <c r="E3" s="16" t="s">
        <v>25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27" t="s">
        <v>27</v>
      </c>
      <c r="C6" s="28" t="s">
        <v>28</v>
      </c>
      <c r="D6" s="34" t="s">
        <v>29</v>
      </c>
      <c r="E6" s="3">
        <v>0.76600000000000001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26</v>
      </c>
      <c r="D3" s="2" t="s">
        <v>9</v>
      </c>
      <c r="E3" s="16" t="s">
        <v>26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3" t="s">
        <v>18</v>
      </c>
      <c r="C6" s="30">
        <v>8</v>
      </c>
      <c r="D6" s="3"/>
      <c r="E6" s="26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22</v>
      </c>
      <c r="C7" s="30">
        <v>31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11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8</v>
      </c>
      <c r="C3" s="16" t="s">
        <v>30</v>
      </c>
      <c r="D3" s="2" t="s">
        <v>9</v>
      </c>
      <c r="E3" s="16" t="s">
        <v>31</v>
      </c>
      <c r="F3" s="2" t="s">
        <v>14</v>
      </c>
      <c r="G3" s="5" t="s">
        <v>15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3"/>
      <c r="B6" s="3" t="s">
        <v>34</v>
      </c>
      <c r="C6" s="3" t="s">
        <v>20</v>
      </c>
      <c r="D6" s="24">
        <f t="shared" ref="D6:E6" ca="1" si="0">TODAY()-1</f>
        <v>44411</v>
      </c>
      <c r="E6" s="24">
        <f t="shared" ca="1" si="0"/>
        <v>44411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B1" workbookViewId="0">
      <selection activeCell="BK15" sqref="BK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.7109375" customWidth="1"/>
    <col min="64" max="166" width="14.42578125" customWidth="1"/>
  </cols>
  <sheetData>
    <row r="1" spans="1:166" ht="15.75" customHeight="1">
      <c r="A1" s="35"/>
      <c r="B1" s="60" t="s">
        <v>11</v>
      </c>
      <c r="C1" s="57"/>
      <c r="D1" s="57"/>
      <c r="E1" s="57"/>
      <c r="F1" s="57"/>
      <c r="G1" s="57"/>
      <c r="H1" s="58"/>
      <c r="I1" s="35"/>
      <c r="J1" s="35"/>
      <c r="K1" s="35"/>
      <c r="L1" s="35"/>
      <c r="M1" s="35"/>
      <c r="N1" s="35"/>
      <c r="O1" s="35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</row>
    <row r="2" spans="1:166" ht="15.75" customHeight="1">
      <c r="A2" s="37"/>
      <c r="B2" s="37"/>
      <c r="C2" s="37"/>
      <c r="D2" s="37"/>
      <c r="E2" s="37"/>
      <c r="F2" s="37"/>
      <c r="G2" s="37"/>
      <c r="H2" s="37"/>
      <c r="I2" s="37"/>
      <c r="J2" s="38" t="e">
        <f>VLOOKUP($E$3,_MasterData!B4:D1000,3,FALSE)</f>
        <v>#N/A</v>
      </c>
      <c r="K2" s="38"/>
      <c r="L2" s="37"/>
      <c r="M2" s="37"/>
      <c r="N2" s="37"/>
      <c r="O2" s="37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</row>
    <row r="3" spans="1:166" ht="15.75" customHeight="1">
      <c r="A3" s="40"/>
      <c r="B3" s="41" t="s">
        <v>8</v>
      </c>
      <c r="C3" s="42" t="s">
        <v>32</v>
      </c>
      <c r="D3" s="41" t="s">
        <v>9</v>
      </c>
      <c r="E3" s="42" t="s">
        <v>33</v>
      </c>
      <c r="F3" s="41" t="s">
        <v>14</v>
      </c>
      <c r="G3" s="43" t="s">
        <v>15</v>
      </c>
      <c r="H3" s="41"/>
      <c r="I3" s="40"/>
      <c r="J3" s="40"/>
      <c r="K3" s="40"/>
      <c r="L3" s="40"/>
      <c r="M3" s="40"/>
      <c r="N3" s="40"/>
      <c r="O3" s="40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</row>
    <row r="4" spans="1:166" ht="15.75" customHeight="1">
      <c r="A4" s="45"/>
      <c r="B4" s="45" t="str">
        <f ca="1">IFERROR(__xludf.DUMMYFUNCTION("IF(C3="""","""",Transpose(IMPORTRANGE('_Settings'!$B$3,C3&amp;""!A4:A1000"")))"),"CheckDashboardPM")</f>
        <v>CheckDashboardPM</v>
      </c>
      <c r="C4" s="45" t="str">
        <f ca="1">IFERROR(__xludf.DUMMYFUNCTION("""COMPUTED_VALUE"""),"CheckPortfolioManagement")</f>
        <v>CheckPortfolioManagement</v>
      </c>
      <c r="D4" s="45" t="str">
        <f ca="1">IFERROR(__xludf.DUMMYFUNCTION("""COMPUTED_VALUE"""),"OpenPSTFromPM")</f>
        <v>OpenPSTFromPM</v>
      </c>
      <c r="E4" s="45" t="str">
        <f ca="1">IFERROR(__xludf.DUMMYFUNCTION("""COMPUTED_VALUE"""),"ClosePM")</f>
        <v>ClosePM</v>
      </c>
      <c r="F4" s="45" t="str">
        <f ca="1">IFERROR(__xludf.DUMMYFUNCTION("""COMPUTED_VALUE"""),"FilterPM")</f>
        <v>FilterPM</v>
      </c>
      <c r="G4" s="45" t="str">
        <f ca="1">IFERROR(__xludf.DUMMYFUNCTION("""COMPUTED_VALUE"""),"GroupRowPM")</f>
        <v>GroupRowPM</v>
      </c>
      <c r="H4" s="45" t="str">
        <f ca="1">IFERROR(__xludf.DUMMYFUNCTION("""COMPUTED_VALUE"""),"CheckDashboardWithPM")</f>
        <v>CheckDashboardWithPM</v>
      </c>
      <c r="I4" s="45" t="str">
        <f ca="1">IFERROR(__xludf.DUMMYFUNCTION("""COMPUTED_VALUE"""),"RemoveFilterPM")</f>
        <v>RemoveFilterPM</v>
      </c>
      <c r="J4" s="45" t="str">
        <f ca="1">IFERROR(__xludf.DUMMYFUNCTION("""COMPUTED_VALUE"""),"CheckSummaryRowsPM")</f>
        <v>CheckSummaryRowsPM</v>
      </c>
      <c r="K4" s="45" t="str">
        <f ca="1">IFERROR(__xludf.DUMMYFUNCTION("""COMPUTED_VALUE"""),"OpenPTTFromPM")</f>
        <v>OpenPTTFromPM</v>
      </c>
      <c r="L4" s="45" t="str">
        <f ca="1">IFERROR(__xludf.DUMMYFUNCTION("""COMPUTED_VALUE"""),"OpenCreateTransactionFromPM")</f>
        <v>OpenCreateTransactionFromPM</v>
      </c>
      <c r="M4" s="45" t="str">
        <f ca="1">IFERROR(__xludf.DUMMYFUNCTION("""COMPUTED_VALUE"""),"OpenClosingFromPM")</f>
        <v>OpenClosingFromPM</v>
      </c>
      <c r="N4" s="45" t="str">
        <f ca="1">IFERROR(__xludf.DUMMYFUNCTION("""COMPUTED_VALUE"""),"OpenCorporateActionFromPM")</f>
        <v>OpenCorporateActionFromPM</v>
      </c>
      <c r="O4" s="45" t="str">
        <f ca="1">IFERROR(__xludf.DUMMYFUNCTION("""COMPUTED_VALUE"""),"OpenDailyValuationFromPM")</f>
        <v>OpenDailyValuationFromPM</v>
      </c>
      <c r="P4" s="46" t="str">
        <f ca="1">IFERROR(__xludf.DUMMYFUNCTION("""COMPUTED_VALUE"""),"ClosePositionFromPM")</f>
        <v>ClosePositionFromPM</v>
      </c>
      <c r="Q4" s="46" t="str">
        <f ca="1">IFERROR(__xludf.DUMMYFUNCTION("""COMPUTED_VALUE"""),"ShowSummaryToolFromPM")</f>
        <v>ShowSummaryToolFromPM</v>
      </c>
      <c r="R4" s="46" t="str">
        <f ca="1">IFERROR(__xludf.DUMMYFUNCTION("""COMPUTED_VALUE"""),"HideSummaryToolFromPM")</f>
        <v>HideSummaryToolFromPM</v>
      </c>
      <c r="S4" s="46" t="str">
        <f ca="1">IFERROR(__xludf.DUMMYFUNCTION("""COMPUTED_VALUE"""),"CloseAccountPositionFromPM")</f>
        <v>CloseAccountPositionFromPM</v>
      </c>
      <c r="T4" s="46" t="str">
        <f ca="1">IFERROR(__xludf.DUMMYFUNCTION("""COMPUTED_VALUE"""),"CloseSelectedTaxlotsFromPM")</f>
        <v>CloseSelectedTaxlotsFromPM</v>
      </c>
      <c r="U4" s="46" t="str">
        <f ca="1">IFERROR(__xludf.DUMMYFUNCTION("""COMPUTED_VALUE"""),"ExpandCollapsePM")</f>
        <v>ExpandCollapsePM</v>
      </c>
      <c r="V4" s="46" t="str">
        <f ca="1">IFERROR(__xludf.DUMMYFUNCTION("""COMPUTED_VALUE"""),"AddCustomViewPM")</f>
        <v>AddCustomViewPM</v>
      </c>
      <c r="W4" s="46" t="str">
        <f ca="1">IFERROR(__xludf.DUMMYFUNCTION("""COMPUTED_VALUE"""),"AddCustomViewRightClickPM")</f>
        <v>AddCustomViewRightClickPM</v>
      </c>
      <c r="X4" s="46" t="str">
        <f ca="1">IFERROR(__xludf.DUMMYFUNCTION("""COMPUTED_VALUE"""),"RenameCustomViewPM")</f>
        <v>RenameCustomViewPM</v>
      </c>
      <c r="Y4" s="46" t="str">
        <f ca="1">IFERROR(__xludf.DUMMYFUNCTION("""COMPUTED_VALUE"""),"DeleteCustomViewPM")</f>
        <v>DeleteCustomViewPM</v>
      </c>
      <c r="Z4" s="46" t="str">
        <f ca="1">IFERROR(__xludf.DUMMYFUNCTION("""COMPUTED_VALUE"""),"")</f>
        <v/>
      </c>
      <c r="AA4" s="46" t="str">
        <f ca="1">IFERROR(__xludf.DUMMYFUNCTION("""COMPUTED_VALUE"""),"")</f>
        <v/>
      </c>
      <c r="AB4" s="46" t="str">
        <f ca="1">IFERROR(__xludf.DUMMYFUNCTION("""COMPUTED_VALUE"""),"")</f>
        <v/>
      </c>
      <c r="AC4" s="46" t="str">
        <f ca="1">IFERROR(__xludf.DUMMYFUNCTION("""COMPUTED_VALUE"""),"")</f>
        <v/>
      </c>
      <c r="AD4" s="46" t="str">
        <f ca="1">IFERROR(__xludf.DUMMYFUNCTION("""COMPUTED_VALUE"""),"")</f>
        <v/>
      </c>
      <c r="AE4" s="46" t="str">
        <f ca="1">IFERROR(__xludf.DUMMYFUNCTION("""COMPUTED_VALUE"""),"")</f>
        <v/>
      </c>
      <c r="AF4" s="46" t="str">
        <f ca="1">IFERROR(__xludf.DUMMYFUNCTION("""COMPUTED_VALUE"""),"")</f>
        <v/>
      </c>
      <c r="AG4" s="46" t="str">
        <f ca="1">IFERROR(__xludf.DUMMYFUNCTION("""COMPUTED_VALUE"""),"")</f>
        <v/>
      </c>
      <c r="AH4" s="46" t="str">
        <f ca="1">IFERROR(__xludf.DUMMYFUNCTION("""COMPUTED_VALUE"""),"")</f>
        <v/>
      </c>
      <c r="AI4" s="46" t="str">
        <f ca="1">IFERROR(__xludf.DUMMYFUNCTION("""COMPUTED_VALUE"""),"")</f>
        <v/>
      </c>
      <c r="AJ4" s="46" t="str">
        <f ca="1">IFERROR(__xludf.DUMMYFUNCTION("""COMPUTED_VALUE"""),"")</f>
        <v/>
      </c>
      <c r="AK4" s="46" t="str">
        <f ca="1">IFERROR(__xludf.DUMMYFUNCTION("""COMPUTED_VALUE"""),"")</f>
        <v/>
      </c>
      <c r="AL4" s="46" t="str">
        <f ca="1">IFERROR(__xludf.DUMMYFUNCTION("""COMPUTED_VALUE"""),"")</f>
        <v/>
      </c>
      <c r="AM4" s="46" t="str">
        <f ca="1">IFERROR(__xludf.DUMMYFUNCTION("""COMPUTED_VALUE"""),"")</f>
        <v/>
      </c>
      <c r="AN4" s="46" t="str">
        <f ca="1">IFERROR(__xludf.DUMMYFUNCTION("""COMPUTED_VALUE"""),"")</f>
        <v/>
      </c>
      <c r="AO4" s="46" t="str">
        <f ca="1">IFERROR(__xludf.DUMMYFUNCTION("""COMPUTED_VALUE"""),"")</f>
        <v/>
      </c>
      <c r="AP4" s="46" t="str">
        <f ca="1">IFERROR(__xludf.DUMMYFUNCTION("""COMPUTED_VALUE"""),"")</f>
        <v/>
      </c>
      <c r="AQ4" s="46" t="str">
        <f ca="1">IFERROR(__xludf.DUMMYFUNCTION("""COMPUTED_VALUE"""),"")</f>
        <v/>
      </c>
      <c r="AR4" s="46" t="str">
        <f ca="1">IFERROR(__xludf.DUMMYFUNCTION("""COMPUTED_VALUE"""),"")</f>
        <v/>
      </c>
      <c r="AS4" s="46" t="str">
        <f ca="1">IFERROR(__xludf.DUMMYFUNCTION("""COMPUTED_VALUE"""),"")</f>
        <v/>
      </c>
      <c r="AT4" s="46" t="str">
        <f ca="1">IFERROR(__xludf.DUMMYFUNCTION("""COMPUTED_VALUE"""),"")</f>
        <v/>
      </c>
      <c r="AU4" s="46" t="str">
        <f ca="1">IFERROR(__xludf.DUMMYFUNCTION("""COMPUTED_VALUE"""),"")</f>
        <v/>
      </c>
      <c r="AV4" s="46" t="str">
        <f ca="1">IFERROR(__xludf.DUMMYFUNCTION("""COMPUTED_VALUE"""),"")</f>
        <v/>
      </c>
      <c r="AW4" s="46" t="str">
        <f ca="1">IFERROR(__xludf.DUMMYFUNCTION("""COMPUTED_VALUE"""),"")</f>
        <v/>
      </c>
      <c r="AX4" s="46" t="str">
        <f ca="1">IFERROR(__xludf.DUMMYFUNCTION("""COMPUTED_VALUE"""),"")</f>
        <v/>
      </c>
      <c r="AY4" s="46" t="str">
        <f ca="1">IFERROR(__xludf.DUMMYFUNCTION("""COMPUTED_VALUE"""),"")</f>
        <v/>
      </c>
      <c r="AZ4" s="46" t="str">
        <f ca="1">IFERROR(__xludf.DUMMYFUNCTION("""COMPUTED_VALUE"""),"")</f>
        <v/>
      </c>
      <c r="BA4" s="46" t="str">
        <f ca="1">IFERROR(__xludf.DUMMYFUNCTION("""COMPUTED_VALUE"""),"")</f>
        <v/>
      </c>
      <c r="BB4" s="46" t="str">
        <f ca="1">IFERROR(__xludf.DUMMYFUNCTION("""COMPUTED_VALUE"""),"")</f>
        <v/>
      </c>
      <c r="BC4" s="46" t="str">
        <f ca="1">IFERROR(__xludf.DUMMYFUNCTION("""COMPUTED_VALUE"""),"")</f>
        <v/>
      </c>
      <c r="BD4" s="46" t="str">
        <f ca="1">IFERROR(__xludf.DUMMYFUNCTION("""COMPUTED_VALUE"""),"")</f>
        <v/>
      </c>
      <c r="BE4" s="46" t="str">
        <f ca="1">IFERROR(__xludf.DUMMYFUNCTION("""COMPUTED_VALUE"""),"")</f>
        <v/>
      </c>
      <c r="BF4" s="46" t="str">
        <f ca="1">IFERROR(__xludf.DUMMYFUNCTION("""COMPUTED_VALUE"""),"")</f>
        <v/>
      </c>
      <c r="BG4" s="46" t="str">
        <f ca="1">IFERROR(__xludf.DUMMYFUNCTION("""COMPUTED_VALUE"""),"")</f>
        <v/>
      </c>
      <c r="BH4" s="46" t="str">
        <f ca="1">IFERROR(__xludf.DUMMYFUNCTION("""COMPUTED_VALUE"""),"")</f>
        <v/>
      </c>
      <c r="BI4" s="46" t="str">
        <f ca="1">IFERROR(__xludf.DUMMYFUNCTION("""COMPUTED_VALUE"""),"")</f>
        <v/>
      </c>
      <c r="BJ4" s="46" t="str">
        <f ca="1">IFERROR(__xludf.DUMMYFUNCTION("""COMPUTED_VALUE"""),"")</f>
        <v/>
      </c>
      <c r="BK4" s="46" t="str">
        <f ca="1">IFERROR(__xludf.DUMMYFUNCTION("""COMPUTED_VALUE"""),"")</f>
        <v/>
      </c>
      <c r="BL4" s="46" t="str">
        <f ca="1">IFERROR(__xludf.DUMMYFUNCTION("""COMPUTED_VALUE"""),"")</f>
        <v/>
      </c>
      <c r="BM4" s="46" t="str">
        <f ca="1">IFERROR(__xludf.DUMMYFUNCTION("""COMPUTED_VALUE"""),"")</f>
        <v/>
      </c>
      <c r="BN4" s="46" t="str">
        <f ca="1">IFERROR(__xludf.DUMMYFUNCTION("""COMPUTED_VALUE"""),"")</f>
        <v/>
      </c>
      <c r="BO4" s="46" t="str">
        <f ca="1">IFERROR(__xludf.DUMMYFUNCTION("""COMPUTED_VALUE"""),"")</f>
        <v/>
      </c>
      <c r="BP4" s="46" t="str">
        <f ca="1">IFERROR(__xludf.DUMMYFUNCTION("""COMPUTED_VALUE"""),"")</f>
        <v/>
      </c>
      <c r="BQ4" s="46" t="str">
        <f ca="1">IFERROR(__xludf.DUMMYFUNCTION("""COMPUTED_VALUE"""),"")</f>
        <v/>
      </c>
      <c r="BR4" s="46" t="str">
        <f ca="1">IFERROR(__xludf.DUMMYFUNCTION("""COMPUTED_VALUE"""),"")</f>
        <v/>
      </c>
      <c r="BS4" s="46" t="str">
        <f ca="1">IFERROR(__xludf.DUMMYFUNCTION("""COMPUTED_VALUE"""),"")</f>
        <v/>
      </c>
      <c r="BT4" s="46" t="str">
        <f ca="1">IFERROR(__xludf.DUMMYFUNCTION("""COMPUTED_VALUE"""),"")</f>
        <v/>
      </c>
      <c r="BU4" s="46" t="str">
        <f ca="1">IFERROR(__xludf.DUMMYFUNCTION("""COMPUTED_VALUE"""),"")</f>
        <v/>
      </c>
      <c r="BV4" s="46" t="str">
        <f ca="1">IFERROR(__xludf.DUMMYFUNCTION("""COMPUTED_VALUE"""),"")</f>
        <v/>
      </c>
      <c r="BW4" s="46" t="str">
        <f ca="1">IFERROR(__xludf.DUMMYFUNCTION("""COMPUTED_VALUE"""),"")</f>
        <v/>
      </c>
      <c r="BX4" s="46" t="str">
        <f ca="1">IFERROR(__xludf.DUMMYFUNCTION("""COMPUTED_VALUE"""),"")</f>
        <v/>
      </c>
      <c r="BY4" s="46" t="str">
        <f ca="1">IFERROR(__xludf.DUMMYFUNCTION("""COMPUTED_VALUE"""),"")</f>
        <v/>
      </c>
      <c r="BZ4" s="46" t="str">
        <f ca="1">IFERROR(__xludf.DUMMYFUNCTION("""COMPUTED_VALUE"""),"")</f>
        <v/>
      </c>
      <c r="CA4" s="46" t="str">
        <f ca="1">IFERROR(__xludf.DUMMYFUNCTION("""COMPUTED_VALUE"""),"")</f>
        <v/>
      </c>
      <c r="CB4" s="46" t="str">
        <f ca="1">IFERROR(__xludf.DUMMYFUNCTION("""COMPUTED_VALUE"""),"")</f>
        <v/>
      </c>
      <c r="CC4" s="46" t="str">
        <f ca="1">IFERROR(__xludf.DUMMYFUNCTION("""COMPUTED_VALUE"""),"")</f>
        <v/>
      </c>
      <c r="CD4" s="46" t="str">
        <f ca="1">IFERROR(__xludf.DUMMYFUNCTION("""COMPUTED_VALUE"""),"")</f>
        <v/>
      </c>
      <c r="CE4" s="46" t="str">
        <f ca="1">IFERROR(__xludf.DUMMYFUNCTION("""COMPUTED_VALUE"""),"")</f>
        <v/>
      </c>
      <c r="CF4" s="46" t="str">
        <f ca="1">IFERROR(__xludf.DUMMYFUNCTION("""COMPUTED_VALUE"""),"")</f>
        <v/>
      </c>
      <c r="CG4" s="46" t="str">
        <f ca="1">IFERROR(__xludf.DUMMYFUNCTION("""COMPUTED_VALUE"""),"")</f>
        <v/>
      </c>
      <c r="CH4" s="46" t="str">
        <f ca="1">IFERROR(__xludf.DUMMYFUNCTION("""COMPUTED_VALUE"""),"")</f>
        <v/>
      </c>
      <c r="CI4" s="46" t="str">
        <f ca="1">IFERROR(__xludf.DUMMYFUNCTION("""COMPUTED_VALUE"""),"")</f>
        <v/>
      </c>
      <c r="CJ4" s="46" t="str">
        <f ca="1">IFERROR(__xludf.DUMMYFUNCTION("""COMPUTED_VALUE"""),"")</f>
        <v/>
      </c>
      <c r="CK4" s="46" t="str">
        <f ca="1">IFERROR(__xludf.DUMMYFUNCTION("""COMPUTED_VALUE"""),"")</f>
        <v/>
      </c>
      <c r="CL4" s="46" t="str">
        <f ca="1">IFERROR(__xludf.DUMMYFUNCTION("""COMPUTED_VALUE"""),"")</f>
        <v/>
      </c>
      <c r="CM4" s="46" t="str">
        <f ca="1">IFERROR(__xludf.DUMMYFUNCTION("""COMPUTED_VALUE"""),"")</f>
        <v/>
      </c>
      <c r="CN4" s="46" t="str">
        <f ca="1">IFERROR(__xludf.DUMMYFUNCTION("""COMPUTED_VALUE"""),"")</f>
        <v/>
      </c>
      <c r="CO4" s="46" t="str">
        <f ca="1">IFERROR(__xludf.DUMMYFUNCTION("""COMPUTED_VALUE"""),"")</f>
        <v/>
      </c>
      <c r="CP4" s="46" t="str">
        <f ca="1">IFERROR(__xludf.DUMMYFUNCTION("""COMPUTED_VALUE"""),"")</f>
        <v/>
      </c>
      <c r="CQ4" s="46" t="str">
        <f ca="1">IFERROR(__xludf.DUMMYFUNCTION("""COMPUTED_VALUE"""),"")</f>
        <v/>
      </c>
      <c r="CR4" s="46" t="str">
        <f ca="1">IFERROR(__xludf.DUMMYFUNCTION("""COMPUTED_VALUE"""),"")</f>
        <v/>
      </c>
      <c r="CS4" s="46" t="str">
        <f ca="1">IFERROR(__xludf.DUMMYFUNCTION("""COMPUTED_VALUE"""),"")</f>
        <v/>
      </c>
      <c r="CT4" s="46" t="str">
        <f ca="1">IFERROR(__xludf.DUMMYFUNCTION("""COMPUTED_VALUE"""),"")</f>
        <v/>
      </c>
      <c r="CU4" s="46" t="str">
        <f ca="1">IFERROR(__xludf.DUMMYFUNCTION("""COMPUTED_VALUE"""),"")</f>
        <v/>
      </c>
      <c r="CV4" s="46" t="str">
        <f ca="1">IFERROR(__xludf.DUMMYFUNCTION("""COMPUTED_VALUE"""),"")</f>
        <v/>
      </c>
      <c r="CW4" s="46" t="str">
        <f ca="1">IFERROR(__xludf.DUMMYFUNCTION("""COMPUTED_VALUE"""),"")</f>
        <v/>
      </c>
      <c r="CX4" s="46" t="str">
        <f ca="1">IFERROR(__xludf.DUMMYFUNCTION("""COMPUTED_VALUE"""),"")</f>
        <v/>
      </c>
      <c r="CY4" s="46" t="str">
        <f ca="1">IFERROR(__xludf.DUMMYFUNCTION("""COMPUTED_VALUE"""),"")</f>
        <v/>
      </c>
      <c r="CZ4" s="46" t="str">
        <f ca="1">IFERROR(__xludf.DUMMYFUNCTION("""COMPUTED_VALUE"""),"")</f>
        <v/>
      </c>
      <c r="DA4" s="46" t="str">
        <f ca="1">IFERROR(__xludf.DUMMYFUNCTION("""COMPUTED_VALUE"""),"")</f>
        <v/>
      </c>
      <c r="DB4" s="46" t="str">
        <f ca="1">IFERROR(__xludf.DUMMYFUNCTION("""COMPUTED_VALUE"""),"")</f>
        <v/>
      </c>
      <c r="DC4" s="46" t="str">
        <f ca="1">IFERROR(__xludf.DUMMYFUNCTION("""COMPUTED_VALUE"""),"")</f>
        <v/>
      </c>
      <c r="DD4" s="46" t="str">
        <f ca="1">IFERROR(__xludf.DUMMYFUNCTION("""COMPUTED_VALUE"""),"")</f>
        <v/>
      </c>
      <c r="DE4" s="46" t="str">
        <f ca="1">IFERROR(__xludf.DUMMYFUNCTION("""COMPUTED_VALUE"""),"")</f>
        <v/>
      </c>
      <c r="DF4" s="46" t="str">
        <f ca="1">IFERROR(__xludf.DUMMYFUNCTION("""COMPUTED_VALUE"""),"")</f>
        <v/>
      </c>
      <c r="DG4" s="46" t="str">
        <f ca="1">IFERROR(__xludf.DUMMYFUNCTION("""COMPUTED_VALUE"""),"")</f>
        <v/>
      </c>
      <c r="DH4" s="46" t="str">
        <f ca="1">IFERROR(__xludf.DUMMYFUNCTION("""COMPUTED_VALUE"""),"")</f>
        <v/>
      </c>
      <c r="DI4" s="46" t="str">
        <f ca="1">IFERROR(__xludf.DUMMYFUNCTION("""COMPUTED_VALUE"""),"")</f>
        <v/>
      </c>
      <c r="DJ4" s="46" t="str">
        <f ca="1">IFERROR(__xludf.DUMMYFUNCTION("""COMPUTED_VALUE"""),"")</f>
        <v/>
      </c>
      <c r="DK4" s="46" t="str">
        <f ca="1">IFERROR(__xludf.DUMMYFUNCTION("""COMPUTED_VALUE"""),"")</f>
        <v/>
      </c>
      <c r="DL4" s="46" t="str">
        <f ca="1">IFERROR(__xludf.DUMMYFUNCTION("""COMPUTED_VALUE"""),"")</f>
        <v/>
      </c>
      <c r="DM4" s="46" t="str">
        <f ca="1">IFERROR(__xludf.DUMMYFUNCTION("""COMPUTED_VALUE"""),"")</f>
        <v/>
      </c>
      <c r="DN4" s="46" t="str">
        <f ca="1">IFERROR(__xludf.DUMMYFUNCTION("""COMPUTED_VALUE"""),"")</f>
        <v/>
      </c>
      <c r="DO4" s="46" t="str">
        <f ca="1">IFERROR(__xludf.DUMMYFUNCTION("""COMPUTED_VALUE"""),"")</f>
        <v/>
      </c>
      <c r="DP4" s="46" t="str">
        <f ca="1">IFERROR(__xludf.DUMMYFUNCTION("""COMPUTED_VALUE"""),"")</f>
        <v/>
      </c>
      <c r="DQ4" s="46" t="str">
        <f ca="1">IFERROR(__xludf.DUMMYFUNCTION("""COMPUTED_VALUE"""),"")</f>
        <v/>
      </c>
      <c r="DR4" s="46" t="str">
        <f ca="1">IFERROR(__xludf.DUMMYFUNCTION("""COMPUTED_VALUE"""),"")</f>
        <v/>
      </c>
      <c r="DS4" s="46" t="str">
        <f ca="1">IFERROR(__xludf.DUMMYFUNCTION("""COMPUTED_VALUE"""),"")</f>
        <v/>
      </c>
      <c r="DT4" s="46" t="str">
        <f ca="1">IFERROR(__xludf.DUMMYFUNCTION("""COMPUTED_VALUE"""),"")</f>
        <v/>
      </c>
      <c r="DU4" s="46" t="str">
        <f ca="1">IFERROR(__xludf.DUMMYFUNCTION("""COMPUTED_VALUE"""),"")</f>
        <v/>
      </c>
      <c r="DV4" s="46" t="str">
        <f ca="1">IFERROR(__xludf.DUMMYFUNCTION("""COMPUTED_VALUE"""),"")</f>
        <v/>
      </c>
      <c r="DW4" s="46" t="str">
        <f ca="1">IFERROR(__xludf.DUMMYFUNCTION("""COMPUTED_VALUE"""),"")</f>
        <v/>
      </c>
      <c r="DX4" s="46" t="str">
        <f ca="1">IFERROR(__xludf.DUMMYFUNCTION("""COMPUTED_VALUE"""),"")</f>
        <v/>
      </c>
      <c r="DY4" s="46" t="str">
        <f ca="1">IFERROR(__xludf.DUMMYFUNCTION("""COMPUTED_VALUE"""),"")</f>
        <v/>
      </c>
      <c r="DZ4" s="46" t="str">
        <f ca="1">IFERROR(__xludf.DUMMYFUNCTION("""COMPUTED_VALUE"""),"")</f>
        <v/>
      </c>
      <c r="EA4" s="46" t="str">
        <f ca="1">IFERROR(__xludf.DUMMYFUNCTION("""COMPUTED_VALUE"""),"")</f>
        <v/>
      </c>
      <c r="EB4" s="46" t="str">
        <f ca="1">IFERROR(__xludf.DUMMYFUNCTION("""COMPUTED_VALUE"""),"")</f>
        <v/>
      </c>
      <c r="EC4" s="46" t="str">
        <f ca="1">IFERROR(__xludf.DUMMYFUNCTION("""COMPUTED_VALUE"""),"")</f>
        <v/>
      </c>
      <c r="ED4" s="46" t="str">
        <f ca="1">IFERROR(__xludf.DUMMYFUNCTION("""COMPUTED_VALUE"""),"")</f>
        <v/>
      </c>
      <c r="EE4" s="46" t="str">
        <f ca="1">IFERROR(__xludf.DUMMYFUNCTION("""COMPUTED_VALUE"""),"")</f>
        <v/>
      </c>
      <c r="EF4" s="46" t="str">
        <f ca="1">IFERROR(__xludf.DUMMYFUNCTION("""COMPUTED_VALUE"""),"")</f>
        <v/>
      </c>
      <c r="EG4" s="46" t="str">
        <f ca="1">IFERROR(__xludf.DUMMYFUNCTION("""COMPUTED_VALUE"""),"")</f>
        <v/>
      </c>
      <c r="EH4" s="46" t="str">
        <f ca="1">IFERROR(__xludf.DUMMYFUNCTION("""COMPUTED_VALUE"""),"")</f>
        <v/>
      </c>
      <c r="EI4" s="46" t="str">
        <f ca="1">IFERROR(__xludf.DUMMYFUNCTION("""COMPUTED_VALUE"""),"")</f>
        <v/>
      </c>
      <c r="EJ4" s="46" t="str">
        <f ca="1">IFERROR(__xludf.DUMMYFUNCTION("""COMPUTED_VALUE"""),"")</f>
        <v/>
      </c>
      <c r="EK4" s="46" t="str">
        <f ca="1">IFERROR(__xludf.DUMMYFUNCTION("""COMPUTED_VALUE"""),"")</f>
        <v/>
      </c>
      <c r="EL4" s="46" t="str">
        <f ca="1">IFERROR(__xludf.DUMMYFUNCTION("""COMPUTED_VALUE"""),"")</f>
        <v/>
      </c>
      <c r="EM4" s="46" t="str">
        <f ca="1">IFERROR(__xludf.DUMMYFUNCTION("""COMPUTED_VALUE"""),"")</f>
        <v/>
      </c>
      <c r="EN4" s="46" t="str">
        <f ca="1">IFERROR(__xludf.DUMMYFUNCTION("""COMPUTED_VALUE"""),"")</f>
        <v/>
      </c>
      <c r="EO4" s="46" t="str">
        <f ca="1">IFERROR(__xludf.DUMMYFUNCTION("""COMPUTED_VALUE"""),"")</f>
        <v/>
      </c>
      <c r="EP4" s="46" t="str">
        <f ca="1">IFERROR(__xludf.DUMMYFUNCTION("""COMPUTED_VALUE"""),"")</f>
        <v/>
      </c>
      <c r="EQ4" s="46" t="str">
        <f ca="1">IFERROR(__xludf.DUMMYFUNCTION("""COMPUTED_VALUE"""),"")</f>
        <v/>
      </c>
      <c r="ER4" s="46" t="str">
        <f ca="1">IFERROR(__xludf.DUMMYFUNCTION("""COMPUTED_VALUE"""),"")</f>
        <v/>
      </c>
      <c r="ES4" s="46" t="str">
        <f ca="1">IFERROR(__xludf.DUMMYFUNCTION("""COMPUTED_VALUE"""),"")</f>
        <v/>
      </c>
      <c r="ET4" s="46" t="str">
        <f ca="1">IFERROR(__xludf.DUMMYFUNCTION("""COMPUTED_VALUE"""),"")</f>
        <v/>
      </c>
      <c r="EU4" s="46" t="str">
        <f ca="1">IFERROR(__xludf.DUMMYFUNCTION("""COMPUTED_VALUE"""),"")</f>
        <v/>
      </c>
      <c r="EV4" s="46" t="str">
        <f ca="1">IFERROR(__xludf.DUMMYFUNCTION("""COMPUTED_VALUE"""),"")</f>
        <v/>
      </c>
      <c r="EW4" s="46" t="str">
        <f ca="1">IFERROR(__xludf.DUMMYFUNCTION("""COMPUTED_VALUE"""),"")</f>
        <v/>
      </c>
      <c r="EX4" s="46" t="str">
        <f ca="1">IFERROR(__xludf.DUMMYFUNCTION("""COMPUTED_VALUE"""),"")</f>
        <v/>
      </c>
      <c r="EY4" s="46" t="str">
        <f ca="1">IFERROR(__xludf.DUMMYFUNCTION("""COMPUTED_VALUE"""),"")</f>
        <v/>
      </c>
      <c r="EZ4" s="46" t="str">
        <f ca="1">IFERROR(__xludf.DUMMYFUNCTION("""COMPUTED_VALUE"""),"")</f>
        <v/>
      </c>
      <c r="FA4" s="46" t="str">
        <f ca="1">IFERROR(__xludf.DUMMYFUNCTION("""COMPUTED_VALUE"""),"")</f>
        <v/>
      </c>
      <c r="FB4" s="46" t="str">
        <f ca="1">IFERROR(__xludf.DUMMYFUNCTION("""COMPUTED_VALUE"""),"")</f>
        <v/>
      </c>
      <c r="FC4" s="46" t="str">
        <f ca="1">IFERROR(__xludf.DUMMYFUNCTION("""COMPUTED_VALUE"""),"")</f>
        <v/>
      </c>
      <c r="FD4" s="46" t="str">
        <f ca="1">IFERROR(__xludf.DUMMYFUNCTION("""COMPUTED_VALUE"""),"")</f>
        <v/>
      </c>
      <c r="FE4" s="46" t="str">
        <f ca="1">IFERROR(__xludf.DUMMYFUNCTION("""COMPUTED_VALUE"""),"")</f>
        <v/>
      </c>
      <c r="FF4" s="46" t="str">
        <f ca="1">IFERROR(__xludf.DUMMYFUNCTION("""COMPUTED_VALUE"""),"")</f>
        <v/>
      </c>
      <c r="FG4" s="46" t="str">
        <f ca="1">IFERROR(__xludf.DUMMYFUNCTION("""COMPUTED_VALUE"""),"")</f>
        <v/>
      </c>
      <c r="FH4" s="46" t="str">
        <f ca="1">IFERROR(__xludf.DUMMYFUNCTION("""COMPUTED_VALUE"""),"")</f>
        <v/>
      </c>
      <c r="FI4" s="46" t="str">
        <f ca="1">IFERROR(__xludf.DUMMYFUNCTION("""COMPUTED_VALUE"""),"")</f>
        <v/>
      </c>
      <c r="FJ4" s="46" t="str">
        <f ca="1">IFERROR(__xludf.DUMMYFUNCTION("""COMPUTED_VALUE"""),"")</f>
        <v/>
      </c>
    </row>
    <row r="5" spans="1:166" ht="15.75" customHeight="1">
      <c r="A5" s="47" t="str">
        <f ca="1">IFERROR(__xludf.DUMMYFUNCTION("TRANSPOSE(IMPORTRANGE(VLOOKUP($E$3,IMPORTRANGE('_Settings'!$B$3,$C$3&amp;""!A4:B1000""),2,FALSE),$G$3&amp;""!A4:A1000""))"),"")</f>
        <v/>
      </c>
      <c r="B5" s="48" t="str">
        <f ca="1">IFERROR(__xludf.DUMMYFUNCTION("""COMPUTED_VALUE"""),"Trade Date")</f>
        <v>Trade Date</v>
      </c>
      <c r="C5" s="48" t="str">
        <f ca="1">IFERROR(__xludf.DUMMYFUNCTION("""COMPUTED_VALUE"""),"Symbol")</f>
        <v>Symbol</v>
      </c>
      <c r="D5" s="48" t="str">
        <f ca="1">IFERROR(__xludf.DUMMYFUNCTION("""COMPUTED_VALUE"""),"Position")</f>
        <v>Position</v>
      </c>
      <c r="E5" s="48" t="str">
        <f ca="1">IFERROR(__xludf.DUMMYFUNCTION("""COMPUTED_VALUE"""),"Account")</f>
        <v>Account</v>
      </c>
      <c r="F5" s="49" t="str">
        <f ca="1">IFERROR(__xludf.DUMMYFUNCTION("""COMPUTED_VALUE"""),"MasterFund")</f>
        <v>MasterFund</v>
      </c>
      <c r="G5" s="48" t="str">
        <f ca="1">IFERROR(__xludf.DUMMYFUNCTION("""COMPUTED_VALUE"""),"Cost Basis")</f>
        <v>Cost Basis</v>
      </c>
      <c r="H5" s="48" t="str">
        <f ca="1">IFERROR(__xludf.DUMMYFUNCTION("""COMPUTED_VALUE"""),"Position Side")</f>
        <v>Position Side</v>
      </c>
      <c r="I5" s="48" t="str">
        <f ca="1">IFERROR(__xludf.DUMMYFUNCTION("""COMPUTED_VALUE"""),"Market Value (Base)")</f>
        <v>Market Value (Base)</v>
      </c>
      <c r="J5" s="48" t="str">
        <f ca="1">IFERROR(__xludf.DUMMYFUNCTION("""COMPUTED_VALUE"""),"% Day P&amp;L (Gross MV)")</f>
        <v>% Day P&amp;L (Gross MV)</v>
      </c>
      <c r="K5" s="48" t="str">
        <f ca="1">IFERROR(__xludf.DUMMYFUNCTION("""COMPUTED_VALUE"""),"Net Exposure (Base)")</f>
        <v>Net Exposure (Base)</v>
      </c>
      <c r="L5" s="48" t="str">
        <f ca="1">IFERROR(__xludf.DUMMYFUNCTION("""COMPUTED_VALUE"""),"Beta Adj. Gross Exposure (Base)")</f>
        <v>Beta Adj. Gross Exposure (Base)</v>
      </c>
      <c r="M5" s="48" t="str">
        <f ca="1">IFERROR(__xludf.DUMMYFUNCTION("""COMPUTED_VALUE"""),"Beta Adj. Gross Exposure (Underlying) (Base)")</f>
        <v>Beta Adj. Gross Exposure (Underlying) (Base)</v>
      </c>
      <c r="N5" s="48" t="str">
        <f ca="1">IFERROR(__xludf.DUMMYFUNCTION("""COMPUTED_VALUE"""),"Day P&amp;L (Base)")</f>
        <v>Day P&amp;L (Base)</v>
      </c>
      <c r="O5" s="48" t="str">
        <f ca="1">IFERROR(__xludf.DUMMYFUNCTION("""COMPUTED_VALUE"""),"Security Name")</f>
        <v>Security Name</v>
      </c>
      <c r="P5" s="48" t="str">
        <f ca="1">IFERROR(__xludf.DUMMYFUNCTION("""COMPUTED_VALUE"""),"Closing Mark")</f>
        <v>Closing Mark</v>
      </c>
      <c r="Q5" s="48" t="str">
        <f ca="1">IFERROR(__xludf.DUMMYFUNCTION("""COMPUTED_VALUE"""),"Cost Basis P&amp;L (Base)")</f>
        <v>Cost Basis P&amp;L (Base)</v>
      </c>
      <c r="R5" s="48" t="str">
        <f ca="1">IFERROR(__xludf.DUMMYFUNCTION("""COMPUTED_VALUE"""),"Prime Broker")</f>
        <v>Prime Broker</v>
      </c>
      <c r="S5" s="48" t="str">
        <f ca="1">IFERROR(__xludf.DUMMYFUNCTION("""COMPUTED_VALUE"""),"Strategy")</f>
        <v>Strategy</v>
      </c>
      <c r="T5" s="50" t="str">
        <f ca="1">IFERROR(__xludf.DUMMYFUNCTION("""COMPUTED_VALUE"""),"Asset Class")</f>
        <v>Asset Class</v>
      </c>
      <c r="U5" s="50" t="str">
        <f ca="1">IFERROR(__xludf.DUMMYFUNCTION("""COMPUTED_VALUE"""),"Underlying")</f>
        <v>Underlying</v>
      </c>
      <c r="V5" s="50" t="str">
        <f ca="1">IFERROR(__xludf.DUMMYFUNCTION("""COMPUTED_VALUE"""),"Exchange")</f>
        <v>Exchange</v>
      </c>
      <c r="W5" s="50" t="str">
        <f ca="1">IFERROR(__xludf.DUMMYFUNCTION("""COMPUTED_VALUE"""),"Trade Currency")</f>
        <v>Trade Currency</v>
      </c>
      <c r="X5" s="50" t="str">
        <f ca="1">IFERROR(__xludf.DUMMYFUNCTION("""COMPUTED_VALUE"""),"Multiplier")</f>
        <v>Multiplier</v>
      </c>
      <c r="Y5" s="50" t="str">
        <f ca="1">IFERROR(__xludf.DUMMYFUNCTION("""COMPUTED_VALUE"""),"FX Rate")</f>
        <v>FX Rate</v>
      </c>
      <c r="Z5" s="50" t="str">
        <f ca="1">IFERROR(__xludf.DUMMYFUNCTION("""COMPUTED_VALUE"""),"Vs Currency")</f>
        <v>Vs Currency</v>
      </c>
      <c r="AA5" s="50" t="str">
        <f ca="1">IFERROR(__xludf.DUMMYFUNCTION("""COMPUTED_VALUE"""),"Lead Currency")</f>
        <v>Lead Currency</v>
      </c>
      <c r="AB5" s="50" t="str">
        <f ca="1">IFERROR(__xludf.DUMMYFUNCTION("""COMPUTED_VALUE"""),"Dividend Yield (%)")</f>
        <v>Dividend Yield (%)</v>
      </c>
      <c r="AC5" s="50" t="str">
        <f ca="1">IFERROR(__xludf.DUMMYFUNCTION("""COMPUTED_VALUE"""),"% Change")</f>
        <v>% Change</v>
      </c>
      <c r="AD5" s="50" t="str">
        <f ca="1">IFERROR(__xludf.DUMMYFUNCTION("""COMPUTED_VALUE"""),"Net Exposure (Local)")</f>
        <v>Net Exposure (Local)</v>
      </c>
      <c r="AE5" s="50" t="str">
        <f ca="1">IFERROR(__xludf.DUMMYFUNCTION("""COMPUTED_VALUE"""),"Exposure (Local)")</f>
        <v>Exposure (Local)</v>
      </c>
      <c r="AF5" s="50" t="str">
        <f ca="1">IFERROR(__xludf.DUMMYFUNCTION("""COMPUTED_VALUE"""),"Delta Adj. Position")</f>
        <v>Delta Adj. Position</v>
      </c>
      <c r="AG5" s="50" t="str">
        <f ca="1">IFERROR(__xludf.DUMMYFUNCTION("""COMPUTED_VALUE"""),"Exposure (Base)")</f>
        <v>Exposure (Base)</v>
      </c>
      <c r="AH5" s="50" t="str">
        <f ca="1">IFERROR(__xludf.DUMMYFUNCTION("""COMPUTED_VALUE"""),"Beta Adj. Exposure (Local)")</f>
        <v>Beta Adj. Exposure (Local)</v>
      </c>
      <c r="AI5" s="50" t="str">
        <f ca="1">IFERROR(__xludf.DUMMYFUNCTION("""COMPUTED_VALUE"""),"Beta Adj. Exposure (Base)")</f>
        <v>Beta Adj. Exposure (Base)</v>
      </c>
      <c r="AJ5" s="50" t="str">
        <f ca="1">IFERROR(__xludf.DUMMYFUNCTION("""COMPUTED_VALUE"""),"Exposure (BP)(Base)")</f>
        <v>Exposure (BP)(Base)</v>
      </c>
      <c r="AK5" s="50" t="str">
        <f ca="1">IFERROR(__xludf.DUMMYFUNCTION("""COMPUTED_VALUE"""),"Day P&amp;L (Local)")</f>
        <v>Day P&amp;L (Local)</v>
      </c>
      <c r="AL5" s="50" t="str">
        <f ca="1">IFERROR(__xludf.DUMMYFUNCTION("""COMPUTED_VALUE"""),"Delta")</f>
        <v>Delta</v>
      </c>
      <c r="AM5" s="50" t="str">
        <f ca="1">IFERROR(__xludf.DUMMYFUNCTION("""COMPUTED_VALUE"""),"Leveraged Factor")</f>
        <v>Leveraged Factor</v>
      </c>
      <c r="AN5" s="50" t="str">
        <f ca="1">IFERROR(__xludf.DUMMYFUNCTION("""COMPUTED_VALUE"""),"Order Side")</f>
        <v>Order Side</v>
      </c>
      <c r="AO5" s="50" t="str">
        <f ca="1">IFERROR(__xludf.DUMMYFUNCTION("""COMPUTED_VALUE"""),"Master Strategy")</f>
        <v>Master Strategy</v>
      </c>
      <c r="AP5" s="50" t="str">
        <f ca="1">IFERROR(__xludf.DUMMYFUNCTION("""COMPUTED_VALUE"""),"Transaction Side")</f>
        <v>Transaction Side</v>
      </c>
      <c r="AQ5" s="50" t="str">
        <f ca="1">IFERROR(__xludf.DUMMYFUNCTION("""COMPUTED_VALUE"""),"Underlying Symbol")</f>
        <v>Underlying Symbol</v>
      </c>
      <c r="AR5" s="50" t="str">
        <f ca="1">IFERROR(__xludf.DUMMYFUNCTION("""COMPUTED_VALUE"""),"Underlying Price")</f>
        <v>Underlying Price</v>
      </c>
      <c r="AS5" s="50" t="str">
        <f ca="1">IFERROR(__xludf.DUMMYFUNCTION("""COMPUTED_VALUE"""),"Side Multiplier")</f>
        <v>Side Multiplier</v>
      </c>
      <c r="AT5" s="50" t="str">
        <f ca="1">IFERROR(__xludf.DUMMYFUNCTION("""COMPUTED_VALUE"""),"Description")</f>
        <v>Description</v>
      </c>
      <c r="AU5" s="50" t="str">
        <f ca="1">IFERROR(__xludf.DUMMYFUNCTION("""COMPUTED_VALUE"""),"Internal Comments")</f>
        <v>Internal Comments</v>
      </c>
      <c r="AV5" s="50" t="str">
        <f ca="1">IFERROR(__xludf.DUMMYFUNCTION("""COMPUTED_VALUE"""),"FX Rate On Trade Date")</f>
        <v>FX Rate On Trade Date</v>
      </c>
      <c r="AW5" s="50" t="str">
        <f ca="1">IFERROR(__xludf.DUMMYFUNCTION("""COMPUTED_VALUE"""),"Cost Basis P&amp;L (Local)")</f>
        <v>Cost Basis P&amp;L (Local)</v>
      </c>
      <c r="AX5" s="50" t="str">
        <f ca="1">IFERROR(__xludf.DUMMYFUNCTION("""COMPUTED_VALUE"""),"Day Interest")</f>
        <v>Day Interest</v>
      </c>
      <c r="AY5" s="50" t="str">
        <f ca="1">IFERROR(__xludf.DUMMYFUNCTION("""COMPUTED_VALUE"""),"Total Interest")</f>
        <v>Total Interest</v>
      </c>
      <c r="AZ5" s="50" t="str">
        <f ca="1">IFERROR(__xludf.DUMMYFUNCTION("""COMPUTED_VALUE"""),"Market Value (Local)")</f>
        <v>Market Value (Local)</v>
      </c>
      <c r="BA5" s="50" t="str">
        <f ca="1">IFERROR(__xludf.DUMMYFUNCTION("""COMPUTED_VALUE"""),"% Gain/Loss Day")</f>
        <v>% Gain/Loss Day</v>
      </c>
      <c r="BB5" s="50" t="str">
        <f ca="1">IFERROR(__xludf.DUMMYFUNCTION("""COMPUTED_VALUE"""),"Update Time (Last Price)")</f>
        <v>Update Time (Last Price)</v>
      </c>
      <c r="BC5" s="50" t="str">
        <f ca="1">IFERROR(__xludf.DUMMYFUNCTION("""COMPUTED_VALUE"""),"Beta")</f>
        <v>Beta</v>
      </c>
      <c r="BD5" s="50" t="str">
        <f ca="1">IFERROR(__xludf.DUMMYFUNCTION("""COMPUTED_VALUE"""),"Cash Impact (Local)")</f>
        <v>Cash Impact (Local)</v>
      </c>
      <c r="BE5" s="50" t="str">
        <f ca="1">IFERROR(__xludf.DUMMYFUNCTION("""COMPUTED_VALUE"""),"User Asset")</f>
        <v>User Asset</v>
      </c>
      <c r="BF5" s="50" t="str">
        <f ca="1">IFERROR(__xludf.DUMMYFUNCTION("""COMPUTED_VALUE"""),"Security Type")</f>
        <v>Security Type</v>
      </c>
      <c r="BG5" s="50" t="str">
        <f ca="1">IFERROR(__xludf.DUMMYFUNCTION("""COMPUTED_VALUE"""),"Sector")</f>
        <v>Sector</v>
      </c>
      <c r="BH5" s="50" t="str">
        <f ca="1">IFERROR(__xludf.DUMMYFUNCTION("""COMPUTED_VALUE"""),"Sub Sector")</f>
        <v>Sub Sector</v>
      </c>
      <c r="BI5" s="50" t="str">
        <f ca="1">IFERROR(__xludf.DUMMYFUNCTION("""COMPUTED_VALUE"""),"Country")</f>
        <v>Country</v>
      </c>
      <c r="BJ5" s="50" t="str">
        <f ca="1">IFERROR(__xludf.DUMMYFUNCTION("""COMPUTED_VALUE"""),"Market Cap")</f>
        <v>Market Cap</v>
      </c>
      <c r="BK5" s="50" t="str">
        <f ca="1">IFERROR(__xludf.DUMMYFUNCTION("""COMPUTED_VALUE"""),"Shares Outstanding (MM)")</f>
        <v>Shares Outstanding (MM)</v>
      </c>
      <c r="BL5" s="50" t="str">
        <f ca="1">IFERROR(__xludf.DUMMYFUNCTION("""COMPUTED_VALUE"""),"Avg Volume 20 Day")</f>
        <v>Avg Volume 20 Day</v>
      </c>
      <c r="BM5" s="50" t="str">
        <f ca="1">IFERROR(__xludf.DUMMYFUNCTION("""COMPUTED_VALUE"""),"% Avg Volume (Delta Adj.)")</f>
        <v>% Avg Volume (Delta Adj.)</v>
      </c>
      <c r="BN5" s="50" t="str">
        <f ca="1">IFERROR(__xludf.DUMMYFUNCTION("""COMPUTED_VALUE"""),"Ex Dividend Date")</f>
        <v>Ex Dividend Date</v>
      </c>
      <c r="BO5" s="50" t="str">
        <f ca="1">IFERROR(__xludf.DUMMYFUNCTION("""COMPUTED_VALUE"""),"Cash Impact (Base)")</f>
        <v>Cash Impact (Base)</v>
      </c>
      <c r="BP5" s="50" t="str">
        <f ca="1">IFERROR(__xludf.DUMMYFUNCTION("""COMPUTED_VALUE"""),"Volatility (%)")</f>
        <v>Volatility (%)</v>
      </c>
      <c r="BQ5" s="50" t="str">
        <f ca="1">IFERROR(__xludf.DUMMYFUNCTION("""COMPUTED_VALUE"""),"User")</f>
        <v>User</v>
      </c>
      <c r="BR5" s="50" t="str">
        <f ca="1">IFERROR(__xludf.DUMMYFUNCTION("""COMPUTED_VALUE"""),"Broker")</f>
        <v>Broker</v>
      </c>
      <c r="BS5" s="50" t="str">
        <f ca="1">IFERROR(__xludf.DUMMYFUNCTION("""COMPUTED_VALUE"""),"Earned Dividend (Local)")</f>
        <v>Earned Dividend (Local)</v>
      </c>
      <c r="BT5" s="50" t="str">
        <f ca="1">IFERROR(__xludf.DUMMYFUNCTION("""COMPUTED_VALUE"""),"Earned Dividend (Base)")</f>
        <v>Earned Dividend (Base)</v>
      </c>
      <c r="BU5" s="50" t="str">
        <f ca="1">IFERROR(__xludf.DUMMYFUNCTION("""COMPUTED_VALUE"""),"Put/Call")</f>
        <v>Put/Call</v>
      </c>
      <c r="BV5" s="50" t="str">
        <f ca="1">IFERROR(__xludf.DUMMYFUNCTION("""COMPUTED_VALUE"""),"Expiration Date")</f>
        <v>Expiration Date</v>
      </c>
      <c r="BW5" s="50" t="str">
        <f ca="1">IFERROR(__xludf.DUMMYFUNCTION("""COMPUTED_VALUE"""),"Strike Price")</f>
        <v>Strike Price</v>
      </c>
      <c r="BX5" s="50" t="str">
        <f ca="1">IFERROR(__xludf.DUMMYFUNCTION("""COMPUTED_VALUE"""),"Gross Exposure (Base)")</f>
        <v>Gross Exposure (Base)</v>
      </c>
      <c r="BY5" s="50" t="str">
        <f ca="1">IFERROR(__xludf.DUMMYFUNCTION("""COMPUTED_VALUE"""),"Gross Market Value (Base)")</f>
        <v>Gross Market Value (Base)</v>
      </c>
      <c r="BZ5" s="50" t="str">
        <f ca="1">IFERROR(__xludf.DUMMYFUNCTION("""COMPUTED_VALUE"""),"Px Selected Feed (Local)")</f>
        <v>Px Selected Feed (Local)</v>
      </c>
      <c r="CA5" s="50" t="str">
        <f ca="1">IFERROR(__xludf.DUMMYFUNCTION("""COMPUTED_VALUE"""),"Px Selected Feed (Base)")</f>
        <v>Px Selected Feed (Base)</v>
      </c>
      <c r="CB5" s="50" t="str">
        <f ca="1">IFERROR(__xludf.DUMMYFUNCTION("""COMPUTED_VALUE"""),"Settlement Date")</f>
        <v>Settlement Date</v>
      </c>
      <c r="CC5" s="50" t="str">
        <f ca="1">IFERROR(__xludf.DUMMYFUNCTION("""COMPUTED_VALUE"""),"% Avg Volume")</f>
        <v>% Avg Volume</v>
      </c>
      <c r="CD5" s="50" t="str">
        <f ca="1">IFERROR(__xludf.DUMMYFUNCTION("""COMPUTED_VALUE"""),"Day P&amp;L (Base)(Price Gain)")</f>
        <v>Day P&amp;L (Base)(Price Gain)</v>
      </c>
      <c r="CE5" s="50" t="str">
        <f ca="1">IFERROR(__xludf.DUMMYFUNCTION("""COMPUTED_VALUE"""),"Day P&amp;L (Base)(FX Gain)")</f>
        <v>Day P&amp;L (Base)(FX Gain)</v>
      </c>
      <c r="CF5" s="50" t="str">
        <f ca="1">IFERROR(__xludf.DUMMYFUNCTION("""COMPUTED_VALUE"""),"Cost Basis P&amp;L (Base)(FX Gain)")</f>
        <v>Cost Basis P&amp;L (Base)(FX Gain)</v>
      </c>
      <c r="CG5" s="50" t="str">
        <f ca="1">IFERROR(__xludf.DUMMYFUNCTION("""COMPUTED_VALUE"""),"Cost Basis P&amp;L (Base)(Price Gain)")</f>
        <v>Cost Basis P&amp;L (Base)(Price Gain)</v>
      </c>
      <c r="CH5" s="50" t="str">
        <f ca="1">IFERROR(__xludf.DUMMYFUNCTION("""COMPUTED_VALUE"""),"% Gain/Loss Cost")</f>
        <v>% Gain/Loss Cost</v>
      </c>
      <c r="CI5" s="50" t="str">
        <f ca="1">IFERROR(__xludf.DUMMYFUNCTION("""COMPUTED_VALUE"""),"Underlying Value (Options)")</f>
        <v>Underlying Value (Options)</v>
      </c>
      <c r="CJ5" s="50" t="str">
        <f ca="1">IFERROR(__xludf.DUMMYFUNCTION("""COMPUTED_VALUE"""),"Avg Volume 20 Day (Underlying Symbol)")</f>
        <v>Avg Volume 20 Day (Underlying Symbol)</v>
      </c>
      <c r="CK5" s="50" t="str">
        <f ca="1">IFERROR(__xludf.DUMMYFUNCTION("""COMPUTED_VALUE"""),"IsStaleData")</f>
        <v>IsStaleData</v>
      </c>
      <c r="CL5" s="50" t="str">
        <f ca="1">IFERROR(__xludf.DUMMYFUNCTION("""COMPUTED_VALUE"""),"IDCO")</f>
        <v>IDCO</v>
      </c>
      <c r="CM5" s="50" t="str">
        <f ca="1">IFERROR(__xludf.DUMMYFUNCTION("""COMPUTED_VALUE"""),"OSI")</f>
        <v>OSI</v>
      </c>
      <c r="CN5" s="50" t="str">
        <f ca="1">IFERROR(__xludf.DUMMYFUNCTION("""COMPUTED_VALUE"""),"SEDOL")</f>
        <v>SEDOL</v>
      </c>
      <c r="CO5" s="50" t="str">
        <f ca="1">IFERROR(__xludf.DUMMYFUNCTION("""COMPUTED_VALUE"""),"CUSIP")</f>
        <v>CUSIP</v>
      </c>
      <c r="CP5" s="50" t="str">
        <f ca="1">IFERROR(__xludf.DUMMYFUNCTION("""COMPUTED_VALUE"""),"Bloomberg")</f>
        <v>Bloomberg</v>
      </c>
      <c r="CQ5" s="50" t="str">
        <f ca="1">IFERROR(__xludf.DUMMYFUNCTION("""COMPUTED_VALUE"""),"ISIN")</f>
        <v>ISIN</v>
      </c>
      <c r="CR5" s="50" t="str">
        <f ca="1">IFERROR(__xludf.DUMMYFUNCTION("""COMPUTED_VALUE"""),"Start Trade Date")</f>
        <v>Start Trade Date</v>
      </c>
      <c r="CS5" s="50" t="str">
        <f ca="1">IFERROR(__xludf.DUMMYFUNCTION("""COMPUTED_VALUE"""),"Cost Basis (Break Even)")</f>
        <v>Cost Basis (Break Even)</v>
      </c>
      <c r="CT5" s="50" t="str">
        <f ca="1">IFERROR(__xludf.DUMMYFUNCTION("""COMPUTED_VALUE"""),"Trade Attribute 3")</f>
        <v>Trade Attribute 3</v>
      </c>
      <c r="CU5" s="50" t="str">
        <f ca="1">IFERROR(__xludf.DUMMYFUNCTION("""COMPUTED_VALUE"""),"Trade Attribute 4")</f>
        <v>Trade Attribute 4</v>
      </c>
      <c r="CV5" s="50" t="str">
        <f ca="1">IFERROR(__xludf.DUMMYFUNCTION("""COMPUTED_VALUE"""),"Trade Attribute 5")</f>
        <v>Trade Attribute 5</v>
      </c>
      <c r="CW5" s="50" t="str">
        <f ca="1">IFERROR(__xludf.DUMMYFUNCTION("""COMPUTED_VALUE"""),"Trade Attribute 6")</f>
        <v>Trade Attribute 6</v>
      </c>
      <c r="CX5" s="50" t="str">
        <f ca="1">IFERROR(__xludf.DUMMYFUNCTION("""COMPUTED_VALUE"""),"Proxy Symbol")</f>
        <v>Proxy Symbol</v>
      </c>
      <c r="CY5" s="50" t="str">
        <f ca="1">IFERROR(__xludf.DUMMYFUNCTION("""COMPUTED_VALUE"""),"Pricing Source")</f>
        <v>Pricing Source</v>
      </c>
      <c r="CZ5" s="50" t="str">
        <f ca="1">IFERROR(__xludf.DUMMYFUNCTION("""COMPUTED_VALUE"""),"Delta Source")</f>
        <v>Delta Source</v>
      </c>
      <c r="DA5" s="50" t="str">
        <f ca="1">IFERROR(__xludf.DUMMYFUNCTION("""COMPUTED_VALUE"""),"Gross Exposure (Local)")</f>
        <v>Gross Exposure (Local)</v>
      </c>
      <c r="DB5" s="50" t="str">
        <f ca="1">IFERROR(__xludf.DUMMYFUNCTION("""COMPUTED_VALUE"""),"% Day P&amp;L (Net MV)")</f>
        <v>% Day P&amp;L (Net MV)</v>
      </c>
      <c r="DC5" s="50" t="str">
        <f ca="1">IFERROR(__xludf.DUMMYFUNCTION("""COMPUTED_VALUE"""),"Expiration Month")</f>
        <v>Expiration Month</v>
      </c>
      <c r="DD5" s="50" t="str">
        <f ca="1">IFERROR(__xludf.DUMMYFUNCTION("""COMPUTED_VALUE"""),"Delta Adj. Position (LME)")</f>
        <v>Delta Adj. Position (LME)</v>
      </c>
      <c r="DE5" s="50" t="str">
        <f ca="1">IFERROR(__xludf.DUMMYFUNCTION("""COMPUTED_VALUE"""),"Premium")</f>
        <v>Premium</v>
      </c>
      <c r="DF5" s="50" t="str">
        <f ca="1">IFERROR(__xludf.DUMMYFUNCTION("""COMPUTED_VALUE"""),"Premium $")</f>
        <v>Premium $</v>
      </c>
      <c r="DG5" s="50" t="str">
        <f ca="1">IFERROR(__xludf.DUMMYFUNCTION("""COMPUTED_VALUE"""),"Forward Points")</f>
        <v>Forward Points</v>
      </c>
      <c r="DH5" s="50" t="str">
        <f ca="1">IFERROR(__xludf.DUMMYFUNCTION("""COMPUTED_VALUE"""),"Closing Mark (Underlying)")</f>
        <v>Closing Mark (Underlying)</v>
      </c>
      <c r="DI5" s="50" t="str">
        <f ca="1">IFERROR(__xludf.DUMMYFUNCTION("""COMPUTED_VALUE"""),"% Change (Underlying Price)")</f>
        <v>% Change (Underlying Price)</v>
      </c>
      <c r="DJ5" s="50" t="str">
        <f ca="1">IFERROR(__xludf.DUMMYFUNCTION("""COMPUTED_VALUE"""),"Transaction Type")</f>
        <v>Transaction Type</v>
      </c>
      <c r="DK5" s="50" t="str">
        <f ca="1">IFERROR(__xludf.DUMMYFUNCTION("""COMPUTED_VALUE"""),"Closing Market Value (Local)")</f>
        <v>Closing Market Value (Local)</v>
      </c>
      <c r="DL5" s="50" t="str">
        <f ca="1">IFERROR(__xludf.DUMMYFUNCTION("""COMPUTED_VALUE"""),"Closing Market Value (Base)")</f>
        <v>Closing Market Value (Base)</v>
      </c>
      <c r="DM5" s="50" t="str">
        <f ca="1">IFERROR(__xludf.DUMMYFUNCTION("""COMPUTED_VALUE"""),"Closing FX Rate")</f>
        <v>Closing FX Rate</v>
      </c>
      <c r="DN5" s="50" t="str">
        <f ca="1">IFERROR(__xludf.DUMMYFUNCTION("""COMPUTED_VALUE"""),"Change In Underlying Price")</f>
        <v>Change In Underlying Price</v>
      </c>
      <c r="DO5" s="50" t="str">
        <f ca="1">IFERROR(__xludf.DUMMYFUNCTION("""COMPUTED_VALUE"""),"RIC")</f>
        <v>RIC</v>
      </c>
      <c r="DP5" s="50" t="str">
        <f ca="1">IFERROR(__xludf.DUMMYFUNCTION("""COMPUTED_VALUE"""),"Position Side Exposure (Boxed)")</f>
        <v>Position Side Exposure (Boxed)</v>
      </c>
      <c r="DQ5" s="50" t="str">
        <f ca="1">IFERROR(__xludf.DUMMYFUNCTION("""COMPUTED_VALUE"""),"Analyst")</f>
        <v>Analyst</v>
      </c>
      <c r="DR5" s="50" t="str">
        <f ca="1">IFERROR(__xludf.DUMMYFUNCTION("""COMPUTED_VALUE"""),"Country Of Risk")</f>
        <v>Country Of Risk</v>
      </c>
      <c r="DS5" s="50" t="str">
        <f ca="1">IFERROR(__xludf.DUMMYFUNCTION("""COMPUTED_VALUE"""),"Custom UDA1")</f>
        <v>Custom UDA1</v>
      </c>
      <c r="DT5" s="50" t="str">
        <f ca="1">IFERROR(__xludf.DUMMYFUNCTION("""COMPUTED_VALUE"""),"Custom UDA2")</f>
        <v>Custom UDA2</v>
      </c>
      <c r="DU5" s="50" t="str">
        <f ca="1">IFERROR(__xludf.DUMMYFUNCTION("""COMPUTED_VALUE"""),"Custom UDA3")</f>
        <v>Custom UDA3</v>
      </c>
      <c r="DV5" s="50" t="str">
        <f ca="1">IFERROR(__xludf.DUMMYFUNCTION("""COMPUTED_VALUE"""),"Custom UDA4")</f>
        <v>Custom UDA4</v>
      </c>
      <c r="DW5" s="50" t="str">
        <f ca="1">IFERROR(__xludf.DUMMYFUNCTION("""COMPUTED_VALUE"""),"Custom UDA5")</f>
        <v>Custom UDA5</v>
      </c>
      <c r="DX5" s="50" t="str">
        <f ca="1">IFERROR(__xludf.DUMMYFUNCTION("""COMPUTED_VALUE"""),"Custom UDA6")</f>
        <v>Custom UDA6</v>
      </c>
      <c r="DY5" s="50" t="str">
        <f ca="1">IFERROR(__xludf.DUMMYFUNCTION("""COMPUTED_VALUE"""),"Custom UDA7")</f>
        <v>Custom UDA7</v>
      </c>
      <c r="DZ5" s="50" t="str">
        <f ca="1">IFERROR(__xludf.DUMMYFUNCTION("""COMPUTED_VALUE"""),"Issuer")</f>
        <v>Issuer</v>
      </c>
      <c r="EA5" s="50" t="str">
        <f ca="1">IFERROR(__xludf.DUMMYFUNCTION("""COMPUTED_VALUE"""),"Liquid Tag")</f>
        <v>Liquid Tag</v>
      </c>
      <c r="EB5" s="50" t="str">
        <f ca="1">IFERROR(__xludf.DUMMYFUNCTION("""COMPUTED_VALUE"""),"Market Cap UDA")</f>
        <v>Market Cap UDA</v>
      </c>
      <c r="EC5" s="50" t="str">
        <f ca="1">IFERROR(__xludf.DUMMYFUNCTION("""COMPUTED_VALUE"""),"Region")</f>
        <v>Region</v>
      </c>
      <c r="ED5" s="50" t="str">
        <f ca="1">IFERROR(__xludf.DUMMYFUNCTION("""COMPUTED_VALUE"""),"Risk Currency")</f>
        <v>Risk Currency</v>
      </c>
      <c r="EE5" s="50" t="str">
        <f ca="1">IFERROR(__xludf.DUMMYFUNCTION("""COMPUTED_VALUE"""),"UCITS Eligible Tag")</f>
        <v>UCITS Eligible Tag</v>
      </c>
      <c r="EF5" s="50" t="str">
        <f ca="1">IFERROR(__xludf.DUMMYFUNCTION("""COMPUTED_VALUE"""),"FX Rate (Display)")</f>
        <v>FX Rate (Display)</v>
      </c>
      <c r="EG5" s="50" t="str">
        <f ca="1">IFERROR(__xludf.DUMMYFUNCTION("""COMPUTED_VALUE"""),"% Net Exposure (Base)")</f>
        <v>% Net Exposure (Base)</v>
      </c>
      <c r="EH5" s="50" t="str">
        <f ca="1">IFERROR(__xludf.DUMMYFUNCTION("""COMPUTED_VALUE"""),"% Gross Exposure (Base)")</f>
        <v>% Gross Exposure (Base)</v>
      </c>
      <c r="EI5" s="50" t="str">
        <f ca="1">IFERROR(__xludf.DUMMYFUNCTION("""COMPUTED_VALUE"""),"% Exposure (Base)")</f>
        <v>% Exposure (Base)</v>
      </c>
      <c r="EJ5" s="50" t="str">
        <f ca="1">IFERROR(__xludf.DUMMYFUNCTION("""COMPUTED_VALUE"""),"% Gross Exposure (Underlying) (Base)")</f>
        <v>% Gross Exposure (Underlying) (Base)</v>
      </c>
      <c r="EK5" s="50" t="str">
        <f ca="1">IFERROR(__xludf.DUMMYFUNCTION("""COMPUTED_VALUE"""),"% Beta Adj. Gross Exposure (Base)")</f>
        <v>% Beta Adj. Gross Exposure (Base)</v>
      </c>
      <c r="EL5" s="50" t="str">
        <f ca="1">IFERROR(__xludf.DUMMYFUNCTION("""COMPUTED_VALUE"""),"Position Side Exposure (Underlying)")</f>
        <v>Position Side Exposure (Underlying)</v>
      </c>
      <c r="EM5" s="50" t="str">
        <f ca="1">IFERROR(__xludf.DUMMYFUNCTION("""COMPUTED_VALUE"""),"Gross Exposure (Underlying) (Base)")</f>
        <v>Gross Exposure (Underlying) (Base)</v>
      </c>
      <c r="EN5" s="50" t="str">
        <f ca="1">IFERROR(__xludf.DUMMYFUNCTION("""COMPUTED_VALUE"""),"Gross Exposure (Underlying)")</f>
        <v>Gross Exposure (Underlying)</v>
      </c>
      <c r="EO5" s="50" t="str">
        <f ca="1">IFERROR(__xludf.DUMMYFUNCTION("""COMPUTED_VALUE"""),"Day Return")</f>
        <v>Day Return</v>
      </c>
      <c r="EP5" s="50" t="str">
        <f ca="1">IFERROR(__xludf.DUMMYFUNCTION("""COMPUTED_VALUE"""),"Start of Day NAV")</f>
        <v>Start of Day NAV</v>
      </c>
      <c r="EQ5" s="50" t="str">
        <f ca="1">IFERROR(__xludf.DUMMYFUNCTION("""COMPUTED_VALUE"""),"% Gross Market Value (Base)")</f>
        <v>% Gross Market Value (Base)</v>
      </c>
      <c r="ER5" s="50" t="str">
        <f ca="1">IFERROR(__xludf.DUMMYFUNCTION("""COMPUTED_VALUE"""),"Beta Adj. Gross Exposure (Underlying) (Local)")</f>
        <v>Beta Adj. Gross Exposure (Underlying) (Local)</v>
      </c>
      <c r="ES5" s="50" t="str">
        <f ca="1">IFERROR(__xludf.DUMMYFUNCTION("""COMPUTED_VALUE"""),"NAV")</f>
        <v>NAV</v>
      </c>
      <c r="ET5" s="50" t="str">
        <f ca="1">IFERROR(__xludf.DUMMYFUNCTION("""COMPUTED_VALUE"""),"% P&amp;L Contribution")</f>
        <v>% P&amp;L Contribution</v>
      </c>
      <c r="EU5" s="50" t="str">
        <f ca="1">IFERROR(__xludf.DUMMYFUNCTION("""COMPUTED_VALUE"""),"% Net Market Value (Base)")</f>
        <v>% Net Market Value (Base)</v>
      </c>
      <c r="EV5" s="50" t="str">
        <f ca="1">IFERROR(__xludf.DUMMYFUNCTION("""COMPUTED_VALUE"""),"Position Side Exposure")</f>
        <v>Position Side Exposure</v>
      </c>
      <c r="EW5" s="50" t="str">
        <f ca="1">IFERROR(__xludf.DUMMYFUNCTION("""COMPUTED_VALUE"""),"NAV (Touch)")</f>
        <v>NAV (Touch)</v>
      </c>
      <c r="EX5" s="50" t="str">
        <f ca="1">IFERROR(__xludf.DUMMYFUNCTION("""COMPUTED_VALUE"""),"IgnorePropertyChangeEvents")</f>
        <v>IgnorePropertyChangeEvents</v>
      </c>
      <c r="EY5" s="50" t="str">
        <f ca="1">IFERROR(__xludf.DUMMYFUNCTION("""COMPUTED_VALUE"""),"Trade Attribute 1")</f>
        <v>Trade Attribute 1</v>
      </c>
      <c r="EZ5" s="50" t="str">
        <f ca="1">IFERROR(__xludf.DUMMYFUNCTION("""COMPUTED_VALUE"""),"Trade Attribute 2")</f>
        <v>Trade Attribute 2</v>
      </c>
      <c r="FA5" s="50" t="str">
        <f ca="1">IFERROR(__xludf.DUMMYFUNCTION("""COMPUTED_VALUE"""),"")</f>
        <v/>
      </c>
      <c r="FB5" s="50" t="str">
        <f ca="1">IFERROR(__xludf.DUMMYFUNCTION("""COMPUTED_VALUE"""),"")</f>
        <v/>
      </c>
      <c r="FC5" s="50" t="str">
        <f ca="1">IFERROR(__xludf.DUMMYFUNCTION("""COMPUTED_VALUE"""),"")</f>
        <v/>
      </c>
      <c r="FD5" s="50" t="str">
        <f ca="1">IFERROR(__xludf.DUMMYFUNCTION("""COMPUTED_VALUE"""),"")</f>
        <v/>
      </c>
      <c r="FE5" s="50" t="str">
        <f ca="1">IFERROR(__xludf.DUMMYFUNCTION("""COMPUTED_VALUE"""),"")</f>
        <v/>
      </c>
      <c r="FF5" s="50" t="str">
        <f ca="1">IFERROR(__xludf.DUMMYFUNCTION("""COMPUTED_VALUE"""),"")</f>
        <v/>
      </c>
      <c r="FG5" s="50" t="str">
        <f ca="1">IFERROR(__xludf.DUMMYFUNCTION("""COMPUTED_VALUE"""),"")</f>
        <v/>
      </c>
      <c r="FH5" s="50" t="str">
        <f ca="1">IFERROR(__xludf.DUMMYFUNCTION("""COMPUTED_VALUE"""),"")</f>
        <v/>
      </c>
      <c r="FI5" s="50" t="str">
        <f ca="1">IFERROR(__xludf.DUMMYFUNCTION("""COMPUTED_VALUE"""),"")</f>
        <v/>
      </c>
      <c r="FJ5" s="50" t="str">
        <f ca="1">IFERROR(__xludf.DUMMYFUNCTION("""COMPUTED_VALUE"""),"")</f>
        <v/>
      </c>
    </row>
    <row r="6" spans="1:166" ht="15.75" customHeight="1">
      <c r="A6" s="51"/>
      <c r="B6" s="51"/>
      <c r="C6" s="52" t="s">
        <v>18</v>
      </c>
      <c r="D6" s="53">
        <v>100</v>
      </c>
      <c r="E6" s="52" t="s">
        <v>20</v>
      </c>
      <c r="F6" s="52" t="s">
        <v>34</v>
      </c>
      <c r="G6" s="53">
        <v>5</v>
      </c>
      <c r="H6" s="52" t="s">
        <v>35</v>
      </c>
      <c r="I6" s="54">
        <v>1019.11</v>
      </c>
      <c r="J6" s="53">
        <v>100</v>
      </c>
      <c r="K6" s="54">
        <v>1019.11</v>
      </c>
      <c r="L6" s="54">
        <v>1019.11</v>
      </c>
      <c r="M6" s="54">
        <v>1019.11</v>
      </c>
      <c r="N6" s="54">
        <v>1019.11</v>
      </c>
      <c r="O6" s="52" t="s">
        <v>18</v>
      </c>
      <c r="P6" s="53">
        <v>6</v>
      </c>
      <c r="Q6" s="54">
        <v>382.17</v>
      </c>
      <c r="R6" s="52" t="s">
        <v>36</v>
      </c>
      <c r="S6" s="52" t="s">
        <v>37</v>
      </c>
      <c r="T6" s="52" t="s">
        <v>38</v>
      </c>
      <c r="U6" s="52" t="s">
        <v>39</v>
      </c>
      <c r="V6" s="52" t="s">
        <v>40</v>
      </c>
      <c r="W6" s="52" t="s">
        <v>41</v>
      </c>
      <c r="X6" s="53">
        <v>10</v>
      </c>
      <c r="Y6" s="54">
        <v>0.13</v>
      </c>
      <c r="Z6" s="52" t="s">
        <v>42</v>
      </c>
      <c r="AA6" s="52" t="s">
        <v>42</v>
      </c>
      <c r="AB6" s="53">
        <v>0</v>
      </c>
      <c r="AC6" s="54">
        <v>33.33</v>
      </c>
      <c r="AD6" s="53">
        <v>8000</v>
      </c>
      <c r="AE6" s="53">
        <v>8000</v>
      </c>
      <c r="AF6" s="53">
        <v>100</v>
      </c>
      <c r="AG6" s="54">
        <v>1019.11</v>
      </c>
      <c r="AH6" s="53">
        <v>8000</v>
      </c>
      <c r="AI6" s="54">
        <v>1019.11</v>
      </c>
      <c r="AJ6" s="54">
        <v>3398.04</v>
      </c>
      <c r="AK6" s="53">
        <v>2000</v>
      </c>
      <c r="AL6" s="53">
        <v>1</v>
      </c>
      <c r="AM6" s="53">
        <v>1</v>
      </c>
      <c r="AN6" s="52" t="s">
        <v>19</v>
      </c>
      <c r="AO6" s="52" t="s">
        <v>42</v>
      </c>
      <c r="AP6" s="52" t="s">
        <v>35</v>
      </c>
      <c r="AQ6" s="52" t="s">
        <v>18</v>
      </c>
      <c r="AR6" s="53">
        <v>8</v>
      </c>
      <c r="AS6" s="53">
        <v>1</v>
      </c>
      <c r="AT6" s="52" t="s">
        <v>43</v>
      </c>
      <c r="AU6" s="52" t="s">
        <v>44</v>
      </c>
      <c r="AV6" s="53"/>
      <c r="AW6" s="53">
        <v>3000</v>
      </c>
      <c r="AX6" s="53">
        <v>0</v>
      </c>
      <c r="AY6" s="53">
        <v>0</v>
      </c>
      <c r="AZ6" s="53">
        <v>2000</v>
      </c>
      <c r="BA6" s="53">
        <v>160</v>
      </c>
      <c r="BB6" s="52"/>
      <c r="BC6" s="53">
        <v>1</v>
      </c>
      <c r="BD6" s="53">
        <v>0</v>
      </c>
      <c r="BE6" s="52" t="s">
        <v>38</v>
      </c>
      <c r="BF6" s="52" t="s">
        <v>45</v>
      </c>
      <c r="BG6" s="52" t="s">
        <v>45</v>
      </c>
      <c r="BH6" s="52" t="s">
        <v>45</v>
      </c>
      <c r="BI6" s="52" t="s">
        <v>45</v>
      </c>
      <c r="BJ6" s="53">
        <v>0</v>
      </c>
      <c r="BK6" s="53">
        <v>0</v>
      </c>
      <c r="BL6" s="53">
        <v>0</v>
      </c>
      <c r="BM6" s="53">
        <v>0</v>
      </c>
      <c r="BN6" s="52"/>
      <c r="BO6" s="53">
        <v>0</v>
      </c>
      <c r="BP6" s="53">
        <v>0</v>
      </c>
      <c r="BQ6" s="52" t="s">
        <v>46</v>
      </c>
      <c r="BR6" s="52" t="s">
        <v>47</v>
      </c>
      <c r="BS6" s="53">
        <v>0</v>
      </c>
      <c r="BT6" s="53">
        <v>0</v>
      </c>
      <c r="BU6" s="52" t="s">
        <v>38</v>
      </c>
      <c r="BV6" s="52"/>
      <c r="BW6" s="53">
        <v>0</v>
      </c>
      <c r="BX6" s="54">
        <v>1019.11</v>
      </c>
      <c r="BY6" s="54">
        <v>1019.11</v>
      </c>
      <c r="BZ6" s="53">
        <v>8</v>
      </c>
      <c r="CA6" s="54">
        <v>1.02</v>
      </c>
      <c r="CB6" s="52"/>
      <c r="CC6" s="53">
        <v>0</v>
      </c>
      <c r="CD6" s="54">
        <v>254.78</v>
      </c>
      <c r="CE6" s="54">
        <v>764.33</v>
      </c>
      <c r="CF6" s="53">
        <v>0</v>
      </c>
      <c r="CG6" s="54">
        <v>382.17</v>
      </c>
      <c r="CH6" s="53">
        <v>60</v>
      </c>
      <c r="CI6" s="53">
        <v>0</v>
      </c>
      <c r="CJ6" s="53">
        <v>0</v>
      </c>
      <c r="CK6" s="55" t="b">
        <v>0</v>
      </c>
      <c r="CL6" s="52" t="s">
        <v>42</v>
      </c>
      <c r="CM6" s="52" t="s">
        <v>42</v>
      </c>
      <c r="CN6" s="52" t="s">
        <v>42</v>
      </c>
      <c r="CO6" s="52" t="s">
        <v>42</v>
      </c>
      <c r="CP6" s="52" t="s">
        <v>42</v>
      </c>
      <c r="CQ6" s="52" t="s">
        <v>42</v>
      </c>
      <c r="CR6" s="53"/>
      <c r="CS6" s="53">
        <v>5</v>
      </c>
      <c r="CT6" s="52" t="s">
        <v>42</v>
      </c>
      <c r="CU6" s="52" t="s">
        <v>42</v>
      </c>
      <c r="CV6" s="52" t="s">
        <v>42</v>
      </c>
      <c r="CW6" s="52" t="s">
        <v>42</v>
      </c>
      <c r="CX6" s="52" t="s">
        <v>42</v>
      </c>
      <c r="CY6" s="52" t="s">
        <v>48</v>
      </c>
      <c r="CZ6" s="52" t="s">
        <v>49</v>
      </c>
      <c r="DA6" s="53">
        <v>8000</v>
      </c>
      <c r="DB6" s="53">
        <v>100</v>
      </c>
      <c r="DC6" s="53"/>
      <c r="DD6" s="53">
        <v>100</v>
      </c>
      <c r="DE6" s="53">
        <v>0</v>
      </c>
      <c r="DF6" s="53">
        <v>0</v>
      </c>
      <c r="DG6" s="53">
        <v>0</v>
      </c>
      <c r="DH6" s="53">
        <v>6</v>
      </c>
      <c r="DI6" s="54">
        <v>33.33</v>
      </c>
      <c r="DJ6" s="52" t="s">
        <v>19</v>
      </c>
      <c r="DK6" s="53">
        <v>0</v>
      </c>
      <c r="DL6" s="53">
        <v>0</v>
      </c>
      <c r="DM6" s="53">
        <v>0</v>
      </c>
      <c r="DN6" s="53">
        <v>2</v>
      </c>
      <c r="DO6" s="52" t="s">
        <v>42</v>
      </c>
      <c r="DP6" s="52" t="s">
        <v>35</v>
      </c>
      <c r="DQ6" s="52" t="s">
        <v>45</v>
      </c>
      <c r="DR6" s="52" t="s">
        <v>50</v>
      </c>
      <c r="DS6" s="52" t="s">
        <v>45</v>
      </c>
      <c r="DT6" s="52" t="s">
        <v>45</v>
      </c>
      <c r="DU6" s="52" t="s">
        <v>45</v>
      </c>
      <c r="DV6" s="52" t="s">
        <v>45</v>
      </c>
      <c r="DW6" s="52" t="s">
        <v>45</v>
      </c>
      <c r="DX6" s="52" t="s">
        <v>45</v>
      </c>
      <c r="DY6" s="52" t="s">
        <v>45</v>
      </c>
      <c r="DZ6" s="52" t="s">
        <v>18</v>
      </c>
      <c r="EA6" s="52" t="s">
        <v>51</v>
      </c>
      <c r="EB6" s="52" t="s">
        <v>45</v>
      </c>
      <c r="EC6" s="52" t="s">
        <v>45</v>
      </c>
      <c r="ED6" s="52" t="s">
        <v>41</v>
      </c>
      <c r="EE6" s="52" t="s">
        <v>51</v>
      </c>
      <c r="EF6" s="53">
        <v>7.85</v>
      </c>
      <c r="EG6" s="54">
        <v>33.979999999999997</v>
      </c>
      <c r="EH6" s="54">
        <v>33.979999999999997</v>
      </c>
      <c r="EI6" s="54">
        <v>33.979999999999997</v>
      </c>
      <c r="EJ6" s="54">
        <v>33.979999999999997</v>
      </c>
      <c r="EK6" s="54">
        <v>33.979999999999997</v>
      </c>
      <c r="EL6" s="52" t="s">
        <v>35</v>
      </c>
      <c r="EM6" s="54">
        <v>1019.11</v>
      </c>
      <c r="EN6" s="53">
        <v>8000</v>
      </c>
      <c r="EO6" s="53">
        <v>0</v>
      </c>
      <c r="EP6" s="53">
        <v>-20</v>
      </c>
      <c r="EQ6" s="54">
        <v>33.979999999999997</v>
      </c>
      <c r="ER6" s="53">
        <v>8000</v>
      </c>
      <c r="ES6" s="54">
        <v>2999.11</v>
      </c>
      <c r="ET6" s="54">
        <v>33.979999999999997</v>
      </c>
      <c r="EU6" s="54">
        <v>33.979999999999997</v>
      </c>
      <c r="EV6" s="52" t="s">
        <v>35</v>
      </c>
      <c r="EW6" s="54">
        <v>2999.11</v>
      </c>
      <c r="EX6" s="55" t="b">
        <v>0</v>
      </c>
      <c r="EY6" s="52" t="s">
        <v>42</v>
      </c>
      <c r="EZ6" s="52" t="s">
        <v>42</v>
      </c>
      <c r="FA6" s="39"/>
      <c r="FB6" s="39"/>
      <c r="FC6" s="39"/>
      <c r="FD6" s="39"/>
      <c r="FE6" s="39"/>
      <c r="FF6" s="39"/>
      <c r="FG6" s="39"/>
      <c r="FH6" s="39"/>
      <c r="FI6" s="39"/>
      <c r="FJ6" s="39"/>
    </row>
    <row r="7" spans="1:166" ht="15.75" customHeight="1">
      <c r="A7" s="37"/>
      <c r="B7" s="37"/>
      <c r="C7" s="52" t="s">
        <v>22</v>
      </c>
      <c r="D7" s="53">
        <v>100</v>
      </c>
      <c r="E7" s="52" t="s">
        <v>20</v>
      </c>
      <c r="F7" s="52" t="s">
        <v>34</v>
      </c>
      <c r="G7" s="53">
        <v>33</v>
      </c>
      <c r="H7" s="52" t="s">
        <v>35</v>
      </c>
      <c r="I7" s="53">
        <v>2000</v>
      </c>
      <c r="J7" s="53">
        <v>100</v>
      </c>
      <c r="K7" s="53">
        <v>62000</v>
      </c>
      <c r="L7" s="53">
        <v>62000</v>
      </c>
      <c r="M7" s="53">
        <v>62000</v>
      </c>
      <c r="N7" s="53">
        <v>2000</v>
      </c>
      <c r="O7" s="52" t="s">
        <v>22</v>
      </c>
      <c r="P7" s="53">
        <v>30</v>
      </c>
      <c r="Q7" s="53">
        <v>-4000</v>
      </c>
      <c r="R7" s="52" t="s">
        <v>36</v>
      </c>
      <c r="S7" s="52" t="s">
        <v>37</v>
      </c>
      <c r="T7" s="52" t="s">
        <v>38</v>
      </c>
      <c r="U7" s="52" t="s">
        <v>52</v>
      </c>
      <c r="V7" s="52" t="s">
        <v>53</v>
      </c>
      <c r="W7" s="52" t="s">
        <v>28</v>
      </c>
      <c r="X7" s="53">
        <v>20</v>
      </c>
      <c r="Y7" s="53">
        <v>1</v>
      </c>
      <c r="Z7" s="52" t="s">
        <v>42</v>
      </c>
      <c r="AA7" s="52" t="s">
        <v>42</v>
      </c>
      <c r="AB7" s="53">
        <v>0</v>
      </c>
      <c r="AC7" s="54">
        <v>3.33</v>
      </c>
      <c r="AD7" s="53">
        <v>62000</v>
      </c>
      <c r="AE7" s="53">
        <v>62000</v>
      </c>
      <c r="AF7" s="53">
        <v>100</v>
      </c>
      <c r="AG7" s="53">
        <v>62000</v>
      </c>
      <c r="AH7" s="53">
        <v>62000</v>
      </c>
      <c r="AI7" s="53">
        <v>62000</v>
      </c>
      <c r="AJ7" s="54">
        <v>206728.11</v>
      </c>
      <c r="AK7" s="53">
        <v>2000</v>
      </c>
      <c r="AL7" s="53">
        <v>1</v>
      </c>
      <c r="AM7" s="53">
        <v>1</v>
      </c>
      <c r="AN7" s="52" t="s">
        <v>19</v>
      </c>
      <c r="AO7" s="52" t="s">
        <v>42</v>
      </c>
      <c r="AP7" s="52" t="s">
        <v>35</v>
      </c>
      <c r="AQ7" s="52" t="s">
        <v>22</v>
      </c>
      <c r="AR7" s="53">
        <v>31</v>
      </c>
      <c r="AS7" s="53">
        <v>1</v>
      </c>
      <c r="AT7" s="52" t="s">
        <v>43</v>
      </c>
      <c r="AU7" s="52" t="s">
        <v>44</v>
      </c>
      <c r="AV7" s="53"/>
      <c r="AW7" s="53">
        <v>-4000</v>
      </c>
      <c r="AX7" s="53">
        <v>0</v>
      </c>
      <c r="AY7" s="53">
        <v>0</v>
      </c>
      <c r="AZ7" s="53">
        <v>2000</v>
      </c>
      <c r="BA7" s="54">
        <v>3.03</v>
      </c>
      <c r="BB7" s="52"/>
      <c r="BC7" s="53">
        <v>1</v>
      </c>
      <c r="BD7" s="53">
        <v>0</v>
      </c>
      <c r="BE7" s="52" t="s">
        <v>38</v>
      </c>
      <c r="BF7" s="52" t="s">
        <v>45</v>
      </c>
      <c r="BG7" s="52" t="s">
        <v>45</v>
      </c>
      <c r="BH7" s="52" t="s">
        <v>45</v>
      </c>
      <c r="BI7" s="52" t="s">
        <v>45</v>
      </c>
      <c r="BJ7" s="53">
        <v>0</v>
      </c>
      <c r="BK7" s="53">
        <v>0</v>
      </c>
      <c r="BL7" s="53">
        <v>0</v>
      </c>
      <c r="BM7" s="53">
        <v>0</v>
      </c>
      <c r="BN7" s="52"/>
      <c r="BO7" s="53">
        <v>0</v>
      </c>
      <c r="BP7" s="53">
        <v>0</v>
      </c>
      <c r="BQ7" s="52" t="s">
        <v>46</v>
      </c>
      <c r="BR7" s="52" t="s">
        <v>47</v>
      </c>
      <c r="BS7" s="53">
        <v>0</v>
      </c>
      <c r="BT7" s="53">
        <v>0</v>
      </c>
      <c r="BU7" s="52" t="s">
        <v>38</v>
      </c>
      <c r="BV7" s="52"/>
      <c r="BW7" s="53">
        <v>0</v>
      </c>
      <c r="BX7" s="53">
        <v>62000</v>
      </c>
      <c r="BY7" s="53">
        <v>2000</v>
      </c>
      <c r="BZ7" s="53">
        <v>31</v>
      </c>
      <c r="CA7" s="53">
        <v>31</v>
      </c>
      <c r="CB7" s="52"/>
      <c r="CC7" s="53">
        <v>0</v>
      </c>
      <c r="CD7" s="53">
        <v>2000</v>
      </c>
      <c r="CE7" s="53">
        <v>0</v>
      </c>
      <c r="CF7" s="53">
        <v>0</v>
      </c>
      <c r="CG7" s="53">
        <v>-4000</v>
      </c>
      <c r="CH7" s="54">
        <v>-6.06</v>
      </c>
      <c r="CI7" s="53">
        <v>0</v>
      </c>
      <c r="CJ7" s="53">
        <v>0</v>
      </c>
      <c r="CK7" s="55" t="b">
        <v>0</v>
      </c>
      <c r="CL7" s="52" t="s">
        <v>42</v>
      </c>
      <c r="CM7" s="52" t="s">
        <v>42</v>
      </c>
      <c r="CN7" s="52" t="s">
        <v>42</v>
      </c>
      <c r="CO7" s="52" t="s">
        <v>42</v>
      </c>
      <c r="CP7" s="52" t="s">
        <v>42</v>
      </c>
      <c r="CQ7" s="52" t="s">
        <v>42</v>
      </c>
      <c r="CR7" s="53"/>
      <c r="CS7" s="53">
        <v>33</v>
      </c>
      <c r="CT7" s="52" t="s">
        <v>42</v>
      </c>
      <c r="CU7" s="52" t="s">
        <v>42</v>
      </c>
      <c r="CV7" s="52" t="s">
        <v>42</v>
      </c>
      <c r="CW7" s="52" t="s">
        <v>42</v>
      </c>
      <c r="CX7" s="52" t="s">
        <v>42</v>
      </c>
      <c r="CY7" s="52" t="s">
        <v>48</v>
      </c>
      <c r="CZ7" s="52" t="s">
        <v>49</v>
      </c>
      <c r="DA7" s="53">
        <v>62000</v>
      </c>
      <c r="DB7" s="53">
        <v>100</v>
      </c>
      <c r="DC7" s="53"/>
      <c r="DD7" s="53">
        <v>100</v>
      </c>
      <c r="DE7" s="53">
        <v>0</v>
      </c>
      <c r="DF7" s="53">
        <v>0</v>
      </c>
      <c r="DG7" s="53">
        <v>0</v>
      </c>
      <c r="DH7" s="53">
        <v>30</v>
      </c>
      <c r="DI7" s="54">
        <v>3.33</v>
      </c>
      <c r="DJ7" s="52" t="s">
        <v>19</v>
      </c>
      <c r="DK7" s="53">
        <v>0</v>
      </c>
      <c r="DL7" s="53">
        <v>0</v>
      </c>
      <c r="DM7" s="53">
        <v>1</v>
      </c>
      <c r="DN7" s="53">
        <v>1</v>
      </c>
      <c r="DO7" s="52" t="s">
        <v>42</v>
      </c>
      <c r="DP7" s="52" t="s">
        <v>35</v>
      </c>
      <c r="DQ7" s="52" t="s">
        <v>54</v>
      </c>
      <c r="DR7" s="52" t="s">
        <v>54</v>
      </c>
      <c r="DS7" s="52" t="s">
        <v>54</v>
      </c>
      <c r="DT7" s="52" t="s">
        <v>54</v>
      </c>
      <c r="DU7" s="52" t="s">
        <v>54</v>
      </c>
      <c r="DV7" s="52" t="s">
        <v>54</v>
      </c>
      <c r="DW7" s="52" t="s">
        <v>54</v>
      </c>
      <c r="DX7" s="52" t="s">
        <v>54</v>
      </c>
      <c r="DY7" s="52" t="s">
        <v>54</v>
      </c>
      <c r="DZ7" s="52" t="s">
        <v>22</v>
      </c>
      <c r="EA7" s="52" t="s">
        <v>54</v>
      </c>
      <c r="EB7" s="52" t="s">
        <v>54</v>
      </c>
      <c r="EC7" s="52" t="s">
        <v>54</v>
      </c>
      <c r="ED7" s="52" t="s">
        <v>28</v>
      </c>
      <c r="EE7" s="52" t="s">
        <v>54</v>
      </c>
      <c r="EF7" s="53">
        <v>0</v>
      </c>
      <c r="EG7" s="54">
        <v>2067.2800000000002</v>
      </c>
      <c r="EH7" s="54">
        <v>2067.2800000000002</v>
      </c>
      <c r="EI7" s="54">
        <v>2067.2800000000002</v>
      </c>
      <c r="EJ7" s="54">
        <v>2067.2800000000002</v>
      </c>
      <c r="EK7" s="54">
        <v>2067.2800000000002</v>
      </c>
      <c r="EL7" s="52" t="s">
        <v>35</v>
      </c>
      <c r="EM7" s="53">
        <v>62000</v>
      </c>
      <c r="EN7" s="53">
        <v>62000</v>
      </c>
      <c r="EO7" s="53">
        <v>0</v>
      </c>
      <c r="EP7" s="53">
        <v>-20</v>
      </c>
      <c r="EQ7" s="54">
        <v>66.69</v>
      </c>
      <c r="ER7" s="53">
        <v>62000</v>
      </c>
      <c r="ES7" s="54">
        <v>2999.11</v>
      </c>
      <c r="ET7" s="54">
        <v>66.69</v>
      </c>
      <c r="EU7" s="54">
        <v>66.69</v>
      </c>
      <c r="EV7" s="52" t="s">
        <v>35</v>
      </c>
      <c r="EW7" s="54">
        <v>2999.11</v>
      </c>
      <c r="EX7" s="55" t="b">
        <v>0</v>
      </c>
      <c r="EY7" s="52" t="s">
        <v>42</v>
      </c>
      <c r="EZ7" s="52" t="s">
        <v>42</v>
      </c>
      <c r="FA7" s="39"/>
      <c r="FB7" s="39"/>
      <c r="FC7" s="39"/>
      <c r="FD7" s="39"/>
      <c r="FE7" s="39"/>
      <c r="FF7" s="39"/>
      <c r="FG7" s="39"/>
      <c r="FH7" s="39"/>
      <c r="FI7" s="39"/>
      <c r="FJ7" s="39"/>
    </row>
    <row r="8" spans="1:166" ht="15.7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</row>
    <row r="9" spans="1:166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</row>
    <row r="10" spans="1:166" ht="15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</row>
    <row r="11" spans="1:166" ht="15.7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</row>
    <row r="12" spans="1:166" ht="15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</row>
    <row r="13" spans="1:166" ht="15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</row>
    <row r="14" spans="1:166" ht="15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</row>
    <row r="15" spans="1:166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</row>
    <row r="16" spans="1:16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</row>
    <row r="17" spans="1:166" ht="15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</row>
    <row r="18" spans="1:166" ht="15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</row>
    <row r="19" spans="1:166" ht="15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</row>
    <row r="20" spans="1:166" ht="15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</row>
    <row r="21" spans="1:166" ht="1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</row>
    <row r="22" spans="1:166" ht="1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</row>
    <row r="23" spans="1:166" ht="15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</row>
    <row r="24" spans="1:166" ht="15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</row>
    <row r="25" spans="1:166" ht="15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</row>
    <row r="26" spans="1:16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</row>
    <row r="27" spans="1:166" ht="15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</row>
    <row r="28" spans="1:166" ht="15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</row>
    <row r="29" spans="1:166" ht="15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</row>
    <row r="30" spans="1:166" ht="15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</row>
    <row r="31" spans="1:166" ht="15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</row>
    <row r="32" spans="1:166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</row>
    <row r="33" spans="1:166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</row>
    <row r="34" spans="1:166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</row>
    <row r="35" spans="1:166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</row>
    <row r="36" spans="1:16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</row>
    <row r="37" spans="1:166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</row>
    <row r="38" spans="1:166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</row>
    <row r="39" spans="1:166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</row>
    <row r="40" spans="1:166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</row>
    <row r="41" spans="1:166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</row>
    <row r="42" spans="1:166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</row>
    <row r="43" spans="1:166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</row>
    <row r="44" spans="1:166" ht="15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</row>
    <row r="45" spans="1:166" ht="15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</row>
    <row r="46" spans="1:166" ht="15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</row>
    <row r="47" spans="1:166" ht="15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</row>
    <row r="48" spans="1:166" ht="15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</row>
    <row r="49" spans="1:166" ht="15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</row>
    <row r="50" spans="1:166" ht="15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</row>
    <row r="51" spans="1:166" ht="15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</row>
    <row r="52" spans="1:166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</row>
    <row r="53" spans="1:166" ht="15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</row>
    <row r="54" spans="1:166" ht="15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</row>
    <row r="55" spans="1:166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</row>
    <row r="56" spans="1:16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</row>
    <row r="57" spans="1:166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</row>
    <row r="58" spans="1:166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</row>
    <row r="59" spans="1:166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</row>
    <row r="60" spans="1:166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</row>
    <row r="61" spans="1:166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</row>
    <row r="62" spans="1:166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  <c r="DZ62" s="39"/>
      <c r="EA62" s="39"/>
      <c r="EB62" s="39"/>
      <c r="EC62" s="39"/>
      <c r="ED62" s="39"/>
      <c r="EE62" s="39"/>
      <c r="EF62" s="39"/>
      <c r="EG62" s="39"/>
      <c r="EH62" s="39"/>
      <c r="EI62" s="39"/>
      <c r="EJ62" s="39"/>
      <c r="EK62" s="39"/>
      <c r="EL62" s="39"/>
      <c r="EM62" s="39"/>
      <c r="EN62" s="39"/>
      <c r="EO62" s="39"/>
      <c r="EP62" s="39"/>
      <c r="EQ62" s="39"/>
      <c r="ER62" s="39"/>
      <c r="ES62" s="39"/>
      <c r="ET62" s="39"/>
      <c r="EU62" s="39"/>
      <c r="EV62" s="39"/>
      <c r="EW62" s="39"/>
      <c r="EX62" s="39"/>
      <c r="EY62" s="39"/>
      <c r="EZ62" s="39"/>
      <c r="FA62" s="39"/>
      <c r="FB62" s="39"/>
      <c r="FC62" s="39"/>
      <c r="FD62" s="39"/>
      <c r="FE62" s="39"/>
      <c r="FF62" s="39"/>
      <c r="FG62" s="39"/>
      <c r="FH62" s="39"/>
      <c r="FI62" s="39"/>
      <c r="FJ62" s="39"/>
    </row>
    <row r="63" spans="1:166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</row>
    <row r="64" spans="1:166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</row>
    <row r="65" spans="1:166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  <c r="CH65" s="39"/>
      <c r="CI65" s="39"/>
      <c r="CJ65" s="39"/>
      <c r="CK65" s="39"/>
      <c r="CL65" s="39"/>
      <c r="CM65" s="39"/>
      <c r="CN65" s="39"/>
      <c r="CO65" s="39"/>
      <c r="CP65" s="39"/>
      <c r="CQ65" s="39"/>
      <c r="CR65" s="39"/>
      <c r="CS65" s="39"/>
      <c r="CT65" s="39"/>
      <c r="CU65" s="39"/>
      <c r="CV65" s="39"/>
      <c r="CW65" s="39"/>
      <c r="CX65" s="39"/>
      <c r="CY65" s="39"/>
      <c r="CZ65" s="39"/>
      <c r="DA65" s="39"/>
      <c r="DB65" s="39"/>
      <c r="DC65" s="39"/>
      <c r="DD65" s="39"/>
      <c r="DE65" s="39"/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</row>
    <row r="66" spans="1:1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</row>
    <row r="67" spans="1:166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</row>
    <row r="68" spans="1:166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</row>
    <row r="69" spans="1:166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</row>
    <row r="70" spans="1:166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</row>
    <row r="71" spans="1:166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</row>
    <row r="72" spans="1:166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  <c r="EZ72" s="39"/>
      <c r="FA72" s="39"/>
      <c r="FB72" s="39"/>
      <c r="FC72" s="39"/>
      <c r="FD72" s="39"/>
      <c r="FE72" s="39"/>
      <c r="FF72" s="39"/>
      <c r="FG72" s="39"/>
      <c r="FH72" s="39"/>
      <c r="FI72" s="39"/>
      <c r="FJ72" s="39"/>
    </row>
    <row r="73" spans="1:166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</row>
    <row r="74" spans="1:166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</row>
    <row r="75" spans="1:166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</row>
    <row r="76" spans="1:16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</row>
    <row r="77" spans="1:166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</row>
    <row r="78" spans="1:166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</row>
    <row r="79" spans="1:166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</row>
    <row r="80" spans="1:166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</row>
    <row r="81" spans="1:166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</row>
    <row r="82" spans="1:166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</row>
    <row r="83" spans="1:166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</row>
    <row r="84" spans="1:166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</row>
    <row r="85" spans="1:166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</row>
    <row r="86" spans="1:16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</row>
    <row r="87" spans="1:166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</row>
    <row r="88" spans="1:166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</row>
    <row r="89" spans="1:166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</row>
    <row r="90" spans="1:166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</row>
    <row r="91" spans="1:166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</row>
    <row r="92" spans="1:166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  <c r="EZ92" s="39"/>
      <c r="FA92" s="39"/>
      <c r="FB92" s="39"/>
      <c r="FC92" s="39"/>
      <c r="FD92" s="39"/>
      <c r="FE92" s="39"/>
      <c r="FF92" s="39"/>
      <c r="FG92" s="39"/>
      <c r="FH92" s="39"/>
      <c r="FI92" s="39"/>
      <c r="FJ92" s="39"/>
    </row>
    <row r="93" spans="1:166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</row>
    <row r="94" spans="1:166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</row>
    <row r="95" spans="1:166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</row>
    <row r="96" spans="1:16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</row>
    <row r="97" spans="1:166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</row>
    <row r="98" spans="1:166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</row>
    <row r="99" spans="1:166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</row>
    <row r="100" spans="1:166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GetForexConversion</vt:lpstr>
      <vt:lpstr>UpdateForexConversion</vt:lpstr>
      <vt:lpstr>PricingInput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2021-08-04T09:53:29Z</dcterms:modified>
</cp:coreProperties>
</file>