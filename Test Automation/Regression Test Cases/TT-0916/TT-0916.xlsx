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ValidateSymbolTT" sheetId="6" r:id="rId8"/>
    <sheet state="visible" name="OpenQtt" sheetId="7" r:id="rId9"/>
    <sheet state="visible" name="TradeQTT" sheetId="8" r:id="rId10"/>
    <sheet state="visible" name="EditAuecWindowQTT" sheetId="9" r:id="rId11"/>
    <sheet state="visible" name="VerifyBrokerSummaryQTT" sheetId="10" r:id="rId12"/>
    <sheet state="visible" name="EditAuecWindowQTT1" sheetId="11" r:id="rId13"/>
    <sheet state="visible" name="VerifyBrokerSummaryQTT1" sheetId="12" r:id="rId14"/>
    <sheet state="visible" name="ValidateSymbolTT1" sheetId="13" r:id="rId15"/>
    <sheet state="visible" name="TradeQTT1" sheetId="14" r:id="rId16"/>
    <sheet state="visible" name="EditAuecWindowQTT2" sheetId="15" r:id="rId17"/>
    <sheet state="visible" name="VerifyBrokerSummaryQTT2" sheetId="16" r:id="rId18"/>
    <sheet state="visible" name="VerifyBrokerSummaryQTT3" sheetId="17" r:id="rId19"/>
    <sheet state="visible" name="CustomOrderTT" sheetId="18" r:id="rId20"/>
    <sheet state="visible" name="VerifyBlotter" sheetId="19" r:id="rId21"/>
  </sheets>
  <definedNames/>
  <calcPr/>
</workbook>
</file>

<file path=xl/sharedStrings.xml><?xml version="1.0" encoding="utf-8"?>
<sst xmlns="http://schemas.openxmlformats.org/spreadsheetml/2006/main" count="367" uniqueCount="103">
  <si>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</si>
  <si>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</si>
  <si>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</si>
  <si>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</si>
  <si>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</si>
  <si>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</si>
  <si>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</si>
  <si>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</si>
  <si>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</si>
  <si>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</si>
  <si>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</si>
  <si>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</si>
  <si>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</si>
  <si>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</si>
  <si>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</si>
  <si>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</si>
  <si>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</si>
  <si>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GS</t>
  </si>
  <si>
    <t>Allocation3</t>
  </si>
  <si>
    <t>MS</t>
  </si>
  <si>
    <t>Allocation2</t>
  </si>
  <si>
    <t>Allocation4</t>
  </si>
  <si>
    <t>TradingTicket</t>
  </si>
  <si>
    <t>SetGeneralPreference</t>
  </si>
  <si>
    <t>ValidateSymbolTT</t>
  </si>
  <si>
    <t>AAPL</t>
  </si>
  <si>
    <t>QTT</t>
  </si>
  <si>
    <t>OpenQtt</t>
  </si>
  <si>
    <t>Save</t>
  </si>
  <si>
    <t>TradeQTT</t>
  </si>
  <si>
    <t>kartik</t>
  </si>
  <si>
    <t>Day</t>
  </si>
  <si>
    <t>Market</t>
  </si>
  <si>
    <t>Stage</t>
  </si>
  <si>
    <t>EditAuecWindowQTT</t>
  </si>
  <si>
    <t>Show Summary</t>
  </si>
  <si>
    <t>VerifyBrokerSummaryQTT</t>
  </si>
  <si>
    <t>back</t>
  </si>
  <si>
    <t>show summary</t>
  </si>
  <si>
    <t>Ok</t>
  </si>
  <si>
    <t>MSFT</t>
  </si>
  <si>
    <t>sharma</t>
  </si>
  <si>
    <t>Allocation5</t>
  </si>
  <si>
    <t>CSFB</t>
  </si>
  <si>
    <t>ok</t>
  </si>
  <si>
    <t>CustomOrderTT</t>
  </si>
  <si>
    <t>CreateOrder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</si>
  <si>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</si>
  <si>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</si>
  <si>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</si>
  <si>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</si>
  <si>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</si>
  <si>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</si>
  <si>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</si>
  <si>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</si>
  <si>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</si>
  <si>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</si>
  <si>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</si>
  <si>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</si>
  <si>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</si>
  <si>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</si>
  <si>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</si>
  <si>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</si>
  <si>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</si>
  <si>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</si>
  <si>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</si>
  <si>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</si>
  <si>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</si>
  <si>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</si>
  <si>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</si>
  <si>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</si>
  <si>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</si>
  <si>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</si>
  <si>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Side</t>
  </si>
  <si>
    <t>Order Type</t>
  </si>
  <si>
    <t>Symbol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</si>
  <si>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</si>
  <si>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</si>
  <si>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</si>
  <si>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</si>
  <si>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</si>
  <si>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</si>
  <si>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</si>
  <si>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</si>
  <si>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</si>
  <si>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</si>
  <si>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</si>
  <si>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</si>
  <si>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</si>
  <si>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</si>
  <si>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</si>
  <si>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</si>
  <si>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</si>
  <si>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</si>
  <si>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</si>
  <si>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New</t>
  </si>
  <si>
    <t>Manual</t>
  </si>
  <si>
    <t>AAPL US EQUITY</t>
  </si>
  <si>
    <t>Buy</t>
  </si>
  <si>
    <t>Equity</t>
  </si>
  <si>
    <t>jpearce</t>
  </si>
  <si>
    <t>NASDAQ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</si>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</sst>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6" fontId="15" numFmtId="4" xfId="0" applyAlignment="1" applyBorder="1" applyFill="1" applyFont="1" applyNumberFormat="1">
      <alignment horizontal="right" vertical="bottom"/>
    </xf>
    <xf borderId="0" fillId="0" fontId="2" numFmtId="164" xfId="0" applyFont="1" applyNumberFormat="1"/>
    <xf borderId="5" fillId="7" fontId="15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IFERROR(__xludf.DUMMYFUNCTION("""COMPUTED_VALUE"""),"Title")</f>
        <v>Title</v>
      </c>
      <c r="C5" s="28" t="str">
        <f>IFERROR(__xludf.DUMMYFUNCTION("""COMPUTED_VALUE"""),"Symbol")</f>
        <v>Symbol</v>
      </c>
      <c r="D5" s="28" t="str">
        <f>IFERROR(__xludf.DUMMYFUNCTION("""COMPUTED_VALUE"""),"Quantity")</f>
        <v>Quantity</v>
      </c>
      <c r="E5" s="28" t="str">
        <f>IFERROR(__xludf.DUMMYFUNCTION("""COMPUTED_VALUE"""),"Allocation")</f>
        <v>Allocation</v>
      </c>
      <c r="F5" s="29" t="str">
        <f>IFERROR(__xludf.DUMMYFUNCTION("""COMPUTED_VALUE"""),"Broker")</f>
        <v>Broker</v>
      </c>
      <c r="G5" s="28" t="str">
        <f>IFERROR(__xludf.DUMMYFUNCTION("""COMPUTED_VALUE"""),"Venue")</f>
        <v>Venue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IFERROR(__xludf.DUMMYFUNCTION("""COMPUTED_VALUE"""),"Execution Type")</f>
        <v>Execution Type</v>
      </c>
      <c r="K5" s="28" t="str">
        <f>IFERROR(__xludf.DUMMYFUNCTION("""COMPUTED_VALUE"""),"Select Color")</f>
        <v>Select Color</v>
      </c>
      <c r="L5" s="28" t="str">
        <f>IFERROR(__xludf.DUMMYFUNCTION("""COMPUTED_VALUE"""),"Add To Favourite")</f>
        <v>Add To Favourite</v>
      </c>
      <c r="M5" s="28" t="str">
        <f>IFERROR(__xludf.DUMMYFUNCTION("""COMPUTED_VALUE"""),"AlgoType")</f>
        <v>AlgoType</v>
      </c>
      <c r="N5" s="28" t="str">
        <f>IFERROR(__xludf.DUMMYFUNCTION("""COMPUTED_VALUE"""),"Start time")</f>
        <v>Start time</v>
      </c>
      <c r="O5" s="28" t="str">
        <f>IFERROR(__xludf.DUMMYFUNCTION("""COMPUTED_VALUE"""),"End time")</f>
        <v>End time</v>
      </c>
      <c r="P5" s="28" t="str">
        <f>IFERROR(__xludf.DUMMYFUNCTION("""COMPUTED_VALUE"""),"EndTimeCheckBox")</f>
        <v>EndTimeCheckBox</v>
      </c>
      <c r="Q5" s="28" t="str">
        <f>IFERROR(__xludf.DUMMYFUNCTION("""COMPUTED_VALUE"""),"Style")</f>
        <v>Style</v>
      </c>
      <c r="R5" s="28" t="str">
        <f>IFERROR(__xludf.DUMMYFUNCTION("""COMPUTED_VALUE"""),"Save")</f>
        <v>Save</v>
      </c>
      <c r="S5" s="28" t="str">
        <f>IFERROR(__xludf.DUMMYFUNCTION("""COMPUTED_VALUE"""),"Quick Preferences Name")</f>
        <v>Quick Preferences Name</v>
      </c>
      <c r="T5" s="30" t="str">
        <f>IFERROR(__xludf.DUMMYFUNCTION("""COMPUTED_VALUE"""),"Expiration Date")</f>
        <v>Expiration Date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25</v>
      </c>
      <c r="D6" s="13">
        <v>100.0</v>
      </c>
      <c r="E6" s="13" t="s">
        <v>16</v>
      </c>
      <c r="F6" s="8"/>
      <c r="G6" s="8"/>
      <c r="H6" s="13" t="s">
        <v>31</v>
      </c>
      <c r="I6" s="13" t="s">
        <v>32</v>
      </c>
      <c r="J6" s="13" t="s">
        <v>33</v>
      </c>
      <c r="K6" s="8"/>
      <c r="L6" s="8"/>
      <c r="M6" s="8"/>
      <c r="N6" s="8"/>
      <c r="O6" s="8"/>
      <c r="R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 t="s">
        <v>17</v>
      </c>
      <c r="E6" s="13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EditAuecWindowQTT!$4:$4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IFERROR(__xludf.DUMMYFUNCTION("""COMPUTED_VALUE"""),"Qty")</f>
        <v>Qty</v>
      </c>
      <c r="D5" s="28" t="str">
        <f>IFERROR(__xludf.DUMMYFUNCTION("""COMPUTED_VALUE"""),"Broker")</f>
        <v>Broker</v>
      </c>
      <c r="E5" s="28" t="str">
        <f>IFERROR(__xludf.DUMMYFUNCTION("""COMPUTED_VALUE"""),"Broker Qty")</f>
        <v>Broker Qty</v>
      </c>
      <c r="F5" s="29" t="str">
        <f>IFERROR(__xludf.DUMMYFUNCTION("""COMPUTED_VALUE"""),"Next Action")</f>
        <v>Next 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 t="s">
        <v>17</v>
      </c>
      <c r="E6" s="13">
        <v>100.0</v>
      </c>
      <c r="F6" s="13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VerifyBrokerSummaryQTT!$4:$4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EditAuecWindowQTT1!$4:$4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IFERROR(__xludf.DUMMYFUNCTION("""COMPUTED_VALUE"""),"Qty")</f>
        <v>Qty</v>
      </c>
      <c r="D5" s="28" t="str">
        <f>IFERROR(__xludf.DUMMYFUNCTION("""COMPUTED_VALUE"""),"Broker")</f>
        <v>Broker</v>
      </c>
      <c r="E5" s="28" t="str">
        <f>IFERROR(__xludf.DUMMYFUNCTION("""COMPUTED_VALUE"""),"Broker Qty")</f>
        <v>Broker Qty</v>
      </c>
      <c r="F5" s="29" t="str">
        <f>IFERROR(__xludf.DUMMYFUNCTION("""COMPUTED_VALUE"""),"Next Action")</f>
        <v>Next 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 t="s">
        <v>17</v>
      </c>
      <c r="E6" s="13">
        <v>100.0</v>
      </c>
      <c r="F6" s="13" t="s">
        <v>39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VerifyBrokerSummaryQTT1!$4:$4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IFERROR(__xludf.DUMMYFUNCTION("""COMPUTED_VALUE"""),"Title")</f>
        <v>Title</v>
      </c>
      <c r="C5" s="28" t="str">
        <f>IFERROR(__xludf.DUMMYFUNCTION("""COMPUTED_VALUE"""),"Symbol")</f>
        <v>Symbol</v>
      </c>
      <c r="D5" s="28" t="str">
        <f>IFERROR(__xludf.DUMMYFUNCTION("""COMPUTED_VALUE"""),"Quantity")</f>
        <v>Quantity</v>
      </c>
      <c r="E5" s="28" t="str">
        <f>IFERROR(__xludf.DUMMYFUNCTION("""COMPUTED_VALUE"""),"Allocation")</f>
        <v>Allocation</v>
      </c>
      <c r="F5" s="29" t="str">
        <f>IFERROR(__xludf.DUMMYFUNCTION("""COMPUTED_VALUE"""),"Broker")</f>
        <v>Broker</v>
      </c>
      <c r="G5" s="28" t="str">
        <f>IFERROR(__xludf.DUMMYFUNCTION("""COMPUTED_VALUE"""),"Venue")</f>
        <v>Venue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IFERROR(__xludf.DUMMYFUNCTION("""COMPUTED_VALUE"""),"Execution Type")</f>
        <v>Execution Type</v>
      </c>
      <c r="K5" s="28" t="str">
        <f>IFERROR(__xludf.DUMMYFUNCTION("""COMPUTED_VALUE"""),"Select Color")</f>
        <v>Select Color</v>
      </c>
      <c r="L5" s="28" t="str">
        <f>IFERROR(__xludf.DUMMYFUNCTION("""COMPUTED_VALUE"""),"Add To Favourite")</f>
        <v>Add To Favourite</v>
      </c>
      <c r="M5" s="28" t="str">
        <f>IFERROR(__xludf.DUMMYFUNCTION("""COMPUTED_VALUE"""),"AlgoType")</f>
        <v>AlgoType</v>
      </c>
      <c r="N5" s="28" t="str">
        <f>IFERROR(__xludf.DUMMYFUNCTION("""COMPUTED_VALUE"""),"Start time")</f>
        <v>Start time</v>
      </c>
      <c r="O5" s="28" t="str">
        <f>IFERROR(__xludf.DUMMYFUNCTION("""COMPUTED_VALUE"""),"End time")</f>
        <v>End time</v>
      </c>
      <c r="P5" s="28" t="str">
        <f>IFERROR(__xludf.DUMMYFUNCTION("""COMPUTED_VALUE"""),"EndTimeCheckBox")</f>
        <v>EndTimeCheckBox</v>
      </c>
      <c r="Q5" s="28" t="str">
        <f>IFERROR(__xludf.DUMMYFUNCTION("""COMPUTED_VALUE"""),"Style")</f>
        <v>Style</v>
      </c>
      <c r="R5" s="28" t="str">
        <f>IFERROR(__xludf.DUMMYFUNCTION("""COMPUTED_VALUE"""),"Save")</f>
        <v>Save</v>
      </c>
      <c r="S5" s="28" t="str">
        <f>IFERROR(__xludf.DUMMYFUNCTION("""COMPUTED_VALUE"""),"Quick Preferences Name")</f>
        <v>Quick Preferences Name</v>
      </c>
      <c r="T5" s="30" t="str">
        <f>IFERROR(__xludf.DUMMYFUNCTION("""COMPUTED_VALUE"""),"Expiration Date")</f>
        <v>Expiration Date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 t="s">
        <v>40</v>
      </c>
      <c r="D6" s="13">
        <v>100.0</v>
      </c>
      <c r="E6" s="13" t="s">
        <v>42</v>
      </c>
      <c r="F6" s="13" t="s">
        <v>43</v>
      </c>
      <c r="G6" s="8"/>
      <c r="H6" s="13" t="s">
        <v>31</v>
      </c>
      <c r="I6" s="13" t="s">
        <v>32</v>
      </c>
      <c r="J6" s="13" t="s">
        <v>33</v>
      </c>
      <c r="K6" s="8"/>
      <c r="L6" s="8"/>
      <c r="M6" s="8"/>
      <c r="N6" s="8"/>
      <c r="O6" s="8"/>
      <c r="R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42</v>
      </c>
      <c r="D6" s="13" t="s">
        <v>19</v>
      </c>
      <c r="E6" s="13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EditAuecWindowQTT2!$4:$4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IFERROR(__xludf.DUMMYFUNCTION("""COMPUTED_VALUE"""),"Qty")</f>
        <v>Qty</v>
      </c>
      <c r="D5" s="28" t="str">
        <f>IFERROR(__xludf.DUMMYFUNCTION("""COMPUTED_VALUE"""),"Broker")</f>
        <v>Broker</v>
      </c>
      <c r="E5" s="28" t="str">
        <f>IFERROR(__xludf.DUMMYFUNCTION("""COMPUTED_VALUE"""),"Broker Qty")</f>
        <v>Broker Qty</v>
      </c>
      <c r="F5" s="29" t="str">
        <f>IFERROR(__xludf.DUMMYFUNCTION("""COMPUTED_VALUE"""),"Next Action")</f>
        <v>Next 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>
        <v>100.0</v>
      </c>
      <c r="D6" s="13" t="s">
        <v>19</v>
      </c>
      <c r="E6" s="13">
        <v>100.0</v>
      </c>
      <c r="F6" s="13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VerifyBrokerSummaryQTT2!$4:$4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IFERROR(__xludf.DUMMYFUNCTION("""COMPUTED_VALUE"""),"Qty")</f>
        <v>Qty</v>
      </c>
      <c r="D5" s="28" t="str">
        <f>IFERROR(__xludf.DUMMYFUNCTION("""COMPUTED_VALUE"""),"Broker")</f>
        <v>Broker</v>
      </c>
      <c r="E5" s="28" t="str">
        <f>IFERROR(__xludf.DUMMYFUNCTION("""COMPUTED_VALUE"""),"Broker Qty")</f>
        <v>Broker Qty</v>
      </c>
      <c r="F5" s="29" t="str">
        <f>IFERROR(__xludf.DUMMYFUNCTION("""COMPUTED_VALUE"""),"Next Action")</f>
        <v>Next 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>
        <v>100.0</v>
      </c>
      <c r="D6" s="13" t="s">
        <v>19</v>
      </c>
      <c r="E6" s="13">
        <v>100.0</v>
      </c>
      <c r="F6" s="13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VerifyBrokerSummaryQTT3!$4:$4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46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2"/>
      <c r="B5" s="32" t="s">
        <v>49</v>
      </c>
      <c r="C5" s="32" t="s">
        <v>50</v>
      </c>
      <c r="D5" s="32" t="s">
        <v>51</v>
      </c>
      <c r="E5" s="32" t="s">
        <v>52</v>
      </c>
      <c r="F5" s="33" t="s">
        <v>53</v>
      </c>
      <c r="G5" s="32" t="s">
        <v>54</v>
      </c>
      <c r="H5" s="32" t="s">
        <v>55</v>
      </c>
      <c r="I5" s="32" t="s">
        <v>56</v>
      </c>
      <c r="J5" s="32" t="s">
        <v>57</v>
      </c>
      <c r="K5" s="32" t="s">
        <v>58</v>
      </c>
      <c r="L5" s="32" t="s">
        <v>59</v>
      </c>
      <c r="M5" s="32" t="s">
        <v>60</v>
      </c>
      <c r="N5" s="32" t="s">
        <v>61</v>
      </c>
      <c r="O5" s="32" t="s">
        <v>62</v>
      </c>
      <c r="P5" s="32" t="s">
        <v>63</v>
      </c>
      <c r="Q5" s="32" t="s">
        <v>64</v>
      </c>
      <c r="R5" s="32" t="s">
        <v>65</v>
      </c>
      <c r="S5" s="32" t="s">
        <v>66</v>
      </c>
      <c r="T5" s="32" t="s">
        <v>67</v>
      </c>
      <c r="U5" s="32" t="s">
        <v>68</v>
      </c>
      <c r="V5" s="32" t="s">
        <v>69</v>
      </c>
      <c r="W5" s="32" t="s">
        <v>70</v>
      </c>
      <c r="X5" s="32" t="s">
        <v>71</v>
      </c>
      <c r="Y5" s="32" t="s">
        <v>72</v>
      </c>
      <c r="Z5" s="32" t="s">
        <v>73</v>
      </c>
      <c r="AA5" s="32" t="s">
        <v>74</v>
      </c>
      <c r="AB5" s="32" t="s">
        <v>75</v>
      </c>
      <c r="AC5" s="32" t="s">
        <v>76</v>
      </c>
      <c r="AD5" s="32" t="s">
        <v>77</v>
      </c>
      <c r="AE5" s="32" t="s">
        <v>78</v>
      </c>
      <c r="AF5" s="32" t="s">
        <v>79</v>
      </c>
      <c r="AG5" s="32" t="s">
        <v>80</v>
      </c>
      <c r="AH5" s="32" t="s">
        <v>81</v>
      </c>
      <c r="AI5" s="32" t="s">
        <v>82</v>
      </c>
      <c r="AJ5" s="32" t="s">
        <v>83</v>
      </c>
      <c r="AK5" s="32" t="s">
        <v>84</v>
      </c>
      <c r="AL5" s="32" t="s">
        <v>85</v>
      </c>
      <c r="AM5" s="32" t="s">
        <v>86</v>
      </c>
      <c r="AN5" s="32" t="s">
        <v>87</v>
      </c>
      <c r="AO5" s="32" t="s">
        <v>88</v>
      </c>
      <c r="AP5" s="32" t="s">
        <v>89</v>
      </c>
      <c r="AQ5" s="32" t="s">
        <v>90</v>
      </c>
      <c r="AR5" s="32" t="s">
        <v>91</v>
      </c>
      <c r="AS5" s="32" t="s">
        <v>92</v>
      </c>
      <c r="AT5" s="32" t="s">
        <v>93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94</v>
      </c>
      <c r="B6" s="34" t="s">
        <v>94</v>
      </c>
      <c r="C6" s="8" t="s">
        <v>94</v>
      </c>
      <c r="D6" s="34" t="s">
        <v>94</v>
      </c>
      <c r="E6" s="8"/>
      <c r="F6" s="8" t="s">
        <v>95</v>
      </c>
      <c r="G6" s="8" t="s">
        <v>94</v>
      </c>
      <c r="H6" s="8" t="s">
        <v>94</v>
      </c>
      <c r="I6" s="8"/>
      <c r="J6" s="8" t="s">
        <v>96</v>
      </c>
      <c r="K6" s="8" t="s">
        <v>94</v>
      </c>
      <c r="L6" s="8" t="s">
        <v>94</v>
      </c>
      <c r="M6" s="8" t="s">
        <v>94</v>
      </c>
      <c r="N6" s="8"/>
      <c r="O6" s="8"/>
      <c r="Q6" t="s">
        <v>97</v>
      </c>
      <c r="R6" t="s">
        <v>94</v>
      </c>
      <c r="S6" t="s">
        <v>94</v>
      </c>
      <c r="U6" t="s">
        <v>16</v>
      </c>
      <c r="X6" t="s">
        <v>94</v>
      </c>
      <c r="Y6" t="s">
        <v>94</v>
      </c>
      <c r="Z6" t="s">
        <v>98</v>
      </c>
      <c r="AB6" t="s">
        <v>25</v>
      </c>
      <c r="AC6" s="35">
        <v>100.0</v>
      </c>
      <c r="AD6" t="s">
        <v>94</v>
      </c>
      <c r="AE6" t="s">
        <v>94</v>
      </c>
      <c r="AF6" t="s">
        <v>99</v>
      </c>
      <c r="AG6" t="s">
        <v>94</v>
      </c>
      <c r="AH6" t="s">
        <v>94</v>
      </c>
      <c r="AI6" t="s">
        <v>100</v>
      </c>
      <c r="AJ6" t="s">
        <v>100</v>
      </c>
      <c r="AK6" t="s">
        <v>17</v>
      </c>
      <c r="AL6" t="s">
        <v>101</v>
      </c>
      <c r="AM6" t="s">
        <v>94</v>
      </c>
      <c r="AS6" t="s">
        <v>102</v>
      </c>
      <c r="AT6" t="s">
        <v>94</v>
      </c>
      <c r="AU6" t="s">
        <v>94</v>
      </c>
      <c r="AV6" t="s">
        <v>94</v>
      </c>
      <c r="AW6" t="s">
        <v>94</v>
      </c>
      <c r="AX6" t="s">
        <v>94</v>
      </c>
      <c r="AY6" t="s">
        <v>94</v>
      </c>
      <c r="AZ6" t="s">
        <v>94</v>
      </c>
      <c r="BA6" t="s">
        <v>94</v>
      </c>
      <c r="BB6" t="s">
        <v>94</v>
      </c>
      <c r="BC6" t="s">
        <v>94</v>
      </c>
      <c r="BD6" t="s">
        <v>94</v>
      </c>
      <c r="BE6" t="s">
        <v>94</v>
      </c>
      <c r="BF6" t="s">
        <v>94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94</v>
      </c>
      <c r="BM6" t="s">
        <v>94</v>
      </c>
      <c r="BN6" t="s">
        <v>94</v>
      </c>
      <c r="BO6" t="s">
        <v>94</v>
      </c>
      <c r="BP6" t="s">
        <v>94</v>
      </c>
      <c r="BQ6" t="s">
        <v>94</v>
      </c>
      <c r="BR6" t="s">
        <v>94</v>
      </c>
      <c r="BS6" t="s">
        <v>94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  <c r="CC6" t="s">
        <v>94</v>
      </c>
      <c r="CD6" t="s">
        <v>94</v>
      </c>
      <c r="CE6" t="s">
        <v>94</v>
      </c>
      <c r="CF6" t="s">
        <v>94</v>
      </c>
      <c r="CG6" t="s">
        <v>94</v>
      </c>
      <c r="CH6" t="s">
        <v>94</v>
      </c>
      <c r="CI6" t="s">
        <v>94</v>
      </c>
      <c r="CJ6" t="s">
        <v>94</v>
      </c>
      <c r="CK6" t="s">
        <v>94</v>
      </c>
      <c r="CL6" t="s">
        <v>94</v>
      </c>
      <c r="CM6" t="s">
        <v>94</v>
      </c>
      <c r="CN6" t="s">
        <v>94</v>
      </c>
      <c r="CO6" t="s">
        <v>94</v>
      </c>
      <c r="CP6" t="s">
        <v>94</v>
      </c>
      <c r="CQ6" t="s">
        <v>94</v>
      </c>
      <c r="CR6" t="s">
        <v>94</v>
      </c>
      <c r="CS6" t="s">
        <v>94</v>
      </c>
      <c r="CT6" t="s">
        <v>94</v>
      </c>
      <c r="CU6" t="s">
        <v>94</v>
      </c>
      <c r="CV6" t="s">
        <v>94</v>
      </c>
      <c r="CW6" t="s">
        <v>94</v>
      </c>
      <c r="CX6" t="s">
        <v>94</v>
      </c>
      <c r="CY6" t="s">
        <v>94</v>
      </c>
      <c r="CZ6" t="s">
        <v>94</v>
      </c>
      <c r="DA6" t="s">
        <v>94</v>
      </c>
      <c r="DB6" t="s">
        <v>94</v>
      </c>
      <c r="DC6" t="s">
        <v>94</v>
      </c>
      <c r="DD6" t="s">
        <v>94</v>
      </c>
      <c r="DE6" t="s">
        <v>94</v>
      </c>
      <c r="DF6" t="s">
        <v>94</v>
      </c>
      <c r="DG6" t="s">
        <v>94</v>
      </c>
      <c r="DH6" t="s">
        <v>94</v>
      </c>
      <c r="DI6" t="s">
        <v>94</v>
      </c>
      <c r="DJ6" t="s">
        <v>94</v>
      </c>
      <c r="DK6" t="s">
        <v>94</v>
      </c>
      <c r="DL6" t="s">
        <v>94</v>
      </c>
      <c r="DM6" t="s">
        <v>94</v>
      </c>
      <c r="DN6" t="s">
        <v>94</v>
      </c>
      <c r="DO6" t="s">
        <v>94</v>
      </c>
      <c r="DP6" t="s">
        <v>94</v>
      </c>
      <c r="DQ6" t="s">
        <v>94</v>
      </c>
      <c r="DR6" t="s">
        <v>94</v>
      </c>
      <c r="DS6" t="s">
        <v>94</v>
      </c>
      <c r="DT6" t="s">
        <v>94</v>
      </c>
      <c r="DU6" t="s">
        <v>94</v>
      </c>
      <c r="DV6" t="s">
        <v>94</v>
      </c>
      <c r="DW6" t="s">
        <v>94</v>
      </c>
      <c r="DX6" t="s">
        <v>94</v>
      </c>
      <c r="DY6" t="s">
        <v>94</v>
      </c>
      <c r="DZ6" t="s">
        <v>94</v>
      </c>
      <c r="EA6" t="s">
        <v>94</v>
      </c>
      <c r="EB6" t="s">
        <v>94</v>
      </c>
      <c r="EC6" t="s">
        <v>94</v>
      </c>
      <c r="ED6" t="s">
        <v>94</v>
      </c>
      <c r="EE6" t="s">
        <v>94</v>
      </c>
      <c r="EF6" t="s">
        <v>94</v>
      </c>
      <c r="EG6" t="s">
        <v>94</v>
      </c>
      <c r="EH6" t="s">
        <v>94</v>
      </c>
      <c r="EI6" t="s">
        <v>94</v>
      </c>
      <c r="EJ6" t="s">
        <v>94</v>
      </c>
      <c r="EK6" t="s">
        <v>94</v>
      </c>
      <c r="EL6" t="s">
        <v>94</v>
      </c>
      <c r="EM6" t="s">
        <v>94</v>
      </c>
      <c r="EN6" t="s">
        <v>94</v>
      </c>
      <c r="EO6" t="s">
        <v>94</v>
      </c>
      <c r="EP6" t="s">
        <v>94</v>
      </c>
      <c r="EQ6" t="s">
        <v>94</v>
      </c>
      <c r="ER6" t="s">
        <v>94</v>
      </c>
      <c r="ES6" t="s">
        <v>94</v>
      </c>
      <c r="ET6" t="s">
        <v>94</v>
      </c>
      <c r="EU6" t="s">
        <v>94</v>
      </c>
      <c r="EV6" t="s">
        <v>94</v>
      </c>
      <c r="EW6" t="s">
        <v>94</v>
      </c>
      <c r="EX6" t="s">
        <v>94</v>
      </c>
      <c r="FA6" t="s">
        <v>94</v>
      </c>
      <c r="FB6" t="s">
        <v>94</v>
      </c>
      <c r="FC6" t="s">
        <v>94</v>
      </c>
      <c r="FD6" t="s">
        <v>94</v>
      </c>
      <c r="FE6" t="s">
        <v>94</v>
      </c>
      <c r="FF6" t="s">
        <v>94</v>
      </c>
      <c r="FG6" t="s">
        <v>94</v>
      </c>
      <c r="FH6" t="s">
        <v>94</v>
      </c>
      <c r="FI6" t="s">
        <v>94</v>
      </c>
      <c r="FK6" t="s">
        <v>94</v>
      </c>
      <c r="FL6" t="s">
        <v>94</v>
      </c>
      <c r="FM6" t="s">
        <v>94</v>
      </c>
      <c r="FN6" t="s">
        <v>94</v>
      </c>
      <c r="FO6" t="s">
        <v>94</v>
      </c>
      <c r="FP6" t="s">
        <v>94</v>
      </c>
      <c r="FQ6" t="s">
        <v>94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C7" s="37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