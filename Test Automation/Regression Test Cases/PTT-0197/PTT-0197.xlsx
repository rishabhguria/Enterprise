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</sheets>
  <definedNames/>
  <calcPr/>
</workbook>
</file>

<file path=xl/sharedStrings.xml><?xml version="1.0" encoding="utf-8"?>
<sst xmlns="http://schemas.openxmlformats.org/spreadsheetml/2006/main" count="101" uniqueCount="40">
  <si>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</si>
  <si>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</si>
  <si>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</si>
  <si>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</si>
  <si>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</si>
  <si>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</si>
  <si>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</si>
  <si>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</si>
  <si>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</si>
  <si>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</si>
  <si>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</si>
  <si>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</si>
  <si>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</si>
  <si>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</si>
  <si>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</si>
  <si>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</si>
  <si>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</si>
  <si>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</si>
  <si>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</si>
  <si>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</si>
  <si>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Allocation2</t>
  </si>
  <si>
    <t>Allocation4</t>
  </si>
  <si>
    <t>TradingTicket</t>
  </si>
  <si>
    <t>CreateDoneAwayOrder</t>
  </si>
  <si>
    <t>A</t>
  </si>
  <si>
    <t>Buy</t>
  </si>
  <si>
    <t>TSLA</t>
  </si>
  <si>
    <t>Sell short</t>
  </si>
  <si>
    <t>PricingInput</t>
  </si>
  <si>
    <t>PTT</t>
  </si>
  <si>
    <t>CalculatePTT</t>
  </si>
  <si>
    <t>Set</t>
  </si>
  <si>
    <t>Account</t>
  </si>
  <si>
    <t>Allocation1,Allocation3</t>
  </si>
  <si>
    <t>VerifyPTT</t>
  </si>
  <si>
    <t>Sell</t>
  </si>
  <si>
    <t>No</t>
  </si>
  <si>
    <t>MasterFund</t>
  </si>
  <si>
    <t>NewMF1</t>
  </si>
  <si>
    <t>Buy to Close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</si>
</sst>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45267</v>
      </c>
      <c r="C6" s="32">
        <f>TODAY()</f>
        <v>45268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19</v>
      </c>
      <c r="C7" s="36" t="s">
        <v>18</v>
      </c>
      <c r="D7" s="37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8" t="s">
        <v>20</v>
      </c>
      <c r="C8" s="33" t="s">
        <v>18</v>
      </c>
      <c r="D8" s="37">
        <v>1.0E7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21</v>
      </c>
      <c r="C9" s="36" t="s">
        <v>18</v>
      </c>
      <c r="D9" s="37">
        <v>1.0E7</v>
      </c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36" t="s">
        <v>25</v>
      </c>
      <c r="D6" s="34">
        <v>100.0</v>
      </c>
      <c r="E6" s="33"/>
      <c r="F6" s="36" t="s">
        <v>17</v>
      </c>
      <c r="G6" s="33"/>
      <c r="H6" s="33"/>
      <c r="I6" s="33"/>
      <c r="J6" s="37">
        <v>2.0</v>
      </c>
      <c r="K6" s="33"/>
      <c r="L6" s="33"/>
      <c r="M6" s="33"/>
      <c r="N6" s="32">
        <f t="shared" ref="N6:N9" si="1">TODAY()-1</f>
        <v>45267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24</v>
      </c>
      <c r="C7" s="33" t="s">
        <v>25</v>
      </c>
      <c r="D7" s="37">
        <v>200.0</v>
      </c>
      <c r="E7" s="33"/>
      <c r="F7" s="38" t="s">
        <v>19</v>
      </c>
      <c r="G7" s="33"/>
      <c r="H7" s="33"/>
      <c r="I7" s="33"/>
      <c r="J7" s="37">
        <v>2.0</v>
      </c>
      <c r="K7" s="33"/>
      <c r="L7" s="33"/>
      <c r="M7" s="33"/>
      <c r="N7" s="32">
        <f t="shared" si="1"/>
        <v>45267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26</v>
      </c>
      <c r="C8" s="33" t="s">
        <v>27</v>
      </c>
      <c r="D8" s="37">
        <v>10000.0</v>
      </c>
      <c r="E8" s="33"/>
      <c r="F8" s="38" t="s">
        <v>20</v>
      </c>
      <c r="G8" s="33"/>
      <c r="H8" s="33"/>
      <c r="I8" s="33"/>
      <c r="J8" s="37">
        <v>2.0</v>
      </c>
      <c r="K8" s="33"/>
      <c r="L8" s="33"/>
      <c r="M8" s="33"/>
      <c r="N8" s="32">
        <f t="shared" si="1"/>
        <v>45267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26</v>
      </c>
      <c r="C9" s="33" t="s">
        <v>27</v>
      </c>
      <c r="D9" s="37">
        <v>20000.0</v>
      </c>
      <c r="E9" s="33"/>
      <c r="F9" s="38" t="s">
        <v>21</v>
      </c>
      <c r="G9" s="33"/>
      <c r="H9" s="33"/>
      <c r="I9" s="33"/>
      <c r="J9" s="37">
        <v>2.0</v>
      </c>
      <c r="K9" s="33"/>
      <c r="L9" s="33"/>
      <c r="M9" s="33"/>
      <c r="N9" s="32">
        <f t="shared" si="1"/>
        <v>45267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37">
        <v>2.0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26</v>
      </c>
      <c r="C7" s="37">
        <v>140.0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24</v>
      </c>
      <c r="C6" s="36" t="s">
        <v>31</v>
      </c>
      <c r="D6" s="31"/>
      <c r="E6" s="37">
        <v>3.0</v>
      </c>
      <c r="F6" s="33"/>
      <c r="G6" s="33"/>
      <c r="H6" s="36" t="s">
        <v>32</v>
      </c>
      <c r="I6" s="40" t="s">
        <v>33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35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 t="s">
        <v>25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6" t="s">
        <v>31</v>
      </c>
      <c r="D6" s="31"/>
      <c r="E6" s="37">
        <v>25.0</v>
      </c>
      <c r="F6" s="33"/>
      <c r="G6" s="36" t="s">
        <v>36</v>
      </c>
      <c r="H6" s="36" t="s">
        <v>37</v>
      </c>
      <c r="I6" s="35" t="s">
        <v>38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 t="s">
        <v>39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