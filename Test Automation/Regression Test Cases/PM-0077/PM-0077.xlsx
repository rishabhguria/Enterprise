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8" activeTab="10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GetDailyCash" sheetId="5" r:id="rId5"/>
    <sheet name="UpdateDailyCash" sheetId="6" r:id="rId6"/>
    <sheet name="CreateDoneAwayOrder" sheetId="7" r:id="rId7"/>
    <sheet name="VerifyOrder" sheetId="8" r:id="rId8"/>
    <sheet name="GetDataAllocation" sheetId="9" r:id="rId9"/>
    <sheet name="CheckAllocatedGroups" sheetId="10" r:id="rId10"/>
    <sheet name="CheckPortfolioManagement" sheetId="11" r:id="rId11"/>
    <sheet name="Copy of Data" sheetId="12" r:id="rId12"/>
    <sheet name="Copy of Data 1" sheetId="13" r:id="rId13"/>
  </sheets>
  <calcPr calcId="145621"/>
</workbook>
</file>

<file path=xl/calcChain.xml><?xml version="1.0" encoding="utf-8"?>
<calcChain xmlns="http://schemas.openxmlformats.org/spreadsheetml/2006/main">
  <c r="J2" i="13" l="1"/>
  <c r="J2" i="12"/>
  <c r="J2" i="11"/>
  <c r="J2" i="10"/>
  <c r="J2" i="9"/>
  <c r="J2" i="8"/>
  <c r="J2" i="7"/>
  <c r="J2" i="6"/>
  <c r="C6" i="5"/>
  <c r="B6" i="5"/>
  <c r="J2" i="5"/>
  <c r="J2" i="4"/>
  <c r="BK5" i="11"/>
  <c r="AP5" i="13"/>
  <c r="AH5" i="13"/>
  <c r="Z5" i="13"/>
  <c r="R5" i="13"/>
  <c r="J5" i="13"/>
  <c r="B5" i="13"/>
  <c r="V4" i="13"/>
  <c r="N4" i="13"/>
  <c r="F4" i="13"/>
  <c r="AN5" i="12"/>
  <c r="AF5" i="12"/>
  <c r="X5" i="12"/>
  <c r="P5" i="12"/>
  <c r="H5" i="12"/>
  <c r="AB4" i="12"/>
  <c r="T4" i="12"/>
  <c r="L4" i="12"/>
  <c r="D4" i="12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T4" i="11"/>
  <c r="L4" i="11"/>
  <c r="D4" i="11"/>
  <c r="CO5" i="10"/>
  <c r="CG5" i="10"/>
  <c r="BY5" i="10"/>
  <c r="BQ5" i="10"/>
  <c r="BI5" i="10"/>
  <c r="BA5" i="10"/>
  <c r="AS5" i="10"/>
  <c r="AK5" i="10"/>
  <c r="AC5" i="10"/>
  <c r="U5" i="10"/>
  <c r="M5" i="10"/>
  <c r="E5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AO5" i="13"/>
  <c r="AG5" i="13"/>
  <c r="Y5" i="13"/>
  <c r="Q5" i="13"/>
  <c r="I5" i="13"/>
  <c r="A5" i="13"/>
  <c r="U4" i="13"/>
  <c r="M4" i="13"/>
  <c r="E4" i="13"/>
  <c r="AM5" i="12"/>
  <c r="AE5" i="12"/>
  <c r="W5" i="12"/>
  <c r="O5" i="12"/>
  <c r="G5" i="12"/>
  <c r="AA4" i="12"/>
  <c r="S4" i="12"/>
  <c r="K4" i="12"/>
  <c r="C4" i="12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S4" i="11"/>
  <c r="K4" i="11"/>
  <c r="C4" i="11"/>
  <c r="CN5" i="10"/>
  <c r="CF5" i="10"/>
  <c r="BX5" i="10"/>
  <c r="BP5" i="10"/>
  <c r="BH5" i="10"/>
  <c r="AZ5" i="10"/>
  <c r="AR5" i="10"/>
  <c r="AJ5" i="10"/>
  <c r="AB5" i="10"/>
  <c r="T5" i="10"/>
  <c r="L5" i="10"/>
  <c r="D5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AN5" i="13"/>
  <c r="AF5" i="13"/>
  <c r="X5" i="13"/>
  <c r="P5" i="13"/>
  <c r="H5" i="13"/>
  <c r="AB4" i="13"/>
  <c r="T4" i="13"/>
  <c r="L4" i="13"/>
  <c r="D4" i="13"/>
  <c r="AL5" i="12"/>
  <c r="AD5" i="12"/>
  <c r="V5" i="12"/>
  <c r="N5" i="12"/>
  <c r="F5" i="12"/>
  <c r="Z4" i="12"/>
  <c r="R4" i="12"/>
  <c r="J4" i="12"/>
  <c r="B4" i="12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Z4" i="11"/>
  <c r="R4" i="11"/>
  <c r="J4" i="11"/>
  <c r="B4" i="11"/>
  <c r="CM5" i="10"/>
  <c r="CE5" i="10"/>
  <c r="BW5" i="10"/>
  <c r="BO5" i="10"/>
  <c r="BG5" i="10"/>
  <c r="AY5" i="10"/>
  <c r="AQ5" i="10"/>
  <c r="AI5" i="10"/>
  <c r="AA5" i="10"/>
  <c r="S5" i="10"/>
  <c r="K5" i="10"/>
  <c r="C5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N5" i="9"/>
  <c r="F5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AZ5" i="8"/>
  <c r="AR5" i="8"/>
  <c r="AJ5" i="8"/>
  <c r="AB5" i="8"/>
  <c r="T5" i="8"/>
  <c r="L5" i="8"/>
  <c r="D5" i="8"/>
  <c r="AP4" i="8"/>
  <c r="AH4" i="8"/>
  <c r="Z4" i="8"/>
  <c r="R4" i="8"/>
  <c r="J4" i="8"/>
  <c r="B4" i="8"/>
  <c r="AJ5" i="7"/>
  <c r="AB5" i="7"/>
  <c r="T5" i="7"/>
  <c r="L5" i="7"/>
  <c r="D5" i="7"/>
  <c r="X4" i="7"/>
  <c r="P4" i="7"/>
  <c r="H4" i="7"/>
  <c r="D5" i="6"/>
  <c r="AC4" i="6"/>
  <c r="U4" i="6"/>
  <c r="M4" i="6"/>
  <c r="E4" i="6"/>
  <c r="B5" i="5"/>
  <c r="AA4" i="5"/>
  <c r="S4" i="5"/>
  <c r="K4" i="5"/>
  <c r="C4" i="5"/>
  <c r="F5" i="4"/>
  <c r="F4" i="4"/>
  <c r="B488" i="1"/>
  <c r="C485" i="1"/>
  <c r="A483" i="1"/>
  <c r="B480" i="1"/>
  <c r="C477" i="1"/>
  <c r="A475" i="1"/>
  <c r="B472" i="1"/>
  <c r="C469" i="1"/>
  <c r="A467" i="1"/>
  <c r="AM5" i="13"/>
  <c r="AE5" i="13"/>
  <c r="W5" i="13"/>
  <c r="O5" i="13"/>
  <c r="G5" i="13"/>
  <c r="AA4" i="13"/>
  <c r="S4" i="13"/>
  <c r="K4" i="13"/>
  <c r="C4" i="13"/>
  <c r="AK5" i="12"/>
  <c r="AC5" i="12"/>
  <c r="U5" i="12"/>
  <c r="M5" i="12"/>
  <c r="E5" i="12"/>
  <c r="Y4" i="12"/>
  <c r="Q4" i="12"/>
  <c r="I4" i="12"/>
  <c r="AL5" i="13"/>
  <c r="AD5" i="13"/>
  <c r="V5" i="13"/>
  <c r="N5" i="13"/>
  <c r="F5" i="13"/>
  <c r="Z4" i="13"/>
  <c r="R4" i="13"/>
  <c r="J4" i="13"/>
  <c r="B4" i="13"/>
  <c r="AJ5" i="12"/>
  <c r="AB5" i="12"/>
  <c r="T5" i="12"/>
  <c r="L5" i="12"/>
  <c r="D5" i="12"/>
  <c r="X4" i="12"/>
  <c r="P4" i="12"/>
  <c r="H4" i="12"/>
  <c r="FB5" i="11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X4" i="11"/>
  <c r="P4" i="11"/>
  <c r="H4" i="11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DJ4" i="10"/>
  <c r="DB4" i="10"/>
  <c r="CT4" i="10"/>
  <c r="CL4" i="10"/>
  <c r="CD4" i="10"/>
  <c r="BV4" i="10"/>
  <c r="BN4" i="10"/>
  <c r="BF4" i="10"/>
  <c r="AX4" i="10"/>
  <c r="AP4" i="10"/>
  <c r="AK5" i="13"/>
  <c r="AC5" i="13"/>
  <c r="U5" i="13"/>
  <c r="M5" i="13"/>
  <c r="E5" i="13"/>
  <c r="Y4" i="13"/>
  <c r="Q4" i="13"/>
  <c r="I4" i="13"/>
  <c r="AI5" i="12"/>
  <c r="AA5" i="12"/>
  <c r="AJ5" i="13"/>
  <c r="AI5" i="13"/>
  <c r="AA5" i="13"/>
  <c r="S5" i="13"/>
  <c r="K5" i="13"/>
  <c r="C5" i="13"/>
  <c r="W4" i="13"/>
  <c r="O4" i="13"/>
  <c r="G4" i="13"/>
  <c r="AO5" i="12"/>
  <c r="AG5" i="12"/>
  <c r="Y5" i="12"/>
  <c r="Q5" i="12"/>
  <c r="I5" i="12"/>
  <c r="A5" i="12"/>
  <c r="U4" i="12"/>
  <c r="M4" i="12"/>
  <c r="E4" i="12"/>
  <c r="EY5" i="11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U4" i="11"/>
  <c r="M4" i="11"/>
  <c r="E4" i="11"/>
  <c r="CP5" i="10"/>
  <c r="CH5" i="10"/>
  <c r="BZ5" i="10"/>
  <c r="BR5" i="10"/>
  <c r="BJ5" i="10"/>
  <c r="BB5" i="10"/>
  <c r="AT5" i="10"/>
  <c r="AL5" i="10"/>
  <c r="AD5" i="10"/>
  <c r="V5" i="10"/>
  <c r="N5" i="10"/>
  <c r="F5" i="10"/>
  <c r="DO4" i="10"/>
  <c r="DG4" i="10"/>
  <c r="CY4" i="10"/>
  <c r="CQ4" i="10"/>
  <c r="CI4" i="10"/>
  <c r="CA4" i="10"/>
  <c r="BS4" i="10"/>
  <c r="BK4" i="10"/>
  <c r="AB5" i="13"/>
  <c r="AP5" i="12"/>
  <c r="B5" i="12"/>
  <c r="FA5" i="11"/>
  <c r="EE5" i="11"/>
  <c r="DL5" i="11"/>
  <c r="CO5" i="11"/>
  <c r="BS5" i="11"/>
  <c r="AZ5" i="11"/>
  <c r="AC5" i="11"/>
  <c r="G5" i="11"/>
  <c r="N4" i="11"/>
  <c r="CJ5" i="10"/>
  <c r="BN5" i="10"/>
  <c r="AU5" i="10"/>
  <c r="X5" i="10"/>
  <c r="B5" i="10"/>
  <c r="CZ4" i="10"/>
  <c r="CC4" i="10"/>
  <c r="BG4" i="10"/>
  <c r="AQ4" i="10"/>
  <c r="AE4" i="10"/>
  <c r="Q4" i="10"/>
  <c r="H4" i="10"/>
  <c r="Q5" i="9"/>
  <c r="H5" i="9"/>
  <c r="DP4" i="9"/>
  <c r="DF4" i="9"/>
  <c r="CW4" i="9"/>
  <c r="CN4" i="9"/>
  <c r="CE4" i="9"/>
  <c r="BV4" i="9"/>
  <c r="BM4" i="9"/>
  <c r="BD4" i="9"/>
  <c r="AT4" i="9"/>
  <c r="AK4" i="9"/>
  <c r="AB4" i="9"/>
  <c r="S4" i="9"/>
  <c r="J4" i="9"/>
  <c r="AS5" i="8"/>
  <c r="AI5" i="8"/>
  <c r="Z5" i="8"/>
  <c r="Q5" i="8"/>
  <c r="H5" i="8"/>
  <c r="AS4" i="8"/>
  <c r="AJ4" i="8"/>
  <c r="AA4" i="8"/>
  <c r="Q4" i="8"/>
  <c r="H4" i="8"/>
  <c r="AO5" i="7"/>
  <c r="AF5" i="7"/>
  <c r="W5" i="7"/>
  <c r="N5" i="7"/>
  <c r="E5" i="7"/>
  <c r="W4" i="7"/>
  <c r="N4" i="7"/>
  <c r="E4" i="7"/>
  <c r="AG4" i="6"/>
  <c r="X4" i="6"/>
  <c r="O4" i="6"/>
  <c r="F4" i="6"/>
  <c r="A5" i="5"/>
  <c r="Y4" i="5"/>
  <c r="P4" i="5"/>
  <c r="G4" i="5"/>
  <c r="I5" i="4"/>
  <c r="H4" i="4"/>
  <c r="C488" i="1"/>
  <c r="B485" i="1"/>
  <c r="B482" i="1"/>
  <c r="B479" i="1"/>
  <c r="B476" i="1"/>
  <c r="B473" i="1"/>
  <c r="B470" i="1"/>
  <c r="B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T5" i="13"/>
  <c r="AH5" i="12"/>
  <c r="W4" i="12"/>
  <c r="EZ5" i="11"/>
  <c r="EC5" i="11"/>
  <c r="DG5" i="11"/>
  <c r="CN5" i="11"/>
  <c r="BQ5" i="11"/>
  <c r="AU5" i="11"/>
  <c r="AB5" i="11"/>
  <c r="E5" i="11"/>
  <c r="I4" i="11"/>
  <c r="CI5" i="10"/>
  <c r="BL5" i="10"/>
  <c r="AP5" i="10"/>
  <c r="W5" i="10"/>
  <c r="DQ4" i="10"/>
  <c r="CU4" i="10"/>
  <c r="CB4" i="10"/>
  <c r="BE4" i="10"/>
  <c r="AO4" i="10"/>
  <c r="AA4" i="10"/>
  <c r="P4" i="10"/>
  <c r="G4" i="10"/>
  <c r="P5" i="9"/>
  <c r="G5" i="9"/>
  <c r="DN4" i="9"/>
  <c r="DE4" i="9"/>
  <c r="CV4" i="9"/>
  <c r="CM4" i="9"/>
  <c r="CD4" i="9"/>
  <c r="BU4" i="9"/>
  <c r="BL4" i="9"/>
  <c r="BB4" i="9"/>
  <c r="AS4" i="9"/>
  <c r="AJ4" i="9"/>
  <c r="AA4" i="9"/>
  <c r="R4" i="9"/>
  <c r="I4" i="9"/>
  <c r="BA5" i="8"/>
  <c r="AQ5" i="8"/>
  <c r="AH5" i="8"/>
  <c r="Y5" i="8"/>
  <c r="P5" i="8"/>
  <c r="G5" i="8"/>
  <c r="AR4" i="8"/>
  <c r="AI4" i="8"/>
  <c r="Y4" i="8"/>
  <c r="P4" i="8"/>
  <c r="G4" i="8"/>
  <c r="AN5" i="7"/>
  <c r="AE5" i="7"/>
  <c r="V5" i="7"/>
  <c r="M5" i="7"/>
  <c r="C5" i="7"/>
  <c r="V4" i="7"/>
  <c r="M4" i="7"/>
  <c r="D4" i="7"/>
  <c r="AF4" i="6"/>
  <c r="W4" i="6"/>
  <c r="N4" i="6"/>
  <c r="D4" i="6"/>
  <c r="AG4" i="5"/>
  <c r="X4" i="5"/>
  <c r="O4" i="5"/>
  <c r="F4" i="5"/>
  <c r="H5" i="4"/>
  <c r="G4" i="4"/>
  <c r="A488" i="1"/>
  <c r="A485" i="1"/>
  <c r="A482" i="1"/>
  <c r="A479" i="1"/>
  <c r="A476" i="1"/>
  <c r="A473" i="1"/>
  <c r="A470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L5" i="13"/>
  <c r="Z5" i="12"/>
  <c r="V4" i="12"/>
  <c r="EU5" i="11"/>
  <c r="EB5" i="11"/>
  <c r="DE5" i="11"/>
  <c r="CI5" i="11"/>
  <c r="BP5" i="11"/>
  <c r="AS5" i="11"/>
  <c r="W5" i="11"/>
  <c r="D5" i="11"/>
  <c r="G4" i="11"/>
  <c r="CD5" i="10"/>
  <c r="BK5" i="10"/>
  <c r="AN5" i="10"/>
  <c r="R5" i="10"/>
  <c r="DP4" i="10"/>
  <c r="CS4" i="10"/>
  <c r="BW4" i="10"/>
  <c r="BD4" i="10"/>
  <c r="AN4" i="10"/>
  <c r="Z4" i="10"/>
  <c r="O4" i="10"/>
  <c r="F4" i="10"/>
  <c r="O5" i="9"/>
  <c r="E5" i="9"/>
  <c r="DM4" i="9"/>
  <c r="DD4" i="9"/>
  <c r="CU4" i="9"/>
  <c r="CL4" i="9"/>
  <c r="CC4" i="9"/>
  <c r="BT4" i="9"/>
  <c r="BJ4" i="9"/>
  <c r="BA4" i="9"/>
  <c r="AR4" i="9"/>
  <c r="AI4" i="9"/>
  <c r="Z4" i="9"/>
  <c r="Q4" i="9"/>
  <c r="H4" i="9"/>
  <c r="AY5" i="8"/>
  <c r="AP5" i="8"/>
  <c r="AG5" i="8"/>
  <c r="X5" i="8"/>
  <c r="O5" i="8"/>
  <c r="F5" i="8"/>
  <c r="AQ4" i="8"/>
  <c r="AG4" i="8"/>
  <c r="X4" i="8"/>
  <c r="O4" i="8"/>
  <c r="F4" i="8"/>
  <c r="AM5" i="7"/>
  <c r="AD5" i="7"/>
  <c r="U5" i="7"/>
  <c r="K5" i="7"/>
  <c r="B5" i="7"/>
  <c r="U4" i="7"/>
  <c r="L4" i="7"/>
  <c r="C4" i="7"/>
  <c r="AE4" i="6"/>
  <c r="V4" i="6"/>
  <c r="L4" i="6"/>
  <c r="C4" i="6"/>
  <c r="AF4" i="5"/>
  <c r="W4" i="5"/>
  <c r="N4" i="5"/>
  <c r="E4" i="5"/>
  <c r="G5" i="4"/>
  <c r="E4" i="4"/>
  <c r="C487" i="1"/>
  <c r="C484" i="1"/>
  <c r="C481" i="1"/>
  <c r="C478" i="1"/>
  <c r="C475" i="1"/>
  <c r="C472" i="1"/>
  <c r="B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D5" i="13"/>
  <c r="S5" i="12"/>
  <c r="O4" i="12"/>
  <c r="ES5" i="11"/>
  <c r="DW5" i="11"/>
  <c r="DD5" i="11"/>
  <c r="CG5" i="11"/>
  <c r="AR5" i="11"/>
  <c r="U5" i="11"/>
  <c r="Y4" i="11"/>
  <c r="F4" i="11"/>
  <c r="CB5" i="10"/>
  <c r="BF5" i="10"/>
  <c r="AM5" i="10"/>
  <c r="P5" i="10"/>
  <c r="DK4" i="10"/>
  <c r="CR4" i="10"/>
  <c r="BU4" i="10"/>
  <c r="BC4" i="10"/>
  <c r="AM4" i="10"/>
  <c r="Y4" i="10"/>
  <c r="N4" i="10"/>
  <c r="E4" i="10"/>
  <c r="M5" i="9"/>
  <c r="D5" i="9"/>
  <c r="DL4" i="9"/>
  <c r="DC4" i="9"/>
  <c r="CT4" i="9"/>
  <c r="CK4" i="9"/>
  <c r="CB4" i="9"/>
  <c r="BR4" i="9"/>
  <c r="BI4" i="9"/>
  <c r="AZ4" i="9"/>
  <c r="AQ4" i="9"/>
  <c r="AH4" i="9"/>
  <c r="Y4" i="9"/>
  <c r="P4" i="9"/>
  <c r="F4" i="9"/>
  <c r="AX5" i="8"/>
  <c r="AO5" i="8"/>
  <c r="AF5" i="8"/>
  <c r="W5" i="8"/>
  <c r="N5" i="8"/>
  <c r="E5" i="8"/>
  <c r="AO4" i="8"/>
  <c r="AF4" i="8"/>
  <c r="W4" i="8"/>
  <c r="N4" i="8"/>
  <c r="E4" i="8"/>
  <c r="AL5" i="7"/>
  <c r="AC5" i="7"/>
  <c r="S5" i="7"/>
  <c r="J5" i="7"/>
  <c r="A5" i="7"/>
  <c r="T4" i="7"/>
  <c r="K4" i="7"/>
  <c r="B4" i="7"/>
  <c r="AD4" i="6"/>
  <c r="T4" i="6"/>
  <c r="K4" i="6"/>
  <c r="B4" i="6"/>
  <c r="AE4" i="5"/>
  <c r="V4" i="5"/>
  <c r="M4" i="5"/>
  <c r="D4" i="5"/>
  <c r="E5" i="4"/>
  <c r="D4" i="4"/>
  <c r="B487" i="1"/>
  <c r="B484" i="1"/>
  <c r="B481" i="1"/>
  <c r="B478" i="1"/>
  <c r="B475" i="1"/>
  <c r="A472" i="1"/>
  <c r="A469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X4" i="13"/>
  <c r="R5" i="12"/>
  <c r="N4" i="12"/>
  <c r="ER5" i="11"/>
  <c r="DU5" i="11"/>
  <c r="CY5" i="11"/>
  <c r="CF5" i="11"/>
  <c r="BI5" i="11"/>
  <c r="AM5" i="11"/>
  <c r="T5" i="11"/>
  <c r="W4" i="11"/>
  <c r="CA5" i="10"/>
  <c r="BD5" i="10"/>
  <c r="AH5" i="10"/>
  <c r="O5" i="10"/>
  <c r="DI4" i="10"/>
  <c r="CM4" i="10"/>
  <c r="BT4" i="10"/>
  <c r="AY4" i="10"/>
  <c r="AI4" i="10"/>
  <c r="X4" i="10"/>
  <c r="M4" i="10"/>
  <c r="C4" i="10"/>
  <c r="L5" i="9"/>
  <c r="C5" i="9"/>
  <c r="DK4" i="9"/>
  <c r="DB4" i="9"/>
  <c r="CS4" i="9"/>
  <c r="CJ4" i="9"/>
  <c r="BZ4" i="9"/>
  <c r="BQ4" i="9"/>
  <c r="BH4" i="9"/>
  <c r="AY4" i="9"/>
  <c r="AP4" i="9"/>
  <c r="AG4" i="9"/>
  <c r="X4" i="9"/>
  <c r="N4" i="9"/>
  <c r="E4" i="9"/>
  <c r="AW5" i="8"/>
  <c r="AN5" i="8"/>
  <c r="AE5" i="8"/>
  <c r="V5" i="8"/>
  <c r="M5" i="8"/>
  <c r="C5" i="8"/>
  <c r="AN4" i="8"/>
  <c r="AE4" i="8"/>
  <c r="V4" i="8"/>
  <c r="M4" i="8"/>
  <c r="D4" i="8"/>
  <c r="AK5" i="7"/>
  <c r="AA5" i="7"/>
  <c r="R5" i="7"/>
  <c r="I5" i="7"/>
  <c r="AB4" i="7"/>
  <c r="S4" i="7"/>
  <c r="J4" i="7"/>
  <c r="AB4" i="6"/>
  <c r="S4" i="6"/>
  <c r="J4" i="6"/>
  <c r="AD4" i="5"/>
  <c r="U4" i="5"/>
  <c r="L4" i="5"/>
  <c r="B4" i="5"/>
  <c r="D5" i="4"/>
  <c r="C4" i="4"/>
  <c r="A487" i="1"/>
  <c r="A484" i="1"/>
  <c r="A481" i="1"/>
  <c r="A478" i="1"/>
  <c r="C474" i="1"/>
  <c r="C471" i="1"/>
  <c r="C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P4" i="13"/>
  <c r="K5" i="12"/>
  <c r="G4" i="12"/>
  <c r="EM5" i="11"/>
  <c r="DT5" i="11"/>
  <c r="CW5" i="11"/>
  <c r="CA5" i="11"/>
  <c r="BH5" i="11"/>
  <c r="AK5" i="11"/>
  <c r="O5" i="11"/>
  <c r="V4" i="11"/>
  <c r="CR5" i="10"/>
  <c r="BV5" i="10"/>
  <c r="BC5" i="10"/>
  <c r="AF5" i="10"/>
  <c r="J5" i="10"/>
  <c r="DH4" i="10"/>
  <c r="CK4" i="10"/>
  <c r="BO4" i="10"/>
  <c r="AW4" i="10"/>
  <c r="AH4" i="10"/>
  <c r="W4" i="10"/>
  <c r="K4" i="10"/>
  <c r="B4" i="10"/>
  <c r="K5" i="9"/>
  <c r="B5" i="9"/>
  <c r="DJ4" i="9"/>
  <c r="DA4" i="9"/>
  <c r="CR4" i="9"/>
  <c r="CH4" i="9"/>
  <c r="BY4" i="9"/>
  <c r="BP4" i="9"/>
  <c r="BG4" i="9"/>
  <c r="AX4" i="9"/>
  <c r="AO4" i="9"/>
  <c r="AF4" i="9"/>
  <c r="V4" i="9"/>
  <c r="M4" i="9"/>
  <c r="D4" i="9"/>
  <c r="AV5" i="8"/>
  <c r="AM5" i="8"/>
  <c r="AD5" i="8"/>
  <c r="U5" i="8"/>
  <c r="K5" i="8"/>
  <c r="B5" i="8"/>
  <c r="AM4" i="8"/>
  <c r="AD4" i="8"/>
  <c r="U4" i="8"/>
  <c r="L4" i="8"/>
  <c r="C4" i="8"/>
  <c r="AI5" i="7"/>
  <c r="Z5" i="7"/>
  <c r="Q5" i="7"/>
  <c r="H5" i="7"/>
  <c r="AA4" i="7"/>
  <c r="R4" i="7"/>
  <c r="I4" i="7"/>
  <c r="C5" i="6"/>
  <c r="AA4" i="6"/>
  <c r="R4" i="6"/>
  <c r="I4" i="6"/>
  <c r="AC4" i="5"/>
  <c r="T4" i="5"/>
  <c r="J4" i="5"/>
  <c r="C5" i="4"/>
  <c r="B4" i="4"/>
  <c r="C486" i="1"/>
  <c r="C483" i="1"/>
  <c r="C480" i="1"/>
  <c r="B477" i="1"/>
  <c r="B474" i="1"/>
  <c r="B471" i="1"/>
  <c r="B468" i="1"/>
  <c r="B465" i="1"/>
  <c r="C462" i="1"/>
  <c r="A460" i="1"/>
  <c r="B457" i="1"/>
  <c r="C454" i="1"/>
  <c r="A452" i="1"/>
  <c r="B449" i="1"/>
  <c r="C446" i="1"/>
  <c r="H4" i="13"/>
  <c r="J5" i="12"/>
  <c r="F4" i="12"/>
  <c r="EK5" i="11"/>
  <c r="DO5" i="11"/>
  <c r="CV5" i="11"/>
  <c r="BY5" i="11"/>
  <c r="BC5" i="11"/>
  <c r="AJ5" i="11"/>
  <c r="M5" i="11"/>
  <c r="Q4" i="11"/>
  <c r="CQ5" i="10"/>
  <c r="BT5" i="10"/>
  <c r="AX5" i="10"/>
  <c r="AE5" i="10"/>
  <c r="H5" i="10"/>
  <c r="DC4" i="10"/>
  <c r="CJ4" i="10"/>
  <c r="BM4" i="10"/>
  <c r="AV4" i="10"/>
  <c r="AG4" i="10"/>
  <c r="S4" i="10"/>
  <c r="J4" i="10"/>
  <c r="J5" i="9"/>
  <c r="A5" i="9"/>
  <c r="DI4" i="9"/>
  <c r="CZ4" i="9"/>
  <c r="CP4" i="9"/>
  <c r="CG4" i="9"/>
  <c r="BX4" i="9"/>
  <c r="BO4" i="9"/>
  <c r="BF4" i="9"/>
  <c r="AW4" i="9"/>
  <c r="AN4" i="9"/>
  <c r="AD4" i="9"/>
  <c r="U4" i="9"/>
  <c r="L4" i="9"/>
  <c r="C4" i="9"/>
  <c r="AU5" i="8"/>
  <c r="AL5" i="8"/>
  <c r="AC5" i="8"/>
  <c r="S5" i="8"/>
  <c r="J5" i="8"/>
  <c r="A5" i="8"/>
  <c r="AL4" i="8"/>
  <c r="AC4" i="8"/>
  <c r="T4" i="8"/>
  <c r="K4" i="8"/>
  <c r="AH5" i="7"/>
  <c r="Y5" i="7"/>
  <c r="P5" i="7"/>
  <c r="G5" i="7"/>
  <c r="Z4" i="7"/>
  <c r="Q4" i="7"/>
  <c r="G4" i="7"/>
  <c r="B5" i="6"/>
  <c r="Z4" i="6"/>
  <c r="Q4" i="6"/>
  <c r="H4" i="6"/>
  <c r="AB4" i="5"/>
  <c r="R4" i="5"/>
  <c r="I4" i="5"/>
  <c r="K5" i="4"/>
  <c r="B5" i="4"/>
  <c r="B486" i="1"/>
  <c r="B483" i="1"/>
  <c r="A480" i="1"/>
  <c r="A477" i="1"/>
  <c r="A474" i="1"/>
  <c r="A471" i="1"/>
  <c r="C5" i="12"/>
  <c r="EJ5" i="11"/>
  <c r="DM5" i="11"/>
  <c r="CQ5" i="11"/>
  <c r="BX5" i="11"/>
  <c r="BA5" i="11"/>
  <c r="AE5" i="11"/>
  <c r="L5" i="11"/>
  <c r="O4" i="11"/>
  <c r="CL5" i="10"/>
  <c r="BS5" i="10"/>
  <c r="AV5" i="10"/>
  <c r="Z5" i="10"/>
  <c r="G5" i="10"/>
  <c r="DA4" i="10"/>
  <c r="CE4" i="10"/>
  <c r="BL4" i="10"/>
  <c r="AU4" i="10"/>
  <c r="AF4" i="10"/>
  <c r="R4" i="10"/>
  <c r="I4" i="10"/>
  <c r="R5" i="9"/>
  <c r="I5" i="9"/>
  <c r="DQ4" i="9"/>
  <c r="DH4" i="9"/>
  <c r="CX4" i="9"/>
  <c r="CO4" i="9"/>
  <c r="CF4" i="9"/>
  <c r="BW4" i="9"/>
  <c r="BN4" i="9"/>
  <c r="BE4" i="9"/>
  <c r="AV4" i="9"/>
  <c r="AL4" i="9"/>
  <c r="AC4" i="9"/>
  <c r="T4" i="9"/>
  <c r="K4" i="9"/>
  <c r="B4" i="9"/>
  <c r="AT5" i="8"/>
  <c r="AK5" i="8"/>
  <c r="AA5" i="8"/>
  <c r="R5" i="8"/>
  <c r="I5" i="8"/>
  <c r="AT4" i="8"/>
  <c r="AK4" i="8"/>
  <c r="AB4" i="8"/>
  <c r="S4" i="8"/>
  <c r="I4" i="8"/>
  <c r="AP5" i="7"/>
  <c r="AG5" i="7"/>
  <c r="X5" i="7"/>
  <c r="O5" i="7"/>
  <c r="F5" i="7"/>
  <c r="Y4" i="7"/>
  <c r="O4" i="7"/>
  <c r="F4" i="7"/>
  <c r="A5" i="6"/>
  <c r="Y4" i="6"/>
  <c r="P4" i="6"/>
  <c r="G4" i="6"/>
  <c r="C5" i="5"/>
  <c r="Z4" i="5"/>
  <c r="Q4" i="5"/>
  <c r="H4" i="5"/>
  <c r="J5" i="4"/>
  <c r="A5" i="4"/>
  <c r="A4" i="3"/>
  <c r="A486" i="1"/>
  <c r="C482" i="1"/>
  <c r="C479" i="1"/>
  <c r="C476" i="1"/>
  <c r="C473" i="1"/>
  <c r="C470" i="1"/>
  <c r="C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A468" i="1"/>
  <c r="B446" i="1"/>
  <c r="C435" i="1"/>
  <c r="A425" i="1"/>
  <c r="B414" i="1"/>
  <c r="C403" i="1"/>
  <c r="A393" i="1"/>
  <c r="B382" i="1"/>
  <c r="C371" i="1"/>
  <c r="B361" i="1"/>
  <c r="C353" i="1"/>
  <c r="C347" i="1"/>
  <c r="A340" i="1"/>
  <c r="C334" i="1"/>
  <c r="A331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A465" i="1"/>
  <c r="A444" i="1"/>
  <c r="B433" i="1"/>
  <c r="C422" i="1"/>
  <c r="A412" i="1"/>
  <c r="B401" i="1"/>
  <c r="C390" i="1"/>
  <c r="A380" i="1"/>
  <c r="B369" i="1"/>
  <c r="A361" i="1"/>
  <c r="B353" i="1"/>
  <c r="C345" i="1"/>
  <c r="C339" i="1"/>
  <c r="B334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462" i="1"/>
  <c r="C443" i="1"/>
  <c r="A433" i="1"/>
  <c r="B422" i="1"/>
  <c r="C411" i="1"/>
  <c r="A401" i="1"/>
  <c r="B390" i="1"/>
  <c r="C379" i="1"/>
  <c r="A369" i="1"/>
  <c r="A359" i="1"/>
  <c r="A353" i="1"/>
  <c r="B345" i="1"/>
  <c r="C337" i="1"/>
  <c r="C333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459" i="1"/>
  <c r="B441" i="1"/>
  <c r="C430" i="1"/>
  <c r="A420" i="1"/>
  <c r="B409" i="1"/>
  <c r="C398" i="1"/>
  <c r="A388" i="1"/>
  <c r="B377" i="1"/>
  <c r="C366" i="1"/>
  <c r="C358" i="1"/>
  <c r="A351" i="1"/>
  <c r="A345" i="1"/>
  <c r="B337" i="1"/>
  <c r="A333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A457" i="1"/>
  <c r="A441" i="1"/>
  <c r="B430" i="1"/>
  <c r="C419" i="1"/>
  <c r="A409" i="1"/>
  <c r="B398" i="1"/>
  <c r="C387" i="1"/>
  <c r="A377" i="1"/>
  <c r="B366" i="1"/>
  <c r="B358" i="1"/>
  <c r="C350" i="1"/>
  <c r="A343" i="1"/>
  <c r="A337" i="1"/>
  <c r="B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B454" i="1"/>
  <c r="C438" i="1"/>
  <c r="A428" i="1"/>
  <c r="B417" i="1"/>
  <c r="C406" i="1"/>
  <c r="A396" i="1"/>
  <c r="B385" i="1"/>
  <c r="C374" i="1"/>
  <c r="A364" i="1"/>
  <c r="B356" i="1"/>
  <c r="B350" i="1"/>
  <c r="C342" i="1"/>
  <c r="B336" i="1"/>
  <c r="A332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C451" i="1"/>
  <c r="B438" i="1"/>
  <c r="C427" i="1"/>
  <c r="A417" i="1"/>
  <c r="B406" i="1"/>
  <c r="C395" i="1"/>
  <c r="A385" i="1"/>
  <c r="B374" i="1"/>
  <c r="C363" i="1"/>
  <c r="A356" i="1"/>
  <c r="B348" i="1"/>
  <c r="B342" i="1"/>
  <c r="C335" i="1"/>
  <c r="C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449" i="1"/>
  <c r="A436" i="1"/>
  <c r="B425" i="1"/>
  <c r="C414" i="1"/>
  <c r="A404" i="1"/>
  <c r="B393" i="1"/>
  <c r="C382" i="1"/>
  <c r="A372" i="1"/>
  <c r="C361" i="1"/>
  <c r="C355" i="1"/>
  <c r="A348" i="1"/>
  <c r="B340" i="1"/>
  <c r="A335" i="1"/>
  <c r="B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B30" i="1"/>
  <c r="B27" i="1"/>
  <c r="C24" i="1"/>
  <c r="A22" i="1"/>
  <c r="B19" i="1"/>
  <c r="C16" i="1"/>
  <c r="A14" i="1"/>
  <c r="B11" i="1"/>
  <c r="C8" i="1"/>
  <c r="A6" i="1"/>
  <c r="A30" i="1"/>
  <c r="A27" i="1"/>
  <c r="B24" i="1"/>
  <c r="C21" i="1"/>
  <c r="A19" i="1"/>
  <c r="B16" i="1"/>
  <c r="C13" i="1"/>
  <c r="A11" i="1"/>
  <c r="B8" i="1"/>
  <c r="C5" i="1"/>
  <c r="B10" i="1"/>
  <c r="A7" i="1"/>
  <c r="A4" i="1"/>
  <c r="C29" i="1"/>
  <c r="C26" i="1"/>
  <c r="A24" i="1"/>
  <c r="B21" i="1"/>
  <c r="C18" i="1"/>
  <c r="A16" i="1"/>
  <c r="B13" i="1"/>
  <c r="C10" i="1"/>
  <c r="A8" i="1"/>
  <c r="B5" i="1"/>
  <c r="A13" i="1"/>
  <c r="A5" i="1"/>
  <c r="B4" i="1"/>
  <c r="B6" i="1"/>
  <c r="B29" i="1"/>
  <c r="B26" i="1"/>
  <c r="C23" i="1"/>
  <c r="A21" i="1"/>
  <c r="B18" i="1"/>
  <c r="C15" i="1"/>
  <c r="C7" i="1"/>
  <c r="C4" i="1"/>
  <c r="C11" i="1"/>
  <c r="C28" i="1"/>
  <c r="A26" i="1"/>
  <c r="B23" i="1"/>
  <c r="C20" i="1"/>
  <c r="A18" i="1"/>
  <c r="B15" i="1"/>
  <c r="C12" i="1"/>
  <c r="A10" i="1"/>
  <c r="B7" i="1"/>
  <c r="B14" i="1"/>
  <c r="B28" i="1"/>
  <c r="C25" i="1"/>
  <c r="A23" i="1"/>
  <c r="B20" i="1"/>
  <c r="C17" i="1"/>
  <c r="A15" i="1"/>
  <c r="B12" i="1"/>
  <c r="C9" i="1"/>
  <c r="C6" i="1"/>
  <c r="A28" i="1"/>
  <c r="B25" i="1"/>
  <c r="C22" i="1"/>
  <c r="A20" i="1"/>
  <c r="B17" i="1"/>
  <c r="C14" i="1"/>
  <c r="A12" i="1"/>
  <c r="B9" i="1"/>
  <c r="A9" i="1"/>
  <c r="C27" i="1"/>
  <c r="A25" i="1"/>
  <c r="B22" i="1"/>
  <c r="C19" i="1"/>
  <c r="A17" i="1"/>
</calcChain>
</file>

<file path=xl/sharedStrings.xml><?xml version="1.0" encoding="utf-8"?>
<sst xmlns="http://schemas.openxmlformats.org/spreadsheetml/2006/main" count="246" uniqueCount="47">
  <si>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</si>
  <si>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</si>
  <si>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</si>
  <si>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</si>
  <si>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</si>
  <si>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</si>
  <si>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</si>
  <si>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</si>
  <si>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</si>
  <si>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</si>
  <si>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</si>
  <si>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</si>
  <si>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</si>
  <si>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</si>
  <si>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</si>
  <si>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</si>
  <si>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</si>
  <si>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</si>
  <si>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</si>
  <si>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</si>
  <si>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</si>
  <si>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</si>
  <si>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</si>
  <si>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CreateDoneAwayOrder</t>
  </si>
  <si>
    <t>AAPL</t>
  </si>
  <si>
    <t>Sell</t>
  </si>
  <si>
    <t>MS</t>
  </si>
  <si>
    <t>Blotter</t>
  </si>
  <si>
    <t>VerifyOrder</t>
  </si>
  <si>
    <t>Equity</t>
  </si>
  <si>
    <t>Filled</t>
  </si>
  <si>
    <t>Market</t>
  </si>
  <si>
    <t>Allocation</t>
  </si>
  <si>
    <t>GetDataAllocation</t>
  </si>
  <si>
    <t>Current</t>
  </si>
  <si>
    <t>CheckAllocatedGroups</t>
  </si>
  <si>
    <t>Open</t>
  </si>
  <si>
    <t>US</t>
  </si>
  <si>
    <t>PortfolioManagement</t>
  </si>
  <si>
    <t>CheckPortfolioManagement</t>
  </si>
  <si>
    <t>NewMF</t>
  </si>
  <si>
    <t>Short</t>
  </si>
  <si>
    <t>NASDAQ</t>
  </si>
  <si>
    <t>Long</t>
  </si>
  <si>
    <t>NewMF1</t>
  </si>
  <si>
    <t>msft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</si>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</sst>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5" fillId="0" borderId="0" xfId="0" applyFont="1" applyAlignment="1"/>
    <xf numFmtId="0" fontId="5" fillId="0" borderId="5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13" fillId="0" borderId="0" xfId="0" applyFont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0" fontId="3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3" fontId="5" fillId="0" borderId="5" xfId="0" applyNumberFormat="1" applyFont="1" applyBorder="1" applyAlignment="1">
      <alignment horizontal="right"/>
    </xf>
    <xf numFmtId="3" fontId="3" fillId="0" borderId="0" xfId="0" applyNumberFormat="1" applyFont="1" applyAlignment="1"/>
    <xf numFmtId="3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H29" sqref="H29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50" t="s">
        <v>0</v>
      </c>
      <c r="B1" s="51"/>
      <c r="C1" s="51"/>
      <c r="D1" s="51"/>
      <c r="E1" s="51"/>
      <c r="F1" s="52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>
      <c r="A486" t="str">
        <f ca="1">IFERROR(__xludf.DUMMYFUNCTION("""COMPUTED_VALUE"""),"TradingTicket")</f>
        <v>TradingTicket</v>
      </c>
      <c r="B486" t="str">
        <f ca="1">IFERROR(__xludf.DUMMYFUNCTION("""COMPUTED_VALUE"""),"ToggleBlombergOnRA")</f>
        <v>ToggleBlombergOnRA</v>
      </c>
      <c r="C486" t="str">
        <f ca="1">IFERROR(__xludf.DUMMYFUNCTION("""COMPUTED_VALUE"""),"1TKv9C1mMXj8HlEzeLMciT110iLyZ9OhIh0lSuptGP1c")</f>
        <v>1TKv9C1mMXj8HlEzeLMciT110iLyZ9OhIh0lSuptGP1c</v>
      </c>
    </row>
    <row r="487" spans="1:3" ht="15.75" customHeight="1">
      <c r="A487" t="str">
        <f ca="1">IFERROR(__xludf.DUMMYFUNCTION("""COMPUTED_VALUE"""),"TradingTicket")</f>
        <v>TradingTicket</v>
      </c>
      <c r="B487" t="str">
        <f ca="1">IFERROR(__xludf.DUMMYFUNCTION("""COMPUTED_VALUE"""),"RemoveSymbolFromRAList")</f>
        <v>RemoveSymbolFromRAList</v>
      </c>
      <c r="C487" t="str">
        <f ca="1">IFERROR(__xludf.DUMMYFUNCTION("""COMPUTED_VALUE"""),"1esriqspMNcbGjPDPy2u7bJyQKd05b0Y9Sin8DcUfSEE")</f>
        <v>1esriqspMNcbGjPDPy2u7bJyQKd05b0Y9Sin8DcUfSEE</v>
      </c>
    </row>
    <row r="488" spans="1:3" ht="15.75" customHeight="1">
      <c r="A488" t="str">
        <f ca="1">IFERROR(__xludf.DUMMYFUNCTION("""COMPUTED_VALUE"""),"Report")</f>
        <v>Report</v>
      </c>
      <c r="B488" t="str">
        <f ca="1">IFERROR(__xludf.DUMMYFUNCTION("""COMPUTED_VALUE"""),"ReportMatching")</f>
        <v>ReportMatching</v>
      </c>
      <c r="C488" t="str">
        <f ca="1">IFERROR(__xludf.DUMMYFUNCTION("""COMPUTED_VALUE"""),"1IURT1smTM6q7aOlSfUxXb-piLEDNEFM-Z_rxNUweXqU")</f>
        <v>1IURT1smTM6q7aOlSfUxXb-piLEDNEFM-Z_rxNUweXqU</v>
      </c>
    </row>
    <row r="489" spans="1:3" ht="15.75" customHeight="1"/>
    <row r="490" spans="1:3" ht="15.75" customHeight="1"/>
    <row r="491" spans="1:3" ht="15.75" customHeight="1"/>
    <row r="492" spans="1:3" ht="15.75" customHeight="1"/>
    <row r="493" spans="1:3" ht="15.75" customHeight="1"/>
    <row r="494" spans="1:3" ht="15.75" customHeight="1"/>
    <row r="495" spans="1:3" ht="15.75" customHeight="1"/>
    <row r="496" spans="1:3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3" t="s">
        <v>2</v>
      </c>
      <c r="B1" s="51"/>
      <c r="C1" s="52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0" t="s">
        <v>7</v>
      </c>
      <c r="B1" s="51"/>
      <c r="C1" s="51"/>
      <c r="D1" s="51"/>
      <c r="E1" s="51"/>
      <c r="F1" s="52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0" t="s">
        <v>11</v>
      </c>
      <c r="C1" s="51"/>
      <c r="D1" s="51"/>
      <c r="E1" s="51"/>
      <c r="F1" s="51"/>
      <c r="G1" s="51"/>
      <c r="H1" s="5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IFERROR(__xludf.DUMMYFUNCTION("""COMPUTED_VALUE"""),"OverSellTradingRule")</f>
        <v>OverSellTradingRule</v>
      </c>
      <c r="C5" s="22" t="str">
        <f ca="1">IFERROR(__xludf.DUMMYFUNCTION("""COMPUTED_VALUE"""),"OverBuyTradingRule")</f>
        <v>OverBuyTradingRule</v>
      </c>
      <c r="D5" s="22" t="str">
        <f ca="1">IFERROR(__xludf.DUMMYFUNCTION("""COMPUTED_VALUE"""),"FatFingerTradingRule")</f>
        <v>FatFingerTradingRule</v>
      </c>
      <c r="E5" s="22" t="str">
        <f ca="1">IFERROR(__xludf.DUMMYFUNCTION("""COMPUTED_VALUE"""),"UnallocatedTradeAlert")</f>
        <v>UnallocatedTradeAlert</v>
      </c>
      <c r="F5" s="23" t="str">
        <f ca="1">IFERROR(__xludf.DUMMYFUNCTION("""COMPUTED_VALUE"""),"DuplicateTradeAlert")</f>
        <v>DuplicateTradeAlert</v>
      </c>
      <c r="G5" s="22" t="str">
        <f ca="1">IFERROR(__xludf.DUMMYFUNCTION("""COMPUTED_VALUE"""),"PendingNewOrderAlert")</f>
        <v>PendingNewOrderAlert</v>
      </c>
      <c r="H5" s="22" t="str">
        <f ca="1">IFERROR(__xludf.DUMMYFUNCTION("""COMPUTED_VALUE"""),"FatFingerPercent")</f>
        <v>FatFingerPercent</v>
      </c>
      <c r="I5" s="22" t="str">
        <f ca="1">IFERROR(__xludf.DUMMYFUNCTION("""COMPUTED_VALUE"""),"DuplicateTradeAlertTime")</f>
        <v>DuplicateTradeAlertTime</v>
      </c>
      <c r="J5" s="22" t="str">
        <f ca="1">IFERROR(__xludf.DUMMYFUNCTION("""COMPUTED_VALUE"""),"PendingNewOrderAlertTime")</f>
        <v>PendingNewOrderAlertTime</v>
      </c>
      <c r="K5" s="22" t="str">
        <f ca="1">IFERROR(__xludf.DUMMYFUNCTION("""COMPUTED_VALUE"""),"FatFingerAccountOrMasterFund")</f>
        <v>FatFingerAccountOrMasterFund</v>
      </c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/>
      <c r="C6" s="27"/>
      <c r="D6" s="28" t="b">
        <v>1</v>
      </c>
      <c r="E6" s="27"/>
      <c r="F6" s="27"/>
      <c r="G6" s="27"/>
      <c r="H6" s="29">
        <v>10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0" t="s">
        <v>11</v>
      </c>
      <c r="C1" s="51"/>
      <c r="D1" s="51"/>
      <c r="E1" s="51"/>
      <c r="F1" s="51"/>
      <c r="G1" s="51"/>
      <c r="H1" s="5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31">
        <f t="shared" ref="B6:C6" ca="1" si="0">TODAY()-1</f>
        <v>44411</v>
      </c>
      <c r="C6" s="32">
        <f t="shared" ca="1" si="0"/>
        <v>44411</v>
      </c>
      <c r="D6" s="7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0" t="s">
        <v>11</v>
      </c>
      <c r="C1" s="51"/>
      <c r="D1" s="51"/>
      <c r="E1" s="51"/>
      <c r="F1" s="51"/>
      <c r="G1" s="51"/>
      <c r="H1" s="5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 t="s">
        <v>19</v>
      </c>
      <c r="C6" s="27" t="s">
        <v>20</v>
      </c>
      <c r="D6" s="34">
        <v>300000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30" t="s">
        <v>21</v>
      </c>
      <c r="C7" s="30" t="s">
        <v>20</v>
      </c>
      <c r="D7" s="35">
        <v>300000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0" t="s">
        <v>11</v>
      </c>
      <c r="C1" s="51"/>
      <c r="D1" s="51"/>
      <c r="E1" s="51"/>
      <c r="F1" s="51"/>
      <c r="G1" s="51"/>
      <c r="H1" s="5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IFERROR(__xludf.DUMMYFUNCTION("""COMPUTED_VALUE"""),"ToggleBlombergOnRA")</f>
        <v>ToggleBlombergOnRA</v>
      </c>
      <c r="AB4" s="20" t="str">
        <f ca="1">IFERROR(__xludf.DUMMYFUNCTION("""COMPUTED_VALUE"""),"RemoveSymbolFromRAList")</f>
        <v>RemoveSymbolFromRAList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 t="s">
        <v>24</v>
      </c>
      <c r="C6" s="36" t="s">
        <v>25</v>
      </c>
      <c r="D6" s="34">
        <v>100</v>
      </c>
      <c r="E6" s="29">
        <v>100</v>
      </c>
      <c r="F6" s="27" t="s">
        <v>19</v>
      </c>
      <c r="G6" s="27" t="s">
        <v>26</v>
      </c>
      <c r="H6" s="27"/>
      <c r="I6" s="27"/>
      <c r="J6" s="29">
        <v>210</v>
      </c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30" t="s">
        <v>24</v>
      </c>
      <c r="C7" s="36" t="s">
        <v>25</v>
      </c>
      <c r="D7" s="35">
        <v>100000</v>
      </c>
      <c r="E7" s="35">
        <v>100000</v>
      </c>
      <c r="F7" s="30" t="s">
        <v>19</v>
      </c>
      <c r="G7" s="30" t="s">
        <v>26</v>
      </c>
      <c r="H7" s="30"/>
      <c r="I7" s="30"/>
      <c r="J7" s="35">
        <v>210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30"/>
      <c r="B8" s="30" t="s">
        <v>24</v>
      </c>
      <c r="C8" s="36" t="s">
        <v>25</v>
      </c>
      <c r="D8" s="35">
        <v>100</v>
      </c>
      <c r="E8" s="35">
        <v>100</v>
      </c>
      <c r="F8" s="30" t="s">
        <v>21</v>
      </c>
      <c r="G8" s="30" t="s">
        <v>26</v>
      </c>
      <c r="H8" s="30"/>
      <c r="I8" s="30"/>
      <c r="J8" s="35">
        <v>210</v>
      </c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>
      <c r="A9" s="30"/>
      <c r="B9" s="30" t="s">
        <v>24</v>
      </c>
      <c r="C9" s="36" t="s">
        <v>25</v>
      </c>
      <c r="D9" s="35">
        <v>100000</v>
      </c>
      <c r="E9" s="35">
        <v>100000</v>
      </c>
      <c r="F9" s="30" t="s">
        <v>21</v>
      </c>
      <c r="G9" s="30" t="s">
        <v>26</v>
      </c>
      <c r="H9" s="30"/>
      <c r="I9" s="30"/>
      <c r="J9" s="35">
        <v>210</v>
      </c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spans="1:154" ht="15.7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0" t="s">
        <v>11</v>
      </c>
      <c r="C1" s="51"/>
      <c r="D1" s="51"/>
      <c r="E1" s="51"/>
      <c r="F1" s="51"/>
      <c r="G1" s="51"/>
      <c r="H1" s="5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27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/>
      <c r="C6" s="27"/>
      <c r="D6" s="34">
        <v>210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7">
        <v>1</v>
      </c>
      <c r="AE6" s="30"/>
      <c r="AF6" s="30"/>
      <c r="AG6" s="30"/>
      <c r="AH6" s="37" t="s">
        <v>29</v>
      </c>
      <c r="AI6" s="30" t="s">
        <v>24</v>
      </c>
      <c r="AJ6" s="37" t="s">
        <v>25</v>
      </c>
      <c r="AK6" s="30" t="s">
        <v>30</v>
      </c>
      <c r="AL6" s="38">
        <v>100</v>
      </c>
      <c r="AM6" s="38">
        <v>100</v>
      </c>
      <c r="AN6" s="38">
        <v>100</v>
      </c>
      <c r="AO6" s="38">
        <v>100</v>
      </c>
      <c r="AP6" s="30"/>
      <c r="AQ6" s="38">
        <v>210</v>
      </c>
      <c r="AR6" s="38">
        <v>210</v>
      </c>
      <c r="AS6" s="30" t="s">
        <v>26</v>
      </c>
      <c r="AT6" s="30" t="s">
        <v>19</v>
      </c>
      <c r="AU6" s="30" t="s">
        <v>31</v>
      </c>
      <c r="AV6" s="39">
        <v>-21000</v>
      </c>
      <c r="AW6" s="39">
        <v>-21000</v>
      </c>
      <c r="AX6" s="30"/>
      <c r="AY6" s="38">
        <v>100</v>
      </c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30"/>
      <c r="C7" s="30"/>
      <c r="D7" s="35">
        <v>210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>
        <v>1</v>
      </c>
      <c r="AE7" s="30"/>
      <c r="AF7" s="30"/>
      <c r="AG7" s="30"/>
      <c r="AH7" s="37" t="s">
        <v>29</v>
      </c>
      <c r="AI7" s="30" t="s">
        <v>24</v>
      </c>
      <c r="AJ7" s="37" t="s">
        <v>25</v>
      </c>
      <c r="AK7" s="30" t="s">
        <v>30</v>
      </c>
      <c r="AL7" s="38">
        <v>100000</v>
      </c>
      <c r="AM7" s="38">
        <v>100000</v>
      </c>
      <c r="AN7" s="38">
        <v>100</v>
      </c>
      <c r="AO7" s="38">
        <v>100000</v>
      </c>
      <c r="AP7" s="30"/>
      <c r="AQ7" s="38">
        <v>210</v>
      </c>
      <c r="AR7" s="38">
        <v>210</v>
      </c>
      <c r="AS7" s="30" t="s">
        <v>26</v>
      </c>
      <c r="AT7" s="30" t="s">
        <v>19</v>
      </c>
      <c r="AU7" s="30" t="s">
        <v>31</v>
      </c>
      <c r="AV7" s="40">
        <v>-21000000</v>
      </c>
      <c r="AW7" s="40">
        <v>-21000000</v>
      </c>
      <c r="AX7" s="30"/>
      <c r="AY7" s="38">
        <v>100000</v>
      </c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30"/>
      <c r="B8" s="30"/>
      <c r="C8" s="30"/>
      <c r="D8" s="35">
        <v>210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>
        <v>1</v>
      </c>
      <c r="AE8" s="30"/>
      <c r="AF8" s="30"/>
      <c r="AG8" s="30"/>
      <c r="AH8" s="37" t="s">
        <v>29</v>
      </c>
      <c r="AI8" s="30" t="s">
        <v>24</v>
      </c>
      <c r="AJ8" s="37" t="s">
        <v>25</v>
      </c>
      <c r="AK8" s="30" t="s">
        <v>30</v>
      </c>
      <c r="AL8" s="38">
        <v>100</v>
      </c>
      <c r="AM8" s="38">
        <v>100</v>
      </c>
      <c r="AN8" s="38">
        <v>100</v>
      </c>
      <c r="AO8" s="38">
        <v>100</v>
      </c>
      <c r="AP8" s="30"/>
      <c r="AQ8" s="38">
        <v>210</v>
      </c>
      <c r="AR8" s="38">
        <v>210</v>
      </c>
      <c r="AS8" s="30" t="s">
        <v>26</v>
      </c>
      <c r="AT8" s="30" t="s">
        <v>21</v>
      </c>
      <c r="AU8" s="30" t="s">
        <v>31</v>
      </c>
      <c r="AV8" s="39">
        <v>-21000</v>
      </c>
      <c r="AW8" s="39">
        <v>-21000</v>
      </c>
      <c r="AX8" s="30"/>
      <c r="AY8" s="38">
        <v>100</v>
      </c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>
      <c r="A9" s="30"/>
      <c r="B9" s="30"/>
      <c r="C9" s="30"/>
      <c r="D9" s="35">
        <v>210</v>
      </c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>
        <v>1</v>
      </c>
      <c r="AE9" s="30"/>
      <c r="AF9" s="30"/>
      <c r="AG9" s="30"/>
      <c r="AH9" s="37" t="s">
        <v>29</v>
      </c>
      <c r="AI9" s="30" t="s">
        <v>24</v>
      </c>
      <c r="AJ9" s="37" t="s">
        <v>25</v>
      </c>
      <c r="AK9" s="30" t="s">
        <v>30</v>
      </c>
      <c r="AL9" s="38">
        <v>100000</v>
      </c>
      <c r="AM9" s="38">
        <v>100000</v>
      </c>
      <c r="AN9" s="38">
        <v>100</v>
      </c>
      <c r="AO9" s="38">
        <v>100000</v>
      </c>
      <c r="AP9" s="30"/>
      <c r="AQ9" s="38">
        <v>210</v>
      </c>
      <c r="AR9" s="38">
        <v>210</v>
      </c>
      <c r="AS9" s="30" t="s">
        <v>26</v>
      </c>
      <c r="AT9" s="30" t="s">
        <v>21</v>
      </c>
      <c r="AU9" s="30" t="s">
        <v>31</v>
      </c>
      <c r="AV9" s="40">
        <v>-21000000</v>
      </c>
      <c r="AW9" s="40">
        <v>-21000000</v>
      </c>
      <c r="AX9" s="30"/>
      <c r="AY9" s="38">
        <v>100000</v>
      </c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spans="1:154" ht="15.7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7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AJ11" s="37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0" t="s">
        <v>11</v>
      </c>
      <c r="C1" s="51"/>
      <c r="D1" s="51"/>
      <c r="E1" s="51"/>
      <c r="F1" s="51"/>
      <c r="G1" s="51"/>
      <c r="H1" s="5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32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 t="s">
        <v>34</v>
      </c>
      <c r="C6" s="27"/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0" t="s">
        <v>11</v>
      </c>
      <c r="C1" s="51"/>
      <c r="D1" s="51"/>
      <c r="E1" s="51"/>
      <c r="F1" s="51"/>
      <c r="G1" s="51"/>
      <c r="H1" s="5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32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41" t="s">
        <v>19</v>
      </c>
      <c r="C6" s="5"/>
      <c r="D6" s="42">
        <v>0</v>
      </c>
      <c r="E6" s="42">
        <v>100000</v>
      </c>
      <c r="F6" s="5"/>
      <c r="G6" s="43" t="s">
        <v>29</v>
      </c>
      <c r="H6" s="29">
        <v>4</v>
      </c>
      <c r="I6" s="29">
        <v>5</v>
      </c>
      <c r="J6" s="27"/>
      <c r="K6" s="29">
        <v>210</v>
      </c>
      <c r="L6" s="29">
        <v>210</v>
      </c>
      <c r="M6" s="5"/>
      <c r="N6" s="5"/>
      <c r="O6" s="7" t="s">
        <v>26</v>
      </c>
      <c r="Q6" s="42">
        <v>3</v>
      </c>
      <c r="R6" s="44">
        <v>0</v>
      </c>
      <c r="S6" s="27" t="s">
        <v>36</v>
      </c>
      <c r="T6" s="38">
        <v>0</v>
      </c>
      <c r="U6" s="38">
        <v>0</v>
      </c>
      <c r="Z6" s="43" t="s">
        <v>20</v>
      </c>
      <c r="AE6" s="42">
        <v>100000</v>
      </c>
      <c r="AI6" s="6">
        <v>1</v>
      </c>
      <c r="AT6" s="42">
        <v>20999974.239999998</v>
      </c>
      <c r="AU6" s="42">
        <v>20999974.239999998</v>
      </c>
      <c r="AW6" s="38">
        <v>0</v>
      </c>
      <c r="AX6" s="42">
        <v>0</v>
      </c>
      <c r="AY6" s="37" t="s">
        <v>31</v>
      </c>
      <c r="AZ6" s="38">
        <v>0</v>
      </c>
      <c r="BA6" s="30"/>
      <c r="BB6" s="30"/>
      <c r="BC6" s="38">
        <v>0</v>
      </c>
      <c r="BE6" s="42">
        <v>21000000</v>
      </c>
      <c r="BF6" s="42">
        <v>21000000</v>
      </c>
      <c r="BJ6" s="42">
        <v>100000</v>
      </c>
      <c r="BK6" s="42">
        <v>0</v>
      </c>
      <c r="BM6" s="43" t="s">
        <v>20</v>
      </c>
      <c r="BO6" s="43" t="s">
        <v>25</v>
      </c>
      <c r="BP6" s="42">
        <v>0</v>
      </c>
      <c r="BQ6" s="42">
        <v>0</v>
      </c>
      <c r="BT6" s="6" t="s">
        <v>24</v>
      </c>
      <c r="BU6" s="42">
        <v>3</v>
      </c>
      <c r="BV6" s="42">
        <v>0</v>
      </c>
      <c r="BW6" s="42">
        <v>25.76</v>
      </c>
      <c r="BX6" s="42">
        <v>0</v>
      </c>
      <c r="CH6" s="43" t="s">
        <v>22</v>
      </c>
      <c r="CI6" s="43" t="s">
        <v>25</v>
      </c>
      <c r="CJ6" s="42">
        <v>0</v>
      </c>
      <c r="CK6" s="43" t="s">
        <v>37</v>
      </c>
    </row>
    <row r="7" spans="1:154" ht="15.75" customHeight="1">
      <c r="A7" s="5"/>
      <c r="B7" s="43" t="s">
        <v>19</v>
      </c>
      <c r="C7" s="5"/>
      <c r="D7" s="42">
        <v>0</v>
      </c>
      <c r="E7" s="42">
        <v>100</v>
      </c>
      <c r="F7" s="5"/>
      <c r="G7" s="43" t="s">
        <v>29</v>
      </c>
      <c r="H7" s="35">
        <v>4</v>
      </c>
      <c r="I7" s="35">
        <v>5</v>
      </c>
      <c r="J7" s="30"/>
      <c r="K7" s="35">
        <v>210</v>
      </c>
      <c r="L7" s="35">
        <v>210</v>
      </c>
      <c r="M7" s="5"/>
      <c r="N7" s="5"/>
      <c r="O7" s="7" t="s">
        <v>26</v>
      </c>
      <c r="Q7" s="42">
        <v>3</v>
      </c>
      <c r="R7" s="38">
        <v>0</v>
      </c>
      <c r="S7" s="30" t="s">
        <v>36</v>
      </c>
      <c r="T7" s="38">
        <v>0</v>
      </c>
      <c r="U7" s="38">
        <v>0</v>
      </c>
      <c r="Z7" s="43" t="s">
        <v>20</v>
      </c>
      <c r="AE7" s="42">
        <v>100</v>
      </c>
      <c r="AI7" s="6">
        <v>1</v>
      </c>
      <c r="AT7" s="42">
        <v>20985.9882</v>
      </c>
      <c r="AU7" s="42">
        <v>20985.9882</v>
      </c>
      <c r="AW7" s="38">
        <v>0</v>
      </c>
      <c r="AX7" s="42">
        <v>0</v>
      </c>
      <c r="AY7" s="37" t="s">
        <v>31</v>
      </c>
      <c r="AZ7" s="38">
        <v>0</v>
      </c>
      <c r="BA7" s="30"/>
      <c r="BB7" s="30"/>
      <c r="BC7" s="38">
        <v>0</v>
      </c>
      <c r="BE7" s="42">
        <v>21000</v>
      </c>
      <c r="BF7" s="42">
        <v>21000</v>
      </c>
      <c r="BJ7" s="42">
        <v>100</v>
      </c>
      <c r="BK7" s="42">
        <v>0</v>
      </c>
      <c r="BM7" s="43" t="s">
        <v>20</v>
      </c>
      <c r="BO7" s="43" t="s">
        <v>25</v>
      </c>
      <c r="BP7" s="42">
        <v>0</v>
      </c>
      <c r="BQ7" s="42">
        <v>0</v>
      </c>
      <c r="BT7" s="6" t="s">
        <v>24</v>
      </c>
      <c r="BU7" s="42">
        <v>3</v>
      </c>
      <c r="BV7" s="42">
        <v>0</v>
      </c>
      <c r="BW7" s="42">
        <v>14.011799999999999</v>
      </c>
      <c r="BX7" s="42">
        <v>0</v>
      </c>
      <c r="CH7" s="43" t="s">
        <v>22</v>
      </c>
      <c r="CI7" s="43" t="s">
        <v>25</v>
      </c>
      <c r="CJ7" s="42">
        <v>0</v>
      </c>
      <c r="CK7" s="43" t="s">
        <v>37</v>
      </c>
    </row>
    <row r="8" spans="1:154" ht="15.75" customHeight="1">
      <c r="A8" s="5"/>
      <c r="B8" s="43" t="s">
        <v>21</v>
      </c>
      <c r="C8" s="5"/>
      <c r="D8" s="42">
        <v>0</v>
      </c>
      <c r="E8" s="42">
        <v>100</v>
      </c>
      <c r="F8" s="5"/>
      <c r="G8" s="43" t="s">
        <v>29</v>
      </c>
      <c r="H8" s="35">
        <v>4</v>
      </c>
      <c r="I8" s="35">
        <v>5</v>
      </c>
      <c r="J8" s="30"/>
      <c r="K8" s="35">
        <v>210</v>
      </c>
      <c r="L8" s="35">
        <v>210</v>
      </c>
      <c r="M8" s="5"/>
      <c r="N8" s="5"/>
      <c r="O8" s="7" t="s">
        <v>26</v>
      </c>
      <c r="Q8" s="42">
        <v>3</v>
      </c>
      <c r="R8" s="38">
        <v>0</v>
      </c>
      <c r="S8" s="30" t="s">
        <v>36</v>
      </c>
      <c r="T8" s="38">
        <v>0</v>
      </c>
      <c r="U8" s="38">
        <v>0</v>
      </c>
      <c r="Z8" s="43" t="s">
        <v>20</v>
      </c>
      <c r="AE8" s="42">
        <v>100</v>
      </c>
      <c r="AI8" s="6">
        <v>1</v>
      </c>
      <c r="AT8" s="42">
        <v>20985.9882</v>
      </c>
      <c r="AU8" s="42">
        <v>20985.9882</v>
      </c>
      <c r="AW8" s="38">
        <v>0</v>
      </c>
      <c r="AX8" s="42">
        <v>0</v>
      </c>
      <c r="AY8" s="37" t="s">
        <v>31</v>
      </c>
      <c r="AZ8" s="38">
        <v>0</v>
      </c>
      <c r="BA8" s="30"/>
      <c r="BB8" s="30"/>
      <c r="BC8" s="38">
        <v>0</v>
      </c>
      <c r="BE8" s="42">
        <v>21000</v>
      </c>
      <c r="BF8" s="42">
        <v>21000</v>
      </c>
      <c r="BJ8" s="42">
        <v>100</v>
      </c>
      <c r="BK8" s="42">
        <v>0</v>
      </c>
      <c r="BM8" s="43" t="s">
        <v>20</v>
      </c>
      <c r="BO8" s="43" t="s">
        <v>25</v>
      </c>
      <c r="BP8" s="42">
        <v>0</v>
      </c>
      <c r="BQ8" s="42">
        <v>0</v>
      </c>
      <c r="BT8" s="6" t="s">
        <v>24</v>
      </c>
      <c r="BU8" s="42">
        <v>3</v>
      </c>
      <c r="BV8" s="42">
        <v>0</v>
      </c>
      <c r="BW8" s="42">
        <v>14.011799999999999</v>
      </c>
      <c r="BX8" s="42">
        <v>0</v>
      </c>
      <c r="CH8" s="43" t="s">
        <v>22</v>
      </c>
      <c r="CI8" s="43" t="s">
        <v>25</v>
      </c>
      <c r="CJ8" s="42">
        <v>0</v>
      </c>
      <c r="CK8" s="43" t="s">
        <v>37</v>
      </c>
    </row>
    <row r="9" spans="1:154" ht="15.75" customHeight="1">
      <c r="A9" s="5"/>
      <c r="B9" s="43" t="s">
        <v>21</v>
      </c>
      <c r="C9" s="5"/>
      <c r="D9" s="42">
        <v>0</v>
      </c>
      <c r="E9" s="42">
        <v>100000</v>
      </c>
      <c r="F9" s="5"/>
      <c r="G9" s="43" t="s">
        <v>29</v>
      </c>
      <c r="H9" s="35">
        <v>4</v>
      </c>
      <c r="I9" s="35">
        <v>5</v>
      </c>
      <c r="J9" s="30"/>
      <c r="K9" s="35">
        <v>210</v>
      </c>
      <c r="L9" s="35">
        <v>210</v>
      </c>
      <c r="M9" s="5"/>
      <c r="N9" s="5"/>
      <c r="O9" s="7" t="s">
        <v>26</v>
      </c>
      <c r="Q9" s="42">
        <v>3</v>
      </c>
      <c r="R9" s="38">
        <v>0</v>
      </c>
      <c r="S9" s="30" t="s">
        <v>36</v>
      </c>
      <c r="T9" s="38">
        <v>0</v>
      </c>
      <c r="U9" s="38">
        <v>0</v>
      </c>
      <c r="Z9" s="43" t="s">
        <v>20</v>
      </c>
      <c r="AE9" s="42">
        <v>100000</v>
      </c>
      <c r="AI9" s="6">
        <v>1</v>
      </c>
      <c r="AT9" s="42">
        <v>20999974.239999998</v>
      </c>
      <c r="AU9" s="42">
        <v>20999974.239999998</v>
      </c>
      <c r="AW9" s="38">
        <v>0</v>
      </c>
      <c r="AX9" s="42">
        <v>0</v>
      </c>
      <c r="AY9" s="37" t="s">
        <v>31</v>
      </c>
      <c r="AZ9" s="38">
        <v>0</v>
      </c>
      <c r="BA9" s="30"/>
      <c r="BB9" s="30"/>
      <c r="BC9" s="38">
        <v>0</v>
      </c>
      <c r="BE9" s="42">
        <v>21000000</v>
      </c>
      <c r="BF9" s="42">
        <v>21000000</v>
      </c>
      <c r="BJ9" s="42">
        <v>100000</v>
      </c>
      <c r="BK9" s="42">
        <v>0</v>
      </c>
      <c r="BM9" s="43" t="s">
        <v>20</v>
      </c>
      <c r="BO9" s="43" t="s">
        <v>25</v>
      </c>
      <c r="BP9" s="42">
        <v>0</v>
      </c>
      <c r="BQ9" s="42">
        <v>0</v>
      </c>
      <c r="BT9" s="6" t="s">
        <v>24</v>
      </c>
      <c r="BU9" s="42">
        <v>3</v>
      </c>
      <c r="BV9" s="42">
        <v>0</v>
      </c>
      <c r="BW9" s="42">
        <v>25.76</v>
      </c>
      <c r="BX9" s="42">
        <v>0</v>
      </c>
      <c r="CH9" s="43" t="s">
        <v>22</v>
      </c>
      <c r="CI9" s="43" t="s">
        <v>25</v>
      </c>
      <c r="CJ9" s="42">
        <v>0</v>
      </c>
      <c r="CK9" s="43" t="s">
        <v>37</v>
      </c>
    </row>
    <row r="10" spans="1:154" ht="15.75" customHeight="1">
      <c r="A10" s="5"/>
      <c r="B10" s="5"/>
      <c r="C10" s="5"/>
      <c r="D10" s="5"/>
      <c r="E10" s="5"/>
      <c r="F10" s="5"/>
      <c r="G10" s="43"/>
      <c r="H10" s="30"/>
      <c r="I10" s="30"/>
      <c r="J10" s="30"/>
      <c r="K10" s="30"/>
      <c r="L10" s="30"/>
      <c r="M10" s="5"/>
      <c r="N10" s="5"/>
      <c r="O10" s="5"/>
      <c r="AT10" s="43"/>
      <c r="AU10" s="43"/>
      <c r="AW10" s="30"/>
      <c r="AX10" s="30"/>
      <c r="AY10" s="30"/>
      <c r="AZ10" s="30"/>
      <c r="BA10" s="30"/>
      <c r="BB10" s="30"/>
      <c r="BC10" s="30"/>
      <c r="BE10" s="43"/>
      <c r="BF10" s="43"/>
      <c r="BK10" s="43"/>
      <c r="BP10" s="43"/>
      <c r="BQ10" s="43"/>
      <c r="BU10" s="43"/>
      <c r="BV10" s="43"/>
      <c r="BX10" s="43"/>
      <c r="CH10" s="43"/>
      <c r="CJ10" s="43"/>
      <c r="CK10" s="43"/>
    </row>
    <row r="11" spans="1:154" ht="15.75" customHeight="1">
      <c r="A11" s="5"/>
      <c r="B11" s="5"/>
      <c r="C11" s="5"/>
      <c r="D11" s="5"/>
      <c r="E11" s="5"/>
      <c r="F11" s="5"/>
      <c r="G11" s="5"/>
      <c r="H11" s="30"/>
      <c r="I11" s="30"/>
      <c r="J11" s="30"/>
      <c r="K11" s="30"/>
      <c r="L11" s="30"/>
      <c r="M11" s="5"/>
      <c r="N11" s="5"/>
      <c r="O11" s="5"/>
      <c r="BE11" s="43"/>
      <c r="BF11" s="43"/>
      <c r="BP11" s="43"/>
      <c r="BQ11" s="43"/>
      <c r="BU11" s="43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BU12" s="43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BU13" s="43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BU14" s="43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A1" workbookViewId="0">
      <selection activeCell="BH15" sqref="BH1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6.85546875" customWidth="1"/>
    <col min="64" max="168" width="14.42578125" customWidth="1"/>
  </cols>
  <sheetData>
    <row r="1" spans="1:168" ht="15.75" customHeight="1">
      <c r="A1" s="13"/>
      <c r="B1" s="50" t="s">
        <v>11</v>
      </c>
      <c r="C1" s="51"/>
      <c r="D1" s="51"/>
      <c r="E1" s="51"/>
      <c r="F1" s="51"/>
      <c r="G1" s="51"/>
      <c r="H1" s="5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38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25"/>
      <c r="B6" s="26"/>
      <c r="C6" s="27" t="s">
        <v>24</v>
      </c>
      <c r="D6" s="45">
        <v>-100</v>
      </c>
      <c r="E6" s="27" t="s">
        <v>19</v>
      </c>
      <c r="F6" s="36" t="s">
        <v>40</v>
      </c>
      <c r="G6" s="29">
        <v>210</v>
      </c>
      <c r="H6" s="36" t="s">
        <v>41</v>
      </c>
      <c r="I6" s="29">
        <v>0</v>
      </c>
      <c r="J6" s="36">
        <v>0</v>
      </c>
      <c r="K6" s="36">
        <v>0</v>
      </c>
      <c r="L6" s="36">
        <v>0</v>
      </c>
      <c r="M6" s="36">
        <v>0</v>
      </c>
      <c r="N6" s="46">
        <v>21000</v>
      </c>
      <c r="O6" s="36"/>
      <c r="P6" s="27"/>
      <c r="Q6" s="46">
        <v>21000</v>
      </c>
      <c r="R6" s="27"/>
      <c r="S6" s="27"/>
      <c r="T6" s="30" t="s">
        <v>29</v>
      </c>
      <c r="U6" s="30" t="s">
        <v>37</v>
      </c>
      <c r="V6" s="30" t="s">
        <v>42</v>
      </c>
      <c r="W6" s="30" t="s">
        <v>20</v>
      </c>
      <c r="X6" s="38">
        <v>1</v>
      </c>
      <c r="Y6" s="38">
        <v>1</v>
      </c>
      <c r="Z6" s="30"/>
      <c r="AA6" s="30"/>
      <c r="AB6" s="38">
        <v>0</v>
      </c>
      <c r="AC6" s="38">
        <v>0</v>
      </c>
      <c r="AD6" s="38">
        <v>0</v>
      </c>
      <c r="AE6" s="38">
        <v>0</v>
      </c>
      <c r="AF6" s="39">
        <v>-100</v>
      </c>
      <c r="AG6" s="38">
        <v>0</v>
      </c>
      <c r="AH6" s="38">
        <v>0</v>
      </c>
      <c r="AI6" s="38">
        <v>0</v>
      </c>
      <c r="AJ6" s="38">
        <v>0</v>
      </c>
      <c r="AK6" s="46">
        <v>21000</v>
      </c>
      <c r="AL6" s="37">
        <v>1</v>
      </c>
      <c r="AM6" s="37">
        <v>1</v>
      </c>
      <c r="AN6" s="37" t="s">
        <v>25</v>
      </c>
      <c r="AO6" s="30"/>
      <c r="AP6" s="30" t="s">
        <v>43</v>
      </c>
      <c r="AQ6" s="37" t="s">
        <v>24</v>
      </c>
      <c r="AR6" s="37">
        <v>0</v>
      </c>
      <c r="AS6" s="30"/>
      <c r="AT6" s="30"/>
      <c r="AU6" s="30"/>
      <c r="AV6" s="37">
        <v>1</v>
      </c>
      <c r="AW6" s="46">
        <v>21000</v>
      </c>
      <c r="AX6" s="38">
        <v>0</v>
      </c>
      <c r="AY6" s="38">
        <v>0</v>
      </c>
      <c r="AZ6" s="38">
        <v>0</v>
      </c>
      <c r="BA6" s="30"/>
      <c r="BB6" s="30"/>
      <c r="BC6" s="38">
        <v>1</v>
      </c>
      <c r="BD6" s="46">
        <v>21000</v>
      </c>
      <c r="BE6" s="37" t="s">
        <v>29</v>
      </c>
      <c r="BF6" s="30"/>
      <c r="BG6" s="30"/>
      <c r="BH6" s="30"/>
      <c r="BI6" s="30"/>
      <c r="BJ6" s="38">
        <v>0</v>
      </c>
      <c r="BK6" s="38">
        <v>0</v>
      </c>
      <c r="BL6" s="38">
        <v>0</v>
      </c>
      <c r="BM6" s="38">
        <v>0</v>
      </c>
      <c r="BN6" s="30"/>
      <c r="BO6" s="46">
        <v>21000</v>
      </c>
      <c r="BP6" s="37">
        <v>0</v>
      </c>
      <c r="BQ6" s="30"/>
      <c r="BR6" s="30" t="s">
        <v>26</v>
      </c>
      <c r="BS6" s="38">
        <v>0</v>
      </c>
      <c r="BT6" s="38">
        <v>0</v>
      </c>
      <c r="BU6" s="37" t="s">
        <v>29</v>
      </c>
      <c r="BV6" s="30"/>
      <c r="BW6" s="38">
        <v>0</v>
      </c>
      <c r="BX6" s="37">
        <v>0</v>
      </c>
      <c r="BY6" s="38">
        <v>0</v>
      </c>
      <c r="BZ6" s="38">
        <v>0</v>
      </c>
      <c r="CA6" s="37">
        <v>0</v>
      </c>
      <c r="CB6" s="30"/>
      <c r="CC6" s="38">
        <v>0</v>
      </c>
      <c r="CD6" s="46">
        <v>21000</v>
      </c>
      <c r="CE6" s="37">
        <v>0</v>
      </c>
      <c r="CF6" s="37">
        <v>0</v>
      </c>
      <c r="CG6" s="46">
        <v>21000</v>
      </c>
      <c r="CH6" s="37">
        <v>100</v>
      </c>
      <c r="CI6" s="37">
        <v>0</v>
      </c>
      <c r="CJ6" s="37">
        <v>0</v>
      </c>
      <c r="CK6" s="30"/>
      <c r="CL6" s="30"/>
      <c r="CM6" s="30"/>
      <c r="CN6" s="30"/>
      <c r="CO6" s="30"/>
      <c r="CP6" s="30"/>
      <c r="CQ6" s="30"/>
      <c r="CR6" s="30"/>
      <c r="CS6" s="37">
        <v>210</v>
      </c>
      <c r="CT6" s="30"/>
      <c r="CU6" s="30"/>
      <c r="CV6" s="30"/>
      <c r="CW6" s="30"/>
      <c r="CX6" s="30"/>
      <c r="CY6" s="30"/>
      <c r="CZ6" s="30"/>
      <c r="DA6" s="38">
        <v>0</v>
      </c>
      <c r="DB6" s="38">
        <v>0</v>
      </c>
      <c r="DC6" s="30"/>
      <c r="DD6" s="30"/>
      <c r="DE6" s="38">
        <v>0</v>
      </c>
      <c r="DF6" s="38">
        <v>0</v>
      </c>
      <c r="DG6" s="38">
        <v>0</v>
      </c>
      <c r="DH6" s="30"/>
      <c r="DI6" s="37">
        <v>0</v>
      </c>
      <c r="DJ6" s="37" t="s">
        <v>25</v>
      </c>
      <c r="DK6" s="37">
        <v>0</v>
      </c>
      <c r="DL6" s="37">
        <v>0</v>
      </c>
      <c r="DM6" s="37">
        <v>1</v>
      </c>
      <c r="DN6" s="37">
        <v>0</v>
      </c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7">
        <v>0</v>
      </c>
      <c r="EG6" s="37">
        <v>0</v>
      </c>
      <c r="EH6" s="37">
        <v>0</v>
      </c>
      <c r="EI6" s="37">
        <v>0</v>
      </c>
      <c r="EJ6" s="37">
        <v>0</v>
      </c>
      <c r="EK6" s="37">
        <v>0</v>
      </c>
      <c r="EL6" s="37" t="s">
        <v>43</v>
      </c>
      <c r="EM6" s="37">
        <v>0</v>
      </c>
      <c r="EN6" s="37">
        <v>0</v>
      </c>
      <c r="EO6" s="37"/>
      <c r="EP6" s="30"/>
      <c r="EQ6" s="37">
        <v>0</v>
      </c>
      <c r="ER6" s="37">
        <v>0</v>
      </c>
      <c r="ES6" s="47">
        <v>42642000</v>
      </c>
      <c r="ET6" s="30"/>
      <c r="EU6" s="37">
        <v>0</v>
      </c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</row>
    <row r="7" spans="1:168" ht="15.75" customHeight="1">
      <c r="A7" s="30"/>
      <c r="B7" s="30"/>
      <c r="C7" s="30" t="s">
        <v>24</v>
      </c>
      <c r="D7" s="48">
        <v>-100000</v>
      </c>
      <c r="E7" s="30" t="s">
        <v>19</v>
      </c>
      <c r="F7" s="36" t="s">
        <v>40</v>
      </c>
      <c r="G7" s="35">
        <v>210</v>
      </c>
      <c r="H7" s="36" t="s">
        <v>41</v>
      </c>
      <c r="I7" s="35">
        <v>0</v>
      </c>
      <c r="J7" s="37">
        <v>0</v>
      </c>
      <c r="K7" s="37">
        <v>0</v>
      </c>
      <c r="L7" s="37">
        <v>0</v>
      </c>
      <c r="M7" s="37">
        <v>0</v>
      </c>
      <c r="N7" s="48">
        <v>21000000</v>
      </c>
      <c r="O7" s="37"/>
      <c r="P7" s="30"/>
      <c r="Q7" s="48">
        <v>21000000</v>
      </c>
      <c r="R7" s="30"/>
      <c r="S7" s="30"/>
      <c r="T7" s="30" t="s">
        <v>29</v>
      </c>
      <c r="U7" s="30" t="s">
        <v>37</v>
      </c>
      <c r="V7" s="30" t="s">
        <v>42</v>
      </c>
      <c r="W7" s="30" t="s">
        <v>20</v>
      </c>
      <c r="X7" s="38">
        <v>1</v>
      </c>
      <c r="Y7" s="38">
        <v>1</v>
      </c>
      <c r="Z7" s="30"/>
      <c r="AA7" s="30"/>
      <c r="AB7" s="38">
        <v>0</v>
      </c>
      <c r="AC7" s="38">
        <v>0</v>
      </c>
      <c r="AD7" s="38">
        <v>0</v>
      </c>
      <c r="AE7" s="38">
        <v>0</v>
      </c>
      <c r="AF7" s="39">
        <v>-100000</v>
      </c>
      <c r="AG7" s="38">
        <v>0</v>
      </c>
      <c r="AH7" s="38">
        <v>0</v>
      </c>
      <c r="AI7" s="38">
        <v>0</v>
      </c>
      <c r="AJ7" s="38">
        <v>0</v>
      </c>
      <c r="AK7" s="48">
        <v>21000000</v>
      </c>
      <c r="AL7" s="37">
        <v>1</v>
      </c>
      <c r="AM7" s="37">
        <v>1</v>
      </c>
      <c r="AN7" s="37" t="s">
        <v>25</v>
      </c>
      <c r="AO7" s="30"/>
      <c r="AP7" s="30" t="s">
        <v>43</v>
      </c>
      <c r="AQ7" s="37" t="s">
        <v>24</v>
      </c>
      <c r="AR7" s="37">
        <v>0</v>
      </c>
      <c r="AS7" s="30"/>
      <c r="AT7" s="30"/>
      <c r="AU7" s="30"/>
      <c r="AV7" s="37">
        <v>1</v>
      </c>
      <c r="AW7" s="48">
        <v>21000000</v>
      </c>
      <c r="AX7" s="38">
        <v>0</v>
      </c>
      <c r="AY7" s="38">
        <v>0</v>
      </c>
      <c r="AZ7" s="38">
        <v>0</v>
      </c>
      <c r="BA7" s="30"/>
      <c r="BB7" s="30"/>
      <c r="BC7" s="38">
        <v>1</v>
      </c>
      <c r="BD7" s="48">
        <v>21000000</v>
      </c>
      <c r="BE7" s="37" t="s">
        <v>29</v>
      </c>
      <c r="BF7" s="30"/>
      <c r="BG7" s="30"/>
      <c r="BH7" s="30"/>
      <c r="BI7" s="30"/>
      <c r="BJ7" s="38">
        <v>0</v>
      </c>
      <c r="BK7" s="38">
        <v>0</v>
      </c>
      <c r="BL7" s="38">
        <v>0</v>
      </c>
      <c r="BM7" s="38">
        <v>0</v>
      </c>
      <c r="BN7" s="30"/>
      <c r="BO7" s="48">
        <v>21000000</v>
      </c>
      <c r="BP7" s="37">
        <v>0</v>
      </c>
      <c r="BQ7" s="30"/>
      <c r="BR7" s="30" t="s">
        <v>26</v>
      </c>
      <c r="BS7" s="38">
        <v>0</v>
      </c>
      <c r="BT7" s="38">
        <v>0</v>
      </c>
      <c r="BU7" s="37" t="s">
        <v>29</v>
      </c>
      <c r="BV7" s="30"/>
      <c r="BW7" s="38">
        <v>0</v>
      </c>
      <c r="BX7" s="37">
        <v>0</v>
      </c>
      <c r="BY7" s="38">
        <v>0</v>
      </c>
      <c r="BZ7" s="38">
        <v>0</v>
      </c>
      <c r="CA7" s="37">
        <v>0</v>
      </c>
      <c r="CB7" s="30"/>
      <c r="CC7" s="38">
        <v>0</v>
      </c>
      <c r="CD7" s="48">
        <v>21000000</v>
      </c>
      <c r="CE7" s="37">
        <v>0</v>
      </c>
      <c r="CF7" s="37">
        <v>0</v>
      </c>
      <c r="CG7" s="48">
        <v>21000000</v>
      </c>
      <c r="CH7" s="37">
        <v>100</v>
      </c>
      <c r="CI7" s="37">
        <v>0</v>
      </c>
      <c r="CJ7" s="37">
        <v>0</v>
      </c>
      <c r="CK7" s="30"/>
      <c r="CL7" s="30"/>
      <c r="CM7" s="30"/>
      <c r="CN7" s="30"/>
      <c r="CO7" s="30"/>
      <c r="CP7" s="30"/>
      <c r="CQ7" s="30"/>
      <c r="CR7" s="30"/>
      <c r="CS7" s="37">
        <v>210</v>
      </c>
      <c r="CT7" s="30"/>
      <c r="CU7" s="30"/>
      <c r="CV7" s="30"/>
      <c r="CW7" s="30"/>
      <c r="CX7" s="30"/>
      <c r="CY7" s="30"/>
      <c r="CZ7" s="30"/>
      <c r="DA7" s="38">
        <v>0</v>
      </c>
      <c r="DB7" s="38">
        <v>0</v>
      </c>
      <c r="DC7" s="30"/>
      <c r="DD7" s="30"/>
      <c r="DE7" s="38">
        <v>0</v>
      </c>
      <c r="DF7" s="38">
        <v>0</v>
      </c>
      <c r="DG7" s="38">
        <v>0</v>
      </c>
      <c r="DH7" s="30"/>
      <c r="DI7" s="37">
        <v>0</v>
      </c>
      <c r="DJ7" s="37" t="s">
        <v>25</v>
      </c>
      <c r="DK7" s="37">
        <v>0</v>
      </c>
      <c r="DL7" s="37">
        <v>0</v>
      </c>
      <c r="DM7" s="37">
        <v>1</v>
      </c>
      <c r="DN7" s="37">
        <v>0</v>
      </c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7">
        <v>0</v>
      </c>
      <c r="EG7" s="37">
        <v>0</v>
      </c>
      <c r="EH7" s="37">
        <v>0</v>
      </c>
      <c r="EI7" s="37">
        <v>0</v>
      </c>
      <c r="EJ7" s="37">
        <v>0</v>
      </c>
      <c r="EK7" s="37">
        <v>0</v>
      </c>
      <c r="EL7" s="37" t="s">
        <v>43</v>
      </c>
      <c r="EM7" s="37">
        <v>0</v>
      </c>
      <c r="EN7" s="37">
        <v>0</v>
      </c>
      <c r="EO7" s="37"/>
      <c r="EP7" s="30"/>
      <c r="EQ7" s="37">
        <v>0</v>
      </c>
      <c r="ER7" s="37">
        <v>0</v>
      </c>
      <c r="ES7" s="47">
        <v>42642000</v>
      </c>
      <c r="ET7" s="30"/>
      <c r="EU7" s="37">
        <v>0</v>
      </c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</row>
    <row r="8" spans="1:168" ht="15.75" customHeight="1">
      <c r="A8" s="30"/>
      <c r="B8" s="30"/>
      <c r="C8" s="30" t="s">
        <v>24</v>
      </c>
      <c r="D8" s="49">
        <v>-100</v>
      </c>
      <c r="E8" s="30" t="s">
        <v>21</v>
      </c>
      <c r="F8" s="36" t="s">
        <v>44</v>
      </c>
      <c r="G8" s="35">
        <v>210</v>
      </c>
      <c r="H8" s="36" t="s">
        <v>41</v>
      </c>
      <c r="I8" s="35">
        <v>0</v>
      </c>
      <c r="J8" s="37">
        <v>0</v>
      </c>
      <c r="K8" s="37">
        <v>0</v>
      </c>
      <c r="L8" s="37">
        <v>0</v>
      </c>
      <c r="M8" s="37">
        <v>0</v>
      </c>
      <c r="N8" s="48">
        <v>21000</v>
      </c>
      <c r="O8" s="37"/>
      <c r="P8" s="30"/>
      <c r="Q8" s="48">
        <v>21000</v>
      </c>
      <c r="R8" s="30"/>
      <c r="S8" s="30"/>
      <c r="T8" s="30" t="s">
        <v>29</v>
      </c>
      <c r="U8" s="30" t="s">
        <v>37</v>
      </c>
      <c r="V8" s="30" t="s">
        <v>42</v>
      </c>
      <c r="W8" s="30" t="s">
        <v>20</v>
      </c>
      <c r="X8" s="38">
        <v>1</v>
      </c>
      <c r="Y8" s="38">
        <v>1</v>
      </c>
      <c r="Z8" s="30"/>
      <c r="AA8" s="30"/>
      <c r="AB8" s="38">
        <v>0</v>
      </c>
      <c r="AC8" s="38">
        <v>0</v>
      </c>
      <c r="AD8" s="38">
        <v>0</v>
      </c>
      <c r="AE8" s="38">
        <v>0</v>
      </c>
      <c r="AF8" s="39">
        <v>-100</v>
      </c>
      <c r="AG8" s="38">
        <v>0</v>
      </c>
      <c r="AH8" s="38">
        <v>0</v>
      </c>
      <c r="AI8" s="38">
        <v>0</v>
      </c>
      <c r="AJ8" s="38">
        <v>0</v>
      </c>
      <c r="AK8" s="48">
        <v>21000</v>
      </c>
      <c r="AL8" s="37">
        <v>1</v>
      </c>
      <c r="AM8" s="37">
        <v>1</v>
      </c>
      <c r="AN8" s="37" t="s">
        <v>25</v>
      </c>
      <c r="AO8" s="30"/>
      <c r="AP8" s="30" t="s">
        <v>43</v>
      </c>
      <c r="AQ8" s="37" t="s">
        <v>24</v>
      </c>
      <c r="AR8" s="37">
        <v>0</v>
      </c>
      <c r="AS8" s="30"/>
      <c r="AT8" s="30"/>
      <c r="AU8" s="30"/>
      <c r="AV8" s="37">
        <v>1</v>
      </c>
      <c r="AW8" s="48">
        <v>21000</v>
      </c>
      <c r="AX8" s="38">
        <v>0</v>
      </c>
      <c r="AY8" s="38">
        <v>0</v>
      </c>
      <c r="AZ8" s="38">
        <v>0</v>
      </c>
      <c r="BA8" s="30"/>
      <c r="BB8" s="30"/>
      <c r="BC8" s="38">
        <v>1</v>
      </c>
      <c r="BD8" s="48">
        <v>21000</v>
      </c>
      <c r="BE8" s="37" t="s">
        <v>29</v>
      </c>
      <c r="BF8" s="30"/>
      <c r="BG8" s="30"/>
      <c r="BH8" s="30"/>
      <c r="BI8" s="30"/>
      <c r="BJ8" s="38">
        <v>0</v>
      </c>
      <c r="BK8" s="38">
        <v>0</v>
      </c>
      <c r="BL8" s="38">
        <v>0</v>
      </c>
      <c r="BM8" s="38">
        <v>0</v>
      </c>
      <c r="BN8" s="30"/>
      <c r="BO8" s="48">
        <v>21000</v>
      </c>
      <c r="BP8" s="37">
        <v>0</v>
      </c>
      <c r="BQ8" s="30"/>
      <c r="BR8" s="30" t="s">
        <v>26</v>
      </c>
      <c r="BS8" s="38">
        <v>0</v>
      </c>
      <c r="BT8" s="38">
        <v>0</v>
      </c>
      <c r="BU8" s="37" t="s">
        <v>29</v>
      </c>
      <c r="BV8" s="30"/>
      <c r="BW8" s="38">
        <v>0</v>
      </c>
      <c r="BX8" s="37">
        <v>0</v>
      </c>
      <c r="BY8" s="38">
        <v>0</v>
      </c>
      <c r="BZ8" s="38">
        <v>0</v>
      </c>
      <c r="CA8" s="37">
        <v>0</v>
      </c>
      <c r="CB8" s="30"/>
      <c r="CC8" s="38">
        <v>0</v>
      </c>
      <c r="CD8" s="48">
        <v>21000</v>
      </c>
      <c r="CE8" s="37">
        <v>0</v>
      </c>
      <c r="CF8" s="37">
        <v>0</v>
      </c>
      <c r="CG8" s="48">
        <v>21000</v>
      </c>
      <c r="CH8" s="37">
        <v>100</v>
      </c>
      <c r="CI8" s="37">
        <v>0</v>
      </c>
      <c r="CJ8" s="37">
        <v>0</v>
      </c>
      <c r="CK8" s="30"/>
      <c r="CL8" s="30"/>
      <c r="CM8" s="30"/>
      <c r="CN8" s="30"/>
      <c r="CO8" s="30"/>
      <c r="CP8" s="30"/>
      <c r="CQ8" s="30"/>
      <c r="CR8" s="30"/>
      <c r="CS8" s="37">
        <v>210</v>
      </c>
      <c r="CT8" s="30"/>
      <c r="CU8" s="30"/>
      <c r="CV8" s="30"/>
      <c r="CW8" s="30"/>
      <c r="CX8" s="30"/>
      <c r="CY8" s="30"/>
      <c r="CZ8" s="30"/>
      <c r="DA8" s="38">
        <v>0</v>
      </c>
      <c r="DB8" s="38">
        <v>0</v>
      </c>
      <c r="DC8" s="30"/>
      <c r="DD8" s="30"/>
      <c r="DE8" s="38">
        <v>0</v>
      </c>
      <c r="DF8" s="38">
        <v>0</v>
      </c>
      <c r="DG8" s="38">
        <v>0</v>
      </c>
      <c r="DH8" s="30"/>
      <c r="DI8" s="37">
        <v>0</v>
      </c>
      <c r="DJ8" s="37" t="s">
        <v>25</v>
      </c>
      <c r="DK8" s="37">
        <v>0</v>
      </c>
      <c r="DL8" s="37">
        <v>0</v>
      </c>
      <c r="DM8" s="37">
        <v>1</v>
      </c>
      <c r="DN8" s="37">
        <v>0</v>
      </c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7">
        <v>0</v>
      </c>
      <c r="EG8" s="37">
        <v>0</v>
      </c>
      <c r="EH8" s="37">
        <v>0</v>
      </c>
      <c r="EI8" s="37">
        <v>0</v>
      </c>
      <c r="EJ8" s="37">
        <v>0</v>
      </c>
      <c r="EK8" s="37">
        <v>0</v>
      </c>
      <c r="EL8" s="37" t="s">
        <v>43</v>
      </c>
      <c r="EM8" s="37">
        <v>0</v>
      </c>
      <c r="EN8" s="37">
        <v>0</v>
      </c>
      <c r="EO8" s="37"/>
      <c r="EP8" s="30"/>
      <c r="EQ8" s="37">
        <v>0</v>
      </c>
      <c r="ER8" s="37">
        <v>0</v>
      </c>
      <c r="ES8" s="47">
        <v>42642000</v>
      </c>
      <c r="ET8" s="30"/>
      <c r="EU8" s="37">
        <v>0</v>
      </c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</row>
    <row r="9" spans="1:168" ht="15.75" customHeight="1">
      <c r="A9" s="30"/>
      <c r="B9" s="30"/>
      <c r="C9" s="30" t="s">
        <v>24</v>
      </c>
      <c r="D9" s="48">
        <v>-100000</v>
      </c>
      <c r="E9" s="30" t="s">
        <v>21</v>
      </c>
      <c r="F9" s="36" t="s">
        <v>44</v>
      </c>
      <c r="G9" s="35">
        <v>210</v>
      </c>
      <c r="H9" s="36" t="s">
        <v>41</v>
      </c>
      <c r="I9" s="35">
        <v>0</v>
      </c>
      <c r="J9" s="37">
        <v>0</v>
      </c>
      <c r="K9" s="37">
        <v>0</v>
      </c>
      <c r="L9" s="37">
        <v>0</v>
      </c>
      <c r="M9" s="37">
        <v>0</v>
      </c>
      <c r="N9" s="48">
        <v>21000000</v>
      </c>
      <c r="O9" s="37"/>
      <c r="P9" s="30"/>
      <c r="Q9" s="48">
        <v>21000000</v>
      </c>
      <c r="R9" s="30"/>
      <c r="S9" s="30"/>
      <c r="T9" s="30" t="s">
        <v>29</v>
      </c>
      <c r="U9" s="30" t="s">
        <v>37</v>
      </c>
      <c r="V9" s="30" t="s">
        <v>42</v>
      </c>
      <c r="W9" s="30" t="s">
        <v>20</v>
      </c>
      <c r="X9" s="38">
        <v>1</v>
      </c>
      <c r="Y9" s="38">
        <v>1</v>
      </c>
      <c r="Z9" s="30"/>
      <c r="AA9" s="30"/>
      <c r="AB9" s="38">
        <v>0</v>
      </c>
      <c r="AC9" s="38">
        <v>0</v>
      </c>
      <c r="AD9" s="38">
        <v>0</v>
      </c>
      <c r="AE9" s="38">
        <v>0</v>
      </c>
      <c r="AF9" s="39">
        <v>-100000</v>
      </c>
      <c r="AG9" s="38">
        <v>0</v>
      </c>
      <c r="AH9" s="38">
        <v>0</v>
      </c>
      <c r="AI9" s="38">
        <v>0</v>
      </c>
      <c r="AJ9" s="38">
        <v>0</v>
      </c>
      <c r="AK9" s="48">
        <v>21000000</v>
      </c>
      <c r="AL9" s="37">
        <v>1</v>
      </c>
      <c r="AM9" s="37">
        <v>1</v>
      </c>
      <c r="AN9" s="37" t="s">
        <v>25</v>
      </c>
      <c r="AO9" s="30"/>
      <c r="AP9" s="30" t="s">
        <v>43</v>
      </c>
      <c r="AQ9" s="37" t="s">
        <v>24</v>
      </c>
      <c r="AR9" s="37">
        <v>0</v>
      </c>
      <c r="AS9" s="30"/>
      <c r="AT9" s="30"/>
      <c r="AU9" s="30"/>
      <c r="AV9" s="37">
        <v>1</v>
      </c>
      <c r="AW9" s="48">
        <v>21000000</v>
      </c>
      <c r="AX9" s="38">
        <v>0</v>
      </c>
      <c r="AY9" s="38">
        <v>0</v>
      </c>
      <c r="AZ9" s="38">
        <v>0</v>
      </c>
      <c r="BA9" s="30"/>
      <c r="BB9" s="30"/>
      <c r="BC9" s="38">
        <v>1</v>
      </c>
      <c r="BD9" s="48">
        <v>21000000</v>
      </c>
      <c r="BE9" s="37" t="s">
        <v>29</v>
      </c>
      <c r="BF9" s="30"/>
      <c r="BG9" s="30"/>
      <c r="BH9" s="30"/>
      <c r="BI9" s="30"/>
      <c r="BJ9" s="38">
        <v>0</v>
      </c>
      <c r="BK9" s="38">
        <v>0</v>
      </c>
      <c r="BL9" s="38">
        <v>0</v>
      </c>
      <c r="BM9" s="38">
        <v>0</v>
      </c>
      <c r="BN9" s="30"/>
      <c r="BO9" s="48">
        <v>21000000</v>
      </c>
      <c r="BP9" s="37">
        <v>0</v>
      </c>
      <c r="BQ9" s="30"/>
      <c r="BR9" s="30" t="s">
        <v>26</v>
      </c>
      <c r="BS9" s="38">
        <v>0</v>
      </c>
      <c r="BT9" s="38">
        <v>0</v>
      </c>
      <c r="BU9" s="37" t="s">
        <v>29</v>
      </c>
      <c r="BV9" s="30"/>
      <c r="BW9" s="38">
        <v>0</v>
      </c>
      <c r="BX9" s="37">
        <v>0</v>
      </c>
      <c r="BY9" s="38">
        <v>0</v>
      </c>
      <c r="BZ9" s="38">
        <v>0</v>
      </c>
      <c r="CA9" s="37">
        <v>0</v>
      </c>
      <c r="CB9" s="30"/>
      <c r="CC9" s="38">
        <v>0</v>
      </c>
      <c r="CD9" s="48">
        <v>21000000</v>
      </c>
      <c r="CE9" s="37">
        <v>0</v>
      </c>
      <c r="CF9" s="37">
        <v>0</v>
      </c>
      <c r="CG9" s="48">
        <v>21000000</v>
      </c>
      <c r="CH9" s="37">
        <v>100</v>
      </c>
      <c r="CI9" s="37">
        <v>0</v>
      </c>
      <c r="CJ9" s="37">
        <v>0</v>
      </c>
      <c r="CK9" s="30"/>
      <c r="CL9" s="30"/>
      <c r="CM9" s="30"/>
      <c r="CN9" s="30"/>
      <c r="CO9" s="30"/>
      <c r="CP9" s="30"/>
      <c r="CQ9" s="30"/>
      <c r="CR9" s="30"/>
      <c r="CS9" s="37">
        <v>210</v>
      </c>
      <c r="CT9" s="30"/>
      <c r="CU9" s="30"/>
      <c r="CV9" s="30"/>
      <c r="CW9" s="30"/>
      <c r="CX9" s="30"/>
      <c r="CY9" s="30"/>
      <c r="CZ9" s="30"/>
      <c r="DA9" s="38">
        <v>0</v>
      </c>
      <c r="DB9" s="38">
        <v>0</v>
      </c>
      <c r="DC9" s="30"/>
      <c r="DD9" s="30"/>
      <c r="DE9" s="38">
        <v>0</v>
      </c>
      <c r="DF9" s="38">
        <v>0</v>
      </c>
      <c r="DG9" s="38">
        <v>0</v>
      </c>
      <c r="DH9" s="30"/>
      <c r="DI9" s="37">
        <v>0</v>
      </c>
      <c r="DJ9" s="37" t="s">
        <v>25</v>
      </c>
      <c r="DK9" s="37">
        <v>0</v>
      </c>
      <c r="DL9" s="37">
        <v>0</v>
      </c>
      <c r="DM9" s="37">
        <v>1</v>
      </c>
      <c r="DN9" s="37">
        <v>0</v>
      </c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7">
        <v>0</v>
      </c>
      <c r="EG9" s="37">
        <v>0</v>
      </c>
      <c r="EH9" s="37">
        <v>0</v>
      </c>
      <c r="EI9" s="37">
        <v>0</v>
      </c>
      <c r="EJ9" s="37">
        <v>0</v>
      </c>
      <c r="EK9" s="37">
        <v>0</v>
      </c>
      <c r="EL9" s="37" t="s">
        <v>43</v>
      </c>
      <c r="EM9" s="37">
        <v>0</v>
      </c>
      <c r="EN9" s="37">
        <v>0</v>
      </c>
      <c r="EO9" s="37"/>
      <c r="EP9" s="30"/>
      <c r="EQ9" s="37">
        <v>0</v>
      </c>
      <c r="ER9" s="37">
        <v>0</v>
      </c>
      <c r="ES9" s="47">
        <v>42642000</v>
      </c>
      <c r="ET9" s="30"/>
      <c r="EU9" s="37">
        <v>0</v>
      </c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</row>
    <row r="10" spans="1:168" ht="15.7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7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7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0" t="s">
        <v>11</v>
      </c>
      <c r="C1" s="51"/>
      <c r="D1" s="51"/>
      <c r="E1" s="51"/>
      <c r="F1" s="51"/>
      <c r="G1" s="51"/>
      <c r="H1" s="5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IFERROR(__xludf.DUMMYFUNCTION("""COMPUTED_VALUE"""),"ToggleBlombergOnRA")</f>
        <v>ToggleBlombergOnRA</v>
      </c>
      <c r="AB4" s="20" t="str">
        <f ca="1">IFERROR(__xludf.DUMMYFUNCTION("""COMPUTED_VALUE"""),"RemoveSymbolFromRAList")</f>
        <v>RemoveSymbolFromRAList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45</v>
      </c>
      <c r="C6" s="5"/>
      <c r="D6" s="7" t="s">
        <v>46</v>
      </c>
      <c r="E6" s="33">
        <v>1000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0" t="s">
        <v>11</v>
      </c>
      <c r="C1" s="51"/>
      <c r="D1" s="51"/>
      <c r="E1" s="51"/>
      <c r="F1" s="51"/>
      <c r="G1" s="51"/>
      <c r="H1" s="5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IFERROR(__xludf.DUMMYFUNCTION("""COMPUTED_VALUE"""),"ToggleBlombergOnRA")</f>
        <v>ToggleBlombergOnRA</v>
      </c>
      <c r="AB4" s="20" t="str">
        <f ca="1">IFERROR(__xludf.DUMMYFUNCTION("""COMPUTED_VALUE"""),"RemoveSymbolFromRAList")</f>
        <v>RemoveSymbolFromRAList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45</v>
      </c>
      <c r="C6" s="5"/>
      <c r="D6" s="7" t="s">
        <v>46</v>
      </c>
      <c r="E6" s="33">
        <v>1000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_Modules</vt:lpstr>
      <vt:lpstr>_Settings</vt:lpstr>
      <vt:lpstr>_MasterData</vt:lpstr>
      <vt:lpstr>SetTradingComplianceRules</vt:lpstr>
      <vt:lpstr>GetDailyCash</vt:lpstr>
      <vt:lpstr>UpdateDailyCash</vt:lpstr>
      <vt:lpstr>CreateDoneAwayOrder</vt:lpstr>
      <vt:lpstr>VerifyOrder</vt:lpstr>
      <vt:lpstr>GetDataAllocation</vt:lpstr>
      <vt:lpstr>CheckAllocatedGroups</vt:lpstr>
      <vt:lpstr>CheckPortfolioManagement</vt:lpstr>
      <vt:lpstr>Copy of Data</vt:lpstr>
      <vt:lpstr>Copy of Data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2021-08-04T13:21:43Z</dcterms:modified>
</cp:coreProperties>
</file>