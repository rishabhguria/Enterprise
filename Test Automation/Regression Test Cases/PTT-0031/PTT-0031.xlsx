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reateDoneAwayOrder1" sheetId="12" r:id="rId14"/>
    <sheet state="visible" name="CheckAllocatedGroups" sheetId="13" r:id="rId15"/>
    <sheet state="visible" name="VerifyLongPositionsGrid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<sst xmlns="http://schemas.openxmlformats.org/spreadsheetml/2006/main" count="196" uniqueCount="47">
  <si>
    <t>Master Data Info</t>
  </si>
  <si>
    <t>Settings</t>
  </si>
  <si>
    <t>Modules Info</t>
  </si>
  <si>
    <t>Modules</t>
  </si>
  <si>
    <t>Module Step Setting File</t>
  </si>
  <si>
    <t>Module</t>
  </si>
  <si>
    <t>1EIOAnn5_ydURa9w8aagTvOqRzTyrnNiyPEGPgiL87Y4</t>
  </si>
  <si>
    <t>Step</t>
  </si>
  <si>
    <t>Master Data Sheet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</si>
  <si>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</si>
  <si>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</si>
  <si>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</si>
  <si>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</si>
  <si>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</si>
  <si>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</si>
  <si>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</si>
  <si>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</si>
  <si>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</si>
  <si>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</si>
  <si>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msft</t>
  </si>
  <si>
    <t>buy</t>
  </si>
  <si>
    <t>Allocation3</t>
  </si>
  <si>
    <t>Allocation2</t>
  </si>
  <si>
    <t>OFFSHORE</t>
  </si>
  <si>
    <t>PricingInput</t>
  </si>
  <si>
    <t>DailyValuation</t>
  </si>
  <si>
    <t>GetDailyCash</t>
  </si>
  <si>
    <t xml:space="preserve"> </t>
  </si>
  <si>
    <t>UpdateDailyCash</t>
  </si>
  <si>
    <t>PTT</t>
  </si>
  <si>
    <t>CalculatePTT</t>
  </si>
  <si>
    <t>USD</t>
  </si>
  <si>
    <t>Increase</t>
  </si>
  <si>
    <t>Basis Point</t>
  </si>
  <si>
    <t>No</t>
  </si>
  <si>
    <t xml:space="preserve">MasterFund </t>
  </si>
  <si>
    <t>NewMF,NewMF1</t>
  </si>
  <si>
    <t>VerifyPTT</t>
  </si>
  <si>
    <t>TradePTT</t>
  </si>
  <si>
    <t>MasterFund</t>
  </si>
  <si>
    <t>Allocation</t>
  </si>
  <si>
    <t>CheckAllocatedGroups</t>
  </si>
  <si>
    <t>Multiple</t>
  </si>
  <si>
    <t>Closing</t>
  </si>
  <si>
    <t>VerifyLongPositionsGrid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</si>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</sst>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1" fillId="2" fontId="3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9" numFmtId="0" xfId="0" applyFont="1"/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4" numFmtId="1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4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5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8" t="s">
        <v>3</v>
      </c>
      <c r="B3" s="10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2"/>
      <c r="C1" s="4"/>
    </row>
    <row r="2" ht="15.75" customHeight="1">
      <c r="A2" s="7"/>
      <c r="B2" s="7"/>
      <c r="C2" s="7"/>
    </row>
    <row r="3" ht="15.75" customHeight="1">
      <c r="A3" s="8" t="s">
        <v>4</v>
      </c>
      <c r="B3" s="12" t="s">
        <v>6</v>
      </c>
      <c r="C3" s="7"/>
    </row>
    <row r="4" ht="15.75" customHeight="1">
      <c r="A4" s="9" t="s">
        <v>9</v>
      </c>
      <c r="B4" s="12" t="s">
        <v>10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0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9" t="s">
        <v>5</v>
      </c>
      <c r="B3" s="11" t="s">
        <v>7</v>
      </c>
      <c r="C3" s="11" t="s">
        <v>8</v>
      </c>
      <c r="D3" s="13"/>
      <c r="E3" s="13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19</v>
      </c>
      <c r="C6" s="7"/>
      <c r="D6" s="12" t="s">
        <v>20</v>
      </c>
      <c r="E6" s="33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CleanUp!$4:$4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16</v>
      </c>
      <c r="C6" s="30" t="s">
        <v>17</v>
      </c>
      <c r="D6" s="31">
        <v>10000.0</v>
      </c>
      <c r="E6" s="30"/>
      <c r="F6" s="30" t="s">
        <v>18</v>
      </c>
      <c r="G6" s="30"/>
      <c r="H6" s="30"/>
      <c r="I6" s="30"/>
      <c r="J6" s="32">
        <v>20.0</v>
      </c>
      <c r="K6" s="30"/>
      <c r="L6" s="30"/>
      <c r="M6" s="30"/>
      <c r="N6" s="34">
        <f t="shared" ref="N6:N9" si="1">Today()</f>
        <v>43700</v>
      </c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</row>
    <row r="7" ht="15.75" customHeight="1">
      <c r="A7" s="7"/>
      <c r="B7" s="35" t="s">
        <v>16</v>
      </c>
      <c r="C7" s="35" t="s">
        <v>17</v>
      </c>
      <c r="D7" s="36">
        <v>10000.0</v>
      </c>
      <c r="E7" s="35"/>
      <c r="F7" s="35" t="s">
        <v>21</v>
      </c>
      <c r="G7" s="35"/>
      <c r="H7" s="35"/>
      <c r="I7" s="35"/>
      <c r="J7" s="37">
        <v>20.0</v>
      </c>
      <c r="K7" s="35"/>
      <c r="L7" s="35"/>
      <c r="M7" s="35"/>
      <c r="N7" s="34">
        <f t="shared" si="1"/>
        <v>43700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</row>
    <row r="8" ht="15.75" customHeight="1">
      <c r="A8" s="7"/>
      <c r="B8" s="38" t="s">
        <v>16</v>
      </c>
      <c r="C8" s="38" t="s">
        <v>17</v>
      </c>
      <c r="D8" s="37">
        <v>10000.0</v>
      </c>
      <c r="E8" s="35"/>
      <c r="F8" s="35" t="s">
        <v>22</v>
      </c>
      <c r="G8" s="35"/>
      <c r="H8" s="35"/>
      <c r="I8" s="35"/>
      <c r="J8" s="37">
        <v>20.0</v>
      </c>
      <c r="K8" s="35"/>
      <c r="L8" s="35"/>
      <c r="M8" s="35"/>
      <c r="N8" s="34">
        <f t="shared" si="1"/>
        <v>43700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</row>
    <row r="9" ht="15.75" customHeight="1">
      <c r="A9" s="7"/>
      <c r="B9" s="38" t="s">
        <v>16</v>
      </c>
      <c r="C9" s="38" t="s">
        <v>17</v>
      </c>
      <c r="D9" s="37">
        <v>10000.0</v>
      </c>
      <c r="E9" s="35"/>
      <c r="F9" s="38" t="s">
        <v>23</v>
      </c>
      <c r="G9" s="35"/>
      <c r="H9" s="35"/>
      <c r="I9" s="35"/>
      <c r="J9" s="37">
        <v>20.0</v>
      </c>
      <c r="K9" s="35"/>
      <c r="L9" s="35"/>
      <c r="M9" s="35"/>
      <c r="N9" s="34">
        <f t="shared" si="1"/>
        <v>43700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30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24</v>
      </c>
      <c r="D3" s="8" t="s">
        <v>7</v>
      </c>
      <c r="E3" s="21" t="s">
        <v>24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16</v>
      </c>
      <c r="C6" s="32">
        <v>20.0</v>
      </c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25</v>
      </c>
      <c r="D3" s="8" t="s">
        <v>7</v>
      </c>
      <c r="E3" s="21" t="s">
        <v>26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0">
        <f>TODAY()-1</f>
        <v>43699</v>
      </c>
      <c r="C6" s="40">
        <f>TODAY()</f>
        <v>43700</v>
      </c>
      <c r="D6" s="12" t="s">
        <v>27</v>
      </c>
      <c r="E6" s="41" t="s">
        <v>27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25</v>
      </c>
      <c r="D3" s="8" t="s">
        <v>7</v>
      </c>
      <c r="E3" s="21" t="s">
        <v>28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18</v>
      </c>
      <c r="C6" s="30" t="s">
        <v>31</v>
      </c>
      <c r="D6" s="31">
        <v>50000.0</v>
      </c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5" t="s">
        <v>21</v>
      </c>
      <c r="C7" s="35" t="s">
        <v>31</v>
      </c>
      <c r="D7" s="37">
        <v>50000.0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5" t="s">
        <v>22</v>
      </c>
      <c r="C8" s="35" t="s">
        <v>31</v>
      </c>
      <c r="D8" s="37">
        <v>50000.0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8" t="s">
        <v>23</v>
      </c>
      <c r="C9" s="35" t="s">
        <v>31</v>
      </c>
      <c r="D9" s="37">
        <v>50000.0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7</v>
      </c>
      <c r="E3" s="21" t="s">
        <v>30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IFERROR(__xludf.DUMMYFUNCTION("""COMPUTED_VALUE"""),"SelectPTTRecord")</f>
        <v>SelectPTTRecord</v>
      </c>
      <c r="O4" s="23" t="str">
        <f>IFERROR(__xludf.DUMMYFUNCTION("""COMPUTED_VALUE"""),"EditPTTRecord")</f>
        <v>EditPTTRecord</v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IFERROR(__xludf.DUMMYFUNCTION("""COMPUTED_VALUE"""),"Add/Set")</f>
        <v>Add/Set</v>
      </c>
      <c r="D5" s="26" t="str">
        <f>IFERROR(__xludf.DUMMYFUNCTION("""COMPUTED_VALUE"""),"Type")</f>
        <v>Type</v>
      </c>
      <c r="E5" s="26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6" t="str">
        <f>IFERROR(__xludf.DUMMYFUNCTION("""COMPUTED_VALUE"""),"Combined Account Total")</f>
        <v>Combined Account Total</v>
      </c>
      <c r="H5" s="26" t="str">
        <f>IFERROR(__xludf.DUMMYFUNCTION("""COMPUTED_VALUE"""),"MasterFund/Account")</f>
        <v>MasterFund/Account</v>
      </c>
      <c r="I5" s="26" t="str">
        <f>IFERROR(__xludf.DUMMYFUNCTION("""COMPUTED_VALUE"""),"Accounts")</f>
        <v>Accounts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16</v>
      </c>
      <c r="C6" s="12" t="s">
        <v>32</v>
      </c>
      <c r="D6" s="12" t="s">
        <v>33</v>
      </c>
      <c r="E6" s="12">
        <v>15.0</v>
      </c>
      <c r="F6" s="12">
        <v>20.0</v>
      </c>
      <c r="G6" s="12" t="s">
        <v>34</v>
      </c>
      <c r="H6" s="12" t="s">
        <v>35</v>
      </c>
      <c r="I6" s="12" t="s">
        <v>36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7</v>
      </c>
      <c r="E3" s="21" t="s">
        <v>37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IFERROR(__xludf.DUMMYFUNCTION("""COMPUTED_VALUE"""),"SelectPTTRecord")</f>
        <v>SelectPTTRecord</v>
      </c>
      <c r="O4" s="23" t="str">
        <f>IFERROR(__xludf.DUMMYFUNCTION("""COMPUTED_VALUE"""),"EditPTTRecord")</f>
        <v>EditPTTRecord</v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IFERROR(__xludf.DUMMYFUNCTION("""COMPUTED_VALUE"""),"Account NAV")</f>
        <v>Account NAV</v>
      </c>
      <c r="D5" s="26" t="str">
        <f>IFERROR(__xludf.DUMMYFUNCTION("""COMPUTED_VALUE"""),"Starting Position")</f>
        <v>Starting Position</v>
      </c>
      <c r="E5" s="26" t="str">
        <f>IFERROR(__xludf.DUMMYFUNCTION("""COMPUTED_VALUE"""),"Starting Value")</f>
        <v>Starting Value</v>
      </c>
      <c r="F5" s="27" t="str">
        <f>IFERROR(__xludf.DUMMYFUNCTION("""COMPUTED_VALUE"""),"Starting %")</f>
        <v>Starting %</v>
      </c>
      <c r="G5" s="26" t="str">
        <f>IFERROR(__xludf.DUMMYFUNCTION("""COMPUTED_VALUE"""),"% Change")</f>
        <v>% Change</v>
      </c>
      <c r="H5" s="26" t="str">
        <f>IFERROR(__xludf.DUMMYFUNCTION("""COMPUTED_VALUE"""),"Ending %")</f>
        <v>Ending %</v>
      </c>
      <c r="I5" s="26" t="str">
        <f>IFERROR(__xludf.DUMMYFUNCTION("""COMPUTED_VALUE"""),"Trade Quantity")</f>
        <v>Trade Quantity</v>
      </c>
      <c r="J5" s="26" t="str">
        <f>IFERROR(__xludf.DUMMYFUNCTION("""COMPUTED_VALUE"""),"Ending Position")</f>
        <v>Ending Position</v>
      </c>
      <c r="K5" s="26" t="str">
        <f>IFERROR(__xludf.DUMMYFUNCTION("""COMPUTED_VALUE"""),"Ending Value")</f>
        <v>Ending Value</v>
      </c>
      <c r="L5" s="26" t="str">
        <f>IFERROR(__xludf.DUMMYFUNCTION("""COMPUTED_VALUE"""),"% Allocation")</f>
        <v>% Allocation</v>
      </c>
      <c r="M5" s="26" t="str">
        <f>IFERROR(__xludf.DUMMYFUNCTION("""COMPUTED_VALUE"""),"Fx Rate")</f>
        <v>Fx Rate</v>
      </c>
      <c r="N5" s="26" t="str">
        <f>IFERROR(__xludf.DUMMYFUNCTION("""COMPUTED_VALUE"""),"Starting BP")</f>
        <v>Starting BP</v>
      </c>
      <c r="O5" s="26" t="str">
        <f>IFERROR(__xludf.DUMMYFUNCTION("""COMPUTED_VALUE"""),"BP Change")</f>
        <v>BP Change</v>
      </c>
      <c r="P5" s="26" t="str">
        <f>IFERROR(__xludf.DUMMYFUNCTION("""COMPUTED_VALUE"""),"Ending BP")</f>
        <v>Ending BP</v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7"/>
      <c r="D6" s="12">
        <v>20000.0</v>
      </c>
      <c r="E6" s="12">
        <v>400000.0</v>
      </c>
      <c r="F6" s="7"/>
      <c r="G6" s="7"/>
      <c r="H6" s="7"/>
      <c r="I6" s="12">
        <v>6.0</v>
      </c>
      <c r="J6" s="12">
        <v>20006.0</v>
      </c>
      <c r="K6" s="12">
        <v>400120.0</v>
      </c>
      <c r="L6" s="12">
        <v>50.0</v>
      </c>
      <c r="M6" s="12">
        <v>1.0</v>
      </c>
      <c r="N6" s="12">
        <v>40000.0</v>
      </c>
      <c r="O6" s="12">
        <v>12.0</v>
      </c>
      <c r="P6" s="39">
        <v>40012.0</v>
      </c>
    </row>
    <row r="7" ht="15.75" customHeight="1">
      <c r="A7" s="7"/>
      <c r="B7" s="7"/>
      <c r="C7" s="7"/>
      <c r="D7" s="12">
        <v>20000.0</v>
      </c>
      <c r="E7" s="12">
        <v>400000.0</v>
      </c>
      <c r="F7" s="7"/>
      <c r="G7" s="7"/>
      <c r="H7" s="7"/>
      <c r="I7" s="12">
        <v>6.0</v>
      </c>
      <c r="J7" s="12">
        <v>20006.0</v>
      </c>
      <c r="K7" s="12">
        <v>400120.0</v>
      </c>
      <c r="L7" s="12">
        <v>50.0</v>
      </c>
      <c r="M7" s="12">
        <v>1.0</v>
      </c>
      <c r="N7" s="12">
        <v>40000.0</v>
      </c>
      <c r="O7" s="12">
        <v>12.0</v>
      </c>
      <c r="P7" s="39">
        <v>40012.0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7</v>
      </c>
      <c r="E3" s="21" t="s">
        <v>38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IFERROR(__xludf.DUMMYFUNCTION("""COMPUTED_VALUE"""),"SelectPTTRecord")</f>
        <v>SelectPTTRecord</v>
      </c>
      <c r="O4" s="23" t="str">
        <f>IFERROR(__xludf.DUMMYFUNCTION("""COMPUTED_VALUE"""),"EditPTTRecord")</f>
        <v>EditPTTRecord</v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IFERROR(__xludf.DUMMYFUNCTION("""COMPUTED_VALUE"""),"Add/Set")</f>
        <v>Add/Set</v>
      </c>
      <c r="D5" s="26" t="str">
        <f>IFERROR(__xludf.DUMMYFUNCTION("""COMPUTED_VALUE"""),"Type")</f>
        <v>Type</v>
      </c>
      <c r="E5" s="26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6" t="str">
        <f>IFERROR(__xludf.DUMMYFUNCTION("""COMPUTED_VALUE"""),"Combined Account Total")</f>
        <v>Combined Account Total</v>
      </c>
      <c r="H5" s="26" t="str">
        <f>IFERROR(__xludf.DUMMYFUNCTION("""COMPUTED_VALUE"""),"MasterFund/Account")</f>
        <v>MasterFund/Account</v>
      </c>
      <c r="I5" s="26" t="str">
        <f>IFERROR(__xludf.DUMMYFUNCTION("""COMPUTED_VALUE"""),"Accounts")</f>
        <v>Accounts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16</v>
      </c>
      <c r="C6" s="30" t="s">
        <v>32</v>
      </c>
      <c r="D6" s="42" t="s">
        <v>33</v>
      </c>
      <c r="E6" s="32">
        <v>15.0</v>
      </c>
      <c r="F6" s="32">
        <v>20.0</v>
      </c>
      <c r="G6" s="42" t="s">
        <v>34</v>
      </c>
      <c r="H6" s="30" t="s">
        <v>39</v>
      </c>
      <c r="I6" s="30" t="s">
        <v>36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16</v>
      </c>
      <c r="C6" s="30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40</v>
      </c>
      <c r="D3" s="8" t="s">
        <v>7</v>
      </c>
      <c r="E3" s="21" t="s">
        <v>41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18</v>
      </c>
      <c r="C6" s="30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</row>
    <row r="7" ht="15.75" customHeight="1">
      <c r="A7" s="7"/>
      <c r="B7" s="35" t="s">
        <v>21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 t="s">
        <v>17</v>
      </c>
      <c r="BP7" s="35"/>
      <c r="BQ7" s="35"/>
      <c r="BR7" s="35"/>
      <c r="BS7" s="35"/>
      <c r="BT7" s="35" t="s">
        <v>16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</row>
    <row r="8" ht="15.75" customHeight="1">
      <c r="A8" s="7"/>
      <c r="B8" s="35" t="s">
        <v>22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 t="s">
        <v>17</v>
      </c>
      <c r="BP8" s="35"/>
      <c r="BQ8" s="35"/>
      <c r="BR8" s="35"/>
      <c r="BS8" s="35"/>
      <c r="BT8" s="35" t="s">
        <v>16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</row>
    <row r="9" ht="15.75" customHeight="1">
      <c r="A9" s="7"/>
      <c r="B9" s="38" t="s">
        <v>23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 t="s">
        <v>17</v>
      </c>
      <c r="BP9" s="35"/>
      <c r="BQ9" s="35"/>
      <c r="BR9" s="35"/>
      <c r="BS9" s="35"/>
      <c r="BT9" s="35" t="s">
        <v>16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</row>
    <row r="10" ht="15.75" customHeight="1">
      <c r="A10" s="7"/>
      <c r="B10" s="12" t="s">
        <v>42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BO10" s="39" t="s">
        <v>17</v>
      </c>
      <c r="BT10" s="39" t="s">
        <v>16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43</v>
      </c>
      <c r="D3" s="8" t="s">
        <v>7</v>
      </c>
      <c r="E3" s="21" t="s">
        <v>44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18</v>
      </c>
      <c r="C6" s="30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 t="s">
        <v>17</v>
      </c>
      <c r="Q6" s="30"/>
      <c r="R6" s="30" t="s">
        <v>16</v>
      </c>
      <c r="S6" s="30"/>
      <c r="T6" s="35"/>
      <c r="U6" s="35"/>
      <c r="V6" s="35"/>
      <c r="W6" s="35"/>
      <c r="X6" s="35"/>
      <c r="Y6" s="35"/>
      <c r="Z6" s="35"/>
    </row>
    <row r="7" ht="15.75" customHeight="1">
      <c r="A7" s="7"/>
      <c r="B7" s="35" t="s">
        <v>21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 t="s">
        <v>17</v>
      </c>
      <c r="Q7" s="35"/>
      <c r="R7" s="35" t="s">
        <v>16</v>
      </c>
      <c r="S7" s="35"/>
      <c r="T7" s="35"/>
      <c r="U7" s="35"/>
      <c r="V7" s="35"/>
      <c r="W7" s="35"/>
      <c r="X7" s="35"/>
      <c r="Y7" s="35"/>
      <c r="Z7" s="35"/>
    </row>
    <row r="8" ht="15.75" customHeight="1">
      <c r="A8" s="7"/>
      <c r="B8" s="35" t="s">
        <v>22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17</v>
      </c>
      <c r="Q8" s="35"/>
      <c r="R8" s="35" t="s">
        <v>16</v>
      </c>
      <c r="S8" s="35"/>
      <c r="T8" s="35"/>
      <c r="U8" s="35"/>
      <c r="V8" s="35"/>
      <c r="W8" s="35"/>
      <c r="X8" s="35"/>
      <c r="Y8" s="35"/>
      <c r="Z8" s="35"/>
    </row>
    <row r="9" ht="15.75" customHeight="1">
      <c r="A9" s="7"/>
      <c r="B9" s="38" t="s">
        <v>23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 t="s">
        <v>17</v>
      </c>
      <c r="Q9" s="35"/>
      <c r="R9" s="35" t="s">
        <v>16</v>
      </c>
      <c r="S9" s="35"/>
      <c r="T9" s="35"/>
      <c r="U9" s="35"/>
      <c r="V9" s="35"/>
      <c r="W9" s="35"/>
      <c r="X9" s="35"/>
      <c r="Y9" s="35"/>
      <c r="Z9" s="35"/>
    </row>
    <row r="10" ht="15.75" customHeight="1">
      <c r="A10" s="7"/>
      <c r="B10" s="38" t="s">
        <v>23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35" t="s">
        <v>17</v>
      </c>
      <c r="R10" s="35" t="s">
        <v>16</v>
      </c>
    </row>
    <row r="11" ht="15.75" customHeight="1">
      <c r="A11" s="7"/>
      <c r="B11" s="35" t="s">
        <v>22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35" t="s">
        <v>17</v>
      </c>
      <c r="R11" s="35" t="s">
        <v>16</v>
      </c>
    </row>
    <row r="12" ht="15.75" customHeight="1">
      <c r="A12" s="7"/>
      <c r="B12" s="35" t="s">
        <v>21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35" t="s">
        <v>17</v>
      </c>
      <c r="R12" s="35" t="s">
        <v>16</v>
      </c>
    </row>
    <row r="13" ht="15.75" customHeight="1">
      <c r="A13" s="7"/>
      <c r="B13" s="29" t="s">
        <v>18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35" t="s">
        <v>17</v>
      </c>
      <c r="R13" s="35" t="s">
        <v>16</v>
      </c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45</v>
      </c>
      <c r="D3" s="8" t="s">
        <v>7</v>
      </c>
      <c r="E3" s="21" t="s">
        <v>46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</row>
    <row r="6" ht="15.75" customHeight="1">
      <c r="A6" s="12"/>
      <c r="B6" s="29"/>
      <c r="C6" s="30" t="s">
        <v>16</v>
      </c>
      <c r="D6" s="29"/>
      <c r="E6" s="30" t="s">
        <v>18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17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</row>
    <row r="7" ht="15.75" customHeight="1">
      <c r="A7" s="7"/>
      <c r="B7" s="35"/>
      <c r="C7" s="35" t="s">
        <v>16</v>
      </c>
      <c r="D7" s="35"/>
      <c r="E7" s="35" t="s">
        <v>21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17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</row>
    <row r="8" ht="15.75" customHeight="1">
      <c r="A8" s="7"/>
      <c r="B8" s="35"/>
      <c r="C8" s="35" t="s">
        <v>16</v>
      </c>
      <c r="D8" s="35"/>
      <c r="E8" s="35" t="s">
        <v>22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17</v>
      </c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</row>
    <row r="9" ht="15.75" customHeight="1">
      <c r="A9" s="7"/>
      <c r="B9" s="35"/>
      <c r="C9" s="35" t="s">
        <v>16</v>
      </c>
      <c r="D9" s="35"/>
      <c r="E9" s="38" t="s">
        <v>23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17</v>
      </c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</row>
    <row r="10" ht="15.75" customHeight="1">
      <c r="A10" s="7"/>
      <c r="B10" s="7"/>
      <c r="C10" s="35" t="s">
        <v>16</v>
      </c>
      <c r="D10" s="7"/>
      <c r="E10" s="30" t="s">
        <v>18</v>
      </c>
      <c r="F10" s="7"/>
      <c r="G10" s="7"/>
      <c r="H10" s="7"/>
      <c r="I10" s="7"/>
      <c r="J10" s="7"/>
      <c r="K10" s="7"/>
      <c r="L10" s="7"/>
      <c r="M10" s="7"/>
      <c r="N10" s="7"/>
      <c r="O10" s="7"/>
      <c r="AN10" s="35" t="s">
        <v>17</v>
      </c>
    </row>
    <row r="11" ht="15.75" customHeight="1">
      <c r="A11" s="7"/>
      <c r="B11" s="7"/>
      <c r="C11" s="35" t="s">
        <v>16</v>
      </c>
      <c r="D11" s="7"/>
      <c r="E11" s="35" t="s">
        <v>21</v>
      </c>
      <c r="F11" s="7"/>
      <c r="G11" s="7"/>
      <c r="H11" s="7"/>
      <c r="I11" s="7"/>
      <c r="J11" s="7"/>
      <c r="K11" s="7"/>
      <c r="L11" s="7"/>
      <c r="M11" s="7"/>
      <c r="N11" s="7"/>
      <c r="O11" s="7"/>
      <c r="AN11" s="35" t="s">
        <v>17</v>
      </c>
    </row>
    <row r="12" ht="15.75" customHeight="1">
      <c r="A12" s="7"/>
      <c r="B12" s="7"/>
      <c r="C12" s="35" t="s">
        <v>16</v>
      </c>
      <c r="D12" s="7"/>
      <c r="E12" s="35" t="s">
        <v>22</v>
      </c>
      <c r="F12" s="7"/>
      <c r="G12" s="7"/>
      <c r="H12" s="7"/>
      <c r="I12" s="7"/>
      <c r="J12" s="7"/>
      <c r="K12" s="7"/>
      <c r="L12" s="7"/>
      <c r="M12" s="7"/>
      <c r="N12" s="7"/>
      <c r="O12" s="7"/>
      <c r="AN12" s="35" t="s">
        <v>17</v>
      </c>
    </row>
    <row r="13" ht="15.75" customHeight="1">
      <c r="A13" s="7"/>
      <c r="B13" s="7"/>
      <c r="C13" s="35" t="s">
        <v>16</v>
      </c>
      <c r="D13" s="7"/>
      <c r="E13" s="38" t="s">
        <v>23</v>
      </c>
      <c r="F13" s="7"/>
      <c r="G13" s="7"/>
      <c r="H13" s="7"/>
      <c r="I13" s="7"/>
      <c r="J13" s="7"/>
      <c r="K13" s="7"/>
      <c r="L13" s="7"/>
      <c r="M13" s="7"/>
      <c r="N13" s="7"/>
      <c r="O13" s="7"/>
      <c r="AN13" s="35" t="s">
        <v>17</v>
      </c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