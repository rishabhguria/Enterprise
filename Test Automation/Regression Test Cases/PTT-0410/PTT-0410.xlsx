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DollarAmountPermission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CalculatePTT" sheetId="8" r:id="rId10"/>
    <sheet state="visible" name="VerifyPTT" sheetId="9" r:id="rId11"/>
    <sheet state="visible" name="CalculatePTT1" sheetId="10" r:id="rId12"/>
    <sheet state="visible" name="VerifyPTT1" sheetId="11" r:id="rId13"/>
  </sheets>
  <definedNames/>
  <calcPr/>
</workbook>
</file>

<file path=xl/sharedStrings.xml><?xml version="1.0" encoding="utf-8"?>
<sst xmlns="http://schemas.openxmlformats.org/spreadsheetml/2006/main" count="95" uniqueCount="36">
  <si>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</si>
  <si>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</si>
  <si>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</si>
  <si>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</si>
  <si>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</si>
  <si>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</si>
  <si>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</si>
  <si>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</si>
  <si>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</si>
  <si>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</si>
  <si>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</si>
  <si>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</si>
  <si>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</si>
  <si>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SetDollarAmountPermission</t>
  </si>
  <si>
    <t>Data Format</t>
  </si>
  <si>
    <t>Input Format</t>
  </si>
  <si>
    <t>Allocation</t>
  </si>
  <si>
    <t>AddCalculatedPreferences</t>
  </si>
  <si>
    <t>PF1</t>
  </si>
  <si>
    <t>SetAccountValueCalculatedPref</t>
  </si>
  <si>
    <t>Allocation1</t>
  </si>
  <si>
    <t>Allocation2</t>
  </si>
  <si>
    <t>SetDefaultRuleCalculatedPref</t>
  </si>
  <si>
    <t>Trade Quantity</t>
  </si>
  <si>
    <t>Current Preference</t>
  </si>
  <si>
    <t>PTT</t>
  </si>
  <si>
    <t>CalculatePTT</t>
  </si>
  <si>
    <t>AAPL</t>
  </si>
  <si>
    <t>Increase</t>
  </si>
  <si>
    <t>Amt</t>
  </si>
  <si>
    <t>No</t>
  </si>
  <si>
    <t>Allocation Preference</t>
  </si>
  <si>
    <t>VerifyPTT</t>
  </si>
  <si>
    <t>Buy</t>
  </si>
  <si>
    <t>Decrease</t>
  </si>
  <si>
    <t>Sell 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</si>
</sst>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IFERROR(__xludf.DUMMYFUNCTION("""COMPUTED_VALUE"""),"OperationsonClosing")</f>
        <v>OperationsonClosing</v>
      </c>
      <c r="C972" t="str">
        <f>IFERROR(__xludf.DUMMYFUNCTION("""COMPUTED_VALUE"""),"11EX1Ln-BQAtx9NTd9zfcaia52FGNdZENDW2kwMCJ21HQ")</f>
        <v>11EX1Ln-BQAtx9NTd9zfcaia52FGNdZENDW2kwMCJ21HQ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IFERROR(__xludf.DUMMYFUNCTION("""COMPUTED_VALUE"""),"GetClosingData")</f>
        <v>GetClosingData</v>
      </c>
      <c r="C973" t="str">
        <f>IFERROR(__xludf.DUMMYFUNCTION("""COMPUTED_VALUE"""),"11EX1Ln-BQAtx9NTd9zfcaia52FGNdZENDW2kwMCJ20HQ")</f>
        <v>11EX1Ln-BQAtx9NTd9zfcaia52FGNdZENDW2kwMCJ20HQ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IFERROR(__xludf.DUMMYFUNCTION("""COMPUTED_VALUE"""),"WizardOptions")</f>
        <v>WizardOptions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IFERROR(__xludf.DUMMYFUNCTION("""COMPUTED_VALUE"""),"Closing")</f>
        <v>Closing</v>
      </c>
      <c r="B975" t="str">
        <f>IFERROR(__xludf.DUMMYFUNCTION("""COMPUTED_VALUE"""),"ActionOnClosingWiz")</f>
        <v>ActionOnClosingWiz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IFERROR(__xludf.DUMMYFUNCTION("""COMPUTED_VALUE"""),"Allocation")</f>
        <v>Allocation</v>
      </c>
      <c r="B976" t="str">
        <f>IFERROR(__xludf.DUMMYFUNCTION("""COMPUTED_VALUE"""),"VerifyAttRenaming")</f>
        <v>VerifyAttRenaming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IFERROR(__xludf.DUMMYFUNCTION("""COMPUTED_VALUE"""),"NavLock")</f>
        <v>NavLock</v>
      </c>
      <c r="B977" t="str">
        <f>IFERROR(__xludf.DUMMYFUNCTION("""COMPUTED_VALUE"""),"DeleteRowNavLock")</f>
        <v>DeleteRowNavLock</v>
      </c>
      <c r="C977" t="str">
        <f>IFERROR(__xludf.DUMMYFUNCTION("""COMPUTED_VALUE"""),"11EX1Ln-BQAtx9NTd9zfcaia52FGNdZENDW2kwMCJ21HQ")</f>
        <v>11EX1Ln-BQAtx9NTd9zfcaia52FGNdZENDW2kwMCJ21HQ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IFERROR(__xludf.DUMMYFUNCTION("""COMPUTED_VALUE"""),"VerifyLongPositionsGrid")</f>
        <v>VerifyLongPositionsGrid</v>
      </c>
      <c r="C978" t="str">
        <f>IFERROR(__xludf.DUMMYFUNCTION("""COMPUTED_VALUE"""),"11EX1Ln-BQAtx9NTd9zfcaia52FGNdZENDW2kwMCJ14HQ")</f>
        <v>11EX1Ln-BQAtx9NTd9zfcaia52FGNdZENDW2kwMCJ14HQ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IFERROR(__xludf.DUMMYFUNCTION("""COMPUTED_VALUE"""),"VerifyShortPositionsGrid")</f>
        <v>VerifyShortPositionsGrid</v>
      </c>
      <c r="C979" t="str">
        <f>IFERROR(__xludf.DUMMYFUNCTION("""COMPUTED_VALUE"""),"11EX1Ln-BQAtx9NTd9zfcaia52FGNdZENDW2kwMCJ15HQ")</f>
        <v>11EX1Ln-BQAtx9NTd9zfcaia52FGNdZENDW2kwMCJ15HQ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IFERROR(__xludf.DUMMYFUNCTION("""COMPUTED_VALUE"""),"VerifyClosedTrades")</f>
        <v>VerifyClosedTrades</v>
      </c>
      <c r="C980" t="str">
        <f>IFERROR(__xludf.DUMMYFUNCTION("""COMPUTED_VALUE"""),"11EX1Ln-BQAtx9NTd9zfcaia52FGNdZENDW2kwMCJ16HQ")</f>
        <v>11EX1Ln-BQAtx9NTd9zfcaia52FGNdZENDW2kwMCJ16HQ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IFERROR(__xludf.DUMMYFUNCTION("""COMPUTED_VALUE"""),"CloseAmendOprtn")</f>
        <v>CloseAmendOprtn</v>
      </c>
      <c r="C981" t="str">
        <f>IFERROR(__xludf.DUMMYFUNCTION("""COMPUTED_VALUE"""),"11EX1Ln-BQAtx9NTd9zfcaia52FGNdZENDW2kwMCJ17HQ")</f>
        <v>11EX1Ln-BQAtx9NTd9zfcaia52FGNdZENDW2kwMCJ17HQ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IFERROR(__xludf.DUMMYFUNCTION("""COMPUTED_VALUE"""),"ExpSettlOprtn")</f>
        <v>ExpSettlOprtn</v>
      </c>
      <c r="C982" t="str">
        <f>IFERROR(__xludf.DUMMYFUNCTION("""COMPUTED_VALUE"""),"11EX1Ln-BQAtx9NTd9zfcaia52FGNdZENDW2kwMCJ18HQ")</f>
        <v>11EX1Ln-BQAtx9NTd9zfcaia52FGNdZENDW2kwMCJ18HQ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IFERROR(__xludf.DUMMYFUNCTION("""COMPUTED_VALUE"""),"ActionOnExpGrid")</f>
        <v>ActionOnExpGrid</v>
      </c>
      <c r="C983" t="str">
        <f>IFERROR(__xludf.DUMMYFUNCTION("""COMPUTED_VALUE"""),"11EX1Ln-BQAtx9NTd9zfcaia52FGNdZENDW2kwMCJ19HQ")</f>
        <v>11EX1Ln-BQAtx9NTd9zfcaia52FGNdZENDW2kwMCJ19HQ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IFERROR(__xludf.DUMMYFUNCTION("""COMPUTED_VALUE"""),"ActiononIncorrectQty")</f>
        <v>ActiononIncorrectQty</v>
      </c>
      <c r="C984" t="str">
        <f>IFERROR(__xludf.DUMMYFUNCTION("""COMPUTED_VALUE"""),"11EX1Ln-BQAtx9NTd9zfcaia52FGNdZENDW2kwMCJ20HQ")</f>
        <v>11EX1Ln-BQAtx9NTd9zfcaia52FGNdZENDW2kwMCJ20HQ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IFERROR(__xludf.DUMMYFUNCTION("""COMPUTED_VALUE"""),"VerifyIncorrectQty")</f>
        <v>VerifyIncorrectQty</v>
      </c>
      <c r="C985" t="str">
        <f>IFERROR(__xludf.DUMMYFUNCTION("""COMPUTED_VALUE"""),"11EX1Ln-BQAtx9NTd9zfcaia52FGNdZENDW2kwMCJ21HQ")</f>
        <v>11EX1Ln-BQAtx9NTd9zfcaia52FGNdZENDW2kwMCJ21HQ</v>
      </c>
    </row>
    <row r="986" ht="15.75" customHeight="1">
      <c r="A986" t="str">
        <f>IFERROR(__xludf.DUMMYFUNCTION("""COMPUTED_VALUE"""),"Closing")</f>
        <v>Closing</v>
      </c>
      <c r="B986" t="str">
        <f>IFERROR(__xludf.DUMMYFUNCTION("""COMPUTED_VALUE"""),"VerifyOpenTrades")</f>
        <v>VerifyOpenTrades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IFERROR(__xludf.DUMMYFUNCTION("""COMPUTED_VALUE"""),"EditCTGrid")</f>
        <v>EditCTGrid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IFERROR(__xludf.DUMMYFUNCTION("""COMPUTED_VALUE"""),"CreateTransaction")</f>
        <v>CreateTransaction</v>
      </c>
      <c r="B988" t="str">
        <f>IFERROR(__xludf.DUMMYFUNCTION("""COMPUTED_VALUE"""),"ActionOnCT")</f>
        <v>ActionOnCT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IFERROR(__xludf.DUMMYFUNCTION("""COMPUTED_VALUE"""),"Unknown")</f>
        <v>Unknown</v>
      </c>
      <c r="B989" t="str">
        <f>IFERROR(__xludf.DUMMYFUNCTION("""COMPUTED_VALUE"""),"OpenColumnChooser")</f>
        <v>OpenColumnChooser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IFERROR(__xludf.DUMMYFUNCTION("""COMPUTED_VALUE"""),"Closing")</f>
        <v>Closing</v>
      </c>
      <c r="B990" t="str">
        <f>IFERROR(__xludf.DUMMYFUNCTION("""COMPUTED_VALUE"""),"UnExpUnsettOperation")</f>
        <v>UnExpUnsettOperation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IFERROR(__xludf.DUMMYFUNCTION("""COMPUTED_VALUE"""),"NavLock")</f>
        <v>NavLock</v>
      </c>
      <c r="B991" t="str">
        <f>IFERROR(__xludf.DUMMYFUNCTION("""COMPUTED_VALUE"""),"ActiononNavLock")</f>
        <v>ActiononNavLock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IFERROR(__xludf.DUMMYFUNCTION("""COMPUTED_VALUE"""),"Allocation")</f>
        <v>Allocation</v>
      </c>
      <c r="B992" t="str">
        <f>IFERROR(__xludf.DUMMYFUNCTION("""COMPUTED_VALUE"""),"ActiononFixPref")</f>
        <v>ActiononFixPref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IFERROR(__xludf.DUMMYFUNCTION("""COMPUTED_VALUE"""),"Blotter")</f>
        <v>Blotter</v>
      </c>
      <c r="B993" t="str">
        <f>IFERROR(__xludf.DUMMYFUNCTION("""COMPUTED_VALUE"""),"SelectWorkSubsOnBlotter")</f>
        <v>SelectWorkSubsOnBlotter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IFERROR(__xludf.DUMMYFUNCTION("""COMPUTED_VALUE"""),"Closing")</f>
        <v>Closing</v>
      </c>
      <c r="B994" t="str">
        <f>IFERROR(__xludf.DUMMYFUNCTION("""COMPUTED_VALUE"""),"VerifyAccountUnexpired")</f>
        <v>VerifyAccountUnexpired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IFERROR(__xludf.DUMMYFUNCTION("""COMPUTED_VALUE"""),"PM")</f>
        <v>PM</v>
      </c>
      <c r="B995" t="str">
        <f>IFERROR(__xludf.DUMMYFUNCTION("""COMPUTED_VALUE"""),"ToolBarActiononPM")</f>
        <v>ToolBarActiononPM</v>
      </c>
      <c r="C995" t="str">
        <f>IFERROR(__xludf.DUMMYFUNCTION("""COMPUTED_VALUE"""),"11EX1Ln-BQAtx9NTd9zfcaia52FGNdZENDW2kwMCJ20HQ")</f>
        <v>11EX1Ln-BQAtx9NTd9zfcaia52FGNdZENDW2kwMCJ20HQ</v>
      </c>
    </row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IFERROR(__xludf.DUMMYFUNCTION("""COMPUTED_VALUE"""),"TT")</f>
        <v>TT</v>
      </c>
      <c r="C5" s="27" t="str">
        <f>IFERROR(__xludf.DUMMYFUNCTION("""COMPUTED_VALUE"""),"PTT")</f>
        <v>PTT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SetDollarAmountPermission!$4:$4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20</v>
      </c>
      <c r="D6" s="12">
        <v>40.0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21</v>
      </c>
      <c r="D7" s="12">
        <v>60.0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23</v>
      </c>
      <c r="C6" s="32"/>
      <c r="D6" s="31" t="s">
        <v>24</v>
      </c>
      <c r="E6" s="32"/>
      <c r="F6" s="32"/>
      <c r="G6" s="33" t="b">
        <v>1</v>
      </c>
      <c r="H6" s="12" t="s">
        <v>18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27</v>
      </c>
      <c r="C6" s="34" t="s">
        <v>28</v>
      </c>
      <c r="D6" s="35" t="s">
        <v>29</v>
      </c>
      <c r="E6" s="36">
        <v>100000.0</v>
      </c>
      <c r="F6" s="36">
        <v>2.0</v>
      </c>
      <c r="G6" s="35" t="s">
        <v>30</v>
      </c>
      <c r="H6" s="35" t="s">
        <v>31</v>
      </c>
      <c r="I6" s="12" t="s">
        <v>18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21</v>
      </c>
      <c r="C6" s="37"/>
      <c r="D6" s="38"/>
      <c r="E6" s="30"/>
      <c r="F6" s="8"/>
      <c r="G6" s="8"/>
      <c r="H6" s="8"/>
      <c r="I6" s="12">
        <v>30000.0</v>
      </c>
      <c r="J6" s="12">
        <v>30000.0</v>
      </c>
      <c r="K6" s="12">
        <v>60000.0</v>
      </c>
      <c r="L6" s="12">
        <v>60.0</v>
      </c>
      <c r="M6" s="8"/>
      <c r="N6" s="8"/>
      <c r="O6" s="8"/>
      <c r="R6" s="9" t="s">
        <v>33</v>
      </c>
    </row>
    <row r="7" ht="15.75" customHeight="1">
      <c r="A7" s="8"/>
      <c r="B7" s="35" t="s">
        <v>20</v>
      </c>
      <c r="C7" s="37"/>
      <c r="D7" s="32"/>
      <c r="E7" s="8"/>
      <c r="F7" s="8"/>
      <c r="G7" s="8"/>
      <c r="H7" s="8"/>
      <c r="I7" s="12">
        <v>20000.0</v>
      </c>
      <c r="J7" s="12">
        <v>20000.0</v>
      </c>
      <c r="K7" s="12">
        <v>40000.0</v>
      </c>
      <c r="L7" s="12">
        <v>40.0</v>
      </c>
      <c r="M7" s="8"/>
      <c r="N7" s="8"/>
      <c r="O7" s="8"/>
      <c r="R7" s="9" t="s">
        <v>33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27</v>
      </c>
      <c r="C6" s="31" t="s">
        <v>34</v>
      </c>
      <c r="D6" s="35" t="s">
        <v>29</v>
      </c>
      <c r="E6" s="36">
        <v>100000.0</v>
      </c>
      <c r="F6" s="36">
        <v>2.0</v>
      </c>
      <c r="G6" s="35" t="s">
        <v>30</v>
      </c>
      <c r="H6" s="35" t="s">
        <v>31</v>
      </c>
      <c r="I6" s="12" t="s">
        <v>18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21</v>
      </c>
      <c r="C6" s="37"/>
      <c r="D6" s="38"/>
      <c r="E6" s="30"/>
      <c r="F6" s="8"/>
      <c r="G6" s="8"/>
      <c r="H6" s="8"/>
      <c r="I6" s="12">
        <v>30000.0</v>
      </c>
      <c r="J6" s="12">
        <v>-30000.0</v>
      </c>
      <c r="K6" s="12">
        <v>-60000.0</v>
      </c>
      <c r="L6" s="12">
        <v>60.0</v>
      </c>
      <c r="M6" s="8"/>
      <c r="N6" s="8"/>
      <c r="O6" s="8"/>
      <c r="R6" s="9" t="s">
        <v>35</v>
      </c>
    </row>
    <row r="7" ht="15.75" customHeight="1">
      <c r="A7" s="8"/>
      <c r="B7" s="35" t="s">
        <v>20</v>
      </c>
      <c r="C7" s="37"/>
      <c r="D7" s="32"/>
      <c r="E7" s="8"/>
      <c r="F7" s="8"/>
      <c r="G7" s="8"/>
      <c r="H7" s="8"/>
      <c r="I7" s="12">
        <v>20000.0</v>
      </c>
      <c r="J7" s="12">
        <v>-20000.0</v>
      </c>
      <c r="K7" s="12">
        <v>-40000.0</v>
      </c>
      <c r="L7" s="12">
        <v>40.0</v>
      </c>
      <c r="M7" s="8"/>
      <c r="N7" s="8"/>
      <c r="O7" s="8"/>
      <c r="R7" s="9" t="s">
        <v>35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