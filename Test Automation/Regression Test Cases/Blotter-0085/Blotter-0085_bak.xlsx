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TradeNewSubOrder1" sheetId="7" r:id="rId9"/>
    <sheet state="visible" name="CreateNewSubOrder1" sheetId="8" r:id="rId10"/>
    <sheet state="visible" name="TradeNewSubOrder2" sheetId="9" r:id="rId11"/>
    <sheet state="visible" name="CreateLiveOrder" sheetId="10" r:id="rId12"/>
    <sheet state="visible" name="AcknowledgeTrade" sheetId="11" r:id="rId13"/>
    <sheet state="visible" name="SelectTrade" sheetId="12" r:id="rId14"/>
    <sheet state="visible" name="ExecuteTrade" sheetId="13" r:id="rId15"/>
    <sheet state="visible" name="VerifyOrder" sheetId="14" r:id="rId16"/>
    <sheet state="visible" name="VerifyWorkingSubs" sheetId="15" r:id="rId17"/>
    <sheet state="visible" name="RemoveExecutionWorkingSubs" sheetId="16" r:id="rId18"/>
    <sheet state="visible" name="VerifyOrder1" sheetId="17" r:id="rId19"/>
    <sheet state="visible" name="VerifyWorkingSubs1" sheetId="18" r:id="rId20"/>
    <sheet state="visible" name="GetDataAllocation" sheetId="19" r:id="rId21"/>
    <sheet state="visible" name="CheckAllocatedGroups" sheetId="20" r:id="rId22"/>
    <sheet state="visible" name="CheckPortfolioManagement" sheetId="21" r:id="rId23"/>
  </sheets>
  <definedNames/>
  <calcPr/>
</workbook>
</file>

<file path=xl/sharedStrings.xml><?xml version="1.0" encoding="utf-8"?>
<sst xmlns="http://schemas.openxmlformats.org/spreadsheetml/2006/main" count="268" uniqueCount="53">
  <si>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</si>
  <si>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</si>
  <si>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</si>
  <si>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</si>
  <si>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</si>
  <si>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</si>
  <si>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</si>
  <si>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</si>
  <si>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</si>
  <si>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</si>
  <si>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</si>
  <si>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</si>
  <si>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</si>
  <si>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</si>
  <si>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</si>
  <si>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</si>
  <si>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MSFT</t>
  </si>
  <si>
    <t>Buy</t>
  </si>
  <si>
    <t>Allocation1</t>
  </si>
  <si>
    <t>Blotter</t>
  </si>
  <si>
    <t>TradeNewSubOrder</t>
  </si>
  <si>
    <t>New</t>
  </si>
  <si>
    <t>Market</t>
  </si>
  <si>
    <t>CreateNewSubOrder</t>
  </si>
  <si>
    <t>PartiallyFilled</t>
  </si>
  <si>
    <t>CreateLiveOrder</t>
  </si>
  <si>
    <t>Simulator</t>
  </si>
  <si>
    <t>AcknowledgeTrade</t>
  </si>
  <si>
    <t>SelectTrade</t>
  </si>
  <si>
    <t>ExecuteTrade</t>
  </si>
  <si>
    <t>VerifyOrder</t>
  </si>
  <si>
    <t>MS</t>
  </si>
  <si>
    <t>VerifyWorkingSubs</t>
  </si>
  <si>
    <t>Filled</t>
  </si>
  <si>
    <t>RemoveExecutionWorkingSubs</t>
  </si>
  <si>
    <t>Allocation</t>
  </si>
  <si>
    <t>GetDataAllocation</t>
  </si>
  <si>
    <t>Current</t>
  </si>
  <si>
    <t>CheckAllocatedGroups</t>
  </si>
  <si>
    <t>Equity</t>
  </si>
  <si>
    <t>MSFT US EQUITY</t>
  </si>
  <si>
    <t>Open</t>
  </si>
  <si>
    <t>MICROSOFT INC</t>
  </si>
  <si>
    <t>USD</t>
  </si>
  <si>
    <t>NASDAQ</t>
  </si>
  <si>
    <t>M</t>
  </si>
  <si>
    <t>PortfolioManagement</t>
  </si>
  <si>
    <t>CheckPortfolioManagement</t>
  </si>
  <si>
    <t>NewMF</t>
  </si>
  <si>
    <t xml:space="preserve">Long </t>
  </si>
  <si>
    <t>Undefined</t>
  </si>
  <si>
    <t>US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</si>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</sst>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14" xfId="0" applyAlignment="1" applyFont="1" applyNumberFormat="1">
      <alignment shrinkToFit="0" wrapText="0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14" numFmtId="4" xfId="0" applyAlignment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horizontal="right" readingOrder="0" vertical="bottom"/>
    </xf>
    <xf borderId="5" fillId="0" fontId="14" numFmtId="4" xfId="0" applyAlignment="1" applyBorder="1" applyFont="1" applyNumberFormat="1">
      <alignment vertical="bottom"/>
    </xf>
    <xf borderId="5" fillId="0" fontId="14" numFmtId="4" xfId="0" applyAlignment="1" applyBorder="1" applyFont="1" applyNumberFormat="1">
      <alignment readingOrder="0" vertical="bottom"/>
    </xf>
    <xf borderId="0" fillId="0" fontId="14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4" numFmtId="4" xfId="0" applyAlignment="1" applyFont="1" applyNumberFormat="1">
      <alignment horizontal="right" readingOrder="0" vertical="bottom"/>
    </xf>
    <xf borderId="0" fillId="0" fontId="14" numFmtId="164" xfId="0" applyAlignment="1" applyFont="1" applyNumberFormat="1">
      <alignment horizontal="right" readingOrder="0" vertical="bottom"/>
    </xf>
    <xf borderId="0" fillId="0" fontId="14" numFmtId="4" xfId="0" applyAlignment="1" applyFont="1" applyNumberFormat="1">
      <alignment readingOrder="0" vertical="bottom"/>
    </xf>
    <xf borderId="5" fillId="0" fontId="3" numFmtId="3" xfId="0" applyAlignment="1" applyBorder="1" applyFont="1" applyNumberFormat="1">
      <alignment vertical="bottom"/>
    </xf>
    <xf borderId="5" fillId="0" fontId="5" numFmtId="3" xfId="0" applyAlignment="1" applyBorder="1" applyFont="1" applyNumberFormat="1">
      <alignment horizontal="right" readingOrder="0"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3" xfId="0" applyAlignment="1" applyBorder="1" applyFont="1" applyNumberFormat="1">
      <alignment horizontal="right" readingOrder="0" vertical="bottom"/>
    </xf>
    <xf borderId="0" fillId="0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2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100.0</v>
      </c>
      <c r="F6" s="13" t="s">
        <v>18</v>
      </c>
      <c r="G6" s="8"/>
      <c r="H6" s="8"/>
      <c r="I6" s="8"/>
      <c r="J6" s="13">
        <v>10.0</v>
      </c>
      <c r="K6" s="8"/>
      <c r="L6" s="8"/>
      <c r="M6" s="8"/>
      <c r="N6" s="31">
        <f>today()</f>
        <v>44273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3"/>
      <c r="D6" s="34">
        <v>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35" t="s">
        <v>21</v>
      </c>
      <c r="AL6" s="36">
        <v>100.0</v>
      </c>
      <c r="AM6" s="35"/>
      <c r="AN6" s="35"/>
      <c r="AO6" s="35"/>
      <c r="AP6" s="35"/>
      <c r="AQ6" s="37">
        <v>0.0</v>
      </c>
      <c r="AR6" s="37">
        <v>0.0</v>
      </c>
      <c r="AS6" s="35"/>
      <c r="AT6" s="35" t="s">
        <v>18</v>
      </c>
      <c r="AU6" s="35" t="s">
        <v>22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9" t="s">
        <v>17</v>
      </c>
      <c r="D6" s="40">
        <v>30.0</v>
      </c>
      <c r="E6" s="40">
        <v>30.0</v>
      </c>
      <c r="F6" s="39" t="s">
        <v>18</v>
      </c>
      <c r="G6" s="33"/>
      <c r="H6" s="33"/>
      <c r="I6" s="33"/>
      <c r="J6" s="41">
        <v>10.0</v>
      </c>
      <c r="K6" s="33"/>
      <c r="L6" s="33"/>
      <c r="M6" s="33"/>
      <c r="N6" s="42">
        <f>TODAY()</f>
        <v>44273</v>
      </c>
      <c r="O6" s="33"/>
      <c r="P6" s="33"/>
      <c r="Q6" s="33"/>
      <c r="R6" s="33"/>
      <c r="S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3"/>
      <c r="D6" s="40">
        <v>10.0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43" t="s">
        <v>24</v>
      </c>
      <c r="AL6" s="36">
        <v>100.0</v>
      </c>
      <c r="AM6" s="43">
        <v>30.0</v>
      </c>
      <c r="AN6" s="43">
        <v>30.0</v>
      </c>
      <c r="AO6" s="35"/>
      <c r="AP6" s="35"/>
      <c r="AQ6" s="44">
        <v>10.0</v>
      </c>
      <c r="AR6" s="44">
        <v>10.0</v>
      </c>
      <c r="AS6" s="35"/>
      <c r="AT6" s="35" t="s">
        <v>18</v>
      </c>
      <c r="AU6" s="35" t="s">
        <v>22</v>
      </c>
      <c r="AV6" s="43">
        <v>300.0</v>
      </c>
      <c r="AW6" s="43">
        <v>300.0</v>
      </c>
      <c r="AX6" s="35"/>
      <c r="AY6" s="35"/>
      <c r="AZ6" s="35"/>
      <c r="BA6" s="35"/>
      <c r="BB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9" t="s">
        <v>17</v>
      </c>
      <c r="D6" s="40">
        <v>40.0</v>
      </c>
      <c r="E6" s="40">
        <v>30.0</v>
      </c>
      <c r="F6" s="39" t="s">
        <v>18</v>
      </c>
      <c r="G6" s="33"/>
      <c r="H6" s="33"/>
      <c r="I6" s="33"/>
      <c r="J6" s="40">
        <v>12.0</v>
      </c>
      <c r="K6" s="33"/>
      <c r="L6" s="33"/>
      <c r="M6" s="33"/>
      <c r="N6" s="42">
        <f>TODAY()</f>
        <v>44273</v>
      </c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/>
      <c r="C6" s="33"/>
      <c r="D6" s="40">
        <v>11.0</v>
      </c>
      <c r="E6" s="33"/>
      <c r="F6" s="33"/>
      <c r="G6" s="45">
        <v>10.0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 t="s">
        <v>16</v>
      </c>
      <c r="AJ6" s="35" t="s">
        <v>17</v>
      </c>
      <c r="AK6" s="43" t="s">
        <v>24</v>
      </c>
      <c r="AL6" s="36">
        <v>100.0</v>
      </c>
      <c r="AM6" s="43">
        <v>60.0</v>
      </c>
      <c r="AN6" s="43">
        <v>60.0</v>
      </c>
      <c r="AO6" s="35"/>
      <c r="AP6" s="35"/>
      <c r="AQ6" s="44">
        <v>12.0</v>
      </c>
      <c r="AR6" s="44">
        <v>11.0</v>
      </c>
      <c r="AS6" s="35"/>
      <c r="AT6" s="35" t="s">
        <v>18</v>
      </c>
      <c r="AU6" s="35" t="s">
        <v>22</v>
      </c>
      <c r="AV6" s="43">
        <v>660.0</v>
      </c>
      <c r="AW6" s="43">
        <v>660.0</v>
      </c>
      <c r="AX6" s="35"/>
      <c r="AY6" s="35"/>
      <c r="AZ6" s="35"/>
      <c r="BA6" s="35"/>
      <c r="BB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16</v>
      </c>
      <c r="C6" s="39" t="s">
        <v>17</v>
      </c>
      <c r="D6" s="40">
        <v>30.0</v>
      </c>
      <c r="E6" s="40">
        <v>30.0</v>
      </c>
      <c r="F6" s="39" t="s">
        <v>18</v>
      </c>
      <c r="G6" s="33"/>
      <c r="H6" s="33"/>
      <c r="I6" s="33"/>
      <c r="J6" s="40">
        <v>12.0</v>
      </c>
      <c r="K6" s="33"/>
      <c r="L6" s="33"/>
      <c r="M6" s="33"/>
      <c r="N6" s="42">
        <f>TODAY()</f>
        <v>44273</v>
      </c>
      <c r="O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46"/>
      <c r="F6" s="8"/>
      <c r="G6" s="13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16</v>
      </c>
      <c r="D6" s="13"/>
      <c r="E6" s="46"/>
      <c r="F6" s="8"/>
      <c r="G6" s="13">
        <v>30.0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13">
        <v>30.0</v>
      </c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/>
      <c r="C6" s="33"/>
      <c r="D6" s="40">
        <v>11.3333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/>
      <c r="AE6" s="35"/>
      <c r="AF6" s="35"/>
      <c r="AG6" s="35"/>
      <c r="AH6" s="35"/>
      <c r="AI6" s="43" t="s">
        <v>16</v>
      </c>
      <c r="AJ6" s="35" t="s">
        <v>17</v>
      </c>
      <c r="AK6" s="43" t="s">
        <v>24</v>
      </c>
      <c r="AL6" s="37">
        <v>100.0</v>
      </c>
      <c r="AM6" s="44">
        <v>90.0</v>
      </c>
      <c r="AN6" s="44">
        <v>90.0</v>
      </c>
      <c r="AO6" s="37"/>
      <c r="AP6" s="35"/>
      <c r="AQ6" s="44">
        <v>12.0</v>
      </c>
      <c r="AR6" s="44">
        <v>11.3333</v>
      </c>
      <c r="AS6" s="35" t="s">
        <v>31</v>
      </c>
      <c r="AT6" s="35" t="s">
        <v>18</v>
      </c>
      <c r="AU6" s="35" t="s">
        <v>22</v>
      </c>
      <c r="AV6" s="36">
        <v>1020.0</v>
      </c>
      <c r="AW6" s="36">
        <v>1020.0</v>
      </c>
      <c r="AX6" s="35"/>
      <c r="AY6" s="48"/>
      <c r="AZ6" s="48"/>
      <c r="BA6" s="35"/>
      <c r="BB6" s="35"/>
      <c r="BC6" s="35"/>
      <c r="BD6" s="35"/>
      <c r="BE6" s="35"/>
      <c r="BF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16</v>
      </c>
      <c r="C6" s="39" t="s">
        <v>17</v>
      </c>
      <c r="D6" s="40">
        <v>30.0</v>
      </c>
      <c r="E6" s="40">
        <v>30.0</v>
      </c>
      <c r="F6" s="41">
        <v>0.0</v>
      </c>
      <c r="G6" s="39" t="s">
        <v>33</v>
      </c>
      <c r="H6" s="33"/>
      <c r="I6" s="41">
        <v>10.0</v>
      </c>
      <c r="J6" s="41">
        <v>10.0</v>
      </c>
      <c r="K6" s="39" t="s">
        <v>31</v>
      </c>
      <c r="L6" s="39" t="s">
        <v>18</v>
      </c>
      <c r="M6" s="39" t="s">
        <v>22</v>
      </c>
      <c r="N6" s="33"/>
      <c r="O6" s="41">
        <v>10.0</v>
      </c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6">
        <v>300.0</v>
      </c>
      <c r="AD6" s="36">
        <v>300.0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</row>
    <row r="7" ht="15.75" customHeight="1">
      <c r="A7" s="8"/>
      <c r="B7" s="39" t="s">
        <v>16</v>
      </c>
      <c r="C7" s="39" t="s">
        <v>17</v>
      </c>
      <c r="D7" s="40">
        <v>40.0</v>
      </c>
      <c r="E7" s="40">
        <v>30.0</v>
      </c>
      <c r="F7" s="40">
        <v>10.0</v>
      </c>
      <c r="G7" s="50" t="s">
        <v>24</v>
      </c>
      <c r="H7" s="33"/>
      <c r="I7" s="41">
        <v>12.0</v>
      </c>
      <c r="J7" s="41">
        <v>12.0</v>
      </c>
      <c r="K7" s="39" t="s">
        <v>31</v>
      </c>
      <c r="L7" s="39" t="s">
        <v>18</v>
      </c>
      <c r="M7" s="39" t="s">
        <v>22</v>
      </c>
      <c r="N7" s="33"/>
      <c r="O7" s="41">
        <v>12.0</v>
      </c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6">
        <v>360.0</v>
      </c>
      <c r="AD7" s="36">
        <v>360.0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ht="15.75" customHeight="1">
      <c r="A8" s="8"/>
      <c r="B8" s="39" t="s">
        <v>16</v>
      </c>
      <c r="C8" s="39" t="s">
        <v>17</v>
      </c>
      <c r="D8" s="40">
        <v>30.0</v>
      </c>
      <c r="E8" s="40">
        <v>30.0</v>
      </c>
      <c r="F8" s="40">
        <v>0.0</v>
      </c>
      <c r="G8" s="39" t="s">
        <v>33</v>
      </c>
      <c r="H8" s="33"/>
      <c r="I8" s="40">
        <v>12.0</v>
      </c>
      <c r="J8" s="40">
        <v>12.0</v>
      </c>
      <c r="K8" s="39" t="s">
        <v>31</v>
      </c>
      <c r="L8" s="39"/>
      <c r="M8" s="39" t="s">
        <v>22</v>
      </c>
      <c r="N8" s="33"/>
      <c r="O8" s="40">
        <v>12.0</v>
      </c>
      <c r="P8" s="33"/>
      <c r="Q8" s="33"/>
      <c r="R8" s="33"/>
      <c r="S8" s="33"/>
      <c r="T8" s="35"/>
      <c r="U8" s="35"/>
      <c r="V8" s="35"/>
      <c r="W8" s="35"/>
      <c r="X8" s="35"/>
      <c r="Y8" s="35"/>
      <c r="Z8" s="35"/>
      <c r="AA8" s="35"/>
      <c r="AB8" s="35"/>
      <c r="AC8" s="36">
        <v>360.0</v>
      </c>
      <c r="AD8" s="36">
        <v>360.0</v>
      </c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12.0</v>
      </c>
      <c r="C6" s="8"/>
      <c r="D6" s="13" t="s">
        <v>16</v>
      </c>
      <c r="E6" s="46"/>
      <c r="F6" s="13" t="s">
        <v>17</v>
      </c>
      <c r="G6" s="13" t="s">
        <v>24</v>
      </c>
      <c r="H6" s="13">
        <v>40.0</v>
      </c>
      <c r="I6" s="13">
        <v>30.0</v>
      </c>
      <c r="J6" s="8"/>
      <c r="K6" s="13">
        <v>12.0</v>
      </c>
      <c r="L6" s="8"/>
      <c r="M6" s="13">
        <v>12.0</v>
      </c>
      <c r="N6" s="8"/>
      <c r="O6" s="13" t="s">
        <v>18</v>
      </c>
      <c r="Q6" s="9" t="s">
        <v>22</v>
      </c>
      <c r="R6" s="9">
        <v>360.0</v>
      </c>
      <c r="S6" s="9">
        <v>360.0</v>
      </c>
    </row>
    <row r="7" ht="15.75" customHeight="1">
      <c r="A7" s="8"/>
      <c r="B7" s="13">
        <v>12.0</v>
      </c>
      <c r="C7" s="8"/>
      <c r="D7" s="13" t="s">
        <v>16</v>
      </c>
      <c r="E7" s="8"/>
      <c r="F7" s="13" t="s">
        <v>17</v>
      </c>
      <c r="G7" s="13" t="s">
        <v>33</v>
      </c>
      <c r="H7" s="13">
        <v>30.0</v>
      </c>
      <c r="I7" s="13">
        <v>30.0</v>
      </c>
      <c r="J7" s="8"/>
      <c r="K7" s="13">
        <v>12.0</v>
      </c>
      <c r="L7" s="8"/>
      <c r="M7" s="13">
        <v>12.0</v>
      </c>
      <c r="N7" s="8"/>
      <c r="O7" s="13" t="s">
        <v>18</v>
      </c>
      <c r="Q7" s="9" t="s">
        <v>22</v>
      </c>
      <c r="R7" s="9">
        <v>360.0</v>
      </c>
      <c r="S7" s="9">
        <v>360.0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RemoveExecutionWorkingSubs!$4:$4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/>
      <c r="C6" s="33"/>
      <c r="D6" s="40">
        <v>11.0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/>
      <c r="AE6" s="35"/>
      <c r="AF6" s="35"/>
      <c r="AG6" s="35"/>
      <c r="AH6" s="35"/>
      <c r="AI6" s="43" t="s">
        <v>16</v>
      </c>
      <c r="AJ6" s="35" t="s">
        <v>17</v>
      </c>
      <c r="AK6" s="43" t="s">
        <v>24</v>
      </c>
      <c r="AL6" s="37">
        <v>100.0</v>
      </c>
      <c r="AM6" s="44">
        <v>60.0</v>
      </c>
      <c r="AN6" s="44">
        <v>60.0</v>
      </c>
      <c r="AO6" s="37"/>
      <c r="AP6" s="35"/>
      <c r="AQ6" s="44">
        <v>12.0</v>
      </c>
      <c r="AR6" s="44">
        <v>11.0</v>
      </c>
      <c r="AS6" s="35" t="s">
        <v>31</v>
      </c>
      <c r="AT6" s="35" t="s">
        <v>18</v>
      </c>
      <c r="AU6" s="35" t="s">
        <v>22</v>
      </c>
      <c r="AV6" s="36">
        <v>660.0</v>
      </c>
      <c r="AW6" s="36">
        <v>660.0</v>
      </c>
      <c r="AX6" s="35"/>
      <c r="AY6" s="48"/>
      <c r="AZ6" s="48"/>
      <c r="BA6" s="35"/>
      <c r="BB6" s="35"/>
      <c r="BC6" s="35"/>
      <c r="BD6" s="35"/>
      <c r="BE6" s="35"/>
      <c r="BF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 t="s">
        <v>16</v>
      </c>
      <c r="C6" s="39" t="s">
        <v>17</v>
      </c>
      <c r="D6" s="40">
        <v>30.0</v>
      </c>
      <c r="E6" s="40">
        <v>30.0</v>
      </c>
      <c r="F6" s="41">
        <v>0.0</v>
      </c>
      <c r="G6" s="39" t="s">
        <v>33</v>
      </c>
      <c r="H6" s="33"/>
      <c r="I6" s="41">
        <v>10.0</v>
      </c>
      <c r="J6" s="41">
        <v>10.0</v>
      </c>
      <c r="K6" s="39" t="s">
        <v>31</v>
      </c>
      <c r="L6" s="39" t="s">
        <v>18</v>
      </c>
      <c r="M6" s="39" t="s">
        <v>22</v>
      </c>
      <c r="N6" s="33"/>
      <c r="O6" s="41">
        <v>10.0</v>
      </c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6">
        <v>300.0</v>
      </c>
      <c r="AD6" s="36">
        <v>300.0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</row>
    <row r="7" ht="15.75" customHeight="1">
      <c r="A7" s="8"/>
      <c r="B7" s="39" t="s">
        <v>16</v>
      </c>
      <c r="C7" s="39" t="s">
        <v>17</v>
      </c>
      <c r="D7" s="40">
        <v>30.0</v>
      </c>
      <c r="E7" s="40">
        <v>30.0</v>
      </c>
      <c r="F7" s="40">
        <v>0.0</v>
      </c>
      <c r="G7" s="39" t="s">
        <v>33</v>
      </c>
      <c r="H7" s="33"/>
      <c r="I7" s="41">
        <v>12.0</v>
      </c>
      <c r="J7" s="41">
        <v>12.0</v>
      </c>
      <c r="K7" s="39" t="s">
        <v>31</v>
      </c>
      <c r="L7" s="39" t="s">
        <v>18</v>
      </c>
      <c r="M7" s="39" t="s">
        <v>22</v>
      </c>
      <c r="N7" s="33"/>
      <c r="O7" s="41">
        <v>12.0</v>
      </c>
      <c r="P7" s="33"/>
      <c r="Q7" s="33"/>
      <c r="R7" s="33"/>
      <c r="S7" s="33"/>
      <c r="T7" s="35"/>
      <c r="U7" s="35"/>
      <c r="V7" s="35"/>
      <c r="W7" s="35"/>
      <c r="X7" s="35"/>
      <c r="Y7" s="35"/>
      <c r="Z7" s="35"/>
      <c r="AA7" s="35"/>
      <c r="AB7" s="35"/>
      <c r="AC7" s="36">
        <v>360.0</v>
      </c>
      <c r="AD7" s="36">
        <v>360.0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37</v>
      </c>
      <c r="C6" s="8"/>
      <c r="D6" s="13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 t="s">
        <v>18</v>
      </c>
      <c r="C6" s="52"/>
      <c r="D6" s="53">
        <v>0.0</v>
      </c>
      <c r="E6" s="54">
        <v>30.0</v>
      </c>
      <c r="F6" s="52"/>
      <c r="G6" s="55" t="s">
        <v>39</v>
      </c>
      <c r="H6" s="53">
        <v>4.0</v>
      </c>
      <c r="I6" s="53">
        <v>5.0</v>
      </c>
      <c r="J6" s="53">
        <v>1.0</v>
      </c>
      <c r="K6" s="54">
        <v>10.0</v>
      </c>
      <c r="L6" s="54">
        <v>10.0</v>
      </c>
      <c r="M6" s="55" t="s">
        <v>40</v>
      </c>
      <c r="N6" s="52"/>
      <c r="O6" s="52"/>
      <c r="P6" s="52"/>
      <c r="Q6" s="52"/>
      <c r="R6" s="52"/>
      <c r="S6" s="56" t="s">
        <v>41</v>
      </c>
      <c r="T6" s="57">
        <v>0.0</v>
      </c>
      <c r="U6" s="57">
        <v>0.0</v>
      </c>
      <c r="V6" s="51" t="s">
        <v>42</v>
      </c>
      <c r="W6" s="57">
        <v>1.0</v>
      </c>
      <c r="X6" s="58"/>
      <c r="Y6" s="58"/>
      <c r="Z6" s="51" t="s">
        <v>43</v>
      </c>
      <c r="AA6" s="58"/>
      <c r="AB6" s="57">
        <v>1.0</v>
      </c>
      <c r="AC6" s="58"/>
      <c r="AD6" s="51" t="s">
        <v>44</v>
      </c>
      <c r="AE6" s="59">
        <v>30.0</v>
      </c>
      <c r="AF6" s="58"/>
      <c r="AG6" s="58"/>
      <c r="AH6" s="58" t="s">
        <v>45</v>
      </c>
      <c r="AI6" s="57">
        <v>1.0</v>
      </c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60">
        <v>314.0</v>
      </c>
      <c r="AU6" s="60">
        <v>314.0</v>
      </c>
      <c r="AV6" s="58"/>
      <c r="AW6" s="57">
        <v>0.0</v>
      </c>
      <c r="AX6" s="58"/>
      <c r="AY6" s="58"/>
      <c r="AZ6" s="57">
        <v>0.0</v>
      </c>
      <c r="BA6" s="58"/>
      <c r="BB6" s="58"/>
      <c r="BC6" s="58"/>
      <c r="BD6" s="58"/>
      <c r="BE6" s="59">
        <v>300.0</v>
      </c>
      <c r="BF6" s="59">
        <v>300.0</v>
      </c>
      <c r="BG6" s="58"/>
      <c r="BH6" s="58"/>
      <c r="BI6" s="58"/>
      <c r="BJ6" s="59">
        <v>30.0</v>
      </c>
      <c r="BK6" s="57">
        <v>0.0</v>
      </c>
      <c r="BL6" s="58"/>
      <c r="BM6" s="51" t="s">
        <v>43</v>
      </c>
      <c r="BN6" s="58"/>
      <c r="BO6" s="61" t="s">
        <v>17</v>
      </c>
      <c r="BP6" s="57">
        <v>0.0</v>
      </c>
      <c r="BQ6" s="57">
        <v>0.0</v>
      </c>
      <c r="BR6" s="58"/>
      <c r="BS6" s="58"/>
      <c r="BT6" s="51" t="s">
        <v>16</v>
      </c>
      <c r="BU6" s="57">
        <v>3.0</v>
      </c>
      <c r="BV6" s="57">
        <v>0.0</v>
      </c>
      <c r="BW6" s="57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1"/>
      <c r="CI6" s="51"/>
    </row>
    <row r="7" ht="15.75" customHeight="1">
      <c r="A7" s="8"/>
      <c r="B7" s="51" t="s">
        <v>18</v>
      </c>
      <c r="C7" s="52"/>
      <c r="D7" s="53">
        <v>0.0</v>
      </c>
      <c r="E7" s="54">
        <v>30.0</v>
      </c>
      <c r="F7" s="52"/>
      <c r="G7" s="55" t="s">
        <v>39</v>
      </c>
      <c r="H7" s="53">
        <v>4.0</v>
      </c>
      <c r="I7" s="53">
        <v>5.0</v>
      </c>
      <c r="J7" s="53">
        <v>1.0</v>
      </c>
      <c r="K7" s="53">
        <v>12.0</v>
      </c>
      <c r="L7" s="53">
        <v>12.0</v>
      </c>
      <c r="M7" s="55" t="s">
        <v>40</v>
      </c>
      <c r="N7" s="52"/>
      <c r="O7" s="52"/>
      <c r="P7" s="52"/>
      <c r="Q7" s="52"/>
      <c r="R7" s="52"/>
      <c r="S7" s="56" t="s">
        <v>41</v>
      </c>
      <c r="T7" s="57">
        <v>0.0</v>
      </c>
      <c r="U7" s="57">
        <v>0.0</v>
      </c>
      <c r="V7" s="51" t="s">
        <v>42</v>
      </c>
      <c r="W7" s="57">
        <v>1.0</v>
      </c>
      <c r="X7" s="58"/>
      <c r="Y7" s="58"/>
      <c r="Z7" s="51" t="s">
        <v>43</v>
      </c>
      <c r="AA7" s="58"/>
      <c r="AB7" s="57">
        <v>1.0</v>
      </c>
      <c r="AC7" s="58"/>
      <c r="AD7" s="51" t="s">
        <v>44</v>
      </c>
      <c r="AE7" s="59">
        <v>30.0</v>
      </c>
      <c r="AF7" s="58"/>
      <c r="AG7" s="58"/>
      <c r="AH7" s="58" t="s">
        <v>45</v>
      </c>
      <c r="AI7" s="57">
        <v>1.0</v>
      </c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60">
        <v>374.0</v>
      </c>
      <c r="AU7" s="60">
        <v>374.0</v>
      </c>
      <c r="AV7" s="58"/>
      <c r="AW7" s="57">
        <v>0.0</v>
      </c>
      <c r="AX7" s="58"/>
      <c r="AY7" s="58"/>
      <c r="AZ7" s="57">
        <v>0.0</v>
      </c>
      <c r="BA7" s="58"/>
      <c r="BB7" s="58"/>
      <c r="BC7" s="58"/>
      <c r="BD7" s="58"/>
      <c r="BE7" s="59">
        <v>360.0</v>
      </c>
      <c r="BF7" s="59">
        <v>360.0</v>
      </c>
      <c r="BG7" s="58"/>
      <c r="BH7" s="58"/>
      <c r="BI7" s="58"/>
      <c r="BJ7" s="59">
        <v>30.0</v>
      </c>
      <c r="BK7" s="57">
        <v>0.0</v>
      </c>
      <c r="BL7" s="58"/>
      <c r="BM7" s="51" t="s">
        <v>43</v>
      </c>
      <c r="BN7" s="58"/>
      <c r="BO7" s="61" t="s">
        <v>17</v>
      </c>
      <c r="BP7" s="57">
        <v>0.0</v>
      </c>
      <c r="BQ7" s="57">
        <v>0.0</v>
      </c>
      <c r="BR7" s="58"/>
      <c r="BS7" s="58"/>
      <c r="BT7" s="51" t="s">
        <v>16</v>
      </c>
      <c r="BU7" s="57">
        <v>3.0</v>
      </c>
      <c r="BV7" s="57">
        <v>0.0</v>
      </c>
      <c r="BW7" s="57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1"/>
      <c r="CI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/>
      <c r="FD5" s="30"/>
      <c r="FE5" s="30"/>
      <c r="FF5" s="30"/>
      <c r="FG5" s="30"/>
      <c r="FH5" s="30"/>
      <c r="FI5" s="30"/>
      <c r="FJ5" s="30"/>
      <c r="FK5" s="30"/>
      <c r="FL5" s="30"/>
    </row>
    <row r="6" ht="15.75" customHeight="1">
      <c r="A6" s="13"/>
      <c r="B6" s="48"/>
      <c r="C6" s="62" t="s">
        <v>16</v>
      </c>
      <c r="D6" s="63">
        <v>30.0</v>
      </c>
      <c r="E6" s="62" t="s">
        <v>18</v>
      </c>
      <c r="F6" s="62" t="s">
        <v>48</v>
      </c>
      <c r="G6" s="64">
        <v>10.0</v>
      </c>
      <c r="H6" s="62" t="s">
        <v>49</v>
      </c>
      <c r="I6" s="64">
        <v>0.0</v>
      </c>
      <c r="J6" s="62"/>
      <c r="K6" s="64">
        <v>0.0</v>
      </c>
      <c r="L6" s="62"/>
      <c r="M6" s="62"/>
      <c r="N6" s="63">
        <v>-300.0</v>
      </c>
      <c r="O6" s="62"/>
      <c r="P6" s="62" t="s">
        <v>50</v>
      </c>
      <c r="Q6" s="65">
        <v>-300.0</v>
      </c>
      <c r="R6" s="62"/>
      <c r="S6" s="62"/>
      <c r="T6" s="48" t="s">
        <v>39</v>
      </c>
      <c r="U6" s="48" t="s">
        <v>51</v>
      </c>
      <c r="V6" s="48" t="s">
        <v>44</v>
      </c>
      <c r="W6" s="48" t="s">
        <v>43</v>
      </c>
      <c r="X6" s="48"/>
      <c r="Y6" s="66">
        <v>1.0</v>
      </c>
      <c r="Z6" s="48"/>
      <c r="AA6" s="48"/>
      <c r="AB6" s="66">
        <v>0.0</v>
      </c>
      <c r="AC6" s="66">
        <v>0.0</v>
      </c>
      <c r="AD6" s="66">
        <v>0.0</v>
      </c>
      <c r="AE6" s="66">
        <v>0.0</v>
      </c>
      <c r="AF6" s="36">
        <v>30.0</v>
      </c>
      <c r="AG6" s="66">
        <v>0.0</v>
      </c>
      <c r="AH6" s="66">
        <v>0.0</v>
      </c>
      <c r="AI6" s="66">
        <v>0.0</v>
      </c>
      <c r="AJ6" s="66">
        <v>0.0</v>
      </c>
      <c r="AK6" s="36">
        <v>-300.0</v>
      </c>
      <c r="AL6" s="66">
        <v>1.0</v>
      </c>
      <c r="AM6" s="66">
        <v>1.0</v>
      </c>
      <c r="AN6" s="48" t="s">
        <v>17</v>
      </c>
      <c r="AO6" s="48"/>
      <c r="AP6" s="48" t="s">
        <v>52</v>
      </c>
      <c r="AQ6" s="48" t="s">
        <v>16</v>
      </c>
      <c r="AR6" s="66">
        <v>0.0</v>
      </c>
      <c r="AS6" s="66">
        <v>1.0</v>
      </c>
      <c r="AT6" s="48"/>
      <c r="AU6" s="48"/>
      <c r="AV6" s="66">
        <v>1.0</v>
      </c>
      <c r="AW6" s="36">
        <v>-300.0</v>
      </c>
      <c r="AX6" s="66">
        <v>0.0</v>
      </c>
      <c r="AY6" s="66">
        <v>0.0</v>
      </c>
      <c r="AZ6" s="66">
        <v>0.0</v>
      </c>
      <c r="BA6" s="66">
        <v>-100.0</v>
      </c>
      <c r="BB6" s="48"/>
      <c r="BC6" s="66">
        <v>1.0</v>
      </c>
      <c r="BD6" s="36">
        <v>-300.0</v>
      </c>
      <c r="BE6" s="48"/>
      <c r="BF6" s="48"/>
      <c r="BG6" s="48"/>
      <c r="BH6" s="48"/>
      <c r="BI6" s="48"/>
      <c r="BJ6" s="66">
        <v>0.0</v>
      </c>
      <c r="BK6" s="66">
        <v>0.0</v>
      </c>
      <c r="BL6" s="66">
        <v>0.0</v>
      </c>
      <c r="BM6" s="66">
        <v>0.0</v>
      </c>
      <c r="BN6" s="48"/>
      <c r="BO6" s="36">
        <v>-300.0</v>
      </c>
      <c r="BP6" s="48"/>
      <c r="BQ6" s="48"/>
      <c r="BR6" s="48"/>
      <c r="BS6" s="66">
        <v>0.0</v>
      </c>
      <c r="BT6" s="66">
        <v>0.0</v>
      </c>
      <c r="BU6" s="48" t="s">
        <v>39</v>
      </c>
      <c r="BV6" s="48"/>
      <c r="BW6" s="66">
        <v>0.0</v>
      </c>
      <c r="BX6" s="66">
        <v>0.0</v>
      </c>
      <c r="BY6" s="66">
        <v>0.0</v>
      </c>
      <c r="BZ6" s="66">
        <v>0.0</v>
      </c>
      <c r="CA6" s="66">
        <v>0.0</v>
      </c>
      <c r="CB6" s="48"/>
      <c r="CC6" s="66">
        <v>0.0</v>
      </c>
      <c r="CD6" s="36">
        <v>-300.0</v>
      </c>
      <c r="CE6" s="66">
        <v>0.0</v>
      </c>
      <c r="CF6" s="66">
        <v>0.0</v>
      </c>
      <c r="CG6" s="36">
        <v>-300.0</v>
      </c>
      <c r="CH6" s="66">
        <v>-100.0</v>
      </c>
      <c r="CI6" s="66">
        <v>0.0</v>
      </c>
      <c r="CJ6" s="66">
        <v>0.0</v>
      </c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</row>
    <row r="7" ht="15.75" customHeight="1">
      <c r="A7" s="8"/>
      <c r="B7" s="48"/>
      <c r="C7" s="62" t="s">
        <v>16</v>
      </c>
      <c r="D7" s="63">
        <v>30.0</v>
      </c>
      <c r="E7" s="62" t="s">
        <v>18</v>
      </c>
      <c r="F7" s="62" t="s">
        <v>48</v>
      </c>
      <c r="G7" s="63">
        <v>12.0</v>
      </c>
      <c r="H7" s="62" t="s">
        <v>49</v>
      </c>
      <c r="I7" s="64">
        <v>0.0</v>
      </c>
      <c r="J7" s="62"/>
      <c r="K7" s="64">
        <v>0.0</v>
      </c>
      <c r="L7" s="62"/>
      <c r="M7" s="62"/>
      <c r="N7" s="63">
        <v>-360.0</v>
      </c>
      <c r="O7" s="62"/>
      <c r="P7" s="62" t="s">
        <v>50</v>
      </c>
      <c r="Q7" s="65">
        <v>-360.0</v>
      </c>
      <c r="R7" s="62"/>
      <c r="S7" s="62"/>
      <c r="T7" s="48" t="s">
        <v>39</v>
      </c>
      <c r="U7" s="48" t="s">
        <v>51</v>
      </c>
      <c r="V7" s="48" t="s">
        <v>44</v>
      </c>
      <c r="W7" s="48" t="s">
        <v>43</v>
      </c>
      <c r="X7" s="48"/>
      <c r="Y7" s="66">
        <v>1.0</v>
      </c>
      <c r="Z7" s="48"/>
      <c r="AA7" s="48"/>
      <c r="AB7" s="66">
        <v>0.0</v>
      </c>
      <c r="AC7" s="66">
        <v>0.0</v>
      </c>
      <c r="AD7" s="66">
        <v>0.0</v>
      </c>
      <c r="AE7" s="66">
        <v>0.0</v>
      </c>
      <c r="AF7" s="36">
        <v>30.0</v>
      </c>
      <c r="AG7" s="66">
        <v>0.0</v>
      </c>
      <c r="AH7" s="66">
        <v>0.0</v>
      </c>
      <c r="AI7" s="66">
        <v>0.0</v>
      </c>
      <c r="AJ7" s="66">
        <v>0.0</v>
      </c>
      <c r="AK7" s="36">
        <v>-360.0</v>
      </c>
      <c r="AL7" s="66">
        <v>1.0</v>
      </c>
      <c r="AM7" s="66">
        <v>1.0</v>
      </c>
      <c r="AN7" s="48" t="s">
        <v>17</v>
      </c>
      <c r="AO7" s="48"/>
      <c r="AP7" s="48" t="s">
        <v>52</v>
      </c>
      <c r="AQ7" s="48" t="s">
        <v>16</v>
      </c>
      <c r="AR7" s="66">
        <v>0.0</v>
      </c>
      <c r="AS7" s="66">
        <v>1.0</v>
      </c>
      <c r="AT7" s="48"/>
      <c r="AU7" s="48"/>
      <c r="AV7" s="66">
        <v>1.0</v>
      </c>
      <c r="AW7" s="36">
        <v>-360.0</v>
      </c>
      <c r="AX7" s="66">
        <v>0.0</v>
      </c>
      <c r="AY7" s="66">
        <v>0.0</v>
      </c>
      <c r="AZ7" s="66">
        <v>0.0</v>
      </c>
      <c r="BA7" s="66">
        <v>-100.0</v>
      </c>
      <c r="BB7" s="48"/>
      <c r="BC7" s="66">
        <v>1.0</v>
      </c>
      <c r="BD7" s="36">
        <v>-360.0</v>
      </c>
      <c r="BE7" s="48"/>
      <c r="BF7" s="48"/>
      <c r="BG7" s="48"/>
      <c r="BH7" s="48"/>
      <c r="BI7" s="48"/>
      <c r="BJ7" s="66">
        <v>0.0</v>
      </c>
      <c r="BK7" s="66">
        <v>0.0</v>
      </c>
      <c r="BL7" s="66">
        <v>0.0</v>
      </c>
      <c r="BM7" s="66">
        <v>0.0</v>
      </c>
      <c r="BN7" s="48"/>
      <c r="BO7" s="36">
        <v>-360.0</v>
      </c>
      <c r="BP7" s="48"/>
      <c r="BQ7" s="48"/>
      <c r="BR7" s="48"/>
      <c r="BS7" s="66">
        <v>0.0</v>
      </c>
      <c r="BT7" s="66">
        <v>0.0</v>
      </c>
      <c r="BU7" s="48" t="s">
        <v>39</v>
      </c>
      <c r="BV7" s="48"/>
      <c r="BW7" s="66">
        <v>0.0</v>
      </c>
      <c r="BX7" s="66">
        <v>0.0</v>
      </c>
      <c r="BY7" s="66">
        <v>0.0</v>
      </c>
      <c r="BZ7" s="66">
        <v>0.0</v>
      </c>
      <c r="CA7" s="66">
        <v>0.0</v>
      </c>
      <c r="CB7" s="48"/>
      <c r="CC7" s="66">
        <v>0.0</v>
      </c>
      <c r="CD7" s="36">
        <v>-360.0</v>
      </c>
      <c r="CE7" s="66">
        <v>0.0</v>
      </c>
      <c r="CF7" s="66">
        <v>0.0</v>
      </c>
      <c r="CG7" s="36">
        <v>-360.0</v>
      </c>
      <c r="CH7" s="66">
        <v>-100.0</v>
      </c>
      <c r="CI7" s="66">
        <v>0.0</v>
      </c>
      <c r="CJ7" s="66">
        <v>0.0</v>
      </c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