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CreateDoneAwayOrder1" sheetId="10" r:id="rId12"/>
    <sheet state="visible" name="GetDataClosing" sheetId="11" r:id="rId13"/>
    <sheet state="visible" name="AutomaticClosing" sheetId="12" r:id="rId14"/>
    <sheet state="visible" name="GetDayEndCash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<sst xmlns="http://schemas.openxmlformats.org/spreadsheetml/2006/main" count="513" uniqueCount="78">
  <si>
    <t>Master Data Info</t>
  </si>
  <si>
    <t>Modules Info</t>
  </si>
  <si>
    <t>Settings</t>
  </si>
  <si>
    <t>Module Step Setting File</t>
  </si>
  <si>
    <t>1sG6uB28jAaiyaldDeMtbboQN41jJ2tAmE2rg6U9qH5o</t>
  </si>
  <si>
    <t>Module</t>
  </si>
  <si>
    <t>Step</t>
  </si>
  <si>
    <t>Master Data Settings File</t>
  </si>
  <si>
    <t>1hEhI9rg16D4Xvfk19pDaFUFF78jjfIG29BBaNg8kT0A</t>
  </si>
  <si>
    <t>Master Data Sheet</t>
  </si>
  <si>
    <t>Modules</t>
  </si>
  <si>
    <t>Data</t>
  </si>
  <si>
    <t>DailyValuation</t>
  </si>
  <si>
    <t>GetMarkPriceData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</si>
  <si>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</si>
  <si>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</si>
  <si>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</si>
  <si>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</si>
  <si>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</si>
  <si>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</si>
  <si>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</si>
  <si>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GS</t>
  </si>
  <si>
    <t>Flat Amount</t>
  </si>
  <si>
    <t>FRU-TC</t>
  </si>
  <si>
    <t>BMW-FRA</t>
  </si>
  <si>
    <t>GetForexConversion</t>
  </si>
  <si>
    <t>UpdateMarkPrice</t>
  </si>
  <si>
    <t>UpdateForexConversion</t>
  </si>
  <si>
    <t>PricingInput</t>
  </si>
  <si>
    <t>USD</t>
  </si>
  <si>
    <t>CAD</t>
  </si>
  <si>
    <t>CAD AO-FX</t>
  </si>
  <si>
    <t>EUR</t>
  </si>
  <si>
    <t>USD AO-FX</t>
  </si>
  <si>
    <t>Closing</t>
  </si>
  <si>
    <t>GetDataClosing</t>
  </si>
  <si>
    <t>Sell</t>
  </si>
  <si>
    <t>Historical</t>
  </si>
  <si>
    <t>AutomaticClosing</t>
  </si>
  <si>
    <t>GeneralLedger</t>
  </si>
  <si>
    <t>GetDayEndCash</t>
  </si>
  <si>
    <t>FIFO</t>
  </si>
  <si>
    <t>None</t>
  </si>
  <si>
    <t>Default</t>
  </si>
  <si>
    <t>NewMF</t>
  </si>
  <si>
    <t>PortfolioManagement</t>
  </si>
  <si>
    <t>CheckPortfolioManagement</t>
  </si>
  <si>
    <t>Long</t>
  </si>
  <si>
    <t>APPLE</t>
  </si>
  <si>
    <t>FIMAT</t>
  </si>
  <si>
    <t>Strategy Unallocated</t>
  </si>
  <si>
    <t>Equity</t>
  </si>
  <si>
    <t>US</t>
  </si>
  <si>
    <t>NASDAQ</t>
  </si>
  <si>
    <t/>
  </si>
  <si>
    <t>BrokerNotes</t>
  </si>
  <si>
    <t>DefaultNotes</t>
  </si>
  <si>
    <t>New Hedge</t>
  </si>
  <si>
    <t>Small Cap</t>
  </si>
  <si>
    <t>Undefined</t>
  </si>
  <si>
    <t xml:space="preserve"> </t>
  </si>
  <si>
    <t>jpearce</t>
  </si>
  <si>
    <t>N/A</t>
  </si>
  <si>
    <t>AAPL US EQUITY</t>
  </si>
  <si>
    <t>User Defined</t>
  </si>
  <si>
    <t>test1</t>
  </si>
  <si>
    <t>india</t>
  </si>
  <si>
    <t>test 1</t>
  </si>
  <si>
    <t>Yes</t>
  </si>
  <si>
    <t>TSX</t>
  </si>
  <si>
    <t>FRU CN EQUITY</t>
  </si>
  <si>
    <t>UK</t>
  </si>
  <si>
    <t>BMW BAYERISCHE MOTOREN WERKE AG</t>
  </si>
  <si>
    <t>EU</t>
  </si>
  <si>
    <t>FRA</t>
  </si>
  <si>
    <t>BMW GR</t>
  </si>
  <si>
    <t>DE0005190003</t>
  </si>
  <si>
    <t>BMWG.F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</si>
</sst>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b/>
      <sz val="14.0"/>
      <color rgb="FFFFFFFF"/>
      <name val="Calibri"/>
    </font>
    <font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2" fontId="5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center" readingOrder="0" shrinkToFit="0" wrapText="0"/>
    </xf>
    <xf borderId="0" fillId="0" fontId="6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6" numFmtId="0" xfId="0" applyAlignment="1" applyBorder="1" applyFont="1">
      <alignment readingOrder="0" shrinkToFit="0" wrapText="0"/>
    </xf>
    <xf borderId="0" fillId="2" fontId="5" numFmtId="0" xfId="0" applyAlignment="1" applyFont="1">
      <alignment horizontal="center" shrinkToFit="0" wrapText="0"/>
    </xf>
    <xf borderId="4" fillId="3" fontId="6" numFmtId="0" xfId="0" applyAlignment="1" applyBorder="1" applyFont="1">
      <alignment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0" fillId="0" fontId="6" numFmtId="0" xfId="0" applyAlignment="1" applyFont="1">
      <alignment horizontal="right" vertical="bottom"/>
    </xf>
    <xf borderId="0" fillId="0" fontId="3" numFmtId="14" xfId="0" applyAlignment="1" applyFont="1" applyNumberFormat="1">
      <alignment readingOrder="0" shrinkToFit="0" wrapText="0"/>
    </xf>
    <xf borderId="0" fillId="0" fontId="3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6" fontId="13" numFmtId="0" xfId="0" applyAlignment="1" applyFill="1" applyFont="1">
      <alignment vertical="bottom"/>
    </xf>
    <xf borderId="0" fillId="6" fontId="14" numFmtId="14" xfId="0" applyAlignment="1" applyFont="1" applyNumberFormat="1">
      <alignment horizontal="left"/>
    </xf>
    <xf borderId="0" fillId="6" fontId="13" numFmtId="0" xfId="0" applyAlignment="1" applyFont="1">
      <alignment horizontal="left" readingOrder="0"/>
    </xf>
    <xf borderId="0" fillId="6" fontId="13" numFmtId="0" xfId="0" applyAlignment="1" applyFont="1">
      <alignment horizontal="right" vertical="bottom"/>
    </xf>
    <xf borderId="5" fillId="6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6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6" numFmtId="4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6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0" fillId="2" fontId="5" numFmtId="4" xfId="0" applyAlignment="1" applyFont="1" applyNumberFormat="1">
      <alignment horizontal="center" shrinkToFit="0" wrapText="0"/>
    </xf>
    <xf borderId="1" fillId="2" fontId="5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3" numFmtId="4" xfId="0" applyAlignment="1" applyFont="1" applyNumberFormat="1">
      <alignment shrinkToFit="0" wrapText="0"/>
    </xf>
    <xf borderId="0" fillId="0" fontId="8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4" numFmtId="4" xfId="0" applyAlignment="1" applyFont="1" applyNumberFormat="1">
      <alignment shrinkToFit="0" wrapText="0"/>
    </xf>
    <xf borderId="4" fillId="3" fontId="4" numFmtId="4" xfId="0" applyAlignment="1" applyBorder="1" applyFont="1" applyNumberFormat="1">
      <alignment shrinkToFit="0" wrapText="0"/>
    </xf>
    <xf borderId="4" fillId="3" fontId="8" numFmtId="4" xfId="0" applyAlignment="1" applyBorder="1" applyFont="1" applyNumberFormat="1">
      <alignment readingOrder="0" shrinkToFit="0" wrapText="0"/>
    </xf>
    <xf borderId="4" fillId="3" fontId="8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4" numFmtId="4" xfId="0" applyAlignment="1" applyFont="1" applyNumberFormat="1">
      <alignment shrinkToFit="0" wrapText="0"/>
    </xf>
    <xf borderId="4" fillId="5" fontId="4" numFmtId="4" xfId="0" applyAlignment="1" applyBorder="1" applyFont="1" applyNumberFormat="1">
      <alignment shrinkToFit="0" wrapText="0"/>
    </xf>
    <xf borderId="4" fillId="5" fontId="4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3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7" t="s">
        <v>1</v>
      </c>
      <c r="B1" s="2"/>
      <c r="C1" s="2"/>
      <c r="D1" s="2"/>
      <c r="E1" s="2"/>
      <c r="F1" s="3"/>
    </row>
    <row r="2" ht="15.75" customHeight="1">
      <c r="A2" s="9"/>
      <c r="B2" s="9"/>
      <c r="C2" s="9"/>
      <c r="D2" s="9"/>
      <c r="E2" s="9"/>
      <c r="F2" s="9"/>
    </row>
    <row r="3" ht="15.75" customHeight="1">
      <c r="A3" s="5" t="s">
        <v>10</v>
      </c>
      <c r="B3" s="15"/>
      <c r="C3" s="17"/>
      <c r="D3" s="17"/>
      <c r="E3" s="17"/>
      <c r="F3" s="17"/>
    </row>
    <row r="4" ht="15.75" customHeight="1">
      <c r="A4" s="4" t="str">
        <f>IFERROR(__xludf.DUMMYFUNCTION("IMPORTRANGE('_Settings'!B3,""Modules!A4:L1000"")"),"Allocation")</f>
        <v>Allocation</v>
      </c>
      <c r="B4" s="9" t="str">
        <f>IFERROR(__xludf.DUMMYFUNCTION("""COMPUTED_VALUE"""),"Allocate")</f>
        <v>Allocate</v>
      </c>
      <c r="C4" s="9" t="str">
        <f>IFERROR(__xludf.DUMMYFUNCTION("""COMPUTED_VALUE"""),"Undefined")</f>
        <v>Undefined</v>
      </c>
      <c r="D4" s="9" t="str">
        <f>IFERROR(__xludf.DUMMYFUNCTION("""COMPUTED_VALUE"""),"")</f>
        <v/>
      </c>
      <c r="E4" s="9" t="str">
        <f>IFERROR(__xludf.DUMMYFUNCTION("""COMPUTED_VALUE"""),"")</f>
        <v/>
      </c>
      <c r="F4" s="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9" t="str">
        <f>IFERROR(__xludf.DUMMYFUNCTION("""COMPUTED_VALUE"""),"CheckAllocatedGroups")</f>
        <v>CheckAllocatedGroups</v>
      </c>
      <c r="C5" s="9" t="str">
        <f>IFERROR(__xludf.DUMMYFUNCTION("""COMPUTED_VALUE"""),"1ASulLlGAl--JRs7NVIiQ-6Q2Y2P3o7Y40cokKmMg-UA")</f>
        <v>1ASulLlGAl--JRs7NVIiQ-6Q2Y2P3o7Y40cokKmMg-UA</v>
      </c>
      <c r="D5" s="9" t="str">
        <f>IFERROR(__xludf.DUMMYFUNCTION("""COMPUTED_VALUE"""),"")</f>
        <v/>
      </c>
      <c r="E5" s="9" t="str">
        <f>IFERROR(__xludf.DUMMYFUNCTION("""COMPUTED_VALUE"""),"")</f>
        <v/>
      </c>
      <c r="F5" s="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9" t="str">
        <f>IFERROR(__xludf.DUMMYFUNCTION("""COMPUTED_VALUE"""),"Allocation")</f>
        <v>Allocation</v>
      </c>
      <c r="B6" s="9" t="str">
        <f>IFERROR(__xludf.DUMMYFUNCTION("""COMPUTED_VALUE"""),"Unallocate")</f>
        <v>Unallocate</v>
      </c>
      <c r="C6" s="9" t="str">
        <f>IFERROR(__xludf.DUMMYFUNCTION("""COMPUTED_VALUE"""),"153rAtnJuNh4UK26GjSOxUSjAHcOxzWv7CRGvmhrIJRs")</f>
        <v>153rAtnJuNh4UK26GjSOxUSjAHcOxzWv7CRGvmhrIJRs</v>
      </c>
      <c r="D6" s="9" t="str">
        <f>IFERROR(__xludf.DUMMYFUNCTION("""COMPUTED_VALUE"""),"")</f>
        <v/>
      </c>
      <c r="E6" s="9" t="str">
        <f>IFERROR(__xludf.DUMMYFUNCTION("""COMPUTED_VALUE"""),"")</f>
        <v/>
      </c>
      <c r="F6" s="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9" t="str">
        <f>IFERROR(__xludf.DUMMYFUNCTION("""COMPUTED_VALUE"""),"Allocation")</f>
        <v>Allocation</v>
      </c>
      <c r="B7" s="9" t="str">
        <f>IFERROR(__xludf.DUMMYFUNCTION("""COMPUTED_VALUE"""),"GetDataAllocation")</f>
        <v>GetDataAllocation</v>
      </c>
      <c r="C7" s="9" t="str">
        <f>IFERROR(__xludf.DUMMYFUNCTION("""COMPUTED_VALUE"""),"14c4GsPTH5D3eyeeKaMiqJQXOT6OiyIKnC2Ey2f-mzXU")</f>
        <v>14c4GsPTH5D3eyeeKaMiqJQXOT6OiyIKnC2Ey2f-mzXU</v>
      </c>
      <c r="D7" s="9" t="str">
        <f>IFERROR(__xludf.DUMMYFUNCTION("""COMPUTED_VALUE"""),"")</f>
        <v/>
      </c>
      <c r="E7" s="9" t="str">
        <f>IFERROR(__xludf.DUMMYFUNCTION("""COMPUTED_VALUE"""),"")</f>
        <v/>
      </c>
      <c r="F7" s="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9" t="str">
        <f>IFERROR(__xludf.DUMMYFUNCTION("""COMPUTED_VALUE"""),"Allocation")</f>
        <v>Allocation</v>
      </c>
      <c r="B8" s="9" t="str">
        <f>IFERROR(__xludf.DUMMYFUNCTION("""COMPUTED_VALUE"""),"SelectAllocatedGroup")</f>
        <v>SelectAllocatedGroup</v>
      </c>
      <c r="C8" s="9" t="str">
        <f>IFERROR(__xludf.DUMMYFUNCTION("""COMPUTED_VALUE"""),"1FoqTScZHaIaLmwoImnVY7WWuCKEwJNYw8_jsXiT_wz4")</f>
        <v>1FoqTScZHaIaLmwoImnVY7WWuCKEwJNYw8_jsXiT_wz4</v>
      </c>
      <c r="D8" s="9" t="str">
        <f>IFERROR(__xludf.DUMMYFUNCTION("""COMPUTED_VALUE"""),"")</f>
        <v/>
      </c>
      <c r="E8" s="9" t="str">
        <f>IFERROR(__xludf.DUMMYFUNCTION("""COMPUTED_VALUE"""),"")</f>
        <v/>
      </c>
      <c r="F8" s="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9" t="str">
        <f>IFERROR(__xludf.DUMMYFUNCTION("""COMPUTED_VALUE"""),"Allocation")</f>
        <v>Allocation</v>
      </c>
      <c r="B9" s="9" t="str">
        <f>IFERROR(__xludf.DUMMYFUNCTION("""COMPUTED_VALUE"""),"EditTradesAllocated")</f>
        <v>EditTradesAllocated</v>
      </c>
      <c r="C9" s="9" t="str">
        <f>IFERROR(__xludf.DUMMYFUNCTION("""COMPUTED_VALUE"""),"1nx-Ntcckcf-w1Yr5yyOw4Vmcr4UsalakHe-CHaRihg0")</f>
        <v>1nx-Ntcckcf-w1Yr5yyOw4Vmcr4UsalakHe-CHaRihg0</v>
      </c>
      <c r="D9" s="9" t="str">
        <f>IFERROR(__xludf.DUMMYFUNCTION("""COMPUTED_VALUE"""),"")</f>
        <v/>
      </c>
      <c r="E9" s="9" t="str">
        <f>IFERROR(__xludf.DUMMYFUNCTION("""COMPUTED_VALUE"""),"")</f>
        <v/>
      </c>
      <c r="F9" s="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9" t="str">
        <f>IFERROR(__xludf.DUMMYFUNCTION("""COMPUTED_VALUE"""),"Allocation")</f>
        <v>Allocation</v>
      </c>
      <c r="B10" s="9" t="str">
        <f>IFERROR(__xludf.DUMMYFUNCTION("""COMPUTED_VALUE"""),"EditTradesUnallocated")</f>
        <v>EditTradesUnallocated</v>
      </c>
      <c r="C10" s="9" t="str">
        <f>IFERROR(__xludf.DUMMYFUNCTION("""COMPUTED_VALUE"""),"1aOr-_cYT21IfJctqcBB50iQOXfB0qUo9bBesL3tt_2o")</f>
        <v>1aOr-_cYT21IfJctqcBB50iQOXfB0qUo9bBesL3tt_2o</v>
      </c>
      <c r="D10" s="9" t="str">
        <f>IFERROR(__xludf.DUMMYFUNCTION("""COMPUTED_VALUE"""),"")</f>
        <v/>
      </c>
      <c r="E10" s="9" t="str">
        <f>IFERROR(__xludf.DUMMYFUNCTION("""COMPUTED_VALUE"""),"")</f>
        <v/>
      </c>
      <c r="F10" s="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9" t="str">
        <f>IFERROR(__xludf.DUMMYFUNCTION("""COMPUTED_VALUE"""),"Allocation")</f>
        <v>Allocation</v>
      </c>
      <c r="B11" s="9" t="str">
        <f>IFERROR(__xludf.DUMMYFUNCTION("""COMPUTED_VALUE"""),"Reallocate")</f>
        <v>Reallocate</v>
      </c>
      <c r="C11" s="9" t="str">
        <f>IFERROR(__xludf.DUMMYFUNCTION("""COMPUTED_VALUE"""),"Undefined")</f>
        <v>Undefined</v>
      </c>
      <c r="D11" s="9" t="str">
        <f>IFERROR(__xludf.DUMMYFUNCTION("""COMPUTED_VALUE"""),"")</f>
        <v/>
      </c>
      <c r="E11" s="9" t="str">
        <f>IFERROR(__xludf.DUMMYFUNCTION("""COMPUTED_VALUE"""),"")</f>
        <v/>
      </c>
      <c r="F11" s="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9" t="str">
        <f>IFERROR(__xludf.DUMMYFUNCTION("""COMPUTED_VALUE"""),"Blotter")</f>
        <v>Blotter</v>
      </c>
      <c r="B12" s="9" t="str">
        <f>IFERROR(__xludf.DUMMYFUNCTION("""COMPUTED_VALUE"""),"ReplaceFillsOnBlotter")</f>
        <v>ReplaceFillsOnBlotter</v>
      </c>
      <c r="C12" s="9" t="str">
        <f>IFERROR(__xludf.DUMMYFUNCTION("""COMPUTED_VALUE"""),"Undefined")</f>
        <v>Undefined</v>
      </c>
      <c r="D12" s="9" t="str">
        <f>IFERROR(__xludf.DUMMYFUNCTION("""COMPUTED_VALUE"""),"")</f>
        <v/>
      </c>
      <c r="E12" s="9" t="str">
        <f>IFERROR(__xludf.DUMMYFUNCTION("""COMPUTED_VALUE"""),"")</f>
        <v/>
      </c>
      <c r="F12" s="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9" t="str">
        <f>IFERROR(__xludf.DUMMYFUNCTION("""COMPUTED_VALUE"""),"Blotter")</f>
        <v>Blotter</v>
      </c>
      <c r="B13" s="9" t="str">
        <f>IFERROR(__xludf.DUMMYFUNCTION("""COMPUTED_VALUE"""),"CheckBlotter")</f>
        <v>CheckBlotter</v>
      </c>
      <c r="C13" s="9" t="str">
        <f>IFERROR(__xludf.DUMMYFUNCTION("""COMPUTED_VALUE"""),"1NSNUZ7aVjKq-fJWvjMKU9f1Hhbf0UmIY3RQLFu0_U94")</f>
        <v>1NSNUZ7aVjKq-fJWvjMKU9f1Hhbf0UmIY3RQLFu0_U94</v>
      </c>
      <c r="D13" s="9" t="str">
        <f>IFERROR(__xludf.DUMMYFUNCTION("""COMPUTED_VALUE"""),"")</f>
        <v/>
      </c>
      <c r="E13" s="9" t="str">
        <f>IFERROR(__xludf.DUMMYFUNCTION("""COMPUTED_VALUE"""),"")</f>
        <v/>
      </c>
      <c r="F13" s="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9" t="str">
        <f>IFERROR(__xludf.DUMMYFUNCTION("""COMPUTED_VALUE"""),"GeneralLedger")</f>
        <v>GeneralLedger</v>
      </c>
      <c r="B14" s="9" t="str">
        <f>IFERROR(__xludf.DUMMYFUNCTION("""COMPUTED_VALUE"""),"GetDataCash")</f>
        <v>GetDataCash</v>
      </c>
      <c r="C14" s="9" t="str">
        <f>IFERROR(__xludf.DUMMYFUNCTION("""COMPUTED_VALUE"""),"1qcpgHRQFZbpv-NnW8K-CvX_auKXD5UD0KzrBvuBL6yQ")</f>
        <v>1qcpgHRQFZbpv-NnW8K-CvX_auKXD5UD0KzrBvuBL6yQ</v>
      </c>
      <c r="D14" s="9" t="str">
        <f>IFERROR(__xludf.DUMMYFUNCTION("""COMPUTED_VALUE"""),"")</f>
        <v/>
      </c>
      <c r="E14" s="9" t="str">
        <f>IFERROR(__xludf.DUMMYFUNCTION("""COMPUTED_VALUE"""),"")</f>
        <v/>
      </c>
      <c r="F14" s="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9" t="str">
        <f>IFERROR(__xludf.DUMMYFUNCTION("""COMPUTED_VALUE"""),"GeneralLedger")</f>
        <v>GeneralLedger</v>
      </c>
      <c r="B15" s="9" t="str">
        <f>IFERROR(__xludf.DUMMYFUNCTION("""COMPUTED_VALUE"""),"EnterCashDividends")</f>
        <v>EnterCashDividends</v>
      </c>
      <c r="C15" s="9" t="str">
        <f>IFERROR(__xludf.DUMMYFUNCTION("""COMPUTED_VALUE"""),"1AcxAZQwu6HAEJMCMK3bk08quIeXstZWKnCNeDGuqkgc")</f>
        <v>1AcxAZQwu6HAEJMCMK3bk08quIeXstZWKnCNeDGuqkgc</v>
      </c>
      <c r="D15" s="9" t="str">
        <f>IFERROR(__xludf.DUMMYFUNCTION("""COMPUTED_VALUE"""),"")</f>
        <v/>
      </c>
      <c r="E15" s="9" t="str">
        <f>IFERROR(__xludf.DUMMYFUNCTION("""COMPUTED_VALUE"""),"")</f>
        <v/>
      </c>
      <c r="F15" s="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9" t="str">
        <f>IFERROR(__xludf.DUMMYFUNCTION("""COMPUTED_VALUE"""),"GeneralLedger")</f>
        <v>GeneralLedger</v>
      </c>
      <c r="B16" s="9" t="str">
        <f>IFERROR(__xludf.DUMMYFUNCTION("""COMPUTED_VALUE"""),"EnterNonTradingTransaction")</f>
        <v>EnterNonTradingTransaction</v>
      </c>
      <c r="C16" s="9" t="str">
        <f>IFERROR(__xludf.DUMMYFUNCTION("""COMPUTED_VALUE"""),"1VLF0uNJJlumCyBscfuDhTN1tOv-0IRCkYlwfDU8GczQ")</f>
        <v>1VLF0uNJJlumCyBscfuDhTN1tOv-0IRCkYlwfDU8GczQ</v>
      </c>
      <c r="D16" s="9" t="str">
        <f>IFERROR(__xludf.DUMMYFUNCTION("""COMPUTED_VALUE"""),"")</f>
        <v/>
      </c>
      <c r="E16" s="9" t="str">
        <f>IFERROR(__xludf.DUMMYFUNCTION("""COMPUTED_VALUE"""),"")</f>
        <v/>
      </c>
      <c r="F16" s="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9" t="str">
        <f>IFERROR(__xludf.DUMMYFUNCTION("""COMPUTED_VALUE"""),"GeneralLedger")</f>
        <v>GeneralLedger</v>
      </c>
      <c r="B17" s="9" t="str">
        <f>IFERROR(__xludf.DUMMYFUNCTION("""COMPUTED_VALUE"""),"VerifyCash")</f>
        <v>VerifyCash</v>
      </c>
      <c r="C17" s="9" t="str">
        <f>IFERROR(__xludf.DUMMYFUNCTION("""COMPUTED_VALUE"""),"1_8MIcc2OK_ojl_V4NIwMLs9H7qkQkwyq9sDf1PpIqc8")</f>
        <v>1_8MIcc2OK_ojl_V4NIwMLs9H7qkQkwyq9sDf1PpIqc8</v>
      </c>
      <c r="D17" s="9" t="str">
        <f>IFERROR(__xludf.DUMMYFUNCTION("""COMPUTED_VALUE"""),"")</f>
        <v/>
      </c>
      <c r="E17" s="9" t="str">
        <f>IFERROR(__xludf.DUMMYFUNCTION("""COMPUTED_VALUE"""),"")</f>
        <v/>
      </c>
      <c r="F17" s="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9" t="str">
        <f>IFERROR(__xludf.DUMMYFUNCTION("""COMPUTED_VALUE"""),"GeneralLedger")</f>
        <v>GeneralLedger</v>
      </c>
      <c r="B18" s="9" t="str">
        <f>IFERROR(__xludf.DUMMYFUNCTION("""COMPUTED_VALUE"""),"VerifyActivity")</f>
        <v>VerifyActivity</v>
      </c>
      <c r="C18" s="9" t="str">
        <f>IFERROR(__xludf.DUMMYFUNCTION("""COMPUTED_VALUE"""),"1tN1tbsnXiVRytGN-WCzTnGTmfRxY2nBklQk3AQSJo2c")</f>
        <v>1tN1tbsnXiVRytGN-WCzTnGTmfRxY2nBklQk3AQSJo2c</v>
      </c>
      <c r="D18" s="9" t="str">
        <f>IFERROR(__xludf.DUMMYFUNCTION("""COMPUTED_VALUE"""),"")</f>
        <v/>
      </c>
      <c r="E18" s="9" t="str">
        <f>IFERROR(__xludf.DUMMYFUNCTION("""COMPUTED_VALUE"""),"")</f>
        <v/>
      </c>
      <c r="F18" s="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9" t="str">
        <f>IFERROR(__xludf.DUMMYFUNCTION("""COMPUTED_VALUE"""),"GeneralLedger")</f>
        <v>GeneralLedger</v>
      </c>
      <c r="B19" s="9" t="str">
        <f>IFERROR(__xludf.DUMMYFUNCTION("""COMPUTED_VALUE"""),"VerifyTradingTransaction")</f>
        <v>VerifyTradingTransaction</v>
      </c>
      <c r="C19" s="9" t="str">
        <f>IFERROR(__xludf.DUMMYFUNCTION("""COMPUTED_VALUE"""),"1VRRuQCPazoSKAv27NBzQzv_Yw_Kgakw-yyKn6w1zhKU")</f>
        <v>1VRRuQCPazoSKAv27NBzQzv_Yw_Kgakw-yyKn6w1zhKU</v>
      </c>
      <c r="D19" s="9" t="str">
        <f>IFERROR(__xludf.DUMMYFUNCTION("""COMPUTED_VALUE"""),"")</f>
        <v/>
      </c>
      <c r="E19" s="9" t="str">
        <f>IFERROR(__xludf.DUMMYFUNCTION("""COMPUTED_VALUE"""),"")</f>
        <v/>
      </c>
      <c r="F19" s="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9" t="str">
        <f>IFERROR(__xludf.DUMMYFUNCTION("""COMPUTED_VALUE"""),"GeneralLedger")</f>
        <v>GeneralLedger</v>
      </c>
      <c r="B20" s="9" t="str">
        <f>IFERROR(__xludf.DUMMYFUNCTION("""COMPUTED_VALUE"""),"VerifyRevaluationData")</f>
        <v>VerifyRevaluationData</v>
      </c>
      <c r="C20" s="9" t="str">
        <f>IFERROR(__xludf.DUMMYFUNCTION("""COMPUTED_VALUE"""),"1fGo94nf55bWXddEMlTwX902cb1V6cWr9GHWYy_sZ8IU")</f>
        <v>1fGo94nf55bWXddEMlTwX902cb1V6cWr9GHWYy_sZ8IU</v>
      </c>
      <c r="D20" s="9" t="str">
        <f>IFERROR(__xludf.DUMMYFUNCTION("""COMPUTED_VALUE"""),"")</f>
        <v/>
      </c>
      <c r="E20" s="9" t="str">
        <f>IFERROR(__xludf.DUMMYFUNCTION("""COMPUTED_VALUE"""),"")</f>
        <v/>
      </c>
      <c r="F20" s="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9" t="str">
        <f>IFERROR(__xludf.DUMMYFUNCTION("""COMPUTED_VALUE"""),"CorporateAction")</f>
        <v>CorporateAction</v>
      </c>
      <c r="B21" s="9" t="str">
        <f>IFERROR(__xludf.DUMMYFUNCTION("""COMPUTED_VALUE"""),"CorporateAction")</f>
        <v>CorporateAction</v>
      </c>
      <c r="C21" s="9" t="str">
        <f>IFERROR(__xludf.DUMMYFUNCTION("""COMPUTED_VALUE"""),"1rOMKu0Ez7NdxjtZC05lRrPUSa0tkOQSvbOhxjuijMsU")</f>
        <v>1rOMKu0Ez7NdxjtZC05lRrPUSa0tkOQSvbOhxjuijMsU</v>
      </c>
      <c r="D21" s="9" t="str">
        <f>IFERROR(__xludf.DUMMYFUNCTION("""COMPUTED_VALUE"""),"")</f>
        <v/>
      </c>
      <c r="E21" s="9" t="str">
        <f>IFERROR(__xludf.DUMMYFUNCTION("""COMPUTED_VALUE"""),"")</f>
        <v/>
      </c>
      <c r="F21" s="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9" t="str">
        <f>IFERROR(__xludf.DUMMYFUNCTION("""COMPUTED_VALUE"""),"CreateTransaction")</f>
        <v>CreateTransaction</v>
      </c>
      <c r="B22" s="9" t="str">
        <f>IFERROR(__xludf.DUMMYFUNCTION("""COMPUTED_VALUE"""),"CreateTransaction")</f>
        <v>CreateTransaction</v>
      </c>
      <c r="C22" s="9" t="str">
        <f>IFERROR(__xludf.DUMMYFUNCTION("""COMPUTED_VALUE"""),"1yBi-hp0jcYIFB6ymnlQIlx-pUUkfcjJU7Ap0azBbNcE")</f>
        <v>1yBi-hp0jcYIFB6ymnlQIlx-pUUkfcjJU7Ap0azBbNcE</v>
      </c>
      <c r="D22" s="9" t="str">
        <f>IFERROR(__xludf.DUMMYFUNCTION("""COMPUTED_VALUE"""),"")</f>
        <v/>
      </c>
      <c r="E22" s="9" t="str">
        <f>IFERROR(__xludf.DUMMYFUNCTION("""COMPUTED_VALUE"""),"")</f>
        <v/>
      </c>
      <c r="F22" s="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9" t="str">
        <f>IFERROR(__xludf.DUMMYFUNCTION("""COMPUTED_VALUE"""),"DailyValuation")</f>
        <v>DailyValuation</v>
      </c>
      <c r="B23" s="9" t="str">
        <f>IFERROR(__xludf.DUMMYFUNCTION("""COMPUTED_VALUE"""),"UpdateBeta")</f>
        <v>UpdateBeta</v>
      </c>
      <c r="C23" s="9" t="str">
        <f>IFERROR(__xludf.DUMMYFUNCTION("""COMPUTED_VALUE"""),"1x5iUjYB72ZJ35IOvQ_JQkWHV-d1FlgKY3bIxxTpk-f0")</f>
        <v>1x5iUjYB72ZJ35IOvQ_JQkWHV-d1FlgKY3bIxxTpk-f0</v>
      </c>
      <c r="D23" s="9" t="str">
        <f>IFERROR(__xludf.DUMMYFUNCTION("""COMPUTED_VALUE"""),"")</f>
        <v/>
      </c>
      <c r="E23" s="9" t="str">
        <f>IFERROR(__xludf.DUMMYFUNCTION("""COMPUTED_VALUE"""),"")</f>
        <v/>
      </c>
      <c r="F23" s="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9" t="str">
        <f>IFERROR(__xludf.DUMMYFUNCTION("""COMPUTED_VALUE"""),"DailyValuation")</f>
        <v>DailyValuation</v>
      </c>
      <c r="B24" s="9" t="str">
        <f>IFERROR(__xludf.DUMMYFUNCTION("""COMPUTED_VALUE"""),"UpdateDailyCash")</f>
        <v>UpdateDailyCash</v>
      </c>
      <c r="C24" s="9" t="str">
        <f>IFERROR(__xludf.DUMMYFUNCTION("""COMPUTED_VALUE"""),"1Li5RKULV7Lc2MLczTkVbzq0oDYcFGfTlBUO9__NoODc")</f>
        <v>1Li5RKULV7Lc2MLczTkVbzq0oDYcFGfTlBUO9__NoODc</v>
      </c>
      <c r="D24" s="9" t="str">
        <f>IFERROR(__xludf.DUMMYFUNCTION("""COMPUTED_VALUE"""),"")</f>
        <v/>
      </c>
      <c r="E24" s="9" t="str">
        <f>IFERROR(__xludf.DUMMYFUNCTION("""COMPUTED_VALUE"""),"")</f>
        <v/>
      </c>
      <c r="F24" s="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9" t="str">
        <f>IFERROR(__xludf.DUMMYFUNCTION("""COMPUTED_VALUE"""),"DailyValuation")</f>
        <v>DailyValuation</v>
      </c>
      <c r="B25" s="9" t="str">
        <f>IFERROR(__xludf.DUMMYFUNCTION("""COMPUTED_VALUE"""),"UpdateForexConversion")</f>
        <v>UpdateForexConversion</v>
      </c>
      <c r="C25" s="9" t="str">
        <f>IFERROR(__xludf.DUMMYFUNCTION("""COMPUTED_VALUE"""),"1vnIE6mL0eHSchRF1qTlJ2JL_Ylu6hiC6uOXpzq7M0BQ")</f>
        <v>1vnIE6mL0eHSchRF1qTlJ2JL_Ylu6hiC6uOXpzq7M0BQ</v>
      </c>
      <c r="D25" s="9" t="str">
        <f>IFERROR(__xludf.DUMMYFUNCTION("""COMPUTED_VALUE"""),"")</f>
        <v/>
      </c>
      <c r="E25" s="9" t="str">
        <f>IFERROR(__xludf.DUMMYFUNCTION("""COMPUTED_VALUE"""),"")</f>
        <v/>
      </c>
      <c r="F25" s="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9" t="str">
        <f>IFERROR(__xludf.DUMMYFUNCTION("""COMPUTED_VALUE"""),"DailyValuation")</f>
        <v>DailyValuation</v>
      </c>
      <c r="B26" s="9" t="str">
        <f>IFERROR(__xludf.DUMMYFUNCTION("""COMPUTED_VALUE"""),"UpdateMarkPrice")</f>
        <v>UpdateMarkPrice</v>
      </c>
      <c r="C26" s="9" t="str">
        <f>IFERROR(__xludf.DUMMYFUNCTION("""COMPUTED_VALUE"""),"1KCMHfIqMprTfc21JY7-_BuJZCbNmjdI-pAMs1UtHRgM")</f>
        <v>1KCMHfIqMprTfc21JY7-_BuJZCbNmjdI-pAMs1UtHRgM</v>
      </c>
      <c r="D26" s="9" t="str">
        <f>IFERROR(__xludf.DUMMYFUNCTION("""COMPUTED_VALUE"""),"")</f>
        <v/>
      </c>
      <c r="E26" s="9" t="str">
        <f>IFERROR(__xludf.DUMMYFUNCTION("""COMPUTED_VALUE"""),"")</f>
        <v/>
      </c>
      <c r="F26" s="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9" t="str">
        <f>IFERROR(__xludf.DUMMYFUNCTION("""COMPUTED_VALUE"""),"Import")</f>
        <v>Import</v>
      </c>
      <c r="B27" s="9" t="str">
        <f>IFERROR(__xludf.DUMMYFUNCTION("""COMPUTED_VALUE"""),"Import")</f>
        <v>Import</v>
      </c>
      <c r="C27" s="9" t="str">
        <f>IFERROR(__xludf.DUMMYFUNCTION("""COMPUTED_VALUE"""),"1tRgcAtzRVDm6tX53uSpBOxZNBYm4sTcJiDaR4fxdfwY")</f>
        <v>1tRgcAtzRVDm6tX53uSpBOxZNBYm4sTcJiDaR4fxdfwY</v>
      </c>
      <c r="D27" s="9" t="str">
        <f>IFERROR(__xludf.DUMMYFUNCTION("""COMPUTED_VALUE"""),"")</f>
        <v/>
      </c>
      <c r="E27" s="9" t="str">
        <f>IFERROR(__xludf.DUMMYFUNCTION("""COMPUTED_VALUE"""),"")</f>
        <v/>
      </c>
      <c r="F27" s="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9" t="str">
        <f>IFERROR(__xludf.DUMMYFUNCTION("""COMPUTED_VALUE"""),"PortfolioManagement")</f>
        <v>PortfolioManagement</v>
      </c>
      <c r="B28" s="9" t="str">
        <f>IFERROR(__xludf.DUMMYFUNCTION("""COMPUTED_VALUE"""),"CheckDashboardPM")</f>
        <v>CheckDashboardPM</v>
      </c>
      <c r="C28" s="9" t="str">
        <f>IFERROR(__xludf.DUMMYFUNCTION("""COMPUTED_VALUE"""),"12DQ8VFmnoIi6USj-pAupggGf1Uakm-iIEO9IboOJPds")</f>
        <v>12DQ8VFmnoIi6USj-pAupggGf1Uakm-iIEO9IboOJPds</v>
      </c>
      <c r="D28" s="9" t="str">
        <f>IFERROR(__xludf.DUMMYFUNCTION("""COMPUTED_VALUE"""),"")</f>
        <v/>
      </c>
      <c r="E28" s="9" t="str">
        <f>IFERROR(__xludf.DUMMYFUNCTION("""COMPUTED_VALUE"""),"")</f>
        <v/>
      </c>
      <c r="F28" s="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9" t="str">
        <f>IFERROR(__xludf.DUMMYFUNCTION("""COMPUTED_VALUE"""),"PortfolioManagement")</f>
        <v>PortfolioManagement</v>
      </c>
      <c r="B29" s="9" t="str">
        <f>IFERROR(__xludf.DUMMYFUNCTION("""COMPUTED_VALUE"""),"CheckPortfolioManagement")</f>
        <v>CheckPortfolioManagement</v>
      </c>
      <c r="C29" s="9" t="str">
        <f>IFERROR(__xludf.DUMMYFUNCTION("""COMPUTED_VALUE"""),"1EinrxkfbLK2Tdj1nGXu4y1H2zmS6g6G85Hm0vYSOHlA")</f>
        <v>1EinrxkfbLK2Tdj1nGXu4y1H2zmS6g6G85Hm0vYSOHlA</v>
      </c>
      <c r="D29" s="9" t="str">
        <f>IFERROR(__xludf.DUMMYFUNCTION("""COMPUTED_VALUE"""),"")</f>
        <v/>
      </c>
      <c r="E29" s="9" t="str">
        <f>IFERROR(__xludf.DUMMYFUNCTION("""COMPUTED_VALUE"""),"")</f>
        <v/>
      </c>
      <c r="F29" s="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9" t="str">
        <f>IFERROR(__xludf.DUMMYFUNCTION("""COMPUTED_VALUE"""),"PricingInput")</f>
        <v>PricingInput</v>
      </c>
      <c r="B30" s="9" t="str">
        <f>IFERROR(__xludf.DUMMYFUNCTION("""COMPUTED_VALUE"""),"PricingInput")</f>
        <v>PricingInput</v>
      </c>
      <c r="C30" s="9" t="str">
        <f>IFERROR(__xludf.DUMMYFUNCTION("""COMPUTED_VALUE"""),"1qeUVChEAj0eKA7tNZsUWM4FcqW347Jcsk_tvw1-FP3s")</f>
        <v>1qeUVChEAj0eKA7tNZsUWM4FcqW347Jcsk_tvw1-FP3s</v>
      </c>
      <c r="D30" s="9" t="str">
        <f>IFERROR(__xludf.DUMMYFUNCTION("""COMPUTED_VALUE"""),"")</f>
        <v/>
      </c>
      <c r="E30" s="9" t="str">
        <f>IFERROR(__xludf.DUMMYFUNCTION("""COMPUTED_VALUE"""),"")</f>
        <v/>
      </c>
      <c r="F30" s="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9" t="str">
        <f>IFERROR(__xludf.DUMMYFUNCTION("""COMPUTED_VALUE"""),"PricingInput")</f>
        <v>PricingInput</v>
      </c>
      <c r="B31" s="9" t="str">
        <f>IFERROR(__xludf.DUMMYFUNCTION("""COMPUTED_VALUE"""),"UpdateSharesOutstanding")</f>
        <v>UpdateSharesOutstanding</v>
      </c>
      <c r="C31" s="9" t="str">
        <f>IFERROR(__xludf.DUMMYFUNCTION("""COMPUTED_VALUE"""),"1aVxYFzFjJM4FVvXjfioQc67hI5XgzzCTHLg8f7lbJhU")</f>
        <v>1aVxYFzFjJM4FVvXjfioQc67hI5XgzzCTHLg8f7lbJhU</v>
      </c>
      <c r="D31" s="9" t="str">
        <f>IFERROR(__xludf.DUMMYFUNCTION("""COMPUTED_VALUE"""),"")</f>
        <v/>
      </c>
      <c r="E31" s="9" t="str">
        <f>IFERROR(__xludf.DUMMYFUNCTION("""COMPUTED_VALUE"""),"")</f>
        <v/>
      </c>
      <c r="F31" s="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9" t="str">
        <f>IFERROR(__xludf.DUMMYFUNCTION("""COMPUTED_VALUE"""),"SymbolLookup")</f>
        <v>SymbolLookup</v>
      </c>
      <c r="B32" s="9" t="str">
        <f>IFERROR(__xludf.DUMMYFUNCTION("""COMPUTED_VALUE"""),"VerifySymbolLookUp")</f>
        <v>VerifySymbolLookUp</v>
      </c>
      <c r="C32" s="9" t="str">
        <f>IFERROR(__xludf.DUMMYFUNCTION("""COMPUTED_VALUE"""),"1Fe8M8KnrsIcnAobjXa43I9IzXKCnB39xCSYterKkeEc")</f>
        <v>1Fe8M8KnrsIcnAobjXa43I9IzXKCnB39xCSYterKkeEc</v>
      </c>
      <c r="D32" s="9" t="str">
        <f>IFERROR(__xludf.DUMMYFUNCTION("""COMPUTED_VALUE"""),"")</f>
        <v/>
      </c>
      <c r="E32" s="9" t="str">
        <f>IFERROR(__xludf.DUMMYFUNCTION("""COMPUTED_VALUE"""),"")</f>
        <v/>
      </c>
      <c r="F32" s="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9" t="str">
        <f>IFERROR(__xludf.DUMMYFUNCTION("""COMPUTED_VALUE"""),"SymbolLookup")</f>
        <v>SymbolLookup</v>
      </c>
      <c r="B33" s="9" t="str">
        <f>IFERROR(__xludf.DUMMYFUNCTION("""COMPUTED_VALUE"""),"SymbolLookupFromTT")</f>
        <v>SymbolLookupFromTT</v>
      </c>
      <c r="C33" s="9" t="str">
        <f>IFERROR(__xludf.DUMMYFUNCTION("""COMPUTED_VALUE"""),"1qJHd_QH5ht3ZzeFZbKiVeEOBmlpAshwV72N701B28uk")</f>
        <v>1qJHd_QH5ht3ZzeFZbKiVeEOBmlpAshwV72N701B28uk</v>
      </c>
      <c r="D33" s="9" t="str">
        <f>IFERROR(__xludf.DUMMYFUNCTION("""COMPUTED_VALUE"""),"")</f>
        <v/>
      </c>
      <c r="E33" s="9" t="str">
        <f>IFERROR(__xludf.DUMMYFUNCTION("""COMPUTED_VALUE"""),"")</f>
        <v/>
      </c>
      <c r="F33" s="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6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3</v>
      </c>
      <c r="B3" s="6" t="s">
        <v>4</v>
      </c>
      <c r="C3" s="4"/>
    </row>
    <row r="4" ht="15.75" customHeight="1">
      <c r="A4" s="10" t="s">
        <v>7</v>
      </c>
      <c r="B4" s="6" t="s">
        <v>8</v>
      </c>
      <c r="C4" s="4"/>
    </row>
    <row r="5" ht="15.75" customHeight="1">
      <c r="A5" s="12"/>
      <c r="B5" s="4"/>
      <c r="C5" s="4"/>
    </row>
    <row r="6" ht="15.75" customHeight="1">
      <c r="A6" s="12"/>
      <c r="B6" s="4"/>
      <c r="C6" s="4"/>
    </row>
    <row r="7" ht="15.75" customHeight="1">
      <c r="A7" s="12"/>
      <c r="B7" s="4"/>
      <c r="C7" s="4"/>
    </row>
    <row r="8" ht="15.75" customHeight="1">
      <c r="A8" s="12"/>
      <c r="B8" s="4"/>
      <c r="C8" s="4"/>
    </row>
    <row r="9" ht="15.75" customHeight="1">
      <c r="A9" s="12"/>
      <c r="B9" s="4"/>
      <c r="C9" s="4"/>
    </row>
    <row r="10" ht="15.75" customHeight="1">
      <c r="A10" s="12"/>
      <c r="B10" s="4"/>
      <c r="C10" s="4"/>
    </row>
    <row r="11" ht="15.75" customHeight="1">
      <c r="A11" s="12"/>
      <c r="B11" s="4"/>
      <c r="C11" s="4"/>
    </row>
    <row r="12" ht="15.75" customHeight="1">
      <c r="A12" s="12"/>
      <c r="B12" s="4"/>
      <c r="C12" s="4"/>
    </row>
    <row r="13" ht="15.75" customHeight="1">
      <c r="A13" s="12"/>
      <c r="B13" s="4"/>
      <c r="C13" s="4"/>
    </row>
    <row r="14" ht="15.75" customHeight="1">
      <c r="A14" s="12"/>
      <c r="B14" s="4"/>
      <c r="C14" s="4"/>
    </row>
    <row r="15" ht="15.75" customHeight="1">
      <c r="A15" s="12"/>
      <c r="B15" s="4"/>
      <c r="C15" s="4"/>
    </row>
    <row r="16" ht="15.75" customHeight="1">
      <c r="A16" s="12"/>
      <c r="B16" s="4"/>
      <c r="C16" s="4"/>
    </row>
    <row r="17" ht="15.75" customHeight="1">
      <c r="A17" s="12"/>
      <c r="B17" s="4"/>
      <c r="C17" s="4"/>
    </row>
    <row r="18" ht="15.75" customHeight="1">
      <c r="A18" s="12"/>
      <c r="B18" s="4"/>
      <c r="C18" s="4"/>
    </row>
    <row r="19" ht="15.75" customHeight="1">
      <c r="A19" s="12"/>
      <c r="B19" s="4"/>
      <c r="C19" s="4"/>
    </row>
    <row r="20" ht="15.75" customHeight="1">
      <c r="A20" s="12"/>
      <c r="B20" s="4"/>
      <c r="C20" s="4"/>
    </row>
    <row r="21" ht="15.75" customHeight="1">
      <c r="A21" s="12"/>
      <c r="B21" s="4"/>
      <c r="C21" s="4"/>
    </row>
    <row r="22" ht="15.75" customHeight="1">
      <c r="A22" s="12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8" t="s">
        <v>0</v>
      </c>
      <c r="B1" s="2"/>
      <c r="C1" s="2"/>
      <c r="D1" s="2"/>
      <c r="E1" s="2"/>
      <c r="F1" s="3"/>
    </row>
    <row r="2">
      <c r="A2" s="9"/>
      <c r="B2" s="9"/>
      <c r="C2" s="9"/>
      <c r="D2" s="9"/>
      <c r="E2" s="9"/>
      <c r="F2" s="9"/>
    </row>
    <row r="3">
      <c r="A3" s="10" t="s">
        <v>5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16</v>
      </c>
      <c r="D3" s="5" t="s">
        <v>6</v>
      </c>
      <c r="E3" s="21" t="s">
        <v>17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 t="s">
        <v>18</v>
      </c>
      <c r="C6" s="30" t="s">
        <v>19</v>
      </c>
      <c r="D6" s="31">
        <v>100.0</v>
      </c>
      <c r="E6" s="32"/>
      <c r="F6" s="30" t="s">
        <v>20</v>
      </c>
      <c r="G6" s="6" t="s">
        <v>21</v>
      </c>
      <c r="H6" s="4"/>
      <c r="I6" s="4"/>
      <c r="J6" s="33">
        <v>190.0</v>
      </c>
      <c r="K6" s="4"/>
      <c r="L6" s="4"/>
      <c r="M6" s="4"/>
      <c r="N6" s="35">
        <f t="shared" ref="N6:N8" si="1">Today()-1</f>
        <v>43662</v>
      </c>
      <c r="O6" s="4"/>
      <c r="R6" s="36" t="s">
        <v>22</v>
      </c>
      <c r="S6" s="33">
        <v>20.0</v>
      </c>
    </row>
    <row r="7" ht="15.75" customHeight="1">
      <c r="A7" s="4"/>
      <c r="B7" s="30" t="s">
        <v>23</v>
      </c>
      <c r="C7" s="30" t="s">
        <v>19</v>
      </c>
      <c r="D7" s="33">
        <v>100.0</v>
      </c>
      <c r="E7" s="4"/>
      <c r="F7" s="37" t="s">
        <v>20</v>
      </c>
      <c r="G7" s="6" t="s">
        <v>21</v>
      </c>
      <c r="H7" s="4"/>
      <c r="I7" s="4"/>
      <c r="J7" s="33">
        <v>8.0</v>
      </c>
      <c r="K7" s="4"/>
      <c r="L7" s="4"/>
      <c r="M7" s="4"/>
      <c r="N7" s="38">
        <f t="shared" si="1"/>
        <v>43662</v>
      </c>
      <c r="O7" s="33">
        <v>0.7</v>
      </c>
      <c r="R7" s="39" t="s">
        <v>22</v>
      </c>
      <c r="S7" s="33">
        <v>30.0</v>
      </c>
    </row>
    <row r="8" ht="15.75" customHeight="1">
      <c r="A8" s="4"/>
      <c r="B8" s="30" t="s">
        <v>24</v>
      </c>
      <c r="C8" s="30" t="s">
        <v>19</v>
      </c>
      <c r="D8" s="40">
        <v>100.0</v>
      </c>
      <c r="E8" s="4"/>
      <c r="F8" s="37" t="s">
        <v>20</v>
      </c>
      <c r="G8" s="6" t="s">
        <v>21</v>
      </c>
      <c r="H8" s="4"/>
      <c r="I8" s="4"/>
      <c r="J8" s="33">
        <v>60.0</v>
      </c>
      <c r="K8" s="4"/>
      <c r="L8" s="4"/>
      <c r="M8" s="4"/>
      <c r="N8" s="38">
        <f t="shared" si="1"/>
        <v>43662</v>
      </c>
      <c r="O8" s="33">
        <v>1.1</v>
      </c>
      <c r="R8" s="39" t="s">
        <v>22</v>
      </c>
      <c r="S8" s="33">
        <v>40.0</v>
      </c>
    </row>
    <row r="9" ht="15.75" customHeight="1">
      <c r="A9" s="4"/>
      <c r="B9" s="4"/>
      <c r="C9" s="4"/>
      <c r="D9" s="40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12</v>
      </c>
      <c r="D3" s="5" t="s">
        <v>6</v>
      </c>
      <c r="E3" s="21" t="s">
        <v>13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4">
        <f>Today()-1</f>
        <v>43662</v>
      </c>
      <c r="C6" s="35">
        <f>today()</f>
        <v>43663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12</v>
      </c>
      <c r="D3" s="5" t="s">
        <v>6</v>
      </c>
      <c r="E3" s="21" t="s">
        <v>26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1" t="s">
        <v>18</v>
      </c>
      <c r="C6" s="42">
        <v>192.0</v>
      </c>
      <c r="D6" s="43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37" t="s">
        <v>23</v>
      </c>
      <c r="C7" s="44">
        <v>9.0</v>
      </c>
      <c r="D7" s="45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37" t="s">
        <v>24</v>
      </c>
      <c r="C8" s="44">
        <v>61.0</v>
      </c>
      <c r="D8" s="45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12</v>
      </c>
      <c r="D3" s="5" t="s">
        <v>6</v>
      </c>
      <c r="E3" s="21" t="s">
        <v>25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34">
        <f t="shared" ref="B6:C6" si="1">today()-1</f>
        <v>43662</v>
      </c>
      <c r="C6" s="35">
        <f t="shared" si="1"/>
        <v>43662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12</v>
      </c>
      <c r="D3" s="5" t="s">
        <v>6</v>
      </c>
      <c r="E3" s="21" t="s">
        <v>27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6" t="s">
        <v>29</v>
      </c>
      <c r="C6" s="47" t="s">
        <v>30</v>
      </c>
      <c r="D6" s="46" t="s">
        <v>31</v>
      </c>
      <c r="E6" s="42">
        <v>1.005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8" t="s">
        <v>32</v>
      </c>
      <c r="C7" s="48" t="s">
        <v>29</v>
      </c>
      <c r="D7" s="48" t="s">
        <v>33</v>
      </c>
      <c r="E7" s="44">
        <v>1.2</v>
      </c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28</v>
      </c>
      <c r="D3" s="5" t="s">
        <v>6</v>
      </c>
      <c r="E3" s="21" t="s">
        <v>28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6" t="s">
        <v>18</v>
      </c>
      <c r="C6" s="49">
        <v>194.0</v>
      </c>
      <c r="D6" s="6"/>
      <c r="E6" s="32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50" t="s">
        <v>23</v>
      </c>
      <c r="C7" s="51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8" t="s">
        <v>24</v>
      </c>
      <c r="C8" s="51">
        <v>62.0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16</v>
      </c>
      <c r="D3" s="5" t="s">
        <v>6</v>
      </c>
      <c r="E3" s="21" t="s">
        <v>17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29" t="s">
        <v>23</v>
      </c>
      <c r="C6" s="30" t="s">
        <v>36</v>
      </c>
      <c r="D6" s="52">
        <v>50.0</v>
      </c>
      <c r="E6" s="32"/>
      <c r="F6" s="37" t="s">
        <v>20</v>
      </c>
      <c r="G6" s="6" t="s">
        <v>21</v>
      </c>
      <c r="H6" s="4"/>
      <c r="I6" s="4"/>
      <c r="J6" s="33">
        <v>191.0</v>
      </c>
      <c r="K6" s="4"/>
      <c r="L6" s="4"/>
      <c r="M6" s="4"/>
      <c r="N6" s="35">
        <f>TOday()</f>
        <v>43663</v>
      </c>
      <c r="O6" s="33">
        <v>0.71</v>
      </c>
      <c r="R6" s="36" t="s">
        <v>22</v>
      </c>
      <c r="S6" s="33">
        <v>52.0</v>
      </c>
    </row>
    <row r="7" ht="15.75" customHeight="1">
      <c r="A7" s="4"/>
      <c r="B7" s="30" t="s">
        <v>24</v>
      </c>
      <c r="C7" s="30" t="s">
        <v>36</v>
      </c>
      <c r="D7" s="40">
        <v>60.0</v>
      </c>
      <c r="E7" s="4"/>
      <c r="F7" s="37" t="s">
        <v>20</v>
      </c>
      <c r="G7" s="6" t="s">
        <v>21</v>
      </c>
      <c r="H7" s="4"/>
      <c r="I7" s="4"/>
      <c r="J7" s="33">
        <v>58.0</v>
      </c>
      <c r="K7" s="4"/>
      <c r="L7" s="4"/>
      <c r="M7" s="4"/>
      <c r="N7" s="35">
        <f t="shared" ref="N7:N8" si="1">today()</f>
        <v>43663</v>
      </c>
      <c r="O7" s="33">
        <v>1.1</v>
      </c>
      <c r="R7" s="39" t="s">
        <v>22</v>
      </c>
      <c r="S7" s="33">
        <v>25.0</v>
      </c>
    </row>
    <row r="8" ht="15.75" customHeight="1">
      <c r="A8" s="4"/>
      <c r="B8" s="30" t="s">
        <v>18</v>
      </c>
      <c r="C8" s="30" t="s">
        <v>36</v>
      </c>
      <c r="D8" s="53">
        <v>58.0</v>
      </c>
      <c r="E8" s="4"/>
      <c r="F8" s="50" t="s">
        <v>20</v>
      </c>
      <c r="G8" s="6" t="s">
        <v>21</v>
      </c>
      <c r="H8" s="4"/>
      <c r="I8" s="4"/>
      <c r="J8" s="33">
        <v>189.0</v>
      </c>
      <c r="K8" s="4"/>
      <c r="L8" s="4"/>
      <c r="M8" s="4"/>
      <c r="N8" s="35">
        <f t="shared" si="1"/>
        <v>43663</v>
      </c>
      <c r="O8" s="4"/>
      <c r="R8" s="39" t="s">
        <v>22</v>
      </c>
      <c r="S8" s="33">
        <v>41.0</v>
      </c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34</v>
      </c>
      <c r="D3" s="5" t="s">
        <v>6</v>
      </c>
      <c r="E3" s="21" t="s">
        <v>35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46" t="s">
        <v>37</v>
      </c>
      <c r="C6" s="54">
        <f>Today()-1</f>
        <v>43662</v>
      </c>
      <c r="D6" s="54">
        <f>TODAY()</f>
        <v>43663</v>
      </c>
      <c r="E6" s="47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34</v>
      </c>
      <c r="D3" s="5" t="s">
        <v>6</v>
      </c>
      <c r="E3" s="21" t="s">
        <v>38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55" t="b">
        <v>0</v>
      </c>
      <c r="C6" s="56" t="b">
        <v>0</v>
      </c>
      <c r="D6" s="46" t="s">
        <v>41</v>
      </c>
      <c r="E6" s="47" t="s">
        <v>42</v>
      </c>
      <c r="F6" s="47" t="s">
        <v>43</v>
      </c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6"/>
      <c r="B1" s="7" t="s">
        <v>11</v>
      </c>
      <c r="C1" s="2"/>
      <c r="D1" s="2"/>
      <c r="E1" s="2"/>
      <c r="F1" s="2"/>
      <c r="G1" s="2"/>
      <c r="H1" s="3"/>
      <c r="I1" s="16"/>
      <c r="J1" s="16"/>
      <c r="K1" s="16"/>
      <c r="L1" s="16"/>
      <c r="M1" s="16"/>
      <c r="N1" s="16"/>
      <c r="O1" s="16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9" t="str">
        <f> VLOOKUP($E$3,'_MasterData'!B4:D1000,3,FALSE)</f>
        <v>#N/A</v>
      </c>
      <c r="K2" s="19"/>
      <c r="L2" s="4"/>
      <c r="M2" s="4"/>
      <c r="N2" s="4"/>
      <c r="O2" s="4"/>
    </row>
    <row r="3" ht="15.75" customHeight="1">
      <c r="A3" s="20"/>
      <c r="B3" s="5" t="s">
        <v>5</v>
      </c>
      <c r="C3" s="21" t="s">
        <v>39</v>
      </c>
      <c r="D3" s="5" t="s">
        <v>6</v>
      </c>
      <c r="E3" s="21" t="s">
        <v>40</v>
      </c>
      <c r="F3" s="5" t="s">
        <v>14</v>
      </c>
      <c r="G3" s="12" t="s">
        <v>15</v>
      </c>
      <c r="H3" s="5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 t="s">
        <v>44</v>
      </c>
      <c r="C6" s="6" t="s">
        <v>20</v>
      </c>
      <c r="D6" s="34">
        <f t="shared" ref="D6:E6" si="1">today()-1</f>
        <v>43662</v>
      </c>
      <c r="E6" s="34">
        <f t="shared" si="1"/>
        <v>43662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2" width="23.57"/>
    <col customWidth="1" min="13" max="48" width="14.43"/>
    <col customWidth="1" min="49" max="49" width="20.0"/>
    <col customWidth="1" min="50" max="138" width="14.43"/>
    <col customWidth="1" min="139" max="139" width="26.43"/>
    <col customWidth="1" min="140" max="166" width="14.43"/>
  </cols>
  <sheetData>
    <row r="1" ht="15.75" customHeight="1">
      <c r="A1" s="57"/>
      <c r="B1" s="58" t="s">
        <v>11</v>
      </c>
      <c r="C1" s="2"/>
      <c r="D1" s="2"/>
      <c r="E1" s="2"/>
      <c r="F1" s="2"/>
      <c r="G1" s="2"/>
      <c r="H1" s="3"/>
      <c r="I1" s="57"/>
      <c r="J1" s="57"/>
      <c r="K1" s="57"/>
      <c r="L1" s="57"/>
      <c r="M1" s="57"/>
      <c r="N1" s="57"/>
      <c r="O1" s="57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  <c r="FJ1" s="59"/>
    </row>
    <row r="2" ht="15.75" customHeight="1">
      <c r="A2" s="60"/>
      <c r="B2" s="60"/>
      <c r="C2" s="60"/>
      <c r="D2" s="60"/>
      <c r="E2" s="60"/>
      <c r="F2" s="60"/>
      <c r="G2" s="60"/>
      <c r="H2" s="60"/>
      <c r="I2" s="60"/>
      <c r="J2" s="61" t="str">
        <f> VLOOKUP($E$3,'_MasterData'!B4:D1000,3,FALSE)</f>
        <v>#N/A</v>
      </c>
      <c r="K2" s="61"/>
      <c r="L2" s="60"/>
      <c r="M2" s="60"/>
      <c r="N2" s="60"/>
      <c r="O2" s="60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</row>
    <row r="3" ht="15.75" customHeight="1">
      <c r="A3" s="63"/>
      <c r="B3" s="64" t="s">
        <v>5</v>
      </c>
      <c r="C3" s="65" t="s">
        <v>45</v>
      </c>
      <c r="D3" s="64" t="s">
        <v>6</v>
      </c>
      <c r="E3" s="65" t="s">
        <v>46</v>
      </c>
      <c r="F3" s="64" t="s">
        <v>14</v>
      </c>
      <c r="G3" s="66" t="s">
        <v>15</v>
      </c>
      <c r="H3" s="64"/>
      <c r="I3" s="63"/>
      <c r="J3" s="63"/>
      <c r="K3" s="63"/>
      <c r="L3" s="63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</row>
    <row r="4" ht="15.75" customHeight="1">
      <c r="A4" s="68"/>
      <c r="B4" s="68" t="str">
        <f>IFERROR(__xludf.DUMMYFUNCTION("IF(C3="""","""",Transpose(IMPORTRANGE('_Settings'!$B$3,C3&amp;""!A4:A1000"")))"),"CheckDashboardPM")</f>
        <v>CheckDashboardPM</v>
      </c>
      <c r="C4" s="68" t="str">
        <f>IFERROR(__xludf.DUMMYFUNCTION("""COMPUTED_VALUE"""),"CheckPortfolioManagement")</f>
        <v>CheckPortfolioManagement</v>
      </c>
      <c r="D4" s="68" t="str">
        <f>IFERROR(__xludf.DUMMYFUNCTION("""COMPUTED_VALUE"""),"OpenPSTFromPM")</f>
        <v>OpenPSTFromPM</v>
      </c>
      <c r="E4" s="68" t="str">
        <f>IFERROR(__xludf.DUMMYFUNCTION("""COMPUTED_VALUE"""),"ClosePM")</f>
        <v>ClosePM</v>
      </c>
      <c r="F4" s="68" t="str">
        <f>IFERROR(__xludf.DUMMYFUNCTION("""COMPUTED_VALUE"""),"FilterPM")</f>
        <v>FilterPM</v>
      </c>
      <c r="G4" s="68" t="str">
        <f>IFERROR(__xludf.DUMMYFUNCTION("""COMPUTED_VALUE"""),"GroupRowPM")</f>
        <v>GroupRowPM</v>
      </c>
      <c r="H4" s="68" t="str">
        <f>IFERROR(__xludf.DUMMYFUNCTION("""COMPUTED_VALUE"""),"CheckDashboardWithPM")</f>
        <v>CheckDashboardWithPM</v>
      </c>
      <c r="I4" s="68" t="str">
        <f>IFERROR(__xludf.DUMMYFUNCTION("""COMPUTED_VALUE"""),"RemoveFilterPM")</f>
        <v>RemoveFilterPM</v>
      </c>
      <c r="J4" s="68" t="str">
        <f>IFERROR(__xludf.DUMMYFUNCTION("""COMPUTED_VALUE"""),"CheckSummaryRowsPM")</f>
        <v>CheckSummaryRowsPM</v>
      </c>
      <c r="K4" s="68" t="str">
        <f>IFERROR(__xludf.DUMMYFUNCTION("""COMPUTED_VALUE"""),"OpenPTTFromPM")</f>
        <v>OpenPTTFromPM</v>
      </c>
      <c r="L4" s="68" t="str">
        <f>IFERROR(__xludf.DUMMYFUNCTION("""COMPUTED_VALUE"""),"OpenCreateTransactionFromPM")</f>
        <v>OpenCreateTransactionFromPM</v>
      </c>
      <c r="M4" s="68" t="str">
        <f>IFERROR(__xludf.DUMMYFUNCTION("""COMPUTED_VALUE"""),"OpenClosingFromPM")</f>
        <v>OpenClosingFromPM</v>
      </c>
      <c r="N4" s="68" t="str">
        <f>IFERROR(__xludf.DUMMYFUNCTION("""COMPUTED_VALUE"""),"OpenCorporateActionFromPM")</f>
        <v>OpenCorporateActionFromPM</v>
      </c>
      <c r="O4" s="68" t="str">
        <f>IFERROR(__xludf.DUMMYFUNCTION("""COMPUTED_VALUE"""),"OpenDailyValuationFromPM")</f>
        <v>OpenDailyValuationFromPM</v>
      </c>
      <c r="P4" s="69" t="str">
        <f>IFERROR(__xludf.DUMMYFUNCTION("""COMPUTED_VALUE"""),"ClosePositionFromPM")</f>
        <v>ClosePositionFromPM</v>
      </c>
      <c r="Q4" s="69" t="str">
        <f>IFERROR(__xludf.DUMMYFUNCTION("""COMPUTED_VALUE"""),"ShowSummaryToolFromPM")</f>
        <v>ShowSummaryToolFromPM</v>
      </c>
      <c r="R4" s="69" t="str">
        <f>IFERROR(__xludf.DUMMYFUNCTION("""COMPUTED_VALUE"""),"HideSummaryToolFromPM")</f>
        <v>HideSummaryToolFromPM</v>
      </c>
      <c r="S4" s="69" t="str">
        <f>IFERROR(__xludf.DUMMYFUNCTION("""COMPUTED_VALUE"""),"CloseAccountPositionFromPM")</f>
        <v>CloseAccountPositionFromPM</v>
      </c>
      <c r="T4" s="69" t="str">
        <f>IFERROR(__xludf.DUMMYFUNCTION("""COMPUTED_VALUE"""),"CloseSelectedTaxlotsFromPM")</f>
        <v>CloseSelectedTaxlotsFromPM</v>
      </c>
      <c r="U4" s="69" t="str">
        <f>IFERROR(__xludf.DUMMYFUNCTION("""COMPUTED_VALUE"""),"ExpandCollapsePM")</f>
        <v>ExpandCollapsePM</v>
      </c>
      <c r="V4" s="69" t="str">
        <f>IFERROR(__xludf.DUMMYFUNCTION("""COMPUTED_VALUE"""),"AddCustomViewPM")</f>
        <v>AddCustomViewPM</v>
      </c>
      <c r="W4" s="69" t="str">
        <f>IFERROR(__xludf.DUMMYFUNCTION("""COMPUTED_VALUE"""),"AddCustomViewRightClickPM")</f>
        <v>AddCustomViewRightClickPM</v>
      </c>
      <c r="X4" s="69" t="str">
        <f>IFERROR(__xludf.DUMMYFUNCTION("""COMPUTED_VALUE"""),"RenameCustomViewPM")</f>
        <v>RenameCustomViewPM</v>
      </c>
      <c r="Y4" s="69" t="str">
        <f>IFERROR(__xludf.DUMMYFUNCTION("""COMPUTED_VALUE"""),"DeleteCustomViewPM")</f>
        <v>DeleteCustomViewPM</v>
      </c>
      <c r="Z4" s="69" t="str">
        <f>IFERROR(__xludf.DUMMYFUNCTION("""COMPUTED_VALUE"""),"")</f>
        <v/>
      </c>
      <c r="AA4" s="69" t="str">
        <f>IFERROR(__xludf.DUMMYFUNCTION("""COMPUTED_VALUE"""),"")</f>
        <v/>
      </c>
      <c r="AB4" s="69" t="str">
        <f>IFERROR(__xludf.DUMMYFUNCTION("""COMPUTED_VALUE"""),"")</f>
        <v/>
      </c>
      <c r="AC4" s="69" t="str">
        <f>IFERROR(__xludf.DUMMYFUNCTION("""COMPUTED_VALUE"""),"")</f>
        <v/>
      </c>
      <c r="AD4" s="69" t="str">
        <f>IFERROR(__xludf.DUMMYFUNCTION("""COMPUTED_VALUE"""),"")</f>
        <v/>
      </c>
      <c r="AE4" s="69" t="str">
        <f>IFERROR(__xludf.DUMMYFUNCTION("""COMPUTED_VALUE"""),"")</f>
        <v/>
      </c>
      <c r="AF4" s="69" t="str">
        <f>IFERROR(__xludf.DUMMYFUNCTION("""COMPUTED_VALUE"""),"")</f>
        <v/>
      </c>
      <c r="AG4" s="69" t="str">
        <f>IFERROR(__xludf.DUMMYFUNCTION("""COMPUTED_VALUE"""),"")</f>
        <v/>
      </c>
      <c r="AH4" s="69" t="str">
        <f>IFERROR(__xludf.DUMMYFUNCTION("""COMPUTED_VALUE"""),"")</f>
        <v/>
      </c>
      <c r="AI4" s="69" t="str">
        <f>IFERROR(__xludf.DUMMYFUNCTION("""COMPUTED_VALUE"""),"")</f>
        <v/>
      </c>
      <c r="AJ4" s="69" t="str">
        <f>IFERROR(__xludf.DUMMYFUNCTION("""COMPUTED_VALUE"""),"")</f>
        <v/>
      </c>
      <c r="AK4" s="69" t="str">
        <f>IFERROR(__xludf.DUMMYFUNCTION("""COMPUTED_VALUE"""),"")</f>
        <v/>
      </c>
      <c r="AL4" s="69" t="str">
        <f>IFERROR(__xludf.DUMMYFUNCTION("""COMPUTED_VALUE"""),"")</f>
        <v/>
      </c>
      <c r="AM4" s="69" t="str">
        <f>IFERROR(__xludf.DUMMYFUNCTION("""COMPUTED_VALUE"""),"")</f>
        <v/>
      </c>
      <c r="AN4" s="69" t="str">
        <f>IFERROR(__xludf.DUMMYFUNCTION("""COMPUTED_VALUE"""),"")</f>
        <v/>
      </c>
      <c r="AO4" s="69" t="str">
        <f>IFERROR(__xludf.DUMMYFUNCTION("""COMPUTED_VALUE"""),"")</f>
        <v/>
      </c>
      <c r="AP4" s="69" t="str">
        <f>IFERROR(__xludf.DUMMYFUNCTION("""COMPUTED_VALUE"""),"")</f>
        <v/>
      </c>
      <c r="AQ4" s="69" t="str">
        <f>IFERROR(__xludf.DUMMYFUNCTION("""COMPUTED_VALUE"""),"")</f>
        <v/>
      </c>
      <c r="AR4" s="69" t="str">
        <f>IFERROR(__xludf.DUMMYFUNCTION("""COMPUTED_VALUE"""),"")</f>
        <v/>
      </c>
      <c r="AS4" s="69" t="str">
        <f>IFERROR(__xludf.DUMMYFUNCTION("""COMPUTED_VALUE"""),"")</f>
        <v/>
      </c>
      <c r="AT4" s="69" t="str">
        <f>IFERROR(__xludf.DUMMYFUNCTION("""COMPUTED_VALUE"""),"")</f>
        <v/>
      </c>
      <c r="AU4" s="69" t="str">
        <f>IFERROR(__xludf.DUMMYFUNCTION("""COMPUTED_VALUE"""),"")</f>
        <v/>
      </c>
      <c r="AV4" s="69" t="str">
        <f>IFERROR(__xludf.DUMMYFUNCTION("""COMPUTED_VALUE"""),"")</f>
        <v/>
      </c>
      <c r="AW4" s="69" t="str">
        <f>IFERROR(__xludf.DUMMYFUNCTION("""COMPUTED_VALUE"""),"")</f>
        <v/>
      </c>
      <c r="AX4" s="69" t="str">
        <f>IFERROR(__xludf.DUMMYFUNCTION("""COMPUTED_VALUE"""),"")</f>
        <v/>
      </c>
      <c r="AY4" s="69" t="str">
        <f>IFERROR(__xludf.DUMMYFUNCTION("""COMPUTED_VALUE"""),"")</f>
        <v/>
      </c>
      <c r="AZ4" s="69" t="str">
        <f>IFERROR(__xludf.DUMMYFUNCTION("""COMPUTED_VALUE"""),"")</f>
        <v/>
      </c>
      <c r="BA4" s="69" t="str">
        <f>IFERROR(__xludf.DUMMYFUNCTION("""COMPUTED_VALUE"""),"")</f>
        <v/>
      </c>
      <c r="BB4" s="69" t="str">
        <f>IFERROR(__xludf.DUMMYFUNCTION("""COMPUTED_VALUE"""),"")</f>
        <v/>
      </c>
      <c r="BC4" s="69" t="str">
        <f>IFERROR(__xludf.DUMMYFUNCTION("""COMPUTED_VALUE"""),"")</f>
        <v/>
      </c>
      <c r="BD4" s="69" t="str">
        <f>IFERROR(__xludf.DUMMYFUNCTION("""COMPUTED_VALUE"""),"")</f>
        <v/>
      </c>
      <c r="BE4" s="69" t="str">
        <f>IFERROR(__xludf.DUMMYFUNCTION("""COMPUTED_VALUE"""),"")</f>
        <v/>
      </c>
      <c r="BF4" s="69" t="str">
        <f>IFERROR(__xludf.DUMMYFUNCTION("""COMPUTED_VALUE"""),"")</f>
        <v/>
      </c>
      <c r="BG4" s="69" t="str">
        <f>IFERROR(__xludf.DUMMYFUNCTION("""COMPUTED_VALUE"""),"")</f>
        <v/>
      </c>
      <c r="BH4" s="69" t="str">
        <f>IFERROR(__xludf.DUMMYFUNCTION("""COMPUTED_VALUE"""),"")</f>
        <v/>
      </c>
      <c r="BI4" s="69" t="str">
        <f>IFERROR(__xludf.DUMMYFUNCTION("""COMPUTED_VALUE"""),"")</f>
        <v/>
      </c>
      <c r="BJ4" s="69" t="str">
        <f>IFERROR(__xludf.DUMMYFUNCTION("""COMPUTED_VALUE"""),"")</f>
        <v/>
      </c>
      <c r="BK4" s="69" t="str">
        <f>IFERROR(__xludf.DUMMYFUNCTION("""COMPUTED_VALUE"""),"")</f>
        <v/>
      </c>
      <c r="BL4" s="69" t="str">
        <f>IFERROR(__xludf.DUMMYFUNCTION("""COMPUTED_VALUE"""),"")</f>
        <v/>
      </c>
      <c r="BM4" s="69" t="str">
        <f>IFERROR(__xludf.DUMMYFUNCTION("""COMPUTED_VALUE"""),"")</f>
        <v/>
      </c>
      <c r="BN4" s="69" t="str">
        <f>IFERROR(__xludf.DUMMYFUNCTION("""COMPUTED_VALUE"""),"")</f>
        <v/>
      </c>
      <c r="BO4" s="69" t="str">
        <f>IFERROR(__xludf.DUMMYFUNCTION("""COMPUTED_VALUE"""),"")</f>
        <v/>
      </c>
      <c r="BP4" s="69" t="str">
        <f>IFERROR(__xludf.DUMMYFUNCTION("""COMPUTED_VALUE"""),"")</f>
        <v/>
      </c>
      <c r="BQ4" s="69" t="str">
        <f>IFERROR(__xludf.DUMMYFUNCTION("""COMPUTED_VALUE"""),"")</f>
        <v/>
      </c>
      <c r="BR4" s="69" t="str">
        <f>IFERROR(__xludf.DUMMYFUNCTION("""COMPUTED_VALUE"""),"")</f>
        <v/>
      </c>
      <c r="BS4" s="69" t="str">
        <f>IFERROR(__xludf.DUMMYFUNCTION("""COMPUTED_VALUE"""),"")</f>
        <v/>
      </c>
      <c r="BT4" s="69" t="str">
        <f>IFERROR(__xludf.DUMMYFUNCTION("""COMPUTED_VALUE"""),"")</f>
        <v/>
      </c>
      <c r="BU4" s="69" t="str">
        <f>IFERROR(__xludf.DUMMYFUNCTION("""COMPUTED_VALUE"""),"")</f>
        <v/>
      </c>
      <c r="BV4" s="69" t="str">
        <f>IFERROR(__xludf.DUMMYFUNCTION("""COMPUTED_VALUE"""),"")</f>
        <v/>
      </c>
      <c r="BW4" s="69" t="str">
        <f>IFERROR(__xludf.DUMMYFUNCTION("""COMPUTED_VALUE"""),"")</f>
        <v/>
      </c>
      <c r="BX4" s="69" t="str">
        <f>IFERROR(__xludf.DUMMYFUNCTION("""COMPUTED_VALUE"""),"")</f>
        <v/>
      </c>
      <c r="BY4" s="69" t="str">
        <f>IFERROR(__xludf.DUMMYFUNCTION("""COMPUTED_VALUE"""),"")</f>
        <v/>
      </c>
      <c r="BZ4" s="69" t="str">
        <f>IFERROR(__xludf.DUMMYFUNCTION("""COMPUTED_VALUE"""),"")</f>
        <v/>
      </c>
      <c r="CA4" s="69" t="str">
        <f>IFERROR(__xludf.DUMMYFUNCTION("""COMPUTED_VALUE"""),"")</f>
        <v/>
      </c>
      <c r="CB4" s="69" t="str">
        <f>IFERROR(__xludf.DUMMYFUNCTION("""COMPUTED_VALUE"""),"")</f>
        <v/>
      </c>
      <c r="CC4" s="69" t="str">
        <f>IFERROR(__xludf.DUMMYFUNCTION("""COMPUTED_VALUE"""),"")</f>
        <v/>
      </c>
      <c r="CD4" s="69" t="str">
        <f>IFERROR(__xludf.DUMMYFUNCTION("""COMPUTED_VALUE"""),"")</f>
        <v/>
      </c>
      <c r="CE4" s="69" t="str">
        <f>IFERROR(__xludf.DUMMYFUNCTION("""COMPUTED_VALUE"""),"")</f>
        <v/>
      </c>
      <c r="CF4" s="69" t="str">
        <f>IFERROR(__xludf.DUMMYFUNCTION("""COMPUTED_VALUE"""),"")</f>
        <v/>
      </c>
      <c r="CG4" s="69" t="str">
        <f>IFERROR(__xludf.DUMMYFUNCTION("""COMPUTED_VALUE"""),"")</f>
        <v/>
      </c>
      <c r="CH4" s="69" t="str">
        <f>IFERROR(__xludf.DUMMYFUNCTION("""COMPUTED_VALUE"""),"")</f>
        <v/>
      </c>
      <c r="CI4" s="69" t="str">
        <f>IFERROR(__xludf.DUMMYFUNCTION("""COMPUTED_VALUE"""),"")</f>
        <v/>
      </c>
      <c r="CJ4" s="69" t="str">
        <f>IFERROR(__xludf.DUMMYFUNCTION("""COMPUTED_VALUE"""),"")</f>
        <v/>
      </c>
      <c r="CK4" s="69" t="str">
        <f>IFERROR(__xludf.DUMMYFUNCTION("""COMPUTED_VALUE"""),"")</f>
        <v/>
      </c>
      <c r="CL4" s="69" t="str">
        <f>IFERROR(__xludf.DUMMYFUNCTION("""COMPUTED_VALUE"""),"")</f>
        <v/>
      </c>
      <c r="CM4" s="69" t="str">
        <f>IFERROR(__xludf.DUMMYFUNCTION("""COMPUTED_VALUE"""),"")</f>
        <v/>
      </c>
      <c r="CN4" s="69" t="str">
        <f>IFERROR(__xludf.DUMMYFUNCTION("""COMPUTED_VALUE"""),"")</f>
        <v/>
      </c>
      <c r="CO4" s="69" t="str">
        <f>IFERROR(__xludf.DUMMYFUNCTION("""COMPUTED_VALUE"""),"")</f>
        <v/>
      </c>
      <c r="CP4" s="69" t="str">
        <f>IFERROR(__xludf.DUMMYFUNCTION("""COMPUTED_VALUE"""),"")</f>
        <v/>
      </c>
      <c r="CQ4" s="69" t="str">
        <f>IFERROR(__xludf.DUMMYFUNCTION("""COMPUTED_VALUE"""),"")</f>
        <v/>
      </c>
      <c r="CR4" s="69" t="str">
        <f>IFERROR(__xludf.DUMMYFUNCTION("""COMPUTED_VALUE"""),"")</f>
        <v/>
      </c>
      <c r="CS4" s="69" t="str">
        <f>IFERROR(__xludf.DUMMYFUNCTION("""COMPUTED_VALUE"""),"")</f>
        <v/>
      </c>
      <c r="CT4" s="69" t="str">
        <f>IFERROR(__xludf.DUMMYFUNCTION("""COMPUTED_VALUE"""),"")</f>
        <v/>
      </c>
      <c r="CU4" s="69" t="str">
        <f>IFERROR(__xludf.DUMMYFUNCTION("""COMPUTED_VALUE"""),"")</f>
        <v/>
      </c>
      <c r="CV4" s="69" t="str">
        <f>IFERROR(__xludf.DUMMYFUNCTION("""COMPUTED_VALUE"""),"")</f>
        <v/>
      </c>
      <c r="CW4" s="69" t="str">
        <f>IFERROR(__xludf.DUMMYFUNCTION("""COMPUTED_VALUE"""),"")</f>
        <v/>
      </c>
      <c r="CX4" s="69" t="str">
        <f>IFERROR(__xludf.DUMMYFUNCTION("""COMPUTED_VALUE"""),"")</f>
        <v/>
      </c>
      <c r="CY4" s="69" t="str">
        <f>IFERROR(__xludf.DUMMYFUNCTION("""COMPUTED_VALUE"""),"")</f>
        <v/>
      </c>
      <c r="CZ4" s="69" t="str">
        <f>IFERROR(__xludf.DUMMYFUNCTION("""COMPUTED_VALUE"""),"")</f>
        <v/>
      </c>
      <c r="DA4" s="69" t="str">
        <f>IFERROR(__xludf.DUMMYFUNCTION("""COMPUTED_VALUE"""),"")</f>
        <v/>
      </c>
      <c r="DB4" s="69" t="str">
        <f>IFERROR(__xludf.DUMMYFUNCTION("""COMPUTED_VALUE"""),"")</f>
        <v/>
      </c>
      <c r="DC4" s="69" t="str">
        <f>IFERROR(__xludf.DUMMYFUNCTION("""COMPUTED_VALUE"""),"")</f>
        <v/>
      </c>
      <c r="DD4" s="69" t="str">
        <f>IFERROR(__xludf.DUMMYFUNCTION("""COMPUTED_VALUE"""),"")</f>
        <v/>
      </c>
      <c r="DE4" s="69" t="str">
        <f>IFERROR(__xludf.DUMMYFUNCTION("""COMPUTED_VALUE"""),"")</f>
        <v/>
      </c>
      <c r="DF4" s="69" t="str">
        <f>IFERROR(__xludf.DUMMYFUNCTION("""COMPUTED_VALUE"""),"")</f>
        <v/>
      </c>
      <c r="DG4" s="69" t="str">
        <f>IFERROR(__xludf.DUMMYFUNCTION("""COMPUTED_VALUE"""),"")</f>
        <v/>
      </c>
      <c r="DH4" s="69" t="str">
        <f>IFERROR(__xludf.DUMMYFUNCTION("""COMPUTED_VALUE"""),"")</f>
        <v/>
      </c>
      <c r="DI4" s="69" t="str">
        <f>IFERROR(__xludf.DUMMYFUNCTION("""COMPUTED_VALUE"""),"")</f>
        <v/>
      </c>
      <c r="DJ4" s="69" t="str">
        <f>IFERROR(__xludf.DUMMYFUNCTION("""COMPUTED_VALUE"""),"")</f>
        <v/>
      </c>
      <c r="DK4" s="69" t="str">
        <f>IFERROR(__xludf.DUMMYFUNCTION("""COMPUTED_VALUE"""),"")</f>
        <v/>
      </c>
      <c r="DL4" s="69" t="str">
        <f>IFERROR(__xludf.DUMMYFUNCTION("""COMPUTED_VALUE"""),"")</f>
        <v/>
      </c>
      <c r="DM4" s="69" t="str">
        <f>IFERROR(__xludf.DUMMYFUNCTION("""COMPUTED_VALUE"""),"")</f>
        <v/>
      </c>
      <c r="DN4" s="69" t="str">
        <f>IFERROR(__xludf.DUMMYFUNCTION("""COMPUTED_VALUE"""),"")</f>
        <v/>
      </c>
      <c r="DO4" s="69" t="str">
        <f>IFERROR(__xludf.DUMMYFUNCTION("""COMPUTED_VALUE"""),"")</f>
        <v/>
      </c>
      <c r="DP4" s="69" t="str">
        <f>IFERROR(__xludf.DUMMYFUNCTION("""COMPUTED_VALUE"""),"")</f>
        <v/>
      </c>
      <c r="DQ4" s="69" t="str">
        <f>IFERROR(__xludf.DUMMYFUNCTION("""COMPUTED_VALUE"""),"")</f>
        <v/>
      </c>
      <c r="DR4" s="69" t="str">
        <f>IFERROR(__xludf.DUMMYFUNCTION("""COMPUTED_VALUE"""),"")</f>
        <v/>
      </c>
      <c r="DS4" s="69" t="str">
        <f>IFERROR(__xludf.DUMMYFUNCTION("""COMPUTED_VALUE"""),"")</f>
        <v/>
      </c>
      <c r="DT4" s="69" t="str">
        <f>IFERROR(__xludf.DUMMYFUNCTION("""COMPUTED_VALUE"""),"")</f>
        <v/>
      </c>
      <c r="DU4" s="69" t="str">
        <f>IFERROR(__xludf.DUMMYFUNCTION("""COMPUTED_VALUE"""),"")</f>
        <v/>
      </c>
      <c r="DV4" s="69" t="str">
        <f>IFERROR(__xludf.DUMMYFUNCTION("""COMPUTED_VALUE"""),"")</f>
        <v/>
      </c>
      <c r="DW4" s="69" t="str">
        <f>IFERROR(__xludf.DUMMYFUNCTION("""COMPUTED_VALUE"""),"")</f>
        <v/>
      </c>
      <c r="DX4" s="69" t="str">
        <f>IFERROR(__xludf.DUMMYFUNCTION("""COMPUTED_VALUE"""),"")</f>
        <v/>
      </c>
      <c r="DY4" s="69" t="str">
        <f>IFERROR(__xludf.DUMMYFUNCTION("""COMPUTED_VALUE"""),"")</f>
        <v/>
      </c>
      <c r="DZ4" s="69" t="str">
        <f>IFERROR(__xludf.DUMMYFUNCTION("""COMPUTED_VALUE"""),"")</f>
        <v/>
      </c>
      <c r="EA4" s="69" t="str">
        <f>IFERROR(__xludf.DUMMYFUNCTION("""COMPUTED_VALUE"""),"")</f>
        <v/>
      </c>
      <c r="EB4" s="69" t="str">
        <f>IFERROR(__xludf.DUMMYFUNCTION("""COMPUTED_VALUE"""),"")</f>
        <v/>
      </c>
      <c r="EC4" s="69" t="str">
        <f>IFERROR(__xludf.DUMMYFUNCTION("""COMPUTED_VALUE"""),"")</f>
        <v/>
      </c>
      <c r="ED4" s="69" t="str">
        <f>IFERROR(__xludf.DUMMYFUNCTION("""COMPUTED_VALUE"""),"")</f>
        <v/>
      </c>
      <c r="EE4" s="69" t="str">
        <f>IFERROR(__xludf.DUMMYFUNCTION("""COMPUTED_VALUE"""),"")</f>
        <v/>
      </c>
      <c r="EF4" s="69" t="str">
        <f>IFERROR(__xludf.DUMMYFUNCTION("""COMPUTED_VALUE"""),"")</f>
        <v/>
      </c>
      <c r="EG4" s="69" t="str">
        <f>IFERROR(__xludf.DUMMYFUNCTION("""COMPUTED_VALUE"""),"")</f>
        <v/>
      </c>
      <c r="EH4" s="69" t="str">
        <f>IFERROR(__xludf.DUMMYFUNCTION("""COMPUTED_VALUE"""),"")</f>
        <v/>
      </c>
      <c r="EI4" s="69" t="str">
        <f>IFERROR(__xludf.DUMMYFUNCTION("""COMPUTED_VALUE"""),"")</f>
        <v/>
      </c>
      <c r="EJ4" s="69" t="str">
        <f>IFERROR(__xludf.DUMMYFUNCTION("""COMPUTED_VALUE"""),"")</f>
        <v/>
      </c>
      <c r="EK4" s="69" t="str">
        <f>IFERROR(__xludf.DUMMYFUNCTION("""COMPUTED_VALUE"""),"")</f>
        <v/>
      </c>
      <c r="EL4" s="69" t="str">
        <f>IFERROR(__xludf.DUMMYFUNCTION("""COMPUTED_VALUE"""),"")</f>
        <v/>
      </c>
      <c r="EM4" s="69" t="str">
        <f>IFERROR(__xludf.DUMMYFUNCTION("""COMPUTED_VALUE"""),"")</f>
        <v/>
      </c>
      <c r="EN4" s="69" t="str">
        <f>IFERROR(__xludf.DUMMYFUNCTION("""COMPUTED_VALUE"""),"")</f>
        <v/>
      </c>
      <c r="EO4" s="69" t="str">
        <f>IFERROR(__xludf.DUMMYFUNCTION("""COMPUTED_VALUE"""),"")</f>
        <v/>
      </c>
      <c r="EP4" s="69" t="str">
        <f>IFERROR(__xludf.DUMMYFUNCTION("""COMPUTED_VALUE"""),"")</f>
        <v/>
      </c>
      <c r="EQ4" s="69" t="str">
        <f>IFERROR(__xludf.DUMMYFUNCTION("""COMPUTED_VALUE"""),"")</f>
        <v/>
      </c>
      <c r="ER4" s="69" t="str">
        <f>IFERROR(__xludf.DUMMYFUNCTION("""COMPUTED_VALUE"""),"")</f>
        <v/>
      </c>
      <c r="ES4" s="69" t="str">
        <f>IFERROR(__xludf.DUMMYFUNCTION("""COMPUTED_VALUE"""),"")</f>
        <v/>
      </c>
      <c r="ET4" s="69" t="str">
        <f>IFERROR(__xludf.DUMMYFUNCTION("""COMPUTED_VALUE"""),"")</f>
        <v/>
      </c>
      <c r="EU4" s="69" t="str">
        <f>IFERROR(__xludf.DUMMYFUNCTION("""COMPUTED_VALUE"""),"")</f>
        <v/>
      </c>
      <c r="EV4" s="69" t="str">
        <f>IFERROR(__xludf.DUMMYFUNCTION("""COMPUTED_VALUE"""),"")</f>
        <v/>
      </c>
      <c r="EW4" s="69" t="str">
        <f>IFERROR(__xludf.DUMMYFUNCTION("""COMPUTED_VALUE"""),"")</f>
        <v/>
      </c>
      <c r="EX4" s="69" t="str">
        <f>IFERROR(__xludf.DUMMYFUNCTION("""COMPUTED_VALUE"""),"")</f>
        <v/>
      </c>
      <c r="EY4" s="69" t="str">
        <f>IFERROR(__xludf.DUMMYFUNCTION("""COMPUTED_VALUE"""),"")</f>
        <v/>
      </c>
      <c r="EZ4" s="69" t="str">
        <f>IFERROR(__xludf.DUMMYFUNCTION("""COMPUTED_VALUE"""),"")</f>
        <v/>
      </c>
      <c r="FA4" s="69" t="str">
        <f>IFERROR(__xludf.DUMMYFUNCTION("""COMPUTED_VALUE"""),"")</f>
        <v/>
      </c>
      <c r="FB4" s="69" t="str">
        <f>IFERROR(__xludf.DUMMYFUNCTION("""COMPUTED_VALUE"""),"")</f>
        <v/>
      </c>
      <c r="FC4" s="69" t="str">
        <f>IFERROR(__xludf.DUMMYFUNCTION("""COMPUTED_VALUE"""),"")</f>
        <v/>
      </c>
      <c r="FD4" s="69" t="str">
        <f>IFERROR(__xludf.DUMMYFUNCTION("""COMPUTED_VALUE"""),"")</f>
        <v/>
      </c>
      <c r="FE4" s="69" t="str">
        <f>IFERROR(__xludf.DUMMYFUNCTION("""COMPUTED_VALUE"""),"")</f>
        <v/>
      </c>
      <c r="FF4" s="69" t="str">
        <f>IFERROR(__xludf.DUMMYFUNCTION("""COMPUTED_VALUE"""),"")</f>
        <v/>
      </c>
      <c r="FG4" s="69" t="str">
        <f>IFERROR(__xludf.DUMMYFUNCTION("""COMPUTED_VALUE"""),"")</f>
        <v/>
      </c>
      <c r="FH4" s="69" t="str">
        <f>IFERROR(__xludf.DUMMYFUNCTION("""COMPUTED_VALUE"""),"")</f>
        <v/>
      </c>
      <c r="FI4" s="69" t="str">
        <f>IFERROR(__xludf.DUMMYFUNCTION("""COMPUTED_VALUE"""),"")</f>
        <v/>
      </c>
      <c r="FJ4" s="69" t="str">
        <f>IFERROR(__xludf.DUMMYFUNCTION("""COMPUTED_VALUE"""),"")</f>
        <v/>
      </c>
    </row>
    <row r="5" ht="15.75" customHeight="1">
      <c r="A5" s="70" t="str">
        <f>IFERROR(__xludf.DUMMYFUNCTION("TRANSPOSE(IMPORTRANGE(VLOOKUP($E$3,IMPORTRANGE('_Settings'!$B$3,$C$3&amp;""!A4:B1000""),2,FALSE),$G$3&amp;""!A4:A1000""))"),"")</f>
        <v/>
      </c>
      <c r="B5" s="71" t="str">
        <f>IFERROR(__xludf.DUMMYFUNCTION("""COMPUTED_VALUE"""),"Trade Date")</f>
        <v>Trade Date</v>
      </c>
      <c r="C5" s="71" t="str">
        <f>IFERROR(__xludf.DUMMYFUNCTION("""COMPUTED_VALUE"""),"Symbol")</f>
        <v>Symbol</v>
      </c>
      <c r="D5" s="71" t="str">
        <f>IFERROR(__xludf.DUMMYFUNCTION("""COMPUTED_VALUE"""),"Position")</f>
        <v>Position</v>
      </c>
      <c r="E5" s="71" t="str">
        <f>IFERROR(__xludf.DUMMYFUNCTION("""COMPUTED_VALUE"""),"Account")</f>
        <v>Account</v>
      </c>
      <c r="F5" s="72" t="str">
        <f>IFERROR(__xludf.DUMMYFUNCTION("""COMPUTED_VALUE"""),"MasterFund")</f>
        <v>MasterFund</v>
      </c>
      <c r="G5" s="71" t="str">
        <f>IFERROR(__xludf.DUMMYFUNCTION("""COMPUTED_VALUE"""),"Cost Basis")</f>
        <v>Cost Basis</v>
      </c>
      <c r="H5" s="71" t="str">
        <f>IFERROR(__xludf.DUMMYFUNCTION("""COMPUTED_VALUE"""),"Position Side")</f>
        <v>Position Side</v>
      </c>
      <c r="I5" s="71" t="str">
        <f>IFERROR(__xludf.DUMMYFUNCTION("""COMPUTED_VALUE"""),"Market Value (Base)")</f>
        <v>Market Value (Base)</v>
      </c>
      <c r="J5" s="71" t="str">
        <f>IFERROR(__xludf.DUMMYFUNCTION("""COMPUTED_VALUE"""),"% Day P&amp;L (Gross MV)")</f>
        <v>% Day P&amp;L (Gross MV)</v>
      </c>
      <c r="K5" s="71" t="str">
        <f>IFERROR(__xludf.DUMMYFUNCTION("""COMPUTED_VALUE"""),"Net Exposure (Base)")</f>
        <v>Net Exposure (Base)</v>
      </c>
      <c r="L5" s="71" t="str">
        <f>IFERROR(__xludf.DUMMYFUNCTION("""COMPUTED_VALUE"""),"Beta Adj. Gross Exposure (Base)")</f>
        <v>Beta Adj. Gross Exposure (Base)</v>
      </c>
      <c r="M5" s="71" t="str">
        <f>IFERROR(__xludf.DUMMYFUNCTION("""COMPUTED_VALUE"""),"Beta Adj. Gross Exposure (Underlying) (Base)")</f>
        <v>Beta Adj. Gross Exposure (Underlying) (Base)</v>
      </c>
      <c r="N5" s="71" t="str">
        <f>IFERROR(__xludf.DUMMYFUNCTION("""COMPUTED_VALUE"""),"Day P&amp;L (Base)")</f>
        <v>Day P&amp;L (Base)</v>
      </c>
      <c r="O5" s="71" t="str">
        <f>IFERROR(__xludf.DUMMYFUNCTION("""COMPUTED_VALUE"""),"Security Name")</f>
        <v>Security Name</v>
      </c>
      <c r="P5" s="71" t="str">
        <f>IFERROR(__xludf.DUMMYFUNCTION("""COMPUTED_VALUE"""),"Closing Mark")</f>
        <v>Closing Mark</v>
      </c>
      <c r="Q5" s="71" t="str">
        <f>IFERROR(__xludf.DUMMYFUNCTION("""COMPUTED_VALUE"""),"Cost Basis P&amp;L (Base)")</f>
        <v>Cost Basis P&amp;L (Base)</v>
      </c>
      <c r="R5" s="71" t="str">
        <f>IFERROR(__xludf.DUMMYFUNCTION("""COMPUTED_VALUE"""),"Prime Broker")</f>
        <v>Prime Broker</v>
      </c>
      <c r="S5" s="71" t="str">
        <f>IFERROR(__xludf.DUMMYFUNCTION("""COMPUTED_VALUE"""),"Strategy")</f>
        <v>Strategy</v>
      </c>
      <c r="T5" s="73" t="str">
        <f>IFERROR(__xludf.DUMMYFUNCTION("""COMPUTED_VALUE"""),"Asset Class")</f>
        <v>Asset Class</v>
      </c>
      <c r="U5" s="73" t="str">
        <f>IFERROR(__xludf.DUMMYFUNCTION("""COMPUTED_VALUE"""),"Underlying")</f>
        <v>Underlying</v>
      </c>
      <c r="V5" s="73" t="str">
        <f>IFERROR(__xludf.DUMMYFUNCTION("""COMPUTED_VALUE"""),"Exchange")</f>
        <v>Exchange</v>
      </c>
      <c r="W5" s="73" t="str">
        <f>IFERROR(__xludf.DUMMYFUNCTION("""COMPUTED_VALUE"""),"Trade Currency")</f>
        <v>Trade Currency</v>
      </c>
      <c r="X5" s="73" t="str">
        <f>IFERROR(__xludf.DUMMYFUNCTION("""COMPUTED_VALUE"""),"Multiplier")</f>
        <v>Multiplier</v>
      </c>
      <c r="Y5" s="73" t="str">
        <f>IFERROR(__xludf.DUMMYFUNCTION("""COMPUTED_VALUE"""),"FX Rate")</f>
        <v>FX Rate</v>
      </c>
      <c r="Z5" s="73" t="str">
        <f>IFERROR(__xludf.DUMMYFUNCTION("""COMPUTED_VALUE"""),"Vs Currency")</f>
        <v>Vs Currency</v>
      </c>
      <c r="AA5" s="73" t="str">
        <f>IFERROR(__xludf.DUMMYFUNCTION("""COMPUTED_VALUE"""),"Lead Currency")</f>
        <v>Lead Currency</v>
      </c>
      <c r="AB5" s="73" t="str">
        <f>IFERROR(__xludf.DUMMYFUNCTION("""COMPUTED_VALUE"""),"Dividend Yield (%)")</f>
        <v>Dividend Yield (%)</v>
      </c>
      <c r="AC5" s="73" t="str">
        <f>IFERROR(__xludf.DUMMYFUNCTION("""COMPUTED_VALUE"""),"% Change")</f>
        <v>% Change</v>
      </c>
      <c r="AD5" s="73" t="str">
        <f>IFERROR(__xludf.DUMMYFUNCTION("""COMPUTED_VALUE"""),"Net Exposure (Local)")</f>
        <v>Net Exposure (Local)</v>
      </c>
      <c r="AE5" s="73" t="str">
        <f>IFERROR(__xludf.DUMMYFUNCTION("""COMPUTED_VALUE"""),"Exposure (Local)")</f>
        <v>Exposure (Local)</v>
      </c>
      <c r="AF5" s="73" t="str">
        <f>IFERROR(__xludf.DUMMYFUNCTION("""COMPUTED_VALUE"""),"Delta Adj. Position")</f>
        <v>Delta Adj. Position</v>
      </c>
      <c r="AG5" s="73" t="str">
        <f>IFERROR(__xludf.DUMMYFUNCTION("""COMPUTED_VALUE"""),"Exposure (Base)")</f>
        <v>Exposure (Base)</v>
      </c>
      <c r="AH5" s="73" t="str">
        <f>IFERROR(__xludf.DUMMYFUNCTION("""COMPUTED_VALUE"""),"Beta Adj. Exposure (Local)")</f>
        <v>Beta Adj. Exposure (Local)</v>
      </c>
      <c r="AI5" s="73" t="str">
        <f>IFERROR(__xludf.DUMMYFUNCTION("""COMPUTED_VALUE"""),"Beta Adj. Exposure (Base)")</f>
        <v>Beta Adj. Exposure (Base)</v>
      </c>
      <c r="AJ5" s="73" t="str">
        <f>IFERROR(__xludf.DUMMYFUNCTION("""COMPUTED_VALUE"""),"Exposure (BP)(Base)")</f>
        <v>Exposure (BP)(Base)</v>
      </c>
      <c r="AK5" s="73" t="str">
        <f>IFERROR(__xludf.DUMMYFUNCTION("""COMPUTED_VALUE"""),"Day P&amp;L (Local)")</f>
        <v>Day P&amp;L (Local)</v>
      </c>
      <c r="AL5" s="73" t="str">
        <f>IFERROR(__xludf.DUMMYFUNCTION("""COMPUTED_VALUE"""),"Delta")</f>
        <v>Delta</v>
      </c>
      <c r="AM5" s="73" t="str">
        <f>IFERROR(__xludf.DUMMYFUNCTION("""COMPUTED_VALUE"""),"Leveraged Factor")</f>
        <v>Leveraged Factor</v>
      </c>
      <c r="AN5" s="73" t="str">
        <f>IFERROR(__xludf.DUMMYFUNCTION("""COMPUTED_VALUE"""),"Order Side")</f>
        <v>Order Side</v>
      </c>
      <c r="AO5" s="73" t="str">
        <f>IFERROR(__xludf.DUMMYFUNCTION("""COMPUTED_VALUE"""),"Master Strategy")</f>
        <v>Master Strategy</v>
      </c>
      <c r="AP5" s="73" t="str">
        <f>IFERROR(__xludf.DUMMYFUNCTION("""COMPUTED_VALUE"""),"Transaction Side")</f>
        <v>Transaction Side</v>
      </c>
      <c r="AQ5" s="73" t="str">
        <f>IFERROR(__xludf.DUMMYFUNCTION("""COMPUTED_VALUE"""),"Underlying Symbol")</f>
        <v>Underlying Symbol</v>
      </c>
      <c r="AR5" s="73" t="str">
        <f>IFERROR(__xludf.DUMMYFUNCTION("""COMPUTED_VALUE"""),"Underlying Price")</f>
        <v>Underlying Price</v>
      </c>
      <c r="AS5" s="73" t="str">
        <f>IFERROR(__xludf.DUMMYFUNCTION("""COMPUTED_VALUE"""),"Side Multiplier")</f>
        <v>Side Multiplier</v>
      </c>
      <c r="AT5" s="73" t="str">
        <f>IFERROR(__xludf.DUMMYFUNCTION("""COMPUTED_VALUE"""),"Description")</f>
        <v>Description</v>
      </c>
      <c r="AU5" s="73" t="str">
        <f>IFERROR(__xludf.DUMMYFUNCTION("""COMPUTED_VALUE"""),"Internal Comments")</f>
        <v>Internal Comments</v>
      </c>
      <c r="AV5" s="73" t="str">
        <f>IFERROR(__xludf.DUMMYFUNCTION("""COMPUTED_VALUE"""),"FX Rate On Trade Date")</f>
        <v>FX Rate On Trade Date</v>
      </c>
      <c r="AW5" s="73" t="str">
        <f>IFERROR(__xludf.DUMMYFUNCTION("""COMPUTED_VALUE"""),"Cost Basis P&amp;L (Local)")</f>
        <v>Cost Basis P&amp;L (Local)</v>
      </c>
      <c r="AX5" s="73" t="str">
        <f>IFERROR(__xludf.DUMMYFUNCTION("""COMPUTED_VALUE"""),"Day Interest")</f>
        <v>Day Interest</v>
      </c>
      <c r="AY5" s="73" t="str">
        <f>IFERROR(__xludf.DUMMYFUNCTION("""COMPUTED_VALUE"""),"Total Interest")</f>
        <v>Total Interest</v>
      </c>
      <c r="AZ5" s="73" t="str">
        <f>IFERROR(__xludf.DUMMYFUNCTION("""COMPUTED_VALUE"""),"Market Value (Local)")</f>
        <v>Market Value (Local)</v>
      </c>
      <c r="BA5" s="73" t="str">
        <f>IFERROR(__xludf.DUMMYFUNCTION("""COMPUTED_VALUE"""),"% Gain/Loss Day")</f>
        <v>% Gain/Loss Day</v>
      </c>
      <c r="BB5" s="73" t="str">
        <f>IFERROR(__xludf.DUMMYFUNCTION("""COMPUTED_VALUE"""),"Update Time (Last Price)")</f>
        <v>Update Time (Last Price)</v>
      </c>
      <c r="BC5" s="73" t="str">
        <f>IFERROR(__xludf.DUMMYFUNCTION("""COMPUTED_VALUE"""),"Beta")</f>
        <v>Beta</v>
      </c>
      <c r="BD5" s="73" t="str">
        <f>IFERROR(__xludf.DUMMYFUNCTION("""COMPUTED_VALUE"""),"Cash Impact (Local)")</f>
        <v>Cash Impact (Local)</v>
      </c>
      <c r="BE5" s="73" t="str">
        <f>IFERROR(__xludf.DUMMYFUNCTION("""COMPUTED_VALUE"""),"User Asset")</f>
        <v>User Asset</v>
      </c>
      <c r="BF5" s="73" t="str">
        <f>IFERROR(__xludf.DUMMYFUNCTION("""COMPUTED_VALUE"""),"Security Type")</f>
        <v>Security Type</v>
      </c>
      <c r="BG5" s="73" t="str">
        <f>IFERROR(__xludf.DUMMYFUNCTION("""COMPUTED_VALUE"""),"Sector")</f>
        <v>Sector</v>
      </c>
      <c r="BH5" s="73" t="str">
        <f>IFERROR(__xludf.DUMMYFUNCTION("""COMPUTED_VALUE"""),"Sub Sector")</f>
        <v>Sub Sector</v>
      </c>
      <c r="BI5" s="73" t="str">
        <f>IFERROR(__xludf.DUMMYFUNCTION("""COMPUTED_VALUE"""),"Country")</f>
        <v>Country</v>
      </c>
      <c r="BJ5" s="73" t="str">
        <f>IFERROR(__xludf.DUMMYFUNCTION("""COMPUTED_VALUE"""),"Market Cap")</f>
        <v>Market Cap</v>
      </c>
      <c r="BK5" s="73" t="str">
        <f>IFERROR(__xludf.DUMMYFUNCTION("""COMPUTED_VALUE"""),"Shares Outstanding")</f>
        <v>Shares Outstanding</v>
      </c>
      <c r="BL5" s="73" t="str">
        <f>IFERROR(__xludf.DUMMYFUNCTION("""COMPUTED_VALUE"""),"Avg Volume 20 Day")</f>
        <v>Avg Volume 20 Day</v>
      </c>
      <c r="BM5" s="73" t="str">
        <f>IFERROR(__xludf.DUMMYFUNCTION("""COMPUTED_VALUE"""),"% Avg Volume (Delta Adj.)")</f>
        <v>% Avg Volume (Delta Adj.)</v>
      </c>
      <c r="BN5" s="73" t="str">
        <f>IFERROR(__xludf.DUMMYFUNCTION("""COMPUTED_VALUE"""),"Ex Dividend Date")</f>
        <v>Ex Dividend Date</v>
      </c>
      <c r="BO5" s="73" t="str">
        <f>IFERROR(__xludf.DUMMYFUNCTION("""COMPUTED_VALUE"""),"Cash Impact (Base)")</f>
        <v>Cash Impact (Base)</v>
      </c>
      <c r="BP5" s="73" t="str">
        <f>IFERROR(__xludf.DUMMYFUNCTION("""COMPUTED_VALUE"""),"Volatility (%)")</f>
        <v>Volatility (%)</v>
      </c>
      <c r="BQ5" s="73" t="str">
        <f>IFERROR(__xludf.DUMMYFUNCTION("""COMPUTED_VALUE"""),"User")</f>
        <v>User</v>
      </c>
      <c r="BR5" s="73" t="str">
        <f>IFERROR(__xludf.DUMMYFUNCTION("""COMPUTED_VALUE"""),"Broker")</f>
        <v>Broker</v>
      </c>
      <c r="BS5" s="73" t="str">
        <f>IFERROR(__xludf.DUMMYFUNCTION("""COMPUTED_VALUE"""),"Earned Dividend (Local)")</f>
        <v>Earned Dividend (Local)</v>
      </c>
      <c r="BT5" s="73" t="str">
        <f>IFERROR(__xludf.DUMMYFUNCTION("""COMPUTED_VALUE"""),"Earned Dividend (Base)")</f>
        <v>Earned Dividend (Base)</v>
      </c>
      <c r="BU5" s="73" t="str">
        <f>IFERROR(__xludf.DUMMYFUNCTION("""COMPUTED_VALUE"""),"Put/Call")</f>
        <v>Put/Call</v>
      </c>
      <c r="BV5" s="73" t="str">
        <f>IFERROR(__xludf.DUMMYFUNCTION("""COMPUTED_VALUE"""),"Expiration Date")</f>
        <v>Expiration Date</v>
      </c>
      <c r="BW5" s="73" t="str">
        <f>IFERROR(__xludf.DUMMYFUNCTION("""COMPUTED_VALUE"""),"Strike Price")</f>
        <v>Strike Price</v>
      </c>
      <c r="BX5" s="73" t="str">
        <f>IFERROR(__xludf.DUMMYFUNCTION("""COMPUTED_VALUE"""),"Gross Exposure (Base)")</f>
        <v>Gross Exposure (Base)</v>
      </c>
      <c r="BY5" s="73" t="str">
        <f>IFERROR(__xludf.DUMMYFUNCTION("""COMPUTED_VALUE"""),"Gross Market Value (Base)")</f>
        <v>Gross Market Value (Base)</v>
      </c>
      <c r="BZ5" s="73" t="str">
        <f>IFERROR(__xludf.DUMMYFUNCTION("""COMPUTED_VALUE"""),"Px Selected Feed (Local)")</f>
        <v>Px Selected Feed (Local)</v>
      </c>
      <c r="CA5" s="73" t="str">
        <f>IFERROR(__xludf.DUMMYFUNCTION("""COMPUTED_VALUE"""),"Px Selected Feed (Base)")</f>
        <v>Px Selected Feed (Base)</v>
      </c>
      <c r="CB5" s="73" t="str">
        <f>IFERROR(__xludf.DUMMYFUNCTION("""COMPUTED_VALUE"""),"Settlement Date")</f>
        <v>Settlement Date</v>
      </c>
      <c r="CC5" s="73" t="str">
        <f>IFERROR(__xludf.DUMMYFUNCTION("""COMPUTED_VALUE"""),"% Avg Volume")</f>
        <v>% Avg Volume</v>
      </c>
      <c r="CD5" s="73" t="str">
        <f>IFERROR(__xludf.DUMMYFUNCTION("""COMPUTED_VALUE"""),"Day P&amp;L (Base)(Price Gain)")</f>
        <v>Day P&amp;L (Base)(Price Gain)</v>
      </c>
      <c r="CE5" s="73" t="str">
        <f>IFERROR(__xludf.DUMMYFUNCTION("""COMPUTED_VALUE"""),"Day P&amp;L (Base)(FX Gain)")</f>
        <v>Day P&amp;L (Base)(FX Gain)</v>
      </c>
      <c r="CF5" s="73" t="str">
        <f>IFERROR(__xludf.DUMMYFUNCTION("""COMPUTED_VALUE"""),"Cost Basis P&amp;L (Base)(FX Gain)")</f>
        <v>Cost Basis P&amp;L (Base)(FX Gain)</v>
      </c>
      <c r="CG5" s="73" t="str">
        <f>IFERROR(__xludf.DUMMYFUNCTION("""COMPUTED_VALUE"""),"Cost Basis P&amp;L (Base)(Price Gain)")</f>
        <v>Cost Basis P&amp;L (Base)(Price Gain)</v>
      </c>
      <c r="CH5" s="73" t="str">
        <f>IFERROR(__xludf.DUMMYFUNCTION("""COMPUTED_VALUE"""),"% Gain/Loss Cost")</f>
        <v>% Gain/Loss Cost</v>
      </c>
      <c r="CI5" s="73" t="str">
        <f>IFERROR(__xludf.DUMMYFUNCTION("""COMPUTED_VALUE"""),"Underlying Value (Options)")</f>
        <v>Underlying Value (Options)</v>
      </c>
      <c r="CJ5" s="73" t="str">
        <f>IFERROR(__xludf.DUMMYFUNCTION("""COMPUTED_VALUE"""),"Avg Volume 20 Day (Underlying Symbol)")</f>
        <v>Avg Volume 20 Day (Underlying Symbol)</v>
      </c>
      <c r="CK5" s="73" t="str">
        <f>IFERROR(__xludf.DUMMYFUNCTION("""COMPUTED_VALUE"""),"IsStaleData")</f>
        <v>IsStaleData</v>
      </c>
      <c r="CL5" s="73" t="str">
        <f>IFERROR(__xludf.DUMMYFUNCTION("""COMPUTED_VALUE"""),"IDCO")</f>
        <v>IDCO</v>
      </c>
      <c r="CM5" s="73" t="str">
        <f>IFERROR(__xludf.DUMMYFUNCTION("""COMPUTED_VALUE"""),"OSI")</f>
        <v>OSI</v>
      </c>
      <c r="CN5" s="73" t="str">
        <f>IFERROR(__xludf.DUMMYFUNCTION("""COMPUTED_VALUE"""),"SEDOL")</f>
        <v>SEDOL</v>
      </c>
      <c r="CO5" s="73" t="str">
        <f>IFERROR(__xludf.DUMMYFUNCTION("""COMPUTED_VALUE"""),"CUSIP")</f>
        <v>CUSIP</v>
      </c>
      <c r="CP5" s="73" t="str">
        <f>IFERROR(__xludf.DUMMYFUNCTION("""COMPUTED_VALUE"""),"Bloomberg")</f>
        <v>Bloomberg</v>
      </c>
      <c r="CQ5" s="73" t="str">
        <f>IFERROR(__xludf.DUMMYFUNCTION("""COMPUTED_VALUE"""),"ISIN")</f>
        <v>ISIN</v>
      </c>
      <c r="CR5" s="73" t="str">
        <f>IFERROR(__xludf.DUMMYFUNCTION("""COMPUTED_VALUE"""),"Start Trade Date")</f>
        <v>Start Trade Date</v>
      </c>
      <c r="CS5" s="73" t="str">
        <f>IFERROR(__xludf.DUMMYFUNCTION("""COMPUTED_VALUE"""),"Cost Basis (Break Even)")</f>
        <v>Cost Basis (Break Even)</v>
      </c>
      <c r="CT5" s="73" t="str">
        <f>IFERROR(__xludf.DUMMYFUNCTION("""COMPUTED_VALUE"""),"Trade Attribute 3")</f>
        <v>Trade Attribute 3</v>
      </c>
      <c r="CU5" s="73" t="str">
        <f>IFERROR(__xludf.DUMMYFUNCTION("""COMPUTED_VALUE"""),"Trade Attribute 4")</f>
        <v>Trade Attribute 4</v>
      </c>
      <c r="CV5" s="73" t="str">
        <f>IFERROR(__xludf.DUMMYFUNCTION("""COMPUTED_VALUE"""),"Trade Attribute 5")</f>
        <v>Trade Attribute 5</v>
      </c>
      <c r="CW5" s="73" t="str">
        <f>IFERROR(__xludf.DUMMYFUNCTION("""COMPUTED_VALUE"""),"Trade Attribute 6")</f>
        <v>Trade Attribute 6</v>
      </c>
      <c r="CX5" s="73" t="str">
        <f>IFERROR(__xludf.DUMMYFUNCTION("""COMPUTED_VALUE"""),"Proxy Symbol")</f>
        <v>Proxy Symbol</v>
      </c>
      <c r="CY5" s="73" t="str">
        <f>IFERROR(__xludf.DUMMYFUNCTION("""COMPUTED_VALUE"""),"Pricing Source")</f>
        <v>Pricing Source</v>
      </c>
      <c r="CZ5" s="73" t="str">
        <f>IFERROR(__xludf.DUMMYFUNCTION("""COMPUTED_VALUE"""),"Delta Source")</f>
        <v>Delta Source</v>
      </c>
      <c r="DA5" s="73" t="str">
        <f>IFERROR(__xludf.DUMMYFUNCTION("""COMPUTED_VALUE"""),"Gross Exposure (Local)")</f>
        <v>Gross Exposure (Local)</v>
      </c>
      <c r="DB5" s="73" t="str">
        <f>IFERROR(__xludf.DUMMYFUNCTION("""COMPUTED_VALUE"""),"% Day P&amp;L (Net MV)")</f>
        <v>% Day P&amp;L (Net MV)</v>
      </c>
      <c r="DC5" s="73" t="str">
        <f>IFERROR(__xludf.DUMMYFUNCTION("""COMPUTED_VALUE"""),"Expiration Month")</f>
        <v>Expiration Month</v>
      </c>
      <c r="DD5" s="73" t="str">
        <f>IFERROR(__xludf.DUMMYFUNCTION("""COMPUTED_VALUE"""),"Delta Adj. Position (LME)")</f>
        <v>Delta Adj. Position (LME)</v>
      </c>
      <c r="DE5" s="73" t="str">
        <f>IFERROR(__xludf.DUMMYFUNCTION("""COMPUTED_VALUE"""),"Premium")</f>
        <v>Premium</v>
      </c>
      <c r="DF5" s="73" t="str">
        <f>IFERROR(__xludf.DUMMYFUNCTION("""COMPUTED_VALUE"""),"Premium $")</f>
        <v>Premium $</v>
      </c>
      <c r="DG5" s="73" t="str">
        <f>IFERROR(__xludf.DUMMYFUNCTION("""COMPUTED_VALUE"""),"Forward Points")</f>
        <v>Forward Points</v>
      </c>
      <c r="DH5" s="73" t="str">
        <f>IFERROR(__xludf.DUMMYFUNCTION("""COMPUTED_VALUE"""),"Closing Mark (Underlying)")</f>
        <v>Closing Mark (Underlying)</v>
      </c>
      <c r="DI5" s="73" t="str">
        <f>IFERROR(__xludf.DUMMYFUNCTION("""COMPUTED_VALUE"""),"% Change (Underlying Price)")</f>
        <v>% Change (Underlying Price)</v>
      </c>
      <c r="DJ5" s="73" t="str">
        <f>IFERROR(__xludf.DUMMYFUNCTION("""COMPUTED_VALUE"""),"Transaction Type")</f>
        <v>Transaction Type</v>
      </c>
      <c r="DK5" s="73" t="str">
        <f>IFERROR(__xludf.DUMMYFUNCTION("""COMPUTED_VALUE"""),"Closing Market Value (Local)")</f>
        <v>Closing Market Value (Local)</v>
      </c>
      <c r="DL5" s="73" t="str">
        <f>IFERROR(__xludf.DUMMYFUNCTION("""COMPUTED_VALUE"""),"Closing Market Value (Base)")</f>
        <v>Closing Market Value (Base)</v>
      </c>
      <c r="DM5" s="73" t="str">
        <f>IFERROR(__xludf.DUMMYFUNCTION("""COMPUTED_VALUE"""),"Closing FX Rate")</f>
        <v>Closing FX Rate</v>
      </c>
      <c r="DN5" s="73" t="str">
        <f>IFERROR(__xludf.DUMMYFUNCTION("""COMPUTED_VALUE"""),"Change In Underlying Price")</f>
        <v>Change In Underlying Price</v>
      </c>
      <c r="DO5" s="73" t="str">
        <f>IFERROR(__xludf.DUMMYFUNCTION("""COMPUTED_VALUE"""),"RIC")</f>
        <v>RIC</v>
      </c>
      <c r="DP5" s="73" t="str">
        <f>IFERROR(__xludf.DUMMYFUNCTION("""COMPUTED_VALUE"""),"Position Side Exposure (Boxed)")</f>
        <v>Position Side Exposure (Boxed)</v>
      </c>
      <c r="DQ5" s="73" t="str">
        <f>IFERROR(__xludf.DUMMYFUNCTION("""COMPUTED_VALUE"""),"Analyst")</f>
        <v>Analyst</v>
      </c>
      <c r="DR5" s="73" t="str">
        <f>IFERROR(__xludf.DUMMYFUNCTION("""COMPUTED_VALUE"""),"Country Of Risk")</f>
        <v>Country Of Risk</v>
      </c>
      <c r="DS5" s="73" t="str">
        <f>IFERROR(__xludf.DUMMYFUNCTION("""COMPUTED_VALUE"""),"Custom UDA1")</f>
        <v>Custom UDA1</v>
      </c>
      <c r="DT5" s="73" t="str">
        <f>IFERROR(__xludf.DUMMYFUNCTION("""COMPUTED_VALUE"""),"Custom UDA2")</f>
        <v>Custom UDA2</v>
      </c>
      <c r="DU5" s="73" t="str">
        <f>IFERROR(__xludf.DUMMYFUNCTION("""COMPUTED_VALUE"""),"Custom UDA3")</f>
        <v>Custom UDA3</v>
      </c>
      <c r="DV5" s="73" t="str">
        <f>IFERROR(__xludf.DUMMYFUNCTION("""COMPUTED_VALUE"""),"Custom UDA4")</f>
        <v>Custom UDA4</v>
      </c>
      <c r="DW5" s="73" t="str">
        <f>IFERROR(__xludf.DUMMYFUNCTION("""COMPUTED_VALUE"""),"Custom UDA5")</f>
        <v>Custom UDA5</v>
      </c>
      <c r="DX5" s="73" t="str">
        <f>IFERROR(__xludf.DUMMYFUNCTION("""COMPUTED_VALUE"""),"Custom UDA6")</f>
        <v>Custom UDA6</v>
      </c>
      <c r="DY5" s="73" t="str">
        <f>IFERROR(__xludf.DUMMYFUNCTION("""COMPUTED_VALUE"""),"Custom UDA7")</f>
        <v>Custom UDA7</v>
      </c>
      <c r="DZ5" s="73" t="str">
        <f>IFERROR(__xludf.DUMMYFUNCTION("""COMPUTED_VALUE"""),"Issuer")</f>
        <v>Issuer</v>
      </c>
      <c r="EA5" s="73" t="str">
        <f>IFERROR(__xludf.DUMMYFUNCTION("""COMPUTED_VALUE"""),"Liquid Tag")</f>
        <v>Liquid Tag</v>
      </c>
      <c r="EB5" s="73" t="str">
        <f>IFERROR(__xludf.DUMMYFUNCTION("""COMPUTED_VALUE"""),"Market Cap UDA")</f>
        <v>Market Cap UDA</v>
      </c>
      <c r="EC5" s="73" t="str">
        <f>IFERROR(__xludf.DUMMYFUNCTION("""COMPUTED_VALUE"""),"Region")</f>
        <v>Region</v>
      </c>
      <c r="ED5" s="73" t="str">
        <f>IFERROR(__xludf.DUMMYFUNCTION("""COMPUTED_VALUE"""),"Risk Currency")</f>
        <v>Risk Currency</v>
      </c>
      <c r="EE5" s="73" t="str">
        <f>IFERROR(__xludf.DUMMYFUNCTION("""COMPUTED_VALUE"""),"UCITS Eligible Tag")</f>
        <v>UCITS Eligible Tag</v>
      </c>
      <c r="EF5" s="73" t="str">
        <f>IFERROR(__xludf.DUMMYFUNCTION("""COMPUTED_VALUE"""),"FX Rate (Display)")</f>
        <v>FX Rate (Display)</v>
      </c>
      <c r="EG5" s="73" t="str">
        <f>IFERROR(__xludf.DUMMYFUNCTION("""COMPUTED_VALUE"""),"% Net Exposure (Base)")</f>
        <v>% Net Exposure (Base)</v>
      </c>
      <c r="EH5" s="73" t="str">
        <f>IFERROR(__xludf.DUMMYFUNCTION("""COMPUTED_VALUE"""),"% Gross Exposure (Base)")</f>
        <v>% Gross Exposure (Base)</v>
      </c>
      <c r="EI5" s="73" t="str">
        <f>IFERROR(__xludf.DUMMYFUNCTION("""COMPUTED_VALUE"""),"% Exposure (Base)")</f>
        <v>% Exposure (Base)</v>
      </c>
      <c r="EJ5" s="73" t="str">
        <f>IFERROR(__xludf.DUMMYFUNCTION("""COMPUTED_VALUE"""),"% Gross Exposure (Underlying) (Base)")</f>
        <v>% Gross Exposure (Underlying) (Base)</v>
      </c>
      <c r="EK5" s="73" t="str">
        <f>IFERROR(__xludf.DUMMYFUNCTION("""COMPUTED_VALUE"""),"% Beta Adj. Gross Exposure (Base)")</f>
        <v>% Beta Adj. Gross Exposure (Base)</v>
      </c>
      <c r="EL5" s="73" t="str">
        <f>IFERROR(__xludf.DUMMYFUNCTION("""COMPUTED_VALUE"""),"Position Side Exposure (Underlying)")</f>
        <v>Position Side Exposure (Underlying)</v>
      </c>
      <c r="EM5" s="73" t="str">
        <f>IFERROR(__xludf.DUMMYFUNCTION("""COMPUTED_VALUE"""),"Gross Exposure (Underlying) (Base)")</f>
        <v>Gross Exposure (Underlying) (Base)</v>
      </c>
      <c r="EN5" s="73" t="str">
        <f>IFERROR(__xludf.DUMMYFUNCTION("""COMPUTED_VALUE"""),"Gross Exposure (Underlying)")</f>
        <v>Gross Exposure (Underlying)</v>
      </c>
      <c r="EO5" s="73" t="str">
        <f>IFERROR(__xludf.DUMMYFUNCTION("""COMPUTED_VALUE"""),"Day Return")</f>
        <v>Day Return</v>
      </c>
      <c r="EP5" s="73" t="str">
        <f>IFERROR(__xludf.DUMMYFUNCTION("""COMPUTED_VALUE"""),"Start of Day NAV")</f>
        <v>Start of Day NAV</v>
      </c>
      <c r="EQ5" s="73" t="str">
        <f>IFERROR(__xludf.DUMMYFUNCTION("""COMPUTED_VALUE"""),"% Gross Market Value (Base)")</f>
        <v>% Gross Market Value (Base)</v>
      </c>
      <c r="ER5" s="73" t="str">
        <f>IFERROR(__xludf.DUMMYFUNCTION("""COMPUTED_VALUE"""),"Beta Adj. Gross Exposure (Underlying) (Local)")</f>
        <v>Beta Adj. Gross Exposure (Underlying) (Local)</v>
      </c>
      <c r="ES5" s="73" t="str">
        <f>IFERROR(__xludf.DUMMYFUNCTION("""COMPUTED_VALUE"""),"NAV")</f>
        <v>NAV</v>
      </c>
      <c r="ET5" s="73" t="str">
        <f>IFERROR(__xludf.DUMMYFUNCTION("""COMPUTED_VALUE"""),"% P&amp;L Contribution")</f>
        <v>% P&amp;L Contribution</v>
      </c>
      <c r="EU5" s="73" t="str">
        <f>IFERROR(__xludf.DUMMYFUNCTION("""COMPUTED_VALUE"""),"% Net Market Value (Base)")</f>
        <v>% Net Market Value (Base)</v>
      </c>
      <c r="EV5" s="73" t="str">
        <f>IFERROR(__xludf.DUMMYFUNCTION("""COMPUTED_VALUE"""),"Position Side Exposure")</f>
        <v>Position Side Exposure</v>
      </c>
      <c r="EW5" s="73" t="str">
        <f>IFERROR(__xludf.DUMMYFUNCTION("""COMPUTED_VALUE"""),"NAV (Touch)")</f>
        <v>NAV (Touch)</v>
      </c>
      <c r="EX5" s="73" t="str">
        <f>IFERROR(__xludf.DUMMYFUNCTION("""COMPUTED_VALUE"""),"IgnorePropertyChangeEvents")</f>
        <v>IgnorePropertyChangeEvents</v>
      </c>
      <c r="EY5" s="73" t="str">
        <f>IFERROR(__xludf.DUMMYFUNCTION("""COMPUTED_VALUE"""),"Trade Attribute 1")</f>
        <v>Trade Attribute 1</v>
      </c>
      <c r="EZ5" s="73" t="str">
        <f>IFERROR(__xludf.DUMMYFUNCTION("""COMPUTED_VALUE"""),"Trade Attribute 2")</f>
        <v>Trade Attribute 2</v>
      </c>
      <c r="FA5" s="73" t="str">
        <f>IFERROR(__xludf.DUMMYFUNCTION("""COMPUTED_VALUE"""),"")</f>
        <v/>
      </c>
      <c r="FB5" s="73" t="str">
        <f>IFERROR(__xludf.DUMMYFUNCTION("""COMPUTED_VALUE"""),"")</f>
        <v/>
      </c>
      <c r="FC5" s="73" t="str">
        <f>IFERROR(__xludf.DUMMYFUNCTION("""COMPUTED_VALUE"""),"")</f>
        <v/>
      </c>
      <c r="FD5" s="73" t="str">
        <f>IFERROR(__xludf.DUMMYFUNCTION("""COMPUTED_VALUE"""),"")</f>
        <v/>
      </c>
      <c r="FE5" s="73" t="str">
        <f>IFERROR(__xludf.DUMMYFUNCTION("""COMPUTED_VALUE"""),"")</f>
        <v/>
      </c>
      <c r="FF5" s="73" t="str">
        <f>IFERROR(__xludf.DUMMYFUNCTION("""COMPUTED_VALUE"""),"")</f>
        <v/>
      </c>
      <c r="FG5" s="73" t="str">
        <f>IFERROR(__xludf.DUMMYFUNCTION("""COMPUTED_VALUE"""),"")</f>
        <v/>
      </c>
      <c r="FH5" s="73" t="str">
        <f>IFERROR(__xludf.DUMMYFUNCTION("""COMPUTED_VALUE"""),"")</f>
        <v/>
      </c>
      <c r="FI5" s="73" t="str">
        <f>IFERROR(__xludf.DUMMYFUNCTION("""COMPUTED_VALUE"""),"")</f>
        <v/>
      </c>
      <c r="FJ5" s="73" t="str">
        <f>IFERROR(__xludf.DUMMYFUNCTION("""COMPUTED_VALUE"""),"")</f>
        <v/>
      </c>
    </row>
    <row r="6" ht="15.75" customHeight="1">
      <c r="A6" s="74"/>
      <c r="B6" s="74"/>
      <c r="C6" s="75" t="s">
        <v>18</v>
      </c>
      <c r="D6" s="76">
        <v>100.0</v>
      </c>
      <c r="E6" s="75" t="s">
        <v>20</v>
      </c>
      <c r="F6" s="75" t="s">
        <v>44</v>
      </c>
      <c r="G6" s="76">
        <v>190.0</v>
      </c>
      <c r="H6" s="75" t="s">
        <v>47</v>
      </c>
      <c r="I6" s="76">
        <v>19400.0</v>
      </c>
      <c r="J6" s="77">
        <v>1.03</v>
      </c>
      <c r="K6" s="76">
        <v>19400.0</v>
      </c>
      <c r="L6" s="76">
        <v>19400.0</v>
      </c>
      <c r="M6" s="76">
        <v>8148.0</v>
      </c>
      <c r="N6" s="76">
        <v>200.0</v>
      </c>
      <c r="O6" s="75" t="s">
        <v>48</v>
      </c>
      <c r="P6" s="76">
        <v>192.0</v>
      </c>
      <c r="Q6" s="76">
        <v>400.0</v>
      </c>
      <c r="R6" s="75" t="s">
        <v>49</v>
      </c>
      <c r="S6" s="75" t="s">
        <v>50</v>
      </c>
      <c r="T6" s="75" t="s">
        <v>51</v>
      </c>
      <c r="U6" s="75" t="s">
        <v>52</v>
      </c>
      <c r="V6" s="75" t="s">
        <v>53</v>
      </c>
      <c r="W6" s="75" t="s">
        <v>29</v>
      </c>
      <c r="X6" s="76">
        <v>1.0</v>
      </c>
      <c r="Y6" s="76">
        <v>1.0</v>
      </c>
      <c r="Z6" s="75" t="s">
        <v>54</v>
      </c>
      <c r="AA6" s="75" t="s">
        <v>54</v>
      </c>
      <c r="AB6" s="76">
        <v>0.0</v>
      </c>
      <c r="AC6" s="77">
        <v>1.04</v>
      </c>
      <c r="AD6" s="76">
        <v>19400.0</v>
      </c>
      <c r="AE6" s="76">
        <v>19400.0</v>
      </c>
      <c r="AF6" s="76">
        <v>100.0</v>
      </c>
      <c r="AG6" s="76">
        <v>19400.0</v>
      </c>
      <c r="AH6" s="76">
        <v>19400.0</v>
      </c>
      <c r="AI6" s="76">
        <v>19400.0</v>
      </c>
      <c r="AJ6" s="77">
        <v>15210.51</v>
      </c>
      <c r="AK6" s="76">
        <v>200.0</v>
      </c>
      <c r="AL6" s="76">
        <v>1.0</v>
      </c>
      <c r="AM6" s="76">
        <v>1.0</v>
      </c>
      <c r="AN6" s="75" t="s">
        <v>19</v>
      </c>
      <c r="AO6" s="75" t="s">
        <v>54</v>
      </c>
      <c r="AP6" s="75" t="s">
        <v>47</v>
      </c>
      <c r="AQ6" s="75" t="s">
        <v>18</v>
      </c>
      <c r="AR6" s="76">
        <v>194.0</v>
      </c>
      <c r="AS6" s="76">
        <v>1.0</v>
      </c>
      <c r="AT6" s="75" t="s">
        <v>55</v>
      </c>
      <c r="AU6" s="75" t="s">
        <v>56</v>
      </c>
      <c r="AV6" s="76"/>
      <c r="AW6" s="76">
        <v>400.0</v>
      </c>
      <c r="AX6" s="76">
        <v>0.0</v>
      </c>
      <c r="AY6" s="76">
        <v>0.0</v>
      </c>
      <c r="AZ6" s="76">
        <v>19400.0</v>
      </c>
      <c r="BA6" s="77">
        <v>1.05</v>
      </c>
      <c r="BB6" s="75"/>
      <c r="BC6" s="76">
        <v>1.0</v>
      </c>
      <c r="BD6" s="76">
        <v>0.0</v>
      </c>
      <c r="BE6" s="75" t="s">
        <v>51</v>
      </c>
      <c r="BF6" s="75" t="s">
        <v>57</v>
      </c>
      <c r="BG6" s="75" t="s">
        <v>58</v>
      </c>
      <c r="BH6" s="75" t="s">
        <v>59</v>
      </c>
      <c r="BI6" s="77" t="s">
        <v>60</v>
      </c>
      <c r="BJ6" s="76">
        <v>0.0</v>
      </c>
      <c r="BK6" s="76">
        <v>0.0</v>
      </c>
      <c r="BL6" s="76">
        <v>0.0</v>
      </c>
      <c r="BM6" s="76">
        <v>0.0</v>
      </c>
      <c r="BN6" s="75"/>
      <c r="BO6" s="76">
        <v>0.0</v>
      </c>
      <c r="BP6" s="76">
        <v>0.0</v>
      </c>
      <c r="BQ6" s="75" t="s">
        <v>61</v>
      </c>
      <c r="BR6" s="75" t="s">
        <v>21</v>
      </c>
      <c r="BS6" s="76">
        <v>0.0</v>
      </c>
      <c r="BT6" s="76">
        <v>0.0</v>
      </c>
      <c r="BU6" s="75" t="s">
        <v>51</v>
      </c>
      <c r="BV6" s="75" t="s">
        <v>62</v>
      </c>
      <c r="BW6" s="76">
        <v>0.0</v>
      </c>
      <c r="BX6" s="76">
        <v>19400.0</v>
      </c>
      <c r="BY6" s="76">
        <v>19400.0</v>
      </c>
      <c r="BZ6" s="76">
        <v>194.0</v>
      </c>
      <c r="CA6" s="76">
        <v>194.0</v>
      </c>
      <c r="CB6" s="75"/>
      <c r="CC6" s="76">
        <v>0.0</v>
      </c>
      <c r="CD6" s="76">
        <v>200.0</v>
      </c>
      <c r="CE6" s="76">
        <v>0.0</v>
      </c>
      <c r="CF6" s="76">
        <v>0.0</v>
      </c>
      <c r="CG6" s="76">
        <v>400.0</v>
      </c>
      <c r="CH6" s="77">
        <v>2.11</v>
      </c>
      <c r="CI6" s="76">
        <v>0.0</v>
      </c>
      <c r="CJ6" s="76">
        <v>0.0</v>
      </c>
      <c r="CK6" s="78" t="b">
        <v>0</v>
      </c>
      <c r="CL6" s="75" t="s">
        <v>54</v>
      </c>
      <c r="CM6" s="75" t="s">
        <v>54</v>
      </c>
      <c r="CN6" s="75" t="s">
        <v>18</v>
      </c>
      <c r="CO6" s="75" t="s">
        <v>18</v>
      </c>
      <c r="CP6" s="75" t="s">
        <v>63</v>
      </c>
      <c r="CQ6" s="75" t="s">
        <v>54</v>
      </c>
      <c r="CR6" s="76"/>
      <c r="CS6" s="76">
        <v>190.0</v>
      </c>
      <c r="CT6" s="75" t="s">
        <v>54</v>
      </c>
      <c r="CU6" s="75" t="s">
        <v>54</v>
      </c>
      <c r="CV6" s="75" t="s">
        <v>54</v>
      </c>
      <c r="CW6" s="75" t="s">
        <v>54</v>
      </c>
      <c r="CX6" s="75" t="s">
        <v>54</v>
      </c>
      <c r="CY6" s="75" t="s">
        <v>64</v>
      </c>
      <c r="CZ6" s="75" t="s">
        <v>43</v>
      </c>
      <c r="DA6" s="76">
        <v>19400.0</v>
      </c>
      <c r="DB6" s="77">
        <v>1.03</v>
      </c>
      <c r="DC6" s="79"/>
      <c r="DD6" s="76">
        <v>100.0</v>
      </c>
      <c r="DE6" s="76">
        <v>0.0</v>
      </c>
      <c r="DF6" s="76">
        <v>0.0</v>
      </c>
      <c r="DG6" s="76">
        <v>0.0</v>
      </c>
      <c r="DH6" s="76">
        <v>192.0</v>
      </c>
      <c r="DI6" s="77">
        <v>1.04</v>
      </c>
      <c r="DJ6" s="75" t="s">
        <v>19</v>
      </c>
      <c r="DK6" s="76">
        <v>19200.0</v>
      </c>
      <c r="DL6" s="76">
        <v>19200.0</v>
      </c>
      <c r="DM6" s="76">
        <v>1.0</v>
      </c>
      <c r="DN6" s="76">
        <v>2.0</v>
      </c>
      <c r="DO6" s="75" t="s">
        <v>54</v>
      </c>
      <c r="DP6" s="75" t="s">
        <v>47</v>
      </c>
      <c r="DQ6" s="75" t="s">
        <v>65</v>
      </c>
      <c r="DR6" s="75" t="s">
        <v>66</v>
      </c>
      <c r="DS6" s="75" t="s">
        <v>65</v>
      </c>
      <c r="DT6" s="75" t="s">
        <v>65</v>
      </c>
      <c r="DU6" s="75" t="s">
        <v>67</v>
      </c>
      <c r="DV6" s="75" t="s">
        <v>65</v>
      </c>
      <c r="DW6" s="75" t="s">
        <v>65</v>
      </c>
      <c r="DX6" s="75" t="s">
        <v>65</v>
      </c>
      <c r="DY6" s="75" t="s">
        <v>65</v>
      </c>
      <c r="DZ6" s="75" t="s">
        <v>48</v>
      </c>
      <c r="EA6" s="75" t="s">
        <v>67</v>
      </c>
      <c r="EB6" s="75" t="s">
        <v>65</v>
      </c>
      <c r="EC6" s="75" t="s">
        <v>65</v>
      </c>
      <c r="ED6" s="75" t="s">
        <v>29</v>
      </c>
      <c r="EE6" s="75" t="s">
        <v>68</v>
      </c>
      <c r="EF6" s="76">
        <v>0.0</v>
      </c>
      <c r="EG6" s="77">
        <v>152.11</v>
      </c>
      <c r="EH6" s="77">
        <v>152.11</v>
      </c>
      <c r="EI6" s="77">
        <v>152.11</v>
      </c>
      <c r="EJ6" s="77">
        <v>63.88</v>
      </c>
      <c r="EK6" s="77">
        <v>63.88</v>
      </c>
      <c r="EL6" s="75" t="s">
        <v>47</v>
      </c>
      <c r="EM6" s="76">
        <v>8148.0</v>
      </c>
      <c r="EN6" s="76">
        <v>8148.0</v>
      </c>
      <c r="EO6" s="77">
        <v>65.01</v>
      </c>
      <c r="EP6" s="77">
        <v>307.64</v>
      </c>
      <c r="EQ6" s="77">
        <v>152.11</v>
      </c>
      <c r="ER6" s="76">
        <v>8148.0</v>
      </c>
      <c r="ES6" s="77">
        <v>12754.34</v>
      </c>
      <c r="ET6" s="77">
        <v>1.57</v>
      </c>
      <c r="EU6" s="77">
        <v>152.11</v>
      </c>
      <c r="EV6" s="75" t="s">
        <v>47</v>
      </c>
      <c r="EW6" s="77">
        <v>12754.34</v>
      </c>
      <c r="EX6" s="78" t="b">
        <v>0</v>
      </c>
      <c r="EY6" s="75" t="s">
        <v>54</v>
      </c>
      <c r="EZ6" s="75" t="s">
        <v>54</v>
      </c>
      <c r="FA6" s="62"/>
      <c r="FB6" s="62"/>
      <c r="FC6" s="62"/>
      <c r="FD6" s="62"/>
      <c r="FE6" s="62"/>
      <c r="FF6" s="62"/>
      <c r="FG6" s="62"/>
      <c r="FH6" s="62"/>
      <c r="FI6" s="62"/>
      <c r="FJ6" s="62"/>
    </row>
    <row r="7" ht="15.75" customHeight="1">
      <c r="A7" s="60"/>
      <c r="B7" s="60"/>
      <c r="C7" s="75" t="s">
        <v>23</v>
      </c>
      <c r="D7" s="76">
        <v>100.0</v>
      </c>
      <c r="E7" s="75" t="s">
        <v>20</v>
      </c>
      <c r="F7" s="75" t="s">
        <v>44</v>
      </c>
      <c r="G7" s="76">
        <v>8.0</v>
      </c>
      <c r="H7" s="75" t="s">
        <v>47</v>
      </c>
      <c r="I7" s="77">
        <v>995.02</v>
      </c>
      <c r="J7" s="76">
        <v>10.0</v>
      </c>
      <c r="K7" s="77">
        <v>995.02</v>
      </c>
      <c r="L7" s="77">
        <v>995.02</v>
      </c>
      <c r="M7" s="77">
        <v>497.51</v>
      </c>
      <c r="N7" s="77">
        <v>99.5</v>
      </c>
      <c r="O7" s="75" t="s">
        <v>23</v>
      </c>
      <c r="P7" s="76">
        <v>9.0</v>
      </c>
      <c r="Q7" s="77">
        <v>-147.83</v>
      </c>
      <c r="R7" s="75" t="s">
        <v>49</v>
      </c>
      <c r="S7" s="75" t="s">
        <v>50</v>
      </c>
      <c r="T7" s="75" t="s">
        <v>51</v>
      </c>
      <c r="U7" s="75" t="s">
        <v>52</v>
      </c>
      <c r="V7" s="75" t="s">
        <v>69</v>
      </c>
      <c r="W7" s="75" t="s">
        <v>30</v>
      </c>
      <c r="X7" s="76">
        <v>1.0</v>
      </c>
      <c r="Y7" s="77">
        <v>1.0</v>
      </c>
      <c r="Z7" s="75" t="s">
        <v>54</v>
      </c>
      <c r="AA7" s="75" t="s">
        <v>54</v>
      </c>
      <c r="AB7" s="76">
        <v>0.0</v>
      </c>
      <c r="AC7" s="77">
        <v>11.11</v>
      </c>
      <c r="AD7" s="76">
        <v>1000.0</v>
      </c>
      <c r="AE7" s="76">
        <v>1000.0</v>
      </c>
      <c r="AF7" s="76">
        <v>100.0</v>
      </c>
      <c r="AG7" s="77">
        <v>995.02</v>
      </c>
      <c r="AH7" s="76">
        <v>1000.0</v>
      </c>
      <c r="AI7" s="77">
        <v>995.02</v>
      </c>
      <c r="AJ7" s="77">
        <v>780.15</v>
      </c>
      <c r="AK7" s="76">
        <v>100.0</v>
      </c>
      <c r="AL7" s="76">
        <v>1.0</v>
      </c>
      <c r="AM7" s="76">
        <v>1.0</v>
      </c>
      <c r="AN7" s="75" t="s">
        <v>19</v>
      </c>
      <c r="AO7" s="75" t="s">
        <v>54</v>
      </c>
      <c r="AP7" s="75" t="s">
        <v>47</v>
      </c>
      <c r="AQ7" s="75" t="s">
        <v>23</v>
      </c>
      <c r="AR7" s="76">
        <v>10.0</v>
      </c>
      <c r="AS7" s="76">
        <v>1.0</v>
      </c>
      <c r="AT7" s="75" t="s">
        <v>55</v>
      </c>
      <c r="AU7" s="75" t="s">
        <v>56</v>
      </c>
      <c r="AV7" s="76"/>
      <c r="AW7" s="76">
        <v>200.0</v>
      </c>
      <c r="AX7" s="76">
        <v>0.0</v>
      </c>
      <c r="AY7" s="76">
        <v>0.0</v>
      </c>
      <c r="AZ7" s="76">
        <v>1000.0</v>
      </c>
      <c r="BA7" s="77">
        <v>8.71</v>
      </c>
      <c r="BB7" s="75"/>
      <c r="BC7" s="76">
        <v>1.0</v>
      </c>
      <c r="BD7" s="76">
        <v>0.0</v>
      </c>
      <c r="BE7" s="75" t="s">
        <v>51</v>
      </c>
      <c r="BF7" s="75" t="s">
        <v>59</v>
      </c>
      <c r="BG7" s="75" t="s">
        <v>59</v>
      </c>
      <c r="BH7" s="75" t="s">
        <v>59</v>
      </c>
      <c r="BI7" s="75" t="s">
        <v>59</v>
      </c>
      <c r="BJ7" s="76">
        <v>0.0</v>
      </c>
      <c r="BK7" s="76">
        <v>0.0</v>
      </c>
      <c r="BL7" s="76">
        <v>0.0</v>
      </c>
      <c r="BM7" s="76">
        <v>0.0</v>
      </c>
      <c r="BN7" s="75"/>
      <c r="BO7" s="76">
        <v>0.0</v>
      </c>
      <c r="BP7" s="76">
        <v>0.0</v>
      </c>
      <c r="BQ7" s="75" t="s">
        <v>61</v>
      </c>
      <c r="BR7" s="75" t="s">
        <v>21</v>
      </c>
      <c r="BS7" s="76">
        <v>0.0</v>
      </c>
      <c r="BT7" s="76">
        <v>0.0</v>
      </c>
      <c r="BU7" s="75" t="s">
        <v>51</v>
      </c>
      <c r="BV7" s="75" t="s">
        <v>62</v>
      </c>
      <c r="BW7" s="76">
        <v>0.0</v>
      </c>
      <c r="BX7" s="77">
        <v>995.02</v>
      </c>
      <c r="BY7" s="77">
        <v>995.02</v>
      </c>
      <c r="BZ7" s="76">
        <v>10.0</v>
      </c>
      <c r="CA7" s="77">
        <v>9.95</v>
      </c>
      <c r="CB7" s="75"/>
      <c r="CC7" s="76">
        <v>0.0</v>
      </c>
      <c r="CD7" s="77">
        <v>99.5</v>
      </c>
      <c r="CE7" s="76">
        <v>0.0</v>
      </c>
      <c r="CF7" s="77">
        <v>-346.84</v>
      </c>
      <c r="CG7" s="77">
        <v>199.0</v>
      </c>
      <c r="CH7" s="77">
        <v>-12.94</v>
      </c>
      <c r="CI7" s="76">
        <v>0.0</v>
      </c>
      <c r="CJ7" s="76">
        <v>0.0</v>
      </c>
      <c r="CK7" s="78" t="b">
        <v>0</v>
      </c>
      <c r="CL7" s="75" t="s">
        <v>54</v>
      </c>
      <c r="CM7" s="75" t="s">
        <v>54</v>
      </c>
      <c r="CN7" s="75" t="s">
        <v>54</v>
      </c>
      <c r="CO7" s="75" t="s">
        <v>54</v>
      </c>
      <c r="CP7" s="75" t="s">
        <v>70</v>
      </c>
      <c r="CQ7" s="75" t="s">
        <v>54</v>
      </c>
      <c r="CR7" s="76"/>
      <c r="CS7" s="76">
        <v>8.0</v>
      </c>
      <c r="CT7" s="75" t="s">
        <v>54</v>
      </c>
      <c r="CU7" s="75" t="s">
        <v>54</v>
      </c>
      <c r="CV7" s="75" t="s">
        <v>54</v>
      </c>
      <c r="CW7" s="75" t="s">
        <v>54</v>
      </c>
      <c r="CX7" s="75" t="s">
        <v>54</v>
      </c>
      <c r="CY7" s="75" t="s">
        <v>64</v>
      </c>
      <c r="CZ7" s="75" t="s">
        <v>43</v>
      </c>
      <c r="DA7" s="76">
        <v>1000.0</v>
      </c>
      <c r="DB7" s="76">
        <v>10.0</v>
      </c>
      <c r="DC7" s="79"/>
      <c r="DD7" s="76">
        <v>100.0</v>
      </c>
      <c r="DE7" s="76">
        <v>0.0</v>
      </c>
      <c r="DF7" s="76">
        <v>0.0</v>
      </c>
      <c r="DG7" s="76">
        <v>0.0</v>
      </c>
      <c r="DH7" s="76">
        <v>9.0</v>
      </c>
      <c r="DI7" s="77">
        <v>11.11</v>
      </c>
      <c r="DJ7" s="75" t="s">
        <v>19</v>
      </c>
      <c r="DK7" s="76">
        <v>900.0</v>
      </c>
      <c r="DL7" s="77">
        <v>895.52</v>
      </c>
      <c r="DM7" s="77">
        <v>1.0</v>
      </c>
      <c r="DN7" s="76">
        <v>1.0</v>
      </c>
      <c r="DO7" s="75" t="s">
        <v>54</v>
      </c>
      <c r="DP7" s="75" t="s">
        <v>47</v>
      </c>
      <c r="DQ7" s="75" t="s">
        <v>59</v>
      </c>
      <c r="DR7" s="75" t="s">
        <v>71</v>
      </c>
      <c r="DS7" s="75" t="s">
        <v>59</v>
      </c>
      <c r="DT7" s="75" t="s">
        <v>59</v>
      </c>
      <c r="DU7" s="75" t="s">
        <v>59</v>
      </c>
      <c r="DV7" s="75" t="s">
        <v>59</v>
      </c>
      <c r="DW7" s="75" t="s">
        <v>59</v>
      </c>
      <c r="DX7" s="75" t="s">
        <v>59</v>
      </c>
      <c r="DY7" s="75" t="s">
        <v>59</v>
      </c>
      <c r="DZ7" s="75" t="s">
        <v>23</v>
      </c>
      <c r="EA7" s="75" t="s">
        <v>68</v>
      </c>
      <c r="EB7" s="75" t="s">
        <v>59</v>
      </c>
      <c r="EC7" s="75" t="s">
        <v>59</v>
      </c>
      <c r="ED7" s="75" t="s">
        <v>30</v>
      </c>
      <c r="EE7" s="75" t="s">
        <v>68</v>
      </c>
      <c r="EF7" s="77">
        <v>1.01</v>
      </c>
      <c r="EG7" s="77">
        <v>7.8</v>
      </c>
      <c r="EH7" s="77">
        <v>7.8</v>
      </c>
      <c r="EI7" s="77">
        <v>7.8</v>
      </c>
      <c r="EJ7" s="77">
        <v>3.9</v>
      </c>
      <c r="EK7" s="77">
        <v>3.9</v>
      </c>
      <c r="EL7" s="75" t="s">
        <v>47</v>
      </c>
      <c r="EM7" s="77">
        <v>497.51</v>
      </c>
      <c r="EN7" s="76">
        <v>500.0</v>
      </c>
      <c r="EO7" s="77">
        <v>32.34</v>
      </c>
      <c r="EP7" s="77">
        <v>307.64</v>
      </c>
      <c r="EQ7" s="77">
        <v>7.8</v>
      </c>
      <c r="ER7" s="76">
        <v>500.0</v>
      </c>
      <c r="ES7" s="77">
        <v>12754.34</v>
      </c>
      <c r="ET7" s="77">
        <v>0.78</v>
      </c>
      <c r="EU7" s="77">
        <v>7.8</v>
      </c>
      <c r="EV7" s="75" t="s">
        <v>47</v>
      </c>
      <c r="EW7" s="77">
        <v>12754.34</v>
      </c>
      <c r="EX7" s="78" t="b">
        <v>0</v>
      </c>
      <c r="EY7" s="75" t="s">
        <v>54</v>
      </c>
      <c r="EZ7" s="75" t="s">
        <v>54</v>
      </c>
      <c r="FA7" s="62"/>
      <c r="FB7" s="62"/>
      <c r="FC7" s="62"/>
      <c r="FD7" s="62"/>
      <c r="FE7" s="62"/>
      <c r="FF7" s="62"/>
      <c r="FG7" s="62"/>
      <c r="FH7" s="62"/>
      <c r="FI7" s="62"/>
      <c r="FJ7" s="62"/>
    </row>
    <row r="8" ht="15.75" customHeight="1">
      <c r="A8" s="60"/>
      <c r="B8" s="60"/>
      <c r="C8" s="75" t="s">
        <v>24</v>
      </c>
      <c r="D8" s="76">
        <v>100.0</v>
      </c>
      <c r="E8" s="75" t="s">
        <v>20</v>
      </c>
      <c r="F8" s="75" t="s">
        <v>44</v>
      </c>
      <c r="G8" s="76">
        <v>60.0</v>
      </c>
      <c r="H8" s="75" t="s">
        <v>47</v>
      </c>
      <c r="I8" s="76">
        <v>7440.0</v>
      </c>
      <c r="J8" s="77">
        <v>1.61</v>
      </c>
      <c r="K8" s="76">
        <v>7440.0</v>
      </c>
      <c r="L8" s="76">
        <v>7440.0</v>
      </c>
      <c r="M8" s="76">
        <v>2976.0</v>
      </c>
      <c r="N8" s="76">
        <v>120.0</v>
      </c>
      <c r="O8" s="75" t="s">
        <v>72</v>
      </c>
      <c r="P8" s="76">
        <v>61.0</v>
      </c>
      <c r="Q8" s="77">
        <v>840.0</v>
      </c>
      <c r="R8" s="75" t="s">
        <v>49</v>
      </c>
      <c r="S8" s="75" t="s">
        <v>50</v>
      </c>
      <c r="T8" s="75" t="s">
        <v>51</v>
      </c>
      <c r="U8" s="75" t="s">
        <v>73</v>
      </c>
      <c r="V8" s="75" t="s">
        <v>74</v>
      </c>
      <c r="W8" s="75" t="s">
        <v>32</v>
      </c>
      <c r="X8" s="76">
        <v>1.0</v>
      </c>
      <c r="Y8" s="76">
        <v>1.2</v>
      </c>
      <c r="Z8" s="75" t="s">
        <v>54</v>
      </c>
      <c r="AA8" s="75" t="s">
        <v>54</v>
      </c>
      <c r="AB8" s="76">
        <v>0.0</v>
      </c>
      <c r="AC8" s="77">
        <v>1.64</v>
      </c>
      <c r="AD8" s="76">
        <v>6200.0</v>
      </c>
      <c r="AE8" s="76">
        <v>6200.0</v>
      </c>
      <c r="AF8" s="76">
        <v>100.0</v>
      </c>
      <c r="AG8" s="76">
        <v>7440.0</v>
      </c>
      <c r="AH8" s="76">
        <v>6200.0</v>
      </c>
      <c r="AI8" s="76">
        <v>7440.0</v>
      </c>
      <c r="AJ8" s="77">
        <v>5833.31</v>
      </c>
      <c r="AK8" s="76">
        <v>100.0</v>
      </c>
      <c r="AL8" s="76">
        <v>1.0</v>
      </c>
      <c r="AM8" s="76">
        <v>1.0</v>
      </c>
      <c r="AN8" s="75" t="s">
        <v>19</v>
      </c>
      <c r="AO8" s="75" t="s">
        <v>54</v>
      </c>
      <c r="AP8" s="75" t="s">
        <v>47</v>
      </c>
      <c r="AQ8" s="75" t="s">
        <v>24</v>
      </c>
      <c r="AR8" s="76">
        <v>62.0</v>
      </c>
      <c r="AS8" s="76">
        <v>1.0</v>
      </c>
      <c r="AT8" s="75" t="s">
        <v>55</v>
      </c>
      <c r="AU8" s="75" t="s">
        <v>56</v>
      </c>
      <c r="AV8" s="76"/>
      <c r="AW8" s="76">
        <v>200.0</v>
      </c>
      <c r="AX8" s="76">
        <v>0.0</v>
      </c>
      <c r="AY8" s="76">
        <v>0.0</v>
      </c>
      <c r="AZ8" s="76">
        <v>6200.0</v>
      </c>
      <c r="BA8" s="77">
        <v>1.82</v>
      </c>
      <c r="BB8" s="75"/>
      <c r="BC8" s="76">
        <v>1.0</v>
      </c>
      <c r="BD8" s="76">
        <v>0.0</v>
      </c>
      <c r="BE8" s="75" t="s">
        <v>51</v>
      </c>
      <c r="BF8" s="75" t="s">
        <v>59</v>
      </c>
      <c r="BG8" s="75" t="s">
        <v>59</v>
      </c>
      <c r="BH8" s="75" t="s">
        <v>59</v>
      </c>
      <c r="BI8" s="75" t="s">
        <v>59</v>
      </c>
      <c r="BJ8" s="76">
        <v>0.0</v>
      </c>
      <c r="BK8" s="76">
        <v>0.0</v>
      </c>
      <c r="BL8" s="76">
        <v>0.0</v>
      </c>
      <c r="BM8" s="76">
        <v>0.0</v>
      </c>
      <c r="BN8" s="75"/>
      <c r="BO8" s="76">
        <v>0.0</v>
      </c>
      <c r="BP8" s="76">
        <v>0.0</v>
      </c>
      <c r="BQ8" s="75" t="s">
        <v>61</v>
      </c>
      <c r="BR8" s="75" t="s">
        <v>21</v>
      </c>
      <c r="BS8" s="76">
        <v>0.0</v>
      </c>
      <c r="BT8" s="76">
        <v>0.0</v>
      </c>
      <c r="BU8" s="75" t="s">
        <v>51</v>
      </c>
      <c r="BV8" s="75" t="s">
        <v>62</v>
      </c>
      <c r="BW8" s="76">
        <v>0.0</v>
      </c>
      <c r="BX8" s="76">
        <v>7440.0</v>
      </c>
      <c r="BY8" s="76">
        <v>7440.0</v>
      </c>
      <c r="BZ8" s="76">
        <v>62.0</v>
      </c>
      <c r="CA8" s="76">
        <v>74.4</v>
      </c>
      <c r="CB8" s="75"/>
      <c r="CC8" s="76">
        <v>0.0</v>
      </c>
      <c r="CD8" s="76">
        <v>120.0</v>
      </c>
      <c r="CE8" s="76">
        <v>0.0</v>
      </c>
      <c r="CF8" s="77">
        <v>600.0</v>
      </c>
      <c r="CG8" s="76">
        <v>240.0</v>
      </c>
      <c r="CH8" s="77">
        <v>12.73</v>
      </c>
      <c r="CI8" s="76">
        <v>0.0</v>
      </c>
      <c r="CJ8" s="76">
        <v>0.0</v>
      </c>
      <c r="CK8" s="78" t="b">
        <v>0</v>
      </c>
      <c r="CL8" s="75" t="s">
        <v>54</v>
      </c>
      <c r="CM8" s="75" t="s">
        <v>54</v>
      </c>
      <c r="CN8" s="76">
        <v>5756029.0</v>
      </c>
      <c r="CO8" s="75" t="s">
        <v>54</v>
      </c>
      <c r="CP8" s="75" t="s">
        <v>75</v>
      </c>
      <c r="CQ8" s="75" t="s">
        <v>76</v>
      </c>
      <c r="CR8" s="76"/>
      <c r="CS8" s="76">
        <v>60.0</v>
      </c>
      <c r="CT8" s="75" t="s">
        <v>54</v>
      </c>
      <c r="CU8" s="75" t="s">
        <v>54</v>
      </c>
      <c r="CV8" s="75" t="s">
        <v>54</v>
      </c>
      <c r="CW8" s="75" t="s">
        <v>54</v>
      </c>
      <c r="CX8" s="75" t="s">
        <v>54</v>
      </c>
      <c r="CY8" s="75" t="s">
        <v>64</v>
      </c>
      <c r="CZ8" s="75" t="s">
        <v>43</v>
      </c>
      <c r="DA8" s="76">
        <v>6200.0</v>
      </c>
      <c r="DB8" s="77">
        <v>1.61</v>
      </c>
      <c r="DC8" s="79"/>
      <c r="DD8" s="76">
        <v>100.0</v>
      </c>
      <c r="DE8" s="76">
        <v>0.0</v>
      </c>
      <c r="DF8" s="76">
        <v>0.0</v>
      </c>
      <c r="DG8" s="76">
        <v>0.0</v>
      </c>
      <c r="DH8" s="76">
        <v>61.0</v>
      </c>
      <c r="DI8" s="77">
        <v>1.64</v>
      </c>
      <c r="DJ8" s="75" t="s">
        <v>19</v>
      </c>
      <c r="DK8" s="76">
        <v>6100.0</v>
      </c>
      <c r="DL8" s="76">
        <v>7320.0</v>
      </c>
      <c r="DM8" s="76">
        <v>1.2</v>
      </c>
      <c r="DN8" s="76">
        <v>1.0</v>
      </c>
      <c r="DO8" s="75" t="s">
        <v>77</v>
      </c>
      <c r="DP8" s="75" t="s">
        <v>47</v>
      </c>
      <c r="DQ8" s="75" t="s">
        <v>59</v>
      </c>
      <c r="DR8" s="75" t="s">
        <v>71</v>
      </c>
      <c r="DS8" s="75" t="s">
        <v>59</v>
      </c>
      <c r="DT8" s="75" t="s">
        <v>59</v>
      </c>
      <c r="DU8" s="75" t="s">
        <v>59</v>
      </c>
      <c r="DV8" s="75" t="s">
        <v>59</v>
      </c>
      <c r="DW8" s="75" t="s">
        <v>59</v>
      </c>
      <c r="DX8" s="75" t="s">
        <v>59</v>
      </c>
      <c r="DY8" s="75" t="s">
        <v>59</v>
      </c>
      <c r="DZ8" s="75" t="s">
        <v>72</v>
      </c>
      <c r="EA8" s="75" t="s">
        <v>68</v>
      </c>
      <c r="EB8" s="75" t="s">
        <v>59</v>
      </c>
      <c r="EC8" s="75" t="s">
        <v>59</v>
      </c>
      <c r="ED8" s="75" t="s">
        <v>32</v>
      </c>
      <c r="EE8" s="75" t="s">
        <v>68</v>
      </c>
      <c r="EF8" s="76">
        <v>1.2</v>
      </c>
      <c r="EG8" s="77">
        <v>58.33</v>
      </c>
      <c r="EH8" s="77">
        <v>58.33</v>
      </c>
      <c r="EI8" s="77">
        <v>58.33</v>
      </c>
      <c r="EJ8" s="77">
        <v>23.33</v>
      </c>
      <c r="EK8" s="77">
        <v>23.33</v>
      </c>
      <c r="EL8" s="75" t="s">
        <v>47</v>
      </c>
      <c r="EM8" s="76">
        <v>2976.0</v>
      </c>
      <c r="EN8" s="76">
        <v>2480.0</v>
      </c>
      <c r="EO8" s="77">
        <v>39.01</v>
      </c>
      <c r="EP8" s="77">
        <v>307.64</v>
      </c>
      <c r="EQ8" s="77">
        <v>58.33</v>
      </c>
      <c r="ER8" s="76">
        <v>2480.0</v>
      </c>
      <c r="ES8" s="77">
        <v>12754.34</v>
      </c>
      <c r="ET8" s="77">
        <v>0.94</v>
      </c>
      <c r="EU8" s="77">
        <v>58.33</v>
      </c>
      <c r="EV8" s="75" t="s">
        <v>47</v>
      </c>
      <c r="EW8" s="77">
        <v>12754.34</v>
      </c>
      <c r="EX8" s="78" t="b">
        <v>0</v>
      </c>
      <c r="EY8" s="75" t="s">
        <v>54</v>
      </c>
      <c r="EZ8" s="75" t="s">
        <v>54</v>
      </c>
      <c r="FA8" s="62"/>
      <c r="FB8" s="62"/>
      <c r="FC8" s="62"/>
      <c r="FD8" s="62"/>
      <c r="FE8" s="62"/>
      <c r="FF8" s="62"/>
      <c r="FG8" s="62"/>
      <c r="FH8" s="62"/>
      <c r="FI8" s="62"/>
      <c r="FJ8" s="62"/>
    </row>
    <row r="9" ht="15.75" customHeight="1">
      <c r="A9" s="60"/>
      <c r="B9" s="60"/>
      <c r="C9" s="75" t="s">
        <v>23</v>
      </c>
      <c r="D9" s="76">
        <v>-50.0</v>
      </c>
      <c r="E9" s="75" t="s">
        <v>20</v>
      </c>
      <c r="F9" s="75" t="s">
        <v>44</v>
      </c>
      <c r="G9" s="76">
        <v>191.0</v>
      </c>
      <c r="H9" s="75" t="s">
        <v>47</v>
      </c>
      <c r="I9" s="77">
        <v>-497.51</v>
      </c>
      <c r="J9" s="77">
        <v>2603.59</v>
      </c>
      <c r="K9" s="77">
        <v>-497.51</v>
      </c>
      <c r="L9" s="77">
        <v>497.51</v>
      </c>
      <c r="M9" s="77">
        <v>497.51</v>
      </c>
      <c r="N9" s="77">
        <v>12953.19</v>
      </c>
      <c r="O9" s="75" t="s">
        <v>23</v>
      </c>
      <c r="P9" s="76">
        <v>9.0</v>
      </c>
      <c r="Q9" s="77">
        <v>12953.19</v>
      </c>
      <c r="R9" s="75" t="s">
        <v>49</v>
      </c>
      <c r="S9" s="75" t="s">
        <v>50</v>
      </c>
      <c r="T9" s="75" t="s">
        <v>51</v>
      </c>
      <c r="U9" s="75" t="s">
        <v>52</v>
      </c>
      <c r="V9" s="75" t="s">
        <v>69</v>
      </c>
      <c r="W9" s="75" t="s">
        <v>30</v>
      </c>
      <c r="X9" s="76">
        <v>1.0</v>
      </c>
      <c r="Y9" s="77">
        <v>1.0</v>
      </c>
      <c r="Z9" s="75" t="s">
        <v>54</v>
      </c>
      <c r="AA9" s="75" t="s">
        <v>54</v>
      </c>
      <c r="AB9" s="76">
        <v>0.0</v>
      </c>
      <c r="AC9" s="77">
        <v>11.11</v>
      </c>
      <c r="AD9" s="76">
        <v>-500.0</v>
      </c>
      <c r="AE9" s="76">
        <v>-500.0</v>
      </c>
      <c r="AF9" s="76">
        <v>-50.0</v>
      </c>
      <c r="AG9" s="77">
        <v>-497.51</v>
      </c>
      <c r="AH9" s="76">
        <v>-500.0</v>
      </c>
      <c r="AI9" s="77">
        <v>-497.51</v>
      </c>
      <c r="AJ9" s="77">
        <v>-390.07</v>
      </c>
      <c r="AK9" s="76">
        <v>9050.0</v>
      </c>
      <c r="AL9" s="76">
        <v>1.0</v>
      </c>
      <c r="AM9" s="76">
        <v>1.0</v>
      </c>
      <c r="AN9" s="75" t="s">
        <v>36</v>
      </c>
      <c r="AO9" s="75" t="s">
        <v>54</v>
      </c>
      <c r="AP9" s="75" t="s">
        <v>47</v>
      </c>
      <c r="AQ9" s="75" t="s">
        <v>23</v>
      </c>
      <c r="AR9" s="76">
        <v>10.0</v>
      </c>
      <c r="AS9" s="76">
        <v>-1.0</v>
      </c>
      <c r="AT9" s="75" t="s">
        <v>55</v>
      </c>
      <c r="AU9" s="75" t="s">
        <v>56</v>
      </c>
      <c r="AV9" s="76"/>
      <c r="AW9" s="76">
        <v>9050.0</v>
      </c>
      <c r="AX9" s="76">
        <v>0.0</v>
      </c>
      <c r="AY9" s="76">
        <v>0.0</v>
      </c>
      <c r="AZ9" s="76">
        <v>-500.0</v>
      </c>
      <c r="BA9" s="77">
        <v>66.95</v>
      </c>
      <c r="BB9" s="75"/>
      <c r="BC9" s="76">
        <v>1.0</v>
      </c>
      <c r="BD9" s="76">
        <v>9550.0</v>
      </c>
      <c r="BE9" s="75" t="s">
        <v>51</v>
      </c>
      <c r="BF9" s="75" t="s">
        <v>59</v>
      </c>
      <c r="BG9" s="75" t="s">
        <v>59</v>
      </c>
      <c r="BH9" s="75" t="s">
        <v>59</v>
      </c>
      <c r="BI9" s="75" t="s">
        <v>59</v>
      </c>
      <c r="BJ9" s="76">
        <v>0.0</v>
      </c>
      <c r="BK9" s="76">
        <v>0.0</v>
      </c>
      <c r="BL9" s="76">
        <v>0.0</v>
      </c>
      <c r="BM9" s="76">
        <v>0.0</v>
      </c>
      <c r="BN9" s="75"/>
      <c r="BO9" s="77">
        <v>13450.7</v>
      </c>
      <c r="BP9" s="76">
        <v>0.0</v>
      </c>
      <c r="BQ9" s="75" t="s">
        <v>61</v>
      </c>
      <c r="BR9" s="75" t="s">
        <v>21</v>
      </c>
      <c r="BS9" s="76">
        <v>0.0</v>
      </c>
      <c r="BT9" s="76">
        <v>0.0</v>
      </c>
      <c r="BU9" s="75" t="s">
        <v>51</v>
      </c>
      <c r="BV9" s="75" t="s">
        <v>62</v>
      </c>
      <c r="BW9" s="76">
        <v>0.0</v>
      </c>
      <c r="BX9" s="77">
        <v>497.51</v>
      </c>
      <c r="BY9" s="77">
        <v>497.51</v>
      </c>
      <c r="BZ9" s="76">
        <v>10.0</v>
      </c>
      <c r="CA9" s="77">
        <v>9.95</v>
      </c>
      <c r="CB9" s="75"/>
      <c r="CC9" s="76">
        <v>0.0</v>
      </c>
      <c r="CD9" s="77">
        <v>9004.98</v>
      </c>
      <c r="CE9" s="77">
        <v>3948.22</v>
      </c>
      <c r="CF9" s="77">
        <v>3948.22</v>
      </c>
      <c r="CG9" s="77">
        <v>9004.98</v>
      </c>
      <c r="CH9" s="77">
        <v>96.3</v>
      </c>
      <c r="CI9" s="76">
        <v>0.0</v>
      </c>
      <c r="CJ9" s="76">
        <v>0.0</v>
      </c>
      <c r="CK9" s="78" t="b">
        <v>0</v>
      </c>
      <c r="CL9" s="75" t="s">
        <v>54</v>
      </c>
      <c r="CM9" s="75" t="s">
        <v>54</v>
      </c>
      <c r="CN9" s="75" t="s">
        <v>54</v>
      </c>
      <c r="CO9" s="75" t="s">
        <v>54</v>
      </c>
      <c r="CP9" s="75" t="s">
        <v>70</v>
      </c>
      <c r="CQ9" s="75" t="s">
        <v>54</v>
      </c>
      <c r="CR9" s="76"/>
      <c r="CS9" s="76">
        <v>191.0</v>
      </c>
      <c r="CT9" s="75" t="s">
        <v>54</v>
      </c>
      <c r="CU9" s="75" t="s">
        <v>54</v>
      </c>
      <c r="CV9" s="75" t="s">
        <v>54</v>
      </c>
      <c r="CW9" s="75" t="s">
        <v>54</v>
      </c>
      <c r="CX9" s="75" t="s">
        <v>54</v>
      </c>
      <c r="CY9" s="75" t="s">
        <v>64</v>
      </c>
      <c r="CZ9" s="75" t="s">
        <v>43</v>
      </c>
      <c r="DA9" s="76">
        <v>500.0</v>
      </c>
      <c r="DB9" s="77">
        <v>-2603.59</v>
      </c>
      <c r="DC9" s="79"/>
      <c r="DD9" s="76">
        <v>-50.0</v>
      </c>
      <c r="DE9" s="76">
        <v>0.0</v>
      </c>
      <c r="DF9" s="76">
        <v>0.0</v>
      </c>
      <c r="DG9" s="76">
        <v>0.0</v>
      </c>
      <c r="DH9" s="76">
        <v>9.0</v>
      </c>
      <c r="DI9" s="77">
        <v>11.11</v>
      </c>
      <c r="DJ9" s="75" t="s">
        <v>36</v>
      </c>
      <c r="DK9" s="76">
        <v>0.0</v>
      </c>
      <c r="DL9" s="76">
        <v>0.0</v>
      </c>
      <c r="DM9" s="77">
        <v>1.0</v>
      </c>
      <c r="DN9" s="76">
        <v>1.0</v>
      </c>
      <c r="DO9" s="75" t="s">
        <v>54</v>
      </c>
      <c r="DP9" s="75" t="s">
        <v>47</v>
      </c>
      <c r="DQ9" s="75" t="s">
        <v>59</v>
      </c>
      <c r="DR9" s="75" t="s">
        <v>71</v>
      </c>
      <c r="DS9" s="75" t="s">
        <v>59</v>
      </c>
      <c r="DT9" s="75" t="s">
        <v>59</v>
      </c>
      <c r="DU9" s="75" t="s">
        <v>59</v>
      </c>
      <c r="DV9" s="75" t="s">
        <v>59</v>
      </c>
      <c r="DW9" s="75" t="s">
        <v>59</v>
      </c>
      <c r="DX9" s="75" t="s">
        <v>59</v>
      </c>
      <c r="DY9" s="75" t="s">
        <v>59</v>
      </c>
      <c r="DZ9" s="75" t="s">
        <v>23</v>
      </c>
      <c r="EA9" s="75" t="s">
        <v>68</v>
      </c>
      <c r="EB9" s="75" t="s">
        <v>59</v>
      </c>
      <c r="EC9" s="75" t="s">
        <v>59</v>
      </c>
      <c r="ED9" s="75" t="s">
        <v>30</v>
      </c>
      <c r="EE9" s="75" t="s">
        <v>68</v>
      </c>
      <c r="EF9" s="77">
        <v>1.01</v>
      </c>
      <c r="EG9" s="77">
        <v>-3.9</v>
      </c>
      <c r="EH9" s="77">
        <v>3.9</v>
      </c>
      <c r="EI9" s="77">
        <v>-3.9</v>
      </c>
      <c r="EJ9" s="77">
        <v>3.9</v>
      </c>
      <c r="EK9" s="77">
        <v>3.9</v>
      </c>
      <c r="EL9" s="75" t="s">
        <v>47</v>
      </c>
      <c r="EM9" s="77">
        <v>497.51</v>
      </c>
      <c r="EN9" s="76">
        <v>500.0</v>
      </c>
      <c r="EO9" s="77">
        <v>4210.49</v>
      </c>
      <c r="EP9" s="77">
        <v>307.64</v>
      </c>
      <c r="EQ9" s="77">
        <v>3.9</v>
      </c>
      <c r="ER9" s="76">
        <v>500.0</v>
      </c>
      <c r="ES9" s="77">
        <v>12754.34</v>
      </c>
      <c r="ET9" s="77">
        <v>101.56</v>
      </c>
      <c r="EU9" s="77">
        <v>-3.9</v>
      </c>
      <c r="EV9" s="75" t="s">
        <v>47</v>
      </c>
      <c r="EW9" s="77">
        <v>12754.34</v>
      </c>
      <c r="EX9" s="78" t="b">
        <v>0</v>
      </c>
      <c r="EY9" s="75" t="s">
        <v>54</v>
      </c>
      <c r="EZ9" s="75" t="s">
        <v>54</v>
      </c>
      <c r="FA9" s="62"/>
      <c r="FB9" s="62"/>
      <c r="FC9" s="62"/>
      <c r="FD9" s="62"/>
      <c r="FE9" s="62"/>
      <c r="FF9" s="62"/>
      <c r="FG9" s="62"/>
      <c r="FH9" s="62"/>
      <c r="FI9" s="62"/>
      <c r="FJ9" s="62"/>
    </row>
    <row r="10" ht="15.75" customHeight="1">
      <c r="A10" s="60"/>
      <c r="B10" s="60"/>
      <c r="C10" s="75" t="s">
        <v>24</v>
      </c>
      <c r="D10" s="76">
        <v>-60.0</v>
      </c>
      <c r="E10" s="75" t="s">
        <v>20</v>
      </c>
      <c r="F10" s="75" t="s">
        <v>44</v>
      </c>
      <c r="G10" s="76">
        <v>58.0</v>
      </c>
      <c r="H10" s="75" t="s">
        <v>47</v>
      </c>
      <c r="I10" s="76">
        <v>-4464.0</v>
      </c>
      <c r="J10" s="77">
        <v>-14.25</v>
      </c>
      <c r="K10" s="76">
        <v>-4464.0</v>
      </c>
      <c r="L10" s="76">
        <v>4464.0</v>
      </c>
      <c r="M10" s="76">
        <v>2976.0</v>
      </c>
      <c r="N10" s="76">
        <v>-636.0</v>
      </c>
      <c r="O10" s="75" t="s">
        <v>72</v>
      </c>
      <c r="P10" s="76">
        <v>61.0</v>
      </c>
      <c r="Q10" s="76">
        <v>-636.0</v>
      </c>
      <c r="R10" s="75" t="s">
        <v>49</v>
      </c>
      <c r="S10" s="75" t="s">
        <v>50</v>
      </c>
      <c r="T10" s="75" t="s">
        <v>51</v>
      </c>
      <c r="U10" s="75" t="s">
        <v>73</v>
      </c>
      <c r="V10" s="75" t="s">
        <v>74</v>
      </c>
      <c r="W10" s="75" t="s">
        <v>32</v>
      </c>
      <c r="X10" s="76">
        <v>1.0</v>
      </c>
      <c r="Y10" s="76">
        <v>1.2</v>
      </c>
      <c r="Z10" s="75" t="s">
        <v>54</v>
      </c>
      <c r="AA10" s="75" t="s">
        <v>54</v>
      </c>
      <c r="AB10" s="76">
        <v>0.0</v>
      </c>
      <c r="AC10" s="77">
        <v>1.64</v>
      </c>
      <c r="AD10" s="76">
        <v>-3720.0</v>
      </c>
      <c r="AE10" s="76">
        <v>-3720.0</v>
      </c>
      <c r="AF10" s="76">
        <v>-60.0</v>
      </c>
      <c r="AG10" s="76">
        <v>-4464.0</v>
      </c>
      <c r="AH10" s="76">
        <v>-3720.0</v>
      </c>
      <c r="AI10" s="76">
        <v>-4464.0</v>
      </c>
      <c r="AJ10" s="77">
        <v>-3499.99</v>
      </c>
      <c r="AK10" s="76">
        <v>-240.0</v>
      </c>
      <c r="AL10" s="76">
        <v>1.0</v>
      </c>
      <c r="AM10" s="76">
        <v>1.0</v>
      </c>
      <c r="AN10" s="75" t="s">
        <v>36</v>
      </c>
      <c r="AO10" s="75" t="s">
        <v>54</v>
      </c>
      <c r="AP10" s="75" t="s">
        <v>47</v>
      </c>
      <c r="AQ10" s="75" t="s">
        <v>24</v>
      </c>
      <c r="AR10" s="76">
        <v>62.0</v>
      </c>
      <c r="AS10" s="76">
        <v>-1.0</v>
      </c>
      <c r="AT10" s="75" t="s">
        <v>55</v>
      </c>
      <c r="AU10" s="75" t="s">
        <v>56</v>
      </c>
      <c r="AV10" s="76"/>
      <c r="AW10" s="76">
        <v>-240.0</v>
      </c>
      <c r="AX10" s="76">
        <v>0.0</v>
      </c>
      <c r="AY10" s="76">
        <v>0.0</v>
      </c>
      <c r="AZ10" s="76">
        <v>-3720.0</v>
      </c>
      <c r="BA10" s="77">
        <v>-7.52</v>
      </c>
      <c r="BB10" s="75"/>
      <c r="BC10" s="76">
        <v>1.0</v>
      </c>
      <c r="BD10" s="76">
        <v>3480.0</v>
      </c>
      <c r="BE10" s="75" t="s">
        <v>51</v>
      </c>
      <c r="BF10" s="75" t="s">
        <v>59</v>
      </c>
      <c r="BG10" s="75" t="s">
        <v>59</v>
      </c>
      <c r="BH10" s="75" t="s">
        <v>59</v>
      </c>
      <c r="BI10" s="75" t="s">
        <v>59</v>
      </c>
      <c r="BJ10" s="76">
        <v>0.0</v>
      </c>
      <c r="BK10" s="76">
        <v>0.0</v>
      </c>
      <c r="BL10" s="76">
        <v>0.0</v>
      </c>
      <c r="BM10" s="76">
        <v>0.0</v>
      </c>
      <c r="BN10" s="75"/>
      <c r="BO10" s="76">
        <v>3828.0</v>
      </c>
      <c r="BP10" s="76">
        <v>0.0</v>
      </c>
      <c r="BQ10" s="75" t="s">
        <v>61</v>
      </c>
      <c r="BR10" s="75" t="s">
        <v>21</v>
      </c>
      <c r="BS10" s="76">
        <v>0.0</v>
      </c>
      <c r="BT10" s="76">
        <v>0.0</v>
      </c>
      <c r="BU10" s="75" t="s">
        <v>51</v>
      </c>
      <c r="BV10" s="75" t="s">
        <v>62</v>
      </c>
      <c r="BW10" s="76">
        <v>0.0</v>
      </c>
      <c r="BX10" s="76">
        <v>4464.0</v>
      </c>
      <c r="BY10" s="76">
        <v>4464.0</v>
      </c>
      <c r="BZ10" s="76">
        <v>62.0</v>
      </c>
      <c r="CA10" s="76">
        <v>74.4</v>
      </c>
      <c r="CB10" s="75"/>
      <c r="CC10" s="76">
        <v>0.0</v>
      </c>
      <c r="CD10" s="76">
        <v>-288.0</v>
      </c>
      <c r="CE10" s="76">
        <v>-348.0</v>
      </c>
      <c r="CF10" s="76">
        <v>-348.0</v>
      </c>
      <c r="CG10" s="76">
        <v>-288.0</v>
      </c>
      <c r="CH10" s="77">
        <v>-16.61</v>
      </c>
      <c r="CI10" s="76">
        <v>0.0</v>
      </c>
      <c r="CJ10" s="76">
        <v>0.0</v>
      </c>
      <c r="CK10" s="78" t="b">
        <v>0</v>
      </c>
      <c r="CL10" s="75" t="s">
        <v>54</v>
      </c>
      <c r="CM10" s="75" t="s">
        <v>54</v>
      </c>
      <c r="CN10" s="76">
        <v>5756029.0</v>
      </c>
      <c r="CO10" s="75" t="s">
        <v>54</v>
      </c>
      <c r="CP10" s="75" t="s">
        <v>75</v>
      </c>
      <c r="CQ10" s="75" t="s">
        <v>76</v>
      </c>
      <c r="CR10" s="76"/>
      <c r="CS10" s="76">
        <v>58.0</v>
      </c>
      <c r="CT10" s="75" t="s">
        <v>54</v>
      </c>
      <c r="CU10" s="75" t="s">
        <v>54</v>
      </c>
      <c r="CV10" s="75" t="s">
        <v>54</v>
      </c>
      <c r="CW10" s="75" t="s">
        <v>54</v>
      </c>
      <c r="CX10" s="75" t="s">
        <v>54</v>
      </c>
      <c r="CY10" s="75" t="s">
        <v>64</v>
      </c>
      <c r="CZ10" s="75" t="s">
        <v>43</v>
      </c>
      <c r="DA10" s="76">
        <v>3720.0</v>
      </c>
      <c r="DB10" s="77">
        <v>14.25</v>
      </c>
      <c r="DC10" s="79"/>
      <c r="DD10" s="76">
        <v>-60.0</v>
      </c>
      <c r="DE10" s="76">
        <v>0.0</v>
      </c>
      <c r="DF10" s="76">
        <v>0.0</v>
      </c>
      <c r="DG10" s="76">
        <v>0.0</v>
      </c>
      <c r="DH10" s="76">
        <v>61.0</v>
      </c>
      <c r="DI10" s="77">
        <v>1.64</v>
      </c>
      <c r="DJ10" s="75" t="s">
        <v>36</v>
      </c>
      <c r="DK10" s="76">
        <v>0.0</v>
      </c>
      <c r="DL10" s="76">
        <v>0.0</v>
      </c>
      <c r="DM10" s="76">
        <v>1.2</v>
      </c>
      <c r="DN10" s="76">
        <v>1.0</v>
      </c>
      <c r="DO10" s="75" t="s">
        <v>77</v>
      </c>
      <c r="DP10" s="75" t="s">
        <v>47</v>
      </c>
      <c r="DQ10" s="75" t="s">
        <v>59</v>
      </c>
      <c r="DR10" s="75" t="s">
        <v>71</v>
      </c>
      <c r="DS10" s="75" t="s">
        <v>59</v>
      </c>
      <c r="DT10" s="75" t="s">
        <v>59</v>
      </c>
      <c r="DU10" s="75" t="s">
        <v>59</v>
      </c>
      <c r="DV10" s="75" t="s">
        <v>59</v>
      </c>
      <c r="DW10" s="75" t="s">
        <v>59</v>
      </c>
      <c r="DX10" s="75" t="s">
        <v>59</v>
      </c>
      <c r="DY10" s="75" t="s">
        <v>59</v>
      </c>
      <c r="DZ10" s="75" t="s">
        <v>72</v>
      </c>
      <c r="EA10" s="75" t="s">
        <v>68</v>
      </c>
      <c r="EB10" s="75" t="s">
        <v>59</v>
      </c>
      <c r="EC10" s="75" t="s">
        <v>59</v>
      </c>
      <c r="ED10" s="75" t="s">
        <v>32</v>
      </c>
      <c r="EE10" s="75" t="s">
        <v>68</v>
      </c>
      <c r="EF10" s="76">
        <v>1.2</v>
      </c>
      <c r="EG10" s="77">
        <v>-35.0</v>
      </c>
      <c r="EH10" s="77">
        <v>35.0</v>
      </c>
      <c r="EI10" s="77">
        <v>-35.0</v>
      </c>
      <c r="EJ10" s="77">
        <v>23.33</v>
      </c>
      <c r="EK10" s="77">
        <v>23.33</v>
      </c>
      <c r="EL10" s="75" t="s">
        <v>47</v>
      </c>
      <c r="EM10" s="76">
        <v>2976.0</v>
      </c>
      <c r="EN10" s="76">
        <v>2480.0</v>
      </c>
      <c r="EO10" s="77">
        <v>-206.73</v>
      </c>
      <c r="EP10" s="77">
        <v>307.64</v>
      </c>
      <c r="EQ10" s="77">
        <v>35.0</v>
      </c>
      <c r="ER10" s="76">
        <v>2480.0</v>
      </c>
      <c r="ES10" s="77">
        <v>12754.34</v>
      </c>
      <c r="ET10" s="77">
        <v>-4.99</v>
      </c>
      <c r="EU10" s="77">
        <v>-35.0</v>
      </c>
      <c r="EV10" s="75" t="s">
        <v>47</v>
      </c>
      <c r="EW10" s="77">
        <v>12754.34</v>
      </c>
      <c r="EX10" s="78" t="b">
        <v>0</v>
      </c>
      <c r="EY10" s="75" t="s">
        <v>54</v>
      </c>
      <c r="EZ10" s="75" t="s">
        <v>54</v>
      </c>
      <c r="FA10" s="62"/>
      <c r="FB10" s="62"/>
      <c r="FC10" s="62"/>
      <c r="FD10" s="62"/>
      <c r="FE10" s="62"/>
      <c r="FF10" s="62"/>
      <c r="FG10" s="62"/>
      <c r="FH10" s="62"/>
      <c r="FI10" s="62"/>
      <c r="FJ10" s="62"/>
    </row>
    <row r="11" ht="15.75" customHeight="1">
      <c r="A11" s="60"/>
      <c r="B11" s="60"/>
      <c r="C11" s="75" t="s">
        <v>18</v>
      </c>
      <c r="D11" s="76">
        <v>-58.0</v>
      </c>
      <c r="E11" s="75" t="s">
        <v>20</v>
      </c>
      <c r="F11" s="75" t="s">
        <v>44</v>
      </c>
      <c r="G11" s="76">
        <v>189.0</v>
      </c>
      <c r="H11" s="75" t="s">
        <v>47</v>
      </c>
      <c r="I11" s="76">
        <v>-11252.0</v>
      </c>
      <c r="J11" s="77">
        <v>-2.58</v>
      </c>
      <c r="K11" s="76">
        <v>-11252.0</v>
      </c>
      <c r="L11" s="76">
        <v>11252.0</v>
      </c>
      <c r="M11" s="76">
        <v>8148.0</v>
      </c>
      <c r="N11" s="76">
        <v>-290.0</v>
      </c>
      <c r="O11" s="75" t="s">
        <v>48</v>
      </c>
      <c r="P11" s="76">
        <v>192.0</v>
      </c>
      <c r="Q11" s="76">
        <v>-290.0</v>
      </c>
      <c r="R11" s="75" t="s">
        <v>49</v>
      </c>
      <c r="S11" s="75" t="s">
        <v>50</v>
      </c>
      <c r="T11" s="75" t="s">
        <v>51</v>
      </c>
      <c r="U11" s="75" t="s">
        <v>52</v>
      </c>
      <c r="V11" s="75" t="s">
        <v>53</v>
      </c>
      <c r="W11" s="75" t="s">
        <v>29</v>
      </c>
      <c r="X11" s="76">
        <v>1.0</v>
      </c>
      <c r="Y11" s="76">
        <v>1.0</v>
      </c>
      <c r="Z11" s="75" t="s">
        <v>54</v>
      </c>
      <c r="AA11" s="75" t="s">
        <v>54</v>
      </c>
      <c r="AB11" s="76">
        <v>0.0</v>
      </c>
      <c r="AC11" s="77">
        <v>1.04</v>
      </c>
      <c r="AD11" s="76">
        <v>-11252.0</v>
      </c>
      <c r="AE11" s="76">
        <v>-11252.0</v>
      </c>
      <c r="AF11" s="76">
        <v>-58.0</v>
      </c>
      <c r="AG11" s="76">
        <v>-11252.0</v>
      </c>
      <c r="AH11" s="76">
        <v>-11252.0</v>
      </c>
      <c r="AI11" s="76">
        <v>-11252.0</v>
      </c>
      <c r="AJ11" s="77">
        <v>-8822.1</v>
      </c>
      <c r="AK11" s="76">
        <v>-290.0</v>
      </c>
      <c r="AL11" s="76">
        <v>1.0</v>
      </c>
      <c r="AM11" s="76">
        <v>1.0</v>
      </c>
      <c r="AN11" s="75" t="s">
        <v>36</v>
      </c>
      <c r="AO11" s="75" t="s">
        <v>54</v>
      </c>
      <c r="AP11" s="75" t="s">
        <v>47</v>
      </c>
      <c r="AQ11" s="75" t="s">
        <v>18</v>
      </c>
      <c r="AR11" s="76">
        <v>194.0</v>
      </c>
      <c r="AS11" s="76">
        <v>-1.0</v>
      </c>
      <c r="AT11" s="75" t="s">
        <v>55</v>
      </c>
      <c r="AU11" s="75" t="s">
        <v>56</v>
      </c>
      <c r="AV11" s="76"/>
      <c r="AW11" s="76">
        <v>-290.0</v>
      </c>
      <c r="AX11" s="76">
        <v>0.0</v>
      </c>
      <c r="AY11" s="76">
        <v>0.0</v>
      </c>
      <c r="AZ11" s="76">
        <v>-11252.0</v>
      </c>
      <c r="BA11" s="77">
        <v>-2.65</v>
      </c>
      <c r="BB11" s="75"/>
      <c r="BC11" s="76">
        <v>1.0</v>
      </c>
      <c r="BD11" s="76">
        <v>10962.0</v>
      </c>
      <c r="BE11" s="75" t="s">
        <v>51</v>
      </c>
      <c r="BF11" s="75" t="s">
        <v>57</v>
      </c>
      <c r="BG11" s="75" t="s">
        <v>58</v>
      </c>
      <c r="BH11" s="75" t="s">
        <v>59</v>
      </c>
      <c r="BI11" s="77" t="s">
        <v>60</v>
      </c>
      <c r="BJ11" s="76">
        <v>0.0</v>
      </c>
      <c r="BK11" s="76">
        <v>0.0</v>
      </c>
      <c r="BL11" s="76">
        <v>0.0</v>
      </c>
      <c r="BM11" s="76">
        <v>0.0</v>
      </c>
      <c r="BN11" s="75"/>
      <c r="BO11" s="76">
        <v>10962.0</v>
      </c>
      <c r="BP11" s="76">
        <v>0.0</v>
      </c>
      <c r="BQ11" s="75" t="s">
        <v>61</v>
      </c>
      <c r="BR11" s="75" t="s">
        <v>21</v>
      </c>
      <c r="BS11" s="76">
        <v>0.0</v>
      </c>
      <c r="BT11" s="76">
        <v>0.0</v>
      </c>
      <c r="BU11" s="75" t="s">
        <v>51</v>
      </c>
      <c r="BV11" s="75" t="s">
        <v>62</v>
      </c>
      <c r="BW11" s="76">
        <v>0.0</v>
      </c>
      <c r="BX11" s="76">
        <v>11252.0</v>
      </c>
      <c r="BY11" s="76">
        <v>11252.0</v>
      </c>
      <c r="BZ11" s="76">
        <v>194.0</v>
      </c>
      <c r="CA11" s="76">
        <v>194.0</v>
      </c>
      <c r="CB11" s="75"/>
      <c r="CC11" s="76">
        <v>0.0</v>
      </c>
      <c r="CD11" s="76">
        <v>-290.0</v>
      </c>
      <c r="CE11" s="76">
        <v>0.0</v>
      </c>
      <c r="CF11" s="76">
        <v>0.0</v>
      </c>
      <c r="CG11" s="76">
        <v>-290.0</v>
      </c>
      <c r="CH11" s="77">
        <v>-2.65</v>
      </c>
      <c r="CI11" s="76">
        <v>0.0</v>
      </c>
      <c r="CJ11" s="76">
        <v>0.0</v>
      </c>
      <c r="CK11" s="78" t="b">
        <v>0</v>
      </c>
      <c r="CL11" s="75" t="s">
        <v>54</v>
      </c>
      <c r="CM11" s="75" t="s">
        <v>54</v>
      </c>
      <c r="CN11" s="75" t="s">
        <v>18</v>
      </c>
      <c r="CO11" s="75" t="s">
        <v>18</v>
      </c>
      <c r="CP11" s="75" t="s">
        <v>63</v>
      </c>
      <c r="CQ11" s="75" t="s">
        <v>54</v>
      </c>
      <c r="CR11" s="76"/>
      <c r="CS11" s="76">
        <v>189.0</v>
      </c>
      <c r="CT11" s="75" t="s">
        <v>54</v>
      </c>
      <c r="CU11" s="75" t="s">
        <v>54</v>
      </c>
      <c r="CV11" s="75" t="s">
        <v>54</v>
      </c>
      <c r="CW11" s="75" t="s">
        <v>54</v>
      </c>
      <c r="CX11" s="75" t="s">
        <v>54</v>
      </c>
      <c r="CY11" s="75" t="s">
        <v>64</v>
      </c>
      <c r="CZ11" s="75" t="s">
        <v>43</v>
      </c>
      <c r="DA11" s="76">
        <v>11252.0</v>
      </c>
      <c r="DB11" s="77">
        <v>2.58</v>
      </c>
      <c r="DC11" s="79"/>
      <c r="DD11" s="76">
        <v>-58.0</v>
      </c>
      <c r="DE11" s="76">
        <v>0.0</v>
      </c>
      <c r="DF11" s="76">
        <v>0.0</v>
      </c>
      <c r="DG11" s="76">
        <v>0.0</v>
      </c>
      <c r="DH11" s="76">
        <v>192.0</v>
      </c>
      <c r="DI11" s="77">
        <v>1.04</v>
      </c>
      <c r="DJ11" s="75" t="s">
        <v>36</v>
      </c>
      <c r="DK11" s="76">
        <v>0.0</v>
      </c>
      <c r="DL11" s="76">
        <v>0.0</v>
      </c>
      <c r="DM11" s="76">
        <v>1.0</v>
      </c>
      <c r="DN11" s="76">
        <v>2.0</v>
      </c>
      <c r="DO11" s="75" t="s">
        <v>54</v>
      </c>
      <c r="DP11" s="75" t="s">
        <v>47</v>
      </c>
      <c r="DQ11" s="75" t="s">
        <v>65</v>
      </c>
      <c r="DR11" s="75" t="s">
        <v>66</v>
      </c>
      <c r="DS11" s="75" t="s">
        <v>65</v>
      </c>
      <c r="DT11" s="75" t="s">
        <v>65</v>
      </c>
      <c r="DU11" s="75" t="s">
        <v>67</v>
      </c>
      <c r="DV11" s="75" t="s">
        <v>65</v>
      </c>
      <c r="DW11" s="75" t="s">
        <v>65</v>
      </c>
      <c r="DX11" s="75" t="s">
        <v>65</v>
      </c>
      <c r="DY11" s="75" t="s">
        <v>65</v>
      </c>
      <c r="DZ11" s="75" t="s">
        <v>48</v>
      </c>
      <c r="EA11" s="75" t="s">
        <v>67</v>
      </c>
      <c r="EB11" s="75" t="s">
        <v>65</v>
      </c>
      <c r="EC11" s="75" t="s">
        <v>65</v>
      </c>
      <c r="ED11" s="75" t="s">
        <v>29</v>
      </c>
      <c r="EE11" s="75" t="s">
        <v>68</v>
      </c>
      <c r="EF11" s="76">
        <v>0.0</v>
      </c>
      <c r="EG11" s="77">
        <v>-88.22</v>
      </c>
      <c r="EH11" s="77">
        <v>88.22</v>
      </c>
      <c r="EI11" s="77">
        <v>-88.22</v>
      </c>
      <c r="EJ11" s="77">
        <v>63.88</v>
      </c>
      <c r="EK11" s="77">
        <v>63.88</v>
      </c>
      <c r="EL11" s="75" t="s">
        <v>47</v>
      </c>
      <c r="EM11" s="76">
        <v>8148.0</v>
      </c>
      <c r="EN11" s="76">
        <v>8148.0</v>
      </c>
      <c r="EO11" s="77">
        <v>-94.27</v>
      </c>
      <c r="EP11" s="77">
        <v>307.64</v>
      </c>
      <c r="EQ11" s="77">
        <v>88.22</v>
      </c>
      <c r="ER11" s="76">
        <v>8148.0</v>
      </c>
      <c r="ES11" s="77">
        <v>12754.34</v>
      </c>
      <c r="ET11" s="77">
        <v>-2.27</v>
      </c>
      <c r="EU11" s="77">
        <v>-88.22</v>
      </c>
      <c r="EV11" s="75" t="s">
        <v>47</v>
      </c>
      <c r="EW11" s="77">
        <v>12754.34</v>
      </c>
      <c r="EX11" s="78" t="b">
        <v>0</v>
      </c>
      <c r="EY11" s="75" t="s">
        <v>54</v>
      </c>
      <c r="EZ11" s="75" t="s">
        <v>54</v>
      </c>
      <c r="FA11" s="62"/>
      <c r="FB11" s="62"/>
      <c r="FC11" s="62"/>
      <c r="FD11" s="62"/>
      <c r="FE11" s="62"/>
      <c r="FF11" s="62"/>
      <c r="FG11" s="62"/>
      <c r="FH11" s="62"/>
      <c r="FI11" s="62"/>
      <c r="FJ11" s="62"/>
    </row>
    <row r="12" ht="15.75" customHeight="1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</row>
    <row r="13" ht="15.75" customHeight="1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</row>
    <row r="14" ht="15.75" customHeight="1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</row>
    <row r="15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</row>
    <row r="16" ht="15.75" customHeight="1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</row>
    <row r="17" ht="15.75" customHeight="1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</row>
    <row r="18" ht="15.75" customHeigh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</row>
    <row r="19" ht="15.75" customHeight="1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</row>
    <row r="20" ht="15.7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</row>
    <row r="21" ht="15.75" customHeight="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</row>
    <row r="22" ht="15.7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</row>
    <row r="23" ht="15.7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</row>
    <row r="24" ht="15.75" customHeight="1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E83" s="62"/>
      <c r="EF83" s="62"/>
      <c r="EG83" s="62"/>
      <c r="EH83" s="62"/>
      <c r="EI83" s="62"/>
      <c r="EJ83" s="62"/>
      <c r="EK83" s="62"/>
      <c r="EL83" s="62"/>
      <c r="EM83" s="62"/>
      <c r="EN83" s="62"/>
      <c r="EO83" s="62"/>
      <c r="EP83" s="62"/>
      <c r="EQ83" s="62"/>
      <c r="ER83" s="62"/>
      <c r="ES83" s="62"/>
      <c r="ET83" s="62"/>
      <c r="EU83" s="62"/>
      <c r="EV83" s="62"/>
      <c r="EW83" s="62"/>
      <c r="EX83" s="62"/>
      <c r="EY83" s="62"/>
      <c r="EZ83" s="62"/>
      <c r="FA83" s="62"/>
      <c r="FB83" s="62"/>
      <c r="FC83" s="62"/>
      <c r="FD83" s="62"/>
      <c r="FE83" s="62"/>
      <c r="FF83" s="62"/>
      <c r="FG83" s="62"/>
      <c r="FH83" s="62"/>
      <c r="FI83" s="62"/>
      <c r="FJ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2"/>
      <c r="DN84" s="62"/>
      <c r="DO84" s="62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E84" s="62"/>
      <c r="EF84" s="62"/>
      <c r="EG84" s="62"/>
      <c r="EH84" s="62"/>
      <c r="EI84" s="62"/>
      <c r="EJ84" s="62"/>
      <c r="EK84" s="62"/>
      <c r="EL84" s="62"/>
      <c r="EM84" s="62"/>
      <c r="EN84" s="62"/>
      <c r="EO84" s="62"/>
      <c r="EP84" s="62"/>
      <c r="EQ84" s="62"/>
      <c r="ER84" s="62"/>
      <c r="ES84" s="62"/>
      <c r="ET84" s="62"/>
      <c r="EU84" s="62"/>
      <c r="EV84" s="62"/>
      <c r="EW84" s="62"/>
      <c r="EX84" s="62"/>
      <c r="EY84" s="62"/>
      <c r="EZ84" s="62"/>
      <c r="FA84" s="62"/>
      <c r="FB84" s="62"/>
      <c r="FC84" s="62"/>
      <c r="FD84" s="62"/>
      <c r="FE84" s="62"/>
      <c r="FF84" s="62"/>
      <c r="FG84" s="62"/>
      <c r="FH84" s="62"/>
      <c r="FI84" s="62"/>
      <c r="FJ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  <c r="DM85" s="62"/>
      <c r="DN85" s="62"/>
      <c r="DO85" s="62"/>
      <c r="DP85" s="62"/>
      <c r="DQ85" s="62"/>
      <c r="DR85" s="62"/>
      <c r="DS85" s="62"/>
      <c r="DT85" s="62"/>
      <c r="DU85" s="62"/>
      <c r="DV85" s="62"/>
      <c r="DW85" s="62"/>
      <c r="DX85" s="62"/>
      <c r="DY85" s="62"/>
      <c r="DZ85" s="62"/>
      <c r="EA85" s="62"/>
      <c r="EB85" s="62"/>
      <c r="EC85" s="62"/>
      <c r="ED85" s="62"/>
      <c r="EE85" s="62"/>
      <c r="EF85" s="62"/>
      <c r="EG85" s="62"/>
      <c r="EH85" s="62"/>
      <c r="EI85" s="62"/>
      <c r="EJ85" s="62"/>
      <c r="EK85" s="62"/>
      <c r="EL85" s="62"/>
      <c r="EM85" s="62"/>
      <c r="EN85" s="62"/>
      <c r="EO85" s="62"/>
      <c r="EP85" s="62"/>
      <c r="EQ85" s="62"/>
      <c r="ER85" s="62"/>
      <c r="ES85" s="62"/>
      <c r="ET85" s="62"/>
      <c r="EU85" s="62"/>
      <c r="EV85" s="62"/>
      <c r="EW85" s="62"/>
      <c r="EX85" s="62"/>
      <c r="EY85" s="62"/>
      <c r="EZ85" s="62"/>
      <c r="FA85" s="62"/>
      <c r="FB85" s="62"/>
      <c r="FC85" s="62"/>
      <c r="FD85" s="62"/>
      <c r="FE85" s="62"/>
      <c r="FF85" s="62"/>
      <c r="FG85" s="62"/>
      <c r="FH85" s="62"/>
      <c r="FI85" s="62"/>
      <c r="FJ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2"/>
      <c r="DN89" s="62"/>
      <c r="DO89" s="62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E89" s="62"/>
      <c r="EF89" s="62"/>
      <c r="EG89" s="62"/>
      <c r="EH89" s="62"/>
      <c r="EI89" s="62"/>
      <c r="EJ89" s="62"/>
      <c r="EK89" s="62"/>
      <c r="EL89" s="62"/>
      <c r="EM89" s="62"/>
      <c r="EN89" s="62"/>
      <c r="EO89" s="62"/>
      <c r="EP89" s="62"/>
      <c r="EQ89" s="62"/>
      <c r="ER89" s="62"/>
      <c r="ES89" s="62"/>
      <c r="ET89" s="62"/>
      <c r="EU89" s="62"/>
      <c r="EV89" s="62"/>
      <c r="EW89" s="62"/>
      <c r="EX89" s="62"/>
      <c r="EY89" s="62"/>
      <c r="EZ89" s="62"/>
      <c r="FA89" s="62"/>
      <c r="FB89" s="62"/>
      <c r="FC89" s="62"/>
      <c r="FD89" s="62"/>
      <c r="FE89" s="62"/>
      <c r="FF89" s="62"/>
      <c r="FG89" s="62"/>
      <c r="FH89" s="62"/>
      <c r="FI89" s="62"/>
      <c r="FJ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2"/>
      <c r="DN90" s="62"/>
      <c r="DO90" s="62"/>
      <c r="DP90" s="62"/>
      <c r="DQ90" s="62"/>
      <c r="DR90" s="62"/>
      <c r="DS90" s="62"/>
      <c r="DT90" s="62"/>
      <c r="DU90" s="62"/>
      <c r="DV90" s="62"/>
      <c r="DW90" s="62"/>
      <c r="DX90" s="62"/>
      <c r="DY90" s="62"/>
      <c r="DZ90" s="62"/>
      <c r="EA90" s="62"/>
      <c r="EB90" s="62"/>
      <c r="EC90" s="62"/>
      <c r="ED90" s="62"/>
      <c r="EE90" s="62"/>
      <c r="EF90" s="62"/>
      <c r="EG90" s="62"/>
      <c r="EH90" s="62"/>
      <c r="EI90" s="62"/>
      <c r="EJ90" s="62"/>
      <c r="EK90" s="62"/>
      <c r="EL90" s="62"/>
      <c r="EM90" s="62"/>
      <c r="EN90" s="62"/>
      <c r="EO90" s="62"/>
      <c r="EP90" s="62"/>
      <c r="EQ90" s="62"/>
      <c r="ER90" s="62"/>
      <c r="ES90" s="62"/>
      <c r="ET90" s="62"/>
      <c r="EU90" s="62"/>
      <c r="EV90" s="62"/>
      <c r="EW90" s="62"/>
      <c r="EX90" s="62"/>
      <c r="EY90" s="62"/>
      <c r="EZ90" s="62"/>
      <c r="FA90" s="62"/>
      <c r="FB90" s="62"/>
      <c r="FC90" s="62"/>
      <c r="FD90" s="62"/>
      <c r="FE90" s="62"/>
      <c r="FF90" s="62"/>
      <c r="FG90" s="62"/>
      <c r="FH90" s="62"/>
      <c r="FI90" s="62"/>
      <c r="FJ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2"/>
      <c r="DN91" s="62"/>
      <c r="DO91" s="62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E91" s="62"/>
      <c r="EF91" s="62"/>
      <c r="EG91" s="62"/>
      <c r="EH91" s="62"/>
      <c r="EI91" s="62"/>
      <c r="EJ91" s="62"/>
      <c r="EK91" s="62"/>
      <c r="EL91" s="62"/>
      <c r="EM91" s="62"/>
      <c r="EN91" s="62"/>
      <c r="EO91" s="62"/>
      <c r="EP91" s="62"/>
      <c r="EQ91" s="62"/>
      <c r="ER91" s="62"/>
      <c r="ES91" s="62"/>
      <c r="ET91" s="62"/>
      <c r="EU91" s="62"/>
      <c r="EV91" s="62"/>
      <c r="EW91" s="62"/>
      <c r="EX91" s="62"/>
      <c r="EY91" s="62"/>
      <c r="EZ91" s="62"/>
      <c r="FA91" s="62"/>
      <c r="FB91" s="62"/>
      <c r="FC91" s="62"/>
      <c r="FD91" s="62"/>
      <c r="FE91" s="62"/>
      <c r="FF91" s="62"/>
      <c r="FG91" s="62"/>
      <c r="FH91" s="62"/>
      <c r="FI91" s="62"/>
      <c r="FJ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2"/>
      <c r="DN92" s="62"/>
      <c r="DO92" s="62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2"/>
      <c r="EE92" s="62"/>
      <c r="EF92" s="62"/>
      <c r="EG92" s="62"/>
      <c r="EH92" s="62"/>
      <c r="EI92" s="62"/>
      <c r="EJ92" s="62"/>
      <c r="EK92" s="62"/>
      <c r="EL92" s="62"/>
      <c r="EM92" s="62"/>
      <c r="EN92" s="62"/>
      <c r="EO92" s="62"/>
      <c r="EP92" s="62"/>
      <c r="EQ92" s="62"/>
      <c r="ER92" s="62"/>
      <c r="ES92" s="62"/>
      <c r="ET92" s="62"/>
      <c r="EU92" s="62"/>
      <c r="EV92" s="62"/>
      <c r="EW92" s="62"/>
      <c r="EX92" s="62"/>
      <c r="EY92" s="62"/>
      <c r="EZ92" s="62"/>
      <c r="FA92" s="62"/>
      <c r="FB92" s="62"/>
      <c r="FC92" s="62"/>
      <c r="FD92" s="62"/>
      <c r="FE92" s="62"/>
      <c r="FF92" s="62"/>
      <c r="FG92" s="62"/>
      <c r="FH92" s="62"/>
      <c r="FI92" s="62"/>
      <c r="FJ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2"/>
      <c r="DN93" s="62"/>
      <c r="DO93" s="62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2"/>
      <c r="EB93" s="62"/>
      <c r="EC93" s="62"/>
      <c r="ED93" s="62"/>
      <c r="EE93" s="62"/>
      <c r="EF93" s="62"/>
      <c r="EG93" s="62"/>
      <c r="EH93" s="62"/>
      <c r="EI93" s="62"/>
      <c r="EJ93" s="62"/>
      <c r="EK93" s="62"/>
      <c r="EL93" s="62"/>
      <c r="EM93" s="62"/>
      <c r="EN93" s="62"/>
      <c r="EO93" s="62"/>
      <c r="EP93" s="62"/>
      <c r="EQ93" s="62"/>
      <c r="ER93" s="62"/>
      <c r="ES93" s="62"/>
      <c r="ET93" s="62"/>
      <c r="EU93" s="62"/>
      <c r="EV93" s="62"/>
      <c r="EW93" s="62"/>
      <c r="EX93" s="62"/>
      <c r="EY93" s="62"/>
      <c r="EZ93" s="62"/>
      <c r="FA93" s="62"/>
      <c r="FB93" s="62"/>
      <c r="FC93" s="62"/>
      <c r="FD93" s="62"/>
      <c r="FE93" s="62"/>
      <c r="FF93" s="62"/>
      <c r="FG93" s="62"/>
      <c r="FH93" s="62"/>
      <c r="FI93" s="62"/>
      <c r="FJ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  <c r="DM94" s="62"/>
      <c r="DN94" s="62"/>
      <c r="DO94" s="62"/>
      <c r="DP94" s="62"/>
      <c r="DQ94" s="62"/>
      <c r="DR94" s="62"/>
      <c r="DS94" s="62"/>
      <c r="DT94" s="62"/>
      <c r="DU94" s="62"/>
      <c r="DV94" s="62"/>
      <c r="DW94" s="62"/>
      <c r="DX94" s="62"/>
      <c r="DY94" s="62"/>
      <c r="DZ94" s="62"/>
      <c r="EA94" s="62"/>
      <c r="EB94" s="62"/>
      <c r="EC94" s="62"/>
      <c r="ED94" s="62"/>
      <c r="EE94" s="62"/>
      <c r="EF94" s="62"/>
      <c r="EG94" s="62"/>
      <c r="EH94" s="62"/>
      <c r="EI94" s="62"/>
      <c r="EJ94" s="62"/>
      <c r="EK94" s="62"/>
      <c r="EL94" s="62"/>
      <c r="EM94" s="62"/>
      <c r="EN94" s="62"/>
      <c r="EO94" s="62"/>
      <c r="EP94" s="62"/>
      <c r="EQ94" s="62"/>
      <c r="ER94" s="62"/>
      <c r="ES94" s="62"/>
      <c r="ET94" s="62"/>
      <c r="EU94" s="62"/>
      <c r="EV94" s="62"/>
      <c r="EW94" s="62"/>
      <c r="EX94" s="62"/>
      <c r="EY94" s="62"/>
      <c r="EZ94" s="62"/>
      <c r="FA94" s="62"/>
      <c r="FB94" s="62"/>
      <c r="FC94" s="62"/>
      <c r="FD94" s="62"/>
      <c r="FE94" s="62"/>
      <c r="FF94" s="62"/>
      <c r="FG94" s="62"/>
      <c r="FH94" s="62"/>
      <c r="FI94" s="62"/>
      <c r="FJ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  <c r="DM95" s="62"/>
      <c r="DN95" s="62"/>
      <c r="DO95" s="62"/>
      <c r="DP95" s="62"/>
      <c r="DQ95" s="62"/>
      <c r="DR95" s="62"/>
      <c r="DS95" s="62"/>
      <c r="DT95" s="62"/>
      <c r="DU95" s="62"/>
      <c r="DV95" s="62"/>
      <c r="DW95" s="62"/>
      <c r="DX95" s="62"/>
      <c r="DY95" s="62"/>
      <c r="DZ95" s="62"/>
      <c r="EA95" s="62"/>
      <c r="EB95" s="62"/>
      <c r="EC95" s="62"/>
      <c r="ED95" s="62"/>
      <c r="EE95" s="62"/>
      <c r="EF95" s="62"/>
      <c r="EG95" s="62"/>
      <c r="EH95" s="62"/>
      <c r="EI95" s="62"/>
      <c r="EJ95" s="62"/>
      <c r="EK95" s="62"/>
      <c r="EL95" s="62"/>
      <c r="EM95" s="62"/>
      <c r="EN95" s="62"/>
      <c r="EO95" s="62"/>
      <c r="EP95" s="62"/>
      <c r="EQ95" s="62"/>
      <c r="ER95" s="62"/>
      <c r="ES95" s="62"/>
      <c r="ET95" s="62"/>
      <c r="EU95" s="62"/>
      <c r="EV95" s="62"/>
      <c r="EW95" s="62"/>
      <c r="EX95" s="62"/>
      <c r="EY95" s="62"/>
      <c r="EZ95" s="62"/>
      <c r="FA95" s="62"/>
      <c r="FB95" s="62"/>
      <c r="FC95" s="62"/>
      <c r="FD95" s="62"/>
      <c r="FE95" s="62"/>
      <c r="FF95" s="62"/>
      <c r="FG95" s="62"/>
      <c r="FH95" s="62"/>
      <c r="FI95" s="62"/>
      <c r="FJ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  <c r="DM96" s="62"/>
      <c r="DN96" s="62"/>
      <c r="DO96" s="62"/>
      <c r="DP96" s="62"/>
      <c r="DQ96" s="62"/>
      <c r="DR96" s="62"/>
      <c r="DS96" s="62"/>
      <c r="DT96" s="62"/>
      <c r="DU96" s="62"/>
      <c r="DV96" s="62"/>
      <c r="DW96" s="62"/>
      <c r="DX96" s="62"/>
      <c r="DY96" s="62"/>
      <c r="DZ96" s="62"/>
      <c r="EA96" s="62"/>
      <c r="EB96" s="62"/>
      <c r="EC96" s="62"/>
      <c r="ED96" s="62"/>
      <c r="EE96" s="62"/>
      <c r="EF96" s="62"/>
      <c r="EG96" s="62"/>
      <c r="EH96" s="62"/>
      <c r="EI96" s="62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  <c r="DM97" s="62"/>
      <c r="DN97" s="62"/>
      <c r="DO97" s="62"/>
      <c r="DP97" s="62"/>
      <c r="DQ97" s="62"/>
      <c r="DR97" s="62"/>
      <c r="DS97" s="62"/>
      <c r="DT97" s="62"/>
      <c r="DU97" s="62"/>
      <c r="DV97" s="62"/>
      <c r="DW97" s="62"/>
      <c r="DX97" s="62"/>
      <c r="DY97" s="62"/>
      <c r="DZ97" s="62"/>
      <c r="EA97" s="62"/>
      <c r="EB97" s="62"/>
      <c r="EC97" s="62"/>
      <c r="ED97" s="62"/>
      <c r="EE97" s="62"/>
      <c r="EF97" s="62"/>
      <c r="EG97" s="62"/>
      <c r="EH97" s="62"/>
      <c r="EI97" s="62"/>
      <c r="EJ97" s="62"/>
      <c r="EK97" s="62"/>
      <c r="EL97" s="62"/>
      <c r="EM97" s="62"/>
      <c r="EN97" s="62"/>
      <c r="EO97" s="62"/>
      <c r="EP97" s="62"/>
      <c r="EQ97" s="62"/>
      <c r="ER97" s="62"/>
      <c r="ES97" s="62"/>
      <c r="ET97" s="62"/>
      <c r="EU97" s="62"/>
      <c r="EV97" s="62"/>
      <c r="EW97" s="62"/>
      <c r="EX97" s="62"/>
      <c r="EY97" s="62"/>
      <c r="EZ97" s="62"/>
      <c r="FA97" s="62"/>
      <c r="FB97" s="62"/>
      <c r="FC97" s="62"/>
      <c r="FD97" s="62"/>
      <c r="FE97" s="62"/>
      <c r="FF97" s="62"/>
      <c r="FG97" s="62"/>
      <c r="FH97" s="62"/>
      <c r="FI97" s="62"/>
      <c r="FJ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  <c r="DM98" s="62"/>
      <c r="DN98" s="62"/>
      <c r="DO98" s="62"/>
      <c r="DP98" s="62"/>
      <c r="DQ98" s="62"/>
      <c r="DR98" s="62"/>
      <c r="DS98" s="62"/>
      <c r="DT98" s="62"/>
      <c r="DU98" s="62"/>
      <c r="DV98" s="62"/>
      <c r="DW98" s="62"/>
      <c r="DX98" s="62"/>
      <c r="DY98" s="62"/>
      <c r="DZ98" s="62"/>
      <c r="EA98" s="62"/>
      <c r="EB98" s="62"/>
      <c r="EC98" s="62"/>
      <c r="ED98" s="62"/>
      <c r="EE98" s="62"/>
      <c r="EF98" s="62"/>
      <c r="EG98" s="62"/>
      <c r="EH98" s="62"/>
      <c r="EI98" s="62"/>
      <c r="EJ98" s="62"/>
      <c r="EK98" s="62"/>
      <c r="EL98" s="62"/>
      <c r="EM98" s="62"/>
      <c r="EN98" s="62"/>
      <c r="EO98" s="62"/>
      <c r="EP98" s="62"/>
      <c r="EQ98" s="62"/>
      <c r="ER98" s="62"/>
      <c r="ES98" s="62"/>
      <c r="ET98" s="62"/>
      <c r="EU98" s="62"/>
      <c r="EV98" s="62"/>
      <c r="EW98" s="62"/>
      <c r="EX98" s="62"/>
      <c r="EY98" s="62"/>
      <c r="EZ98" s="62"/>
      <c r="FA98" s="62"/>
      <c r="FB98" s="62"/>
      <c r="FC98" s="62"/>
      <c r="FD98" s="62"/>
      <c r="FE98" s="62"/>
      <c r="FF98" s="62"/>
      <c r="FG98" s="62"/>
      <c r="FH98" s="62"/>
      <c r="FI98" s="62"/>
      <c r="FJ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  <c r="DM99" s="62"/>
      <c r="DN99" s="62"/>
      <c r="DO99" s="62"/>
      <c r="DP99" s="62"/>
      <c r="DQ99" s="62"/>
      <c r="DR99" s="62"/>
      <c r="DS99" s="62"/>
      <c r="DT99" s="62"/>
      <c r="DU99" s="62"/>
      <c r="DV99" s="62"/>
      <c r="DW99" s="62"/>
      <c r="DX99" s="62"/>
      <c r="DY99" s="62"/>
      <c r="DZ99" s="62"/>
      <c r="EA99" s="62"/>
      <c r="EB99" s="62"/>
      <c r="EC99" s="62"/>
      <c r="ED99" s="62"/>
      <c r="EE99" s="62"/>
      <c r="EF99" s="62"/>
      <c r="EG99" s="62"/>
      <c r="EH99" s="62"/>
      <c r="EI99" s="62"/>
      <c r="EJ99" s="62"/>
      <c r="EK99" s="62"/>
      <c r="EL99" s="62"/>
      <c r="EM99" s="62"/>
      <c r="EN99" s="62"/>
      <c r="EO99" s="62"/>
      <c r="EP99" s="62"/>
      <c r="EQ99" s="62"/>
      <c r="ER99" s="62"/>
      <c r="ES99" s="62"/>
      <c r="ET99" s="62"/>
      <c r="EU99" s="62"/>
      <c r="EV99" s="62"/>
      <c r="EW99" s="62"/>
      <c r="EX99" s="62"/>
      <c r="EY99" s="62"/>
      <c r="EZ99" s="62"/>
      <c r="FA99" s="62"/>
      <c r="FB99" s="62"/>
      <c r="FC99" s="62"/>
      <c r="FD99" s="62"/>
      <c r="FE99" s="62"/>
      <c r="FF99" s="62"/>
      <c r="FG99" s="62"/>
      <c r="FH99" s="62"/>
      <c r="FI99" s="62"/>
      <c r="FJ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