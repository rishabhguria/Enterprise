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RunProrata" sheetId="5" r:id="rId7"/>
    <sheet state="visible" name="CreateLiveOrder" sheetId="6" r:id="rId8"/>
    <sheet state="visible" name="AcknowledgeTrade" sheetId="7" r:id="rId9"/>
    <sheet state="visible" name="SelectTrade" sheetId="8" r:id="rId10"/>
    <sheet state="visible" name="VerifyOrder" sheetId="9" r:id="rId11"/>
    <sheet state="visible" name="ExecuteTrade" sheetId="10" r:id="rId12"/>
    <sheet state="visible" name="GetDataAllocation" sheetId="11" r:id="rId13"/>
    <sheet state="visible" name="CheckAllocatedGroups" sheetId="12" r:id="rId14"/>
    <sheet state="visible" name="CheckPortfolioManagement" sheetId="13" r:id="rId15"/>
    <sheet state="visible" name="ExecuteTrade1" sheetId="14" r:id="rId16"/>
    <sheet state="visible" name="VerifyOrder1" sheetId="15" r:id="rId17"/>
    <sheet state="visible" name="CheckAllocatedGroups1" sheetId="16" r:id="rId18"/>
    <sheet state="visible" name="CheckPortfolioManagement1" sheetId="17" r:id="rId19"/>
    <sheet state="visible" name="SetGeneralPreferences" sheetId="18" r:id="rId20"/>
    <sheet state="visible" name="SelectTrade1" sheetId="19" r:id="rId21"/>
  </sheets>
  <definedNames/>
  <calcPr/>
</workbook>
</file>

<file path=xl/sharedStrings.xml><?xml version="1.0" encoding="utf-8"?>
<sst xmlns="http://schemas.openxmlformats.org/spreadsheetml/2006/main" count="228" uniqueCount="49">
  <si>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</si>
  <si>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</si>
  <si>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</si>
  <si>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</si>
  <si>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</si>
  <si>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</si>
  <si>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</si>
  <si>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</si>
  <si>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</si>
  <si>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</si>
  <si>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</si>
  <si>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</si>
  <si>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</si>
  <si>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</si>
  <si>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</si>
  <si>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</si>
  <si>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</si>
  <si>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</si>
  <si>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</t>
  </si>
  <si>
    <t>Allocation2</t>
  </si>
  <si>
    <t>Allocation</t>
  </si>
  <si>
    <t>RunProrata</t>
  </si>
  <si>
    <t>CreateLiveOrder</t>
  </si>
  <si>
    <t>Nirvana</t>
  </si>
  <si>
    <t>Simulator</t>
  </si>
  <si>
    <t>AcknowledgeTrade</t>
  </si>
  <si>
    <t>SelectTrade</t>
  </si>
  <si>
    <t>Blotter</t>
  </si>
  <si>
    <t>VerifyOrder</t>
  </si>
  <si>
    <t>PartiallyFilled</t>
  </si>
  <si>
    <t>MS</t>
  </si>
  <si>
    <t>Multiple</t>
  </si>
  <si>
    <t>ExecuteTrade</t>
  </si>
  <si>
    <t>GetDataAllocation</t>
  </si>
  <si>
    <t>Current</t>
  </si>
  <si>
    <t>CheckAllocatedGroups</t>
  </si>
  <si>
    <t>M</t>
  </si>
  <si>
    <t>Market</t>
  </si>
  <si>
    <t>PortfolioManagement</t>
  </si>
  <si>
    <t>CheckPortfolioManagement</t>
  </si>
  <si>
    <t>NewMF</t>
  </si>
  <si>
    <t>Long</t>
  </si>
  <si>
    <t>Equity</t>
  </si>
  <si>
    <t>US</t>
  </si>
  <si>
    <t>NYSE</t>
  </si>
  <si>
    <t>USD</t>
  </si>
  <si>
    <t>NewMF1</t>
  </si>
  <si>
    <t>Filled</t>
  </si>
  <si>
    <t>SetGeneralPreferences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</si>
</sst>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9.0"/>
      <color rgb="FFFF8000"/>
      <name val="&quot;Segoe UI&quot;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vertical="bottom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4" fontId="13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ill="1" applyFont="1">
      <alignment horizontal="right" readingOrder="0" shrinkToFit="0" vertical="top" wrapText="0"/>
    </xf>
    <xf borderId="0" fillId="0" fontId="5" numFmtId="0" xfId="0" applyAlignment="1" applyFont="1">
      <alignment horizontal="right" readingOrder="0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IFERROR(__xludf.DUMMYFUNCTION("""COMPUTED_VALUE"""),"FilterClosing")</f>
        <v>FilterClosing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50.0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5">
        <f t="shared" ref="N6:N7" si="1">today()-1</f>
        <v>44994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1" t="s">
        <v>16</v>
      </c>
      <c r="C7" s="32" t="s">
        <v>17</v>
      </c>
      <c r="D7" s="34">
        <v>50.0</v>
      </c>
      <c r="E7" s="32"/>
      <c r="F7" s="32" t="s">
        <v>19</v>
      </c>
      <c r="G7" s="32"/>
      <c r="H7" s="32"/>
      <c r="I7" s="32"/>
      <c r="J7" s="34">
        <v>10.0</v>
      </c>
      <c r="K7" s="32"/>
      <c r="L7" s="32"/>
      <c r="M7" s="32"/>
      <c r="N7" s="35">
        <f t="shared" si="1"/>
        <v>44994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IFERROR(__xludf.DUMMYFUNCTION("""COMPUTED_VALUE"""),"SchemeName")</f>
        <v>SchemeName</v>
      </c>
      <c r="D5" s="27" t="str">
        <f>IFERROR(__xludf.DUMMYFUNCTION("""COMPUTED_VALUE"""),"SchemeBasis")</f>
        <v>SchemeBasis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f>today()-1</f>
        <v>44994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RunProrata!$4:$4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76.0</v>
      </c>
      <c r="E6" s="34">
        <v>76.0</v>
      </c>
      <c r="F6" s="31" t="s">
        <v>23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17</v>
      </c>
      <c r="C6" s="31" t="s">
        <v>16</v>
      </c>
      <c r="D6" s="30"/>
      <c r="E6" s="32"/>
      <c r="F6" s="32"/>
      <c r="G6" s="34">
        <v>76.0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17</v>
      </c>
      <c r="C6" s="31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7"/>
      <c r="C6" s="8"/>
      <c r="D6" s="37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39" t="s">
        <v>16</v>
      </c>
      <c r="AJ6" s="39" t="s">
        <v>17</v>
      </c>
      <c r="AK6" s="39" t="s">
        <v>29</v>
      </c>
      <c r="AL6" s="39">
        <v>76.0</v>
      </c>
      <c r="AM6" s="39">
        <v>1.0</v>
      </c>
      <c r="AQ6" s="39">
        <v>10.0</v>
      </c>
      <c r="AR6" s="39">
        <v>10.0</v>
      </c>
      <c r="AS6" s="39" t="s">
        <v>30</v>
      </c>
      <c r="AT6" s="3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10.0</v>
      </c>
      <c r="C6" s="40">
        <v>1.0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7" t="s">
        <v>34</v>
      </c>
      <c r="C6" s="8"/>
      <c r="D6" s="37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41" t="s">
        <v>19</v>
      </c>
      <c r="C6" s="8"/>
      <c r="D6" s="37"/>
      <c r="E6" s="42">
        <v>1.0</v>
      </c>
      <c r="F6" s="8"/>
      <c r="G6" s="8"/>
      <c r="H6" s="37">
        <v>0.0</v>
      </c>
      <c r="I6" s="37">
        <v>0.0</v>
      </c>
      <c r="J6" s="8"/>
      <c r="K6" s="37">
        <v>10.0</v>
      </c>
      <c r="L6" s="37">
        <v>10.0</v>
      </c>
      <c r="M6" s="8"/>
      <c r="N6" s="8"/>
      <c r="O6" s="8"/>
      <c r="V6" s="31" t="s">
        <v>16</v>
      </c>
      <c r="AE6" s="42">
        <v>1.0</v>
      </c>
      <c r="AH6" s="9" t="s">
        <v>36</v>
      </c>
      <c r="AI6" s="42">
        <v>1.0</v>
      </c>
      <c r="AT6" s="42">
        <v>11.00175</v>
      </c>
      <c r="AU6" s="42">
        <v>11.00175</v>
      </c>
      <c r="AY6" s="9" t="s">
        <v>37</v>
      </c>
      <c r="BE6" s="42">
        <v>10.0</v>
      </c>
      <c r="BF6" s="42">
        <v>10.0</v>
      </c>
      <c r="BJ6" s="9">
        <v>76.0</v>
      </c>
      <c r="BO6" s="9" t="s">
        <v>17</v>
      </c>
      <c r="BT6" s="31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 t="str">
        <f>IFERROR(__xludf.DUMMYFUNCTION("""COMPUTED_VALUE"""),"CheckPMLiveFeed")</f>
        <v>CheckPMLiveFeed</v>
      </c>
      <c r="AC4" s="25" t="str">
        <f>IFERROR(__xludf.DUMMYFUNCTION("""COMPUTED_VALUE"""),"IncreasePositionFromPM")</f>
        <v>IncreasePositionFromPM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/>
      <c r="FL5" s="29"/>
      <c r="FM5" s="29"/>
      <c r="FN5" s="29"/>
      <c r="FO5" s="29"/>
      <c r="FP5" s="29"/>
      <c r="FQ5" s="29"/>
      <c r="FR5" s="29"/>
      <c r="FS5" s="29"/>
      <c r="FT5" s="29"/>
    </row>
    <row r="6" ht="15.75" customHeight="1">
      <c r="A6" s="37"/>
      <c r="B6" s="37"/>
      <c r="C6" s="41" t="s">
        <v>16</v>
      </c>
      <c r="D6" s="42">
        <v>50.0</v>
      </c>
      <c r="E6" s="41" t="s">
        <v>18</v>
      </c>
      <c r="F6" s="41" t="s">
        <v>40</v>
      </c>
      <c r="G6" s="8"/>
      <c r="H6" s="41" t="s">
        <v>41</v>
      </c>
      <c r="I6" s="8"/>
      <c r="J6" s="8"/>
      <c r="K6" s="8"/>
      <c r="L6" s="8"/>
      <c r="M6" s="8"/>
      <c r="N6" s="8"/>
      <c r="O6" s="8"/>
      <c r="T6" s="41" t="s">
        <v>42</v>
      </c>
      <c r="U6" s="41" t="s">
        <v>43</v>
      </c>
      <c r="V6" s="41" t="s">
        <v>44</v>
      </c>
      <c r="W6" s="41" t="s">
        <v>45</v>
      </c>
      <c r="X6" s="42">
        <v>1.0</v>
      </c>
      <c r="AN6" s="41" t="s">
        <v>17</v>
      </c>
    </row>
    <row r="7" ht="15.75" customHeight="1">
      <c r="A7" s="8"/>
      <c r="B7" s="8"/>
      <c r="C7" s="41" t="s">
        <v>16</v>
      </c>
      <c r="D7" s="42">
        <v>50.0</v>
      </c>
      <c r="E7" s="41" t="s">
        <v>19</v>
      </c>
      <c r="F7" s="41" t="s">
        <v>46</v>
      </c>
      <c r="G7" s="8"/>
      <c r="H7" s="41" t="s">
        <v>41</v>
      </c>
      <c r="I7" s="8"/>
      <c r="J7" s="8"/>
      <c r="K7" s="8"/>
      <c r="L7" s="8"/>
      <c r="M7" s="8"/>
      <c r="N7" s="8"/>
      <c r="O7" s="8"/>
      <c r="T7" s="41" t="s">
        <v>42</v>
      </c>
      <c r="U7" s="41" t="s">
        <v>43</v>
      </c>
      <c r="V7" s="41" t="s">
        <v>44</v>
      </c>
      <c r="W7" s="41" t="s">
        <v>45</v>
      </c>
      <c r="X7" s="42">
        <v>1.0</v>
      </c>
      <c r="AN7" s="41" t="s">
        <v>17</v>
      </c>
    </row>
    <row r="8" ht="15.75" customHeight="1">
      <c r="A8" s="8"/>
      <c r="B8" s="8"/>
      <c r="C8" s="41" t="s">
        <v>16</v>
      </c>
      <c r="D8" s="42">
        <v>1.0</v>
      </c>
      <c r="E8" s="41" t="s">
        <v>19</v>
      </c>
      <c r="F8" s="41" t="s">
        <v>46</v>
      </c>
      <c r="G8" s="8"/>
      <c r="H8" s="41" t="s">
        <v>41</v>
      </c>
      <c r="I8" s="8"/>
      <c r="J8" s="8"/>
      <c r="K8" s="8"/>
      <c r="L8" s="8"/>
      <c r="M8" s="8"/>
      <c r="N8" s="8"/>
      <c r="O8" s="8"/>
      <c r="T8" s="41" t="s">
        <v>42</v>
      </c>
      <c r="U8" s="41" t="s">
        <v>43</v>
      </c>
      <c r="V8" s="41" t="s">
        <v>44</v>
      </c>
      <c r="W8" s="41" t="s">
        <v>45</v>
      </c>
      <c r="X8" s="42">
        <v>1.0</v>
      </c>
      <c r="AN8" s="41" t="s">
        <v>17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7">
        <v>10.0</v>
      </c>
      <c r="C6" s="37">
        <v>75.0</v>
      </c>
      <c r="D6" s="37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7"/>
      <c r="C6" s="8"/>
      <c r="D6" s="37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39" t="s">
        <v>16</v>
      </c>
      <c r="AJ6" s="39" t="s">
        <v>17</v>
      </c>
      <c r="AK6" s="39" t="s">
        <v>47</v>
      </c>
      <c r="AL6" s="39">
        <v>76.0</v>
      </c>
      <c r="AM6" s="39">
        <v>76.0</v>
      </c>
      <c r="AQ6" s="39">
        <v>10.0</v>
      </c>
      <c r="AR6" s="39">
        <v>10.0</v>
      </c>
      <c r="AS6" s="39" t="s">
        <v>30</v>
      </c>
      <c r="AT6" s="39" t="s">
        <v>31</v>
      </c>
      <c r="AU6" s="3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7" t="s">
        <v>31</v>
      </c>
      <c r="C6" s="8"/>
      <c r="D6" s="37"/>
      <c r="E6" s="37">
        <v>76.0</v>
      </c>
      <c r="F6" s="8"/>
      <c r="G6" s="8"/>
      <c r="H6" s="37">
        <v>7.0</v>
      </c>
      <c r="I6" s="37">
        <v>0.0</v>
      </c>
      <c r="J6" s="8"/>
      <c r="K6" s="37">
        <v>10.0</v>
      </c>
      <c r="L6" s="37">
        <v>10.0</v>
      </c>
      <c r="M6" s="8"/>
      <c r="N6" s="8"/>
      <c r="O6" s="8"/>
      <c r="V6" s="9" t="s">
        <v>16</v>
      </c>
      <c r="Z6" s="41" t="s">
        <v>45</v>
      </c>
      <c r="AD6" s="41" t="s">
        <v>44</v>
      </c>
      <c r="AE6" s="42">
        <v>76.0</v>
      </c>
      <c r="AH6" s="9" t="s">
        <v>36</v>
      </c>
      <c r="AI6" s="9">
        <v>1.0</v>
      </c>
      <c r="AT6" s="42">
        <v>768.133</v>
      </c>
      <c r="AU6" s="42">
        <v>768.133</v>
      </c>
      <c r="AY6" s="9" t="s">
        <v>37</v>
      </c>
      <c r="BE6" s="42">
        <v>760.0</v>
      </c>
      <c r="BF6" s="42">
        <v>760.0</v>
      </c>
      <c r="BJ6" s="9">
        <v>76.0</v>
      </c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 t="str">
        <f>IFERROR(__xludf.DUMMYFUNCTION("""COMPUTED_VALUE"""),"CheckPMLiveFeed")</f>
        <v>CheckPMLiveFeed</v>
      </c>
      <c r="AC4" s="25" t="str">
        <f>IFERROR(__xludf.DUMMYFUNCTION("""COMPUTED_VALUE"""),"IncreasePositionFromPM")</f>
        <v>IncreasePositionFromPM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/>
      <c r="FL5" s="29"/>
      <c r="FM5" s="29"/>
      <c r="FN5" s="29"/>
      <c r="FO5" s="29"/>
      <c r="FP5" s="29"/>
      <c r="FQ5" s="29"/>
      <c r="FR5" s="29"/>
      <c r="FS5" s="29"/>
      <c r="FT5" s="29"/>
    </row>
    <row r="6" ht="15.75" customHeight="1">
      <c r="A6" s="37"/>
      <c r="B6" s="37"/>
      <c r="C6" s="41" t="s">
        <v>16</v>
      </c>
      <c r="D6" s="42">
        <v>50.0</v>
      </c>
      <c r="E6" s="41" t="s">
        <v>18</v>
      </c>
      <c r="F6" s="41" t="s">
        <v>40</v>
      </c>
      <c r="G6" s="8"/>
      <c r="H6" s="41" t="s">
        <v>41</v>
      </c>
      <c r="I6" s="8"/>
      <c r="J6" s="8"/>
      <c r="K6" s="8"/>
      <c r="L6" s="8"/>
      <c r="M6" s="8"/>
      <c r="N6" s="8"/>
      <c r="O6" s="8"/>
      <c r="T6" s="41" t="s">
        <v>42</v>
      </c>
      <c r="U6" s="41" t="s">
        <v>43</v>
      </c>
      <c r="V6" s="41" t="s">
        <v>44</v>
      </c>
      <c r="W6" s="41" t="s">
        <v>45</v>
      </c>
      <c r="X6" s="42">
        <v>1.0</v>
      </c>
      <c r="AN6" s="41" t="s">
        <v>17</v>
      </c>
    </row>
    <row r="7" ht="15.75" customHeight="1">
      <c r="A7" s="8"/>
      <c r="B7" s="8"/>
      <c r="C7" s="41" t="s">
        <v>16</v>
      </c>
      <c r="D7" s="42">
        <v>50.0</v>
      </c>
      <c r="E7" s="41" t="s">
        <v>19</v>
      </c>
      <c r="F7" s="41" t="s">
        <v>46</v>
      </c>
      <c r="G7" s="8"/>
      <c r="H7" s="41" t="s">
        <v>41</v>
      </c>
      <c r="I7" s="8"/>
      <c r="J7" s="8"/>
      <c r="K7" s="8"/>
      <c r="L7" s="8"/>
      <c r="M7" s="8"/>
      <c r="N7" s="8"/>
      <c r="O7" s="8"/>
      <c r="T7" s="41" t="s">
        <v>42</v>
      </c>
      <c r="U7" s="41" t="s">
        <v>43</v>
      </c>
      <c r="V7" s="41" t="s">
        <v>44</v>
      </c>
      <c r="W7" s="41" t="s">
        <v>45</v>
      </c>
      <c r="X7" s="42">
        <v>1.0</v>
      </c>
      <c r="AN7" s="41" t="s">
        <v>17</v>
      </c>
    </row>
    <row r="8" ht="15.75" customHeight="1">
      <c r="A8" s="8"/>
      <c r="B8" s="8"/>
      <c r="C8" s="41" t="s">
        <v>16</v>
      </c>
      <c r="D8" s="42">
        <v>38.0</v>
      </c>
      <c r="E8" s="41" t="s">
        <v>18</v>
      </c>
      <c r="F8" s="41" t="s">
        <v>40</v>
      </c>
      <c r="G8" s="8"/>
      <c r="H8" s="41" t="s">
        <v>41</v>
      </c>
      <c r="I8" s="8"/>
      <c r="J8" s="8"/>
      <c r="K8" s="8"/>
      <c r="L8" s="8"/>
      <c r="M8" s="8"/>
      <c r="N8" s="8"/>
      <c r="O8" s="8"/>
      <c r="T8" s="41" t="s">
        <v>42</v>
      </c>
      <c r="U8" s="41" t="s">
        <v>43</v>
      </c>
      <c r="V8" s="41" t="s">
        <v>44</v>
      </c>
      <c r="W8" s="41" t="s">
        <v>45</v>
      </c>
      <c r="X8" s="42">
        <v>1.0</v>
      </c>
      <c r="AN8" s="41" t="s">
        <v>17</v>
      </c>
    </row>
    <row r="9" ht="15.75" customHeight="1">
      <c r="A9" s="8"/>
      <c r="B9" s="8"/>
      <c r="C9" s="41" t="s">
        <v>16</v>
      </c>
      <c r="D9" s="42">
        <v>38.0</v>
      </c>
      <c r="E9" s="41" t="s">
        <v>19</v>
      </c>
      <c r="F9" s="41" t="s">
        <v>46</v>
      </c>
      <c r="G9" s="8"/>
      <c r="H9" s="41" t="s">
        <v>41</v>
      </c>
      <c r="I9" s="8"/>
      <c r="J9" s="8"/>
      <c r="K9" s="8"/>
      <c r="L9" s="8"/>
      <c r="M9" s="8"/>
      <c r="N9" s="8"/>
      <c r="O9" s="8"/>
      <c r="T9" s="41" t="s">
        <v>42</v>
      </c>
      <c r="U9" s="41" t="s">
        <v>43</v>
      </c>
      <c r="V9" s="41" t="s">
        <v>44</v>
      </c>
      <c r="W9" s="41" t="s">
        <v>45</v>
      </c>
      <c r="X9" s="42">
        <v>1.0</v>
      </c>
      <c r="AN9" s="41" t="s">
        <v>17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1lI4loUxqzsE3IjuxIjsVY3cB4J_eTKFPPDuXngut4FE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 t="s">
        <v>23</v>
      </c>
      <c r="Y6" s="32"/>
      <c r="Z6" s="43" t="b">
        <v>1</v>
      </c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17</v>
      </c>
      <c r="C6" s="31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